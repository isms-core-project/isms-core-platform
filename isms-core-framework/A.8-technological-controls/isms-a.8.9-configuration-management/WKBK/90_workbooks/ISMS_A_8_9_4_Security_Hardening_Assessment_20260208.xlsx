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Hardening_Standard_Register" sheetId="2" state="visible" r:id="rId2"/>
    <sheet xmlns:r="http://schemas.openxmlformats.org/officeDocument/2006/relationships" name="Asset_Type_Hardening_Matrix" sheetId="3" state="visible" r:id="rId3"/>
    <sheet xmlns:r="http://schemas.openxmlformats.org/officeDocument/2006/relationships" name="Asset_Hardening_Assessment" sheetId="4" state="visible" r:id="rId4"/>
    <sheet xmlns:r="http://schemas.openxmlformats.org/officeDocument/2006/relationships" name="Control_Compliance_Detail" sheetId="5" state="visible" r:id="rId5"/>
    <sheet xmlns:r="http://schemas.openxmlformats.org/officeDocument/2006/relationships" name="Exception_Management" sheetId="6" state="visible" r:id="rId6"/>
    <sheet xmlns:r="http://schemas.openxmlformats.org/officeDocument/2006/relationships" name="Remediation_Tracking" sheetId="7" state="visible" r:id="rId7"/>
    <sheet xmlns:r="http://schemas.openxmlformats.org/officeDocument/2006/relationships" name="Compliance_Dashboard" sheetId="8" state="visible" r:id="rId8"/>
    <sheet xmlns:r="http://schemas.openxmlformats.org/officeDocument/2006/relationships" name="Gap_Prioritization" sheetId="9" state="visible" r:id="rId9"/>
    <sheet xmlns:r="http://schemas.openxmlformats.org/officeDocument/2006/relationships" name="Evidence_Register" sheetId="10" state="visible" r:id="rId10"/>
    <sheet xmlns:r="http://schemas.openxmlformats.org/officeDocument/2006/relationships" name="Approval_Sign_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.MM.YYYY"/>
    <numFmt numFmtId="166" formatCode="0 &quot;days&quot;"/>
    <numFmt numFmtId="167" formatCode="0.0"/>
  </numFmts>
  <fonts count="11">
    <font>
      <name val="Calibri"/>
      <family val="2"/>
      <color theme="1"/>
      <sz val="11"/>
      <scheme val="minor"/>
    </font>
    <font>
      <name val="Calibri"/>
      <b val="1"/>
      <sz val="16"/>
    </font>
    <font>
      <b val="1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b val="1"/>
      <color rgb="00FFFFFF"/>
      <sz val="14"/>
    </font>
    <font>
      <name val="Calibri"/>
      <b val="1"/>
      <i val="1"/>
      <sz val="11"/>
    </font>
    <font>
      <name val="Calibri"/>
      <b val="1"/>
      <sz val="14"/>
    </font>
    <font>
      <b val="1"/>
      <color rgb="00C00000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3366"/>
        <bgColor rgb="00003366"/>
      </patternFill>
    </fill>
    <fill>
      <patternFill patternType="solid">
        <fgColor rgb="00D8E4F8"/>
        <bgColor rgb="00D8E4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0" applyProtection="1" pivotButton="0" quotePrefix="0" xfId="0">
      <protection locked="0" hidden="0"/>
    </xf>
    <xf numFmtId="9" fontId="0" fillId="0" borderId="0" applyProtection="1" pivotButton="0" quotePrefix="0" xfId="0">
      <protection locked="0" hidden="0"/>
    </xf>
    <xf numFmtId="0" fontId="6" fillId="2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5" fontId="0" fillId="0" borderId="0" applyProtection="1" pivotButton="0" quotePrefix="0" xfId="0">
      <protection locked="0" hidden="0"/>
    </xf>
    <xf numFmtId="0" fontId="4" fillId="0" borderId="0" applyAlignment="1" pivotButton="0" quotePrefix="0" xfId="0">
      <alignment horizontal="center" vertical="center" wrapText="1"/>
    </xf>
    <xf numFmtId="164" fontId="8" fillId="0" borderId="0" pivotButton="0" quotePrefix="0" xfId="0"/>
    <xf numFmtId="1" fontId="9" fillId="0" borderId="0" pivotButton="0" quotePrefix="0" xfId="0"/>
    <xf numFmtId="3" fontId="0" fillId="0" borderId="0" pivotButton="0" quotePrefix="0" xfId="0"/>
    <xf numFmtId="0" fontId="5" fillId="4" borderId="1" pivotButton="0" quotePrefix="0" xfId="0"/>
    <xf numFmtId="166" fontId="0" fillId="0" borderId="0" pivotButton="0" quotePrefix="0" xfId="0"/>
    <xf numFmtId="0" fontId="10" fillId="0" borderId="0" applyAlignment="1" pivotButton="0" quotePrefix="0" xfId="0">
      <alignment horizontal="left" vertical="center" wrapText="1"/>
    </xf>
    <xf numFmtId="167" fontId="0" fillId="0" borderId="0" pivotButton="0" quotePrefix="0" xfId="0"/>
    <xf numFmtId="0" fontId="1" fillId="0" borderId="0" pivotButton="0" quotePrefix="0" xfId="0"/>
    <xf numFmtId="0" fontId="8" fillId="0" borderId="0" pivotButton="0" quotePrefix="0" xfId="0"/>
    <xf numFmtId="1" fontId="0" fillId="0" borderId="0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top" wrapText="1"/>
      <protection locked="0" hidden="0"/>
    </xf>
    <xf numFmtId="0" fontId="5" fillId="4" borderId="1" applyProtection="1" pivotButton="0" quotePrefix="0" xfId="0">
      <protection locked="0" hidden="0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0" fontId="5" fillId="4" borderId="0" pivotButton="0" quotePrefix="0" xfId="0"/>
    <xf numFmtId="0" fontId="4" fillId="0" borderId="0" applyProtection="1" pivotButton="0" quotePrefix="0" xfId="0">
      <protection locked="0" hidden="0"/>
    </xf>
  </cellXfs>
  <cellStyles count="1">
    <cellStyle name="Normal" xfId="0" builtinId="0" hidden="0"/>
  </cellStyles>
  <dxfs count="17">
    <dxf>
      <fill>
        <patternFill patternType="solid">
          <fgColor rgb="00C00000"/>
          <bgColor rgb="00C00000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ED7D31"/>
          <bgColor rgb="00ED7D31"/>
        </patternFill>
      </fill>
    </dxf>
    <dxf>
      <fill>
        <patternFill patternType="solid">
          <fgColor rgb="00375623"/>
          <bgColor rgb="00375623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D8E4F8"/>
          <bgColor rgb="00D8E4F8"/>
        </patternFill>
      </fill>
    </dxf>
    <dxf>
      <fill>
        <patternFill patternType="solid">
          <fgColor rgb="0070AD47"/>
          <bgColor rgb="0070AD47"/>
        </patternFill>
      </fill>
    </dxf>
    <dxf>
      <font>
        <b val="1"/>
        <color rgb="00C00000"/>
      </font>
    </dxf>
    <dxf>
      <fill>
        <patternFill patternType="solid">
          <fgColor rgb="00FFE6E6"/>
          <bgColor rgb="00FFE6E6"/>
        </patternFill>
      </fill>
    </dxf>
    <dxf>
      <font>
        <b val="1"/>
        <color rgb="00FFFFFF"/>
      </font>
      <fill>
        <patternFill patternType="solid">
          <fgColor rgb="00C00000"/>
          <bgColor rgb="00C00000"/>
        </patternFill>
      </fill>
    </dxf>
    <dxf>
      <fill>
        <patternFill patternType="solid">
          <fgColor rgb="00D6EAF8"/>
          <bgColor rgb="00D6EAF8"/>
        </patternFill>
      </fill>
    </dxf>
    <dxf>
      <border>
        <left style="medium">
          <color rgb="00C00000"/>
        </left>
        <right style="medium">
          <color rgb="00C00000"/>
        </right>
        <top style="medium">
          <color rgb="00C00000"/>
        </top>
        <bottom style="medium">
          <color rgb="00C00000"/>
        </bottom>
      </border>
    </dxf>
    <dxf>
      <border>
        <left style="thin">
          <color rgb="00FFEB9C"/>
        </left>
        <right style="thin">
          <color rgb="00FFEB9C"/>
        </right>
        <top style="thin">
          <color rgb="00FFEB9C"/>
        </top>
        <bottom style="thin">
          <color rgb="00FFEB9C"/>
        </bottom>
      </border>
    </dxf>
    <dxf>
      <font>
        <b val="1"/>
        <color rgb="00FFFFFF"/>
      </font>
      <fill>
        <patternFill patternType="solid">
          <fgColor rgb="008B0000"/>
          <bgColor rgb="008B0000"/>
        </patternFill>
      </fill>
    </dxf>
    <dxf>
      <border>
        <left style="medium">
          <color rgb="0070AD47"/>
        </left>
        <right style="medium">
          <color rgb="0070AD47"/>
        </right>
        <top style="medium">
          <color rgb="0070AD47"/>
        </top>
        <bottom style="medium">
          <color rgb="0070AD47"/>
        </bottom>
      </border>
    </dxf>
    <dxf>
      <border>
        <left style="thin">
          <color rgb="00ED7D31"/>
        </left>
        <right style="thin">
          <color rgb="00ED7D31"/>
        </right>
        <top style="thin">
          <color rgb="00ED7D31"/>
        </top>
        <bottom style="thin">
          <color rgb="00ED7D3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40" customHeight="1">
      <c r="A1" s="1" t="inlineStr">
        <is>
          <t>ISMS-IMP-A.8.9.4  -  Security Hardening Assessment
ISO/IEC 27001:2022 - Control A.8.9: Configuration Management</t>
        </is>
      </c>
    </row>
    <row r="2"/>
    <row r="4">
      <c r="A4" s="2" t="inlineStr">
        <is>
          <t>Document ID:</t>
        </is>
      </c>
      <c r="B4" t="inlineStr">
        <is>
          <t>ISMS-IMP-A.8.9.4</t>
        </is>
      </c>
    </row>
    <row r="5">
      <c r="A5" s="2" t="inlineStr">
        <is>
          <t>Assessment:</t>
        </is>
      </c>
      <c r="B5" t="inlineStr">
        <is>
          <t>Security Hardening Assessment</t>
        </is>
      </c>
    </row>
    <row r="6">
      <c r="A6" s="2" t="inlineStr">
        <is>
          <t>Version:</t>
        </is>
      </c>
      <c r="B6" t="inlineStr">
        <is>
          <t>1.0</t>
        </is>
      </c>
    </row>
    <row r="7">
      <c r="A7" s="2" t="inlineStr">
        <is>
          <t>Generated:</t>
        </is>
      </c>
      <c r="B7" t="inlineStr">
        <is>
          <t>08.02.2026 11:50</t>
        </is>
      </c>
    </row>
    <row r="9">
      <c r="A9" s="3" t="inlineStr">
        <is>
          <t>PURPOSE</t>
        </is>
      </c>
    </row>
    <row r="10">
      <c r="B10" s="4" t="inlineStr">
        <is>
          <t>This workbook assesses [Organization]'s compliance with security hardening standards across all in-scope information assets. Security hardening represents the systematic reduction of attack surface through implementation of security-focused configuration controls.</t>
        </is>
      </c>
    </row>
    <row r="11">
      <c r="B11" s="4" t="inlineStr"/>
    </row>
    <row r="12">
      <c r="B12" s="4" t="inlineStr">
        <is>
          <t>Assessment objectives:</t>
        </is>
      </c>
    </row>
    <row r="13">
      <c r="B13" s="4" t="inlineStr">
        <is>
          <t>• Identify which hardening standards apply to which assets</t>
        </is>
      </c>
    </row>
    <row r="14">
      <c r="B14" s="4" t="inlineStr">
        <is>
          <t>• Assess implementation of required hardening controls</t>
        </is>
      </c>
    </row>
    <row r="15">
      <c r="B15" s="4" t="inlineStr">
        <is>
          <t>• Identify gaps where controls are not implemented</t>
        </is>
      </c>
    </row>
    <row r="16">
      <c r="B16" s="4" t="inlineStr">
        <is>
          <t>• Prioritize remediation based on risk</t>
        </is>
      </c>
    </row>
    <row r="17">
      <c r="B17" s="4" t="inlineStr">
        <is>
          <t>• Document and track approved exceptions</t>
        </is>
      </c>
    </row>
    <row r="18">
      <c r="B18" s="4" t="inlineStr">
        <is>
          <t>• Monitor progress on closing hardening gaps</t>
        </is>
      </c>
    </row>
    <row r="20">
      <c r="A20" s="3" t="inlineStr">
        <is>
          <t>KEY CONCEPTS</t>
        </is>
      </c>
    </row>
    <row r="21">
      <c r="B21" s="4" t="inlineStr">
        <is>
          <t>Security Hardening: Systematic reduction of attack surface through security-focused configuration controls</t>
        </is>
      </c>
    </row>
    <row r="22">
      <c r="B22" s="4" t="inlineStr"/>
    </row>
    <row r="23">
      <c r="B23" s="4" t="inlineStr">
        <is>
          <t>Hardening Standard: Documented set of security configuration requirements (e.g., CIS Benchmark, DISA STIG, vendor baseline)</t>
        </is>
      </c>
    </row>
    <row r="24">
      <c r="B24" s="4" t="inlineStr"/>
    </row>
    <row r="25">
      <c r="B25" s="4" t="inlineStr">
        <is>
          <t>Hardening Control: Individual security configuration requirement within a standard</t>
        </is>
      </c>
    </row>
    <row r="26">
      <c r="B26" s="4" t="inlineStr"/>
    </row>
    <row r="27">
      <c r="B27" s="4" t="inlineStr">
        <is>
          <t>Implementation Status:</t>
        </is>
      </c>
    </row>
    <row r="28">
      <c r="B28" s="4" t="inlineStr">
        <is>
          <t>• Implemented: Control fully implemented and verified</t>
        </is>
      </c>
    </row>
    <row r="29">
      <c r="B29" s="4" t="inlineStr">
        <is>
          <t>• Partial: Control partially implemented (60-99% of requirement)</t>
        </is>
      </c>
    </row>
    <row r="30">
      <c r="B30" s="4" t="inlineStr">
        <is>
          <t>• Not Implemented: Control not implemented, gap exists</t>
        </is>
      </c>
    </row>
    <row r="31">
      <c r="B31" s="4" t="inlineStr">
        <is>
          <t>• Not Applicable: Control does not apply (with justification)</t>
        </is>
      </c>
    </row>
    <row r="32">
      <c r="B32" s="4" t="inlineStr"/>
    </row>
    <row r="33">
      <c r="B33" s="4" t="inlineStr">
        <is>
          <t>Exception: Documented deviation from hardening requirement with formal risk acceptance</t>
        </is>
      </c>
    </row>
    <row r="35">
      <c r="A35" s="3" t="inlineStr">
        <is>
          <t>ASSESSMENT WORKFLOW</t>
        </is>
      </c>
    </row>
    <row r="36">
      <c r="B36" s="4" t="inlineStr">
        <is>
          <t>1. Define applicable hardening standards in Hardening_Standard_Register</t>
        </is>
      </c>
    </row>
    <row r="37">
      <c r="B37" s="4" t="inlineStr">
        <is>
          <t>2. Map standards to asset types in Asset_Type_Hardening_Matrix</t>
        </is>
      </c>
    </row>
    <row r="38">
      <c r="B38" s="4" t="inlineStr">
        <is>
          <t>3. Assess asset-level compliance in Asset_Hardening_Assessment</t>
        </is>
      </c>
    </row>
    <row r="39">
      <c r="B39" s="4" t="inlineStr">
        <is>
          <t>4. Document control-level detail in Control_Compliance_Detail</t>
        </is>
      </c>
    </row>
    <row r="40">
      <c r="B40" s="4" t="inlineStr">
        <is>
          <t>5. Manage exceptions in Exception_Management</t>
        </is>
      </c>
    </row>
    <row r="41">
      <c r="B41" s="4" t="inlineStr">
        <is>
          <t>6. Track remediation in Remediation_Tracking</t>
        </is>
      </c>
    </row>
    <row r="42">
      <c r="B42" s="4" t="inlineStr">
        <is>
          <t>7. Review Compliance_Dashboard for overall posture</t>
        </is>
      </c>
    </row>
    <row r="43">
      <c r="B43" s="4" t="inlineStr">
        <is>
          <t>8. Use Gap_Prioritization to sequence remediation</t>
        </is>
      </c>
    </row>
    <row r="44">
      <c r="B44" s="4" t="inlineStr">
        <is>
          <t>9. Document evidence in Evidence_Register</t>
        </is>
      </c>
    </row>
    <row r="45">
      <c r="B45" s="4" t="inlineStr">
        <is>
          <t>10. Obtain approvals in Approval_Sign_Off</t>
        </is>
      </c>
    </row>
    <row r="47">
      <c r="A47" s="3" t="inlineStr">
        <is>
          <t>HARDENING STANDARD SELECTION</t>
        </is>
      </c>
    </row>
    <row r="48">
      <c r="B48" s="4" t="inlineStr">
        <is>
          <t>Determine applicable standards through risk assessment. Common categories:</t>
        </is>
      </c>
    </row>
    <row r="49">
      <c r="B49" s="4" t="inlineStr"/>
    </row>
    <row r="50">
      <c r="B50" s="4" t="inlineStr">
        <is>
          <t>• Industry Benchmarks: CIS Benchmarks, DISA STIGs, NIST 800-53</t>
        </is>
      </c>
    </row>
    <row r="51">
      <c r="B51" s="4" t="inlineStr">
        <is>
          <t>• Regulatory Requirements: PCI-DSS, HIPAA Technical Safeguards, GDPR controls</t>
        </is>
      </c>
    </row>
    <row r="52">
      <c r="B52" s="4" t="inlineStr">
        <is>
          <t>• Vendor Baselines: Manufacturer recommended security practices</t>
        </is>
      </c>
    </row>
    <row r="53">
      <c r="B53" s="4" t="inlineStr">
        <is>
          <t>• Framework Controls: ISO 27002 technical controls, COBIT</t>
        </is>
      </c>
    </row>
    <row r="54">
      <c r="B54" s="4" t="inlineStr">
        <is>
          <t>• Custom Standards: Organization-specific requirements</t>
        </is>
      </c>
    </row>
    <row r="55">
      <c r="B55" s="4" t="inlineStr"/>
    </row>
    <row r="56">
      <c r="B56" s="4" t="inlineStr">
        <is>
          <t>Standards should be:</t>
        </is>
      </c>
    </row>
    <row r="57">
      <c r="B57" s="4" t="inlineStr">
        <is>
          <t>• Specific enough to assess (not generic)</t>
        </is>
      </c>
    </row>
    <row r="58">
      <c r="B58" s="4" t="inlineStr">
        <is>
          <t>• Current version (not outdated)</t>
        </is>
      </c>
    </row>
    <row r="59">
      <c r="B59" s="4" t="inlineStr">
        <is>
          <t>• Appropriate for asset type</t>
        </is>
      </c>
    </row>
    <row r="60">
      <c r="B60" s="4" t="inlineStr">
        <is>
          <t>• Feasible to implement</t>
        </is>
      </c>
    </row>
    <row r="62">
      <c r="A62" s="3" t="inlineStr">
        <is>
          <t>COMPLIANCE SCORING</t>
        </is>
      </c>
    </row>
    <row r="63">
      <c r="B63" s="4" t="inlineStr">
        <is>
          <t>Overall Compliance = (Implemented + (Partial × 0.5)) / (Total - Not Applicable) × 100%</t>
        </is>
      </c>
    </row>
    <row r="64">
      <c r="B64" s="4" t="inlineStr"/>
    </row>
    <row r="65">
      <c r="B65" s="4" t="inlineStr">
        <is>
          <t>Compliance Targets:</t>
        </is>
      </c>
    </row>
    <row r="66">
      <c r="B66" s="4" t="inlineStr">
        <is>
          <t>• Critical Assets: 100%</t>
        </is>
      </c>
    </row>
    <row r="67">
      <c r="B67" s="4" t="inlineStr">
        <is>
          <t>• High Assets: 98%</t>
        </is>
      </c>
    </row>
    <row r="68">
      <c r="B68" s="4" t="inlineStr">
        <is>
          <t>• Medium Assets: 95%</t>
        </is>
      </c>
    </row>
    <row r="69">
      <c r="B69" s="4" t="inlineStr">
        <is>
          <t>• Low Assets: 90%</t>
        </is>
      </c>
    </row>
    <row r="70">
      <c r="B70" s="4" t="inlineStr">
        <is>
          <t>• Overall Organization: 95%</t>
        </is>
      </c>
    </row>
    <row r="72">
      <c r="A72" s="3" t="inlineStr">
        <is>
          <t>EXCEPTION MANAGEMENT</t>
        </is>
      </c>
    </row>
    <row r="73">
      <c r="B73" s="4" t="inlineStr">
        <is>
          <t>Exceptions are appropriate when:</t>
        </is>
      </c>
    </row>
    <row r="74">
      <c r="B74" s="4" t="inlineStr">
        <is>
          <t>• Technical limitation prevents implementation</t>
        </is>
      </c>
    </row>
    <row r="75">
      <c r="B75" s="4" t="inlineStr">
        <is>
          <t>• Business requirement conflicts with control</t>
        </is>
      </c>
    </row>
    <row r="76">
      <c r="B76" s="4" t="inlineStr">
        <is>
          <t>• Cost exceeds risk reduction benefit</t>
        </is>
      </c>
    </row>
    <row r="77">
      <c r="B77" s="4" t="inlineStr">
        <is>
          <t>• Legacy system cannot be modified</t>
        </is>
      </c>
    </row>
    <row r="78">
      <c r="B78" s="4" t="inlineStr"/>
    </row>
    <row r="79">
      <c r="B79" s="4" t="inlineStr">
        <is>
          <t>Exception process:</t>
        </is>
      </c>
    </row>
    <row r="80">
      <c r="B80" s="4" t="inlineStr">
        <is>
          <t>1. Document detailed justification</t>
        </is>
      </c>
    </row>
    <row r="81">
      <c r="B81" s="4" t="inlineStr">
        <is>
          <t>2. Assess residual risk</t>
        </is>
      </c>
    </row>
    <row r="82">
      <c r="B82" s="4" t="inlineStr">
        <is>
          <t>3. Identify compensating controls</t>
        </is>
      </c>
    </row>
    <row r="83">
      <c r="B83" s="4" t="inlineStr">
        <is>
          <t>4. Obtain risk owner approval</t>
        </is>
      </c>
    </row>
    <row r="84">
      <c r="B84" s="4" t="inlineStr">
        <is>
          <t>5. Set review date (typically 12 months)</t>
        </is>
      </c>
    </row>
    <row r="85">
      <c r="B85" s="4" t="inlineStr"/>
    </row>
    <row r="86">
      <c r="B86" s="4" t="inlineStr">
        <is>
          <t>Target: &lt;5% of controls should be exceptions</t>
        </is>
      </c>
    </row>
    <row r="88">
      <c r="A88" s="3" t="inlineStr">
        <is>
          <t>EVIDENCE COLLECTION</t>
        </is>
      </c>
    </row>
    <row r="89">
      <c r="B89" s="4" t="inlineStr">
        <is>
          <t>Every 'Implemented' control requires evidence:</t>
        </is>
      </c>
    </row>
    <row r="90">
      <c r="B90" s="4" t="inlineStr"/>
    </row>
    <row r="91">
      <c r="B91" s="4" t="inlineStr">
        <is>
          <t>• Configuration Exports: Baseline vs. current comparison</t>
        </is>
      </c>
    </row>
    <row r="92">
      <c r="B92" s="4" t="inlineStr">
        <is>
          <t>• Security Tool Reports: Vulnerability scanners, compliance tools</t>
        </is>
      </c>
    </row>
    <row r="93">
      <c r="B93" s="4" t="inlineStr">
        <is>
          <t>• Manual Verification: Screenshots, audit logs</t>
        </is>
      </c>
    </row>
    <row r="94">
      <c r="B94" s="4" t="inlineStr">
        <is>
          <t>• Exception Approvals: Risk acceptance documentation</t>
        </is>
      </c>
    </row>
    <row r="95">
      <c r="B95" s="4" t="inlineStr"/>
    </row>
    <row r="96">
      <c r="B96" s="4" t="inlineStr">
        <is>
          <t>Evidence must be:</t>
        </is>
      </c>
    </row>
    <row r="97">
      <c r="B97" s="4" t="inlineStr">
        <is>
          <t>• Sufficient (adequately demonstrates control)</t>
        </is>
      </c>
    </row>
    <row r="98">
      <c r="B98" s="4" t="inlineStr">
        <is>
          <t>• Relevant (directly relates to requirement)</t>
        </is>
      </c>
    </row>
    <row r="99">
      <c r="B99" s="4" t="inlineStr">
        <is>
          <t>• Recent (within validity period)</t>
        </is>
      </c>
    </row>
    <row r="100">
      <c r="B100" s="4" t="inlineStr">
        <is>
          <t>• Authentic (verifiable source)</t>
        </is>
      </c>
    </row>
    <row r="102">
      <c r="A102" s="3" t="inlineStr">
        <is>
          <t>INTEGRATION POINTS</t>
        </is>
      </c>
    </row>
    <row r="103">
      <c r="B103" s="4" t="inlineStr">
        <is>
          <t>This assessment integrates with:</t>
        </is>
      </c>
    </row>
    <row r="104">
      <c r="B104" s="4" t="inlineStr"/>
    </row>
    <row r="105">
      <c r="B105" s="4" t="inlineStr">
        <is>
          <t>• A.8.9.1 (Baseline Configuration): Hardening controls in baselines</t>
        </is>
      </c>
    </row>
    <row r="106">
      <c r="B106" s="4" t="inlineStr">
        <is>
          <t>• A.8.9.2 (Change Control): Changes affecting hardening require review</t>
        </is>
      </c>
    </row>
    <row r="107">
      <c r="B107" s="4" t="inlineStr">
        <is>
          <t>• A.8.9.3 (Configuration Monitoring): Security drift indicates non-compliance</t>
        </is>
      </c>
    </row>
    <row r="108">
      <c r="B108" s="4" t="inlineStr">
        <is>
          <t>• A.8.9.5 (Compliance Dashboard): Aggregates hardening metrics</t>
        </is>
      </c>
    </row>
    <row r="109">
      <c r="B109" s="4" t="inlineStr">
        <is>
          <t>• A.5.7 (Threat Intelligence): Emerging threats drive hardening updates</t>
        </is>
      </c>
    </row>
    <row r="111">
      <c r="A111" s="3" t="inlineStr">
        <is>
          <t>ROLES &amp; RESPONSIBILITIES</t>
        </is>
      </c>
    </row>
    <row r="112">
      <c r="B112" s="4" t="inlineStr">
        <is>
          <t>Assessment Owner: Coordinates assessments, ensures completion</t>
        </is>
      </c>
    </row>
    <row r="113">
      <c r="B113" s="4" t="inlineStr">
        <is>
          <t>Asset Owners: Provide configuration data, validate control status</t>
        </is>
      </c>
    </row>
    <row r="114">
      <c r="B114" s="4" t="inlineStr">
        <is>
          <t>Security Team: Defines standards, assesses compliance</t>
        </is>
      </c>
    </row>
    <row r="115">
      <c r="B115" s="4" t="inlineStr">
        <is>
          <t>Risk Owner: Approves exceptions, accepts residual risk</t>
        </is>
      </c>
    </row>
    <row r="116">
      <c r="B116" s="4" t="inlineStr">
        <is>
          <t>Auditor: Verifies evidence, validates compliance claims</t>
        </is>
      </c>
    </row>
    <row r="118">
      <c r="A118" s="3" t="inlineStr">
        <is>
          <t>GETTING STARTED</t>
        </is>
      </c>
    </row>
    <row r="119">
      <c r="B119" s="4" t="inlineStr">
        <is>
          <t>1. Start with Hardening_Standard_Register - define your standards</t>
        </is>
      </c>
    </row>
    <row r="120">
      <c r="B120" s="4" t="inlineStr">
        <is>
          <t>2. Complete Asset_Type_Hardening_Matrix - map standards to asset types</t>
        </is>
      </c>
    </row>
    <row r="121">
      <c r="B121" s="4" t="inlineStr">
        <is>
          <t>3. Assess assets systematically, starting with Critical tier</t>
        </is>
      </c>
    </row>
    <row r="122">
      <c r="B122" s="4" t="inlineStr">
        <is>
          <t>4. Document evidence as you go - don't wait until the end</t>
        </is>
      </c>
    </row>
    <row r="123">
      <c r="B123" s="4" t="inlineStr">
        <is>
          <t>5. Flag exceptions early and initiate approval process</t>
        </is>
      </c>
    </row>
    <row r="124">
      <c r="B124" s="4" t="inlineStr">
        <is>
          <t>6. Track remediation progress in Remediation_Tracking</t>
        </is>
      </c>
    </row>
    <row r="125">
      <c r="B125" s="4" t="inlineStr">
        <is>
          <t>7. Review Compliance_Dashboard regularly for status</t>
        </is>
      </c>
    </row>
    <row r="129">
      <c r="A129" s="5" t="inlineStr">
        <is>
          <t>Document ID:</t>
        </is>
      </c>
      <c r="B129" t="inlineStr">
        <is>
          <t>ISMS-A.8.9.4-Hardening-Assessment</t>
        </is>
      </c>
    </row>
    <row r="130">
      <c r="A130" s="5" t="inlineStr">
        <is>
          <t>Version:</t>
        </is>
      </c>
      <c r="B130" t="inlineStr">
        <is>
          <t>1.0</t>
        </is>
      </c>
    </row>
    <row r="131">
      <c r="A131" s="5" t="inlineStr">
        <is>
          <t>Date:</t>
        </is>
      </c>
      <c r="B131" t="inlineStr">
        <is>
          <t>08.02.2026</t>
        </is>
      </c>
    </row>
    <row r="132">
      <c r="A132" s="5" t="inlineStr">
        <is>
          <t>Assessor:</t>
        </is>
      </c>
      <c r="B132" t="inlineStr">
        <is>
          <t>[Security Analyst]</t>
        </is>
      </c>
    </row>
  </sheetData>
  <mergeCells count="11">
    <mergeCell ref="A62:B62"/>
    <mergeCell ref="A20:B20"/>
    <mergeCell ref="A72:B72"/>
    <mergeCell ref="A9:B9"/>
    <mergeCell ref="A47:B47"/>
    <mergeCell ref="A111:B111"/>
    <mergeCell ref="A102:B102"/>
    <mergeCell ref="A88:B88"/>
    <mergeCell ref="A118:B118"/>
    <mergeCell ref="A1:B2"/>
    <mergeCell ref="A35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5" customWidth="1" min="4" max="4"/>
    <col width="25" customWidth="1" min="5" max="5"/>
    <col width="30" customWidth="1" min="6" max="6"/>
    <col width="15" customWidth="1" min="7" max="7"/>
    <col width="18" customWidth="1" min="8" max="8"/>
    <col width="25" customWidth="1" min="9" max="9"/>
    <col width="14" customWidth="1" min="10" max="10"/>
    <col width="18" customWidth="1" min="11" max="11"/>
    <col width="18" customWidth="1" min="12" max="12"/>
    <col width="18" customWidth="1" min="13" max="13"/>
    <col width="18" customWidth="1" min="14" max="14"/>
    <col width="25" customWidth="1" min="15" max="15"/>
    <col width="30" customWidth="1" min="16" max="16"/>
    <col width="40" customWidth="1" min="17" max="17"/>
    <col width="12" customWidth="1" min="18" max="18"/>
  </cols>
  <sheetData>
    <row r="1">
      <c r="A1" s="6" t="inlineStr">
        <is>
          <t>Standard_ID</t>
        </is>
      </c>
      <c r="B1" s="6" t="inlineStr">
        <is>
          <t>Standard_Name</t>
        </is>
      </c>
      <c r="C1" s="6" t="inlineStr">
        <is>
          <t>Standard_Category</t>
        </is>
      </c>
      <c r="D1" s="6" t="inlineStr">
        <is>
          <t>Standard_Version</t>
        </is>
      </c>
      <c r="E1" s="6" t="inlineStr">
        <is>
          <t>Issuing_Authority</t>
        </is>
      </c>
      <c r="F1" s="6" t="inlineStr">
        <is>
          <t>Applicability_Scope</t>
        </is>
      </c>
      <c r="G1" s="6" t="inlineStr">
        <is>
          <t>Compliance_Level</t>
        </is>
      </c>
      <c r="H1" s="6" t="inlineStr">
        <is>
          <t>Mandatory_Optional</t>
        </is>
      </c>
      <c r="I1" s="6" t="inlineStr">
        <is>
          <t>Regulatory_Driver</t>
        </is>
      </c>
      <c r="J1" s="6" t="inlineStr">
        <is>
          <t>Control_Count</t>
        </is>
      </c>
      <c r="K1" s="6" t="inlineStr">
        <is>
          <t>Implementation_Target</t>
        </is>
      </c>
      <c r="L1" s="6" t="inlineStr">
        <is>
          <t>Review_Frequency</t>
        </is>
      </c>
      <c r="M1" s="6" t="inlineStr">
        <is>
          <t>Last_Review_Date</t>
        </is>
      </c>
      <c r="N1" s="6" t="inlineStr">
        <is>
          <t>Next_Review_Date</t>
        </is>
      </c>
      <c r="O1" s="6" t="inlineStr">
        <is>
          <t>Standard_Owner</t>
        </is>
      </c>
      <c r="P1" s="6" t="inlineStr">
        <is>
          <t>Documentation_Location</t>
        </is>
      </c>
      <c r="Q1" s="6" t="inlineStr">
        <is>
          <t>Notes</t>
        </is>
      </c>
      <c r="R1" s="6" t="inlineStr">
        <is>
          <t>Status</t>
        </is>
      </c>
    </row>
    <row r="2">
      <c r="A2" s="7">
        <f>IF(B2&lt;&gt;"", "HS-"&amp;TEXT(ROW()-1,"000"), "")</f>
        <v/>
      </c>
      <c r="B2" s="8" t="n"/>
      <c r="C2" s="8" t="n"/>
      <c r="D2" s="8" t="n"/>
      <c r="E2" s="8" t="n"/>
      <c r="F2" s="8" t="n"/>
      <c r="G2" s="8" t="n"/>
      <c r="H2" s="8" t="inlineStr">
        <is>
          <t>Mandatory</t>
        </is>
      </c>
      <c r="I2" s="8" t="n"/>
      <c r="J2" s="8" t="n"/>
      <c r="K2" s="9" t="n">
        <v>0.95</v>
      </c>
      <c r="L2" s="8" t="inlineStr">
        <is>
          <t>Quarterly</t>
        </is>
      </c>
      <c r="M2" s="8" t="n"/>
      <c r="N2" s="8" t="n"/>
      <c r="O2" s="8" t="n"/>
      <c r="P2" s="8" t="n"/>
      <c r="Q2" s="8" t="n"/>
      <c r="R2" s="8" t="inlineStr">
        <is>
          <t>Active</t>
        </is>
      </c>
    </row>
    <row r="3">
      <c r="A3" s="7">
        <f>IF(B3&lt;&gt;"", "HS-"&amp;TEXT(ROW()-1,"000"), "")</f>
        <v/>
      </c>
      <c r="B3" s="8" t="n"/>
      <c r="C3" s="8" t="n"/>
      <c r="D3" s="8" t="n"/>
      <c r="E3" s="8" t="n"/>
      <c r="F3" s="8" t="n"/>
      <c r="G3" s="8" t="n"/>
      <c r="H3" s="8" t="inlineStr">
        <is>
          <t>Mandatory</t>
        </is>
      </c>
      <c r="I3" s="8" t="n"/>
      <c r="J3" s="8" t="n"/>
      <c r="K3" s="9" t="n">
        <v>0.95</v>
      </c>
      <c r="L3" s="8" t="inlineStr">
        <is>
          <t>Quarterly</t>
        </is>
      </c>
      <c r="M3" s="8" t="n"/>
      <c r="N3" s="8" t="n"/>
      <c r="O3" s="8" t="n"/>
      <c r="P3" s="8" t="n"/>
      <c r="Q3" s="8" t="n"/>
      <c r="R3" s="8" t="inlineStr">
        <is>
          <t>Active</t>
        </is>
      </c>
    </row>
    <row r="4">
      <c r="A4" s="7">
        <f>IF(B4&lt;&gt;"", "HS-"&amp;TEXT(ROW()-1,"000"), "")</f>
        <v/>
      </c>
      <c r="B4" s="8" t="n"/>
      <c r="C4" s="8" t="n"/>
      <c r="D4" s="8" t="n"/>
      <c r="E4" s="8" t="n"/>
      <c r="F4" s="8" t="n"/>
      <c r="G4" s="8" t="n"/>
      <c r="H4" s="8" t="inlineStr">
        <is>
          <t>Mandatory</t>
        </is>
      </c>
      <c r="I4" s="8" t="n"/>
      <c r="J4" s="8" t="n"/>
      <c r="K4" s="9" t="n">
        <v>0.95</v>
      </c>
      <c r="L4" s="8" t="inlineStr">
        <is>
          <t>Quarterly</t>
        </is>
      </c>
      <c r="M4" s="8" t="n"/>
      <c r="N4" s="8" t="n"/>
      <c r="O4" s="8" t="n"/>
      <c r="P4" s="8" t="n"/>
      <c r="Q4" s="8" t="n"/>
      <c r="R4" s="8" t="inlineStr">
        <is>
          <t>Active</t>
        </is>
      </c>
    </row>
    <row r="5">
      <c r="A5" s="7">
        <f>IF(B5&lt;&gt;"", "HS-"&amp;TEXT(ROW()-1,"000"), "")</f>
        <v/>
      </c>
      <c r="B5" s="8" t="n"/>
      <c r="C5" s="8" t="n"/>
      <c r="D5" s="8" t="n"/>
      <c r="E5" s="8" t="n"/>
      <c r="F5" s="8" t="n"/>
      <c r="G5" s="8" t="n"/>
      <c r="H5" s="8" t="inlineStr">
        <is>
          <t>Mandatory</t>
        </is>
      </c>
      <c r="I5" s="8" t="n"/>
      <c r="J5" s="8" t="n"/>
      <c r="K5" s="9" t="n">
        <v>0.95</v>
      </c>
      <c r="L5" s="8" t="inlineStr">
        <is>
          <t>Quarterly</t>
        </is>
      </c>
      <c r="M5" s="8" t="n"/>
      <c r="N5" s="8" t="n"/>
      <c r="O5" s="8" t="n"/>
      <c r="P5" s="8" t="n"/>
      <c r="Q5" s="8" t="n"/>
      <c r="R5" s="8" t="inlineStr">
        <is>
          <t>Active</t>
        </is>
      </c>
    </row>
    <row r="6">
      <c r="A6" s="7">
        <f>IF(B6&lt;&gt;"", "HS-"&amp;TEXT(ROW()-1,"000"), "")</f>
        <v/>
      </c>
      <c r="B6" s="8" t="n"/>
      <c r="C6" s="8" t="n"/>
      <c r="D6" s="8" t="n"/>
      <c r="E6" s="8" t="n"/>
      <c r="F6" s="8" t="n"/>
      <c r="G6" s="8" t="n"/>
      <c r="H6" s="8" t="inlineStr">
        <is>
          <t>Mandatory</t>
        </is>
      </c>
      <c r="I6" s="8" t="n"/>
      <c r="J6" s="8" t="n"/>
      <c r="K6" s="9" t="n">
        <v>0.95</v>
      </c>
      <c r="L6" s="8" t="inlineStr">
        <is>
          <t>Quarterly</t>
        </is>
      </c>
      <c r="M6" s="8" t="n"/>
      <c r="N6" s="8" t="n"/>
      <c r="O6" s="8" t="n"/>
      <c r="P6" s="8" t="n"/>
      <c r="Q6" s="8" t="n"/>
      <c r="R6" s="8" t="inlineStr">
        <is>
          <t>Active</t>
        </is>
      </c>
    </row>
    <row r="7">
      <c r="A7" s="7">
        <f>IF(B7&lt;&gt;"", "HS-"&amp;TEXT(ROW()-1,"000"), "")</f>
        <v/>
      </c>
      <c r="B7" s="8" t="n"/>
      <c r="C7" s="8" t="n"/>
      <c r="D7" s="8" t="n"/>
      <c r="E7" s="8" t="n"/>
      <c r="F7" s="8" t="n"/>
      <c r="G7" s="8" t="n"/>
      <c r="H7" s="8" t="inlineStr">
        <is>
          <t>Mandatory</t>
        </is>
      </c>
      <c r="I7" s="8" t="n"/>
      <c r="J7" s="8" t="n"/>
      <c r="K7" s="9" t="n">
        <v>0.95</v>
      </c>
      <c r="L7" s="8" t="inlineStr">
        <is>
          <t>Quarterly</t>
        </is>
      </c>
      <c r="M7" s="8" t="n"/>
      <c r="N7" s="8" t="n"/>
      <c r="O7" s="8" t="n"/>
      <c r="P7" s="8" t="n"/>
      <c r="Q7" s="8" t="n"/>
      <c r="R7" s="8" t="inlineStr">
        <is>
          <t>Active</t>
        </is>
      </c>
    </row>
    <row r="8">
      <c r="A8" s="7">
        <f>IF(B8&lt;&gt;"", "HS-"&amp;TEXT(ROW()-1,"000"), "")</f>
        <v/>
      </c>
      <c r="B8" s="8" t="n"/>
      <c r="C8" s="8" t="n"/>
      <c r="D8" s="8" t="n"/>
      <c r="E8" s="8" t="n"/>
      <c r="F8" s="8" t="n"/>
      <c r="G8" s="8" t="n"/>
      <c r="H8" s="8" t="inlineStr">
        <is>
          <t>Mandatory</t>
        </is>
      </c>
      <c r="I8" s="8" t="n"/>
      <c r="J8" s="8" t="n"/>
      <c r="K8" s="9" t="n">
        <v>0.95</v>
      </c>
      <c r="L8" s="8" t="inlineStr">
        <is>
          <t>Quarterly</t>
        </is>
      </c>
      <c r="M8" s="8" t="n"/>
      <c r="N8" s="8" t="n"/>
      <c r="O8" s="8" t="n"/>
      <c r="P8" s="8" t="n"/>
      <c r="Q8" s="8" t="n"/>
      <c r="R8" s="8" t="inlineStr">
        <is>
          <t>Active</t>
        </is>
      </c>
    </row>
    <row r="9">
      <c r="A9" s="7">
        <f>IF(B9&lt;&gt;"", "HS-"&amp;TEXT(ROW()-1,"000"), "")</f>
        <v/>
      </c>
      <c r="B9" s="8" t="n"/>
      <c r="C9" s="8" t="n"/>
      <c r="D9" s="8" t="n"/>
      <c r="E9" s="8" t="n"/>
      <c r="F9" s="8" t="n"/>
      <c r="G9" s="8" t="n"/>
      <c r="H9" s="8" t="inlineStr">
        <is>
          <t>Mandatory</t>
        </is>
      </c>
      <c r="I9" s="8" t="n"/>
      <c r="J9" s="8" t="n"/>
      <c r="K9" s="9" t="n">
        <v>0.95</v>
      </c>
      <c r="L9" s="8" t="inlineStr">
        <is>
          <t>Quarterly</t>
        </is>
      </c>
      <c r="M9" s="8" t="n"/>
      <c r="N9" s="8" t="n"/>
      <c r="O9" s="8" t="n"/>
      <c r="P9" s="8" t="n"/>
      <c r="Q9" s="8" t="n"/>
      <c r="R9" s="8" t="inlineStr">
        <is>
          <t>Active</t>
        </is>
      </c>
    </row>
    <row r="10">
      <c r="A10" s="7">
        <f>IF(B10&lt;&gt;"", "HS-"&amp;TEXT(ROW()-1,"000"), "")</f>
        <v/>
      </c>
      <c r="B10" s="8" t="n"/>
      <c r="C10" s="8" t="n"/>
      <c r="D10" s="8" t="n"/>
      <c r="E10" s="8" t="n"/>
      <c r="F10" s="8" t="n"/>
      <c r="G10" s="8" t="n"/>
      <c r="H10" s="8" t="inlineStr">
        <is>
          <t>Mandatory</t>
        </is>
      </c>
      <c r="I10" s="8" t="n"/>
      <c r="J10" s="8" t="n"/>
      <c r="K10" s="9" t="n">
        <v>0.95</v>
      </c>
      <c r="L10" s="8" t="inlineStr">
        <is>
          <t>Quarterly</t>
        </is>
      </c>
      <c r="M10" s="8" t="n"/>
      <c r="N10" s="8" t="n"/>
      <c r="O10" s="8" t="n"/>
      <c r="P10" s="8" t="n"/>
      <c r="Q10" s="8" t="n"/>
      <c r="R10" s="8" t="inlineStr">
        <is>
          <t>Active</t>
        </is>
      </c>
    </row>
    <row r="11">
      <c r="A11" s="7">
        <f>IF(B11&lt;&gt;"", "HS-"&amp;TEXT(ROW()-1,"000"), "")</f>
        <v/>
      </c>
      <c r="B11" s="8" t="n"/>
      <c r="C11" s="8" t="n"/>
      <c r="D11" s="8" t="n"/>
      <c r="E11" s="8" t="n"/>
      <c r="F11" s="8" t="n"/>
      <c r="G11" s="8" t="n"/>
      <c r="H11" s="8" t="inlineStr">
        <is>
          <t>Mandatory</t>
        </is>
      </c>
      <c r="I11" s="8" t="n"/>
      <c r="J11" s="8" t="n"/>
      <c r="K11" s="9" t="n">
        <v>0.95</v>
      </c>
      <c r="L11" s="8" t="inlineStr">
        <is>
          <t>Quarterly</t>
        </is>
      </c>
      <c r="M11" s="8" t="n"/>
      <c r="N11" s="8" t="n"/>
      <c r="O11" s="8" t="n"/>
      <c r="P11" s="8" t="n"/>
      <c r="Q11" s="8" t="n"/>
      <c r="R11" s="8" t="inlineStr">
        <is>
          <t>Active</t>
        </is>
      </c>
    </row>
    <row r="12">
      <c r="A12" s="7">
        <f>IF(B12&lt;&gt;"", "HS-"&amp;TEXT(ROW()-1,"000"), "")</f>
        <v/>
      </c>
      <c r="B12" s="8" t="n"/>
      <c r="C12" s="8" t="n"/>
      <c r="D12" s="8" t="n"/>
      <c r="E12" s="8" t="n"/>
      <c r="F12" s="8" t="n"/>
      <c r="G12" s="8" t="n"/>
      <c r="H12" s="8" t="inlineStr">
        <is>
          <t>Mandatory</t>
        </is>
      </c>
      <c r="I12" s="8" t="n"/>
      <c r="J12" s="8" t="n"/>
      <c r="K12" s="9" t="n">
        <v>0.95</v>
      </c>
      <c r="L12" s="8" t="inlineStr">
        <is>
          <t>Quarterly</t>
        </is>
      </c>
      <c r="M12" s="8" t="n"/>
      <c r="N12" s="8" t="n"/>
      <c r="O12" s="8" t="n"/>
      <c r="P12" s="8" t="n"/>
      <c r="Q12" s="8" t="n"/>
      <c r="R12" s="8" t="inlineStr">
        <is>
          <t>Active</t>
        </is>
      </c>
    </row>
    <row r="13">
      <c r="A13" s="7">
        <f>IF(B13&lt;&gt;"", "HS-"&amp;TEXT(ROW()-1,"000"), "")</f>
        <v/>
      </c>
      <c r="B13" s="8" t="n"/>
      <c r="C13" s="8" t="n"/>
      <c r="D13" s="8" t="n"/>
      <c r="E13" s="8" t="n"/>
      <c r="F13" s="8" t="n"/>
      <c r="G13" s="8" t="n"/>
      <c r="H13" s="8" t="inlineStr">
        <is>
          <t>Mandatory</t>
        </is>
      </c>
      <c r="I13" s="8" t="n"/>
      <c r="J13" s="8" t="n"/>
      <c r="K13" s="9" t="n">
        <v>0.95</v>
      </c>
      <c r="L13" s="8" t="inlineStr">
        <is>
          <t>Quarterly</t>
        </is>
      </c>
      <c r="M13" s="8" t="n"/>
      <c r="N13" s="8" t="n"/>
      <c r="O13" s="8" t="n"/>
      <c r="P13" s="8" t="n"/>
      <c r="Q13" s="8" t="n"/>
      <c r="R13" s="8" t="inlineStr">
        <is>
          <t>Active</t>
        </is>
      </c>
    </row>
    <row r="14">
      <c r="A14" s="7">
        <f>IF(B14&lt;&gt;"", "HS-"&amp;TEXT(ROW()-1,"000"), "")</f>
        <v/>
      </c>
      <c r="B14" s="8" t="n"/>
      <c r="C14" s="8" t="n"/>
      <c r="D14" s="8" t="n"/>
      <c r="E14" s="8" t="n"/>
      <c r="F14" s="8" t="n"/>
      <c r="G14" s="8" t="n"/>
      <c r="H14" s="8" t="inlineStr">
        <is>
          <t>Mandatory</t>
        </is>
      </c>
      <c r="I14" s="8" t="n"/>
      <c r="J14" s="8" t="n"/>
      <c r="K14" s="9" t="n">
        <v>0.95</v>
      </c>
      <c r="L14" s="8" t="inlineStr">
        <is>
          <t>Quarterly</t>
        </is>
      </c>
      <c r="M14" s="8" t="n"/>
      <c r="N14" s="8" t="n"/>
      <c r="O14" s="8" t="n"/>
      <c r="P14" s="8" t="n"/>
      <c r="Q14" s="8" t="n"/>
      <c r="R14" s="8" t="inlineStr">
        <is>
          <t>Active</t>
        </is>
      </c>
    </row>
    <row r="15">
      <c r="A15" s="7">
        <f>IF(B15&lt;&gt;"", "HS-"&amp;TEXT(ROW()-1,"000"), "")</f>
        <v/>
      </c>
      <c r="B15" s="8" t="n"/>
      <c r="C15" s="8" t="n"/>
      <c r="D15" s="8" t="n"/>
      <c r="E15" s="8" t="n"/>
      <c r="F15" s="8" t="n"/>
      <c r="G15" s="8" t="n"/>
      <c r="H15" s="8" t="inlineStr">
        <is>
          <t>Mandatory</t>
        </is>
      </c>
      <c r="I15" s="8" t="n"/>
      <c r="J15" s="8" t="n"/>
      <c r="K15" s="9" t="n">
        <v>0.95</v>
      </c>
      <c r="L15" s="8" t="inlineStr">
        <is>
          <t>Quarterly</t>
        </is>
      </c>
      <c r="M15" s="8" t="n"/>
      <c r="N15" s="8" t="n"/>
      <c r="O15" s="8" t="n"/>
      <c r="P15" s="8" t="n"/>
      <c r="Q15" s="8" t="n"/>
      <c r="R15" s="8" t="inlineStr">
        <is>
          <t>Active</t>
        </is>
      </c>
    </row>
    <row r="16">
      <c r="A16" s="7">
        <f>IF(B16&lt;&gt;"", "HS-"&amp;TEXT(ROW()-1,"000"), "")</f>
        <v/>
      </c>
      <c r="B16" s="8" t="n"/>
      <c r="C16" s="8" t="n"/>
      <c r="D16" s="8" t="n"/>
      <c r="E16" s="8" t="n"/>
      <c r="F16" s="8" t="n"/>
      <c r="G16" s="8" t="n"/>
      <c r="H16" s="8" t="inlineStr">
        <is>
          <t>Mandatory</t>
        </is>
      </c>
      <c r="I16" s="8" t="n"/>
      <c r="J16" s="8" t="n"/>
      <c r="K16" s="9" t="n">
        <v>0.95</v>
      </c>
      <c r="L16" s="8" t="inlineStr">
        <is>
          <t>Quarterly</t>
        </is>
      </c>
      <c r="M16" s="8" t="n"/>
      <c r="N16" s="8" t="n"/>
      <c r="O16" s="8" t="n"/>
      <c r="P16" s="8" t="n"/>
      <c r="Q16" s="8" t="n"/>
      <c r="R16" s="8" t="inlineStr">
        <is>
          <t>Active</t>
        </is>
      </c>
    </row>
    <row r="17">
      <c r="A17" s="7">
        <f>IF(B17&lt;&gt;"", "HS-"&amp;TEXT(ROW()-1,"000"), "")</f>
        <v/>
      </c>
      <c r="B17" s="8" t="n"/>
      <c r="C17" s="8" t="n"/>
      <c r="D17" s="8" t="n"/>
      <c r="E17" s="8" t="n"/>
      <c r="F17" s="8" t="n"/>
      <c r="G17" s="8" t="n"/>
      <c r="H17" s="8" t="inlineStr">
        <is>
          <t>Mandatory</t>
        </is>
      </c>
      <c r="I17" s="8" t="n"/>
      <c r="J17" s="8" t="n"/>
      <c r="K17" s="9" t="n">
        <v>0.95</v>
      </c>
      <c r="L17" s="8" t="inlineStr">
        <is>
          <t>Quarterly</t>
        </is>
      </c>
      <c r="M17" s="8" t="n"/>
      <c r="N17" s="8" t="n"/>
      <c r="O17" s="8" t="n"/>
      <c r="P17" s="8" t="n"/>
      <c r="Q17" s="8" t="n"/>
      <c r="R17" s="8" t="inlineStr">
        <is>
          <t>Active</t>
        </is>
      </c>
    </row>
    <row r="18">
      <c r="A18" s="7">
        <f>IF(B18&lt;&gt;"", "HS-"&amp;TEXT(ROW()-1,"000"), "")</f>
        <v/>
      </c>
      <c r="B18" s="8" t="n"/>
      <c r="C18" s="8" t="n"/>
      <c r="D18" s="8" t="n"/>
      <c r="E18" s="8" t="n"/>
      <c r="F18" s="8" t="n"/>
      <c r="G18" s="8" t="n"/>
      <c r="H18" s="8" t="inlineStr">
        <is>
          <t>Mandatory</t>
        </is>
      </c>
      <c r="I18" s="8" t="n"/>
      <c r="J18" s="8" t="n"/>
      <c r="K18" s="9" t="n">
        <v>0.95</v>
      </c>
      <c r="L18" s="8" t="inlineStr">
        <is>
          <t>Quarterly</t>
        </is>
      </c>
      <c r="M18" s="8" t="n"/>
      <c r="N18" s="8" t="n"/>
      <c r="O18" s="8" t="n"/>
      <c r="P18" s="8" t="n"/>
      <c r="Q18" s="8" t="n"/>
      <c r="R18" s="8" t="inlineStr">
        <is>
          <t>Active</t>
        </is>
      </c>
    </row>
    <row r="19">
      <c r="A19" s="7">
        <f>IF(B19&lt;&gt;"", "HS-"&amp;TEXT(ROW()-1,"000"), "")</f>
        <v/>
      </c>
      <c r="B19" s="8" t="n"/>
      <c r="C19" s="8" t="n"/>
      <c r="D19" s="8" t="n"/>
      <c r="E19" s="8" t="n"/>
      <c r="F19" s="8" t="n"/>
      <c r="G19" s="8" t="n"/>
      <c r="H19" s="8" t="inlineStr">
        <is>
          <t>Mandatory</t>
        </is>
      </c>
      <c r="I19" s="8" t="n"/>
      <c r="J19" s="8" t="n"/>
      <c r="K19" s="9" t="n">
        <v>0.95</v>
      </c>
      <c r="L19" s="8" t="inlineStr">
        <is>
          <t>Quarterly</t>
        </is>
      </c>
      <c r="M19" s="8" t="n"/>
      <c r="N19" s="8" t="n"/>
      <c r="O19" s="8" t="n"/>
      <c r="P19" s="8" t="n"/>
      <c r="Q19" s="8" t="n"/>
      <c r="R19" s="8" t="inlineStr">
        <is>
          <t>Active</t>
        </is>
      </c>
    </row>
    <row r="20">
      <c r="A20" s="7">
        <f>IF(B20&lt;&gt;"", "HS-"&amp;TEXT(ROW()-1,"000"), "")</f>
        <v/>
      </c>
      <c r="B20" s="8" t="n"/>
      <c r="C20" s="8" t="n"/>
      <c r="D20" s="8" t="n"/>
      <c r="E20" s="8" t="n"/>
      <c r="F20" s="8" t="n"/>
      <c r="G20" s="8" t="n"/>
      <c r="H20" s="8" t="inlineStr">
        <is>
          <t>Mandatory</t>
        </is>
      </c>
      <c r="I20" s="8" t="n"/>
      <c r="J20" s="8" t="n"/>
      <c r="K20" s="9" t="n">
        <v>0.95</v>
      </c>
      <c r="L20" s="8" t="inlineStr">
        <is>
          <t>Quarterly</t>
        </is>
      </c>
      <c r="M20" s="8" t="n"/>
      <c r="N20" s="8" t="n"/>
      <c r="O20" s="8" t="n"/>
      <c r="P20" s="8" t="n"/>
      <c r="Q20" s="8" t="n"/>
      <c r="R20" s="8" t="inlineStr">
        <is>
          <t>Active</t>
        </is>
      </c>
    </row>
    <row r="21">
      <c r="A21" s="7">
        <f>IF(B21&lt;&gt;"", "HS-"&amp;TEXT(ROW()-1,"000"), "")</f>
        <v/>
      </c>
      <c r="B21" s="8" t="n"/>
      <c r="C21" s="8" t="n"/>
      <c r="D21" s="8" t="n"/>
      <c r="E21" s="8" t="n"/>
      <c r="F21" s="8" t="n"/>
      <c r="G21" s="8" t="n"/>
      <c r="H21" s="8" t="inlineStr">
        <is>
          <t>Mandatory</t>
        </is>
      </c>
      <c r="I21" s="8" t="n"/>
      <c r="J21" s="8" t="n"/>
      <c r="K21" s="9" t="n">
        <v>0.95</v>
      </c>
      <c r="L21" s="8" t="inlineStr">
        <is>
          <t>Quarterly</t>
        </is>
      </c>
      <c r="M21" s="8" t="n"/>
      <c r="N21" s="8" t="n"/>
      <c r="O21" s="8" t="n"/>
      <c r="P21" s="8" t="n"/>
      <c r="Q21" s="8" t="n"/>
      <c r="R21" s="8" t="inlineStr">
        <is>
          <t>Active</t>
        </is>
      </c>
    </row>
    <row r="22">
      <c r="A22" s="7">
        <f>IF(B22&lt;&gt;"", "HS-"&amp;TEXT(ROW()-1,"000"), "")</f>
        <v/>
      </c>
      <c r="B22" s="8" t="n"/>
      <c r="C22" s="8" t="n"/>
      <c r="D22" s="8" t="n"/>
      <c r="E22" s="8" t="n"/>
      <c r="F22" s="8" t="n"/>
      <c r="G22" s="8" t="n"/>
      <c r="H22" s="8" t="inlineStr">
        <is>
          <t>Mandatory</t>
        </is>
      </c>
      <c r="I22" s="8" t="n"/>
      <c r="J22" s="8" t="n"/>
      <c r="K22" s="9" t="n">
        <v>0.95</v>
      </c>
      <c r="L22" s="8" t="inlineStr">
        <is>
          <t>Quarterly</t>
        </is>
      </c>
      <c r="M22" s="8" t="n"/>
      <c r="N22" s="8" t="n"/>
      <c r="O22" s="8" t="n"/>
      <c r="P22" s="8" t="n"/>
      <c r="Q22" s="8" t="n"/>
      <c r="R22" s="8" t="inlineStr">
        <is>
          <t>Active</t>
        </is>
      </c>
    </row>
    <row r="23">
      <c r="A23" s="7">
        <f>IF(B23&lt;&gt;"", "HS-"&amp;TEXT(ROW()-1,"000"), "")</f>
        <v/>
      </c>
      <c r="B23" s="8" t="n"/>
      <c r="C23" s="8" t="n"/>
      <c r="D23" s="8" t="n"/>
      <c r="E23" s="8" t="n"/>
      <c r="F23" s="8" t="n"/>
      <c r="G23" s="8" t="n"/>
      <c r="H23" s="8" t="inlineStr">
        <is>
          <t>Mandatory</t>
        </is>
      </c>
      <c r="I23" s="8" t="n"/>
      <c r="J23" s="8" t="n"/>
      <c r="K23" s="9" t="n">
        <v>0.95</v>
      </c>
      <c r="L23" s="8" t="inlineStr">
        <is>
          <t>Quarterly</t>
        </is>
      </c>
      <c r="M23" s="8" t="n"/>
      <c r="N23" s="8" t="n"/>
      <c r="O23" s="8" t="n"/>
      <c r="P23" s="8" t="n"/>
      <c r="Q23" s="8" t="n"/>
      <c r="R23" s="8" t="inlineStr">
        <is>
          <t>Active</t>
        </is>
      </c>
    </row>
    <row r="24">
      <c r="A24" s="7">
        <f>IF(B24&lt;&gt;"", "HS-"&amp;TEXT(ROW()-1,"000"), "")</f>
        <v/>
      </c>
      <c r="B24" s="8" t="n"/>
      <c r="C24" s="8" t="n"/>
      <c r="D24" s="8" t="n"/>
      <c r="E24" s="8" t="n"/>
      <c r="F24" s="8" t="n"/>
      <c r="G24" s="8" t="n"/>
      <c r="H24" s="8" t="inlineStr">
        <is>
          <t>Mandatory</t>
        </is>
      </c>
      <c r="I24" s="8" t="n"/>
      <c r="J24" s="8" t="n"/>
      <c r="K24" s="9" t="n">
        <v>0.95</v>
      </c>
      <c r="L24" s="8" t="inlineStr">
        <is>
          <t>Quarterly</t>
        </is>
      </c>
      <c r="M24" s="8" t="n"/>
      <c r="N24" s="8" t="n"/>
      <c r="O24" s="8" t="n"/>
      <c r="P24" s="8" t="n"/>
      <c r="Q24" s="8" t="n"/>
      <c r="R24" s="8" t="inlineStr">
        <is>
          <t>Active</t>
        </is>
      </c>
    </row>
    <row r="25">
      <c r="A25" s="7">
        <f>IF(B25&lt;&gt;"", "HS-"&amp;TEXT(ROW()-1,"000"), "")</f>
        <v/>
      </c>
      <c r="B25" s="8" t="n"/>
      <c r="C25" s="8" t="n"/>
      <c r="D25" s="8" t="n"/>
      <c r="E25" s="8" t="n"/>
      <c r="F25" s="8" t="n"/>
      <c r="G25" s="8" t="n"/>
      <c r="H25" s="8" t="inlineStr">
        <is>
          <t>Mandatory</t>
        </is>
      </c>
      <c r="I25" s="8" t="n"/>
      <c r="J25" s="8" t="n"/>
      <c r="K25" s="9" t="n">
        <v>0.95</v>
      </c>
      <c r="L25" s="8" t="inlineStr">
        <is>
          <t>Quarterly</t>
        </is>
      </c>
      <c r="M25" s="8" t="n"/>
      <c r="N25" s="8" t="n"/>
      <c r="O25" s="8" t="n"/>
      <c r="P25" s="8" t="n"/>
      <c r="Q25" s="8" t="n"/>
      <c r="R25" s="8" t="inlineStr">
        <is>
          <t>Active</t>
        </is>
      </c>
    </row>
    <row r="26">
      <c r="A26" s="7">
        <f>IF(B26&lt;&gt;"", "HS-"&amp;TEXT(ROW()-1,"000"), "")</f>
        <v/>
      </c>
      <c r="B26" s="8" t="n"/>
      <c r="C26" s="8" t="n"/>
      <c r="D26" s="8" t="n"/>
      <c r="E26" s="8" t="n"/>
      <c r="F26" s="8" t="n"/>
      <c r="G26" s="8" t="n"/>
      <c r="H26" s="8" t="inlineStr">
        <is>
          <t>Mandatory</t>
        </is>
      </c>
      <c r="I26" s="8" t="n"/>
      <c r="J26" s="8" t="n"/>
      <c r="K26" s="9" t="n">
        <v>0.95</v>
      </c>
      <c r="L26" s="8" t="inlineStr">
        <is>
          <t>Quarterly</t>
        </is>
      </c>
      <c r="M26" s="8" t="n"/>
      <c r="N26" s="8" t="n"/>
      <c r="O26" s="8" t="n"/>
      <c r="P26" s="8" t="n"/>
      <c r="Q26" s="8" t="n"/>
      <c r="R26" s="8" t="inlineStr">
        <is>
          <t>Active</t>
        </is>
      </c>
    </row>
    <row r="27">
      <c r="A27" s="7">
        <f>IF(B27&lt;&gt;"", "HS-"&amp;TEXT(ROW()-1,"000"), "")</f>
        <v/>
      </c>
      <c r="B27" s="8" t="n"/>
      <c r="C27" s="8" t="n"/>
      <c r="D27" s="8" t="n"/>
      <c r="E27" s="8" t="n"/>
      <c r="F27" s="8" t="n"/>
      <c r="G27" s="8" t="n"/>
      <c r="H27" s="8" t="inlineStr">
        <is>
          <t>Mandatory</t>
        </is>
      </c>
      <c r="I27" s="8" t="n"/>
      <c r="J27" s="8" t="n"/>
      <c r="K27" s="9" t="n">
        <v>0.95</v>
      </c>
      <c r="L27" s="8" t="inlineStr">
        <is>
          <t>Quarterly</t>
        </is>
      </c>
      <c r="M27" s="8" t="n"/>
      <c r="N27" s="8" t="n"/>
      <c r="O27" s="8" t="n"/>
      <c r="P27" s="8" t="n"/>
      <c r="Q27" s="8" t="n"/>
      <c r="R27" s="8" t="inlineStr">
        <is>
          <t>Active</t>
        </is>
      </c>
    </row>
    <row r="28">
      <c r="A28" s="7">
        <f>IF(B28&lt;&gt;"", "HS-"&amp;TEXT(ROW()-1,"000"), "")</f>
        <v/>
      </c>
      <c r="B28" s="8" t="n"/>
      <c r="C28" s="8" t="n"/>
      <c r="D28" s="8" t="n"/>
      <c r="E28" s="8" t="n"/>
      <c r="F28" s="8" t="n"/>
      <c r="G28" s="8" t="n"/>
      <c r="H28" s="8" t="inlineStr">
        <is>
          <t>Mandatory</t>
        </is>
      </c>
      <c r="I28" s="8" t="n"/>
      <c r="J28" s="8" t="n"/>
      <c r="K28" s="9" t="n">
        <v>0.95</v>
      </c>
      <c r="L28" s="8" t="inlineStr">
        <is>
          <t>Quarterly</t>
        </is>
      </c>
      <c r="M28" s="8" t="n"/>
      <c r="N28" s="8" t="n"/>
      <c r="O28" s="8" t="n"/>
      <c r="P28" s="8" t="n"/>
      <c r="Q28" s="8" t="n"/>
      <c r="R28" s="8" t="inlineStr">
        <is>
          <t>Active</t>
        </is>
      </c>
    </row>
    <row r="29">
      <c r="A29" s="7">
        <f>IF(B29&lt;&gt;"", "HS-"&amp;TEXT(ROW()-1,"000"), "")</f>
        <v/>
      </c>
      <c r="B29" s="8" t="n"/>
      <c r="C29" s="8" t="n"/>
      <c r="D29" s="8" t="n"/>
      <c r="E29" s="8" t="n"/>
      <c r="F29" s="8" t="n"/>
      <c r="G29" s="8" t="n"/>
      <c r="H29" s="8" t="inlineStr">
        <is>
          <t>Mandatory</t>
        </is>
      </c>
      <c r="I29" s="8" t="n"/>
      <c r="J29" s="8" t="n"/>
      <c r="K29" s="9" t="n">
        <v>0.95</v>
      </c>
      <c r="L29" s="8" t="inlineStr">
        <is>
          <t>Quarterly</t>
        </is>
      </c>
      <c r="M29" s="8" t="n"/>
      <c r="N29" s="8" t="n"/>
      <c r="O29" s="8" t="n"/>
      <c r="P29" s="8" t="n"/>
      <c r="Q29" s="8" t="n"/>
      <c r="R29" s="8" t="inlineStr">
        <is>
          <t>Active</t>
        </is>
      </c>
    </row>
    <row r="30">
      <c r="A30" s="7">
        <f>IF(B30&lt;&gt;"", "HS-"&amp;TEXT(ROW()-1,"000"), "")</f>
        <v/>
      </c>
      <c r="B30" s="8" t="n"/>
      <c r="C30" s="8" t="n"/>
      <c r="D30" s="8" t="n"/>
      <c r="E30" s="8" t="n"/>
      <c r="F30" s="8" t="n"/>
      <c r="G30" s="8" t="n"/>
      <c r="H30" s="8" t="inlineStr">
        <is>
          <t>Mandatory</t>
        </is>
      </c>
      <c r="I30" s="8" t="n"/>
      <c r="J30" s="8" t="n"/>
      <c r="K30" s="9" t="n">
        <v>0.95</v>
      </c>
      <c r="L30" s="8" t="inlineStr">
        <is>
          <t>Quarterly</t>
        </is>
      </c>
      <c r="M30" s="8" t="n"/>
      <c r="N30" s="8" t="n"/>
      <c r="O30" s="8" t="n"/>
      <c r="P30" s="8" t="n"/>
      <c r="Q30" s="8" t="n"/>
      <c r="R30" s="8" t="inlineStr">
        <is>
          <t>Active</t>
        </is>
      </c>
    </row>
    <row r="31">
      <c r="A31" s="7">
        <f>IF(B31&lt;&gt;"", "HS-"&amp;TEXT(ROW()-1,"000"), "")</f>
        <v/>
      </c>
      <c r="B31" s="8" t="n"/>
      <c r="C31" s="8" t="n"/>
      <c r="D31" s="8" t="n"/>
      <c r="E31" s="8" t="n"/>
      <c r="F31" s="8" t="n"/>
      <c r="G31" s="8" t="n"/>
      <c r="H31" s="8" t="inlineStr">
        <is>
          <t>Mandatory</t>
        </is>
      </c>
      <c r="I31" s="8" t="n"/>
      <c r="J31" s="8" t="n"/>
      <c r="K31" s="9" t="n">
        <v>0.95</v>
      </c>
      <c r="L31" s="8" t="inlineStr">
        <is>
          <t>Quarterly</t>
        </is>
      </c>
      <c r="M31" s="8" t="n"/>
      <c r="N31" s="8" t="n"/>
      <c r="O31" s="8" t="n"/>
      <c r="P31" s="8" t="n"/>
      <c r="Q31" s="8" t="n"/>
      <c r="R31" s="8" t="inlineStr">
        <is>
          <t>Active</t>
        </is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N2:N31">
    <cfRule type="cellIs" priority="1" operator="lessThan" dxfId="0">
      <formula>TODAY()</formula>
    </cfRule>
    <cfRule type="cellIs" priority="2" operator="between" dxfId="1">
      <formula>TODAY()</formula>
      <formula>TODAY()+30</formula>
    </cfRule>
  </conditionalFormatting>
  <conditionalFormatting sqref="A2:R31">
    <cfRule type="expression" priority="3" dxfId="2">
      <formula>$R2="Deprecated"</formula>
    </cfRule>
  </conditionalFormatting>
  <conditionalFormatting sqref="K2:K31">
    <cfRule type="expression" priority="4" dxfId="3">
      <formula>AND($H2="Mandatory", $K2&lt;0.95)</formula>
    </cfRule>
  </conditionalFormatting>
  <dataValidations count="5">
    <dataValidation sqref="C2:C31" showDropDown="0" showInputMessage="0" showErrorMessage="1" allowBlank="1" errorTitle="Invalid Entry" error="Please select from the dropdown list." type="list">
      <formula1>"Industry Benchmark,Government Standard,Regulatory Requirement,Vendor Baseline,Framework Control,Custom Organizational Standard"</formula1>
    </dataValidation>
    <dataValidation sqref="G2:G31" showDropDown="0" showInputMessage="0" showErrorMessage="1" allowBlank="1" errorTitle="Invalid Entry" error="Please select from the dropdown list." type="list">
      <formula1>"Level 1,Level 2,Custom"</formula1>
    </dataValidation>
    <dataValidation sqref="H2:H31" showDropDown="0" showInputMessage="0" showErrorMessage="1" allowBlank="1" errorTitle="Invalid Entry" error="Please select from the dropdown list." type="list">
      <formula1>"Mandatory,Optional"</formula1>
    </dataValidation>
    <dataValidation sqref="L2:L31" showDropDown="0" showInputMessage="0" showErrorMessage="1" allowBlank="1" errorTitle="Invalid Entry" error="Please select from the dropdown list." type="list">
      <formula1>"Monthly,Quarterly,Semi-Annual,Annual"</formula1>
    </dataValidation>
    <dataValidation sqref="R2:R31" showDropDown="0" showInputMessage="0" showErrorMessage="1" allowBlank="1" errorTitle="Invalid Entry" error="Please select from the dropdown list." type="list">
      <formula1>"✅ Active,⏸️ Deprecated,📝 Planned"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22" customWidth="1" min="32" max="32"/>
    <col width="22" customWidth="1" min="33" max="33"/>
    <col width="22" customWidth="1" min="34" max="34"/>
    <col width="22" customWidth="1" min="35" max="35"/>
  </cols>
  <sheetData>
    <row r="1">
      <c r="A1" s="6" t="inlineStr">
        <is>
          <t>Asset Type</t>
        </is>
      </c>
      <c r="B1" s="6">
        <f>IF(Hardening_Standard_Register!A2&lt;&gt;"", Hardening_Standard_Register!A2&amp;": "&amp;LEFT(Hardening_Standard_Register!B2,20), "")</f>
        <v/>
      </c>
      <c r="C1" s="6">
        <f>IF(Hardening_Standard_Register!A3&lt;&gt;"", Hardening_Standard_Register!A3&amp;": "&amp;LEFT(Hardening_Standard_Register!B3,20), "")</f>
        <v/>
      </c>
      <c r="D1" s="6">
        <f>IF(Hardening_Standard_Register!A4&lt;&gt;"", Hardening_Standard_Register!A4&amp;": "&amp;LEFT(Hardening_Standard_Register!B4,20), "")</f>
        <v/>
      </c>
      <c r="E1" s="6">
        <f>IF(Hardening_Standard_Register!A5&lt;&gt;"", Hardening_Standard_Register!A5&amp;": "&amp;LEFT(Hardening_Standard_Register!B5,20), "")</f>
        <v/>
      </c>
      <c r="F1" s="6">
        <f>IF(Hardening_Standard_Register!A6&lt;&gt;"", Hardening_Standard_Register!A6&amp;": "&amp;LEFT(Hardening_Standard_Register!B6,20), "")</f>
        <v/>
      </c>
      <c r="G1" s="6">
        <f>IF(Hardening_Standard_Register!A7&lt;&gt;"", Hardening_Standard_Register!A7&amp;": "&amp;LEFT(Hardening_Standard_Register!B7,20), "")</f>
        <v/>
      </c>
      <c r="H1" s="6">
        <f>IF(Hardening_Standard_Register!A8&lt;&gt;"", Hardening_Standard_Register!A8&amp;": "&amp;LEFT(Hardening_Standard_Register!B8,20), "")</f>
        <v/>
      </c>
      <c r="I1" s="6">
        <f>IF(Hardening_Standard_Register!A9&lt;&gt;"", Hardening_Standard_Register!A9&amp;": "&amp;LEFT(Hardening_Standard_Register!B9,20), "")</f>
        <v/>
      </c>
      <c r="J1" s="6">
        <f>IF(Hardening_Standard_Register!A10&lt;&gt;"", Hardening_Standard_Register!A10&amp;": "&amp;LEFT(Hardening_Standard_Register!B10,20), "")</f>
        <v/>
      </c>
      <c r="K1" s="6">
        <f>IF(Hardening_Standard_Register!A11&lt;&gt;"", Hardening_Standard_Register!A11&amp;": "&amp;LEFT(Hardening_Standard_Register!B11,20), "")</f>
        <v/>
      </c>
      <c r="L1" s="6">
        <f>IF(Hardening_Standard_Register!A12&lt;&gt;"", Hardening_Standard_Register!A12&amp;": "&amp;LEFT(Hardening_Standard_Register!B12,20), "")</f>
        <v/>
      </c>
      <c r="M1" s="6">
        <f>IF(Hardening_Standard_Register!A13&lt;&gt;"", Hardening_Standard_Register!A13&amp;": "&amp;LEFT(Hardening_Standard_Register!B13,20), "")</f>
        <v/>
      </c>
      <c r="N1" s="6">
        <f>IF(Hardening_Standard_Register!A14&lt;&gt;"", Hardening_Standard_Register!A14&amp;": "&amp;LEFT(Hardening_Standard_Register!B14,20), "")</f>
        <v/>
      </c>
      <c r="O1" s="6">
        <f>IF(Hardening_Standard_Register!A15&lt;&gt;"", Hardening_Standard_Register!A15&amp;": "&amp;LEFT(Hardening_Standard_Register!B15,20), "")</f>
        <v/>
      </c>
      <c r="P1" s="6">
        <f>IF(Hardening_Standard_Register!A16&lt;&gt;"", Hardening_Standard_Register!A16&amp;": "&amp;LEFT(Hardening_Standard_Register!B16,20), "")</f>
        <v/>
      </c>
      <c r="Q1" s="6">
        <f>IF(Hardening_Standard_Register!A17&lt;&gt;"", Hardening_Standard_Register!A17&amp;": "&amp;LEFT(Hardening_Standard_Register!B17,20), "")</f>
        <v/>
      </c>
      <c r="R1" s="6">
        <f>IF(Hardening_Standard_Register!A18&lt;&gt;"", Hardening_Standard_Register!A18&amp;": "&amp;LEFT(Hardening_Standard_Register!B18,20), "")</f>
        <v/>
      </c>
      <c r="S1" s="6">
        <f>IF(Hardening_Standard_Register!A19&lt;&gt;"", Hardening_Standard_Register!A19&amp;": "&amp;LEFT(Hardening_Standard_Register!B19,20), "")</f>
        <v/>
      </c>
      <c r="T1" s="6">
        <f>IF(Hardening_Standard_Register!A20&lt;&gt;"", Hardening_Standard_Register!A20&amp;": "&amp;LEFT(Hardening_Standard_Register!B20,20), "")</f>
        <v/>
      </c>
      <c r="U1" s="6">
        <f>IF(Hardening_Standard_Register!A21&lt;&gt;"", Hardening_Standard_Register!A21&amp;": "&amp;LEFT(Hardening_Standard_Register!B21,20), "")</f>
        <v/>
      </c>
      <c r="V1" s="6">
        <f>IF(Hardening_Standard_Register!A22&lt;&gt;"", Hardening_Standard_Register!A22&amp;": "&amp;LEFT(Hardening_Standard_Register!B22,20), "")</f>
        <v/>
      </c>
      <c r="W1" s="6">
        <f>IF(Hardening_Standard_Register!A23&lt;&gt;"", Hardening_Standard_Register!A23&amp;": "&amp;LEFT(Hardening_Standard_Register!B23,20), "")</f>
        <v/>
      </c>
      <c r="X1" s="6">
        <f>IF(Hardening_Standard_Register!A24&lt;&gt;"", Hardening_Standard_Register!A24&amp;": "&amp;LEFT(Hardening_Standard_Register!B24,20), "")</f>
        <v/>
      </c>
      <c r="Y1" s="6">
        <f>IF(Hardening_Standard_Register!A25&lt;&gt;"", Hardening_Standard_Register!A25&amp;": "&amp;LEFT(Hardening_Standard_Register!B25,20), "")</f>
        <v/>
      </c>
      <c r="Z1" s="6">
        <f>IF(Hardening_Standard_Register!A26&lt;&gt;"", Hardening_Standard_Register!A26&amp;": "&amp;LEFT(Hardening_Standard_Register!B26,20), "")</f>
        <v/>
      </c>
      <c r="AA1" s="6">
        <f>IF(Hardening_Standard_Register!A27&lt;&gt;"", Hardening_Standard_Register!A27&amp;": "&amp;LEFT(Hardening_Standard_Register!B27,20), "")</f>
        <v/>
      </c>
      <c r="AB1" s="6">
        <f>IF(Hardening_Standard_Register!A28&lt;&gt;"", Hardening_Standard_Register!A28&amp;": "&amp;LEFT(Hardening_Standard_Register!B28,20), "")</f>
        <v/>
      </c>
      <c r="AC1" s="6">
        <f>IF(Hardening_Standard_Register!A29&lt;&gt;"", Hardening_Standard_Register!A29&amp;": "&amp;LEFT(Hardening_Standard_Register!B29,20), "")</f>
        <v/>
      </c>
      <c r="AD1" s="6">
        <f>IF(Hardening_Standard_Register!A30&lt;&gt;"", Hardening_Standard_Register!A30&amp;": "&amp;LEFT(Hardening_Standard_Register!B30,20), "")</f>
        <v/>
      </c>
      <c r="AE1" s="6">
        <f>IF(Hardening_Standard_Register!A31&lt;&gt;"", Hardening_Standard_Register!A31&amp;": "&amp;LEFT(Hardening_Standard_Register!B31,20), "")</f>
        <v/>
      </c>
      <c r="AF1" s="10" t="inlineStr">
        <is>
          <t>Required_Standards_Count</t>
        </is>
      </c>
      <c r="AG1" s="10" t="inlineStr">
        <is>
          <t>Recommended_Standards_Count</t>
        </is>
      </c>
      <c r="AH1" s="10" t="inlineStr">
        <is>
          <t>Total_Applicable_Standards</t>
        </is>
      </c>
      <c r="AI1" s="10" t="inlineStr">
        <is>
          <t>High_Hardening_Burden</t>
        </is>
      </c>
    </row>
    <row r="2">
      <c r="A2" s="11" t="inlineStr">
        <is>
          <t>--- INFRASTRUCTURE ---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</row>
    <row r="3">
      <c r="A3" s="12" t="inlineStr">
        <is>
          <t>Physical Server</t>
        </is>
      </c>
      <c r="B3" s="13" t="inlineStr"/>
      <c r="C3" s="13" t="inlineStr"/>
      <c r="D3" s="13" t="inlineStr"/>
      <c r="E3" s="13" t="inlineStr"/>
      <c r="F3" s="13" t="inlineStr"/>
      <c r="G3" s="13" t="inlineStr"/>
      <c r="H3" s="13" t="inlineStr"/>
      <c r="I3" s="13" t="inlineStr"/>
      <c r="J3" s="13" t="inlineStr"/>
      <c r="K3" s="13" t="inlineStr"/>
      <c r="L3" s="13" t="inlineStr"/>
      <c r="M3" s="13" t="inlineStr"/>
      <c r="N3" s="13" t="inlineStr"/>
      <c r="O3" s="13" t="inlineStr"/>
      <c r="P3" s="13" t="inlineStr"/>
      <c r="Q3" s="13" t="inlineStr"/>
      <c r="R3" s="13" t="inlineStr"/>
      <c r="S3" s="13" t="inlineStr"/>
      <c r="T3" s="13" t="inlineStr"/>
      <c r="U3" s="13" t="inlineStr"/>
      <c r="V3" s="13" t="inlineStr"/>
      <c r="W3" s="13" t="inlineStr"/>
      <c r="X3" s="13" t="inlineStr"/>
      <c r="Y3" s="13" t="inlineStr"/>
      <c r="Z3" s="13" t="inlineStr"/>
      <c r="AA3" s="13" t="inlineStr"/>
      <c r="AB3" s="13" t="inlineStr"/>
      <c r="AC3" s="13" t="inlineStr"/>
      <c r="AD3" s="13" t="inlineStr"/>
      <c r="AE3" s="13" t="inlineStr"/>
      <c r="AF3" s="14">
        <f>COUNTIF(B3:AE3,"Required")</f>
        <v/>
      </c>
      <c r="AG3" s="14">
        <f>COUNTIF(B3:AE3,"Recommended")</f>
        <v/>
      </c>
      <c r="AH3" s="14">
        <f>AF3+AG3</f>
        <v/>
      </c>
      <c r="AI3" s="14">
        <f>IF(AF3&gt;5,"Yes","")</f>
        <v/>
      </c>
    </row>
    <row r="4">
      <c r="A4" s="12" t="inlineStr">
        <is>
          <t>Virtual Server (VM)</t>
        </is>
      </c>
      <c r="B4" s="13" t="inlineStr"/>
      <c r="C4" s="13" t="inlineStr"/>
      <c r="D4" s="13" t="inlineStr"/>
      <c r="E4" s="13" t="inlineStr"/>
      <c r="F4" s="13" t="inlineStr"/>
      <c r="G4" s="13" t="inlineStr"/>
      <c r="H4" s="13" t="inlineStr"/>
      <c r="I4" s="13" t="inlineStr"/>
      <c r="J4" s="13" t="inlineStr"/>
      <c r="K4" s="13" t="inlineStr"/>
      <c r="L4" s="13" t="inlineStr"/>
      <c r="M4" s="13" t="inlineStr"/>
      <c r="N4" s="13" t="inlineStr"/>
      <c r="O4" s="13" t="inlineStr"/>
      <c r="P4" s="13" t="inlineStr"/>
      <c r="Q4" s="13" t="inlineStr"/>
      <c r="R4" s="13" t="inlineStr"/>
      <c r="S4" s="13" t="inlineStr"/>
      <c r="T4" s="13" t="inlineStr"/>
      <c r="U4" s="13" t="inlineStr"/>
      <c r="V4" s="13" t="inlineStr"/>
      <c r="W4" s="13" t="inlineStr"/>
      <c r="X4" s="13" t="inlineStr"/>
      <c r="Y4" s="13" t="inlineStr"/>
      <c r="Z4" s="13" t="inlineStr"/>
      <c r="AA4" s="13" t="inlineStr"/>
      <c r="AB4" s="13" t="inlineStr"/>
      <c r="AC4" s="13" t="inlineStr"/>
      <c r="AD4" s="13" t="inlineStr"/>
      <c r="AE4" s="13" t="inlineStr"/>
      <c r="AF4" s="14">
        <f>COUNTIF(B4:AE4,"Required")</f>
        <v/>
      </c>
      <c r="AG4" s="14">
        <f>COUNTIF(B4:AE4,"Recommended")</f>
        <v/>
      </c>
      <c r="AH4" s="14">
        <f>AF4+AG4</f>
        <v/>
      </c>
      <c r="AI4" s="14">
        <f>IF(AF4&gt;5,"Yes","")</f>
        <v/>
      </c>
    </row>
    <row r="5">
      <c r="A5" s="12" t="inlineStr">
        <is>
          <t>Hypervisor/VM Host</t>
        </is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  <c r="AA5" s="13" t="inlineStr"/>
      <c r="AB5" s="13" t="inlineStr"/>
      <c r="AC5" s="13" t="inlineStr"/>
      <c r="AD5" s="13" t="inlineStr"/>
      <c r="AE5" s="13" t="inlineStr"/>
      <c r="AF5" s="14">
        <f>COUNTIF(B5:AE5,"Required")</f>
        <v/>
      </c>
      <c r="AG5" s="14">
        <f>COUNTIF(B5:AE5,"Recommended")</f>
        <v/>
      </c>
      <c r="AH5" s="14">
        <f>AF5+AG5</f>
        <v/>
      </c>
      <c r="AI5" s="14">
        <f>IF(AF5&gt;5,"Yes","")</f>
        <v/>
      </c>
    </row>
    <row r="6">
      <c r="A6" s="12" t="inlineStr">
        <is>
          <t>Container Host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  <c r="AA6" s="13" t="inlineStr"/>
      <c r="AB6" s="13" t="inlineStr"/>
      <c r="AC6" s="13" t="inlineStr"/>
      <c r="AD6" s="13" t="inlineStr"/>
      <c r="AE6" s="13" t="inlineStr"/>
      <c r="AF6" s="14">
        <f>COUNTIF(B6:AE6,"Required")</f>
        <v/>
      </c>
      <c r="AG6" s="14">
        <f>COUNTIF(B6:AE6,"Recommended")</f>
        <v/>
      </c>
      <c r="AH6" s="14">
        <f>AF6+AG6</f>
        <v/>
      </c>
      <c r="AI6" s="14">
        <f>IF(AF6&gt;5,"Yes","")</f>
        <v/>
      </c>
    </row>
    <row r="7">
      <c r="A7" s="12" t="inlineStr">
        <is>
          <t>Storage Array</t>
        </is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  <c r="AA7" s="13" t="inlineStr"/>
      <c r="AB7" s="13" t="inlineStr"/>
      <c r="AC7" s="13" t="inlineStr"/>
      <c r="AD7" s="13" t="inlineStr"/>
      <c r="AE7" s="13" t="inlineStr"/>
      <c r="AF7" s="14">
        <f>COUNTIF(B7:AE7,"Required")</f>
        <v/>
      </c>
      <c r="AG7" s="14">
        <f>COUNTIF(B7:AE7,"Recommended")</f>
        <v/>
      </c>
      <c r="AH7" s="14">
        <f>AF7+AG7</f>
        <v/>
      </c>
      <c r="AI7" s="14">
        <f>IF(AF7&gt;5,"Yes","")</f>
        <v/>
      </c>
    </row>
    <row r="8">
      <c r="A8" s="12" t="inlineStr">
        <is>
          <t>Backup Appliance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  <c r="AA8" s="13" t="inlineStr"/>
      <c r="AB8" s="13" t="inlineStr"/>
      <c r="AC8" s="13" t="inlineStr"/>
      <c r="AD8" s="13" t="inlineStr"/>
      <c r="AE8" s="13" t="inlineStr"/>
      <c r="AF8" s="14">
        <f>COUNTIF(B8:AE8,"Required")</f>
        <v/>
      </c>
      <c r="AG8" s="14">
        <f>COUNTIF(B8:AE8,"Recommended")</f>
        <v/>
      </c>
      <c r="AH8" s="14">
        <f>AF8+AG8</f>
        <v/>
      </c>
      <c r="AI8" s="14">
        <f>IF(AF8&gt;5,"Yes","")</f>
        <v/>
      </c>
    </row>
    <row r="9">
      <c r="A9" s="12" t="inlineStr">
        <is>
          <t>Database Server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  <c r="AA9" s="13" t="inlineStr"/>
      <c r="AB9" s="13" t="inlineStr"/>
      <c r="AC9" s="13" t="inlineStr"/>
      <c r="AD9" s="13" t="inlineStr"/>
      <c r="AE9" s="13" t="inlineStr"/>
      <c r="AF9" s="14">
        <f>COUNTIF(B9:AE9,"Required")</f>
        <v/>
      </c>
      <c r="AG9" s="14">
        <f>COUNTIF(B9:AE9,"Recommended")</f>
        <v/>
      </c>
      <c r="AH9" s="14">
        <f>AF9+AG9</f>
        <v/>
      </c>
      <c r="AI9" s="14">
        <f>IF(AF9&gt;5,"Yes","")</f>
        <v/>
      </c>
    </row>
    <row r="10">
      <c r="A10" s="12" t="inlineStr">
        <is>
          <t>Application Server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  <c r="AA10" s="13" t="inlineStr"/>
      <c r="AB10" s="13" t="inlineStr"/>
      <c r="AC10" s="13" t="inlineStr"/>
      <c r="AD10" s="13" t="inlineStr"/>
      <c r="AE10" s="13" t="inlineStr"/>
      <c r="AF10" s="14">
        <f>COUNTIF(B10:AE10,"Required")</f>
        <v/>
      </c>
      <c r="AG10" s="14">
        <f>COUNTIF(B10:AE10,"Recommended")</f>
        <v/>
      </c>
      <c r="AH10" s="14">
        <f>AF10+AG10</f>
        <v/>
      </c>
      <c r="AI10" s="14">
        <f>IF(AF10&gt;5,"Yes","")</f>
        <v/>
      </c>
    </row>
    <row r="11">
      <c r="A11" s="12" t="inlineStr">
        <is>
          <t>Legacy System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  <c r="AA11" s="13" t="inlineStr"/>
      <c r="AB11" s="13" t="inlineStr"/>
      <c r="AC11" s="13" t="inlineStr"/>
      <c r="AD11" s="13" t="inlineStr"/>
      <c r="AE11" s="13" t="inlineStr"/>
      <c r="AF11" s="14">
        <f>COUNTIF(B11:AE11,"Required")</f>
        <v/>
      </c>
      <c r="AG11" s="14">
        <f>COUNTIF(B11:AE11,"Recommended")</f>
        <v/>
      </c>
      <c r="AH11" s="14">
        <f>AF11+AG11</f>
        <v/>
      </c>
      <c r="AI11" s="14">
        <f>IF(AF11&gt;5,"Yes","")</f>
        <v/>
      </c>
    </row>
    <row r="12">
      <c r="A12" s="11" t="inlineStr">
        <is>
          <t>--- ENDPOINT ---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</row>
    <row r="13">
      <c r="A13" s="12" t="inlineStr">
        <is>
          <t>Corporate Workstation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  <c r="AA13" s="13" t="inlineStr"/>
      <c r="AB13" s="13" t="inlineStr"/>
      <c r="AC13" s="13" t="inlineStr"/>
      <c r="AD13" s="13" t="inlineStr"/>
      <c r="AE13" s="13" t="inlineStr"/>
      <c r="AF13" s="14">
        <f>COUNTIF(B13:AE13,"Required")</f>
        <v/>
      </c>
      <c r="AG13" s="14">
        <f>COUNTIF(B13:AE13,"Recommended")</f>
        <v/>
      </c>
      <c r="AH13" s="14">
        <f>AF13+AG13</f>
        <v/>
      </c>
      <c r="AI13" s="14">
        <f>IF(AF13&gt;5,"Yes","")</f>
        <v/>
      </c>
    </row>
    <row r="14">
      <c r="A14" s="12" t="inlineStr">
        <is>
          <t>Corporate Laptop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  <c r="AA14" s="13" t="inlineStr"/>
      <c r="AB14" s="13" t="inlineStr"/>
      <c r="AC14" s="13" t="inlineStr"/>
      <c r="AD14" s="13" t="inlineStr"/>
      <c r="AE14" s="13" t="inlineStr"/>
      <c r="AF14" s="14">
        <f>COUNTIF(B14:AE14,"Required")</f>
        <v/>
      </c>
      <c r="AG14" s="14">
        <f>COUNTIF(B14:AE14,"Recommended")</f>
        <v/>
      </c>
      <c r="AH14" s="14">
        <f>AF14+AG14</f>
        <v/>
      </c>
      <c r="AI14" s="14">
        <f>IF(AF14&gt;5,"Yes","")</f>
        <v/>
      </c>
    </row>
    <row r="15">
      <c r="A15" s="12" t="inlineStr">
        <is>
          <t>Executive Device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3" t="inlineStr"/>
      <c r="AA15" s="13" t="inlineStr"/>
      <c r="AB15" s="13" t="inlineStr"/>
      <c r="AC15" s="13" t="inlineStr"/>
      <c r="AD15" s="13" t="inlineStr"/>
      <c r="AE15" s="13" t="inlineStr"/>
      <c r="AF15" s="14">
        <f>COUNTIF(B15:AE15,"Required")</f>
        <v/>
      </c>
      <c r="AG15" s="14">
        <f>COUNTIF(B15:AE15,"Recommended")</f>
        <v/>
      </c>
      <c r="AH15" s="14">
        <f>AF15+AG15</f>
        <v/>
      </c>
      <c r="AI15" s="14">
        <f>IF(AF15&gt;5,"Yes","")</f>
        <v/>
      </c>
    </row>
    <row r="16">
      <c r="A16" s="12" t="inlineStr">
        <is>
          <t>Mobile Device (Corporate)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  <c r="AA16" s="13" t="inlineStr"/>
      <c r="AB16" s="13" t="inlineStr"/>
      <c r="AC16" s="13" t="inlineStr"/>
      <c r="AD16" s="13" t="inlineStr"/>
      <c r="AE16" s="13" t="inlineStr"/>
      <c r="AF16" s="14">
        <f>COUNTIF(B16:AE16,"Required")</f>
        <v/>
      </c>
      <c r="AG16" s="14">
        <f>COUNTIF(B16:AE16,"Recommended")</f>
        <v/>
      </c>
      <c r="AH16" s="14">
        <f>AF16+AG16</f>
        <v/>
      </c>
      <c r="AI16" s="14">
        <f>IF(AF16&gt;5,"Yes","")</f>
        <v/>
      </c>
    </row>
    <row r="17">
      <c r="A17" s="12" t="inlineStr">
        <is>
          <t>Mobile Device (BYOD)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3" t="inlineStr"/>
      <c r="AA17" s="13" t="inlineStr"/>
      <c r="AB17" s="13" t="inlineStr"/>
      <c r="AC17" s="13" t="inlineStr"/>
      <c r="AD17" s="13" t="inlineStr"/>
      <c r="AE17" s="13" t="inlineStr"/>
      <c r="AF17" s="14">
        <f>COUNTIF(B17:AE17,"Required")</f>
        <v/>
      </c>
      <c r="AG17" s="14">
        <f>COUNTIF(B17:AE17,"Recommended")</f>
        <v/>
      </c>
      <c r="AH17" s="14">
        <f>AF17+AG17</f>
        <v/>
      </c>
      <c r="AI17" s="14">
        <f>IF(AF17&gt;5,"Yes","")</f>
        <v/>
      </c>
    </row>
    <row r="18">
      <c r="A18" s="12" t="inlineStr">
        <is>
          <t>Thin Client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  <c r="AA18" s="13" t="inlineStr"/>
      <c r="AB18" s="13" t="inlineStr"/>
      <c r="AC18" s="13" t="inlineStr"/>
      <c r="AD18" s="13" t="inlineStr"/>
      <c r="AE18" s="13" t="inlineStr"/>
      <c r="AF18" s="14">
        <f>COUNTIF(B18:AE18,"Required")</f>
        <v/>
      </c>
      <c r="AG18" s="14">
        <f>COUNTIF(B18:AE18,"Recommended")</f>
        <v/>
      </c>
      <c r="AH18" s="14">
        <f>AF18+AG18</f>
        <v/>
      </c>
      <c r="AI18" s="14">
        <f>IF(AF18&gt;5,"Yes","")</f>
        <v/>
      </c>
    </row>
    <row r="19">
      <c r="A19" s="12" t="inlineStr">
        <is>
          <t>Kiosk/Shared Terminal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3" t="inlineStr"/>
      <c r="AA19" s="13" t="inlineStr"/>
      <c r="AB19" s="13" t="inlineStr"/>
      <c r="AC19" s="13" t="inlineStr"/>
      <c r="AD19" s="13" t="inlineStr"/>
      <c r="AE19" s="13" t="inlineStr"/>
      <c r="AF19" s="14">
        <f>COUNTIF(B19:AE19,"Required")</f>
        <v/>
      </c>
      <c r="AG19" s="14">
        <f>COUNTIF(B19:AE19,"Recommended")</f>
        <v/>
      </c>
      <c r="AH19" s="14">
        <f>AF19+AG19</f>
        <v/>
      </c>
      <c r="AI19" s="14">
        <f>IF(AF19&gt;5,"Yes","")</f>
        <v/>
      </c>
    </row>
    <row r="20">
      <c r="A20" s="11" t="inlineStr">
        <is>
          <t>--- NETWORK SERVICES ---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</row>
    <row r="21">
      <c r="A21" s="12" t="inlineStr">
        <is>
          <t>Core Router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  <c r="AA21" s="13" t="inlineStr"/>
      <c r="AB21" s="13" t="inlineStr"/>
      <c r="AC21" s="13" t="inlineStr"/>
      <c r="AD21" s="13" t="inlineStr"/>
      <c r="AE21" s="13" t="inlineStr"/>
      <c r="AF21" s="14">
        <f>COUNTIF(B21:AE21,"Required")</f>
        <v/>
      </c>
      <c r="AG21" s="14">
        <f>COUNTIF(B21:AE21,"Recommended")</f>
        <v/>
      </c>
      <c r="AH21" s="14">
        <f>AF21+AG21</f>
        <v/>
      </c>
      <c r="AI21" s="14">
        <f>IF(AF21&gt;5,"Yes","")</f>
        <v/>
      </c>
    </row>
    <row r="22">
      <c r="A22" s="12" t="inlineStr">
        <is>
          <t>Edge Router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  <c r="AA22" s="13" t="inlineStr"/>
      <c r="AB22" s="13" t="inlineStr"/>
      <c r="AC22" s="13" t="inlineStr"/>
      <c r="AD22" s="13" t="inlineStr"/>
      <c r="AE22" s="13" t="inlineStr"/>
      <c r="AF22" s="14">
        <f>COUNTIF(B22:AE22,"Required")</f>
        <v/>
      </c>
      <c r="AG22" s="14">
        <f>COUNTIF(B22:AE22,"Recommended")</f>
        <v/>
      </c>
      <c r="AH22" s="14">
        <f>AF22+AG22</f>
        <v/>
      </c>
      <c r="AI22" s="14">
        <f>IF(AF22&gt;5,"Yes","")</f>
        <v/>
      </c>
    </row>
    <row r="23">
      <c r="A23" s="12" t="inlineStr">
        <is>
          <t>L2/L3 Switch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  <c r="AA23" s="13" t="inlineStr"/>
      <c r="AB23" s="13" t="inlineStr"/>
      <c r="AC23" s="13" t="inlineStr"/>
      <c r="AD23" s="13" t="inlineStr"/>
      <c r="AE23" s="13" t="inlineStr"/>
      <c r="AF23" s="14">
        <f>COUNTIF(B23:AE23,"Required")</f>
        <v/>
      </c>
      <c r="AG23" s="14">
        <f>COUNTIF(B23:AE23,"Recommended")</f>
        <v/>
      </c>
      <c r="AH23" s="14">
        <f>AF23+AG23</f>
        <v/>
      </c>
      <c r="AI23" s="14">
        <f>IF(AF23&gt;5,"Yes","")</f>
        <v/>
      </c>
    </row>
    <row r="24">
      <c r="A24" s="12" t="inlineStr">
        <is>
          <t>Wireless Access Point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  <c r="AA24" s="13" t="inlineStr"/>
      <c r="AB24" s="13" t="inlineStr"/>
      <c r="AC24" s="13" t="inlineStr"/>
      <c r="AD24" s="13" t="inlineStr"/>
      <c r="AE24" s="13" t="inlineStr"/>
      <c r="AF24" s="14">
        <f>COUNTIF(B24:AE24,"Required")</f>
        <v/>
      </c>
      <c r="AG24" s="14">
        <f>COUNTIF(B24:AE24,"Recommended")</f>
        <v/>
      </c>
      <c r="AH24" s="14">
        <f>AF24+AG24</f>
        <v/>
      </c>
      <c r="AI24" s="14">
        <f>IF(AF24&gt;5,"Yes","")</f>
        <v/>
      </c>
    </row>
    <row r="25">
      <c r="A25" s="12" t="inlineStr">
        <is>
          <t>Firewall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  <c r="U25" s="13" t="inlineStr"/>
      <c r="V25" s="13" t="inlineStr"/>
      <c r="W25" s="13" t="inlineStr"/>
      <c r="X25" s="13" t="inlineStr"/>
      <c r="Y25" s="13" t="inlineStr"/>
      <c r="Z25" s="13" t="inlineStr"/>
      <c r="AA25" s="13" t="inlineStr"/>
      <c r="AB25" s="13" t="inlineStr"/>
      <c r="AC25" s="13" t="inlineStr"/>
      <c r="AD25" s="13" t="inlineStr"/>
      <c r="AE25" s="13" t="inlineStr"/>
      <c r="AF25" s="14">
        <f>COUNTIF(B25:AE25,"Required")</f>
        <v/>
      </c>
      <c r="AG25" s="14">
        <f>COUNTIF(B25:AE25,"Recommended")</f>
        <v/>
      </c>
      <c r="AH25" s="14">
        <f>AF25+AG25</f>
        <v/>
      </c>
      <c r="AI25" s="14">
        <f>IF(AF25&gt;5,"Yes","")</f>
        <v/>
      </c>
    </row>
    <row r="26">
      <c r="A26" s="12" t="inlineStr">
        <is>
          <t>IDS/IPS Appliance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  <c r="U26" s="13" t="inlineStr"/>
      <c r="V26" s="13" t="inlineStr"/>
      <c r="W26" s="13" t="inlineStr"/>
      <c r="X26" s="13" t="inlineStr"/>
      <c r="Y26" s="13" t="inlineStr"/>
      <c r="Z26" s="13" t="inlineStr"/>
      <c r="AA26" s="13" t="inlineStr"/>
      <c r="AB26" s="13" t="inlineStr"/>
      <c r="AC26" s="13" t="inlineStr"/>
      <c r="AD26" s="13" t="inlineStr"/>
      <c r="AE26" s="13" t="inlineStr"/>
      <c r="AF26" s="14">
        <f>COUNTIF(B26:AE26,"Required")</f>
        <v/>
      </c>
      <c r="AG26" s="14">
        <f>COUNTIF(B26:AE26,"Recommended")</f>
        <v/>
      </c>
      <c r="AH26" s="14">
        <f>AF26+AG26</f>
        <v/>
      </c>
      <c r="AI26" s="14">
        <f>IF(AF26&gt;5,"Yes","")</f>
        <v/>
      </c>
    </row>
    <row r="27">
      <c r="A27" s="12" t="inlineStr">
        <is>
          <t>Load Balancer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  <c r="U27" s="13" t="inlineStr"/>
      <c r="V27" s="13" t="inlineStr"/>
      <c r="W27" s="13" t="inlineStr"/>
      <c r="X27" s="13" t="inlineStr"/>
      <c r="Y27" s="13" t="inlineStr"/>
      <c r="Z27" s="13" t="inlineStr"/>
      <c r="AA27" s="13" t="inlineStr"/>
      <c r="AB27" s="13" t="inlineStr"/>
      <c r="AC27" s="13" t="inlineStr"/>
      <c r="AD27" s="13" t="inlineStr"/>
      <c r="AE27" s="13" t="inlineStr"/>
      <c r="AF27" s="14">
        <f>COUNTIF(B27:AE27,"Required")</f>
        <v/>
      </c>
      <c r="AG27" s="14">
        <f>COUNTIF(B27:AE27,"Recommended")</f>
        <v/>
      </c>
      <c r="AH27" s="14">
        <f>AF27+AG27</f>
        <v/>
      </c>
      <c r="AI27" s="14">
        <f>IF(AF27&gt;5,"Yes","")</f>
        <v/>
      </c>
    </row>
    <row r="28">
      <c r="A28" s="12" t="inlineStr">
        <is>
          <t>VPN Concentrator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  <c r="U28" s="13" t="inlineStr"/>
      <c r="V28" s="13" t="inlineStr"/>
      <c r="W28" s="13" t="inlineStr"/>
      <c r="X28" s="13" t="inlineStr"/>
      <c r="Y28" s="13" t="inlineStr"/>
      <c r="Z28" s="13" t="inlineStr"/>
      <c r="AA28" s="13" t="inlineStr"/>
      <c r="AB28" s="13" t="inlineStr"/>
      <c r="AC28" s="13" t="inlineStr"/>
      <c r="AD28" s="13" t="inlineStr"/>
      <c r="AE28" s="13" t="inlineStr"/>
      <c r="AF28" s="14">
        <f>COUNTIF(B28:AE28,"Required")</f>
        <v/>
      </c>
      <c r="AG28" s="14">
        <f>COUNTIF(B28:AE28,"Recommended")</f>
        <v/>
      </c>
      <c r="AH28" s="14">
        <f>AF28+AG28</f>
        <v/>
      </c>
      <c r="AI28" s="14">
        <f>IF(AF28&gt;5,"Yes","")</f>
        <v/>
      </c>
    </row>
    <row r="29">
      <c r="A29" s="11" t="inlineStr">
        <is>
          <t>--- APPLICATIONS ---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</row>
    <row r="30">
      <c r="A30" s="12" t="inlineStr">
        <is>
          <t>Web Application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  <c r="U30" s="13" t="inlineStr"/>
      <c r="V30" s="13" t="inlineStr"/>
      <c r="W30" s="13" t="inlineStr"/>
      <c r="X30" s="13" t="inlineStr"/>
      <c r="Y30" s="13" t="inlineStr"/>
      <c r="Z30" s="13" t="inlineStr"/>
      <c r="AA30" s="13" t="inlineStr"/>
      <c r="AB30" s="13" t="inlineStr"/>
      <c r="AC30" s="13" t="inlineStr"/>
      <c r="AD30" s="13" t="inlineStr"/>
      <c r="AE30" s="13" t="inlineStr"/>
      <c r="AF30" s="14">
        <f>COUNTIF(B30:AE30,"Required")</f>
        <v/>
      </c>
      <c r="AG30" s="14">
        <f>COUNTIF(B30:AE30,"Recommended")</f>
        <v/>
      </c>
      <c r="AH30" s="14">
        <f>AF30+AG30</f>
        <v/>
      </c>
      <c r="AI30" s="14">
        <f>IF(AF30&gt;5,"Yes","")</f>
        <v/>
      </c>
    </row>
    <row r="31">
      <c r="A31" s="12" t="inlineStr">
        <is>
          <t>API Service</t>
        </is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  <c r="K31" s="13" t="inlineStr"/>
      <c r="L31" s="13" t="inlineStr"/>
      <c r="M31" s="13" t="inlineStr"/>
      <c r="N31" s="13" t="inlineStr"/>
      <c r="O31" s="13" t="inlineStr"/>
      <c r="P31" s="13" t="inlineStr"/>
      <c r="Q31" s="13" t="inlineStr"/>
      <c r="R31" s="13" t="inlineStr"/>
      <c r="S31" s="13" t="inlineStr"/>
      <c r="T31" s="13" t="inlineStr"/>
      <c r="U31" s="13" t="inlineStr"/>
      <c r="V31" s="13" t="inlineStr"/>
      <c r="W31" s="13" t="inlineStr"/>
      <c r="X31" s="13" t="inlineStr"/>
      <c r="Y31" s="13" t="inlineStr"/>
      <c r="Z31" s="13" t="inlineStr"/>
      <c r="AA31" s="13" t="inlineStr"/>
      <c r="AB31" s="13" t="inlineStr"/>
      <c r="AC31" s="13" t="inlineStr"/>
      <c r="AD31" s="13" t="inlineStr"/>
      <c r="AE31" s="13" t="inlineStr"/>
      <c r="AF31" s="14">
        <f>COUNTIF(B31:AE31,"Required")</f>
        <v/>
      </c>
      <c r="AG31" s="14">
        <f>COUNTIF(B31:AE31,"Recommended")</f>
        <v/>
      </c>
      <c r="AH31" s="14">
        <f>AF31+AG31</f>
        <v/>
      </c>
      <c r="AI31" s="14">
        <f>IF(AF31&gt;5,"Yes","")</f>
        <v/>
      </c>
    </row>
    <row r="32">
      <c r="A32" s="12" t="inlineStr">
        <is>
          <t>Database Management System</t>
        </is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  <c r="K32" s="13" t="inlineStr"/>
      <c r="L32" s="13" t="inlineStr"/>
      <c r="M32" s="13" t="inlineStr"/>
      <c r="N32" s="13" t="inlineStr"/>
      <c r="O32" s="13" t="inlineStr"/>
      <c r="P32" s="13" t="inlineStr"/>
      <c r="Q32" s="13" t="inlineStr"/>
      <c r="R32" s="13" t="inlineStr"/>
      <c r="S32" s="13" t="inlineStr"/>
      <c r="T32" s="13" t="inlineStr"/>
      <c r="U32" s="13" t="inlineStr"/>
      <c r="V32" s="13" t="inlineStr"/>
      <c r="W32" s="13" t="inlineStr"/>
      <c r="X32" s="13" t="inlineStr"/>
      <c r="Y32" s="13" t="inlineStr"/>
      <c r="Z32" s="13" t="inlineStr"/>
      <c r="AA32" s="13" t="inlineStr"/>
      <c r="AB32" s="13" t="inlineStr"/>
      <c r="AC32" s="13" t="inlineStr"/>
      <c r="AD32" s="13" t="inlineStr"/>
      <c r="AE32" s="13" t="inlineStr"/>
      <c r="AF32" s="14">
        <f>COUNTIF(B32:AE32,"Required")</f>
        <v/>
      </c>
      <c r="AG32" s="14">
        <f>COUNTIF(B32:AE32,"Recommended")</f>
        <v/>
      </c>
      <c r="AH32" s="14">
        <f>AF32+AG32</f>
        <v/>
      </c>
      <c r="AI32" s="14">
        <f>IF(AF32&gt;5,"Yes","")</f>
        <v/>
      </c>
    </row>
    <row r="33">
      <c r="A33" s="12" t="inlineStr">
        <is>
          <t>File Server/NAS</t>
        </is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  <c r="K33" s="13" t="inlineStr"/>
      <c r="L33" s="13" t="inlineStr"/>
      <c r="M33" s="13" t="inlineStr"/>
      <c r="N33" s="13" t="inlineStr"/>
      <c r="O33" s="13" t="inlineStr"/>
      <c r="P33" s="13" t="inlineStr"/>
      <c r="Q33" s="13" t="inlineStr"/>
      <c r="R33" s="13" t="inlineStr"/>
      <c r="S33" s="13" t="inlineStr"/>
      <c r="T33" s="13" t="inlineStr"/>
      <c r="U33" s="13" t="inlineStr"/>
      <c r="V33" s="13" t="inlineStr"/>
      <c r="W33" s="13" t="inlineStr"/>
      <c r="X33" s="13" t="inlineStr"/>
      <c r="Y33" s="13" t="inlineStr"/>
      <c r="Z33" s="13" t="inlineStr"/>
      <c r="AA33" s="13" t="inlineStr"/>
      <c r="AB33" s="13" t="inlineStr"/>
      <c r="AC33" s="13" t="inlineStr"/>
      <c r="AD33" s="13" t="inlineStr"/>
      <c r="AE33" s="13" t="inlineStr"/>
      <c r="AF33" s="14">
        <f>COUNTIF(B33:AE33,"Required")</f>
        <v/>
      </c>
      <c r="AG33" s="14">
        <f>COUNTIF(B33:AE33,"Recommended")</f>
        <v/>
      </c>
      <c r="AH33" s="14">
        <f>AF33+AG33</f>
        <v/>
      </c>
      <c r="AI33" s="14">
        <f>IF(AF33&gt;5,"Yes","")</f>
        <v/>
      </c>
    </row>
    <row r="34">
      <c r="A34" s="12" t="inlineStr">
        <is>
          <t>Email System</t>
        </is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  <c r="K34" s="13" t="inlineStr"/>
      <c r="L34" s="13" t="inlineStr"/>
      <c r="M34" s="13" t="inlineStr"/>
      <c r="N34" s="13" t="inlineStr"/>
      <c r="O34" s="13" t="inlineStr"/>
      <c r="P34" s="13" t="inlineStr"/>
      <c r="Q34" s="13" t="inlineStr"/>
      <c r="R34" s="13" t="inlineStr"/>
      <c r="S34" s="13" t="inlineStr"/>
      <c r="T34" s="13" t="inlineStr"/>
      <c r="U34" s="13" t="inlineStr"/>
      <c r="V34" s="13" t="inlineStr"/>
      <c r="W34" s="13" t="inlineStr"/>
      <c r="X34" s="13" t="inlineStr"/>
      <c r="Y34" s="13" t="inlineStr"/>
      <c r="Z34" s="13" t="inlineStr"/>
      <c r="AA34" s="13" t="inlineStr"/>
      <c r="AB34" s="13" t="inlineStr"/>
      <c r="AC34" s="13" t="inlineStr"/>
      <c r="AD34" s="13" t="inlineStr"/>
      <c r="AE34" s="13" t="inlineStr"/>
      <c r="AF34" s="14">
        <f>COUNTIF(B34:AE34,"Required")</f>
        <v/>
      </c>
      <c r="AG34" s="14">
        <f>COUNTIF(B34:AE34,"Recommended")</f>
        <v/>
      </c>
      <c r="AH34" s="14">
        <f>AF34+AG34</f>
        <v/>
      </c>
      <c r="AI34" s="14">
        <f>IF(AF34&gt;5,"Yes","")</f>
        <v/>
      </c>
    </row>
    <row r="35">
      <c r="A35" s="12" t="inlineStr">
        <is>
          <t>Authentication Service (IAM)</t>
        </is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  <c r="K35" s="13" t="inlineStr"/>
      <c r="L35" s="13" t="inlineStr"/>
      <c r="M35" s="13" t="inlineStr"/>
      <c r="N35" s="13" t="inlineStr"/>
      <c r="O35" s="13" t="inlineStr"/>
      <c r="P35" s="13" t="inlineStr"/>
      <c r="Q35" s="13" t="inlineStr"/>
      <c r="R35" s="13" t="inlineStr"/>
      <c r="S35" s="13" t="inlineStr"/>
      <c r="T35" s="13" t="inlineStr"/>
      <c r="U35" s="13" t="inlineStr"/>
      <c r="V35" s="13" t="inlineStr"/>
      <c r="W35" s="13" t="inlineStr"/>
      <c r="X35" s="13" t="inlineStr"/>
      <c r="Y35" s="13" t="inlineStr"/>
      <c r="Z35" s="13" t="inlineStr"/>
      <c r="AA35" s="13" t="inlineStr"/>
      <c r="AB35" s="13" t="inlineStr"/>
      <c r="AC35" s="13" t="inlineStr"/>
      <c r="AD35" s="13" t="inlineStr"/>
      <c r="AE35" s="13" t="inlineStr"/>
      <c r="AF35" s="14">
        <f>COUNTIF(B35:AE35,"Required")</f>
        <v/>
      </c>
      <c r="AG35" s="14">
        <f>COUNTIF(B35:AE35,"Recommended")</f>
        <v/>
      </c>
      <c r="AH35" s="14">
        <f>AF35+AG35</f>
        <v/>
      </c>
      <c r="AI35" s="14">
        <f>IF(AF35&gt;5,"Yes","")</f>
        <v/>
      </c>
    </row>
    <row r="36">
      <c r="A36" s="12" t="inlineStr">
        <is>
          <t>Monitoring/Logging System</t>
        </is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  <c r="K36" s="13" t="inlineStr"/>
      <c r="L36" s="13" t="inlineStr"/>
      <c r="M36" s="13" t="inlineStr"/>
      <c r="N36" s="13" t="inlineStr"/>
      <c r="O36" s="13" t="inlineStr"/>
      <c r="P36" s="13" t="inlineStr"/>
      <c r="Q36" s="13" t="inlineStr"/>
      <c r="R36" s="13" t="inlineStr"/>
      <c r="S36" s="13" t="inlineStr"/>
      <c r="T36" s="13" t="inlineStr"/>
      <c r="U36" s="13" t="inlineStr"/>
      <c r="V36" s="13" t="inlineStr"/>
      <c r="W36" s="13" t="inlineStr"/>
      <c r="X36" s="13" t="inlineStr"/>
      <c r="Y36" s="13" t="inlineStr"/>
      <c r="Z36" s="13" t="inlineStr"/>
      <c r="AA36" s="13" t="inlineStr"/>
      <c r="AB36" s="13" t="inlineStr"/>
      <c r="AC36" s="13" t="inlineStr"/>
      <c r="AD36" s="13" t="inlineStr"/>
      <c r="AE36" s="13" t="inlineStr"/>
      <c r="AF36" s="14">
        <f>COUNTIF(B36:AE36,"Required")</f>
        <v/>
      </c>
      <c r="AG36" s="14">
        <f>COUNTIF(B36:AE36,"Recommended")</f>
        <v/>
      </c>
      <c r="AH36" s="14">
        <f>AF36+AG36</f>
        <v/>
      </c>
      <c r="AI36" s="14">
        <f>IF(AF36&gt;5,"Yes","")</f>
        <v/>
      </c>
    </row>
    <row r="37">
      <c r="A37" s="11" t="inlineStr">
        <is>
          <t>--- CLOUD &amp; VIRTUAL ---</t>
        </is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</row>
    <row r="38">
      <c r="A38" s="12" t="inlineStr">
        <is>
          <t>IaaS Instance</t>
        </is>
      </c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  <c r="K38" s="13" t="inlineStr"/>
      <c r="L38" s="13" t="inlineStr"/>
      <c r="M38" s="13" t="inlineStr"/>
      <c r="N38" s="13" t="inlineStr"/>
      <c r="O38" s="13" t="inlineStr"/>
      <c r="P38" s="13" t="inlineStr"/>
      <c r="Q38" s="13" t="inlineStr"/>
      <c r="R38" s="13" t="inlineStr"/>
      <c r="S38" s="13" t="inlineStr"/>
      <c r="T38" s="13" t="inlineStr"/>
      <c r="U38" s="13" t="inlineStr"/>
      <c r="V38" s="13" t="inlineStr"/>
      <c r="W38" s="13" t="inlineStr"/>
      <c r="X38" s="13" t="inlineStr"/>
      <c r="Y38" s="13" t="inlineStr"/>
      <c r="Z38" s="13" t="inlineStr"/>
      <c r="AA38" s="13" t="inlineStr"/>
      <c r="AB38" s="13" t="inlineStr"/>
      <c r="AC38" s="13" t="inlineStr"/>
      <c r="AD38" s="13" t="inlineStr"/>
      <c r="AE38" s="13" t="inlineStr"/>
      <c r="AF38" s="14">
        <f>COUNTIF(B38:AE38,"Required")</f>
        <v/>
      </c>
      <c r="AG38" s="14">
        <f>COUNTIF(B38:AE38,"Recommended")</f>
        <v/>
      </c>
      <c r="AH38" s="14">
        <f>AF38+AG38</f>
        <v/>
      </c>
      <c r="AI38" s="14">
        <f>IF(AF38&gt;5,"Yes","")</f>
        <v/>
      </c>
    </row>
    <row r="39">
      <c r="A39" s="12" t="inlineStr">
        <is>
          <t>PaaS Application</t>
        </is>
      </c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  <c r="J39" s="13" t="inlineStr"/>
      <c r="K39" s="13" t="inlineStr"/>
      <c r="L39" s="13" t="inlineStr"/>
      <c r="M39" s="13" t="inlineStr"/>
      <c r="N39" s="13" t="inlineStr"/>
      <c r="O39" s="13" t="inlineStr"/>
      <c r="P39" s="13" t="inlineStr"/>
      <c r="Q39" s="13" t="inlineStr"/>
      <c r="R39" s="13" t="inlineStr"/>
      <c r="S39" s="13" t="inlineStr"/>
      <c r="T39" s="13" t="inlineStr"/>
      <c r="U39" s="13" t="inlineStr"/>
      <c r="V39" s="13" t="inlineStr"/>
      <c r="W39" s="13" t="inlineStr"/>
      <c r="X39" s="13" t="inlineStr"/>
      <c r="Y39" s="13" t="inlineStr"/>
      <c r="Z39" s="13" t="inlineStr"/>
      <c r="AA39" s="13" t="inlineStr"/>
      <c r="AB39" s="13" t="inlineStr"/>
      <c r="AC39" s="13" t="inlineStr"/>
      <c r="AD39" s="13" t="inlineStr"/>
      <c r="AE39" s="13" t="inlineStr"/>
      <c r="AF39" s="14">
        <f>COUNTIF(B39:AE39,"Required")</f>
        <v/>
      </c>
      <c r="AG39" s="14">
        <f>COUNTIF(B39:AE39,"Recommended")</f>
        <v/>
      </c>
      <c r="AH39" s="14">
        <f>AF39+AG39</f>
        <v/>
      </c>
      <c r="AI39" s="14">
        <f>IF(AF39&gt;5,"Yes","")</f>
        <v/>
      </c>
    </row>
    <row r="40">
      <c r="A40" s="12" t="inlineStr">
        <is>
          <t>SaaS Application Configuration</t>
        </is>
      </c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  <c r="K40" s="13" t="inlineStr"/>
      <c r="L40" s="13" t="inlineStr"/>
      <c r="M40" s="13" t="inlineStr"/>
      <c r="N40" s="13" t="inlineStr"/>
      <c r="O40" s="13" t="inlineStr"/>
      <c r="P40" s="13" t="inlineStr"/>
      <c r="Q40" s="13" t="inlineStr"/>
      <c r="R40" s="13" t="inlineStr"/>
      <c r="S40" s="13" t="inlineStr"/>
      <c r="T40" s="13" t="inlineStr"/>
      <c r="U40" s="13" t="inlineStr"/>
      <c r="V40" s="13" t="inlineStr"/>
      <c r="W40" s="13" t="inlineStr"/>
      <c r="X40" s="13" t="inlineStr"/>
      <c r="Y40" s="13" t="inlineStr"/>
      <c r="Z40" s="13" t="inlineStr"/>
      <c r="AA40" s="13" t="inlineStr"/>
      <c r="AB40" s="13" t="inlineStr"/>
      <c r="AC40" s="13" t="inlineStr"/>
      <c r="AD40" s="13" t="inlineStr"/>
      <c r="AE40" s="13" t="inlineStr"/>
      <c r="AF40" s="14">
        <f>COUNTIF(B40:AE40,"Required")</f>
        <v/>
      </c>
      <c r="AG40" s="14">
        <f>COUNTIF(B40:AE40,"Recommended")</f>
        <v/>
      </c>
      <c r="AH40" s="14">
        <f>AF40+AG40</f>
        <v/>
      </c>
      <c r="AI40" s="14">
        <f>IF(AF40&gt;5,"Yes","")</f>
        <v/>
      </c>
    </row>
    <row r="41">
      <c r="A41" s="12" t="inlineStr">
        <is>
          <t>Container (Docker/K8s)</t>
        </is>
      </c>
      <c r="B41" s="13" t="inlineStr"/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  <c r="K41" s="13" t="inlineStr"/>
      <c r="L41" s="13" t="inlineStr"/>
      <c r="M41" s="13" t="inlineStr"/>
      <c r="N41" s="13" t="inlineStr"/>
      <c r="O41" s="13" t="inlineStr"/>
      <c r="P41" s="13" t="inlineStr"/>
      <c r="Q41" s="13" t="inlineStr"/>
      <c r="R41" s="13" t="inlineStr"/>
      <c r="S41" s="13" t="inlineStr"/>
      <c r="T41" s="13" t="inlineStr"/>
      <c r="U41" s="13" t="inlineStr"/>
      <c r="V41" s="13" t="inlineStr"/>
      <c r="W41" s="13" t="inlineStr"/>
      <c r="X41" s="13" t="inlineStr"/>
      <c r="Y41" s="13" t="inlineStr"/>
      <c r="Z41" s="13" t="inlineStr"/>
      <c r="AA41" s="13" t="inlineStr"/>
      <c r="AB41" s="13" t="inlineStr"/>
      <c r="AC41" s="13" t="inlineStr"/>
      <c r="AD41" s="13" t="inlineStr"/>
      <c r="AE41" s="13" t="inlineStr"/>
      <c r="AF41" s="14">
        <f>COUNTIF(B41:AE41,"Required")</f>
        <v/>
      </c>
      <c r="AG41" s="14">
        <f>COUNTIF(B41:AE41,"Recommended")</f>
        <v/>
      </c>
      <c r="AH41" s="14">
        <f>AF41+AG41</f>
        <v/>
      </c>
      <c r="AI41" s="14">
        <f>IF(AF41&gt;5,"Yes","")</f>
        <v/>
      </c>
    </row>
    <row r="42">
      <c r="A42" s="12" t="inlineStr">
        <is>
          <t>Serverless Function</t>
        </is>
      </c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  <c r="K42" s="13" t="inlineStr"/>
      <c r="L42" s="13" t="inlineStr"/>
      <c r="M42" s="13" t="inlineStr"/>
      <c r="N42" s="13" t="inlineStr"/>
      <c r="O42" s="13" t="inlineStr"/>
      <c r="P42" s="13" t="inlineStr"/>
      <c r="Q42" s="13" t="inlineStr"/>
      <c r="R42" s="13" t="inlineStr"/>
      <c r="S42" s="13" t="inlineStr"/>
      <c r="T42" s="13" t="inlineStr"/>
      <c r="U42" s="13" t="inlineStr"/>
      <c r="V42" s="13" t="inlineStr"/>
      <c r="W42" s="13" t="inlineStr"/>
      <c r="X42" s="13" t="inlineStr"/>
      <c r="Y42" s="13" t="inlineStr"/>
      <c r="Z42" s="13" t="inlineStr"/>
      <c r="AA42" s="13" t="inlineStr"/>
      <c r="AB42" s="13" t="inlineStr"/>
      <c r="AC42" s="13" t="inlineStr"/>
      <c r="AD42" s="13" t="inlineStr"/>
      <c r="AE42" s="13" t="inlineStr"/>
      <c r="AF42" s="14">
        <f>COUNTIF(B42:AE42,"Required")</f>
        <v/>
      </c>
      <c r="AG42" s="14">
        <f>COUNTIF(B42:AE42,"Recommended")</f>
        <v/>
      </c>
      <c r="AH42" s="14">
        <f>AF42+AG42</f>
        <v/>
      </c>
      <c r="AI42" s="14">
        <f>IF(AF42&gt;5,"Yes","")</f>
        <v/>
      </c>
    </row>
    <row r="43">
      <c r="A43" s="12" t="inlineStr">
        <is>
          <t>Cloud Storage Bucket</t>
        </is>
      </c>
      <c r="B43" s="1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  <c r="K43" s="13" t="inlineStr"/>
      <c r="L43" s="13" t="inlineStr"/>
      <c r="M43" s="13" t="inlineStr"/>
      <c r="N43" s="13" t="inlineStr"/>
      <c r="O43" s="13" t="inlineStr"/>
      <c r="P43" s="13" t="inlineStr"/>
      <c r="Q43" s="13" t="inlineStr"/>
      <c r="R43" s="13" t="inlineStr"/>
      <c r="S43" s="13" t="inlineStr"/>
      <c r="T43" s="13" t="inlineStr"/>
      <c r="U43" s="13" t="inlineStr"/>
      <c r="V43" s="13" t="inlineStr"/>
      <c r="W43" s="13" t="inlineStr"/>
      <c r="X43" s="13" t="inlineStr"/>
      <c r="Y43" s="13" t="inlineStr"/>
      <c r="Z43" s="13" t="inlineStr"/>
      <c r="AA43" s="13" t="inlineStr"/>
      <c r="AB43" s="13" t="inlineStr"/>
      <c r="AC43" s="13" t="inlineStr"/>
      <c r="AD43" s="13" t="inlineStr"/>
      <c r="AE43" s="13" t="inlineStr"/>
      <c r="AF43" s="14">
        <f>COUNTIF(B43:AE43,"Required")</f>
        <v/>
      </c>
      <c r="AG43" s="14">
        <f>COUNTIF(B43:AE43,"Recommended")</f>
        <v/>
      </c>
      <c r="AH43" s="14">
        <f>AF43+AG43</f>
        <v/>
      </c>
      <c r="AI43" s="14">
        <f>IF(AF43&gt;5,"Yes","")</f>
        <v/>
      </c>
    </row>
    <row r="44">
      <c r="A44" s="12" t="inlineStr">
        <is>
          <t>Cloud Network Configuration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  <c r="K44" s="13" t="inlineStr"/>
      <c r="L44" s="13" t="inlineStr"/>
      <c r="M44" s="13" t="inlineStr"/>
      <c r="N44" s="13" t="inlineStr"/>
      <c r="O44" s="13" t="inlineStr"/>
      <c r="P44" s="13" t="inlineStr"/>
      <c r="Q44" s="13" t="inlineStr"/>
      <c r="R44" s="13" t="inlineStr"/>
      <c r="S44" s="13" t="inlineStr"/>
      <c r="T44" s="13" t="inlineStr"/>
      <c r="U44" s="13" t="inlineStr"/>
      <c r="V44" s="13" t="inlineStr"/>
      <c r="W44" s="13" t="inlineStr"/>
      <c r="X44" s="13" t="inlineStr"/>
      <c r="Y44" s="13" t="inlineStr"/>
      <c r="Z44" s="13" t="inlineStr"/>
      <c r="AA44" s="13" t="inlineStr"/>
      <c r="AB44" s="13" t="inlineStr"/>
      <c r="AC44" s="13" t="inlineStr"/>
      <c r="AD44" s="13" t="inlineStr"/>
      <c r="AE44" s="13" t="inlineStr"/>
      <c r="AF44" s="14">
        <f>COUNTIF(B44:AE44,"Required")</f>
        <v/>
      </c>
      <c r="AG44" s="14">
        <f>COUNTIF(B44:AE44,"Recommended")</f>
        <v/>
      </c>
      <c r="AH44" s="14">
        <f>AF44+AG44</f>
        <v/>
      </c>
      <c r="AI44" s="14">
        <f>IF(AF44&gt;5,"Yes","")</f>
        <v/>
      </c>
    </row>
    <row r="45">
      <c r="A45" s="11" t="inlineStr">
        <is>
          <t>--- IOT &amp; OT ---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</row>
    <row r="46">
      <c r="A46" s="12" t="inlineStr">
        <is>
          <t>Building Management System</t>
        </is>
      </c>
      <c r="B46" s="13" t="inlineStr"/>
      <c r="C46" s="13" t="inlineStr"/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  <c r="K46" s="13" t="inlineStr"/>
      <c r="L46" s="13" t="inlineStr"/>
      <c r="M46" s="13" t="inlineStr"/>
      <c r="N46" s="13" t="inlineStr"/>
      <c r="O46" s="13" t="inlineStr"/>
      <c r="P46" s="13" t="inlineStr"/>
      <c r="Q46" s="13" t="inlineStr"/>
      <c r="R46" s="13" t="inlineStr"/>
      <c r="S46" s="13" t="inlineStr"/>
      <c r="T46" s="13" t="inlineStr"/>
      <c r="U46" s="13" t="inlineStr"/>
      <c r="V46" s="13" t="inlineStr"/>
      <c r="W46" s="13" t="inlineStr"/>
      <c r="X46" s="13" t="inlineStr"/>
      <c r="Y46" s="13" t="inlineStr"/>
      <c r="Z46" s="13" t="inlineStr"/>
      <c r="AA46" s="13" t="inlineStr"/>
      <c r="AB46" s="13" t="inlineStr"/>
      <c r="AC46" s="13" t="inlineStr"/>
      <c r="AD46" s="13" t="inlineStr"/>
      <c r="AE46" s="13" t="inlineStr"/>
      <c r="AF46" s="14">
        <f>COUNTIF(B46:AE46,"Required")</f>
        <v/>
      </c>
      <c r="AG46" s="14">
        <f>COUNTIF(B46:AE46,"Recommended")</f>
        <v/>
      </c>
      <c r="AH46" s="14">
        <f>AF46+AG46</f>
        <v/>
      </c>
      <c r="AI46" s="14">
        <f>IF(AF46&gt;5,"Yes","")</f>
        <v/>
      </c>
    </row>
    <row r="47">
      <c r="A47" s="12" t="inlineStr">
        <is>
          <t>Physical Security System</t>
        </is>
      </c>
      <c r="B47" s="13" t="inlineStr"/>
      <c r="C47" s="13" t="inlineStr"/>
      <c r="D47" s="13" t="inlineStr"/>
      <c r="E47" s="13" t="inlineStr"/>
      <c r="F47" s="13" t="inlineStr"/>
      <c r="G47" s="13" t="inlineStr"/>
      <c r="H47" s="13" t="inlineStr"/>
      <c r="I47" s="13" t="inlineStr"/>
      <c r="J47" s="13" t="inlineStr"/>
      <c r="K47" s="13" t="inlineStr"/>
      <c r="L47" s="13" t="inlineStr"/>
      <c r="M47" s="13" t="inlineStr"/>
      <c r="N47" s="13" t="inlineStr"/>
      <c r="O47" s="13" t="inlineStr"/>
      <c r="P47" s="13" t="inlineStr"/>
      <c r="Q47" s="13" t="inlineStr"/>
      <c r="R47" s="13" t="inlineStr"/>
      <c r="S47" s="13" t="inlineStr"/>
      <c r="T47" s="13" t="inlineStr"/>
      <c r="U47" s="13" t="inlineStr"/>
      <c r="V47" s="13" t="inlineStr"/>
      <c r="W47" s="13" t="inlineStr"/>
      <c r="X47" s="13" t="inlineStr"/>
      <c r="Y47" s="13" t="inlineStr"/>
      <c r="Z47" s="13" t="inlineStr"/>
      <c r="AA47" s="13" t="inlineStr"/>
      <c r="AB47" s="13" t="inlineStr"/>
      <c r="AC47" s="13" t="inlineStr"/>
      <c r="AD47" s="13" t="inlineStr"/>
      <c r="AE47" s="13" t="inlineStr"/>
      <c r="AF47" s="14">
        <f>COUNTIF(B47:AE47,"Required")</f>
        <v/>
      </c>
      <c r="AG47" s="14">
        <f>COUNTIF(B47:AE47,"Recommended")</f>
        <v/>
      </c>
      <c r="AH47" s="14">
        <f>AF47+AG47</f>
        <v/>
      </c>
      <c r="AI47" s="14">
        <f>IF(AF47&gt;5,"Yes","")</f>
        <v/>
      </c>
    </row>
    <row r="48">
      <c r="A48" s="12" t="inlineStr">
        <is>
          <t>Industrial Control System (ICS)</t>
        </is>
      </c>
      <c r="B48" s="13" t="inlineStr"/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  <c r="K48" s="13" t="inlineStr"/>
      <c r="L48" s="13" t="inlineStr"/>
      <c r="M48" s="13" t="inlineStr"/>
      <c r="N48" s="13" t="inlineStr"/>
      <c r="O48" s="13" t="inlineStr"/>
      <c r="P48" s="13" t="inlineStr"/>
      <c r="Q48" s="13" t="inlineStr"/>
      <c r="R48" s="13" t="inlineStr"/>
      <c r="S48" s="13" t="inlineStr"/>
      <c r="T48" s="13" t="inlineStr"/>
      <c r="U48" s="13" t="inlineStr"/>
      <c r="V48" s="13" t="inlineStr"/>
      <c r="W48" s="13" t="inlineStr"/>
      <c r="X48" s="13" t="inlineStr"/>
      <c r="Y48" s="13" t="inlineStr"/>
      <c r="Z48" s="13" t="inlineStr"/>
      <c r="AA48" s="13" t="inlineStr"/>
      <c r="AB48" s="13" t="inlineStr"/>
      <c r="AC48" s="13" t="inlineStr"/>
      <c r="AD48" s="13" t="inlineStr"/>
      <c r="AE48" s="13" t="inlineStr"/>
      <c r="AF48" s="14">
        <f>COUNTIF(B48:AE48,"Required")</f>
        <v/>
      </c>
      <c r="AG48" s="14">
        <f>COUNTIF(B48:AE48,"Recommended")</f>
        <v/>
      </c>
      <c r="AH48" s="14">
        <f>AF48+AG48</f>
        <v/>
      </c>
      <c r="AI48" s="14">
        <f>IF(AF48&gt;5,"Yes","")</f>
        <v/>
      </c>
    </row>
    <row r="49">
      <c r="A49" s="12" t="inlineStr">
        <is>
          <t>SCADA System</t>
        </is>
      </c>
      <c r="B49" s="13" t="inlineStr"/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  <c r="K49" s="13" t="inlineStr"/>
      <c r="L49" s="13" t="inlineStr"/>
      <c r="M49" s="13" t="inlineStr"/>
      <c r="N49" s="13" t="inlineStr"/>
      <c r="O49" s="13" t="inlineStr"/>
      <c r="P49" s="13" t="inlineStr"/>
      <c r="Q49" s="13" t="inlineStr"/>
      <c r="R49" s="13" t="inlineStr"/>
      <c r="S49" s="13" t="inlineStr"/>
      <c r="T49" s="13" t="inlineStr"/>
      <c r="U49" s="13" t="inlineStr"/>
      <c r="V49" s="13" t="inlineStr"/>
      <c r="W49" s="13" t="inlineStr"/>
      <c r="X49" s="13" t="inlineStr"/>
      <c r="Y49" s="13" t="inlineStr"/>
      <c r="Z49" s="13" t="inlineStr"/>
      <c r="AA49" s="13" t="inlineStr"/>
      <c r="AB49" s="13" t="inlineStr"/>
      <c r="AC49" s="13" t="inlineStr"/>
      <c r="AD49" s="13" t="inlineStr"/>
      <c r="AE49" s="13" t="inlineStr"/>
      <c r="AF49" s="14">
        <f>COUNTIF(B49:AE49,"Required")</f>
        <v/>
      </c>
      <c r="AG49" s="14">
        <f>COUNTIF(B49:AE49,"Recommended")</f>
        <v/>
      </c>
      <c r="AH49" s="14">
        <f>AF49+AG49</f>
        <v/>
      </c>
      <c r="AI49" s="14">
        <f>IF(AF49&gt;5,"Yes","")</f>
        <v/>
      </c>
    </row>
    <row r="50">
      <c r="A50" s="12" t="inlineStr">
        <is>
          <t>IoT Sensor/Device</t>
        </is>
      </c>
      <c r="B50" s="13" t="inlineStr"/>
      <c r="C50" s="13" t="inlineStr"/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  <c r="K50" s="13" t="inlineStr"/>
      <c r="L50" s="13" t="inlineStr"/>
      <c r="M50" s="13" t="inlineStr"/>
      <c r="N50" s="13" t="inlineStr"/>
      <c r="O50" s="13" t="inlineStr"/>
      <c r="P50" s="13" t="inlineStr"/>
      <c r="Q50" s="13" t="inlineStr"/>
      <c r="R50" s="13" t="inlineStr"/>
      <c r="S50" s="13" t="inlineStr"/>
      <c r="T50" s="13" t="inlineStr"/>
      <c r="U50" s="13" t="inlineStr"/>
      <c r="V50" s="13" t="inlineStr"/>
      <c r="W50" s="13" t="inlineStr"/>
      <c r="X50" s="13" t="inlineStr"/>
      <c r="Y50" s="13" t="inlineStr"/>
      <c r="Z50" s="13" t="inlineStr"/>
      <c r="AA50" s="13" t="inlineStr"/>
      <c r="AB50" s="13" t="inlineStr"/>
      <c r="AC50" s="13" t="inlineStr"/>
      <c r="AD50" s="13" t="inlineStr"/>
      <c r="AE50" s="13" t="inlineStr"/>
      <c r="AF50" s="14">
        <f>COUNTIF(B50:AE50,"Required")</f>
        <v/>
      </c>
      <c r="AG50" s="14">
        <f>COUNTIF(B50:AE50,"Recommended")</f>
        <v/>
      </c>
      <c r="AH50" s="14">
        <f>AF50+AG50</f>
        <v/>
      </c>
      <c r="AI50" s="14">
        <f>IF(AF50&gt;5,"Yes","")</f>
        <v/>
      </c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mergeCells count="6">
    <mergeCell ref="A2:AI2"/>
    <mergeCell ref="A37:AI37"/>
    <mergeCell ref="A45:AI45"/>
    <mergeCell ref="A12:AI12"/>
    <mergeCell ref="A20:AI20"/>
    <mergeCell ref="A29:AI29"/>
  </mergeCells>
  <conditionalFormatting sqref="B2:B50">
    <cfRule type="cellIs" priority="1" operator="equal" dxfId="4">
      <formula>"Required"</formula>
    </cfRule>
    <cfRule type="cellIs" priority="2" operator="equal" dxfId="5">
      <formula>"Recommended"</formula>
    </cfRule>
    <cfRule type="cellIs" priority="3" operator="equal" dxfId="6">
      <formula>"Optional"</formula>
    </cfRule>
    <cfRule type="cellIs" priority="4" operator="equal" dxfId="2">
      <formula>"Not Applicable"</formula>
    </cfRule>
  </conditionalFormatting>
  <conditionalFormatting sqref="C2:C50">
    <cfRule type="cellIs" priority="5" operator="equal" dxfId="4">
      <formula>"Required"</formula>
    </cfRule>
    <cfRule type="cellIs" priority="6" operator="equal" dxfId="5">
      <formula>"Recommended"</formula>
    </cfRule>
    <cfRule type="cellIs" priority="7" operator="equal" dxfId="6">
      <formula>"Optional"</formula>
    </cfRule>
    <cfRule type="cellIs" priority="8" operator="equal" dxfId="2">
      <formula>"Not Applicable"</formula>
    </cfRule>
  </conditionalFormatting>
  <conditionalFormatting sqref="D2:D50">
    <cfRule type="cellIs" priority="9" operator="equal" dxfId="4">
      <formula>"Required"</formula>
    </cfRule>
    <cfRule type="cellIs" priority="10" operator="equal" dxfId="5">
      <formula>"Recommended"</formula>
    </cfRule>
    <cfRule type="cellIs" priority="11" operator="equal" dxfId="6">
      <formula>"Optional"</formula>
    </cfRule>
    <cfRule type="cellIs" priority="12" operator="equal" dxfId="2">
      <formula>"Not Applicable"</formula>
    </cfRule>
  </conditionalFormatting>
  <conditionalFormatting sqref="E2:E50">
    <cfRule type="cellIs" priority="13" operator="equal" dxfId="4">
      <formula>"Required"</formula>
    </cfRule>
    <cfRule type="cellIs" priority="14" operator="equal" dxfId="5">
      <formula>"Recommended"</formula>
    </cfRule>
    <cfRule type="cellIs" priority="15" operator="equal" dxfId="6">
      <formula>"Optional"</formula>
    </cfRule>
    <cfRule type="cellIs" priority="16" operator="equal" dxfId="2">
      <formula>"Not Applicable"</formula>
    </cfRule>
  </conditionalFormatting>
  <conditionalFormatting sqref="F2:F50">
    <cfRule type="cellIs" priority="17" operator="equal" dxfId="4">
      <formula>"Required"</formula>
    </cfRule>
    <cfRule type="cellIs" priority="18" operator="equal" dxfId="5">
      <formula>"Recommended"</formula>
    </cfRule>
    <cfRule type="cellIs" priority="19" operator="equal" dxfId="6">
      <formula>"Optional"</formula>
    </cfRule>
    <cfRule type="cellIs" priority="20" operator="equal" dxfId="2">
      <formula>"Not Applicable"</formula>
    </cfRule>
  </conditionalFormatting>
  <conditionalFormatting sqref="G2:G50">
    <cfRule type="cellIs" priority="21" operator="equal" dxfId="4">
      <formula>"Required"</formula>
    </cfRule>
    <cfRule type="cellIs" priority="22" operator="equal" dxfId="5">
      <formula>"Recommended"</formula>
    </cfRule>
    <cfRule type="cellIs" priority="23" operator="equal" dxfId="6">
      <formula>"Optional"</formula>
    </cfRule>
    <cfRule type="cellIs" priority="24" operator="equal" dxfId="2">
      <formula>"Not Applicable"</formula>
    </cfRule>
  </conditionalFormatting>
  <conditionalFormatting sqref="H2:H50">
    <cfRule type="cellIs" priority="25" operator="equal" dxfId="4">
      <formula>"Required"</formula>
    </cfRule>
    <cfRule type="cellIs" priority="26" operator="equal" dxfId="5">
      <formula>"Recommended"</formula>
    </cfRule>
    <cfRule type="cellIs" priority="27" operator="equal" dxfId="6">
      <formula>"Optional"</formula>
    </cfRule>
    <cfRule type="cellIs" priority="28" operator="equal" dxfId="2">
      <formula>"Not Applicable"</formula>
    </cfRule>
  </conditionalFormatting>
  <conditionalFormatting sqref="I2:I50">
    <cfRule type="cellIs" priority="29" operator="equal" dxfId="4">
      <formula>"Required"</formula>
    </cfRule>
    <cfRule type="cellIs" priority="30" operator="equal" dxfId="5">
      <formula>"Recommended"</formula>
    </cfRule>
    <cfRule type="cellIs" priority="31" operator="equal" dxfId="6">
      <formula>"Optional"</formula>
    </cfRule>
    <cfRule type="cellIs" priority="32" operator="equal" dxfId="2">
      <formula>"Not Applicable"</formula>
    </cfRule>
  </conditionalFormatting>
  <conditionalFormatting sqref="J2:J50">
    <cfRule type="cellIs" priority="33" operator="equal" dxfId="4">
      <formula>"Required"</formula>
    </cfRule>
    <cfRule type="cellIs" priority="34" operator="equal" dxfId="5">
      <formula>"Recommended"</formula>
    </cfRule>
    <cfRule type="cellIs" priority="35" operator="equal" dxfId="6">
      <formula>"Optional"</formula>
    </cfRule>
    <cfRule type="cellIs" priority="36" operator="equal" dxfId="2">
      <formula>"Not Applicable"</formula>
    </cfRule>
  </conditionalFormatting>
  <conditionalFormatting sqref="K2:K50">
    <cfRule type="cellIs" priority="37" operator="equal" dxfId="4">
      <formula>"Required"</formula>
    </cfRule>
    <cfRule type="cellIs" priority="38" operator="equal" dxfId="5">
      <formula>"Recommended"</formula>
    </cfRule>
    <cfRule type="cellIs" priority="39" operator="equal" dxfId="6">
      <formula>"Optional"</formula>
    </cfRule>
    <cfRule type="cellIs" priority="40" operator="equal" dxfId="2">
      <formula>"Not Applicable"</formula>
    </cfRule>
  </conditionalFormatting>
  <conditionalFormatting sqref="L2:L50">
    <cfRule type="cellIs" priority="41" operator="equal" dxfId="4">
      <formula>"Required"</formula>
    </cfRule>
    <cfRule type="cellIs" priority="42" operator="equal" dxfId="5">
      <formula>"Recommended"</formula>
    </cfRule>
    <cfRule type="cellIs" priority="43" operator="equal" dxfId="6">
      <formula>"Optional"</formula>
    </cfRule>
    <cfRule type="cellIs" priority="44" operator="equal" dxfId="2">
      <formula>"Not Applicable"</formula>
    </cfRule>
  </conditionalFormatting>
  <conditionalFormatting sqref="M2:M50">
    <cfRule type="cellIs" priority="45" operator="equal" dxfId="4">
      <formula>"Required"</formula>
    </cfRule>
    <cfRule type="cellIs" priority="46" operator="equal" dxfId="5">
      <formula>"Recommended"</formula>
    </cfRule>
    <cfRule type="cellIs" priority="47" operator="equal" dxfId="6">
      <formula>"Optional"</formula>
    </cfRule>
    <cfRule type="cellIs" priority="48" operator="equal" dxfId="2">
      <formula>"Not Applicable"</formula>
    </cfRule>
  </conditionalFormatting>
  <conditionalFormatting sqref="N2:N50">
    <cfRule type="cellIs" priority="49" operator="equal" dxfId="4">
      <formula>"Required"</formula>
    </cfRule>
    <cfRule type="cellIs" priority="50" operator="equal" dxfId="5">
      <formula>"Recommended"</formula>
    </cfRule>
    <cfRule type="cellIs" priority="51" operator="equal" dxfId="6">
      <formula>"Optional"</formula>
    </cfRule>
    <cfRule type="cellIs" priority="52" operator="equal" dxfId="2">
      <formula>"Not Applicable"</formula>
    </cfRule>
  </conditionalFormatting>
  <conditionalFormatting sqref="O2:O50">
    <cfRule type="cellIs" priority="53" operator="equal" dxfId="4">
      <formula>"Required"</formula>
    </cfRule>
    <cfRule type="cellIs" priority="54" operator="equal" dxfId="5">
      <formula>"Recommended"</formula>
    </cfRule>
    <cfRule type="cellIs" priority="55" operator="equal" dxfId="6">
      <formula>"Optional"</formula>
    </cfRule>
    <cfRule type="cellIs" priority="56" operator="equal" dxfId="2">
      <formula>"Not Applicable"</formula>
    </cfRule>
  </conditionalFormatting>
  <conditionalFormatting sqref="P2:P50">
    <cfRule type="cellIs" priority="57" operator="equal" dxfId="4">
      <formula>"Required"</formula>
    </cfRule>
    <cfRule type="cellIs" priority="58" operator="equal" dxfId="5">
      <formula>"Recommended"</formula>
    </cfRule>
    <cfRule type="cellIs" priority="59" operator="equal" dxfId="6">
      <formula>"Optional"</formula>
    </cfRule>
    <cfRule type="cellIs" priority="60" operator="equal" dxfId="2">
      <formula>"Not Applicable"</formula>
    </cfRule>
  </conditionalFormatting>
  <conditionalFormatting sqref="Q2:Q50">
    <cfRule type="cellIs" priority="61" operator="equal" dxfId="4">
      <formula>"Required"</formula>
    </cfRule>
    <cfRule type="cellIs" priority="62" operator="equal" dxfId="5">
      <formula>"Recommended"</formula>
    </cfRule>
    <cfRule type="cellIs" priority="63" operator="equal" dxfId="6">
      <formula>"Optional"</formula>
    </cfRule>
    <cfRule type="cellIs" priority="64" operator="equal" dxfId="2">
      <formula>"Not Applicable"</formula>
    </cfRule>
  </conditionalFormatting>
  <conditionalFormatting sqref="R2:R50">
    <cfRule type="cellIs" priority="65" operator="equal" dxfId="4">
      <formula>"Required"</formula>
    </cfRule>
    <cfRule type="cellIs" priority="66" operator="equal" dxfId="5">
      <formula>"Recommended"</formula>
    </cfRule>
    <cfRule type="cellIs" priority="67" operator="equal" dxfId="6">
      <formula>"Optional"</formula>
    </cfRule>
    <cfRule type="cellIs" priority="68" operator="equal" dxfId="2">
      <formula>"Not Applicable"</formula>
    </cfRule>
  </conditionalFormatting>
  <conditionalFormatting sqref="S2:S50">
    <cfRule type="cellIs" priority="69" operator="equal" dxfId="4">
      <formula>"Required"</formula>
    </cfRule>
    <cfRule type="cellIs" priority="70" operator="equal" dxfId="5">
      <formula>"Recommended"</formula>
    </cfRule>
    <cfRule type="cellIs" priority="71" operator="equal" dxfId="6">
      <formula>"Optional"</formula>
    </cfRule>
    <cfRule type="cellIs" priority="72" operator="equal" dxfId="2">
      <formula>"Not Applicable"</formula>
    </cfRule>
  </conditionalFormatting>
  <conditionalFormatting sqref="T2:T50">
    <cfRule type="cellIs" priority="73" operator="equal" dxfId="4">
      <formula>"Required"</formula>
    </cfRule>
    <cfRule type="cellIs" priority="74" operator="equal" dxfId="5">
      <formula>"Recommended"</formula>
    </cfRule>
    <cfRule type="cellIs" priority="75" operator="equal" dxfId="6">
      <formula>"Optional"</formula>
    </cfRule>
    <cfRule type="cellIs" priority="76" operator="equal" dxfId="2">
      <formula>"Not Applicable"</formula>
    </cfRule>
  </conditionalFormatting>
  <conditionalFormatting sqref="U2:U50">
    <cfRule type="cellIs" priority="77" operator="equal" dxfId="4">
      <formula>"Required"</formula>
    </cfRule>
    <cfRule type="cellIs" priority="78" operator="equal" dxfId="5">
      <formula>"Recommended"</formula>
    </cfRule>
    <cfRule type="cellIs" priority="79" operator="equal" dxfId="6">
      <formula>"Optional"</formula>
    </cfRule>
    <cfRule type="cellIs" priority="80" operator="equal" dxfId="2">
      <formula>"Not Applicable"</formula>
    </cfRule>
  </conditionalFormatting>
  <conditionalFormatting sqref="V2:V50">
    <cfRule type="cellIs" priority="81" operator="equal" dxfId="4">
      <formula>"Required"</formula>
    </cfRule>
    <cfRule type="cellIs" priority="82" operator="equal" dxfId="5">
      <formula>"Recommended"</formula>
    </cfRule>
    <cfRule type="cellIs" priority="83" operator="equal" dxfId="6">
      <formula>"Optional"</formula>
    </cfRule>
    <cfRule type="cellIs" priority="84" operator="equal" dxfId="2">
      <formula>"Not Applicable"</formula>
    </cfRule>
  </conditionalFormatting>
  <conditionalFormatting sqref="W2:W50">
    <cfRule type="cellIs" priority="85" operator="equal" dxfId="4">
      <formula>"Required"</formula>
    </cfRule>
    <cfRule type="cellIs" priority="86" operator="equal" dxfId="5">
      <formula>"Recommended"</formula>
    </cfRule>
    <cfRule type="cellIs" priority="87" operator="equal" dxfId="6">
      <formula>"Optional"</formula>
    </cfRule>
    <cfRule type="cellIs" priority="88" operator="equal" dxfId="2">
      <formula>"Not Applicable"</formula>
    </cfRule>
  </conditionalFormatting>
  <conditionalFormatting sqref="X2:X50">
    <cfRule type="cellIs" priority="89" operator="equal" dxfId="4">
      <formula>"Required"</formula>
    </cfRule>
    <cfRule type="cellIs" priority="90" operator="equal" dxfId="5">
      <formula>"Recommended"</formula>
    </cfRule>
    <cfRule type="cellIs" priority="91" operator="equal" dxfId="6">
      <formula>"Optional"</formula>
    </cfRule>
    <cfRule type="cellIs" priority="92" operator="equal" dxfId="2">
      <formula>"Not Applicable"</formula>
    </cfRule>
  </conditionalFormatting>
  <conditionalFormatting sqref="Y2:Y50">
    <cfRule type="cellIs" priority="93" operator="equal" dxfId="4">
      <formula>"Required"</formula>
    </cfRule>
    <cfRule type="cellIs" priority="94" operator="equal" dxfId="5">
      <formula>"Recommended"</formula>
    </cfRule>
    <cfRule type="cellIs" priority="95" operator="equal" dxfId="6">
      <formula>"Optional"</formula>
    </cfRule>
    <cfRule type="cellIs" priority="96" operator="equal" dxfId="2">
      <formula>"Not Applicable"</formula>
    </cfRule>
  </conditionalFormatting>
  <conditionalFormatting sqref="Z2:Z50">
    <cfRule type="cellIs" priority="97" operator="equal" dxfId="4">
      <formula>"Required"</formula>
    </cfRule>
    <cfRule type="cellIs" priority="98" operator="equal" dxfId="5">
      <formula>"Recommended"</formula>
    </cfRule>
    <cfRule type="cellIs" priority="99" operator="equal" dxfId="6">
      <formula>"Optional"</formula>
    </cfRule>
    <cfRule type="cellIs" priority="100" operator="equal" dxfId="2">
      <formula>"Not Applicable"</formula>
    </cfRule>
  </conditionalFormatting>
  <conditionalFormatting sqref="AA2:AA50">
    <cfRule type="cellIs" priority="101" operator="equal" dxfId="4">
      <formula>"Required"</formula>
    </cfRule>
    <cfRule type="cellIs" priority="102" operator="equal" dxfId="5">
      <formula>"Recommended"</formula>
    </cfRule>
    <cfRule type="cellIs" priority="103" operator="equal" dxfId="6">
      <formula>"Optional"</formula>
    </cfRule>
    <cfRule type="cellIs" priority="104" operator="equal" dxfId="2">
      <formula>"Not Applicable"</formula>
    </cfRule>
  </conditionalFormatting>
  <conditionalFormatting sqref="AB2:AB50">
    <cfRule type="cellIs" priority="105" operator="equal" dxfId="4">
      <formula>"Required"</formula>
    </cfRule>
    <cfRule type="cellIs" priority="106" operator="equal" dxfId="5">
      <formula>"Recommended"</formula>
    </cfRule>
    <cfRule type="cellIs" priority="107" operator="equal" dxfId="6">
      <formula>"Optional"</formula>
    </cfRule>
    <cfRule type="cellIs" priority="108" operator="equal" dxfId="2">
      <formula>"Not Applicable"</formula>
    </cfRule>
  </conditionalFormatting>
  <conditionalFormatting sqref="AC2:AC50">
    <cfRule type="cellIs" priority="109" operator="equal" dxfId="4">
      <formula>"Required"</formula>
    </cfRule>
    <cfRule type="cellIs" priority="110" operator="equal" dxfId="5">
      <formula>"Recommended"</formula>
    </cfRule>
    <cfRule type="cellIs" priority="111" operator="equal" dxfId="6">
      <formula>"Optional"</formula>
    </cfRule>
    <cfRule type="cellIs" priority="112" operator="equal" dxfId="2">
      <formula>"Not Applicable"</formula>
    </cfRule>
  </conditionalFormatting>
  <conditionalFormatting sqref="AD2:AD50">
    <cfRule type="cellIs" priority="113" operator="equal" dxfId="4">
      <formula>"Required"</formula>
    </cfRule>
    <cfRule type="cellIs" priority="114" operator="equal" dxfId="5">
      <formula>"Recommended"</formula>
    </cfRule>
    <cfRule type="cellIs" priority="115" operator="equal" dxfId="6">
      <formula>"Optional"</formula>
    </cfRule>
    <cfRule type="cellIs" priority="116" operator="equal" dxfId="2">
      <formula>"Not Applicable"</formula>
    </cfRule>
  </conditionalFormatting>
  <conditionalFormatting sqref="AE2:AE50">
    <cfRule type="cellIs" priority="117" operator="equal" dxfId="4">
      <formula>"Required"</formula>
    </cfRule>
    <cfRule type="cellIs" priority="118" operator="equal" dxfId="5">
      <formula>"Recommended"</formula>
    </cfRule>
    <cfRule type="cellIs" priority="119" operator="equal" dxfId="6">
      <formula>"Optional"</formula>
    </cfRule>
    <cfRule type="cellIs" priority="120" operator="equal" dxfId="2">
      <formula>"Not Applicable"</formula>
    </cfRule>
  </conditionalFormatting>
  <conditionalFormatting sqref="AI2:AI50">
    <cfRule type="cellIs" priority="121" operator="equal" dxfId="1">
      <formula>"Yes"</formula>
    </cfRule>
  </conditionalFormatting>
  <dataValidations count="1">
    <dataValidation sqref="B2:AE50" showDropDown="0" showInputMessage="0" showErrorMessage="1" allowBlank="1" errorTitle="Invalid Entry" error="Please select from the dropdown list." type="list">
      <formula1>"Required,Recommended,Optional,Not Applicable"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5" customWidth="1" min="3" max="3"/>
    <col width="12" customWidth="1" min="4" max="4"/>
    <col width="25" customWidth="1" min="5" max="5"/>
    <col width="20" customWidth="1" min="6" max="6"/>
    <col width="25" customWidth="1" min="7" max="7"/>
    <col width="25" customWidth="1" min="8" max="8"/>
    <col width="15" customWidth="1" min="9" max="9"/>
    <col width="14" customWidth="1" min="10" max="10"/>
    <col width="18" customWidth="1" min="11" max="11"/>
    <col width="14" customWidth="1" min="12" max="12"/>
    <col width="22" customWidth="1" min="13" max="13"/>
    <col width="22" customWidth="1" min="14" max="14"/>
    <col width="18" customWidth="1" min="15" max="15"/>
    <col width="14" customWidth="1" min="16" max="16"/>
    <col width="16" customWidth="1" min="17" max="17"/>
    <col width="14" customWidth="1" min="18" max="18"/>
    <col width="16" customWidth="1" min="19" max="19"/>
    <col width="22" customWidth="1" min="20" max="20"/>
    <col width="20" customWidth="1" min="21" max="21"/>
    <col width="18" customWidth="1" min="22" max="22"/>
    <col width="18" customWidth="1" min="23" max="23"/>
    <col width="25" customWidth="1" min="24" max="24"/>
    <col width="20" customWidth="1" min="25" max="25"/>
    <col width="18" customWidth="1" min="26" max="26"/>
    <col width="20" customWidth="1" min="27" max="27"/>
    <col width="40" customWidth="1" min="28" max="28"/>
  </cols>
  <sheetData>
    <row r="1">
      <c r="A1" s="6" t="inlineStr">
        <is>
          <t>Asset_ID</t>
        </is>
      </c>
      <c r="B1" s="6" t="inlineStr">
        <is>
          <t>Asset_Name</t>
        </is>
      </c>
      <c r="C1" s="6" t="inlineStr">
        <is>
          <t>Asset_Type</t>
        </is>
      </c>
      <c r="D1" s="6" t="inlineStr">
        <is>
          <t>Asset_Tier</t>
        </is>
      </c>
      <c r="E1" s="6" t="inlineStr">
        <is>
          <t>Asset_Owner</t>
        </is>
      </c>
      <c r="F1" s="6" t="inlineStr">
        <is>
          <t>Location</t>
        </is>
      </c>
      <c r="G1" s="6" t="inlineStr">
        <is>
          <t>Operating_System</t>
        </is>
      </c>
      <c r="H1" s="6" t="inlineStr">
        <is>
          <t>Applicable_Standards</t>
        </is>
      </c>
      <c r="I1" s="6" t="inlineStr">
        <is>
          <t>Standards_Count</t>
        </is>
      </c>
      <c r="J1" s="6" t="inlineStr">
        <is>
          <t>Total_Controls</t>
        </is>
      </c>
      <c r="K1" s="6" t="inlineStr">
        <is>
          <t>Implemented_Controls</t>
        </is>
      </c>
      <c r="L1" s="6" t="inlineStr">
        <is>
          <t>Partial_Controls</t>
        </is>
      </c>
      <c r="M1" s="6" t="inlineStr">
        <is>
          <t>Not_Implemented_Controls</t>
        </is>
      </c>
      <c r="N1" s="6" t="inlineStr">
        <is>
          <t>Not_Applicable_Controls</t>
        </is>
      </c>
      <c r="O1" s="6" t="inlineStr">
        <is>
          <t>Compliance_Percentage</t>
        </is>
      </c>
      <c r="P1" s="6" t="inlineStr">
        <is>
          <t>High_Risk_Gaps</t>
        </is>
      </c>
      <c r="Q1" s="6" t="inlineStr">
        <is>
          <t>Medium_Risk_Gaps</t>
        </is>
      </c>
      <c r="R1" s="6" t="inlineStr">
        <is>
          <t>Low_Risk_Gaps</t>
        </is>
      </c>
      <c r="S1" s="6" t="inlineStr">
        <is>
          <t>Active_Exceptions</t>
        </is>
      </c>
      <c r="T1" s="6" t="inlineStr">
        <is>
          <t>Compensating_Controls</t>
        </is>
      </c>
      <c r="U1" s="6" t="inlineStr">
        <is>
          <t>Compliance_Status</t>
        </is>
      </c>
      <c r="V1" s="6" t="inlineStr">
        <is>
          <t>Last_Assessment_Date</t>
        </is>
      </c>
      <c r="W1" s="6" t="inlineStr">
        <is>
          <t>Next_Assessment_Date</t>
        </is>
      </c>
      <c r="X1" s="6" t="inlineStr">
        <is>
          <t>Assessor</t>
        </is>
      </c>
      <c r="Y1" s="6" t="inlineStr">
        <is>
          <t>Evidence_Reference</t>
        </is>
      </c>
      <c r="Z1" s="6" t="inlineStr">
        <is>
          <t>Remediation_Status</t>
        </is>
      </c>
      <c r="AA1" s="6" t="inlineStr">
        <is>
          <t>Target_Compliance_Date</t>
        </is>
      </c>
      <c r="AB1" s="6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inlineStr"/>
      <c r="J2" s="8" t="n"/>
      <c r="K2" s="8" t="n"/>
      <c r="L2" s="8" t="n"/>
      <c r="M2" s="8" t="n"/>
      <c r="N2" s="8" t="n"/>
      <c r="O2" s="15">
        <f>IF(AND(J2&gt;0,(J2-N2)&gt;0), (K2+(L2*0.5))/(J2-N2), "")</f>
        <v/>
      </c>
      <c r="P2" s="8" t="n"/>
      <c r="Q2" s="8" t="n"/>
      <c r="R2" s="8" t="n"/>
      <c r="S2" s="8" t="n"/>
      <c r="T2" s="8" t="n"/>
      <c r="U2">
        <f>IF(O2="","", IF(AND(O2=1, P2=0), "Fully Compliant", IF(AND(O2&gt;=0.95, P2=0), "Compliant", IF(O2&gt;=0.9, "Substantially Compliant", IF(O2&gt;=0.8, "Partially Compliant", "Non-Compliant")))))</f>
        <v/>
      </c>
      <c r="V2" s="8" t="n"/>
      <c r="W2" s="16">
        <f>IF(V2&lt;&gt;"", V2+90, "")</f>
        <v/>
      </c>
      <c r="X2" s="8" t="inlineStr">
        <is>
          <t>[Security Analyst]</t>
        </is>
      </c>
      <c r="Y2" s="8" t="n"/>
      <c r="Z2" s="8" t="inlineStr">
        <is>
          <t>Not Started</t>
        </is>
      </c>
      <c r="AA2" s="8" t="n"/>
      <c r="AB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inlineStr"/>
      <c r="J3" s="8" t="n"/>
      <c r="K3" s="8" t="n"/>
      <c r="L3" s="8" t="n"/>
      <c r="M3" s="8" t="n"/>
      <c r="N3" s="8" t="n"/>
      <c r="O3" s="15">
        <f>IF(AND(J3&gt;0,(J3-N3)&gt;0), (K3+(L3*0.5))/(J3-N3), "")</f>
        <v/>
      </c>
      <c r="P3" s="8" t="n"/>
      <c r="Q3" s="8" t="n"/>
      <c r="R3" s="8" t="n"/>
      <c r="S3" s="8" t="n"/>
      <c r="T3" s="8" t="n"/>
      <c r="U3">
        <f>IF(O3="","", IF(AND(O3=1, P3=0), "Fully Compliant", IF(AND(O3&gt;=0.95, P3=0), "Compliant", IF(O3&gt;=0.9, "Substantially Compliant", IF(O3&gt;=0.8, "Partially Compliant", "Non-Compliant")))))</f>
        <v/>
      </c>
      <c r="V3" s="8" t="n"/>
      <c r="W3" s="16">
        <f>IF(V3&lt;&gt;"", V3+90, "")</f>
        <v/>
      </c>
      <c r="X3" s="8" t="inlineStr">
        <is>
          <t>[Security Analyst]</t>
        </is>
      </c>
      <c r="Y3" s="8" t="n"/>
      <c r="Z3" s="8" t="inlineStr">
        <is>
          <t>Not Started</t>
        </is>
      </c>
      <c r="AA3" s="8" t="n"/>
      <c r="AB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inlineStr"/>
      <c r="J4" s="8" t="n"/>
      <c r="K4" s="8" t="n"/>
      <c r="L4" s="8" t="n"/>
      <c r="M4" s="8" t="n"/>
      <c r="N4" s="8" t="n"/>
      <c r="O4" s="15">
        <f>IF(AND(J4&gt;0,(J4-N4)&gt;0), (K4+(L4*0.5))/(J4-N4), "")</f>
        <v/>
      </c>
      <c r="P4" s="8" t="n"/>
      <c r="Q4" s="8" t="n"/>
      <c r="R4" s="8" t="n"/>
      <c r="S4" s="8" t="n"/>
      <c r="T4" s="8" t="n"/>
      <c r="U4">
        <f>IF(O4="","", IF(AND(O4=1, P4=0), "Fully Compliant", IF(AND(O4&gt;=0.95, P4=0), "Compliant", IF(O4&gt;=0.9, "Substantially Compliant", IF(O4&gt;=0.8, "Partially Compliant", "Non-Compliant")))))</f>
        <v/>
      </c>
      <c r="V4" s="8" t="n"/>
      <c r="W4" s="16">
        <f>IF(V4&lt;&gt;"", V4+90, "")</f>
        <v/>
      </c>
      <c r="X4" s="8" t="inlineStr">
        <is>
          <t>[Security Analyst]</t>
        </is>
      </c>
      <c r="Y4" s="8" t="n"/>
      <c r="Z4" s="8" t="inlineStr">
        <is>
          <t>Not Started</t>
        </is>
      </c>
      <c r="AA4" s="8" t="n"/>
      <c r="AB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inlineStr"/>
      <c r="J5" s="8" t="n"/>
      <c r="K5" s="8" t="n"/>
      <c r="L5" s="8" t="n"/>
      <c r="M5" s="8" t="n"/>
      <c r="N5" s="8" t="n"/>
      <c r="O5" s="15">
        <f>IF(AND(J5&gt;0,(J5-N5)&gt;0), (K5+(L5*0.5))/(J5-N5), "")</f>
        <v/>
      </c>
      <c r="P5" s="8" t="n"/>
      <c r="Q5" s="8" t="n"/>
      <c r="R5" s="8" t="n"/>
      <c r="S5" s="8" t="n"/>
      <c r="T5" s="8" t="n"/>
      <c r="U5">
        <f>IF(O5="","", IF(AND(O5=1, P5=0), "Fully Compliant", IF(AND(O5&gt;=0.95, P5=0), "Compliant", IF(O5&gt;=0.9, "Substantially Compliant", IF(O5&gt;=0.8, "Partially Compliant", "Non-Compliant")))))</f>
        <v/>
      </c>
      <c r="V5" s="8" t="n"/>
      <c r="W5" s="16">
        <f>IF(V5&lt;&gt;"", V5+90, "")</f>
        <v/>
      </c>
      <c r="X5" s="8" t="inlineStr">
        <is>
          <t>[Security Analyst]</t>
        </is>
      </c>
      <c r="Y5" s="8" t="n"/>
      <c r="Z5" s="8" t="inlineStr">
        <is>
          <t>Not Started</t>
        </is>
      </c>
      <c r="AA5" s="8" t="n"/>
      <c r="AB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inlineStr"/>
      <c r="J6" s="8" t="n"/>
      <c r="K6" s="8" t="n"/>
      <c r="L6" s="8" t="n"/>
      <c r="M6" s="8" t="n"/>
      <c r="N6" s="8" t="n"/>
      <c r="O6" s="15">
        <f>IF(AND(J6&gt;0,(J6-N6)&gt;0), (K6+(L6*0.5))/(J6-N6), "")</f>
        <v/>
      </c>
      <c r="P6" s="8" t="n"/>
      <c r="Q6" s="8" t="n"/>
      <c r="R6" s="8" t="n"/>
      <c r="S6" s="8" t="n"/>
      <c r="T6" s="8" t="n"/>
      <c r="U6">
        <f>IF(O6="","", IF(AND(O6=1, P6=0), "Fully Compliant", IF(AND(O6&gt;=0.95, P6=0), "Compliant", IF(O6&gt;=0.9, "Substantially Compliant", IF(O6&gt;=0.8, "Partially Compliant", "Non-Compliant")))))</f>
        <v/>
      </c>
      <c r="V6" s="8" t="n"/>
      <c r="W6" s="16">
        <f>IF(V6&lt;&gt;"", V6+90, "")</f>
        <v/>
      </c>
      <c r="X6" s="8" t="inlineStr">
        <is>
          <t>[Security Analyst]</t>
        </is>
      </c>
      <c r="Y6" s="8" t="n"/>
      <c r="Z6" s="8" t="inlineStr">
        <is>
          <t>Not Started</t>
        </is>
      </c>
      <c r="AA6" s="8" t="n"/>
      <c r="AB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inlineStr"/>
      <c r="J7" s="8" t="n"/>
      <c r="K7" s="8" t="n"/>
      <c r="L7" s="8" t="n"/>
      <c r="M7" s="8" t="n"/>
      <c r="N7" s="8" t="n"/>
      <c r="O7" s="15">
        <f>IF(AND(J7&gt;0,(J7-N7)&gt;0), (K7+(L7*0.5))/(J7-N7), "")</f>
        <v/>
      </c>
      <c r="P7" s="8" t="n"/>
      <c r="Q7" s="8" t="n"/>
      <c r="R7" s="8" t="n"/>
      <c r="S7" s="8" t="n"/>
      <c r="T7" s="8" t="n"/>
      <c r="U7">
        <f>IF(O7="","", IF(AND(O7=1, P7=0), "Fully Compliant", IF(AND(O7&gt;=0.95, P7=0), "Compliant", IF(O7&gt;=0.9, "Substantially Compliant", IF(O7&gt;=0.8, "Partially Compliant", "Non-Compliant")))))</f>
        <v/>
      </c>
      <c r="V7" s="8" t="n"/>
      <c r="W7" s="16">
        <f>IF(V7&lt;&gt;"", V7+90, "")</f>
        <v/>
      </c>
      <c r="X7" s="8" t="inlineStr">
        <is>
          <t>[Security Analyst]</t>
        </is>
      </c>
      <c r="Y7" s="8" t="n"/>
      <c r="Z7" s="8" t="inlineStr">
        <is>
          <t>Not Started</t>
        </is>
      </c>
      <c r="AA7" s="8" t="n"/>
      <c r="AB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inlineStr"/>
      <c r="J8" s="8" t="n"/>
      <c r="K8" s="8" t="n"/>
      <c r="L8" s="8" t="n"/>
      <c r="M8" s="8" t="n"/>
      <c r="N8" s="8" t="n"/>
      <c r="O8" s="15">
        <f>IF(AND(J8&gt;0,(J8-N8)&gt;0), (K8+(L8*0.5))/(J8-N8), "")</f>
        <v/>
      </c>
      <c r="P8" s="8" t="n"/>
      <c r="Q8" s="8" t="n"/>
      <c r="R8" s="8" t="n"/>
      <c r="S8" s="8" t="n"/>
      <c r="T8" s="8" t="n"/>
      <c r="U8">
        <f>IF(O8="","", IF(AND(O8=1, P8=0), "Fully Compliant", IF(AND(O8&gt;=0.95, P8=0), "Compliant", IF(O8&gt;=0.9, "Substantially Compliant", IF(O8&gt;=0.8, "Partially Compliant", "Non-Compliant")))))</f>
        <v/>
      </c>
      <c r="V8" s="8" t="n"/>
      <c r="W8" s="16">
        <f>IF(V8&lt;&gt;"", V8+90, "")</f>
        <v/>
      </c>
      <c r="X8" s="8" t="inlineStr">
        <is>
          <t>[Security Analyst]</t>
        </is>
      </c>
      <c r="Y8" s="8" t="n"/>
      <c r="Z8" s="8" t="inlineStr">
        <is>
          <t>Not Started</t>
        </is>
      </c>
      <c r="AA8" s="8" t="n"/>
      <c r="AB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inlineStr"/>
      <c r="J9" s="8" t="n"/>
      <c r="K9" s="8" t="n"/>
      <c r="L9" s="8" t="n"/>
      <c r="M9" s="8" t="n"/>
      <c r="N9" s="8" t="n"/>
      <c r="O9" s="15">
        <f>IF(AND(J9&gt;0,(J9-N9)&gt;0), (K9+(L9*0.5))/(J9-N9), "")</f>
        <v/>
      </c>
      <c r="P9" s="8" t="n"/>
      <c r="Q9" s="8" t="n"/>
      <c r="R9" s="8" t="n"/>
      <c r="S9" s="8" t="n"/>
      <c r="T9" s="8" t="n"/>
      <c r="U9">
        <f>IF(O9="","", IF(AND(O9=1, P9=0), "Fully Compliant", IF(AND(O9&gt;=0.95, P9=0), "Compliant", IF(O9&gt;=0.9, "Substantially Compliant", IF(O9&gt;=0.8, "Partially Compliant", "Non-Compliant")))))</f>
        <v/>
      </c>
      <c r="V9" s="8" t="n"/>
      <c r="W9" s="16">
        <f>IF(V9&lt;&gt;"", V9+90, "")</f>
        <v/>
      </c>
      <c r="X9" s="8" t="inlineStr">
        <is>
          <t>[Security Analyst]</t>
        </is>
      </c>
      <c r="Y9" s="8" t="n"/>
      <c r="Z9" s="8" t="inlineStr">
        <is>
          <t>Not Started</t>
        </is>
      </c>
      <c r="AA9" s="8" t="n"/>
      <c r="AB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inlineStr"/>
      <c r="J10" s="8" t="n"/>
      <c r="K10" s="8" t="n"/>
      <c r="L10" s="8" t="n"/>
      <c r="M10" s="8" t="n"/>
      <c r="N10" s="8" t="n"/>
      <c r="O10" s="15">
        <f>IF(AND(J10&gt;0,(J10-N10)&gt;0), (K10+(L10*0.5))/(J10-N10), "")</f>
        <v/>
      </c>
      <c r="P10" s="8" t="n"/>
      <c r="Q10" s="8" t="n"/>
      <c r="R10" s="8" t="n"/>
      <c r="S10" s="8" t="n"/>
      <c r="T10" s="8" t="n"/>
      <c r="U10">
        <f>IF(O10="","", IF(AND(O10=1, P10=0), "Fully Compliant", IF(AND(O10&gt;=0.95, P10=0), "Compliant", IF(O10&gt;=0.9, "Substantially Compliant", IF(O10&gt;=0.8, "Partially Compliant", "Non-Compliant")))))</f>
        <v/>
      </c>
      <c r="V10" s="8" t="n"/>
      <c r="W10" s="16">
        <f>IF(V10&lt;&gt;"", V10+90, "")</f>
        <v/>
      </c>
      <c r="X10" s="8" t="inlineStr">
        <is>
          <t>[Security Analyst]</t>
        </is>
      </c>
      <c r="Y10" s="8" t="n"/>
      <c r="Z10" s="8" t="inlineStr">
        <is>
          <t>Not Started</t>
        </is>
      </c>
      <c r="AA10" s="8" t="n"/>
      <c r="AB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inlineStr"/>
      <c r="J11" s="8" t="n"/>
      <c r="K11" s="8" t="n"/>
      <c r="L11" s="8" t="n"/>
      <c r="M11" s="8" t="n"/>
      <c r="N11" s="8" t="n"/>
      <c r="O11" s="15">
        <f>IF(AND(J11&gt;0,(J11-N11)&gt;0), (K11+(L11*0.5))/(J11-N11), "")</f>
        <v/>
      </c>
      <c r="P11" s="8" t="n"/>
      <c r="Q11" s="8" t="n"/>
      <c r="R11" s="8" t="n"/>
      <c r="S11" s="8" t="n"/>
      <c r="T11" s="8" t="n"/>
      <c r="U11">
        <f>IF(O11="","", IF(AND(O11=1, P11=0), "Fully Compliant", IF(AND(O11&gt;=0.95, P11=0), "Compliant", IF(O11&gt;=0.9, "Substantially Compliant", IF(O11&gt;=0.8, "Partially Compliant", "Non-Compliant")))))</f>
        <v/>
      </c>
      <c r="V11" s="8" t="n"/>
      <c r="W11" s="16">
        <f>IF(V11&lt;&gt;"", V11+90, "")</f>
        <v/>
      </c>
      <c r="X11" s="8" t="inlineStr">
        <is>
          <t>[Security Analyst]</t>
        </is>
      </c>
      <c r="Y11" s="8" t="n"/>
      <c r="Z11" s="8" t="inlineStr">
        <is>
          <t>Not Started</t>
        </is>
      </c>
      <c r="AA11" s="8" t="n"/>
      <c r="AB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inlineStr"/>
      <c r="J12" s="8" t="n"/>
      <c r="K12" s="8" t="n"/>
      <c r="L12" s="8" t="n"/>
      <c r="M12" s="8" t="n"/>
      <c r="N12" s="8" t="n"/>
      <c r="O12" s="15">
        <f>IF(AND(J12&gt;0,(J12-N12)&gt;0), (K12+(L12*0.5))/(J12-N12), "")</f>
        <v/>
      </c>
      <c r="P12" s="8" t="n"/>
      <c r="Q12" s="8" t="n"/>
      <c r="R12" s="8" t="n"/>
      <c r="S12" s="8" t="n"/>
      <c r="T12" s="8" t="n"/>
      <c r="U12">
        <f>IF(O12="","", IF(AND(O12=1, P12=0), "Fully Compliant", IF(AND(O12&gt;=0.95, P12=0), "Compliant", IF(O12&gt;=0.9, "Substantially Compliant", IF(O12&gt;=0.8, "Partially Compliant", "Non-Compliant")))))</f>
        <v/>
      </c>
      <c r="V12" s="8" t="n"/>
      <c r="W12" s="16">
        <f>IF(V12&lt;&gt;"", V12+90, "")</f>
        <v/>
      </c>
      <c r="X12" s="8" t="inlineStr">
        <is>
          <t>[Security Analyst]</t>
        </is>
      </c>
      <c r="Y12" s="8" t="n"/>
      <c r="Z12" s="8" t="inlineStr">
        <is>
          <t>Not Started</t>
        </is>
      </c>
      <c r="AA12" s="8" t="n"/>
      <c r="AB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inlineStr"/>
      <c r="J13" s="8" t="n"/>
      <c r="K13" s="8" t="n"/>
      <c r="L13" s="8" t="n"/>
      <c r="M13" s="8" t="n"/>
      <c r="N13" s="8" t="n"/>
      <c r="O13" s="15">
        <f>IF(AND(J13&gt;0,(J13-N13)&gt;0), (K13+(L13*0.5))/(J13-N13), "")</f>
        <v/>
      </c>
      <c r="P13" s="8" t="n"/>
      <c r="Q13" s="8" t="n"/>
      <c r="R13" s="8" t="n"/>
      <c r="S13" s="8" t="n"/>
      <c r="T13" s="8" t="n"/>
      <c r="U13">
        <f>IF(O13="","", IF(AND(O13=1, P13=0), "Fully Compliant", IF(AND(O13&gt;=0.95, P13=0), "Compliant", IF(O13&gt;=0.9, "Substantially Compliant", IF(O13&gt;=0.8, "Partially Compliant", "Non-Compliant")))))</f>
        <v/>
      </c>
      <c r="V13" s="8" t="n"/>
      <c r="W13" s="16">
        <f>IF(V13&lt;&gt;"", V13+90, "")</f>
        <v/>
      </c>
      <c r="X13" s="8" t="inlineStr">
        <is>
          <t>[Security Analyst]</t>
        </is>
      </c>
      <c r="Y13" s="8" t="n"/>
      <c r="Z13" s="8" t="inlineStr">
        <is>
          <t>Not Started</t>
        </is>
      </c>
      <c r="AA13" s="8" t="n"/>
      <c r="AB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inlineStr"/>
      <c r="J14" s="8" t="n"/>
      <c r="K14" s="8" t="n"/>
      <c r="L14" s="8" t="n"/>
      <c r="M14" s="8" t="n"/>
      <c r="N14" s="8" t="n"/>
      <c r="O14" s="15">
        <f>IF(AND(J14&gt;0,(J14-N14)&gt;0), (K14+(L14*0.5))/(J14-N14), "")</f>
        <v/>
      </c>
      <c r="P14" s="8" t="n"/>
      <c r="Q14" s="8" t="n"/>
      <c r="R14" s="8" t="n"/>
      <c r="S14" s="8" t="n"/>
      <c r="T14" s="8" t="n"/>
      <c r="U14">
        <f>IF(O14="","", IF(AND(O14=1, P14=0), "Fully Compliant", IF(AND(O14&gt;=0.95, P14=0), "Compliant", IF(O14&gt;=0.9, "Substantially Compliant", IF(O14&gt;=0.8, "Partially Compliant", "Non-Compliant")))))</f>
        <v/>
      </c>
      <c r="V14" s="8" t="n"/>
      <c r="W14" s="16">
        <f>IF(V14&lt;&gt;"", V14+90, "")</f>
        <v/>
      </c>
      <c r="X14" s="8" t="inlineStr">
        <is>
          <t>[Security Analyst]</t>
        </is>
      </c>
      <c r="Y14" s="8" t="n"/>
      <c r="Z14" s="8" t="inlineStr">
        <is>
          <t>Not Started</t>
        </is>
      </c>
      <c r="AA14" s="8" t="n"/>
      <c r="AB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inlineStr"/>
      <c r="J15" s="8" t="n"/>
      <c r="K15" s="8" t="n"/>
      <c r="L15" s="8" t="n"/>
      <c r="M15" s="8" t="n"/>
      <c r="N15" s="8" t="n"/>
      <c r="O15" s="15">
        <f>IF(AND(J15&gt;0,(J15-N15)&gt;0), (K15+(L15*0.5))/(J15-N15), "")</f>
        <v/>
      </c>
      <c r="P15" s="8" t="n"/>
      <c r="Q15" s="8" t="n"/>
      <c r="R15" s="8" t="n"/>
      <c r="S15" s="8" t="n"/>
      <c r="T15" s="8" t="n"/>
      <c r="U15">
        <f>IF(O15="","", IF(AND(O15=1, P15=0), "Fully Compliant", IF(AND(O15&gt;=0.95, P15=0), "Compliant", IF(O15&gt;=0.9, "Substantially Compliant", IF(O15&gt;=0.8, "Partially Compliant", "Non-Compliant")))))</f>
        <v/>
      </c>
      <c r="V15" s="8" t="n"/>
      <c r="W15" s="16">
        <f>IF(V15&lt;&gt;"", V15+90, "")</f>
        <v/>
      </c>
      <c r="X15" s="8" t="inlineStr">
        <is>
          <t>[Security Analyst]</t>
        </is>
      </c>
      <c r="Y15" s="8" t="n"/>
      <c r="Z15" s="8" t="inlineStr">
        <is>
          <t>Not Started</t>
        </is>
      </c>
      <c r="AA15" s="8" t="n"/>
      <c r="AB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inlineStr"/>
      <c r="J16" s="8" t="n"/>
      <c r="K16" s="8" t="n"/>
      <c r="L16" s="8" t="n"/>
      <c r="M16" s="8" t="n"/>
      <c r="N16" s="8" t="n"/>
      <c r="O16" s="15">
        <f>IF(AND(J16&gt;0,(J16-N16)&gt;0), (K16+(L16*0.5))/(J16-N16), "")</f>
        <v/>
      </c>
      <c r="P16" s="8" t="n"/>
      <c r="Q16" s="8" t="n"/>
      <c r="R16" s="8" t="n"/>
      <c r="S16" s="8" t="n"/>
      <c r="T16" s="8" t="n"/>
      <c r="U16">
        <f>IF(O16="","", IF(AND(O16=1, P16=0), "Fully Compliant", IF(AND(O16&gt;=0.95, P16=0), "Compliant", IF(O16&gt;=0.9, "Substantially Compliant", IF(O16&gt;=0.8, "Partially Compliant", "Non-Compliant")))))</f>
        <v/>
      </c>
      <c r="V16" s="8" t="n"/>
      <c r="W16" s="16">
        <f>IF(V16&lt;&gt;"", V16+90, "")</f>
        <v/>
      </c>
      <c r="X16" s="8" t="inlineStr">
        <is>
          <t>[Security Analyst]</t>
        </is>
      </c>
      <c r="Y16" s="8" t="n"/>
      <c r="Z16" s="8" t="inlineStr">
        <is>
          <t>Not Started</t>
        </is>
      </c>
      <c r="AA16" s="8" t="n"/>
      <c r="AB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inlineStr"/>
      <c r="J17" s="8" t="n"/>
      <c r="K17" s="8" t="n"/>
      <c r="L17" s="8" t="n"/>
      <c r="M17" s="8" t="n"/>
      <c r="N17" s="8" t="n"/>
      <c r="O17" s="15">
        <f>IF(AND(J17&gt;0,(J17-N17)&gt;0), (K17+(L17*0.5))/(J17-N17), "")</f>
        <v/>
      </c>
      <c r="P17" s="8" t="n"/>
      <c r="Q17" s="8" t="n"/>
      <c r="R17" s="8" t="n"/>
      <c r="S17" s="8" t="n"/>
      <c r="T17" s="8" t="n"/>
      <c r="U17">
        <f>IF(O17="","", IF(AND(O17=1, P17=0), "Fully Compliant", IF(AND(O17&gt;=0.95, P17=0), "Compliant", IF(O17&gt;=0.9, "Substantially Compliant", IF(O17&gt;=0.8, "Partially Compliant", "Non-Compliant")))))</f>
        <v/>
      </c>
      <c r="V17" s="8" t="n"/>
      <c r="W17" s="16">
        <f>IF(V17&lt;&gt;"", V17+90, "")</f>
        <v/>
      </c>
      <c r="X17" s="8" t="inlineStr">
        <is>
          <t>[Security Analyst]</t>
        </is>
      </c>
      <c r="Y17" s="8" t="n"/>
      <c r="Z17" s="8" t="inlineStr">
        <is>
          <t>Not Started</t>
        </is>
      </c>
      <c r="AA17" s="8" t="n"/>
      <c r="AB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inlineStr"/>
      <c r="J18" s="8" t="n"/>
      <c r="K18" s="8" t="n"/>
      <c r="L18" s="8" t="n"/>
      <c r="M18" s="8" t="n"/>
      <c r="N18" s="8" t="n"/>
      <c r="O18" s="15">
        <f>IF(AND(J18&gt;0,(J18-N18)&gt;0), (K18+(L18*0.5))/(J18-N18), "")</f>
        <v/>
      </c>
      <c r="P18" s="8" t="n"/>
      <c r="Q18" s="8" t="n"/>
      <c r="R18" s="8" t="n"/>
      <c r="S18" s="8" t="n"/>
      <c r="T18" s="8" t="n"/>
      <c r="U18">
        <f>IF(O18="","", IF(AND(O18=1, P18=0), "Fully Compliant", IF(AND(O18&gt;=0.95, P18=0), "Compliant", IF(O18&gt;=0.9, "Substantially Compliant", IF(O18&gt;=0.8, "Partially Compliant", "Non-Compliant")))))</f>
        <v/>
      </c>
      <c r="V18" s="8" t="n"/>
      <c r="W18" s="16">
        <f>IF(V18&lt;&gt;"", V18+90, "")</f>
        <v/>
      </c>
      <c r="X18" s="8" t="inlineStr">
        <is>
          <t>[Security Analyst]</t>
        </is>
      </c>
      <c r="Y18" s="8" t="n"/>
      <c r="Z18" s="8" t="inlineStr">
        <is>
          <t>Not Started</t>
        </is>
      </c>
      <c r="AA18" s="8" t="n"/>
      <c r="AB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inlineStr"/>
      <c r="J19" s="8" t="n"/>
      <c r="K19" s="8" t="n"/>
      <c r="L19" s="8" t="n"/>
      <c r="M19" s="8" t="n"/>
      <c r="N19" s="8" t="n"/>
      <c r="O19" s="15">
        <f>IF(AND(J19&gt;0,(J19-N19)&gt;0), (K19+(L19*0.5))/(J19-N19), "")</f>
        <v/>
      </c>
      <c r="P19" s="8" t="n"/>
      <c r="Q19" s="8" t="n"/>
      <c r="R19" s="8" t="n"/>
      <c r="S19" s="8" t="n"/>
      <c r="T19" s="8" t="n"/>
      <c r="U19">
        <f>IF(O19="","", IF(AND(O19=1, P19=0), "Fully Compliant", IF(AND(O19&gt;=0.95, P19=0), "Compliant", IF(O19&gt;=0.9, "Substantially Compliant", IF(O19&gt;=0.8, "Partially Compliant", "Non-Compliant")))))</f>
        <v/>
      </c>
      <c r="V19" s="8" t="n"/>
      <c r="W19" s="16">
        <f>IF(V19&lt;&gt;"", V19+90, "")</f>
        <v/>
      </c>
      <c r="X19" s="8" t="inlineStr">
        <is>
          <t>[Security Analyst]</t>
        </is>
      </c>
      <c r="Y19" s="8" t="n"/>
      <c r="Z19" s="8" t="inlineStr">
        <is>
          <t>Not Started</t>
        </is>
      </c>
      <c r="AA19" s="8" t="n"/>
      <c r="AB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inlineStr"/>
      <c r="J20" s="8" t="n"/>
      <c r="K20" s="8" t="n"/>
      <c r="L20" s="8" t="n"/>
      <c r="M20" s="8" t="n"/>
      <c r="N20" s="8" t="n"/>
      <c r="O20" s="15">
        <f>IF(AND(J20&gt;0,(J20-N20)&gt;0), (K20+(L20*0.5))/(J20-N20), "")</f>
        <v/>
      </c>
      <c r="P20" s="8" t="n"/>
      <c r="Q20" s="8" t="n"/>
      <c r="R20" s="8" t="n"/>
      <c r="S20" s="8" t="n"/>
      <c r="T20" s="8" t="n"/>
      <c r="U20">
        <f>IF(O20="","", IF(AND(O20=1, P20=0), "Fully Compliant", IF(AND(O20&gt;=0.95, P20=0), "Compliant", IF(O20&gt;=0.9, "Substantially Compliant", IF(O20&gt;=0.8, "Partially Compliant", "Non-Compliant")))))</f>
        <v/>
      </c>
      <c r="V20" s="8" t="n"/>
      <c r="W20" s="16">
        <f>IF(V20&lt;&gt;"", V20+90, "")</f>
        <v/>
      </c>
      <c r="X20" s="8" t="inlineStr">
        <is>
          <t>[Security Analyst]</t>
        </is>
      </c>
      <c r="Y20" s="8" t="n"/>
      <c r="Z20" s="8" t="inlineStr">
        <is>
          <t>Not Started</t>
        </is>
      </c>
      <c r="AA20" s="8" t="n"/>
      <c r="AB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inlineStr"/>
      <c r="J21" s="8" t="n"/>
      <c r="K21" s="8" t="n"/>
      <c r="L21" s="8" t="n"/>
      <c r="M21" s="8" t="n"/>
      <c r="N21" s="8" t="n"/>
      <c r="O21" s="15">
        <f>IF(AND(J21&gt;0,(J21-N21)&gt;0), (K21+(L21*0.5))/(J21-N21), "")</f>
        <v/>
      </c>
      <c r="P21" s="8" t="n"/>
      <c r="Q21" s="8" t="n"/>
      <c r="R21" s="8" t="n"/>
      <c r="S21" s="8" t="n"/>
      <c r="T21" s="8" t="n"/>
      <c r="U21">
        <f>IF(O21="","", IF(AND(O21=1, P21=0), "Fully Compliant", IF(AND(O21&gt;=0.95, P21=0), "Compliant", IF(O21&gt;=0.9, "Substantially Compliant", IF(O21&gt;=0.8, "Partially Compliant", "Non-Compliant")))))</f>
        <v/>
      </c>
      <c r="V21" s="8" t="n"/>
      <c r="W21" s="16">
        <f>IF(V21&lt;&gt;"", V21+90, "")</f>
        <v/>
      </c>
      <c r="X21" s="8" t="inlineStr">
        <is>
          <t>[Security Analyst]</t>
        </is>
      </c>
      <c r="Y21" s="8" t="n"/>
      <c r="Z21" s="8" t="inlineStr">
        <is>
          <t>Not Started</t>
        </is>
      </c>
      <c r="AA21" s="8" t="n"/>
      <c r="AB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inlineStr"/>
      <c r="J22" s="8" t="n"/>
      <c r="K22" s="8" t="n"/>
      <c r="L22" s="8" t="n"/>
      <c r="M22" s="8" t="n"/>
      <c r="N22" s="8" t="n"/>
      <c r="O22" s="15">
        <f>IF(AND(J22&gt;0,(J22-N22)&gt;0), (K22+(L22*0.5))/(J22-N22), "")</f>
        <v/>
      </c>
      <c r="P22" s="8" t="n"/>
      <c r="Q22" s="8" t="n"/>
      <c r="R22" s="8" t="n"/>
      <c r="S22" s="8" t="n"/>
      <c r="T22" s="8" t="n"/>
      <c r="U22">
        <f>IF(O22="","", IF(AND(O22=1, P22=0), "Fully Compliant", IF(AND(O22&gt;=0.95, P22=0), "Compliant", IF(O22&gt;=0.9, "Substantially Compliant", IF(O22&gt;=0.8, "Partially Compliant", "Non-Compliant")))))</f>
        <v/>
      </c>
      <c r="V22" s="8" t="n"/>
      <c r="W22" s="16">
        <f>IF(V22&lt;&gt;"", V22+90, "")</f>
        <v/>
      </c>
      <c r="X22" s="8" t="inlineStr">
        <is>
          <t>[Security Analyst]</t>
        </is>
      </c>
      <c r="Y22" s="8" t="n"/>
      <c r="Z22" s="8" t="inlineStr">
        <is>
          <t>Not Started</t>
        </is>
      </c>
      <c r="AA22" s="8" t="n"/>
      <c r="AB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inlineStr"/>
      <c r="J23" s="8" t="n"/>
      <c r="K23" s="8" t="n"/>
      <c r="L23" s="8" t="n"/>
      <c r="M23" s="8" t="n"/>
      <c r="N23" s="8" t="n"/>
      <c r="O23" s="15">
        <f>IF(AND(J23&gt;0,(J23-N23)&gt;0), (K23+(L23*0.5))/(J23-N23), "")</f>
        <v/>
      </c>
      <c r="P23" s="8" t="n"/>
      <c r="Q23" s="8" t="n"/>
      <c r="R23" s="8" t="n"/>
      <c r="S23" s="8" t="n"/>
      <c r="T23" s="8" t="n"/>
      <c r="U23">
        <f>IF(O23="","", IF(AND(O23=1, P23=0), "Fully Compliant", IF(AND(O23&gt;=0.95, P23=0), "Compliant", IF(O23&gt;=0.9, "Substantially Compliant", IF(O23&gt;=0.8, "Partially Compliant", "Non-Compliant")))))</f>
        <v/>
      </c>
      <c r="V23" s="8" t="n"/>
      <c r="W23" s="16">
        <f>IF(V23&lt;&gt;"", V23+90, "")</f>
        <v/>
      </c>
      <c r="X23" s="8" t="inlineStr">
        <is>
          <t>[Security Analyst]</t>
        </is>
      </c>
      <c r="Y23" s="8" t="n"/>
      <c r="Z23" s="8" t="inlineStr">
        <is>
          <t>Not Started</t>
        </is>
      </c>
      <c r="AA23" s="8" t="n"/>
      <c r="AB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inlineStr"/>
      <c r="J24" s="8" t="n"/>
      <c r="K24" s="8" t="n"/>
      <c r="L24" s="8" t="n"/>
      <c r="M24" s="8" t="n"/>
      <c r="N24" s="8" t="n"/>
      <c r="O24" s="15">
        <f>IF(AND(J24&gt;0,(J24-N24)&gt;0), (K24+(L24*0.5))/(J24-N24), "")</f>
        <v/>
      </c>
      <c r="P24" s="8" t="n"/>
      <c r="Q24" s="8" t="n"/>
      <c r="R24" s="8" t="n"/>
      <c r="S24" s="8" t="n"/>
      <c r="T24" s="8" t="n"/>
      <c r="U24">
        <f>IF(O24="","", IF(AND(O24=1, P24=0), "Fully Compliant", IF(AND(O24&gt;=0.95, P24=0), "Compliant", IF(O24&gt;=0.9, "Substantially Compliant", IF(O24&gt;=0.8, "Partially Compliant", "Non-Compliant")))))</f>
        <v/>
      </c>
      <c r="V24" s="8" t="n"/>
      <c r="W24" s="16">
        <f>IF(V24&lt;&gt;"", V24+90, "")</f>
        <v/>
      </c>
      <c r="X24" s="8" t="inlineStr">
        <is>
          <t>[Security Analyst]</t>
        </is>
      </c>
      <c r="Y24" s="8" t="n"/>
      <c r="Z24" s="8" t="inlineStr">
        <is>
          <t>Not Started</t>
        </is>
      </c>
      <c r="AA24" s="8" t="n"/>
      <c r="AB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inlineStr"/>
      <c r="J25" s="8" t="n"/>
      <c r="K25" s="8" t="n"/>
      <c r="L25" s="8" t="n"/>
      <c r="M25" s="8" t="n"/>
      <c r="N25" s="8" t="n"/>
      <c r="O25" s="15">
        <f>IF(AND(J25&gt;0,(J25-N25)&gt;0), (K25+(L25*0.5))/(J25-N25), "")</f>
        <v/>
      </c>
      <c r="P25" s="8" t="n"/>
      <c r="Q25" s="8" t="n"/>
      <c r="R25" s="8" t="n"/>
      <c r="S25" s="8" t="n"/>
      <c r="T25" s="8" t="n"/>
      <c r="U25">
        <f>IF(O25="","", IF(AND(O25=1, P25=0), "Fully Compliant", IF(AND(O25&gt;=0.95, P25=0), "Compliant", IF(O25&gt;=0.9, "Substantially Compliant", IF(O25&gt;=0.8, "Partially Compliant", "Non-Compliant")))))</f>
        <v/>
      </c>
      <c r="V25" s="8" t="n"/>
      <c r="W25" s="16">
        <f>IF(V25&lt;&gt;"", V25+90, "")</f>
        <v/>
      </c>
      <c r="X25" s="8" t="inlineStr">
        <is>
          <t>[Security Analyst]</t>
        </is>
      </c>
      <c r="Y25" s="8" t="n"/>
      <c r="Z25" s="8" t="inlineStr">
        <is>
          <t>Not Started</t>
        </is>
      </c>
      <c r="AA25" s="8" t="n"/>
      <c r="AB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inlineStr"/>
      <c r="J26" s="8" t="n"/>
      <c r="K26" s="8" t="n"/>
      <c r="L26" s="8" t="n"/>
      <c r="M26" s="8" t="n"/>
      <c r="N26" s="8" t="n"/>
      <c r="O26" s="15">
        <f>IF(AND(J26&gt;0,(J26-N26)&gt;0), (K26+(L26*0.5))/(J26-N26), "")</f>
        <v/>
      </c>
      <c r="P26" s="8" t="n"/>
      <c r="Q26" s="8" t="n"/>
      <c r="R26" s="8" t="n"/>
      <c r="S26" s="8" t="n"/>
      <c r="T26" s="8" t="n"/>
      <c r="U26">
        <f>IF(O26="","", IF(AND(O26=1, P26=0), "Fully Compliant", IF(AND(O26&gt;=0.95, P26=0), "Compliant", IF(O26&gt;=0.9, "Substantially Compliant", IF(O26&gt;=0.8, "Partially Compliant", "Non-Compliant")))))</f>
        <v/>
      </c>
      <c r="V26" s="8" t="n"/>
      <c r="W26" s="16">
        <f>IF(V26&lt;&gt;"", V26+90, "")</f>
        <v/>
      </c>
      <c r="X26" s="8" t="inlineStr">
        <is>
          <t>[Security Analyst]</t>
        </is>
      </c>
      <c r="Y26" s="8" t="n"/>
      <c r="Z26" s="8" t="inlineStr">
        <is>
          <t>Not Started</t>
        </is>
      </c>
      <c r="AA26" s="8" t="n"/>
      <c r="AB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inlineStr"/>
      <c r="J27" s="8" t="n"/>
      <c r="K27" s="8" t="n"/>
      <c r="L27" s="8" t="n"/>
      <c r="M27" s="8" t="n"/>
      <c r="N27" s="8" t="n"/>
      <c r="O27" s="15">
        <f>IF(AND(J27&gt;0,(J27-N27)&gt;0), (K27+(L27*0.5))/(J27-N27), "")</f>
        <v/>
      </c>
      <c r="P27" s="8" t="n"/>
      <c r="Q27" s="8" t="n"/>
      <c r="R27" s="8" t="n"/>
      <c r="S27" s="8" t="n"/>
      <c r="T27" s="8" t="n"/>
      <c r="U27">
        <f>IF(O27="","", IF(AND(O27=1, P27=0), "Fully Compliant", IF(AND(O27&gt;=0.95, P27=0), "Compliant", IF(O27&gt;=0.9, "Substantially Compliant", IF(O27&gt;=0.8, "Partially Compliant", "Non-Compliant")))))</f>
        <v/>
      </c>
      <c r="V27" s="8" t="n"/>
      <c r="W27" s="16">
        <f>IF(V27&lt;&gt;"", V27+90, "")</f>
        <v/>
      </c>
      <c r="X27" s="8" t="inlineStr">
        <is>
          <t>[Security Analyst]</t>
        </is>
      </c>
      <c r="Y27" s="8" t="n"/>
      <c r="Z27" s="8" t="inlineStr">
        <is>
          <t>Not Started</t>
        </is>
      </c>
      <c r="AA27" s="8" t="n"/>
      <c r="AB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inlineStr"/>
      <c r="J28" s="8" t="n"/>
      <c r="K28" s="8" t="n"/>
      <c r="L28" s="8" t="n"/>
      <c r="M28" s="8" t="n"/>
      <c r="N28" s="8" t="n"/>
      <c r="O28" s="15">
        <f>IF(AND(J28&gt;0,(J28-N28)&gt;0), (K28+(L28*0.5))/(J28-N28), "")</f>
        <v/>
      </c>
      <c r="P28" s="8" t="n"/>
      <c r="Q28" s="8" t="n"/>
      <c r="R28" s="8" t="n"/>
      <c r="S28" s="8" t="n"/>
      <c r="T28" s="8" t="n"/>
      <c r="U28">
        <f>IF(O28="","", IF(AND(O28=1, P28=0), "Fully Compliant", IF(AND(O28&gt;=0.95, P28=0), "Compliant", IF(O28&gt;=0.9, "Substantially Compliant", IF(O28&gt;=0.8, "Partially Compliant", "Non-Compliant")))))</f>
        <v/>
      </c>
      <c r="V28" s="8" t="n"/>
      <c r="W28" s="16">
        <f>IF(V28&lt;&gt;"", V28+90, "")</f>
        <v/>
      </c>
      <c r="X28" s="8" t="inlineStr">
        <is>
          <t>[Security Analyst]</t>
        </is>
      </c>
      <c r="Y28" s="8" t="n"/>
      <c r="Z28" s="8" t="inlineStr">
        <is>
          <t>Not Started</t>
        </is>
      </c>
      <c r="AA28" s="8" t="n"/>
      <c r="AB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inlineStr"/>
      <c r="J29" s="8" t="n"/>
      <c r="K29" s="8" t="n"/>
      <c r="L29" s="8" t="n"/>
      <c r="M29" s="8" t="n"/>
      <c r="N29" s="8" t="n"/>
      <c r="O29" s="15">
        <f>IF(AND(J29&gt;0,(J29-N29)&gt;0), (K29+(L29*0.5))/(J29-N29), "")</f>
        <v/>
      </c>
      <c r="P29" s="8" t="n"/>
      <c r="Q29" s="8" t="n"/>
      <c r="R29" s="8" t="n"/>
      <c r="S29" s="8" t="n"/>
      <c r="T29" s="8" t="n"/>
      <c r="U29">
        <f>IF(O29="","", IF(AND(O29=1, P29=0), "Fully Compliant", IF(AND(O29&gt;=0.95, P29=0), "Compliant", IF(O29&gt;=0.9, "Substantially Compliant", IF(O29&gt;=0.8, "Partially Compliant", "Non-Compliant")))))</f>
        <v/>
      </c>
      <c r="V29" s="8" t="n"/>
      <c r="W29" s="16">
        <f>IF(V29&lt;&gt;"", V29+90, "")</f>
        <v/>
      </c>
      <c r="X29" s="8" t="inlineStr">
        <is>
          <t>[Security Analyst]</t>
        </is>
      </c>
      <c r="Y29" s="8" t="n"/>
      <c r="Z29" s="8" t="inlineStr">
        <is>
          <t>Not Started</t>
        </is>
      </c>
      <c r="AA29" s="8" t="n"/>
      <c r="AB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inlineStr"/>
      <c r="J30" s="8" t="n"/>
      <c r="K30" s="8" t="n"/>
      <c r="L30" s="8" t="n"/>
      <c r="M30" s="8" t="n"/>
      <c r="N30" s="8" t="n"/>
      <c r="O30" s="15">
        <f>IF(AND(J30&gt;0,(J30-N30)&gt;0), (K30+(L30*0.5))/(J30-N30), "")</f>
        <v/>
      </c>
      <c r="P30" s="8" t="n"/>
      <c r="Q30" s="8" t="n"/>
      <c r="R30" s="8" t="n"/>
      <c r="S30" s="8" t="n"/>
      <c r="T30" s="8" t="n"/>
      <c r="U30">
        <f>IF(O30="","", IF(AND(O30=1, P30=0), "Fully Compliant", IF(AND(O30&gt;=0.95, P30=0), "Compliant", IF(O30&gt;=0.9, "Substantially Compliant", IF(O30&gt;=0.8, "Partially Compliant", "Non-Compliant")))))</f>
        <v/>
      </c>
      <c r="V30" s="8" t="n"/>
      <c r="W30" s="16">
        <f>IF(V30&lt;&gt;"", V30+90, "")</f>
        <v/>
      </c>
      <c r="X30" s="8" t="inlineStr">
        <is>
          <t>[Security Analyst]</t>
        </is>
      </c>
      <c r="Y30" s="8" t="n"/>
      <c r="Z30" s="8" t="inlineStr">
        <is>
          <t>Not Started</t>
        </is>
      </c>
      <c r="AA30" s="8" t="n"/>
      <c r="AB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inlineStr"/>
      <c r="J31" s="8" t="n"/>
      <c r="K31" s="8" t="n"/>
      <c r="L31" s="8" t="n"/>
      <c r="M31" s="8" t="n"/>
      <c r="N31" s="8" t="n"/>
      <c r="O31" s="15">
        <f>IF(AND(J31&gt;0,(J31-N31)&gt;0), (K31+(L31*0.5))/(J31-N31), "")</f>
        <v/>
      </c>
      <c r="P31" s="8" t="n"/>
      <c r="Q31" s="8" t="n"/>
      <c r="R31" s="8" t="n"/>
      <c r="S31" s="8" t="n"/>
      <c r="T31" s="8" t="n"/>
      <c r="U31">
        <f>IF(O31="","", IF(AND(O31=1, P31=0), "Fully Compliant", IF(AND(O31&gt;=0.95, P31=0), "Compliant", IF(O31&gt;=0.9, "Substantially Compliant", IF(O31&gt;=0.8, "Partially Compliant", "Non-Compliant")))))</f>
        <v/>
      </c>
      <c r="V31" s="8" t="n"/>
      <c r="W31" s="16">
        <f>IF(V31&lt;&gt;"", V31+90, "")</f>
        <v/>
      </c>
      <c r="X31" s="8" t="inlineStr">
        <is>
          <t>[Security Analyst]</t>
        </is>
      </c>
      <c r="Y31" s="8" t="n"/>
      <c r="Z31" s="8" t="inlineStr">
        <is>
          <t>Not Started</t>
        </is>
      </c>
      <c r="AA31" s="8" t="n"/>
      <c r="AB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inlineStr"/>
      <c r="J32" s="8" t="n"/>
      <c r="K32" s="8" t="n"/>
      <c r="L32" s="8" t="n"/>
      <c r="M32" s="8" t="n"/>
      <c r="N32" s="8" t="n"/>
      <c r="O32" s="15">
        <f>IF(AND(J32&gt;0,(J32-N32)&gt;0), (K32+(L32*0.5))/(J32-N32), "")</f>
        <v/>
      </c>
      <c r="P32" s="8" t="n"/>
      <c r="Q32" s="8" t="n"/>
      <c r="R32" s="8" t="n"/>
      <c r="S32" s="8" t="n"/>
      <c r="T32" s="8" t="n"/>
      <c r="U32">
        <f>IF(O32="","", IF(AND(O32=1, P32=0), "Fully Compliant", IF(AND(O32&gt;=0.95, P32=0), "Compliant", IF(O32&gt;=0.9, "Substantially Compliant", IF(O32&gt;=0.8, "Partially Compliant", "Non-Compliant")))))</f>
        <v/>
      </c>
      <c r="V32" s="8" t="n"/>
      <c r="W32" s="16">
        <f>IF(V32&lt;&gt;"", V32+90, "")</f>
        <v/>
      </c>
      <c r="X32" s="8" t="inlineStr">
        <is>
          <t>[Security Analyst]</t>
        </is>
      </c>
      <c r="Y32" s="8" t="n"/>
      <c r="Z32" s="8" t="inlineStr">
        <is>
          <t>Not Started</t>
        </is>
      </c>
      <c r="AA32" s="8" t="n"/>
      <c r="AB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inlineStr"/>
      <c r="J33" s="8" t="n"/>
      <c r="K33" s="8" t="n"/>
      <c r="L33" s="8" t="n"/>
      <c r="M33" s="8" t="n"/>
      <c r="N33" s="8" t="n"/>
      <c r="O33" s="15">
        <f>IF(AND(J33&gt;0,(J33-N33)&gt;0), (K33+(L33*0.5))/(J33-N33), "")</f>
        <v/>
      </c>
      <c r="P33" s="8" t="n"/>
      <c r="Q33" s="8" t="n"/>
      <c r="R33" s="8" t="n"/>
      <c r="S33" s="8" t="n"/>
      <c r="T33" s="8" t="n"/>
      <c r="U33">
        <f>IF(O33="","", IF(AND(O33=1, P33=0), "Fully Compliant", IF(AND(O33&gt;=0.95, P33=0), "Compliant", IF(O33&gt;=0.9, "Substantially Compliant", IF(O33&gt;=0.8, "Partially Compliant", "Non-Compliant")))))</f>
        <v/>
      </c>
      <c r="V33" s="8" t="n"/>
      <c r="W33" s="16">
        <f>IF(V33&lt;&gt;"", V33+90, "")</f>
        <v/>
      </c>
      <c r="X33" s="8" t="inlineStr">
        <is>
          <t>[Security Analyst]</t>
        </is>
      </c>
      <c r="Y33" s="8" t="n"/>
      <c r="Z33" s="8" t="inlineStr">
        <is>
          <t>Not Started</t>
        </is>
      </c>
      <c r="AA33" s="8" t="n"/>
      <c r="AB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inlineStr"/>
      <c r="J34" s="8" t="n"/>
      <c r="K34" s="8" t="n"/>
      <c r="L34" s="8" t="n"/>
      <c r="M34" s="8" t="n"/>
      <c r="N34" s="8" t="n"/>
      <c r="O34" s="15">
        <f>IF(AND(J34&gt;0,(J34-N34)&gt;0), (K34+(L34*0.5))/(J34-N34), "")</f>
        <v/>
      </c>
      <c r="P34" s="8" t="n"/>
      <c r="Q34" s="8" t="n"/>
      <c r="R34" s="8" t="n"/>
      <c r="S34" s="8" t="n"/>
      <c r="T34" s="8" t="n"/>
      <c r="U34">
        <f>IF(O34="","", IF(AND(O34=1, P34=0), "Fully Compliant", IF(AND(O34&gt;=0.95, P34=0), "Compliant", IF(O34&gt;=0.9, "Substantially Compliant", IF(O34&gt;=0.8, "Partially Compliant", "Non-Compliant")))))</f>
        <v/>
      </c>
      <c r="V34" s="8" t="n"/>
      <c r="W34" s="16">
        <f>IF(V34&lt;&gt;"", V34+90, "")</f>
        <v/>
      </c>
      <c r="X34" s="8" t="inlineStr">
        <is>
          <t>[Security Analyst]</t>
        </is>
      </c>
      <c r="Y34" s="8" t="n"/>
      <c r="Z34" s="8" t="inlineStr">
        <is>
          <t>Not Started</t>
        </is>
      </c>
      <c r="AA34" s="8" t="n"/>
      <c r="AB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inlineStr"/>
      <c r="J35" s="8" t="n"/>
      <c r="K35" s="8" t="n"/>
      <c r="L35" s="8" t="n"/>
      <c r="M35" s="8" t="n"/>
      <c r="N35" s="8" t="n"/>
      <c r="O35" s="15">
        <f>IF(AND(J35&gt;0,(J35-N35)&gt;0), (K35+(L35*0.5))/(J35-N35), "")</f>
        <v/>
      </c>
      <c r="P35" s="8" t="n"/>
      <c r="Q35" s="8" t="n"/>
      <c r="R35" s="8" t="n"/>
      <c r="S35" s="8" t="n"/>
      <c r="T35" s="8" t="n"/>
      <c r="U35">
        <f>IF(O35="","", IF(AND(O35=1, P35=0), "Fully Compliant", IF(AND(O35&gt;=0.95, P35=0), "Compliant", IF(O35&gt;=0.9, "Substantially Compliant", IF(O35&gt;=0.8, "Partially Compliant", "Non-Compliant")))))</f>
        <v/>
      </c>
      <c r="V35" s="8" t="n"/>
      <c r="W35" s="16">
        <f>IF(V35&lt;&gt;"", V35+90, "")</f>
        <v/>
      </c>
      <c r="X35" s="8" t="inlineStr">
        <is>
          <t>[Security Analyst]</t>
        </is>
      </c>
      <c r="Y35" s="8" t="n"/>
      <c r="Z35" s="8" t="inlineStr">
        <is>
          <t>Not Started</t>
        </is>
      </c>
      <c r="AA35" s="8" t="n"/>
      <c r="AB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inlineStr"/>
      <c r="J36" s="8" t="n"/>
      <c r="K36" s="8" t="n"/>
      <c r="L36" s="8" t="n"/>
      <c r="M36" s="8" t="n"/>
      <c r="N36" s="8" t="n"/>
      <c r="O36" s="15">
        <f>IF(AND(J36&gt;0,(J36-N36)&gt;0), (K36+(L36*0.5))/(J36-N36), "")</f>
        <v/>
      </c>
      <c r="P36" s="8" t="n"/>
      <c r="Q36" s="8" t="n"/>
      <c r="R36" s="8" t="n"/>
      <c r="S36" s="8" t="n"/>
      <c r="T36" s="8" t="n"/>
      <c r="U36">
        <f>IF(O36="","", IF(AND(O36=1, P36=0), "Fully Compliant", IF(AND(O36&gt;=0.95, P36=0), "Compliant", IF(O36&gt;=0.9, "Substantially Compliant", IF(O36&gt;=0.8, "Partially Compliant", "Non-Compliant")))))</f>
        <v/>
      </c>
      <c r="V36" s="8" t="n"/>
      <c r="W36" s="16">
        <f>IF(V36&lt;&gt;"", V36+90, "")</f>
        <v/>
      </c>
      <c r="X36" s="8" t="inlineStr">
        <is>
          <t>[Security Analyst]</t>
        </is>
      </c>
      <c r="Y36" s="8" t="n"/>
      <c r="Z36" s="8" t="inlineStr">
        <is>
          <t>Not Started</t>
        </is>
      </c>
      <c r="AA36" s="8" t="n"/>
      <c r="AB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inlineStr"/>
      <c r="J37" s="8" t="n"/>
      <c r="K37" s="8" t="n"/>
      <c r="L37" s="8" t="n"/>
      <c r="M37" s="8" t="n"/>
      <c r="N37" s="8" t="n"/>
      <c r="O37" s="15">
        <f>IF(AND(J37&gt;0,(J37-N37)&gt;0), (K37+(L37*0.5))/(J37-N37), "")</f>
        <v/>
      </c>
      <c r="P37" s="8" t="n"/>
      <c r="Q37" s="8" t="n"/>
      <c r="R37" s="8" t="n"/>
      <c r="S37" s="8" t="n"/>
      <c r="T37" s="8" t="n"/>
      <c r="U37">
        <f>IF(O37="","", IF(AND(O37=1, P37=0), "Fully Compliant", IF(AND(O37&gt;=0.95, P37=0), "Compliant", IF(O37&gt;=0.9, "Substantially Compliant", IF(O37&gt;=0.8, "Partially Compliant", "Non-Compliant")))))</f>
        <v/>
      </c>
      <c r="V37" s="8" t="n"/>
      <c r="W37" s="16">
        <f>IF(V37&lt;&gt;"", V37+90, "")</f>
        <v/>
      </c>
      <c r="X37" s="8" t="inlineStr">
        <is>
          <t>[Security Analyst]</t>
        </is>
      </c>
      <c r="Y37" s="8" t="n"/>
      <c r="Z37" s="8" t="inlineStr">
        <is>
          <t>Not Started</t>
        </is>
      </c>
      <c r="AA37" s="8" t="n"/>
      <c r="AB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inlineStr"/>
      <c r="J38" s="8" t="n"/>
      <c r="K38" s="8" t="n"/>
      <c r="L38" s="8" t="n"/>
      <c r="M38" s="8" t="n"/>
      <c r="N38" s="8" t="n"/>
      <c r="O38" s="15">
        <f>IF(AND(J38&gt;0,(J38-N38)&gt;0), (K38+(L38*0.5))/(J38-N38), "")</f>
        <v/>
      </c>
      <c r="P38" s="8" t="n"/>
      <c r="Q38" s="8" t="n"/>
      <c r="R38" s="8" t="n"/>
      <c r="S38" s="8" t="n"/>
      <c r="T38" s="8" t="n"/>
      <c r="U38">
        <f>IF(O38="","", IF(AND(O38=1, P38=0), "Fully Compliant", IF(AND(O38&gt;=0.95, P38=0), "Compliant", IF(O38&gt;=0.9, "Substantially Compliant", IF(O38&gt;=0.8, "Partially Compliant", "Non-Compliant")))))</f>
        <v/>
      </c>
      <c r="V38" s="8" t="n"/>
      <c r="W38" s="16">
        <f>IF(V38&lt;&gt;"", V38+90, "")</f>
        <v/>
      </c>
      <c r="X38" s="8" t="inlineStr">
        <is>
          <t>[Security Analyst]</t>
        </is>
      </c>
      <c r="Y38" s="8" t="n"/>
      <c r="Z38" s="8" t="inlineStr">
        <is>
          <t>Not Started</t>
        </is>
      </c>
      <c r="AA38" s="8" t="n"/>
      <c r="AB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inlineStr"/>
      <c r="J39" s="8" t="n"/>
      <c r="K39" s="8" t="n"/>
      <c r="L39" s="8" t="n"/>
      <c r="M39" s="8" t="n"/>
      <c r="N39" s="8" t="n"/>
      <c r="O39" s="15">
        <f>IF(AND(J39&gt;0,(J39-N39)&gt;0), (K39+(L39*0.5))/(J39-N39), "")</f>
        <v/>
      </c>
      <c r="P39" s="8" t="n"/>
      <c r="Q39" s="8" t="n"/>
      <c r="R39" s="8" t="n"/>
      <c r="S39" s="8" t="n"/>
      <c r="T39" s="8" t="n"/>
      <c r="U39">
        <f>IF(O39="","", IF(AND(O39=1, P39=0), "Fully Compliant", IF(AND(O39&gt;=0.95, P39=0), "Compliant", IF(O39&gt;=0.9, "Substantially Compliant", IF(O39&gt;=0.8, "Partially Compliant", "Non-Compliant")))))</f>
        <v/>
      </c>
      <c r="V39" s="8" t="n"/>
      <c r="W39" s="16">
        <f>IF(V39&lt;&gt;"", V39+90, "")</f>
        <v/>
      </c>
      <c r="X39" s="8" t="inlineStr">
        <is>
          <t>[Security Analyst]</t>
        </is>
      </c>
      <c r="Y39" s="8" t="n"/>
      <c r="Z39" s="8" t="inlineStr">
        <is>
          <t>Not Started</t>
        </is>
      </c>
      <c r="AA39" s="8" t="n"/>
      <c r="AB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inlineStr"/>
      <c r="J40" s="8" t="n"/>
      <c r="K40" s="8" t="n"/>
      <c r="L40" s="8" t="n"/>
      <c r="M40" s="8" t="n"/>
      <c r="N40" s="8" t="n"/>
      <c r="O40" s="15">
        <f>IF(AND(J40&gt;0,(J40-N40)&gt;0), (K40+(L40*0.5))/(J40-N40), "")</f>
        <v/>
      </c>
      <c r="P40" s="8" t="n"/>
      <c r="Q40" s="8" t="n"/>
      <c r="R40" s="8" t="n"/>
      <c r="S40" s="8" t="n"/>
      <c r="T40" s="8" t="n"/>
      <c r="U40">
        <f>IF(O40="","", IF(AND(O40=1, P40=0), "Fully Compliant", IF(AND(O40&gt;=0.95, P40=0), "Compliant", IF(O40&gt;=0.9, "Substantially Compliant", IF(O40&gt;=0.8, "Partially Compliant", "Non-Compliant")))))</f>
        <v/>
      </c>
      <c r="V40" s="8" t="n"/>
      <c r="W40" s="16">
        <f>IF(V40&lt;&gt;"", V40+90, "")</f>
        <v/>
      </c>
      <c r="X40" s="8" t="inlineStr">
        <is>
          <t>[Security Analyst]</t>
        </is>
      </c>
      <c r="Y40" s="8" t="n"/>
      <c r="Z40" s="8" t="inlineStr">
        <is>
          <t>Not Started</t>
        </is>
      </c>
      <c r="AA40" s="8" t="n"/>
      <c r="AB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inlineStr"/>
      <c r="J41" s="8" t="n"/>
      <c r="K41" s="8" t="n"/>
      <c r="L41" s="8" t="n"/>
      <c r="M41" s="8" t="n"/>
      <c r="N41" s="8" t="n"/>
      <c r="O41" s="15">
        <f>IF(AND(J41&gt;0,(J41-N41)&gt;0), (K41+(L41*0.5))/(J41-N41), "")</f>
        <v/>
      </c>
      <c r="P41" s="8" t="n"/>
      <c r="Q41" s="8" t="n"/>
      <c r="R41" s="8" t="n"/>
      <c r="S41" s="8" t="n"/>
      <c r="T41" s="8" t="n"/>
      <c r="U41">
        <f>IF(O41="","", IF(AND(O41=1, P41=0), "Fully Compliant", IF(AND(O41&gt;=0.95, P41=0), "Compliant", IF(O41&gt;=0.9, "Substantially Compliant", IF(O41&gt;=0.8, "Partially Compliant", "Non-Compliant")))))</f>
        <v/>
      </c>
      <c r="V41" s="8" t="n"/>
      <c r="W41" s="16">
        <f>IF(V41&lt;&gt;"", V41+90, "")</f>
        <v/>
      </c>
      <c r="X41" s="8" t="inlineStr">
        <is>
          <t>[Security Analyst]</t>
        </is>
      </c>
      <c r="Y41" s="8" t="n"/>
      <c r="Z41" s="8" t="inlineStr">
        <is>
          <t>Not Started</t>
        </is>
      </c>
      <c r="AA41" s="8" t="n"/>
      <c r="AB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inlineStr"/>
      <c r="J42" s="8" t="n"/>
      <c r="K42" s="8" t="n"/>
      <c r="L42" s="8" t="n"/>
      <c r="M42" s="8" t="n"/>
      <c r="N42" s="8" t="n"/>
      <c r="O42" s="15">
        <f>IF(AND(J42&gt;0,(J42-N42)&gt;0), (K42+(L42*0.5))/(J42-N42), "")</f>
        <v/>
      </c>
      <c r="P42" s="8" t="n"/>
      <c r="Q42" s="8" t="n"/>
      <c r="R42" s="8" t="n"/>
      <c r="S42" s="8" t="n"/>
      <c r="T42" s="8" t="n"/>
      <c r="U42">
        <f>IF(O42="","", IF(AND(O42=1, P42=0), "Fully Compliant", IF(AND(O42&gt;=0.95, P42=0), "Compliant", IF(O42&gt;=0.9, "Substantially Compliant", IF(O42&gt;=0.8, "Partially Compliant", "Non-Compliant")))))</f>
        <v/>
      </c>
      <c r="V42" s="8" t="n"/>
      <c r="W42" s="16">
        <f>IF(V42&lt;&gt;"", V42+90, "")</f>
        <v/>
      </c>
      <c r="X42" s="8" t="inlineStr">
        <is>
          <t>[Security Analyst]</t>
        </is>
      </c>
      <c r="Y42" s="8" t="n"/>
      <c r="Z42" s="8" t="inlineStr">
        <is>
          <t>Not Started</t>
        </is>
      </c>
      <c r="AA42" s="8" t="n"/>
      <c r="AB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inlineStr"/>
      <c r="J43" s="8" t="n"/>
      <c r="K43" s="8" t="n"/>
      <c r="L43" s="8" t="n"/>
      <c r="M43" s="8" t="n"/>
      <c r="N43" s="8" t="n"/>
      <c r="O43" s="15">
        <f>IF(AND(J43&gt;0,(J43-N43)&gt;0), (K43+(L43*0.5))/(J43-N43), "")</f>
        <v/>
      </c>
      <c r="P43" s="8" t="n"/>
      <c r="Q43" s="8" t="n"/>
      <c r="R43" s="8" t="n"/>
      <c r="S43" s="8" t="n"/>
      <c r="T43" s="8" t="n"/>
      <c r="U43">
        <f>IF(O43="","", IF(AND(O43=1, P43=0), "Fully Compliant", IF(AND(O43&gt;=0.95, P43=0), "Compliant", IF(O43&gt;=0.9, "Substantially Compliant", IF(O43&gt;=0.8, "Partially Compliant", "Non-Compliant")))))</f>
        <v/>
      </c>
      <c r="V43" s="8" t="n"/>
      <c r="W43" s="16">
        <f>IF(V43&lt;&gt;"", V43+90, "")</f>
        <v/>
      </c>
      <c r="X43" s="8" t="inlineStr">
        <is>
          <t>[Security Analyst]</t>
        </is>
      </c>
      <c r="Y43" s="8" t="n"/>
      <c r="Z43" s="8" t="inlineStr">
        <is>
          <t>Not Started</t>
        </is>
      </c>
      <c r="AA43" s="8" t="n"/>
      <c r="AB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inlineStr"/>
      <c r="J44" s="8" t="n"/>
      <c r="K44" s="8" t="n"/>
      <c r="L44" s="8" t="n"/>
      <c r="M44" s="8" t="n"/>
      <c r="N44" s="8" t="n"/>
      <c r="O44" s="15">
        <f>IF(AND(J44&gt;0,(J44-N44)&gt;0), (K44+(L44*0.5))/(J44-N44), "")</f>
        <v/>
      </c>
      <c r="P44" s="8" t="n"/>
      <c r="Q44" s="8" t="n"/>
      <c r="R44" s="8" t="n"/>
      <c r="S44" s="8" t="n"/>
      <c r="T44" s="8" t="n"/>
      <c r="U44">
        <f>IF(O44="","", IF(AND(O44=1, P44=0), "Fully Compliant", IF(AND(O44&gt;=0.95, P44=0), "Compliant", IF(O44&gt;=0.9, "Substantially Compliant", IF(O44&gt;=0.8, "Partially Compliant", "Non-Compliant")))))</f>
        <v/>
      </c>
      <c r="V44" s="8" t="n"/>
      <c r="W44" s="16">
        <f>IF(V44&lt;&gt;"", V44+90, "")</f>
        <v/>
      </c>
      <c r="X44" s="8" t="inlineStr">
        <is>
          <t>[Security Analyst]</t>
        </is>
      </c>
      <c r="Y44" s="8" t="n"/>
      <c r="Z44" s="8" t="inlineStr">
        <is>
          <t>Not Started</t>
        </is>
      </c>
      <c r="AA44" s="8" t="n"/>
      <c r="AB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inlineStr"/>
      <c r="J45" s="8" t="n"/>
      <c r="K45" s="8" t="n"/>
      <c r="L45" s="8" t="n"/>
      <c r="M45" s="8" t="n"/>
      <c r="N45" s="8" t="n"/>
      <c r="O45" s="15">
        <f>IF(AND(J45&gt;0,(J45-N45)&gt;0), (K45+(L45*0.5))/(J45-N45), "")</f>
        <v/>
      </c>
      <c r="P45" s="8" t="n"/>
      <c r="Q45" s="8" t="n"/>
      <c r="R45" s="8" t="n"/>
      <c r="S45" s="8" t="n"/>
      <c r="T45" s="8" t="n"/>
      <c r="U45">
        <f>IF(O45="","", IF(AND(O45=1, P45=0), "Fully Compliant", IF(AND(O45&gt;=0.95, P45=0), "Compliant", IF(O45&gt;=0.9, "Substantially Compliant", IF(O45&gt;=0.8, "Partially Compliant", "Non-Compliant")))))</f>
        <v/>
      </c>
      <c r="V45" s="8" t="n"/>
      <c r="W45" s="16">
        <f>IF(V45&lt;&gt;"", V45+90, "")</f>
        <v/>
      </c>
      <c r="X45" s="8" t="inlineStr">
        <is>
          <t>[Security Analyst]</t>
        </is>
      </c>
      <c r="Y45" s="8" t="n"/>
      <c r="Z45" s="8" t="inlineStr">
        <is>
          <t>Not Started</t>
        </is>
      </c>
      <c r="AA45" s="8" t="n"/>
      <c r="AB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inlineStr"/>
      <c r="J46" s="8" t="n"/>
      <c r="K46" s="8" t="n"/>
      <c r="L46" s="8" t="n"/>
      <c r="M46" s="8" t="n"/>
      <c r="N46" s="8" t="n"/>
      <c r="O46" s="15">
        <f>IF(AND(J46&gt;0,(J46-N46)&gt;0), (K46+(L46*0.5))/(J46-N46), "")</f>
        <v/>
      </c>
      <c r="P46" s="8" t="n"/>
      <c r="Q46" s="8" t="n"/>
      <c r="R46" s="8" t="n"/>
      <c r="S46" s="8" t="n"/>
      <c r="T46" s="8" t="n"/>
      <c r="U46">
        <f>IF(O46="","", IF(AND(O46=1, P46=0), "Fully Compliant", IF(AND(O46&gt;=0.95, P46=0), "Compliant", IF(O46&gt;=0.9, "Substantially Compliant", IF(O46&gt;=0.8, "Partially Compliant", "Non-Compliant")))))</f>
        <v/>
      </c>
      <c r="V46" s="8" t="n"/>
      <c r="W46" s="16">
        <f>IF(V46&lt;&gt;"", V46+90, "")</f>
        <v/>
      </c>
      <c r="X46" s="8" t="inlineStr">
        <is>
          <t>[Security Analyst]</t>
        </is>
      </c>
      <c r="Y46" s="8" t="n"/>
      <c r="Z46" s="8" t="inlineStr">
        <is>
          <t>Not Started</t>
        </is>
      </c>
      <c r="AA46" s="8" t="n"/>
      <c r="AB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inlineStr"/>
      <c r="J47" s="8" t="n"/>
      <c r="K47" s="8" t="n"/>
      <c r="L47" s="8" t="n"/>
      <c r="M47" s="8" t="n"/>
      <c r="N47" s="8" t="n"/>
      <c r="O47" s="15">
        <f>IF(AND(J47&gt;0,(J47-N47)&gt;0), (K47+(L47*0.5))/(J47-N47), "")</f>
        <v/>
      </c>
      <c r="P47" s="8" t="n"/>
      <c r="Q47" s="8" t="n"/>
      <c r="R47" s="8" t="n"/>
      <c r="S47" s="8" t="n"/>
      <c r="T47" s="8" t="n"/>
      <c r="U47">
        <f>IF(O47="","", IF(AND(O47=1, P47=0), "Fully Compliant", IF(AND(O47&gt;=0.95, P47=0), "Compliant", IF(O47&gt;=0.9, "Substantially Compliant", IF(O47&gt;=0.8, "Partially Compliant", "Non-Compliant")))))</f>
        <v/>
      </c>
      <c r="V47" s="8" t="n"/>
      <c r="W47" s="16">
        <f>IF(V47&lt;&gt;"", V47+90, "")</f>
        <v/>
      </c>
      <c r="X47" s="8" t="inlineStr">
        <is>
          <t>[Security Analyst]</t>
        </is>
      </c>
      <c r="Y47" s="8" t="n"/>
      <c r="Z47" s="8" t="inlineStr">
        <is>
          <t>Not Started</t>
        </is>
      </c>
      <c r="AA47" s="8" t="n"/>
      <c r="AB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inlineStr"/>
      <c r="J48" s="8" t="n"/>
      <c r="K48" s="8" t="n"/>
      <c r="L48" s="8" t="n"/>
      <c r="M48" s="8" t="n"/>
      <c r="N48" s="8" t="n"/>
      <c r="O48" s="15">
        <f>IF(AND(J48&gt;0,(J48-N48)&gt;0), (K48+(L48*0.5))/(J48-N48), "")</f>
        <v/>
      </c>
      <c r="P48" s="8" t="n"/>
      <c r="Q48" s="8" t="n"/>
      <c r="R48" s="8" t="n"/>
      <c r="S48" s="8" t="n"/>
      <c r="T48" s="8" t="n"/>
      <c r="U48">
        <f>IF(O48="","", IF(AND(O48=1, P48=0), "Fully Compliant", IF(AND(O48&gt;=0.95, P48=0), "Compliant", IF(O48&gt;=0.9, "Substantially Compliant", IF(O48&gt;=0.8, "Partially Compliant", "Non-Compliant")))))</f>
        <v/>
      </c>
      <c r="V48" s="8" t="n"/>
      <c r="W48" s="16">
        <f>IF(V48&lt;&gt;"", V48+90, "")</f>
        <v/>
      </c>
      <c r="X48" s="8" t="inlineStr">
        <is>
          <t>[Security Analyst]</t>
        </is>
      </c>
      <c r="Y48" s="8" t="n"/>
      <c r="Z48" s="8" t="inlineStr">
        <is>
          <t>Not Started</t>
        </is>
      </c>
      <c r="AA48" s="8" t="n"/>
      <c r="AB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inlineStr"/>
      <c r="J49" s="8" t="n"/>
      <c r="K49" s="8" t="n"/>
      <c r="L49" s="8" t="n"/>
      <c r="M49" s="8" t="n"/>
      <c r="N49" s="8" t="n"/>
      <c r="O49" s="15">
        <f>IF(AND(J49&gt;0,(J49-N49)&gt;0), (K49+(L49*0.5))/(J49-N49), "")</f>
        <v/>
      </c>
      <c r="P49" s="8" t="n"/>
      <c r="Q49" s="8" t="n"/>
      <c r="R49" s="8" t="n"/>
      <c r="S49" s="8" t="n"/>
      <c r="T49" s="8" t="n"/>
      <c r="U49">
        <f>IF(O49="","", IF(AND(O49=1, P49=0), "Fully Compliant", IF(AND(O49&gt;=0.95, P49=0), "Compliant", IF(O49&gt;=0.9, "Substantially Compliant", IF(O49&gt;=0.8, "Partially Compliant", "Non-Compliant")))))</f>
        <v/>
      </c>
      <c r="V49" s="8" t="n"/>
      <c r="W49" s="16">
        <f>IF(V49&lt;&gt;"", V49+90, "")</f>
        <v/>
      </c>
      <c r="X49" s="8" t="inlineStr">
        <is>
          <t>[Security Analyst]</t>
        </is>
      </c>
      <c r="Y49" s="8" t="n"/>
      <c r="Z49" s="8" t="inlineStr">
        <is>
          <t>Not Started</t>
        </is>
      </c>
      <c r="AA49" s="8" t="n"/>
      <c r="AB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inlineStr"/>
      <c r="J50" s="8" t="n"/>
      <c r="K50" s="8" t="n"/>
      <c r="L50" s="8" t="n"/>
      <c r="M50" s="8" t="n"/>
      <c r="N50" s="8" t="n"/>
      <c r="O50" s="15">
        <f>IF(AND(J50&gt;0,(J50-N50)&gt;0), (K50+(L50*0.5))/(J50-N50), "")</f>
        <v/>
      </c>
      <c r="P50" s="8" t="n"/>
      <c r="Q50" s="8" t="n"/>
      <c r="R50" s="8" t="n"/>
      <c r="S50" s="8" t="n"/>
      <c r="T50" s="8" t="n"/>
      <c r="U50">
        <f>IF(O50="","", IF(AND(O50=1, P50=0), "Fully Compliant", IF(AND(O50&gt;=0.95, P50=0), "Compliant", IF(O50&gt;=0.9, "Substantially Compliant", IF(O50&gt;=0.8, "Partially Compliant", "Non-Compliant")))))</f>
        <v/>
      </c>
      <c r="V50" s="8" t="n"/>
      <c r="W50" s="16">
        <f>IF(V50&lt;&gt;"", V50+90, "")</f>
        <v/>
      </c>
      <c r="X50" s="8" t="inlineStr">
        <is>
          <t>[Security Analyst]</t>
        </is>
      </c>
      <c r="Y50" s="8" t="n"/>
      <c r="Z50" s="8" t="inlineStr">
        <is>
          <t>Not Started</t>
        </is>
      </c>
      <c r="AA50" s="8" t="n"/>
      <c r="AB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inlineStr"/>
      <c r="J51" s="8" t="n"/>
      <c r="K51" s="8" t="n"/>
      <c r="L51" s="8" t="n"/>
      <c r="M51" s="8" t="n"/>
      <c r="N51" s="8" t="n"/>
      <c r="O51" s="15">
        <f>IF(AND(J51&gt;0,(J51-N51)&gt;0), (K51+(L51*0.5))/(J51-N51), "")</f>
        <v/>
      </c>
      <c r="P51" s="8" t="n"/>
      <c r="Q51" s="8" t="n"/>
      <c r="R51" s="8" t="n"/>
      <c r="S51" s="8" t="n"/>
      <c r="T51" s="8" t="n"/>
      <c r="U51">
        <f>IF(O51="","", IF(AND(O51=1, P51=0), "Fully Compliant", IF(AND(O51&gt;=0.95, P51=0), "Compliant", IF(O51&gt;=0.9, "Substantially Compliant", IF(O51&gt;=0.8, "Partially Compliant", "Non-Compliant")))))</f>
        <v/>
      </c>
      <c r="V51" s="8" t="n"/>
      <c r="W51" s="16">
        <f>IF(V51&lt;&gt;"", V51+90, "")</f>
        <v/>
      </c>
      <c r="X51" s="8" t="inlineStr">
        <is>
          <t>[Security Analyst]</t>
        </is>
      </c>
      <c r="Y51" s="8" t="n"/>
      <c r="Z51" s="8" t="inlineStr">
        <is>
          <t>Not Started</t>
        </is>
      </c>
      <c r="AA51" s="8" t="n"/>
      <c r="AB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inlineStr"/>
      <c r="J52" s="8" t="n"/>
      <c r="K52" s="8" t="n"/>
      <c r="L52" s="8" t="n"/>
      <c r="M52" s="8" t="n"/>
      <c r="N52" s="8" t="n"/>
      <c r="O52" s="15">
        <f>IF(AND(J52&gt;0,(J52-N52)&gt;0), (K52+(L52*0.5))/(J52-N52), "")</f>
        <v/>
      </c>
      <c r="P52" s="8" t="n"/>
      <c r="Q52" s="8" t="n"/>
      <c r="R52" s="8" t="n"/>
      <c r="S52" s="8" t="n"/>
      <c r="T52" s="8" t="n"/>
      <c r="U52">
        <f>IF(O52="","", IF(AND(O52=1, P52=0), "Fully Compliant", IF(AND(O52&gt;=0.95, P52=0), "Compliant", IF(O52&gt;=0.9, "Substantially Compliant", IF(O52&gt;=0.8, "Partially Compliant", "Non-Compliant")))))</f>
        <v/>
      </c>
      <c r="V52" s="8" t="n"/>
      <c r="W52" s="16">
        <f>IF(V52&lt;&gt;"", V52+90, "")</f>
        <v/>
      </c>
      <c r="X52" s="8" t="inlineStr">
        <is>
          <t>[Security Analyst]</t>
        </is>
      </c>
      <c r="Y52" s="8" t="n"/>
      <c r="Z52" s="8" t="inlineStr">
        <is>
          <t>Not Started</t>
        </is>
      </c>
      <c r="AA52" s="8" t="n"/>
      <c r="AB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inlineStr"/>
      <c r="J53" s="8" t="n"/>
      <c r="K53" s="8" t="n"/>
      <c r="L53" s="8" t="n"/>
      <c r="M53" s="8" t="n"/>
      <c r="N53" s="8" t="n"/>
      <c r="O53" s="15">
        <f>IF(AND(J53&gt;0,(J53-N53)&gt;0), (K53+(L53*0.5))/(J53-N53), "")</f>
        <v/>
      </c>
      <c r="P53" s="8" t="n"/>
      <c r="Q53" s="8" t="n"/>
      <c r="R53" s="8" t="n"/>
      <c r="S53" s="8" t="n"/>
      <c r="T53" s="8" t="n"/>
      <c r="U53">
        <f>IF(O53="","", IF(AND(O53=1, P53=0), "Fully Compliant", IF(AND(O53&gt;=0.95, P53=0), "Compliant", IF(O53&gt;=0.9, "Substantially Compliant", IF(O53&gt;=0.8, "Partially Compliant", "Non-Compliant")))))</f>
        <v/>
      </c>
      <c r="V53" s="8" t="n"/>
      <c r="W53" s="16">
        <f>IF(V53&lt;&gt;"", V53+90, "")</f>
        <v/>
      </c>
      <c r="X53" s="8" t="inlineStr">
        <is>
          <t>[Security Analyst]</t>
        </is>
      </c>
      <c r="Y53" s="8" t="n"/>
      <c r="Z53" s="8" t="inlineStr">
        <is>
          <t>Not Started</t>
        </is>
      </c>
      <c r="AA53" s="8" t="n"/>
      <c r="AB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inlineStr"/>
      <c r="J54" s="8" t="n"/>
      <c r="K54" s="8" t="n"/>
      <c r="L54" s="8" t="n"/>
      <c r="M54" s="8" t="n"/>
      <c r="N54" s="8" t="n"/>
      <c r="O54" s="15">
        <f>IF(AND(J54&gt;0,(J54-N54)&gt;0), (K54+(L54*0.5))/(J54-N54), "")</f>
        <v/>
      </c>
      <c r="P54" s="8" t="n"/>
      <c r="Q54" s="8" t="n"/>
      <c r="R54" s="8" t="n"/>
      <c r="S54" s="8" t="n"/>
      <c r="T54" s="8" t="n"/>
      <c r="U54">
        <f>IF(O54="","", IF(AND(O54=1, P54=0), "Fully Compliant", IF(AND(O54&gt;=0.95, P54=0), "Compliant", IF(O54&gt;=0.9, "Substantially Compliant", IF(O54&gt;=0.8, "Partially Compliant", "Non-Compliant")))))</f>
        <v/>
      </c>
      <c r="V54" s="8" t="n"/>
      <c r="W54" s="16">
        <f>IF(V54&lt;&gt;"", V54+90, "")</f>
        <v/>
      </c>
      <c r="X54" s="8" t="inlineStr">
        <is>
          <t>[Security Analyst]</t>
        </is>
      </c>
      <c r="Y54" s="8" t="n"/>
      <c r="Z54" s="8" t="inlineStr">
        <is>
          <t>Not Started</t>
        </is>
      </c>
      <c r="AA54" s="8" t="n"/>
      <c r="AB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inlineStr"/>
      <c r="J55" s="8" t="n"/>
      <c r="K55" s="8" t="n"/>
      <c r="L55" s="8" t="n"/>
      <c r="M55" s="8" t="n"/>
      <c r="N55" s="8" t="n"/>
      <c r="O55" s="15">
        <f>IF(AND(J55&gt;0,(J55-N55)&gt;0), (K55+(L55*0.5))/(J55-N55), "")</f>
        <v/>
      </c>
      <c r="P55" s="8" t="n"/>
      <c r="Q55" s="8" t="n"/>
      <c r="R55" s="8" t="n"/>
      <c r="S55" s="8" t="n"/>
      <c r="T55" s="8" t="n"/>
      <c r="U55">
        <f>IF(O55="","", IF(AND(O55=1, P55=0), "Fully Compliant", IF(AND(O55&gt;=0.95, P55=0), "Compliant", IF(O55&gt;=0.9, "Substantially Compliant", IF(O55&gt;=0.8, "Partially Compliant", "Non-Compliant")))))</f>
        <v/>
      </c>
      <c r="V55" s="8" t="n"/>
      <c r="W55" s="16">
        <f>IF(V55&lt;&gt;"", V55+90, "")</f>
        <v/>
      </c>
      <c r="X55" s="8" t="inlineStr">
        <is>
          <t>[Security Analyst]</t>
        </is>
      </c>
      <c r="Y55" s="8" t="n"/>
      <c r="Z55" s="8" t="inlineStr">
        <is>
          <t>Not Started</t>
        </is>
      </c>
      <c r="AA55" s="8" t="n"/>
      <c r="AB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inlineStr"/>
      <c r="J56" s="8" t="n"/>
      <c r="K56" s="8" t="n"/>
      <c r="L56" s="8" t="n"/>
      <c r="M56" s="8" t="n"/>
      <c r="N56" s="8" t="n"/>
      <c r="O56" s="15">
        <f>IF(AND(J56&gt;0,(J56-N56)&gt;0), (K56+(L56*0.5))/(J56-N56), "")</f>
        <v/>
      </c>
      <c r="P56" s="8" t="n"/>
      <c r="Q56" s="8" t="n"/>
      <c r="R56" s="8" t="n"/>
      <c r="S56" s="8" t="n"/>
      <c r="T56" s="8" t="n"/>
      <c r="U56">
        <f>IF(O56="","", IF(AND(O56=1, P56=0), "Fully Compliant", IF(AND(O56&gt;=0.95, P56=0), "Compliant", IF(O56&gt;=0.9, "Substantially Compliant", IF(O56&gt;=0.8, "Partially Compliant", "Non-Compliant")))))</f>
        <v/>
      </c>
      <c r="V56" s="8" t="n"/>
      <c r="W56" s="16">
        <f>IF(V56&lt;&gt;"", V56+90, "")</f>
        <v/>
      </c>
      <c r="X56" s="8" t="inlineStr">
        <is>
          <t>[Security Analyst]</t>
        </is>
      </c>
      <c r="Y56" s="8" t="n"/>
      <c r="Z56" s="8" t="inlineStr">
        <is>
          <t>Not Started</t>
        </is>
      </c>
      <c r="AA56" s="8" t="n"/>
      <c r="AB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inlineStr"/>
      <c r="J57" s="8" t="n"/>
      <c r="K57" s="8" t="n"/>
      <c r="L57" s="8" t="n"/>
      <c r="M57" s="8" t="n"/>
      <c r="N57" s="8" t="n"/>
      <c r="O57" s="15">
        <f>IF(AND(J57&gt;0,(J57-N57)&gt;0), (K57+(L57*0.5))/(J57-N57), "")</f>
        <v/>
      </c>
      <c r="P57" s="8" t="n"/>
      <c r="Q57" s="8" t="n"/>
      <c r="R57" s="8" t="n"/>
      <c r="S57" s="8" t="n"/>
      <c r="T57" s="8" t="n"/>
      <c r="U57">
        <f>IF(O57="","", IF(AND(O57=1, P57=0), "Fully Compliant", IF(AND(O57&gt;=0.95, P57=0), "Compliant", IF(O57&gt;=0.9, "Substantially Compliant", IF(O57&gt;=0.8, "Partially Compliant", "Non-Compliant")))))</f>
        <v/>
      </c>
      <c r="V57" s="8" t="n"/>
      <c r="W57" s="16">
        <f>IF(V57&lt;&gt;"", V57+90, "")</f>
        <v/>
      </c>
      <c r="X57" s="8" t="inlineStr">
        <is>
          <t>[Security Analyst]</t>
        </is>
      </c>
      <c r="Y57" s="8" t="n"/>
      <c r="Z57" s="8" t="inlineStr">
        <is>
          <t>Not Started</t>
        </is>
      </c>
      <c r="AA57" s="8" t="n"/>
      <c r="AB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inlineStr"/>
      <c r="J58" s="8" t="n"/>
      <c r="K58" s="8" t="n"/>
      <c r="L58" s="8" t="n"/>
      <c r="M58" s="8" t="n"/>
      <c r="N58" s="8" t="n"/>
      <c r="O58" s="15">
        <f>IF(AND(J58&gt;0,(J58-N58)&gt;0), (K58+(L58*0.5))/(J58-N58), "")</f>
        <v/>
      </c>
      <c r="P58" s="8" t="n"/>
      <c r="Q58" s="8" t="n"/>
      <c r="R58" s="8" t="n"/>
      <c r="S58" s="8" t="n"/>
      <c r="T58" s="8" t="n"/>
      <c r="U58">
        <f>IF(O58="","", IF(AND(O58=1, P58=0), "Fully Compliant", IF(AND(O58&gt;=0.95, P58=0), "Compliant", IF(O58&gt;=0.9, "Substantially Compliant", IF(O58&gt;=0.8, "Partially Compliant", "Non-Compliant")))))</f>
        <v/>
      </c>
      <c r="V58" s="8" t="n"/>
      <c r="W58" s="16">
        <f>IF(V58&lt;&gt;"", V58+90, "")</f>
        <v/>
      </c>
      <c r="X58" s="8" t="inlineStr">
        <is>
          <t>[Security Analyst]</t>
        </is>
      </c>
      <c r="Y58" s="8" t="n"/>
      <c r="Z58" s="8" t="inlineStr">
        <is>
          <t>Not Started</t>
        </is>
      </c>
      <c r="AA58" s="8" t="n"/>
      <c r="AB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inlineStr"/>
      <c r="J59" s="8" t="n"/>
      <c r="K59" s="8" t="n"/>
      <c r="L59" s="8" t="n"/>
      <c r="M59" s="8" t="n"/>
      <c r="N59" s="8" t="n"/>
      <c r="O59" s="15">
        <f>IF(AND(J59&gt;0,(J59-N59)&gt;0), (K59+(L59*0.5))/(J59-N59), "")</f>
        <v/>
      </c>
      <c r="P59" s="8" t="n"/>
      <c r="Q59" s="8" t="n"/>
      <c r="R59" s="8" t="n"/>
      <c r="S59" s="8" t="n"/>
      <c r="T59" s="8" t="n"/>
      <c r="U59">
        <f>IF(O59="","", IF(AND(O59=1, P59=0), "Fully Compliant", IF(AND(O59&gt;=0.95, P59=0), "Compliant", IF(O59&gt;=0.9, "Substantially Compliant", IF(O59&gt;=0.8, "Partially Compliant", "Non-Compliant")))))</f>
        <v/>
      </c>
      <c r="V59" s="8" t="n"/>
      <c r="W59" s="16">
        <f>IF(V59&lt;&gt;"", V59+90, "")</f>
        <v/>
      </c>
      <c r="X59" s="8" t="inlineStr">
        <is>
          <t>[Security Analyst]</t>
        </is>
      </c>
      <c r="Y59" s="8" t="n"/>
      <c r="Z59" s="8" t="inlineStr">
        <is>
          <t>Not Started</t>
        </is>
      </c>
      <c r="AA59" s="8" t="n"/>
      <c r="AB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inlineStr"/>
      <c r="J60" s="8" t="n"/>
      <c r="K60" s="8" t="n"/>
      <c r="L60" s="8" t="n"/>
      <c r="M60" s="8" t="n"/>
      <c r="N60" s="8" t="n"/>
      <c r="O60" s="15">
        <f>IF(AND(J60&gt;0,(J60-N60)&gt;0), (K60+(L60*0.5))/(J60-N60), "")</f>
        <v/>
      </c>
      <c r="P60" s="8" t="n"/>
      <c r="Q60" s="8" t="n"/>
      <c r="R60" s="8" t="n"/>
      <c r="S60" s="8" t="n"/>
      <c r="T60" s="8" t="n"/>
      <c r="U60">
        <f>IF(O60="","", IF(AND(O60=1, P60=0), "Fully Compliant", IF(AND(O60&gt;=0.95, P60=0), "Compliant", IF(O60&gt;=0.9, "Substantially Compliant", IF(O60&gt;=0.8, "Partially Compliant", "Non-Compliant")))))</f>
        <v/>
      </c>
      <c r="V60" s="8" t="n"/>
      <c r="W60" s="16">
        <f>IF(V60&lt;&gt;"", V60+90, "")</f>
        <v/>
      </c>
      <c r="X60" s="8" t="inlineStr">
        <is>
          <t>[Security Analyst]</t>
        </is>
      </c>
      <c r="Y60" s="8" t="n"/>
      <c r="Z60" s="8" t="inlineStr">
        <is>
          <t>Not Started</t>
        </is>
      </c>
      <c r="AA60" s="8" t="n"/>
      <c r="AB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inlineStr"/>
      <c r="J61" s="8" t="n"/>
      <c r="K61" s="8" t="n"/>
      <c r="L61" s="8" t="n"/>
      <c r="M61" s="8" t="n"/>
      <c r="N61" s="8" t="n"/>
      <c r="O61" s="15">
        <f>IF(AND(J61&gt;0,(J61-N61)&gt;0), (K61+(L61*0.5))/(J61-N61), "")</f>
        <v/>
      </c>
      <c r="P61" s="8" t="n"/>
      <c r="Q61" s="8" t="n"/>
      <c r="R61" s="8" t="n"/>
      <c r="S61" s="8" t="n"/>
      <c r="T61" s="8" t="n"/>
      <c r="U61">
        <f>IF(O61="","", IF(AND(O61=1, P61=0), "Fully Compliant", IF(AND(O61&gt;=0.95, P61=0), "Compliant", IF(O61&gt;=0.9, "Substantially Compliant", IF(O61&gt;=0.8, "Partially Compliant", "Non-Compliant")))))</f>
        <v/>
      </c>
      <c r="V61" s="8" t="n"/>
      <c r="W61" s="16">
        <f>IF(V61&lt;&gt;"", V61+90, "")</f>
        <v/>
      </c>
      <c r="X61" s="8" t="inlineStr">
        <is>
          <t>[Security Analyst]</t>
        </is>
      </c>
      <c r="Y61" s="8" t="n"/>
      <c r="Z61" s="8" t="inlineStr">
        <is>
          <t>Not Started</t>
        </is>
      </c>
      <c r="AA61" s="8" t="n"/>
      <c r="AB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inlineStr"/>
      <c r="J62" s="8" t="n"/>
      <c r="K62" s="8" t="n"/>
      <c r="L62" s="8" t="n"/>
      <c r="M62" s="8" t="n"/>
      <c r="N62" s="8" t="n"/>
      <c r="O62" s="15">
        <f>IF(AND(J62&gt;0,(J62-N62)&gt;0), (K62+(L62*0.5))/(J62-N62), "")</f>
        <v/>
      </c>
      <c r="P62" s="8" t="n"/>
      <c r="Q62" s="8" t="n"/>
      <c r="R62" s="8" t="n"/>
      <c r="S62" s="8" t="n"/>
      <c r="T62" s="8" t="n"/>
      <c r="U62">
        <f>IF(O62="","", IF(AND(O62=1, P62=0), "Fully Compliant", IF(AND(O62&gt;=0.95, P62=0), "Compliant", IF(O62&gt;=0.9, "Substantially Compliant", IF(O62&gt;=0.8, "Partially Compliant", "Non-Compliant")))))</f>
        <v/>
      </c>
      <c r="V62" s="8" t="n"/>
      <c r="W62" s="16">
        <f>IF(V62&lt;&gt;"", V62+90, "")</f>
        <v/>
      </c>
      <c r="X62" s="8" t="inlineStr">
        <is>
          <t>[Security Analyst]</t>
        </is>
      </c>
      <c r="Y62" s="8" t="n"/>
      <c r="Z62" s="8" t="inlineStr">
        <is>
          <t>Not Started</t>
        </is>
      </c>
      <c r="AA62" s="8" t="n"/>
      <c r="AB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inlineStr"/>
      <c r="J63" s="8" t="n"/>
      <c r="K63" s="8" t="n"/>
      <c r="L63" s="8" t="n"/>
      <c r="M63" s="8" t="n"/>
      <c r="N63" s="8" t="n"/>
      <c r="O63" s="15">
        <f>IF(AND(J63&gt;0,(J63-N63)&gt;0), (K63+(L63*0.5))/(J63-N63), "")</f>
        <v/>
      </c>
      <c r="P63" s="8" t="n"/>
      <c r="Q63" s="8" t="n"/>
      <c r="R63" s="8" t="n"/>
      <c r="S63" s="8" t="n"/>
      <c r="T63" s="8" t="n"/>
      <c r="U63">
        <f>IF(O63="","", IF(AND(O63=1, P63=0), "Fully Compliant", IF(AND(O63&gt;=0.95, P63=0), "Compliant", IF(O63&gt;=0.9, "Substantially Compliant", IF(O63&gt;=0.8, "Partially Compliant", "Non-Compliant")))))</f>
        <v/>
      </c>
      <c r="V63" s="8" t="n"/>
      <c r="W63" s="16">
        <f>IF(V63&lt;&gt;"", V63+90, "")</f>
        <v/>
      </c>
      <c r="X63" s="8" t="inlineStr">
        <is>
          <t>[Security Analyst]</t>
        </is>
      </c>
      <c r="Y63" s="8" t="n"/>
      <c r="Z63" s="8" t="inlineStr">
        <is>
          <t>Not Started</t>
        </is>
      </c>
      <c r="AA63" s="8" t="n"/>
      <c r="AB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inlineStr"/>
      <c r="J64" s="8" t="n"/>
      <c r="K64" s="8" t="n"/>
      <c r="L64" s="8" t="n"/>
      <c r="M64" s="8" t="n"/>
      <c r="N64" s="8" t="n"/>
      <c r="O64" s="15">
        <f>IF(AND(J64&gt;0,(J64-N64)&gt;0), (K64+(L64*0.5))/(J64-N64), "")</f>
        <v/>
      </c>
      <c r="P64" s="8" t="n"/>
      <c r="Q64" s="8" t="n"/>
      <c r="R64" s="8" t="n"/>
      <c r="S64" s="8" t="n"/>
      <c r="T64" s="8" t="n"/>
      <c r="U64">
        <f>IF(O64="","", IF(AND(O64=1, P64=0), "Fully Compliant", IF(AND(O64&gt;=0.95, P64=0), "Compliant", IF(O64&gt;=0.9, "Substantially Compliant", IF(O64&gt;=0.8, "Partially Compliant", "Non-Compliant")))))</f>
        <v/>
      </c>
      <c r="V64" s="8" t="n"/>
      <c r="W64" s="16">
        <f>IF(V64&lt;&gt;"", V64+90, "")</f>
        <v/>
      </c>
      <c r="X64" s="8" t="inlineStr">
        <is>
          <t>[Security Analyst]</t>
        </is>
      </c>
      <c r="Y64" s="8" t="n"/>
      <c r="Z64" s="8" t="inlineStr">
        <is>
          <t>Not Started</t>
        </is>
      </c>
      <c r="AA64" s="8" t="n"/>
      <c r="AB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inlineStr"/>
      <c r="J65" s="8" t="n"/>
      <c r="K65" s="8" t="n"/>
      <c r="L65" s="8" t="n"/>
      <c r="M65" s="8" t="n"/>
      <c r="N65" s="8" t="n"/>
      <c r="O65" s="15">
        <f>IF(AND(J65&gt;0,(J65-N65)&gt;0), (K65+(L65*0.5))/(J65-N65), "")</f>
        <v/>
      </c>
      <c r="P65" s="8" t="n"/>
      <c r="Q65" s="8" t="n"/>
      <c r="R65" s="8" t="n"/>
      <c r="S65" s="8" t="n"/>
      <c r="T65" s="8" t="n"/>
      <c r="U65">
        <f>IF(O65="","", IF(AND(O65=1, P65=0), "Fully Compliant", IF(AND(O65&gt;=0.95, P65=0), "Compliant", IF(O65&gt;=0.9, "Substantially Compliant", IF(O65&gt;=0.8, "Partially Compliant", "Non-Compliant")))))</f>
        <v/>
      </c>
      <c r="V65" s="8" t="n"/>
      <c r="W65" s="16">
        <f>IF(V65&lt;&gt;"", V65+90, "")</f>
        <v/>
      </c>
      <c r="X65" s="8" t="inlineStr">
        <is>
          <t>[Security Analyst]</t>
        </is>
      </c>
      <c r="Y65" s="8" t="n"/>
      <c r="Z65" s="8" t="inlineStr">
        <is>
          <t>Not Started</t>
        </is>
      </c>
      <c r="AA65" s="8" t="n"/>
      <c r="AB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inlineStr"/>
      <c r="J66" s="8" t="n"/>
      <c r="K66" s="8" t="n"/>
      <c r="L66" s="8" t="n"/>
      <c r="M66" s="8" t="n"/>
      <c r="N66" s="8" t="n"/>
      <c r="O66" s="15">
        <f>IF(AND(J66&gt;0,(J66-N66)&gt;0), (K66+(L66*0.5))/(J66-N66), "")</f>
        <v/>
      </c>
      <c r="P66" s="8" t="n"/>
      <c r="Q66" s="8" t="n"/>
      <c r="R66" s="8" t="n"/>
      <c r="S66" s="8" t="n"/>
      <c r="T66" s="8" t="n"/>
      <c r="U66">
        <f>IF(O66="","", IF(AND(O66=1, P66=0), "Fully Compliant", IF(AND(O66&gt;=0.95, P66=0), "Compliant", IF(O66&gt;=0.9, "Substantially Compliant", IF(O66&gt;=0.8, "Partially Compliant", "Non-Compliant")))))</f>
        <v/>
      </c>
      <c r="V66" s="8" t="n"/>
      <c r="W66" s="16">
        <f>IF(V66&lt;&gt;"", V66+90, "")</f>
        <v/>
      </c>
      <c r="X66" s="8" t="inlineStr">
        <is>
          <t>[Security Analyst]</t>
        </is>
      </c>
      <c r="Y66" s="8" t="n"/>
      <c r="Z66" s="8" t="inlineStr">
        <is>
          <t>Not Started</t>
        </is>
      </c>
      <c r="AA66" s="8" t="n"/>
      <c r="AB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inlineStr"/>
      <c r="J67" s="8" t="n"/>
      <c r="K67" s="8" t="n"/>
      <c r="L67" s="8" t="n"/>
      <c r="M67" s="8" t="n"/>
      <c r="N67" s="8" t="n"/>
      <c r="O67" s="15">
        <f>IF(AND(J67&gt;0,(J67-N67)&gt;0), (K67+(L67*0.5))/(J67-N67), "")</f>
        <v/>
      </c>
      <c r="P67" s="8" t="n"/>
      <c r="Q67" s="8" t="n"/>
      <c r="R67" s="8" t="n"/>
      <c r="S67" s="8" t="n"/>
      <c r="T67" s="8" t="n"/>
      <c r="U67">
        <f>IF(O67="","", IF(AND(O67=1, P67=0), "Fully Compliant", IF(AND(O67&gt;=0.95, P67=0), "Compliant", IF(O67&gt;=0.9, "Substantially Compliant", IF(O67&gt;=0.8, "Partially Compliant", "Non-Compliant")))))</f>
        <v/>
      </c>
      <c r="V67" s="8" t="n"/>
      <c r="W67" s="16">
        <f>IF(V67&lt;&gt;"", V67+90, "")</f>
        <v/>
      </c>
      <c r="X67" s="8" t="inlineStr">
        <is>
          <t>[Security Analyst]</t>
        </is>
      </c>
      <c r="Y67" s="8" t="n"/>
      <c r="Z67" s="8" t="inlineStr">
        <is>
          <t>Not Started</t>
        </is>
      </c>
      <c r="AA67" s="8" t="n"/>
      <c r="AB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inlineStr"/>
      <c r="J68" s="8" t="n"/>
      <c r="K68" s="8" t="n"/>
      <c r="L68" s="8" t="n"/>
      <c r="M68" s="8" t="n"/>
      <c r="N68" s="8" t="n"/>
      <c r="O68" s="15">
        <f>IF(AND(J68&gt;0,(J68-N68)&gt;0), (K68+(L68*0.5))/(J68-N68), "")</f>
        <v/>
      </c>
      <c r="P68" s="8" t="n"/>
      <c r="Q68" s="8" t="n"/>
      <c r="R68" s="8" t="n"/>
      <c r="S68" s="8" t="n"/>
      <c r="T68" s="8" t="n"/>
      <c r="U68">
        <f>IF(O68="","", IF(AND(O68=1, P68=0), "Fully Compliant", IF(AND(O68&gt;=0.95, P68=0), "Compliant", IF(O68&gt;=0.9, "Substantially Compliant", IF(O68&gt;=0.8, "Partially Compliant", "Non-Compliant")))))</f>
        <v/>
      </c>
      <c r="V68" s="8" t="n"/>
      <c r="W68" s="16">
        <f>IF(V68&lt;&gt;"", V68+90, "")</f>
        <v/>
      </c>
      <c r="X68" s="8" t="inlineStr">
        <is>
          <t>[Security Analyst]</t>
        </is>
      </c>
      <c r="Y68" s="8" t="n"/>
      <c r="Z68" s="8" t="inlineStr">
        <is>
          <t>Not Started</t>
        </is>
      </c>
      <c r="AA68" s="8" t="n"/>
      <c r="AB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inlineStr"/>
      <c r="J69" s="8" t="n"/>
      <c r="K69" s="8" t="n"/>
      <c r="L69" s="8" t="n"/>
      <c r="M69" s="8" t="n"/>
      <c r="N69" s="8" t="n"/>
      <c r="O69" s="15">
        <f>IF(AND(J69&gt;0,(J69-N69)&gt;0), (K69+(L69*0.5))/(J69-N69), "")</f>
        <v/>
      </c>
      <c r="P69" s="8" t="n"/>
      <c r="Q69" s="8" t="n"/>
      <c r="R69" s="8" t="n"/>
      <c r="S69" s="8" t="n"/>
      <c r="T69" s="8" t="n"/>
      <c r="U69">
        <f>IF(O69="","", IF(AND(O69=1, P69=0), "Fully Compliant", IF(AND(O69&gt;=0.95, P69=0), "Compliant", IF(O69&gt;=0.9, "Substantially Compliant", IF(O69&gt;=0.8, "Partially Compliant", "Non-Compliant")))))</f>
        <v/>
      </c>
      <c r="V69" s="8" t="n"/>
      <c r="W69" s="16">
        <f>IF(V69&lt;&gt;"", V69+90, "")</f>
        <v/>
      </c>
      <c r="X69" s="8" t="inlineStr">
        <is>
          <t>[Security Analyst]</t>
        </is>
      </c>
      <c r="Y69" s="8" t="n"/>
      <c r="Z69" s="8" t="inlineStr">
        <is>
          <t>Not Started</t>
        </is>
      </c>
      <c r="AA69" s="8" t="n"/>
      <c r="AB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inlineStr"/>
      <c r="J70" s="8" t="n"/>
      <c r="K70" s="8" t="n"/>
      <c r="L70" s="8" t="n"/>
      <c r="M70" s="8" t="n"/>
      <c r="N70" s="8" t="n"/>
      <c r="O70" s="15">
        <f>IF(AND(J70&gt;0,(J70-N70)&gt;0), (K70+(L70*0.5))/(J70-N70), "")</f>
        <v/>
      </c>
      <c r="P70" s="8" t="n"/>
      <c r="Q70" s="8" t="n"/>
      <c r="R70" s="8" t="n"/>
      <c r="S70" s="8" t="n"/>
      <c r="T70" s="8" t="n"/>
      <c r="U70">
        <f>IF(O70="","", IF(AND(O70=1, P70=0), "Fully Compliant", IF(AND(O70&gt;=0.95, P70=0), "Compliant", IF(O70&gt;=0.9, "Substantially Compliant", IF(O70&gt;=0.8, "Partially Compliant", "Non-Compliant")))))</f>
        <v/>
      </c>
      <c r="V70" s="8" t="n"/>
      <c r="W70" s="16">
        <f>IF(V70&lt;&gt;"", V70+90, "")</f>
        <v/>
      </c>
      <c r="X70" s="8" t="inlineStr">
        <is>
          <t>[Security Analyst]</t>
        </is>
      </c>
      <c r="Y70" s="8" t="n"/>
      <c r="Z70" s="8" t="inlineStr">
        <is>
          <t>Not Started</t>
        </is>
      </c>
      <c r="AA70" s="8" t="n"/>
      <c r="AB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inlineStr"/>
      <c r="J71" s="8" t="n"/>
      <c r="K71" s="8" t="n"/>
      <c r="L71" s="8" t="n"/>
      <c r="M71" s="8" t="n"/>
      <c r="N71" s="8" t="n"/>
      <c r="O71" s="15">
        <f>IF(AND(J71&gt;0,(J71-N71)&gt;0), (K71+(L71*0.5))/(J71-N71), "")</f>
        <v/>
      </c>
      <c r="P71" s="8" t="n"/>
      <c r="Q71" s="8" t="n"/>
      <c r="R71" s="8" t="n"/>
      <c r="S71" s="8" t="n"/>
      <c r="T71" s="8" t="n"/>
      <c r="U71">
        <f>IF(O71="","", IF(AND(O71=1, P71=0), "Fully Compliant", IF(AND(O71&gt;=0.95, P71=0), "Compliant", IF(O71&gt;=0.9, "Substantially Compliant", IF(O71&gt;=0.8, "Partially Compliant", "Non-Compliant")))))</f>
        <v/>
      </c>
      <c r="V71" s="8" t="n"/>
      <c r="W71" s="16">
        <f>IF(V71&lt;&gt;"", V71+90, "")</f>
        <v/>
      </c>
      <c r="X71" s="8" t="inlineStr">
        <is>
          <t>[Security Analyst]</t>
        </is>
      </c>
      <c r="Y71" s="8" t="n"/>
      <c r="Z71" s="8" t="inlineStr">
        <is>
          <t>Not Started</t>
        </is>
      </c>
      <c r="AA71" s="8" t="n"/>
      <c r="AB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inlineStr"/>
      <c r="J72" s="8" t="n"/>
      <c r="K72" s="8" t="n"/>
      <c r="L72" s="8" t="n"/>
      <c r="M72" s="8" t="n"/>
      <c r="N72" s="8" t="n"/>
      <c r="O72" s="15">
        <f>IF(AND(J72&gt;0,(J72-N72)&gt;0), (K72+(L72*0.5))/(J72-N72), "")</f>
        <v/>
      </c>
      <c r="P72" s="8" t="n"/>
      <c r="Q72" s="8" t="n"/>
      <c r="R72" s="8" t="n"/>
      <c r="S72" s="8" t="n"/>
      <c r="T72" s="8" t="n"/>
      <c r="U72">
        <f>IF(O72="","", IF(AND(O72=1, P72=0), "Fully Compliant", IF(AND(O72&gt;=0.95, P72=0), "Compliant", IF(O72&gt;=0.9, "Substantially Compliant", IF(O72&gt;=0.8, "Partially Compliant", "Non-Compliant")))))</f>
        <v/>
      </c>
      <c r="V72" s="8" t="n"/>
      <c r="W72" s="16">
        <f>IF(V72&lt;&gt;"", V72+90, "")</f>
        <v/>
      </c>
      <c r="X72" s="8" t="inlineStr">
        <is>
          <t>[Security Analyst]</t>
        </is>
      </c>
      <c r="Y72" s="8" t="n"/>
      <c r="Z72" s="8" t="inlineStr">
        <is>
          <t>Not Started</t>
        </is>
      </c>
      <c r="AA72" s="8" t="n"/>
      <c r="AB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inlineStr"/>
      <c r="J73" s="8" t="n"/>
      <c r="K73" s="8" t="n"/>
      <c r="L73" s="8" t="n"/>
      <c r="M73" s="8" t="n"/>
      <c r="N73" s="8" t="n"/>
      <c r="O73" s="15">
        <f>IF(AND(J73&gt;0,(J73-N73)&gt;0), (K73+(L73*0.5))/(J73-N73), "")</f>
        <v/>
      </c>
      <c r="P73" s="8" t="n"/>
      <c r="Q73" s="8" t="n"/>
      <c r="R73" s="8" t="n"/>
      <c r="S73" s="8" t="n"/>
      <c r="T73" s="8" t="n"/>
      <c r="U73">
        <f>IF(O73="","", IF(AND(O73=1, P73=0), "Fully Compliant", IF(AND(O73&gt;=0.95, P73=0), "Compliant", IF(O73&gt;=0.9, "Substantially Compliant", IF(O73&gt;=0.8, "Partially Compliant", "Non-Compliant")))))</f>
        <v/>
      </c>
      <c r="V73" s="8" t="n"/>
      <c r="W73" s="16">
        <f>IF(V73&lt;&gt;"", V73+90, "")</f>
        <v/>
      </c>
      <c r="X73" s="8" t="inlineStr">
        <is>
          <t>[Security Analyst]</t>
        </is>
      </c>
      <c r="Y73" s="8" t="n"/>
      <c r="Z73" s="8" t="inlineStr">
        <is>
          <t>Not Started</t>
        </is>
      </c>
      <c r="AA73" s="8" t="n"/>
      <c r="AB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inlineStr"/>
      <c r="J74" s="8" t="n"/>
      <c r="K74" s="8" t="n"/>
      <c r="L74" s="8" t="n"/>
      <c r="M74" s="8" t="n"/>
      <c r="N74" s="8" t="n"/>
      <c r="O74" s="15">
        <f>IF(AND(J74&gt;0,(J74-N74)&gt;0), (K74+(L74*0.5))/(J74-N74), "")</f>
        <v/>
      </c>
      <c r="P74" s="8" t="n"/>
      <c r="Q74" s="8" t="n"/>
      <c r="R74" s="8" t="n"/>
      <c r="S74" s="8" t="n"/>
      <c r="T74" s="8" t="n"/>
      <c r="U74">
        <f>IF(O74="","", IF(AND(O74=1, P74=0), "Fully Compliant", IF(AND(O74&gt;=0.95, P74=0), "Compliant", IF(O74&gt;=0.9, "Substantially Compliant", IF(O74&gt;=0.8, "Partially Compliant", "Non-Compliant")))))</f>
        <v/>
      </c>
      <c r="V74" s="8" t="n"/>
      <c r="W74" s="16">
        <f>IF(V74&lt;&gt;"", V74+90, "")</f>
        <v/>
      </c>
      <c r="X74" s="8" t="inlineStr">
        <is>
          <t>[Security Analyst]</t>
        </is>
      </c>
      <c r="Y74" s="8" t="n"/>
      <c r="Z74" s="8" t="inlineStr">
        <is>
          <t>Not Started</t>
        </is>
      </c>
      <c r="AA74" s="8" t="n"/>
      <c r="AB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inlineStr"/>
      <c r="J75" s="8" t="n"/>
      <c r="K75" s="8" t="n"/>
      <c r="L75" s="8" t="n"/>
      <c r="M75" s="8" t="n"/>
      <c r="N75" s="8" t="n"/>
      <c r="O75" s="15">
        <f>IF(AND(J75&gt;0,(J75-N75)&gt;0), (K75+(L75*0.5))/(J75-N75), "")</f>
        <v/>
      </c>
      <c r="P75" s="8" t="n"/>
      <c r="Q75" s="8" t="n"/>
      <c r="R75" s="8" t="n"/>
      <c r="S75" s="8" t="n"/>
      <c r="T75" s="8" t="n"/>
      <c r="U75">
        <f>IF(O75="","", IF(AND(O75=1, P75=0), "Fully Compliant", IF(AND(O75&gt;=0.95, P75=0), "Compliant", IF(O75&gt;=0.9, "Substantially Compliant", IF(O75&gt;=0.8, "Partially Compliant", "Non-Compliant")))))</f>
        <v/>
      </c>
      <c r="V75" s="8" t="n"/>
      <c r="W75" s="16">
        <f>IF(V75&lt;&gt;"", V75+90, "")</f>
        <v/>
      </c>
      <c r="X75" s="8" t="inlineStr">
        <is>
          <t>[Security Analyst]</t>
        </is>
      </c>
      <c r="Y75" s="8" t="n"/>
      <c r="Z75" s="8" t="inlineStr">
        <is>
          <t>Not Started</t>
        </is>
      </c>
      <c r="AA75" s="8" t="n"/>
      <c r="AB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inlineStr"/>
      <c r="J76" s="8" t="n"/>
      <c r="K76" s="8" t="n"/>
      <c r="L76" s="8" t="n"/>
      <c r="M76" s="8" t="n"/>
      <c r="N76" s="8" t="n"/>
      <c r="O76" s="15">
        <f>IF(AND(J76&gt;0,(J76-N76)&gt;0), (K76+(L76*0.5))/(J76-N76), "")</f>
        <v/>
      </c>
      <c r="P76" s="8" t="n"/>
      <c r="Q76" s="8" t="n"/>
      <c r="R76" s="8" t="n"/>
      <c r="S76" s="8" t="n"/>
      <c r="T76" s="8" t="n"/>
      <c r="U76">
        <f>IF(O76="","", IF(AND(O76=1, P76=0), "Fully Compliant", IF(AND(O76&gt;=0.95, P76=0), "Compliant", IF(O76&gt;=0.9, "Substantially Compliant", IF(O76&gt;=0.8, "Partially Compliant", "Non-Compliant")))))</f>
        <v/>
      </c>
      <c r="V76" s="8" t="n"/>
      <c r="W76" s="16">
        <f>IF(V76&lt;&gt;"", V76+90, "")</f>
        <v/>
      </c>
      <c r="X76" s="8" t="inlineStr">
        <is>
          <t>[Security Analyst]</t>
        </is>
      </c>
      <c r="Y76" s="8" t="n"/>
      <c r="Z76" s="8" t="inlineStr">
        <is>
          <t>Not Started</t>
        </is>
      </c>
      <c r="AA76" s="8" t="n"/>
      <c r="AB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inlineStr"/>
      <c r="J77" s="8" t="n"/>
      <c r="K77" s="8" t="n"/>
      <c r="L77" s="8" t="n"/>
      <c r="M77" s="8" t="n"/>
      <c r="N77" s="8" t="n"/>
      <c r="O77" s="15">
        <f>IF(AND(J77&gt;0,(J77-N77)&gt;0), (K77+(L77*0.5))/(J77-N77), "")</f>
        <v/>
      </c>
      <c r="P77" s="8" t="n"/>
      <c r="Q77" s="8" t="n"/>
      <c r="R77" s="8" t="n"/>
      <c r="S77" s="8" t="n"/>
      <c r="T77" s="8" t="n"/>
      <c r="U77">
        <f>IF(O77="","", IF(AND(O77=1, P77=0), "Fully Compliant", IF(AND(O77&gt;=0.95, P77=0), "Compliant", IF(O77&gt;=0.9, "Substantially Compliant", IF(O77&gt;=0.8, "Partially Compliant", "Non-Compliant")))))</f>
        <v/>
      </c>
      <c r="V77" s="8" t="n"/>
      <c r="W77" s="16">
        <f>IF(V77&lt;&gt;"", V77+90, "")</f>
        <v/>
      </c>
      <c r="X77" s="8" t="inlineStr">
        <is>
          <t>[Security Analyst]</t>
        </is>
      </c>
      <c r="Y77" s="8" t="n"/>
      <c r="Z77" s="8" t="inlineStr">
        <is>
          <t>Not Started</t>
        </is>
      </c>
      <c r="AA77" s="8" t="n"/>
      <c r="AB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inlineStr"/>
      <c r="J78" s="8" t="n"/>
      <c r="K78" s="8" t="n"/>
      <c r="L78" s="8" t="n"/>
      <c r="M78" s="8" t="n"/>
      <c r="N78" s="8" t="n"/>
      <c r="O78" s="15">
        <f>IF(AND(J78&gt;0,(J78-N78)&gt;0), (K78+(L78*0.5))/(J78-N78), "")</f>
        <v/>
      </c>
      <c r="P78" s="8" t="n"/>
      <c r="Q78" s="8" t="n"/>
      <c r="R78" s="8" t="n"/>
      <c r="S78" s="8" t="n"/>
      <c r="T78" s="8" t="n"/>
      <c r="U78">
        <f>IF(O78="","", IF(AND(O78=1, P78=0), "Fully Compliant", IF(AND(O78&gt;=0.95, P78=0), "Compliant", IF(O78&gt;=0.9, "Substantially Compliant", IF(O78&gt;=0.8, "Partially Compliant", "Non-Compliant")))))</f>
        <v/>
      </c>
      <c r="V78" s="8" t="n"/>
      <c r="W78" s="16">
        <f>IF(V78&lt;&gt;"", V78+90, "")</f>
        <v/>
      </c>
      <c r="X78" s="8" t="inlineStr">
        <is>
          <t>[Security Analyst]</t>
        </is>
      </c>
      <c r="Y78" s="8" t="n"/>
      <c r="Z78" s="8" t="inlineStr">
        <is>
          <t>Not Started</t>
        </is>
      </c>
      <c r="AA78" s="8" t="n"/>
      <c r="AB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inlineStr"/>
      <c r="J79" s="8" t="n"/>
      <c r="K79" s="8" t="n"/>
      <c r="L79" s="8" t="n"/>
      <c r="M79" s="8" t="n"/>
      <c r="N79" s="8" t="n"/>
      <c r="O79" s="15">
        <f>IF(AND(J79&gt;0,(J79-N79)&gt;0), (K79+(L79*0.5))/(J79-N79), "")</f>
        <v/>
      </c>
      <c r="P79" s="8" t="n"/>
      <c r="Q79" s="8" t="n"/>
      <c r="R79" s="8" t="n"/>
      <c r="S79" s="8" t="n"/>
      <c r="T79" s="8" t="n"/>
      <c r="U79">
        <f>IF(O79="","", IF(AND(O79=1, P79=0), "Fully Compliant", IF(AND(O79&gt;=0.95, P79=0), "Compliant", IF(O79&gt;=0.9, "Substantially Compliant", IF(O79&gt;=0.8, "Partially Compliant", "Non-Compliant")))))</f>
        <v/>
      </c>
      <c r="V79" s="8" t="n"/>
      <c r="W79" s="16">
        <f>IF(V79&lt;&gt;"", V79+90, "")</f>
        <v/>
      </c>
      <c r="X79" s="8" t="inlineStr">
        <is>
          <t>[Security Analyst]</t>
        </is>
      </c>
      <c r="Y79" s="8" t="n"/>
      <c r="Z79" s="8" t="inlineStr">
        <is>
          <t>Not Started</t>
        </is>
      </c>
      <c r="AA79" s="8" t="n"/>
      <c r="AB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inlineStr"/>
      <c r="J80" s="8" t="n"/>
      <c r="K80" s="8" t="n"/>
      <c r="L80" s="8" t="n"/>
      <c r="M80" s="8" t="n"/>
      <c r="N80" s="8" t="n"/>
      <c r="O80" s="15">
        <f>IF(AND(J80&gt;0,(J80-N80)&gt;0), (K80+(L80*0.5))/(J80-N80), "")</f>
        <v/>
      </c>
      <c r="P80" s="8" t="n"/>
      <c r="Q80" s="8" t="n"/>
      <c r="R80" s="8" t="n"/>
      <c r="S80" s="8" t="n"/>
      <c r="T80" s="8" t="n"/>
      <c r="U80">
        <f>IF(O80="","", IF(AND(O80=1, P80=0), "Fully Compliant", IF(AND(O80&gt;=0.95, P80=0), "Compliant", IF(O80&gt;=0.9, "Substantially Compliant", IF(O80&gt;=0.8, "Partially Compliant", "Non-Compliant")))))</f>
        <v/>
      </c>
      <c r="V80" s="8" t="n"/>
      <c r="W80" s="16">
        <f>IF(V80&lt;&gt;"", V80+90, "")</f>
        <v/>
      </c>
      <c r="X80" s="8" t="inlineStr">
        <is>
          <t>[Security Analyst]</t>
        </is>
      </c>
      <c r="Y80" s="8" t="n"/>
      <c r="Z80" s="8" t="inlineStr">
        <is>
          <t>Not Started</t>
        </is>
      </c>
      <c r="AA80" s="8" t="n"/>
      <c r="AB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inlineStr"/>
      <c r="J81" s="8" t="n"/>
      <c r="K81" s="8" t="n"/>
      <c r="L81" s="8" t="n"/>
      <c r="M81" s="8" t="n"/>
      <c r="N81" s="8" t="n"/>
      <c r="O81" s="15">
        <f>IF(AND(J81&gt;0,(J81-N81)&gt;0), (K81+(L81*0.5))/(J81-N81), "")</f>
        <v/>
      </c>
      <c r="P81" s="8" t="n"/>
      <c r="Q81" s="8" t="n"/>
      <c r="R81" s="8" t="n"/>
      <c r="S81" s="8" t="n"/>
      <c r="T81" s="8" t="n"/>
      <c r="U81">
        <f>IF(O81="","", IF(AND(O81=1, P81=0), "Fully Compliant", IF(AND(O81&gt;=0.95, P81=0), "Compliant", IF(O81&gt;=0.9, "Substantially Compliant", IF(O81&gt;=0.8, "Partially Compliant", "Non-Compliant")))))</f>
        <v/>
      </c>
      <c r="V81" s="8" t="n"/>
      <c r="W81" s="16">
        <f>IF(V81&lt;&gt;"", V81+90, "")</f>
        <v/>
      </c>
      <c r="X81" s="8" t="inlineStr">
        <is>
          <t>[Security Analyst]</t>
        </is>
      </c>
      <c r="Y81" s="8" t="n"/>
      <c r="Z81" s="8" t="inlineStr">
        <is>
          <t>Not Started</t>
        </is>
      </c>
      <c r="AA81" s="8" t="n"/>
      <c r="AB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inlineStr"/>
      <c r="J82" s="8" t="n"/>
      <c r="K82" s="8" t="n"/>
      <c r="L82" s="8" t="n"/>
      <c r="M82" s="8" t="n"/>
      <c r="N82" s="8" t="n"/>
      <c r="O82" s="15">
        <f>IF(AND(J82&gt;0,(J82-N82)&gt;0), (K82+(L82*0.5))/(J82-N82), "")</f>
        <v/>
      </c>
      <c r="P82" s="8" t="n"/>
      <c r="Q82" s="8" t="n"/>
      <c r="R82" s="8" t="n"/>
      <c r="S82" s="8" t="n"/>
      <c r="T82" s="8" t="n"/>
      <c r="U82">
        <f>IF(O82="","", IF(AND(O82=1, P82=0), "Fully Compliant", IF(AND(O82&gt;=0.95, P82=0), "Compliant", IF(O82&gt;=0.9, "Substantially Compliant", IF(O82&gt;=0.8, "Partially Compliant", "Non-Compliant")))))</f>
        <v/>
      </c>
      <c r="V82" s="8" t="n"/>
      <c r="W82" s="16">
        <f>IF(V82&lt;&gt;"", V82+90, "")</f>
        <v/>
      </c>
      <c r="X82" s="8" t="inlineStr">
        <is>
          <t>[Security Analyst]</t>
        </is>
      </c>
      <c r="Y82" s="8" t="n"/>
      <c r="Z82" s="8" t="inlineStr">
        <is>
          <t>Not Started</t>
        </is>
      </c>
      <c r="AA82" s="8" t="n"/>
      <c r="AB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inlineStr"/>
      <c r="J83" s="8" t="n"/>
      <c r="K83" s="8" t="n"/>
      <c r="L83" s="8" t="n"/>
      <c r="M83" s="8" t="n"/>
      <c r="N83" s="8" t="n"/>
      <c r="O83" s="15">
        <f>IF(AND(J83&gt;0,(J83-N83)&gt;0), (K83+(L83*0.5))/(J83-N83), "")</f>
        <v/>
      </c>
      <c r="P83" s="8" t="n"/>
      <c r="Q83" s="8" t="n"/>
      <c r="R83" s="8" t="n"/>
      <c r="S83" s="8" t="n"/>
      <c r="T83" s="8" t="n"/>
      <c r="U83">
        <f>IF(O83="","", IF(AND(O83=1, P83=0), "Fully Compliant", IF(AND(O83&gt;=0.95, P83=0), "Compliant", IF(O83&gt;=0.9, "Substantially Compliant", IF(O83&gt;=0.8, "Partially Compliant", "Non-Compliant")))))</f>
        <v/>
      </c>
      <c r="V83" s="8" t="n"/>
      <c r="W83" s="16">
        <f>IF(V83&lt;&gt;"", V83+90, "")</f>
        <v/>
      </c>
      <c r="X83" s="8" t="inlineStr">
        <is>
          <t>[Security Analyst]</t>
        </is>
      </c>
      <c r="Y83" s="8" t="n"/>
      <c r="Z83" s="8" t="inlineStr">
        <is>
          <t>Not Started</t>
        </is>
      </c>
      <c r="AA83" s="8" t="n"/>
      <c r="AB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inlineStr"/>
      <c r="J84" s="8" t="n"/>
      <c r="K84" s="8" t="n"/>
      <c r="L84" s="8" t="n"/>
      <c r="M84" s="8" t="n"/>
      <c r="N84" s="8" t="n"/>
      <c r="O84" s="15">
        <f>IF(AND(J84&gt;0,(J84-N84)&gt;0), (K84+(L84*0.5))/(J84-N84), "")</f>
        <v/>
      </c>
      <c r="P84" s="8" t="n"/>
      <c r="Q84" s="8" t="n"/>
      <c r="R84" s="8" t="n"/>
      <c r="S84" s="8" t="n"/>
      <c r="T84" s="8" t="n"/>
      <c r="U84">
        <f>IF(O84="","", IF(AND(O84=1, P84=0), "Fully Compliant", IF(AND(O84&gt;=0.95, P84=0), "Compliant", IF(O84&gt;=0.9, "Substantially Compliant", IF(O84&gt;=0.8, "Partially Compliant", "Non-Compliant")))))</f>
        <v/>
      </c>
      <c r="V84" s="8" t="n"/>
      <c r="W84" s="16">
        <f>IF(V84&lt;&gt;"", V84+90, "")</f>
        <v/>
      </c>
      <c r="X84" s="8" t="inlineStr">
        <is>
          <t>[Security Analyst]</t>
        </is>
      </c>
      <c r="Y84" s="8" t="n"/>
      <c r="Z84" s="8" t="inlineStr">
        <is>
          <t>Not Started</t>
        </is>
      </c>
      <c r="AA84" s="8" t="n"/>
      <c r="AB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inlineStr"/>
      <c r="J85" s="8" t="n"/>
      <c r="K85" s="8" t="n"/>
      <c r="L85" s="8" t="n"/>
      <c r="M85" s="8" t="n"/>
      <c r="N85" s="8" t="n"/>
      <c r="O85" s="15">
        <f>IF(AND(J85&gt;0,(J85-N85)&gt;0), (K85+(L85*0.5))/(J85-N85), "")</f>
        <v/>
      </c>
      <c r="P85" s="8" t="n"/>
      <c r="Q85" s="8" t="n"/>
      <c r="R85" s="8" t="n"/>
      <c r="S85" s="8" t="n"/>
      <c r="T85" s="8" t="n"/>
      <c r="U85">
        <f>IF(O85="","", IF(AND(O85=1, P85=0), "Fully Compliant", IF(AND(O85&gt;=0.95, P85=0), "Compliant", IF(O85&gt;=0.9, "Substantially Compliant", IF(O85&gt;=0.8, "Partially Compliant", "Non-Compliant")))))</f>
        <v/>
      </c>
      <c r="V85" s="8" t="n"/>
      <c r="W85" s="16">
        <f>IF(V85&lt;&gt;"", V85+90, "")</f>
        <v/>
      </c>
      <c r="X85" s="8" t="inlineStr">
        <is>
          <t>[Security Analyst]</t>
        </is>
      </c>
      <c r="Y85" s="8" t="n"/>
      <c r="Z85" s="8" t="inlineStr">
        <is>
          <t>Not Started</t>
        </is>
      </c>
      <c r="AA85" s="8" t="n"/>
      <c r="AB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inlineStr"/>
      <c r="J86" s="8" t="n"/>
      <c r="K86" s="8" t="n"/>
      <c r="L86" s="8" t="n"/>
      <c r="M86" s="8" t="n"/>
      <c r="N86" s="8" t="n"/>
      <c r="O86" s="15">
        <f>IF(AND(J86&gt;0,(J86-N86)&gt;0), (K86+(L86*0.5))/(J86-N86), "")</f>
        <v/>
      </c>
      <c r="P86" s="8" t="n"/>
      <c r="Q86" s="8" t="n"/>
      <c r="R86" s="8" t="n"/>
      <c r="S86" s="8" t="n"/>
      <c r="T86" s="8" t="n"/>
      <c r="U86">
        <f>IF(O86="","", IF(AND(O86=1, P86=0), "Fully Compliant", IF(AND(O86&gt;=0.95, P86=0), "Compliant", IF(O86&gt;=0.9, "Substantially Compliant", IF(O86&gt;=0.8, "Partially Compliant", "Non-Compliant")))))</f>
        <v/>
      </c>
      <c r="V86" s="8" t="n"/>
      <c r="W86" s="16">
        <f>IF(V86&lt;&gt;"", V86+90, "")</f>
        <v/>
      </c>
      <c r="X86" s="8" t="inlineStr">
        <is>
          <t>[Security Analyst]</t>
        </is>
      </c>
      <c r="Y86" s="8" t="n"/>
      <c r="Z86" s="8" t="inlineStr">
        <is>
          <t>Not Started</t>
        </is>
      </c>
      <c r="AA86" s="8" t="n"/>
      <c r="AB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inlineStr"/>
      <c r="J87" s="8" t="n"/>
      <c r="K87" s="8" t="n"/>
      <c r="L87" s="8" t="n"/>
      <c r="M87" s="8" t="n"/>
      <c r="N87" s="8" t="n"/>
      <c r="O87" s="15">
        <f>IF(AND(J87&gt;0,(J87-N87)&gt;0), (K87+(L87*0.5))/(J87-N87), "")</f>
        <v/>
      </c>
      <c r="P87" s="8" t="n"/>
      <c r="Q87" s="8" t="n"/>
      <c r="R87" s="8" t="n"/>
      <c r="S87" s="8" t="n"/>
      <c r="T87" s="8" t="n"/>
      <c r="U87">
        <f>IF(O87="","", IF(AND(O87=1, P87=0), "Fully Compliant", IF(AND(O87&gt;=0.95, P87=0), "Compliant", IF(O87&gt;=0.9, "Substantially Compliant", IF(O87&gt;=0.8, "Partially Compliant", "Non-Compliant")))))</f>
        <v/>
      </c>
      <c r="V87" s="8" t="n"/>
      <c r="W87" s="16">
        <f>IF(V87&lt;&gt;"", V87+90, "")</f>
        <v/>
      </c>
      <c r="X87" s="8" t="inlineStr">
        <is>
          <t>[Security Analyst]</t>
        </is>
      </c>
      <c r="Y87" s="8" t="n"/>
      <c r="Z87" s="8" t="inlineStr">
        <is>
          <t>Not Started</t>
        </is>
      </c>
      <c r="AA87" s="8" t="n"/>
      <c r="AB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inlineStr"/>
      <c r="J88" s="8" t="n"/>
      <c r="K88" s="8" t="n"/>
      <c r="L88" s="8" t="n"/>
      <c r="M88" s="8" t="n"/>
      <c r="N88" s="8" t="n"/>
      <c r="O88" s="15">
        <f>IF(AND(J88&gt;0,(J88-N88)&gt;0), (K88+(L88*0.5))/(J88-N88), "")</f>
        <v/>
      </c>
      <c r="P88" s="8" t="n"/>
      <c r="Q88" s="8" t="n"/>
      <c r="R88" s="8" t="n"/>
      <c r="S88" s="8" t="n"/>
      <c r="T88" s="8" t="n"/>
      <c r="U88">
        <f>IF(O88="","", IF(AND(O88=1, P88=0), "Fully Compliant", IF(AND(O88&gt;=0.95, P88=0), "Compliant", IF(O88&gt;=0.9, "Substantially Compliant", IF(O88&gt;=0.8, "Partially Compliant", "Non-Compliant")))))</f>
        <v/>
      </c>
      <c r="V88" s="8" t="n"/>
      <c r="W88" s="16">
        <f>IF(V88&lt;&gt;"", V88+90, "")</f>
        <v/>
      </c>
      <c r="X88" s="8" t="inlineStr">
        <is>
          <t>[Security Analyst]</t>
        </is>
      </c>
      <c r="Y88" s="8" t="n"/>
      <c r="Z88" s="8" t="inlineStr">
        <is>
          <t>Not Started</t>
        </is>
      </c>
      <c r="AA88" s="8" t="n"/>
      <c r="AB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inlineStr"/>
      <c r="J89" s="8" t="n"/>
      <c r="K89" s="8" t="n"/>
      <c r="L89" s="8" t="n"/>
      <c r="M89" s="8" t="n"/>
      <c r="N89" s="8" t="n"/>
      <c r="O89" s="15">
        <f>IF(AND(J89&gt;0,(J89-N89)&gt;0), (K89+(L89*0.5))/(J89-N89), "")</f>
        <v/>
      </c>
      <c r="P89" s="8" t="n"/>
      <c r="Q89" s="8" t="n"/>
      <c r="R89" s="8" t="n"/>
      <c r="S89" s="8" t="n"/>
      <c r="T89" s="8" t="n"/>
      <c r="U89">
        <f>IF(O89="","", IF(AND(O89=1, P89=0), "Fully Compliant", IF(AND(O89&gt;=0.95, P89=0), "Compliant", IF(O89&gt;=0.9, "Substantially Compliant", IF(O89&gt;=0.8, "Partially Compliant", "Non-Compliant")))))</f>
        <v/>
      </c>
      <c r="V89" s="8" t="n"/>
      <c r="W89" s="16">
        <f>IF(V89&lt;&gt;"", V89+90, "")</f>
        <v/>
      </c>
      <c r="X89" s="8" t="inlineStr">
        <is>
          <t>[Security Analyst]</t>
        </is>
      </c>
      <c r="Y89" s="8" t="n"/>
      <c r="Z89" s="8" t="inlineStr">
        <is>
          <t>Not Started</t>
        </is>
      </c>
      <c r="AA89" s="8" t="n"/>
      <c r="AB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inlineStr"/>
      <c r="J90" s="8" t="n"/>
      <c r="K90" s="8" t="n"/>
      <c r="L90" s="8" t="n"/>
      <c r="M90" s="8" t="n"/>
      <c r="N90" s="8" t="n"/>
      <c r="O90" s="15">
        <f>IF(AND(J90&gt;0,(J90-N90)&gt;0), (K90+(L90*0.5))/(J90-N90), "")</f>
        <v/>
      </c>
      <c r="P90" s="8" t="n"/>
      <c r="Q90" s="8" t="n"/>
      <c r="R90" s="8" t="n"/>
      <c r="S90" s="8" t="n"/>
      <c r="T90" s="8" t="n"/>
      <c r="U90">
        <f>IF(O90="","", IF(AND(O90=1, P90=0), "Fully Compliant", IF(AND(O90&gt;=0.95, P90=0), "Compliant", IF(O90&gt;=0.9, "Substantially Compliant", IF(O90&gt;=0.8, "Partially Compliant", "Non-Compliant")))))</f>
        <v/>
      </c>
      <c r="V90" s="8" t="n"/>
      <c r="W90" s="16">
        <f>IF(V90&lt;&gt;"", V90+90, "")</f>
        <v/>
      </c>
      <c r="X90" s="8" t="inlineStr">
        <is>
          <t>[Security Analyst]</t>
        </is>
      </c>
      <c r="Y90" s="8" t="n"/>
      <c r="Z90" s="8" t="inlineStr">
        <is>
          <t>Not Started</t>
        </is>
      </c>
      <c r="AA90" s="8" t="n"/>
      <c r="AB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inlineStr"/>
      <c r="J91" s="8" t="n"/>
      <c r="K91" s="8" t="n"/>
      <c r="L91" s="8" t="n"/>
      <c r="M91" s="8" t="n"/>
      <c r="N91" s="8" t="n"/>
      <c r="O91" s="15">
        <f>IF(AND(J91&gt;0,(J91-N91)&gt;0), (K91+(L91*0.5))/(J91-N91), "")</f>
        <v/>
      </c>
      <c r="P91" s="8" t="n"/>
      <c r="Q91" s="8" t="n"/>
      <c r="R91" s="8" t="n"/>
      <c r="S91" s="8" t="n"/>
      <c r="T91" s="8" t="n"/>
      <c r="U91">
        <f>IF(O91="","", IF(AND(O91=1, P91=0), "Fully Compliant", IF(AND(O91&gt;=0.95, P91=0), "Compliant", IF(O91&gt;=0.9, "Substantially Compliant", IF(O91&gt;=0.8, "Partially Compliant", "Non-Compliant")))))</f>
        <v/>
      </c>
      <c r="V91" s="8" t="n"/>
      <c r="W91" s="16">
        <f>IF(V91&lt;&gt;"", V91+90, "")</f>
        <v/>
      </c>
      <c r="X91" s="8" t="inlineStr">
        <is>
          <t>[Security Analyst]</t>
        </is>
      </c>
      <c r="Y91" s="8" t="n"/>
      <c r="Z91" s="8" t="inlineStr">
        <is>
          <t>Not Started</t>
        </is>
      </c>
      <c r="AA91" s="8" t="n"/>
      <c r="AB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inlineStr"/>
      <c r="J92" s="8" t="n"/>
      <c r="K92" s="8" t="n"/>
      <c r="L92" s="8" t="n"/>
      <c r="M92" s="8" t="n"/>
      <c r="N92" s="8" t="n"/>
      <c r="O92" s="15">
        <f>IF(AND(J92&gt;0,(J92-N92)&gt;0), (K92+(L92*0.5))/(J92-N92), "")</f>
        <v/>
      </c>
      <c r="P92" s="8" t="n"/>
      <c r="Q92" s="8" t="n"/>
      <c r="R92" s="8" t="n"/>
      <c r="S92" s="8" t="n"/>
      <c r="T92" s="8" t="n"/>
      <c r="U92">
        <f>IF(O92="","", IF(AND(O92=1, P92=0), "Fully Compliant", IF(AND(O92&gt;=0.95, P92=0), "Compliant", IF(O92&gt;=0.9, "Substantially Compliant", IF(O92&gt;=0.8, "Partially Compliant", "Non-Compliant")))))</f>
        <v/>
      </c>
      <c r="V92" s="8" t="n"/>
      <c r="W92" s="16">
        <f>IF(V92&lt;&gt;"", V92+90, "")</f>
        <v/>
      </c>
      <c r="X92" s="8" t="inlineStr">
        <is>
          <t>[Security Analyst]</t>
        </is>
      </c>
      <c r="Y92" s="8" t="n"/>
      <c r="Z92" s="8" t="inlineStr">
        <is>
          <t>Not Started</t>
        </is>
      </c>
      <c r="AA92" s="8" t="n"/>
      <c r="AB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inlineStr"/>
      <c r="J93" s="8" t="n"/>
      <c r="K93" s="8" t="n"/>
      <c r="L93" s="8" t="n"/>
      <c r="M93" s="8" t="n"/>
      <c r="N93" s="8" t="n"/>
      <c r="O93" s="15">
        <f>IF(AND(J93&gt;0,(J93-N93)&gt;0), (K93+(L93*0.5))/(J93-N93), "")</f>
        <v/>
      </c>
      <c r="P93" s="8" t="n"/>
      <c r="Q93" s="8" t="n"/>
      <c r="R93" s="8" t="n"/>
      <c r="S93" s="8" t="n"/>
      <c r="T93" s="8" t="n"/>
      <c r="U93">
        <f>IF(O93="","", IF(AND(O93=1, P93=0), "Fully Compliant", IF(AND(O93&gt;=0.95, P93=0), "Compliant", IF(O93&gt;=0.9, "Substantially Compliant", IF(O93&gt;=0.8, "Partially Compliant", "Non-Compliant")))))</f>
        <v/>
      </c>
      <c r="V93" s="8" t="n"/>
      <c r="W93" s="16">
        <f>IF(V93&lt;&gt;"", V93+90, "")</f>
        <v/>
      </c>
      <c r="X93" s="8" t="inlineStr">
        <is>
          <t>[Security Analyst]</t>
        </is>
      </c>
      <c r="Y93" s="8" t="n"/>
      <c r="Z93" s="8" t="inlineStr">
        <is>
          <t>Not Started</t>
        </is>
      </c>
      <c r="AA93" s="8" t="n"/>
      <c r="AB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inlineStr"/>
      <c r="J94" s="8" t="n"/>
      <c r="K94" s="8" t="n"/>
      <c r="L94" s="8" t="n"/>
      <c r="M94" s="8" t="n"/>
      <c r="N94" s="8" t="n"/>
      <c r="O94" s="15">
        <f>IF(AND(J94&gt;0,(J94-N94)&gt;0), (K94+(L94*0.5))/(J94-N94), "")</f>
        <v/>
      </c>
      <c r="P94" s="8" t="n"/>
      <c r="Q94" s="8" t="n"/>
      <c r="R94" s="8" t="n"/>
      <c r="S94" s="8" t="n"/>
      <c r="T94" s="8" t="n"/>
      <c r="U94">
        <f>IF(O94="","", IF(AND(O94=1, P94=0), "Fully Compliant", IF(AND(O94&gt;=0.95, P94=0), "Compliant", IF(O94&gt;=0.9, "Substantially Compliant", IF(O94&gt;=0.8, "Partially Compliant", "Non-Compliant")))))</f>
        <v/>
      </c>
      <c r="V94" s="8" t="n"/>
      <c r="W94" s="16">
        <f>IF(V94&lt;&gt;"", V94+90, "")</f>
        <v/>
      </c>
      <c r="X94" s="8" t="inlineStr">
        <is>
          <t>[Security Analyst]</t>
        </is>
      </c>
      <c r="Y94" s="8" t="n"/>
      <c r="Z94" s="8" t="inlineStr">
        <is>
          <t>Not Started</t>
        </is>
      </c>
      <c r="AA94" s="8" t="n"/>
      <c r="AB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inlineStr"/>
      <c r="J95" s="8" t="n"/>
      <c r="K95" s="8" t="n"/>
      <c r="L95" s="8" t="n"/>
      <c r="M95" s="8" t="n"/>
      <c r="N95" s="8" t="n"/>
      <c r="O95" s="15">
        <f>IF(AND(J95&gt;0,(J95-N95)&gt;0), (K95+(L95*0.5))/(J95-N95), "")</f>
        <v/>
      </c>
      <c r="P95" s="8" t="n"/>
      <c r="Q95" s="8" t="n"/>
      <c r="R95" s="8" t="n"/>
      <c r="S95" s="8" t="n"/>
      <c r="T95" s="8" t="n"/>
      <c r="U95">
        <f>IF(O95="","", IF(AND(O95=1, P95=0), "Fully Compliant", IF(AND(O95&gt;=0.95, P95=0), "Compliant", IF(O95&gt;=0.9, "Substantially Compliant", IF(O95&gt;=0.8, "Partially Compliant", "Non-Compliant")))))</f>
        <v/>
      </c>
      <c r="V95" s="8" t="n"/>
      <c r="W95" s="16">
        <f>IF(V95&lt;&gt;"", V95+90, "")</f>
        <v/>
      </c>
      <c r="X95" s="8" t="inlineStr">
        <is>
          <t>[Security Analyst]</t>
        </is>
      </c>
      <c r="Y95" s="8" t="n"/>
      <c r="Z95" s="8" t="inlineStr">
        <is>
          <t>Not Started</t>
        </is>
      </c>
      <c r="AA95" s="8" t="n"/>
      <c r="AB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inlineStr"/>
      <c r="J96" s="8" t="n"/>
      <c r="K96" s="8" t="n"/>
      <c r="L96" s="8" t="n"/>
      <c r="M96" s="8" t="n"/>
      <c r="N96" s="8" t="n"/>
      <c r="O96" s="15">
        <f>IF(AND(J96&gt;0,(J96-N96)&gt;0), (K96+(L96*0.5))/(J96-N96), "")</f>
        <v/>
      </c>
      <c r="P96" s="8" t="n"/>
      <c r="Q96" s="8" t="n"/>
      <c r="R96" s="8" t="n"/>
      <c r="S96" s="8" t="n"/>
      <c r="T96" s="8" t="n"/>
      <c r="U96">
        <f>IF(O96="","", IF(AND(O96=1, P96=0), "Fully Compliant", IF(AND(O96&gt;=0.95, P96=0), "Compliant", IF(O96&gt;=0.9, "Substantially Compliant", IF(O96&gt;=0.8, "Partially Compliant", "Non-Compliant")))))</f>
        <v/>
      </c>
      <c r="V96" s="8" t="n"/>
      <c r="W96" s="16">
        <f>IF(V96&lt;&gt;"", V96+90, "")</f>
        <v/>
      </c>
      <c r="X96" s="8" t="inlineStr">
        <is>
          <t>[Security Analyst]</t>
        </is>
      </c>
      <c r="Y96" s="8" t="n"/>
      <c r="Z96" s="8" t="inlineStr">
        <is>
          <t>Not Started</t>
        </is>
      </c>
      <c r="AA96" s="8" t="n"/>
      <c r="AB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inlineStr"/>
      <c r="J97" s="8" t="n"/>
      <c r="K97" s="8" t="n"/>
      <c r="L97" s="8" t="n"/>
      <c r="M97" s="8" t="n"/>
      <c r="N97" s="8" t="n"/>
      <c r="O97" s="15">
        <f>IF(AND(J97&gt;0,(J97-N97)&gt;0), (K97+(L97*0.5))/(J97-N97), "")</f>
        <v/>
      </c>
      <c r="P97" s="8" t="n"/>
      <c r="Q97" s="8" t="n"/>
      <c r="R97" s="8" t="n"/>
      <c r="S97" s="8" t="n"/>
      <c r="T97" s="8" t="n"/>
      <c r="U97">
        <f>IF(O97="","", IF(AND(O97=1, P97=0), "Fully Compliant", IF(AND(O97&gt;=0.95, P97=0), "Compliant", IF(O97&gt;=0.9, "Substantially Compliant", IF(O97&gt;=0.8, "Partially Compliant", "Non-Compliant")))))</f>
        <v/>
      </c>
      <c r="V97" s="8" t="n"/>
      <c r="W97" s="16">
        <f>IF(V97&lt;&gt;"", V97+90, "")</f>
        <v/>
      </c>
      <c r="X97" s="8" t="inlineStr">
        <is>
          <t>[Security Analyst]</t>
        </is>
      </c>
      <c r="Y97" s="8" t="n"/>
      <c r="Z97" s="8" t="inlineStr">
        <is>
          <t>Not Started</t>
        </is>
      </c>
      <c r="AA97" s="8" t="n"/>
      <c r="AB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inlineStr"/>
      <c r="J98" s="8" t="n"/>
      <c r="K98" s="8" t="n"/>
      <c r="L98" s="8" t="n"/>
      <c r="M98" s="8" t="n"/>
      <c r="N98" s="8" t="n"/>
      <c r="O98" s="15">
        <f>IF(AND(J98&gt;0,(J98-N98)&gt;0), (K98+(L98*0.5))/(J98-N98), "")</f>
        <v/>
      </c>
      <c r="P98" s="8" t="n"/>
      <c r="Q98" s="8" t="n"/>
      <c r="R98" s="8" t="n"/>
      <c r="S98" s="8" t="n"/>
      <c r="T98" s="8" t="n"/>
      <c r="U98">
        <f>IF(O98="","", IF(AND(O98=1, P98=0), "Fully Compliant", IF(AND(O98&gt;=0.95, P98=0), "Compliant", IF(O98&gt;=0.9, "Substantially Compliant", IF(O98&gt;=0.8, "Partially Compliant", "Non-Compliant")))))</f>
        <v/>
      </c>
      <c r="V98" s="8" t="n"/>
      <c r="W98" s="16">
        <f>IF(V98&lt;&gt;"", V98+90, "")</f>
        <v/>
      </c>
      <c r="X98" s="8" t="inlineStr">
        <is>
          <t>[Security Analyst]</t>
        </is>
      </c>
      <c r="Y98" s="8" t="n"/>
      <c r="Z98" s="8" t="inlineStr">
        <is>
          <t>Not Started</t>
        </is>
      </c>
      <c r="AA98" s="8" t="n"/>
      <c r="AB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inlineStr"/>
      <c r="J99" s="8" t="n"/>
      <c r="K99" s="8" t="n"/>
      <c r="L99" s="8" t="n"/>
      <c r="M99" s="8" t="n"/>
      <c r="N99" s="8" t="n"/>
      <c r="O99" s="15">
        <f>IF(AND(J99&gt;0,(J99-N99)&gt;0), (K99+(L99*0.5))/(J99-N99), "")</f>
        <v/>
      </c>
      <c r="P99" s="8" t="n"/>
      <c r="Q99" s="8" t="n"/>
      <c r="R99" s="8" t="n"/>
      <c r="S99" s="8" t="n"/>
      <c r="T99" s="8" t="n"/>
      <c r="U99">
        <f>IF(O99="","", IF(AND(O99=1, P99=0), "Fully Compliant", IF(AND(O99&gt;=0.95, P99=0), "Compliant", IF(O99&gt;=0.9, "Substantially Compliant", IF(O99&gt;=0.8, "Partially Compliant", "Non-Compliant")))))</f>
        <v/>
      </c>
      <c r="V99" s="8" t="n"/>
      <c r="W99" s="16">
        <f>IF(V99&lt;&gt;"", V99+90, "")</f>
        <v/>
      </c>
      <c r="X99" s="8" t="inlineStr">
        <is>
          <t>[Security Analyst]</t>
        </is>
      </c>
      <c r="Y99" s="8" t="n"/>
      <c r="Z99" s="8" t="inlineStr">
        <is>
          <t>Not Started</t>
        </is>
      </c>
      <c r="AA99" s="8" t="n"/>
      <c r="AB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inlineStr"/>
      <c r="J100" s="8" t="n"/>
      <c r="K100" s="8" t="n"/>
      <c r="L100" s="8" t="n"/>
      <c r="M100" s="8" t="n"/>
      <c r="N100" s="8" t="n"/>
      <c r="O100" s="15">
        <f>IF(AND(J100&gt;0,(J100-N100)&gt;0), (K100+(L100*0.5))/(J100-N100), "")</f>
        <v/>
      </c>
      <c r="P100" s="8" t="n"/>
      <c r="Q100" s="8" t="n"/>
      <c r="R100" s="8" t="n"/>
      <c r="S100" s="8" t="n"/>
      <c r="T100" s="8" t="n"/>
      <c r="U100">
        <f>IF(O100="","", IF(AND(O100=1, P100=0), "Fully Compliant", IF(AND(O100&gt;=0.95, P100=0), "Compliant", IF(O100&gt;=0.9, "Substantially Compliant", IF(O100&gt;=0.8, "Partially Compliant", "Non-Compliant")))))</f>
        <v/>
      </c>
      <c r="V100" s="8" t="n"/>
      <c r="W100" s="16">
        <f>IF(V100&lt;&gt;"", V100+90, "")</f>
        <v/>
      </c>
      <c r="X100" s="8" t="inlineStr">
        <is>
          <t>[Security Analyst]</t>
        </is>
      </c>
      <c r="Y100" s="8" t="n"/>
      <c r="Z100" s="8" t="inlineStr">
        <is>
          <t>Not Started</t>
        </is>
      </c>
      <c r="AA100" s="8" t="n"/>
      <c r="AB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inlineStr"/>
      <c r="J101" s="8" t="n"/>
      <c r="K101" s="8" t="n"/>
      <c r="L101" s="8" t="n"/>
      <c r="M101" s="8" t="n"/>
      <c r="N101" s="8" t="n"/>
      <c r="O101" s="15">
        <f>IF(AND(J101&gt;0,(J101-N101)&gt;0), (K101+(L101*0.5))/(J101-N101), "")</f>
        <v/>
      </c>
      <c r="P101" s="8" t="n"/>
      <c r="Q101" s="8" t="n"/>
      <c r="R101" s="8" t="n"/>
      <c r="S101" s="8" t="n"/>
      <c r="T101" s="8" t="n"/>
      <c r="U101">
        <f>IF(O101="","", IF(AND(O101=1, P101=0), "Fully Compliant", IF(AND(O101&gt;=0.95, P101=0), "Compliant", IF(O101&gt;=0.9, "Substantially Compliant", IF(O101&gt;=0.8, "Partially Compliant", "Non-Compliant")))))</f>
        <v/>
      </c>
      <c r="V101" s="8" t="n"/>
      <c r="W101" s="16">
        <f>IF(V101&lt;&gt;"", V101+90, "")</f>
        <v/>
      </c>
      <c r="X101" s="8" t="inlineStr">
        <is>
          <t>[Security Analyst]</t>
        </is>
      </c>
      <c r="Y101" s="8" t="n"/>
      <c r="Z101" s="8" t="inlineStr">
        <is>
          <t>Not Started</t>
        </is>
      </c>
      <c r="AA101" s="8" t="n"/>
      <c r="AB10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U2:U101">
    <cfRule type="expression" priority="1" dxfId="7">
      <formula>OR(ISNUMBER(SEARCH("Fully Compliant",$U2)),ISNUMBER(SEARCH("Compliant",$U2)),ISNUMBER(SEARCH("Completed",$U2)),ISNUMBER(SEARCH("Pass",$U2)),ISNUMBER(SEARCH("Approved",$U2)))</formula>
    </cfRule>
    <cfRule type="expression" priority="2" dxfId="1">
      <formula>OR(ISNUMBER(SEARCH("Substantially Compliant",$U2)),ISNUMBER(SEARCH("Partial",$U2)),ISNUMBER(SEARCH("In Progress",$U2)),ISNUMBER(SEARCH("Under Review",$U2)))</formula>
    </cfRule>
    <cfRule type="expression" priority="3" dxfId="0">
      <formula>OR(ISNUMBER(SEARCH("Non-Compliant",$U2)),ISNUMBER(SEARCH("Fail",$U2)),ISNUMBER(SEARCH("Blocked",$U2)),ISNUMBER(SEARCH("Rejected",$U2)),ISNUMBER(SEARCH("Expired",$U2)))</formula>
    </cfRule>
  </conditionalFormatting>
  <conditionalFormatting sqref="P2:P101">
    <cfRule type="cellIs" priority="4" operator="greaterThan" dxfId="8">
      <formula>0</formula>
    </cfRule>
  </conditionalFormatting>
  <conditionalFormatting sqref="A2:AB101">
    <cfRule type="expression" priority="5" dxfId="9">
      <formula>AND($D2="Critical", $O2&lt;1, $O2&lt;&gt;"")</formula>
    </cfRule>
  </conditionalFormatting>
  <conditionalFormatting sqref="W2:W101">
    <cfRule type="cellIs" priority="6" operator="lessThan" dxfId="0">
      <formula>TODAY()</formula>
    </cfRule>
    <cfRule type="cellIs" priority="7" operator="between" dxfId="1">
      <formula>TODAY()</formula>
      <formula>TODAY()+30</formula>
    </cfRule>
  </conditionalFormatting>
  <dataValidations count="4">
    <dataValidation sqref="C2:C101" showDropDown="0" showInputMessage="0" showErrorMessage="1" allowBlank="1" errorTitle="Invalid Entry" error="Please select from the dropdown list." type="list">
      <formula1>"Physical Server,Virtual Server (VM),Hypervisor/VM Host,Container Host,Storage Array,Backup Appliance,Database Server,Application Server,Legacy System,Corporate Workstation,Corporate Laptop,Executive Device,Mobile Device (Corporate),Mobile Device (BYOD),Thin Client,Kiosk/Shared Terminal,Core Router,Edge Router,L2/L3 Switch,Wireless Access Point,Firewall,IDS/IPS Appliance,Load Balancer,VPN Concentrator,Web Application,API Service,Database Management System,File Server/NAS,Email System,Authentication Service (IAM),Monitoring/Logging System,IaaS Instance,PaaS Application,SaaS Application Configuration,Container (Docker/K8s),Serverless Function,Cloud Storage Bucket,Cloud Network Configuration,Building Management System,Physical Security System,Industrial Control System (ICS),SCADA System,IoT Sensor/Device"</formula1>
    </dataValidation>
    <dataValidation sqref="D2:D1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U2:U101" showDropDown="0" showInputMessage="0" showErrorMessage="1" allowBlank="1" errorTitle="Invalid Entry" error="Please select from the dropdown list." type="list">
      <formula1>"✅ Fully Compliant,✅ Compliant,⚠️ Substantially Compliant,⚠️ Partially Compliant,❌ Non-Compliant"</formula1>
    </dataValidation>
    <dataValidation sqref="Z2:Z101" showDropDown="0" showInputMessage="0" showErrorMessage="1" allowBlank="1" errorTitle="Invalid Entry" error="Please select from the dropdown list." type="list">
      <formula1>"🔴 Not Started,📝 Planning,⏳ In Progress,🚫 Blocked,✅ Completed,➖ Accepted as Exception"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30" customWidth="1" min="5" max="5"/>
    <col width="12" customWidth="1" min="6" max="6"/>
    <col width="35" customWidth="1" min="7" max="7"/>
    <col width="50" customWidth="1" min="8" max="8"/>
    <col width="18" customWidth="1" min="9" max="9"/>
    <col width="15" customWidth="1" min="10" max="10"/>
    <col width="18" customWidth="1" min="11" max="11"/>
    <col width="18" customWidth="1" min="12" max="12"/>
    <col width="40" customWidth="1" min="13" max="13"/>
    <col width="30" customWidth="1" min="14" max="14"/>
    <col width="25" customWidth="1" min="15" max="15"/>
    <col width="25" customWidth="1" min="16" max="16"/>
    <col width="16" customWidth="1" min="17" max="17"/>
    <col width="40" customWidth="1" min="18" max="18"/>
    <col width="15" customWidth="1" min="19" max="19"/>
    <col width="18" customWidth="1" min="20" max="20"/>
    <col width="40" customWidth="1" min="21" max="21"/>
    <col width="25" customWidth="1" min="22" max="22"/>
    <col width="20" customWidth="1" min="23" max="23"/>
    <col width="16" customWidth="1" min="24" max="24"/>
    <col width="12" customWidth="1" min="25" max="25"/>
    <col width="40" customWidth="1" min="26" max="26"/>
    <col width="18" customWidth="1" min="27" max="27"/>
    <col width="25" customWidth="1" min="28" max="28"/>
    <col width="20" customWidth="1" min="29" max="29"/>
    <col width="20" customWidth="1" min="30" max="30"/>
    <col width="20" customWidth="1" min="31" max="31"/>
    <col width="40" customWidth="1" min="32" max="32"/>
  </cols>
  <sheetData>
    <row r="1">
      <c r="A1" s="6" t="inlineStr">
        <is>
          <t>Control_ID</t>
        </is>
      </c>
      <c r="B1" s="6" t="inlineStr">
        <is>
          <t>Asset_ID</t>
        </is>
      </c>
      <c r="C1" s="6" t="inlineStr">
        <is>
          <t>Asset_Name</t>
        </is>
      </c>
      <c r="D1" s="6" t="inlineStr">
        <is>
          <t>Standard_ID</t>
        </is>
      </c>
      <c r="E1" s="6" t="inlineStr">
        <is>
          <t>Standard_Name</t>
        </is>
      </c>
      <c r="F1" s="6" t="inlineStr">
        <is>
          <t>Control_Number</t>
        </is>
      </c>
      <c r="G1" s="6" t="inlineStr">
        <is>
          <t>Control_Title</t>
        </is>
      </c>
      <c r="H1" s="6" t="inlineStr">
        <is>
          <t>Control_Description</t>
        </is>
      </c>
      <c r="I1" s="6" t="inlineStr">
        <is>
          <t>Control_Category</t>
        </is>
      </c>
      <c r="J1" s="6" t="inlineStr">
        <is>
          <t>Control_Severity</t>
        </is>
      </c>
      <c r="K1" s="6" t="inlineStr">
        <is>
          <t>Implementation_Status</t>
        </is>
      </c>
      <c r="L1" s="6" t="inlineStr">
        <is>
          <t>Implementation_Method</t>
        </is>
      </c>
      <c r="M1" s="6" t="inlineStr">
        <is>
          <t>Implementation_Evidence</t>
        </is>
      </c>
      <c r="N1" s="6" t="inlineStr">
        <is>
          <t>Configuration_Setting</t>
        </is>
      </c>
      <c r="O1" s="6" t="inlineStr">
        <is>
          <t>Expected_Value</t>
        </is>
      </c>
      <c r="P1" s="6" t="inlineStr">
        <is>
          <t>Actual_Value</t>
        </is>
      </c>
      <c r="Q1" s="6" t="inlineStr">
        <is>
          <t>Compliance_Status</t>
        </is>
      </c>
      <c r="R1" s="6" t="inlineStr">
        <is>
          <t>Gap_Description</t>
        </is>
      </c>
      <c r="S1" s="6" t="inlineStr">
        <is>
          <t>Gap_Risk_Rating</t>
        </is>
      </c>
      <c r="T1" s="6" t="inlineStr">
        <is>
          <t>Remediation_Required</t>
        </is>
      </c>
      <c r="U1" s="6" t="inlineStr">
        <is>
          <t>Remediation_Plan</t>
        </is>
      </c>
      <c r="V1" s="6" t="inlineStr">
        <is>
          <t>Remediation_Owner</t>
        </is>
      </c>
      <c r="W1" s="6" t="inlineStr">
        <is>
          <t>Target_Remediation_Date</t>
        </is>
      </c>
      <c r="X1" s="6" t="inlineStr">
        <is>
          <t>Exception_Status</t>
        </is>
      </c>
      <c r="Y1" s="6" t="inlineStr">
        <is>
          <t>Exception_ID</t>
        </is>
      </c>
      <c r="Z1" s="6" t="inlineStr">
        <is>
          <t>Compensating_Control</t>
        </is>
      </c>
      <c r="AA1" s="6" t="inlineStr">
        <is>
          <t>Last_Verified_Date</t>
        </is>
      </c>
      <c r="AB1" s="6" t="inlineStr">
        <is>
          <t>Verified_By</t>
        </is>
      </c>
      <c r="AC1" s="6" t="inlineStr">
        <is>
          <t>Evidence_Reference</t>
        </is>
      </c>
      <c r="AD1" s="6" t="inlineStr">
        <is>
          <t>Verification_Method</t>
        </is>
      </c>
      <c r="AE1" s="6" t="inlineStr">
        <is>
          <t>Next_Verification_Date</t>
        </is>
      </c>
      <c r="AF1" s="6" t="inlineStr">
        <is>
          <t>Notes</t>
        </is>
      </c>
    </row>
    <row r="2">
      <c r="A2">
        <f>IF(B2&lt;&gt;"", "HC-"&amp;TEXT(ROW()-1,"00000"), "")</f>
        <v/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>
        <f>IF(K2="", "", IF(K2="Implemented", "Pass", IF(K2="Partial", "Partial", IF(K2="Not Applicable", "N/A", "Fail"))))</f>
        <v/>
      </c>
      <c r="R2" s="8" t="n"/>
      <c r="S2" s="8" t="n"/>
      <c r="T2">
        <f>IF(Q2="", "", IF(OR(Q2="Fail", Q2="Partial"), "Yes", "No"))</f>
        <v/>
      </c>
      <c r="U2" s="8" t="n"/>
      <c r="V2" s="8" t="n"/>
      <c r="W2" s="8" t="n"/>
      <c r="X2" s="8" t="inlineStr">
        <is>
          <t>No</t>
        </is>
      </c>
      <c r="Y2" s="8" t="n"/>
      <c r="Z2" s="8" t="n"/>
      <c r="AA2" s="8" t="n"/>
      <c r="AB2" s="8" t="inlineStr">
        <is>
          <t>[Security Analyst]</t>
        </is>
      </c>
      <c r="AC2" s="8" t="n"/>
      <c r="AD2" s="8" t="n"/>
      <c r="AE2" s="16">
        <f>IF(AA2&lt;&gt;"", AA2+90, "")</f>
        <v/>
      </c>
      <c r="AF2" s="8" t="n"/>
    </row>
    <row r="3">
      <c r="A3">
        <f>IF(B3&lt;&gt;"", "HC-"&amp;TEXT(ROW()-1,"00000"), "")</f>
        <v/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>
        <f>IF(K3="", "", IF(K3="Implemented", "Pass", IF(K3="Partial", "Partial", IF(K3="Not Applicable", "N/A", "Fail"))))</f>
        <v/>
      </c>
      <c r="R3" s="8" t="n"/>
      <c r="S3" s="8" t="n"/>
      <c r="T3">
        <f>IF(Q3="", "", IF(OR(Q3="Fail", Q3="Partial"), "Yes", "No"))</f>
        <v/>
      </c>
      <c r="U3" s="8" t="n"/>
      <c r="V3" s="8" t="n"/>
      <c r="W3" s="8" t="n"/>
      <c r="X3" s="8" t="inlineStr">
        <is>
          <t>No</t>
        </is>
      </c>
      <c r="Y3" s="8" t="n"/>
      <c r="Z3" s="8" t="n"/>
      <c r="AA3" s="8" t="n"/>
      <c r="AB3" s="8" t="inlineStr">
        <is>
          <t>[Security Analyst]</t>
        </is>
      </c>
      <c r="AC3" s="8" t="n"/>
      <c r="AD3" s="8" t="n"/>
      <c r="AE3" s="16">
        <f>IF(AA3&lt;&gt;"", AA3+90, "")</f>
        <v/>
      </c>
      <c r="AF3" s="8" t="n"/>
    </row>
    <row r="4">
      <c r="A4">
        <f>IF(B4&lt;&gt;"", "HC-"&amp;TEXT(ROW()-1,"00000"), "")</f>
        <v/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>
        <f>IF(K4="", "", IF(K4="Implemented", "Pass", IF(K4="Partial", "Partial", IF(K4="Not Applicable", "N/A", "Fail"))))</f>
        <v/>
      </c>
      <c r="R4" s="8" t="n"/>
      <c r="S4" s="8" t="n"/>
      <c r="T4">
        <f>IF(Q4="", "", IF(OR(Q4="Fail", Q4="Partial"), "Yes", "No"))</f>
        <v/>
      </c>
      <c r="U4" s="8" t="n"/>
      <c r="V4" s="8" t="n"/>
      <c r="W4" s="8" t="n"/>
      <c r="X4" s="8" t="inlineStr">
        <is>
          <t>No</t>
        </is>
      </c>
      <c r="Y4" s="8" t="n"/>
      <c r="Z4" s="8" t="n"/>
      <c r="AA4" s="8" t="n"/>
      <c r="AB4" s="8" t="inlineStr">
        <is>
          <t>[Security Analyst]</t>
        </is>
      </c>
      <c r="AC4" s="8" t="n"/>
      <c r="AD4" s="8" t="n"/>
      <c r="AE4" s="16">
        <f>IF(AA4&lt;&gt;"", AA4+90, "")</f>
        <v/>
      </c>
      <c r="AF4" s="8" t="n"/>
    </row>
    <row r="5">
      <c r="A5">
        <f>IF(B5&lt;&gt;"", "HC-"&amp;TEXT(ROW()-1,"00000"), 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>
        <f>IF(K5="", "", IF(K5="Implemented", "Pass", IF(K5="Partial", "Partial", IF(K5="Not Applicable", "N/A", "Fail"))))</f>
        <v/>
      </c>
      <c r="R5" s="8" t="n"/>
      <c r="S5" s="8" t="n"/>
      <c r="T5">
        <f>IF(Q5="", "", IF(OR(Q5="Fail", Q5="Partial"), "Yes", "No"))</f>
        <v/>
      </c>
      <c r="U5" s="8" t="n"/>
      <c r="V5" s="8" t="n"/>
      <c r="W5" s="8" t="n"/>
      <c r="X5" s="8" t="inlineStr">
        <is>
          <t>No</t>
        </is>
      </c>
      <c r="Y5" s="8" t="n"/>
      <c r="Z5" s="8" t="n"/>
      <c r="AA5" s="8" t="n"/>
      <c r="AB5" s="8" t="inlineStr">
        <is>
          <t>[Security Analyst]</t>
        </is>
      </c>
      <c r="AC5" s="8" t="n"/>
      <c r="AD5" s="8" t="n"/>
      <c r="AE5" s="16">
        <f>IF(AA5&lt;&gt;"", AA5+90, "")</f>
        <v/>
      </c>
      <c r="AF5" s="8" t="n"/>
    </row>
    <row r="6">
      <c r="A6">
        <f>IF(B6&lt;&gt;"", "HC-"&amp;TEXT(ROW()-1,"00000"), "")</f>
        <v/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>
        <f>IF(K6="", "", IF(K6="Implemented", "Pass", IF(K6="Partial", "Partial", IF(K6="Not Applicable", "N/A", "Fail"))))</f>
        <v/>
      </c>
      <c r="R6" s="8" t="n"/>
      <c r="S6" s="8" t="n"/>
      <c r="T6">
        <f>IF(Q6="", "", IF(OR(Q6="Fail", Q6="Partial"), "Yes", "No"))</f>
        <v/>
      </c>
      <c r="U6" s="8" t="n"/>
      <c r="V6" s="8" t="n"/>
      <c r="W6" s="8" t="n"/>
      <c r="X6" s="8" t="inlineStr">
        <is>
          <t>No</t>
        </is>
      </c>
      <c r="Y6" s="8" t="n"/>
      <c r="Z6" s="8" t="n"/>
      <c r="AA6" s="8" t="n"/>
      <c r="AB6" s="8" t="inlineStr">
        <is>
          <t>[Security Analyst]</t>
        </is>
      </c>
      <c r="AC6" s="8" t="n"/>
      <c r="AD6" s="8" t="n"/>
      <c r="AE6" s="16">
        <f>IF(AA6&lt;&gt;"", AA6+90, "")</f>
        <v/>
      </c>
      <c r="AF6" s="8" t="n"/>
    </row>
    <row r="7">
      <c r="A7">
        <f>IF(B7&lt;&gt;"", "HC-"&amp;TEXT(ROW()-1,"00000"), 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>
        <f>IF(K7="", "", IF(K7="Implemented", "Pass", IF(K7="Partial", "Partial", IF(K7="Not Applicable", "N/A", "Fail"))))</f>
        <v/>
      </c>
      <c r="R7" s="8" t="n"/>
      <c r="S7" s="8" t="n"/>
      <c r="T7">
        <f>IF(Q7="", "", IF(OR(Q7="Fail", Q7="Partial"), "Yes", "No"))</f>
        <v/>
      </c>
      <c r="U7" s="8" t="n"/>
      <c r="V7" s="8" t="n"/>
      <c r="W7" s="8" t="n"/>
      <c r="X7" s="8" t="inlineStr">
        <is>
          <t>No</t>
        </is>
      </c>
      <c r="Y7" s="8" t="n"/>
      <c r="Z7" s="8" t="n"/>
      <c r="AA7" s="8" t="n"/>
      <c r="AB7" s="8" t="inlineStr">
        <is>
          <t>[Security Analyst]</t>
        </is>
      </c>
      <c r="AC7" s="8" t="n"/>
      <c r="AD7" s="8" t="n"/>
      <c r="AE7" s="16">
        <f>IF(AA7&lt;&gt;"", AA7+90, "")</f>
        <v/>
      </c>
      <c r="AF7" s="8" t="n"/>
    </row>
    <row r="8">
      <c r="A8">
        <f>IF(B8&lt;&gt;"", "HC-"&amp;TEXT(ROW()-1,"00000"), "")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>
        <f>IF(K8="", "", IF(K8="Implemented", "Pass", IF(K8="Partial", "Partial", IF(K8="Not Applicable", "N/A", "Fail"))))</f>
        <v/>
      </c>
      <c r="R8" s="8" t="n"/>
      <c r="S8" s="8" t="n"/>
      <c r="T8">
        <f>IF(Q8="", "", IF(OR(Q8="Fail", Q8="Partial"), "Yes", "No"))</f>
        <v/>
      </c>
      <c r="U8" s="8" t="n"/>
      <c r="V8" s="8" t="n"/>
      <c r="W8" s="8" t="n"/>
      <c r="X8" s="8" t="inlineStr">
        <is>
          <t>No</t>
        </is>
      </c>
      <c r="Y8" s="8" t="n"/>
      <c r="Z8" s="8" t="n"/>
      <c r="AA8" s="8" t="n"/>
      <c r="AB8" s="8" t="inlineStr">
        <is>
          <t>[Security Analyst]</t>
        </is>
      </c>
      <c r="AC8" s="8" t="n"/>
      <c r="AD8" s="8" t="n"/>
      <c r="AE8" s="16">
        <f>IF(AA8&lt;&gt;"", AA8+90, "")</f>
        <v/>
      </c>
      <c r="AF8" s="8" t="n"/>
    </row>
    <row r="9">
      <c r="A9">
        <f>IF(B9&lt;&gt;"", "HC-"&amp;TEXT(ROW()-1,"00000"), 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>
        <f>IF(K9="", "", IF(K9="Implemented", "Pass", IF(K9="Partial", "Partial", IF(K9="Not Applicable", "N/A", "Fail"))))</f>
        <v/>
      </c>
      <c r="R9" s="8" t="n"/>
      <c r="S9" s="8" t="n"/>
      <c r="T9">
        <f>IF(Q9="", "", IF(OR(Q9="Fail", Q9="Partial"), "Yes", "No"))</f>
        <v/>
      </c>
      <c r="U9" s="8" t="n"/>
      <c r="V9" s="8" t="n"/>
      <c r="W9" s="8" t="n"/>
      <c r="X9" s="8" t="inlineStr">
        <is>
          <t>No</t>
        </is>
      </c>
      <c r="Y9" s="8" t="n"/>
      <c r="Z9" s="8" t="n"/>
      <c r="AA9" s="8" t="n"/>
      <c r="AB9" s="8" t="inlineStr">
        <is>
          <t>[Security Analyst]</t>
        </is>
      </c>
      <c r="AC9" s="8" t="n"/>
      <c r="AD9" s="8" t="n"/>
      <c r="AE9" s="16">
        <f>IF(AA9&lt;&gt;"", AA9+90, "")</f>
        <v/>
      </c>
      <c r="AF9" s="8" t="n"/>
    </row>
    <row r="10">
      <c r="A10">
        <f>IF(B10&lt;&gt;"", "HC-"&amp;TEXT(ROW()-1,"00000"), "")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>
        <f>IF(K10="", "", IF(K10="Implemented", "Pass", IF(K10="Partial", "Partial", IF(K10="Not Applicable", "N/A", "Fail"))))</f>
        <v/>
      </c>
      <c r="R10" s="8" t="n"/>
      <c r="S10" s="8" t="n"/>
      <c r="T10">
        <f>IF(Q10="", "", IF(OR(Q10="Fail", Q10="Partial"), "Yes", "No"))</f>
        <v/>
      </c>
      <c r="U10" s="8" t="n"/>
      <c r="V10" s="8" t="n"/>
      <c r="W10" s="8" t="n"/>
      <c r="X10" s="8" t="inlineStr">
        <is>
          <t>No</t>
        </is>
      </c>
      <c r="Y10" s="8" t="n"/>
      <c r="Z10" s="8" t="n"/>
      <c r="AA10" s="8" t="n"/>
      <c r="AB10" s="8" t="inlineStr">
        <is>
          <t>[Security Analyst]</t>
        </is>
      </c>
      <c r="AC10" s="8" t="n"/>
      <c r="AD10" s="8" t="n"/>
      <c r="AE10" s="16">
        <f>IF(AA10&lt;&gt;"", AA10+90, "")</f>
        <v/>
      </c>
      <c r="AF10" s="8" t="n"/>
    </row>
    <row r="11">
      <c r="A11">
        <f>IF(B11&lt;&gt;"", "HC-"&amp;TEXT(ROW()-1,"00000"), 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>
        <f>IF(K11="", "", IF(K11="Implemented", "Pass", IF(K11="Partial", "Partial", IF(K11="Not Applicable", "N/A", "Fail"))))</f>
        <v/>
      </c>
      <c r="R11" s="8" t="n"/>
      <c r="S11" s="8" t="n"/>
      <c r="T11">
        <f>IF(Q11="", "", IF(OR(Q11="Fail", Q11="Partial"), "Yes", "No"))</f>
        <v/>
      </c>
      <c r="U11" s="8" t="n"/>
      <c r="V11" s="8" t="n"/>
      <c r="W11" s="8" t="n"/>
      <c r="X11" s="8" t="inlineStr">
        <is>
          <t>No</t>
        </is>
      </c>
      <c r="Y11" s="8" t="n"/>
      <c r="Z11" s="8" t="n"/>
      <c r="AA11" s="8" t="n"/>
      <c r="AB11" s="8" t="inlineStr">
        <is>
          <t>[Security Analyst]</t>
        </is>
      </c>
      <c r="AC11" s="8" t="n"/>
      <c r="AD11" s="8" t="n"/>
      <c r="AE11" s="16">
        <f>IF(AA11&lt;&gt;"", AA11+90, "")</f>
        <v/>
      </c>
      <c r="AF11" s="8" t="n"/>
    </row>
    <row r="12">
      <c r="A12">
        <f>IF(B12&lt;&gt;"", "HC-"&amp;TEXT(ROW()-1,"00000"), "")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>
        <f>IF(K12="", "", IF(K12="Implemented", "Pass", IF(K12="Partial", "Partial", IF(K12="Not Applicable", "N/A", "Fail"))))</f>
        <v/>
      </c>
      <c r="R12" s="8" t="n"/>
      <c r="S12" s="8" t="n"/>
      <c r="T12">
        <f>IF(Q12="", "", IF(OR(Q12="Fail", Q12="Partial"), "Yes", "No"))</f>
        <v/>
      </c>
      <c r="U12" s="8" t="n"/>
      <c r="V12" s="8" t="n"/>
      <c r="W12" s="8" t="n"/>
      <c r="X12" s="8" t="inlineStr">
        <is>
          <t>No</t>
        </is>
      </c>
      <c r="Y12" s="8" t="n"/>
      <c r="Z12" s="8" t="n"/>
      <c r="AA12" s="8" t="n"/>
      <c r="AB12" s="8" t="inlineStr">
        <is>
          <t>[Security Analyst]</t>
        </is>
      </c>
      <c r="AC12" s="8" t="n"/>
      <c r="AD12" s="8" t="n"/>
      <c r="AE12" s="16">
        <f>IF(AA12&lt;&gt;"", AA12+90, "")</f>
        <v/>
      </c>
      <c r="AF12" s="8" t="n"/>
    </row>
    <row r="13">
      <c r="A13">
        <f>IF(B13&lt;&gt;"", "HC-"&amp;TEXT(ROW()-1,"00000"), 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>
        <f>IF(K13="", "", IF(K13="Implemented", "Pass", IF(K13="Partial", "Partial", IF(K13="Not Applicable", "N/A", "Fail"))))</f>
        <v/>
      </c>
      <c r="R13" s="8" t="n"/>
      <c r="S13" s="8" t="n"/>
      <c r="T13">
        <f>IF(Q13="", "", IF(OR(Q13="Fail", Q13="Partial"), "Yes", "No"))</f>
        <v/>
      </c>
      <c r="U13" s="8" t="n"/>
      <c r="V13" s="8" t="n"/>
      <c r="W13" s="8" t="n"/>
      <c r="X13" s="8" t="inlineStr">
        <is>
          <t>No</t>
        </is>
      </c>
      <c r="Y13" s="8" t="n"/>
      <c r="Z13" s="8" t="n"/>
      <c r="AA13" s="8" t="n"/>
      <c r="AB13" s="8" t="inlineStr">
        <is>
          <t>[Security Analyst]</t>
        </is>
      </c>
      <c r="AC13" s="8" t="n"/>
      <c r="AD13" s="8" t="n"/>
      <c r="AE13" s="16">
        <f>IF(AA13&lt;&gt;"", AA13+90, "")</f>
        <v/>
      </c>
      <c r="AF13" s="8" t="n"/>
    </row>
    <row r="14">
      <c r="A14">
        <f>IF(B14&lt;&gt;"", "HC-"&amp;TEXT(ROW()-1,"00000"), "")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>
        <f>IF(K14="", "", IF(K14="Implemented", "Pass", IF(K14="Partial", "Partial", IF(K14="Not Applicable", "N/A", "Fail"))))</f>
        <v/>
      </c>
      <c r="R14" s="8" t="n"/>
      <c r="S14" s="8" t="n"/>
      <c r="T14">
        <f>IF(Q14="", "", IF(OR(Q14="Fail", Q14="Partial"), "Yes", "No"))</f>
        <v/>
      </c>
      <c r="U14" s="8" t="n"/>
      <c r="V14" s="8" t="n"/>
      <c r="W14" s="8" t="n"/>
      <c r="X14" s="8" t="inlineStr">
        <is>
          <t>No</t>
        </is>
      </c>
      <c r="Y14" s="8" t="n"/>
      <c r="Z14" s="8" t="n"/>
      <c r="AA14" s="8" t="n"/>
      <c r="AB14" s="8" t="inlineStr">
        <is>
          <t>[Security Analyst]</t>
        </is>
      </c>
      <c r="AC14" s="8" t="n"/>
      <c r="AD14" s="8" t="n"/>
      <c r="AE14" s="16">
        <f>IF(AA14&lt;&gt;"", AA14+90, "")</f>
        <v/>
      </c>
      <c r="AF14" s="8" t="n"/>
    </row>
    <row r="15">
      <c r="A15">
        <f>IF(B15&lt;&gt;"", "HC-"&amp;TEXT(ROW()-1,"00000"), 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>
        <f>IF(K15="", "", IF(K15="Implemented", "Pass", IF(K15="Partial", "Partial", IF(K15="Not Applicable", "N/A", "Fail"))))</f>
        <v/>
      </c>
      <c r="R15" s="8" t="n"/>
      <c r="S15" s="8" t="n"/>
      <c r="T15">
        <f>IF(Q15="", "", IF(OR(Q15="Fail", Q15="Partial"), "Yes", "No"))</f>
        <v/>
      </c>
      <c r="U15" s="8" t="n"/>
      <c r="V15" s="8" t="n"/>
      <c r="W15" s="8" t="n"/>
      <c r="X15" s="8" t="inlineStr">
        <is>
          <t>No</t>
        </is>
      </c>
      <c r="Y15" s="8" t="n"/>
      <c r="Z15" s="8" t="n"/>
      <c r="AA15" s="8" t="n"/>
      <c r="AB15" s="8" t="inlineStr">
        <is>
          <t>[Security Analyst]</t>
        </is>
      </c>
      <c r="AC15" s="8" t="n"/>
      <c r="AD15" s="8" t="n"/>
      <c r="AE15" s="16">
        <f>IF(AA15&lt;&gt;"", AA15+90, "")</f>
        <v/>
      </c>
      <c r="AF15" s="8" t="n"/>
    </row>
    <row r="16">
      <c r="A16">
        <f>IF(B16&lt;&gt;"", "HC-"&amp;TEXT(ROW()-1,"00000"), "")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>
        <f>IF(K16="", "", IF(K16="Implemented", "Pass", IF(K16="Partial", "Partial", IF(K16="Not Applicable", "N/A", "Fail"))))</f>
        <v/>
      </c>
      <c r="R16" s="8" t="n"/>
      <c r="S16" s="8" t="n"/>
      <c r="T16">
        <f>IF(Q16="", "", IF(OR(Q16="Fail", Q16="Partial"), "Yes", "No"))</f>
        <v/>
      </c>
      <c r="U16" s="8" t="n"/>
      <c r="V16" s="8" t="n"/>
      <c r="W16" s="8" t="n"/>
      <c r="X16" s="8" t="inlineStr">
        <is>
          <t>No</t>
        </is>
      </c>
      <c r="Y16" s="8" t="n"/>
      <c r="Z16" s="8" t="n"/>
      <c r="AA16" s="8" t="n"/>
      <c r="AB16" s="8" t="inlineStr">
        <is>
          <t>[Security Analyst]</t>
        </is>
      </c>
      <c r="AC16" s="8" t="n"/>
      <c r="AD16" s="8" t="n"/>
      <c r="AE16" s="16">
        <f>IF(AA16&lt;&gt;"", AA16+90, "")</f>
        <v/>
      </c>
      <c r="AF16" s="8" t="n"/>
    </row>
    <row r="17">
      <c r="A17">
        <f>IF(B17&lt;&gt;"", "HC-"&amp;TEXT(ROW()-1,"00000"), 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>
        <f>IF(K17="", "", IF(K17="Implemented", "Pass", IF(K17="Partial", "Partial", IF(K17="Not Applicable", "N/A", "Fail"))))</f>
        <v/>
      </c>
      <c r="R17" s="8" t="n"/>
      <c r="S17" s="8" t="n"/>
      <c r="T17">
        <f>IF(Q17="", "", IF(OR(Q17="Fail", Q17="Partial"), "Yes", "No"))</f>
        <v/>
      </c>
      <c r="U17" s="8" t="n"/>
      <c r="V17" s="8" t="n"/>
      <c r="W17" s="8" t="n"/>
      <c r="X17" s="8" t="inlineStr">
        <is>
          <t>No</t>
        </is>
      </c>
      <c r="Y17" s="8" t="n"/>
      <c r="Z17" s="8" t="n"/>
      <c r="AA17" s="8" t="n"/>
      <c r="AB17" s="8" t="inlineStr">
        <is>
          <t>[Security Analyst]</t>
        </is>
      </c>
      <c r="AC17" s="8" t="n"/>
      <c r="AD17" s="8" t="n"/>
      <c r="AE17" s="16">
        <f>IF(AA17&lt;&gt;"", AA17+90, "")</f>
        <v/>
      </c>
      <c r="AF17" s="8" t="n"/>
    </row>
    <row r="18">
      <c r="A18">
        <f>IF(B18&lt;&gt;"", "HC-"&amp;TEXT(ROW()-1,"00000"), "")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>
        <f>IF(K18="", "", IF(K18="Implemented", "Pass", IF(K18="Partial", "Partial", IF(K18="Not Applicable", "N/A", "Fail"))))</f>
        <v/>
      </c>
      <c r="R18" s="8" t="n"/>
      <c r="S18" s="8" t="n"/>
      <c r="T18">
        <f>IF(Q18="", "", IF(OR(Q18="Fail", Q18="Partial"), "Yes", "No"))</f>
        <v/>
      </c>
      <c r="U18" s="8" t="n"/>
      <c r="V18" s="8" t="n"/>
      <c r="W18" s="8" t="n"/>
      <c r="X18" s="8" t="inlineStr">
        <is>
          <t>No</t>
        </is>
      </c>
      <c r="Y18" s="8" t="n"/>
      <c r="Z18" s="8" t="n"/>
      <c r="AA18" s="8" t="n"/>
      <c r="AB18" s="8" t="inlineStr">
        <is>
          <t>[Security Analyst]</t>
        </is>
      </c>
      <c r="AC18" s="8" t="n"/>
      <c r="AD18" s="8" t="n"/>
      <c r="AE18" s="16">
        <f>IF(AA18&lt;&gt;"", AA18+90, "")</f>
        <v/>
      </c>
      <c r="AF18" s="8" t="n"/>
    </row>
    <row r="19">
      <c r="A19">
        <f>IF(B19&lt;&gt;"", "HC-"&amp;TEXT(ROW()-1,"00000"), 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>
        <f>IF(K19="", "", IF(K19="Implemented", "Pass", IF(K19="Partial", "Partial", IF(K19="Not Applicable", "N/A", "Fail"))))</f>
        <v/>
      </c>
      <c r="R19" s="8" t="n"/>
      <c r="S19" s="8" t="n"/>
      <c r="T19">
        <f>IF(Q19="", "", IF(OR(Q19="Fail", Q19="Partial"), "Yes", "No"))</f>
        <v/>
      </c>
      <c r="U19" s="8" t="n"/>
      <c r="V19" s="8" t="n"/>
      <c r="W19" s="8" t="n"/>
      <c r="X19" s="8" t="inlineStr">
        <is>
          <t>No</t>
        </is>
      </c>
      <c r="Y19" s="8" t="n"/>
      <c r="Z19" s="8" t="n"/>
      <c r="AA19" s="8" t="n"/>
      <c r="AB19" s="8" t="inlineStr">
        <is>
          <t>[Security Analyst]</t>
        </is>
      </c>
      <c r="AC19" s="8" t="n"/>
      <c r="AD19" s="8" t="n"/>
      <c r="AE19" s="16">
        <f>IF(AA19&lt;&gt;"", AA19+90, "")</f>
        <v/>
      </c>
      <c r="AF19" s="8" t="n"/>
    </row>
    <row r="20">
      <c r="A20">
        <f>IF(B20&lt;&gt;"", "HC-"&amp;TEXT(ROW()-1,"00000"), "")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>
        <f>IF(K20="", "", IF(K20="Implemented", "Pass", IF(K20="Partial", "Partial", IF(K20="Not Applicable", "N/A", "Fail"))))</f>
        <v/>
      </c>
      <c r="R20" s="8" t="n"/>
      <c r="S20" s="8" t="n"/>
      <c r="T20">
        <f>IF(Q20="", "", IF(OR(Q20="Fail", Q20="Partial"), "Yes", "No"))</f>
        <v/>
      </c>
      <c r="U20" s="8" t="n"/>
      <c r="V20" s="8" t="n"/>
      <c r="W20" s="8" t="n"/>
      <c r="X20" s="8" t="inlineStr">
        <is>
          <t>No</t>
        </is>
      </c>
      <c r="Y20" s="8" t="n"/>
      <c r="Z20" s="8" t="n"/>
      <c r="AA20" s="8" t="n"/>
      <c r="AB20" s="8" t="inlineStr">
        <is>
          <t>[Security Analyst]</t>
        </is>
      </c>
      <c r="AC20" s="8" t="n"/>
      <c r="AD20" s="8" t="n"/>
      <c r="AE20" s="16">
        <f>IF(AA20&lt;&gt;"", AA20+90, "")</f>
        <v/>
      </c>
      <c r="AF20" s="8" t="n"/>
    </row>
    <row r="21">
      <c r="A21">
        <f>IF(B21&lt;&gt;"", "HC-"&amp;TEXT(ROW()-1,"00000"), 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>
        <f>IF(K21="", "", IF(K21="Implemented", "Pass", IF(K21="Partial", "Partial", IF(K21="Not Applicable", "N/A", "Fail"))))</f>
        <v/>
      </c>
      <c r="R21" s="8" t="n"/>
      <c r="S21" s="8" t="n"/>
      <c r="T21">
        <f>IF(Q21="", "", IF(OR(Q21="Fail", Q21="Partial"), "Yes", "No"))</f>
        <v/>
      </c>
      <c r="U21" s="8" t="n"/>
      <c r="V21" s="8" t="n"/>
      <c r="W21" s="8" t="n"/>
      <c r="X21" s="8" t="inlineStr">
        <is>
          <t>No</t>
        </is>
      </c>
      <c r="Y21" s="8" t="n"/>
      <c r="Z21" s="8" t="n"/>
      <c r="AA21" s="8" t="n"/>
      <c r="AB21" s="8" t="inlineStr">
        <is>
          <t>[Security Analyst]</t>
        </is>
      </c>
      <c r="AC21" s="8" t="n"/>
      <c r="AD21" s="8" t="n"/>
      <c r="AE21" s="16">
        <f>IF(AA21&lt;&gt;"", AA21+90, "")</f>
        <v/>
      </c>
      <c r="AF21" s="8" t="n"/>
    </row>
    <row r="22">
      <c r="A22">
        <f>IF(B22&lt;&gt;"", "HC-"&amp;TEXT(ROW()-1,"00000"), "")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>
        <f>IF(K22="", "", IF(K22="Implemented", "Pass", IF(K22="Partial", "Partial", IF(K22="Not Applicable", "N/A", "Fail"))))</f>
        <v/>
      </c>
      <c r="R22" s="8" t="n"/>
      <c r="S22" s="8" t="n"/>
      <c r="T22">
        <f>IF(Q22="", "", IF(OR(Q22="Fail", Q22="Partial"), "Yes", "No"))</f>
        <v/>
      </c>
      <c r="U22" s="8" t="n"/>
      <c r="V22" s="8" t="n"/>
      <c r="W22" s="8" t="n"/>
      <c r="X22" s="8" t="inlineStr">
        <is>
          <t>No</t>
        </is>
      </c>
      <c r="Y22" s="8" t="n"/>
      <c r="Z22" s="8" t="n"/>
      <c r="AA22" s="8" t="n"/>
      <c r="AB22" s="8" t="inlineStr">
        <is>
          <t>[Security Analyst]</t>
        </is>
      </c>
      <c r="AC22" s="8" t="n"/>
      <c r="AD22" s="8" t="n"/>
      <c r="AE22" s="16">
        <f>IF(AA22&lt;&gt;"", AA22+90, "")</f>
        <v/>
      </c>
      <c r="AF22" s="8" t="n"/>
    </row>
    <row r="23">
      <c r="A23">
        <f>IF(B23&lt;&gt;"", "HC-"&amp;TEXT(ROW()-1,"00000"), 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>
        <f>IF(K23="", "", IF(K23="Implemented", "Pass", IF(K23="Partial", "Partial", IF(K23="Not Applicable", "N/A", "Fail"))))</f>
        <v/>
      </c>
      <c r="R23" s="8" t="n"/>
      <c r="S23" s="8" t="n"/>
      <c r="T23">
        <f>IF(Q23="", "", IF(OR(Q23="Fail", Q23="Partial"), "Yes", "No"))</f>
        <v/>
      </c>
      <c r="U23" s="8" t="n"/>
      <c r="V23" s="8" t="n"/>
      <c r="W23" s="8" t="n"/>
      <c r="X23" s="8" t="inlineStr">
        <is>
          <t>No</t>
        </is>
      </c>
      <c r="Y23" s="8" t="n"/>
      <c r="Z23" s="8" t="n"/>
      <c r="AA23" s="8" t="n"/>
      <c r="AB23" s="8" t="inlineStr">
        <is>
          <t>[Security Analyst]</t>
        </is>
      </c>
      <c r="AC23" s="8" t="n"/>
      <c r="AD23" s="8" t="n"/>
      <c r="AE23" s="16">
        <f>IF(AA23&lt;&gt;"", AA23+90, "")</f>
        <v/>
      </c>
      <c r="AF23" s="8" t="n"/>
    </row>
    <row r="24">
      <c r="A24">
        <f>IF(B24&lt;&gt;"", "HC-"&amp;TEXT(ROW()-1,"00000"), "")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>
        <f>IF(K24="", "", IF(K24="Implemented", "Pass", IF(K24="Partial", "Partial", IF(K24="Not Applicable", "N/A", "Fail"))))</f>
        <v/>
      </c>
      <c r="R24" s="8" t="n"/>
      <c r="S24" s="8" t="n"/>
      <c r="T24">
        <f>IF(Q24="", "", IF(OR(Q24="Fail", Q24="Partial"), "Yes", "No"))</f>
        <v/>
      </c>
      <c r="U24" s="8" t="n"/>
      <c r="V24" s="8" t="n"/>
      <c r="W24" s="8" t="n"/>
      <c r="X24" s="8" t="inlineStr">
        <is>
          <t>No</t>
        </is>
      </c>
      <c r="Y24" s="8" t="n"/>
      <c r="Z24" s="8" t="n"/>
      <c r="AA24" s="8" t="n"/>
      <c r="AB24" s="8" t="inlineStr">
        <is>
          <t>[Security Analyst]</t>
        </is>
      </c>
      <c r="AC24" s="8" t="n"/>
      <c r="AD24" s="8" t="n"/>
      <c r="AE24" s="16">
        <f>IF(AA24&lt;&gt;"", AA24+90, "")</f>
        <v/>
      </c>
      <c r="AF24" s="8" t="n"/>
    </row>
    <row r="25">
      <c r="A25">
        <f>IF(B25&lt;&gt;"", "HC-"&amp;TEXT(ROW()-1,"00000"), 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>
        <f>IF(K25="", "", IF(K25="Implemented", "Pass", IF(K25="Partial", "Partial", IF(K25="Not Applicable", "N/A", "Fail"))))</f>
        <v/>
      </c>
      <c r="R25" s="8" t="n"/>
      <c r="S25" s="8" t="n"/>
      <c r="T25">
        <f>IF(Q25="", "", IF(OR(Q25="Fail", Q25="Partial"), "Yes", "No"))</f>
        <v/>
      </c>
      <c r="U25" s="8" t="n"/>
      <c r="V25" s="8" t="n"/>
      <c r="W25" s="8" t="n"/>
      <c r="X25" s="8" t="inlineStr">
        <is>
          <t>No</t>
        </is>
      </c>
      <c r="Y25" s="8" t="n"/>
      <c r="Z25" s="8" t="n"/>
      <c r="AA25" s="8" t="n"/>
      <c r="AB25" s="8" t="inlineStr">
        <is>
          <t>[Security Analyst]</t>
        </is>
      </c>
      <c r="AC25" s="8" t="n"/>
      <c r="AD25" s="8" t="n"/>
      <c r="AE25" s="16">
        <f>IF(AA25&lt;&gt;"", AA25+90, "")</f>
        <v/>
      </c>
      <c r="AF25" s="8" t="n"/>
    </row>
    <row r="26">
      <c r="A26">
        <f>IF(B26&lt;&gt;"", "HC-"&amp;TEXT(ROW()-1,"00000"), "")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>
        <f>IF(K26="", "", IF(K26="Implemented", "Pass", IF(K26="Partial", "Partial", IF(K26="Not Applicable", "N/A", "Fail"))))</f>
        <v/>
      </c>
      <c r="R26" s="8" t="n"/>
      <c r="S26" s="8" t="n"/>
      <c r="T26">
        <f>IF(Q26="", "", IF(OR(Q26="Fail", Q26="Partial"), "Yes", "No"))</f>
        <v/>
      </c>
      <c r="U26" s="8" t="n"/>
      <c r="V26" s="8" t="n"/>
      <c r="W26" s="8" t="n"/>
      <c r="X26" s="8" t="inlineStr">
        <is>
          <t>No</t>
        </is>
      </c>
      <c r="Y26" s="8" t="n"/>
      <c r="Z26" s="8" t="n"/>
      <c r="AA26" s="8" t="n"/>
      <c r="AB26" s="8" t="inlineStr">
        <is>
          <t>[Security Analyst]</t>
        </is>
      </c>
      <c r="AC26" s="8" t="n"/>
      <c r="AD26" s="8" t="n"/>
      <c r="AE26" s="16">
        <f>IF(AA26&lt;&gt;"", AA26+90, "")</f>
        <v/>
      </c>
      <c r="AF26" s="8" t="n"/>
    </row>
    <row r="27">
      <c r="A27">
        <f>IF(B27&lt;&gt;"", "HC-"&amp;TEXT(ROW()-1,"00000"), 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>
        <f>IF(K27="", "", IF(K27="Implemented", "Pass", IF(K27="Partial", "Partial", IF(K27="Not Applicable", "N/A", "Fail"))))</f>
        <v/>
      </c>
      <c r="R27" s="8" t="n"/>
      <c r="S27" s="8" t="n"/>
      <c r="T27">
        <f>IF(Q27="", "", IF(OR(Q27="Fail", Q27="Partial"), "Yes", "No"))</f>
        <v/>
      </c>
      <c r="U27" s="8" t="n"/>
      <c r="V27" s="8" t="n"/>
      <c r="W27" s="8" t="n"/>
      <c r="X27" s="8" t="inlineStr">
        <is>
          <t>No</t>
        </is>
      </c>
      <c r="Y27" s="8" t="n"/>
      <c r="Z27" s="8" t="n"/>
      <c r="AA27" s="8" t="n"/>
      <c r="AB27" s="8" t="inlineStr">
        <is>
          <t>[Security Analyst]</t>
        </is>
      </c>
      <c r="AC27" s="8" t="n"/>
      <c r="AD27" s="8" t="n"/>
      <c r="AE27" s="16">
        <f>IF(AA27&lt;&gt;"", AA27+90, "")</f>
        <v/>
      </c>
      <c r="AF27" s="8" t="n"/>
    </row>
    <row r="28">
      <c r="A28">
        <f>IF(B28&lt;&gt;"", "HC-"&amp;TEXT(ROW()-1,"00000"), "")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>
        <f>IF(K28="", "", IF(K28="Implemented", "Pass", IF(K28="Partial", "Partial", IF(K28="Not Applicable", "N/A", "Fail"))))</f>
        <v/>
      </c>
      <c r="R28" s="8" t="n"/>
      <c r="S28" s="8" t="n"/>
      <c r="T28">
        <f>IF(Q28="", "", IF(OR(Q28="Fail", Q28="Partial"), "Yes", "No"))</f>
        <v/>
      </c>
      <c r="U28" s="8" t="n"/>
      <c r="V28" s="8" t="n"/>
      <c r="W28" s="8" t="n"/>
      <c r="X28" s="8" t="inlineStr">
        <is>
          <t>No</t>
        </is>
      </c>
      <c r="Y28" s="8" t="n"/>
      <c r="Z28" s="8" t="n"/>
      <c r="AA28" s="8" t="n"/>
      <c r="AB28" s="8" t="inlineStr">
        <is>
          <t>[Security Analyst]</t>
        </is>
      </c>
      <c r="AC28" s="8" t="n"/>
      <c r="AD28" s="8" t="n"/>
      <c r="AE28" s="16">
        <f>IF(AA28&lt;&gt;"", AA28+90, "")</f>
        <v/>
      </c>
      <c r="AF28" s="8" t="n"/>
    </row>
    <row r="29">
      <c r="A29">
        <f>IF(B29&lt;&gt;"", "HC-"&amp;TEXT(ROW()-1,"00000"), 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>
        <f>IF(K29="", "", IF(K29="Implemented", "Pass", IF(K29="Partial", "Partial", IF(K29="Not Applicable", "N/A", "Fail"))))</f>
        <v/>
      </c>
      <c r="R29" s="8" t="n"/>
      <c r="S29" s="8" t="n"/>
      <c r="T29">
        <f>IF(Q29="", "", IF(OR(Q29="Fail", Q29="Partial"), "Yes", "No"))</f>
        <v/>
      </c>
      <c r="U29" s="8" t="n"/>
      <c r="V29" s="8" t="n"/>
      <c r="W29" s="8" t="n"/>
      <c r="X29" s="8" t="inlineStr">
        <is>
          <t>No</t>
        </is>
      </c>
      <c r="Y29" s="8" t="n"/>
      <c r="Z29" s="8" t="n"/>
      <c r="AA29" s="8" t="n"/>
      <c r="AB29" s="8" t="inlineStr">
        <is>
          <t>[Security Analyst]</t>
        </is>
      </c>
      <c r="AC29" s="8" t="n"/>
      <c r="AD29" s="8" t="n"/>
      <c r="AE29" s="16">
        <f>IF(AA29&lt;&gt;"", AA29+90, "")</f>
        <v/>
      </c>
      <c r="AF29" s="8" t="n"/>
    </row>
    <row r="30">
      <c r="A30">
        <f>IF(B30&lt;&gt;"", "HC-"&amp;TEXT(ROW()-1,"00000"), "")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>
        <f>IF(K30="", "", IF(K30="Implemented", "Pass", IF(K30="Partial", "Partial", IF(K30="Not Applicable", "N/A", "Fail"))))</f>
        <v/>
      </c>
      <c r="R30" s="8" t="n"/>
      <c r="S30" s="8" t="n"/>
      <c r="T30">
        <f>IF(Q30="", "", IF(OR(Q30="Fail", Q30="Partial"), "Yes", "No"))</f>
        <v/>
      </c>
      <c r="U30" s="8" t="n"/>
      <c r="V30" s="8" t="n"/>
      <c r="W30" s="8" t="n"/>
      <c r="X30" s="8" t="inlineStr">
        <is>
          <t>No</t>
        </is>
      </c>
      <c r="Y30" s="8" t="n"/>
      <c r="Z30" s="8" t="n"/>
      <c r="AA30" s="8" t="n"/>
      <c r="AB30" s="8" t="inlineStr">
        <is>
          <t>[Security Analyst]</t>
        </is>
      </c>
      <c r="AC30" s="8" t="n"/>
      <c r="AD30" s="8" t="n"/>
      <c r="AE30" s="16">
        <f>IF(AA30&lt;&gt;"", AA30+90, "")</f>
        <v/>
      </c>
      <c r="AF30" s="8" t="n"/>
    </row>
    <row r="31">
      <c r="A31">
        <f>IF(B31&lt;&gt;"", "HC-"&amp;TEXT(ROW()-1,"00000"), 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>
        <f>IF(K31="", "", IF(K31="Implemented", "Pass", IF(K31="Partial", "Partial", IF(K31="Not Applicable", "N/A", "Fail"))))</f>
        <v/>
      </c>
      <c r="R31" s="8" t="n"/>
      <c r="S31" s="8" t="n"/>
      <c r="T31">
        <f>IF(Q31="", "", IF(OR(Q31="Fail", Q31="Partial"), "Yes", "No"))</f>
        <v/>
      </c>
      <c r="U31" s="8" t="n"/>
      <c r="V31" s="8" t="n"/>
      <c r="W31" s="8" t="n"/>
      <c r="X31" s="8" t="inlineStr">
        <is>
          <t>No</t>
        </is>
      </c>
      <c r="Y31" s="8" t="n"/>
      <c r="Z31" s="8" t="n"/>
      <c r="AA31" s="8" t="n"/>
      <c r="AB31" s="8" t="inlineStr">
        <is>
          <t>[Security Analyst]</t>
        </is>
      </c>
      <c r="AC31" s="8" t="n"/>
      <c r="AD31" s="8" t="n"/>
      <c r="AE31" s="16">
        <f>IF(AA31&lt;&gt;"", AA31+90, "")</f>
        <v/>
      </c>
      <c r="AF31" s="8" t="n"/>
    </row>
    <row r="32">
      <c r="A32">
        <f>IF(B32&lt;&gt;"", "HC-"&amp;TEXT(ROW()-1,"00000"), "")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>
        <f>IF(K32="", "", IF(K32="Implemented", "Pass", IF(K32="Partial", "Partial", IF(K32="Not Applicable", "N/A", "Fail"))))</f>
        <v/>
      </c>
      <c r="R32" s="8" t="n"/>
      <c r="S32" s="8" t="n"/>
      <c r="T32">
        <f>IF(Q32="", "", IF(OR(Q32="Fail", Q32="Partial"), "Yes", "No"))</f>
        <v/>
      </c>
      <c r="U32" s="8" t="n"/>
      <c r="V32" s="8" t="n"/>
      <c r="W32" s="8" t="n"/>
      <c r="X32" s="8" t="inlineStr">
        <is>
          <t>No</t>
        </is>
      </c>
      <c r="Y32" s="8" t="n"/>
      <c r="Z32" s="8" t="n"/>
      <c r="AA32" s="8" t="n"/>
      <c r="AB32" s="8" t="inlineStr">
        <is>
          <t>[Security Analyst]</t>
        </is>
      </c>
      <c r="AC32" s="8" t="n"/>
      <c r="AD32" s="8" t="n"/>
      <c r="AE32" s="16">
        <f>IF(AA32&lt;&gt;"", AA32+90, "")</f>
        <v/>
      </c>
      <c r="AF32" s="8" t="n"/>
    </row>
    <row r="33">
      <c r="A33">
        <f>IF(B33&lt;&gt;"", "HC-"&amp;TEXT(ROW()-1,"00000"), 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>
        <f>IF(K33="", "", IF(K33="Implemented", "Pass", IF(K33="Partial", "Partial", IF(K33="Not Applicable", "N/A", "Fail"))))</f>
        <v/>
      </c>
      <c r="R33" s="8" t="n"/>
      <c r="S33" s="8" t="n"/>
      <c r="T33">
        <f>IF(Q33="", "", IF(OR(Q33="Fail", Q33="Partial"), "Yes", "No"))</f>
        <v/>
      </c>
      <c r="U33" s="8" t="n"/>
      <c r="V33" s="8" t="n"/>
      <c r="W33" s="8" t="n"/>
      <c r="X33" s="8" t="inlineStr">
        <is>
          <t>No</t>
        </is>
      </c>
      <c r="Y33" s="8" t="n"/>
      <c r="Z33" s="8" t="n"/>
      <c r="AA33" s="8" t="n"/>
      <c r="AB33" s="8" t="inlineStr">
        <is>
          <t>[Security Analyst]</t>
        </is>
      </c>
      <c r="AC33" s="8" t="n"/>
      <c r="AD33" s="8" t="n"/>
      <c r="AE33" s="16">
        <f>IF(AA33&lt;&gt;"", AA33+90, "")</f>
        <v/>
      </c>
      <c r="AF33" s="8" t="n"/>
    </row>
    <row r="34">
      <c r="A34">
        <f>IF(B34&lt;&gt;"", "HC-"&amp;TEXT(ROW()-1,"00000"), "")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>
        <f>IF(K34="", "", IF(K34="Implemented", "Pass", IF(K34="Partial", "Partial", IF(K34="Not Applicable", "N/A", "Fail"))))</f>
        <v/>
      </c>
      <c r="R34" s="8" t="n"/>
      <c r="S34" s="8" t="n"/>
      <c r="T34">
        <f>IF(Q34="", "", IF(OR(Q34="Fail", Q34="Partial"), "Yes", "No"))</f>
        <v/>
      </c>
      <c r="U34" s="8" t="n"/>
      <c r="V34" s="8" t="n"/>
      <c r="W34" s="8" t="n"/>
      <c r="X34" s="8" t="inlineStr">
        <is>
          <t>No</t>
        </is>
      </c>
      <c r="Y34" s="8" t="n"/>
      <c r="Z34" s="8" t="n"/>
      <c r="AA34" s="8" t="n"/>
      <c r="AB34" s="8" t="inlineStr">
        <is>
          <t>[Security Analyst]</t>
        </is>
      </c>
      <c r="AC34" s="8" t="n"/>
      <c r="AD34" s="8" t="n"/>
      <c r="AE34" s="16">
        <f>IF(AA34&lt;&gt;"", AA34+90, "")</f>
        <v/>
      </c>
      <c r="AF34" s="8" t="n"/>
    </row>
    <row r="35">
      <c r="A35">
        <f>IF(B35&lt;&gt;"", "HC-"&amp;TEXT(ROW()-1,"00000"), 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>
        <f>IF(K35="", "", IF(K35="Implemented", "Pass", IF(K35="Partial", "Partial", IF(K35="Not Applicable", "N/A", "Fail"))))</f>
        <v/>
      </c>
      <c r="R35" s="8" t="n"/>
      <c r="S35" s="8" t="n"/>
      <c r="T35">
        <f>IF(Q35="", "", IF(OR(Q35="Fail", Q35="Partial"), "Yes", "No"))</f>
        <v/>
      </c>
      <c r="U35" s="8" t="n"/>
      <c r="V35" s="8" t="n"/>
      <c r="W35" s="8" t="n"/>
      <c r="X35" s="8" t="inlineStr">
        <is>
          <t>No</t>
        </is>
      </c>
      <c r="Y35" s="8" t="n"/>
      <c r="Z35" s="8" t="n"/>
      <c r="AA35" s="8" t="n"/>
      <c r="AB35" s="8" t="inlineStr">
        <is>
          <t>[Security Analyst]</t>
        </is>
      </c>
      <c r="AC35" s="8" t="n"/>
      <c r="AD35" s="8" t="n"/>
      <c r="AE35" s="16">
        <f>IF(AA35&lt;&gt;"", AA35+90, "")</f>
        <v/>
      </c>
      <c r="AF35" s="8" t="n"/>
    </row>
    <row r="36">
      <c r="A36">
        <f>IF(B36&lt;&gt;"", "HC-"&amp;TEXT(ROW()-1,"00000"), "")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>
        <f>IF(K36="", "", IF(K36="Implemented", "Pass", IF(K36="Partial", "Partial", IF(K36="Not Applicable", "N/A", "Fail"))))</f>
        <v/>
      </c>
      <c r="R36" s="8" t="n"/>
      <c r="S36" s="8" t="n"/>
      <c r="T36">
        <f>IF(Q36="", "", IF(OR(Q36="Fail", Q36="Partial"), "Yes", "No"))</f>
        <v/>
      </c>
      <c r="U36" s="8" t="n"/>
      <c r="V36" s="8" t="n"/>
      <c r="W36" s="8" t="n"/>
      <c r="X36" s="8" t="inlineStr">
        <is>
          <t>No</t>
        </is>
      </c>
      <c r="Y36" s="8" t="n"/>
      <c r="Z36" s="8" t="n"/>
      <c r="AA36" s="8" t="n"/>
      <c r="AB36" s="8" t="inlineStr">
        <is>
          <t>[Security Analyst]</t>
        </is>
      </c>
      <c r="AC36" s="8" t="n"/>
      <c r="AD36" s="8" t="n"/>
      <c r="AE36" s="16">
        <f>IF(AA36&lt;&gt;"", AA36+90, "")</f>
        <v/>
      </c>
      <c r="AF36" s="8" t="n"/>
    </row>
    <row r="37">
      <c r="A37">
        <f>IF(B37&lt;&gt;"", "HC-"&amp;TEXT(ROW()-1,"00000"), 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>
        <f>IF(K37="", "", IF(K37="Implemented", "Pass", IF(K37="Partial", "Partial", IF(K37="Not Applicable", "N/A", "Fail"))))</f>
        <v/>
      </c>
      <c r="R37" s="8" t="n"/>
      <c r="S37" s="8" t="n"/>
      <c r="T37">
        <f>IF(Q37="", "", IF(OR(Q37="Fail", Q37="Partial"), "Yes", "No"))</f>
        <v/>
      </c>
      <c r="U37" s="8" t="n"/>
      <c r="V37" s="8" t="n"/>
      <c r="W37" s="8" t="n"/>
      <c r="X37" s="8" t="inlineStr">
        <is>
          <t>No</t>
        </is>
      </c>
      <c r="Y37" s="8" t="n"/>
      <c r="Z37" s="8" t="n"/>
      <c r="AA37" s="8" t="n"/>
      <c r="AB37" s="8" t="inlineStr">
        <is>
          <t>[Security Analyst]</t>
        </is>
      </c>
      <c r="AC37" s="8" t="n"/>
      <c r="AD37" s="8" t="n"/>
      <c r="AE37" s="16">
        <f>IF(AA37&lt;&gt;"", AA37+90, "")</f>
        <v/>
      </c>
      <c r="AF37" s="8" t="n"/>
    </row>
    <row r="38">
      <c r="A38">
        <f>IF(B38&lt;&gt;"", "HC-"&amp;TEXT(ROW()-1,"00000"), "")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>
        <f>IF(K38="", "", IF(K38="Implemented", "Pass", IF(K38="Partial", "Partial", IF(K38="Not Applicable", "N/A", "Fail"))))</f>
        <v/>
      </c>
      <c r="R38" s="8" t="n"/>
      <c r="S38" s="8" t="n"/>
      <c r="T38">
        <f>IF(Q38="", "", IF(OR(Q38="Fail", Q38="Partial"), "Yes", "No"))</f>
        <v/>
      </c>
      <c r="U38" s="8" t="n"/>
      <c r="V38" s="8" t="n"/>
      <c r="W38" s="8" t="n"/>
      <c r="X38" s="8" t="inlineStr">
        <is>
          <t>No</t>
        </is>
      </c>
      <c r="Y38" s="8" t="n"/>
      <c r="Z38" s="8" t="n"/>
      <c r="AA38" s="8" t="n"/>
      <c r="AB38" s="8" t="inlineStr">
        <is>
          <t>[Security Analyst]</t>
        </is>
      </c>
      <c r="AC38" s="8" t="n"/>
      <c r="AD38" s="8" t="n"/>
      <c r="AE38" s="16">
        <f>IF(AA38&lt;&gt;"", AA38+90, "")</f>
        <v/>
      </c>
      <c r="AF38" s="8" t="n"/>
    </row>
    <row r="39">
      <c r="A39">
        <f>IF(B39&lt;&gt;"", "HC-"&amp;TEXT(ROW()-1,"00000"), 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>
        <f>IF(K39="", "", IF(K39="Implemented", "Pass", IF(K39="Partial", "Partial", IF(K39="Not Applicable", "N/A", "Fail"))))</f>
        <v/>
      </c>
      <c r="R39" s="8" t="n"/>
      <c r="S39" s="8" t="n"/>
      <c r="T39">
        <f>IF(Q39="", "", IF(OR(Q39="Fail", Q39="Partial"), "Yes", "No"))</f>
        <v/>
      </c>
      <c r="U39" s="8" t="n"/>
      <c r="V39" s="8" t="n"/>
      <c r="W39" s="8" t="n"/>
      <c r="X39" s="8" t="inlineStr">
        <is>
          <t>No</t>
        </is>
      </c>
      <c r="Y39" s="8" t="n"/>
      <c r="Z39" s="8" t="n"/>
      <c r="AA39" s="8" t="n"/>
      <c r="AB39" s="8" t="inlineStr">
        <is>
          <t>[Security Analyst]</t>
        </is>
      </c>
      <c r="AC39" s="8" t="n"/>
      <c r="AD39" s="8" t="n"/>
      <c r="AE39" s="16">
        <f>IF(AA39&lt;&gt;"", AA39+90, "")</f>
        <v/>
      </c>
      <c r="AF39" s="8" t="n"/>
    </row>
    <row r="40">
      <c r="A40">
        <f>IF(B40&lt;&gt;"", "HC-"&amp;TEXT(ROW()-1,"00000"), "")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>
        <f>IF(K40="", "", IF(K40="Implemented", "Pass", IF(K40="Partial", "Partial", IF(K40="Not Applicable", "N/A", "Fail"))))</f>
        <v/>
      </c>
      <c r="R40" s="8" t="n"/>
      <c r="S40" s="8" t="n"/>
      <c r="T40">
        <f>IF(Q40="", "", IF(OR(Q40="Fail", Q40="Partial"), "Yes", "No"))</f>
        <v/>
      </c>
      <c r="U40" s="8" t="n"/>
      <c r="V40" s="8" t="n"/>
      <c r="W40" s="8" t="n"/>
      <c r="X40" s="8" t="inlineStr">
        <is>
          <t>No</t>
        </is>
      </c>
      <c r="Y40" s="8" t="n"/>
      <c r="Z40" s="8" t="n"/>
      <c r="AA40" s="8" t="n"/>
      <c r="AB40" s="8" t="inlineStr">
        <is>
          <t>[Security Analyst]</t>
        </is>
      </c>
      <c r="AC40" s="8" t="n"/>
      <c r="AD40" s="8" t="n"/>
      <c r="AE40" s="16">
        <f>IF(AA40&lt;&gt;"", AA40+90, "")</f>
        <v/>
      </c>
      <c r="AF40" s="8" t="n"/>
    </row>
    <row r="41">
      <c r="A41">
        <f>IF(B41&lt;&gt;"", "HC-"&amp;TEXT(ROW()-1,"00000"), 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>
        <f>IF(K41="", "", IF(K41="Implemented", "Pass", IF(K41="Partial", "Partial", IF(K41="Not Applicable", "N/A", "Fail"))))</f>
        <v/>
      </c>
      <c r="R41" s="8" t="n"/>
      <c r="S41" s="8" t="n"/>
      <c r="T41">
        <f>IF(Q41="", "", IF(OR(Q41="Fail", Q41="Partial"), "Yes", "No"))</f>
        <v/>
      </c>
      <c r="U41" s="8" t="n"/>
      <c r="V41" s="8" t="n"/>
      <c r="W41" s="8" t="n"/>
      <c r="X41" s="8" t="inlineStr">
        <is>
          <t>No</t>
        </is>
      </c>
      <c r="Y41" s="8" t="n"/>
      <c r="Z41" s="8" t="n"/>
      <c r="AA41" s="8" t="n"/>
      <c r="AB41" s="8" t="inlineStr">
        <is>
          <t>[Security Analyst]</t>
        </is>
      </c>
      <c r="AC41" s="8" t="n"/>
      <c r="AD41" s="8" t="n"/>
      <c r="AE41" s="16">
        <f>IF(AA41&lt;&gt;"", AA41+90, "")</f>
        <v/>
      </c>
      <c r="AF41" s="8" t="n"/>
    </row>
    <row r="42">
      <c r="A42">
        <f>IF(B42&lt;&gt;"", "HC-"&amp;TEXT(ROW()-1,"00000"), "")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>
        <f>IF(K42="", "", IF(K42="Implemented", "Pass", IF(K42="Partial", "Partial", IF(K42="Not Applicable", "N/A", "Fail"))))</f>
        <v/>
      </c>
      <c r="R42" s="8" t="n"/>
      <c r="S42" s="8" t="n"/>
      <c r="T42">
        <f>IF(Q42="", "", IF(OR(Q42="Fail", Q42="Partial"), "Yes", "No"))</f>
        <v/>
      </c>
      <c r="U42" s="8" t="n"/>
      <c r="V42" s="8" t="n"/>
      <c r="W42" s="8" t="n"/>
      <c r="X42" s="8" t="inlineStr">
        <is>
          <t>No</t>
        </is>
      </c>
      <c r="Y42" s="8" t="n"/>
      <c r="Z42" s="8" t="n"/>
      <c r="AA42" s="8" t="n"/>
      <c r="AB42" s="8" t="inlineStr">
        <is>
          <t>[Security Analyst]</t>
        </is>
      </c>
      <c r="AC42" s="8" t="n"/>
      <c r="AD42" s="8" t="n"/>
      <c r="AE42" s="16">
        <f>IF(AA42&lt;&gt;"", AA42+90, "")</f>
        <v/>
      </c>
      <c r="AF42" s="8" t="n"/>
    </row>
    <row r="43">
      <c r="A43">
        <f>IF(B43&lt;&gt;"", "HC-"&amp;TEXT(ROW()-1,"00000"), 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>
        <f>IF(K43="", "", IF(K43="Implemented", "Pass", IF(K43="Partial", "Partial", IF(K43="Not Applicable", "N/A", "Fail"))))</f>
        <v/>
      </c>
      <c r="R43" s="8" t="n"/>
      <c r="S43" s="8" t="n"/>
      <c r="T43">
        <f>IF(Q43="", "", IF(OR(Q43="Fail", Q43="Partial"), "Yes", "No"))</f>
        <v/>
      </c>
      <c r="U43" s="8" t="n"/>
      <c r="V43" s="8" t="n"/>
      <c r="W43" s="8" t="n"/>
      <c r="X43" s="8" t="inlineStr">
        <is>
          <t>No</t>
        </is>
      </c>
      <c r="Y43" s="8" t="n"/>
      <c r="Z43" s="8" t="n"/>
      <c r="AA43" s="8" t="n"/>
      <c r="AB43" s="8" t="inlineStr">
        <is>
          <t>[Security Analyst]</t>
        </is>
      </c>
      <c r="AC43" s="8" t="n"/>
      <c r="AD43" s="8" t="n"/>
      <c r="AE43" s="16">
        <f>IF(AA43&lt;&gt;"", AA43+90, "")</f>
        <v/>
      </c>
      <c r="AF43" s="8" t="n"/>
    </row>
    <row r="44">
      <c r="A44">
        <f>IF(B44&lt;&gt;"", "HC-"&amp;TEXT(ROW()-1,"00000"), "")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>
        <f>IF(K44="", "", IF(K44="Implemented", "Pass", IF(K44="Partial", "Partial", IF(K44="Not Applicable", "N/A", "Fail"))))</f>
        <v/>
      </c>
      <c r="R44" s="8" t="n"/>
      <c r="S44" s="8" t="n"/>
      <c r="T44">
        <f>IF(Q44="", "", IF(OR(Q44="Fail", Q44="Partial"), "Yes", "No"))</f>
        <v/>
      </c>
      <c r="U44" s="8" t="n"/>
      <c r="V44" s="8" t="n"/>
      <c r="W44" s="8" t="n"/>
      <c r="X44" s="8" t="inlineStr">
        <is>
          <t>No</t>
        </is>
      </c>
      <c r="Y44" s="8" t="n"/>
      <c r="Z44" s="8" t="n"/>
      <c r="AA44" s="8" t="n"/>
      <c r="AB44" s="8" t="inlineStr">
        <is>
          <t>[Security Analyst]</t>
        </is>
      </c>
      <c r="AC44" s="8" t="n"/>
      <c r="AD44" s="8" t="n"/>
      <c r="AE44" s="16">
        <f>IF(AA44&lt;&gt;"", AA44+90, "")</f>
        <v/>
      </c>
      <c r="AF44" s="8" t="n"/>
    </row>
    <row r="45">
      <c r="A45">
        <f>IF(B45&lt;&gt;"", "HC-"&amp;TEXT(ROW()-1,"00000"), 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>
        <f>IF(K45="", "", IF(K45="Implemented", "Pass", IF(K45="Partial", "Partial", IF(K45="Not Applicable", "N/A", "Fail"))))</f>
        <v/>
      </c>
      <c r="R45" s="8" t="n"/>
      <c r="S45" s="8" t="n"/>
      <c r="T45">
        <f>IF(Q45="", "", IF(OR(Q45="Fail", Q45="Partial"), "Yes", "No"))</f>
        <v/>
      </c>
      <c r="U45" s="8" t="n"/>
      <c r="V45" s="8" t="n"/>
      <c r="W45" s="8" t="n"/>
      <c r="X45" s="8" t="inlineStr">
        <is>
          <t>No</t>
        </is>
      </c>
      <c r="Y45" s="8" t="n"/>
      <c r="Z45" s="8" t="n"/>
      <c r="AA45" s="8" t="n"/>
      <c r="AB45" s="8" t="inlineStr">
        <is>
          <t>[Security Analyst]</t>
        </is>
      </c>
      <c r="AC45" s="8" t="n"/>
      <c r="AD45" s="8" t="n"/>
      <c r="AE45" s="16">
        <f>IF(AA45&lt;&gt;"", AA45+90, "")</f>
        <v/>
      </c>
      <c r="AF45" s="8" t="n"/>
    </row>
    <row r="46">
      <c r="A46">
        <f>IF(B46&lt;&gt;"", "HC-"&amp;TEXT(ROW()-1,"00000"), "")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>
        <f>IF(K46="", "", IF(K46="Implemented", "Pass", IF(K46="Partial", "Partial", IF(K46="Not Applicable", "N/A", "Fail"))))</f>
        <v/>
      </c>
      <c r="R46" s="8" t="n"/>
      <c r="S46" s="8" t="n"/>
      <c r="T46">
        <f>IF(Q46="", "", IF(OR(Q46="Fail", Q46="Partial"), "Yes", "No"))</f>
        <v/>
      </c>
      <c r="U46" s="8" t="n"/>
      <c r="V46" s="8" t="n"/>
      <c r="W46" s="8" t="n"/>
      <c r="X46" s="8" t="inlineStr">
        <is>
          <t>No</t>
        </is>
      </c>
      <c r="Y46" s="8" t="n"/>
      <c r="Z46" s="8" t="n"/>
      <c r="AA46" s="8" t="n"/>
      <c r="AB46" s="8" t="inlineStr">
        <is>
          <t>[Security Analyst]</t>
        </is>
      </c>
      <c r="AC46" s="8" t="n"/>
      <c r="AD46" s="8" t="n"/>
      <c r="AE46" s="16">
        <f>IF(AA46&lt;&gt;"", AA46+90, "")</f>
        <v/>
      </c>
      <c r="AF46" s="8" t="n"/>
    </row>
    <row r="47">
      <c r="A47">
        <f>IF(B47&lt;&gt;"", "HC-"&amp;TEXT(ROW()-1,"00000"), 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>
        <f>IF(K47="", "", IF(K47="Implemented", "Pass", IF(K47="Partial", "Partial", IF(K47="Not Applicable", "N/A", "Fail"))))</f>
        <v/>
      </c>
      <c r="R47" s="8" t="n"/>
      <c r="S47" s="8" t="n"/>
      <c r="T47">
        <f>IF(Q47="", "", IF(OR(Q47="Fail", Q47="Partial"), "Yes", "No"))</f>
        <v/>
      </c>
      <c r="U47" s="8" t="n"/>
      <c r="V47" s="8" t="n"/>
      <c r="W47" s="8" t="n"/>
      <c r="X47" s="8" t="inlineStr">
        <is>
          <t>No</t>
        </is>
      </c>
      <c r="Y47" s="8" t="n"/>
      <c r="Z47" s="8" t="n"/>
      <c r="AA47" s="8" t="n"/>
      <c r="AB47" s="8" t="inlineStr">
        <is>
          <t>[Security Analyst]</t>
        </is>
      </c>
      <c r="AC47" s="8" t="n"/>
      <c r="AD47" s="8" t="n"/>
      <c r="AE47" s="16">
        <f>IF(AA47&lt;&gt;"", AA47+90, "")</f>
        <v/>
      </c>
      <c r="AF47" s="8" t="n"/>
    </row>
    <row r="48">
      <c r="A48">
        <f>IF(B48&lt;&gt;"", "HC-"&amp;TEXT(ROW()-1,"00000"), "")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>
        <f>IF(K48="", "", IF(K48="Implemented", "Pass", IF(K48="Partial", "Partial", IF(K48="Not Applicable", "N/A", "Fail"))))</f>
        <v/>
      </c>
      <c r="R48" s="8" t="n"/>
      <c r="S48" s="8" t="n"/>
      <c r="T48">
        <f>IF(Q48="", "", IF(OR(Q48="Fail", Q48="Partial"), "Yes", "No"))</f>
        <v/>
      </c>
      <c r="U48" s="8" t="n"/>
      <c r="V48" s="8" t="n"/>
      <c r="W48" s="8" t="n"/>
      <c r="X48" s="8" t="inlineStr">
        <is>
          <t>No</t>
        </is>
      </c>
      <c r="Y48" s="8" t="n"/>
      <c r="Z48" s="8" t="n"/>
      <c r="AA48" s="8" t="n"/>
      <c r="AB48" s="8" t="inlineStr">
        <is>
          <t>[Security Analyst]</t>
        </is>
      </c>
      <c r="AC48" s="8" t="n"/>
      <c r="AD48" s="8" t="n"/>
      <c r="AE48" s="16">
        <f>IF(AA48&lt;&gt;"", AA48+90, "")</f>
        <v/>
      </c>
      <c r="AF48" s="8" t="n"/>
    </row>
    <row r="49">
      <c r="A49">
        <f>IF(B49&lt;&gt;"", "HC-"&amp;TEXT(ROW()-1,"00000"), 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>
        <f>IF(K49="", "", IF(K49="Implemented", "Pass", IF(K49="Partial", "Partial", IF(K49="Not Applicable", "N/A", "Fail"))))</f>
        <v/>
      </c>
      <c r="R49" s="8" t="n"/>
      <c r="S49" s="8" t="n"/>
      <c r="T49">
        <f>IF(Q49="", "", IF(OR(Q49="Fail", Q49="Partial"), "Yes", "No"))</f>
        <v/>
      </c>
      <c r="U49" s="8" t="n"/>
      <c r="V49" s="8" t="n"/>
      <c r="W49" s="8" t="n"/>
      <c r="X49" s="8" t="inlineStr">
        <is>
          <t>No</t>
        </is>
      </c>
      <c r="Y49" s="8" t="n"/>
      <c r="Z49" s="8" t="n"/>
      <c r="AA49" s="8" t="n"/>
      <c r="AB49" s="8" t="inlineStr">
        <is>
          <t>[Security Analyst]</t>
        </is>
      </c>
      <c r="AC49" s="8" t="n"/>
      <c r="AD49" s="8" t="n"/>
      <c r="AE49" s="16">
        <f>IF(AA49&lt;&gt;"", AA49+90, "")</f>
        <v/>
      </c>
      <c r="AF49" s="8" t="n"/>
    </row>
    <row r="50">
      <c r="A50">
        <f>IF(B50&lt;&gt;"", "HC-"&amp;TEXT(ROW()-1,"00000"), "")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>
        <f>IF(K50="", "", IF(K50="Implemented", "Pass", IF(K50="Partial", "Partial", IF(K50="Not Applicable", "N/A", "Fail"))))</f>
        <v/>
      </c>
      <c r="R50" s="8" t="n"/>
      <c r="S50" s="8" t="n"/>
      <c r="T50">
        <f>IF(Q50="", "", IF(OR(Q50="Fail", Q50="Partial"), "Yes", "No"))</f>
        <v/>
      </c>
      <c r="U50" s="8" t="n"/>
      <c r="V50" s="8" t="n"/>
      <c r="W50" s="8" t="n"/>
      <c r="X50" s="8" t="inlineStr">
        <is>
          <t>No</t>
        </is>
      </c>
      <c r="Y50" s="8" t="n"/>
      <c r="Z50" s="8" t="n"/>
      <c r="AA50" s="8" t="n"/>
      <c r="AB50" s="8" t="inlineStr">
        <is>
          <t>[Security Analyst]</t>
        </is>
      </c>
      <c r="AC50" s="8" t="n"/>
      <c r="AD50" s="8" t="n"/>
      <c r="AE50" s="16">
        <f>IF(AA50&lt;&gt;"", AA50+90, "")</f>
        <v/>
      </c>
      <c r="AF50" s="8" t="n"/>
    </row>
    <row r="51">
      <c r="A51">
        <f>IF(B51&lt;&gt;"", "HC-"&amp;TEXT(ROW()-1,"00000"), 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>
        <f>IF(K51="", "", IF(K51="Implemented", "Pass", IF(K51="Partial", "Partial", IF(K51="Not Applicable", "N/A", "Fail"))))</f>
        <v/>
      </c>
      <c r="R51" s="8" t="n"/>
      <c r="S51" s="8" t="n"/>
      <c r="T51">
        <f>IF(Q51="", "", IF(OR(Q51="Fail", Q51="Partial"), "Yes", "No"))</f>
        <v/>
      </c>
      <c r="U51" s="8" t="n"/>
      <c r="V51" s="8" t="n"/>
      <c r="W51" s="8" t="n"/>
      <c r="X51" s="8" t="inlineStr">
        <is>
          <t>No</t>
        </is>
      </c>
      <c r="Y51" s="8" t="n"/>
      <c r="Z51" s="8" t="n"/>
      <c r="AA51" s="8" t="n"/>
      <c r="AB51" s="8" t="inlineStr">
        <is>
          <t>[Security Analyst]</t>
        </is>
      </c>
      <c r="AC51" s="8" t="n"/>
      <c r="AD51" s="8" t="n"/>
      <c r="AE51" s="16">
        <f>IF(AA51&lt;&gt;"", AA51+90, "")</f>
        <v/>
      </c>
      <c r="AF51" s="8" t="n"/>
    </row>
    <row r="52">
      <c r="A52">
        <f>IF(B52&lt;&gt;"", "HC-"&amp;TEXT(ROW()-1,"00000"), "")</f>
        <v/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>
        <f>IF(K52="", "", IF(K52="Implemented", "Pass", IF(K52="Partial", "Partial", IF(K52="Not Applicable", "N/A", "Fail"))))</f>
        <v/>
      </c>
      <c r="R52" s="8" t="n"/>
      <c r="S52" s="8" t="n"/>
      <c r="T52">
        <f>IF(Q52="", "", IF(OR(Q52="Fail", Q52="Partial"), "Yes", "No"))</f>
        <v/>
      </c>
      <c r="U52" s="8" t="n"/>
      <c r="V52" s="8" t="n"/>
      <c r="W52" s="8" t="n"/>
      <c r="X52" s="8" t="inlineStr">
        <is>
          <t>No</t>
        </is>
      </c>
      <c r="Y52" s="8" t="n"/>
      <c r="Z52" s="8" t="n"/>
      <c r="AA52" s="8" t="n"/>
      <c r="AB52" s="8" t="inlineStr">
        <is>
          <t>[Security Analyst]</t>
        </is>
      </c>
      <c r="AC52" s="8" t="n"/>
      <c r="AD52" s="8" t="n"/>
      <c r="AE52" s="16">
        <f>IF(AA52&lt;&gt;"", AA52+90, "")</f>
        <v/>
      </c>
      <c r="AF52" s="8" t="n"/>
    </row>
    <row r="53">
      <c r="A53">
        <f>IF(B53&lt;&gt;"", "HC-"&amp;TEXT(ROW()-1,"00000"), 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>
        <f>IF(K53="", "", IF(K53="Implemented", "Pass", IF(K53="Partial", "Partial", IF(K53="Not Applicable", "N/A", "Fail"))))</f>
        <v/>
      </c>
      <c r="R53" s="8" t="n"/>
      <c r="S53" s="8" t="n"/>
      <c r="T53">
        <f>IF(Q53="", "", IF(OR(Q53="Fail", Q53="Partial"), "Yes", "No"))</f>
        <v/>
      </c>
      <c r="U53" s="8" t="n"/>
      <c r="V53" s="8" t="n"/>
      <c r="W53" s="8" t="n"/>
      <c r="X53" s="8" t="inlineStr">
        <is>
          <t>No</t>
        </is>
      </c>
      <c r="Y53" s="8" t="n"/>
      <c r="Z53" s="8" t="n"/>
      <c r="AA53" s="8" t="n"/>
      <c r="AB53" s="8" t="inlineStr">
        <is>
          <t>[Security Analyst]</t>
        </is>
      </c>
      <c r="AC53" s="8" t="n"/>
      <c r="AD53" s="8" t="n"/>
      <c r="AE53" s="16">
        <f>IF(AA53&lt;&gt;"", AA53+90, "")</f>
        <v/>
      </c>
      <c r="AF53" s="8" t="n"/>
    </row>
    <row r="54">
      <c r="A54">
        <f>IF(B54&lt;&gt;"", "HC-"&amp;TEXT(ROW()-1,"00000"), "")</f>
        <v/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>
        <f>IF(K54="", "", IF(K54="Implemented", "Pass", IF(K54="Partial", "Partial", IF(K54="Not Applicable", "N/A", "Fail"))))</f>
        <v/>
      </c>
      <c r="R54" s="8" t="n"/>
      <c r="S54" s="8" t="n"/>
      <c r="T54">
        <f>IF(Q54="", "", IF(OR(Q54="Fail", Q54="Partial"), "Yes", "No"))</f>
        <v/>
      </c>
      <c r="U54" s="8" t="n"/>
      <c r="V54" s="8" t="n"/>
      <c r="W54" s="8" t="n"/>
      <c r="X54" s="8" t="inlineStr">
        <is>
          <t>No</t>
        </is>
      </c>
      <c r="Y54" s="8" t="n"/>
      <c r="Z54" s="8" t="n"/>
      <c r="AA54" s="8" t="n"/>
      <c r="AB54" s="8" t="inlineStr">
        <is>
          <t>[Security Analyst]</t>
        </is>
      </c>
      <c r="AC54" s="8" t="n"/>
      <c r="AD54" s="8" t="n"/>
      <c r="AE54" s="16">
        <f>IF(AA54&lt;&gt;"", AA54+90, "")</f>
        <v/>
      </c>
      <c r="AF54" s="8" t="n"/>
    </row>
    <row r="55">
      <c r="A55">
        <f>IF(B55&lt;&gt;"", "HC-"&amp;TEXT(ROW()-1,"00000"), "")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>
        <f>IF(K55="", "", IF(K55="Implemented", "Pass", IF(K55="Partial", "Partial", IF(K55="Not Applicable", "N/A", "Fail"))))</f>
        <v/>
      </c>
      <c r="R55" s="8" t="n"/>
      <c r="S55" s="8" t="n"/>
      <c r="T55">
        <f>IF(Q55="", "", IF(OR(Q55="Fail", Q55="Partial"), "Yes", "No"))</f>
        <v/>
      </c>
      <c r="U55" s="8" t="n"/>
      <c r="V55" s="8" t="n"/>
      <c r="W55" s="8" t="n"/>
      <c r="X55" s="8" t="inlineStr">
        <is>
          <t>No</t>
        </is>
      </c>
      <c r="Y55" s="8" t="n"/>
      <c r="Z55" s="8" t="n"/>
      <c r="AA55" s="8" t="n"/>
      <c r="AB55" s="8" t="inlineStr">
        <is>
          <t>[Security Analyst]</t>
        </is>
      </c>
      <c r="AC55" s="8" t="n"/>
      <c r="AD55" s="8" t="n"/>
      <c r="AE55" s="16">
        <f>IF(AA55&lt;&gt;"", AA55+90, "")</f>
        <v/>
      </c>
      <c r="AF55" s="8" t="n"/>
    </row>
    <row r="56">
      <c r="A56">
        <f>IF(B56&lt;&gt;"", "HC-"&amp;TEXT(ROW()-1,"00000"), "")</f>
        <v/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>
        <f>IF(K56="", "", IF(K56="Implemented", "Pass", IF(K56="Partial", "Partial", IF(K56="Not Applicable", "N/A", "Fail"))))</f>
        <v/>
      </c>
      <c r="R56" s="8" t="n"/>
      <c r="S56" s="8" t="n"/>
      <c r="T56">
        <f>IF(Q56="", "", IF(OR(Q56="Fail", Q56="Partial"), "Yes", "No"))</f>
        <v/>
      </c>
      <c r="U56" s="8" t="n"/>
      <c r="V56" s="8" t="n"/>
      <c r="W56" s="8" t="n"/>
      <c r="X56" s="8" t="inlineStr">
        <is>
          <t>No</t>
        </is>
      </c>
      <c r="Y56" s="8" t="n"/>
      <c r="Z56" s="8" t="n"/>
      <c r="AA56" s="8" t="n"/>
      <c r="AB56" s="8" t="inlineStr">
        <is>
          <t>[Security Analyst]</t>
        </is>
      </c>
      <c r="AC56" s="8" t="n"/>
      <c r="AD56" s="8" t="n"/>
      <c r="AE56" s="16">
        <f>IF(AA56&lt;&gt;"", AA56+90, "")</f>
        <v/>
      </c>
      <c r="AF56" s="8" t="n"/>
    </row>
    <row r="57">
      <c r="A57">
        <f>IF(B57&lt;&gt;"", "HC-"&amp;TEXT(ROW()-1,"00000"), "")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>
        <f>IF(K57="", "", IF(K57="Implemented", "Pass", IF(K57="Partial", "Partial", IF(K57="Not Applicable", "N/A", "Fail"))))</f>
        <v/>
      </c>
      <c r="R57" s="8" t="n"/>
      <c r="S57" s="8" t="n"/>
      <c r="T57">
        <f>IF(Q57="", "", IF(OR(Q57="Fail", Q57="Partial"), "Yes", "No"))</f>
        <v/>
      </c>
      <c r="U57" s="8" t="n"/>
      <c r="V57" s="8" t="n"/>
      <c r="W57" s="8" t="n"/>
      <c r="X57" s="8" t="inlineStr">
        <is>
          <t>No</t>
        </is>
      </c>
      <c r="Y57" s="8" t="n"/>
      <c r="Z57" s="8" t="n"/>
      <c r="AA57" s="8" t="n"/>
      <c r="AB57" s="8" t="inlineStr">
        <is>
          <t>[Security Analyst]</t>
        </is>
      </c>
      <c r="AC57" s="8" t="n"/>
      <c r="AD57" s="8" t="n"/>
      <c r="AE57" s="16">
        <f>IF(AA57&lt;&gt;"", AA57+90, "")</f>
        <v/>
      </c>
      <c r="AF57" s="8" t="n"/>
    </row>
    <row r="58">
      <c r="A58">
        <f>IF(B58&lt;&gt;"", "HC-"&amp;TEXT(ROW()-1,"00000"), "")</f>
        <v/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>
        <f>IF(K58="", "", IF(K58="Implemented", "Pass", IF(K58="Partial", "Partial", IF(K58="Not Applicable", "N/A", "Fail"))))</f>
        <v/>
      </c>
      <c r="R58" s="8" t="n"/>
      <c r="S58" s="8" t="n"/>
      <c r="T58">
        <f>IF(Q58="", "", IF(OR(Q58="Fail", Q58="Partial"), "Yes", "No"))</f>
        <v/>
      </c>
      <c r="U58" s="8" t="n"/>
      <c r="V58" s="8" t="n"/>
      <c r="W58" s="8" t="n"/>
      <c r="X58" s="8" t="inlineStr">
        <is>
          <t>No</t>
        </is>
      </c>
      <c r="Y58" s="8" t="n"/>
      <c r="Z58" s="8" t="n"/>
      <c r="AA58" s="8" t="n"/>
      <c r="AB58" s="8" t="inlineStr">
        <is>
          <t>[Security Analyst]</t>
        </is>
      </c>
      <c r="AC58" s="8" t="n"/>
      <c r="AD58" s="8" t="n"/>
      <c r="AE58" s="16">
        <f>IF(AA58&lt;&gt;"", AA58+90, "")</f>
        <v/>
      </c>
      <c r="AF58" s="8" t="n"/>
    </row>
    <row r="59">
      <c r="A59">
        <f>IF(B59&lt;&gt;"", "HC-"&amp;TEXT(ROW()-1,"00000"), "")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>
        <f>IF(K59="", "", IF(K59="Implemented", "Pass", IF(K59="Partial", "Partial", IF(K59="Not Applicable", "N/A", "Fail"))))</f>
        <v/>
      </c>
      <c r="R59" s="8" t="n"/>
      <c r="S59" s="8" t="n"/>
      <c r="T59">
        <f>IF(Q59="", "", IF(OR(Q59="Fail", Q59="Partial"), "Yes", "No"))</f>
        <v/>
      </c>
      <c r="U59" s="8" t="n"/>
      <c r="V59" s="8" t="n"/>
      <c r="W59" s="8" t="n"/>
      <c r="X59" s="8" t="inlineStr">
        <is>
          <t>No</t>
        </is>
      </c>
      <c r="Y59" s="8" t="n"/>
      <c r="Z59" s="8" t="n"/>
      <c r="AA59" s="8" t="n"/>
      <c r="AB59" s="8" t="inlineStr">
        <is>
          <t>[Security Analyst]</t>
        </is>
      </c>
      <c r="AC59" s="8" t="n"/>
      <c r="AD59" s="8" t="n"/>
      <c r="AE59" s="16">
        <f>IF(AA59&lt;&gt;"", AA59+90, "")</f>
        <v/>
      </c>
      <c r="AF59" s="8" t="n"/>
    </row>
    <row r="60">
      <c r="A60">
        <f>IF(B60&lt;&gt;"", "HC-"&amp;TEXT(ROW()-1,"00000"), "")</f>
        <v/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>
        <f>IF(K60="", "", IF(K60="Implemented", "Pass", IF(K60="Partial", "Partial", IF(K60="Not Applicable", "N/A", "Fail"))))</f>
        <v/>
      </c>
      <c r="R60" s="8" t="n"/>
      <c r="S60" s="8" t="n"/>
      <c r="T60">
        <f>IF(Q60="", "", IF(OR(Q60="Fail", Q60="Partial"), "Yes", "No"))</f>
        <v/>
      </c>
      <c r="U60" s="8" t="n"/>
      <c r="V60" s="8" t="n"/>
      <c r="W60" s="8" t="n"/>
      <c r="X60" s="8" t="inlineStr">
        <is>
          <t>No</t>
        </is>
      </c>
      <c r="Y60" s="8" t="n"/>
      <c r="Z60" s="8" t="n"/>
      <c r="AA60" s="8" t="n"/>
      <c r="AB60" s="8" t="inlineStr">
        <is>
          <t>[Security Analyst]</t>
        </is>
      </c>
      <c r="AC60" s="8" t="n"/>
      <c r="AD60" s="8" t="n"/>
      <c r="AE60" s="16">
        <f>IF(AA60&lt;&gt;"", AA60+90, "")</f>
        <v/>
      </c>
      <c r="AF60" s="8" t="n"/>
    </row>
    <row r="61">
      <c r="A61">
        <f>IF(B61&lt;&gt;"", "HC-"&amp;TEXT(ROW()-1,"00000"), "")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>
        <f>IF(K61="", "", IF(K61="Implemented", "Pass", IF(K61="Partial", "Partial", IF(K61="Not Applicable", "N/A", "Fail"))))</f>
        <v/>
      </c>
      <c r="R61" s="8" t="n"/>
      <c r="S61" s="8" t="n"/>
      <c r="T61">
        <f>IF(Q61="", "", IF(OR(Q61="Fail", Q61="Partial"), "Yes", "No"))</f>
        <v/>
      </c>
      <c r="U61" s="8" t="n"/>
      <c r="V61" s="8" t="n"/>
      <c r="W61" s="8" t="n"/>
      <c r="X61" s="8" t="inlineStr">
        <is>
          <t>No</t>
        </is>
      </c>
      <c r="Y61" s="8" t="n"/>
      <c r="Z61" s="8" t="n"/>
      <c r="AA61" s="8" t="n"/>
      <c r="AB61" s="8" t="inlineStr">
        <is>
          <t>[Security Analyst]</t>
        </is>
      </c>
      <c r="AC61" s="8" t="n"/>
      <c r="AD61" s="8" t="n"/>
      <c r="AE61" s="16">
        <f>IF(AA61&lt;&gt;"", AA61+90, "")</f>
        <v/>
      </c>
      <c r="AF61" s="8" t="n"/>
    </row>
    <row r="62">
      <c r="A62">
        <f>IF(B62&lt;&gt;"", "HC-"&amp;TEXT(ROW()-1,"00000"), "")</f>
        <v/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>
        <f>IF(K62="", "", IF(K62="Implemented", "Pass", IF(K62="Partial", "Partial", IF(K62="Not Applicable", "N/A", "Fail"))))</f>
        <v/>
      </c>
      <c r="R62" s="8" t="n"/>
      <c r="S62" s="8" t="n"/>
      <c r="T62">
        <f>IF(Q62="", "", IF(OR(Q62="Fail", Q62="Partial"), "Yes", "No"))</f>
        <v/>
      </c>
      <c r="U62" s="8" t="n"/>
      <c r="V62" s="8" t="n"/>
      <c r="W62" s="8" t="n"/>
      <c r="X62" s="8" t="inlineStr">
        <is>
          <t>No</t>
        </is>
      </c>
      <c r="Y62" s="8" t="n"/>
      <c r="Z62" s="8" t="n"/>
      <c r="AA62" s="8" t="n"/>
      <c r="AB62" s="8" t="inlineStr">
        <is>
          <t>[Security Analyst]</t>
        </is>
      </c>
      <c r="AC62" s="8" t="n"/>
      <c r="AD62" s="8" t="n"/>
      <c r="AE62" s="16">
        <f>IF(AA62&lt;&gt;"", AA62+90, "")</f>
        <v/>
      </c>
      <c r="AF62" s="8" t="n"/>
    </row>
    <row r="63">
      <c r="A63">
        <f>IF(B63&lt;&gt;"", "HC-"&amp;TEXT(ROW()-1,"00000"), "")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>
        <f>IF(K63="", "", IF(K63="Implemented", "Pass", IF(K63="Partial", "Partial", IF(K63="Not Applicable", "N/A", "Fail"))))</f>
        <v/>
      </c>
      <c r="R63" s="8" t="n"/>
      <c r="S63" s="8" t="n"/>
      <c r="T63">
        <f>IF(Q63="", "", IF(OR(Q63="Fail", Q63="Partial"), "Yes", "No"))</f>
        <v/>
      </c>
      <c r="U63" s="8" t="n"/>
      <c r="V63" s="8" t="n"/>
      <c r="W63" s="8" t="n"/>
      <c r="X63" s="8" t="inlineStr">
        <is>
          <t>No</t>
        </is>
      </c>
      <c r="Y63" s="8" t="n"/>
      <c r="Z63" s="8" t="n"/>
      <c r="AA63" s="8" t="n"/>
      <c r="AB63" s="8" t="inlineStr">
        <is>
          <t>[Security Analyst]</t>
        </is>
      </c>
      <c r="AC63" s="8" t="n"/>
      <c r="AD63" s="8" t="n"/>
      <c r="AE63" s="16">
        <f>IF(AA63&lt;&gt;"", AA63+90, "")</f>
        <v/>
      </c>
      <c r="AF63" s="8" t="n"/>
    </row>
    <row r="64">
      <c r="A64">
        <f>IF(B64&lt;&gt;"", "HC-"&amp;TEXT(ROW()-1,"00000"), "")</f>
        <v/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>
        <f>IF(K64="", "", IF(K64="Implemented", "Pass", IF(K64="Partial", "Partial", IF(K64="Not Applicable", "N/A", "Fail"))))</f>
        <v/>
      </c>
      <c r="R64" s="8" t="n"/>
      <c r="S64" s="8" t="n"/>
      <c r="T64">
        <f>IF(Q64="", "", IF(OR(Q64="Fail", Q64="Partial"), "Yes", "No"))</f>
        <v/>
      </c>
      <c r="U64" s="8" t="n"/>
      <c r="V64" s="8" t="n"/>
      <c r="W64" s="8" t="n"/>
      <c r="X64" s="8" t="inlineStr">
        <is>
          <t>No</t>
        </is>
      </c>
      <c r="Y64" s="8" t="n"/>
      <c r="Z64" s="8" t="n"/>
      <c r="AA64" s="8" t="n"/>
      <c r="AB64" s="8" t="inlineStr">
        <is>
          <t>[Security Analyst]</t>
        </is>
      </c>
      <c r="AC64" s="8" t="n"/>
      <c r="AD64" s="8" t="n"/>
      <c r="AE64" s="16">
        <f>IF(AA64&lt;&gt;"", AA64+90, "")</f>
        <v/>
      </c>
      <c r="AF64" s="8" t="n"/>
    </row>
    <row r="65">
      <c r="A65">
        <f>IF(B65&lt;&gt;"", "HC-"&amp;TEXT(ROW()-1,"00000"), "")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>
        <f>IF(K65="", "", IF(K65="Implemented", "Pass", IF(K65="Partial", "Partial", IF(K65="Not Applicable", "N/A", "Fail"))))</f>
        <v/>
      </c>
      <c r="R65" s="8" t="n"/>
      <c r="S65" s="8" t="n"/>
      <c r="T65">
        <f>IF(Q65="", "", IF(OR(Q65="Fail", Q65="Partial"), "Yes", "No"))</f>
        <v/>
      </c>
      <c r="U65" s="8" t="n"/>
      <c r="V65" s="8" t="n"/>
      <c r="W65" s="8" t="n"/>
      <c r="X65" s="8" t="inlineStr">
        <is>
          <t>No</t>
        </is>
      </c>
      <c r="Y65" s="8" t="n"/>
      <c r="Z65" s="8" t="n"/>
      <c r="AA65" s="8" t="n"/>
      <c r="AB65" s="8" t="inlineStr">
        <is>
          <t>[Security Analyst]</t>
        </is>
      </c>
      <c r="AC65" s="8" t="n"/>
      <c r="AD65" s="8" t="n"/>
      <c r="AE65" s="16">
        <f>IF(AA65&lt;&gt;"", AA65+90, "")</f>
        <v/>
      </c>
      <c r="AF65" s="8" t="n"/>
    </row>
    <row r="66">
      <c r="A66">
        <f>IF(B66&lt;&gt;"", "HC-"&amp;TEXT(ROW()-1,"00000"), "")</f>
        <v/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>
        <f>IF(K66="", "", IF(K66="Implemented", "Pass", IF(K66="Partial", "Partial", IF(K66="Not Applicable", "N/A", "Fail"))))</f>
        <v/>
      </c>
      <c r="R66" s="8" t="n"/>
      <c r="S66" s="8" t="n"/>
      <c r="T66">
        <f>IF(Q66="", "", IF(OR(Q66="Fail", Q66="Partial"), "Yes", "No"))</f>
        <v/>
      </c>
      <c r="U66" s="8" t="n"/>
      <c r="V66" s="8" t="n"/>
      <c r="W66" s="8" t="n"/>
      <c r="X66" s="8" t="inlineStr">
        <is>
          <t>No</t>
        </is>
      </c>
      <c r="Y66" s="8" t="n"/>
      <c r="Z66" s="8" t="n"/>
      <c r="AA66" s="8" t="n"/>
      <c r="AB66" s="8" t="inlineStr">
        <is>
          <t>[Security Analyst]</t>
        </is>
      </c>
      <c r="AC66" s="8" t="n"/>
      <c r="AD66" s="8" t="n"/>
      <c r="AE66" s="16">
        <f>IF(AA66&lt;&gt;"", AA66+90, "")</f>
        <v/>
      </c>
      <c r="AF66" s="8" t="n"/>
    </row>
    <row r="67">
      <c r="A67">
        <f>IF(B67&lt;&gt;"", "HC-"&amp;TEXT(ROW()-1,"00000"), "")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>
        <f>IF(K67="", "", IF(K67="Implemented", "Pass", IF(K67="Partial", "Partial", IF(K67="Not Applicable", "N/A", "Fail"))))</f>
        <v/>
      </c>
      <c r="R67" s="8" t="n"/>
      <c r="S67" s="8" t="n"/>
      <c r="T67">
        <f>IF(Q67="", "", IF(OR(Q67="Fail", Q67="Partial"), "Yes", "No"))</f>
        <v/>
      </c>
      <c r="U67" s="8" t="n"/>
      <c r="V67" s="8" t="n"/>
      <c r="W67" s="8" t="n"/>
      <c r="X67" s="8" t="inlineStr">
        <is>
          <t>No</t>
        </is>
      </c>
      <c r="Y67" s="8" t="n"/>
      <c r="Z67" s="8" t="n"/>
      <c r="AA67" s="8" t="n"/>
      <c r="AB67" s="8" t="inlineStr">
        <is>
          <t>[Security Analyst]</t>
        </is>
      </c>
      <c r="AC67" s="8" t="n"/>
      <c r="AD67" s="8" t="n"/>
      <c r="AE67" s="16">
        <f>IF(AA67&lt;&gt;"", AA67+90, "")</f>
        <v/>
      </c>
      <c r="AF67" s="8" t="n"/>
    </row>
    <row r="68">
      <c r="A68">
        <f>IF(B68&lt;&gt;"", "HC-"&amp;TEXT(ROW()-1,"00000"), "")</f>
        <v/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>
        <f>IF(K68="", "", IF(K68="Implemented", "Pass", IF(K68="Partial", "Partial", IF(K68="Not Applicable", "N/A", "Fail"))))</f>
        <v/>
      </c>
      <c r="R68" s="8" t="n"/>
      <c r="S68" s="8" t="n"/>
      <c r="T68">
        <f>IF(Q68="", "", IF(OR(Q68="Fail", Q68="Partial"), "Yes", "No"))</f>
        <v/>
      </c>
      <c r="U68" s="8" t="n"/>
      <c r="V68" s="8" t="n"/>
      <c r="W68" s="8" t="n"/>
      <c r="X68" s="8" t="inlineStr">
        <is>
          <t>No</t>
        </is>
      </c>
      <c r="Y68" s="8" t="n"/>
      <c r="Z68" s="8" t="n"/>
      <c r="AA68" s="8" t="n"/>
      <c r="AB68" s="8" t="inlineStr">
        <is>
          <t>[Security Analyst]</t>
        </is>
      </c>
      <c r="AC68" s="8" t="n"/>
      <c r="AD68" s="8" t="n"/>
      <c r="AE68" s="16">
        <f>IF(AA68&lt;&gt;"", AA68+90, "")</f>
        <v/>
      </c>
      <c r="AF68" s="8" t="n"/>
    </row>
    <row r="69">
      <c r="A69">
        <f>IF(B69&lt;&gt;"", "HC-"&amp;TEXT(ROW()-1,"00000"), "")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>
        <f>IF(K69="", "", IF(K69="Implemented", "Pass", IF(K69="Partial", "Partial", IF(K69="Not Applicable", "N/A", "Fail"))))</f>
        <v/>
      </c>
      <c r="R69" s="8" t="n"/>
      <c r="S69" s="8" t="n"/>
      <c r="T69">
        <f>IF(Q69="", "", IF(OR(Q69="Fail", Q69="Partial"), "Yes", "No"))</f>
        <v/>
      </c>
      <c r="U69" s="8" t="n"/>
      <c r="V69" s="8" t="n"/>
      <c r="W69" s="8" t="n"/>
      <c r="X69" s="8" t="inlineStr">
        <is>
          <t>No</t>
        </is>
      </c>
      <c r="Y69" s="8" t="n"/>
      <c r="Z69" s="8" t="n"/>
      <c r="AA69" s="8" t="n"/>
      <c r="AB69" s="8" t="inlineStr">
        <is>
          <t>[Security Analyst]</t>
        </is>
      </c>
      <c r="AC69" s="8" t="n"/>
      <c r="AD69" s="8" t="n"/>
      <c r="AE69" s="16">
        <f>IF(AA69&lt;&gt;"", AA69+90, "")</f>
        <v/>
      </c>
      <c r="AF69" s="8" t="n"/>
    </row>
    <row r="70">
      <c r="A70">
        <f>IF(B70&lt;&gt;"", "HC-"&amp;TEXT(ROW()-1,"00000"), "")</f>
        <v/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>
        <f>IF(K70="", "", IF(K70="Implemented", "Pass", IF(K70="Partial", "Partial", IF(K70="Not Applicable", "N/A", "Fail"))))</f>
        <v/>
      </c>
      <c r="R70" s="8" t="n"/>
      <c r="S70" s="8" t="n"/>
      <c r="T70">
        <f>IF(Q70="", "", IF(OR(Q70="Fail", Q70="Partial"), "Yes", "No"))</f>
        <v/>
      </c>
      <c r="U70" s="8" t="n"/>
      <c r="V70" s="8" t="n"/>
      <c r="W70" s="8" t="n"/>
      <c r="X70" s="8" t="inlineStr">
        <is>
          <t>No</t>
        </is>
      </c>
      <c r="Y70" s="8" t="n"/>
      <c r="Z70" s="8" t="n"/>
      <c r="AA70" s="8" t="n"/>
      <c r="AB70" s="8" t="inlineStr">
        <is>
          <t>[Security Analyst]</t>
        </is>
      </c>
      <c r="AC70" s="8" t="n"/>
      <c r="AD70" s="8" t="n"/>
      <c r="AE70" s="16">
        <f>IF(AA70&lt;&gt;"", AA70+90, "")</f>
        <v/>
      </c>
      <c r="AF70" s="8" t="n"/>
    </row>
    <row r="71">
      <c r="A71">
        <f>IF(B71&lt;&gt;"", "HC-"&amp;TEXT(ROW()-1,"00000"), "")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>
        <f>IF(K71="", "", IF(K71="Implemented", "Pass", IF(K71="Partial", "Partial", IF(K71="Not Applicable", "N/A", "Fail"))))</f>
        <v/>
      </c>
      <c r="R71" s="8" t="n"/>
      <c r="S71" s="8" t="n"/>
      <c r="T71">
        <f>IF(Q71="", "", IF(OR(Q71="Fail", Q71="Partial"), "Yes", "No"))</f>
        <v/>
      </c>
      <c r="U71" s="8" t="n"/>
      <c r="V71" s="8" t="n"/>
      <c r="W71" s="8" t="n"/>
      <c r="X71" s="8" t="inlineStr">
        <is>
          <t>No</t>
        </is>
      </c>
      <c r="Y71" s="8" t="n"/>
      <c r="Z71" s="8" t="n"/>
      <c r="AA71" s="8" t="n"/>
      <c r="AB71" s="8" t="inlineStr">
        <is>
          <t>[Security Analyst]</t>
        </is>
      </c>
      <c r="AC71" s="8" t="n"/>
      <c r="AD71" s="8" t="n"/>
      <c r="AE71" s="16">
        <f>IF(AA71&lt;&gt;"", AA71+90, "")</f>
        <v/>
      </c>
      <c r="AF71" s="8" t="n"/>
    </row>
    <row r="72">
      <c r="A72">
        <f>IF(B72&lt;&gt;"", "HC-"&amp;TEXT(ROW()-1,"00000"), "")</f>
        <v/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>
        <f>IF(K72="", "", IF(K72="Implemented", "Pass", IF(K72="Partial", "Partial", IF(K72="Not Applicable", "N/A", "Fail"))))</f>
        <v/>
      </c>
      <c r="R72" s="8" t="n"/>
      <c r="S72" s="8" t="n"/>
      <c r="T72">
        <f>IF(Q72="", "", IF(OR(Q72="Fail", Q72="Partial"), "Yes", "No"))</f>
        <v/>
      </c>
      <c r="U72" s="8" t="n"/>
      <c r="V72" s="8" t="n"/>
      <c r="W72" s="8" t="n"/>
      <c r="X72" s="8" t="inlineStr">
        <is>
          <t>No</t>
        </is>
      </c>
      <c r="Y72" s="8" t="n"/>
      <c r="Z72" s="8" t="n"/>
      <c r="AA72" s="8" t="n"/>
      <c r="AB72" s="8" t="inlineStr">
        <is>
          <t>[Security Analyst]</t>
        </is>
      </c>
      <c r="AC72" s="8" t="n"/>
      <c r="AD72" s="8" t="n"/>
      <c r="AE72" s="16">
        <f>IF(AA72&lt;&gt;"", AA72+90, "")</f>
        <v/>
      </c>
      <c r="AF72" s="8" t="n"/>
    </row>
    <row r="73">
      <c r="A73">
        <f>IF(B73&lt;&gt;"", "HC-"&amp;TEXT(ROW()-1,"00000"), "")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>
        <f>IF(K73="", "", IF(K73="Implemented", "Pass", IF(K73="Partial", "Partial", IF(K73="Not Applicable", "N/A", "Fail"))))</f>
        <v/>
      </c>
      <c r="R73" s="8" t="n"/>
      <c r="S73" s="8" t="n"/>
      <c r="T73">
        <f>IF(Q73="", "", IF(OR(Q73="Fail", Q73="Partial"), "Yes", "No"))</f>
        <v/>
      </c>
      <c r="U73" s="8" t="n"/>
      <c r="V73" s="8" t="n"/>
      <c r="W73" s="8" t="n"/>
      <c r="X73" s="8" t="inlineStr">
        <is>
          <t>No</t>
        </is>
      </c>
      <c r="Y73" s="8" t="n"/>
      <c r="Z73" s="8" t="n"/>
      <c r="AA73" s="8" t="n"/>
      <c r="AB73" s="8" t="inlineStr">
        <is>
          <t>[Security Analyst]</t>
        </is>
      </c>
      <c r="AC73" s="8" t="n"/>
      <c r="AD73" s="8" t="n"/>
      <c r="AE73" s="16">
        <f>IF(AA73&lt;&gt;"", AA73+90, "")</f>
        <v/>
      </c>
      <c r="AF73" s="8" t="n"/>
    </row>
    <row r="74">
      <c r="A74">
        <f>IF(B74&lt;&gt;"", "HC-"&amp;TEXT(ROW()-1,"00000"), "")</f>
        <v/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>
        <f>IF(K74="", "", IF(K74="Implemented", "Pass", IF(K74="Partial", "Partial", IF(K74="Not Applicable", "N/A", "Fail"))))</f>
        <v/>
      </c>
      <c r="R74" s="8" t="n"/>
      <c r="S74" s="8" t="n"/>
      <c r="T74">
        <f>IF(Q74="", "", IF(OR(Q74="Fail", Q74="Partial"), "Yes", "No"))</f>
        <v/>
      </c>
      <c r="U74" s="8" t="n"/>
      <c r="V74" s="8" t="n"/>
      <c r="W74" s="8" t="n"/>
      <c r="X74" s="8" t="inlineStr">
        <is>
          <t>No</t>
        </is>
      </c>
      <c r="Y74" s="8" t="n"/>
      <c r="Z74" s="8" t="n"/>
      <c r="AA74" s="8" t="n"/>
      <c r="AB74" s="8" t="inlineStr">
        <is>
          <t>[Security Analyst]</t>
        </is>
      </c>
      <c r="AC74" s="8" t="n"/>
      <c r="AD74" s="8" t="n"/>
      <c r="AE74" s="16">
        <f>IF(AA74&lt;&gt;"", AA74+90, "")</f>
        <v/>
      </c>
      <c r="AF74" s="8" t="n"/>
    </row>
    <row r="75">
      <c r="A75">
        <f>IF(B75&lt;&gt;"", "HC-"&amp;TEXT(ROW()-1,"00000"), "")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>
        <f>IF(K75="", "", IF(K75="Implemented", "Pass", IF(K75="Partial", "Partial", IF(K75="Not Applicable", "N/A", "Fail"))))</f>
        <v/>
      </c>
      <c r="R75" s="8" t="n"/>
      <c r="S75" s="8" t="n"/>
      <c r="T75">
        <f>IF(Q75="", "", IF(OR(Q75="Fail", Q75="Partial"), "Yes", "No"))</f>
        <v/>
      </c>
      <c r="U75" s="8" t="n"/>
      <c r="V75" s="8" t="n"/>
      <c r="W75" s="8" t="n"/>
      <c r="X75" s="8" t="inlineStr">
        <is>
          <t>No</t>
        </is>
      </c>
      <c r="Y75" s="8" t="n"/>
      <c r="Z75" s="8" t="n"/>
      <c r="AA75" s="8" t="n"/>
      <c r="AB75" s="8" t="inlineStr">
        <is>
          <t>[Security Analyst]</t>
        </is>
      </c>
      <c r="AC75" s="8" t="n"/>
      <c r="AD75" s="8" t="n"/>
      <c r="AE75" s="16">
        <f>IF(AA75&lt;&gt;"", AA75+90, "")</f>
        <v/>
      </c>
      <c r="AF75" s="8" t="n"/>
    </row>
    <row r="76">
      <c r="A76">
        <f>IF(B76&lt;&gt;"", "HC-"&amp;TEXT(ROW()-1,"00000"), "")</f>
        <v/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>
        <f>IF(K76="", "", IF(K76="Implemented", "Pass", IF(K76="Partial", "Partial", IF(K76="Not Applicable", "N/A", "Fail"))))</f>
        <v/>
      </c>
      <c r="R76" s="8" t="n"/>
      <c r="S76" s="8" t="n"/>
      <c r="T76">
        <f>IF(Q76="", "", IF(OR(Q76="Fail", Q76="Partial"), "Yes", "No"))</f>
        <v/>
      </c>
      <c r="U76" s="8" t="n"/>
      <c r="V76" s="8" t="n"/>
      <c r="W76" s="8" t="n"/>
      <c r="X76" s="8" t="inlineStr">
        <is>
          <t>No</t>
        </is>
      </c>
      <c r="Y76" s="8" t="n"/>
      <c r="Z76" s="8" t="n"/>
      <c r="AA76" s="8" t="n"/>
      <c r="AB76" s="8" t="inlineStr">
        <is>
          <t>[Security Analyst]</t>
        </is>
      </c>
      <c r="AC76" s="8" t="n"/>
      <c r="AD76" s="8" t="n"/>
      <c r="AE76" s="16">
        <f>IF(AA76&lt;&gt;"", AA76+90, "")</f>
        <v/>
      </c>
      <c r="AF76" s="8" t="n"/>
    </row>
    <row r="77">
      <c r="A77">
        <f>IF(B77&lt;&gt;"", "HC-"&amp;TEXT(ROW()-1,"00000"), "")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>
        <f>IF(K77="", "", IF(K77="Implemented", "Pass", IF(K77="Partial", "Partial", IF(K77="Not Applicable", "N/A", "Fail"))))</f>
        <v/>
      </c>
      <c r="R77" s="8" t="n"/>
      <c r="S77" s="8" t="n"/>
      <c r="T77">
        <f>IF(Q77="", "", IF(OR(Q77="Fail", Q77="Partial"), "Yes", "No"))</f>
        <v/>
      </c>
      <c r="U77" s="8" t="n"/>
      <c r="V77" s="8" t="n"/>
      <c r="W77" s="8" t="n"/>
      <c r="X77" s="8" t="inlineStr">
        <is>
          <t>No</t>
        </is>
      </c>
      <c r="Y77" s="8" t="n"/>
      <c r="Z77" s="8" t="n"/>
      <c r="AA77" s="8" t="n"/>
      <c r="AB77" s="8" t="inlineStr">
        <is>
          <t>[Security Analyst]</t>
        </is>
      </c>
      <c r="AC77" s="8" t="n"/>
      <c r="AD77" s="8" t="n"/>
      <c r="AE77" s="16">
        <f>IF(AA77&lt;&gt;"", AA77+90, "")</f>
        <v/>
      </c>
      <c r="AF77" s="8" t="n"/>
    </row>
    <row r="78">
      <c r="A78">
        <f>IF(B78&lt;&gt;"", "HC-"&amp;TEXT(ROW()-1,"00000"), "")</f>
        <v/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>
        <f>IF(K78="", "", IF(K78="Implemented", "Pass", IF(K78="Partial", "Partial", IF(K78="Not Applicable", "N/A", "Fail"))))</f>
        <v/>
      </c>
      <c r="R78" s="8" t="n"/>
      <c r="S78" s="8" t="n"/>
      <c r="T78">
        <f>IF(Q78="", "", IF(OR(Q78="Fail", Q78="Partial"), "Yes", "No"))</f>
        <v/>
      </c>
      <c r="U78" s="8" t="n"/>
      <c r="V78" s="8" t="n"/>
      <c r="W78" s="8" t="n"/>
      <c r="X78" s="8" t="inlineStr">
        <is>
          <t>No</t>
        </is>
      </c>
      <c r="Y78" s="8" t="n"/>
      <c r="Z78" s="8" t="n"/>
      <c r="AA78" s="8" t="n"/>
      <c r="AB78" s="8" t="inlineStr">
        <is>
          <t>[Security Analyst]</t>
        </is>
      </c>
      <c r="AC78" s="8" t="n"/>
      <c r="AD78" s="8" t="n"/>
      <c r="AE78" s="16">
        <f>IF(AA78&lt;&gt;"", AA78+90, "")</f>
        <v/>
      </c>
      <c r="AF78" s="8" t="n"/>
    </row>
    <row r="79">
      <c r="A79">
        <f>IF(B79&lt;&gt;"", "HC-"&amp;TEXT(ROW()-1,"00000"), "")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>
        <f>IF(K79="", "", IF(K79="Implemented", "Pass", IF(K79="Partial", "Partial", IF(K79="Not Applicable", "N/A", "Fail"))))</f>
        <v/>
      </c>
      <c r="R79" s="8" t="n"/>
      <c r="S79" s="8" t="n"/>
      <c r="T79">
        <f>IF(Q79="", "", IF(OR(Q79="Fail", Q79="Partial"), "Yes", "No"))</f>
        <v/>
      </c>
      <c r="U79" s="8" t="n"/>
      <c r="V79" s="8" t="n"/>
      <c r="W79" s="8" t="n"/>
      <c r="X79" s="8" t="inlineStr">
        <is>
          <t>No</t>
        </is>
      </c>
      <c r="Y79" s="8" t="n"/>
      <c r="Z79" s="8" t="n"/>
      <c r="AA79" s="8" t="n"/>
      <c r="AB79" s="8" t="inlineStr">
        <is>
          <t>[Security Analyst]</t>
        </is>
      </c>
      <c r="AC79" s="8" t="n"/>
      <c r="AD79" s="8" t="n"/>
      <c r="AE79" s="16">
        <f>IF(AA79&lt;&gt;"", AA79+90, "")</f>
        <v/>
      </c>
      <c r="AF79" s="8" t="n"/>
    </row>
    <row r="80">
      <c r="A80">
        <f>IF(B80&lt;&gt;"", "HC-"&amp;TEXT(ROW()-1,"00000"), "")</f>
        <v/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>
        <f>IF(K80="", "", IF(K80="Implemented", "Pass", IF(K80="Partial", "Partial", IF(K80="Not Applicable", "N/A", "Fail"))))</f>
        <v/>
      </c>
      <c r="R80" s="8" t="n"/>
      <c r="S80" s="8" t="n"/>
      <c r="T80">
        <f>IF(Q80="", "", IF(OR(Q80="Fail", Q80="Partial"), "Yes", "No"))</f>
        <v/>
      </c>
      <c r="U80" s="8" t="n"/>
      <c r="V80" s="8" t="n"/>
      <c r="W80" s="8" t="n"/>
      <c r="X80" s="8" t="inlineStr">
        <is>
          <t>No</t>
        </is>
      </c>
      <c r="Y80" s="8" t="n"/>
      <c r="Z80" s="8" t="n"/>
      <c r="AA80" s="8" t="n"/>
      <c r="AB80" s="8" t="inlineStr">
        <is>
          <t>[Security Analyst]</t>
        </is>
      </c>
      <c r="AC80" s="8" t="n"/>
      <c r="AD80" s="8" t="n"/>
      <c r="AE80" s="16">
        <f>IF(AA80&lt;&gt;"", AA80+90, "")</f>
        <v/>
      </c>
      <c r="AF80" s="8" t="n"/>
    </row>
    <row r="81">
      <c r="A81">
        <f>IF(B81&lt;&gt;"", "HC-"&amp;TEXT(ROW()-1,"00000"), "")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>
        <f>IF(K81="", "", IF(K81="Implemented", "Pass", IF(K81="Partial", "Partial", IF(K81="Not Applicable", "N/A", "Fail"))))</f>
        <v/>
      </c>
      <c r="R81" s="8" t="n"/>
      <c r="S81" s="8" t="n"/>
      <c r="T81">
        <f>IF(Q81="", "", IF(OR(Q81="Fail", Q81="Partial"), "Yes", "No"))</f>
        <v/>
      </c>
      <c r="U81" s="8" t="n"/>
      <c r="V81" s="8" t="n"/>
      <c r="W81" s="8" t="n"/>
      <c r="X81" s="8" t="inlineStr">
        <is>
          <t>No</t>
        </is>
      </c>
      <c r="Y81" s="8" t="n"/>
      <c r="Z81" s="8" t="n"/>
      <c r="AA81" s="8" t="n"/>
      <c r="AB81" s="8" t="inlineStr">
        <is>
          <t>[Security Analyst]</t>
        </is>
      </c>
      <c r="AC81" s="8" t="n"/>
      <c r="AD81" s="8" t="n"/>
      <c r="AE81" s="16">
        <f>IF(AA81&lt;&gt;"", AA81+90, "")</f>
        <v/>
      </c>
      <c r="AF81" s="8" t="n"/>
    </row>
    <row r="82">
      <c r="A82">
        <f>IF(B82&lt;&gt;"", "HC-"&amp;TEXT(ROW()-1,"00000"), "")</f>
        <v/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>
        <f>IF(K82="", "", IF(K82="Implemented", "Pass", IF(K82="Partial", "Partial", IF(K82="Not Applicable", "N/A", "Fail"))))</f>
        <v/>
      </c>
      <c r="R82" s="8" t="n"/>
      <c r="S82" s="8" t="n"/>
      <c r="T82">
        <f>IF(Q82="", "", IF(OR(Q82="Fail", Q82="Partial"), "Yes", "No"))</f>
        <v/>
      </c>
      <c r="U82" s="8" t="n"/>
      <c r="V82" s="8" t="n"/>
      <c r="W82" s="8" t="n"/>
      <c r="X82" s="8" t="inlineStr">
        <is>
          <t>No</t>
        </is>
      </c>
      <c r="Y82" s="8" t="n"/>
      <c r="Z82" s="8" t="n"/>
      <c r="AA82" s="8" t="n"/>
      <c r="AB82" s="8" t="inlineStr">
        <is>
          <t>[Security Analyst]</t>
        </is>
      </c>
      <c r="AC82" s="8" t="n"/>
      <c r="AD82" s="8" t="n"/>
      <c r="AE82" s="16">
        <f>IF(AA82&lt;&gt;"", AA82+90, "")</f>
        <v/>
      </c>
      <c r="AF82" s="8" t="n"/>
    </row>
    <row r="83">
      <c r="A83">
        <f>IF(B83&lt;&gt;"", "HC-"&amp;TEXT(ROW()-1,"00000"), "")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>
        <f>IF(K83="", "", IF(K83="Implemented", "Pass", IF(K83="Partial", "Partial", IF(K83="Not Applicable", "N/A", "Fail"))))</f>
        <v/>
      </c>
      <c r="R83" s="8" t="n"/>
      <c r="S83" s="8" t="n"/>
      <c r="T83">
        <f>IF(Q83="", "", IF(OR(Q83="Fail", Q83="Partial"), "Yes", "No"))</f>
        <v/>
      </c>
      <c r="U83" s="8" t="n"/>
      <c r="V83" s="8" t="n"/>
      <c r="W83" s="8" t="n"/>
      <c r="X83" s="8" t="inlineStr">
        <is>
          <t>No</t>
        </is>
      </c>
      <c r="Y83" s="8" t="n"/>
      <c r="Z83" s="8" t="n"/>
      <c r="AA83" s="8" t="n"/>
      <c r="AB83" s="8" t="inlineStr">
        <is>
          <t>[Security Analyst]</t>
        </is>
      </c>
      <c r="AC83" s="8" t="n"/>
      <c r="AD83" s="8" t="n"/>
      <c r="AE83" s="16">
        <f>IF(AA83&lt;&gt;"", AA83+90, "")</f>
        <v/>
      </c>
      <c r="AF83" s="8" t="n"/>
    </row>
    <row r="84">
      <c r="A84">
        <f>IF(B84&lt;&gt;"", "HC-"&amp;TEXT(ROW()-1,"00000"), "")</f>
        <v/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>
        <f>IF(K84="", "", IF(K84="Implemented", "Pass", IF(K84="Partial", "Partial", IF(K84="Not Applicable", "N/A", "Fail"))))</f>
        <v/>
      </c>
      <c r="R84" s="8" t="n"/>
      <c r="S84" s="8" t="n"/>
      <c r="T84">
        <f>IF(Q84="", "", IF(OR(Q84="Fail", Q84="Partial"), "Yes", "No"))</f>
        <v/>
      </c>
      <c r="U84" s="8" t="n"/>
      <c r="V84" s="8" t="n"/>
      <c r="W84" s="8" t="n"/>
      <c r="X84" s="8" t="inlineStr">
        <is>
          <t>No</t>
        </is>
      </c>
      <c r="Y84" s="8" t="n"/>
      <c r="Z84" s="8" t="n"/>
      <c r="AA84" s="8" t="n"/>
      <c r="AB84" s="8" t="inlineStr">
        <is>
          <t>[Security Analyst]</t>
        </is>
      </c>
      <c r="AC84" s="8" t="n"/>
      <c r="AD84" s="8" t="n"/>
      <c r="AE84" s="16">
        <f>IF(AA84&lt;&gt;"", AA84+90, "")</f>
        <v/>
      </c>
      <c r="AF84" s="8" t="n"/>
    </row>
    <row r="85">
      <c r="A85">
        <f>IF(B85&lt;&gt;"", "HC-"&amp;TEXT(ROW()-1,"00000"), "")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>
        <f>IF(K85="", "", IF(K85="Implemented", "Pass", IF(K85="Partial", "Partial", IF(K85="Not Applicable", "N/A", "Fail"))))</f>
        <v/>
      </c>
      <c r="R85" s="8" t="n"/>
      <c r="S85" s="8" t="n"/>
      <c r="T85">
        <f>IF(Q85="", "", IF(OR(Q85="Fail", Q85="Partial"), "Yes", "No"))</f>
        <v/>
      </c>
      <c r="U85" s="8" t="n"/>
      <c r="V85" s="8" t="n"/>
      <c r="W85" s="8" t="n"/>
      <c r="X85" s="8" t="inlineStr">
        <is>
          <t>No</t>
        </is>
      </c>
      <c r="Y85" s="8" t="n"/>
      <c r="Z85" s="8" t="n"/>
      <c r="AA85" s="8" t="n"/>
      <c r="AB85" s="8" t="inlineStr">
        <is>
          <t>[Security Analyst]</t>
        </is>
      </c>
      <c r="AC85" s="8" t="n"/>
      <c r="AD85" s="8" t="n"/>
      <c r="AE85" s="16">
        <f>IF(AA85&lt;&gt;"", AA85+90, "")</f>
        <v/>
      </c>
      <c r="AF85" s="8" t="n"/>
    </row>
    <row r="86">
      <c r="A86">
        <f>IF(B86&lt;&gt;"", "HC-"&amp;TEXT(ROW()-1,"00000"), "")</f>
        <v/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>
        <f>IF(K86="", "", IF(K86="Implemented", "Pass", IF(K86="Partial", "Partial", IF(K86="Not Applicable", "N/A", "Fail"))))</f>
        <v/>
      </c>
      <c r="R86" s="8" t="n"/>
      <c r="S86" s="8" t="n"/>
      <c r="T86">
        <f>IF(Q86="", "", IF(OR(Q86="Fail", Q86="Partial"), "Yes", "No"))</f>
        <v/>
      </c>
      <c r="U86" s="8" t="n"/>
      <c r="V86" s="8" t="n"/>
      <c r="W86" s="8" t="n"/>
      <c r="X86" s="8" t="inlineStr">
        <is>
          <t>No</t>
        </is>
      </c>
      <c r="Y86" s="8" t="n"/>
      <c r="Z86" s="8" t="n"/>
      <c r="AA86" s="8" t="n"/>
      <c r="AB86" s="8" t="inlineStr">
        <is>
          <t>[Security Analyst]</t>
        </is>
      </c>
      <c r="AC86" s="8" t="n"/>
      <c r="AD86" s="8" t="n"/>
      <c r="AE86" s="16">
        <f>IF(AA86&lt;&gt;"", AA86+90, "")</f>
        <v/>
      </c>
      <c r="AF86" s="8" t="n"/>
    </row>
    <row r="87">
      <c r="A87">
        <f>IF(B87&lt;&gt;"", "HC-"&amp;TEXT(ROW()-1,"00000"), "")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>
        <f>IF(K87="", "", IF(K87="Implemented", "Pass", IF(K87="Partial", "Partial", IF(K87="Not Applicable", "N/A", "Fail"))))</f>
        <v/>
      </c>
      <c r="R87" s="8" t="n"/>
      <c r="S87" s="8" t="n"/>
      <c r="T87">
        <f>IF(Q87="", "", IF(OR(Q87="Fail", Q87="Partial"), "Yes", "No"))</f>
        <v/>
      </c>
      <c r="U87" s="8" t="n"/>
      <c r="V87" s="8" t="n"/>
      <c r="W87" s="8" t="n"/>
      <c r="X87" s="8" t="inlineStr">
        <is>
          <t>No</t>
        </is>
      </c>
      <c r="Y87" s="8" t="n"/>
      <c r="Z87" s="8" t="n"/>
      <c r="AA87" s="8" t="n"/>
      <c r="AB87" s="8" t="inlineStr">
        <is>
          <t>[Security Analyst]</t>
        </is>
      </c>
      <c r="AC87" s="8" t="n"/>
      <c r="AD87" s="8" t="n"/>
      <c r="AE87" s="16">
        <f>IF(AA87&lt;&gt;"", AA87+90, "")</f>
        <v/>
      </c>
      <c r="AF87" s="8" t="n"/>
    </row>
    <row r="88">
      <c r="A88">
        <f>IF(B88&lt;&gt;"", "HC-"&amp;TEXT(ROW()-1,"00000"), "")</f>
        <v/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>
        <f>IF(K88="", "", IF(K88="Implemented", "Pass", IF(K88="Partial", "Partial", IF(K88="Not Applicable", "N/A", "Fail"))))</f>
        <v/>
      </c>
      <c r="R88" s="8" t="n"/>
      <c r="S88" s="8" t="n"/>
      <c r="T88">
        <f>IF(Q88="", "", IF(OR(Q88="Fail", Q88="Partial"), "Yes", "No"))</f>
        <v/>
      </c>
      <c r="U88" s="8" t="n"/>
      <c r="V88" s="8" t="n"/>
      <c r="W88" s="8" t="n"/>
      <c r="X88" s="8" t="inlineStr">
        <is>
          <t>No</t>
        </is>
      </c>
      <c r="Y88" s="8" t="n"/>
      <c r="Z88" s="8" t="n"/>
      <c r="AA88" s="8" t="n"/>
      <c r="AB88" s="8" t="inlineStr">
        <is>
          <t>[Security Analyst]</t>
        </is>
      </c>
      <c r="AC88" s="8" t="n"/>
      <c r="AD88" s="8" t="n"/>
      <c r="AE88" s="16">
        <f>IF(AA88&lt;&gt;"", AA88+90, "")</f>
        <v/>
      </c>
      <c r="AF88" s="8" t="n"/>
    </row>
    <row r="89">
      <c r="A89">
        <f>IF(B89&lt;&gt;"", "HC-"&amp;TEXT(ROW()-1,"00000"), "")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>
        <f>IF(K89="", "", IF(K89="Implemented", "Pass", IF(K89="Partial", "Partial", IF(K89="Not Applicable", "N/A", "Fail"))))</f>
        <v/>
      </c>
      <c r="R89" s="8" t="n"/>
      <c r="S89" s="8" t="n"/>
      <c r="T89">
        <f>IF(Q89="", "", IF(OR(Q89="Fail", Q89="Partial"), "Yes", "No"))</f>
        <v/>
      </c>
      <c r="U89" s="8" t="n"/>
      <c r="V89" s="8" t="n"/>
      <c r="W89" s="8" t="n"/>
      <c r="X89" s="8" t="inlineStr">
        <is>
          <t>No</t>
        </is>
      </c>
      <c r="Y89" s="8" t="n"/>
      <c r="Z89" s="8" t="n"/>
      <c r="AA89" s="8" t="n"/>
      <c r="AB89" s="8" t="inlineStr">
        <is>
          <t>[Security Analyst]</t>
        </is>
      </c>
      <c r="AC89" s="8" t="n"/>
      <c r="AD89" s="8" t="n"/>
      <c r="AE89" s="16">
        <f>IF(AA89&lt;&gt;"", AA89+90, "")</f>
        <v/>
      </c>
      <c r="AF89" s="8" t="n"/>
    </row>
    <row r="90">
      <c r="A90">
        <f>IF(B90&lt;&gt;"", "HC-"&amp;TEXT(ROW()-1,"00000"), "")</f>
        <v/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>
        <f>IF(K90="", "", IF(K90="Implemented", "Pass", IF(K90="Partial", "Partial", IF(K90="Not Applicable", "N/A", "Fail"))))</f>
        <v/>
      </c>
      <c r="R90" s="8" t="n"/>
      <c r="S90" s="8" t="n"/>
      <c r="T90">
        <f>IF(Q90="", "", IF(OR(Q90="Fail", Q90="Partial"), "Yes", "No"))</f>
        <v/>
      </c>
      <c r="U90" s="8" t="n"/>
      <c r="V90" s="8" t="n"/>
      <c r="W90" s="8" t="n"/>
      <c r="X90" s="8" t="inlineStr">
        <is>
          <t>No</t>
        </is>
      </c>
      <c r="Y90" s="8" t="n"/>
      <c r="Z90" s="8" t="n"/>
      <c r="AA90" s="8" t="n"/>
      <c r="AB90" s="8" t="inlineStr">
        <is>
          <t>[Security Analyst]</t>
        </is>
      </c>
      <c r="AC90" s="8" t="n"/>
      <c r="AD90" s="8" t="n"/>
      <c r="AE90" s="16">
        <f>IF(AA90&lt;&gt;"", AA90+90, "")</f>
        <v/>
      </c>
      <c r="AF90" s="8" t="n"/>
    </row>
    <row r="91">
      <c r="A91">
        <f>IF(B91&lt;&gt;"", "HC-"&amp;TEXT(ROW()-1,"00000"), "")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>
        <f>IF(K91="", "", IF(K91="Implemented", "Pass", IF(K91="Partial", "Partial", IF(K91="Not Applicable", "N/A", "Fail"))))</f>
        <v/>
      </c>
      <c r="R91" s="8" t="n"/>
      <c r="S91" s="8" t="n"/>
      <c r="T91">
        <f>IF(Q91="", "", IF(OR(Q91="Fail", Q91="Partial"), "Yes", "No"))</f>
        <v/>
      </c>
      <c r="U91" s="8" t="n"/>
      <c r="V91" s="8" t="n"/>
      <c r="W91" s="8" t="n"/>
      <c r="X91" s="8" t="inlineStr">
        <is>
          <t>No</t>
        </is>
      </c>
      <c r="Y91" s="8" t="n"/>
      <c r="Z91" s="8" t="n"/>
      <c r="AA91" s="8" t="n"/>
      <c r="AB91" s="8" t="inlineStr">
        <is>
          <t>[Security Analyst]</t>
        </is>
      </c>
      <c r="AC91" s="8" t="n"/>
      <c r="AD91" s="8" t="n"/>
      <c r="AE91" s="16">
        <f>IF(AA91&lt;&gt;"", AA91+90, "")</f>
        <v/>
      </c>
      <c r="AF91" s="8" t="n"/>
    </row>
    <row r="92">
      <c r="A92">
        <f>IF(B92&lt;&gt;"", "HC-"&amp;TEXT(ROW()-1,"00000"), "")</f>
        <v/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>
        <f>IF(K92="", "", IF(K92="Implemented", "Pass", IF(K92="Partial", "Partial", IF(K92="Not Applicable", "N/A", "Fail"))))</f>
        <v/>
      </c>
      <c r="R92" s="8" t="n"/>
      <c r="S92" s="8" t="n"/>
      <c r="T92">
        <f>IF(Q92="", "", IF(OR(Q92="Fail", Q92="Partial"), "Yes", "No"))</f>
        <v/>
      </c>
      <c r="U92" s="8" t="n"/>
      <c r="V92" s="8" t="n"/>
      <c r="W92" s="8" t="n"/>
      <c r="X92" s="8" t="inlineStr">
        <is>
          <t>No</t>
        </is>
      </c>
      <c r="Y92" s="8" t="n"/>
      <c r="Z92" s="8" t="n"/>
      <c r="AA92" s="8" t="n"/>
      <c r="AB92" s="8" t="inlineStr">
        <is>
          <t>[Security Analyst]</t>
        </is>
      </c>
      <c r="AC92" s="8" t="n"/>
      <c r="AD92" s="8" t="n"/>
      <c r="AE92" s="16">
        <f>IF(AA92&lt;&gt;"", AA92+90, "")</f>
        <v/>
      </c>
      <c r="AF92" s="8" t="n"/>
    </row>
    <row r="93">
      <c r="A93">
        <f>IF(B93&lt;&gt;"", "HC-"&amp;TEXT(ROW()-1,"00000"), "")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>
        <f>IF(K93="", "", IF(K93="Implemented", "Pass", IF(K93="Partial", "Partial", IF(K93="Not Applicable", "N/A", "Fail"))))</f>
        <v/>
      </c>
      <c r="R93" s="8" t="n"/>
      <c r="S93" s="8" t="n"/>
      <c r="T93">
        <f>IF(Q93="", "", IF(OR(Q93="Fail", Q93="Partial"), "Yes", "No"))</f>
        <v/>
      </c>
      <c r="U93" s="8" t="n"/>
      <c r="V93" s="8" t="n"/>
      <c r="W93" s="8" t="n"/>
      <c r="X93" s="8" t="inlineStr">
        <is>
          <t>No</t>
        </is>
      </c>
      <c r="Y93" s="8" t="n"/>
      <c r="Z93" s="8" t="n"/>
      <c r="AA93" s="8" t="n"/>
      <c r="AB93" s="8" t="inlineStr">
        <is>
          <t>[Security Analyst]</t>
        </is>
      </c>
      <c r="AC93" s="8" t="n"/>
      <c r="AD93" s="8" t="n"/>
      <c r="AE93" s="16">
        <f>IF(AA93&lt;&gt;"", AA93+90, "")</f>
        <v/>
      </c>
      <c r="AF93" s="8" t="n"/>
    </row>
    <row r="94">
      <c r="A94">
        <f>IF(B94&lt;&gt;"", "HC-"&amp;TEXT(ROW()-1,"00000"), "")</f>
        <v/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>
        <f>IF(K94="", "", IF(K94="Implemented", "Pass", IF(K94="Partial", "Partial", IF(K94="Not Applicable", "N/A", "Fail"))))</f>
        <v/>
      </c>
      <c r="R94" s="8" t="n"/>
      <c r="S94" s="8" t="n"/>
      <c r="T94">
        <f>IF(Q94="", "", IF(OR(Q94="Fail", Q94="Partial"), "Yes", "No"))</f>
        <v/>
      </c>
      <c r="U94" s="8" t="n"/>
      <c r="V94" s="8" t="n"/>
      <c r="W94" s="8" t="n"/>
      <c r="X94" s="8" t="inlineStr">
        <is>
          <t>No</t>
        </is>
      </c>
      <c r="Y94" s="8" t="n"/>
      <c r="Z94" s="8" t="n"/>
      <c r="AA94" s="8" t="n"/>
      <c r="AB94" s="8" t="inlineStr">
        <is>
          <t>[Security Analyst]</t>
        </is>
      </c>
      <c r="AC94" s="8" t="n"/>
      <c r="AD94" s="8" t="n"/>
      <c r="AE94" s="16">
        <f>IF(AA94&lt;&gt;"", AA94+90, "")</f>
        <v/>
      </c>
      <c r="AF94" s="8" t="n"/>
    </row>
    <row r="95">
      <c r="A95">
        <f>IF(B95&lt;&gt;"", "HC-"&amp;TEXT(ROW()-1,"00000"), "")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>
        <f>IF(K95="", "", IF(K95="Implemented", "Pass", IF(K95="Partial", "Partial", IF(K95="Not Applicable", "N/A", "Fail"))))</f>
        <v/>
      </c>
      <c r="R95" s="8" t="n"/>
      <c r="S95" s="8" t="n"/>
      <c r="T95">
        <f>IF(Q95="", "", IF(OR(Q95="Fail", Q95="Partial"), "Yes", "No"))</f>
        <v/>
      </c>
      <c r="U95" s="8" t="n"/>
      <c r="V95" s="8" t="n"/>
      <c r="W95" s="8" t="n"/>
      <c r="X95" s="8" t="inlineStr">
        <is>
          <t>No</t>
        </is>
      </c>
      <c r="Y95" s="8" t="n"/>
      <c r="Z95" s="8" t="n"/>
      <c r="AA95" s="8" t="n"/>
      <c r="AB95" s="8" t="inlineStr">
        <is>
          <t>[Security Analyst]</t>
        </is>
      </c>
      <c r="AC95" s="8" t="n"/>
      <c r="AD95" s="8" t="n"/>
      <c r="AE95" s="16">
        <f>IF(AA95&lt;&gt;"", AA95+90, "")</f>
        <v/>
      </c>
      <c r="AF95" s="8" t="n"/>
    </row>
    <row r="96">
      <c r="A96">
        <f>IF(B96&lt;&gt;"", "HC-"&amp;TEXT(ROW()-1,"00000"), "")</f>
        <v/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>
        <f>IF(K96="", "", IF(K96="Implemented", "Pass", IF(K96="Partial", "Partial", IF(K96="Not Applicable", "N/A", "Fail"))))</f>
        <v/>
      </c>
      <c r="R96" s="8" t="n"/>
      <c r="S96" s="8" t="n"/>
      <c r="T96">
        <f>IF(Q96="", "", IF(OR(Q96="Fail", Q96="Partial"), "Yes", "No"))</f>
        <v/>
      </c>
      <c r="U96" s="8" t="n"/>
      <c r="V96" s="8" t="n"/>
      <c r="W96" s="8" t="n"/>
      <c r="X96" s="8" t="inlineStr">
        <is>
          <t>No</t>
        </is>
      </c>
      <c r="Y96" s="8" t="n"/>
      <c r="Z96" s="8" t="n"/>
      <c r="AA96" s="8" t="n"/>
      <c r="AB96" s="8" t="inlineStr">
        <is>
          <t>[Security Analyst]</t>
        </is>
      </c>
      <c r="AC96" s="8" t="n"/>
      <c r="AD96" s="8" t="n"/>
      <c r="AE96" s="16">
        <f>IF(AA96&lt;&gt;"", AA96+90, "")</f>
        <v/>
      </c>
      <c r="AF96" s="8" t="n"/>
    </row>
    <row r="97">
      <c r="A97">
        <f>IF(B97&lt;&gt;"", "HC-"&amp;TEXT(ROW()-1,"00000"), "")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>
        <f>IF(K97="", "", IF(K97="Implemented", "Pass", IF(K97="Partial", "Partial", IF(K97="Not Applicable", "N/A", "Fail"))))</f>
        <v/>
      </c>
      <c r="R97" s="8" t="n"/>
      <c r="S97" s="8" t="n"/>
      <c r="T97">
        <f>IF(Q97="", "", IF(OR(Q97="Fail", Q97="Partial"), "Yes", "No"))</f>
        <v/>
      </c>
      <c r="U97" s="8" t="n"/>
      <c r="V97" s="8" t="n"/>
      <c r="W97" s="8" t="n"/>
      <c r="X97" s="8" t="inlineStr">
        <is>
          <t>No</t>
        </is>
      </c>
      <c r="Y97" s="8" t="n"/>
      <c r="Z97" s="8" t="n"/>
      <c r="AA97" s="8" t="n"/>
      <c r="AB97" s="8" t="inlineStr">
        <is>
          <t>[Security Analyst]</t>
        </is>
      </c>
      <c r="AC97" s="8" t="n"/>
      <c r="AD97" s="8" t="n"/>
      <c r="AE97" s="16">
        <f>IF(AA97&lt;&gt;"", AA97+90, "")</f>
        <v/>
      </c>
      <c r="AF97" s="8" t="n"/>
    </row>
    <row r="98">
      <c r="A98">
        <f>IF(B98&lt;&gt;"", "HC-"&amp;TEXT(ROW()-1,"00000"), "")</f>
        <v/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>
        <f>IF(K98="", "", IF(K98="Implemented", "Pass", IF(K98="Partial", "Partial", IF(K98="Not Applicable", "N/A", "Fail"))))</f>
        <v/>
      </c>
      <c r="R98" s="8" t="n"/>
      <c r="S98" s="8" t="n"/>
      <c r="T98">
        <f>IF(Q98="", "", IF(OR(Q98="Fail", Q98="Partial"), "Yes", "No"))</f>
        <v/>
      </c>
      <c r="U98" s="8" t="n"/>
      <c r="V98" s="8" t="n"/>
      <c r="W98" s="8" t="n"/>
      <c r="X98" s="8" t="inlineStr">
        <is>
          <t>No</t>
        </is>
      </c>
      <c r="Y98" s="8" t="n"/>
      <c r="Z98" s="8" t="n"/>
      <c r="AA98" s="8" t="n"/>
      <c r="AB98" s="8" t="inlineStr">
        <is>
          <t>[Security Analyst]</t>
        </is>
      </c>
      <c r="AC98" s="8" t="n"/>
      <c r="AD98" s="8" t="n"/>
      <c r="AE98" s="16">
        <f>IF(AA98&lt;&gt;"", AA98+90, "")</f>
        <v/>
      </c>
      <c r="AF98" s="8" t="n"/>
    </row>
    <row r="99">
      <c r="A99">
        <f>IF(B99&lt;&gt;"", "HC-"&amp;TEXT(ROW()-1,"00000"), "")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>
        <f>IF(K99="", "", IF(K99="Implemented", "Pass", IF(K99="Partial", "Partial", IF(K99="Not Applicable", "N/A", "Fail"))))</f>
        <v/>
      </c>
      <c r="R99" s="8" t="n"/>
      <c r="S99" s="8" t="n"/>
      <c r="T99">
        <f>IF(Q99="", "", IF(OR(Q99="Fail", Q99="Partial"), "Yes", "No"))</f>
        <v/>
      </c>
      <c r="U99" s="8" t="n"/>
      <c r="V99" s="8" t="n"/>
      <c r="W99" s="8" t="n"/>
      <c r="X99" s="8" t="inlineStr">
        <is>
          <t>No</t>
        </is>
      </c>
      <c r="Y99" s="8" t="n"/>
      <c r="Z99" s="8" t="n"/>
      <c r="AA99" s="8" t="n"/>
      <c r="AB99" s="8" t="inlineStr">
        <is>
          <t>[Security Analyst]</t>
        </is>
      </c>
      <c r="AC99" s="8" t="n"/>
      <c r="AD99" s="8" t="n"/>
      <c r="AE99" s="16">
        <f>IF(AA99&lt;&gt;"", AA99+90, "")</f>
        <v/>
      </c>
      <c r="AF99" s="8" t="n"/>
    </row>
    <row r="100">
      <c r="A100">
        <f>IF(B100&lt;&gt;"", "HC-"&amp;TEXT(ROW()-1,"00000"), "")</f>
        <v/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>
        <f>IF(K100="", "", IF(K100="Implemented", "Pass", IF(K100="Partial", "Partial", IF(K100="Not Applicable", "N/A", "Fail"))))</f>
        <v/>
      </c>
      <c r="R100" s="8" t="n"/>
      <c r="S100" s="8" t="n"/>
      <c r="T100">
        <f>IF(Q100="", "", IF(OR(Q100="Fail", Q100="Partial"), "Yes", "No"))</f>
        <v/>
      </c>
      <c r="U100" s="8" t="n"/>
      <c r="V100" s="8" t="n"/>
      <c r="W100" s="8" t="n"/>
      <c r="X100" s="8" t="inlineStr">
        <is>
          <t>No</t>
        </is>
      </c>
      <c r="Y100" s="8" t="n"/>
      <c r="Z100" s="8" t="n"/>
      <c r="AA100" s="8" t="n"/>
      <c r="AB100" s="8" t="inlineStr">
        <is>
          <t>[Security Analyst]</t>
        </is>
      </c>
      <c r="AC100" s="8" t="n"/>
      <c r="AD100" s="8" t="n"/>
      <c r="AE100" s="16">
        <f>IF(AA100&lt;&gt;"", AA100+90, "")</f>
        <v/>
      </c>
      <c r="AF100" s="8" t="n"/>
    </row>
    <row r="101">
      <c r="A101">
        <f>IF(B101&lt;&gt;"", "HC-"&amp;TEXT(ROW()-1,"00000"), "")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>
        <f>IF(K101="", "", IF(K101="Implemented", "Pass", IF(K101="Partial", "Partial", IF(K101="Not Applicable", "N/A", "Fail"))))</f>
        <v/>
      </c>
      <c r="R101" s="8" t="n"/>
      <c r="S101" s="8" t="n"/>
      <c r="T101">
        <f>IF(Q101="", "", IF(OR(Q101="Fail", Q101="Partial"), "Yes", "No"))</f>
        <v/>
      </c>
      <c r="U101" s="8" t="n"/>
      <c r="V101" s="8" t="n"/>
      <c r="W101" s="8" t="n"/>
      <c r="X101" s="8" t="inlineStr">
        <is>
          <t>No</t>
        </is>
      </c>
      <c r="Y101" s="8" t="n"/>
      <c r="Z101" s="8" t="n"/>
      <c r="AA101" s="8" t="n"/>
      <c r="AB101" s="8" t="inlineStr">
        <is>
          <t>[Security Analyst]</t>
        </is>
      </c>
      <c r="AC101" s="8" t="n"/>
      <c r="AD101" s="8" t="n"/>
      <c r="AE101" s="16">
        <f>IF(AA101&lt;&gt;"", AA101+90, "")</f>
        <v/>
      </c>
      <c r="AF101" s="8" t="n"/>
    </row>
    <row r="102">
      <c r="A102">
        <f>IF(B102&lt;&gt;"", "HC-"&amp;TEXT(ROW()-1,"00000"), "")</f>
        <v/>
      </c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>
        <f>IF(K102="", "", IF(K102="Implemented", "Pass", IF(K102="Partial", "Partial", IF(K102="Not Applicable", "N/A", "Fail"))))</f>
        <v/>
      </c>
      <c r="R102" s="8" t="n"/>
      <c r="S102" s="8" t="n"/>
      <c r="T102">
        <f>IF(Q102="", "", IF(OR(Q102="Fail", Q102="Partial"), "Yes", "No"))</f>
        <v/>
      </c>
      <c r="U102" s="8" t="n"/>
      <c r="V102" s="8" t="n"/>
      <c r="W102" s="8" t="n"/>
      <c r="X102" s="8" t="inlineStr">
        <is>
          <t>No</t>
        </is>
      </c>
      <c r="Y102" s="8" t="n"/>
      <c r="Z102" s="8" t="n"/>
      <c r="AA102" s="8" t="n"/>
      <c r="AB102" s="8" t="inlineStr">
        <is>
          <t>[Security Analyst]</t>
        </is>
      </c>
      <c r="AC102" s="8" t="n"/>
      <c r="AD102" s="8" t="n"/>
      <c r="AE102" s="16">
        <f>IF(AA102&lt;&gt;"", AA102+90, "")</f>
        <v/>
      </c>
      <c r="AF102" s="8" t="n"/>
    </row>
    <row r="103">
      <c r="A103">
        <f>IF(B103&lt;&gt;"", "HC-"&amp;TEXT(ROW()-1,"00000"), "")</f>
        <v/>
      </c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>
        <f>IF(K103="", "", IF(K103="Implemented", "Pass", IF(K103="Partial", "Partial", IF(K103="Not Applicable", "N/A", "Fail"))))</f>
        <v/>
      </c>
      <c r="R103" s="8" t="n"/>
      <c r="S103" s="8" t="n"/>
      <c r="T103">
        <f>IF(Q103="", "", IF(OR(Q103="Fail", Q103="Partial"), "Yes", "No"))</f>
        <v/>
      </c>
      <c r="U103" s="8" t="n"/>
      <c r="V103" s="8" t="n"/>
      <c r="W103" s="8" t="n"/>
      <c r="X103" s="8" t="inlineStr">
        <is>
          <t>No</t>
        </is>
      </c>
      <c r="Y103" s="8" t="n"/>
      <c r="Z103" s="8" t="n"/>
      <c r="AA103" s="8" t="n"/>
      <c r="AB103" s="8" t="inlineStr">
        <is>
          <t>[Security Analyst]</t>
        </is>
      </c>
      <c r="AC103" s="8" t="n"/>
      <c r="AD103" s="8" t="n"/>
      <c r="AE103" s="16">
        <f>IF(AA103&lt;&gt;"", AA103+90, "")</f>
        <v/>
      </c>
      <c r="AF103" s="8" t="n"/>
    </row>
    <row r="104">
      <c r="A104">
        <f>IF(B104&lt;&gt;"", "HC-"&amp;TEXT(ROW()-1,"00000"), "")</f>
        <v/>
      </c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>
        <f>IF(K104="", "", IF(K104="Implemented", "Pass", IF(K104="Partial", "Partial", IF(K104="Not Applicable", "N/A", "Fail"))))</f>
        <v/>
      </c>
      <c r="R104" s="8" t="n"/>
      <c r="S104" s="8" t="n"/>
      <c r="T104">
        <f>IF(Q104="", "", IF(OR(Q104="Fail", Q104="Partial"), "Yes", "No"))</f>
        <v/>
      </c>
      <c r="U104" s="8" t="n"/>
      <c r="V104" s="8" t="n"/>
      <c r="W104" s="8" t="n"/>
      <c r="X104" s="8" t="inlineStr">
        <is>
          <t>No</t>
        </is>
      </c>
      <c r="Y104" s="8" t="n"/>
      <c r="Z104" s="8" t="n"/>
      <c r="AA104" s="8" t="n"/>
      <c r="AB104" s="8" t="inlineStr">
        <is>
          <t>[Security Analyst]</t>
        </is>
      </c>
      <c r="AC104" s="8" t="n"/>
      <c r="AD104" s="8" t="n"/>
      <c r="AE104" s="16">
        <f>IF(AA104&lt;&gt;"", AA104+90, "")</f>
        <v/>
      </c>
      <c r="AF104" s="8" t="n"/>
    </row>
    <row r="105">
      <c r="A105">
        <f>IF(B105&lt;&gt;"", "HC-"&amp;TEXT(ROW()-1,"00000"), "")</f>
        <v/>
      </c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>
        <f>IF(K105="", "", IF(K105="Implemented", "Pass", IF(K105="Partial", "Partial", IF(K105="Not Applicable", "N/A", "Fail"))))</f>
        <v/>
      </c>
      <c r="R105" s="8" t="n"/>
      <c r="S105" s="8" t="n"/>
      <c r="T105">
        <f>IF(Q105="", "", IF(OR(Q105="Fail", Q105="Partial"), "Yes", "No"))</f>
        <v/>
      </c>
      <c r="U105" s="8" t="n"/>
      <c r="V105" s="8" t="n"/>
      <c r="W105" s="8" t="n"/>
      <c r="X105" s="8" t="inlineStr">
        <is>
          <t>No</t>
        </is>
      </c>
      <c r="Y105" s="8" t="n"/>
      <c r="Z105" s="8" t="n"/>
      <c r="AA105" s="8" t="n"/>
      <c r="AB105" s="8" t="inlineStr">
        <is>
          <t>[Security Analyst]</t>
        </is>
      </c>
      <c r="AC105" s="8" t="n"/>
      <c r="AD105" s="8" t="n"/>
      <c r="AE105" s="16">
        <f>IF(AA105&lt;&gt;"", AA105+90, "")</f>
        <v/>
      </c>
      <c r="AF105" s="8" t="n"/>
    </row>
    <row r="106">
      <c r="A106">
        <f>IF(B106&lt;&gt;"", "HC-"&amp;TEXT(ROW()-1,"00000"), "")</f>
        <v/>
      </c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>
        <f>IF(K106="", "", IF(K106="Implemented", "Pass", IF(K106="Partial", "Partial", IF(K106="Not Applicable", "N/A", "Fail"))))</f>
        <v/>
      </c>
      <c r="R106" s="8" t="n"/>
      <c r="S106" s="8" t="n"/>
      <c r="T106">
        <f>IF(Q106="", "", IF(OR(Q106="Fail", Q106="Partial"), "Yes", "No"))</f>
        <v/>
      </c>
      <c r="U106" s="8" t="n"/>
      <c r="V106" s="8" t="n"/>
      <c r="W106" s="8" t="n"/>
      <c r="X106" s="8" t="inlineStr">
        <is>
          <t>No</t>
        </is>
      </c>
      <c r="Y106" s="8" t="n"/>
      <c r="Z106" s="8" t="n"/>
      <c r="AA106" s="8" t="n"/>
      <c r="AB106" s="8" t="inlineStr">
        <is>
          <t>[Security Analyst]</t>
        </is>
      </c>
      <c r="AC106" s="8" t="n"/>
      <c r="AD106" s="8" t="n"/>
      <c r="AE106" s="16">
        <f>IF(AA106&lt;&gt;"", AA106+90, "")</f>
        <v/>
      </c>
      <c r="AF106" s="8" t="n"/>
    </row>
    <row r="107">
      <c r="A107">
        <f>IF(B107&lt;&gt;"", "HC-"&amp;TEXT(ROW()-1,"00000"), "")</f>
        <v/>
      </c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>
        <f>IF(K107="", "", IF(K107="Implemented", "Pass", IF(K107="Partial", "Partial", IF(K107="Not Applicable", "N/A", "Fail"))))</f>
        <v/>
      </c>
      <c r="R107" s="8" t="n"/>
      <c r="S107" s="8" t="n"/>
      <c r="T107">
        <f>IF(Q107="", "", IF(OR(Q107="Fail", Q107="Partial"), "Yes", "No"))</f>
        <v/>
      </c>
      <c r="U107" s="8" t="n"/>
      <c r="V107" s="8" t="n"/>
      <c r="W107" s="8" t="n"/>
      <c r="X107" s="8" t="inlineStr">
        <is>
          <t>No</t>
        </is>
      </c>
      <c r="Y107" s="8" t="n"/>
      <c r="Z107" s="8" t="n"/>
      <c r="AA107" s="8" t="n"/>
      <c r="AB107" s="8" t="inlineStr">
        <is>
          <t>[Security Analyst]</t>
        </is>
      </c>
      <c r="AC107" s="8" t="n"/>
      <c r="AD107" s="8" t="n"/>
      <c r="AE107" s="16">
        <f>IF(AA107&lt;&gt;"", AA107+90, "")</f>
        <v/>
      </c>
      <c r="AF107" s="8" t="n"/>
    </row>
    <row r="108">
      <c r="A108">
        <f>IF(B108&lt;&gt;"", "HC-"&amp;TEXT(ROW()-1,"00000"), "")</f>
        <v/>
      </c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>
        <f>IF(K108="", "", IF(K108="Implemented", "Pass", IF(K108="Partial", "Partial", IF(K108="Not Applicable", "N/A", "Fail"))))</f>
        <v/>
      </c>
      <c r="R108" s="8" t="n"/>
      <c r="S108" s="8" t="n"/>
      <c r="T108">
        <f>IF(Q108="", "", IF(OR(Q108="Fail", Q108="Partial"), "Yes", "No"))</f>
        <v/>
      </c>
      <c r="U108" s="8" t="n"/>
      <c r="V108" s="8" t="n"/>
      <c r="W108" s="8" t="n"/>
      <c r="X108" s="8" t="inlineStr">
        <is>
          <t>No</t>
        </is>
      </c>
      <c r="Y108" s="8" t="n"/>
      <c r="Z108" s="8" t="n"/>
      <c r="AA108" s="8" t="n"/>
      <c r="AB108" s="8" t="inlineStr">
        <is>
          <t>[Security Analyst]</t>
        </is>
      </c>
      <c r="AC108" s="8" t="n"/>
      <c r="AD108" s="8" t="n"/>
      <c r="AE108" s="16">
        <f>IF(AA108&lt;&gt;"", AA108+90, "")</f>
        <v/>
      </c>
      <c r="AF108" s="8" t="n"/>
    </row>
    <row r="109">
      <c r="A109">
        <f>IF(B109&lt;&gt;"", "HC-"&amp;TEXT(ROW()-1,"00000"), "")</f>
        <v/>
      </c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>
        <f>IF(K109="", "", IF(K109="Implemented", "Pass", IF(K109="Partial", "Partial", IF(K109="Not Applicable", "N/A", "Fail"))))</f>
        <v/>
      </c>
      <c r="R109" s="8" t="n"/>
      <c r="S109" s="8" t="n"/>
      <c r="T109">
        <f>IF(Q109="", "", IF(OR(Q109="Fail", Q109="Partial"), "Yes", "No"))</f>
        <v/>
      </c>
      <c r="U109" s="8" t="n"/>
      <c r="V109" s="8" t="n"/>
      <c r="W109" s="8" t="n"/>
      <c r="X109" s="8" t="inlineStr">
        <is>
          <t>No</t>
        </is>
      </c>
      <c r="Y109" s="8" t="n"/>
      <c r="Z109" s="8" t="n"/>
      <c r="AA109" s="8" t="n"/>
      <c r="AB109" s="8" t="inlineStr">
        <is>
          <t>[Security Analyst]</t>
        </is>
      </c>
      <c r="AC109" s="8" t="n"/>
      <c r="AD109" s="8" t="n"/>
      <c r="AE109" s="16">
        <f>IF(AA109&lt;&gt;"", AA109+90, "")</f>
        <v/>
      </c>
      <c r="AF109" s="8" t="n"/>
    </row>
    <row r="110">
      <c r="A110">
        <f>IF(B110&lt;&gt;"", "HC-"&amp;TEXT(ROW()-1,"00000"), "")</f>
        <v/>
      </c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>
        <f>IF(K110="", "", IF(K110="Implemented", "Pass", IF(K110="Partial", "Partial", IF(K110="Not Applicable", "N/A", "Fail"))))</f>
        <v/>
      </c>
      <c r="R110" s="8" t="n"/>
      <c r="S110" s="8" t="n"/>
      <c r="T110">
        <f>IF(Q110="", "", IF(OR(Q110="Fail", Q110="Partial"), "Yes", "No"))</f>
        <v/>
      </c>
      <c r="U110" s="8" t="n"/>
      <c r="V110" s="8" t="n"/>
      <c r="W110" s="8" t="n"/>
      <c r="X110" s="8" t="inlineStr">
        <is>
          <t>No</t>
        </is>
      </c>
      <c r="Y110" s="8" t="n"/>
      <c r="Z110" s="8" t="n"/>
      <c r="AA110" s="8" t="n"/>
      <c r="AB110" s="8" t="inlineStr">
        <is>
          <t>[Security Analyst]</t>
        </is>
      </c>
      <c r="AC110" s="8" t="n"/>
      <c r="AD110" s="8" t="n"/>
      <c r="AE110" s="16">
        <f>IF(AA110&lt;&gt;"", AA110+90, "")</f>
        <v/>
      </c>
      <c r="AF110" s="8" t="n"/>
    </row>
    <row r="111">
      <c r="A111">
        <f>IF(B111&lt;&gt;"", "HC-"&amp;TEXT(ROW()-1,"00000"), "")</f>
        <v/>
      </c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>
        <f>IF(K111="", "", IF(K111="Implemented", "Pass", IF(K111="Partial", "Partial", IF(K111="Not Applicable", "N/A", "Fail"))))</f>
        <v/>
      </c>
      <c r="R111" s="8" t="n"/>
      <c r="S111" s="8" t="n"/>
      <c r="T111">
        <f>IF(Q111="", "", IF(OR(Q111="Fail", Q111="Partial"), "Yes", "No"))</f>
        <v/>
      </c>
      <c r="U111" s="8" t="n"/>
      <c r="V111" s="8" t="n"/>
      <c r="W111" s="8" t="n"/>
      <c r="X111" s="8" t="inlineStr">
        <is>
          <t>No</t>
        </is>
      </c>
      <c r="Y111" s="8" t="n"/>
      <c r="Z111" s="8" t="n"/>
      <c r="AA111" s="8" t="n"/>
      <c r="AB111" s="8" t="inlineStr">
        <is>
          <t>[Security Analyst]</t>
        </is>
      </c>
      <c r="AC111" s="8" t="n"/>
      <c r="AD111" s="8" t="n"/>
      <c r="AE111" s="16">
        <f>IF(AA111&lt;&gt;"", AA111+90, "")</f>
        <v/>
      </c>
      <c r="AF111" s="8" t="n"/>
    </row>
    <row r="112">
      <c r="A112">
        <f>IF(B112&lt;&gt;"", "HC-"&amp;TEXT(ROW()-1,"00000"), "")</f>
        <v/>
      </c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>
        <f>IF(K112="", "", IF(K112="Implemented", "Pass", IF(K112="Partial", "Partial", IF(K112="Not Applicable", "N/A", "Fail"))))</f>
        <v/>
      </c>
      <c r="R112" s="8" t="n"/>
      <c r="S112" s="8" t="n"/>
      <c r="T112">
        <f>IF(Q112="", "", IF(OR(Q112="Fail", Q112="Partial"), "Yes", "No"))</f>
        <v/>
      </c>
      <c r="U112" s="8" t="n"/>
      <c r="V112" s="8" t="n"/>
      <c r="W112" s="8" t="n"/>
      <c r="X112" s="8" t="inlineStr">
        <is>
          <t>No</t>
        </is>
      </c>
      <c r="Y112" s="8" t="n"/>
      <c r="Z112" s="8" t="n"/>
      <c r="AA112" s="8" t="n"/>
      <c r="AB112" s="8" t="inlineStr">
        <is>
          <t>[Security Analyst]</t>
        </is>
      </c>
      <c r="AC112" s="8" t="n"/>
      <c r="AD112" s="8" t="n"/>
      <c r="AE112" s="16">
        <f>IF(AA112&lt;&gt;"", AA112+90, "")</f>
        <v/>
      </c>
      <c r="AF112" s="8" t="n"/>
    </row>
    <row r="113">
      <c r="A113">
        <f>IF(B113&lt;&gt;"", "HC-"&amp;TEXT(ROW()-1,"00000"), "")</f>
        <v/>
      </c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>
        <f>IF(K113="", "", IF(K113="Implemented", "Pass", IF(K113="Partial", "Partial", IF(K113="Not Applicable", "N/A", "Fail"))))</f>
        <v/>
      </c>
      <c r="R113" s="8" t="n"/>
      <c r="S113" s="8" t="n"/>
      <c r="T113">
        <f>IF(Q113="", "", IF(OR(Q113="Fail", Q113="Partial"), "Yes", "No"))</f>
        <v/>
      </c>
      <c r="U113" s="8" t="n"/>
      <c r="V113" s="8" t="n"/>
      <c r="W113" s="8" t="n"/>
      <c r="X113" s="8" t="inlineStr">
        <is>
          <t>No</t>
        </is>
      </c>
      <c r="Y113" s="8" t="n"/>
      <c r="Z113" s="8" t="n"/>
      <c r="AA113" s="8" t="n"/>
      <c r="AB113" s="8" t="inlineStr">
        <is>
          <t>[Security Analyst]</t>
        </is>
      </c>
      <c r="AC113" s="8" t="n"/>
      <c r="AD113" s="8" t="n"/>
      <c r="AE113" s="16">
        <f>IF(AA113&lt;&gt;"", AA113+90, "")</f>
        <v/>
      </c>
      <c r="AF113" s="8" t="n"/>
    </row>
    <row r="114">
      <c r="A114">
        <f>IF(B114&lt;&gt;"", "HC-"&amp;TEXT(ROW()-1,"00000"), "")</f>
        <v/>
      </c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>
        <f>IF(K114="", "", IF(K114="Implemented", "Pass", IF(K114="Partial", "Partial", IF(K114="Not Applicable", "N/A", "Fail"))))</f>
        <v/>
      </c>
      <c r="R114" s="8" t="n"/>
      <c r="S114" s="8" t="n"/>
      <c r="T114">
        <f>IF(Q114="", "", IF(OR(Q114="Fail", Q114="Partial"), "Yes", "No"))</f>
        <v/>
      </c>
      <c r="U114" s="8" t="n"/>
      <c r="V114" s="8" t="n"/>
      <c r="W114" s="8" t="n"/>
      <c r="X114" s="8" t="inlineStr">
        <is>
          <t>No</t>
        </is>
      </c>
      <c r="Y114" s="8" t="n"/>
      <c r="Z114" s="8" t="n"/>
      <c r="AA114" s="8" t="n"/>
      <c r="AB114" s="8" t="inlineStr">
        <is>
          <t>[Security Analyst]</t>
        </is>
      </c>
      <c r="AC114" s="8" t="n"/>
      <c r="AD114" s="8" t="n"/>
      <c r="AE114" s="16">
        <f>IF(AA114&lt;&gt;"", AA114+90, "")</f>
        <v/>
      </c>
      <c r="AF114" s="8" t="n"/>
    </row>
    <row r="115">
      <c r="A115">
        <f>IF(B115&lt;&gt;"", "HC-"&amp;TEXT(ROW()-1,"00000"), "")</f>
        <v/>
      </c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>
        <f>IF(K115="", "", IF(K115="Implemented", "Pass", IF(K115="Partial", "Partial", IF(K115="Not Applicable", "N/A", "Fail"))))</f>
        <v/>
      </c>
      <c r="R115" s="8" t="n"/>
      <c r="S115" s="8" t="n"/>
      <c r="T115">
        <f>IF(Q115="", "", IF(OR(Q115="Fail", Q115="Partial"), "Yes", "No"))</f>
        <v/>
      </c>
      <c r="U115" s="8" t="n"/>
      <c r="V115" s="8" t="n"/>
      <c r="W115" s="8" t="n"/>
      <c r="X115" s="8" t="inlineStr">
        <is>
          <t>No</t>
        </is>
      </c>
      <c r="Y115" s="8" t="n"/>
      <c r="Z115" s="8" t="n"/>
      <c r="AA115" s="8" t="n"/>
      <c r="AB115" s="8" t="inlineStr">
        <is>
          <t>[Security Analyst]</t>
        </is>
      </c>
      <c r="AC115" s="8" t="n"/>
      <c r="AD115" s="8" t="n"/>
      <c r="AE115" s="16">
        <f>IF(AA115&lt;&gt;"", AA115+90, "")</f>
        <v/>
      </c>
      <c r="AF115" s="8" t="n"/>
    </row>
    <row r="116">
      <c r="A116">
        <f>IF(B116&lt;&gt;"", "HC-"&amp;TEXT(ROW()-1,"00000"), "")</f>
        <v/>
      </c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>
        <f>IF(K116="", "", IF(K116="Implemented", "Pass", IF(K116="Partial", "Partial", IF(K116="Not Applicable", "N/A", "Fail"))))</f>
        <v/>
      </c>
      <c r="R116" s="8" t="n"/>
      <c r="S116" s="8" t="n"/>
      <c r="T116">
        <f>IF(Q116="", "", IF(OR(Q116="Fail", Q116="Partial"), "Yes", "No"))</f>
        <v/>
      </c>
      <c r="U116" s="8" t="n"/>
      <c r="V116" s="8" t="n"/>
      <c r="W116" s="8" t="n"/>
      <c r="X116" s="8" t="inlineStr">
        <is>
          <t>No</t>
        </is>
      </c>
      <c r="Y116" s="8" t="n"/>
      <c r="Z116" s="8" t="n"/>
      <c r="AA116" s="8" t="n"/>
      <c r="AB116" s="8" t="inlineStr">
        <is>
          <t>[Security Analyst]</t>
        </is>
      </c>
      <c r="AC116" s="8" t="n"/>
      <c r="AD116" s="8" t="n"/>
      <c r="AE116" s="16">
        <f>IF(AA116&lt;&gt;"", AA116+90, "")</f>
        <v/>
      </c>
      <c r="AF116" s="8" t="n"/>
    </row>
    <row r="117">
      <c r="A117">
        <f>IF(B117&lt;&gt;"", "HC-"&amp;TEXT(ROW()-1,"00000"), "")</f>
        <v/>
      </c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>
        <f>IF(K117="", "", IF(K117="Implemented", "Pass", IF(K117="Partial", "Partial", IF(K117="Not Applicable", "N/A", "Fail"))))</f>
        <v/>
      </c>
      <c r="R117" s="8" t="n"/>
      <c r="S117" s="8" t="n"/>
      <c r="T117">
        <f>IF(Q117="", "", IF(OR(Q117="Fail", Q117="Partial"), "Yes", "No"))</f>
        <v/>
      </c>
      <c r="U117" s="8" t="n"/>
      <c r="V117" s="8" t="n"/>
      <c r="W117" s="8" t="n"/>
      <c r="X117" s="8" t="inlineStr">
        <is>
          <t>No</t>
        </is>
      </c>
      <c r="Y117" s="8" t="n"/>
      <c r="Z117" s="8" t="n"/>
      <c r="AA117" s="8" t="n"/>
      <c r="AB117" s="8" t="inlineStr">
        <is>
          <t>[Security Analyst]</t>
        </is>
      </c>
      <c r="AC117" s="8" t="n"/>
      <c r="AD117" s="8" t="n"/>
      <c r="AE117" s="16">
        <f>IF(AA117&lt;&gt;"", AA117+90, "")</f>
        <v/>
      </c>
      <c r="AF117" s="8" t="n"/>
    </row>
    <row r="118">
      <c r="A118">
        <f>IF(B118&lt;&gt;"", "HC-"&amp;TEXT(ROW()-1,"00000"), "")</f>
        <v/>
      </c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>
        <f>IF(K118="", "", IF(K118="Implemented", "Pass", IF(K118="Partial", "Partial", IF(K118="Not Applicable", "N/A", "Fail"))))</f>
        <v/>
      </c>
      <c r="R118" s="8" t="n"/>
      <c r="S118" s="8" t="n"/>
      <c r="T118">
        <f>IF(Q118="", "", IF(OR(Q118="Fail", Q118="Partial"), "Yes", "No"))</f>
        <v/>
      </c>
      <c r="U118" s="8" t="n"/>
      <c r="V118" s="8" t="n"/>
      <c r="W118" s="8" t="n"/>
      <c r="X118" s="8" t="inlineStr">
        <is>
          <t>No</t>
        </is>
      </c>
      <c r="Y118" s="8" t="n"/>
      <c r="Z118" s="8" t="n"/>
      <c r="AA118" s="8" t="n"/>
      <c r="AB118" s="8" t="inlineStr">
        <is>
          <t>[Security Analyst]</t>
        </is>
      </c>
      <c r="AC118" s="8" t="n"/>
      <c r="AD118" s="8" t="n"/>
      <c r="AE118" s="16">
        <f>IF(AA118&lt;&gt;"", AA118+90, "")</f>
        <v/>
      </c>
      <c r="AF118" s="8" t="n"/>
    </row>
    <row r="119">
      <c r="A119">
        <f>IF(B119&lt;&gt;"", "HC-"&amp;TEXT(ROW()-1,"00000"), "")</f>
        <v/>
      </c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>
        <f>IF(K119="", "", IF(K119="Implemented", "Pass", IF(K119="Partial", "Partial", IF(K119="Not Applicable", "N/A", "Fail"))))</f>
        <v/>
      </c>
      <c r="R119" s="8" t="n"/>
      <c r="S119" s="8" t="n"/>
      <c r="T119">
        <f>IF(Q119="", "", IF(OR(Q119="Fail", Q119="Partial"), "Yes", "No"))</f>
        <v/>
      </c>
      <c r="U119" s="8" t="n"/>
      <c r="V119" s="8" t="n"/>
      <c r="W119" s="8" t="n"/>
      <c r="X119" s="8" t="inlineStr">
        <is>
          <t>No</t>
        </is>
      </c>
      <c r="Y119" s="8" t="n"/>
      <c r="Z119" s="8" t="n"/>
      <c r="AA119" s="8" t="n"/>
      <c r="AB119" s="8" t="inlineStr">
        <is>
          <t>[Security Analyst]</t>
        </is>
      </c>
      <c r="AC119" s="8" t="n"/>
      <c r="AD119" s="8" t="n"/>
      <c r="AE119" s="16">
        <f>IF(AA119&lt;&gt;"", AA119+90, "")</f>
        <v/>
      </c>
      <c r="AF119" s="8" t="n"/>
    </row>
    <row r="120">
      <c r="A120">
        <f>IF(B120&lt;&gt;"", "HC-"&amp;TEXT(ROW()-1,"00000"), "")</f>
        <v/>
      </c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>
        <f>IF(K120="", "", IF(K120="Implemented", "Pass", IF(K120="Partial", "Partial", IF(K120="Not Applicable", "N/A", "Fail"))))</f>
        <v/>
      </c>
      <c r="R120" s="8" t="n"/>
      <c r="S120" s="8" t="n"/>
      <c r="T120">
        <f>IF(Q120="", "", IF(OR(Q120="Fail", Q120="Partial"), "Yes", "No"))</f>
        <v/>
      </c>
      <c r="U120" s="8" t="n"/>
      <c r="V120" s="8" t="n"/>
      <c r="W120" s="8" t="n"/>
      <c r="X120" s="8" t="inlineStr">
        <is>
          <t>No</t>
        </is>
      </c>
      <c r="Y120" s="8" t="n"/>
      <c r="Z120" s="8" t="n"/>
      <c r="AA120" s="8" t="n"/>
      <c r="AB120" s="8" t="inlineStr">
        <is>
          <t>[Security Analyst]</t>
        </is>
      </c>
      <c r="AC120" s="8" t="n"/>
      <c r="AD120" s="8" t="n"/>
      <c r="AE120" s="16">
        <f>IF(AA120&lt;&gt;"", AA120+90, "")</f>
        <v/>
      </c>
      <c r="AF120" s="8" t="n"/>
    </row>
    <row r="121">
      <c r="A121">
        <f>IF(B121&lt;&gt;"", "HC-"&amp;TEXT(ROW()-1,"00000"), "")</f>
        <v/>
      </c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>
        <f>IF(K121="", "", IF(K121="Implemented", "Pass", IF(K121="Partial", "Partial", IF(K121="Not Applicable", "N/A", "Fail"))))</f>
        <v/>
      </c>
      <c r="R121" s="8" t="n"/>
      <c r="S121" s="8" t="n"/>
      <c r="T121">
        <f>IF(Q121="", "", IF(OR(Q121="Fail", Q121="Partial"), "Yes", "No"))</f>
        <v/>
      </c>
      <c r="U121" s="8" t="n"/>
      <c r="V121" s="8" t="n"/>
      <c r="W121" s="8" t="n"/>
      <c r="X121" s="8" t="inlineStr">
        <is>
          <t>No</t>
        </is>
      </c>
      <c r="Y121" s="8" t="n"/>
      <c r="Z121" s="8" t="n"/>
      <c r="AA121" s="8" t="n"/>
      <c r="AB121" s="8" t="inlineStr">
        <is>
          <t>[Security Analyst]</t>
        </is>
      </c>
      <c r="AC121" s="8" t="n"/>
      <c r="AD121" s="8" t="n"/>
      <c r="AE121" s="16">
        <f>IF(AA121&lt;&gt;"", AA121+90, "")</f>
        <v/>
      </c>
      <c r="AF121" s="8" t="n"/>
    </row>
    <row r="122">
      <c r="A122">
        <f>IF(B122&lt;&gt;"", "HC-"&amp;TEXT(ROW()-1,"00000"), "")</f>
        <v/>
      </c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>
        <f>IF(K122="", "", IF(K122="Implemented", "Pass", IF(K122="Partial", "Partial", IF(K122="Not Applicable", "N/A", "Fail"))))</f>
        <v/>
      </c>
      <c r="R122" s="8" t="n"/>
      <c r="S122" s="8" t="n"/>
      <c r="T122">
        <f>IF(Q122="", "", IF(OR(Q122="Fail", Q122="Partial"), "Yes", "No"))</f>
        <v/>
      </c>
      <c r="U122" s="8" t="n"/>
      <c r="V122" s="8" t="n"/>
      <c r="W122" s="8" t="n"/>
      <c r="X122" s="8" t="inlineStr">
        <is>
          <t>No</t>
        </is>
      </c>
      <c r="Y122" s="8" t="n"/>
      <c r="Z122" s="8" t="n"/>
      <c r="AA122" s="8" t="n"/>
      <c r="AB122" s="8" t="inlineStr">
        <is>
          <t>[Security Analyst]</t>
        </is>
      </c>
      <c r="AC122" s="8" t="n"/>
      <c r="AD122" s="8" t="n"/>
      <c r="AE122" s="16">
        <f>IF(AA122&lt;&gt;"", AA122+90, "")</f>
        <v/>
      </c>
      <c r="AF122" s="8" t="n"/>
    </row>
    <row r="123">
      <c r="A123">
        <f>IF(B123&lt;&gt;"", "HC-"&amp;TEXT(ROW()-1,"00000"), "")</f>
        <v/>
      </c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>
        <f>IF(K123="", "", IF(K123="Implemented", "Pass", IF(K123="Partial", "Partial", IF(K123="Not Applicable", "N/A", "Fail"))))</f>
        <v/>
      </c>
      <c r="R123" s="8" t="n"/>
      <c r="S123" s="8" t="n"/>
      <c r="T123">
        <f>IF(Q123="", "", IF(OR(Q123="Fail", Q123="Partial"), "Yes", "No"))</f>
        <v/>
      </c>
      <c r="U123" s="8" t="n"/>
      <c r="V123" s="8" t="n"/>
      <c r="W123" s="8" t="n"/>
      <c r="X123" s="8" t="inlineStr">
        <is>
          <t>No</t>
        </is>
      </c>
      <c r="Y123" s="8" t="n"/>
      <c r="Z123" s="8" t="n"/>
      <c r="AA123" s="8" t="n"/>
      <c r="AB123" s="8" t="inlineStr">
        <is>
          <t>[Security Analyst]</t>
        </is>
      </c>
      <c r="AC123" s="8" t="n"/>
      <c r="AD123" s="8" t="n"/>
      <c r="AE123" s="16">
        <f>IF(AA123&lt;&gt;"", AA123+90, "")</f>
        <v/>
      </c>
      <c r="AF123" s="8" t="n"/>
    </row>
    <row r="124">
      <c r="A124">
        <f>IF(B124&lt;&gt;"", "HC-"&amp;TEXT(ROW()-1,"00000"), "")</f>
        <v/>
      </c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>
        <f>IF(K124="", "", IF(K124="Implemented", "Pass", IF(K124="Partial", "Partial", IF(K124="Not Applicable", "N/A", "Fail"))))</f>
        <v/>
      </c>
      <c r="R124" s="8" t="n"/>
      <c r="S124" s="8" t="n"/>
      <c r="T124">
        <f>IF(Q124="", "", IF(OR(Q124="Fail", Q124="Partial"), "Yes", "No"))</f>
        <v/>
      </c>
      <c r="U124" s="8" t="n"/>
      <c r="V124" s="8" t="n"/>
      <c r="W124" s="8" t="n"/>
      <c r="X124" s="8" t="inlineStr">
        <is>
          <t>No</t>
        </is>
      </c>
      <c r="Y124" s="8" t="n"/>
      <c r="Z124" s="8" t="n"/>
      <c r="AA124" s="8" t="n"/>
      <c r="AB124" s="8" t="inlineStr">
        <is>
          <t>[Security Analyst]</t>
        </is>
      </c>
      <c r="AC124" s="8" t="n"/>
      <c r="AD124" s="8" t="n"/>
      <c r="AE124" s="16">
        <f>IF(AA124&lt;&gt;"", AA124+90, "")</f>
        <v/>
      </c>
      <c r="AF124" s="8" t="n"/>
    </row>
    <row r="125">
      <c r="A125">
        <f>IF(B125&lt;&gt;"", "HC-"&amp;TEXT(ROW()-1,"00000"), "")</f>
        <v/>
      </c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>
        <f>IF(K125="", "", IF(K125="Implemented", "Pass", IF(K125="Partial", "Partial", IF(K125="Not Applicable", "N/A", "Fail"))))</f>
        <v/>
      </c>
      <c r="R125" s="8" t="n"/>
      <c r="S125" s="8" t="n"/>
      <c r="T125">
        <f>IF(Q125="", "", IF(OR(Q125="Fail", Q125="Partial"), "Yes", "No"))</f>
        <v/>
      </c>
      <c r="U125" s="8" t="n"/>
      <c r="V125" s="8" t="n"/>
      <c r="W125" s="8" t="n"/>
      <c r="X125" s="8" t="inlineStr">
        <is>
          <t>No</t>
        </is>
      </c>
      <c r="Y125" s="8" t="n"/>
      <c r="Z125" s="8" t="n"/>
      <c r="AA125" s="8" t="n"/>
      <c r="AB125" s="8" t="inlineStr">
        <is>
          <t>[Security Analyst]</t>
        </is>
      </c>
      <c r="AC125" s="8" t="n"/>
      <c r="AD125" s="8" t="n"/>
      <c r="AE125" s="16">
        <f>IF(AA125&lt;&gt;"", AA125+90, "")</f>
        <v/>
      </c>
      <c r="AF125" s="8" t="n"/>
    </row>
    <row r="126">
      <c r="A126">
        <f>IF(B126&lt;&gt;"", "HC-"&amp;TEXT(ROW()-1,"00000"), "")</f>
        <v/>
      </c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>
        <f>IF(K126="", "", IF(K126="Implemented", "Pass", IF(K126="Partial", "Partial", IF(K126="Not Applicable", "N/A", "Fail"))))</f>
        <v/>
      </c>
      <c r="R126" s="8" t="n"/>
      <c r="S126" s="8" t="n"/>
      <c r="T126">
        <f>IF(Q126="", "", IF(OR(Q126="Fail", Q126="Partial"), "Yes", "No"))</f>
        <v/>
      </c>
      <c r="U126" s="8" t="n"/>
      <c r="V126" s="8" t="n"/>
      <c r="W126" s="8" t="n"/>
      <c r="X126" s="8" t="inlineStr">
        <is>
          <t>No</t>
        </is>
      </c>
      <c r="Y126" s="8" t="n"/>
      <c r="Z126" s="8" t="n"/>
      <c r="AA126" s="8" t="n"/>
      <c r="AB126" s="8" t="inlineStr">
        <is>
          <t>[Security Analyst]</t>
        </is>
      </c>
      <c r="AC126" s="8" t="n"/>
      <c r="AD126" s="8" t="n"/>
      <c r="AE126" s="16">
        <f>IF(AA126&lt;&gt;"", AA126+90, "")</f>
        <v/>
      </c>
      <c r="AF126" s="8" t="n"/>
    </row>
    <row r="127">
      <c r="A127">
        <f>IF(B127&lt;&gt;"", "HC-"&amp;TEXT(ROW()-1,"00000"), "")</f>
        <v/>
      </c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>
        <f>IF(K127="", "", IF(K127="Implemented", "Pass", IF(K127="Partial", "Partial", IF(K127="Not Applicable", "N/A", "Fail"))))</f>
        <v/>
      </c>
      <c r="R127" s="8" t="n"/>
      <c r="S127" s="8" t="n"/>
      <c r="T127">
        <f>IF(Q127="", "", IF(OR(Q127="Fail", Q127="Partial"), "Yes", "No"))</f>
        <v/>
      </c>
      <c r="U127" s="8" t="n"/>
      <c r="V127" s="8" t="n"/>
      <c r="W127" s="8" t="n"/>
      <c r="X127" s="8" t="inlineStr">
        <is>
          <t>No</t>
        </is>
      </c>
      <c r="Y127" s="8" t="n"/>
      <c r="Z127" s="8" t="n"/>
      <c r="AA127" s="8" t="n"/>
      <c r="AB127" s="8" t="inlineStr">
        <is>
          <t>[Security Analyst]</t>
        </is>
      </c>
      <c r="AC127" s="8" t="n"/>
      <c r="AD127" s="8" t="n"/>
      <c r="AE127" s="16">
        <f>IF(AA127&lt;&gt;"", AA127+90, "")</f>
        <v/>
      </c>
      <c r="AF127" s="8" t="n"/>
    </row>
    <row r="128">
      <c r="A128">
        <f>IF(B128&lt;&gt;"", "HC-"&amp;TEXT(ROW()-1,"00000"), "")</f>
        <v/>
      </c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>
        <f>IF(K128="", "", IF(K128="Implemented", "Pass", IF(K128="Partial", "Partial", IF(K128="Not Applicable", "N/A", "Fail"))))</f>
        <v/>
      </c>
      <c r="R128" s="8" t="n"/>
      <c r="S128" s="8" t="n"/>
      <c r="T128">
        <f>IF(Q128="", "", IF(OR(Q128="Fail", Q128="Partial"), "Yes", "No"))</f>
        <v/>
      </c>
      <c r="U128" s="8" t="n"/>
      <c r="V128" s="8" t="n"/>
      <c r="W128" s="8" t="n"/>
      <c r="X128" s="8" t="inlineStr">
        <is>
          <t>No</t>
        </is>
      </c>
      <c r="Y128" s="8" t="n"/>
      <c r="Z128" s="8" t="n"/>
      <c r="AA128" s="8" t="n"/>
      <c r="AB128" s="8" t="inlineStr">
        <is>
          <t>[Security Analyst]</t>
        </is>
      </c>
      <c r="AC128" s="8" t="n"/>
      <c r="AD128" s="8" t="n"/>
      <c r="AE128" s="16">
        <f>IF(AA128&lt;&gt;"", AA128+90, "")</f>
        <v/>
      </c>
      <c r="AF128" s="8" t="n"/>
    </row>
    <row r="129">
      <c r="A129">
        <f>IF(B129&lt;&gt;"", "HC-"&amp;TEXT(ROW()-1,"00000"), "")</f>
        <v/>
      </c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>
        <f>IF(K129="", "", IF(K129="Implemented", "Pass", IF(K129="Partial", "Partial", IF(K129="Not Applicable", "N/A", "Fail"))))</f>
        <v/>
      </c>
      <c r="R129" s="8" t="n"/>
      <c r="S129" s="8" t="n"/>
      <c r="T129">
        <f>IF(Q129="", "", IF(OR(Q129="Fail", Q129="Partial"), "Yes", "No"))</f>
        <v/>
      </c>
      <c r="U129" s="8" t="n"/>
      <c r="V129" s="8" t="n"/>
      <c r="W129" s="8" t="n"/>
      <c r="X129" s="8" t="inlineStr">
        <is>
          <t>No</t>
        </is>
      </c>
      <c r="Y129" s="8" t="n"/>
      <c r="Z129" s="8" t="n"/>
      <c r="AA129" s="8" t="n"/>
      <c r="AB129" s="8" t="inlineStr">
        <is>
          <t>[Security Analyst]</t>
        </is>
      </c>
      <c r="AC129" s="8" t="n"/>
      <c r="AD129" s="8" t="n"/>
      <c r="AE129" s="16">
        <f>IF(AA129&lt;&gt;"", AA129+90, "")</f>
        <v/>
      </c>
      <c r="AF129" s="8" t="n"/>
    </row>
    <row r="130">
      <c r="A130">
        <f>IF(B130&lt;&gt;"", "HC-"&amp;TEXT(ROW()-1,"00000"), "")</f>
        <v/>
      </c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>
        <f>IF(K130="", "", IF(K130="Implemented", "Pass", IF(K130="Partial", "Partial", IF(K130="Not Applicable", "N/A", "Fail"))))</f>
        <v/>
      </c>
      <c r="R130" s="8" t="n"/>
      <c r="S130" s="8" t="n"/>
      <c r="T130">
        <f>IF(Q130="", "", IF(OR(Q130="Fail", Q130="Partial"), "Yes", "No"))</f>
        <v/>
      </c>
      <c r="U130" s="8" t="n"/>
      <c r="V130" s="8" t="n"/>
      <c r="W130" s="8" t="n"/>
      <c r="X130" s="8" t="inlineStr">
        <is>
          <t>No</t>
        </is>
      </c>
      <c r="Y130" s="8" t="n"/>
      <c r="Z130" s="8" t="n"/>
      <c r="AA130" s="8" t="n"/>
      <c r="AB130" s="8" t="inlineStr">
        <is>
          <t>[Security Analyst]</t>
        </is>
      </c>
      <c r="AC130" s="8" t="n"/>
      <c r="AD130" s="8" t="n"/>
      <c r="AE130" s="16">
        <f>IF(AA130&lt;&gt;"", AA130+90, "")</f>
        <v/>
      </c>
      <c r="AF130" s="8" t="n"/>
    </row>
    <row r="131">
      <c r="A131">
        <f>IF(B131&lt;&gt;"", "HC-"&amp;TEXT(ROW()-1,"00000"), "")</f>
        <v/>
      </c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>
        <f>IF(K131="", "", IF(K131="Implemented", "Pass", IF(K131="Partial", "Partial", IF(K131="Not Applicable", "N/A", "Fail"))))</f>
        <v/>
      </c>
      <c r="R131" s="8" t="n"/>
      <c r="S131" s="8" t="n"/>
      <c r="T131">
        <f>IF(Q131="", "", IF(OR(Q131="Fail", Q131="Partial"), "Yes", "No"))</f>
        <v/>
      </c>
      <c r="U131" s="8" t="n"/>
      <c r="V131" s="8" t="n"/>
      <c r="W131" s="8" t="n"/>
      <c r="X131" s="8" t="inlineStr">
        <is>
          <t>No</t>
        </is>
      </c>
      <c r="Y131" s="8" t="n"/>
      <c r="Z131" s="8" t="n"/>
      <c r="AA131" s="8" t="n"/>
      <c r="AB131" s="8" t="inlineStr">
        <is>
          <t>[Security Analyst]</t>
        </is>
      </c>
      <c r="AC131" s="8" t="n"/>
      <c r="AD131" s="8" t="n"/>
      <c r="AE131" s="16">
        <f>IF(AA131&lt;&gt;"", AA131+90, "")</f>
        <v/>
      </c>
      <c r="AF131" s="8" t="n"/>
    </row>
    <row r="132">
      <c r="A132">
        <f>IF(B132&lt;&gt;"", "HC-"&amp;TEXT(ROW()-1,"00000"), "")</f>
        <v/>
      </c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>
        <f>IF(K132="", "", IF(K132="Implemented", "Pass", IF(K132="Partial", "Partial", IF(K132="Not Applicable", "N/A", "Fail"))))</f>
        <v/>
      </c>
      <c r="R132" s="8" t="n"/>
      <c r="S132" s="8" t="n"/>
      <c r="T132">
        <f>IF(Q132="", "", IF(OR(Q132="Fail", Q132="Partial"), "Yes", "No"))</f>
        <v/>
      </c>
      <c r="U132" s="8" t="n"/>
      <c r="V132" s="8" t="n"/>
      <c r="W132" s="8" t="n"/>
      <c r="X132" s="8" t="inlineStr">
        <is>
          <t>No</t>
        </is>
      </c>
      <c r="Y132" s="8" t="n"/>
      <c r="Z132" s="8" t="n"/>
      <c r="AA132" s="8" t="n"/>
      <c r="AB132" s="8" t="inlineStr">
        <is>
          <t>[Security Analyst]</t>
        </is>
      </c>
      <c r="AC132" s="8" t="n"/>
      <c r="AD132" s="8" t="n"/>
      <c r="AE132" s="16">
        <f>IF(AA132&lt;&gt;"", AA132+90, "")</f>
        <v/>
      </c>
      <c r="AF132" s="8" t="n"/>
    </row>
    <row r="133">
      <c r="A133">
        <f>IF(B133&lt;&gt;"", "HC-"&amp;TEXT(ROW()-1,"00000"), "")</f>
        <v/>
      </c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>
        <f>IF(K133="", "", IF(K133="Implemented", "Pass", IF(K133="Partial", "Partial", IF(K133="Not Applicable", "N/A", "Fail"))))</f>
        <v/>
      </c>
      <c r="R133" s="8" t="n"/>
      <c r="S133" s="8" t="n"/>
      <c r="T133">
        <f>IF(Q133="", "", IF(OR(Q133="Fail", Q133="Partial"), "Yes", "No"))</f>
        <v/>
      </c>
      <c r="U133" s="8" t="n"/>
      <c r="V133" s="8" t="n"/>
      <c r="W133" s="8" t="n"/>
      <c r="X133" s="8" t="inlineStr">
        <is>
          <t>No</t>
        </is>
      </c>
      <c r="Y133" s="8" t="n"/>
      <c r="Z133" s="8" t="n"/>
      <c r="AA133" s="8" t="n"/>
      <c r="AB133" s="8" t="inlineStr">
        <is>
          <t>[Security Analyst]</t>
        </is>
      </c>
      <c r="AC133" s="8" t="n"/>
      <c r="AD133" s="8" t="n"/>
      <c r="AE133" s="16">
        <f>IF(AA133&lt;&gt;"", AA133+90, "")</f>
        <v/>
      </c>
      <c r="AF133" s="8" t="n"/>
    </row>
    <row r="134">
      <c r="A134">
        <f>IF(B134&lt;&gt;"", "HC-"&amp;TEXT(ROW()-1,"00000"), "")</f>
        <v/>
      </c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>
        <f>IF(K134="", "", IF(K134="Implemented", "Pass", IF(K134="Partial", "Partial", IF(K134="Not Applicable", "N/A", "Fail"))))</f>
        <v/>
      </c>
      <c r="R134" s="8" t="n"/>
      <c r="S134" s="8" t="n"/>
      <c r="T134">
        <f>IF(Q134="", "", IF(OR(Q134="Fail", Q134="Partial"), "Yes", "No"))</f>
        <v/>
      </c>
      <c r="U134" s="8" t="n"/>
      <c r="V134" s="8" t="n"/>
      <c r="W134" s="8" t="n"/>
      <c r="X134" s="8" t="inlineStr">
        <is>
          <t>No</t>
        </is>
      </c>
      <c r="Y134" s="8" t="n"/>
      <c r="Z134" s="8" t="n"/>
      <c r="AA134" s="8" t="n"/>
      <c r="AB134" s="8" t="inlineStr">
        <is>
          <t>[Security Analyst]</t>
        </is>
      </c>
      <c r="AC134" s="8" t="n"/>
      <c r="AD134" s="8" t="n"/>
      <c r="AE134" s="16">
        <f>IF(AA134&lt;&gt;"", AA134+90, "")</f>
        <v/>
      </c>
      <c r="AF134" s="8" t="n"/>
    </row>
    <row r="135">
      <c r="A135">
        <f>IF(B135&lt;&gt;"", "HC-"&amp;TEXT(ROW()-1,"00000"), "")</f>
        <v/>
      </c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>
        <f>IF(K135="", "", IF(K135="Implemented", "Pass", IF(K135="Partial", "Partial", IF(K135="Not Applicable", "N/A", "Fail"))))</f>
        <v/>
      </c>
      <c r="R135" s="8" t="n"/>
      <c r="S135" s="8" t="n"/>
      <c r="T135">
        <f>IF(Q135="", "", IF(OR(Q135="Fail", Q135="Partial"), "Yes", "No"))</f>
        <v/>
      </c>
      <c r="U135" s="8" t="n"/>
      <c r="V135" s="8" t="n"/>
      <c r="W135" s="8" t="n"/>
      <c r="X135" s="8" t="inlineStr">
        <is>
          <t>No</t>
        </is>
      </c>
      <c r="Y135" s="8" t="n"/>
      <c r="Z135" s="8" t="n"/>
      <c r="AA135" s="8" t="n"/>
      <c r="AB135" s="8" t="inlineStr">
        <is>
          <t>[Security Analyst]</t>
        </is>
      </c>
      <c r="AC135" s="8" t="n"/>
      <c r="AD135" s="8" t="n"/>
      <c r="AE135" s="16">
        <f>IF(AA135&lt;&gt;"", AA135+90, "")</f>
        <v/>
      </c>
      <c r="AF135" s="8" t="n"/>
    </row>
    <row r="136">
      <c r="A136">
        <f>IF(B136&lt;&gt;"", "HC-"&amp;TEXT(ROW()-1,"00000"), "")</f>
        <v/>
      </c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>
        <f>IF(K136="", "", IF(K136="Implemented", "Pass", IF(K136="Partial", "Partial", IF(K136="Not Applicable", "N/A", "Fail"))))</f>
        <v/>
      </c>
      <c r="R136" s="8" t="n"/>
      <c r="S136" s="8" t="n"/>
      <c r="T136">
        <f>IF(Q136="", "", IF(OR(Q136="Fail", Q136="Partial"), "Yes", "No"))</f>
        <v/>
      </c>
      <c r="U136" s="8" t="n"/>
      <c r="V136" s="8" t="n"/>
      <c r="W136" s="8" t="n"/>
      <c r="X136" s="8" t="inlineStr">
        <is>
          <t>No</t>
        </is>
      </c>
      <c r="Y136" s="8" t="n"/>
      <c r="Z136" s="8" t="n"/>
      <c r="AA136" s="8" t="n"/>
      <c r="AB136" s="8" t="inlineStr">
        <is>
          <t>[Security Analyst]</t>
        </is>
      </c>
      <c r="AC136" s="8" t="n"/>
      <c r="AD136" s="8" t="n"/>
      <c r="AE136" s="16">
        <f>IF(AA136&lt;&gt;"", AA136+90, "")</f>
        <v/>
      </c>
      <c r="AF136" s="8" t="n"/>
    </row>
    <row r="137">
      <c r="A137">
        <f>IF(B137&lt;&gt;"", "HC-"&amp;TEXT(ROW()-1,"00000"), "")</f>
        <v/>
      </c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>
        <f>IF(K137="", "", IF(K137="Implemented", "Pass", IF(K137="Partial", "Partial", IF(K137="Not Applicable", "N/A", "Fail"))))</f>
        <v/>
      </c>
      <c r="R137" s="8" t="n"/>
      <c r="S137" s="8" t="n"/>
      <c r="T137">
        <f>IF(Q137="", "", IF(OR(Q137="Fail", Q137="Partial"), "Yes", "No"))</f>
        <v/>
      </c>
      <c r="U137" s="8" t="n"/>
      <c r="V137" s="8" t="n"/>
      <c r="W137" s="8" t="n"/>
      <c r="X137" s="8" t="inlineStr">
        <is>
          <t>No</t>
        </is>
      </c>
      <c r="Y137" s="8" t="n"/>
      <c r="Z137" s="8" t="n"/>
      <c r="AA137" s="8" t="n"/>
      <c r="AB137" s="8" t="inlineStr">
        <is>
          <t>[Security Analyst]</t>
        </is>
      </c>
      <c r="AC137" s="8" t="n"/>
      <c r="AD137" s="8" t="n"/>
      <c r="AE137" s="16">
        <f>IF(AA137&lt;&gt;"", AA137+90, "")</f>
        <v/>
      </c>
      <c r="AF137" s="8" t="n"/>
    </row>
    <row r="138">
      <c r="A138">
        <f>IF(B138&lt;&gt;"", "HC-"&amp;TEXT(ROW()-1,"00000"), "")</f>
        <v/>
      </c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>
        <f>IF(K138="", "", IF(K138="Implemented", "Pass", IF(K138="Partial", "Partial", IF(K138="Not Applicable", "N/A", "Fail"))))</f>
        <v/>
      </c>
      <c r="R138" s="8" t="n"/>
      <c r="S138" s="8" t="n"/>
      <c r="T138">
        <f>IF(Q138="", "", IF(OR(Q138="Fail", Q138="Partial"), "Yes", "No"))</f>
        <v/>
      </c>
      <c r="U138" s="8" t="n"/>
      <c r="V138" s="8" t="n"/>
      <c r="W138" s="8" t="n"/>
      <c r="X138" s="8" t="inlineStr">
        <is>
          <t>No</t>
        </is>
      </c>
      <c r="Y138" s="8" t="n"/>
      <c r="Z138" s="8" t="n"/>
      <c r="AA138" s="8" t="n"/>
      <c r="AB138" s="8" t="inlineStr">
        <is>
          <t>[Security Analyst]</t>
        </is>
      </c>
      <c r="AC138" s="8" t="n"/>
      <c r="AD138" s="8" t="n"/>
      <c r="AE138" s="16">
        <f>IF(AA138&lt;&gt;"", AA138+90, "")</f>
        <v/>
      </c>
      <c r="AF138" s="8" t="n"/>
    </row>
    <row r="139">
      <c r="A139">
        <f>IF(B139&lt;&gt;"", "HC-"&amp;TEXT(ROW()-1,"00000"), "")</f>
        <v/>
      </c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>
        <f>IF(K139="", "", IF(K139="Implemented", "Pass", IF(K139="Partial", "Partial", IF(K139="Not Applicable", "N/A", "Fail"))))</f>
        <v/>
      </c>
      <c r="R139" s="8" t="n"/>
      <c r="S139" s="8" t="n"/>
      <c r="T139">
        <f>IF(Q139="", "", IF(OR(Q139="Fail", Q139="Partial"), "Yes", "No"))</f>
        <v/>
      </c>
      <c r="U139" s="8" t="n"/>
      <c r="V139" s="8" t="n"/>
      <c r="W139" s="8" t="n"/>
      <c r="X139" s="8" t="inlineStr">
        <is>
          <t>No</t>
        </is>
      </c>
      <c r="Y139" s="8" t="n"/>
      <c r="Z139" s="8" t="n"/>
      <c r="AA139" s="8" t="n"/>
      <c r="AB139" s="8" t="inlineStr">
        <is>
          <t>[Security Analyst]</t>
        </is>
      </c>
      <c r="AC139" s="8" t="n"/>
      <c r="AD139" s="8" t="n"/>
      <c r="AE139" s="16">
        <f>IF(AA139&lt;&gt;"", AA139+90, "")</f>
        <v/>
      </c>
      <c r="AF139" s="8" t="n"/>
    </row>
    <row r="140">
      <c r="A140">
        <f>IF(B140&lt;&gt;"", "HC-"&amp;TEXT(ROW()-1,"00000"), "")</f>
        <v/>
      </c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>
        <f>IF(K140="", "", IF(K140="Implemented", "Pass", IF(K140="Partial", "Partial", IF(K140="Not Applicable", "N/A", "Fail"))))</f>
        <v/>
      </c>
      <c r="R140" s="8" t="n"/>
      <c r="S140" s="8" t="n"/>
      <c r="T140">
        <f>IF(Q140="", "", IF(OR(Q140="Fail", Q140="Partial"), "Yes", "No"))</f>
        <v/>
      </c>
      <c r="U140" s="8" t="n"/>
      <c r="V140" s="8" t="n"/>
      <c r="W140" s="8" t="n"/>
      <c r="X140" s="8" t="inlineStr">
        <is>
          <t>No</t>
        </is>
      </c>
      <c r="Y140" s="8" t="n"/>
      <c r="Z140" s="8" t="n"/>
      <c r="AA140" s="8" t="n"/>
      <c r="AB140" s="8" t="inlineStr">
        <is>
          <t>[Security Analyst]</t>
        </is>
      </c>
      <c r="AC140" s="8" t="n"/>
      <c r="AD140" s="8" t="n"/>
      <c r="AE140" s="16">
        <f>IF(AA140&lt;&gt;"", AA140+90, "")</f>
        <v/>
      </c>
      <c r="AF140" s="8" t="n"/>
    </row>
    <row r="141">
      <c r="A141">
        <f>IF(B141&lt;&gt;"", "HC-"&amp;TEXT(ROW()-1,"00000"), "")</f>
        <v/>
      </c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>
        <f>IF(K141="", "", IF(K141="Implemented", "Pass", IF(K141="Partial", "Partial", IF(K141="Not Applicable", "N/A", "Fail"))))</f>
        <v/>
      </c>
      <c r="R141" s="8" t="n"/>
      <c r="S141" s="8" t="n"/>
      <c r="T141">
        <f>IF(Q141="", "", IF(OR(Q141="Fail", Q141="Partial"), "Yes", "No"))</f>
        <v/>
      </c>
      <c r="U141" s="8" t="n"/>
      <c r="V141" s="8" t="n"/>
      <c r="W141" s="8" t="n"/>
      <c r="X141" s="8" t="inlineStr">
        <is>
          <t>No</t>
        </is>
      </c>
      <c r="Y141" s="8" t="n"/>
      <c r="Z141" s="8" t="n"/>
      <c r="AA141" s="8" t="n"/>
      <c r="AB141" s="8" t="inlineStr">
        <is>
          <t>[Security Analyst]</t>
        </is>
      </c>
      <c r="AC141" s="8" t="n"/>
      <c r="AD141" s="8" t="n"/>
      <c r="AE141" s="16">
        <f>IF(AA141&lt;&gt;"", AA141+90, "")</f>
        <v/>
      </c>
      <c r="AF141" s="8" t="n"/>
    </row>
    <row r="142">
      <c r="A142">
        <f>IF(B142&lt;&gt;"", "HC-"&amp;TEXT(ROW()-1,"00000"), "")</f>
        <v/>
      </c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>
        <f>IF(K142="", "", IF(K142="Implemented", "Pass", IF(K142="Partial", "Partial", IF(K142="Not Applicable", "N/A", "Fail"))))</f>
        <v/>
      </c>
      <c r="R142" s="8" t="n"/>
      <c r="S142" s="8" t="n"/>
      <c r="T142">
        <f>IF(Q142="", "", IF(OR(Q142="Fail", Q142="Partial"), "Yes", "No"))</f>
        <v/>
      </c>
      <c r="U142" s="8" t="n"/>
      <c r="V142" s="8" t="n"/>
      <c r="W142" s="8" t="n"/>
      <c r="X142" s="8" t="inlineStr">
        <is>
          <t>No</t>
        </is>
      </c>
      <c r="Y142" s="8" t="n"/>
      <c r="Z142" s="8" t="n"/>
      <c r="AA142" s="8" t="n"/>
      <c r="AB142" s="8" t="inlineStr">
        <is>
          <t>[Security Analyst]</t>
        </is>
      </c>
      <c r="AC142" s="8" t="n"/>
      <c r="AD142" s="8" t="n"/>
      <c r="AE142" s="16">
        <f>IF(AA142&lt;&gt;"", AA142+90, "")</f>
        <v/>
      </c>
      <c r="AF142" s="8" t="n"/>
    </row>
    <row r="143">
      <c r="A143">
        <f>IF(B143&lt;&gt;"", "HC-"&amp;TEXT(ROW()-1,"00000"), "")</f>
        <v/>
      </c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>
        <f>IF(K143="", "", IF(K143="Implemented", "Pass", IF(K143="Partial", "Partial", IF(K143="Not Applicable", "N/A", "Fail"))))</f>
        <v/>
      </c>
      <c r="R143" s="8" t="n"/>
      <c r="S143" s="8" t="n"/>
      <c r="T143">
        <f>IF(Q143="", "", IF(OR(Q143="Fail", Q143="Partial"), "Yes", "No"))</f>
        <v/>
      </c>
      <c r="U143" s="8" t="n"/>
      <c r="V143" s="8" t="n"/>
      <c r="W143" s="8" t="n"/>
      <c r="X143" s="8" t="inlineStr">
        <is>
          <t>No</t>
        </is>
      </c>
      <c r="Y143" s="8" t="n"/>
      <c r="Z143" s="8" t="n"/>
      <c r="AA143" s="8" t="n"/>
      <c r="AB143" s="8" t="inlineStr">
        <is>
          <t>[Security Analyst]</t>
        </is>
      </c>
      <c r="AC143" s="8" t="n"/>
      <c r="AD143" s="8" t="n"/>
      <c r="AE143" s="16">
        <f>IF(AA143&lt;&gt;"", AA143+90, "")</f>
        <v/>
      </c>
      <c r="AF143" s="8" t="n"/>
    </row>
    <row r="144">
      <c r="A144">
        <f>IF(B144&lt;&gt;"", "HC-"&amp;TEXT(ROW()-1,"00000"), "")</f>
        <v/>
      </c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>
        <f>IF(K144="", "", IF(K144="Implemented", "Pass", IF(K144="Partial", "Partial", IF(K144="Not Applicable", "N/A", "Fail"))))</f>
        <v/>
      </c>
      <c r="R144" s="8" t="n"/>
      <c r="S144" s="8" t="n"/>
      <c r="T144">
        <f>IF(Q144="", "", IF(OR(Q144="Fail", Q144="Partial"), "Yes", "No"))</f>
        <v/>
      </c>
      <c r="U144" s="8" t="n"/>
      <c r="V144" s="8" t="n"/>
      <c r="W144" s="8" t="n"/>
      <c r="X144" s="8" t="inlineStr">
        <is>
          <t>No</t>
        </is>
      </c>
      <c r="Y144" s="8" t="n"/>
      <c r="Z144" s="8" t="n"/>
      <c r="AA144" s="8" t="n"/>
      <c r="AB144" s="8" t="inlineStr">
        <is>
          <t>[Security Analyst]</t>
        </is>
      </c>
      <c r="AC144" s="8" t="n"/>
      <c r="AD144" s="8" t="n"/>
      <c r="AE144" s="16">
        <f>IF(AA144&lt;&gt;"", AA144+90, "")</f>
        <v/>
      </c>
      <c r="AF144" s="8" t="n"/>
    </row>
    <row r="145">
      <c r="A145">
        <f>IF(B145&lt;&gt;"", "HC-"&amp;TEXT(ROW()-1,"00000"), "")</f>
        <v/>
      </c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>
        <f>IF(K145="", "", IF(K145="Implemented", "Pass", IF(K145="Partial", "Partial", IF(K145="Not Applicable", "N/A", "Fail"))))</f>
        <v/>
      </c>
      <c r="R145" s="8" t="n"/>
      <c r="S145" s="8" t="n"/>
      <c r="T145">
        <f>IF(Q145="", "", IF(OR(Q145="Fail", Q145="Partial"), "Yes", "No"))</f>
        <v/>
      </c>
      <c r="U145" s="8" t="n"/>
      <c r="V145" s="8" t="n"/>
      <c r="W145" s="8" t="n"/>
      <c r="X145" s="8" t="inlineStr">
        <is>
          <t>No</t>
        </is>
      </c>
      <c r="Y145" s="8" t="n"/>
      <c r="Z145" s="8" t="n"/>
      <c r="AA145" s="8" t="n"/>
      <c r="AB145" s="8" t="inlineStr">
        <is>
          <t>[Security Analyst]</t>
        </is>
      </c>
      <c r="AC145" s="8" t="n"/>
      <c r="AD145" s="8" t="n"/>
      <c r="AE145" s="16">
        <f>IF(AA145&lt;&gt;"", AA145+90, "")</f>
        <v/>
      </c>
      <c r="AF145" s="8" t="n"/>
    </row>
    <row r="146">
      <c r="A146">
        <f>IF(B146&lt;&gt;"", "HC-"&amp;TEXT(ROW()-1,"00000"), "")</f>
        <v/>
      </c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>
        <f>IF(K146="", "", IF(K146="Implemented", "Pass", IF(K146="Partial", "Partial", IF(K146="Not Applicable", "N/A", "Fail"))))</f>
        <v/>
      </c>
      <c r="R146" s="8" t="n"/>
      <c r="S146" s="8" t="n"/>
      <c r="T146">
        <f>IF(Q146="", "", IF(OR(Q146="Fail", Q146="Partial"), "Yes", "No"))</f>
        <v/>
      </c>
      <c r="U146" s="8" t="n"/>
      <c r="V146" s="8" t="n"/>
      <c r="W146" s="8" t="n"/>
      <c r="X146" s="8" t="inlineStr">
        <is>
          <t>No</t>
        </is>
      </c>
      <c r="Y146" s="8" t="n"/>
      <c r="Z146" s="8" t="n"/>
      <c r="AA146" s="8" t="n"/>
      <c r="AB146" s="8" t="inlineStr">
        <is>
          <t>[Security Analyst]</t>
        </is>
      </c>
      <c r="AC146" s="8" t="n"/>
      <c r="AD146" s="8" t="n"/>
      <c r="AE146" s="16">
        <f>IF(AA146&lt;&gt;"", AA146+90, "")</f>
        <v/>
      </c>
      <c r="AF146" s="8" t="n"/>
    </row>
    <row r="147">
      <c r="A147">
        <f>IF(B147&lt;&gt;"", "HC-"&amp;TEXT(ROW()-1,"00000"), "")</f>
        <v/>
      </c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>
        <f>IF(K147="", "", IF(K147="Implemented", "Pass", IF(K147="Partial", "Partial", IF(K147="Not Applicable", "N/A", "Fail"))))</f>
        <v/>
      </c>
      <c r="R147" s="8" t="n"/>
      <c r="S147" s="8" t="n"/>
      <c r="T147">
        <f>IF(Q147="", "", IF(OR(Q147="Fail", Q147="Partial"), "Yes", "No"))</f>
        <v/>
      </c>
      <c r="U147" s="8" t="n"/>
      <c r="V147" s="8" t="n"/>
      <c r="W147" s="8" t="n"/>
      <c r="X147" s="8" t="inlineStr">
        <is>
          <t>No</t>
        </is>
      </c>
      <c r="Y147" s="8" t="n"/>
      <c r="Z147" s="8" t="n"/>
      <c r="AA147" s="8" t="n"/>
      <c r="AB147" s="8" t="inlineStr">
        <is>
          <t>[Security Analyst]</t>
        </is>
      </c>
      <c r="AC147" s="8" t="n"/>
      <c r="AD147" s="8" t="n"/>
      <c r="AE147" s="16">
        <f>IF(AA147&lt;&gt;"", AA147+90, "")</f>
        <v/>
      </c>
      <c r="AF147" s="8" t="n"/>
    </row>
    <row r="148">
      <c r="A148">
        <f>IF(B148&lt;&gt;"", "HC-"&amp;TEXT(ROW()-1,"00000"), "")</f>
        <v/>
      </c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>
        <f>IF(K148="", "", IF(K148="Implemented", "Pass", IF(K148="Partial", "Partial", IF(K148="Not Applicable", "N/A", "Fail"))))</f>
        <v/>
      </c>
      <c r="R148" s="8" t="n"/>
      <c r="S148" s="8" t="n"/>
      <c r="T148">
        <f>IF(Q148="", "", IF(OR(Q148="Fail", Q148="Partial"), "Yes", "No"))</f>
        <v/>
      </c>
      <c r="U148" s="8" t="n"/>
      <c r="V148" s="8" t="n"/>
      <c r="W148" s="8" t="n"/>
      <c r="X148" s="8" t="inlineStr">
        <is>
          <t>No</t>
        </is>
      </c>
      <c r="Y148" s="8" t="n"/>
      <c r="Z148" s="8" t="n"/>
      <c r="AA148" s="8" t="n"/>
      <c r="AB148" s="8" t="inlineStr">
        <is>
          <t>[Security Analyst]</t>
        </is>
      </c>
      <c r="AC148" s="8" t="n"/>
      <c r="AD148" s="8" t="n"/>
      <c r="AE148" s="16">
        <f>IF(AA148&lt;&gt;"", AA148+90, "")</f>
        <v/>
      </c>
      <c r="AF148" s="8" t="n"/>
    </row>
    <row r="149">
      <c r="A149">
        <f>IF(B149&lt;&gt;"", "HC-"&amp;TEXT(ROW()-1,"00000"), "")</f>
        <v/>
      </c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>
        <f>IF(K149="", "", IF(K149="Implemented", "Pass", IF(K149="Partial", "Partial", IF(K149="Not Applicable", "N/A", "Fail"))))</f>
        <v/>
      </c>
      <c r="R149" s="8" t="n"/>
      <c r="S149" s="8" t="n"/>
      <c r="T149">
        <f>IF(Q149="", "", IF(OR(Q149="Fail", Q149="Partial"), "Yes", "No"))</f>
        <v/>
      </c>
      <c r="U149" s="8" t="n"/>
      <c r="V149" s="8" t="n"/>
      <c r="W149" s="8" t="n"/>
      <c r="X149" s="8" t="inlineStr">
        <is>
          <t>No</t>
        </is>
      </c>
      <c r="Y149" s="8" t="n"/>
      <c r="Z149" s="8" t="n"/>
      <c r="AA149" s="8" t="n"/>
      <c r="AB149" s="8" t="inlineStr">
        <is>
          <t>[Security Analyst]</t>
        </is>
      </c>
      <c r="AC149" s="8" t="n"/>
      <c r="AD149" s="8" t="n"/>
      <c r="AE149" s="16">
        <f>IF(AA149&lt;&gt;"", AA149+90, "")</f>
        <v/>
      </c>
      <c r="AF149" s="8" t="n"/>
    </row>
    <row r="150">
      <c r="A150">
        <f>IF(B150&lt;&gt;"", "HC-"&amp;TEXT(ROW()-1,"00000"), "")</f>
        <v/>
      </c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>
        <f>IF(K150="", "", IF(K150="Implemented", "Pass", IF(K150="Partial", "Partial", IF(K150="Not Applicable", "N/A", "Fail"))))</f>
        <v/>
      </c>
      <c r="R150" s="8" t="n"/>
      <c r="S150" s="8" t="n"/>
      <c r="T150">
        <f>IF(Q150="", "", IF(OR(Q150="Fail", Q150="Partial"), "Yes", "No"))</f>
        <v/>
      </c>
      <c r="U150" s="8" t="n"/>
      <c r="V150" s="8" t="n"/>
      <c r="W150" s="8" t="n"/>
      <c r="X150" s="8" t="inlineStr">
        <is>
          <t>No</t>
        </is>
      </c>
      <c r="Y150" s="8" t="n"/>
      <c r="Z150" s="8" t="n"/>
      <c r="AA150" s="8" t="n"/>
      <c r="AB150" s="8" t="inlineStr">
        <is>
          <t>[Security Analyst]</t>
        </is>
      </c>
      <c r="AC150" s="8" t="n"/>
      <c r="AD150" s="8" t="n"/>
      <c r="AE150" s="16">
        <f>IF(AA150&lt;&gt;"", AA150+90, "")</f>
        <v/>
      </c>
      <c r="AF150" s="8" t="n"/>
    </row>
    <row r="151">
      <c r="A151">
        <f>IF(B151&lt;&gt;"", "HC-"&amp;TEXT(ROW()-1,"00000"), "")</f>
        <v/>
      </c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>
        <f>IF(K151="", "", IF(K151="Implemented", "Pass", IF(K151="Partial", "Partial", IF(K151="Not Applicable", "N/A", "Fail"))))</f>
        <v/>
      </c>
      <c r="R151" s="8" t="n"/>
      <c r="S151" s="8" t="n"/>
      <c r="T151">
        <f>IF(Q151="", "", IF(OR(Q151="Fail", Q151="Partial"), "Yes", "No"))</f>
        <v/>
      </c>
      <c r="U151" s="8" t="n"/>
      <c r="V151" s="8" t="n"/>
      <c r="W151" s="8" t="n"/>
      <c r="X151" s="8" t="inlineStr">
        <is>
          <t>No</t>
        </is>
      </c>
      <c r="Y151" s="8" t="n"/>
      <c r="Z151" s="8" t="n"/>
      <c r="AA151" s="8" t="n"/>
      <c r="AB151" s="8" t="inlineStr">
        <is>
          <t>[Security Analyst]</t>
        </is>
      </c>
      <c r="AC151" s="8" t="n"/>
      <c r="AD151" s="8" t="n"/>
      <c r="AE151" s="16">
        <f>IF(AA151&lt;&gt;"", AA151+90, "")</f>
        <v/>
      </c>
      <c r="AF151" s="8" t="n"/>
    </row>
    <row r="152">
      <c r="A152">
        <f>IF(B152&lt;&gt;"", "HC-"&amp;TEXT(ROW()-1,"00000"), "")</f>
        <v/>
      </c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>
        <f>IF(K152="", "", IF(K152="Implemented", "Pass", IF(K152="Partial", "Partial", IF(K152="Not Applicable", "N/A", "Fail"))))</f>
        <v/>
      </c>
      <c r="R152" s="8" t="n"/>
      <c r="S152" s="8" t="n"/>
      <c r="T152">
        <f>IF(Q152="", "", IF(OR(Q152="Fail", Q152="Partial"), "Yes", "No"))</f>
        <v/>
      </c>
      <c r="U152" s="8" t="n"/>
      <c r="V152" s="8" t="n"/>
      <c r="W152" s="8" t="n"/>
      <c r="X152" s="8" t="inlineStr">
        <is>
          <t>No</t>
        </is>
      </c>
      <c r="Y152" s="8" t="n"/>
      <c r="Z152" s="8" t="n"/>
      <c r="AA152" s="8" t="n"/>
      <c r="AB152" s="8" t="inlineStr">
        <is>
          <t>[Security Analyst]</t>
        </is>
      </c>
      <c r="AC152" s="8" t="n"/>
      <c r="AD152" s="8" t="n"/>
      <c r="AE152" s="16">
        <f>IF(AA152&lt;&gt;"", AA152+90, "")</f>
        <v/>
      </c>
      <c r="AF152" s="8" t="n"/>
    </row>
    <row r="153">
      <c r="A153">
        <f>IF(B153&lt;&gt;"", "HC-"&amp;TEXT(ROW()-1,"00000"), "")</f>
        <v/>
      </c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>
        <f>IF(K153="", "", IF(K153="Implemented", "Pass", IF(K153="Partial", "Partial", IF(K153="Not Applicable", "N/A", "Fail"))))</f>
        <v/>
      </c>
      <c r="R153" s="8" t="n"/>
      <c r="S153" s="8" t="n"/>
      <c r="T153">
        <f>IF(Q153="", "", IF(OR(Q153="Fail", Q153="Partial"), "Yes", "No"))</f>
        <v/>
      </c>
      <c r="U153" s="8" t="n"/>
      <c r="V153" s="8" t="n"/>
      <c r="W153" s="8" t="n"/>
      <c r="X153" s="8" t="inlineStr">
        <is>
          <t>No</t>
        </is>
      </c>
      <c r="Y153" s="8" t="n"/>
      <c r="Z153" s="8" t="n"/>
      <c r="AA153" s="8" t="n"/>
      <c r="AB153" s="8" t="inlineStr">
        <is>
          <t>[Security Analyst]</t>
        </is>
      </c>
      <c r="AC153" s="8" t="n"/>
      <c r="AD153" s="8" t="n"/>
      <c r="AE153" s="16">
        <f>IF(AA153&lt;&gt;"", AA153+90, "")</f>
        <v/>
      </c>
      <c r="AF153" s="8" t="n"/>
    </row>
    <row r="154">
      <c r="A154">
        <f>IF(B154&lt;&gt;"", "HC-"&amp;TEXT(ROW()-1,"00000"), "")</f>
        <v/>
      </c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>
        <f>IF(K154="", "", IF(K154="Implemented", "Pass", IF(K154="Partial", "Partial", IF(K154="Not Applicable", "N/A", "Fail"))))</f>
        <v/>
      </c>
      <c r="R154" s="8" t="n"/>
      <c r="S154" s="8" t="n"/>
      <c r="T154">
        <f>IF(Q154="", "", IF(OR(Q154="Fail", Q154="Partial"), "Yes", "No"))</f>
        <v/>
      </c>
      <c r="U154" s="8" t="n"/>
      <c r="V154" s="8" t="n"/>
      <c r="W154" s="8" t="n"/>
      <c r="X154" s="8" t="inlineStr">
        <is>
          <t>No</t>
        </is>
      </c>
      <c r="Y154" s="8" t="n"/>
      <c r="Z154" s="8" t="n"/>
      <c r="AA154" s="8" t="n"/>
      <c r="AB154" s="8" t="inlineStr">
        <is>
          <t>[Security Analyst]</t>
        </is>
      </c>
      <c r="AC154" s="8" t="n"/>
      <c r="AD154" s="8" t="n"/>
      <c r="AE154" s="16">
        <f>IF(AA154&lt;&gt;"", AA154+90, "")</f>
        <v/>
      </c>
      <c r="AF154" s="8" t="n"/>
    </row>
    <row r="155">
      <c r="A155">
        <f>IF(B155&lt;&gt;"", "HC-"&amp;TEXT(ROW()-1,"00000"), "")</f>
        <v/>
      </c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>
        <f>IF(K155="", "", IF(K155="Implemented", "Pass", IF(K155="Partial", "Partial", IF(K155="Not Applicable", "N/A", "Fail"))))</f>
        <v/>
      </c>
      <c r="R155" s="8" t="n"/>
      <c r="S155" s="8" t="n"/>
      <c r="T155">
        <f>IF(Q155="", "", IF(OR(Q155="Fail", Q155="Partial"), "Yes", "No"))</f>
        <v/>
      </c>
      <c r="U155" s="8" t="n"/>
      <c r="V155" s="8" t="n"/>
      <c r="W155" s="8" t="n"/>
      <c r="X155" s="8" t="inlineStr">
        <is>
          <t>No</t>
        </is>
      </c>
      <c r="Y155" s="8" t="n"/>
      <c r="Z155" s="8" t="n"/>
      <c r="AA155" s="8" t="n"/>
      <c r="AB155" s="8" t="inlineStr">
        <is>
          <t>[Security Analyst]</t>
        </is>
      </c>
      <c r="AC155" s="8" t="n"/>
      <c r="AD155" s="8" t="n"/>
      <c r="AE155" s="16">
        <f>IF(AA155&lt;&gt;"", AA155+90, "")</f>
        <v/>
      </c>
      <c r="AF155" s="8" t="n"/>
    </row>
    <row r="156">
      <c r="A156">
        <f>IF(B156&lt;&gt;"", "HC-"&amp;TEXT(ROW()-1,"00000"), "")</f>
        <v/>
      </c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>
        <f>IF(K156="", "", IF(K156="Implemented", "Pass", IF(K156="Partial", "Partial", IF(K156="Not Applicable", "N/A", "Fail"))))</f>
        <v/>
      </c>
      <c r="R156" s="8" t="n"/>
      <c r="S156" s="8" t="n"/>
      <c r="T156">
        <f>IF(Q156="", "", IF(OR(Q156="Fail", Q156="Partial"), "Yes", "No"))</f>
        <v/>
      </c>
      <c r="U156" s="8" t="n"/>
      <c r="V156" s="8" t="n"/>
      <c r="W156" s="8" t="n"/>
      <c r="X156" s="8" t="inlineStr">
        <is>
          <t>No</t>
        </is>
      </c>
      <c r="Y156" s="8" t="n"/>
      <c r="Z156" s="8" t="n"/>
      <c r="AA156" s="8" t="n"/>
      <c r="AB156" s="8" t="inlineStr">
        <is>
          <t>[Security Analyst]</t>
        </is>
      </c>
      <c r="AC156" s="8" t="n"/>
      <c r="AD156" s="8" t="n"/>
      <c r="AE156" s="16">
        <f>IF(AA156&lt;&gt;"", AA156+90, "")</f>
        <v/>
      </c>
      <c r="AF156" s="8" t="n"/>
    </row>
    <row r="157">
      <c r="A157">
        <f>IF(B157&lt;&gt;"", "HC-"&amp;TEXT(ROW()-1,"00000"), "")</f>
        <v/>
      </c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>
        <f>IF(K157="", "", IF(K157="Implemented", "Pass", IF(K157="Partial", "Partial", IF(K157="Not Applicable", "N/A", "Fail"))))</f>
        <v/>
      </c>
      <c r="R157" s="8" t="n"/>
      <c r="S157" s="8" t="n"/>
      <c r="T157">
        <f>IF(Q157="", "", IF(OR(Q157="Fail", Q157="Partial"), "Yes", "No"))</f>
        <v/>
      </c>
      <c r="U157" s="8" t="n"/>
      <c r="V157" s="8" t="n"/>
      <c r="W157" s="8" t="n"/>
      <c r="X157" s="8" t="inlineStr">
        <is>
          <t>No</t>
        </is>
      </c>
      <c r="Y157" s="8" t="n"/>
      <c r="Z157" s="8" t="n"/>
      <c r="AA157" s="8" t="n"/>
      <c r="AB157" s="8" t="inlineStr">
        <is>
          <t>[Security Analyst]</t>
        </is>
      </c>
      <c r="AC157" s="8" t="n"/>
      <c r="AD157" s="8" t="n"/>
      <c r="AE157" s="16">
        <f>IF(AA157&lt;&gt;"", AA157+90, "")</f>
        <v/>
      </c>
      <c r="AF157" s="8" t="n"/>
    </row>
    <row r="158">
      <c r="A158">
        <f>IF(B158&lt;&gt;"", "HC-"&amp;TEXT(ROW()-1,"00000"), "")</f>
        <v/>
      </c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>
        <f>IF(K158="", "", IF(K158="Implemented", "Pass", IF(K158="Partial", "Partial", IF(K158="Not Applicable", "N/A", "Fail"))))</f>
        <v/>
      </c>
      <c r="R158" s="8" t="n"/>
      <c r="S158" s="8" t="n"/>
      <c r="T158">
        <f>IF(Q158="", "", IF(OR(Q158="Fail", Q158="Partial"), "Yes", "No"))</f>
        <v/>
      </c>
      <c r="U158" s="8" t="n"/>
      <c r="V158" s="8" t="n"/>
      <c r="W158" s="8" t="n"/>
      <c r="X158" s="8" t="inlineStr">
        <is>
          <t>No</t>
        </is>
      </c>
      <c r="Y158" s="8" t="n"/>
      <c r="Z158" s="8" t="n"/>
      <c r="AA158" s="8" t="n"/>
      <c r="AB158" s="8" t="inlineStr">
        <is>
          <t>[Security Analyst]</t>
        </is>
      </c>
      <c r="AC158" s="8" t="n"/>
      <c r="AD158" s="8" t="n"/>
      <c r="AE158" s="16">
        <f>IF(AA158&lt;&gt;"", AA158+90, "")</f>
        <v/>
      </c>
      <c r="AF158" s="8" t="n"/>
    </row>
    <row r="159">
      <c r="A159">
        <f>IF(B159&lt;&gt;"", "HC-"&amp;TEXT(ROW()-1,"00000"), "")</f>
        <v/>
      </c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>
        <f>IF(K159="", "", IF(K159="Implemented", "Pass", IF(K159="Partial", "Partial", IF(K159="Not Applicable", "N/A", "Fail"))))</f>
        <v/>
      </c>
      <c r="R159" s="8" t="n"/>
      <c r="S159" s="8" t="n"/>
      <c r="T159">
        <f>IF(Q159="", "", IF(OR(Q159="Fail", Q159="Partial"), "Yes", "No"))</f>
        <v/>
      </c>
      <c r="U159" s="8" t="n"/>
      <c r="V159" s="8" t="n"/>
      <c r="W159" s="8" t="n"/>
      <c r="X159" s="8" t="inlineStr">
        <is>
          <t>No</t>
        </is>
      </c>
      <c r="Y159" s="8" t="n"/>
      <c r="Z159" s="8" t="n"/>
      <c r="AA159" s="8" t="n"/>
      <c r="AB159" s="8" t="inlineStr">
        <is>
          <t>[Security Analyst]</t>
        </is>
      </c>
      <c r="AC159" s="8" t="n"/>
      <c r="AD159" s="8" t="n"/>
      <c r="AE159" s="16">
        <f>IF(AA159&lt;&gt;"", AA159+90, "")</f>
        <v/>
      </c>
      <c r="AF159" s="8" t="n"/>
    </row>
    <row r="160">
      <c r="A160">
        <f>IF(B160&lt;&gt;"", "HC-"&amp;TEXT(ROW()-1,"00000"), "")</f>
        <v/>
      </c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>
        <f>IF(K160="", "", IF(K160="Implemented", "Pass", IF(K160="Partial", "Partial", IF(K160="Not Applicable", "N/A", "Fail"))))</f>
        <v/>
      </c>
      <c r="R160" s="8" t="n"/>
      <c r="S160" s="8" t="n"/>
      <c r="T160">
        <f>IF(Q160="", "", IF(OR(Q160="Fail", Q160="Partial"), "Yes", "No"))</f>
        <v/>
      </c>
      <c r="U160" s="8" t="n"/>
      <c r="V160" s="8" t="n"/>
      <c r="W160" s="8" t="n"/>
      <c r="X160" s="8" t="inlineStr">
        <is>
          <t>No</t>
        </is>
      </c>
      <c r="Y160" s="8" t="n"/>
      <c r="Z160" s="8" t="n"/>
      <c r="AA160" s="8" t="n"/>
      <c r="AB160" s="8" t="inlineStr">
        <is>
          <t>[Security Analyst]</t>
        </is>
      </c>
      <c r="AC160" s="8" t="n"/>
      <c r="AD160" s="8" t="n"/>
      <c r="AE160" s="16">
        <f>IF(AA160&lt;&gt;"", AA160+90, "")</f>
        <v/>
      </c>
      <c r="AF160" s="8" t="n"/>
    </row>
    <row r="161">
      <c r="A161">
        <f>IF(B161&lt;&gt;"", "HC-"&amp;TEXT(ROW()-1,"00000"), "")</f>
        <v/>
      </c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>
        <f>IF(K161="", "", IF(K161="Implemented", "Pass", IF(K161="Partial", "Partial", IF(K161="Not Applicable", "N/A", "Fail"))))</f>
        <v/>
      </c>
      <c r="R161" s="8" t="n"/>
      <c r="S161" s="8" t="n"/>
      <c r="T161">
        <f>IF(Q161="", "", IF(OR(Q161="Fail", Q161="Partial"), "Yes", "No"))</f>
        <v/>
      </c>
      <c r="U161" s="8" t="n"/>
      <c r="V161" s="8" t="n"/>
      <c r="W161" s="8" t="n"/>
      <c r="X161" s="8" t="inlineStr">
        <is>
          <t>No</t>
        </is>
      </c>
      <c r="Y161" s="8" t="n"/>
      <c r="Z161" s="8" t="n"/>
      <c r="AA161" s="8" t="n"/>
      <c r="AB161" s="8" t="inlineStr">
        <is>
          <t>[Security Analyst]</t>
        </is>
      </c>
      <c r="AC161" s="8" t="n"/>
      <c r="AD161" s="8" t="n"/>
      <c r="AE161" s="16">
        <f>IF(AA161&lt;&gt;"", AA161+90, "")</f>
        <v/>
      </c>
      <c r="AF161" s="8" t="n"/>
    </row>
    <row r="162">
      <c r="A162">
        <f>IF(B162&lt;&gt;"", "HC-"&amp;TEXT(ROW()-1,"00000"), "")</f>
        <v/>
      </c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>
        <f>IF(K162="", "", IF(K162="Implemented", "Pass", IF(K162="Partial", "Partial", IF(K162="Not Applicable", "N/A", "Fail"))))</f>
        <v/>
      </c>
      <c r="R162" s="8" t="n"/>
      <c r="S162" s="8" t="n"/>
      <c r="T162">
        <f>IF(Q162="", "", IF(OR(Q162="Fail", Q162="Partial"), "Yes", "No"))</f>
        <v/>
      </c>
      <c r="U162" s="8" t="n"/>
      <c r="V162" s="8" t="n"/>
      <c r="W162" s="8" t="n"/>
      <c r="X162" s="8" t="inlineStr">
        <is>
          <t>No</t>
        </is>
      </c>
      <c r="Y162" s="8" t="n"/>
      <c r="Z162" s="8" t="n"/>
      <c r="AA162" s="8" t="n"/>
      <c r="AB162" s="8" t="inlineStr">
        <is>
          <t>[Security Analyst]</t>
        </is>
      </c>
      <c r="AC162" s="8" t="n"/>
      <c r="AD162" s="8" t="n"/>
      <c r="AE162" s="16">
        <f>IF(AA162&lt;&gt;"", AA162+90, "")</f>
        <v/>
      </c>
      <c r="AF162" s="8" t="n"/>
    </row>
    <row r="163">
      <c r="A163">
        <f>IF(B163&lt;&gt;"", "HC-"&amp;TEXT(ROW()-1,"00000"), "")</f>
        <v/>
      </c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>
        <f>IF(K163="", "", IF(K163="Implemented", "Pass", IF(K163="Partial", "Partial", IF(K163="Not Applicable", "N/A", "Fail"))))</f>
        <v/>
      </c>
      <c r="R163" s="8" t="n"/>
      <c r="S163" s="8" t="n"/>
      <c r="T163">
        <f>IF(Q163="", "", IF(OR(Q163="Fail", Q163="Partial"), "Yes", "No"))</f>
        <v/>
      </c>
      <c r="U163" s="8" t="n"/>
      <c r="V163" s="8" t="n"/>
      <c r="W163" s="8" t="n"/>
      <c r="X163" s="8" t="inlineStr">
        <is>
          <t>No</t>
        </is>
      </c>
      <c r="Y163" s="8" t="n"/>
      <c r="Z163" s="8" t="n"/>
      <c r="AA163" s="8" t="n"/>
      <c r="AB163" s="8" t="inlineStr">
        <is>
          <t>[Security Analyst]</t>
        </is>
      </c>
      <c r="AC163" s="8" t="n"/>
      <c r="AD163" s="8" t="n"/>
      <c r="AE163" s="16">
        <f>IF(AA163&lt;&gt;"", AA163+90, "")</f>
        <v/>
      </c>
      <c r="AF163" s="8" t="n"/>
    </row>
    <row r="164">
      <c r="A164">
        <f>IF(B164&lt;&gt;"", "HC-"&amp;TEXT(ROW()-1,"00000"), "")</f>
        <v/>
      </c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>
        <f>IF(K164="", "", IF(K164="Implemented", "Pass", IF(K164="Partial", "Partial", IF(K164="Not Applicable", "N/A", "Fail"))))</f>
        <v/>
      </c>
      <c r="R164" s="8" t="n"/>
      <c r="S164" s="8" t="n"/>
      <c r="T164">
        <f>IF(Q164="", "", IF(OR(Q164="Fail", Q164="Partial"), "Yes", "No"))</f>
        <v/>
      </c>
      <c r="U164" s="8" t="n"/>
      <c r="V164" s="8" t="n"/>
      <c r="W164" s="8" t="n"/>
      <c r="X164" s="8" t="inlineStr">
        <is>
          <t>No</t>
        </is>
      </c>
      <c r="Y164" s="8" t="n"/>
      <c r="Z164" s="8" t="n"/>
      <c r="AA164" s="8" t="n"/>
      <c r="AB164" s="8" t="inlineStr">
        <is>
          <t>[Security Analyst]</t>
        </is>
      </c>
      <c r="AC164" s="8" t="n"/>
      <c r="AD164" s="8" t="n"/>
      <c r="AE164" s="16">
        <f>IF(AA164&lt;&gt;"", AA164+90, "")</f>
        <v/>
      </c>
      <c r="AF164" s="8" t="n"/>
    </row>
    <row r="165">
      <c r="A165">
        <f>IF(B165&lt;&gt;"", "HC-"&amp;TEXT(ROW()-1,"00000"), "")</f>
        <v/>
      </c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>
        <f>IF(K165="", "", IF(K165="Implemented", "Pass", IF(K165="Partial", "Partial", IF(K165="Not Applicable", "N/A", "Fail"))))</f>
        <v/>
      </c>
      <c r="R165" s="8" t="n"/>
      <c r="S165" s="8" t="n"/>
      <c r="T165">
        <f>IF(Q165="", "", IF(OR(Q165="Fail", Q165="Partial"), "Yes", "No"))</f>
        <v/>
      </c>
      <c r="U165" s="8" t="n"/>
      <c r="V165" s="8" t="n"/>
      <c r="W165" s="8" t="n"/>
      <c r="X165" s="8" t="inlineStr">
        <is>
          <t>No</t>
        </is>
      </c>
      <c r="Y165" s="8" t="n"/>
      <c r="Z165" s="8" t="n"/>
      <c r="AA165" s="8" t="n"/>
      <c r="AB165" s="8" t="inlineStr">
        <is>
          <t>[Security Analyst]</t>
        </is>
      </c>
      <c r="AC165" s="8" t="n"/>
      <c r="AD165" s="8" t="n"/>
      <c r="AE165" s="16">
        <f>IF(AA165&lt;&gt;"", AA165+90, "")</f>
        <v/>
      </c>
      <c r="AF165" s="8" t="n"/>
    </row>
    <row r="166">
      <c r="A166">
        <f>IF(B166&lt;&gt;"", "HC-"&amp;TEXT(ROW()-1,"00000"), "")</f>
        <v/>
      </c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>
        <f>IF(K166="", "", IF(K166="Implemented", "Pass", IF(K166="Partial", "Partial", IF(K166="Not Applicable", "N/A", "Fail"))))</f>
        <v/>
      </c>
      <c r="R166" s="8" t="n"/>
      <c r="S166" s="8" t="n"/>
      <c r="T166">
        <f>IF(Q166="", "", IF(OR(Q166="Fail", Q166="Partial"), "Yes", "No"))</f>
        <v/>
      </c>
      <c r="U166" s="8" t="n"/>
      <c r="V166" s="8" t="n"/>
      <c r="W166" s="8" t="n"/>
      <c r="X166" s="8" t="inlineStr">
        <is>
          <t>No</t>
        </is>
      </c>
      <c r="Y166" s="8" t="n"/>
      <c r="Z166" s="8" t="n"/>
      <c r="AA166" s="8" t="n"/>
      <c r="AB166" s="8" t="inlineStr">
        <is>
          <t>[Security Analyst]</t>
        </is>
      </c>
      <c r="AC166" s="8" t="n"/>
      <c r="AD166" s="8" t="n"/>
      <c r="AE166" s="16">
        <f>IF(AA166&lt;&gt;"", AA166+90, "")</f>
        <v/>
      </c>
      <c r="AF166" s="8" t="n"/>
    </row>
    <row r="167">
      <c r="A167">
        <f>IF(B167&lt;&gt;"", "HC-"&amp;TEXT(ROW()-1,"00000"), "")</f>
        <v/>
      </c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>
        <f>IF(K167="", "", IF(K167="Implemented", "Pass", IF(K167="Partial", "Partial", IF(K167="Not Applicable", "N/A", "Fail"))))</f>
        <v/>
      </c>
      <c r="R167" s="8" t="n"/>
      <c r="S167" s="8" t="n"/>
      <c r="T167">
        <f>IF(Q167="", "", IF(OR(Q167="Fail", Q167="Partial"), "Yes", "No"))</f>
        <v/>
      </c>
      <c r="U167" s="8" t="n"/>
      <c r="V167" s="8" t="n"/>
      <c r="W167" s="8" t="n"/>
      <c r="X167" s="8" t="inlineStr">
        <is>
          <t>No</t>
        </is>
      </c>
      <c r="Y167" s="8" t="n"/>
      <c r="Z167" s="8" t="n"/>
      <c r="AA167" s="8" t="n"/>
      <c r="AB167" s="8" t="inlineStr">
        <is>
          <t>[Security Analyst]</t>
        </is>
      </c>
      <c r="AC167" s="8" t="n"/>
      <c r="AD167" s="8" t="n"/>
      <c r="AE167" s="16">
        <f>IF(AA167&lt;&gt;"", AA167+90, "")</f>
        <v/>
      </c>
      <c r="AF167" s="8" t="n"/>
    </row>
    <row r="168">
      <c r="A168">
        <f>IF(B168&lt;&gt;"", "HC-"&amp;TEXT(ROW()-1,"00000"), "")</f>
        <v/>
      </c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>
        <f>IF(K168="", "", IF(K168="Implemented", "Pass", IF(K168="Partial", "Partial", IF(K168="Not Applicable", "N/A", "Fail"))))</f>
        <v/>
      </c>
      <c r="R168" s="8" t="n"/>
      <c r="S168" s="8" t="n"/>
      <c r="T168">
        <f>IF(Q168="", "", IF(OR(Q168="Fail", Q168="Partial"), "Yes", "No"))</f>
        <v/>
      </c>
      <c r="U168" s="8" t="n"/>
      <c r="V168" s="8" t="n"/>
      <c r="W168" s="8" t="n"/>
      <c r="X168" s="8" t="inlineStr">
        <is>
          <t>No</t>
        </is>
      </c>
      <c r="Y168" s="8" t="n"/>
      <c r="Z168" s="8" t="n"/>
      <c r="AA168" s="8" t="n"/>
      <c r="AB168" s="8" t="inlineStr">
        <is>
          <t>[Security Analyst]</t>
        </is>
      </c>
      <c r="AC168" s="8" t="n"/>
      <c r="AD168" s="8" t="n"/>
      <c r="AE168" s="16">
        <f>IF(AA168&lt;&gt;"", AA168+90, "")</f>
        <v/>
      </c>
      <c r="AF168" s="8" t="n"/>
    </row>
    <row r="169">
      <c r="A169">
        <f>IF(B169&lt;&gt;"", "HC-"&amp;TEXT(ROW()-1,"00000"), "")</f>
        <v/>
      </c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>
        <f>IF(K169="", "", IF(K169="Implemented", "Pass", IF(K169="Partial", "Partial", IF(K169="Not Applicable", "N/A", "Fail"))))</f>
        <v/>
      </c>
      <c r="R169" s="8" t="n"/>
      <c r="S169" s="8" t="n"/>
      <c r="T169">
        <f>IF(Q169="", "", IF(OR(Q169="Fail", Q169="Partial"), "Yes", "No"))</f>
        <v/>
      </c>
      <c r="U169" s="8" t="n"/>
      <c r="V169" s="8" t="n"/>
      <c r="W169" s="8" t="n"/>
      <c r="X169" s="8" t="inlineStr">
        <is>
          <t>No</t>
        </is>
      </c>
      <c r="Y169" s="8" t="n"/>
      <c r="Z169" s="8" t="n"/>
      <c r="AA169" s="8" t="n"/>
      <c r="AB169" s="8" t="inlineStr">
        <is>
          <t>[Security Analyst]</t>
        </is>
      </c>
      <c r="AC169" s="8" t="n"/>
      <c r="AD169" s="8" t="n"/>
      <c r="AE169" s="16">
        <f>IF(AA169&lt;&gt;"", AA169+90, "")</f>
        <v/>
      </c>
      <c r="AF169" s="8" t="n"/>
    </row>
    <row r="170">
      <c r="A170">
        <f>IF(B170&lt;&gt;"", "HC-"&amp;TEXT(ROW()-1,"00000"), "")</f>
        <v/>
      </c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>
        <f>IF(K170="", "", IF(K170="Implemented", "Pass", IF(K170="Partial", "Partial", IF(K170="Not Applicable", "N/A", "Fail"))))</f>
        <v/>
      </c>
      <c r="R170" s="8" t="n"/>
      <c r="S170" s="8" t="n"/>
      <c r="T170">
        <f>IF(Q170="", "", IF(OR(Q170="Fail", Q170="Partial"), "Yes", "No"))</f>
        <v/>
      </c>
      <c r="U170" s="8" t="n"/>
      <c r="V170" s="8" t="n"/>
      <c r="W170" s="8" t="n"/>
      <c r="X170" s="8" t="inlineStr">
        <is>
          <t>No</t>
        </is>
      </c>
      <c r="Y170" s="8" t="n"/>
      <c r="Z170" s="8" t="n"/>
      <c r="AA170" s="8" t="n"/>
      <c r="AB170" s="8" t="inlineStr">
        <is>
          <t>[Security Analyst]</t>
        </is>
      </c>
      <c r="AC170" s="8" t="n"/>
      <c r="AD170" s="8" t="n"/>
      <c r="AE170" s="16">
        <f>IF(AA170&lt;&gt;"", AA170+90, "")</f>
        <v/>
      </c>
      <c r="AF170" s="8" t="n"/>
    </row>
    <row r="171">
      <c r="A171">
        <f>IF(B171&lt;&gt;"", "HC-"&amp;TEXT(ROW()-1,"00000"), "")</f>
        <v/>
      </c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>
        <f>IF(K171="", "", IF(K171="Implemented", "Pass", IF(K171="Partial", "Partial", IF(K171="Not Applicable", "N/A", "Fail"))))</f>
        <v/>
      </c>
      <c r="R171" s="8" t="n"/>
      <c r="S171" s="8" t="n"/>
      <c r="T171">
        <f>IF(Q171="", "", IF(OR(Q171="Fail", Q171="Partial"), "Yes", "No"))</f>
        <v/>
      </c>
      <c r="U171" s="8" t="n"/>
      <c r="V171" s="8" t="n"/>
      <c r="W171" s="8" t="n"/>
      <c r="X171" s="8" t="inlineStr">
        <is>
          <t>No</t>
        </is>
      </c>
      <c r="Y171" s="8" t="n"/>
      <c r="Z171" s="8" t="n"/>
      <c r="AA171" s="8" t="n"/>
      <c r="AB171" s="8" t="inlineStr">
        <is>
          <t>[Security Analyst]</t>
        </is>
      </c>
      <c r="AC171" s="8" t="n"/>
      <c r="AD171" s="8" t="n"/>
      <c r="AE171" s="16">
        <f>IF(AA171&lt;&gt;"", AA171+90, "")</f>
        <v/>
      </c>
      <c r="AF171" s="8" t="n"/>
    </row>
    <row r="172">
      <c r="A172">
        <f>IF(B172&lt;&gt;"", "HC-"&amp;TEXT(ROW()-1,"00000"), "")</f>
        <v/>
      </c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>
        <f>IF(K172="", "", IF(K172="Implemented", "Pass", IF(K172="Partial", "Partial", IF(K172="Not Applicable", "N/A", "Fail"))))</f>
        <v/>
      </c>
      <c r="R172" s="8" t="n"/>
      <c r="S172" s="8" t="n"/>
      <c r="T172">
        <f>IF(Q172="", "", IF(OR(Q172="Fail", Q172="Partial"), "Yes", "No"))</f>
        <v/>
      </c>
      <c r="U172" s="8" t="n"/>
      <c r="V172" s="8" t="n"/>
      <c r="W172" s="8" t="n"/>
      <c r="X172" s="8" t="inlineStr">
        <is>
          <t>No</t>
        </is>
      </c>
      <c r="Y172" s="8" t="n"/>
      <c r="Z172" s="8" t="n"/>
      <c r="AA172" s="8" t="n"/>
      <c r="AB172" s="8" t="inlineStr">
        <is>
          <t>[Security Analyst]</t>
        </is>
      </c>
      <c r="AC172" s="8" t="n"/>
      <c r="AD172" s="8" t="n"/>
      <c r="AE172" s="16">
        <f>IF(AA172&lt;&gt;"", AA172+90, "")</f>
        <v/>
      </c>
      <c r="AF172" s="8" t="n"/>
    </row>
    <row r="173">
      <c r="A173">
        <f>IF(B173&lt;&gt;"", "HC-"&amp;TEXT(ROW()-1,"00000"), "")</f>
        <v/>
      </c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>
        <f>IF(K173="", "", IF(K173="Implemented", "Pass", IF(K173="Partial", "Partial", IF(K173="Not Applicable", "N/A", "Fail"))))</f>
        <v/>
      </c>
      <c r="R173" s="8" t="n"/>
      <c r="S173" s="8" t="n"/>
      <c r="T173">
        <f>IF(Q173="", "", IF(OR(Q173="Fail", Q173="Partial"), "Yes", "No"))</f>
        <v/>
      </c>
      <c r="U173" s="8" t="n"/>
      <c r="V173" s="8" t="n"/>
      <c r="W173" s="8" t="n"/>
      <c r="X173" s="8" t="inlineStr">
        <is>
          <t>No</t>
        </is>
      </c>
      <c r="Y173" s="8" t="n"/>
      <c r="Z173" s="8" t="n"/>
      <c r="AA173" s="8" t="n"/>
      <c r="AB173" s="8" t="inlineStr">
        <is>
          <t>[Security Analyst]</t>
        </is>
      </c>
      <c r="AC173" s="8" t="n"/>
      <c r="AD173" s="8" t="n"/>
      <c r="AE173" s="16">
        <f>IF(AA173&lt;&gt;"", AA173+90, "")</f>
        <v/>
      </c>
      <c r="AF173" s="8" t="n"/>
    </row>
    <row r="174">
      <c r="A174">
        <f>IF(B174&lt;&gt;"", "HC-"&amp;TEXT(ROW()-1,"00000"), "")</f>
        <v/>
      </c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>
        <f>IF(K174="", "", IF(K174="Implemented", "Pass", IF(K174="Partial", "Partial", IF(K174="Not Applicable", "N/A", "Fail"))))</f>
        <v/>
      </c>
      <c r="R174" s="8" t="n"/>
      <c r="S174" s="8" t="n"/>
      <c r="T174">
        <f>IF(Q174="", "", IF(OR(Q174="Fail", Q174="Partial"), "Yes", "No"))</f>
        <v/>
      </c>
      <c r="U174" s="8" t="n"/>
      <c r="V174" s="8" t="n"/>
      <c r="W174" s="8" t="n"/>
      <c r="X174" s="8" t="inlineStr">
        <is>
          <t>No</t>
        </is>
      </c>
      <c r="Y174" s="8" t="n"/>
      <c r="Z174" s="8" t="n"/>
      <c r="AA174" s="8" t="n"/>
      <c r="AB174" s="8" t="inlineStr">
        <is>
          <t>[Security Analyst]</t>
        </is>
      </c>
      <c r="AC174" s="8" t="n"/>
      <c r="AD174" s="8" t="n"/>
      <c r="AE174" s="16">
        <f>IF(AA174&lt;&gt;"", AA174+90, "")</f>
        <v/>
      </c>
      <c r="AF174" s="8" t="n"/>
    </row>
    <row r="175">
      <c r="A175">
        <f>IF(B175&lt;&gt;"", "HC-"&amp;TEXT(ROW()-1,"00000"), "")</f>
        <v/>
      </c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>
        <f>IF(K175="", "", IF(K175="Implemented", "Pass", IF(K175="Partial", "Partial", IF(K175="Not Applicable", "N/A", "Fail"))))</f>
        <v/>
      </c>
      <c r="R175" s="8" t="n"/>
      <c r="S175" s="8" t="n"/>
      <c r="T175">
        <f>IF(Q175="", "", IF(OR(Q175="Fail", Q175="Partial"), "Yes", "No"))</f>
        <v/>
      </c>
      <c r="U175" s="8" t="n"/>
      <c r="V175" s="8" t="n"/>
      <c r="W175" s="8" t="n"/>
      <c r="X175" s="8" t="inlineStr">
        <is>
          <t>No</t>
        </is>
      </c>
      <c r="Y175" s="8" t="n"/>
      <c r="Z175" s="8" t="n"/>
      <c r="AA175" s="8" t="n"/>
      <c r="AB175" s="8" t="inlineStr">
        <is>
          <t>[Security Analyst]</t>
        </is>
      </c>
      <c r="AC175" s="8" t="n"/>
      <c r="AD175" s="8" t="n"/>
      <c r="AE175" s="16">
        <f>IF(AA175&lt;&gt;"", AA175+90, "")</f>
        <v/>
      </c>
      <c r="AF175" s="8" t="n"/>
    </row>
    <row r="176">
      <c r="A176">
        <f>IF(B176&lt;&gt;"", "HC-"&amp;TEXT(ROW()-1,"00000"), "")</f>
        <v/>
      </c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>
        <f>IF(K176="", "", IF(K176="Implemented", "Pass", IF(K176="Partial", "Partial", IF(K176="Not Applicable", "N/A", "Fail"))))</f>
        <v/>
      </c>
      <c r="R176" s="8" t="n"/>
      <c r="S176" s="8" t="n"/>
      <c r="T176">
        <f>IF(Q176="", "", IF(OR(Q176="Fail", Q176="Partial"), "Yes", "No"))</f>
        <v/>
      </c>
      <c r="U176" s="8" t="n"/>
      <c r="V176" s="8" t="n"/>
      <c r="W176" s="8" t="n"/>
      <c r="X176" s="8" t="inlineStr">
        <is>
          <t>No</t>
        </is>
      </c>
      <c r="Y176" s="8" t="n"/>
      <c r="Z176" s="8" t="n"/>
      <c r="AA176" s="8" t="n"/>
      <c r="AB176" s="8" t="inlineStr">
        <is>
          <t>[Security Analyst]</t>
        </is>
      </c>
      <c r="AC176" s="8" t="n"/>
      <c r="AD176" s="8" t="n"/>
      <c r="AE176" s="16">
        <f>IF(AA176&lt;&gt;"", AA176+90, "")</f>
        <v/>
      </c>
      <c r="AF176" s="8" t="n"/>
    </row>
    <row r="177">
      <c r="A177">
        <f>IF(B177&lt;&gt;"", "HC-"&amp;TEXT(ROW()-1,"00000"), "")</f>
        <v/>
      </c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>
        <f>IF(K177="", "", IF(K177="Implemented", "Pass", IF(K177="Partial", "Partial", IF(K177="Not Applicable", "N/A", "Fail"))))</f>
        <v/>
      </c>
      <c r="R177" s="8" t="n"/>
      <c r="S177" s="8" t="n"/>
      <c r="T177">
        <f>IF(Q177="", "", IF(OR(Q177="Fail", Q177="Partial"), "Yes", "No"))</f>
        <v/>
      </c>
      <c r="U177" s="8" t="n"/>
      <c r="V177" s="8" t="n"/>
      <c r="W177" s="8" t="n"/>
      <c r="X177" s="8" t="inlineStr">
        <is>
          <t>No</t>
        </is>
      </c>
      <c r="Y177" s="8" t="n"/>
      <c r="Z177" s="8" t="n"/>
      <c r="AA177" s="8" t="n"/>
      <c r="AB177" s="8" t="inlineStr">
        <is>
          <t>[Security Analyst]</t>
        </is>
      </c>
      <c r="AC177" s="8" t="n"/>
      <c r="AD177" s="8" t="n"/>
      <c r="AE177" s="16">
        <f>IF(AA177&lt;&gt;"", AA177+90, "")</f>
        <v/>
      </c>
      <c r="AF177" s="8" t="n"/>
    </row>
    <row r="178">
      <c r="A178">
        <f>IF(B178&lt;&gt;"", "HC-"&amp;TEXT(ROW()-1,"00000"), "")</f>
        <v/>
      </c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>
        <f>IF(K178="", "", IF(K178="Implemented", "Pass", IF(K178="Partial", "Partial", IF(K178="Not Applicable", "N/A", "Fail"))))</f>
        <v/>
      </c>
      <c r="R178" s="8" t="n"/>
      <c r="S178" s="8" t="n"/>
      <c r="T178">
        <f>IF(Q178="", "", IF(OR(Q178="Fail", Q178="Partial"), "Yes", "No"))</f>
        <v/>
      </c>
      <c r="U178" s="8" t="n"/>
      <c r="V178" s="8" t="n"/>
      <c r="W178" s="8" t="n"/>
      <c r="X178" s="8" t="inlineStr">
        <is>
          <t>No</t>
        </is>
      </c>
      <c r="Y178" s="8" t="n"/>
      <c r="Z178" s="8" t="n"/>
      <c r="AA178" s="8" t="n"/>
      <c r="AB178" s="8" t="inlineStr">
        <is>
          <t>[Security Analyst]</t>
        </is>
      </c>
      <c r="AC178" s="8" t="n"/>
      <c r="AD178" s="8" t="n"/>
      <c r="AE178" s="16">
        <f>IF(AA178&lt;&gt;"", AA178+90, "")</f>
        <v/>
      </c>
      <c r="AF178" s="8" t="n"/>
    </row>
    <row r="179">
      <c r="A179">
        <f>IF(B179&lt;&gt;"", "HC-"&amp;TEXT(ROW()-1,"00000"), "")</f>
        <v/>
      </c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>
        <f>IF(K179="", "", IF(K179="Implemented", "Pass", IF(K179="Partial", "Partial", IF(K179="Not Applicable", "N/A", "Fail"))))</f>
        <v/>
      </c>
      <c r="R179" s="8" t="n"/>
      <c r="S179" s="8" t="n"/>
      <c r="T179">
        <f>IF(Q179="", "", IF(OR(Q179="Fail", Q179="Partial"), "Yes", "No"))</f>
        <v/>
      </c>
      <c r="U179" s="8" t="n"/>
      <c r="V179" s="8" t="n"/>
      <c r="W179" s="8" t="n"/>
      <c r="X179" s="8" t="inlineStr">
        <is>
          <t>No</t>
        </is>
      </c>
      <c r="Y179" s="8" t="n"/>
      <c r="Z179" s="8" t="n"/>
      <c r="AA179" s="8" t="n"/>
      <c r="AB179" s="8" t="inlineStr">
        <is>
          <t>[Security Analyst]</t>
        </is>
      </c>
      <c r="AC179" s="8" t="n"/>
      <c r="AD179" s="8" t="n"/>
      <c r="AE179" s="16">
        <f>IF(AA179&lt;&gt;"", AA179+90, "")</f>
        <v/>
      </c>
      <c r="AF179" s="8" t="n"/>
    </row>
    <row r="180">
      <c r="A180">
        <f>IF(B180&lt;&gt;"", "HC-"&amp;TEXT(ROW()-1,"00000"), "")</f>
        <v/>
      </c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>
        <f>IF(K180="", "", IF(K180="Implemented", "Pass", IF(K180="Partial", "Partial", IF(K180="Not Applicable", "N/A", "Fail"))))</f>
        <v/>
      </c>
      <c r="R180" s="8" t="n"/>
      <c r="S180" s="8" t="n"/>
      <c r="T180">
        <f>IF(Q180="", "", IF(OR(Q180="Fail", Q180="Partial"), "Yes", "No"))</f>
        <v/>
      </c>
      <c r="U180" s="8" t="n"/>
      <c r="V180" s="8" t="n"/>
      <c r="W180" s="8" t="n"/>
      <c r="X180" s="8" t="inlineStr">
        <is>
          <t>No</t>
        </is>
      </c>
      <c r="Y180" s="8" t="n"/>
      <c r="Z180" s="8" t="n"/>
      <c r="AA180" s="8" t="n"/>
      <c r="AB180" s="8" t="inlineStr">
        <is>
          <t>[Security Analyst]</t>
        </is>
      </c>
      <c r="AC180" s="8" t="n"/>
      <c r="AD180" s="8" t="n"/>
      <c r="AE180" s="16">
        <f>IF(AA180&lt;&gt;"", AA180+90, "")</f>
        <v/>
      </c>
      <c r="AF180" s="8" t="n"/>
    </row>
    <row r="181">
      <c r="A181">
        <f>IF(B181&lt;&gt;"", "HC-"&amp;TEXT(ROW()-1,"00000"), "")</f>
        <v/>
      </c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>
        <f>IF(K181="", "", IF(K181="Implemented", "Pass", IF(K181="Partial", "Partial", IF(K181="Not Applicable", "N/A", "Fail"))))</f>
        <v/>
      </c>
      <c r="R181" s="8" t="n"/>
      <c r="S181" s="8" t="n"/>
      <c r="T181">
        <f>IF(Q181="", "", IF(OR(Q181="Fail", Q181="Partial"), "Yes", "No"))</f>
        <v/>
      </c>
      <c r="U181" s="8" t="n"/>
      <c r="V181" s="8" t="n"/>
      <c r="W181" s="8" t="n"/>
      <c r="X181" s="8" t="inlineStr">
        <is>
          <t>No</t>
        </is>
      </c>
      <c r="Y181" s="8" t="n"/>
      <c r="Z181" s="8" t="n"/>
      <c r="AA181" s="8" t="n"/>
      <c r="AB181" s="8" t="inlineStr">
        <is>
          <t>[Security Analyst]</t>
        </is>
      </c>
      <c r="AC181" s="8" t="n"/>
      <c r="AD181" s="8" t="n"/>
      <c r="AE181" s="16">
        <f>IF(AA181&lt;&gt;"", AA181+90, "")</f>
        <v/>
      </c>
      <c r="AF181" s="8" t="n"/>
    </row>
    <row r="182">
      <c r="A182">
        <f>IF(B182&lt;&gt;"", "HC-"&amp;TEXT(ROW()-1,"00000"), "")</f>
        <v/>
      </c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>
        <f>IF(K182="", "", IF(K182="Implemented", "Pass", IF(K182="Partial", "Partial", IF(K182="Not Applicable", "N/A", "Fail"))))</f>
        <v/>
      </c>
      <c r="R182" s="8" t="n"/>
      <c r="S182" s="8" t="n"/>
      <c r="T182">
        <f>IF(Q182="", "", IF(OR(Q182="Fail", Q182="Partial"), "Yes", "No"))</f>
        <v/>
      </c>
      <c r="U182" s="8" t="n"/>
      <c r="V182" s="8" t="n"/>
      <c r="W182" s="8" t="n"/>
      <c r="X182" s="8" t="inlineStr">
        <is>
          <t>No</t>
        </is>
      </c>
      <c r="Y182" s="8" t="n"/>
      <c r="Z182" s="8" t="n"/>
      <c r="AA182" s="8" t="n"/>
      <c r="AB182" s="8" t="inlineStr">
        <is>
          <t>[Security Analyst]</t>
        </is>
      </c>
      <c r="AC182" s="8" t="n"/>
      <c r="AD182" s="8" t="n"/>
      <c r="AE182" s="16">
        <f>IF(AA182&lt;&gt;"", AA182+90, "")</f>
        <v/>
      </c>
      <c r="AF182" s="8" t="n"/>
    </row>
    <row r="183">
      <c r="A183">
        <f>IF(B183&lt;&gt;"", "HC-"&amp;TEXT(ROW()-1,"00000"), "")</f>
        <v/>
      </c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>
        <f>IF(K183="", "", IF(K183="Implemented", "Pass", IF(K183="Partial", "Partial", IF(K183="Not Applicable", "N/A", "Fail"))))</f>
        <v/>
      </c>
      <c r="R183" s="8" t="n"/>
      <c r="S183" s="8" t="n"/>
      <c r="T183">
        <f>IF(Q183="", "", IF(OR(Q183="Fail", Q183="Partial"), "Yes", "No"))</f>
        <v/>
      </c>
      <c r="U183" s="8" t="n"/>
      <c r="V183" s="8" t="n"/>
      <c r="W183" s="8" t="n"/>
      <c r="X183" s="8" t="inlineStr">
        <is>
          <t>No</t>
        </is>
      </c>
      <c r="Y183" s="8" t="n"/>
      <c r="Z183" s="8" t="n"/>
      <c r="AA183" s="8" t="n"/>
      <c r="AB183" s="8" t="inlineStr">
        <is>
          <t>[Security Analyst]</t>
        </is>
      </c>
      <c r="AC183" s="8" t="n"/>
      <c r="AD183" s="8" t="n"/>
      <c r="AE183" s="16">
        <f>IF(AA183&lt;&gt;"", AA183+90, "")</f>
        <v/>
      </c>
      <c r="AF183" s="8" t="n"/>
    </row>
    <row r="184">
      <c r="A184">
        <f>IF(B184&lt;&gt;"", "HC-"&amp;TEXT(ROW()-1,"00000"), "")</f>
        <v/>
      </c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>
        <f>IF(K184="", "", IF(K184="Implemented", "Pass", IF(K184="Partial", "Partial", IF(K184="Not Applicable", "N/A", "Fail"))))</f>
        <v/>
      </c>
      <c r="R184" s="8" t="n"/>
      <c r="S184" s="8" t="n"/>
      <c r="T184">
        <f>IF(Q184="", "", IF(OR(Q184="Fail", Q184="Partial"), "Yes", "No"))</f>
        <v/>
      </c>
      <c r="U184" s="8" t="n"/>
      <c r="V184" s="8" t="n"/>
      <c r="W184" s="8" t="n"/>
      <c r="X184" s="8" t="inlineStr">
        <is>
          <t>No</t>
        </is>
      </c>
      <c r="Y184" s="8" t="n"/>
      <c r="Z184" s="8" t="n"/>
      <c r="AA184" s="8" t="n"/>
      <c r="AB184" s="8" t="inlineStr">
        <is>
          <t>[Security Analyst]</t>
        </is>
      </c>
      <c r="AC184" s="8" t="n"/>
      <c r="AD184" s="8" t="n"/>
      <c r="AE184" s="16">
        <f>IF(AA184&lt;&gt;"", AA184+90, "")</f>
        <v/>
      </c>
      <c r="AF184" s="8" t="n"/>
    </row>
    <row r="185">
      <c r="A185">
        <f>IF(B185&lt;&gt;"", "HC-"&amp;TEXT(ROW()-1,"00000"), "")</f>
        <v/>
      </c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>
        <f>IF(K185="", "", IF(K185="Implemented", "Pass", IF(K185="Partial", "Partial", IF(K185="Not Applicable", "N/A", "Fail"))))</f>
        <v/>
      </c>
      <c r="R185" s="8" t="n"/>
      <c r="S185" s="8" t="n"/>
      <c r="T185">
        <f>IF(Q185="", "", IF(OR(Q185="Fail", Q185="Partial"), "Yes", "No"))</f>
        <v/>
      </c>
      <c r="U185" s="8" t="n"/>
      <c r="V185" s="8" t="n"/>
      <c r="W185" s="8" t="n"/>
      <c r="X185" s="8" t="inlineStr">
        <is>
          <t>No</t>
        </is>
      </c>
      <c r="Y185" s="8" t="n"/>
      <c r="Z185" s="8" t="n"/>
      <c r="AA185" s="8" t="n"/>
      <c r="AB185" s="8" t="inlineStr">
        <is>
          <t>[Security Analyst]</t>
        </is>
      </c>
      <c r="AC185" s="8" t="n"/>
      <c r="AD185" s="8" t="n"/>
      <c r="AE185" s="16">
        <f>IF(AA185&lt;&gt;"", AA185+90, "")</f>
        <v/>
      </c>
      <c r="AF185" s="8" t="n"/>
    </row>
    <row r="186">
      <c r="A186">
        <f>IF(B186&lt;&gt;"", "HC-"&amp;TEXT(ROW()-1,"00000"), "")</f>
        <v/>
      </c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>
        <f>IF(K186="", "", IF(K186="Implemented", "Pass", IF(K186="Partial", "Partial", IF(K186="Not Applicable", "N/A", "Fail"))))</f>
        <v/>
      </c>
      <c r="R186" s="8" t="n"/>
      <c r="S186" s="8" t="n"/>
      <c r="T186">
        <f>IF(Q186="", "", IF(OR(Q186="Fail", Q186="Partial"), "Yes", "No"))</f>
        <v/>
      </c>
      <c r="U186" s="8" t="n"/>
      <c r="V186" s="8" t="n"/>
      <c r="W186" s="8" t="n"/>
      <c r="X186" s="8" t="inlineStr">
        <is>
          <t>No</t>
        </is>
      </c>
      <c r="Y186" s="8" t="n"/>
      <c r="Z186" s="8" t="n"/>
      <c r="AA186" s="8" t="n"/>
      <c r="AB186" s="8" t="inlineStr">
        <is>
          <t>[Security Analyst]</t>
        </is>
      </c>
      <c r="AC186" s="8" t="n"/>
      <c r="AD186" s="8" t="n"/>
      <c r="AE186" s="16">
        <f>IF(AA186&lt;&gt;"", AA186+90, "")</f>
        <v/>
      </c>
      <c r="AF186" s="8" t="n"/>
    </row>
    <row r="187">
      <c r="A187">
        <f>IF(B187&lt;&gt;"", "HC-"&amp;TEXT(ROW()-1,"00000"), "")</f>
        <v/>
      </c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>
        <f>IF(K187="", "", IF(K187="Implemented", "Pass", IF(K187="Partial", "Partial", IF(K187="Not Applicable", "N/A", "Fail"))))</f>
        <v/>
      </c>
      <c r="R187" s="8" t="n"/>
      <c r="S187" s="8" t="n"/>
      <c r="T187">
        <f>IF(Q187="", "", IF(OR(Q187="Fail", Q187="Partial"), "Yes", "No"))</f>
        <v/>
      </c>
      <c r="U187" s="8" t="n"/>
      <c r="V187" s="8" t="n"/>
      <c r="W187" s="8" t="n"/>
      <c r="X187" s="8" t="inlineStr">
        <is>
          <t>No</t>
        </is>
      </c>
      <c r="Y187" s="8" t="n"/>
      <c r="Z187" s="8" t="n"/>
      <c r="AA187" s="8" t="n"/>
      <c r="AB187" s="8" t="inlineStr">
        <is>
          <t>[Security Analyst]</t>
        </is>
      </c>
      <c r="AC187" s="8" t="n"/>
      <c r="AD187" s="8" t="n"/>
      <c r="AE187" s="16">
        <f>IF(AA187&lt;&gt;"", AA187+90, "")</f>
        <v/>
      </c>
      <c r="AF187" s="8" t="n"/>
    </row>
    <row r="188">
      <c r="A188">
        <f>IF(B188&lt;&gt;"", "HC-"&amp;TEXT(ROW()-1,"00000"), "")</f>
        <v/>
      </c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>
        <f>IF(K188="", "", IF(K188="Implemented", "Pass", IF(K188="Partial", "Partial", IF(K188="Not Applicable", "N/A", "Fail"))))</f>
        <v/>
      </c>
      <c r="R188" s="8" t="n"/>
      <c r="S188" s="8" t="n"/>
      <c r="T188">
        <f>IF(Q188="", "", IF(OR(Q188="Fail", Q188="Partial"), "Yes", "No"))</f>
        <v/>
      </c>
      <c r="U188" s="8" t="n"/>
      <c r="V188" s="8" t="n"/>
      <c r="W188" s="8" t="n"/>
      <c r="X188" s="8" t="inlineStr">
        <is>
          <t>No</t>
        </is>
      </c>
      <c r="Y188" s="8" t="n"/>
      <c r="Z188" s="8" t="n"/>
      <c r="AA188" s="8" t="n"/>
      <c r="AB188" s="8" t="inlineStr">
        <is>
          <t>[Security Analyst]</t>
        </is>
      </c>
      <c r="AC188" s="8" t="n"/>
      <c r="AD188" s="8" t="n"/>
      <c r="AE188" s="16">
        <f>IF(AA188&lt;&gt;"", AA188+90, "")</f>
        <v/>
      </c>
      <c r="AF188" s="8" t="n"/>
    </row>
    <row r="189">
      <c r="A189">
        <f>IF(B189&lt;&gt;"", "HC-"&amp;TEXT(ROW()-1,"00000"), "")</f>
        <v/>
      </c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>
        <f>IF(K189="", "", IF(K189="Implemented", "Pass", IF(K189="Partial", "Partial", IF(K189="Not Applicable", "N/A", "Fail"))))</f>
        <v/>
      </c>
      <c r="R189" s="8" t="n"/>
      <c r="S189" s="8" t="n"/>
      <c r="T189">
        <f>IF(Q189="", "", IF(OR(Q189="Fail", Q189="Partial"), "Yes", "No"))</f>
        <v/>
      </c>
      <c r="U189" s="8" t="n"/>
      <c r="V189" s="8" t="n"/>
      <c r="W189" s="8" t="n"/>
      <c r="X189" s="8" t="inlineStr">
        <is>
          <t>No</t>
        </is>
      </c>
      <c r="Y189" s="8" t="n"/>
      <c r="Z189" s="8" t="n"/>
      <c r="AA189" s="8" t="n"/>
      <c r="AB189" s="8" t="inlineStr">
        <is>
          <t>[Security Analyst]</t>
        </is>
      </c>
      <c r="AC189" s="8" t="n"/>
      <c r="AD189" s="8" t="n"/>
      <c r="AE189" s="16">
        <f>IF(AA189&lt;&gt;"", AA189+90, "")</f>
        <v/>
      </c>
      <c r="AF189" s="8" t="n"/>
    </row>
    <row r="190">
      <c r="A190">
        <f>IF(B190&lt;&gt;"", "HC-"&amp;TEXT(ROW()-1,"00000"), "")</f>
        <v/>
      </c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>
        <f>IF(K190="", "", IF(K190="Implemented", "Pass", IF(K190="Partial", "Partial", IF(K190="Not Applicable", "N/A", "Fail"))))</f>
        <v/>
      </c>
      <c r="R190" s="8" t="n"/>
      <c r="S190" s="8" t="n"/>
      <c r="T190">
        <f>IF(Q190="", "", IF(OR(Q190="Fail", Q190="Partial"), "Yes", "No"))</f>
        <v/>
      </c>
      <c r="U190" s="8" t="n"/>
      <c r="V190" s="8" t="n"/>
      <c r="W190" s="8" t="n"/>
      <c r="X190" s="8" t="inlineStr">
        <is>
          <t>No</t>
        </is>
      </c>
      <c r="Y190" s="8" t="n"/>
      <c r="Z190" s="8" t="n"/>
      <c r="AA190" s="8" t="n"/>
      <c r="AB190" s="8" t="inlineStr">
        <is>
          <t>[Security Analyst]</t>
        </is>
      </c>
      <c r="AC190" s="8" t="n"/>
      <c r="AD190" s="8" t="n"/>
      <c r="AE190" s="16">
        <f>IF(AA190&lt;&gt;"", AA190+90, "")</f>
        <v/>
      </c>
      <c r="AF190" s="8" t="n"/>
    </row>
    <row r="191">
      <c r="A191">
        <f>IF(B191&lt;&gt;"", "HC-"&amp;TEXT(ROW()-1,"00000"), "")</f>
        <v/>
      </c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>
        <f>IF(K191="", "", IF(K191="Implemented", "Pass", IF(K191="Partial", "Partial", IF(K191="Not Applicable", "N/A", "Fail"))))</f>
        <v/>
      </c>
      <c r="R191" s="8" t="n"/>
      <c r="S191" s="8" t="n"/>
      <c r="T191">
        <f>IF(Q191="", "", IF(OR(Q191="Fail", Q191="Partial"), "Yes", "No"))</f>
        <v/>
      </c>
      <c r="U191" s="8" t="n"/>
      <c r="V191" s="8" t="n"/>
      <c r="W191" s="8" t="n"/>
      <c r="X191" s="8" t="inlineStr">
        <is>
          <t>No</t>
        </is>
      </c>
      <c r="Y191" s="8" t="n"/>
      <c r="Z191" s="8" t="n"/>
      <c r="AA191" s="8" t="n"/>
      <c r="AB191" s="8" t="inlineStr">
        <is>
          <t>[Security Analyst]</t>
        </is>
      </c>
      <c r="AC191" s="8" t="n"/>
      <c r="AD191" s="8" t="n"/>
      <c r="AE191" s="16">
        <f>IF(AA191&lt;&gt;"", AA191+90, "")</f>
        <v/>
      </c>
      <c r="AF191" s="8" t="n"/>
    </row>
    <row r="192">
      <c r="A192">
        <f>IF(B192&lt;&gt;"", "HC-"&amp;TEXT(ROW()-1,"00000"), "")</f>
        <v/>
      </c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>
        <f>IF(K192="", "", IF(K192="Implemented", "Pass", IF(K192="Partial", "Partial", IF(K192="Not Applicable", "N/A", "Fail"))))</f>
        <v/>
      </c>
      <c r="R192" s="8" t="n"/>
      <c r="S192" s="8" t="n"/>
      <c r="T192">
        <f>IF(Q192="", "", IF(OR(Q192="Fail", Q192="Partial"), "Yes", "No"))</f>
        <v/>
      </c>
      <c r="U192" s="8" t="n"/>
      <c r="V192" s="8" t="n"/>
      <c r="W192" s="8" t="n"/>
      <c r="X192" s="8" t="inlineStr">
        <is>
          <t>No</t>
        </is>
      </c>
      <c r="Y192" s="8" t="n"/>
      <c r="Z192" s="8" t="n"/>
      <c r="AA192" s="8" t="n"/>
      <c r="AB192" s="8" t="inlineStr">
        <is>
          <t>[Security Analyst]</t>
        </is>
      </c>
      <c r="AC192" s="8" t="n"/>
      <c r="AD192" s="8" t="n"/>
      <c r="AE192" s="16">
        <f>IF(AA192&lt;&gt;"", AA192+90, "")</f>
        <v/>
      </c>
      <c r="AF192" s="8" t="n"/>
    </row>
    <row r="193">
      <c r="A193">
        <f>IF(B193&lt;&gt;"", "HC-"&amp;TEXT(ROW()-1,"00000"), "")</f>
        <v/>
      </c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>
        <f>IF(K193="", "", IF(K193="Implemented", "Pass", IF(K193="Partial", "Partial", IF(K193="Not Applicable", "N/A", "Fail"))))</f>
        <v/>
      </c>
      <c r="R193" s="8" t="n"/>
      <c r="S193" s="8" t="n"/>
      <c r="T193">
        <f>IF(Q193="", "", IF(OR(Q193="Fail", Q193="Partial"), "Yes", "No"))</f>
        <v/>
      </c>
      <c r="U193" s="8" t="n"/>
      <c r="V193" s="8" t="n"/>
      <c r="W193" s="8" t="n"/>
      <c r="X193" s="8" t="inlineStr">
        <is>
          <t>No</t>
        </is>
      </c>
      <c r="Y193" s="8" t="n"/>
      <c r="Z193" s="8" t="n"/>
      <c r="AA193" s="8" t="n"/>
      <c r="AB193" s="8" t="inlineStr">
        <is>
          <t>[Security Analyst]</t>
        </is>
      </c>
      <c r="AC193" s="8" t="n"/>
      <c r="AD193" s="8" t="n"/>
      <c r="AE193" s="16">
        <f>IF(AA193&lt;&gt;"", AA193+90, "")</f>
        <v/>
      </c>
      <c r="AF193" s="8" t="n"/>
    </row>
    <row r="194">
      <c r="A194">
        <f>IF(B194&lt;&gt;"", "HC-"&amp;TEXT(ROW()-1,"00000"), "")</f>
        <v/>
      </c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>
        <f>IF(K194="", "", IF(K194="Implemented", "Pass", IF(K194="Partial", "Partial", IF(K194="Not Applicable", "N/A", "Fail"))))</f>
        <v/>
      </c>
      <c r="R194" s="8" t="n"/>
      <c r="S194" s="8" t="n"/>
      <c r="T194">
        <f>IF(Q194="", "", IF(OR(Q194="Fail", Q194="Partial"), "Yes", "No"))</f>
        <v/>
      </c>
      <c r="U194" s="8" t="n"/>
      <c r="V194" s="8" t="n"/>
      <c r="W194" s="8" t="n"/>
      <c r="X194" s="8" t="inlineStr">
        <is>
          <t>No</t>
        </is>
      </c>
      <c r="Y194" s="8" t="n"/>
      <c r="Z194" s="8" t="n"/>
      <c r="AA194" s="8" t="n"/>
      <c r="AB194" s="8" t="inlineStr">
        <is>
          <t>[Security Analyst]</t>
        </is>
      </c>
      <c r="AC194" s="8" t="n"/>
      <c r="AD194" s="8" t="n"/>
      <c r="AE194" s="16">
        <f>IF(AA194&lt;&gt;"", AA194+90, "")</f>
        <v/>
      </c>
      <c r="AF194" s="8" t="n"/>
    </row>
    <row r="195">
      <c r="A195">
        <f>IF(B195&lt;&gt;"", "HC-"&amp;TEXT(ROW()-1,"00000"), "")</f>
        <v/>
      </c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>
        <f>IF(K195="", "", IF(K195="Implemented", "Pass", IF(K195="Partial", "Partial", IF(K195="Not Applicable", "N/A", "Fail"))))</f>
        <v/>
      </c>
      <c r="R195" s="8" t="n"/>
      <c r="S195" s="8" t="n"/>
      <c r="T195">
        <f>IF(Q195="", "", IF(OR(Q195="Fail", Q195="Partial"), "Yes", "No"))</f>
        <v/>
      </c>
      <c r="U195" s="8" t="n"/>
      <c r="V195" s="8" t="n"/>
      <c r="W195" s="8" t="n"/>
      <c r="X195" s="8" t="inlineStr">
        <is>
          <t>No</t>
        </is>
      </c>
      <c r="Y195" s="8" t="n"/>
      <c r="Z195" s="8" t="n"/>
      <c r="AA195" s="8" t="n"/>
      <c r="AB195" s="8" t="inlineStr">
        <is>
          <t>[Security Analyst]</t>
        </is>
      </c>
      <c r="AC195" s="8" t="n"/>
      <c r="AD195" s="8" t="n"/>
      <c r="AE195" s="16">
        <f>IF(AA195&lt;&gt;"", AA195+90, "")</f>
        <v/>
      </c>
      <c r="AF195" s="8" t="n"/>
    </row>
    <row r="196">
      <c r="A196">
        <f>IF(B196&lt;&gt;"", "HC-"&amp;TEXT(ROW()-1,"00000"), "")</f>
        <v/>
      </c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>
        <f>IF(K196="", "", IF(K196="Implemented", "Pass", IF(K196="Partial", "Partial", IF(K196="Not Applicable", "N/A", "Fail"))))</f>
        <v/>
      </c>
      <c r="R196" s="8" t="n"/>
      <c r="S196" s="8" t="n"/>
      <c r="T196">
        <f>IF(Q196="", "", IF(OR(Q196="Fail", Q196="Partial"), "Yes", "No"))</f>
        <v/>
      </c>
      <c r="U196" s="8" t="n"/>
      <c r="V196" s="8" t="n"/>
      <c r="W196" s="8" t="n"/>
      <c r="X196" s="8" t="inlineStr">
        <is>
          <t>No</t>
        </is>
      </c>
      <c r="Y196" s="8" t="n"/>
      <c r="Z196" s="8" t="n"/>
      <c r="AA196" s="8" t="n"/>
      <c r="AB196" s="8" t="inlineStr">
        <is>
          <t>[Security Analyst]</t>
        </is>
      </c>
      <c r="AC196" s="8" t="n"/>
      <c r="AD196" s="8" t="n"/>
      <c r="AE196" s="16">
        <f>IF(AA196&lt;&gt;"", AA196+90, "")</f>
        <v/>
      </c>
      <c r="AF196" s="8" t="n"/>
    </row>
    <row r="197">
      <c r="A197">
        <f>IF(B197&lt;&gt;"", "HC-"&amp;TEXT(ROW()-1,"00000"), "")</f>
        <v/>
      </c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>
        <f>IF(K197="", "", IF(K197="Implemented", "Pass", IF(K197="Partial", "Partial", IF(K197="Not Applicable", "N/A", "Fail"))))</f>
        <v/>
      </c>
      <c r="R197" s="8" t="n"/>
      <c r="S197" s="8" t="n"/>
      <c r="T197">
        <f>IF(Q197="", "", IF(OR(Q197="Fail", Q197="Partial"), "Yes", "No"))</f>
        <v/>
      </c>
      <c r="U197" s="8" t="n"/>
      <c r="V197" s="8" t="n"/>
      <c r="W197" s="8" t="n"/>
      <c r="X197" s="8" t="inlineStr">
        <is>
          <t>No</t>
        </is>
      </c>
      <c r="Y197" s="8" t="n"/>
      <c r="Z197" s="8" t="n"/>
      <c r="AA197" s="8" t="n"/>
      <c r="AB197" s="8" t="inlineStr">
        <is>
          <t>[Security Analyst]</t>
        </is>
      </c>
      <c r="AC197" s="8" t="n"/>
      <c r="AD197" s="8" t="n"/>
      <c r="AE197" s="16">
        <f>IF(AA197&lt;&gt;"", AA197+90, "")</f>
        <v/>
      </c>
      <c r="AF197" s="8" t="n"/>
    </row>
    <row r="198">
      <c r="A198">
        <f>IF(B198&lt;&gt;"", "HC-"&amp;TEXT(ROW()-1,"00000"), "")</f>
        <v/>
      </c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>
        <f>IF(K198="", "", IF(K198="Implemented", "Pass", IF(K198="Partial", "Partial", IF(K198="Not Applicable", "N/A", "Fail"))))</f>
        <v/>
      </c>
      <c r="R198" s="8" t="n"/>
      <c r="S198" s="8" t="n"/>
      <c r="T198">
        <f>IF(Q198="", "", IF(OR(Q198="Fail", Q198="Partial"), "Yes", "No"))</f>
        <v/>
      </c>
      <c r="U198" s="8" t="n"/>
      <c r="V198" s="8" t="n"/>
      <c r="W198" s="8" t="n"/>
      <c r="X198" s="8" t="inlineStr">
        <is>
          <t>No</t>
        </is>
      </c>
      <c r="Y198" s="8" t="n"/>
      <c r="Z198" s="8" t="n"/>
      <c r="AA198" s="8" t="n"/>
      <c r="AB198" s="8" t="inlineStr">
        <is>
          <t>[Security Analyst]</t>
        </is>
      </c>
      <c r="AC198" s="8" t="n"/>
      <c r="AD198" s="8" t="n"/>
      <c r="AE198" s="16">
        <f>IF(AA198&lt;&gt;"", AA198+90, "")</f>
        <v/>
      </c>
      <c r="AF198" s="8" t="n"/>
    </row>
    <row r="199">
      <c r="A199">
        <f>IF(B199&lt;&gt;"", "HC-"&amp;TEXT(ROW()-1,"00000"), "")</f>
        <v/>
      </c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>
        <f>IF(K199="", "", IF(K199="Implemented", "Pass", IF(K199="Partial", "Partial", IF(K199="Not Applicable", "N/A", "Fail"))))</f>
        <v/>
      </c>
      <c r="R199" s="8" t="n"/>
      <c r="S199" s="8" t="n"/>
      <c r="T199">
        <f>IF(Q199="", "", IF(OR(Q199="Fail", Q199="Partial"), "Yes", "No"))</f>
        <v/>
      </c>
      <c r="U199" s="8" t="n"/>
      <c r="V199" s="8" t="n"/>
      <c r="W199" s="8" t="n"/>
      <c r="X199" s="8" t="inlineStr">
        <is>
          <t>No</t>
        </is>
      </c>
      <c r="Y199" s="8" t="n"/>
      <c r="Z199" s="8" t="n"/>
      <c r="AA199" s="8" t="n"/>
      <c r="AB199" s="8" t="inlineStr">
        <is>
          <t>[Security Analyst]</t>
        </is>
      </c>
      <c r="AC199" s="8" t="n"/>
      <c r="AD199" s="8" t="n"/>
      <c r="AE199" s="16">
        <f>IF(AA199&lt;&gt;"", AA199+90, "")</f>
        <v/>
      </c>
      <c r="AF199" s="8" t="n"/>
    </row>
    <row r="200">
      <c r="A200">
        <f>IF(B200&lt;&gt;"", "HC-"&amp;TEXT(ROW()-1,"00000"), "")</f>
        <v/>
      </c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>
        <f>IF(K200="", "", IF(K200="Implemented", "Pass", IF(K200="Partial", "Partial", IF(K200="Not Applicable", "N/A", "Fail"))))</f>
        <v/>
      </c>
      <c r="R200" s="8" t="n"/>
      <c r="S200" s="8" t="n"/>
      <c r="T200">
        <f>IF(Q200="", "", IF(OR(Q200="Fail", Q200="Partial"), "Yes", "No"))</f>
        <v/>
      </c>
      <c r="U200" s="8" t="n"/>
      <c r="V200" s="8" t="n"/>
      <c r="W200" s="8" t="n"/>
      <c r="X200" s="8" t="inlineStr">
        <is>
          <t>No</t>
        </is>
      </c>
      <c r="Y200" s="8" t="n"/>
      <c r="Z200" s="8" t="n"/>
      <c r="AA200" s="8" t="n"/>
      <c r="AB200" s="8" t="inlineStr">
        <is>
          <t>[Security Analyst]</t>
        </is>
      </c>
      <c r="AC200" s="8" t="n"/>
      <c r="AD200" s="8" t="n"/>
      <c r="AE200" s="16">
        <f>IF(AA200&lt;&gt;"", AA200+90, "")</f>
        <v/>
      </c>
      <c r="AF200" s="8" t="n"/>
    </row>
    <row r="201">
      <c r="A201">
        <f>IF(B201&lt;&gt;"", "HC-"&amp;TEXT(ROW()-1,"00000"), "")</f>
        <v/>
      </c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>
        <f>IF(K201="", "", IF(K201="Implemented", "Pass", IF(K201="Partial", "Partial", IF(K201="Not Applicable", "N/A", "Fail"))))</f>
        <v/>
      </c>
      <c r="R201" s="8" t="n"/>
      <c r="S201" s="8" t="n"/>
      <c r="T201">
        <f>IF(Q201="", "", IF(OR(Q201="Fail", Q201="Partial"), "Yes", "No"))</f>
        <v/>
      </c>
      <c r="U201" s="8" t="n"/>
      <c r="V201" s="8" t="n"/>
      <c r="W201" s="8" t="n"/>
      <c r="X201" s="8" t="inlineStr">
        <is>
          <t>No</t>
        </is>
      </c>
      <c r="Y201" s="8" t="n"/>
      <c r="Z201" s="8" t="n"/>
      <c r="AA201" s="8" t="n"/>
      <c r="AB201" s="8" t="inlineStr">
        <is>
          <t>[Security Analyst]</t>
        </is>
      </c>
      <c r="AC201" s="8" t="n"/>
      <c r="AD201" s="8" t="n"/>
      <c r="AE201" s="16">
        <f>IF(AA201&lt;&gt;"", AA201+90, "")</f>
        <v/>
      </c>
      <c r="AF201" s="8" t="n"/>
    </row>
    <row r="202">
      <c r="A202">
        <f>IF(B202&lt;&gt;"", "HC-"&amp;TEXT(ROW()-1,"00000"), "")</f>
        <v/>
      </c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>
        <f>IF(K202="", "", IF(K202="Implemented", "Pass", IF(K202="Partial", "Partial", IF(K202="Not Applicable", "N/A", "Fail"))))</f>
        <v/>
      </c>
      <c r="R202" s="8" t="n"/>
      <c r="S202" s="8" t="n"/>
      <c r="T202">
        <f>IF(Q202="", "", IF(OR(Q202="Fail", Q202="Partial"), "Yes", "No"))</f>
        <v/>
      </c>
      <c r="U202" s="8" t="n"/>
      <c r="V202" s="8" t="n"/>
      <c r="W202" s="8" t="n"/>
      <c r="X202" s="8" t="inlineStr">
        <is>
          <t>No</t>
        </is>
      </c>
      <c r="Y202" s="8" t="n"/>
      <c r="Z202" s="8" t="n"/>
      <c r="AA202" s="8" t="n"/>
      <c r="AB202" s="8" t="inlineStr">
        <is>
          <t>[Security Analyst]</t>
        </is>
      </c>
      <c r="AC202" s="8" t="n"/>
      <c r="AD202" s="8" t="n"/>
      <c r="AE202" s="16">
        <f>IF(AA202&lt;&gt;"", AA202+90, "")</f>
        <v/>
      </c>
      <c r="AF202" s="8" t="n"/>
    </row>
    <row r="203">
      <c r="A203">
        <f>IF(B203&lt;&gt;"", "HC-"&amp;TEXT(ROW()-1,"00000"), "")</f>
        <v/>
      </c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>
        <f>IF(K203="", "", IF(K203="Implemented", "Pass", IF(K203="Partial", "Partial", IF(K203="Not Applicable", "N/A", "Fail"))))</f>
        <v/>
      </c>
      <c r="R203" s="8" t="n"/>
      <c r="S203" s="8" t="n"/>
      <c r="T203">
        <f>IF(Q203="", "", IF(OR(Q203="Fail", Q203="Partial"), "Yes", "No"))</f>
        <v/>
      </c>
      <c r="U203" s="8" t="n"/>
      <c r="V203" s="8" t="n"/>
      <c r="W203" s="8" t="n"/>
      <c r="X203" s="8" t="inlineStr">
        <is>
          <t>No</t>
        </is>
      </c>
      <c r="Y203" s="8" t="n"/>
      <c r="Z203" s="8" t="n"/>
      <c r="AA203" s="8" t="n"/>
      <c r="AB203" s="8" t="inlineStr">
        <is>
          <t>[Security Analyst]</t>
        </is>
      </c>
      <c r="AC203" s="8" t="n"/>
      <c r="AD203" s="8" t="n"/>
      <c r="AE203" s="16">
        <f>IF(AA203&lt;&gt;"", AA203+90, "")</f>
        <v/>
      </c>
      <c r="AF203" s="8" t="n"/>
    </row>
    <row r="204">
      <c r="A204">
        <f>IF(B204&lt;&gt;"", "HC-"&amp;TEXT(ROW()-1,"00000"), "")</f>
        <v/>
      </c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>
        <f>IF(K204="", "", IF(K204="Implemented", "Pass", IF(K204="Partial", "Partial", IF(K204="Not Applicable", "N/A", "Fail"))))</f>
        <v/>
      </c>
      <c r="R204" s="8" t="n"/>
      <c r="S204" s="8" t="n"/>
      <c r="T204">
        <f>IF(Q204="", "", IF(OR(Q204="Fail", Q204="Partial"), "Yes", "No"))</f>
        <v/>
      </c>
      <c r="U204" s="8" t="n"/>
      <c r="V204" s="8" t="n"/>
      <c r="W204" s="8" t="n"/>
      <c r="X204" s="8" t="inlineStr">
        <is>
          <t>No</t>
        </is>
      </c>
      <c r="Y204" s="8" t="n"/>
      <c r="Z204" s="8" t="n"/>
      <c r="AA204" s="8" t="n"/>
      <c r="AB204" s="8" t="inlineStr">
        <is>
          <t>[Security Analyst]</t>
        </is>
      </c>
      <c r="AC204" s="8" t="n"/>
      <c r="AD204" s="8" t="n"/>
      <c r="AE204" s="16">
        <f>IF(AA204&lt;&gt;"", AA204+90, "")</f>
        <v/>
      </c>
      <c r="AF204" s="8" t="n"/>
    </row>
    <row r="205">
      <c r="A205">
        <f>IF(B205&lt;&gt;"", "HC-"&amp;TEXT(ROW()-1,"00000"), "")</f>
        <v/>
      </c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>
        <f>IF(K205="", "", IF(K205="Implemented", "Pass", IF(K205="Partial", "Partial", IF(K205="Not Applicable", "N/A", "Fail"))))</f>
        <v/>
      </c>
      <c r="R205" s="8" t="n"/>
      <c r="S205" s="8" t="n"/>
      <c r="T205">
        <f>IF(Q205="", "", IF(OR(Q205="Fail", Q205="Partial"), "Yes", "No"))</f>
        <v/>
      </c>
      <c r="U205" s="8" t="n"/>
      <c r="V205" s="8" t="n"/>
      <c r="W205" s="8" t="n"/>
      <c r="X205" s="8" t="inlineStr">
        <is>
          <t>No</t>
        </is>
      </c>
      <c r="Y205" s="8" t="n"/>
      <c r="Z205" s="8" t="n"/>
      <c r="AA205" s="8" t="n"/>
      <c r="AB205" s="8" t="inlineStr">
        <is>
          <t>[Security Analyst]</t>
        </is>
      </c>
      <c r="AC205" s="8" t="n"/>
      <c r="AD205" s="8" t="n"/>
      <c r="AE205" s="16">
        <f>IF(AA205&lt;&gt;"", AA205+90, "")</f>
        <v/>
      </c>
      <c r="AF205" s="8" t="n"/>
    </row>
    <row r="206">
      <c r="A206">
        <f>IF(B206&lt;&gt;"", "HC-"&amp;TEXT(ROW()-1,"00000"), "")</f>
        <v/>
      </c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>
        <f>IF(K206="", "", IF(K206="Implemented", "Pass", IF(K206="Partial", "Partial", IF(K206="Not Applicable", "N/A", "Fail"))))</f>
        <v/>
      </c>
      <c r="R206" s="8" t="n"/>
      <c r="S206" s="8" t="n"/>
      <c r="T206">
        <f>IF(Q206="", "", IF(OR(Q206="Fail", Q206="Partial"), "Yes", "No"))</f>
        <v/>
      </c>
      <c r="U206" s="8" t="n"/>
      <c r="V206" s="8" t="n"/>
      <c r="W206" s="8" t="n"/>
      <c r="X206" s="8" t="inlineStr">
        <is>
          <t>No</t>
        </is>
      </c>
      <c r="Y206" s="8" t="n"/>
      <c r="Z206" s="8" t="n"/>
      <c r="AA206" s="8" t="n"/>
      <c r="AB206" s="8" t="inlineStr">
        <is>
          <t>[Security Analyst]</t>
        </is>
      </c>
      <c r="AC206" s="8" t="n"/>
      <c r="AD206" s="8" t="n"/>
      <c r="AE206" s="16">
        <f>IF(AA206&lt;&gt;"", AA206+90, "")</f>
        <v/>
      </c>
      <c r="AF206" s="8" t="n"/>
    </row>
    <row r="207">
      <c r="A207">
        <f>IF(B207&lt;&gt;"", "HC-"&amp;TEXT(ROW()-1,"00000"), "")</f>
        <v/>
      </c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>
        <f>IF(K207="", "", IF(K207="Implemented", "Pass", IF(K207="Partial", "Partial", IF(K207="Not Applicable", "N/A", "Fail"))))</f>
        <v/>
      </c>
      <c r="R207" s="8" t="n"/>
      <c r="S207" s="8" t="n"/>
      <c r="T207">
        <f>IF(Q207="", "", IF(OR(Q207="Fail", Q207="Partial"), "Yes", "No"))</f>
        <v/>
      </c>
      <c r="U207" s="8" t="n"/>
      <c r="V207" s="8" t="n"/>
      <c r="W207" s="8" t="n"/>
      <c r="X207" s="8" t="inlineStr">
        <is>
          <t>No</t>
        </is>
      </c>
      <c r="Y207" s="8" t="n"/>
      <c r="Z207" s="8" t="n"/>
      <c r="AA207" s="8" t="n"/>
      <c r="AB207" s="8" t="inlineStr">
        <is>
          <t>[Security Analyst]</t>
        </is>
      </c>
      <c r="AC207" s="8" t="n"/>
      <c r="AD207" s="8" t="n"/>
      <c r="AE207" s="16">
        <f>IF(AA207&lt;&gt;"", AA207+90, "")</f>
        <v/>
      </c>
      <c r="AF207" s="8" t="n"/>
    </row>
    <row r="208">
      <c r="A208">
        <f>IF(B208&lt;&gt;"", "HC-"&amp;TEXT(ROW()-1,"00000"), "")</f>
        <v/>
      </c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>
        <f>IF(K208="", "", IF(K208="Implemented", "Pass", IF(K208="Partial", "Partial", IF(K208="Not Applicable", "N/A", "Fail"))))</f>
        <v/>
      </c>
      <c r="R208" s="8" t="n"/>
      <c r="S208" s="8" t="n"/>
      <c r="T208">
        <f>IF(Q208="", "", IF(OR(Q208="Fail", Q208="Partial"), "Yes", "No"))</f>
        <v/>
      </c>
      <c r="U208" s="8" t="n"/>
      <c r="V208" s="8" t="n"/>
      <c r="W208" s="8" t="n"/>
      <c r="X208" s="8" t="inlineStr">
        <is>
          <t>No</t>
        </is>
      </c>
      <c r="Y208" s="8" t="n"/>
      <c r="Z208" s="8" t="n"/>
      <c r="AA208" s="8" t="n"/>
      <c r="AB208" s="8" t="inlineStr">
        <is>
          <t>[Security Analyst]</t>
        </is>
      </c>
      <c r="AC208" s="8" t="n"/>
      <c r="AD208" s="8" t="n"/>
      <c r="AE208" s="16">
        <f>IF(AA208&lt;&gt;"", AA208+90, "")</f>
        <v/>
      </c>
      <c r="AF208" s="8" t="n"/>
    </row>
    <row r="209">
      <c r="A209">
        <f>IF(B209&lt;&gt;"", "HC-"&amp;TEXT(ROW()-1,"00000"), "")</f>
        <v/>
      </c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>
        <f>IF(K209="", "", IF(K209="Implemented", "Pass", IF(K209="Partial", "Partial", IF(K209="Not Applicable", "N/A", "Fail"))))</f>
        <v/>
      </c>
      <c r="R209" s="8" t="n"/>
      <c r="S209" s="8" t="n"/>
      <c r="T209">
        <f>IF(Q209="", "", IF(OR(Q209="Fail", Q209="Partial"), "Yes", "No"))</f>
        <v/>
      </c>
      <c r="U209" s="8" t="n"/>
      <c r="V209" s="8" t="n"/>
      <c r="W209" s="8" t="n"/>
      <c r="X209" s="8" t="inlineStr">
        <is>
          <t>No</t>
        </is>
      </c>
      <c r="Y209" s="8" t="n"/>
      <c r="Z209" s="8" t="n"/>
      <c r="AA209" s="8" t="n"/>
      <c r="AB209" s="8" t="inlineStr">
        <is>
          <t>[Security Analyst]</t>
        </is>
      </c>
      <c r="AC209" s="8" t="n"/>
      <c r="AD209" s="8" t="n"/>
      <c r="AE209" s="16">
        <f>IF(AA209&lt;&gt;"", AA209+90, "")</f>
        <v/>
      </c>
      <c r="AF209" s="8" t="n"/>
    </row>
    <row r="210">
      <c r="A210">
        <f>IF(B210&lt;&gt;"", "HC-"&amp;TEXT(ROW()-1,"00000"), "")</f>
        <v/>
      </c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>
        <f>IF(K210="", "", IF(K210="Implemented", "Pass", IF(K210="Partial", "Partial", IF(K210="Not Applicable", "N/A", "Fail"))))</f>
        <v/>
      </c>
      <c r="R210" s="8" t="n"/>
      <c r="S210" s="8" t="n"/>
      <c r="T210">
        <f>IF(Q210="", "", IF(OR(Q210="Fail", Q210="Partial"), "Yes", "No"))</f>
        <v/>
      </c>
      <c r="U210" s="8" t="n"/>
      <c r="V210" s="8" t="n"/>
      <c r="W210" s="8" t="n"/>
      <c r="X210" s="8" t="inlineStr">
        <is>
          <t>No</t>
        </is>
      </c>
      <c r="Y210" s="8" t="n"/>
      <c r="Z210" s="8" t="n"/>
      <c r="AA210" s="8" t="n"/>
      <c r="AB210" s="8" t="inlineStr">
        <is>
          <t>[Security Analyst]</t>
        </is>
      </c>
      <c r="AC210" s="8" t="n"/>
      <c r="AD210" s="8" t="n"/>
      <c r="AE210" s="16">
        <f>IF(AA210&lt;&gt;"", AA210+90, "")</f>
        <v/>
      </c>
      <c r="AF210" s="8" t="n"/>
    </row>
    <row r="211">
      <c r="A211">
        <f>IF(B211&lt;&gt;"", "HC-"&amp;TEXT(ROW()-1,"00000"), "")</f>
        <v/>
      </c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>
        <f>IF(K211="", "", IF(K211="Implemented", "Pass", IF(K211="Partial", "Partial", IF(K211="Not Applicable", "N/A", "Fail"))))</f>
        <v/>
      </c>
      <c r="R211" s="8" t="n"/>
      <c r="S211" s="8" t="n"/>
      <c r="T211">
        <f>IF(Q211="", "", IF(OR(Q211="Fail", Q211="Partial"), "Yes", "No"))</f>
        <v/>
      </c>
      <c r="U211" s="8" t="n"/>
      <c r="V211" s="8" t="n"/>
      <c r="W211" s="8" t="n"/>
      <c r="X211" s="8" t="inlineStr">
        <is>
          <t>No</t>
        </is>
      </c>
      <c r="Y211" s="8" t="n"/>
      <c r="Z211" s="8" t="n"/>
      <c r="AA211" s="8" t="n"/>
      <c r="AB211" s="8" t="inlineStr">
        <is>
          <t>[Security Analyst]</t>
        </is>
      </c>
      <c r="AC211" s="8" t="n"/>
      <c r="AD211" s="8" t="n"/>
      <c r="AE211" s="16">
        <f>IF(AA211&lt;&gt;"", AA211+90, "")</f>
        <v/>
      </c>
      <c r="AF211" s="8" t="n"/>
    </row>
    <row r="212">
      <c r="A212">
        <f>IF(B212&lt;&gt;"", "HC-"&amp;TEXT(ROW()-1,"00000"), "")</f>
        <v/>
      </c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>
        <f>IF(K212="", "", IF(K212="Implemented", "Pass", IF(K212="Partial", "Partial", IF(K212="Not Applicable", "N/A", "Fail"))))</f>
        <v/>
      </c>
      <c r="R212" s="8" t="n"/>
      <c r="S212" s="8" t="n"/>
      <c r="T212">
        <f>IF(Q212="", "", IF(OR(Q212="Fail", Q212="Partial"), "Yes", "No"))</f>
        <v/>
      </c>
      <c r="U212" s="8" t="n"/>
      <c r="V212" s="8" t="n"/>
      <c r="W212" s="8" t="n"/>
      <c r="X212" s="8" t="inlineStr">
        <is>
          <t>No</t>
        </is>
      </c>
      <c r="Y212" s="8" t="n"/>
      <c r="Z212" s="8" t="n"/>
      <c r="AA212" s="8" t="n"/>
      <c r="AB212" s="8" t="inlineStr">
        <is>
          <t>[Security Analyst]</t>
        </is>
      </c>
      <c r="AC212" s="8" t="n"/>
      <c r="AD212" s="8" t="n"/>
      <c r="AE212" s="16">
        <f>IF(AA212&lt;&gt;"", AA212+90, "")</f>
        <v/>
      </c>
      <c r="AF212" s="8" t="n"/>
    </row>
    <row r="213">
      <c r="A213">
        <f>IF(B213&lt;&gt;"", "HC-"&amp;TEXT(ROW()-1,"00000"), "")</f>
        <v/>
      </c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>
        <f>IF(K213="", "", IF(K213="Implemented", "Pass", IF(K213="Partial", "Partial", IF(K213="Not Applicable", "N/A", "Fail"))))</f>
        <v/>
      </c>
      <c r="R213" s="8" t="n"/>
      <c r="S213" s="8" t="n"/>
      <c r="T213">
        <f>IF(Q213="", "", IF(OR(Q213="Fail", Q213="Partial"), "Yes", "No"))</f>
        <v/>
      </c>
      <c r="U213" s="8" t="n"/>
      <c r="V213" s="8" t="n"/>
      <c r="W213" s="8" t="n"/>
      <c r="X213" s="8" t="inlineStr">
        <is>
          <t>No</t>
        </is>
      </c>
      <c r="Y213" s="8" t="n"/>
      <c r="Z213" s="8" t="n"/>
      <c r="AA213" s="8" t="n"/>
      <c r="AB213" s="8" t="inlineStr">
        <is>
          <t>[Security Analyst]</t>
        </is>
      </c>
      <c r="AC213" s="8" t="n"/>
      <c r="AD213" s="8" t="n"/>
      <c r="AE213" s="16">
        <f>IF(AA213&lt;&gt;"", AA213+90, "")</f>
        <v/>
      </c>
      <c r="AF213" s="8" t="n"/>
    </row>
    <row r="214">
      <c r="A214">
        <f>IF(B214&lt;&gt;"", "HC-"&amp;TEXT(ROW()-1,"00000"), "")</f>
        <v/>
      </c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>
        <f>IF(K214="", "", IF(K214="Implemented", "Pass", IF(K214="Partial", "Partial", IF(K214="Not Applicable", "N/A", "Fail"))))</f>
        <v/>
      </c>
      <c r="R214" s="8" t="n"/>
      <c r="S214" s="8" t="n"/>
      <c r="T214">
        <f>IF(Q214="", "", IF(OR(Q214="Fail", Q214="Partial"), "Yes", "No"))</f>
        <v/>
      </c>
      <c r="U214" s="8" t="n"/>
      <c r="V214" s="8" t="n"/>
      <c r="W214" s="8" t="n"/>
      <c r="X214" s="8" t="inlineStr">
        <is>
          <t>No</t>
        </is>
      </c>
      <c r="Y214" s="8" t="n"/>
      <c r="Z214" s="8" t="n"/>
      <c r="AA214" s="8" t="n"/>
      <c r="AB214" s="8" t="inlineStr">
        <is>
          <t>[Security Analyst]</t>
        </is>
      </c>
      <c r="AC214" s="8" t="n"/>
      <c r="AD214" s="8" t="n"/>
      <c r="AE214" s="16">
        <f>IF(AA214&lt;&gt;"", AA214+90, "")</f>
        <v/>
      </c>
      <c r="AF214" s="8" t="n"/>
    </row>
    <row r="215">
      <c r="A215">
        <f>IF(B215&lt;&gt;"", "HC-"&amp;TEXT(ROW()-1,"00000"), "")</f>
        <v/>
      </c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>
        <f>IF(K215="", "", IF(K215="Implemented", "Pass", IF(K215="Partial", "Partial", IF(K215="Not Applicable", "N/A", "Fail"))))</f>
        <v/>
      </c>
      <c r="R215" s="8" t="n"/>
      <c r="S215" s="8" t="n"/>
      <c r="T215">
        <f>IF(Q215="", "", IF(OR(Q215="Fail", Q215="Partial"), "Yes", "No"))</f>
        <v/>
      </c>
      <c r="U215" s="8" t="n"/>
      <c r="V215" s="8" t="n"/>
      <c r="W215" s="8" t="n"/>
      <c r="X215" s="8" t="inlineStr">
        <is>
          <t>No</t>
        </is>
      </c>
      <c r="Y215" s="8" t="n"/>
      <c r="Z215" s="8" t="n"/>
      <c r="AA215" s="8" t="n"/>
      <c r="AB215" s="8" t="inlineStr">
        <is>
          <t>[Security Analyst]</t>
        </is>
      </c>
      <c r="AC215" s="8" t="n"/>
      <c r="AD215" s="8" t="n"/>
      <c r="AE215" s="16">
        <f>IF(AA215&lt;&gt;"", AA215+90, "")</f>
        <v/>
      </c>
      <c r="AF215" s="8" t="n"/>
    </row>
    <row r="216">
      <c r="A216">
        <f>IF(B216&lt;&gt;"", "HC-"&amp;TEXT(ROW()-1,"00000"), "")</f>
        <v/>
      </c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>
        <f>IF(K216="", "", IF(K216="Implemented", "Pass", IF(K216="Partial", "Partial", IF(K216="Not Applicable", "N/A", "Fail"))))</f>
        <v/>
      </c>
      <c r="R216" s="8" t="n"/>
      <c r="S216" s="8" t="n"/>
      <c r="T216">
        <f>IF(Q216="", "", IF(OR(Q216="Fail", Q216="Partial"), "Yes", "No"))</f>
        <v/>
      </c>
      <c r="U216" s="8" t="n"/>
      <c r="V216" s="8" t="n"/>
      <c r="W216" s="8" t="n"/>
      <c r="X216" s="8" t="inlineStr">
        <is>
          <t>No</t>
        </is>
      </c>
      <c r="Y216" s="8" t="n"/>
      <c r="Z216" s="8" t="n"/>
      <c r="AA216" s="8" t="n"/>
      <c r="AB216" s="8" t="inlineStr">
        <is>
          <t>[Security Analyst]</t>
        </is>
      </c>
      <c r="AC216" s="8" t="n"/>
      <c r="AD216" s="8" t="n"/>
      <c r="AE216" s="16">
        <f>IF(AA216&lt;&gt;"", AA216+90, "")</f>
        <v/>
      </c>
      <c r="AF216" s="8" t="n"/>
    </row>
    <row r="217">
      <c r="A217">
        <f>IF(B217&lt;&gt;"", "HC-"&amp;TEXT(ROW()-1,"00000"), "")</f>
        <v/>
      </c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>
        <f>IF(K217="", "", IF(K217="Implemented", "Pass", IF(K217="Partial", "Partial", IF(K217="Not Applicable", "N/A", "Fail"))))</f>
        <v/>
      </c>
      <c r="R217" s="8" t="n"/>
      <c r="S217" s="8" t="n"/>
      <c r="T217">
        <f>IF(Q217="", "", IF(OR(Q217="Fail", Q217="Partial"), "Yes", "No"))</f>
        <v/>
      </c>
      <c r="U217" s="8" t="n"/>
      <c r="V217" s="8" t="n"/>
      <c r="W217" s="8" t="n"/>
      <c r="X217" s="8" t="inlineStr">
        <is>
          <t>No</t>
        </is>
      </c>
      <c r="Y217" s="8" t="n"/>
      <c r="Z217" s="8" t="n"/>
      <c r="AA217" s="8" t="n"/>
      <c r="AB217" s="8" t="inlineStr">
        <is>
          <t>[Security Analyst]</t>
        </is>
      </c>
      <c r="AC217" s="8" t="n"/>
      <c r="AD217" s="8" t="n"/>
      <c r="AE217" s="16">
        <f>IF(AA217&lt;&gt;"", AA217+90, "")</f>
        <v/>
      </c>
      <c r="AF217" s="8" t="n"/>
    </row>
    <row r="218">
      <c r="A218">
        <f>IF(B218&lt;&gt;"", "HC-"&amp;TEXT(ROW()-1,"00000"), "")</f>
        <v/>
      </c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>
        <f>IF(K218="", "", IF(K218="Implemented", "Pass", IF(K218="Partial", "Partial", IF(K218="Not Applicable", "N/A", "Fail"))))</f>
        <v/>
      </c>
      <c r="R218" s="8" t="n"/>
      <c r="S218" s="8" t="n"/>
      <c r="T218">
        <f>IF(Q218="", "", IF(OR(Q218="Fail", Q218="Partial"), "Yes", "No"))</f>
        <v/>
      </c>
      <c r="U218" s="8" t="n"/>
      <c r="V218" s="8" t="n"/>
      <c r="W218" s="8" t="n"/>
      <c r="X218" s="8" t="inlineStr">
        <is>
          <t>No</t>
        </is>
      </c>
      <c r="Y218" s="8" t="n"/>
      <c r="Z218" s="8" t="n"/>
      <c r="AA218" s="8" t="n"/>
      <c r="AB218" s="8" t="inlineStr">
        <is>
          <t>[Security Analyst]</t>
        </is>
      </c>
      <c r="AC218" s="8" t="n"/>
      <c r="AD218" s="8" t="n"/>
      <c r="AE218" s="16">
        <f>IF(AA218&lt;&gt;"", AA218+90, "")</f>
        <v/>
      </c>
      <c r="AF218" s="8" t="n"/>
    </row>
    <row r="219">
      <c r="A219">
        <f>IF(B219&lt;&gt;"", "HC-"&amp;TEXT(ROW()-1,"00000"), "")</f>
        <v/>
      </c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>
        <f>IF(K219="", "", IF(K219="Implemented", "Pass", IF(K219="Partial", "Partial", IF(K219="Not Applicable", "N/A", "Fail"))))</f>
        <v/>
      </c>
      <c r="R219" s="8" t="n"/>
      <c r="S219" s="8" t="n"/>
      <c r="T219">
        <f>IF(Q219="", "", IF(OR(Q219="Fail", Q219="Partial"), "Yes", "No"))</f>
        <v/>
      </c>
      <c r="U219" s="8" t="n"/>
      <c r="V219" s="8" t="n"/>
      <c r="W219" s="8" t="n"/>
      <c r="X219" s="8" t="inlineStr">
        <is>
          <t>No</t>
        </is>
      </c>
      <c r="Y219" s="8" t="n"/>
      <c r="Z219" s="8" t="n"/>
      <c r="AA219" s="8" t="n"/>
      <c r="AB219" s="8" t="inlineStr">
        <is>
          <t>[Security Analyst]</t>
        </is>
      </c>
      <c r="AC219" s="8" t="n"/>
      <c r="AD219" s="8" t="n"/>
      <c r="AE219" s="16">
        <f>IF(AA219&lt;&gt;"", AA219+90, "")</f>
        <v/>
      </c>
      <c r="AF219" s="8" t="n"/>
    </row>
    <row r="220">
      <c r="A220">
        <f>IF(B220&lt;&gt;"", "HC-"&amp;TEXT(ROW()-1,"00000"), "")</f>
        <v/>
      </c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>
        <f>IF(K220="", "", IF(K220="Implemented", "Pass", IF(K220="Partial", "Partial", IF(K220="Not Applicable", "N/A", "Fail"))))</f>
        <v/>
      </c>
      <c r="R220" s="8" t="n"/>
      <c r="S220" s="8" t="n"/>
      <c r="T220">
        <f>IF(Q220="", "", IF(OR(Q220="Fail", Q220="Partial"), "Yes", "No"))</f>
        <v/>
      </c>
      <c r="U220" s="8" t="n"/>
      <c r="V220" s="8" t="n"/>
      <c r="W220" s="8" t="n"/>
      <c r="X220" s="8" t="inlineStr">
        <is>
          <t>No</t>
        </is>
      </c>
      <c r="Y220" s="8" t="n"/>
      <c r="Z220" s="8" t="n"/>
      <c r="AA220" s="8" t="n"/>
      <c r="AB220" s="8" t="inlineStr">
        <is>
          <t>[Security Analyst]</t>
        </is>
      </c>
      <c r="AC220" s="8" t="n"/>
      <c r="AD220" s="8" t="n"/>
      <c r="AE220" s="16">
        <f>IF(AA220&lt;&gt;"", AA220+90, "")</f>
        <v/>
      </c>
      <c r="AF220" s="8" t="n"/>
    </row>
    <row r="221">
      <c r="A221">
        <f>IF(B221&lt;&gt;"", "HC-"&amp;TEXT(ROW()-1,"00000"), "")</f>
        <v/>
      </c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>
        <f>IF(K221="", "", IF(K221="Implemented", "Pass", IF(K221="Partial", "Partial", IF(K221="Not Applicable", "N/A", "Fail"))))</f>
        <v/>
      </c>
      <c r="R221" s="8" t="n"/>
      <c r="S221" s="8" t="n"/>
      <c r="T221">
        <f>IF(Q221="", "", IF(OR(Q221="Fail", Q221="Partial"), "Yes", "No"))</f>
        <v/>
      </c>
      <c r="U221" s="8" t="n"/>
      <c r="V221" s="8" t="n"/>
      <c r="W221" s="8" t="n"/>
      <c r="X221" s="8" t="inlineStr">
        <is>
          <t>No</t>
        </is>
      </c>
      <c r="Y221" s="8" t="n"/>
      <c r="Z221" s="8" t="n"/>
      <c r="AA221" s="8" t="n"/>
      <c r="AB221" s="8" t="inlineStr">
        <is>
          <t>[Security Analyst]</t>
        </is>
      </c>
      <c r="AC221" s="8" t="n"/>
      <c r="AD221" s="8" t="n"/>
      <c r="AE221" s="16">
        <f>IF(AA221&lt;&gt;"", AA221+90, "")</f>
        <v/>
      </c>
      <c r="AF221" s="8" t="n"/>
    </row>
    <row r="222">
      <c r="A222">
        <f>IF(B222&lt;&gt;"", "HC-"&amp;TEXT(ROW()-1,"00000"), "")</f>
        <v/>
      </c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>
        <f>IF(K222="", "", IF(K222="Implemented", "Pass", IF(K222="Partial", "Partial", IF(K222="Not Applicable", "N/A", "Fail"))))</f>
        <v/>
      </c>
      <c r="R222" s="8" t="n"/>
      <c r="S222" s="8" t="n"/>
      <c r="T222">
        <f>IF(Q222="", "", IF(OR(Q222="Fail", Q222="Partial"), "Yes", "No"))</f>
        <v/>
      </c>
      <c r="U222" s="8" t="n"/>
      <c r="V222" s="8" t="n"/>
      <c r="W222" s="8" t="n"/>
      <c r="X222" s="8" t="inlineStr">
        <is>
          <t>No</t>
        </is>
      </c>
      <c r="Y222" s="8" t="n"/>
      <c r="Z222" s="8" t="n"/>
      <c r="AA222" s="8" t="n"/>
      <c r="AB222" s="8" t="inlineStr">
        <is>
          <t>[Security Analyst]</t>
        </is>
      </c>
      <c r="AC222" s="8" t="n"/>
      <c r="AD222" s="8" t="n"/>
      <c r="AE222" s="16">
        <f>IF(AA222&lt;&gt;"", AA222+90, "")</f>
        <v/>
      </c>
      <c r="AF222" s="8" t="n"/>
    </row>
    <row r="223">
      <c r="A223">
        <f>IF(B223&lt;&gt;"", "HC-"&amp;TEXT(ROW()-1,"00000"), "")</f>
        <v/>
      </c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>
        <f>IF(K223="", "", IF(K223="Implemented", "Pass", IF(K223="Partial", "Partial", IF(K223="Not Applicable", "N/A", "Fail"))))</f>
        <v/>
      </c>
      <c r="R223" s="8" t="n"/>
      <c r="S223" s="8" t="n"/>
      <c r="T223">
        <f>IF(Q223="", "", IF(OR(Q223="Fail", Q223="Partial"), "Yes", "No"))</f>
        <v/>
      </c>
      <c r="U223" s="8" t="n"/>
      <c r="V223" s="8" t="n"/>
      <c r="W223" s="8" t="n"/>
      <c r="X223" s="8" t="inlineStr">
        <is>
          <t>No</t>
        </is>
      </c>
      <c r="Y223" s="8" t="n"/>
      <c r="Z223" s="8" t="n"/>
      <c r="AA223" s="8" t="n"/>
      <c r="AB223" s="8" t="inlineStr">
        <is>
          <t>[Security Analyst]</t>
        </is>
      </c>
      <c r="AC223" s="8" t="n"/>
      <c r="AD223" s="8" t="n"/>
      <c r="AE223" s="16">
        <f>IF(AA223&lt;&gt;"", AA223+90, "")</f>
        <v/>
      </c>
      <c r="AF223" s="8" t="n"/>
    </row>
    <row r="224">
      <c r="A224">
        <f>IF(B224&lt;&gt;"", "HC-"&amp;TEXT(ROW()-1,"00000"), "")</f>
        <v/>
      </c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>
        <f>IF(K224="", "", IF(K224="Implemented", "Pass", IF(K224="Partial", "Partial", IF(K224="Not Applicable", "N/A", "Fail"))))</f>
        <v/>
      </c>
      <c r="R224" s="8" t="n"/>
      <c r="S224" s="8" t="n"/>
      <c r="T224">
        <f>IF(Q224="", "", IF(OR(Q224="Fail", Q224="Partial"), "Yes", "No"))</f>
        <v/>
      </c>
      <c r="U224" s="8" t="n"/>
      <c r="V224" s="8" t="n"/>
      <c r="W224" s="8" t="n"/>
      <c r="X224" s="8" t="inlineStr">
        <is>
          <t>No</t>
        </is>
      </c>
      <c r="Y224" s="8" t="n"/>
      <c r="Z224" s="8" t="n"/>
      <c r="AA224" s="8" t="n"/>
      <c r="AB224" s="8" t="inlineStr">
        <is>
          <t>[Security Analyst]</t>
        </is>
      </c>
      <c r="AC224" s="8" t="n"/>
      <c r="AD224" s="8" t="n"/>
      <c r="AE224" s="16">
        <f>IF(AA224&lt;&gt;"", AA224+90, "")</f>
        <v/>
      </c>
      <c r="AF224" s="8" t="n"/>
    </row>
    <row r="225">
      <c r="A225">
        <f>IF(B225&lt;&gt;"", "HC-"&amp;TEXT(ROW()-1,"00000"), "")</f>
        <v/>
      </c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>
        <f>IF(K225="", "", IF(K225="Implemented", "Pass", IF(K225="Partial", "Partial", IF(K225="Not Applicable", "N/A", "Fail"))))</f>
        <v/>
      </c>
      <c r="R225" s="8" t="n"/>
      <c r="S225" s="8" t="n"/>
      <c r="T225">
        <f>IF(Q225="", "", IF(OR(Q225="Fail", Q225="Partial"), "Yes", "No"))</f>
        <v/>
      </c>
      <c r="U225" s="8" t="n"/>
      <c r="V225" s="8" t="n"/>
      <c r="W225" s="8" t="n"/>
      <c r="X225" s="8" t="inlineStr">
        <is>
          <t>No</t>
        </is>
      </c>
      <c r="Y225" s="8" t="n"/>
      <c r="Z225" s="8" t="n"/>
      <c r="AA225" s="8" t="n"/>
      <c r="AB225" s="8" t="inlineStr">
        <is>
          <t>[Security Analyst]</t>
        </is>
      </c>
      <c r="AC225" s="8" t="n"/>
      <c r="AD225" s="8" t="n"/>
      <c r="AE225" s="16">
        <f>IF(AA225&lt;&gt;"", AA225+90, "")</f>
        <v/>
      </c>
      <c r="AF225" s="8" t="n"/>
    </row>
    <row r="226">
      <c r="A226">
        <f>IF(B226&lt;&gt;"", "HC-"&amp;TEXT(ROW()-1,"00000"), "")</f>
        <v/>
      </c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>
        <f>IF(K226="", "", IF(K226="Implemented", "Pass", IF(K226="Partial", "Partial", IF(K226="Not Applicable", "N/A", "Fail"))))</f>
        <v/>
      </c>
      <c r="R226" s="8" t="n"/>
      <c r="S226" s="8" t="n"/>
      <c r="T226">
        <f>IF(Q226="", "", IF(OR(Q226="Fail", Q226="Partial"), "Yes", "No"))</f>
        <v/>
      </c>
      <c r="U226" s="8" t="n"/>
      <c r="V226" s="8" t="n"/>
      <c r="W226" s="8" t="n"/>
      <c r="X226" s="8" t="inlineStr">
        <is>
          <t>No</t>
        </is>
      </c>
      <c r="Y226" s="8" t="n"/>
      <c r="Z226" s="8" t="n"/>
      <c r="AA226" s="8" t="n"/>
      <c r="AB226" s="8" t="inlineStr">
        <is>
          <t>[Security Analyst]</t>
        </is>
      </c>
      <c r="AC226" s="8" t="n"/>
      <c r="AD226" s="8" t="n"/>
      <c r="AE226" s="16">
        <f>IF(AA226&lt;&gt;"", AA226+90, "")</f>
        <v/>
      </c>
      <c r="AF226" s="8" t="n"/>
    </row>
    <row r="227">
      <c r="A227">
        <f>IF(B227&lt;&gt;"", "HC-"&amp;TEXT(ROW()-1,"00000"), "")</f>
        <v/>
      </c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>
        <f>IF(K227="", "", IF(K227="Implemented", "Pass", IF(K227="Partial", "Partial", IF(K227="Not Applicable", "N/A", "Fail"))))</f>
        <v/>
      </c>
      <c r="R227" s="8" t="n"/>
      <c r="S227" s="8" t="n"/>
      <c r="T227">
        <f>IF(Q227="", "", IF(OR(Q227="Fail", Q227="Partial"), "Yes", "No"))</f>
        <v/>
      </c>
      <c r="U227" s="8" t="n"/>
      <c r="V227" s="8" t="n"/>
      <c r="W227" s="8" t="n"/>
      <c r="X227" s="8" t="inlineStr">
        <is>
          <t>No</t>
        </is>
      </c>
      <c r="Y227" s="8" t="n"/>
      <c r="Z227" s="8" t="n"/>
      <c r="AA227" s="8" t="n"/>
      <c r="AB227" s="8" t="inlineStr">
        <is>
          <t>[Security Analyst]</t>
        </is>
      </c>
      <c r="AC227" s="8" t="n"/>
      <c r="AD227" s="8" t="n"/>
      <c r="AE227" s="16">
        <f>IF(AA227&lt;&gt;"", AA227+90, "")</f>
        <v/>
      </c>
      <c r="AF227" s="8" t="n"/>
    </row>
    <row r="228">
      <c r="A228">
        <f>IF(B228&lt;&gt;"", "HC-"&amp;TEXT(ROW()-1,"00000"), "")</f>
        <v/>
      </c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>
        <f>IF(K228="", "", IF(K228="Implemented", "Pass", IF(K228="Partial", "Partial", IF(K228="Not Applicable", "N/A", "Fail"))))</f>
        <v/>
      </c>
      <c r="R228" s="8" t="n"/>
      <c r="S228" s="8" t="n"/>
      <c r="T228">
        <f>IF(Q228="", "", IF(OR(Q228="Fail", Q228="Partial"), "Yes", "No"))</f>
        <v/>
      </c>
      <c r="U228" s="8" t="n"/>
      <c r="V228" s="8" t="n"/>
      <c r="W228" s="8" t="n"/>
      <c r="X228" s="8" t="inlineStr">
        <is>
          <t>No</t>
        </is>
      </c>
      <c r="Y228" s="8" t="n"/>
      <c r="Z228" s="8" t="n"/>
      <c r="AA228" s="8" t="n"/>
      <c r="AB228" s="8" t="inlineStr">
        <is>
          <t>[Security Analyst]</t>
        </is>
      </c>
      <c r="AC228" s="8" t="n"/>
      <c r="AD228" s="8" t="n"/>
      <c r="AE228" s="16">
        <f>IF(AA228&lt;&gt;"", AA228+90, "")</f>
        <v/>
      </c>
      <c r="AF228" s="8" t="n"/>
    </row>
    <row r="229">
      <c r="A229">
        <f>IF(B229&lt;&gt;"", "HC-"&amp;TEXT(ROW()-1,"00000"), "")</f>
        <v/>
      </c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>
        <f>IF(K229="", "", IF(K229="Implemented", "Pass", IF(K229="Partial", "Partial", IF(K229="Not Applicable", "N/A", "Fail"))))</f>
        <v/>
      </c>
      <c r="R229" s="8" t="n"/>
      <c r="S229" s="8" t="n"/>
      <c r="T229">
        <f>IF(Q229="", "", IF(OR(Q229="Fail", Q229="Partial"), "Yes", "No"))</f>
        <v/>
      </c>
      <c r="U229" s="8" t="n"/>
      <c r="V229" s="8" t="n"/>
      <c r="W229" s="8" t="n"/>
      <c r="X229" s="8" t="inlineStr">
        <is>
          <t>No</t>
        </is>
      </c>
      <c r="Y229" s="8" t="n"/>
      <c r="Z229" s="8" t="n"/>
      <c r="AA229" s="8" t="n"/>
      <c r="AB229" s="8" t="inlineStr">
        <is>
          <t>[Security Analyst]</t>
        </is>
      </c>
      <c r="AC229" s="8" t="n"/>
      <c r="AD229" s="8" t="n"/>
      <c r="AE229" s="16">
        <f>IF(AA229&lt;&gt;"", AA229+90, "")</f>
        <v/>
      </c>
      <c r="AF229" s="8" t="n"/>
    </row>
    <row r="230">
      <c r="A230">
        <f>IF(B230&lt;&gt;"", "HC-"&amp;TEXT(ROW()-1,"00000"), "")</f>
        <v/>
      </c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>
        <f>IF(K230="", "", IF(K230="Implemented", "Pass", IF(K230="Partial", "Partial", IF(K230="Not Applicable", "N/A", "Fail"))))</f>
        <v/>
      </c>
      <c r="R230" s="8" t="n"/>
      <c r="S230" s="8" t="n"/>
      <c r="T230">
        <f>IF(Q230="", "", IF(OR(Q230="Fail", Q230="Partial"), "Yes", "No"))</f>
        <v/>
      </c>
      <c r="U230" s="8" t="n"/>
      <c r="V230" s="8" t="n"/>
      <c r="W230" s="8" t="n"/>
      <c r="X230" s="8" t="inlineStr">
        <is>
          <t>No</t>
        </is>
      </c>
      <c r="Y230" s="8" t="n"/>
      <c r="Z230" s="8" t="n"/>
      <c r="AA230" s="8" t="n"/>
      <c r="AB230" s="8" t="inlineStr">
        <is>
          <t>[Security Analyst]</t>
        </is>
      </c>
      <c r="AC230" s="8" t="n"/>
      <c r="AD230" s="8" t="n"/>
      <c r="AE230" s="16">
        <f>IF(AA230&lt;&gt;"", AA230+90, "")</f>
        <v/>
      </c>
      <c r="AF230" s="8" t="n"/>
    </row>
    <row r="231">
      <c r="A231">
        <f>IF(B231&lt;&gt;"", "HC-"&amp;TEXT(ROW()-1,"00000"), "")</f>
        <v/>
      </c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>
        <f>IF(K231="", "", IF(K231="Implemented", "Pass", IF(K231="Partial", "Partial", IF(K231="Not Applicable", "N/A", "Fail"))))</f>
        <v/>
      </c>
      <c r="R231" s="8" t="n"/>
      <c r="S231" s="8" t="n"/>
      <c r="T231">
        <f>IF(Q231="", "", IF(OR(Q231="Fail", Q231="Partial"), "Yes", "No"))</f>
        <v/>
      </c>
      <c r="U231" s="8" t="n"/>
      <c r="V231" s="8" t="n"/>
      <c r="W231" s="8" t="n"/>
      <c r="X231" s="8" t="inlineStr">
        <is>
          <t>No</t>
        </is>
      </c>
      <c r="Y231" s="8" t="n"/>
      <c r="Z231" s="8" t="n"/>
      <c r="AA231" s="8" t="n"/>
      <c r="AB231" s="8" t="inlineStr">
        <is>
          <t>[Security Analyst]</t>
        </is>
      </c>
      <c r="AC231" s="8" t="n"/>
      <c r="AD231" s="8" t="n"/>
      <c r="AE231" s="16">
        <f>IF(AA231&lt;&gt;"", AA231+90, "")</f>
        <v/>
      </c>
      <c r="AF231" s="8" t="n"/>
    </row>
    <row r="232">
      <c r="A232">
        <f>IF(B232&lt;&gt;"", "HC-"&amp;TEXT(ROW()-1,"00000"), "")</f>
        <v/>
      </c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>
        <f>IF(K232="", "", IF(K232="Implemented", "Pass", IF(K232="Partial", "Partial", IF(K232="Not Applicable", "N/A", "Fail"))))</f>
        <v/>
      </c>
      <c r="R232" s="8" t="n"/>
      <c r="S232" s="8" t="n"/>
      <c r="T232">
        <f>IF(Q232="", "", IF(OR(Q232="Fail", Q232="Partial"), "Yes", "No"))</f>
        <v/>
      </c>
      <c r="U232" s="8" t="n"/>
      <c r="V232" s="8" t="n"/>
      <c r="W232" s="8" t="n"/>
      <c r="X232" s="8" t="inlineStr">
        <is>
          <t>No</t>
        </is>
      </c>
      <c r="Y232" s="8" t="n"/>
      <c r="Z232" s="8" t="n"/>
      <c r="AA232" s="8" t="n"/>
      <c r="AB232" s="8" t="inlineStr">
        <is>
          <t>[Security Analyst]</t>
        </is>
      </c>
      <c r="AC232" s="8" t="n"/>
      <c r="AD232" s="8" t="n"/>
      <c r="AE232" s="16">
        <f>IF(AA232&lt;&gt;"", AA232+90, "")</f>
        <v/>
      </c>
      <c r="AF232" s="8" t="n"/>
    </row>
    <row r="233">
      <c r="A233">
        <f>IF(B233&lt;&gt;"", "HC-"&amp;TEXT(ROW()-1,"00000"), "")</f>
        <v/>
      </c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>
        <f>IF(K233="", "", IF(K233="Implemented", "Pass", IF(K233="Partial", "Partial", IF(K233="Not Applicable", "N/A", "Fail"))))</f>
        <v/>
      </c>
      <c r="R233" s="8" t="n"/>
      <c r="S233" s="8" t="n"/>
      <c r="T233">
        <f>IF(Q233="", "", IF(OR(Q233="Fail", Q233="Partial"), "Yes", "No"))</f>
        <v/>
      </c>
      <c r="U233" s="8" t="n"/>
      <c r="V233" s="8" t="n"/>
      <c r="W233" s="8" t="n"/>
      <c r="X233" s="8" t="inlineStr">
        <is>
          <t>No</t>
        </is>
      </c>
      <c r="Y233" s="8" t="n"/>
      <c r="Z233" s="8" t="n"/>
      <c r="AA233" s="8" t="n"/>
      <c r="AB233" s="8" t="inlineStr">
        <is>
          <t>[Security Analyst]</t>
        </is>
      </c>
      <c r="AC233" s="8" t="n"/>
      <c r="AD233" s="8" t="n"/>
      <c r="AE233" s="16">
        <f>IF(AA233&lt;&gt;"", AA233+90, "")</f>
        <v/>
      </c>
      <c r="AF233" s="8" t="n"/>
    </row>
    <row r="234">
      <c r="A234">
        <f>IF(B234&lt;&gt;"", "HC-"&amp;TEXT(ROW()-1,"00000"), "")</f>
        <v/>
      </c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>
        <f>IF(K234="", "", IF(K234="Implemented", "Pass", IF(K234="Partial", "Partial", IF(K234="Not Applicable", "N/A", "Fail"))))</f>
        <v/>
      </c>
      <c r="R234" s="8" t="n"/>
      <c r="S234" s="8" t="n"/>
      <c r="T234">
        <f>IF(Q234="", "", IF(OR(Q234="Fail", Q234="Partial"), "Yes", "No"))</f>
        <v/>
      </c>
      <c r="U234" s="8" t="n"/>
      <c r="V234" s="8" t="n"/>
      <c r="W234" s="8" t="n"/>
      <c r="X234" s="8" t="inlineStr">
        <is>
          <t>No</t>
        </is>
      </c>
      <c r="Y234" s="8" t="n"/>
      <c r="Z234" s="8" t="n"/>
      <c r="AA234" s="8" t="n"/>
      <c r="AB234" s="8" t="inlineStr">
        <is>
          <t>[Security Analyst]</t>
        </is>
      </c>
      <c r="AC234" s="8" t="n"/>
      <c r="AD234" s="8" t="n"/>
      <c r="AE234" s="16">
        <f>IF(AA234&lt;&gt;"", AA234+90, "")</f>
        <v/>
      </c>
      <c r="AF234" s="8" t="n"/>
    </row>
    <row r="235">
      <c r="A235">
        <f>IF(B235&lt;&gt;"", "HC-"&amp;TEXT(ROW()-1,"00000"), "")</f>
        <v/>
      </c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>
        <f>IF(K235="", "", IF(K235="Implemented", "Pass", IF(K235="Partial", "Partial", IF(K235="Not Applicable", "N/A", "Fail"))))</f>
        <v/>
      </c>
      <c r="R235" s="8" t="n"/>
      <c r="S235" s="8" t="n"/>
      <c r="T235">
        <f>IF(Q235="", "", IF(OR(Q235="Fail", Q235="Partial"), "Yes", "No"))</f>
        <v/>
      </c>
      <c r="U235" s="8" t="n"/>
      <c r="V235" s="8" t="n"/>
      <c r="W235" s="8" t="n"/>
      <c r="X235" s="8" t="inlineStr">
        <is>
          <t>No</t>
        </is>
      </c>
      <c r="Y235" s="8" t="n"/>
      <c r="Z235" s="8" t="n"/>
      <c r="AA235" s="8" t="n"/>
      <c r="AB235" s="8" t="inlineStr">
        <is>
          <t>[Security Analyst]</t>
        </is>
      </c>
      <c r="AC235" s="8" t="n"/>
      <c r="AD235" s="8" t="n"/>
      <c r="AE235" s="16">
        <f>IF(AA235&lt;&gt;"", AA235+90, "")</f>
        <v/>
      </c>
      <c r="AF235" s="8" t="n"/>
    </row>
    <row r="236">
      <c r="A236">
        <f>IF(B236&lt;&gt;"", "HC-"&amp;TEXT(ROW()-1,"00000"), "")</f>
        <v/>
      </c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>
        <f>IF(K236="", "", IF(K236="Implemented", "Pass", IF(K236="Partial", "Partial", IF(K236="Not Applicable", "N/A", "Fail"))))</f>
        <v/>
      </c>
      <c r="R236" s="8" t="n"/>
      <c r="S236" s="8" t="n"/>
      <c r="T236">
        <f>IF(Q236="", "", IF(OR(Q236="Fail", Q236="Partial"), "Yes", "No"))</f>
        <v/>
      </c>
      <c r="U236" s="8" t="n"/>
      <c r="V236" s="8" t="n"/>
      <c r="W236" s="8" t="n"/>
      <c r="X236" s="8" t="inlineStr">
        <is>
          <t>No</t>
        </is>
      </c>
      <c r="Y236" s="8" t="n"/>
      <c r="Z236" s="8" t="n"/>
      <c r="AA236" s="8" t="n"/>
      <c r="AB236" s="8" t="inlineStr">
        <is>
          <t>[Security Analyst]</t>
        </is>
      </c>
      <c r="AC236" s="8" t="n"/>
      <c r="AD236" s="8" t="n"/>
      <c r="AE236" s="16">
        <f>IF(AA236&lt;&gt;"", AA236+90, "")</f>
        <v/>
      </c>
      <c r="AF236" s="8" t="n"/>
    </row>
    <row r="237">
      <c r="A237">
        <f>IF(B237&lt;&gt;"", "HC-"&amp;TEXT(ROW()-1,"00000"), "")</f>
        <v/>
      </c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>
        <f>IF(K237="", "", IF(K237="Implemented", "Pass", IF(K237="Partial", "Partial", IF(K237="Not Applicable", "N/A", "Fail"))))</f>
        <v/>
      </c>
      <c r="R237" s="8" t="n"/>
      <c r="S237" s="8" t="n"/>
      <c r="T237">
        <f>IF(Q237="", "", IF(OR(Q237="Fail", Q237="Partial"), "Yes", "No"))</f>
        <v/>
      </c>
      <c r="U237" s="8" t="n"/>
      <c r="V237" s="8" t="n"/>
      <c r="W237" s="8" t="n"/>
      <c r="X237" s="8" t="inlineStr">
        <is>
          <t>No</t>
        </is>
      </c>
      <c r="Y237" s="8" t="n"/>
      <c r="Z237" s="8" t="n"/>
      <c r="AA237" s="8" t="n"/>
      <c r="AB237" s="8" t="inlineStr">
        <is>
          <t>[Security Analyst]</t>
        </is>
      </c>
      <c r="AC237" s="8" t="n"/>
      <c r="AD237" s="8" t="n"/>
      <c r="AE237" s="16">
        <f>IF(AA237&lt;&gt;"", AA237+90, "")</f>
        <v/>
      </c>
      <c r="AF237" s="8" t="n"/>
    </row>
    <row r="238">
      <c r="A238">
        <f>IF(B238&lt;&gt;"", "HC-"&amp;TEXT(ROW()-1,"00000"), "")</f>
        <v/>
      </c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>
        <f>IF(K238="", "", IF(K238="Implemented", "Pass", IF(K238="Partial", "Partial", IF(K238="Not Applicable", "N/A", "Fail"))))</f>
        <v/>
      </c>
      <c r="R238" s="8" t="n"/>
      <c r="S238" s="8" t="n"/>
      <c r="T238">
        <f>IF(Q238="", "", IF(OR(Q238="Fail", Q238="Partial"), "Yes", "No"))</f>
        <v/>
      </c>
      <c r="U238" s="8" t="n"/>
      <c r="V238" s="8" t="n"/>
      <c r="W238" s="8" t="n"/>
      <c r="X238" s="8" t="inlineStr">
        <is>
          <t>No</t>
        </is>
      </c>
      <c r="Y238" s="8" t="n"/>
      <c r="Z238" s="8" t="n"/>
      <c r="AA238" s="8" t="n"/>
      <c r="AB238" s="8" t="inlineStr">
        <is>
          <t>[Security Analyst]</t>
        </is>
      </c>
      <c r="AC238" s="8" t="n"/>
      <c r="AD238" s="8" t="n"/>
      <c r="AE238" s="16">
        <f>IF(AA238&lt;&gt;"", AA238+90, "")</f>
        <v/>
      </c>
      <c r="AF238" s="8" t="n"/>
    </row>
    <row r="239">
      <c r="A239">
        <f>IF(B239&lt;&gt;"", "HC-"&amp;TEXT(ROW()-1,"00000"), "")</f>
        <v/>
      </c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>
        <f>IF(K239="", "", IF(K239="Implemented", "Pass", IF(K239="Partial", "Partial", IF(K239="Not Applicable", "N/A", "Fail"))))</f>
        <v/>
      </c>
      <c r="R239" s="8" t="n"/>
      <c r="S239" s="8" t="n"/>
      <c r="T239">
        <f>IF(Q239="", "", IF(OR(Q239="Fail", Q239="Partial"), "Yes", "No"))</f>
        <v/>
      </c>
      <c r="U239" s="8" t="n"/>
      <c r="V239" s="8" t="n"/>
      <c r="W239" s="8" t="n"/>
      <c r="X239" s="8" t="inlineStr">
        <is>
          <t>No</t>
        </is>
      </c>
      <c r="Y239" s="8" t="n"/>
      <c r="Z239" s="8" t="n"/>
      <c r="AA239" s="8" t="n"/>
      <c r="AB239" s="8" t="inlineStr">
        <is>
          <t>[Security Analyst]</t>
        </is>
      </c>
      <c r="AC239" s="8" t="n"/>
      <c r="AD239" s="8" t="n"/>
      <c r="AE239" s="16">
        <f>IF(AA239&lt;&gt;"", AA239+90, "")</f>
        <v/>
      </c>
      <c r="AF239" s="8" t="n"/>
    </row>
    <row r="240">
      <c r="A240">
        <f>IF(B240&lt;&gt;"", "HC-"&amp;TEXT(ROW()-1,"00000"), "")</f>
        <v/>
      </c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>
        <f>IF(K240="", "", IF(K240="Implemented", "Pass", IF(K240="Partial", "Partial", IF(K240="Not Applicable", "N/A", "Fail"))))</f>
        <v/>
      </c>
      <c r="R240" s="8" t="n"/>
      <c r="S240" s="8" t="n"/>
      <c r="T240">
        <f>IF(Q240="", "", IF(OR(Q240="Fail", Q240="Partial"), "Yes", "No"))</f>
        <v/>
      </c>
      <c r="U240" s="8" t="n"/>
      <c r="V240" s="8" t="n"/>
      <c r="W240" s="8" t="n"/>
      <c r="X240" s="8" t="inlineStr">
        <is>
          <t>No</t>
        </is>
      </c>
      <c r="Y240" s="8" t="n"/>
      <c r="Z240" s="8" t="n"/>
      <c r="AA240" s="8" t="n"/>
      <c r="AB240" s="8" t="inlineStr">
        <is>
          <t>[Security Analyst]</t>
        </is>
      </c>
      <c r="AC240" s="8" t="n"/>
      <c r="AD240" s="8" t="n"/>
      <c r="AE240" s="16">
        <f>IF(AA240&lt;&gt;"", AA240+90, "")</f>
        <v/>
      </c>
      <c r="AF240" s="8" t="n"/>
    </row>
    <row r="241">
      <c r="A241">
        <f>IF(B241&lt;&gt;"", "HC-"&amp;TEXT(ROW()-1,"00000"), "")</f>
        <v/>
      </c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>
        <f>IF(K241="", "", IF(K241="Implemented", "Pass", IF(K241="Partial", "Partial", IF(K241="Not Applicable", "N/A", "Fail"))))</f>
        <v/>
      </c>
      <c r="R241" s="8" t="n"/>
      <c r="S241" s="8" t="n"/>
      <c r="T241">
        <f>IF(Q241="", "", IF(OR(Q241="Fail", Q241="Partial"), "Yes", "No"))</f>
        <v/>
      </c>
      <c r="U241" s="8" t="n"/>
      <c r="V241" s="8" t="n"/>
      <c r="W241" s="8" t="n"/>
      <c r="X241" s="8" t="inlineStr">
        <is>
          <t>No</t>
        </is>
      </c>
      <c r="Y241" s="8" t="n"/>
      <c r="Z241" s="8" t="n"/>
      <c r="AA241" s="8" t="n"/>
      <c r="AB241" s="8" t="inlineStr">
        <is>
          <t>[Security Analyst]</t>
        </is>
      </c>
      <c r="AC241" s="8" t="n"/>
      <c r="AD241" s="8" t="n"/>
      <c r="AE241" s="16">
        <f>IF(AA241&lt;&gt;"", AA241+90, "")</f>
        <v/>
      </c>
      <c r="AF241" s="8" t="n"/>
    </row>
    <row r="242">
      <c r="A242">
        <f>IF(B242&lt;&gt;"", "HC-"&amp;TEXT(ROW()-1,"00000"), "")</f>
        <v/>
      </c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>
        <f>IF(K242="", "", IF(K242="Implemented", "Pass", IF(K242="Partial", "Partial", IF(K242="Not Applicable", "N/A", "Fail"))))</f>
        <v/>
      </c>
      <c r="R242" s="8" t="n"/>
      <c r="S242" s="8" t="n"/>
      <c r="T242">
        <f>IF(Q242="", "", IF(OR(Q242="Fail", Q242="Partial"), "Yes", "No"))</f>
        <v/>
      </c>
      <c r="U242" s="8" t="n"/>
      <c r="V242" s="8" t="n"/>
      <c r="W242" s="8" t="n"/>
      <c r="X242" s="8" t="inlineStr">
        <is>
          <t>No</t>
        </is>
      </c>
      <c r="Y242" s="8" t="n"/>
      <c r="Z242" s="8" t="n"/>
      <c r="AA242" s="8" t="n"/>
      <c r="AB242" s="8" t="inlineStr">
        <is>
          <t>[Security Analyst]</t>
        </is>
      </c>
      <c r="AC242" s="8" t="n"/>
      <c r="AD242" s="8" t="n"/>
      <c r="AE242" s="16">
        <f>IF(AA242&lt;&gt;"", AA242+90, "")</f>
        <v/>
      </c>
      <c r="AF242" s="8" t="n"/>
    </row>
    <row r="243">
      <c r="A243">
        <f>IF(B243&lt;&gt;"", "HC-"&amp;TEXT(ROW()-1,"00000"), "")</f>
        <v/>
      </c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>
        <f>IF(K243="", "", IF(K243="Implemented", "Pass", IF(K243="Partial", "Partial", IF(K243="Not Applicable", "N/A", "Fail"))))</f>
        <v/>
      </c>
      <c r="R243" s="8" t="n"/>
      <c r="S243" s="8" t="n"/>
      <c r="T243">
        <f>IF(Q243="", "", IF(OR(Q243="Fail", Q243="Partial"), "Yes", "No"))</f>
        <v/>
      </c>
      <c r="U243" s="8" t="n"/>
      <c r="V243" s="8" t="n"/>
      <c r="W243" s="8" t="n"/>
      <c r="X243" s="8" t="inlineStr">
        <is>
          <t>No</t>
        </is>
      </c>
      <c r="Y243" s="8" t="n"/>
      <c r="Z243" s="8" t="n"/>
      <c r="AA243" s="8" t="n"/>
      <c r="AB243" s="8" t="inlineStr">
        <is>
          <t>[Security Analyst]</t>
        </is>
      </c>
      <c r="AC243" s="8" t="n"/>
      <c r="AD243" s="8" t="n"/>
      <c r="AE243" s="16">
        <f>IF(AA243&lt;&gt;"", AA243+90, "")</f>
        <v/>
      </c>
      <c r="AF243" s="8" t="n"/>
    </row>
    <row r="244">
      <c r="A244">
        <f>IF(B244&lt;&gt;"", "HC-"&amp;TEXT(ROW()-1,"00000"), "")</f>
        <v/>
      </c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>
        <f>IF(K244="", "", IF(K244="Implemented", "Pass", IF(K244="Partial", "Partial", IF(K244="Not Applicable", "N/A", "Fail"))))</f>
        <v/>
      </c>
      <c r="R244" s="8" t="n"/>
      <c r="S244" s="8" t="n"/>
      <c r="T244">
        <f>IF(Q244="", "", IF(OR(Q244="Fail", Q244="Partial"), "Yes", "No"))</f>
        <v/>
      </c>
      <c r="U244" s="8" t="n"/>
      <c r="V244" s="8" t="n"/>
      <c r="W244" s="8" t="n"/>
      <c r="X244" s="8" t="inlineStr">
        <is>
          <t>No</t>
        </is>
      </c>
      <c r="Y244" s="8" t="n"/>
      <c r="Z244" s="8" t="n"/>
      <c r="AA244" s="8" t="n"/>
      <c r="AB244" s="8" t="inlineStr">
        <is>
          <t>[Security Analyst]</t>
        </is>
      </c>
      <c r="AC244" s="8" t="n"/>
      <c r="AD244" s="8" t="n"/>
      <c r="AE244" s="16">
        <f>IF(AA244&lt;&gt;"", AA244+90, "")</f>
        <v/>
      </c>
      <c r="AF244" s="8" t="n"/>
    </row>
    <row r="245">
      <c r="A245">
        <f>IF(B245&lt;&gt;"", "HC-"&amp;TEXT(ROW()-1,"00000"), "")</f>
        <v/>
      </c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>
        <f>IF(K245="", "", IF(K245="Implemented", "Pass", IF(K245="Partial", "Partial", IF(K245="Not Applicable", "N/A", "Fail"))))</f>
        <v/>
      </c>
      <c r="R245" s="8" t="n"/>
      <c r="S245" s="8" t="n"/>
      <c r="T245">
        <f>IF(Q245="", "", IF(OR(Q245="Fail", Q245="Partial"), "Yes", "No"))</f>
        <v/>
      </c>
      <c r="U245" s="8" t="n"/>
      <c r="V245" s="8" t="n"/>
      <c r="W245" s="8" t="n"/>
      <c r="X245" s="8" t="inlineStr">
        <is>
          <t>No</t>
        </is>
      </c>
      <c r="Y245" s="8" t="n"/>
      <c r="Z245" s="8" t="n"/>
      <c r="AA245" s="8" t="n"/>
      <c r="AB245" s="8" t="inlineStr">
        <is>
          <t>[Security Analyst]</t>
        </is>
      </c>
      <c r="AC245" s="8" t="n"/>
      <c r="AD245" s="8" t="n"/>
      <c r="AE245" s="16">
        <f>IF(AA245&lt;&gt;"", AA245+90, "")</f>
        <v/>
      </c>
      <c r="AF245" s="8" t="n"/>
    </row>
    <row r="246">
      <c r="A246">
        <f>IF(B246&lt;&gt;"", "HC-"&amp;TEXT(ROW()-1,"00000"), "")</f>
        <v/>
      </c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>
        <f>IF(K246="", "", IF(K246="Implemented", "Pass", IF(K246="Partial", "Partial", IF(K246="Not Applicable", "N/A", "Fail"))))</f>
        <v/>
      </c>
      <c r="R246" s="8" t="n"/>
      <c r="S246" s="8" t="n"/>
      <c r="T246">
        <f>IF(Q246="", "", IF(OR(Q246="Fail", Q246="Partial"), "Yes", "No"))</f>
        <v/>
      </c>
      <c r="U246" s="8" t="n"/>
      <c r="V246" s="8" t="n"/>
      <c r="W246" s="8" t="n"/>
      <c r="X246" s="8" t="inlineStr">
        <is>
          <t>No</t>
        </is>
      </c>
      <c r="Y246" s="8" t="n"/>
      <c r="Z246" s="8" t="n"/>
      <c r="AA246" s="8" t="n"/>
      <c r="AB246" s="8" t="inlineStr">
        <is>
          <t>[Security Analyst]</t>
        </is>
      </c>
      <c r="AC246" s="8" t="n"/>
      <c r="AD246" s="8" t="n"/>
      <c r="AE246" s="16">
        <f>IF(AA246&lt;&gt;"", AA246+90, "")</f>
        <v/>
      </c>
      <c r="AF246" s="8" t="n"/>
    </row>
    <row r="247">
      <c r="A247">
        <f>IF(B247&lt;&gt;"", "HC-"&amp;TEXT(ROW()-1,"00000"), "")</f>
        <v/>
      </c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>
        <f>IF(K247="", "", IF(K247="Implemented", "Pass", IF(K247="Partial", "Partial", IF(K247="Not Applicable", "N/A", "Fail"))))</f>
        <v/>
      </c>
      <c r="R247" s="8" t="n"/>
      <c r="S247" s="8" t="n"/>
      <c r="T247">
        <f>IF(Q247="", "", IF(OR(Q247="Fail", Q247="Partial"), "Yes", "No"))</f>
        <v/>
      </c>
      <c r="U247" s="8" t="n"/>
      <c r="V247" s="8" t="n"/>
      <c r="W247" s="8" t="n"/>
      <c r="X247" s="8" t="inlineStr">
        <is>
          <t>No</t>
        </is>
      </c>
      <c r="Y247" s="8" t="n"/>
      <c r="Z247" s="8" t="n"/>
      <c r="AA247" s="8" t="n"/>
      <c r="AB247" s="8" t="inlineStr">
        <is>
          <t>[Security Analyst]</t>
        </is>
      </c>
      <c r="AC247" s="8" t="n"/>
      <c r="AD247" s="8" t="n"/>
      <c r="AE247" s="16">
        <f>IF(AA247&lt;&gt;"", AA247+90, "")</f>
        <v/>
      </c>
      <c r="AF247" s="8" t="n"/>
    </row>
    <row r="248">
      <c r="A248">
        <f>IF(B248&lt;&gt;"", "HC-"&amp;TEXT(ROW()-1,"00000"), "")</f>
        <v/>
      </c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>
        <f>IF(K248="", "", IF(K248="Implemented", "Pass", IF(K248="Partial", "Partial", IF(K248="Not Applicable", "N/A", "Fail"))))</f>
        <v/>
      </c>
      <c r="R248" s="8" t="n"/>
      <c r="S248" s="8" t="n"/>
      <c r="T248">
        <f>IF(Q248="", "", IF(OR(Q248="Fail", Q248="Partial"), "Yes", "No"))</f>
        <v/>
      </c>
      <c r="U248" s="8" t="n"/>
      <c r="V248" s="8" t="n"/>
      <c r="W248" s="8" t="n"/>
      <c r="X248" s="8" t="inlineStr">
        <is>
          <t>No</t>
        </is>
      </c>
      <c r="Y248" s="8" t="n"/>
      <c r="Z248" s="8" t="n"/>
      <c r="AA248" s="8" t="n"/>
      <c r="AB248" s="8" t="inlineStr">
        <is>
          <t>[Security Analyst]</t>
        </is>
      </c>
      <c r="AC248" s="8" t="n"/>
      <c r="AD248" s="8" t="n"/>
      <c r="AE248" s="16">
        <f>IF(AA248&lt;&gt;"", AA248+90, "")</f>
        <v/>
      </c>
      <c r="AF248" s="8" t="n"/>
    </row>
    <row r="249">
      <c r="A249">
        <f>IF(B249&lt;&gt;"", "HC-"&amp;TEXT(ROW()-1,"00000"), "")</f>
        <v/>
      </c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>
        <f>IF(K249="", "", IF(K249="Implemented", "Pass", IF(K249="Partial", "Partial", IF(K249="Not Applicable", "N/A", "Fail"))))</f>
        <v/>
      </c>
      <c r="R249" s="8" t="n"/>
      <c r="S249" s="8" t="n"/>
      <c r="T249">
        <f>IF(Q249="", "", IF(OR(Q249="Fail", Q249="Partial"), "Yes", "No"))</f>
        <v/>
      </c>
      <c r="U249" s="8" t="n"/>
      <c r="V249" s="8" t="n"/>
      <c r="W249" s="8" t="n"/>
      <c r="X249" s="8" t="inlineStr">
        <is>
          <t>No</t>
        </is>
      </c>
      <c r="Y249" s="8" t="n"/>
      <c r="Z249" s="8" t="n"/>
      <c r="AA249" s="8" t="n"/>
      <c r="AB249" s="8" t="inlineStr">
        <is>
          <t>[Security Analyst]</t>
        </is>
      </c>
      <c r="AC249" s="8" t="n"/>
      <c r="AD249" s="8" t="n"/>
      <c r="AE249" s="16">
        <f>IF(AA249&lt;&gt;"", AA249+90, "")</f>
        <v/>
      </c>
      <c r="AF249" s="8" t="n"/>
    </row>
    <row r="250">
      <c r="A250">
        <f>IF(B250&lt;&gt;"", "HC-"&amp;TEXT(ROW()-1,"00000"), "")</f>
        <v/>
      </c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>
        <f>IF(K250="", "", IF(K250="Implemented", "Pass", IF(K250="Partial", "Partial", IF(K250="Not Applicable", "N/A", "Fail"))))</f>
        <v/>
      </c>
      <c r="R250" s="8" t="n"/>
      <c r="S250" s="8" t="n"/>
      <c r="T250">
        <f>IF(Q250="", "", IF(OR(Q250="Fail", Q250="Partial"), "Yes", "No"))</f>
        <v/>
      </c>
      <c r="U250" s="8" t="n"/>
      <c r="V250" s="8" t="n"/>
      <c r="W250" s="8" t="n"/>
      <c r="X250" s="8" t="inlineStr">
        <is>
          <t>No</t>
        </is>
      </c>
      <c r="Y250" s="8" t="n"/>
      <c r="Z250" s="8" t="n"/>
      <c r="AA250" s="8" t="n"/>
      <c r="AB250" s="8" t="inlineStr">
        <is>
          <t>[Security Analyst]</t>
        </is>
      </c>
      <c r="AC250" s="8" t="n"/>
      <c r="AD250" s="8" t="n"/>
      <c r="AE250" s="16">
        <f>IF(AA250&lt;&gt;"", AA250+90, "")</f>
        <v/>
      </c>
      <c r="AF250" s="8" t="n"/>
    </row>
    <row r="251">
      <c r="A251">
        <f>IF(B251&lt;&gt;"", "HC-"&amp;TEXT(ROW()-1,"00000"), "")</f>
        <v/>
      </c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>
        <f>IF(K251="", "", IF(K251="Implemented", "Pass", IF(K251="Partial", "Partial", IF(K251="Not Applicable", "N/A", "Fail"))))</f>
        <v/>
      </c>
      <c r="R251" s="8" t="n"/>
      <c r="S251" s="8" t="n"/>
      <c r="T251">
        <f>IF(Q251="", "", IF(OR(Q251="Fail", Q251="Partial"), "Yes", "No"))</f>
        <v/>
      </c>
      <c r="U251" s="8" t="n"/>
      <c r="V251" s="8" t="n"/>
      <c r="W251" s="8" t="n"/>
      <c r="X251" s="8" t="inlineStr">
        <is>
          <t>No</t>
        </is>
      </c>
      <c r="Y251" s="8" t="n"/>
      <c r="Z251" s="8" t="n"/>
      <c r="AA251" s="8" t="n"/>
      <c r="AB251" s="8" t="inlineStr">
        <is>
          <t>[Security Analyst]</t>
        </is>
      </c>
      <c r="AC251" s="8" t="n"/>
      <c r="AD251" s="8" t="n"/>
      <c r="AE251" s="16">
        <f>IF(AA251&lt;&gt;"", AA251+90, "")</f>
        <v/>
      </c>
      <c r="AF251" s="8" t="n"/>
    </row>
    <row r="252">
      <c r="A252">
        <f>IF(B252&lt;&gt;"", "HC-"&amp;TEXT(ROW()-1,"00000"), "")</f>
        <v/>
      </c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>
        <f>IF(K252="", "", IF(K252="Implemented", "Pass", IF(K252="Partial", "Partial", IF(K252="Not Applicable", "N/A", "Fail"))))</f>
        <v/>
      </c>
      <c r="R252" s="8" t="n"/>
      <c r="S252" s="8" t="n"/>
      <c r="T252">
        <f>IF(Q252="", "", IF(OR(Q252="Fail", Q252="Partial"), "Yes", "No"))</f>
        <v/>
      </c>
      <c r="U252" s="8" t="n"/>
      <c r="V252" s="8" t="n"/>
      <c r="W252" s="8" t="n"/>
      <c r="X252" s="8" t="inlineStr">
        <is>
          <t>No</t>
        </is>
      </c>
      <c r="Y252" s="8" t="n"/>
      <c r="Z252" s="8" t="n"/>
      <c r="AA252" s="8" t="n"/>
      <c r="AB252" s="8" t="inlineStr">
        <is>
          <t>[Security Analyst]</t>
        </is>
      </c>
      <c r="AC252" s="8" t="n"/>
      <c r="AD252" s="8" t="n"/>
      <c r="AE252" s="16">
        <f>IF(AA252&lt;&gt;"", AA252+90, "")</f>
        <v/>
      </c>
      <c r="AF252" s="8" t="n"/>
    </row>
    <row r="253">
      <c r="A253">
        <f>IF(B253&lt;&gt;"", "HC-"&amp;TEXT(ROW()-1,"00000"), "")</f>
        <v/>
      </c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>
        <f>IF(K253="", "", IF(K253="Implemented", "Pass", IF(K253="Partial", "Partial", IF(K253="Not Applicable", "N/A", "Fail"))))</f>
        <v/>
      </c>
      <c r="R253" s="8" t="n"/>
      <c r="S253" s="8" t="n"/>
      <c r="T253">
        <f>IF(Q253="", "", IF(OR(Q253="Fail", Q253="Partial"), "Yes", "No"))</f>
        <v/>
      </c>
      <c r="U253" s="8" t="n"/>
      <c r="V253" s="8" t="n"/>
      <c r="W253" s="8" t="n"/>
      <c r="X253" s="8" t="inlineStr">
        <is>
          <t>No</t>
        </is>
      </c>
      <c r="Y253" s="8" t="n"/>
      <c r="Z253" s="8" t="n"/>
      <c r="AA253" s="8" t="n"/>
      <c r="AB253" s="8" t="inlineStr">
        <is>
          <t>[Security Analyst]</t>
        </is>
      </c>
      <c r="AC253" s="8" t="n"/>
      <c r="AD253" s="8" t="n"/>
      <c r="AE253" s="16">
        <f>IF(AA253&lt;&gt;"", AA253+90, "")</f>
        <v/>
      </c>
      <c r="AF253" s="8" t="n"/>
    </row>
    <row r="254">
      <c r="A254">
        <f>IF(B254&lt;&gt;"", "HC-"&amp;TEXT(ROW()-1,"00000"), "")</f>
        <v/>
      </c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>
        <f>IF(K254="", "", IF(K254="Implemented", "Pass", IF(K254="Partial", "Partial", IF(K254="Not Applicable", "N/A", "Fail"))))</f>
        <v/>
      </c>
      <c r="R254" s="8" t="n"/>
      <c r="S254" s="8" t="n"/>
      <c r="T254">
        <f>IF(Q254="", "", IF(OR(Q254="Fail", Q254="Partial"), "Yes", "No"))</f>
        <v/>
      </c>
      <c r="U254" s="8" t="n"/>
      <c r="V254" s="8" t="n"/>
      <c r="W254" s="8" t="n"/>
      <c r="X254" s="8" t="inlineStr">
        <is>
          <t>No</t>
        </is>
      </c>
      <c r="Y254" s="8" t="n"/>
      <c r="Z254" s="8" t="n"/>
      <c r="AA254" s="8" t="n"/>
      <c r="AB254" s="8" t="inlineStr">
        <is>
          <t>[Security Analyst]</t>
        </is>
      </c>
      <c r="AC254" s="8" t="n"/>
      <c r="AD254" s="8" t="n"/>
      <c r="AE254" s="16">
        <f>IF(AA254&lt;&gt;"", AA254+90, "")</f>
        <v/>
      </c>
      <c r="AF254" s="8" t="n"/>
    </row>
    <row r="255">
      <c r="A255">
        <f>IF(B255&lt;&gt;"", "HC-"&amp;TEXT(ROW()-1,"00000"), "")</f>
        <v/>
      </c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>
        <f>IF(K255="", "", IF(K255="Implemented", "Pass", IF(K255="Partial", "Partial", IF(K255="Not Applicable", "N/A", "Fail"))))</f>
        <v/>
      </c>
      <c r="R255" s="8" t="n"/>
      <c r="S255" s="8" t="n"/>
      <c r="T255">
        <f>IF(Q255="", "", IF(OR(Q255="Fail", Q255="Partial"), "Yes", "No"))</f>
        <v/>
      </c>
      <c r="U255" s="8" t="n"/>
      <c r="V255" s="8" t="n"/>
      <c r="W255" s="8" t="n"/>
      <c r="X255" s="8" t="inlineStr">
        <is>
          <t>No</t>
        </is>
      </c>
      <c r="Y255" s="8" t="n"/>
      <c r="Z255" s="8" t="n"/>
      <c r="AA255" s="8" t="n"/>
      <c r="AB255" s="8" t="inlineStr">
        <is>
          <t>[Security Analyst]</t>
        </is>
      </c>
      <c r="AC255" s="8" t="n"/>
      <c r="AD255" s="8" t="n"/>
      <c r="AE255" s="16">
        <f>IF(AA255&lt;&gt;"", AA255+90, "")</f>
        <v/>
      </c>
      <c r="AF255" s="8" t="n"/>
    </row>
    <row r="256">
      <c r="A256">
        <f>IF(B256&lt;&gt;"", "HC-"&amp;TEXT(ROW()-1,"00000"), "")</f>
        <v/>
      </c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>
        <f>IF(K256="", "", IF(K256="Implemented", "Pass", IF(K256="Partial", "Partial", IF(K256="Not Applicable", "N/A", "Fail"))))</f>
        <v/>
      </c>
      <c r="R256" s="8" t="n"/>
      <c r="S256" s="8" t="n"/>
      <c r="T256">
        <f>IF(Q256="", "", IF(OR(Q256="Fail", Q256="Partial"), "Yes", "No"))</f>
        <v/>
      </c>
      <c r="U256" s="8" t="n"/>
      <c r="V256" s="8" t="n"/>
      <c r="W256" s="8" t="n"/>
      <c r="X256" s="8" t="inlineStr">
        <is>
          <t>No</t>
        </is>
      </c>
      <c r="Y256" s="8" t="n"/>
      <c r="Z256" s="8" t="n"/>
      <c r="AA256" s="8" t="n"/>
      <c r="AB256" s="8" t="inlineStr">
        <is>
          <t>[Security Analyst]</t>
        </is>
      </c>
      <c r="AC256" s="8" t="n"/>
      <c r="AD256" s="8" t="n"/>
      <c r="AE256" s="16">
        <f>IF(AA256&lt;&gt;"", AA256+90, "")</f>
        <v/>
      </c>
      <c r="AF256" s="8" t="n"/>
    </row>
    <row r="257">
      <c r="A257">
        <f>IF(B257&lt;&gt;"", "HC-"&amp;TEXT(ROW()-1,"00000"), "")</f>
        <v/>
      </c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>
        <f>IF(K257="", "", IF(K257="Implemented", "Pass", IF(K257="Partial", "Partial", IF(K257="Not Applicable", "N/A", "Fail"))))</f>
        <v/>
      </c>
      <c r="R257" s="8" t="n"/>
      <c r="S257" s="8" t="n"/>
      <c r="T257">
        <f>IF(Q257="", "", IF(OR(Q257="Fail", Q257="Partial"), "Yes", "No"))</f>
        <v/>
      </c>
      <c r="U257" s="8" t="n"/>
      <c r="V257" s="8" t="n"/>
      <c r="W257" s="8" t="n"/>
      <c r="X257" s="8" t="inlineStr">
        <is>
          <t>No</t>
        </is>
      </c>
      <c r="Y257" s="8" t="n"/>
      <c r="Z257" s="8" t="n"/>
      <c r="AA257" s="8" t="n"/>
      <c r="AB257" s="8" t="inlineStr">
        <is>
          <t>[Security Analyst]</t>
        </is>
      </c>
      <c r="AC257" s="8" t="n"/>
      <c r="AD257" s="8" t="n"/>
      <c r="AE257" s="16">
        <f>IF(AA257&lt;&gt;"", AA257+90, "")</f>
        <v/>
      </c>
      <c r="AF257" s="8" t="n"/>
    </row>
    <row r="258">
      <c r="A258">
        <f>IF(B258&lt;&gt;"", "HC-"&amp;TEXT(ROW()-1,"00000"), "")</f>
        <v/>
      </c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>
        <f>IF(K258="", "", IF(K258="Implemented", "Pass", IF(K258="Partial", "Partial", IF(K258="Not Applicable", "N/A", "Fail"))))</f>
        <v/>
      </c>
      <c r="R258" s="8" t="n"/>
      <c r="S258" s="8" t="n"/>
      <c r="T258">
        <f>IF(Q258="", "", IF(OR(Q258="Fail", Q258="Partial"), "Yes", "No"))</f>
        <v/>
      </c>
      <c r="U258" s="8" t="n"/>
      <c r="V258" s="8" t="n"/>
      <c r="W258" s="8" t="n"/>
      <c r="X258" s="8" t="inlineStr">
        <is>
          <t>No</t>
        </is>
      </c>
      <c r="Y258" s="8" t="n"/>
      <c r="Z258" s="8" t="n"/>
      <c r="AA258" s="8" t="n"/>
      <c r="AB258" s="8" t="inlineStr">
        <is>
          <t>[Security Analyst]</t>
        </is>
      </c>
      <c r="AC258" s="8" t="n"/>
      <c r="AD258" s="8" t="n"/>
      <c r="AE258" s="16">
        <f>IF(AA258&lt;&gt;"", AA258+90, "")</f>
        <v/>
      </c>
      <c r="AF258" s="8" t="n"/>
    </row>
    <row r="259">
      <c r="A259">
        <f>IF(B259&lt;&gt;"", "HC-"&amp;TEXT(ROW()-1,"00000"), "")</f>
        <v/>
      </c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>
        <f>IF(K259="", "", IF(K259="Implemented", "Pass", IF(K259="Partial", "Partial", IF(K259="Not Applicable", "N/A", "Fail"))))</f>
        <v/>
      </c>
      <c r="R259" s="8" t="n"/>
      <c r="S259" s="8" t="n"/>
      <c r="T259">
        <f>IF(Q259="", "", IF(OR(Q259="Fail", Q259="Partial"), "Yes", "No"))</f>
        <v/>
      </c>
      <c r="U259" s="8" t="n"/>
      <c r="V259" s="8" t="n"/>
      <c r="W259" s="8" t="n"/>
      <c r="X259" s="8" t="inlineStr">
        <is>
          <t>No</t>
        </is>
      </c>
      <c r="Y259" s="8" t="n"/>
      <c r="Z259" s="8" t="n"/>
      <c r="AA259" s="8" t="n"/>
      <c r="AB259" s="8" t="inlineStr">
        <is>
          <t>[Security Analyst]</t>
        </is>
      </c>
      <c r="AC259" s="8" t="n"/>
      <c r="AD259" s="8" t="n"/>
      <c r="AE259" s="16">
        <f>IF(AA259&lt;&gt;"", AA259+90, "")</f>
        <v/>
      </c>
      <c r="AF259" s="8" t="n"/>
    </row>
    <row r="260">
      <c r="A260">
        <f>IF(B260&lt;&gt;"", "HC-"&amp;TEXT(ROW()-1,"00000"), "")</f>
        <v/>
      </c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>
        <f>IF(K260="", "", IF(K260="Implemented", "Pass", IF(K260="Partial", "Partial", IF(K260="Not Applicable", "N/A", "Fail"))))</f>
        <v/>
      </c>
      <c r="R260" s="8" t="n"/>
      <c r="S260" s="8" t="n"/>
      <c r="T260">
        <f>IF(Q260="", "", IF(OR(Q260="Fail", Q260="Partial"), "Yes", "No"))</f>
        <v/>
      </c>
      <c r="U260" s="8" t="n"/>
      <c r="V260" s="8" t="n"/>
      <c r="W260" s="8" t="n"/>
      <c r="X260" s="8" t="inlineStr">
        <is>
          <t>No</t>
        </is>
      </c>
      <c r="Y260" s="8" t="n"/>
      <c r="Z260" s="8" t="n"/>
      <c r="AA260" s="8" t="n"/>
      <c r="AB260" s="8" t="inlineStr">
        <is>
          <t>[Security Analyst]</t>
        </is>
      </c>
      <c r="AC260" s="8" t="n"/>
      <c r="AD260" s="8" t="n"/>
      <c r="AE260" s="16">
        <f>IF(AA260&lt;&gt;"", AA260+90, "")</f>
        <v/>
      </c>
      <c r="AF260" s="8" t="n"/>
    </row>
    <row r="261">
      <c r="A261">
        <f>IF(B261&lt;&gt;"", "HC-"&amp;TEXT(ROW()-1,"00000"), "")</f>
        <v/>
      </c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>
        <f>IF(K261="", "", IF(K261="Implemented", "Pass", IF(K261="Partial", "Partial", IF(K261="Not Applicable", "N/A", "Fail"))))</f>
        <v/>
      </c>
      <c r="R261" s="8" t="n"/>
      <c r="S261" s="8" t="n"/>
      <c r="T261">
        <f>IF(Q261="", "", IF(OR(Q261="Fail", Q261="Partial"), "Yes", "No"))</f>
        <v/>
      </c>
      <c r="U261" s="8" t="n"/>
      <c r="V261" s="8" t="n"/>
      <c r="W261" s="8" t="n"/>
      <c r="X261" s="8" t="inlineStr">
        <is>
          <t>No</t>
        </is>
      </c>
      <c r="Y261" s="8" t="n"/>
      <c r="Z261" s="8" t="n"/>
      <c r="AA261" s="8" t="n"/>
      <c r="AB261" s="8" t="inlineStr">
        <is>
          <t>[Security Analyst]</t>
        </is>
      </c>
      <c r="AC261" s="8" t="n"/>
      <c r="AD261" s="8" t="n"/>
      <c r="AE261" s="16">
        <f>IF(AA261&lt;&gt;"", AA261+90, "")</f>
        <v/>
      </c>
      <c r="AF261" s="8" t="n"/>
    </row>
    <row r="262">
      <c r="A262">
        <f>IF(B262&lt;&gt;"", "HC-"&amp;TEXT(ROW()-1,"00000"), "")</f>
        <v/>
      </c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>
        <f>IF(K262="", "", IF(K262="Implemented", "Pass", IF(K262="Partial", "Partial", IF(K262="Not Applicable", "N/A", "Fail"))))</f>
        <v/>
      </c>
      <c r="R262" s="8" t="n"/>
      <c r="S262" s="8" t="n"/>
      <c r="T262">
        <f>IF(Q262="", "", IF(OR(Q262="Fail", Q262="Partial"), "Yes", "No"))</f>
        <v/>
      </c>
      <c r="U262" s="8" t="n"/>
      <c r="V262" s="8" t="n"/>
      <c r="W262" s="8" t="n"/>
      <c r="X262" s="8" t="inlineStr">
        <is>
          <t>No</t>
        </is>
      </c>
      <c r="Y262" s="8" t="n"/>
      <c r="Z262" s="8" t="n"/>
      <c r="AA262" s="8" t="n"/>
      <c r="AB262" s="8" t="inlineStr">
        <is>
          <t>[Security Analyst]</t>
        </is>
      </c>
      <c r="AC262" s="8" t="n"/>
      <c r="AD262" s="8" t="n"/>
      <c r="AE262" s="16">
        <f>IF(AA262&lt;&gt;"", AA262+90, "")</f>
        <v/>
      </c>
      <c r="AF262" s="8" t="n"/>
    </row>
    <row r="263">
      <c r="A263">
        <f>IF(B263&lt;&gt;"", "HC-"&amp;TEXT(ROW()-1,"00000"), "")</f>
        <v/>
      </c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>
        <f>IF(K263="", "", IF(K263="Implemented", "Pass", IF(K263="Partial", "Partial", IF(K263="Not Applicable", "N/A", "Fail"))))</f>
        <v/>
      </c>
      <c r="R263" s="8" t="n"/>
      <c r="S263" s="8" t="n"/>
      <c r="T263">
        <f>IF(Q263="", "", IF(OR(Q263="Fail", Q263="Partial"), "Yes", "No"))</f>
        <v/>
      </c>
      <c r="U263" s="8" t="n"/>
      <c r="V263" s="8" t="n"/>
      <c r="W263" s="8" t="n"/>
      <c r="X263" s="8" t="inlineStr">
        <is>
          <t>No</t>
        </is>
      </c>
      <c r="Y263" s="8" t="n"/>
      <c r="Z263" s="8" t="n"/>
      <c r="AA263" s="8" t="n"/>
      <c r="AB263" s="8" t="inlineStr">
        <is>
          <t>[Security Analyst]</t>
        </is>
      </c>
      <c r="AC263" s="8" t="n"/>
      <c r="AD263" s="8" t="n"/>
      <c r="AE263" s="16">
        <f>IF(AA263&lt;&gt;"", AA263+90, "")</f>
        <v/>
      </c>
      <c r="AF263" s="8" t="n"/>
    </row>
    <row r="264">
      <c r="A264">
        <f>IF(B264&lt;&gt;"", "HC-"&amp;TEXT(ROW()-1,"00000"), "")</f>
        <v/>
      </c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>
        <f>IF(K264="", "", IF(K264="Implemented", "Pass", IF(K264="Partial", "Partial", IF(K264="Not Applicable", "N/A", "Fail"))))</f>
        <v/>
      </c>
      <c r="R264" s="8" t="n"/>
      <c r="S264" s="8" t="n"/>
      <c r="T264">
        <f>IF(Q264="", "", IF(OR(Q264="Fail", Q264="Partial"), "Yes", "No"))</f>
        <v/>
      </c>
      <c r="U264" s="8" t="n"/>
      <c r="V264" s="8" t="n"/>
      <c r="W264" s="8" t="n"/>
      <c r="X264" s="8" t="inlineStr">
        <is>
          <t>No</t>
        </is>
      </c>
      <c r="Y264" s="8" t="n"/>
      <c r="Z264" s="8" t="n"/>
      <c r="AA264" s="8" t="n"/>
      <c r="AB264" s="8" t="inlineStr">
        <is>
          <t>[Security Analyst]</t>
        </is>
      </c>
      <c r="AC264" s="8" t="n"/>
      <c r="AD264" s="8" t="n"/>
      <c r="AE264" s="16">
        <f>IF(AA264&lt;&gt;"", AA264+90, "")</f>
        <v/>
      </c>
      <c r="AF264" s="8" t="n"/>
    </row>
    <row r="265">
      <c r="A265">
        <f>IF(B265&lt;&gt;"", "HC-"&amp;TEXT(ROW()-1,"00000"), "")</f>
        <v/>
      </c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>
        <f>IF(K265="", "", IF(K265="Implemented", "Pass", IF(K265="Partial", "Partial", IF(K265="Not Applicable", "N/A", "Fail"))))</f>
        <v/>
      </c>
      <c r="R265" s="8" t="n"/>
      <c r="S265" s="8" t="n"/>
      <c r="T265">
        <f>IF(Q265="", "", IF(OR(Q265="Fail", Q265="Partial"), "Yes", "No"))</f>
        <v/>
      </c>
      <c r="U265" s="8" t="n"/>
      <c r="V265" s="8" t="n"/>
      <c r="W265" s="8" t="n"/>
      <c r="X265" s="8" t="inlineStr">
        <is>
          <t>No</t>
        </is>
      </c>
      <c r="Y265" s="8" t="n"/>
      <c r="Z265" s="8" t="n"/>
      <c r="AA265" s="8" t="n"/>
      <c r="AB265" s="8" t="inlineStr">
        <is>
          <t>[Security Analyst]</t>
        </is>
      </c>
      <c r="AC265" s="8" t="n"/>
      <c r="AD265" s="8" t="n"/>
      <c r="AE265" s="16">
        <f>IF(AA265&lt;&gt;"", AA265+90, "")</f>
        <v/>
      </c>
      <c r="AF265" s="8" t="n"/>
    </row>
    <row r="266">
      <c r="A266">
        <f>IF(B266&lt;&gt;"", "HC-"&amp;TEXT(ROW()-1,"00000"), "")</f>
        <v/>
      </c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>
        <f>IF(K266="", "", IF(K266="Implemented", "Pass", IF(K266="Partial", "Partial", IF(K266="Not Applicable", "N/A", "Fail"))))</f>
        <v/>
      </c>
      <c r="R266" s="8" t="n"/>
      <c r="S266" s="8" t="n"/>
      <c r="T266">
        <f>IF(Q266="", "", IF(OR(Q266="Fail", Q266="Partial"), "Yes", "No"))</f>
        <v/>
      </c>
      <c r="U266" s="8" t="n"/>
      <c r="V266" s="8" t="n"/>
      <c r="W266" s="8" t="n"/>
      <c r="X266" s="8" t="inlineStr">
        <is>
          <t>No</t>
        </is>
      </c>
      <c r="Y266" s="8" t="n"/>
      <c r="Z266" s="8" t="n"/>
      <c r="AA266" s="8" t="n"/>
      <c r="AB266" s="8" t="inlineStr">
        <is>
          <t>[Security Analyst]</t>
        </is>
      </c>
      <c r="AC266" s="8" t="n"/>
      <c r="AD266" s="8" t="n"/>
      <c r="AE266" s="16">
        <f>IF(AA266&lt;&gt;"", AA266+90, "")</f>
        <v/>
      </c>
      <c r="AF266" s="8" t="n"/>
    </row>
    <row r="267">
      <c r="A267">
        <f>IF(B267&lt;&gt;"", "HC-"&amp;TEXT(ROW()-1,"00000"), "")</f>
        <v/>
      </c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>
        <f>IF(K267="", "", IF(K267="Implemented", "Pass", IF(K267="Partial", "Partial", IF(K267="Not Applicable", "N/A", "Fail"))))</f>
        <v/>
      </c>
      <c r="R267" s="8" t="n"/>
      <c r="S267" s="8" t="n"/>
      <c r="T267">
        <f>IF(Q267="", "", IF(OR(Q267="Fail", Q267="Partial"), "Yes", "No"))</f>
        <v/>
      </c>
      <c r="U267" s="8" t="n"/>
      <c r="V267" s="8" t="n"/>
      <c r="W267" s="8" t="n"/>
      <c r="X267" s="8" t="inlineStr">
        <is>
          <t>No</t>
        </is>
      </c>
      <c r="Y267" s="8" t="n"/>
      <c r="Z267" s="8" t="n"/>
      <c r="AA267" s="8" t="n"/>
      <c r="AB267" s="8" t="inlineStr">
        <is>
          <t>[Security Analyst]</t>
        </is>
      </c>
      <c r="AC267" s="8" t="n"/>
      <c r="AD267" s="8" t="n"/>
      <c r="AE267" s="16">
        <f>IF(AA267&lt;&gt;"", AA267+90, "")</f>
        <v/>
      </c>
      <c r="AF267" s="8" t="n"/>
    </row>
    <row r="268">
      <c r="A268">
        <f>IF(B268&lt;&gt;"", "HC-"&amp;TEXT(ROW()-1,"00000"), "")</f>
        <v/>
      </c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>
        <f>IF(K268="", "", IF(K268="Implemented", "Pass", IF(K268="Partial", "Partial", IF(K268="Not Applicable", "N/A", "Fail"))))</f>
        <v/>
      </c>
      <c r="R268" s="8" t="n"/>
      <c r="S268" s="8" t="n"/>
      <c r="T268">
        <f>IF(Q268="", "", IF(OR(Q268="Fail", Q268="Partial"), "Yes", "No"))</f>
        <v/>
      </c>
      <c r="U268" s="8" t="n"/>
      <c r="V268" s="8" t="n"/>
      <c r="W268" s="8" t="n"/>
      <c r="X268" s="8" t="inlineStr">
        <is>
          <t>No</t>
        </is>
      </c>
      <c r="Y268" s="8" t="n"/>
      <c r="Z268" s="8" t="n"/>
      <c r="AA268" s="8" t="n"/>
      <c r="AB268" s="8" t="inlineStr">
        <is>
          <t>[Security Analyst]</t>
        </is>
      </c>
      <c r="AC268" s="8" t="n"/>
      <c r="AD268" s="8" t="n"/>
      <c r="AE268" s="16">
        <f>IF(AA268&lt;&gt;"", AA268+90, "")</f>
        <v/>
      </c>
      <c r="AF268" s="8" t="n"/>
    </row>
    <row r="269">
      <c r="A269">
        <f>IF(B269&lt;&gt;"", "HC-"&amp;TEXT(ROW()-1,"00000"), "")</f>
        <v/>
      </c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>
        <f>IF(K269="", "", IF(K269="Implemented", "Pass", IF(K269="Partial", "Partial", IF(K269="Not Applicable", "N/A", "Fail"))))</f>
        <v/>
      </c>
      <c r="R269" s="8" t="n"/>
      <c r="S269" s="8" t="n"/>
      <c r="T269">
        <f>IF(Q269="", "", IF(OR(Q269="Fail", Q269="Partial"), "Yes", "No"))</f>
        <v/>
      </c>
      <c r="U269" s="8" t="n"/>
      <c r="V269" s="8" t="n"/>
      <c r="W269" s="8" t="n"/>
      <c r="X269" s="8" t="inlineStr">
        <is>
          <t>No</t>
        </is>
      </c>
      <c r="Y269" s="8" t="n"/>
      <c r="Z269" s="8" t="n"/>
      <c r="AA269" s="8" t="n"/>
      <c r="AB269" s="8" t="inlineStr">
        <is>
          <t>[Security Analyst]</t>
        </is>
      </c>
      <c r="AC269" s="8" t="n"/>
      <c r="AD269" s="8" t="n"/>
      <c r="AE269" s="16">
        <f>IF(AA269&lt;&gt;"", AA269+90, "")</f>
        <v/>
      </c>
      <c r="AF269" s="8" t="n"/>
    </row>
    <row r="270">
      <c r="A270">
        <f>IF(B270&lt;&gt;"", "HC-"&amp;TEXT(ROW()-1,"00000"), "")</f>
        <v/>
      </c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>
        <f>IF(K270="", "", IF(K270="Implemented", "Pass", IF(K270="Partial", "Partial", IF(K270="Not Applicable", "N/A", "Fail"))))</f>
        <v/>
      </c>
      <c r="R270" s="8" t="n"/>
      <c r="S270" s="8" t="n"/>
      <c r="T270">
        <f>IF(Q270="", "", IF(OR(Q270="Fail", Q270="Partial"), "Yes", "No"))</f>
        <v/>
      </c>
      <c r="U270" s="8" t="n"/>
      <c r="V270" s="8" t="n"/>
      <c r="W270" s="8" t="n"/>
      <c r="X270" s="8" t="inlineStr">
        <is>
          <t>No</t>
        </is>
      </c>
      <c r="Y270" s="8" t="n"/>
      <c r="Z270" s="8" t="n"/>
      <c r="AA270" s="8" t="n"/>
      <c r="AB270" s="8" t="inlineStr">
        <is>
          <t>[Security Analyst]</t>
        </is>
      </c>
      <c r="AC270" s="8" t="n"/>
      <c r="AD270" s="8" t="n"/>
      <c r="AE270" s="16">
        <f>IF(AA270&lt;&gt;"", AA270+90, "")</f>
        <v/>
      </c>
      <c r="AF270" s="8" t="n"/>
    </row>
    <row r="271">
      <c r="A271">
        <f>IF(B271&lt;&gt;"", "HC-"&amp;TEXT(ROW()-1,"00000"), "")</f>
        <v/>
      </c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>
        <f>IF(K271="", "", IF(K271="Implemented", "Pass", IF(K271="Partial", "Partial", IF(K271="Not Applicable", "N/A", "Fail"))))</f>
        <v/>
      </c>
      <c r="R271" s="8" t="n"/>
      <c r="S271" s="8" t="n"/>
      <c r="T271">
        <f>IF(Q271="", "", IF(OR(Q271="Fail", Q271="Partial"), "Yes", "No"))</f>
        <v/>
      </c>
      <c r="U271" s="8" t="n"/>
      <c r="V271" s="8" t="n"/>
      <c r="W271" s="8" t="n"/>
      <c r="X271" s="8" t="inlineStr">
        <is>
          <t>No</t>
        </is>
      </c>
      <c r="Y271" s="8" t="n"/>
      <c r="Z271" s="8" t="n"/>
      <c r="AA271" s="8" t="n"/>
      <c r="AB271" s="8" t="inlineStr">
        <is>
          <t>[Security Analyst]</t>
        </is>
      </c>
      <c r="AC271" s="8" t="n"/>
      <c r="AD271" s="8" t="n"/>
      <c r="AE271" s="16">
        <f>IF(AA271&lt;&gt;"", AA271+90, "")</f>
        <v/>
      </c>
      <c r="AF271" s="8" t="n"/>
    </row>
    <row r="272">
      <c r="A272">
        <f>IF(B272&lt;&gt;"", "HC-"&amp;TEXT(ROW()-1,"00000"), "")</f>
        <v/>
      </c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>
        <f>IF(K272="", "", IF(K272="Implemented", "Pass", IF(K272="Partial", "Partial", IF(K272="Not Applicable", "N/A", "Fail"))))</f>
        <v/>
      </c>
      <c r="R272" s="8" t="n"/>
      <c r="S272" s="8" t="n"/>
      <c r="T272">
        <f>IF(Q272="", "", IF(OR(Q272="Fail", Q272="Partial"), "Yes", "No"))</f>
        <v/>
      </c>
      <c r="U272" s="8" t="n"/>
      <c r="V272" s="8" t="n"/>
      <c r="W272" s="8" t="n"/>
      <c r="X272" s="8" t="inlineStr">
        <is>
          <t>No</t>
        </is>
      </c>
      <c r="Y272" s="8" t="n"/>
      <c r="Z272" s="8" t="n"/>
      <c r="AA272" s="8" t="n"/>
      <c r="AB272" s="8" t="inlineStr">
        <is>
          <t>[Security Analyst]</t>
        </is>
      </c>
      <c r="AC272" s="8" t="n"/>
      <c r="AD272" s="8" t="n"/>
      <c r="AE272" s="16">
        <f>IF(AA272&lt;&gt;"", AA272+90, "")</f>
        <v/>
      </c>
      <c r="AF272" s="8" t="n"/>
    </row>
    <row r="273">
      <c r="A273">
        <f>IF(B273&lt;&gt;"", "HC-"&amp;TEXT(ROW()-1,"00000"), "")</f>
        <v/>
      </c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>
        <f>IF(K273="", "", IF(K273="Implemented", "Pass", IF(K273="Partial", "Partial", IF(K273="Not Applicable", "N/A", "Fail"))))</f>
        <v/>
      </c>
      <c r="R273" s="8" t="n"/>
      <c r="S273" s="8" t="n"/>
      <c r="T273">
        <f>IF(Q273="", "", IF(OR(Q273="Fail", Q273="Partial"), "Yes", "No"))</f>
        <v/>
      </c>
      <c r="U273" s="8" t="n"/>
      <c r="V273" s="8" t="n"/>
      <c r="W273" s="8" t="n"/>
      <c r="X273" s="8" t="inlineStr">
        <is>
          <t>No</t>
        </is>
      </c>
      <c r="Y273" s="8" t="n"/>
      <c r="Z273" s="8" t="n"/>
      <c r="AA273" s="8" t="n"/>
      <c r="AB273" s="8" t="inlineStr">
        <is>
          <t>[Security Analyst]</t>
        </is>
      </c>
      <c r="AC273" s="8" t="n"/>
      <c r="AD273" s="8" t="n"/>
      <c r="AE273" s="16">
        <f>IF(AA273&lt;&gt;"", AA273+90, "")</f>
        <v/>
      </c>
      <c r="AF273" s="8" t="n"/>
    </row>
    <row r="274">
      <c r="A274">
        <f>IF(B274&lt;&gt;"", "HC-"&amp;TEXT(ROW()-1,"00000"), "")</f>
        <v/>
      </c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>
        <f>IF(K274="", "", IF(K274="Implemented", "Pass", IF(K274="Partial", "Partial", IF(K274="Not Applicable", "N/A", "Fail"))))</f>
        <v/>
      </c>
      <c r="R274" s="8" t="n"/>
      <c r="S274" s="8" t="n"/>
      <c r="T274">
        <f>IF(Q274="", "", IF(OR(Q274="Fail", Q274="Partial"), "Yes", "No"))</f>
        <v/>
      </c>
      <c r="U274" s="8" t="n"/>
      <c r="V274" s="8" t="n"/>
      <c r="W274" s="8" t="n"/>
      <c r="X274" s="8" t="inlineStr">
        <is>
          <t>No</t>
        </is>
      </c>
      <c r="Y274" s="8" t="n"/>
      <c r="Z274" s="8" t="n"/>
      <c r="AA274" s="8" t="n"/>
      <c r="AB274" s="8" t="inlineStr">
        <is>
          <t>[Security Analyst]</t>
        </is>
      </c>
      <c r="AC274" s="8" t="n"/>
      <c r="AD274" s="8" t="n"/>
      <c r="AE274" s="16">
        <f>IF(AA274&lt;&gt;"", AA274+90, "")</f>
        <v/>
      </c>
      <c r="AF274" s="8" t="n"/>
    </row>
    <row r="275">
      <c r="A275">
        <f>IF(B275&lt;&gt;"", "HC-"&amp;TEXT(ROW()-1,"00000"), "")</f>
        <v/>
      </c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>
        <f>IF(K275="", "", IF(K275="Implemented", "Pass", IF(K275="Partial", "Partial", IF(K275="Not Applicable", "N/A", "Fail"))))</f>
        <v/>
      </c>
      <c r="R275" s="8" t="n"/>
      <c r="S275" s="8" t="n"/>
      <c r="T275">
        <f>IF(Q275="", "", IF(OR(Q275="Fail", Q275="Partial"), "Yes", "No"))</f>
        <v/>
      </c>
      <c r="U275" s="8" t="n"/>
      <c r="V275" s="8" t="n"/>
      <c r="W275" s="8" t="n"/>
      <c r="X275" s="8" t="inlineStr">
        <is>
          <t>No</t>
        </is>
      </c>
      <c r="Y275" s="8" t="n"/>
      <c r="Z275" s="8" t="n"/>
      <c r="AA275" s="8" t="n"/>
      <c r="AB275" s="8" t="inlineStr">
        <is>
          <t>[Security Analyst]</t>
        </is>
      </c>
      <c r="AC275" s="8" t="n"/>
      <c r="AD275" s="8" t="n"/>
      <c r="AE275" s="16">
        <f>IF(AA275&lt;&gt;"", AA275+90, "")</f>
        <v/>
      </c>
      <c r="AF275" s="8" t="n"/>
    </row>
    <row r="276">
      <c r="A276">
        <f>IF(B276&lt;&gt;"", "HC-"&amp;TEXT(ROW()-1,"00000"), "")</f>
        <v/>
      </c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>
        <f>IF(K276="", "", IF(K276="Implemented", "Pass", IF(K276="Partial", "Partial", IF(K276="Not Applicable", "N/A", "Fail"))))</f>
        <v/>
      </c>
      <c r="R276" s="8" t="n"/>
      <c r="S276" s="8" t="n"/>
      <c r="T276">
        <f>IF(Q276="", "", IF(OR(Q276="Fail", Q276="Partial"), "Yes", "No"))</f>
        <v/>
      </c>
      <c r="U276" s="8" t="n"/>
      <c r="V276" s="8" t="n"/>
      <c r="W276" s="8" t="n"/>
      <c r="X276" s="8" t="inlineStr">
        <is>
          <t>No</t>
        </is>
      </c>
      <c r="Y276" s="8" t="n"/>
      <c r="Z276" s="8" t="n"/>
      <c r="AA276" s="8" t="n"/>
      <c r="AB276" s="8" t="inlineStr">
        <is>
          <t>[Security Analyst]</t>
        </is>
      </c>
      <c r="AC276" s="8" t="n"/>
      <c r="AD276" s="8" t="n"/>
      <c r="AE276" s="16">
        <f>IF(AA276&lt;&gt;"", AA276+90, "")</f>
        <v/>
      </c>
      <c r="AF276" s="8" t="n"/>
    </row>
    <row r="277">
      <c r="A277">
        <f>IF(B277&lt;&gt;"", "HC-"&amp;TEXT(ROW()-1,"00000"), "")</f>
        <v/>
      </c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>
        <f>IF(K277="", "", IF(K277="Implemented", "Pass", IF(K277="Partial", "Partial", IF(K277="Not Applicable", "N/A", "Fail"))))</f>
        <v/>
      </c>
      <c r="R277" s="8" t="n"/>
      <c r="S277" s="8" t="n"/>
      <c r="T277">
        <f>IF(Q277="", "", IF(OR(Q277="Fail", Q277="Partial"), "Yes", "No"))</f>
        <v/>
      </c>
      <c r="U277" s="8" t="n"/>
      <c r="V277" s="8" t="n"/>
      <c r="W277" s="8" t="n"/>
      <c r="X277" s="8" t="inlineStr">
        <is>
          <t>No</t>
        </is>
      </c>
      <c r="Y277" s="8" t="n"/>
      <c r="Z277" s="8" t="n"/>
      <c r="AA277" s="8" t="n"/>
      <c r="AB277" s="8" t="inlineStr">
        <is>
          <t>[Security Analyst]</t>
        </is>
      </c>
      <c r="AC277" s="8" t="n"/>
      <c r="AD277" s="8" t="n"/>
      <c r="AE277" s="16">
        <f>IF(AA277&lt;&gt;"", AA277+90, "")</f>
        <v/>
      </c>
      <c r="AF277" s="8" t="n"/>
    </row>
    <row r="278">
      <c r="A278">
        <f>IF(B278&lt;&gt;"", "HC-"&amp;TEXT(ROW()-1,"00000"), "")</f>
        <v/>
      </c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>
        <f>IF(K278="", "", IF(K278="Implemented", "Pass", IF(K278="Partial", "Partial", IF(K278="Not Applicable", "N/A", "Fail"))))</f>
        <v/>
      </c>
      <c r="R278" s="8" t="n"/>
      <c r="S278" s="8" t="n"/>
      <c r="T278">
        <f>IF(Q278="", "", IF(OR(Q278="Fail", Q278="Partial"), "Yes", "No"))</f>
        <v/>
      </c>
      <c r="U278" s="8" t="n"/>
      <c r="V278" s="8" t="n"/>
      <c r="W278" s="8" t="n"/>
      <c r="X278" s="8" t="inlineStr">
        <is>
          <t>No</t>
        </is>
      </c>
      <c r="Y278" s="8" t="n"/>
      <c r="Z278" s="8" t="n"/>
      <c r="AA278" s="8" t="n"/>
      <c r="AB278" s="8" t="inlineStr">
        <is>
          <t>[Security Analyst]</t>
        </is>
      </c>
      <c r="AC278" s="8" t="n"/>
      <c r="AD278" s="8" t="n"/>
      <c r="AE278" s="16">
        <f>IF(AA278&lt;&gt;"", AA278+90, "")</f>
        <v/>
      </c>
      <c r="AF278" s="8" t="n"/>
    </row>
    <row r="279">
      <c r="A279">
        <f>IF(B279&lt;&gt;"", "HC-"&amp;TEXT(ROW()-1,"00000"), "")</f>
        <v/>
      </c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>
        <f>IF(K279="", "", IF(K279="Implemented", "Pass", IF(K279="Partial", "Partial", IF(K279="Not Applicable", "N/A", "Fail"))))</f>
        <v/>
      </c>
      <c r="R279" s="8" t="n"/>
      <c r="S279" s="8" t="n"/>
      <c r="T279">
        <f>IF(Q279="", "", IF(OR(Q279="Fail", Q279="Partial"), "Yes", "No"))</f>
        <v/>
      </c>
      <c r="U279" s="8" t="n"/>
      <c r="V279" s="8" t="n"/>
      <c r="W279" s="8" t="n"/>
      <c r="X279" s="8" t="inlineStr">
        <is>
          <t>No</t>
        </is>
      </c>
      <c r="Y279" s="8" t="n"/>
      <c r="Z279" s="8" t="n"/>
      <c r="AA279" s="8" t="n"/>
      <c r="AB279" s="8" t="inlineStr">
        <is>
          <t>[Security Analyst]</t>
        </is>
      </c>
      <c r="AC279" s="8" t="n"/>
      <c r="AD279" s="8" t="n"/>
      <c r="AE279" s="16">
        <f>IF(AA279&lt;&gt;"", AA279+90, "")</f>
        <v/>
      </c>
      <c r="AF279" s="8" t="n"/>
    </row>
    <row r="280">
      <c r="A280">
        <f>IF(B280&lt;&gt;"", "HC-"&amp;TEXT(ROW()-1,"00000"), "")</f>
        <v/>
      </c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>
        <f>IF(K280="", "", IF(K280="Implemented", "Pass", IF(K280="Partial", "Partial", IF(K280="Not Applicable", "N/A", "Fail"))))</f>
        <v/>
      </c>
      <c r="R280" s="8" t="n"/>
      <c r="S280" s="8" t="n"/>
      <c r="T280">
        <f>IF(Q280="", "", IF(OR(Q280="Fail", Q280="Partial"), "Yes", "No"))</f>
        <v/>
      </c>
      <c r="U280" s="8" t="n"/>
      <c r="V280" s="8" t="n"/>
      <c r="W280" s="8" t="n"/>
      <c r="X280" s="8" t="inlineStr">
        <is>
          <t>No</t>
        </is>
      </c>
      <c r="Y280" s="8" t="n"/>
      <c r="Z280" s="8" t="n"/>
      <c r="AA280" s="8" t="n"/>
      <c r="AB280" s="8" t="inlineStr">
        <is>
          <t>[Security Analyst]</t>
        </is>
      </c>
      <c r="AC280" s="8" t="n"/>
      <c r="AD280" s="8" t="n"/>
      <c r="AE280" s="16">
        <f>IF(AA280&lt;&gt;"", AA280+90, "")</f>
        <v/>
      </c>
      <c r="AF280" s="8" t="n"/>
    </row>
    <row r="281">
      <c r="A281">
        <f>IF(B281&lt;&gt;"", "HC-"&amp;TEXT(ROW()-1,"00000"), "")</f>
        <v/>
      </c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>
        <f>IF(K281="", "", IF(K281="Implemented", "Pass", IF(K281="Partial", "Partial", IF(K281="Not Applicable", "N/A", "Fail"))))</f>
        <v/>
      </c>
      <c r="R281" s="8" t="n"/>
      <c r="S281" s="8" t="n"/>
      <c r="T281">
        <f>IF(Q281="", "", IF(OR(Q281="Fail", Q281="Partial"), "Yes", "No"))</f>
        <v/>
      </c>
      <c r="U281" s="8" t="n"/>
      <c r="V281" s="8" t="n"/>
      <c r="W281" s="8" t="n"/>
      <c r="X281" s="8" t="inlineStr">
        <is>
          <t>No</t>
        </is>
      </c>
      <c r="Y281" s="8" t="n"/>
      <c r="Z281" s="8" t="n"/>
      <c r="AA281" s="8" t="n"/>
      <c r="AB281" s="8" t="inlineStr">
        <is>
          <t>[Security Analyst]</t>
        </is>
      </c>
      <c r="AC281" s="8" t="n"/>
      <c r="AD281" s="8" t="n"/>
      <c r="AE281" s="16">
        <f>IF(AA281&lt;&gt;"", AA281+90, "")</f>
        <v/>
      </c>
      <c r="AF281" s="8" t="n"/>
    </row>
    <row r="282">
      <c r="A282">
        <f>IF(B282&lt;&gt;"", "HC-"&amp;TEXT(ROW()-1,"00000"), "")</f>
        <v/>
      </c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>
        <f>IF(K282="", "", IF(K282="Implemented", "Pass", IF(K282="Partial", "Partial", IF(K282="Not Applicable", "N/A", "Fail"))))</f>
        <v/>
      </c>
      <c r="R282" s="8" t="n"/>
      <c r="S282" s="8" t="n"/>
      <c r="T282">
        <f>IF(Q282="", "", IF(OR(Q282="Fail", Q282="Partial"), "Yes", "No"))</f>
        <v/>
      </c>
      <c r="U282" s="8" t="n"/>
      <c r="V282" s="8" t="n"/>
      <c r="W282" s="8" t="n"/>
      <c r="X282" s="8" t="inlineStr">
        <is>
          <t>No</t>
        </is>
      </c>
      <c r="Y282" s="8" t="n"/>
      <c r="Z282" s="8" t="n"/>
      <c r="AA282" s="8" t="n"/>
      <c r="AB282" s="8" t="inlineStr">
        <is>
          <t>[Security Analyst]</t>
        </is>
      </c>
      <c r="AC282" s="8" t="n"/>
      <c r="AD282" s="8" t="n"/>
      <c r="AE282" s="16">
        <f>IF(AA282&lt;&gt;"", AA282+90, "")</f>
        <v/>
      </c>
      <c r="AF282" s="8" t="n"/>
    </row>
    <row r="283">
      <c r="A283">
        <f>IF(B283&lt;&gt;"", "HC-"&amp;TEXT(ROW()-1,"00000"), "")</f>
        <v/>
      </c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>
        <f>IF(K283="", "", IF(K283="Implemented", "Pass", IF(K283="Partial", "Partial", IF(K283="Not Applicable", "N/A", "Fail"))))</f>
        <v/>
      </c>
      <c r="R283" s="8" t="n"/>
      <c r="S283" s="8" t="n"/>
      <c r="T283">
        <f>IF(Q283="", "", IF(OR(Q283="Fail", Q283="Partial"), "Yes", "No"))</f>
        <v/>
      </c>
      <c r="U283" s="8" t="n"/>
      <c r="V283" s="8" t="n"/>
      <c r="W283" s="8" t="n"/>
      <c r="X283" s="8" t="inlineStr">
        <is>
          <t>No</t>
        </is>
      </c>
      <c r="Y283" s="8" t="n"/>
      <c r="Z283" s="8" t="n"/>
      <c r="AA283" s="8" t="n"/>
      <c r="AB283" s="8" t="inlineStr">
        <is>
          <t>[Security Analyst]</t>
        </is>
      </c>
      <c r="AC283" s="8" t="n"/>
      <c r="AD283" s="8" t="n"/>
      <c r="AE283" s="16">
        <f>IF(AA283&lt;&gt;"", AA283+90, "")</f>
        <v/>
      </c>
      <c r="AF283" s="8" t="n"/>
    </row>
    <row r="284">
      <c r="A284">
        <f>IF(B284&lt;&gt;"", "HC-"&amp;TEXT(ROW()-1,"00000"), "")</f>
        <v/>
      </c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>
        <f>IF(K284="", "", IF(K284="Implemented", "Pass", IF(K284="Partial", "Partial", IF(K284="Not Applicable", "N/A", "Fail"))))</f>
        <v/>
      </c>
      <c r="R284" s="8" t="n"/>
      <c r="S284" s="8" t="n"/>
      <c r="T284">
        <f>IF(Q284="", "", IF(OR(Q284="Fail", Q284="Partial"), "Yes", "No"))</f>
        <v/>
      </c>
      <c r="U284" s="8" t="n"/>
      <c r="V284" s="8" t="n"/>
      <c r="W284" s="8" t="n"/>
      <c r="X284" s="8" t="inlineStr">
        <is>
          <t>No</t>
        </is>
      </c>
      <c r="Y284" s="8" t="n"/>
      <c r="Z284" s="8" t="n"/>
      <c r="AA284" s="8" t="n"/>
      <c r="AB284" s="8" t="inlineStr">
        <is>
          <t>[Security Analyst]</t>
        </is>
      </c>
      <c r="AC284" s="8" t="n"/>
      <c r="AD284" s="8" t="n"/>
      <c r="AE284" s="16">
        <f>IF(AA284&lt;&gt;"", AA284+90, "")</f>
        <v/>
      </c>
      <c r="AF284" s="8" t="n"/>
    </row>
    <row r="285">
      <c r="A285">
        <f>IF(B285&lt;&gt;"", "HC-"&amp;TEXT(ROW()-1,"00000"), "")</f>
        <v/>
      </c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>
        <f>IF(K285="", "", IF(K285="Implemented", "Pass", IF(K285="Partial", "Partial", IF(K285="Not Applicable", "N/A", "Fail"))))</f>
        <v/>
      </c>
      <c r="R285" s="8" t="n"/>
      <c r="S285" s="8" t="n"/>
      <c r="T285">
        <f>IF(Q285="", "", IF(OR(Q285="Fail", Q285="Partial"), "Yes", "No"))</f>
        <v/>
      </c>
      <c r="U285" s="8" t="n"/>
      <c r="V285" s="8" t="n"/>
      <c r="W285" s="8" t="n"/>
      <c r="X285" s="8" t="inlineStr">
        <is>
          <t>No</t>
        </is>
      </c>
      <c r="Y285" s="8" t="n"/>
      <c r="Z285" s="8" t="n"/>
      <c r="AA285" s="8" t="n"/>
      <c r="AB285" s="8" t="inlineStr">
        <is>
          <t>[Security Analyst]</t>
        </is>
      </c>
      <c r="AC285" s="8" t="n"/>
      <c r="AD285" s="8" t="n"/>
      <c r="AE285" s="16">
        <f>IF(AA285&lt;&gt;"", AA285+90, "")</f>
        <v/>
      </c>
      <c r="AF285" s="8" t="n"/>
    </row>
    <row r="286">
      <c r="A286">
        <f>IF(B286&lt;&gt;"", "HC-"&amp;TEXT(ROW()-1,"00000"), "")</f>
        <v/>
      </c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>
        <f>IF(K286="", "", IF(K286="Implemented", "Pass", IF(K286="Partial", "Partial", IF(K286="Not Applicable", "N/A", "Fail"))))</f>
        <v/>
      </c>
      <c r="R286" s="8" t="n"/>
      <c r="S286" s="8" t="n"/>
      <c r="T286">
        <f>IF(Q286="", "", IF(OR(Q286="Fail", Q286="Partial"), "Yes", "No"))</f>
        <v/>
      </c>
      <c r="U286" s="8" t="n"/>
      <c r="V286" s="8" t="n"/>
      <c r="W286" s="8" t="n"/>
      <c r="X286" s="8" t="inlineStr">
        <is>
          <t>No</t>
        </is>
      </c>
      <c r="Y286" s="8" t="n"/>
      <c r="Z286" s="8" t="n"/>
      <c r="AA286" s="8" t="n"/>
      <c r="AB286" s="8" t="inlineStr">
        <is>
          <t>[Security Analyst]</t>
        </is>
      </c>
      <c r="AC286" s="8" t="n"/>
      <c r="AD286" s="8" t="n"/>
      <c r="AE286" s="16">
        <f>IF(AA286&lt;&gt;"", AA286+90, "")</f>
        <v/>
      </c>
      <c r="AF286" s="8" t="n"/>
    </row>
    <row r="287">
      <c r="A287">
        <f>IF(B287&lt;&gt;"", "HC-"&amp;TEXT(ROW()-1,"00000"), "")</f>
        <v/>
      </c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>
        <f>IF(K287="", "", IF(K287="Implemented", "Pass", IF(K287="Partial", "Partial", IF(K287="Not Applicable", "N/A", "Fail"))))</f>
        <v/>
      </c>
      <c r="R287" s="8" t="n"/>
      <c r="S287" s="8" t="n"/>
      <c r="T287">
        <f>IF(Q287="", "", IF(OR(Q287="Fail", Q287="Partial"), "Yes", "No"))</f>
        <v/>
      </c>
      <c r="U287" s="8" t="n"/>
      <c r="V287" s="8" t="n"/>
      <c r="W287" s="8" t="n"/>
      <c r="X287" s="8" t="inlineStr">
        <is>
          <t>No</t>
        </is>
      </c>
      <c r="Y287" s="8" t="n"/>
      <c r="Z287" s="8" t="n"/>
      <c r="AA287" s="8" t="n"/>
      <c r="AB287" s="8" t="inlineStr">
        <is>
          <t>[Security Analyst]</t>
        </is>
      </c>
      <c r="AC287" s="8" t="n"/>
      <c r="AD287" s="8" t="n"/>
      <c r="AE287" s="16">
        <f>IF(AA287&lt;&gt;"", AA287+90, "")</f>
        <v/>
      </c>
      <c r="AF287" s="8" t="n"/>
    </row>
    <row r="288">
      <c r="A288">
        <f>IF(B288&lt;&gt;"", "HC-"&amp;TEXT(ROW()-1,"00000"), "")</f>
        <v/>
      </c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>
        <f>IF(K288="", "", IF(K288="Implemented", "Pass", IF(K288="Partial", "Partial", IF(K288="Not Applicable", "N/A", "Fail"))))</f>
        <v/>
      </c>
      <c r="R288" s="8" t="n"/>
      <c r="S288" s="8" t="n"/>
      <c r="T288">
        <f>IF(Q288="", "", IF(OR(Q288="Fail", Q288="Partial"), "Yes", "No"))</f>
        <v/>
      </c>
      <c r="U288" s="8" t="n"/>
      <c r="V288" s="8" t="n"/>
      <c r="W288" s="8" t="n"/>
      <c r="X288" s="8" t="inlineStr">
        <is>
          <t>No</t>
        </is>
      </c>
      <c r="Y288" s="8" t="n"/>
      <c r="Z288" s="8" t="n"/>
      <c r="AA288" s="8" t="n"/>
      <c r="AB288" s="8" t="inlineStr">
        <is>
          <t>[Security Analyst]</t>
        </is>
      </c>
      <c r="AC288" s="8" t="n"/>
      <c r="AD288" s="8" t="n"/>
      <c r="AE288" s="16">
        <f>IF(AA288&lt;&gt;"", AA288+90, "")</f>
        <v/>
      </c>
      <c r="AF288" s="8" t="n"/>
    </row>
    <row r="289">
      <c r="A289">
        <f>IF(B289&lt;&gt;"", "HC-"&amp;TEXT(ROW()-1,"00000"), "")</f>
        <v/>
      </c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>
        <f>IF(K289="", "", IF(K289="Implemented", "Pass", IF(K289="Partial", "Partial", IF(K289="Not Applicable", "N/A", "Fail"))))</f>
        <v/>
      </c>
      <c r="R289" s="8" t="n"/>
      <c r="S289" s="8" t="n"/>
      <c r="T289">
        <f>IF(Q289="", "", IF(OR(Q289="Fail", Q289="Partial"), "Yes", "No"))</f>
        <v/>
      </c>
      <c r="U289" s="8" t="n"/>
      <c r="V289" s="8" t="n"/>
      <c r="W289" s="8" t="n"/>
      <c r="X289" s="8" t="inlineStr">
        <is>
          <t>No</t>
        </is>
      </c>
      <c r="Y289" s="8" t="n"/>
      <c r="Z289" s="8" t="n"/>
      <c r="AA289" s="8" t="n"/>
      <c r="AB289" s="8" t="inlineStr">
        <is>
          <t>[Security Analyst]</t>
        </is>
      </c>
      <c r="AC289" s="8" t="n"/>
      <c r="AD289" s="8" t="n"/>
      <c r="AE289" s="16">
        <f>IF(AA289&lt;&gt;"", AA289+90, "")</f>
        <v/>
      </c>
      <c r="AF289" s="8" t="n"/>
    </row>
    <row r="290">
      <c r="A290">
        <f>IF(B290&lt;&gt;"", "HC-"&amp;TEXT(ROW()-1,"00000"), "")</f>
        <v/>
      </c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>
        <f>IF(K290="", "", IF(K290="Implemented", "Pass", IF(K290="Partial", "Partial", IF(K290="Not Applicable", "N/A", "Fail"))))</f>
        <v/>
      </c>
      <c r="R290" s="8" t="n"/>
      <c r="S290" s="8" t="n"/>
      <c r="T290">
        <f>IF(Q290="", "", IF(OR(Q290="Fail", Q290="Partial"), "Yes", "No"))</f>
        <v/>
      </c>
      <c r="U290" s="8" t="n"/>
      <c r="V290" s="8" t="n"/>
      <c r="W290" s="8" t="n"/>
      <c r="X290" s="8" t="inlineStr">
        <is>
          <t>No</t>
        </is>
      </c>
      <c r="Y290" s="8" t="n"/>
      <c r="Z290" s="8" t="n"/>
      <c r="AA290" s="8" t="n"/>
      <c r="AB290" s="8" t="inlineStr">
        <is>
          <t>[Security Analyst]</t>
        </is>
      </c>
      <c r="AC290" s="8" t="n"/>
      <c r="AD290" s="8" t="n"/>
      <c r="AE290" s="16">
        <f>IF(AA290&lt;&gt;"", AA290+90, "")</f>
        <v/>
      </c>
      <c r="AF290" s="8" t="n"/>
    </row>
    <row r="291">
      <c r="A291">
        <f>IF(B291&lt;&gt;"", "HC-"&amp;TEXT(ROW()-1,"00000"), "")</f>
        <v/>
      </c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>
        <f>IF(K291="", "", IF(K291="Implemented", "Pass", IF(K291="Partial", "Partial", IF(K291="Not Applicable", "N/A", "Fail"))))</f>
        <v/>
      </c>
      <c r="R291" s="8" t="n"/>
      <c r="S291" s="8" t="n"/>
      <c r="T291">
        <f>IF(Q291="", "", IF(OR(Q291="Fail", Q291="Partial"), "Yes", "No"))</f>
        <v/>
      </c>
      <c r="U291" s="8" t="n"/>
      <c r="V291" s="8" t="n"/>
      <c r="W291" s="8" t="n"/>
      <c r="X291" s="8" t="inlineStr">
        <is>
          <t>No</t>
        </is>
      </c>
      <c r="Y291" s="8" t="n"/>
      <c r="Z291" s="8" t="n"/>
      <c r="AA291" s="8" t="n"/>
      <c r="AB291" s="8" t="inlineStr">
        <is>
          <t>[Security Analyst]</t>
        </is>
      </c>
      <c r="AC291" s="8" t="n"/>
      <c r="AD291" s="8" t="n"/>
      <c r="AE291" s="16">
        <f>IF(AA291&lt;&gt;"", AA291+90, "")</f>
        <v/>
      </c>
      <c r="AF291" s="8" t="n"/>
    </row>
    <row r="292">
      <c r="A292">
        <f>IF(B292&lt;&gt;"", "HC-"&amp;TEXT(ROW()-1,"00000"), "")</f>
        <v/>
      </c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>
        <f>IF(K292="", "", IF(K292="Implemented", "Pass", IF(K292="Partial", "Partial", IF(K292="Not Applicable", "N/A", "Fail"))))</f>
        <v/>
      </c>
      <c r="R292" s="8" t="n"/>
      <c r="S292" s="8" t="n"/>
      <c r="T292">
        <f>IF(Q292="", "", IF(OR(Q292="Fail", Q292="Partial"), "Yes", "No"))</f>
        <v/>
      </c>
      <c r="U292" s="8" t="n"/>
      <c r="V292" s="8" t="n"/>
      <c r="W292" s="8" t="n"/>
      <c r="X292" s="8" t="inlineStr">
        <is>
          <t>No</t>
        </is>
      </c>
      <c r="Y292" s="8" t="n"/>
      <c r="Z292" s="8" t="n"/>
      <c r="AA292" s="8" t="n"/>
      <c r="AB292" s="8" t="inlineStr">
        <is>
          <t>[Security Analyst]</t>
        </is>
      </c>
      <c r="AC292" s="8" t="n"/>
      <c r="AD292" s="8" t="n"/>
      <c r="AE292" s="16">
        <f>IF(AA292&lt;&gt;"", AA292+90, "")</f>
        <v/>
      </c>
      <c r="AF292" s="8" t="n"/>
    </row>
    <row r="293">
      <c r="A293">
        <f>IF(B293&lt;&gt;"", "HC-"&amp;TEXT(ROW()-1,"00000"), "")</f>
        <v/>
      </c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>
        <f>IF(K293="", "", IF(K293="Implemented", "Pass", IF(K293="Partial", "Partial", IF(K293="Not Applicable", "N/A", "Fail"))))</f>
        <v/>
      </c>
      <c r="R293" s="8" t="n"/>
      <c r="S293" s="8" t="n"/>
      <c r="T293">
        <f>IF(Q293="", "", IF(OR(Q293="Fail", Q293="Partial"), "Yes", "No"))</f>
        <v/>
      </c>
      <c r="U293" s="8" t="n"/>
      <c r="V293" s="8" t="n"/>
      <c r="W293" s="8" t="n"/>
      <c r="X293" s="8" t="inlineStr">
        <is>
          <t>No</t>
        </is>
      </c>
      <c r="Y293" s="8" t="n"/>
      <c r="Z293" s="8" t="n"/>
      <c r="AA293" s="8" t="n"/>
      <c r="AB293" s="8" t="inlineStr">
        <is>
          <t>[Security Analyst]</t>
        </is>
      </c>
      <c r="AC293" s="8" t="n"/>
      <c r="AD293" s="8" t="n"/>
      <c r="AE293" s="16">
        <f>IF(AA293&lt;&gt;"", AA293+90, "")</f>
        <v/>
      </c>
      <c r="AF293" s="8" t="n"/>
    </row>
    <row r="294">
      <c r="A294">
        <f>IF(B294&lt;&gt;"", "HC-"&amp;TEXT(ROW()-1,"00000"), "")</f>
        <v/>
      </c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>
        <f>IF(K294="", "", IF(K294="Implemented", "Pass", IF(K294="Partial", "Partial", IF(K294="Not Applicable", "N/A", "Fail"))))</f>
        <v/>
      </c>
      <c r="R294" s="8" t="n"/>
      <c r="S294" s="8" t="n"/>
      <c r="T294">
        <f>IF(Q294="", "", IF(OR(Q294="Fail", Q294="Partial"), "Yes", "No"))</f>
        <v/>
      </c>
      <c r="U294" s="8" t="n"/>
      <c r="V294" s="8" t="n"/>
      <c r="W294" s="8" t="n"/>
      <c r="X294" s="8" t="inlineStr">
        <is>
          <t>No</t>
        </is>
      </c>
      <c r="Y294" s="8" t="n"/>
      <c r="Z294" s="8" t="n"/>
      <c r="AA294" s="8" t="n"/>
      <c r="AB294" s="8" t="inlineStr">
        <is>
          <t>[Security Analyst]</t>
        </is>
      </c>
      <c r="AC294" s="8" t="n"/>
      <c r="AD294" s="8" t="n"/>
      <c r="AE294" s="16">
        <f>IF(AA294&lt;&gt;"", AA294+90, "")</f>
        <v/>
      </c>
      <c r="AF294" s="8" t="n"/>
    </row>
    <row r="295">
      <c r="A295">
        <f>IF(B295&lt;&gt;"", "HC-"&amp;TEXT(ROW()-1,"00000"), "")</f>
        <v/>
      </c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>
        <f>IF(K295="", "", IF(K295="Implemented", "Pass", IF(K295="Partial", "Partial", IF(K295="Not Applicable", "N/A", "Fail"))))</f>
        <v/>
      </c>
      <c r="R295" s="8" t="n"/>
      <c r="S295" s="8" t="n"/>
      <c r="T295">
        <f>IF(Q295="", "", IF(OR(Q295="Fail", Q295="Partial"), "Yes", "No"))</f>
        <v/>
      </c>
      <c r="U295" s="8" t="n"/>
      <c r="V295" s="8" t="n"/>
      <c r="W295" s="8" t="n"/>
      <c r="X295" s="8" t="inlineStr">
        <is>
          <t>No</t>
        </is>
      </c>
      <c r="Y295" s="8" t="n"/>
      <c r="Z295" s="8" t="n"/>
      <c r="AA295" s="8" t="n"/>
      <c r="AB295" s="8" t="inlineStr">
        <is>
          <t>[Security Analyst]</t>
        </is>
      </c>
      <c r="AC295" s="8" t="n"/>
      <c r="AD295" s="8" t="n"/>
      <c r="AE295" s="16">
        <f>IF(AA295&lt;&gt;"", AA295+90, "")</f>
        <v/>
      </c>
      <c r="AF295" s="8" t="n"/>
    </row>
    <row r="296">
      <c r="A296">
        <f>IF(B296&lt;&gt;"", "HC-"&amp;TEXT(ROW()-1,"00000"), "")</f>
        <v/>
      </c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>
        <f>IF(K296="", "", IF(K296="Implemented", "Pass", IF(K296="Partial", "Partial", IF(K296="Not Applicable", "N/A", "Fail"))))</f>
        <v/>
      </c>
      <c r="R296" s="8" t="n"/>
      <c r="S296" s="8" t="n"/>
      <c r="T296">
        <f>IF(Q296="", "", IF(OR(Q296="Fail", Q296="Partial"), "Yes", "No"))</f>
        <v/>
      </c>
      <c r="U296" s="8" t="n"/>
      <c r="V296" s="8" t="n"/>
      <c r="W296" s="8" t="n"/>
      <c r="X296" s="8" t="inlineStr">
        <is>
          <t>No</t>
        </is>
      </c>
      <c r="Y296" s="8" t="n"/>
      <c r="Z296" s="8" t="n"/>
      <c r="AA296" s="8" t="n"/>
      <c r="AB296" s="8" t="inlineStr">
        <is>
          <t>[Security Analyst]</t>
        </is>
      </c>
      <c r="AC296" s="8" t="n"/>
      <c r="AD296" s="8" t="n"/>
      <c r="AE296" s="16">
        <f>IF(AA296&lt;&gt;"", AA296+90, "")</f>
        <v/>
      </c>
      <c r="AF296" s="8" t="n"/>
    </row>
    <row r="297">
      <c r="A297">
        <f>IF(B297&lt;&gt;"", "HC-"&amp;TEXT(ROW()-1,"00000"), "")</f>
        <v/>
      </c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>
        <f>IF(K297="", "", IF(K297="Implemented", "Pass", IF(K297="Partial", "Partial", IF(K297="Not Applicable", "N/A", "Fail"))))</f>
        <v/>
      </c>
      <c r="R297" s="8" t="n"/>
      <c r="S297" s="8" t="n"/>
      <c r="T297">
        <f>IF(Q297="", "", IF(OR(Q297="Fail", Q297="Partial"), "Yes", "No"))</f>
        <v/>
      </c>
      <c r="U297" s="8" t="n"/>
      <c r="V297" s="8" t="n"/>
      <c r="W297" s="8" t="n"/>
      <c r="X297" s="8" t="inlineStr">
        <is>
          <t>No</t>
        </is>
      </c>
      <c r="Y297" s="8" t="n"/>
      <c r="Z297" s="8" t="n"/>
      <c r="AA297" s="8" t="n"/>
      <c r="AB297" s="8" t="inlineStr">
        <is>
          <t>[Security Analyst]</t>
        </is>
      </c>
      <c r="AC297" s="8" t="n"/>
      <c r="AD297" s="8" t="n"/>
      <c r="AE297" s="16">
        <f>IF(AA297&lt;&gt;"", AA297+90, "")</f>
        <v/>
      </c>
      <c r="AF297" s="8" t="n"/>
    </row>
    <row r="298">
      <c r="A298">
        <f>IF(B298&lt;&gt;"", "HC-"&amp;TEXT(ROW()-1,"00000"), "")</f>
        <v/>
      </c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>
        <f>IF(K298="", "", IF(K298="Implemented", "Pass", IF(K298="Partial", "Partial", IF(K298="Not Applicable", "N/A", "Fail"))))</f>
        <v/>
      </c>
      <c r="R298" s="8" t="n"/>
      <c r="S298" s="8" t="n"/>
      <c r="T298">
        <f>IF(Q298="", "", IF(OR(Q298="Fail", Q298="Partial"), "Yes", "No"))</f>
        <v/>
      </c>
      <c r="U298" s="8" t="n"/>
      <c r="V298" s="8" t="n"/>
      <c r="W298" s="8" t="n"/>
      <c r="X298" s="8" t="inlineStr">
        <is>
          <t>No</t>
        </is>
      </c>
      <c r="Y298" s="8" t="n"/>
      <c r="Z298" s="8" t="n"/>
      <c r="AA298" s="8" t="n"/>
      <c r="AB298" s="8" t="inlineStr">
        <is>
          <t>[Security Analyst]</t>
        </is>
      </c>
      <c r="AC298" s="8" t="n"/>
      <c r="AD298" s="8" t="n"/>
      <c r="AE298" s="16">
        <f>IF(AA298&lt;&gt;"", AA298+90, "")</f>
        <v/>
      </c>
      <c r="AF298" s="8" t="n"/>
    </row>
    <row r="299">
      <c r="A299">
        <f>IF(B299&lt;&gt;"", "HC-"&amp;TEXT(ROW()-1,"00000"), "")</f>
        <v/>
      </c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>
        <f>IF(K299="", "", IF(K299="Implemented", "Pass", IF(K299="Partial", "Partial", IF(K299="Not Applicable", "N/A", "Fail"))))</f>
        <v/>
      </c>
      <c r="R299" s="8" t="n"/>
      <c r="S299" s="8" t="n"/>
      <c r="T299">
        <f>IF(Q299="", "", IF(OR(Q299="Fail", Q299="Partial"), "Yes", "No"))</f>
        <v/>
      </c>
      <c r="U299" s="8" t="n"/>
      <c r="V299" s="8" t="n"/>
      <c r="W299" s="8" t="n"/>
      <c r="X299" s="8" t="inlineStr">
        <is>
          <t>No</t>
        </is>
      </c>
      <c r="Y299" s="8" t="n"/>
      <c r="Z299" s="8" t="n"/>
      <c r="AA299" s="8" t="n"/>
      <c r="AB299" s="8" t="inlineStr">
        <is>
          <t>[Security Analyst]</t>
        </is>
      </c>
      <c r="AC299" s="8" t="n"/>
      <c r="AD299" s="8" t="n"/>
      <c r="AE299" s="16">
        <f>IF(AA299&lt;&gt;"", AA299+90, "")</f>
        <v/>
      </c>
      <c r="AF299" s="8" t="n"/>
    </row>
    <row r="300">
      <c r="A300">
        <f>IF(B300&lt;&gt;"", "HC-"&amp;TEXT(ROW()-1,"00000"), "")</f>
        <v/>
      </c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>
        <f>IF(K300="", "", IF(K300="Implemented", "Pass", IF(K300="Partial", "Partial", IF(K300="Not Applicable", "N/A", "Fail"))))</f>
        <v/>
      </c>
      <c r="R300" s="8" t="n"/>
      <c r="S300" s="8" t="n"/>
      <c r="T300">
        <f>IF(Q300="", "", IF(OR(Q300="Fail", Q300="Partial"), "Yes", "No"))</f>
        <v/>
      </c>
      <c r="U300" s="8" t="n"/>
      <c r="V300" s="8" t="n"/>
      <c r="W300" s="8" t="n"/>
      <c r="X300" s="8" t="inlineStr">
        <is>
          <t>No</t>
        </is>
      </c>
      <c r="Y300" s="8" t="n"/>
      <c r="Z300" s="8" t="n"/>
      <c r="AA300" s="8" t="n"/>
      <c r="AB300" s="8" t="inlineStr">
        <is>
          <t>[Security Analyst]</t>
        </is>
      </c>
      <c r="AC300" s="8" t="n"/>
      <c r="AD300" s="8" t="n"/>
      <c r="AE300" s="16">
        <f>IF(AA300&lt;&gt;"", AA300+90, "")</f>
        <v/>
      </c>
      <c r="AF300" s="8" t="n"/>
    </row>
    <row r="301">
      <c r="A301">
        <f>IF(B301&lt;&gt;"", "HC-"&amp;TEXT(ROW()-1,"00000"), "")</f>
        <v/>
      </c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>
        <f>IF(K301="", "", IF(K301="Implemented", "Pass", IF(K301="Partial", "Partial", IF(K301="Not Applicable", "N/A", "Fail"))))</f>
        <v/>
      </c>
      <c r="R301" s="8" t="n"/>
      <c r="S301" s="8" t="n"/>
      <c r="T301">
        <f>IF(Q301="", "", IF(OR(Q301="Fail", Q301="Partial"), "Yes", "No"))</f>
        <v/>
      </c>
      <c r="U301" s="8" t="n"/>
      <c r="V301" s="8" t="n"/>
      <c r="W301" s="8" t="n"/>
      <c r="X301" s="8" t="inlineStr">
        <is>
          <t>No</t>
        </is>
      </c>
      <c r="Y301" s="8" t="n"/>
      <c r="Z301" s="8" t="n"/>
      <c r="AA301" s="8" t="n"/>
      <c r="AB301" s="8" t="inlineStr">
        <is>
          <t>[Security Analyst]</t>
        </is>
      </c>
      <c r="AC301" s="8" t="n"/>
      <c r="AD301" s="8" t="n"/>
      <c r="AE301" s="16">
        <f>IF(AA301&lt;&gt;"", AA301+90, "")</f>
        <v/>
      </c>
      <c r="AF301" s="8" t="n"/>
    </row>
    <row r="302">
      <c r="A302">
        <f>IF(B302&lt;&gt;"", "HC-"&amp;TEXT(ROW()-1,"00000"), "")</f>
        <v/>
      </c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>
        <f>IF(K302="", "", IF(K302="Implemented", "Pass", IF(K302="Partial", "Partial", IF(K302="Not Applicable", "N/A", "Fail"))))</f>
        <v/>
      </c>
      <c r="R302" s="8" t="n"/>
      <c r="S302" s="8" t="n"/>
      <c r="T302">
        <f>IF(Q302="", "", IF(OR(Q302="Fail", Q302="Partial"), "Yes", "No"))</f>
        <v/>
      </c>
      <c r="U302" s="8" t="n"/>
      <c r="V302" s="8" t="n"/>
      <c r="W302" s="8" t="n"/>
      <c r="X302" s="8" t="inlineStr">
        <is>
          <t>No</t>
        </is>
      </c>
      <c r="Y302" s="8" t="n"/>
      <c r="Z302" s="8" t="n"/>
      <c r="AA302" s="8" t="n"/>
      <c r="AB302" s="8" t="inlineStr">
        <is>
          <t>[Security Analyst]</t>
        </is>
      </c>
      <c r="AC302" s="8" t="n"/>
      <c r="AD302" s="8" t="n"/>
      <c r="AE302" s="16">
        <f>IF(AA302&lt;&gt;"", AA302+90, "")</f>
        <v/>
      </c>
      <c r="AF302" s="8" t="n"/>
    </row>
    <row r="303">
      <c r="A303">
        <f>IF(B303&lt;&gt;"", "HC-"&amp;TEXT(ROW()-1,"00000"), "")</f>
        <v/>
      </c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>
        <f>IF(K303="", "", IF(K303="Implemented", "Pass", IF(K303="Partial", "Partial", IF(K303="Not Applicable", "N/A", "Fail"))))</f>
        <v/>
      </c>
      <c r="R303" s="8" t="n"/>
      <c r="S303" s="8" t="n"/>
      <c r="T303">
        <f>IF(Q303="", "", IF(OR(Q303="Fail", Q303="Partial"), "Yes", "No"))</f>
        <v/>
      </c>
      <c r="U303" s="8" t="n"/>
      <c r="V303" s="8" t="n"/>
      <c r="W303" s="8" t="n"/>
      <c r="X303" s="8" t="inlineStr">
        <is>
          <t>No</t>
        </is>
      </c>
      <c r="Y303" s="8" t="n"/>
      <c r="Z303" s="8" t="n"/>
      <c r="AA303" s="8" t="n"/>
      <c r="AB303" s="8" t="inlineStr">
        <is>
          <t>[Security Analyst]</t>
        </is>
      </c>
      <c r="AC303" s="8" t="n"/>
      <c r="AD303" s="8" t="n"/>
      <c r="AE303" s="16">
        <f>IF(AA303&lt;&gt;"", AA303+90, "")</f>
        <v/>
      </c>
      <c r="AF303" s="8" t="n"/>
    </row>
    <row r="304">
      <c r="A304">
        <f>IF(B304&lt;&gt;"", "HC-"&amp;TEXT(ROW()-1,"00000"), "")</f>
        <v/>
      </c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>
        <f>IF(K304="", "", IF(K304="Implemented", "Pass", IF(K304="Partial", "Partial", IF(K304="Not Applicable", "N/A", "Fail"))))</f>
        <v/>
      </c>
      <c r="R304" s="8" t="n"/>
      <c r="S304" s="8" t="n"/>
      <c r="T304">
        <f>IF(Q304="", "", IF(OR(Q304="Fail", Q304="Partial"), "Yes", "No"))</f>
        <v/>
      </c>
      <c r="U304" s="8" t="n"/>
      <c r="V304" s="8" t="n"/>
      <c r="W304" s="8" t="n"/>
      <c r="X304" s="8" t="inlineStr">
        <is>
          <t>No</t>
        </is>
      </c>
      <c r="Y304" s="8" t="n"/>
      <c r="Z304" s="8" t="n"/>
      <c r="AA304" s="8" t="n"/>
      <c r="AB304" s="8" t="inlineStr">
        <is>
          <t>[Security Analyst]</t>
        </is>
      </c>
      <c r="AC304" s="8" t="n"/>
      <c r="AD304" s="8" t="n"/>
      <c r="AE304" s="16">
        <f>IF(AA304&lt;&gt;"", AA304+90, "")</f>
        <v/>
      </c>
      <c r="AF304" s="8" t="n"/>
    </row>
    <row r="305">
      <c r="A305">
        <f>IF(B305&lt;&gt;"", "HC-"&amp;TEXT(ROW()-1,"00000"), "")</f>
        <v/>
      </c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>
        <f>IF(K305="", "", IF(K305="Implemented", "Pass", IF(K305="Partial", "Partial", IF(K305="Not Applicable", "N/A", "Fail"))))</f>
        <v/>
      </c>
      <c r="R305" s="8" t="n"/>
      <c r="S305" s="8" t="n"/>
      <c r="T305">
        <f>IF(Q305="", "", IF(OR(Q305="Fail", Q305="Partial"), "Yes", "No"))</f>
        <v/>
      </c>
      <c r="U305" s="8" t="n"/>
      <c r="V305" s="8" t="n"/>
      <c r="W305" s="8" t="n"/>
      <c r="X305" s="8" t="inlineStr">
        <is>
          <t>No</t>
        </is>
      </c>
      <c r="Y305" s="8" t="n"/>
      <c r="Z305" s="8" t="n"/>
      <c r="AA305" s="8" t="n"/>
      <c r="AB305" s="8" t="inlineStr">
        <is>
          <t>[Security Analyst]</t>
        </is>
      </c>
      <c r="AC305" s="8" t="n"/>
      <c r="AD305" s="8" t="n"/>
      <c r="AE305" s="16">
        <f>IF(AA305&lt;&gt;"", AA305+90, "")</f>
        <v/>
      </c>
      <c r="AF305" s="8" t="n"/>
    </row>
    <row r="306">
      <c r="A306">
        <f>IF(B306&lt;&gt;"", "HC-"&amp;TEXT(ROW()-1,"00000"), "")</f>
        <v/>
      </c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>
        <f>IF(K306="", "", IF(K306="Implemented", "Pass", IF(K306="Partial", "Partial", IF(K306="Not Applicable", "N/A", "Fail"))))</f>
        <v/>
      </c>
      <c r="R306" s="8" t="n"/>
      <c r="S306" s="8" t="n"/>
      <c r="T306">
        <f>IF(Q306="", "", IF(OR(Q306="Fail", Q306="Partial"), "Yes", "No"))</f>
        <v/>
      </c>
      <c r="U306" s="8" t="n"/>
      <c r="V306" s="8" t="n"/>
      <c r="W306" s="8" t="n"/>
      <c r="X306" s="8" t="inlineStr">
        <is>
          <t>No</t>
        </is>
      </c>
      <c r="Y306" s="8" t="n"/>
      <c r="Z306" s="8" t="n"/>
      <c r="AA306" s="8" t="n"/>
      <c r="AB306" s="8" t="inlineStr">
        <is>
          <t>[Security Analyst]</t>
        </is>
      </c>
      <c r="AC306" s="8" t="n"/>
      <c r="AD306" s="8" t="n"/>
      <c r="AE306" s="16">
        <f>IF(AA306&lt;&gt;"", AA306+90, "")</f>
        <v/>
      </c>
      <c r="AF306" s="8" t="n"/>
    </row>
    <row r="307">
      <c r="A307">
        <f>IF(B307&lt;&gt;"", "HC-"&amp;TEXT(ROW()-1,"00000"), "")</f>
        <v/>
      </c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>
        <f>IF(K307="", "", IF(K307="Implemented", "Pass", IF(K307="Partial", "Partial", IF(K307="Not Applicable", "N/A", "Fail"))))</f>
        <v/>
      </c>
      <c r="R307" s="8" t="n"/>
      <c r="S307" s="8" t="n"/>
      <c r="T307">
        <f>IF(Q307="", "", IF(OR(Q307="Fail", Q307="Partial"), "Yes", "No"))</f>
        <v/>
      </c>
      <c r="U307" s="8" t="n"/>
      <c r="V307" s="8" t="n"/>
      <c r="W307" s="8" t="n"/>
      <c r="X307" s="8" t="inlineStr">
        <is>
          <t>No</t>
        </is>
      </c>
      <c r="Y307" s="8" t="n"/>
      <c r="Z307" s="8" t="n"/>
      <c r="AA307" s="8" t="n"/>
      <c r="AB307" s="8" t="inlineStr">
        <is>
          <t>[Security Analyst]</t>
        </is>
      </c>
      <c r="AC307" s="8" t="n"/>
      <c r="AD307" s="8" t="n"/>
      <c r="AE307" s="16">
        <f>IF(AA307&lt;&gt;"", AA307+90, "")</f>
        <v/>
      </c>
      <c r="AF307" s="8" t="n"/>
    </row>
    <row r="308">
      <c r="A308">
        <f>IF(B308&lt;&gt;"", "HC-"&amp;TEXT(ROW()-1,"00000"), "")</f>
        <v/>
      </c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>
        <f>IF(K308="", "", IF(K308="Implemented", "Pass", IF(K308="Partial", "Partial", IF(K308="Not Applicable", "N/A", "Fail"))))</f>
        <v/>
      </c>
      <c r="R308" s="8" t="n"/>
      <c r="S308" s="8" t="n"/>
      <c r="T308">
        <f>IF(Q308="", "", IF(OR(Q308="Fail", Q308="Partial"), "Yes", "No"))</f>
        <v/>
      </c>
      <c r="U308" s="8" t="n"/>
      <c r="V308" s="8" t="n"/>
      <c r="W308" s="8" t="n"/>
      <c r="X308" s="8" t="inlineStr">
        <is>
          <t>No</t>
        </is>
      </c>
      <c r="Y308" s="8" t="n"/>
      <c r="Z308" s="8" t="n"/>
      <c r="AA308" s="8" t="n"/>
      <c r="AB308" s="8" t="inlineStr">
        <is>
          <t>[Security Analyst]</t>
        </is>
      </c>
      <c r="AC308" s="8" t="n"/>
      <c r="AD308" s="8" t="n"/>
      <c r="AE308" s="16">
        <f>IF(AA308&lt;&gt;"", AA308+90, "")</f>
        <v/>
      </c>
      <c r="AF308" s="8" t="n"/>
    </row>
    <row r="309">
      <c r="A309">
        <f>IF(B309&lt;&gt;"", "HC-"&amp;TEXT(ROW()-1,"00000"), "")</f>
        <v/>
      </c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>
        <f>IF(K309="", "", IF(K309="Implemented", "Pass", IF(K309="Partial", "Partial", IF(K309="Not Applicable", "N/A", "Fail"))))</f>
        <v/>
      </c>
      <c r="R309" s="8" t="n"/>
      <c r="S309" s="8" t="n"/>
      <c r="T309">
        <f>IF(Q309="", "", IF(OR(Q309="Fail", Q309="Partial"), "Yes", "No"))</f>
        <v/>
      </c>
      <c r="U309" s="8" t="n"/>
      <c r="V309" s="8" t="n"/>
      <c r="W309" s="8" t="n"/>
      <c r="X309" s="8" t="inlineStr">
        <is>
          <t>No</t>
        </is>
      </c>
      <c r="Y309" s="8" t="n"/>
      <c r="Z309" s="8" t="n"/>
      <c r="AA309" s="8" t="n"/>
      <c r="AB309" s="8" t="inlineStr">
        <is>
          <t>[Security Analyst]</t>
        </is>
      </c>
      <c r="AC309" s="8" t="n"/>
      <c r="AD309" s="8" t="n"/>
      <c r="AE309" s="16">
        <f>IF(AA309&lt;&gt;"", AA309+90, "")</f>
        <v/>
      </c>
      <c r="AF309" s="8" t="n"/>
    </row>
    <row r="310">
      <c r="A310">
        <f>IF(B310&lt;&gt;"", "HC-"&amp;TEXT(ROW()-1,"00000"), "")</f>
        <v/>
      </c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>
        <f>IF(K310="", "", IF(K310="Implemented", "Pass", IF(K310="Partial", "Partial", IF(K310="Not Applicable", "N/A", "Fail"))))</f>
        <v/>
      </c>
      <c r="R310" s="8" t="n"/>
      <c r="S310" s="8" t="n"/>
      <c r="T310">
        <f>IF(Q310="", "", IF(OR(Q310="Fail", Q310="Partial"), "Yes", "No"))</f>
        <v/>
      </c>
      <c r="U310" s="8" t="n"/>
      <c r="V310" s="8" t="n"/>
      <c r="W310" s="8" t="n"/>
      <c r="X310" s="8" t="inlineStr">
        <is>
          <t>No</t>
        </is>
      </c>
      <c r="Y310" s="8" t="n"/>
      <c r="Z310" s="8" t="n"/>
      <c r="AA310" s="8" t="n"/>
      <c r="AB310" s="8" t="inlineStr">
        <is>
          <t>[Security Analyst]</t>
        </is>
      </c>
      <c r="AC310" s="8" t="n"/>
      <c r="AD310" s="8" t="n"/>
      <c r="AE310" s="16">
        <f>IF(AA310&lt;&gt;"", AA310+90, "")</f>
        <v/>
      </c>
      <c r="AF310" s="8" t="n"/>
    </row>
    <row r="311">
      <c r="A311">
        <f>IF(B311&lt;&gt;"", "HC-"&amp;TEXT(ROW()-1,"00000"), "")</f>
        <v/>
      </c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>
        <f>IF(K311="", "", IF(K311="Implemented", "Pass", IF(K311="Partial", "Partial", IF(K311="Not Applicable", "N/A", "Fail"))))</f>
        <v/>
      </c>
      <c r="R311" s="8" t="n"/>
      <c r="S311" s="8" t="n"/>
      <c r="T311">
        <f>IF(Q311="", "", IF(OR(Q311="Fail", Q311="Partial"), "Yes", "No"))</f>
        <v/>
      </c>
      <c r="U311" s="8" t="n"/>
      <c r="V311" s="8" t="n"/>
      <c r="W311" s="8" t="n"/>
      <c r="X311" s="8" t="inlineStr">
        <is>
          <t>No</t>
        </is>
      </c>
      <c r="Y311" s="8" t="n"/>
      <c r="Z311" s="8" t="n"/>
      <c r="AA311" s="8" t="n"/>
      <c r="AB311" s="8" t="inlineStr">
        <is>
          <t>[Security Analyst]</t>
        </is>
      </c>
      <c r="AC311" s="8" t="n"/>
      <c r="AD311" s="8" t="n"/>
      <c r="AE311" s="16">
        <f>IF(AA311&lt;&gt;"", AA311+90, "")</f>
        <v/>
      </c>
      <c r="AF311" s="8" t="n"/>
    </row>
    <row r="312">
      <c r="A312">
        <f>IF(B312&lt;&gt;"", "HC-"&amp;TEXT(ROW()-1,"00000"), "")</f>
        <v/>
      </c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>
        <f>IF(K312="", "", IF(K312="Implemented", "Pass", IF(K312="Partial", "Partial", IF(K312="Not Applicable", "N/A", "Fail"))))</f>
        <v/>
      </c>
      <c r="R312" s="8" t="n"/>
      <c r="S312" s="8" t="n"/>
      <c r="T312">
        <f>IF(Q312="", "", IF(OR(Q312="Fail", Q312="Partial"), "Yes", "No"))</f>
        <v/>
      </c>
      <c r="U312" s="8" t="n"/>
      <c r="V312" s="8" t="n"/>
      <c r="W312" s="8" t="n"/>
      <c r="X312" s="8" t="inlineStr">
        <is>
          <t>No</t>
        </is>
      </c>
      <c r="Y312" s="8" t="n"/>
      <c r="Z312" s="8" t="n"/>
      <c r="AA312" s="8" t="n"/>
      <c r="AB312" s="8" t="inlineStr">
        <is>
          <t>[Security Analyst]</t>
        </is>
      </c>
      <c r="AC312" s="8" t="n"/>
      <c r="AD312" s="8" t="n"/>
      <c r="AE312" s="16">
        <f>IF(AA312&lt;&gt;"", AA312+90, "")</f>
        <v/>
      </c>
      <c r="AF312" s="8" t="n"/>
    </row>
    <row r="313">
      <c r="A313">
        <f>IF(B313&lt;&gt;"", "HC-"&amp;TEXT(ROW()-1,"00000"), "")</f>
        <v/>
      </c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>
        <f>IF(K313="", "", IF(K313="Implemented", "Pass", IF(K313="Partial", "Partial", IF(K313="Not Applicable", "N/A", "Fail"))))</f>
        <v/>
      </c>
      <c r="R313" s="8" t="n"/>
      <c r="S313" s="8" t="n"/>
      <c r="T313">
        <f>IF(Q313="", "", IF(OR(Q313="Fail", Q313="Partial"), "Yes", "No"))</f>
        <v/>
      </c>
      <c r="U313" s="8" t="n"/>
      <c r="V313" s="8" t="n"/>
      <c r="W313" s="8" t="n"/>
      <c r="X313" s="8" t="inlineStr">
        <is>
          <t>No</t>
        </is>
      </c>
      <c r="Y313" s="8" t="n"/>
      <c r="Z313" s="8" t="n"/>
      <c r="AA313" s="8" t="n"/>
      <c r="AB313" s="8" t="inlineStr">
        <is>
          <t>[Security Analyst]</t>
        </is>
      </c>
      <c r="AC313" s="8" t="n"/>
      <c r="AD313" s="8" t="n"/>
      <c r="AE313" s="16">
        <f>IF(AA313&lt;&gt;"", AA313+90, "")</f>
        <v/>
      </c>
      <c r="AF313" s="8" t="n"/>
    </row>
    <row r="314">
      <c r="A314">
        <f>IF(B314&lt;&gt;"", "HC-"&amp;TEXT(ROW()-1,"00000"), "")</f>
        <v/>
      </c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>
        <f>IF(K314="", "", IF(K314="Implemented", "Pass", IF(K314="Partial", "Partial", IF(K314="Not Applicable", "N/A", "Fail"))))</f>
        <v/>
      </c>
      <c r="R314" s="8" t="n"/>
      <c r="S314" s="8" t="n"/>
      <c r="T314">
        <f>IF(Q314="", "", IF(OR(Q314="Fail", Q314="Partial"), "Yes", "No"))</f>
        <v/>
      </c>
      <c r="U314" s="8" t="n"/>
      <c r="V314" s="8" t="n"/>
      <c r="W314" s="8" t="n"/>
      <c r="X314" s="8" t="inlineStr">
        <is>
          <t>No</t>
        </is>
      </c>
      <c r="Y314" s="8" t="n"/>
      <c r="Z314" s="8" t="n"/>
      <c r="AA314" s="8" t="n"/>
      <c r="AB314" s="8" t="inlineStr">
        <is>
          <t>[Security Analyst]</t>
        </is>
      </c>
      <c r="AC314" s="8" t="n"/>
      <c r="AD314" s="8" t="n"/>
      <c r="AE314" s="16">
        <f>IF(AA314&lt;&gt;"", AA314+90, "")</f>
        <v/>
      </c>
      <c r="AF314" s="8" t="n"/>
    </row>
    <row r="315">
      <c r="A315">
        <f>IF(B315&lt;&gt;"", "HC-"&amp;TEXT(ROW()-1,"00000"), "")</f>
        <v/>
      </c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>
        <f>IF(K315="", "", IF(K315="Implemented", "Pass", IF(K315="Partial", "Partial", IF(K315="Not Applicable", "N/A", "Fail"))))</f>
        <v/>
      </c>
      <c r="R315" s="8" t="n"/>
      <c r="S315" s="8" t="n"/>
      <c r="T315">
        <f>IF(Q315="", "", IF(OR(Q315="Fail", Q315="Partial"), "Yes", "No"))</f>
        <v/>
      </c>
      <c r="U315" s="8" t="n"/>
      <c r="V315" s="8" t="n"/>
      <c r="W315" s="8" t="n"/>
      <c r="X315" s="8" t="inlineStr">
        <is>
          <t>No</t>
        </is>
      </c>
      <c r="Y315" s="8" t="n"/>
      <c r="Z315" s="8" t="n"/>
      <c r="AA315" s="8" t="n"/>
      <c r="AB315" s="8" t="inlineStr">
        <is>
          <t>[Security Analyst]</t>
        </is>
      </c>
      <c r="AC315" s="8" t="n"/>
      <c r="AD315" s="8" t="n"/>
      <c r="AE315" s="16">
        <f>IF(AA315&lt;&gt;"", AA315+90, "")</f>
        <v/>
      </c>
      <c r="AF315" s="8" t="n"/>
    </row>
    <row r="316">
      <c r="A316">
        <f>IF(B316&lt;&gt;"", "HC-"&amp;TEXT(ROW()-1,"00000"), "")</f>
        <v/>
      </c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>
        <f>IF(K316="", "", IF(K316="Implemented", "Pass", IF(K316="Partial", "Partial", IF(K316="Not Applicable", "N/A", "Fail"))))</f>
        <v/>
      </c>
      <c r="R316" s="8" t="n"/>
      <c r="S316" s="8" t="n"/>
      <c r="T316">
        <f>IF(Q316="", "", IF(OR(Q316="Fail", Q316="Partial"), "Yes", "No"))</f>
        <v/>
      </c>
      <c r="U316" s="8" t="n"/>
      <c r="V316" s="8" t="n"/>
      <c r="W316" s="8" t="n"/>
      <c r="X316" s="8" t="inlineStr">
        <is>
          <t>No</t>
        </is>
      </c>
      <c r="Y316" s="8" t="n"/>
      <c r="Z316" s="8" t="n"/>
      <c r="AA316" s="8" t="n"/>
      <c r="AB316" s="8" t="inlineStr">
        <is>
          <t>[Security Analyst]</t>
        </is>
      </c>
      <c r="AC316" s="8" t="n"/>
      <c r="AD316" s="8" t="n"/>
      <c r="AE316" s="16">
        <f>IF(AA316&lt;&gt;"", AA316+90, "")</f>
        <v/>
      </c>
      <c r="AF316" s="8" t="n"/>
    </row>
    <row r="317">
      <c r="A317">
        <f>IF(B317&lt;&gt;"", "HC-"&amp;TEXT(ROW()-1,"00000"), "")</f>
        <v/>
      </c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>
        <f>IF(K317="", "", IF(K317="Implemented", "Pass", IF(K317="Partial", "Partial", IF(K317="Not Applicable", "N/A", "Fail"))))</f>
        <v/>
      </c>
      <c r="R317" s="8" t="n"/>
      <c r="S317" s="8" t="n"/>
      <c r="T317">
        <f>IF(Q317="", "", IF(OR(Q317="Fail", Q317="Partial"), "Yes", "No"))</f>
        <v/>
      </c>
      <c r="U317" s="8" t="n"/>
      <c r="V317" s="8" t="n"/>
      <c r="W317" s="8" t="n"/>
      <c r="X317" s="8" t="inlineStr">
        <is>
          <t>No</t>
        </is>
      </c>
      <c r="Y317" s="8" t="n"/>
      <c r="Z317" s="8" t="n"/>
      <c r="AA317" s="8" t="n"/>
      <c r="AB317" s="8" t="inlineStr">
        <is>
          <t>[Security Analyst]</t>
        </is>
      </c>
      <c r="AC317" s="8" t="n"/>
      <c r="AD317" s="8" t="n"/>
      <c r="AE317" s="16">
        <f>IF(AA317&lt;&gt;"", AA317+90, "")</f>
        <v/>
      </c>
      <c r="AF317" s="8" t="n"/>
    </row>
    <row r="318">
      <c r="A318">
        <f>IF(B318&lt;&gt;"", "HC-"&amp;TEXT(ROW()-1,"00000"), "")</f>
        <v/>
      </c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>
        <f>IF(K318="", "", IF(K318="Implemented", "Pass", IF(K318="Partial", "Partial", IF(K318="Not Applicable", "N/A", "Fail"))))</f>
        <v/>
      </c>
      <c r="R318" s="8" t="n"/>
      <c r="S318" s="8" t="n"/>
      <c r="T318">
        <f>IF(Q318="", "", IF(OR(Q318="Fail", Q318="Partial"), "Yes", "No"))</f>
        <v/>
      </c>
      <c r="U318" s="8" t="n"/>
      <c r="V318" s="8" t="n"/>
      <c r="W318" s="8" t="n"/>
      <c r="X318" s="8" t="inlineStr">
        <is>
          <t>No</t>
        </is>
      </c>
      <c r="Y318" s="8" t="n"/>
      <c r="Z318" s="8" t="n"/>
      <c r="AA318" s="8" t="n"/>
      <c r="AB318" s="8" t="inlineStr">
        <is>
          <t>[Security Analyst]</t>
        </is>
      </c>
      <c r="AC318" s="8" t="n"/>
      <c r="AD318" s="8" t="n"/>
      <c r="AE318" s="16">
        <f>IF(AA318&lt;&gt;"", AA318+90, "")</f>
        <v/>
      </c>
      <c r="AF318" s="8" t="n"/>
    </row>
    <row r="319">
      <c r="A319">
        <f>IF(B319&lt;&gt;"", "HC-"&amp;TEXT(ROW()-1,"00000"), "")</f>
        <v/>
      </c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>
        <f>IF(K319="", "", IF(K319="Implemented", "Pass", IF(K319="Partial", "Partial", IF(K319="Not Applicable", "N/A", "Fail"))))</f>
        <v/>
      </c>
      <c r="R319" s="8" t="n"/>
      <c r="S319" s="8" t="n"/>
      <c r="T319">
        <f>IF(Q319="", "", IF(OR(Q319="Fail", Q319="Partial"), "Yes", "No"))</f>
        <v/>
      </c>
      <c r="U319" s="8" t="n"/>
      <c r="V319" s="8" t="n"/>
      <c r="W319" s="8" t="n"/>
      <c r="X319" s="8" t="inlineStr">
        <is>
          <t>No</t>
        </is>
      </c>
      <c r="Y319" s="8" t="n"/>
      <c r="Z319" s="8" t="n"/>
      <c r="AA319" s="8" t="n"/>
      <c r="AB319" s="8" t="inlineStr">
        <is>
          <t>[Security Analyst]</t>
        </is>
      </c>
      <c r="AC319" s="8" t="n"/>
      <c r="AD319" s="8" t="n"/>
      <c r="AE319" s="16">
        <f>IF(AA319&lt;&gt;"", AA319+90, "")</f>
        <v/>
      </c>
      <c r="AF319" s="8" t="n"/>
    </row>
    <row r="320">
      <c r="A320">
        <f>IF(B320&lt;&gt;"", "HC-"&amp;TEXT(ROW()-1,"00000"), "")</f>
        <v/>
      </c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>
        <f>IF(K320="", "", IF(K320="Implemented", "Pass", IF(K320="Partial", "Partial", IF(K320="Not Applicable", "N/A", "Fail"))))</f>
        <v/>
      </c>
      <c r="R320" s="8" t="n"/>
      <c r="S320" s="8" t="n"/>
      <c r="T320">
        <f>IF(Q320="", "", IF(OR(Q320="Fail", Q320="Partial"), "Yes", "No"))</f>
        <v/>
      </c>
      <c r="U320" s="8" t="n"/>
      <c r="V320" s="8" t="n"/>
      <c r="W320" s="8" t="n"/>
      <c r="X320" s="8" t="inlineStr">
        <is>
          <t>No</t>
        </is>
      </c>
      <c r="Y320" s="8" t="n"/>
      <c r="Z320" s="8" t="n"/>
      <c r="AA320" s="8" t="n"/>
      <c r="AB320" s="8" t="inlineStr">
        <is>
          <t>[Security Analyst]</t>
        </is>
      </c>
      <c r="AC320" s="8" t="n"/>
      <c r="AD320" s="8" t="n"/>
      <c r="AE320" s="16">
        <f>IF(AA320&lt;&gt;"", AA320+90, "")</f>
        <v/>
      </c>
      <c r="AF320" s="8" t="n"/>
    </row>
    <row r="321">
      <c r="A321">
        <f>IF(B321&lt;&gt;"", "HC-"&amp;TEXT(ROW()-1,"00000"), "")</f>
        <v/>
      </c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>
        <f>IF(K321="", "", IF(K321="Implemented", "Pass", IF(K321="Partial", "Partial", IF(K321="Not Applicable", "N/A", "Fail"))))</f>
        <v/>
      </c>
      <c r="R321" s="8" t="n"/>
      <c r="S321" s="8" t="n"/>
      <c r="T321">
        <f>IF(Q321="", "", IF(OR(Q321="Fail", Q321="Partial"), "Yes", "No"))</f>
        <v/>
      </c>
      <c r="U321" s="8" t="n"/>
      <c r="V321" s="8" t="n"/>
      <c r="W321" s="8" t="n"/>
      <c r="X321" s="8" t="inlineStr">
        <is>
          <t>No</t>
        </is>
      </c>
      <c r="Y321" s="8" t="n"/>
      <c r="Z321" s="8" t="n"/>
      <c r="AA321" s="8" t="n"/>
      <c r="AB321" s="8" t="inlineStr">
        <is>
          <t>[Security Analyst]</t>
        </is>
      </c>
      <c r="AC321" s="8" t="n"/>
      <c r="AD321" s="8" t="n"/>
      <c r="AE321" s="16">
        <f>IF(AA321&lt;&gt;"", AA321+90, "")</f>
        <v/>
      </c>
      <c r="AF321" s="8" t="n"/>
    </row>
    <row r="322">
      <c r="A322">
        <f>IF(B322&lt;&gt;"", "HC-"&amp;TEXT(ROW()-1,"00000"), "")</f>
        <v/>
      </c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>
        <f>IF(K322="", "", IF(K322="Implemented", "Pass", IF(K322="Partial", "Partial", IF(K322="Not Applicable", "N/A", "Fail"))))</f>
        <v/>
      </c>
      <c r="R322" s="8" t="n"/>
      <c r="S322" s="8" t="n"/>
      <c r="T322">
        <f>IF(Q322="", "", IF(OR(Q322="Fail", Q322="Partial"), "Yes", "No"))</f>
        <v/>
      </c>
      <c r="U322" s="8" t="n"/>
      <c r="V322" s="8" t="n"/>
      <c r="W322" s="8" t="n"/>
      <c r="X322" s="8" t="inlineStr">
        <is>
          <t>No</t>
        </is>
      </c>
      <c r="Y322" s="8" t="n"/>
      <c r="Z322" s="8" t="n"/>
      <c r="AA322" s="8" t="n"/>
      <c r="AB322" s="8" t="inlineStr">
        <is>
          <t>[Security Analyst]</t>
        </is>
      </c>
      <c r="AC322" s="8" t="n"/>
      <c r="AD322" s="8" t="n"/>
      <c r="AE322" s="16">
        <f>IF(AA322&lt;&gt;"", AA322+90, "")</f>
        <v/>
      </c>
      <c r="AF322" s="8" t="n"/>
    </row>
    <row r="323">
      <c r="A323">
        <f>IF(B323&lt;&gt;"", "HC-"&amp;TEXT(ROW()-1,"00000"), "")</f>
        <v/>
      </c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>
        <f>IF(K323="", "", IF(K323="Implemented", "Pass", IF(K323="Partial", "Partial", IF(K323="Not Applicable", "N/A", "Fail"))))</f>
        <v/>
      </c>
      <c r="R323" s="8" t="n"/>
      <c r="S323" s="8" t="n"/>
      <c r="T323">
        <f>IF(Q323="", "", IF(OR(Q323="Fail", Q323="Partial"), "Yes", "No"))</f>
        <v/>
      </c>
      <c r="U323" s="8" t="n"/>
      <c r="V323" s="8" t="n"/>
      <c r="W323" s="8" t="n"/>
      <c r="X323" s="8" t="inlineStr">
        <is>
          <t>No</t>
        </is>
      </c>
      <c r="Y323" s="8" t="n"/>
      <c r="Z323" s="8" t="n"/>
      <c r="AA323" s="8" t="n"/>
      <c r="AB323" s="8" t="inlineStr">
        <is>
          <t>[Security Analyst]</t>
        </is>
      </c>
      <c r="AC323" s="8" t="n"/>
      <c r="AD323" s="8" t="n"/>
      <c r="AE323" s="16">
        <f>IF(AA323&lt;&gt;"", AA323+90, "")</f>
        <v/>
      </c>
      <c r="AF323" s="8" t="n"/>
    </row>
    <row r="324">
      <c r="A324">
        <f>IF(B324&lt;&gt;"", "HC-"&amp;TEXT(ROW()-1,"00000"), "")</f>
        <v/>
      </c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>
        <f>IF(K324="", "", IF(K324="Implemented", "Pass", IF(K324="Partial", "Partial", IF(K324="Not Applicable", "N/A", "Fail"))))</f>
        <v/>
      </c>
      <c r="R324" s="8" t="n"/>
      <c r="S324" s="8" t="n"/>
      <c r="T324">
        <f>IF(Q324="", "", IF(OR(Q324="Fail", Q324="Partial"), "Yes", "No"))</f>
        <v/>
      </c>
      <c r="U324" s="8" t="n"/>
      <c r="V324" s="8" t="n"/>
      <c r="W324" s="8" t="n"/>
      <c r="X324" s="8" t="inlineStr">
        <is>
          <t>No</t>
        </is>
      </c>
      <c r="Y324" s="8" t="n"/>
      <c r="Z324" s="8" t="n"/>
      <c r="AA324" s="8" t="n"/>
      <c r="AB324" s="8" t="inlineStr">
        <is>
          <t>[Security Analyst]</t>
        </is>
      </c>
      <c r="AC324" s="8" t="n"/>
      <c r="AD324" s="8" t="n"/>
      <c r="AE324" s="16">
        <f>IF(AA324&lt;&gt;"", AA324+90, "")</f>
        <v/>
      </c>
      <c r="AF324" s="8" t="n"/>
    </row>
    <row r="325">
      <c r="A325">
        <f>IF(B325&lt;&gt;"", "HC-"&amp;TEXT(ROW()-1,"00000"), "")</f>
        <v/>
      </c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>
        <f>IF(K325="", "", IF(K325="Implemented", "Pass", IF(K325="Partial", "Partial", IF(K325="Not Applicable", "N/A", "Fail"))))</f>
        <v/>
      </c>
      <c r="R325" s="8" t="n"/>
      <c r="S325" s="8" t="n"/>
      <c r="T325">
        <f>IF(Q325="", "", IF(OR(Q325="Fail", Q325="Partial"), "Yes", "No"))</f>
        <v/>
      </c>
      <c r="U325" s="8" t="n"/>
      <c r="V325" s="8" t="n"/>
      <c r="W325" s="8" t="n"/>
      <c r="X325" s="8" t="inlineStr">
        <is>
          <t>No</t>
        </is>
      </c>
      <c r="Y325" s="8" t="n"/>
      <c r="Z325" s="8" t="n"/>
      <c r="AA325" s="8" t="n"/>
      <c r="AB325" s="8" t="inlineStr">
        <is>
          <t>[Security Analyst]</t>
        </is>
      </c>
      <c r="AC325" s="8" t="n"/>
      <c r="AD325" s="8" t="n"/>
      <c r="AE325" s="16">
        <f>IF(AA325&lt;&gt;"", AA325+90, "")</f>
        <v/>
      </c>
      <c r="AF325" s="8" t="n"/>
    </row>
    <row r="326">
      <c r="A326">
        <f>IF(B326&lt;&gt;"", "HC-"&amp;TEXT(ROW()-1,"00000"), "")</f>
        <v/>
      </c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>
        <f>IF(K326="", "", IF(K326="Implemented", "Pass", IF(K326="Partial", "Partial", IF(K326="Not Applicable", "N/A", "Fail"))))</f>
        <v/>
      </c>
      <c r="R326" s="8" t="n"/>
      <c r="S326" s="8" t="n"/>
      <c r="T326">
        <f>IF(Q326="", "", IF(OR(Q326="Fail", Q326="Partial"), "Yes", "No"))</f>
        <v/>
      </c>
      <c r="U326" s="8" t="n"/>
      <c r="V326" s="8" t="n"/>
      <c r="W326" s="8" t="n"/>
      <c r="X326" s="8" t="inlineStr">
        <is>
          <t>No</t>
        </is>
      </c>
      <c r="Y326" s="8" t="n"/>
      <c r="Z326" s="8" t="n"/>
      <c r="AA326" s="8" t="n"/>
      <c r="AB326" s="8" t="inlineStr">
        <is>
          <t>[Security Analyst]</t>
        </is>
      </c>
      <c r="AC326" s="8" t="n"/>
      <c r="AD326" s="8" t="n"/>
      <c r="AE326" s="16">
        <f>IF(AA326&lt;&gt;"", AA326+90, "")</f>
        <v/>
      </c>
      <c r="AF326" s="8" t="n"/>
    </row>
    <row r="327">
      <c r="A327">
        <f>IF(B327&lt;&gt;"", "HC-"&amp;TEXT(ROW()-1,"00000"), "")</f>
        <v/>
      </c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>
        <f>IF(K327="", "", IF(K327="Implemented", "Pass", IF(K327="Partial", "Partial", IF(K327="Not Applicable", "N/A", "Fail"))))</f>
        <v/>
      </c>
      <c r="R327" s="8" t="n"/>
      <c r="S327" s="8" t="n"/>
      <c r="T327">
        <f>IF(Q327="", "", IF(OR(Q327="Fail", Q327="Partial"), "Yes", "No"))</f>
        <v/>
      </c>
      <c r="U327" s="8" t="n"/>
      <c r="V327" s="8" t="n"/>
      <c r="W327" s="8" t="n"/>
      <c r="X327" s="8" t="inlineStr">
        <is>
          <t>No</t>
        </is>
      </c>
      <c r="Y327" s="8" t="n"/>
      <c r="Z327" s="8" t="n"/>
      <c r="AA327" s="8" t="n"/>
      <c r="AB327" s="8" t="inlineStr">
        <is>
          <t>[Security Analyst]</t>
        </is>
      </c>
      <c r="AC327" s="8" t="n"/>
      <c r="AD327" s="8" t="n"/>
      <c r="AE327" s="16">
        <f>IF(AA327&lt;&gt;"", AA327+90, "")</f>
        <v/>
      </c>
      <c r="AF327" s="8" t="n"/>
    </row>
    <row r="328">
      <c r="A328">
        <f>IF(B328&lt;&gt;"", "HC-"&amp;TEXT(ROW()-1,"00000"), "")</f>
        <v/>
      </c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>
        <f>IF(K328="", "", IF(K328="Implemented", "Pass", IF(K328="Partial", "Partial", IF(K328="Not Applicable", "N/A", "Fail"))))</f>
        <v/>
      </c>
      <c r="R328" s="8" t="n"/>
      <c r="S328" s="8" t="n"/>
      <c r="T328">
        <f>IF(Q328="", "", IF(OR(Q328="Fail", Q328="Partial"), "Yes", "No"))</f>
        <v/>
      </c>
      <c r="U328" s="8" t="n"/>
      <c r="V328" s="8" t="n"/>
      <c r="W328" s="8" t="n"/>
      <c r="X328" s="8" t="inlineStr">
        <is>
          <t>No</t>
        </is>
      </c>
      <c r="Y328" s="8" t="n"/>
      <c r="Z328" s="8" t="n"/>
      <c r="AA328" s="8" t="n"/>
      <c r="AB328" s="8" t="inlineStr">
        <is>
          <t>[Security Analyst]</t>
        </is>
      </c>
      <c r="AC328" s="8" t="n"/>
      <c r="AD328" s="8" t="n"/>
      <c r="AE328" s="16">
        <f>IF(AA328&lt;&gt;"", AA328+90, "")</f>
        <v/>
      </c>
      <c r="AF328" s="8" t="n"/>
    </row>
    <row r="329">
      <c r="A329">
        <f>IF(B329&lt;&gt;"", "HC-"&amp;TEXT(ROW()-1,"00000"), "")</f>
        <v/>
      </c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>
        <f>IF(K329="", "", IF(K329="Implemented", "Pass", IF(K329="Partial", "Partial", IF(K329="Not Applicable", "N/A", "Fail"))))</f>
        <v/>
      </c>
      <c r="R329" s="8" t="n"/>
      <c r="S329" s="8" t="n"/>
      <c r="T329">
        <f>IF(Q329="", "", IF(OR(Q329="Fail", Q329="Partial"), "Yes", "No"))</f>
        <v/>
      </c>
      <c r="U329" s="8" t="n"/>
      <c r="V329" s="8" t="n"/>
      <c r="W329" s="8" t="n"/>
      <c r="X329" s="8" t="inlineStr">
        <is>
          <t>No</t>
        </is>
      </c>
      <c r="Y329" s="8" t="n"/>
      <c r="Z329" s="8" t="n"/>
      <c r="AA329" s="8" t="n"/>
      <c r="AB329" s="8" t="inlineStr">
        <is>
          <t>[Security Analyst]</t>
        </is>
      </c>
      <c r="AC329" s="8" t="n"/>
      <c r="AD329" s="8" t="n"/>
      <c r="AE329" s="16">
        <f>IF(AA329&lt;&gt;"", AA329+90, "")</f>
        <v/>
      </c>
      <c r="AF329" s="8" t="n"/>
    </row>
    <row r="330">
      <c r="A330">
        <f>IF(B330&lt;&gt;"", "HC-"&amp;TEXT(ROW()-1,"00000"), "")</f>
        <v/>
      </c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>
        <f>IF(K330="", "", IF(K330="Implemented", "Pass", IF(K330="Partial", "Partial", IF(K330="Not Applicable", "N/A", "Fail"))))</f>
        <v/>
      </c>
      <c r="R330" s="8" t="n"/>
      <c r="S330" s="8" t="n"/>
      <c r="T330">
        <f>IF(Q330="", "", IF(OR(Q330="Fail", Q330="Partial"), "Yes", "No"))</f>
        <v/>
      </c>
      <c r="U330" s="8" t="n"/>
      <c r="V330" s="8" t="n"/>
      <c r="W330" s="8" t="n"/>
      <c r="X330" s="8" t="inlineStr">
        <is>
          <t>No</t>
        </is>
      </c>
      <c r="Y330" s="8" t="n"/>
      <c r="Z330" s="8" t="n"/>
      <c r="AA330" s="8" t="n"/>
      <c r="AB330" s="8" t="inlineStr">
        <is>
          <t>[Security Analyst]</t>
        </is>
      </c>
      <c r="AC330" s="8" t="n"/>
      <c r="AD330" s="8" t="n"/>
      <c r="AE330" s="16">
        <f>IF(AA330&lt;&gt;"", AA330+90, "")</f>
        <v/>
      </c>
      <c r="AF330" s="8" t="n"/>
    </row>
    <row r="331">
      <c r="A331">
        <f>IF(B331&lt;&gt;"", "HC-"&amp;TEXT(ROW()-1,"00000"), "")</f>
        <v/>
      </c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>
        <f>IF(K331="", "", IF(K331="Implemented", "Pass", IF(K331="Partial", "Partial", IF(K331="Not Applicable", "N/A", "Fail"))))</f>
        <v/>
      </c>
      <c r="R331" s="8" t="n"/>
      <c r="S331" s="8" t="n"/>
      <c r="T331">
        <f>IF(Q331="", "", IF(OR(Q331="Fail", Q331="Partial"), "Yes", "No"))</f>
        <v/>
      </c>
      <c r="U331" s="8" t="n"/>
      <c r="V331" s="8" t="n"/>
      <c r="W331" s="8" t="n"/>
      <c r="X331" s="8" t="inlineStr">
        <is>
          <t>No</t>
        </is>
      </c>
      <c r="Y331" s="8" t="n"/>
      <c r="Z331" s="8" t="n"/>
      <c r="AA331" s="8" t="n"/>
      <c r="AB331" s="8" t="inlineStr">
        <is>
          <t>[Security Analyst]</t>
        </is>
      </c>
      <c r="AC331" s="8" t="n"/>
      <c r="AD331" s="8" t="n"/>
      <c r="AE331" s="16">
        <f>IF(AA331&lt;&gt;"", AA331+90, "")</f>
        <v/>
      </c>
      <c r="AF331" s="8" t="n"/>
    </row>
    <row r="332">
      <c r="A332">
        <f>IF(B332&lt;&gt;"", "HC-"&amp;TEXT(ROW()-1,"00000"), "")</f>
        <v/>
      </c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>
        <f>IF(K332="", "", IF(K332="Implemented", "Pass", IF(K332="Partial", "Partial", IF(K332="Not Applicable", "N/A", "Fail"))))</f>
        <v/>
      </c>
      <c r="R332" s="8" t="n"/>
      <c r="S332" s="8" t="n"/>
      <c r="T332">
        <f>IF(Q332="", "", IF(OR(Q332="Fail", Q332="Partial"), "Yes", "No"))</f>
        <v/>
      </c>
      <c r="U332" s="8" t="n"/>
      <c r="V332" s="8" t="n"/>
      <c r="W332" s="8" t="n"/>
      <c r="X332" s="8" t="inlineStr">
        <is>
          <t>No</t>
        </is>
      </c>
      <c r="Y332" s="8" t="n"/>
      <c r="Z332" s="8" t="n"/>
      <c r="AA332" s="8" t="n"/>
      <c r="AB332" s="8" t="inlineStr">
        <is>
          <t>[Security Analyst]</t>
        </is>
      </c>
      <c r="AC332" s="8" t="n"/>
      <c r="AD332" s="8" t="n"/>
      <c r="AE332" s="16">
        <f>IF(AA332&lt;&gt;"", AA332+90, "")</f>
        <v/>
      </c>
      <c r="AF332" s="8" t="n"/>
    </row>
    <row r="333">
      <c r="A333">
        <f>IF(B333&lt;&gt;"", "HC-"&amp;TEXT(ROW()-1,"00000"), "")</f>
        <v/>
      </c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>
        <f>IF(K333="", "", IF(K333="Implemented", "Pass", IF(K333="Partial", "Partial", IF(K333="Not Applicable", "N/A", "Fail"))))</f>
        <v/>
      </c>
      <c r="R333" s="8" t="n"/>
      <c r="S333" s="8" t="n"/>
      <c r="T333">
        <f>IF(Q333="", "", IF(OR(Q333="Fail", Q333="Partial"), "Yes", "No"))</f>
        <v/>
      </c>
      <c r="U333" s="8" t="n"/>
      <c r="V333" s="8" t="n"/>
      <c r="W333" s="8" t="n"/>
      <c r="X333" s="8" t="inlineStr">
        <is>
          <t>No</t>
        </is>
      </c>
      <c r="Y333" s="8" t="n"/>
      <c r="Z333" s="8" t="n"/>
      <c r="AA333" s="8" t="n"/>
      <c r="AB333" s="8" t="inlineStr">
        <is>
          <t>[Security Analyst]</t>
        </is>
      </c>
      <c r="AC333" s="8" t="n"/>
      <c r="AD333" s="8" t="n"/>
      <c r="AE333" s="16">
        <f>IF(AA333&lt;&gt;"", AA333+90, "")</f>
        <v/>
      </c>
      <c r="AF333" s="8" t="n"/>
    </row>
    <row r="334">
      <c r="A334">
        <f>IF(B334&lt;&gt;"", "HC-"&amp;TEXT(ROW()-1,"00000"), "")</f>
        <v/>
      </c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>
        <f>IF(K334="", "", IF(K334="Implemented", "Pass", IF(K334="Partial", "Partial", IF(K334="Not Applicable", "N/A", "Fail"))))</f>
        <v/>
      </c>
      <c r="R334" s="8" t="n"/>
      <c r="S334" s="8" t="n"/>
      <c r="T334">
        <f>IF(Q334="", "", IF(OR(Q334="Fail", Q334="Partial"), "Yes", "No"))</f>
        <v/>
      </c>
      <c r="U334" s="8" t="n"/>
      <c r="V334" s="8" t="n"/>
      <c r="W334" s="8" t="n"/>
      <c r="X334" s="8" t="inlineStr">
        <is>
          <t>No</t>
        </is>
      </c>
      <c r="Y334" s="8" t="n"/>
      <c r="Z334" s="8" t="n"/>
      <c r="AA334" s="8" t="n"/>
      <c r="AB334" s="8" t="inlineStr">
        <is>
          <t>[Security Analyst]</t>
        </is>
      </c>
      <c r="AC334" s="8" t="n"/>
      <c r="AD334" s="8" t="n"/>
      <c r="AE334" s="16">
        <f>IF(AA334&lt;&gt;"", AA334+90, "")</f>
        <v/>
      </c>
      <c r="AF334" s="8" t="n"/>
    </row>
    <row r="335">
      <c r="A335">
        <f>IF(B335&lt;&gt;"", "HC-"&amp;TEXT(ROW()-1,"00000"), "")</f>
        <v/>
      </c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>
        <f>IF(K335="", "", IF(K335="Implemented", "Pass", IF(K335="Partial", "Partial", IF(K335="Not Applicable", "N/A", "Fail"))))</f>
        <v/>
      </c>
      <c r="R335" s="8" t="n"/>
      <c r="S335" s="8" t="n"/>
      <c r="T335">
        <f>IF(Q335="", "", IF(OR(Q335="Fail", Q335="Partial"), "Yes", "No"))</f>
        <v/>
      </c>
      <c r="U335" s="8" t="n"/>
      <c r="V335" s="8" t="n"/>
      <c r="W335" s="8" t="n"/>
      <c r="X335" s="8" t="inlineStr">
        <is>
          <t>No</t>
        </is>
      </c>
      <c r="Y335" s="8" t="n"/>
      <c r="Z335" s="8" t="n"/>
      <c r="AA335" s="8" t="n"/>
      <c r="AB335" s="8" t="inlineStr">
        <is>
          <t>[Security Analyst]</t>
        </is>
      </c>
      <c r="AC335" s="8" t="n"/>
      <c r="AD335" s="8" t="n"/>
      <c r="AE335" s="16">
        <f>IF(AA335&lt;&gt;"", AA335+90, "")</f>
        <v/>
      </c>
      <c r="AF335" s="8" t="n"/>
    </row>
    <row r="336">
      <c r="A336">
        <f>IF(B336&lt;&gt;"", "HC-"&amp;TEXT(ROW()-1,"00000"), "")</f>
        <v/>
      </c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>
        <f>IF(K336="", "", IF(K336="Implemented", "Pass", IF(K336="Partial", "Partial", IF(K336="Not Applicable", "N/A", "Fail"))))</f>
        <v/>
      </c>
      <c r="R336" s="8" t="n"/>
      <c r="S336" s="8" t="n"/>
      <c r="T336">
        <f>IF(Q336="", "", IF(OR(Q336="Fail", Q336="Partial"), "Yes", "No"))</f>
        <v/>
      </c>
      <c r="U336" s="8" t="n"/>
      <c r="V336" s="8" t="n"/>
      <c r="W336" s="8" t="n"/>
      <c r="X336" s="8" t="inlineStr">
        <is>
          <t>No</t>
        </is>
      </c>
      <c r="Y336" s="8" t="n"/>
      <c r="Z336" s="8" t="n"/>
      <c r="AA336" s="8" t="n"/>
      <c r="AB336" s="8" t="inlineStr">
        <is>
          <t>[Security Analyst]</t>
        </is>
      </c>
      <c r="AC336" s="8" t="n"/>
      <c r="AD336" s="8" t="n"/>
      <c r="AE336" s="16">
        <f>IF(AA336&lt;&gt;"", AA336+90, "")</f>
        <v/>
      </c>
      <c r="AF336" s="8" t="n"/>
    </row>
    <row r="337">
      <c r="A337">
        <f>IF(B337&lt;&gt;"", "HC-"&amp;TEXT(ROW()-1,"00000"), "")</f>
        <v/>
      </c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>
        <f>IF(K337="", "", IF(K337="Implemented", "Pass", IF(K337="Partial", "Partial", IF(K337="Not Applicable", "N/A", "Fail"))))</f>
        <v/>
      </c>
      <c r="R337" s="8" t="n"/>
      <c r="S337" s="8" t="n"/>
      <c r="T337">
        <f>IF(Q337="", "", IF(OR(Q337="Fail", Q337="Partial"), "Yes", "No"))</f>
        <v/>
      </c>
      <c r="U337" s="8" t="n"/>
      <c r="V337" s="8" t="n"/>
      <c r="W337" s="8" t="n"/>
      <c r="X337" s="8" t="inlineStr">
        <is>
          <t>No</t>
        </is>
      </c>
      <c r="Y337" s="8" t="n"/>
      <c r="Z337" s="8" t="n"/>
      <c r="AA337" s="8" t="n"/>
      <c r="AB337" s="8" t="inlineStr">
        <is>
          <t>[Security Analyst]</t>
        </is>
      </c>
      <c r="AC337" s="8" t="n"/>
      <c r="AD337" s="8" t="n"/>
      <c r="AE337" s="16">
        <f>IF(AA337&lt;&gt;"", AA337+90, "")</f>
        <v/>
      </c>
      <c r="AF337" s="8" t="n"/>
    </row>
    <row r="338">
      <c r="A338">
        <f>IF(B338&lt;&gt;"", "HC-"&amp;TEXT(ROW()-1,"00000"), "")</f>
        <v/>
      </c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>
        <f>IF(K338="", "", IF(K338="Implemented", "Pass", IF(K338="Partial", "Partial", IF(K338="Not Applicable", "N/A", "Fail"))))</f>
        <v/>
      </c>
      <c r="R338" s="8" t="n"/>
      <c r="S338" s="8" t="n"/>
      <c r="T338">
        <f>IF(Q338="", "", IF(OR(Q338="Fail", Q338="Partial"), "Yes", "No"))</f>
        <v/>
      </c>
      <c r="U338" s="8" t="n"/>
      <c r="V338" s="8" t="n"/>
      <c r="W338" s="8" t="n"/>
      <c r="X338" s="8" t="inlineStr">
        <is>
          <t>No</t>
        </is>
      </c>
      <c r="Y338" s="8" t="n"/>
      <c r="Z338" s="8" t="n"/>
      <c r="AA338" s="8" t="n"/>
      <c r="AB338" s="8" t="inlineStr">
        <is>
          <t>[Security Analyst]</t>
        </is>
      </c>
      <c r="AC338" s="8" t="n"/>
      <c r="AD338" s="8" t="n"/>
      <c r="AE338" s="16">
        <f>IF(AA338&lt;&gt;"", AA338+90, "")</f>
        <v/>
      </c>
      <c r="AF338" s="8" t="n"/>
    </row>
    <row r="339">
      <c r="A339">
        <f>IF(B339&lt;&gt;"", "HC-"&amp;TEXT(ROW()-1,"00000"), "")</f>
        <v/>
      </c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>
        <f>IF(K339="", "", IF(K339="Implemented", "Pass", IF(K339="Partial", "Partial", IF(K339="Not Applicable", "N/A", "Fail"))))</f>
        <v/>
      </c>
      <c r="R339" s="8" t="n"/>
      <c r="S339" s="8" t="n"/>
      <c r="T339">
        <f>IF(Q339="", "", IF(OR(Q339="Fail", Q339="Partial"), "Yes", "No"))</f>
        <v/>
      </c>
      <c r="U339" s="8" t="n"/>
      <c r="V339" s="8" t="n"/>
      <c r="W339" s="8" t="n"/>
      <c r="X339" s="8" t="inlineStr">
        <is>
          <t>No</t>
        </is>
      </c>
      <c r="Y339" s="8" t="n"/>
      <c r="Z339" s="8" t="n"/>
      <c r="AA339" s="8" t="n"/>
      <c r="AB339" s="8" t="inlineStr">
        <is>
          <t>[Security Analyst]</t>
        </is>
      </c>
      <c r="AC339" s="8" t="n"/>
      <c r="AD339" s="8" t="n"/>
      <c r="AE339" s="16">
        <f>IF(AA339&lt;&gt;"", AA339+90, "")</f>
        <v/>
      </c>
      <c r="AF339" s="8" t="n"/>
    </row>
    <row r="340">
      <c r="A340">
        <f>IF(B340&lt;&gt;"", "HC-"&amp;TEXT(ROW()-1,"00000"), "")</f>
        <v/>
      </c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>
        <f>IF(K340="", "", IF(K340="Implemented", "Pass", IF(K340="Partial", "Partial", IF(K340="Not Applicable", "N/A", "Fail"))))</f>
        <v/>
      </c>
      <c r="R340" s="8" t="n"/>
      <c r="S340" s="8" t="n"/>
      <c r="T340">
        <f>IF(Q340="", "", IF(OR(Q340="Fail", Q340="Partial"), "Yes", "No"))</f>
        <v/>
      </c>
      <c r="U340" s="8" t="n"/>
      <c r="V340" s="8" t="n"/>
      <c r="W340" s="8" t="n"/>
      <c r="X340" s="8" t="inlineStr">
        <is>
          <t>No</t>
        </is>
      </c>
      <c r="Y340" s="8" t="n"/>
      <c r="Z340" s="8" t="n"/>
      <c r="AA340" s="8" t="n"/>
      <c r="AB340" s="8" t="inlineStr">
        <is>
          <t>[Security Analyst]</t>
        </is>
      </c>
      <c r="AC340" s="8" t="n"/>
      <c r="AD340" s="8" t="n"/>
      <c r="AE340" s="16">
        <f>IF(AA340&lt;&gt;"", AA340+90, "")</f>
        <v/>
      </c>
      <c r="AF340" s="8" t="n"/>
    </row>
    <row r="341">
      <c r="A341">
        <f>IF(B341&lt;&gt;"", "HC-"&amp;TEXT(ROW()-1,"00000"), "")</f>
        <v/>
      </c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>
        <f>IF(K341="", "", IF(K341="Implemented", "Pass", IF(K341="Partial", "Partial", IF(K341="Not Applicable", "N/A", "Fail"))))</f>
        <v/>
      </c>
      <c r="R341" s="8" t="n"/>
      <c r="S341" s="8" t="n"/>
      <c r="T341">
        <f>IF(Q341="", "", IF(OR(Q341="Fail", Q341="Partial"), "Yes", "No"))</f>
        <v/>
      </c>
      <c r="U341" s="8" t="n"/>
      <c r="V341" s="8" t="n"/>
      <c r="W341" s="8" t="n"/>
      <c r="X341" s="8" t="inlineStr">
        <is>
          <t>No</t>
        </is>
      </c>
      <c r="Y341" s="8" t="n"/>
      <c r="Z341" s="8" t="n"/>
      <c r="AA341" s="8" t="n"/>
      <c r="AB341" s="8" t="inlineStr">
        <is>
          <t>[Security Analyst]</t>
        </is>
      </c>
      <c r="AC341" s="8" t="n"/>
      <c r="AD341" s="8" t="n"/>
      <c r="AE341" s="16">
        <f>IF(AA341&lt;&gt;"", AA341+90, "")</f>
        <v/>
      </c>
      <c r="AF341" s="8" t="n"/>
    </row>
    <row r="342">
      <c r="A342">
        <f>IF(B342&lt;&gt;"", "HC-"&amp;TEXT(ROW()-1,"00000"), "")</f>
        <v/>
      </c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>
        <f>IF(K342="", "", IF(K342="Implemented", "Pass", IF(K342="Partial", "Partial", IF(K342="Not Applicable", "N/A", "Fail"))))</f>
        <v/>
      </c>
      <c r="R342" s="8" t="n"/>
      <c r="S342" s="8" t="n"/>
      <c r="T342">
        <f>IF(Q342="", "", IF(OR(Q342="Fail", Q342="Partial"), "Yes", "No"))</f>
        <v/>
      </c>
      <c r="U342" s="8" t="n"/>
      <c r="V342" s="8" t="n"/>
      <c r="W342" s="8" t="n"/>
      <c r="X342" s="8" t="inlineStr">
        <is>
          <t>No</t>
        </is>
      </c>
      <c r="Y342" s="8" t="n"/>
      <c r="Z342" s="8" t="n"/>
      <c r="AA342" s="8" t="n"/>
      <c r="AB342" s="8" t="inlineStr">
        <is>
          <t>[Security Analyst]</t>
        </is>
      </c>
      <c r="AC342" s="8" t="n"/>
      <c r="AD342" s="8" t="n"/>
      <c r="AE342" s="16">
        <f>IF(AA342&lt;&gt;"", AA342+90, "")</f>
        <v/>
      </c>
      <c r="AF342" s="8" t="n"/>
    </row>
    <row r="343">
      <c r="A343">
        <f>IF(B343&lt;&gt;"", "HC-"&amp;TEXT(ROW()-1,"00000"), "")</f>
        <v/>
      </c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>
        <f>IF(K343="", "", IF(K343="Implemented", "Pass", IF(K343="Partial", "Partial", IF(K343="Not Applicable", "N/A", "Fail"))))</f>
        <v/>
      </c>
      <c r="R343" s="8" t="n"/>
      <c r="S343" s="8" t="n"/>
      <c r="T343">
        <f>IF(Q343="", "", IF(OR(Q343="Fail", Q343="Partial"), "Yes", "No"))</f>
        <v/>
      </c>
      <c r="U343" s="8" t="n"/>
      <c r="V343" s="8" t="n"/>
      <c r="W343" s="8" t="n"/>
      <c r="X343" s="8" t="inlineStr">
        <is>
          <t>No</t>
        </is>
      </c>
      <c r="Y343" s="8" t="n"/>
      <c r="Z343" s="8" t="n"/>
      <c r="AA343" s="8" t="n"/>
      <c r="AB343" s="8" t="inlineStr">
        <is>
          <t>[Security Analyst]</t>
        </is>
      </c>
      <c r="AC343" s="8" t="n"/>
      <c r="AD343" s="8" t="n"/>
      <c r="AE343" s="16">
        <f>IF(AA343&lt;&gt;"", AA343+90, "")</f>
        <v/>
      </c>
      <c r="AF343" s="8" t="n"/>
    </row>
    <row r="344">
      <c r="A344">
        <f>IF(B344&lt;&gt;"", "HC-"&amp;TEXT(ROW()-1,"00000"), "")</f>
        <v/>
      </c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>
        <f>IF(K344="", "", IF(K344="Implemented", "Pass", IF(K344="Partial", "Partial", IF(K344="Not Applicable", "N/A", "Fail"))))</f>
        <v/>
      </c>
      <c r="R344" s="8" t="n"/>
      <c r="S344" s="8" t="n"/>
      <c r="T344">
        <f>IF(Q344="", "", IF(OR(Q344="Fail", Q344="Partial"), "Yes", "No"))</f>
        <v/>
      </c>
      <c r="U344" s="8" t="n"/>
      <c r="V344" s="8" t="n"/>
      <c r="W344" s="8" t="n"/>
      <c r="X344" s="8" t="inlineStr">
        <is>
          <t>No</t>
        </is>
      </c>
      <c r="Y344" s="8" t="n"/>
      <c r="Z344" s="8" t="n"/>
      <c r="AA344" s="8" t="n"/>
      <c r="AB344" s="8" t="inlineStr">
        <is>
          <t>[Security Analyst]</t>
        </is>
      </c>
      <c r="AC344" s="8" t="n"/>
      <c r="AD344" s="8" t="n"/>
      <c r="AE344" s="16">
        <f>IF(AA344&lt;&gt;"", AA344+90, "")</f>
        <v/>
      </c>
      <c r="AF344" s="8" t="n"/>
    </row>
    <row r="345">
      <c r="A345">
        <f>IF(B345&lt;&gt;"", "HC-"&amp;TEXT(ROW()-1,"00000"), "")</f>
        <v/>
      </c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>
        <f>IF(K345="", "", IF(K345="Implemented", "Pass", IF(K345="Partial", "Partial", IF(K345="Not Applicable", "N/A", "Fail"))))</f>
        <v/>
      </c>
      <c r="R345" s="8" t="n"/>
      <c r="S345" s="8" t="n"/>
      <c r="T345">
        <f>IF(Q345="", "", IF(OR(Q345="Fail", Q345="Partial"), "Yes", "No"))</f>
        <v/>
      </c>
      <c r="U345" s="8" t="n"/>
      <c r="V345" s="8" t="n"/>
      <c r="W345" s="8" t="n"/>
      <c r="X345" s="8" t="inlineStr">
        <is>
          <t>No</t>
        </is>
      </c>
      <c r="Y345" s="8" t="n"/>
      <c r="Z345" s="8" t="n"/>
      <c r="AA345" s="8" t="n"/>
      <c r="AB345" s="8" t="inlineStr">
        <is>
          <t>[Security Analyst]</t>
        </is>
      </c>
      <c r="AC345" s="8" t="n"/>
      <c r="AD345" s="8" t="n"/>
      <c r="AE345" s="16">
        <f>IF(AA345&lt;&gt;"", AA345+90, "")</f>
        <v/>
      </c>
      <c r="AF345" s="8" t="n"/>
    </row>
    <row r="346">
      <c r="A346">
        <f>IF(B346&lt;&gt;"", "HC-"&amp;TEXT(ROW()-1,"00000"), "")</f>
        <v/>
      </c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>
        <f>IF(K346="", "", IF(K346="Implemented", "Pass", IF(K346="Partial", "Partial", IF(K346="Not Applicable", "N/A", "Fail"))))</f>
        <v/>
      </c>
      <c r="R346" s="8" t="n"/>
      <c r="S346" s="8" t="n"/>
      <c r="T346">
        <f>IF(Q346="", "", IF(OR(Q346="Fail", Q346="Partial"), "Yes", "No"))</f>
        <v/>
      </c>
      <c r="U346" s="8" t="n"/>
      <c r="V346" s="8" t="n"/>
      <c r="W346" s="8" t="n"/>
      <c r="X346" s="8" t="inlineStr">
        <is>
          <t>No</t>
        </is>
      </c>
      <c r="Y346" s="8" t="n"/>
      <c r="Z346" s="8" t="n"/>
      <c r="AA346" s="8" t="n"/>
      <c r="AB346" s="8" t="inlineStr">
        <is>
          <t>[Security Analyst]</t>
        </is>
      </c>
      <c r="AC346" s="8" t="n"/>
      <c r="AD346" s="8" t="n"/>
      <c r="AE346" s="16">
        <f>IF(AA346&lt;&gt;"", AA346+90, "")</f>
        <v/>
      </c>
      <c r="AF346" s="8" t="n"/>
    </row>
    <row r="347">
      <c r="A347">
        <f>IF(B347&lt;&gt;"", "HC-"&amp;TEXT(ROW()-1,"00000"), "")</f>
        <v/>
      </c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>
        <f>IF(K347="", "", IF(K347="Implemented", "Pass", IF(K347="Partial", "Partial", IF(K347="Not Applicable", "N/A", "Fail"))))</f>
        <v/>
      </c>
      <c r="R347" s="8" t="n"/>
      <c r="S347" s="8" t="n"/>
      <c r="T347">
        <f>IF(Q347="", "", IF(OR(Q347="Fail", Q347="Partial"), "Yes", "No"))</f>
        <v/>
      </c>
      <c r="U347" s="8" t="n"/>
      <c r="V347" s="8" t="n"/>
      <c r="W347" s="8" t="n"/>
      <c r="X347" s="8" t="inlineStr">
        <is>
          <t>No</t>
        </is>
      </c>
      <c r="Y347" s="8" t="n"/>
      <c r="Z347" s="8" t="n"/>
      <c r="AA347" s="8" t="n"/>
      <c r="AB347" s="8" t="inlineStr">
        <is>
          <t>[Security Analyst]</t>
        </is>
      </c>
      <c r="AC347" s="8" t="n"/>
      <c r="AD347" s="8" t="n"/>
      <c r="AE347" s="16">
        <f>IF(AA347&lt;&gt;"", AA347+90, "")</f>
        <v/>
      </c>
      <c r="AF347" s="8" t="n"/>
    </row>
    <row r="348">
      <c r="A348">
        <f>IF(B348&lt;&gt;"", "HC-"&amp;TEXT(ROW()-1,"00000"), "")</f>
        <v/>
      </c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>
        <f>IF(K348="", "", IF(K348="Implemented", "Pass", IF(K348="Partial", "Partial", IF(K348="Not Applicable", "N/A", "Fail"))))</f>
        <v/>
      </c>
      <c r="R348" s="8" t="n"/>
      <c r="S348" s="8" t="n"/>
      <c r="T348">
        <f>IF(Q348="", "", IF(OR(Q348="Fail", Q348="Partial"), "Yes", "No"))</f>
        <v/>
      </c>
      <c r="U348" s="8" t="n"/>
      <c r="V348" s="8" t="n"/>
      <c r="W348" s="8" t="n"/>
      <c r="X348" s="8" t="inlineStr">
        <is>
          <t>No</t>
        </is>
      </c>
      <c r="Y348" s="8" t="n"/>
      <c r="Z348" s="8" t="n"/>
      <c r="AA348" s="8" t="n"/>
      <c r="AB348" s="8" t="inlineStr">
        <is>
          <t>[Security Analyst]</t>
        </is>
      </c>
      <c r="AC348" s="8" t="n"/>
      <c r="AD348" s="8" t="n"/>
      <c r="AE348" s="16">
        <f>IF(AA348&lt;&gt;"", AA348+90, "")</f>
        <v/>
      </c>
      <c r="AF348" s="8" t="n"/>
    </row>
    <row r="349">
      <c r="A349">
        <f>IF(B349&lt;&gt;"", "HC-"&amp;TEXT(ROW()-1,"00000"), "")</f>
        <v/>
      </c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>
        <f>IF(K349="", "", IF(K349="Implemented", "Pass", IF(K349="Partial", "Partial", IF(K349="Not Applicable", "N/A", "Fail"))))</f>
        <v/>
      </c>
      <c r="R349" s="8" t="n"/>
      <c r="S349" s="8" t="n"/>
      <c r="T349">
        <f>IF(Q349="", "", IF(OR(Q349="Fail", Q349="Partial"), "Yes", "No"))</f>
        <v/>
      </c>
      <c r="U349" s="8" t="n"/>
      <c r="V349" s="8" t="n"/>
      <c r="W349" s="8" t="n"/>
      <c r="X349" s="8" t="inlineStr">
        <is>
          <t>No</t>
        </is>
      </c>
      <c r="Y349" s="8" t="n"/>
      <c r="Z349" s="8" t="n"/>
      <c r="AA349" s="8" t="n"/>
      <c r="AB349" s="8" t="inlineStr">
        <is>
          <t>[Security Analyst]</t>
        </is>
      </c>
      <c r="AC349" s="8" t="n"/>
      <c r="AD349" s="8" t="n"/>
      <c r="AE349" s="16">
        <f>IF(AA349&lt;&gt;"", AA349+90, "")</f>
        <v/>
      </c>
      <c r="AF349" s="8" t="n"/>
    </row>
    <row r="350">
      <c r="A350">
        <f>IF(B350&lt;&gt;"", "HC-"&amp;TEXT(ROW()-1,"00000"), "")</f>
        <v/>
      </c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>
        <f>IF(K350="", "", IF(K350="Implemented", "Pass", IF(K350="Partial", "Partial", IF(K350="Not Applicable", "N/A", "Fail"))))</f>
        <v/>
      </c>
      <c r="R350" s="8" t="n"/>
      <c r="S350" s="8" t="n"/>
      <c r="T350">
        <f>IF(Q350="", "", IF(OR(Q350="Fail", Q350="Partial"), "Yes", "No"))</f>
        <v/>
      </c>
      <c r="U350" s="8" t="n"/>
      <c r="V350" s="8" t="n"/>
      <c r="W350" s="8" t="n"/>
      <c r="X350" s="8" t="inlineStr">
        <is>
          <t>No</t>
        </is>
      </c>
      <c r="Y350" s="8" t="n"/>
      <c r="Z350" s="8" t="n"/>
      <c r="AA350" s="8" t="n"/>
      <c r="AB350" s="8" t="inlineStr">
        <is>
          <t>[Security Analyst]</t>
        </is>
      </c>
      <c r="AC350" s="8" t="n"/>
      <c r="AD350" s="8" t="n"/>
      <c r="AE350" s="16">
        <f>IF(AA350&lt;&gt;"", AA350+90, "")</f>
        <v/>
      </c>
      <c r="AF350" s="8" t="n"/>
    </row>
    <row r="351">
      <c r="A351">
        <f>IF(B351&lt;&gt;"", "HC-"&amp;TEXT(ROW()-1,"00000"), "")</f>
        <v/>
      </c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>
        <f>IF(K351="", "", IF(K351="Implemented", "Pass", IF(K351="Partial", "Partial", IF(K351="Not Applicable", "N/A", "Fail"))))</f>
        <v/>
      </c>
      <c r="R351" s="8" t="n"/>
      <c r="S351" s="8" t="n"/>
      <c r="T351">
        <f>IF(Q351="", "", IF(OR(Q351="Fail", Q351="Partial"), "Yes", "No"))</f>
        <v/>
      </c>
      <c r="U351" s="8" t="n"/>
      <c r="V351" s="8" t="n"/>
      <c r="W351" s="8" t="n"/>
      <c r="X351" s="8" t="inlineStr">
        <is>
          <t>No</t>
        </is>
      </c>
      <c r="Y351" s="8" t="n"/>
      <c r="Z351" s="8" t="n"/>
      <c r="AA351" s="8" t="n"/>
      <c r="AB351" s="8" t="inlineStr">
        <is>
          <t>[Security Analyst]</t>
        </is>
      </c>
      <c r="AC351" s="8" t="n"/>
      <c r="AD351" s="8" t="n"/>
      <c r="AE351" s="16">
        <f>IF(AA351&lt;&gt;"", AA351+90, "")</f>
        <v/>
      </c>
      <c r="AF351" s="8" t="n"/>
    </row>
    <row r="352">
      <c r="A352">
        <f>IF(B352&lt;&gt;"", "HC-"&amp;TEXT(ROW()-1,"00000"), "")</f>
        <v/>
      </c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>
        <f>IF(K352="", "", IF(K352="Implemented", "Pass", IF(K352="Partial", "Partial", IF(K352="Not Applicable", "N/A", "Fail"))))</f>
        <v/>
      </c>
      <c r="R352" s="8" t="n"/>
      <c r="S352" s="8" t="n"/>
      <c r="T352">
        <f>IF(Q352="", "", IF(OR(Q352="Fail", Q352="Partial"), "Yes", "No"))</f>
        <v/>
      </c>
      <c r="U352" s="8" t="n"/>
      <c r="V352" s="8" t="n"/>
      <c r="W352" s="8" t="n"/>
      <c r="X352" s="8" t="inlineStr">
        <is>
          <t>No</t>
        </is>
      </c>
      <c r="Y352" s="8" t="n"/>
      <c r="Z352" s="8" t="n"/>
      <c r="AA352" s="8" t="n"/>
      <c r="AB352" s="8" t="inlineStr">
        <is>
          <t>[Security Analyst]</t>
        </is>
      </c>
      <c r="AC352" s="8" t="n"/>
      <c r="AD352" s="8" t="n"/>
      <c r="AE352" s="16">
        <f>IF(AA352&lt;&gt;"", AA352+90, "")</f>
        <v/>
      </c>
      <c r="AF352" s="8" t="n"/>
    </row>
    <row r="353">
      <c r="A353">
        <f>IF(B353&lt;&gt;"", "HC-"&amp;TEXT(ROW()-1,"00000"), "")</f>
        <v/>
      </c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>
        <f>IF(K353="", "", IF(K353="Implemented", "Pass", IF(K353="Partial", "Partial", IF(K353="Not Applicable", "N/A", "Fail"))))</f>
        <v/>
      </c>
      <c r="R353" s="8" t="n"/>
      <c r="S353" s="8" t="n"/>
      <c r="T353">
        <f>IF(Q353="", "", IF(OR(Q353="Fail", Q353="Partial"), "Yes", "No"))</f>
        <v/>
      </c>
      <c r="U353" s="8" t="n"/>
      <c r="V353" s="8" t="n"/>
      <c r="W353" s="8" t="n"/>
      <c r="X353" s="8" t="inlineStr">
        <is>
          <t>No</t>
        </is>
      </c>
      <c r="Y353" s="8" t="n"/>
      <c r="Z353" s="8" t="n"/>
      <c r="AA353" s="8" t="n"/>
      <c r="AB353" s="8" t="inlineStr">
        <is>
          <t>[Security Analyst]</t>
        </is>
      </c>
      <c r="AC353" s="8" t="n"/>
      <c r="AD353" s="8" t="n"/>
      <c r="AE353" s="16">
        <f>IF(AA353&lt;&gt;"", AA353+90, "")</f>
        <v/>
      </c>
      <c r="AF353" s="8" t="n"/>
    </row>
    <row r="354">
      <c r="A354">
        <f>IF(B354&lt;&gt;"", "HC-"&amp;TEXT(ROW()-1,"00000"), "")</f>
        <v/>
      </c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>
        <f>IF(K354="", "", IF(K354="Implemented", "Pass", IF(K354="Partial", "Partial", IF(K354="Not Applicable", "N/A", "Fail"))))</f>
        <v/>
      </c>
      <c r="R354" s="8" t="n"/>
      <c r="S354" s="8" t="n"/>
      <c r="T354">
        <f>IF(Q354="", "", IF(OR(Q354="Fail", Q354="Partial"), "Yes", "No"))</f>
        <v/>
      </c>
      <c r="U354" s="8" t="n"/>
      <c r="V354" s="8" t="n"/>
      <c r="W354" s="8" t="n"/>
      <c r="X354" s="8" t="inlineStr">
        <is>
          <t>No</t>
        </is>
      </c>
      <c r="Y354" s="8" t="n"/>
      <c r="Z354" s="8" t="n"/>
      <c r="AA354" s="8" t="n"/>
      <c r="AB354" s="8" t="inlineStr">
        <is>
          <t>[Security Analyst]</t>
        </is>
      </c>
      <c r="AC354" s="8" t="n"/>
      <c r="AD354" s="8" t="n"/>
      <c r="AE354" s="16">
        <f>IF(AA354&lt;&gt;"", AA354+90, "")</f>
        <v/>
      </c>
      <c r="AF354" s="8" t="n"/>
    </row>
    <row r="355">
      <c r="A355">
        <f>IF(B355&lt;&gt;"", "HC-"&amp;TEXT(ROW()-1,"00000"), "")</f>
        <v/>
      </c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>
        <f>IF(K355="", "", IF(K355="Implemented", "Pass", IF(K355="Partial", "Partial", IF(K355="Not Applicable", "N/A", "Fail"))))</f>
        <v/>
      </c>
      <c r="R355" s="8" t="n"/>
      <c r="S355" s="8" t="n"/>
      <c r="T355">
        <f>IF(Q355="", "", IF(OR(Q355="Fail", Q355="Partial"), "Yes", "No"))</f>
        <v/>
      </c>
      <c r="U355" s="8" t="n"/>
      <c r="V355" s="8" t="n"/>
      <c r="W355" s="8" t="n"/>
      <c r="X355" s="8" t="inlineStr">
        <is>
          <t>No</t>
        </is>
      </c>
      <c r="Y355" s="8" t="n"/>
      <c r="Z355" s="8" t="n"/>
      <c r="AA355" s="8" t="n"/>
      <c r="AB355" s="8" t="inlineStr">
        <is>
          <t>[Security Analyst]</t>
        </is>
      </c>
      <c r="AC355" s="8" t="n"/>
      <c r="AD355" s="8" t="n"/>
      <c r="AE355" s="16">
        <f>IF(AA355&lt;&gt;"", AA355+90, "")</f>
        <v/>
      </c>
      <c r="AF355" s="8" t="n"/>
    </row>
    <row r="356">
      <c r="A356">
        <f>IF(B356&lt;&gt;"", "HC-"&amp;TEXT(ROW()-1,"00000"), "")</f>
        <v/>
      </c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>
        <f>IF(K356="", "", IF(K356="Implemented", "Pass", IF(K356="Partial", "Partial", IF(K356="Not Applicable", "N/A", "Fail"))))</f>
        <v/>
      </c>
      <c r="R356" s="8" t="n"/>
      <c r="S356" s="8" t="n"/>
      <c r="T356">
        <f>IF(Q356="", "", IF(OR(Q356="Fail", Q356="Partial"), "Yes", "No"))</f>
        <v/>
      </c>
      <c r="U356" s="8" t="n"/>
      <c r="V356" s="8" t="n"/>
      <c r="W356" s="8" t="n"/>
      <c r="X356" s="8" t="inlineStr">
        <is>
          <t>No</t>
        </is>
      </c>
      <c r="Y356" s="8" t="n"/>
      <c r="Z356" s="8" t="n"/>
      <c r="AA356" s="8" t="n"/>
      <c r="AB356" s="8" t="inlineStr">
        <is>
          <t>[Security Analyst]</t>
        </is>
      </c>
      <c r="AC356" s="8" t="n"/>
      <c r="AD356" s="8" t="n"/>
      <c r="AE356" s="16">
        <f>IF(AA356&lt;&gt;"", AA356+90, "")</f>
        <v/>
      </c>
      <c r="AF356" s="8" t="n"/>
    </row>
    <row r="357">
      <c r="A357">
        <f>IF(B357&lt;&gt;"", "HC-"&amp;TEXT(ROW()-1,"00000"), "")</f>
        <v/>
      </c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>
        <f>IF(K357="", "", IF(K357="Implemented", "Pass", IF(K357="Partial", "Partial", IF(K357="Not Applicable", "N/A", "Fail"))))</f>
        <v/>
      </c>
      <c r="R357" s="8" t="n"/>
      <c r="S357" s="8" t="n"/>
      <c r="T357">
        <f>IF(Q357="", "", IF(OR(Q357="Fail", Q357="Partial"), "Yes", "No"))</f>
        <v/>
      </c>
      <c r="U357" s="8" t="n"/>
      <c r="V357" s="8" t="n"/>
      <c r="W357" s="8" t="n"/>
      <c r="X357" s="8" t="inlineStr">
        <is>
          <t>No</t>
        </is>
      </c>
      <c r="Y357" s="8" t="n"/>
      <c r="Z357" s="8" t="n"/>
      <c r="AA357" s="8" t="n"/>
      <c r="AB357" s="8" t="inlineStr">
        <is>
          <t>[Security Analyst]</t>
        </is>
      </c>
      <c r="AC357" s="8" t="n"/>
      <c r="AD357" s="8" t="n"/>
      <c r="AE357" s="16">
        <f>IF(AA357&lt;&gt;"", AA357+90, "")</f>
        <v/>
      </c>
      <c r="AF357" s="8" t="n"/>
    </row>
    <row r="358">
      <c r="A358">
        <f>IF(B358&lt;&gt;"", "HC-"&amp;TEXT(ROW()-1,"00000"), "")</f>
        <v/>
      </c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>
        <f>IF(K358="", "", IF(K358="Implemented", "Pass", IF(K358="Partial", "Partial", IF(K358="Not Applicable", "N/A", "Fail"))))</f>
        <v/>
      </c>
      <c r="R358" s="8" t="n"/>
      <c r="S358" s="8" t="n"/>
      <c r="T358">
        <f>IF(Q358="", "", IF(OR(Q358="Fail", Q358="Partial"), "Yes", "No"))</f>
        <v/>
      </c>
      <c r="U358" s="8" t="n"/>
      <c r="V358" s="8" t="n"/>
      <c r="W358" s="8" t="n"/>
      <c r="X358" s="8" t="inlineStr">
        <is>
          <t>No</t>
        </is>
      </c>
      <c r="Y358" s="8" t="n"/>
      <c r="Z358" s="8" t="n"/>
      <c r="AA358" s="8" t="n"/>
      <c r="AB358" s="8" t="inlineStr">
        <is>
          <t>[Security Analyst]</t>
        </is>
      </c>
      <c r="AC358" s="8" t="n"/>
      <c r="AD358" s="8" t="n"/>
      <c r="AE358" s="16">
        <f>IF(AA358&lt;&gt;"", AA358+90, "")</f>
        <v/>
      </c>
      <c r="AF358" s="8" t="n"/>
    </row>
    <row r="359">
      <c r="A359">
        <f>IF(B359&lt;&gt;"", "HC-"&amp;TEXT(ROW()-1,"00000"), "")</f>
        <v/>
      </c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>
        <f>IF(K359="", "", IF(K359="Implemented", "Pass", IF(K359="Partial", "Partial", IF(K359="Not Applicable", "N/A", "Fail"))))</f>
        <v/>
      </c>
      <c r="R359" s="8" t="n"/>
      <c r="S359" s="8" t="n"/>
      <c r="T359">
        <f>IF(Q359="", "", IF(OR(Q359="Fail", Q359="Partial"), "Yes", "No"))</f>
        <v/>
      </c>
      <c r="U359" s="8" t="n"/>
      <c r="V359" s="8" t="n"/>
      <c r="W359" s="8" t="n"/>
      <c r="X359" s="8" t="inlineStr">
        <is>
          <t>No</t>
        </is>
      </c>
      <c r="Y359" s="8" t="n"/>
      <c r="Z359" s="8" t="n"/>
      <c r="AA359" s="8" t="n"/>
      <c r="AB359" s="8" t="inlineStr">
        <is>
          <t>[Security Analyst]</t>
        </is>
      </c>
      <c r="AC359" s="8" t="n"/>
      <c r="AD359" s="8" t="n"/>
      <c r="AE359" s="16">
        <f>IF(AA359&lt;&gt;"", AA359+90, "")</f>
        <v/>
      </c>
      <c r="AF359" s="8" t="n"/>
    </row>
    <row r="360">
      <c r="A360">
        <f>IF(B360&lt;&gt;"", "HC-"&amp;TEXT(ROW()-1,"00000"), "")</f>
        <v/>
      </c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>
        <f>IF(K360="", "", IF(K360="Implemented", "Pass", IF(K360="Partial", "Partial", IF(K360="Not Applicable", "N/A", "Fail"))))</f>
        <v/>
      </c>
      <c r="R360" s="8" t="n"/>
      <c r="S360" s="8" t="n"/>
      <c r="T360">
        <f>IF(Q360="", "", IF(OR(Q360="Fail", Q360="Partial"), "Yes", "No"))</f>
        <v/>
      </c>
      <c r="U360" s="8" t="n"/>
      <c r="V360" s="8" t="n"/>
      <c r="W360" s="8" t="n"/>
      <c r="X360" s="8" t="inlineStr">
        <is>
          <t>No</t>
        </is>
      </c>
      <c r="Y360" s="8" t="n"/>
      <c r="Z360" s="8" t="n"/>
      <c r="AA360" s="8" t="n"/>
      <c r="AB360" s="8" t="inlineStr">
        <is>
          <t>[Security Analyst]</t>
        </is>
      </c>
      <c r="AC360" s="8" t="n"/>
      <c r="AD360" s="8" t="n"/>
      <c r="AE360" s="16">
        <f>IF(AA360&lt;&gt;"", AA360+90, "")</f>
        <v/>
      </c>
      <c r="AF360" s="8" t="n"/>
    </row>
    <row r="361">
      <c r="A361">
        <f>IF(B361&lt;&gt;"", "HC-"&amp;TEXT(ROW()-1,"00000"), "")</f>
        <v/>
      </c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>
        <f>IF(K361="", "", IF(K361="Implemented", "Pass", IF(K361="Partial", "Partial", IF(K361="Not Applicable", "N/A", "Fail"))))</f>
        <v/>
      </c>
      <c r="R361" s="8" t="n"/>
      <c r="S361" s="8" t="n"/>
      <c r="T361">
        <f>IF(Q361="", "", IF(OR(Q361="Fail", Q361="Partial"), "Yes", "No"))</f>
        <v/>
      </c>
      <c r="U361" s="8" t="n"/>
      <c r="V361" s="8" t="n"/>
      <c r="W361" s="8" t="n"/>
      <c r="X361" s="8" t="inlineStr">
        <is>
          <t>No</t>
        </is>
      </c>
      <c r="Y361" s="8" t="n"/>
      <c r="Z361" s="8" t="n"/>
      <c r="AA361" s="8" t="n"/>
      <c r="AB361" s="8" t="inlineStr">
        <is>
          <t>[Security Analyst]</t>
        </is>
      </c>
      <c r="AC361" s="8" t="n"/>
      <c r="AD361" s="8" t="n"/>
      <c r="AE361" s="16">
        <f>IF(AA361&lt;&gt;"", AA361+90, "")</f>
        <v/>
      </c>
      <c r="AF361" s="8" t="n"/>
    </row>
    <row r="362">
      <c r="A362">
        <f>IF(B362&lt;&gt;"", "HC-"&amp;TEXT(ROW()-1,"00000"), "")</f>
        <v/>
      </c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>
        <f>IF(K362="", "", IF(K362="Implemented", "Pass", IF(K362="Partial", "Partial", IF(K362="Not Applicable", "N/A", "Fail"))))</f>
        <v/>
      </c>
      <c r="R362" s="8" t="n"/>
      <c r="S362" s="8" t="n"/>
      <c r="T362">
        <f>IF(Q362="", "", IF(OR(Q362="Fail", Q362="Partial"), "Yes", "No"))</f>
        <v/>
      </c>
      <c r="U362" s="8" t="n"/>
      <c r="V362" s="8" t="n"/>
      <c r="W362" s="8" t="n"/>
      <c r="X362" s="8" t="inlineStr">
        <is>
          <t>No</t>
        </is>
      </c>
      <c r="Y362" s="8" t="n"/>
      <c r="Z362" s="8" t="n"/>
      <c r="AA362" s="8" t="n"/>
      <c r="AB362" s="8" t="inlineStr">
        <is>
          <t>[Security Analyst]</t>
        </is>
      </c>
      <c r="AC362" s="8" t="n"/>
      <c r="AD362" s="8" t="n"/>
      <c r="AE362" s="16">
        <f>IF(AA362&lt;&gt;"", AA362+90, "")</f>
        <v/>
      </c>
      <c r="AF362" s="8" t="n"/>
    </row>
    <row r="363">
      <c r="A363">
        <f>IF(B363&lt;&gt;"", "HC-"&amp;TEXT(ROW()-1,"00000"), "")</f>
        <v/>
      </c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>
        <f>IF(K363="", "", IF(K363="Implemented", "Pass", IF(K363="Partial", "Partial", IF(K363="Not Applicable", "N/A", "Fail"))))</f>
        <v/>
      </c>
      <c r="R363" s="8" t="n"/>
      <c r="S363" s="8" t="n"/>
      <c r="T363">
        <f>IF(Q363="", "", IF(OR(Q363="Fail", Q363="Partial"), "Yes", "No"))</f>
        <v/>
      </c>
      <c r="U363" s="8" t="n"/>
      <c r="V363" s="8" t="n"/>
      <c r="W363" s="8" t="n"/>
      <c r="X363" s="8" t="inlineStr">
        <is>
          <t>No</t>
        </is>
      </c>
      <c r="Y363" s="8" t="n"/>
      <c r="Z363" s="8" t="n"/>
      <c r="AA363" s="8" t="n"/>
      <c r="AB363" s="8" t="inlineStr">
        <is>
          <t>[Security Analyst]</t>
        </is>
      </c>
      <c r="AC363" s="8" t="n"/>
      <c r="AD363" s="8" t="n"/>
      <c r="AE363" s="16">
        <f>IF(AA363&lt;&gt;"", AA363+90, "")</f>
        <v/>
      </c>
      <c r="AF363" s="8" t="n"/>
    </row>
    <row r="364">
      <c r="A364">
        <f>IF(B364&lt;&gt;"", "HC-"&amp;TEXT(ROW()-1,"00000"), "")</f>
        <v/>
      </c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>
        <f>IF(K364="", "", IF(K364="Implemented", "Pass", IF(K364="Partial", "Partial", IF(K364="Not Applicable", "N/A", "Fail"))))</f>
        <v/>
      </c>
      <c r="R364" s="8" t="n"/>
      <c r="S364" s="8" t="n"/>
      <c r="T364">
        <f>IF(Q364="", "", IF(OR(Q364="Fail", Q364="Partial"), "Yes", "No"))</f>
        <v/>
      </c>
      <c r="U364" s="8" t="n"/>
      <c r="V364" s="8" t="n"/>
      <c r="W364" s="8" t="n"/>
      <c r="X364" s="8" t="inlineStr">
        <is>
          <t>No</t>
        </is>
      </c>
      <c r="Y364" s="8" t="n"/>
      <c r="Z364" s="8" t="n"/>
      <c r="AA364" s="8" t="n"/>
      <c r="AB364" s="8" t="inlineStr">
        <is>
          <t>[Security Analyst]</t>
        </is>
      </c>
      <c r="AC364" s="8" t="n"/>
      <c r="AD364" s="8" t="n"/>
      <c r="AE364" s="16">
        <f>IF(AA364&lt;&gt;"", AA364+90, "")</f>
        <v/>
      </c>
      <c r="AF364" s="8" t="n"/>
    </row>
    <row r="365">
      <c r="A365">
        <f>IF(B365&lt;&gt;"", "HC-"&amp;TEXT(ROW()-1,"00000"), "")</f>
        <v/>
      </c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>
        <f>IF(K365="", "", IF(K365="Implemented", "Pass", IF(K365="Partial", "Partial", IF(K365="Not Applicable", "N/A", "Fail"))))</f>
        <v/>
      </c>
      <c r="R365" s="8" t="n"/>
      <c r="S365" s="8" t="n"/>
      <c r="T365">
        <f>IF(Q365="", "", IF(OR(Q365="Fail", Q365="Partial"), "Yes", "No"))</f>
        <v/>
      </c>
      <c r="U365" s="8" t="n"/>
      <c r="V365" s="8" t="n"/>
      <c r="W365" s="8" t="n"/>
      <c r="X365" s="8" t="inlineStr">
        <is>
          <t>No</t>
        </is>
      </c>
      <c r="Y365" s="8" t="n"/>
      <c r="Z365" s="8" t="n"/>
      <c r="AA365" s="8" t="n"/>
      <c r="AB365" s="8" t="inlineStr">
        <is>
          <t>[Security Analyst]</t>
        </is>
      </c>
      <c r="AC365" s="8" t="n"/>
      <c r="AD365" s="8" t="n"/>
      <c r="AE365" s="16">
        <f>IF(AA365&lt;&gt;"", AA365+90, "")</f>
        <v/>
      </c>
      <c r="AF365" s="8" t="n"/>
    </row>
    <row r="366">
      <c r="A366">
        <f>IF(B366&lt;&gt;"", "HC-"&amp;TEXT(ROW()-1,"00000"), "")</f>
        <v/>
      </c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>
        <f>IF(K366="", "", IF(K366="Implemented", "Pass", IF(K366="Partial", "Partial", IF(K366="Not Applicable", "N/A", "Fail"))))</f>
        <v/>
      </c>
      <c r="R366" s="8" t="n"/>
      <c r="S366" s="8" t="n"/>
      <c r="T366">
        <f>IF(Q366="", "", IF(OR(Q366="Fail", Q366="Partial"), "Yes", "No"))</f>
        <v/>
      </c>
      <c r="U366" s="8" t="n"/>
      <c r="V366" s="8" t="n"/>
      <c r="W366" s="8" t="n"/>
      <c r="X366" s="8" t="inlineStr">
        <is>
          <t>No</t>
        </is>
      </c>
      <c r="Y366" s="8" t="n"/>
      <c r="Z366" s="8" t="n"/>
      <c r="AA366" s="8" t="n"/>
      <c r="AB366" s="8" t="inlineStr">
        <is>
          <t>[Security Analyst]</t>
        </is>
      </c>
      <c r="AC366" s="8" t="n"/>
      <c r="AD366" s="8" t="n"/>
      <c r="AE366" s="16">
        <f>IF(AA366&lt;&gt;"", AA366+90, "")</f>
        <v/>
      </c>
      <c r="AF366" s="8" t="n"/>
    </row>
    <row r="367">
      <c r="A367">
        <f>IF(B367&lt;&gt;"", "HC-"&amp;TEXT(ROW()-1,"00000"), "")</f>
        <v/>
      </c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>
        <f>IF(K367="", "", IF(K367="Implemented", "Pass", IF(K367="Partial", "Partial", IF(K367="Not Applicable", "N/A", "Fail"))))</f>
        <v/>
      </c>
      <c r="R367" s="8" t="n"/>
      <c r="S367" s="8" t="n"/>
      <c r="T367">
        <f>IF(Q367="", "", IF(OR(Q367="Fail", Q367="Partial"), "Yes", "No"))</f>
        <v/>
      </c>
      <c r="U367" s="8" t="n"/>
      <c r="V367" s="8" t="n"/>
      <c r="W367" s="8" t="n"/>
      <c r="X367" s="8" t="inlineStr">
        <is>
          <t>No</t>
        </is>
      </c>
      <c r="Y367" s="8" t="n"/>
      <c r="Z367" s="8" t="n"/>
      <c r="AA367" s="8" t="n"/>
      <c r="AB367" s="8" t="inlineStr">
        <is>
          <t>[Security Analyst]</t>
        </is>
      </c>
      <c r="AC367" s="8" t="n"/>
      <c r="AD367" s="8" t="n"/>
      <c r="AE367" s="16">
        <f>IF(AA367&lt;&gt;"", AA367+90, "")</f>
        <v/>
      </c>
      <c r="AF367" s="8" t="n"/>
    </row>
    <row r="368">
      <c r="A368">
        <f>IF(B368&lt;&gt;"", "HC-"&amp;TEXT(ROW()-1,"00000"), "")</f>
        <v/>
      </c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>
        <f>IF(K368="", "", IF(K368="Implemented", "Pass", IF(K368="Partial", "Partial", IF(K368="Not Applicable", "N/A", "Fail"))))</f>
        <v/>
      </c>
      <c r="R368" s="8" t="n"/>
      <c r="S368" s="8" t="n"/>
      <c r="T368">
        <f>IF(Q368="", "", IF(OR(Q368="Fail", Q368="Partial"), "Yes", "No"))</f>
        <v/>
      </c>
      <c r="U368" s="8" t="n"/>
      <c r="V368" s="8" t="n"/>
      <c r="W368" s="8" t="n"/>
      <c r="X368" s="8" t="inlineStr">
        <is>
          <t>No</t>
        </is>
      </c>
      <c r="Y368" s="8" t="n"/>
      <c r="Z368" s="8" t="n"/>
      <c r="AA368" s="8" t="n"/>
      <c r="AB368" s="8" t="inlineStr">
        <is>
          <t>[Security Analyst]</t>
        </is>
      </c>
      <c r="AC368" s="8" t="n"/>
      <c r="AD368" s="8" t="n"/>
      <c r="AE368" s="16">
        <f>IF(AA368&lt;&gt;"", AA368+90, "")</f>
        <v/>
      </c>
      <c r="AF368" s="8" t="n"/>
    </row>
    <row r="369">
      <c r="A369">
        <f>IF(B369&lt;&gt;"", "HC-"&amp;TEXT(ROW()-1,"00000"), "")</f>
        <v/>
      </c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>
        <f>IF(K369="", "", IF(K369="Implemented", "Pass", IF(K369="Partial", "Partial", IF(K369="Not Applicable", "N/A", "Fail"))))</f>
        <v/>
      </c>
      <c r="R369" s="8" t="n"/>
      <c r="S369" s="8" t="n"/>
      <c r="T369">
        <f>IF(Q369="", "", IF(OR(Q369="Fail", Q369="Partial"), "Yes", "No"))</f>
        <v/>
      </c>
      <c r="U369" s="8" t="n"/>
      <c r="V369" s="8" t="n"/>
      <c r="W369" s="8" t="n"/>
      <c r="X369" s="8" t="inlineStr">
        <is>
          <t>No</t>
        </is>
      </c>
      <c r="Y369" s="8" t="n"/>
      <c r="Z369" s="8" t="n"/>
      <c r="AA369" s="8" t="n"/>
      <c r="AB369" s="8" t="inlineStr">
        <is>
          <t>[Security Analyst]</t>
        </is>
      </c>
      <c r="AC369" s="8" t="n"/>
      <c r="AD369" s="8" t="n"/>
      <c r="AE369" s="16">
        <f>IF(AA369&lt;&gt;"", AA369+90, "")</f>
        <v/>
      </c>
      <c r="AF369" s="8" t="n"/>
    </row>
    <row r="370">
      <c r="A370">
        <f>IF(B370&lt;&gt;"", "HC-"&amp;TEXT(ROW()-1,"00000"), "")</f>
        <v/>
      </c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>
        <f>IF(K370="", "", IF(K370="Implemented", "Pass", IF(K370="Partial", "Partial", IF(K370="Not Applicable", "N/A", "Fail"))))</f>
        <v/>
      </c>
      <c r="R370" s="8" t="n"/>
      <c r="S370" s="8" t="n"/>
      <c r="T370">
        <f>IF(Q370="", "", IF(OR(Q370="Fail", Q370="Partial"), "Yes", "No"))</f>
        <v/>
      </c>
      <c r="U370" s="8" t="n"/>
      <c r="V370" s="8" t="n"/>
      <c r="W370" s="8" t="n"/>
      <c r="X370" s="8" t="inlineStr">
        <is>
          <t>No</t>
        </is>
      </c>
      <c r="Y370" s="8" t="n"/>
      <c r="Z370" s="8" t="n"/>
      <c r="AA370" s="8" t="n"/>
      <c r="AB370" s="8" t="inlineStr">
        <is>
          <t>[Security Analyst]</t>
        </is>
      </c>
      <c r="AC370" s="8" t="n"/>
      <c r="AD370" s="8" t="n"/>
      <c r="AE370" s="16">
        <f>IF(AA370&lt;&gt;"", AA370+90, "")</f>
        <v/>
      </c>
      <c r="AF370" s="8" t="n"/>
    </row>
    <row r="371">
      <c r="A371">
        <f>IF(B371&lt;&gt;"", "HC-"&amp;TEXT(ROW()-1,"00000"), "")</f>
        <v/>
      </c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>
        <f>IF(K371="", "", IF(K371="Implemented", "Pass", IF(K371="Partial", "Partial", IF(K371="Not Applicable", "N/A", "Fail"))))</f>
        <v/>
      </c>
      <c r="R371" s="8" t="n"/>
      <c r="S371" s="8" t="n"/>
      <c r="T371">
        <f>IF(Q371="", "", IF(OR(Q371="Fail", Q371="Partial"), "Yes", "No"))</f>
        <v/>
      </c>
      <c r="U371" s="8" t="n"/>
      <c r="V371" s="8" t="n"/>
      <c r="W371" s="8" t="n"/>
      <c r="X371" s="8" t="inlineStr">
        <is>
          <t>No</t>
        </is>
      </c>
      <c r="Y371" s="8" t="n"/>
      <c r="Z371" s="8" t="n"/>
      <c r="AA371" s="8" t="n"/>
      <c r="AB371" s="8" t="inlineStr">
        <is>
          <t>[Security Analyst]</t>
        </is>
      </c>
      <c r="AC371" s="8" t="n"/>
      <c r="AD371" s="8" t="n"/>
      <c r="AE371" s="16">
        <f>IF(AA371&lt;&gt;"", AA371+90, "")</f>
        <v/>
      </c>
      <c r="AF371" s="8" t="n"/>
    </row>
    <row r="372">
      <c r="A372">
        <f>IF(B372&lt;&gt;"", "HC-"&amp;TEXT(ROW()-1,"00000"), "")</f>
        <v/>
      </c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>
        <f>IF(K372="", "", IF(K372="Implemented", "Pass", IF(K372="Partial", "Partial", IF(K372="Not Applicable", "N/A", "Fail"))))</f>
        <v/>
      </c>
      <c r="R372" s="8" t="n"/>
      <c r="S372" s="8" t="n"/>
      <c r="T372">
        <f>IF(Q372="", "", IF(OR(Q372="Fail", Q372="Partial"), "Yes", "No"))</f>
        <v/>
      </c>
      <c r="U372" s="8" t="n"/>
      <c r="V372" s="8" t="n"/>
      <c r="W372" s="8" t="n"/>
      <c r="X372" s="8" t="inlineStr">
        <is>
          <t>No</t>
        </is>
      </c>
      <c r="Y372" s="8" t="n"/>
      <c r="Z372" s="8" t="n"/>
      <c r="AA372" s="8" t="n"/>
      <c r="AB372" s="8" t="inlineStr">
        <is>
          <t>[Security Analyst]</t>
        </is>
      </c>
      <c r="AC372" s="8" t="n"/>
      <c r="AD372" s="8" t="n"/>
      <c r="AE372" s="16">
        <f>IF(AA372&lt;&gt;"", AA372+90, "")</f>
        <v/>
      </c>
      <c r="AF372" s="8" t="n"/>
    </row>
    <row r="373">
      <c r="A373">
        <f>IF(B373&lt;&gt;"", "HC-"&amp;TEXT(ROW()-1,"00000"), "")</f>
        <v/>
      </c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>
        <f>IF(K373="", "", IF(K373="Implemented", "Pass", IF(K373="Partial", "Partial", IF(K373="Not Applicable", "N/A", "Fail"))))</f>
        <v/>
      </c>
      <c r="R373" s="8" t="n"/>
      <c r="S373" s="8" t="n"/>
      <c r="T373">
        <f>IF(Q373="", "", IF(OR(Q373="Fail", Q373="Partial"), "Yes", "No"))</f>
        <v/>
      </c>
      <c r="U373" s="8" t="n"/>
      <c r="V373" s="8" t="n"/>
      <c r="W373" s="8" t="n"/>
      <c r="X373" s="8" t="inlineStr">
        <is>
          <t>No</t>
        </is>
      </c>
      <c r="Y373" s="8" t="n"/>
      <c r="Z373" s="8" t="n"/>
      <c r="AA373" s="8" t="n"/>
      <c r="AB373" s="8" t="inlineStr">
        <is>
          <t>[Security Analyst]</t>
        </is>
      </c>
      <c r="AC373" s="8" t="n"/>
      <c r="AD373" s="8" t="n"/>
      <c r="AE373" s="16">
        <f>IF(AA373&lt;&gt;"", AA373+90, "")</f>
        <v/>
      </c>
      <c r="AF373" s="8" t="n"/>
    </row>
    <row r="374">
      <c r="A374">
        <f>IF(B374&lt;&gt;"", "HC-"&amp;TEXT(ROW()-1,"00000"), "")</f>
        <v/>
      </c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>
        <f>IF(K374="", "", IF(K374="Implemented", "Pass", IF(K374="Partial", "Partial", IF(K374="Not Applicable", "N/A", "Fail"))))</f>
        <v/>
      </c>
      <c r="R374" s="8" t="n"/>
      <c r="S374" s="8" t="n"/>
      <c r="T374">
        <f>IF(Q374="", "", IF(OR(Q374="Fail", Q374="Partial"), "Yes", "No"))</f>
        <v/>
      </c>
      <c r="U374" s="8" t="n"/>
      <c r="V374" s="8" t="n"/>
      <c r="W374" s="8" t="n"/>
      <c r="X374" s="8" t="inlineStr">
        <is>
          <t>No</t>
        </is>
      </c>
      <c r="Y374" s="8" t="n"/>
      <c r="Z374" s="8" t="n"/>
      <c r="AA374" s="8" t="n"/>
      <c r="AB374" s="8" t="inlineStr">
        <is>
          <t>[Security Analyst]</t>
        </is>
      </c>
      <c r="AC374" s="8" t="n"/>
      <c r="AD374" s="8" t="n"/>
      <c r="AE374" s="16">
        <f>IF(AA374&lt;&gt;"", AA374+90, "")</f>
        <v/>
      </c>
      <c r="AF374" s="8" t="n"/>
    </row>
    <row r="375">
      <c r="A375">
        <f>IF(B375&lt;&gt;"", "HC-"&amp;TEXT(ROW()-1,"00000"), "")</f>
        <v/>
      </c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>
        <f>IF(K375="", "", IF(K375="Implemented", "Pass", IF(K375="Partial", "Partial", IF(K375="Not Applicable", "N/A", "Fail"))))</f>
        <v/>
      </c>
      <c r="R375" s="8" t="n"/>
      <c r="S375" s="8" t="n"/>
      <c r="T375">
        <f>IF(Q375="", "", IF(OR(Q375="Fail", Q375="Partial"), "Yes", "No"))</f>
        <v/>
      </c>
      <c r="U375" s="8" t="n"/>
      <c r="V375" s="8" t="n"/>
      <c r="W375" s="8" t="n"/>
      <c r="X375" s="8" t="inlineStr">
        <is>
          <t>No</t>
        </is>
      </c>
      <c r="Y375" s="8" t="n"/>
      <c r="Z375" s="8" t="n"/>
      <c r="AA375" s="8" t="n"/>
      <c r="AB375" s="8" t="inlineStr">
        <is>
          <t>[Security Analyst]</t>
        </is>
      </c>
      <c r="AC375" s="8" t="n"/>
      <c r="AD375" s="8" t="n"/>
      <c r="AE375" s="16">
        <f>IF(AA375&lt;&gt;"", AA375+90, "")</f>
        <v/>
      </c>
      <c r="AF375" s="8" t="n"/>
    </row>
    <row r="376">
      <c r="A376">
        <f>IF(B376&lt;&gt;"", "HC-"&amp;TEXT(ROW()-1,"00000"), "")</f>
        <v/>
      </c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>
        <f>IF(K376="", "", IF(K376="Implemented", "Pass", IF(K376="Partial", "Partial", IF(K376="Not Applicable", "N/A", "Fail"))))</f>
        <v/>
      </c>
      <c r="R376" s="8" t="n"/>
      <c r="S376" s="8" t="n"/>
      <c r="T376">
        <f>IF(Q376="", "", IF(OR(Q376="Fail", Q376="Partial"), "Yes", "No"))</f>
        <v/>
      </c>
      <c r="U376" s="8" t="n"/>
      <c r="V376" s="8" t="n"/>
      <c r="W376" s="8" t="n"/>
      <c r="X376" s="8" t="inlineStr">
        <is>
          <t>No</t>
        </is>
      </c>
      <c r="Y376" s="8" t="n"/>
      <c r="Z376" s="8" t="n"/>
      <c r="AA376" s="8" t="n"/>
      <c r="AB376" s="8" t="inlineStr">
        <is>
          <t>[Security Analyst]</t>
        </is>
      </c>
      <c r="AC376" s="8" t="n"/>
      <c r="AD376" s="8" t="n"/>
      <c r="AE376" s="16">
        <f>IF(AA376&lt;&gt;"", AA376+90, "")</f>
        <v/>
      </c>
      <c r="AF376" s="8" t="n"/>
    </row>
    <row r="377">
      <c r="A377">
        <f>IF(B377&lt;&gt;"", "HC-"&amp;TEXT(ROW()-1,"00000"), "")</f>
        <v/>
      </c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>
        <f>IF(K377="", "", IF(K377="Implemented", "Pass", IF(K377="Partial", "Partial", IF(K377="Not Applicable", "N/A", "Fail"))))</f>
        <v/>
      </c>
      <c r="R377" s="8" t="n"/>
      <c r="S377" s="8" t="n"/>
      <c r="T377">
        <f>IF(Q377="", "", IF(OR(Q377="Fail", Q377="Partial"), "Yes", "No"))</f>
        <v/>
      </c>
      <c r="U377" s="8" t="n"/>
      <c r="V377" s="8" t="n"/>
      <c r="W377" s="8" t="n"/>
      <c r="X377" s="8" t="inlineStr">
        <is>
          <t>No</t>
        </is>
      </c>
      <c r="Y377" s="8" t="n"/>
      <c r="Z377" s="8" t="n"/>
      <c r="AA377" s="8" t="n"/>
      <c r="AB377" s="8" t="inlineStr">
        <is>
          <t>[Security Analyst]</t>
        </is>
      </c>
      <c r="AC377" s="8" t="n"/>
      <c r="AD377" s="8" t="n"/>
      <c r="AE377" s="16">
        <f>IF(AA377&lt;&gt;"", AA377+90, "")</f>
        <v/>
      </c>
      <c r="AF377" s="8" t="n"/>
    </row>
    <row r="378">
      <c r="A378">
        <f>IF(B378&lt;&gt;"", "HC-"&amp;TEXT(ROW()-1,"00000"), "")</f>
        <v/>
      </c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>
        <f>IF(K378="", "", IF(K378="Implemented", "Pass", IF(K378="Partial", "Partial", IF(K378="Not Applicable", "N/A", "Fail"))))</f>
        <v/>
      </c>
      <c r="R378" s="8" t="n"/>
      <c r="S378" s="8" t="n"/>
      <c r="T378">
        <f>IF(Q378="", "", IF(OR(Q378="Fail", Q378="Partial"), "Yes", "No"))</f>
        <v/>
      </c>
      <c r="U378" s="8" t="n"/>
      <c r="V378" s="8" t="n"/>
      <c r="W378" s="8" t="n"/>
      <c r="X378" s="8" t="inlineStr">
        <is>
          <t>No</t>
        </is>
      </c>
      <c r="Y378" s="8" t="n"/>
      <c r="Z378" s="8" t="n"/>
      <c r="AA378" s="8" t="n"/>
      <c r="AB378" s="8" t="inlineStr">
        <is>
          <t>[Security Analyst]</t>
        </is>
      </c>
      <c r="AC378" s="8" t="n"/>
      <c r="AD378" s="8" t="n"/>
      <c r="AE378" s="16">
        <f>IF(AA378&lt;&gt;"", AA378+90, "")</f>
        <v/>
      </c>
      <c r="AF378" s="8" t="n"/>
    </row>
    <row r="379">
      <c r="A379">
        <f>IF(B379&lt;&gt;"", "HC-"&amp;TEXT(ROW()-1,"00000"), "")</f>
        <v/>
      </c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>
        <f>IF(K379="", "", IF(K379="Implemented", "Pass", IF(K379="Partial", "Partial", IF(K379="Not Applicable", "N/A", "Fail"))))</f>
        <v/>
      </c>
      <c r="R379" s="8" t="n"/>
      <c r="S379" s="8" t="n"/>
      <c r="T379">
        <f>IF(Q379="", "", IF(OR(Q379="Fail", Q379="Partial"), "Yes", "No"))</f>
        <v/>
      </c>
      <c r="U379" s="8" t="n"/>
      <c r="V379" s="8" t="n"/>
      <c r="W379" s="8" t="n"/>
      <c r="X379" s="8" t="inlineStr">
        <is>
          <t>No</t>
        </is>
      </c>
      <c r="Y379" s="8" t="n"/>
      <c r="Z379" s="8" t="n"/>
      <c r="AA379" s="8" t="n"/>
      <c r="AB379" s="8" t="inlineStr">
        <is>
          <t>[Security Analyst]</t>
        </is>
      </c>
      <c r="AC379" s="8" t="n"/>
      <c r="AD379" s="8" t="n"/>
      <c r="AE379" s="16">
        <f>IF(AA379&lt;&gt;"", AA379+90, "")</f>
        <v/>
      </c>
      <c r="AF379" s="8" t="n"/>
    </row>
    <row r="380">
      <c r="A380">
        <f>IF(B380&lt;&gt;"", "HC-"&amp;TEXT(ROW()-1,"00000"), "")</f>
        <v/>
      </c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>
        <f>IF(K380="", "", IF(K380="Implemented", "Pass", IF(K380="Partial", "Partial", IF(K380="Not Applicable", "N/A", "Fail"))))</f>
        <v/>
      </c>
      <c r="R380" s="8" t="n"/>
      <c r="S380" s="8" t="n"/>
      <c r="T380">
        <f>IF(Q380="", "", IF(OR(Q380="Fail", Q380="Partial"), "Yes", "No"))</f>
        <v/>
      </c>
      <c r="U380" s="8" t="n"/>
      <c r="V380" s="8" t="n"/>
      <c r="W380" s="8" t="n"/>
      <c r="X380" s="8" t="inlineStr">
        <is>
          <t>No</t>
        </is>
      </c>
      <c r="Y380" s="8" t="n"/>
      <c r="Z380" s="8" t="n"/>
      <c r="AA380" s="8" t="n"/>
      <c r="AB380" s="8" t="inlineStr">
        <is>
          <t>[Security Analyst]</t>
        </is>
      </c>
      <c r="AC380" s="8" t="n"/>
      <c r="AD380" s="8" t="n"/>
      <c r="AE380" s="16">
        <f>IF(AA380&lt;&gt;"", AA380+90, "")</f>
        <v/>
      </c>
      <c r="AF380" s="8" t="n"/>
    </row>
    <row r="381">
      <c r="A381">
        <f>IF(B381&lt;&gt;"", "HC-"&amp;TEXT(ROW()-1,"00000"), "")</f>
        <v/>
      </c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>
        <f>IF(K381="", "", IF(K381="Implemented", "Pass", IF(K381="Partial", "Partial", IF(K381="Not Applicable", "N/A", "Fail"))))</f>
        <v/>
      </c>
      <c r="R381" s="8" t="n"/>
      <c r="S381" s="8" t="n"/>
      <c r="T381">
        <f>IF(Q381="", "", IF(OR(Q381="Fail", Q381="Partial"), "Yes", "No"))</f>
        <v/>
      </c>
      <c r="U381" s="8" t="n"/>
      <c r="V381" s="8" t="n"/>
      <c r="W381" s="8" t="n"/>
      <c r="X381" s="8" t="inlineStr">
        <is>
          <t>No</t>
        </is>
      </c>
      <c r="Y381" s="8" t="n"/>
      <c r="Z381" s="8" t="n"/>
      <c r="AA381" s="8" t="n"/>
      <c r="AB381" s="8" t="inlineStr">
        <is>
          <t>[Security Analyst]</t>
        </is>
      </c>
      <c r="AC381" s="8" t="n"/>
      <c r="AD381" s="8" t="n"/>
      <c r="AE381" s="16">
        <f>IF(AA381&lt;&gt;"", AA381+90, "")</f>
        <v/>
      </c>
      <c r="AF381" s="8" t="n"/>
    </row>
    <row r="382">
      <c r="A382">
        <f>IF(B382&lt;&gt;"", "HC-"&amp;TEXT(ROW()-1,"00000"), "")</f>
        <v/>
      </c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>
        <f>IF(K382="", "", IF(K382="Implemented", "Pass", IF(K382="Partial", "Partial", IF(K382="Not Applicable", "N/A", "Fail"))))</f>
        <v/>
      </c>
      <c r="R382" s="8" t="n"/>
      <c r="S382" s="8" t="n"/>
      <c r="T382">
        <f>IF(Q382="", "", IF(OR(Q382="Fail", Q382="Partial"), "Yes", "No"))</f>
        <v/>
      </c>
      <c r="U382" s="8" t="n"/>
      <c r="V382" s="8" t="n"/>
      <c r="W382" s="8" t="n"/>
      <c r="X382" s="8" t="inlineStr">
        <is>
          <t>No</t>
        </is>
      </c>
      <c r="Y382" s="8" t="n"/>
      <c r="Z382" s="8" t="n"/>
      <c r="AA382" s="8" t="n"/>
      <c r="AB382" s="8" t="inlineStr">
        <is>
          <t>[Security Analyst]</t>
        </is>
      </c>
      <c r="AC382" s="8" t="n"/>
      <c r="AD382" s="8" t="n"/>
      <c r="AE382" s="16">
        <f>IF(AA382&lt;&gt;"", AA382+90, "")</f>
        <v/>
      </c>
      <c r="AF382" s="8" t="n"/>
    </row>
    <row r="383">
      <c r="A383">
        <f>IF(B383&lt;&gt;"", "HC-"&amp;TEXT(ROW()-1,"00000"), "")</f>
        <v/>
      </c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>
        <f>IF(K383="", "", IF(K383="Implemented", "Pass", IF(K383="Partial", "Partial", IF(K383="Not Applicable", "N/A", "Fail"))))</f>
        <v/>
      </c>
      <c r="R383" s="8" t="n"/>
      <c r="S383" s="8" t="n"/>
      <c r="T383">
        <f>IF(Q383="", "", IF(OR(Q383="Fail", Q383="Partial"), "Yes", "No"))</f>
        <v/>
      </c>
      <c r="U383" s="8" t="n"/>
      <c r="V383" s="8" t="n"/>
      <c r="W383" s="8" t="n"/>
      <c r="X383" s="8" t="inlineStr">
        <is>
          <t>No</t>
        </is>
      </c>
      <c r="Y383" s="8" t="n"/>
      <c r="Z383" s="8" t="n"/>
      <c r="AA383" s="8" t="n"/>
      <c r="AB383" s="8" t="inlineStr">
        <is>
          <t>[Security Analyst]</t>
        </is>
      </c>
      <c r="AC383" s="8" t="n"/>
      <c r="AD383" s="8" t="n"/>
      <c r="AE383" s="16">
        <f>IF(AA383&lt;&gt;"", AA383+90, "")</f>
        <v/>
      </c>
      <c r="AF383" s="8" t="n"/>
    </row>
    <row r="384">
      <c r="A384">
        <f>IF(B384&lt;&gt;"", "HC-"&amp;TEXT(ROW()-1,"00000"), "")</f>
        <v/>
      </c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>
        <f>IF(K384="", "", IF(K384="Implemented", "Pass", IF(K384="Partial", "Partial", IF(K384="Not Applicable", "N/A", "Fail"))))</f>
        <v/>
      </c>
      <c r="R384" s="8" t="n"/>
      <c r="S384" s="8" t="n"/>
      <c r="T384">
        <f>IF(Q384="", "", IF(OR(Q384="Fail", Q384="Partial"), "Yes", "No"))</f>
        <v/>
      </c>
      <c r="U384" s="8" t="n"/>
      <c r="V384" s="8" t="n"/>
      <c r="W384" s="8" t="n"/>
      <c r="X384" s="8" t="inlineStr">
        <is>
          <t>No</t>
        </is>
      </c>
      <c r="Y384" s="8" t="n"/>
      <c r="Z384" s="8" t="n"/>
      <c r="AA384" s="8" t="n"/>
      <c r="AB384" s="8" t="inlineStr">
        <is>
          <t>[Security Analyst]</t>
        </is>
      </c>
      <c r="AC384" s="8" t="n"/>
      <c r="AD384" s="8" t="n"/>
      <c r="AE384" s="16">
        <f>IF(AA384&lt;&gt;"", AA384+90, "")</f>
        <v/>
      </c>
      <c r="AF384" s="8" t="n"/>
    </row>
    <row r="385">
      <c r="A385">
        <f>IF(B385&lt;&gt;"", "HC-"&amp;TEXT(ROW()-1,"00000"), "")</f>
        <v/>
      </c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>
        <f>IF(K385="", "", IF(K385="Implemented", "Pass", IF(K385="Partial", "Partial", IF(K385="Not Applicable", "N/A", "Fail"))))</f>
        <v/>
      </c>
      <c r="R385" s="8" t="n"/>
      <c r="S385" s="8" t="n"/>
      <c r="T385">
        <f>IF(Q385="", "", IF(OR(Q385="Fail", Q385="Partial"), "Yes", "No"))</f>
        <v/>
      </c>
      <c r="U385" s="8" t="n"/>
      <c r="V385" s="8" t="n"/>
      <c r="W385" s="8" t="n"/>
      <c r="X385" s="8" t="inlineStr">
        <is>
          <t>No</t>
        </is>
      </c>
      <c r="Y385" s="8" t="n"/>
      <c r="Z385" s="8" t="n"/>
      <c r="AA385" s="8" t="n"/>
      <c r="AB385" s="8" t="inlineStr">
        <is>
          <t>[Security Analyst]</t>
        </is>
      </c>
      <c r="AC385" s="8" t="n"/>
      <c r="AD385" s="8" t="n"/>
      <c r="AE385" s="16">
        <f>IF(AA385&lt;&gt;"", AA385+90, "")</f>
        <v/>
      </c>
      <c r="AF385" s="8" t="n"/>
    </row>
    <row r="386">
      <c r="A386">
        <f>IF(B386&lt;&gt;"", "HC-"&amp;TEXT(ROW()-1,"00000"), "")</f>
        <v/>
      </c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>
        <f>IF(K386="", "", IF(K386="Implemented", "Pass", IF(K386="Partial", "Partial", IF(K386="Not Applicable", "N/A", "Fail"))))</f>
        <v/>
      </c>
      <c r="R386" s="8" t="n"/>
      <c r="S386" s="8" t="n"/>
      <c r="T386">
        <f>IF(Q386="", "", IF(OR(Q386="Fail", Q386="Partial"), "Yes", "No"))</f>
        <v/>
      </c>
      <c r="U386" s="8" t="n"/>
      <c r="V386" s="8" t="n"/>
      <c r="W386" s="8" t="n"/>
      <c r="X386" s="8" t="inlineStr">
        <is>
          <t>No</t>
        </is>
      </c>
      <c r="Y386" s="8" t="n"/>
      <c r="Z386" s="8" t="n"/>
      <c r="AA386" s="8" t="n"/>
      <c r="AB386" s="8" t="inlineStr">
        <is>
          <t>[Security Analyst]</t>
        </is>
      </c>
      <c r="AC386" s="8" t="n"/>
      <c r="AD386" s="8" t="n"/>
      <c r="AE386" s="16">
        <f>IF(AA386&lt;&gt;"", AA386+90, "")</f>
        <v/>
      </c>
      <c r="AF386" s="8" t="n"/>
    </row>
    <row r="387">
      <c r="A387">
        <f>IF(B387&lt;&gt;"", "HC-"&amp;TEXT(ROW()-1,"00000"), "")</f>
        <v/>
      </c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>
        <f>IF(K387="", "", IF(K387="Implemented", "Pass", IF(K387="Partial", "Partial", IF(K387="Not Applicable", "N/A", "Fail"))))</f>
        <v/>
      </c>
      <c r="R387" s="8" t="n"/>
      <c r="S387" s="8" t="n"/>
      <c r="T387">
        <f>IF(Q387="", "", IF(OR(Q387="Fail", Q387="Partial"), "Yes", "No"))</f>
        <v/>
      </c>
      <c r="U387" s="8" t="n"/>
      <c r="V387" s="8" t="n"/>
      <c r="W387" s="8" t="n"/>
      <c r="X387" s="8" t="inlineStr">
        <is>
          <t>No</t>
        </is>
      </c>
      <c r="Y387" s="8" t="n"/>
      <c r="Z387" s="8" t="n"/>
      <c r="AA387" s="8" t="n"/>
      <c r="AB387" s="8" t="inlineStr">
        <is>
          <t>[Security Analyst]</t>
        </is>
      </c>
      <c r="AC387" s="8" t="n"/>
      <c r="AD387" s="8" t="n"/>
      <c r="AE387" s="16">
        <f>IF(AA387&lt;&gt;"", AA387+90, "")</f>
        <v/>
      </c>
      <c r="AF387" s="8" t="n"/>
    </row>
    <row r="388">
      <c r="A388">
        <f>IF(B388&lt;&gt;"", "HC-"&amp;TEXT(ROW()-1,"00000"), "")</f>
        <v/>
      </c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>
        <f>IF(K388="", "", IF(K388="Implemented", "Pass", IF(K388="Partial", "Partial", IF(K388="Not Applicable", "N/A", "Fail"))))</f>
        <v/>
      </c>
      <c r="R388" s="8" t="n"/>
      <c r="S388" s="8" t="n"/>
      <c r="T388">
        <f>IF(Q388="", "", IF(OR(Q388="Fail", Q388="Partial"), "Yes", "No"))</f>
        <v/>
      </c>
      <c r="U388" s="8" t="n"/>
      <c r="V388" s="8" t="n"/>
      <c r="W388" s="8" t="n"/>
      <c r="X388" s="8" t="inlineStr">
        <is>
          <t>No</t>
        </is>
      </c>
      <c r="Y388" s="8" t="n"/>
      <c r="Z388" s="8" t="n"/>
      <c r="AA388" s="8" t="n"/>
      <c r="AB388" s="8" t="inlineStr">
        <is>
          <t>[Security Analyst]</t>
        </is>
      </c>
      <c r="AC388" s="8" t="n"/>
      <c r="AD388" s="8" t="n"/>
      <c r="AE388" s="16">
        <f>IF(AA388&lt;&gt;"", AA388+90, "")</f>
        <v/>
      </c>
      <c r="AF388" s="8" t="n"/>
    </row>
    <row r="389">
      <c r="A389">
        <f>IF(B389&lt;&gt;"", "HC-"&amp;TEXT(ROW()-1,"00000"), "")</f>
        <v/>
      </c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>
        <f>IF(K389="", "", IF(K389="Implemented", "Pass", IF(K389="Partial", "Partial", IF(K389="Not Applicable", "N/A", "Fail"))))</f>
        <v/>
      </c>
      <c r="R389" s="8" t="n"/>
      <c r="S389" s="8" t="n"/>
      <c r="T389">
        <f>IF(Q389="", "", IF(OR(Q389="Fail", Q389="Partial"), "Yes", "No"))</f>
        <v/>
      </c>
      <c r="U389" s="8" t="n"/>
      <c r="V389" s="8" t="n"/>
      <c r="W389" s="8" t="n"/>
      <c r="X389" s="8" t="inlineStr">
        <is>
          <t>No</t>
        </is>
      </c>
      <c r="Y389" s="8" t="n"/>
      <c r="Z389" s="8" t="n"/>
      <c r="AA389" s="8" t="n"/>
      <c r="AB389" s="8" t="inlineStr">
        <is>
          <t>[Security Analyst]</t>
        </is>
      </c>
      <c r="AC389" s="8" t="n"/>
      <c r="AD389" s="8" t="n"/>
      <c r="AE389" s="16">
        <f>IF(AA389&lt;&gt;"", AA389+90, "")</f>
        <v/>
      </c>
      <c r="AF389" s="8" t="n"/>
    </row>
    <row r="390">
      <c r="A390">
        <f>IF(B390&lt;&gt;"", "HC-"&amp;TEXT(ROW()-1,"00000"), "")</f>
        <v/>
      </c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>
        <f>IF(K390="", "", IF(K390="Implemented", "Pass", IF(K390="Partial", "Partial", IF(K390="Not Applicable", "N/A", "Fail"))))</f>
        <v/>
      </c>
      <c r="R390" s="8" t="n"/>
      <c r="S390" s="8" t="n"/>
      <c r="T390">
        <f>IF(Q390="", "", IF(OR(Q390="Fail", Q390="Partial"), "Yes", "No"))</f>
        <v/>
      </c>
      <c r="U390" s="8" t="n"/>
      <c r="V390" s="8" t="n"/>
      <c r="W390" s="8" t="n"/>
      <c r="X390" s="8" t="inlineStr">
        <is>
          <t>No</t>
        </is>
      </c>
      <c r="Y390" s="8" t="n"/>
      <c r="Z390" s="8" t="n"/>
      <c r="AA390" s="8" t="n"/>
      <c r="AB390" s="8" t="inlineStr">
        <is>
          <t>[Security Analyst]</t>
        </is>
      </c>
      <c r="AC390" s="8" t="n"/>
      <c r="AD390" s="8" t="n"/>
      <c r="AE390" s="16">
        <f>IF(AA390&lt;&gt;"", AA390+90, "")</f>
        <v/>
      </c>
      <c r="AF390" s="8" t="n"/>
    </row>
    <row r="391">
      <c r="A391">
        <f>IF(B391&lt;&gt;"", "HC-"&amp;TEXT(ROW()-1,"00000"), "")</f>
        <v/>
      </c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>
        <f>IF(K391="", "", IF(K391="Implemented", "Pass", IF(K391="Partial", "Partial", IF(K391="Not Applicable", "N/A", "Fail"))))</f>
        <v/>
      </c>
      <c r="R391" s="8" t="n"/>
      <c r="S391" s="8" t="n"/>
      <c r="T391">
        <f>IF(Q391="", "", IF(OR(Q391="Fail", Q391="Partial"), "Yes", "No"))</f>
        <v/>
      </c>
      <c r="U391" s="8" t="n"/>
      <c r="V391" s="8" t="n"/>
      <c r="W391" s="8" t="n"/>
      <c r="X391" s="8" t="inlineStr">
        <is>
          <t>No</t>
        </is>
      </c>
      <c r="Y391" s="8" t="n"/>
      <c r="Z391" s="8" t="n"/>
      <c r="AA391" s="8" t="n"/>
      <c r="AB391" s="8" t="inlineStr">
        <is>
          <t>[Security Analyst]</t>
        </is>
      </c>
      <c r="AC391" s="8" t="n"/>
      <c r="AD391" s="8" t="n"/>
      <c r="AE391" s="16">
        <f>IF(AA391&lt;&gt;"", AA391+90, "")</f>
        <v/>
      </c>
      <c r="AF391" s="8" t="n"/>
    </row>
    <row r="392">
      <c r="A392">
        <f>IF(B392&lt;&gt;"", "HC-"&amp;TEXT(ROW()-1,"00000"), "")</f>
        <v/>
      </c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>
        <f>IF(K392="", "", IF(K392="Implemented", "Pass", IF(K392="Partial", "Partial", IF(K392="Not Applicable", "N/A", "Fail"))))</f>
        <v/>
      </c>
      <c r="R392" s="8" t="n"/>
      <c r="S392" s="8" t="n"/>
      <c r="T392">
        <f>IF(Q392="", "", IF(OR(Q392="Fail", Q392="Partial"), "Yes", "No"))</f>
        <v/>
      </c>
      <c r="U392" s="8" t="n"/>
      <c r="V392" s="8" t="n"/>
      <c r="W392" s="8" t="n"/>
      <c r="X392" s="8" t="inlineStr">
        <is>
          <t>No</t>
        </is>
      </c>
      <c r="Y392" s="8" t="n"/>
      <c r="Z392" s="8" t="n"/>
      <c r="AA392" s="8" t="n"/>
      <c r="AB392" s="8" t="inlineStr">
        <is>
          <t>[Security Analyst]</t>
        </is>
      </c>
      <c r="AC392" s="8" t="n"/>
      <c r="AD392" s="8" t="n"/>
      <c r="AE392" s="16">
        <f>IF(AA392&lt;&gt;"", AA392+90, "")</f>
        <v/>
      </c>
      <c r="AF392" s="8" t="n"/>
    </row>
    <row r="393">
      <c r="A393">
        <f>IF(B393&lt;&gt;"", "HC-"&amp;TEXT(ROW()-1,"00000"), "")</f>
        <v/>
      </c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>
        <f>IF(K393="", "", IF(K393="Implemented", "Pass", IF(K393="Partial", "Partial", IF(K393="Not Applicable", "N/A", "Fail"))))</f>
        <v/>
      </c>
      <c r="R393" s="8" t="n"/>
      <c r="S393" s="8" t="n"/>
      <c r="T393">
        <f>IF(Q393="", "", IF(OR(Q393="Fail", Q393="Partial"), "Yes", "No"))</f>
        <v/>
      </c>
      <c r="U393" s="8" t="n"/>
      <c r="V393" s="8" t="n"/>
      <c r="W393" s="8" t="n"/>
      <c r="X393" s="8" t="inlineStr">
        <is>
          <t>No</t>
        </is>
      </c>
      <c r="Y393" s="8" t="n"/>
      <c r="Z393" s="8" t="n"/>
      <c r="AA393" s="8" t="n"/>
      <c r="AB393" s="8" t="inlineStr">
        <is>
          <t>[Security Analyst]</t>
        </is>
      </c>
      <c r="AC393" s="8" t="n"/>
      <c r="AD393" s="8" t="n"/>
      <c r="AE393" s="16">
        <f>IF(AA393&lt;&gt;"", AA393+90, "")</f>
        <v/>
      </c>
      <c r="AF393" s="8" t="n"/>
    </row>
    <row r="394">
      <c r="A394">
        <f>IF(B394&lt;&gt;"", "HC-"&amp;TEXT(ROW()-1,"00000"), "")</f>
        <v/>
      </c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>
        <f>IF(K394="", "", IF(K394="Implemented", "Pass", IF(K394="Partial", "Partial", IF(K394="Not Applicable", "N/A", "Fail"))))</f>
        <v/>
      </c>
      <c r="R394" s="8" t="n"/>
      <c r="S394" s="8" t="n"/>
      <c r="T394">
        <f>IF(Q394="", "", IF(OR(Q394="Fail", Q394="Partial"), "Yes", "No"))</f>
        <v/>
      </c>
      <c r="U394" s="8" t="n"/>
      <c r="V394" s="8" t="n"/>
      <c r="W394" s="8" t="n"/>
      <c r="X394" s="8" t="inlineStr">
        <is>
          <t>No</t>
        </is>
      </c>
      <c r="Y394" s="8" t="n"/>
      <c r="Z394" s="8" t="n"/>
      <c r="AA394" s="8" t="n"/>
      <c r="AB394" s="8" t="inlineStr">
        <is>
          <t>[Security Analyst]</t>
        </is>
      </c>
      <c r="AC394" s="8" t="n"/>
      <c r="AD394" s="8" t="n"/>
      <c r="AE394" s="16">
        <f>IF(AA394&lt;&gt;"", AA394+90, "")</f>
        <v/>
      </c>
      <c r="AF394" s="8" t="n"/>
    </row>
    <row r="395">
      <c r="A395">
        <f>IF(B395&lt;&gt;"", "HC-"&amp;TEXT(ROW()-1,"00000"), "")</f>
        <v/>
      </c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>
        <f>IF(K395="", "", IF(K395="Implemented", "Pass", IF(K395="Partial", "Partial", IF(K395="Not Applicable", "N/A", "Fail"))))</f>
        <v/>
      </c>
      <c r="R395" s="8" t="n"/>
      <c r="S395" s="8" t="n"/>
      <c r="T395">
        <f>IF(Q395="", "", IF(OR(Q395="Fail", Q395="Partial"), "Yes", "No"))</f>
        <v/>
      </c>
      <c r="U395" s="8" t="n"/>
      <c r="V395" s="8" t="n"/>
      <c r="W395" s="8" t="n"/>
      <c r="X395" s="8" t="inlineStr">
        <is>
          <t>No</t>
        </is>
      </c>
      <c r="Y395" s="8" t="n"/>
      <c r="Z395" s="8" t="n"/>
      <c r="AA395" s="8" t="n"/>
      <c r="AB395" s="8" t="inlineStr">
        <is>
          <t>[Security Analyst]</t>
        </is>
      </c>
      <c r="AC395" s="8" t="n"/>
      <c r="AD395" s="8" t="n"/>
      <c r="AE395" s="16">
        <f>IF(AA395&lt;&gt;"", AA395+90, "")</f>
        <v/>
      </c>
      <c r="AF395" s="8" t="n"/>
    </row>
    <row r="396">
      <c r="A396">
        <f>IF(B396&lt;&gt;"", "HC-"&amp;TEXT(ROW()-1,"00000"), "")</f>
        <v/>
      </c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>
        <f>IF(K396="", "", IF(K396="Implemented", "Pass", IF(K396="Partial", "Partial", IF(K396="Not Applicable", "N/A", "Fail"))))</f>
        <v/>
      </c>
      <c r="R396" s="8" t="n"/>
      <c r="S396" s="8" t="n"/>
      <c r="T396">
        <f>IF(Q396="", "", IF(OR(Q396="Fail", Q396="Partial"), "Yes", "No"))</f>
        <v/>
      </c>
      <c r="U396" s="8" t="n"/>
      <c r="V396" s="8" t="n"/>
      <c r="W396" s="8" t="n"/>
      <c r="X396" s="8" t="inlineStr">
        <is>
          <t>No</t>
        </is>
      </c>
      <c r="Y396" s="8" t="n"/>
      <c r="Z396" s="8" t="n"/>
      <c r="AA396" s="8" t="n"/>
      <c r="AB396" s="8" t="inlineStr">
        <is>
          <t>[Security Analyst]</t>
        </is>
      </c>
      <c r="AC396" s="8" t="n"/>
      <c r="AD396" s="8" t="n"/>
      <c r="AE396" s="16">
        <f>IF(AA396&lt;&gt;"", AA396+90, "")</f>
        <v/>
      </c>
      <c r="AF396" s="8" t="n"/>
    </row>
    <row r="397">
      <c r="A397">
        <f>IF(B397&lt;&gt;"", "HC-"&amp;TEXT(ROW()-1,"00000"), "")</f>
        <v/>
      </c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>
        <f>IF(K397="", "", IF(K397="Implemented", "Pass", IF(K397="Partial", "Partial", IF(K397="Not Applicable", "N/A", "Fail"))))</f>
        <v/>
      </c>
      <c r="R397" s="8" t="n"/>
      <c r="S397" s="8" t="n"/>
      <c r="T397">
        <f>IF(Q397="", "", IF(OR(Q397="Fail", Q397="Partial"), "Yes", "No"))</f>
        <v/>
      </c>
      <c r="U397" s="8" t="n"/>
      <c r="V397" s="8" t="n"/>
      <c r="W397" s="8" t="n"/>
      <c r="X397" s="8" t="inlineStr">
        <is>
          <t>No</t>
        </is>
      </c>
      <c r="Y397" s="8" t="n"/>
      <c r="Z397" s="8" t="n"/>
      <c r="AA397" s="8" t="n"/>
      <c r="AB397" s="8" t="inlineStr">
        <is>
          <t>[Security Analyst]</t>
        </is>
      </c>
      <c r="AC397" s="8" t="n"/>
      <c r="AD397" s="8" t="n"/>
      <c r="AE397" s="16">
        <f>IF(AA397&lt;&gt;"", AA397+90, "")</f>
        <v/>
      </c>
      <c r="AF397" s="8" t="n"/>
    </row>
    <row r="398">
      <c r="A398">
        <f>IF(B398&lt;&gt;"", "HC-"&amp;TEXT(ROW()-1,"00000"), "")</f>
        <v/>
      </c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>
        <f>IF(K398="", "", IF(K398="Implemented", "Pass", IF(K398="Partial", "Partial", IF(K398="Not Applicable", "N/A", "Fail"))))</f>
        <v/>
      </c>
      <c r="R398" s="8" t="n"/>
      <c r="S398" s="8" t="n"/>
      <c r="T398">
        <f>IF(Q398="", "", IF(OR(Q398="Fail", Q398="Partial"), "Yes", "No"))</f>
        <v/>
      </c>
      <c r="U398" s="8" t="n"/>
      <c r="V398" s="8" t="n"/>
      <c r="W398" s="8" t="n"/>
      <c r="X398" s="8" t="inlineStr">
        <is>
          <t>No</t>
        </is>
      </c>
      <c r="Y398" s="8" t="n"/>
      <c r="Z398" s="8" t="n"/>
      <c r="AA398" s="8" t="n"/>
      <c r="AB398" s="8" t="inlineStr">
        <is>
          <t>[Security Analyst]</t>
        </is>
      </c>
      <c r="AC398" s="8" t="n"/>
      <c r="AD398" s="8" t="n"/>
      <c r="AE398" s="16">
        <f>IF(AA398&lt;&gt;"", AA398+90, "")</f>
        <v/>
      </c>
      <c r="AF398" s="8" t="n"/>
    </row>
    <row r="399">
      <c r="A399">
        <f>IF(B399&lt;&gt;"", "HC-"&amp;TEXT(ROW()-1,"00000"), "")</f>
        <v/>
      </c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>
        <f>IF(K399="", "", IF(K399="Implemented", "Pass", IF(K399="Partial", "Partial", IF(K399="Not Applicable", "N/A", "Fail"))))</f>
        <v/>
      </c>
      <c r="R399" s="8" t="n"/>
      <c r="S399" s="8" t="n"/>
      <c r="T399">
        <f>IF(Q399="", "", IF(OR(Q399="Fail", Q399="Partial"), "Yes", "No"))</f>
        <v/>
      </c>
      <c r="U399" s="8" t="n"/>
      <c r="V399" s="8" t="n"/>
      <c r="W399" s="8" t="n"/>
      <c r="X399" s="8" t="inlineStr">
        <is>
          <t>No</t>
        </is>
      </c>
      <c r="Y399" s="8" t="n"/>
      <c r="Z399" s="8" t="n"/>
      <c r="AA399" s="8" t="n"/>
      <c r="AB399" s="8" t="inlineStr">
        <is>
          <t>[Security Analyst]</t>
        </is>
      </c>
      <c r="AC399" s="8" t="n"/>
      <c r="AD399" s="8" t="n"/>
      <c r="AE399" s="16">
        <f>IF(AA399&lt;&gt;"", AA399+90, "")</f>
        <v/>
      </c>
      <c r="AF399" s="8" t="n"/>
    </row>
    <row r="400">
      <c r="A400">
        <f>IF(B400&lt;&gt;"", "HC-"&amp;TEXT(ROW()-1,"00000"), "")</f>
        <v/>
      </c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>
        <f>IF(K400="", "", IF(K400="Implemented", "Pass", IF(K400="Partial", "Partial", IF(K400="Not Applicable", "N/A", "Fail"))))</f>
        <v/>
      </c>
      <c r="R400" s="8" t="n"/>
      <c r="S400" s="8" t="n"/>
      <c r="T400">
        <f>IF(Q400="", "", IF(OR(Q400="Fail", Q400="Partial"), "Yes", "No"))</f>
        <v/>
      </c>
      <c r="U400" s="8" t="n"/>
      <c r="V400" s="8" t="n"/>
      <c r="W400" s="8" t="n"/>
      <c r="X400" s="8" t="inlineStr">
        <is>
          <t>No</t>
        </is>
      </c>
      <c r="Y400" s="8" t="n"/>
      <c r="Z400" s="8" t="n"/>
      <c r="AA400" s="8" t="n"/>
      <c r="AB400" s="8" t="inlineStr">
        <is>
          <t>[Security Analyst]</t>
        </is>
      </c>
      <c r="AC400" s="8" t="n"/>
      <c r="AD400" s="8" t="n"/>
      <c r="AE400" s="16">
        <f>IF(AA400&lt;&gt;"", AA400+90, "")</f>
        <v/>
      </c>
      <c r="AF400" s="8" t="n"/>
    </row>
    <row r="401">
      <c r="A401">
        <f>IF(B401&lt;&gt;"", "HC-"&amp;TEXT(ROW()-1,"00000"), "")</f>
        <v/>
      </c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>
        <f>IF(K401="", "", IF(K401="Implemented", "Pass", IF(K401="Partial", "Partial", IF(K401="Not Applicable", "N/A", "Fail"))))</f>
        <v/>
      </c>
      <c r="R401" s="8" t="n"/>
      <c r="S401" s="8" t="n"/>
      <c r="T401">
        <f>IF(Q401="", "", IF(OR(Q401="Fail", Q401="Partial"), "Yes", "No"))</f>
        <v/>
      </c>
      <c r="U401" s="8" t="n"/>
      <c r="V401" s="8" t="n"/>
      <c r="W401" s="8" t="n"/>
      <c r="X401" s="8" t="inlineStr">
        <is>
          <t>No</t>
        </is>
      </c>
      <c r="Y401" s="8" t="n"/>
      <c r="Z401" s="8" t="n"/>
      <c r="AA401" s="8" t="n"/>
      <c r="AB401" s="8" t="inlineStr">
        <is>
          <t>[Security Analyst]</t>
        </is>
      </c>
      <c r="AC401" s="8" t="n"/>
      <c r="AD401" s="8" t="n"/>
      <c r="AE401" s="16">
        <f>IF(AA401&lt;&gt;"", AA401+90, "")</f>
        <v/>
      </c>
      <c r="AF401" s="8" t="n"/>
    </row>
    <row r="402">
      <c r="A402">
        <f>IF(B402&lt;&gt;"", "HC-"&amp;TEXT(ROW()-1,"00000"), "")</f>
        <v/>
      </c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>
        <f>IF(K402="", "", IF(K402="Implemented", "Pass", IF(K402="Partial", "Partial", IF(K402="Not Applicable", "N/A", "Fail"))))</f>
        <v/>
      </c>
      <c r="R402" s="8" t="n"/>
      <c r="S402" s="8" t="n"/>
      <c r="T402">
        <f>IF(Q402="", "", IF(OR(Q402="Fail", Q402="Partial"), "Yes", "No"))</f>
        <v/>
      </c>
      <c r="U402" s="8" t="n"/>
      <c r="V402" s="8" t="n"/>
      <c r="W402" s="8" t="n"/>
      <c r="X402" s="8" t="inlineStr">
        <is>
          <t>No</t>
        </is>
      </c>
      <c r="Y402" s="8" t="n"/>
      <c r="Z402" s="8" t="n"/>
      <c r="AA402" s="8" t="n"/>
      <c r="AB402" s="8" t="inlineStr">
        <is>
          <t>[Security Analyst]</t>
        </is>
      </c>
      <c r="AC402" s="8" t="n"/>
      <c r="AD402" s="8" t="n"/>
      <c r="AE402" s="16">
        <f>IF(AA402&lt;&gt;"", AA402+90, "")</f>
        <v/>
      </c>
      <c r="AF402" s="8" t="n"/>
    </row>
    <row r="403">
      <c r="A403">
        <f>IF(B403&lt;&gt;"", "HC-"&amp;TEXT(ROW()-1,"00000"), "")</f>
        <v/>
      </c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>
        <f>IF(K403="", "", IF(K403="Implemented", "Pass", IF(K403="Partial", "Partial", IF(K403="Not Applicable", "N/A", "Fail"))))</f>
        <v/>
      </c>
      <c r="R403" s="8" t="n"/>
      <c r="S403" s="8" t="n"/>
      <c r="T403">
        <f>IF(Q403="", "", IF(OR(Q403="Fail", Q403="Partial"), "Yes", "No"))</f>
        <v/>
      </c>
      <c r="U403" s="8" t="n"/>
      <c r="V403" s="8" t="n"/>
      <c r="W403" s="8" t="n"/>
      <c r="X403" s="8" t="inlineStr">
        <is>
          <t>No</t>
        </is>
      </c>
      <c r="Y403" s="8" t="n"/>
      <c r="Z403" s="8" t="n"/>
      <c r="AA403" s="8" t="n"/>
      <c r="AB403" s="8" t="inlineStr">
        <is>
          <t>[Security Analyst]</t>
        </is>
      </c>
      <c r="AC403" s="8" t="n"/>
      <c r="AD403" s="8" t="n"/>
      <c r="AE403" s="16">
        <f>IF(AA403&lt;&gt;"", AA403+90, "")</f>
        <v/>
      </c>
      <c r="AF403" s="8" t="n"/>
    </row>
    <row r="404">
      <c r="A404">
        <f>IF(B404&lt;&gt;"", "HC-"&amp;TEXT(ROW()-1,"00000"), "")</f>
        <v/>
      </c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>
        <f>IF(K404="", "", IF(K404="Implemented", "Pass", IF(K404="Partial", "Partial", IF(K404="Not Applicable", "N/A", "Fail"))))</f>
        <v/>
      </c>
      <c r="R404" s="8" t="n"/>
      <c r="S404" s="8" t="n"/>
      <c r="T404">
        <f>IF(Q404="", "", IF(OR(Q404="Fail", Q404="Partial"), "Yes", "No"))</f>
        <v/>
      </c>
      <c r="U404" s="8" t="n"/>
      <c r="V404" s="8" t="n"/>
      <c r="W404" s="8" t="n"/>
      <c r="X404" s="8" t="inlineStr">
        <is>
          <t>No</t>
        </is>
      </c>
      <c r="Y404" s="8" t="n"/>
      <c r="Z404" s="8" t="n"/>
      <c r="AA404" s="8" t="n"/>
      <c r="AB404" s="8" t="inlineStr">
        <is>
          <t>[Security Analyst]</t>
        </is>
      </c>
      <c r="AC404" s="8" t="n"/>
      <c r="AD404" s="8" t="n"/>
      <c r="AE404" s="16">
        <f>IF(AA404&lt;&gt;"", AA404+90, "")</f>
        <v/>
      </c>
      <c r="AF404" s="8" t="n"/>
    </row>
    <row r="405">
      <c r="A405">
        <f>IF(B405&lt;&gt;"", "HC-"&amp;TEXT(ROW()-1,"00000"), "")</f>
        <v/>
      </c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>
        <f>IF(K405="", "", IF(K405="Implemented", "Pass", IF(K405="Partial", "Partial", IF(K405="Not Applicable", "N/A", "Fail"))))</f>
        <v/>
      </c>
      <c r="R405" s="8" t="n"/>
      <c r="S405" s="8" t="n"/>
      <c r="T405">
        <f>IF(Q405="", "", IF(OR(Q405="Fail", Q405="Partial"), "Yes", "No"))</f>
        <v/>
      </c>
      <c r="U405" s="8" t="n"/>
      <c r="V405" s="8" t="n"/>
      <c r="W405" s="8" t="n"/>
      <c r="X405" s="8" t="inlineStr">
        <is>
          <t>No</t>
        </is>
      </c>
      <c r="Y405" s="8" t="n"/>
      <c r="Z405" s="8" t="n"/>
      <c r="AA405" s="8" t="n"/>
      <c r="AB405" s="8" t="inlineStr">
        <is>
          <t>[Security Analyst]</t>
        </is>
      </c>
      <c r="AC405" s="8" t="n"/>
      <c r="AD405" s="8" t="n"/>
      <c r="AE405" s="16">
        <f>IF(AA405&lt;&gt;"", AA405+90, "")</f>
        <v/>
      </c>
      <c r="AF405" s="8" t="n"/>
    </row>
    <row r="406">
      <c r="A406">
        <f>IF(B406&lt;&gt;"", "HC-"&amp;TEXT(ROW()-1,"00000"), "")</f>
        <v/>
      </c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>
        <f>IF(K406="", "", IF(K406="Implemented", "Pass", IF(K406="Partial", "Partial", IF(K406="Not Applicable", "N/A", "Fail"))))</f>
        <v/>
      </c>
      <c r="R406" s="8" t="n"/>
      <c r="S406" s="8" t="n"/>
      <c r="T406">
        <f>IF(Q406="", "", IF(OR(Q406="Fail", Q406="Partial"), "Yes", "No"))</f>
        <v/>
      </c>
      <c r="U406" s="8" t="n"/>
      <c r="V406" s="8" t="n"/>
      <c r="W406" s="8" t="n"/>
      <c r="X406" s="8" t="inlineStr">
        <is>
          <t>No</t>
        </is>
      </c>
      <c r="Y406" s="8" t="n"/>
      <c r="Z406" s="8" t="n"/>
      <c r="AA406" s="8" t="n"/>
      <c r="AB406" s="8" t="inlineStr">
        <is>
          <t>[Security Analyst]</t>
        </is>
      </c>
      <c r="AC406" s="8" t="n"/>
      <c r="AD406" s="8" t="n"/>
      <c r="AE406" s="16">
        <f>IF(AA406&lt;&gt;"", AA406+90, "")</f>
        <v/>
      </c>
      <c r="AF406" s="8" t="n"/>
    </row>
    <row r="407">
      <c r="A407">
        <f>IF(B407&lt;&gt;"", "HC-"&amp;TEXT(ROW()-1,"00000"), "")</f>
        <v/>
      </c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>
        <f>IF(K407="", "", IF(K407="Implemented", "Pass", IF(K407="Partial", "Partial", IF(K407="Not Applicable", "N/A", "Fail"))))</f>
        <v/>
      </c>
      <c r="R407" s="8" t="n"/>
      <c r="S407" s="8" t="n"/>
      <c r="T407">
        <f>IF(Q407="", "", IF(OR(Q407="Fail", Q407="Partial"), "Yes", "No"))</f>
        <v/>
      </c>
      <c r="U407" s="8" t="n"/>
      <c r="V407" s="8" t="n"/>
      <c r="W407" s="8" t="n"/>
      <c r="X407" s="8" t="inlineStr">
        <is>
          <t>No</t>
        </is>
      </c>
      <c r="Y407" s="8" t="n"/>
      <c r="Z407" s="8" t="n"/>
      <c r="AA407" s="8" t="n"/>
      <c r="AB407" s="8" t="inlineStr">
        <is>
          <t>[Security Analyst]</t>
        </is>
      </c>
      <c r="AC407" s="8" t="n"/>
      <c r="AD407" s="8" t="n"/>
      <c r="AE407" s="16">
        <f>IF(AA407&lt;&gt;"", AA407+90, "")</f>
        <v/>
      </c>
      <c r="AF407" s="8" t="n"/>
    </row>
    <row r="408">
      <c r="A408">
        <f>IF(B408&lt;&gt;"", "HC-"&amp;TEXT(ROW()-1,"00000"), "")</f>
        <v/>
      </c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>
        <f>IF(K408="", "", IF(K408="Implemented", "Pass", IF(K408="Partial", "Partial", IF(K408="Not Applicable", "N/A", "Fail"))))</f>
        <v/>
      </c>
      <c r="R408" s="8" t="n"/>
      <c r="S408" s="8" t="n"/>
      <c r="T408">
        <f>IF(Q408="", "", IF(OR(Q408="Fail", Q408="Partial"), "Yes", "No"))</f>
        <v/>
      </c>
      <c r="U408" s="8" t="n"/>
      <c r="V408" s="8" t="n"/>
      <c r="W408" s="8" t="n"/>
      <c r="X408" s="8" t="inlineStr">
        <is>
          <t>No</t>
        </is>
      </c>
      <c r="Y408" s="8" t="n"/>
      <c r="Z408" s="8" t="n"/>
      <c r="AA408" s="8" t="n"/>
      <c r="AB408" s="8" t="inlineStr">
        <is>
          <t>[Security Analyst]</t>
        </is>
      </c>
      <c r="AC408" s="8" t="n"/>
      <c r="AD408" s="8" t="n"/>
      <c r="AE408" s="16">
        <f>IF(AA408&lt;&gt;"", AA408+90, "")</f>
        <v/>
      </c>
      <c r="AF408" s="8" t="n"/>
    </row>
    <row r="409">
      <c r="A409">
        <f>IF(B409&lt;&gt;"", "HC-"&amp;TEXT(ROW()-1,"00000"), "")</f>
        <v/>
      </c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>
        <f>IF(K409="", "", IF(K409="Implemented", "Pass", IF(K409="Partial", "Partial", IF(K409="Not Applicable", "N/A", "Fail"))))</f>
        <v/>
      </c>
      <c r="R409" s="8" t="n"/>
      <c r="S409" s="8" t="n"/>
      <c r="T409">
        <f>IF(Q409="", "", IF(OR(Q409="Fail", Q409="Partial"), "Yes", "No"))</f>
        <v/>
      </c>
      <c r="U409" s="8" t="n"/>
      <c r="V409" s="8" t="n"/>
      <c r="W409" s="8" t="n"/>
      <c r="X409" s="8" t="inlineStr">
        <is>
          <t>No</t>
        </is>
      </c>
      <c r="Y409" s="8" t="n"/>
      <c r="Z409" s="8" t="n"/>
      <c r="AA409" s="8" t="n"/>
      <c r="AB409" s="8" t="inlineStr">
        <is>
          <t>[Security Analyst]</t>
        </is>
      </c>
      <c r="AC409" s="8" t="n"/>
      <c r="AD409" s="8" t="n"/>
      <c r="AE409" s="16">
        <f>IF(AA409&lt;&gt;"", AA409+90, "")</f>
        <v/>
      </c>
      <c r="AF409" s="8" t="n"/>
    </row>
    <row r="410">
      <c r="A410">
        <f>IF(B410&lt;&gt;"", "HC-"&amp;TEXT(ROW()-1,"00000"), "")</f>
        <v/>
      </c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>
        <f>IF(K410="", "", IF(K410="Implemented", "Pass", IF(K410="Partial", "Partial", IF(K410="Not Applicable", "N/A", "Fail"))))</f>
        <v/>
      </c>
      <c r="R410" s="8" t="n"/>
      <c r="S410" s="8" t="n"/>
      <c r="T410">
        <f>IF(Q410="", "", IF(OR(Q410="Fail", Q410="Partial"), "Yes", "No"))</f>
        <v/>
      </c>
      <c r="U410" s="8" t="n"/>
      <c r="V410" s="8" t="n"/>
      <c r="W410" s="8" t="n"/>
      <c r="X410" s="8" t="inlineStr">
        <is>
          <t>No</t>
        </is>
      </c>
      <c r="Y410" s="8" t="n"/>
      <c r="Z410" s="8" t="n"/>
      <c r="AA410" s="8" t="n"/>
      <c r="AB410" s="8" t="inlineStr">
        <is>
          <t>[Security Analyst]</t>
        </is>
      </c>
      <c r="AC410" s="8" t="n"/>
      <c r="AD410" s="8" t="n"/>
      <c r="AE410" s="16">
        <f>IF(AA410&lt;&gt;"", AA410+90, "")</f>
        <v/>
      </c>
      <c r="AF410" s="8" t="n"/>
    </row>
    <row r="411">
      <c r="A411">
        <f>IF(B411&lt;&gt;"", "HC-"&amp;TEXT(ROW()-1,"00000"), "")</f>
        <v/>
      </c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>
        <f>IF(K411="", "", IF(K411="Implemented", "Pass", IF(K411="Partial", "Partial", IF(K411="Not Applicable", "N/A", "Fail"))))</f>
        <v/>
      </c>
      <c r="R411" s="8" t="n"/>
      <c r="S411" s="8" t="n"/>
      <c r="T411">
        <f>IF(Q411="", "", IF(OR(Q411="Fail", Q411="Partial"), "Yes", "No"))</f>
        <v/>
      </c>
      <c r="U411" s="8" t="n"/>
      <c r="V411" s="8" t="n"/>
      <c r="W411" s="8" t="n"/>
      <c r="X411" s="8" t="inlineStr">
        <is>
          <t>No</t>
        </is>
      </c>
      <c r="Y411" s="8" t="n"/>
      <c r="Z411" s="8" t="n"/>
      <c r="AA411" s="8" t="n"/>
      <c r="AB411" s="8" t="inlineStr">
        <is>
          <t>[Security Analyst]</t>
        </is>
      </c>
      <c r="AC411" s="8" t="n"/>
      <c r="AD411" s="8" t="n"/>
      <c r="AE411" s="16">
        <f>IF(AA411&lt;&gt;"", AA411+90, "")</f>
        <v/>
      </c>
      <c r="AF411" s="8" t="n"/>
    </row>
    <row r="412">
      <c r="A412">
        <f>IF(B412&lt;&gt;"", "HC-"&amp;TEXT(ROW()-1,"00000"), "")</f>
        <v/>
      </c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>
        <f>IF(K412="", "", IF(K412="Implemented", "Pass", IF(K412="Partial", "Partial", IF(K412="Not Applicable", "N/A", "Fail"))))</f>
        <v/>
      </c>
      <c r="R412" s="8" t="n"/>
      <c r="S412" s="8" t="n"/>
      <c r="T412">
        <f>IF(Q412="", "", IF(OR(Q412="Fail", Q412="Partial"), "Yes", "No"))</f>
        <v/>
      </c>
      <c r="U412" s="8" t="n"/>
      <c r="V412" s="8" t="n"/>
      <c r="W412" s="8" t="n"/>
      <c r="X412" s="8" t="inlineStr">
        <is>
          <t>No</t>
        </is>
      </c>
      <c r="Y412" s="8" t="n"/>
      <c r="Z412" s="8" t="n"/>
      <c r="AA412" s="8" t="n"/>
      <c r="AB412" s="8" t="inlineStr">
        <is>
          <t>[Security Analyst]</t>
        </is>
      </c>
      <c r="AC412" s="8" t="n"/>
      <c r="AD412" s="8" t="n"/>
      <c r="AE412" s="16">
        <f>IF(AA412&lt;&gt;"", AA412+90, "")</f>
        <v/>
      </c>
      <c r="AF412" s="8" t="n"/>
    </row>
    <row r="413">
      <c r="A413">
        <f>IF(B413&lt;&gt;"", "HC-"&amp;TEXT(ROW()-1,"00000"), "")</f>
        <v/>
      </c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>
        <f>IF(K413="", "", IF(K413="Implemented", "Pass", IF(K413="Partial", "Partial", IF(K413="Not Applicable", "N/A", "Fail"))))</f>
        <v/>
      </c>
      <c r="R413" s="8" t="n"/>
      <c r="S413" s="8" t="n"/>
      <c r="T413">
        <f>IF(Q413="", "", IF(OR(Q413="Fail", Q413="Partial"), "Yes", "No"))</f>
        <v/>
      </c>
      <c r="U413" s="8" t="n"/>
      <c r="V413" s="8" t="n"/>
      <c r="W413" s="8" t="n"/>
      <c r="X413" s="8" t="inlineStr">
        <is>
          <t>No</t>
        </is>
      </c>
      <c r="Y413" s="8" t="n"/>
      <c r="Z413" s="8" t="n"/>
      <c r="AA413" s="8" t="n"/>
      <c r="AB413" s="8" t="inlineStr">
        <is>
          <t>[Security Analyst]</t>
        </is>
      </c>
      <c r="AC413" s="8" t="n"/>
      <c r="AD413" s="8" t="n"/>
      <c r="AE413" s="16">
        <f>IF(AA413&lt;&gt;"", AA413+90, "")</f>
        <v/>
      </c>
      <c r="AF413" s="8" t="n"/>
    </row>
    <row r="414">
      <c r="A414">
        <f>IF(B414&lt;&gt;"", "HC-"&amp;TEXT(ROW()-1,"00000"), "")</f>
        <v/>
      </c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>
        <f>IF(K414="", "", IF(K414="Implemented", "Pass", IF(K414="Partial", "Partial", IF(K414="Not Applicable", "N/A", "Fail"))))</f>
        <v/>
      </c>
      <c r="R414" s="8" t="n"/>
      <c r="S414" s="8" t="n"/>
      <c r="T414">
        <f>IF(Q414="", "", IF(OR(Q414="Fail", Q414="Partial"), "Yes", "No"))</f>
        <v/>
      </c>
      <c r="U414" s="8" t="n"/>
      <c r="V414" s="8" t="n"/>
      <c r="W414" s="8" t="n"/>
      <c r="X414" s="8" t="inlineStr">
        <is>
          <t>No</t>
        </is>
      </c>
      <c r="Y414" s="8" t="n"/>
      <c r="Z414" s="8" t="n"/>
      <c r="AA414" s="8" t="n"/>
      <c r="AB414" s="8" t="inlineStr">
        <is>
          <t>[Security Analyst]</t>
        </is>
      </c>
      <c r="AC414" s="8" t="n"/>
      <c r="AD414" s="8" t="n"/>
      <c r="AE414" s="16">
        <f>IF(AA414&lt;&gt;"", AA414+90, "")</f>
        <v/>
      </c>
      <c r="AF414" s="8" t="n"/>
    </row>
    <row r="415">
      <c r="A415">
        <f>IF(B415&lt;&gt;"", "HC-"&amp;TEXT(ROW()-1,"00000"), "")</f>
        <v/>
      </c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>
        <f>IF(K415="", "", IF(K415="Implemented", "Pass", IF(K415="Partial", "Partial", IF(K415="Not Applicable", "N/A", "Fail"))))</f>
        <v/>
      </c>
      <c r="R415" s="8" t="n"/>
      <c r="S415" s="8" t="n"/>
      <c r="T415">
        <f>IF(Q415="", "", IF(OR(Q415="Fail", Q415="Partial"), "Yes", "No"))</f>
        <v/>
      </c>
      <c r="U415" s="8" t="n"/>
      <c r="V415" s="8" t="n"/>
      <c r="W415" s="8" t="n"/>
      <c r="X415" s="8" t="inlineStr">
        <is>
          <t>No</t>
        </is>
      </c>
      <c r="Y415" s="8" t="n"/>
      <c r="Z415" s="8" t="n"/>
      <c r="AA415" s="8" t="n"/>
      <c r="AB415" s="8" t="inlineStr">
        <is>
          <t>[Security Analyst]</t>
        </is>
      </c>
      <c r="AC415" s="8" t="n"/>
      <c r="AD415" s="8" t="n"/>
      <c r="AE415" s="16">
        <f>IF(AA415&lt;&gt;"", AA415+90, "")</f>
        <v/>
      </c>
      <c r="AF415" s="8" t="n"/>
    </row>
    <row r="416">
      <c r="A416">
        <f>IF(B416&lt;&gt;"", "HC-"&amp;TEXT(ROW()-1,"00000"), "")</f>
        <v/>
      </c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>
        <f>IF(K416="", "", IF(K416="Implemented", "Pass", IF(K416="Partial", "Partial", IF(K416="Not Applicable", "N/A", "Fail"))))</f>
        <v/>
      </c>
      <c r="R416" s="8" t="n"/>
      <c r="S416" s="8" t="n"/>
      <c r="T416">
        <f>IF(Q416="", "", IF(OR(Q416="Fail", Q416="Partial"), "Yes", "No"))</f>
        <v/>
      </c>
      <c r="U416" s="8" t="n"/>
      <c r="V416" s="8" t="n"/>
      <c r="W416" s="8" t="n"/>
      <c r="X416" s="8" t="inlineStr">
        <is>
          <t>No</t>
        </is>
      </c>
      <c r="Y416" s="8" t="n"/>
      <c r="Z416" s="8" t="n"/>
      <c r="AA416" s="8" t="n"/>
      <c r="AB416" s="8" t="inlineStr">
        <is>
          <t>[Security Analyst]</t>
        </is>
      </c>
      <c r="AC416" s="8" t="n"/>
      <c r="AD416" s="8" t="n"/>
      <c r="AE416" s="16">
        <f>IF(AA416&lt;&gt;"", AA416+90, "")</f>
        <v/>
      </c>
      <c r="AF416" s="8" t="n"/>
    </row>
    <row r="417">
      <c r="A417">
        <f>IF(B417&lt;&gt;"", "HC-"&amp;TEXT(ROW()-1,"00000"), "")</f>
        <v/>
      </c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>
        <f>IF(K417="", "", IF(K417="Implemented", "Pass", IF(K417="Partial", "Partial", IF(K417="Not Applicable", "N/A", "Fail"))))</f>
        <v/>
      </c>
      <c r="R417" s="8" t="n"/>
      <c r="S417" s="8" t="n"/>
      <c r="T417">
        <f>IF(Q417="", "", IF(OR(Q417="Fail", Q417="Partial"), "Yes", "No"))</f>
        <v/>
      </c>
      <c r="U417" s="8" t="n"/>
      <c r="V417" s="8" t="n"/>
      <c r="W417" s="8" t="n"/>
      <c r="X417" s="8" t="inlineStr">
        <is>
          <t>No</t>
        </is>
      </c>
      <c r="Y417" s="8" t="n"/>
      <c r="Z417" s="8" t="n"/>
      <c r="AA417" s="8" t="n"/>
      <c r="AB417" s="8" t="inlineStr">
        <is>
          <t>[Security Analyst]</t>
        </is>
      </c>
      <c r="AC417" s="8" t="n"/>
      <c r="AD417" s="8" t="n"/>
      <c r="AE417" s="16">
        <f>IF(AA417&lt;&gt;"", AA417+90, "")</f>
        <v/>
      </c>
      <c r="AF417" s="8" t="n"/>
    </row>
    <row r="418">
      <c r="A418">
        <f>IF(B418&lt;&gt;"", "HC-"&amp;TEXT(ROW()-1,"00000"), "")</f>
        <v/>
      </c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>
        <f>IF(K418="", "", IF(K418="Implemented", "Pass", IF(K418="Partial", "Partial", IF(K418="Not Applicable", "N/A", "Fail"))))</f>
        <v/>
      </c>
      <c r="R418" s="8" t="n"/>
      <c r="S418" s="8" t="n"/>
      <c r="T418">
        <f>IF(Q418="", "", IF(OR(Q418="Fail", Q418="Partial"), "Yes", "No"))</f>
        <v/>
      </c>
      <c r="U418" s="8" t="n"/>
      <c r="V418" s="8" t="n"/>
      <c r="W418" s="8" t="n"/>
      <c r="X418" s="8" t="inlineStr">
        <is>
          <t>No</t>
        </is>
      </c>
      <c r="Y418" s="8" t="n"/>
      <c r="Z418" s="8" t="n"/>
      <c r="AA418" s="8" t="n"/>
      <c r="AB418" s="8" t="inlineStr">
        <is>
          <t>[Security Analyst]</t>
        </is>
      </c>
      <c r="AC418" s="8" t="n"/>
      <c r="AD418" s="8" t="n"/>
      <c r="AE418" s="16">
        <f>IF(AA418&lt;&gt;"", AA418+90, "")</f>
        <v/>
      </c>
      <c r="AF418" s="8" t="n"/>
    </row>
    <row r="419">
      <c r="A419">
        <f>IF(B419&lt;&gt;"", "HC-"&amp;TEXT(ROW()-1,"00000"), "")</f>
        <v/>
      </c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>
        <f>IF(K419="", "", IF(K419="Implemented", "Pass", IF(K419="Partial", "Partial", IF(K419="Not Applicable", "N/A", "Fail"))))</f>
        <v/>
      </c>
      <c r="R419" s="8" t="n"/>
      <c r="S419" s="8" t="n"/>
      <c r="T419">
        <f>IF(Q419="", "", IF(OR(Q419="Fail", Q419="Partial"), "Yes", "No"))</f>
        <v/>
      </c>
      <c r="U419" s="8" t="n"/>
      <c r="V419" s="8" t="n"/>
      <c r="W419" s="8" t="n"/>
      <c r="X419" s="8" t="inlineStr">
        <is>
          <t>No</t>
        </is>
      </c>
      <c r="Y419" s="8" t="n"/>
      <c r="Z419" s="8" t="n"/>
      <c r="AA419" s="8" t="n"/>
      <c r="AB419" s="8" t="inlineStr">
        <is>
          <t>[Security Analyst]</t>
        </is>
      </c>
      <c r="AC419" s="8" t="n"/>
      <c r="AD419" s="8" t="n"/>
      <c r="AE419" s="16">
        <f>IF(AA419&lt;&gt;"", AA419+90, "")</f>
        <v/>
      </c>
      <c r="AF419" s="8" t="n"/>
    </row>
    <row r="420">
      <c r="A420">
        <f>IF(B420&lt;&gt;"", "HC-"&amp;TEXT(ROW()-1,"00000"), "")</f>
        <v/>
      </c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>
        <f>IF(K420="", "", IF(K420="Implemented", "Pass", IF(K420="Partial", "Partial", IF(K420="Not Applicable", "N/A", "Fail"))))</f>
        <v/>
      </c>
      <c r="R420" s="8" t="n"/>
      <c r="S420" s="8" t="n"/>
      <c r="T420">
        <f>IF(Q420="", "", IF(OR(Q420="Fail", Q420="Partial"), "Yes", "No"))</f>
        <v/>
      </c>
      <c r="U420" s="8" t="n"/>
      <c r="V420" s="8" t="n"/>
      <c r="W420" s="8" t="n"/>
      <c r="X420" s="8" t="inlineStr">
        <is>
          <t>No</t>
        </is>
      </c>
      <c r="Y420" s="8" t="n"/>
      <c r="Z420" s="8" t="n"/>
      <c r="AA420" s="8" t="n"/>
      <c r="AB420" s="8" t="inlineStr">
        <is>
          <t>[Security Analyst]</t>
        </is>
      </c>
      <c r="AC420" s="8" t="n"/>
      <c r="AD420" s="8" t="n"/>
      <c r="AE420" s="16">
        <f>IF(AA420&lt;&gt;"", AA420+90, "")</f>
        <v/>
      </c>
      <c r="AF420" s="8" t="n"/>
    </row>
    <row r="421">
      <c r="A421">
        <f>IF(B421&lt;&gt;"", "HC-"&amp;TEXT(ROW()-1,"00000"), "")</f>
        <v/>
      </c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>
        <f>IF(K421="", "", IF(K421="Implemented", "Pass", IF(K421="Partial", "Partial", IF(K421="Not Applicable", "N/A", "Fail"))))</f>
        <v/>
      </c>
      <c r="R421" s="8" t="n"/>
      <c r="S421" s="8" t="n"/>
      <c r="T421">
        <f>IF(Q421="", "", IF(OR(Q421="Fail", Q421="Partial"), "Yes", "No"))</f>
        <v/>
      </c>
      <c r="U421" s="8" t="n"/>
      <c r="V421" s="8" t="n"/>
      <c r="W421" s="8" t="n"/>
      <c r="X421" s="8" t="inlineStr">
        <is>
          <t>No</t>
        </is>
      </c>
      <c r="Y421" s="8" t="n"/>
      <c r="Z421" s="8" t="n"/>
      <c r="AA421" s="8" t="n"/>
      <c r="AB421" s="8" t="inlineStr">
        <is>
          <t>[Security Analyst]</t>
        </is>
      </c>
      <c r="AC421" s="8" t="n"/>
      <c r="AD421" s="8" t="n"/>
      <c r="AE421" s="16">
        <f>IF(AA421&lt;&gt;"", AA421+90, "")</f>
        <v/>
      </c>
      <c r="AF421" s="8" t="n"/>
    </row>
    <row r="422">
      <c r="A422">
        <f>IF(B422&lt;&gt;"", "HC-"&amp;TEXT(ROW()-1,"00000"), "")</f>
        <v/>
      </c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>
        <f>IF(K422="", "", IF(K422="Implemented", "Pass", IF(K422="Partial", "Partial", IF(K422="Not Applicable", "N/A", "Fail"))))</f>
        <v/>
      </c>
      <c r="R422" s="8" t="n"/>
      <c r="S422" s="8" t="n"/>
      <c r="T422">
        <f>IF(Q422="", "", IF(OR(Q422="Fail", Q422="Partial"), "Yes", "No"))</f>
        <v/>
      </c>
      <c r="U422" s="8" t="n"/>
      <c r="V422" s="8" t="n"/>
      <c r="W422" s="8" t="n"/>
      <c r="X422" s="8" t="inlineStr">
        <is>
          <t>No</t>
        </is>
      </c>
      <c r="Y422" s="8" t="n"/>
      <c r="Z422" s="8" t="n"/>
      <c r="AA422" s="8" t="n"/>
      <c r="AB422" s="8" t="inlineStr">
        <is>
          <t>[Security Analyst]</t>
        </is>
      </c>
      <c r="AC422" s="8" t="n"/>
      <c r="AD422" s="8" t="n"/>
      <c r="AE422" s="16">
        <f>IF(AA422&lt;&gt;"", AA422+90, "")</f>
        <v/>
      </c>
      <c r="AF422" s="8" t="n"/>
    </row>
    <row r="423">
      <c r="A423">
        <f>IF(B423&lt;&gt;"", "HC-"&amp;TEXT(ROW()-1,"00000"), "")</f>
        <v/>
      </c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>
        <f>IF(K423="", "", IF(K423="Implemented", "Pass", IF(K423="Partial", "Partial", IF(K423="Not Applicable", "N/A", "Fail"))))</f>
        <v/>
      </c>
      <c r="R423" s="8" t="n"/>
      <c r="S423" s="8" t="n"/>
      <c r="T423">
        <f>IF(Q423="", "", IF(OR(Q423="Fail", Q423="Partial"), "Yes", "No"))</f>
        <v/>
      </c>
      <c r="U423" s="8" t="n"/>
      <c r="V423" s="8" t="n"/>
      <c r="W423" s="8" t="n"/>
      <c r="X423" s="8" t="inlineStr">
        <is>
          <t>No</t>
        </is>
      </c>
      <c r="Y423" s="8" t="n"/>
      <c r="Z423" s="8" t="n"/>
      <c r="AA423" s="8" t="n"/>
      <c r="AB423" s="8" t="inlineStr">
        <is>
          <t>[Security Analyst]</t>
        </is>
      </c>
      <c r="AC423" s="8" t="n"/>
      <c r="AD423" s="8" t="n"/>
      <c r="AE423" s="16">
        <f>IF(AA423&lt;&gt;"", AA423+90, "")</f>
        <v/>
      </c>
      <c r="AF423" s="8" t="n"/>
    </row>
    <row r="424">
      <c r="A424">
        <f>IF(B424&lt;&gt;"", "HC-"&amp;TEXT(ROW()-1,"00000"), "")</f>
        <v/>
      </c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>
        <f>IF(K424="", "", IF(K424="Implemented", "Pass", IF(K424="Partial", "Partial", IF(K424="Not Applicable", "N/A", "Fail"))))</f>
        <v/>
      </c>
      <c r="R424" s="8" t="n"/>
      <c r="S424" s="8" t="n"/>
      <c r="T424">
        <f>IF(Q424="", "", IF(OR(Q424="Fail", Q424="Partial"), "Yes", "No"))</f>
        <v/>
      </c>
      <c r="U424" s="8" t="n"/>
      <c r="V424" s="8" t="n"/>
      <c r="W424" s="8" t="n"/>
      <c r="X424" s="8" t="inlineStr">
        <is>
          <t>No</t>
        </is>
      </c>
      <c r="Y424" s="8" t="n"/>
      <c r="Z424" s="8" t="n"/>
      <c r="AA424" s="8" t="n"/>
      <c r="AB424" s="8" t="inlineStr">
        <is>
          <t>[Security Analyst]</t>
        </is>
      </c>
      <c r="AC424" s="8" t="n"/>
      <c r="AD424" s="8" t="n"/>
      <c r="AE424" s="16">
        <f>IF(AA424&lt;&gt;"", AA424+90, "")</f>
        <v/>
      </c>
      <c r="AF424" s="8" t="n"/>
    </row>
    <row r="425">
      <c r="A425">
        <f>IF(B425&lt;&gt;"", "HC-"&amp;TEXT(ROW()-1,"00000"), "")</f>
        <v/>
      </c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>
        <f>IF(K425="", "", IF(K425="Implemented", "Pass", IF(K425="Partial", "Partial", IF(K425="Not Applicable", "N/A", "Fail"))))</f>
        <v/>
      </c>
      <c r="R425" s="8" t="n"/>
      <c r="S425" s="8" t="n"/>
      <c r="T425">
        <f>IF(Q425="", "", IF(OR(Q425="Fail", Q425="Partial"), "Yes", "No"))</f>
        <v/>
      </c>
      <c r="U425" s="8" t="n"/>
      <c r="V425" s="8" t="n"/>
      <c r="W425" s="8" t="n"/>
      <c r="X425" s="8" t="inlineStr">
        <is>
          <t>No</t>
        </is>
      </c>
      <c r="Y425" s="8" t="n"/>
      <c r="Z425" s="8" t="n"/>
      <c r="AA425" s="8" t="n"/>
      <c r="AB425" s="8" t="inlineStr">
        <is>
          <t>[Security Analyst]</t>
        </is>
      </c>
      <c r="AC425" s="8" t="n"/>
      <c r="AD425" s="8" t="n"/>
      <c r="AE425" s="16">
        <f>IF(AA425&lt;&gt;"", AA425+90, "")</f>
        <v/>
      </c>
      <c r="AF425" s="8" t="n"/>
    </row>
    <row r="426">
      <c r="A426">
        <f>IF(B426&lt;&gt;"", "HC-"&amp;TEXT(ROW()-1,"00000"), "")</f>
        <v/>
      </c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>
        <f>IF(K426="", "", IF(K426="Implemented", "Pass", IF(K426="Partial", "Partial", IF(K426="Not Applicable", "N/A", "Fail"))))</f>
        <v/>
      </c>
      <c r="R426" s="8" t="n"/>
      <c r="S426" s="8" t="n"/>
      <c r="T426">
        <f>IF(Q426="", "", IF(OR(Q426="Fail", Q426="Partial"), "Yes", "No"))</f>
        <v/>
      </c>
      <c r="U426" s="8" t="n"/>
      <c r="V426" s="8" t="n"/>
      <c r="W426" s="8" t="n"/>
      <c r="X426" s="8" t="inlineStr">
        <is>
          <t>No</t>
        </is>
      </c>
      <c r="Y426" s="8" t="n"/>
      <c r="Z426" s="8" t="n"/>
      <c r="AA426" s="8" t="n"/>
      <c r="AB426" s="8" t="inlineStr">
        <is>
          <t>[Security Analyst]</t>
        </is>
      </c>
      <c r="AC426" s="8" t="n"/>
      <c r="AD426" s="8" t="n"/>
      <c r="AE426" s="16">
        <f>IF(AA426&lt;&gt;"", AA426+90, "")</f>
        <v/>
      </c>
      <c r="AF426" s="8" t="n"/>
    </row>
    <row r="427">
      <c r="A427">
        <f>IF(B427&lt;&gt;"", "HC-"&amp;TEXT(ROW()-1,"00000"), "")</f>
        <v/>
      </c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>
        <f>IF(K427="", "", IF(K427="Implemented", "Pass", IF(K427="Partial", "Partial", IF(K427="Not Applicable", "N/A", "Fail"))))</f>
        <v/>
      </c>
      <c r="R427" s="8" t="n"/>
      <c r="S427" s="8" t="n"/>
      <c r="T427">
        <f>IF(Q427="", "", IF(OR(Q427="Fail", Q427="Partial"), "Yes", "No"))</f>
        <v/>
      </c>
      <c r="U427" s="8" t="n"/>
      <c r="V427" s="8" t="n"/>
      <c r="W427" s="8" t="n"/>
      <c r="X427" s="8" t="inlineStr">
        <is>
          <t>No</t>
        </is>
      </c>
      <c r="Y427" s="8" t="n"/>
      <c r="Z427" s="8" t="n"/>
      <c r="AA427" s="8" t="n"/>
      <c r="AB427" s="8" t="inlineStr">
        <is>
          <t>[Security Analyst]</t>
        </is>
      </c>
      <c r="AC427" s="8" t="n"/>
      <c r="AD427" s="8" t="n"/>
      <c r="AE427" s="16">
        <f>IF(AA427&lt;&gt;"", AA427+90, "")</f>
        <v/>
      </c>
      <c r="AF427" s="8" t="n"/>
    </row>
    <row r="428">
      <c r="A428">
        <f>IF(B428&lt;&gt;"", "HC-"&amp;TEXT(ROW()-1,"00000"), "")</f>
        <v/>
      </c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>
        <f>IF(K428="", "", IF(K428="Implemented", "Pass", IF(K428="Partial", "Partial", IF(K428="Not Applicable", "N/A", "Fail"))))</f>
        <v/>
      </c>
      <c r="R428" s="8" t="n"/>
      <c r="S428" s="8" t="n"/>
      <c r="T428">
        <f>IF(Q428="", "", IF(OR(Q428="Fail", Q428="Partial"), "Yes", "No"))</f>
        <v/>
      </c>
      <c r="U428" s="8" t="n"/>
      <c r="V428" s="8" t="n"/>
      <c r="W428" s="8" t="n"/>
      <c r="X428" s="8" t="inlineStr">
        <is>
          <t>No</t>
        </is>
      </c>
      <c r="Y428" s="8" t="n"/>
      <c r="Z428" s="8" t="n"/>
      <c r="AA428" s="8" t="n"/>
      <c r="AB428" s="8" t="inlineStr">
        <is>
          <t>[Security Analyst]</t>
        </is>
      </c>
      <c r="AC428" s="8" t="n"/>
      <c r="AD428" s="8" t="n"/>
      <c r="AE428" s="16">
        <f>IF(AA428&lt;&gt;"", AA428+90, "")</f>
        <v/>
      </c>
      <c r="AF428" s="8" t="n"/>
    </row>
    <row r="429">
      <c r="A429">
        <f>IF(B429&lt;&gt;"", "HC-"&amp;TEXT(ROW()-1,"00000"), "")</f>
        <v/>
      </c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>
        <f>IF(K429="", "", IF(K429="Implemented", "Pass", IF(K429="Partial", "Partial", IF(K429="Not Applicable", "N/A", "Fail"))))</f>
        <v/>
      </c>
      <c r="R429" s="8" t="n"/>
      <c r="S429" s="8" t="n"/>
      <c r="T429">
        <f>IF(Q429="", "", IF(OR(Q429="Fail", Q429="Partial"), "Yes", "No"))</f>
        <v/>
      </c>
      <c r="U429" s="8" t="n"/>
      <c r="V429" s="8" t="n"/>
      <c r="W429" s="8" t="n"/>
      <c r="X429" s="8" t="inlineStr">
        <is>
          <t>No</t>
        </is>
      </c>
      <c r="Y429" s="8" t="n"/>
      <c r="Z429" s="8" t="n"/>
      <c r="AA429" s="8" t="n"/>
      <c r="AB429" s="8" t="inlineStr">
        <is>
          <t>[Security Analyst]</t>
        </is>
      </c>
      <c r="AC429" s="8" t="n"/>
      <c r="AD429" s="8" t="n"/>
      <c r="AE429" s="16">
        <f>IF(AA429&lt;&gt;"", AA429+90, "")</f>
        <v/>
      </c>
      <c r="AF429" s="8" t="n"/>
    </row>
    <row r="430">
      <c r="A430">
        <f>IF(B430&lt;&gt;"", "HC-"&amp;TEXT(ROW()-1,"00000"), "")</f>
        <v/>
      </c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>
        <f>IF(K430="", "", IF(K430="Implemented", "Pass", IF(K430="Partial", "Partial", IF(K430="Not Applicable", "N/A", "Fail"))))</f>
        <v/>
      </c>
      <c r="R430" s="8" t="n"/>
      <c r="S430" s="8" t="n"/>
      <c r="T430">
        <f>IF(Q430="", "", IF(OR(Q430="Fail", Q430="Partial"), "Yes", "No"))</f>
        <v/>
      </c>
      <c r="U430" s="8" t="n"/>
      <c r="V430" s="8" t="n"/>
      <c r="W430" s="8" t="n"/>
      <c r="X430" s="8" t="inlineStr">
        <is>
          <t>No</t>
        </is>
      </c>
      <c r="Y430" s="8" t="n"/>
      <c r="Z430" s="8" t="n"/>
      <c r="AA430" s="8" t="n"/>
      <c r="AB430" s="8" t="inlineStr">
        <is>
          <t>[Security Analyst]</t>
        </is>
      </c>
      <c r="AC430" s="8" t="n"/>
      <c r="AD430" s="8" t="n"/>
      <c r="AE430" s="16">
        <f>IF(AA430&lt;&gt;"", AA430+90, "")</f>
        <v/>
      </c>
      <c r="AF430" s="8" t="n"/>
    </row>
    <row r="431">
      <c r="A431">
        <f>IF(B431&lt;&gt;"", "HC-"&amp;TEXT(ROW()-1,"00000"), "")</f>
        <v/>
      </c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>
        <f>IF(K431="", "", IF(K431="Implemented", "Pass", IF(K431="Partial", "Partial", IF(K431="Not Applicable", "N/A", "Fail"))))</f>
        <v/>
      </c>
      <c r="R431" s="8" t="n"/>
      <c r="S431" s="8" t="n"/>
      <c r="T431">
        <f>IF(Q431="", "", IF(OR(Q431="Fail", Q431="Partial"), "Yes", "No"))</f>
        <v/>
      </c>
      <c r="U431" s="8" t="n"/>
      <c r="V431" s="8" t="n"/>
      <c r="W431" s="8" t="n"/>
      <c r="X431" s="8" t="inlineStr">
        <is>
          <t>No</t>
        </is>
      </c>
      <c r="Y431" s="8" t="n"/>
      <c r="Z431" s="8" t="n"/>
      <c r="AA431" s="8" t="n"/>
      <c r="AB431" s="8" t="inlineStr">
        <is>
          <t>[Security Analyst]</t>
        </is>
      </c>
      <c r="AC431" s="8" t="n"/>
      <c r="AD431" s="8" t="n"/>
      <c r="AE431" s="16">
        <f>IF(AA431&lt;&gt;"", AA431+90, "")</f>
        <v/>
      </c>
      <c r="AF431" s="8" t="n"/>
    </row>
    <row r="432">
      <c r="A432">
        <f>IF(B432&lt;&gt;"", "HC-"&amp;TEXT(ROW()-1,"00000"), "")</f>
        <v/>
      </c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>
        <f>IF(K432="", "", IF(K432="Implemented", "Pass", IF(K432="Partial", "Partial", IF(K432="Not Applicable", "N/A", "Fail"))))</f>
        <v/>
      </c>
      <c r="R432" s="8" t="n"/>
      <c r="S432" s="8" t="n"/>
      <c r="T432">
        <f>IF(Q432="", "", IF(OR(Q432="Fail", Q432="Partial"), "Yes", "No"))</f>
        <v/>
      </c>
      <c r="U432" s="8" t="n"/>
      <c r="V432" s="8" t="n"/>
      <c r="W432" s="8" t="n"/>
      <c r="X432" s="8" t="inlineStr">
        <is>
          <t>No</t>
        </is>
      </c>
      <c r="Y432" s="8" t="n"/>
      <c r="Z432" s="8" t="n"/>
      <c r="AA432" s="8" t="n"/>
      <c r="AB432" s="8" t="inlineStr">
        <is>
          <t>[Security Analyst]</t>
        </is>
      </c>
      <c r="AC432" s="8" t="n"/>
      <c r="AD432" s="8" t="n"/>
      <c r="AE432" s="16">
        <f>IF(AA432&lt;&gt;"", AA432+90, "")</f>
        <v/>
      </c>
      <c r="AF432" s="8" t="n"/>
    </row>
    <row r="433">
      <c r="A433">
        <f>IF(B433&lt;&gt;"", "HC-"&amp;TEXT(ROW()-1,"00000"), "")</f>
        <v/>
      </c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>
        <f>IF(K433="", "", IF(K433="Implemented", "Pass", IF(K433="Partial", "Partial", IF(K433="Not Applicable", "N/A", "Fail"))))</f>
        <v/>
      </c>
      <c r="R433" s="8" t="n"/>
      <c r="S433" s="8" t="n"/>
      <c r="T433">
        <f>IF(Q433="", "", IF(OR(Q433="Fail", Q433="Partial"), "Yes", "No"))</f>
        <v/>
      </c>
      <c r="U433" s="8" t="n"/>
      <c r="V433" s="8" t="n"/>
      <c r="W433" s="8" t="n"/>
      <c r="X433" s="8" t="inlineStr">
        <is>
          <t>No</t>
        </is>
      </c>
      <c r="Y433" s="8" t="n"/>
      <c r="Z433" s="8" t="n"/>
      <c r="AA433" s="8" t="n"/>
      <c r="AB433" s="8" t="inlineStr">
        <is>
          <t>[Security Analyst]</t>
        </is>
      </c>
      <c r="AC433" s="8" t="n"/>
      <c r="AD433" s="8" t="n"/>
      <c r="AE433" s="16">
        <f>IF(AA433&lt;&gt;"", AA433+90, "")</f>
        <v/>
      </c>
      <c r="AF433" s="8" t="n"/>
    </row>
    <row r="434">
      <c r="A434">
        <f>IF(B434&lt;&gt;"", "HC-"&amp;TEXT(ROW()-1,"00000"), "")</f>
        <v/>
      </c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>
        <f>IF(K434="", "", IF(K434="Implemented", "Pass", IF(K434="Partial", "Partial", IF(K434="Not Applicable", "N/A", "Fail"))))</f>
        <v/>
      </c>
      <c r="R434" s="8" t="n"/>
      <c r="S434" s="8" t="n"/>
      <c r="T434">
        <f>IF(Q434="", "", IF(OR(Q434="Fail", Q434="Partial"), "Yes", "No"))</f>
        <v/>
      </c>
      <c r="U434" s="8" t="n"/>
      <c r="V434" s="8" t="n"/>
      <c r="W434" s="8" t="n"/>
      <c r="X434" s="8" t="inlineStr">
        <is>
          <t>No</t>
        </is>
      </c>
      <c r="Y434" s="8" t="n"/>
      <c r="Z434" s="8" t="n"/>
      <c r="AA434" s="8" t="n"/>
      <c r="AB434" s="8" t="inlineStr">
        <is>
          <t>[Security Analyst]</t>
        </is>
      </c>
      <c r="AC434" s="8" t="n"/>
      <c r="AD434" s="8" t="n"/>
      <c r="AE434" s="16">
        <f>IF(AA434&lt;&gt;"", AA434+90, "")</f>
        <v/>
      </c>
      <c r="AF434" s="8" t="n"/>
    </row>
    <row r="435">
      <c r="A435">
        <f>IF(B435&lt;&gt;"", "HC-"&amp;TEXT(ROW()-1,"00000"), "")</f>
        <v/>
      </c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>
        <f>IF(K435="", "", IF(K435="Implemented", "Pass", IF(K435="Partial", "Partial", IF(K435="Not Applicable", "N/A", "Fail"))))</f>
        <v/>
      </c>
      <c r="R435" s="8" t="n"/>
      <c r="S435" s="8" t="n"/>
      <c r="T435">
        <f>IF(Q435="", "", IF(OR(Q435="Fail", Q435="Partial"), "Yes", "No"))</f>
        <v/>
      </c>
      <c r="U435" s="8" t="n"/>
      <c r="V435" s="8" t="n"/>
      <c r="W435" s="8" t="n"/>
      <c r="X435" s="8" t="inlineStr">
        <is>
          <t>No</t>
        </is>
      </c>
      <c r="Y435" s="8" t="n"/>
      <c r="Z435" s="8" t="n"/>
      <c r="AA435" s="8" t="n"/>
      <c r="AB435" s="8" t="inlineStr">
        <is>
          <t>[Security Analyst]</t>
        </is>
      </c>
      <c r="AC435" s="8" t="n"/>
      <c r="AD435" s="8" t="n"/>
      <c r="AE435" s="16">
        <f>IF(AA435&lt;&gt;"", AA435+90, "")</f>
        <v/>
      </c>
      <c r="AF435" s="8" t="n"/>
    </row>
    <row r="436">
      <c r="A436">
        <f>IF(B436&lt;&gt;"", "HC-"&amp;TEXT(ROW()-1,"00000"), "")</f>
        <v/>
      </c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>
        <f>IF(K436="", "", IF(K436="Implemented", "Pass", IF(K436="Partial", "Partial", IF(K436="Not Applicable", "N/A", "Fail"))))</f>
        <v/>
      </c>
      <c r="R436" s="8" t="n"/>
      <c r="S436" s="8" t="n"/>
      <c r="T436">
        <f>IF(Q436="", "", IF(OR(Q436="Fail", Q436="Partial"), "Yes", "No"))</f>
        <v/>
      </c>
      <c r="U436" s="8" t="n"/>
      <c r="V436" s="8" t="n"/>
      <c r="W436" s="8" t="n"/>
      <c r="X436" s="8" t="inlineStr">
        <is>
          <t>No</t>
        </is>
      </c>
      <c r="Y436" s="8" t="n"/>
      <c r="Z436" s="8" t="n"/>
      <c r="AA436" s="8" t="n"/>
      <c r="AB436" s="8" t="inlineStr">
        <is>
          <t>[Security Analyst]</t>
        </is>
      </c>
      <c r="AC436" s="8" t="n"/>
      <c r="AD436" s="8" t="n"/>
      <c r="AE436" s="16">
        <f>IF(AA436&lt;&gt;"", AA436+90, "")</f>
        <v/>
      </c>
      <c r="AF436" s="8" t="n"/>
    </row>
    <row r="437">
      <c r="A437">
        <f>IF(B437&lt;&gt;"", "HC-"&amp;TEXT(ROW()-1,"00000"), "")</f>
        <v/>
      </c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>
        <f>IF(K437="", "", IF(K437="Implemented", "Pass", IF(K437="Partial", "Partial", IF(K437="Not Applicable", "N/A", "Fail"))))</f>
        <v/>
      </c>
      <c r="R437" s="8" t="n"/>
      <c r="S437" s="8" t="n"/>
      <c r="T437">
        <f>IF(Q437="", "", IF(OR(Q437="Fail", Q437="Partial"), "Yes", "No"))</f>
        <v/>
      </c>
      <c r="U437" s="8" t="n"/>
      <c r="V437" s="8" t="n"/>
      <c r="W437" s="8" t="n"/>
      <c r="X437" s="8" t="inlineStr">
        <is>
          <t>No</t>
        </is>
      </c>
      <c r="Y437" s="8" t="n"/>
      <c r="Z437" s="8" t="n"/>
      <c r="AA437" s="8" t="n"/>
      <c r="AB437" s="8" t="inlineStr">
        <is>
          <t>[Security Analyst]</t>
        </is>
      </c>
      <c r="AC437" s="8" t="n"/>
      <c r="AD437" s="8" t="n"/>
      <c r="AE437" s="16">
        <f>IF(AA437&lt;&gt;"", AA437+90, "")</f>
        <v/>
      </c>
      <c r="AF437" s="8" t="n"/>
    </row>
    <row r="438">
      <c r="A438">
        <f>IF(B438&lt;&gt;"", "HC-"&amp;TEXT(ROW()-1,"00000"), "")</f>
        <v/>
      </c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>
        <f>IF(K438="", "", IF(K438="Implemented", "Pass", IF(K438="Partial", "Partial", IF(K438="Not Applicable", "N/A", "Fail"))))</f>
        <v/>
      </c>
      <c r="R438" s="8" t="n"/>
      <c r="S438" s="8" t="n"/>
      <c r="T438">
        <f>IF(Q438="", "", IF(OR(Q438="Fail", Q438="Partial"), "Yes", "No"))</f>
        <v/>
      </c>
      <c r="U438" s="8" t="n"/>
      <c r="V438" s="8" t="n"/>
      <c r="W438" s="8" t="n"/>
      <c r="X438" s="8" t="inlineStr">
        <is>
          <t>No</t>
        </is>
      </c>
      <c r="Y438" s="8" t="n"/>
      <c r="Z438" s="8" t="n"/>
      <c r="AA438" s="8" t="n"/>
      <c r="AB438" s="8" t="inlineStr">
        <is>
          <t>[Security Analyst]</t>
        </is>
      </c>
      <c r="AC438" s="8" t="n"/>
      <c r="AD438" s="8" t="n"/>
      <c r="AE438" s="16">
        <f>IF(AA438&lt;&gt;"", AA438+90, "")</f>
        <v/>
      </c>
      <c r="AF438" s="8" t="n"/>
    </row>
    <row r="439">
      <c r="A439">
        <f>IF(B439&lt;&gt;"", "HC-"&amp;TEXT(ROW()-1,"00000"), "")</f>
        <v/>
      </c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>
        <f>IF(K439="", "", IF(K439="Implemented", "Pass", IF(K439="Partial", "Partial", IF(K439="Not Applicable", "N/A", "Fail"))))</f>
        <v/>
      </c>
      <c r="R439" s="8" t="n"/>
      <c r="S439" s="8" t="n"/>
      <c r="T439">
        <f>IF(Q439="", "", IF(OR(Q439="Fail", Q439="Partial"), "Yes", "No"))</f>
        <v/>
      </c>
      <c r="U439" s="8" t="n"/>
      <c r="V439" s="8" t="n"/>
      <c r="W439" s="8" t="n"/>
      <c r="X439" s="8" t="inlineStr">
        <is>
          <t>No</t>
        </is>
      </c>
      <c r="Y439" s="8" t="n"/>
      <c r="Z439" s="8" t="n"/>
      <c r="AA439" s="8" t="n"/>
      <c r="AB439" s="8" t="inlineStr">
        <is>
          <t>[Security Analyst]</t>
        </is>
      </c>
      <c r="AC439" s="8" t="n"/>
      <c r="AD439" s="8" t="n"/>
      <c r="AE439" s="16">
        <f>IF(AA439&lt;&gt;"", AA439+90, "")</f>
        <v/>
      </c>
      <c r="AF439" s="8" t="n"/>
    </row>
    <row r="440">
      <c r="A440">
        <f>IF(B440&lt;&gt;"", "HC-"&amp;TEXT(ROW()-1,"00000"), "")</f>
        <v/>
      </c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>
        <f>IF(K440="", "", IF(K440="Implemented", "Pass", IF(K440="Partial", "Partial", IF(K440="Not Applicable", "N/A", "Fail"))))</f>
        <v/>
      </c>
      <c r="R440" s="8" t="n"/>
      <c r="S440" s="8" t="n"/>
      <c r="T440">
        <f>IF(Q440="", "", IF(OR(Q440="Fail", Q440="Partial"), "Yes", "No"))</f>
        <v/>
      </c>
      <c r="U440" s="8" t="n"/>
      <c r="V440" s="8" t="n"/>
      <c r="W440" s="8" t="n"/>
      <c r="X440" s="8" t="inlineStr">
        <is>
          <t>No</t>
        </is>
      </c>
      <c r="Y440" s="8" t="n"/>
      <c r="Z440" s="8" t="n"/>
      <c r="AA440" s="8" t="n"/>
      <c r="AB440" s="8" t="inlineStr">
        <is>
          <t>[Security Analyst]</t>
        </is>
      </c>
      <c r="AC440" s="8" t="n"/>
      <c r="AD440" s="8" t="n"/>
      <c r="AE440" s="16">
        <f>IF(AA440&lt;&gt;"", AA440+90, "")</f>
        <v/>
      </c>
      <c r="AF440" s="8" t="n"/>
    </row>
    <row r="441">
      <c r="A441">
        <f>IF(B441&lt;&gt;"", "HC-"&amp;TEXT(ROW()-1,"00000"), "")</f>
        <v/>
      </c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>
        <f>IF(K441="", "", IF(K441="Implemented", "Pass", IF(K441="Partial", "Partial", IF(K441="Not Applicable", "N/A", "Fail"))))</f>
        <v/>
      </c>
      <c r="R441" s="8" t="n"/>
      <c r="S441" s="8" t="n"/>
      <c r="T441">
        <f>IF(Q441="", "", IF(OR(Q441="Fail", Q441="Partial"), "Yes", "No"))</f>
        <v/>
      </c>
      <c r="U441" s="8" t="n"/>
      <c r="V441" s="8" t="n"/>
      <c r="W441" s="8" t="n"/>
      <c r="X441" s="8" t="inlineStr">
        <is>
          <t>No</t>
        </is>
      </c>
      <c r="Y441" s="8" t="n"/>
      <c r="Z441" s="8" t="n"/>
      <c r="AA441" s="8" t="n"/>
      <c r="AB441" s="8" t="inlineStr">
        <is>
          <t>[Security Analyst]</t>
        </is>
      </c>
      <c r="AC441" s="8" t="n"/>
      <c r="AD441" s="8" t="n"/>
      <c r="AE441" s="16">
        <f>IF(AA441&lt;&gt;"", AA441+90, "")</f>
        <v/>
      </c>
      <c r="AF441" s="8" t="n"/>
    </row>
    <row r="442">
      <c r="A442">
        <f>IF(B442&lt;&gt;"", "HC-"&amp;TEXT(ROW()-1,"00000"), "")</f>
        <v/>
      </c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>
        <f>IF(K442="", "", IF(K442="Implemented", "Pass", IF(K442="Partial", "Partial", IF(K442="Not Applicable", "N/A", "Fail"))))</f>
        <v/>
      </c>
      <c r="R442" s="8" t="n"/>
      <c r="S442" s="8" t="n"/>
      <c r="T442">
        <f>IF(Q442="", "", IF(OR(Q442="Fail", Q442="Partial"), "Yes", "No"))</f>
        <v/>
      </c>
      <c r="U442" s="8" t="n"/>
      <c r="V442" s="8" t="n"/>
      <c r="W442" s="8" t="n"/>
      <c r="X442" s="8" t="inlineStr">
        <is>
          <t>No</t>
        </is>
      </c>
      <c r="Y442" s="8" t="n"/>
      <c r="Z442" s="8" t="n"/>
      <c r="AA442" s="8" t="n"/>
      <c r="AB442" s="8" t="inlineStr">
        <is>
          <t>[Security Analyst]</t>
        </is>
      </c>
      <c r="AC442" s="8" t="n"/>
      <c r="AD442" s="8" t="n"/>
      <c r="AE442" s="16">
        <f>IF(AA442&lt;&gt;"", AA442+90, "")</f>
        <v/>
      </c>
      <c r="AF442" s="8" t="n"/>
    </row>
    <row r="443">
      <c r="A443">
        <f>IF(B443&lt;&gt;"", "HC-"&amp;TEXT(ROW()-1,"00000"), "")</f>
        <v/>
      </c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>
        <f>IF(K443="", "", IF(K443="Implemented", "Pass", IF(K443="Partial", "Partial", IF(K443="Not Applicable", "N/A", "Fail"))))</f>
        <v/>
      </c>
      <c r="R443" s="8" t="n"/>
      <c r="S443" s="8" t="n"/>
      <c r="T443">
        <f>IF(Q443="", "", IF(OR(Q443="Fail", Q443="Partial"), "Yes", "No"))</f>
        <v/>
      </c>
      <c r="U443" s="8" t="n"/>
      <c r="V443" s="8" t="n"/>
      <c r="W443" s="8" t="n"/>
      <c r="X443" s="8" t="inlineStr">
        <is>
          <t>No</t>
        </is>
      </c>
      <c r="Y443" s="8" t="n"/>
      <c r="Z443" s="8" t="n"/>
      <c r="AA443" s="8" t="n"/>
      <c r="AB443" s="8" t="inlineStr">
        <is>
          <t>[Security Analyst]</t>
        </is>
      </c>
      <c r="AC443" s="8" t="n"/>
      <c r="AD443" s="8" t="n"/>
      <c r="AE443" s="16">
        <f>IF(AA443&lt;&gt;"", AA443+90, "")</f>
        <v/>
      </c>
      <c r="AF443" s="8" t="n"/>
    </row>
    <row r="444">
      <c r="A444">
        <f>IF(B444&lt;&gt;"", "HC-"&amp;TEXT(ROW()-1,"00000"), "")</f>
        <v/>
      </c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>
        <f>IF(K444="", "", IF(K444="Implemented", "Pass", IF(K444="Partial", "Partial", IF(K444="Not Applicable", "N/A", "Fail"))))</f>
        <v/>
      </c>
      <c r="R444" s="8" t="n"/>
      <c r="S444" s="8" t="n"/>
      <c r="T444">
        <f>IF(Q444="", "", IF(OR(Q444="Fail", Q444="Partial"), "Yes", "No"))</f>
        <v/>
      </c>
      <c r="U444" s="8" t="n"/>
      <c r="V444" s="8" t="n"/>
      <c r="W444" s="8" t="n"/>
      <c r="X444" s="8" t="inlineStr">
        <is>
          <t>No</t>
        </is>
      </c>
      <c r="Y444" s="8" t="n"/>
      <c r="Z444" s="8" t="n"/>
      <c r="AA444" s="8" t="n"/>
      <c r="AB444" s="8" t="inlineStr">
        <is>
          <t>[Security Analyst]</t>
        </is>
      </c>
      <c r="AC444" s="8" t="n"/>
      <c r="AD444" s="8" t="n"/>
      <c r="AE444" s="16">
        <f>IF(AA444&lt;&gt;"", AA444+90, "")</f>
        <v/>
      </c>
      <c r="AF444" s="8" t="n"/>
    </row>
    <row r="445">
      <c r="A445">
        <f>IF(B445&lt;&gt;"", "HC-"&amp;TEXT(ROW()-1,"00000"), "")</f>
        <v/>
      </c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>
        <f>IF(K445="", "", IF(K445="Implemented", "Pass", IF(K445="Partial", "Partial", IF(K445="Not Applicable", "N/A", "Fail"))))</f>
        <v/>
      </c>
      <c r="R445" s="8" t="n"/>
      <c r="S445" s="8" t="n"/>
      <c r="T445">
        <f>IF(Q445="", "", IF(OR(Q445="Fail", Q445="Partial"), "Yes", "No"))</f>
        <v/>
      </c>
      <c r="U445" s="8" t="n"/>
      <c r="V445" s="8" t="n"/>
      <c r="W445" s="8" t="n"/>
      <c r="X445" s="8" t="inlineStr">
        <is>
          <t>No</t>
        </is>
      </c>
      <c r="Y445" s="8" t="n"/>
      <c r="Z445" s="8" t="n"/>
      <c r="AA445" s="8" t="n"/>
      <c r="AB445" s="8" t="inlineStr">
        <is>
          <t>[Security Analyst]</t>
        </is>
      </c>
      <c r="AC445" s="8" t="n"/>
      <c r="AD445" s="8" t="n"/>
      <c r="AE445" s="16">
        <f>IF(AA445&lt;&gt;"", AA445+90, "")</f>
        <v/>
      </c>
      <c r="AF445" s="8" t="n"/>
    </row>
    <row r="446">
      <c r="A446">
        <f>IF(B446&lt;&gt;"", "HC-"&amp;TEXT(ROW()-1,"00000"), "")</f>
        <v/>
      </c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>
        <f>IF(K446="", "", IF(K446="Implemented", "Pass", IF(K446="Partial", "Partial", IF(K446="Not Applicable", "N/A", "Fail"))))</f>
        <v/>
      </c>
      <c r="R446" s="8" t="n"/>
      <c r="S446" s="8" t="n"/>
      <c r="T446">
        <f>IF(Q446="", "", IF(OR(Q446="Fail", Q446="Partial"), "Yes", "No"))</f>
        <v/>
      </c>
      <c r="U446" s="8" t="n"/>
      <c r="V446" s="8" t="n"/>
      <c r="W446" s="8" t="n"/>
      <c r="X446" s="8" t="inlineStr">
        <is>
          <t>No</t>
        </is>
      </c>
      <c r="Y446" s="8" t="n"/>
      <c r="Z446" s="8" t="n"/>
      <c r="AA446" s="8" t="n"/>
      <c r="AB446" s="8" t="inlineStr">
        <is>
          <t>[Security Analyst]</t>
        </is>
      </c>
      <c r="AC446" s="8" t="n"/>
      <c r="AD446" s="8" t="n"/>
      <c r="AE446" s="16">
        <f>IF(AA446&lt;&gt;"", AA446+90, "")</f>
        <v/>
      </c>
      <c r="AF446" s="8" t="n"/>
    </row>
    <row r="447">
      <c r="A447">
        <f>IF(B447&lt;&gt;"", "HC-"&amp;TEXT(ROW()-1,"00000"), "")</f>
        <v/>
      </c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>
        <f>IF(K447="", "", IF(K447="Implemented", "Pass", IF(K447="Partial", "Partial", IF(K447="Not Applicable", "N/A", "Fail"))))</f>
        <v/>
      </c>
      <c r="R447" s="8" t="n"/>
      <c r="S447" s="8" t="n"/>
      <c r="T447">
        <f>IF(Q447="", "", IF(OR(Q447="Fail", Q447="Partial"), "Yes", "No"))</f>
        <v/>
      </c>
      <c r="U447" s="8" t="n"/>
      <c r="V447" s="8" t="n"/>
      <c r="W447" s="8" t="n"/>
      <c r="X447" s="8" t="inlineStr">
        <is>
          <t>No</t>
        </is>
      </c>
      <c r="Y447" s="8" t="n"/>
      <c r="Z447" s="8" t="n"/>
      <c r="AA447" s="8" t="n"/>
      <c r="AB447" s="8" t="inlineStr">
        <is>
          <t>[Security Analyst]</t>
        </is>
      </c>
      <c r="AC447" s="8" t="n"/>
      <c r="AD447" s="8" t="n"/>
      <c r="AE447" s="16">
        <f>IF(AA447&lt;&gt;"", AA447+90, "")</f>
        <v/>
      </c>
      <c r="AF447" s="8" t="n"/>
    </row>
    <row r="448">
      <c r="A448">
        <f>IF(B448&lt;&gt;"", "HC-"&amp;TEXT(ROW()-1,"00000"), "")</f>
        <v/>
      </c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>
        <f>IF(K448="", "", IF(K448="Implemented", "Pass", IF(K448="Partial", "Partial", IF(K448="Not Applicable", "N/A", "Fail"))))</f>
        <v/>
      </c>
      <c r="R448" s="8" t="n"/>
      <c r="S448" s="8" t="n"/>
      <c r="T448">
        <f>IF(Q448="", "", IF(OR(Q448="Fail", Q448="Partial"), "Yes", "No"))</f>
        <v/>
      </c>
      <c r="U448" s="8" t="n"/>
      <c r="V448" s="8" t="n"/>
      <c r="W448" s="8" t="n"/>
      <c r="X448" s="8" t="inlineStr">
        <is>
          <t>No</t>
        </is>
      </c>
      <c r="Y448" s="8" t="n"/>
      <c r="Z448" s="8" t="n"/>
      <c r="AA448" s="8" t="n"/>
      <c r="AB448" s="8" t="inlineStr">
        <is>
          <t>[Security Analyst]</t>
        </is>
      </c>
      <c r="AC448" s="8" t="n"/>
      <c r="AD448" s="8" t="n"/>
      <c r="AE448" s="16">
        <f>IF(AA448&lt;&gt;"", AA448+90, "")</f>
        <v/>
      </c>
      <c r="AF448" s="8" t="n"/>
    </row>
    <row r="449">
      <c r="A449">
        <f>IF(B449&lt;&gt;"", "HC-"&amp;TEXT(ROW()-1,"00000"), "")</f>
        <v/>
      </c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>
        <f>IF(K449="", "", IF(K449="Implemented", "Pass", IF(K449="Partial", "Partial", IF(K449="Not Applicable", "N/A", "Fail"))))</f>
        <v/>
      </c>
      <c r="R449" s="8" t="n"/>
      <c r="S449" s="8" t="n"/>
      <c r="T449">
        <f>IF(Q449="", "", IF(OR(Q449="Fail", Q449="Partial"), "Yes", "No"))</f>
        <v/>
      </c>
      <c r="U449" s="8" t="n"/>
      <c r="V449" s="8" t="n"/>
      <c r="W449" s="8" t="n"/>
      <c r="X449" s="8" t="inlineStr">
        <is>
          <t>No</t>
        </is>
      </c>
      <c r="Y449" s="8" t="n"/>
      <c r="Z449" s="8" t="n"/>
      <c r="AA449" s="8" t="n"/>
      <c r="AB449" s="8" t="inlineStr">
        <is>
          <t>[Security Analyst]</t>
        </is>
      </c>
      <c r="AC449" s="8" t="n"/>
      <c r="AD449" s="8" t="n"/>
      <c r="AE449" s="16">
        <f>IF(AA449&lt;&gt;"", AA449+90, "")</f>
        <v/>
      </c>
      <c r="AF449" s="8" t="n"/>
    </row>
    <row r="450">
      <c r="A450">
        <f>IF(B450&lt;&gt;"", "HC-"&amp;TEXT(ROW()-1,"00000"), "")</f>
        <v/>
      </c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>
        <f>IF(K450="", "", IF(K450="Implemented", "Pass", IF(K450="Partial", "Partial", IF(K450="Not Applicable", "N/A", "Fail"))))</f>
        <v/>
      </c>
      <c r="R450" s="8" t="n"/>
      <c r="S450" s="8" t="n"/>
      <c r="T450">
        <f>IF(Q450="", "", IF(OR(Q450="Fail", Q450="Partial"), "Yes", "No"))</f>
        <v/>
      </c>
      <c r="U450" s="8" t="n"/>
      <c r="V450" s="8" t="n"/>
      <c r="W450" s="8" t="n"/>
      <c r="X450" s="8" t="inlineStr">
        <is>
          <t>No</t>
        </is>
      </c>
      <c r="Y450" s="8" t="n"/>
      <c r="Z450" s="8" t="n"/>
      <c r="AA450" s="8" t="n"/>
      <c r="AB450" s="8" t="inlineStr">
        <is>
          <t>[Security Analyst]</t>
        </is>
      </c>
      <c r="AC450" s="8" t="n"/>
      <c r="AD450" s="8" t="n"/>
      <c r="AE450" s="16">
        <f>IF(AA450&lt;&gt;"", AA450+90, "")</f>
        <v/>
      </c>
      <c r="AF450" s="8" t="n"/>
    </row>
    <row r="451">
      <c r="A451">
        <f>IF(B451&lt;&gt;"", "HC-"&amp;TEXT(ROW()-1,"00000"), "")</f>
        <v/>
      </c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>
        <f>IF(K451="", "", IF(K451="Implemented", "Pass", IF(K451="Partial", "Partial", IF(K451="Not Applicable", "N/A", "Fail"))))</f>
        <v/>
      </c>
      <c r="R451" s="8" t="n"/>
      <c r="S451" s="8" t="n"/>
      <c r="T451">
        <f>IF(Q451="", "", IF(OR(Q451="Fail", Q451="Partial"), "Yes", "No"))</f>
        <v/>
      </c>
      <c r="U451" s="8" t="n"/>
      <c r="V451" s="8" t="n"/>
      <c r="W451" s="8" t="n"/>
      <c r="X451" s="8" t="inlineStr">
        <is>
          <t>No</t>
        </is>
      </c>
      <c r="Y451" s="8" t="n"/>
      <c r="Z451" s="8" t="n"/>
      <c r="AA451" s="8" t="n"/>
      <c r="AB451" s="8" t="inlineStr">
        <is>
          <t>[Security Analyst]</t>
        </is>
      </c>
      <c r="AC451" s="8" t="n"/>
      <c r="AD451" s="8" t="n"/>
      <c r="AE451" s="16">
        <f>IF(AA451&lt;&gt;"", AA451+90, "")</f>
        <v/>
      </c>
      <c r="AF451" s="8" t="n"/>
    </row>
    <row r="452">
      <c r="A452">
        <f>IF(B452&lt;&gt;"", "HC-"&amp;TEXT(ROW()-1,"00000"), "")</f>
        <v/>
      </c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>
        <f>IF(K452="", "", IF(K452="Implemented", "Pass", IF(K452="Partial", "Partial", IF(K452="Not Applicable", "N/A", "Fail"))))</f>
        <v/>
      </c>
      <c r="R452" s="8" t="n"/>
      <c r="S452" s="8" t="n"/>
      <c r="T452">
        <f>IF(Q452="", "", IF(OR(Q452="Fail", Q452="Partial"), "Yes", "No"))</f>
        <v/>
      </c>
      <c r="U452" s="8" t="n"/>
      <c r="V452" s="8" t="n"/>
      <c r="W452" s="8" t="n"/>
      <c r="X452" s="8" t="inlineStr">
        <is>
          <t>No</t>
        </is>
      </c>
      <c r="Y452" s="8" t="n"/>
      <c r="Z452" s="8" t="n"/>
      <c r="AA452" s="8" t="n"/>
      <c r="AB452" s="8" t="inlineStr">
        <is>
          <t>[Security Analyst]</t>
        </is>
      </c>
      <c r="AC452" s="8" t="n"/>
      <c r="AD452" s="8" t="n"/>
      <c r="AE452" s="16">
        <f>IF(AA452&lt;&gt;"", AA452+90, "")</f>
        <v/>
      </c>
      <c r="AF452" s="8" t="n"/>
    </row>
    <row r="453">
      <c r="A453">
        <f>IF(B453&lt;&gt;"", "HC-"&amp;TEXT(ROW()-1,"00000"), "")</f>
        <v/>
      </c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>
        <f>IF(K453="", "", IF(K453="Implemented", "Pass", IF(K453="Partial", "Partial", IF(K453="Not Applicable", "N/A", "Fail"))))</f>
        <v/>
      </c>
      <c r="R453" s="8" t="n"/>
      <c r="S453" s="8" t="n"/>
      <c r="T453">
        <f>IF(Q453="", "", IF(OR(Q453="Fail", Q453="Partial"), "Yes", "No"))</f>
        <v/>
      </c>
      <c r="U453" s="8" t="n"/>
      <c r="V453" s="8" t="n"/>
      <c r="W453" s="8" t="n"/>
      <c r="X453" s="8" t="inlineStr">
        <is>
          <t>No</t>
        </is>
      </c>
      <c r="Y453" s="8" t="n"/>
      <c r="Z453" s="8" t="n"/>
      <c r="AA453" s="8" t="n"/>
      <c r="AB453" s="8" t="inlineStr">
        <is>
          <t>[Security Analyst]</t>
        </is>
      </c>
      <c r="AC453" s="8" t="n"/>
      <c r="AD453" s="8" t="n"/>
      <c r="AE453" s="16">
        <f>IF(AA453&lt;&gt;"", AA453+90, "")</f>
        <v/>
      </c>
      <c r="AF453" s="8" t="n"/>
    </row>
    <row r="454">
      <c r="A454">
        <f>IF(B454&lt;&gt;"", "HC-"&amp;TEXT(ROW()-1,"00000"), "")</f>
        <v/>
      </c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>
        <f>IF(K454="", "", IF(K454="Implemented", "Pass", IF(K454="Partial", "Partial", IF(K454="Not Applicable", "N/A", "Fail"))))</f>
        <v/>
      </c>
      <c r="R454" s="8" t="n"/>
      <c r="S454" s="8" t="n"/>
      <c r="T454">
        <f>IF(Q454="", "", IF(OR(Q454="Fail", Q454="Partial"), "Yes", "No"))</f>
        <v/>
      </c>
      <c r="U454" s="8" t="n"/>
      <c r="V454" s="8" t="n"/>
      <c r="W454" s="8" t="n"/>
      <c r="X454" s="8" t="inlineStr">
        <is>
          <t>No</t>
        </is>
      </c>
      <c r="Y454" s="8" t="n"/>
      <c r="Z454" s="8" t="n"/>
      <c r="AA454" s="8" t="n"/>
      <c r="AB454" s="8" t="inlineStr">
        <is>
          <t>[Security Analyst]</t>
        </is>
      </c>
      <c r="AC454" s="8" t="n"/>
      <c r="AD454" s="8" t="n"/>
      <c r="AE454" s="16">
        <f>IF(AA454&lt;&gt;"", AA454+90, "")</f>
        <v/>
      </c>
      <c r="AF454" s="8" t="n"/>
    </row>
    <row r="455">
      <c r="A455">
        <f>IF(B455&lt;&gt;"", "HC-"&amp;TEXT(ROW()-1,"00000"), "")</f>
        <v/>
      </c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>
        <f>IF(K455="", "", IF(K455="Implemented", "Pass", IF(K455="Partial", "Partial", IF(K455="Not Applicable", "N/A", "Fail"))))</f>
        <v/>
      </c>
      <c r="R455" s="8" t="n"/>
      <c r="S455" s="8" t="n"/>
      <c r="T455">
        <f>IF(Q455="", "", IF(OR(Q455="Fail", Q455="Partial"), "Yes", "No"))</f>
        <v/>
      </c>
      <c r="U455" s="8" t="n"/>
      <c r="V455" s="8" t="n"/>
      <c r="W455" s="8" t="n"/>
      <c r="X455" s="8" t="inlineStr">
        <is>
          <t>No</t>
        </is>
      </c>
      <c r="Y455" s="8" t="n"/>
      <c r="Z455" s="8" t="n"/>
      <c r="AA455" s="8" t="n"/>
      <c r="AB455" s="8" t="inlineStr">
        <is>
          <t>[Security Analyst]</t>
        </is>
      </c>
      <c r="AC455" s="8" t="n"/>
      <c r="AD455" s="8" t="n"/>
      <c r="AE455" s="16">
        <f>IF(AA455&lt;&gt;"", AA455+90, "")</f>
        <v/>
      </c>
      <c r="AF455" s="8" t="n"/>
    </row>
    <row r="456">
      <c r="A456">
        <f>IF(B456&lt;&gt;"", "HC-"&amp;TEXT(ROW()-1,"00000"), "")</f>
        <v/>
      </c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>
        <f>IF(K456="", "", IF(K456="Implemented", "Pass", IF(K456="Partial", "Partial", IF(K456="Not Applicable", "N/A", "Fail"))))</f>
        <v/>
      </c>
      <c r="R456" s="8" t="n"/>
      <c r="S456" s="8" t="n"/>
      <c r="T456">
        <f>IF(Q456="", "", IF(OR(Q456="Fail", Q456="Partial"), "Yes", "No"))</f>
        <v/>
      </c>
      <c r="U456" s="8" t="n"/>
      <c r="V456" s="8" t="n"/>
      <c r="W456" s="8" t="n"/>
      <c r="X456" s="8" t="inlineStr">
        <is>
          <t>No</t>
        </is>
      </c>
      <c r="Y456" s="8" t="n"/>
      <c r="Z456" s="8" t="n"/>
      <c r="AA456" s="8" t="n"/>
      <c r="AB456" s="8" t="inlineStr">
        <is>
          <t>[Security Analyst]</t>
        </is>
      </c>
      <c r="AC456" s="8" t="n"/>
      <c r="AD456" s="8" t="n"/>
      <c r="AE456" s="16">
        <f>IF(AA456&lt;&gt;"", AA456+90, "")</f>
        <v/>
      </c>
      <c r="AF456" s="8" t="n"/>
    </row>
    <row r="457">
      <c r="A457">
        <f>IF(B457&lt;&gt;"", "HC-"&amp;TEXT(ROW()-1,"00000"), "")</f>
        <v/>
      </c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>
        <f>IF(K457="", "", IF(K457="Implemented", "Pass", IF(K457="Partial", "Partial", IF(K457="Not Applicable", "N/A", "Fail"))))</f>
        <v/>
      </c>
      <c r="R457" s="8" t="n"/>
      <c r="S457" s="8" t="n"/>
      <c r="T457">
        <f>IF(Q457="", "", IF(OR(Q457="Fail", Q457="Partial"), "Yes", "No"))</f>
        <v/>
      </c>
      <c r="U457" s="8" t="n"/>
      <c r="V457" s="8" t="n"/>
      <c r="W457" s="8" t="n"/>
      <c r="X457" s="8" t="inlineStr">
        <is>
          <t>No</t>
        </is>
      </c>
      <c r="Y457" s="8" t="n"/>
      <c r="Z457" s="8" t="n"/>
      <c r="AA457" s="8" t="n"/>
      <c r="AB457" s="8" t="inlineStr">
        <is>
          <t>[Security Analyst]</t>
        </is>
      </c>
      <c r="AC457" s="8" t="n"/>
      <c r="AD457" s="8" t="n"/>
      <c r="AE457" s="16">
        <f>IF(AA457&lt;&gt;"", AA457+90, "")</f>
        <v/>
      </c>
      <c r="AF457" s="8" t="n"/>
    </row>
    <row r="458">
      <c r="A458">
        <f>IF(B458&lt;&gt;"", "HC-"&amp;TEXT(ROW()-1,"00000"), "")</f>
        <v/>
      </c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>
        <f>IF(K458="", "", IF(K458="Implemented", "Pass", IF(K458="Partial", "Partial", IF(K458="Not Applicable", "N/A", "Fail"))))</f>
        <v/>
      </c>
      <c r="R458" s="8" t="n"/>
      <c r="S458" s="8" t="n"/>
      <c r="T458">
        <f>IF(Q458="", "", IF(OR(Q458="Fail", Q458="Partial"), "Yes", "No"))</f>
        <v/>
      </c>
      <c r="U458" s="8" t="n"/>
      <c r="V458" s="8" t="n"/>
      <c r="W458" s="8" t="n"/>
      <c r="X458" s="8" t="inlineStr">
        <is>
          <t>No</t>
        </is>
      </c>
      <c r="Y458" s="8" t="n"/>
      <c r="Z458" s="8" t="n"/>
      <c r="AA458" s="8" t="n"/>
      <c r="AB458" s="8" t="inlineStr">
        <is>
          <t>[Security Analyst]</t>
        </is>
      </c>
      <c r="AC458" s="8" t="n"/>
      <c r="AD458" s="8" t="n"/>
      <c r="AE458" s="16">
        <f>IF(AA458&lt;&gt;"", AA458+90, "")</f>
        <v/>
      </c>
      <c r="AF458" s="8" t="n"/>
    </row>
    <row r="459">
      <c r="A459">
        <f>IF(B459&lt;&gt;"", "HC-"&amp;TEXT(ROW()-1,"00000"), "")</f>
        <v/>
      </c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>
        <f>IF(K459="", "", IF(K459="Implemented", "Pass", IF(K459="Partial", "Partial", IF(K459="Not Applicable", "N/A", "Fail"))))</f>
        <v/>
      </c>
      <c r="R459" s="8" t="n"/>
      <c r="S459" s="8" t="n"/>
      <c r="T459">
        <f>IF(Q459="", "", IF(OR(Q459="Fail", Q459="Partial"), "Yes", "No"))</f>
        <v/>
      </c>
      <c r="U459" s="8" t="n"/>
      <c r="V459" s="8" t="n"/>
      <c r="W459" s="8" t="n"/>
      <c r="X459" s="8" t="inlineStr">
        <is>
          <t>No</t>
        </is>
      </c>
      <c r="Y459" s="8" t="n"/>
      <c r="Z459" s="8" t="n"/>
      <c r="AA459" s="8" t="n"/>
      <c r="AB459" s="8" t="inlineStr">
        <is>
          <t>[Security Analyst]</t>
        </is>
      </c>
      <c r="AC459" s="8" t="n"/>
      <c r="AD459" s="8" t="n"/>
      <c r="AE459" s="16">
        <f>IF(AA459&lt;&gt;"", AA459+90, "")</f>
        <v/>
      </c>
      <c r="AF459" s="8" t="n"/>
    </row>
    <row r="460">
      <c r="A460">
        <f>IF(B460&lt;&gt;"", "HC-"&amp;TEXT(ROW()-1,"00000"), "")</f>
        <v/>
      </c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>
        <f>IF(K460="", "", IF(K460="Implemented", "Pass", IF(K460="Partial", "Partial", IF(K460="Not Applicable", "N/A", "Fail"))))</f>
        <v/>
      </c>
      <c r="R460" s="8" t="n"/>
      <c r="S460" s="8" t="n"/>
      <c r="T460">
        <f>IF(Q460="", "", IF(OR(Q460="Fail", Q460="Partial"), "Yes", "No"))</f>
        <v/>
      </c>
      <c r="U460" s="8" t="n"/>
      <c r="V460" s="8" t="n"/>
      <c r="W460" s="8" t="n"/>
      <c r="X460" s="8" t="inlineStr">
        <is>
          <t>No</t>
        </is>
      </c>
      <c r="Y460" s="8" t="n"/>
      <c r="Z460" s="8" t="n"/>
      <c r="AA460" s="8" t="n"/>
      <c r="AB460" s="8" t="inlineStr">
        <is>
          <t>[Security Analyst]</t>
        </is>
      </c>
      <c r="AC460" s="8" t="n"/>
      <c r="AD460" s="8" t="n"/>
      <c r="AE460" s="16">
        <f>IF(AA460&lt;&gt;"", AA460+90, "")</f>
        <v/>
      </c>
      <c r="AF460" s="8" t="n"/>
    </row>
    <row r="461">
      <c r="A461">
        <f>IF(B461&lt;&gt;"", "HC-"&amp;TEXT(ROW()-1,"00000"), "")</f>
        <v/>
      </c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>
        <f>IF(K461="", "", IF(K461="Implemented", "Pass", IF(K461="Partial", "Partial", IF(K461="Not Applicable", "N/A", "Fail"))))</f>
        <v/>
      </c>
      <c r="R461" s="8" t="n"/>
      <c r="S461" s="8" t="n"/>
      <c r="T461">
        <f>IF(Q461="", "", IF(OR(Q461="Fail", Q461="Partial"), "Yes", "No"))</f>
        <v/>
      </c>
      <c r="U461" s="8" t="n"/>
      <c r="V461" s="8" t="n"/>
      <c r="W461" s="8" t="n"/>
      <c r="X461" s="8" t="inlineStr">
        <is>
          <t>No</t>
        </is>
      </c>
      <c r="Y461" s="8" t="n"/>
      <c r="Z461" s="8" t="n"/>
      <c r="AA461" s="8" t="n"/>
      <c r="AB461" s="8" t="inlineStr">
        <is>
          <t>[Security Analyst]</t>
        </is>
      </c>
      <c r="AC461" s="8" t="n"/>
      <c r="AD461" s="8" t="n"/>
      <c r="AE461" s="16">
        <f>IF(AA461&lt;&gt;"", AA461+90, "")</f>
        <v/>
      </c>
      <c r="AF461" s="8" t="n"/>
    </row>
    <row r="462">
      <c r="A462">
        <f>IF(B462&lt;&gt;"", "HC-"&amp;TEXT(ROW()-1,"00000"), "")</f>
        <v/>
      </c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>
        <f>IF(K462="", "", IF(K462="Implemented", "Pass", IF(K462="Partial", "Partial", IF(K462="Not Applicable", "N/A", "Fail"))))</f>
        <v/>
      </c>
      <c r="R462" s="8" t="n"/>
      <c r="S462" s="8" t="n"/>
      <c r="T462">
        <f>IF(Q462="", "", IF(OR(Q462="Fail", Q462="Partial"), "Yes", "No"))</f>
        <v/>
      </c>
      <c r="U462" s="8" t="n"/>
      <c r="V462" s="8" t="n"/>
      <c r="W462" s="8" t="n"/>
      <c r="X462" s="8" t="inlineStr">
        <is>
          <t>No</t>
        </is>
      </c>
      <c r="Y462" s="8" t="n"/>
      <c r="Z462" s="8" t="n"/>
      <c r="AA462" s="8" t="n"/>
      <c r="AB462" s="8" t="inlineStr">
        <is>
          <t>[Security Analyst]</t>
        </is>
      </c>
      <c r="AC462" s="8" t="n"/>
      <c r="AD462" s="8" t="n"/>
      <c r="AE462" s="16">
        <f>IF(AA462&lt;&gt;"", AA462+90, "")</f>
        <v/>
      </c>
      <c r="AF462" s="8" t="n"/>
    </row>
    <row r="463">
      <c r="A463">
        <f>IF(B463&lt;&gt;"", "HC-"&amp;TEXT(ROW()-1,"00000"), "")</f>
        <v/>
      </c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>
        <f>IF(K463="", "", IF(K463="Implemented", "Pass", IF(K463="Partial", "Partial", IF(K463="Not Applicable", "N/A", "Fail"))))</f>
        <v/>
      </c>
      <c r="R463" s="8" t="n"/>
      <c r="S463" s="8" t="n"/>
      <c r="T463">
        <f>IF(Q463="", "", IF(OR(Q463="Fail", Q463="Partial"), "Yes", "No"))</f>
        <v/>
      </c>
      <c r="U463" s="8" t="n"/>
      <c r="V463" s="8" t="n"/>
      <c r="W463" s="8" t="n"/>
      <c r="X463" s="8" t="inlineStr">
        <is>
          <t>No</t>
        </is>
      </c>
      <c r="Y463" s="8" t="n"/>
      <c r="Z463" s="8" t="n"/>
      <c r="AA463" s="8" t="n"/>
      <c r="AB463" s="8" t="inlineStr">
        <is>
          <t>[Security Analyst]</t>
        </is>
      </c>
      <c r="AC463" s="8" t="n"/>
      <c r="AD463" s="8" t="n"/>
      <c r="AE463" s="16">
        <f>IF(AA463&lt;&gt;"", AA463+90, "")</f>
        <v/>
      </c>
      <c r="AF463" s="8" t="n"/>
    </row>
    <row r="464">
      <c r="A464">
        <f>IF(B464&lt;&gt;"", "HC-"&amp;TEXT(ROW()-1,"00000"), "")</f>
        <v/>
      </c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>
        <f>IF(K464="", "", IF(K464="Implemented", "Pass", IF(K464="Partial", "Partial", IF(K464="Not Applicable", "N/A", "Fail"))))</f>
        <v/>
      </c>
      <c r="R464" s="8" t="n"/>
      <c r="S464" s="8" t="n"/>
      <c r="T464">
        <f>IF(Q464="", "", IF(OR(Q464="Fail", Q464="Partial"), "Yes", "No"))</f>
        <v/>
      </c>
      <c r="U464" s="8" t="n"/>
      <c r="V464" s="8" t="n"/>
      <c r="W464" s="8" t="n"/>
      <c r="X464" s="8" t="inlineStr">
        <is>
          <t>No</t>
        </is>
      </c>
      <c r="Y464" s="8" t="n"/>
      <c r="Z464" s="8" t="n"/>
      <c r="AA464" s="8" t="n"/>
      <c r="AB464" s="8" t="inlineStr">
        <is>
          <t>[Security Analyst]</t>
        </is>
      </c>
      <c r="AC464" s="8" t="n"/>
      <c r="AD464" s="8" t="n"/>
      <c r="AE464" s="16">
        <f>IF(AA464&lt;&gt;"", AA464+90, "")</f>
        <v/>
      </c>
      <c r="AF464" s="8" t="n"/>
    </row>
    <row r="465">
      <c r="A465">
        <f>IF(B465&lt;&gt;"", "HC-"&amp;TEXT(ROW()-1,"00000"), "")</f>
        <v/>
      </c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>
        <f>IF(K465="", "", IF(K465="Implemented", "Pass", IF(K465="Partial", "Partial", IF(K465="Not Applicable", "N/A", "Fail"))))</f>
        <v/>
      </c>
      <c r="R465" s="8" t="n"/>
      <c r="S465" s="8" t="n"/>
      <c r="T465">
        <f>IF(Q465="", "", IF(OR(Q465="Fail", Q465="Partial"), "Yes", "No"))</f>
        <v/>
      </c>
      <c r="U465" s="8" t="n"/>
      <c r="V465" s="8" t="n"/>
      <c r="W465" s="8" t="n"/>
      <c r="X465" s="8" t="inlineStr">
        <is>
          <t>No</t>
        </is>
      </c>
      <c r="Y465" s="8" t="n"/>
      <c r="Z465" s="8" t="n"/>
      <c r="AA465" s="8" t="n"/>
      <c r="AB465" s="8" t="inlineStr">
        <is>
          <t>[Security Analyst]</t>
        </is>
      </c>
      <c r="AC465" s="8" t="n"/>
      <c r="AD465" s="8" t="n"/>
      <c r="AE465" s="16">
        <f>IF(AA465&lt;&gt;"", AA465+90, "")</f>
        <v/>
      </c>
      <c r="AF465" s="8" t="n"/>
    </row>
    <row r="466">
      <c r="A466">
        <f>IF(B466&lt;&gt;"", "HC-"&amp;TEXT(ROW()-1,"00000"), "")</f>
        <v/>
      </c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>
        <f>IF(K466="", "", IF(K466="Implemented", "Pass", IF(K466="Partial", "Partial", IF(K466="Not Applicable", "N/A", "Fail"))))</f>
        <v/>
      </c>
      <c r="R466" s="8" t="n"/>
      <c r="S466" s="8" t="n"/>
      <c r="T466">
        <f>IF(Q466="", "", IF(OR(Q466="Fail", Q466="Partial"), "Yes", "No"))</f>
        <v/>
      </c>
      <c r="U466" s="8" t="n"/>
      <c r="V466" s="8" t="n"/>
      <c r="W466" s="8" t="n"/>
      <c r="X466" s="8" t="inlineStr">
        <is>
          <t>No</t>
        </is>
      </c>
      <c r="Y466" s="8" t="n"/>
      <c r="Z466" s="8" t="n"/>
      <c r="AA466" s="8" t="n"/>
      <c r="AB466" s="8" t="inlineStr">
        <is>
          <t>[Security Analyst]</t>
        </is>
      </c>
      <c r="AC466" s="8" t="n"/>
      <c r="AD466" s="8" t="n"/>
      <c r="AE466" s="16">
        <f>IF(AA466&lt;&gt;"", AA466+90, "")</f>
        <v/>
      </c>
      <c r="AF466" s="8" t="n"/>
    </row>
    <row r="467">
      <c r="A467">
        <f>IF(B467&lt;&gt;"", "HC-"&amp;TEXT(ROW()-1,"00000"), "")</f>
        <v/>
      </c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>
        <f>IF(K467="", "", IF(K467="Implemented", "Pass", IF(K467="Partial", "Partial", IF(K467="Not Applicable", "N/A", "Fail"))))</f>
        <v/>
      </c>
      <c r="R467" s="8" t="n"/>
      <c r="S467" s="8" t="n"/>
      <c r="T467">
        <f>IF(Q467="", "", IF(OR(Q467="Fail", Q467="Partial"), "Yes", "No"))</f>
        <v/>
      </c>
      <c r="U467" s="8" t="n"/>
      <c r="V467" s="8" t="n"/>
      <c r="W467" s="8" t="n"/>
      <c r="X467" s="8" t="inlineStr">
        <is>
          <t>No</t>
        </is>
      </c>
      <c r="Y467" s="8" t="n"/>
      <c r="Z467" s="8" t="n"/>
      <c r="AA467" s="8" t="n"/>
      <c r="AB467" s="8" t="inlineStr">
        <is>
          <t>[Security Analyst]</t>
        </is>
      </c>
      <c r="AC467" s="8" t="n"/>
      <c r="AD467" s="8" t="n"/>
      <c r="AE467" s="16">
        <f>IF(AA467&lt;&gt;"", AA467+90, "")</f>
        <v/>
      </c>
      <c r="AF467" s="8" t="n"/>
    </row>
    <row r="468">
      <c r="A468">
        <f>IF(B468&lt;&gt;"", "HC-"&amp;TEXT(ROW()-1,"00000"), "")</f>
        <v/>
      </c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>
        <f>IF(K468="", "", IF(K468="Implemented", "Pass", IF(K468="Partial", "Partial", IF(K468="Not Applicable", "N/A", "Fail"))))</f>
        <v/>
      </c>
      <c r="R468" s="8" t="n"/>
      <c r="S468" s="8" t="n"/>
      <c r="T468">
        <f>IF(Q468="", "", IF(OR(Q468="Fail", Q468="Partial"), "Yes", "No"))</f>
        <v/>
      </c>
      <c r="U468" s="8" t="n"/>
      <c r="V468" s="8" t="n"/>
      <c r="W468" s="8" t="n"/>
      <c r="X468" s="8" t="inlineStr">
        <is>
          <t>No</t>
        </is>
      </c>
      <c r="Y468" s="8" t="n"/>
      <c r="Z468" s="8" t="n"/>
      <c r="AA468" s="8" t="n"/>
      <c r="AB468" s="8" t="inlineStr">
        <is>
          <t>[Security Analyst]</t>
        </is>
      </c>
      <c r="AC468" s="8" t="n"/>
      <c r="AD468" s="8" t="n"/>
      <c r="AE468" s="16">
        <f>IF(AA468&lt;&gt;"", AA468+90, "")</f>
        <v/>
      </c>
      <c r="AF468" s="8" t="n"/>
    </row>
    <row r="469">
      <c r="A469">
        <f>IF(B469&lt;&gt;"", "HC-"&amp;TEXT(ROW()-1,"00000"), "")</f>
        <v/>
      </c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>
        <f>IF(K469="", "", IF(K469="Implemented", "Pass", IF(K469="Partial", "Partial", IF(K469="Not Applicable", "N/A", "Fail"))))</f>
        <v/>
      </c>
      <c r="R469" s="8" t="n"/>
      <c r="S469" s="8" t="n"/>
      <c r="T469">
        <f>IF(Q469="", "", IF(OR(Q469="Fail", Q469="Partial"), "Yes", "No"))</f>
        <v/>
      </c>
      <c r="U469" s="8" t="n"/>
      <c r="V469" s="8" t="n"/>
      <c r="W469" s="8" t="n"/>
      <c r="X469" s="8" t="inlineStr">
        <is>
          <t>No</t>
        </is>
      </c>
      <c r="Y469" s="8" t="n"/>
      <c r="Z469" s="8" t="n"/>
      <c r="AA469" s="8" t="n"/>
      <c r="AB469" s="8" t="inlineStr">
        <is>
          <t>[Security Analyst]</t>
        </is>
      </c>
      <c r="AC469" s="8" t="n"/>
      <c r="AD469" s="8" t="n"/>
      <c r="AE469" s="16">
        <f>IF(AA469&lt;&gt;"", AA469+90, "")</f>
        <v/>
      </c>
      <c r="AF469" s="8" t="n"/>
    </row>
    <row r="470">
      <c r="A470">
        <f>IF(B470&lt;&gt;"", "HC-"&amp;TEXT(ROW()-1,"00000"), "")</f>
        <v/>
      </c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>
        <f>IF(K470="", "", IF(K470="Implemented", "Pass", IF(K470="Partial", "Partial", IF(K470="Not Applicable", "N/A", "Fail"))))</f>
        <v/>
      </c>
      <c r="R470" s="8" t="n"/>
      <c r="S470" s="8" t="n"/>
      <c r="T470">
        <f>IF(Q470="", "", IF(OR(Q470="Fail", Q470="Partial"), "Yes", "No"))</f>
        <v/>
      </c>
      <c r="U470" s="8" t="n"/>
      <c r="V470" s="8" t="n"/>
      <c r="W470" s="8" t="n"/>
      <c r="X470" s="8" t="inlineStr">
        <is>
          <t>No</t>
        </is>
      </c>
      <c r="Y470" s="8" t="n"/>
      <c r="Z470" s="8" t="n"/>
      <c r="AA470" s="8" t="n"/>
      <c r="AB470" s="8" t="inlineStr">
        <is>
          <t>[Security Analyst]</t>
        </is>
      </c>
      <c r="AC470" s="8" t="n"/>
      <c r="AD470" s="8" t="n"/>
      <c r="AE470" s="16">
        <f>IF(AA470&lt;&gt;"", AA470+90, "")</f>
        <v/>
      </c>
      <c r="AF470" s="8" t="n"/>
    </row>
    <row r="471">
      <c r="A471">
        <f>IF(B471&lt;&gt;"", "HC-"&amp;TEXT(ROW()-1,"00000"), "")</f>
        <v/>
      </c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>
        <f>IF(K471="", "", IF(K471="Implemented", "Pass", IF(K471="Partial", "Partial", IF(K471="Not Applicable", "N/A", "Fail"))))</f>
        <v/>
      </c>
      <c r="R471" s="8" t="n"/>
      <c r="S471" s="8" t="n"/>
      <c r="T471">
        <f>IF(Q471="", "", IF(OR(Q471="Fail", Q471="Partial"), "Yes", "No"))</f>
        <v/>
      </c>
      <c r="U471" s="8" t="n"/>
      <c r="V471" s="8" t="n"/>
      <c r="W471" s="8" t="n"/>
      <c r="X471" s="8" t="inlineStr">
        <is>
          <t>No</t>
        </is>
      </c>
      <c r="Y471" s="8" t="n"/>
      <c r="Z471" s="8" t="n"/>
      <c r="AA471" s="8" t="n"/>
      <c r="AB471" s="8" t="inlineStr">
        <is>
          <t>[Security Analyst]</t>
        </is>
      </c>
      <c r="AC471" s="8" t="n"/>
      <c r="AD471" s="8" t="n"/>
      <c r="AE471" s="16">
        <f>IF(AA471&lt;&gt;"", AA471+90, "")</f>
        <v/>
      </c>
      <c r="AF471" s="8" t="n"/>
    </row>
    <row r="472">
      <c r="A472">
        <f>IF(B472&lt;&gt;"", "HC-"&amp;TEXT(ROW()-1,"00000"), "")</f>
        <v/>
      </c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>
        <f>IF(K472="", "", IF(K472="Implemented", "Pass", IF(K472="Partial", "Partial", IF(K472="Not Applicable", "N/A", "Fail"))))</f>
        <v/>
      </c>
      <c r="R472" s="8" t="n"/>
      <c r="S472" s="8" t="n"/>
      <c r="T472">
        <f>IF(Q472="", "", IF(OR(Q472="Fail", Q472="Partial"), "Yes", "No"))</f>
        <v/>
      </c>
      <c r="U472" s="8" t="n"/>
      <c r="V472" s="8" t="n"/>
      <c r="W472" s="8" t="n"/>
      <c r="X472" s="8" t="inlineStr">
        <is>
          <t>No</t>
        </is>
      </c>
      <c r="Y472" s="8" t="n"/>
      <c r="Z472" s="8" t="n"/>
      <c r="AA472" s="8" t="n"/>
      <c r="AB472" s="8" t="inlineStr">
        <is>
          <t>[Security Analyst]</t>
        </is>
      </c>
      <c r="AC472" s="8" t="n"/>
      <c r="AD472" s="8" t="n"/>
      <c r="AE472" s="16">
        <f>IF(AA472&lt;&gt;"", AA472+90, "")</f>
        <v/>
      </c>
      <c r="AF472" s="8" t="n"/>
    </row>
    <row r="473">
      <c r="A473">
        <f>IF(B473&lt;&gt;"", "HC-"&amp;TEXT(ROW()-1,"00000"), "")</f>
        <v/>
      </c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>
        <f>IF(K473="", "", IF(K473="Implemented", "Pass", IF(K473="Partial", "Partial", IF(K473="Not Applicable", "N/A", "Fail"))))</f>
        <v/>
      </c>
      <c r="R473" s="8" t="n"/>
      <c r="S473" s="8" t="n"/>
      <c r="T473">
        <f>IF(Q473="", "", IF(OR(Q473="Fail", Q473="Partial"), "Yes", "No"))</f>
        <v/>
      </c>
      <c r="U473" s="8" t="n"/>
      <c r="V473" s="8" t="n"/>
      <c r="W473" s="8" t="n"/>
      <c r="X473" s="8" t="inlineStr">
        <is>
          <t>No</t>
        </is>
      </c>
      <c r="Y473" s="8" t="n"/>
      <c r="Z473" s="8" t="n"/>
      <c r="AA473" s="8" t="n"/>
      <c r="AB473" s="8" t="inlineStr">
        <is>
          <t>[Security Analyst]</t>
        </is>
      </c>
      <c r="AC473" s="8" t="n"/>
      <c r="AD473" s="8" t="n"/>
      <c r="AE473" s="16">
        <f>IF(AA473&lt;&gt;"", AA473+90, "")</f>
        <v/>
      </c>
      <c r="AF473" s="8" t="n"/>
    </row>
    <row r="474">
      <c r="A474">
        <f>IF(B474&lt;&gt;"", "HC-"&amp;TEXT(ROW()-1,"00000"), "")</f>
        <v/>
      </c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>
        <f>IF(K474="", "", IF(K474="Implemented", "Pass", IF(K474="Partial", "Partial", IF(K474="Not Applicable", "N/A", "Fail"))))</f>
        <v/>
      </c>
      <c r="R474" s="8" t="n"/>
      <c r="S474" s="8" t="n"/>
      <c r="T474">
        <f>IF(Q474="", "", IF(OR(Q474="Fail", Q474="Partial"), "Yes", "No"))</f>
        <v/>
      </c>
      <c r="U474" s="8" t="n"/>
      <c r="V474" s="8" t="n"/>
      <c r="W474" s="8" t="n"/>
      <c r="X474" s="8" t="inlineStr">
        <is>
          <t>No</t>
        </is>
      </c>
      <c r="Y474" s="8" t="n"/>
      <c r="Z474" s="8" t="n"/>
      <c r="AA474" s="8" t="n"/>
      <c r="AB474" s="8" t="inlineStr">
        <is>
          <t>[Security Analyst]</t>
        </is>
      </c>
      <c r="AC474" s="8" t="n"/>
      <c r="AD474" s="8" t="n"/>
      <c r="AE474" s="16">
        <f>IF(AA474&lt;&gt;"", AA474+90, "")</f>
        <v/>
      </c>
      <c r="AF474" s="8" t="n"/>
    </row>
    <row r="475">
      <c r="A475">
        <f>IF(B475&lt;&gt;"", "HC-"&amp;TEXT(ROW()-1,"00000"), "")</f>
        <v/>
      </c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>
        <f>IF(K475="", "", IF(K475="Implemented", "Pass", IF(K475="Partial", "Partial", IF(K475="Not Applicable", "N/A", "Fail"))))</f>
        <v/>
      </c>
      <c r="R475" s="8" t="n"/>
      <c r="S475" s="8" t="n"/>
      <c r="T475">
        <f>IF(Q475="", "", IF(OR(Q475="Fail", Q475="Partial"), "Yes", "No"))</f>
        <v/>
      </c>
      <c r="U475" s="8" t="n"/>
      <c r="V475" s="8" t="n"/>
      <c r="W475" s="8" t="n"/>
      <c r="X475" s="8" t="inlineStr">
        <is>
          <t>No</t>
        </is>
      </c>
      <c r="Y475" s="8" t="n"/>
      <c r="Z475" s="8" t="n"/>
      <c r="AA475" s="8" t="n"/>
      <c r="AB475" s="8" t="inlineStr">
        <is>
          <t>[Security Analyst]</t>
        </is>
      </c>
      <c r="AC475" s="8" t="n"/>
      <c r="AD475" s="8" t="n"/>
      <c r="AE475" s="16">
        <f>IF(AA475&lt;&gt;"", AA475+90, "")</f>
        <v/>
      </c>
      <c r="AF475" s="8" t="n"/>
    </row>
    <row r="476">
      <c r="A476">
        <f>IF(B476&lt;&gt;"", "HC-"&amp;TEXT(ROW()-1,"00000"), "")</f>
        <v/>
      </c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>
        <f>IF(K476="", "", IF(K476="Implemented", "Pass", IF(K476="Partial", "Partial", IF(K476="Not Applicable", "N/A", "Fail"))))</f>
        <v/>
      </c>
      <c r="R476" s="8" t="n"/>
      <c r="S476" s="8" t="n"/>
      <c r="T476">
        <f>IF(Q476="", "", IF(OR(Q476="Fail", Q476="Partial"), "Yes", "No"))</f>
        <v/>
      </c>
      <c r="U476" s="8" t="n"/>
      <c r="V476" s="8" t="n"/>
      <c r="W476" s="8" t="n"/>
      <c r="X476" s="8" t="inlineStr">
        <is>
          <t>No</t>
        </is>
      </c>
      <c r="Y476" s="8" t="n"/>
      <c r="Z476" s="8" t="n"/>
      <c r="AA476" s="8" t="n"/>
      <c r="AB476" s="8" t="inlineStr">
        <is>
          <t>[Security Analyst]</t>
        </is>
      </c>
      <c r="AC476" s="8" t="n"/>
      <c r="AD476" s="8" t="n"/>
      <c r="AE476" s="16">
        <f>IF(AA476&lt;&gt;"", AA476+90, "")</f>
        <v/>
      </c>
      <c r="AF476" s="8" t="n"/>
    </row>
    <row r="477">
      <c r="A477">
        <f>IF(B477&lt;&gt;"", "HC-"&amp;TEXT(ROW()-1,"00000"), "")</f>
        <v/>
      </c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>
        <f>IF(K477="", "", IF(K477="Implemented", "Pass", IF(K477="Partial", "Partial", IF(K477="Not Applicable", "N/A", "Fail"))))</f>
        <v/>
      </c>
      <c r="R477" s="8" t="n"/>
      <c r="S477" s="8" t="n"/>
      <c r="T477">
        <f>IF(Q477="", "", IF(OR(Q477="Fail", Q477="Partial"), "Yes", "No"))</f>
        <v/>
      </c>
      <c r="U477" s="8" t="n"/>
      <c r="V477" s="8" t="n"/>
      <c r="W477" s="8" t="n"/>
      <c r="X477" s="8" t="inlineStr">
        <is>
          <t>No</t>
        </is>
      </c>
      <c r="Y477" s="8" t="n"/>
      <c r="Z477" s="8" t="n"/>
      <c r="AA477" s="8" t="n"/>
      <c r="AB477" s="8" t="inlineStr">
        <is>
          <t>[Security Analyst]</t>
        </is>
      </c>
      <c r="AC477" s="8" t="n"/>
      <c r="AD477" s="8" t="n"/>
      <c r="AE477" s="16">
        <f>IF(AA477&lt;&gt;"", AA477+90, "")</f>
        <v/>
      </c>
      <c r="AF477" s="8" t="n"/>
    </row>
    <row r="478">
      <c r="A478">
        <f>IF(B478&lt;&gt;"", "HC-"&amp;TEXT(ROW()-1,"00000"), "")</f>
        <v/>
      </c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>
        <f>IF(K478="", "", IF(K478="Implemented", "Pass", IF(K478="Partial", "Partial", IF(K478="Not Applicable", "N/A", "Fail"))))</f>
        <v/>
      </c>
      <c r="R478" s="8" t="n"/>
      <c r="S478" s="8" t="n"/>
      <c r="T478">
        <f>IF(Q478="", "", IF(OR(Q478="Fail", Q478="Partial"), "Yes", "No"))</f>
        <v/>
      </c>
      <c r="U478" s="8" t="n"/>
      <c r="V478" s="8" t="n"/>
      <c r="W478" s="8" t="n"/>
      <c r="X478" s="8" t="inlineStr">
        <is>
          <t>No</t>
        </is>
      </c>
      <c r="Y478" s="8" t="n"/>
      <c r="Z478" s="8" t="n"/>
      <c r="AA478" s="8" t="n"/>
      <c r="AB478" s="8" t="inlineStr">
        <is>
          <t>[Security Analyst]</t>
        </is>
      </c>
      <c r="AC478" s="8" t="n"/>
      <c r="AD478" s="8" t="n"/>
      <c r="AE478" s="16">
        <f>IF(AA478&lt;&gt;"", AA478+90, "")</f>
        <v/>
      </c>
      <c r="AF478" s="8" t="n"/>
    </row>
    <row r="479">
      <c r="A479">
        <f>IF(B479&lt;&gt;"", "HC-"&amp;TEXT(ROW()-1,"00000"), "")</f>
        <v/>
      </c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>
        <f>IF(K479="", "", IF(K479="Implemented", "Pass", IF(K479="Partial", "Partial", IF(K479="Not Applicable", "N/A", "Fail"))))</f>
        <v/>
      </c>
      <c r="R479" s="8" t="n"/>
      <c r="S479" s="8" t="n"/>
      <c r="T479">
        <f>IF(Q479="", "", IF(OR(Q479="Fail", Q479="Partial"), "Yes", "No"))</f>
        <v/>
      </c>
      <c r="U479" s="8" t="n"/>
      <c r="V479" s="8" t="n"/>
      <c r="W479" s="8" t="n"/>
      <c r="X479" s="8" t="inlineStr">
        <is>
          <t>No</t>
        </is>
      </c>
      <c r="Y479" s="8" t="n"/>
      <c r="Z479" s="8" t="n"/>
      <c r="AA479" s="8" t="n"/>
      <c r="AB479" s="8" t="inlineStr">
        <is>
          <t>[Security Analyst]</t>
        </is>
      </c>
      <c r="AC479" s="8" t="n"/>
      <c r="AD479" s="8" t="n"/>
      <c r="AE479" s="16">
        <f>IF(AA479&lt;&gt;"", AA479+90, "")</f>
        <v/>
      </c>
      <c r="AF479" s="8" t="n"/>
    </row>
    <row r="480">
      <c r="A480">
        <f>IF(B480&lt;&gt;"", "HC-"&amp;TEXT(ROW()-1,"00000"), "")</f>
        <v/>
      </c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>
        <f>IF(K480="", "", IF(K480="Implemented", "Pass", IF(K480="Partial", "Partial", IF(K480="Not Applicable", "N/A", "Fail"))))</f>
        <v/>
      </c>
      <c r="R480" s="8" t="n"/>
      <c r="S480" s="8" t="n"/>
      <c r="T480">
        <f>IF(Q480="", "", IF(OR(Q480="Fail", Q480="Partial"), "Yes", "No"))</f>
        <v/>
      </c>
      <c r="U480" s="8" t="n"/>
      <c r="V480" s="8" t="n"/>
      <c r="W480" s="8" t="n"/>
      <c r="X480" s="8" t="inlineStr">
        <is>
          <t>No</t>
        </is>
      </c>
      <c r="Y480" s="8" t="n"/>
      <c r="Z480" s="8" t="n"/>
      <c r="AA480" s="8" t="n"/>
      <c r="AB480" s="8" t="inlineStr">
        <is>
          <t>[Security Analyst]</t>
        </is>
      </c>
      <c r="AC480" s="8" t="n"/>
      <c r="AD480" s="8" t="n"/>
      <c r="AE480" s="16">
        <f>IF(AA480&lt;&gt;"", AA480+90, "")</f>
        <v/>
      </c>
      <c r="AF480" s="8" t="n"/>
    </row>
    <row r="481">
      <c r="A481">
        <f>IF(B481&lt;&gt;"", "HC-"&amp;TEXT(ROW()-1,"00000"), "")</f>
        <v/>
      </c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>
        <f>IF(K481="", "", IF(K481="Implemented", "Pass", IF(K481="Partial", "Partial", IF(K481="Not Applicable", "N/A", "Fail"))))</f>
        <v/>
      </c>
      <c r="R481" s="8" t="n"/>
      <c r="S481" s="8" t="n"/>
      <c r="T481">
        <f>IF(Q481="", "", IF(OR(Q481="Fail", Q481="Partial"), "Yes", "No"))</f>
        <v/>
      </c>
      <c r="U481" s="8" t="n"/>
      <c r="V481" s="8" t="n"/>
      <c r="W481" s="8" t="n"/>
      <c r="X481" s="8" t="inlineStr">
        <is>
          <t>No</t>
        </is>
      </c>
      <c r="Y481" s="8" t="n"/>
      <c r="Z481" s="8" t="n"/>
      <c r="AA481" s="8" t="n"/>
      <c r="AB481" s="8" t="inlineStr">
        <is>
          <t>[Security Analyst]</t>
        </is>
      </c>
      <c r="AC481" s="8" t="n"/>
      <c r="AD481" s="8" t="n"/>
      <c r="AE481" s="16">
        <f>IF(AA481&lt;&gt;"", AA481+90, "")</f>
        <v/>
      </c>
      <c r="AF481" s="8" t="n"/>
    </row>
    <row r="482">
      <c r="A482">
        <f>IF(B482&lt;&gt;"", "HC-"&amp;TEXT(ROW()-1,"00000"), "")</f>
        <v/>
      </c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>
        <f>IF(K482="", "", IF(K482="Implemented", "Pass", IF(K482="Partial", "Partial", IF(K482="Not Applicable", "N/A", "Fail"))))</f>
        <v/>
      </c>
      <c r="R482" s="8" t="n"/>
      <c r="S482" s="8" t="n"/>
      <c r="T482">
        <f>IF(Q482="", "", IF(OR(Q482="Fail", Q482="Partial"), "Yes", "No"))</f>
        <v/>
      </c>
      <c r="U482" s="8" t="n"/>
      <c r="V482" s="8" t="n"/>
      <c r="W482" s="8" t="n"/>
      <c r="X482" s="8" t="inlineStr">
        <is>
          <t>No</t>
        </is>
      </c>
      <c r="Y482" s="8" t="n"/>
      <c r="Z482" s="8" t="n"/>
      <c r="AA482" s="8" t="n"/>
      <c r="AB482" s="8" t="inlineStr">
        <is>
          <t>[Security Analyst]</t>
        </is>
      </c>
      <c r="AC482" s="8" t="n"/>
      <c r="AD482" s="8" t="n"/>
      <c r="AE482" s="16">
        <f>IF(AA482&lt;&gt;"", AA482+90, "")</f>
        <v/>
      </c>
      <c r="AF482" s="8" t="n"/>
    </row>
    <row r="483">
      <c r="A483">
        <f>IF(B483&lt;&gt;"", "HC-"&amp;TEXT(ROW()-1,"00000"), "")</f>
        <v/>
      </c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>
        <f>IF(K483="", "", IF(K483="Implemented", "Pass", IF(K483="Partial", "Partial", IF(K483="Not Applicable", "N/A", "Fail"))))</f>
        <v/>
      </c>
      <c r="R483" s="8" t="n"/>
      <c r="S483" s="8" t="n"/>
      <c r="T483">
        <f>IF(Q483="", "", IF(OR(Q483="Fail", Q483="Partial"), "Yes", "No"))</f>
        <v/>
      </c>
      <c r="U483" s="8" t="n"/>
      <c r="V483" s="8" t="n"/>
      <c r="W483" s="8" t="n"/>
      <c r="X483" s="8" t="inlineStr">
        <is>
          <t>No</t>
        </is>
      </c>
      <c r="Y483" s="8" t="n"/>
      <c r="Z483" s="8" t="n"/>
      <c r="AA483" s="8" t="n"/>
      <c r="AB483" s="8" t="inlineStr">
        <is>
          <t>[Security Analyst]</t>
        </is>
      </c>
      <c r="AC483" s="8" t="n"/>
      <c r="AD483" s="8" t="n"/>
      <c r="AE483" s="16">
        <f>IF(AA483&lt;&gt;"", AA483+90, "")</f>
        <v/>
      </c>
      <c r="AF483" s="8" t="n"/>
    </row>
    <row r="484">
      <c r="A484">
        <f>IF(B484&lt;&gt;"", "HC-"&amp;TEXT(ROW()-1,"00000"), "")</f>
        <v/>
      </c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>
        <f>IF(K484="", "", IF(K484="Implemented", "Pass", IF(K484="Partial", "Partial", IF(K484="Not Applicable", "N/A", "Fail"))))</f>
        <v/>
      </c>
      <c r="R484" s="8" t="n"/>
      <c r="S484" s="8" t="n"/>
      <c r="T484">
        <f>IF(Q484="", "", IF(OR(Q484="Fail", Q484="Partial"), "Yes", "No"))</f>
        <v/>
      </c>
      <c r="U484" s="8" t="n"/>
      <c r="V484" s="8" t="n"/>
      <c r="W484" s="8" t="n"/>
      <c r="X484" s="8" t="inlineStr">
        <is>
          <t>No</t>
        </is>
      </c>
      <c r="Y484" s="8" t="n"/>
      <c r="Z484" s="8" t="n"/>
      <c r="AA484" s="8" t="n"/>
      <c r="AB484" s="8" t="inlineStr">
        <is>
          <t>[Security Analyst]</t>
        </is>
      </c>
      <c r="AC484" s="8" t="n"/>
      <c r="AD484" s="8" t="n"/>
      <c r="AE484" s="16">
        <f>IF(AA484&lt;&gt;"", AA484+90, "")</f>
        <v/>
      </c>
      <c r="AF484" s="8" t="n"/>
    </row>
    <row r="485">
      <c r="A485">
        <f>IF(B485&lt;&gt;"", "HC-"&amp;TEXT(ROW()-1,"00000"), "")</f>
        <v/>
      </c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>
        <f>IF(K485="", "", IF(K485="Implemented", "Pass", IF(K485="Partial", "Partial", IF(K485="Not Applicable", "N/A", "Fail"))))</f>
        <v/>
      </c>
      <c r="R485" s="8" t="n"/>
      <c r="S485" s="8" t="n"/>
      <c r="T485">
        <f>IF(Q485="", "", IF(OR(Q485="Fail", Q485="Partial"), "Yes", "No"))</f>
        <v/>
      </c>
      <c r="U485" s="8" t="n"/>
      <c r="V485" s="8" t="n"/>
      <c r="W485" s="8" t="n"/>
      <c r="X485" s="8" t="inlineStr">
        <is>
          <t>No</t>
        </is>
      </c>
      <c r="Y485" s="8" t="n"/>
      <c r="Z485" s="8" t="n"/>
      <c r="AA485" s="8" t="n"/>
      <c r="AB485" s="8" t="inlineStr">
        <is>
          <t>[Security Analyst]</t>
        </is>
      </c>
      <c r="AC485" s="8" t="n"/>
      <c r="AD485" s="8" t="n"/>
      <c r="AE485" s="16">
        <f>IF(AA485&lt;&gt;"", AA485+90, "")</f>
        <v/>
      </c>
      <c r="AF485" s="8" t="n"/>
    </row>
    <row r="486">
      <c r="A486">
        <f>IF(B486&lt;&gt;"", "HC-"&amp;TEXT(ROW()-1,"00000"), "")</f>
        <v/>
      </c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>
        <f>IF(K486="", "", IF(K486="Implemented", "Pass", IF(K486="Partial", "Partial", IF(K486="Not Applicable", "N/A", "Fail"))))</f>
        <v/>
      </c>
      <c r="R486" s="8" t="n"/>
      <c r="S486" s="8" t="n"/>
      <c r="T486">
        <f>IF(Q486="", "", IF(OR(Q486="Fail", Q486="Partial"), "Yes", "No"))</f>
        <v/>
      </c>
      <c r="U486" s="8" t="n"/>
      <c r="V486" s="8" t="n"/>
      <c r="W486" s="8" t="n"/>
      <c r="X486" s="8" t="inlineStr">
        <is>
          <t>No</t>
        </is>
      </c>
      <c r="Y486" s="8" t="n"/>
      <c r="Z486" s="8" t="n"/>
      <c r="AA486" s="8" t="n"/>
      <c r="AB486" s="8" t="inlineStr">
        <is>
          <t>[Security Analyst]</t>
        </is>
      </c>
      <c r="AC486" s="8" t="n"/>
      <c r="AD486" s="8" t="n"/>
      <c r="AE486" s="16">
        <f>IF(AA486&lt;&gt;"", AA486+90, "")</f>
        <v/>
      </c>
      <c r="AF486" s="8" t="n"/>
    </row>
    <row r="487">
      <c r="A487">
        <f>IF(B487&lt;&gt;"", "HC-"&amp;TEXT(ROW()-1,"00000"), "")</f>
        <v/>
      </c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>
        <f>IF(K487="", "", IF(K487="Implemented", "Pass", IF(K487="Partial", "Partial", IF(K487="Not Applicable", "N/A", "Fail"))))</f>
        <v/>
      </c>
      <c r="R487" s="8" t="n"/>
      <c r="S487" s="8" t="n"/>
      <c r="T487">
        <f>IF(Q487="", "", IF(OR(Q487="Fail", Q487="Partial"), "Yes", "No"))</f>
        <v/>
      </c>
      <c r="U487" s="8" t="n"/>
      <c r="V487" s="8" t="n"/>
      <c r="W487" s="8" t="n"/>
      <c r="X487" s="8" t="inlineStr">
        <is>
          <t>No</t>
        </is>
      </c>
      <c r="Y487" s="8" t="n"/>
      <c r="Z487" s="8" t="n"/>
      <c r="AA487" s="8" t="n"/>
      <c r="AB487" s="8" t="inlineStr">
        <is>
          <t>[Security Analyst]</t>
        </is>
      </c>
      <c r="AC487" s="8" t="n"/>
      <c r="AD487" s="8" t="n"/>
      <c r="AE487" s="16">
        <f>IF(AA487&lt;&gt;"", AA487+90, "")</f>
        <v/>
      </c>
      <c r="AF487" s="8" t="n"/>
    </row>
    <row r="488">
      <c r="A488">
        <f>IF(B488&lt;&gt;"", "HC-"&amp;TEXT(ROW()-1,"00000"), "")</f>
        <v/>
      </c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>
        <f>IF(K488="", "", IF(K488="Implemented", "Pass", IF(K488="Partial", "Partial", IF(K488="Not Applicable", "N/A", "Fail"))))</f>
        <v/>
      </c>
      <c r="R488" s="8" t="n"/>
      <c r="S488" s="8" t="n"/>
      <c r="T488">
        <f>IF(Q488="", "", IF(OR(Q488="Fail", Q488="Partial"), "Yes", "No"))</f>
        <v/>
      </c>
      <c r="U488" s="8" t="n"/>
      <c r="V488" s="8" t="n"/>
      <c r="W488" s="8" t="n"/>
      <c r="X488" s="8" t="inlineStr">
        <is>
          <t>No</t>
        </is>
      </c>
      <c r="Y488" s="8" t="n"/>
      <c r="Z488" s="8" t="n"/>
      <c r="AA488" s="8" t="n"/>
      <c r="AB488" s="8" t="inlineStr">
        <is>
          <t>[Security Analyst]</t>
        </is>
      </c>
      <c r="AC488" s="8" t="n"/>
      <c r="AD488" s="8" t="n"/>
      <c r="AE488" s="16">
        <f>IF(AA488&lt;&gt;"", AA488+90, "")</f>
        <v/>
      </c>
      <c r="AF488" s="8" t="n"/>
    </row>
    <row r="489">
      <c r="A489">
        <f>IF(B489&lt;&gt;"", "HC-"&amp;TEXT(ROW()-1,"00000"), "")</f>
        <v/>
      </c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>
        <f>IF(K489="", "", IF(K489="Implemented", "Pass", IF(K489="Partial", "Partial", IF(K489="Not Applicable", "N/A", "Fail"))))</f>
        <v/>
      </c>
      <c r="R489" s="8" t="n"/>
      <c r="S489" s="8" t="n"/>
      <c r="T489">
        <f>IF(Q489="", "", IF(OR(Q489="Fail", Q489="Partial"), "Yes", "No"))</f>
        <v/>
      </c>
      <c r="U489" s="8" t="n"/>
      <c r="V489" s="8" t="n"/>
      <c r="W489" s="8" t="n"/>
      <c r="X489" s="8" t="inlineStr">
        <is>
          <t>No</t>
        </is>
      </c>
      <c r="Y489" s="8" t="n"/>
      <c r="Z489" s="8" t="n"/>
      <c r="AA489" s="8" t="n"/>
      <c r="AB489" s="8" t="inlineStr">
        <is>
          <t>[Security Analyst]</t>
        </is>
      </c>
      <c r="AC489" s="8" t="n"/>
      <c r="AD489" s="8" t="n"/>
      <c r="AE489" s="16">
        <f>IF(AA489&lt;&gt;"", AA489+90, "")</f>
        <v/>
      </c>
      <c r="AF489" s="8" t="n"/>
    </row>
    <row r="490">
      <c r="A490">
        <f>IF(B490&lt;&gt;"", "HC-"&amp;TEXT(ROW()-1,"00000"), "")</f>
        <v/>
      </c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>
        <f>IF(K490="", "", IF(K490="Implemented", "Pass", IF(K490="Partial", "Partial", IF(K490="Not Applicable", "N/A", "Fail"))))</f>
        <v/>
      </c>
      <c r="R490" s="8" t="n"/>
      <c r="S490" s="8" t="n"/>
      <c r="T490">
        <f>IF(Q490="", "", IF(OR(Q490="Fail", Q490="Partial"), "Yes", "No"))</f>
        <v/>
      </c>
      <c r="U490" s="8" t="n"/>
      <c r="V490" s="8" t="n"/>
      <c r="W490" s="8" t="n"/>
      <c r="X490" s="8" t="inlineStr">
        <is>
          <t>No</t>
        </is>
      </c>
      <c r="Y490" s="8" t="n"/>
      <c r="Z490" s="8" t="n"/>
      <c r="AA490" s="8" t="n"/>
      <c r="AB490" s="8" t="inlineStr">
        <is>
          <t>[Security Analyst]</t>
        </is>
      </c>
      <c r="AC490" s="8" t="n"/>
      <c r="AD490" s="8" t="n"/>
      <c r="AE490" s="16">
        <f>IF(AA490&lt;&gt;"", AA490+90, "")</f>
        <v/>
      </c>
      <c r="AF490" s="8" t="n"/>
    </row>
    <row r="491">
      <c r="A491">
        <f>IF(B491&lt;&gt;"", "HC-"&amp;TEXT(ROW()-1,"00000"), "")</f>
        <v/>
      </c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>
        <f>IF(K491="", "", IF(K491="Implemented", "Pass", IF(K491="Partial", "Partial", IF(K491="Not Applicable", "N/A", "Fail"))))</f>
        <v/>
      </c>
      <c r="R491" s="8" t="n"/>
      <c r="S491" s="8" t="n"/>
      <c r="T491">
        <f>IF(Q491="", "", IF(OR(Q491="Fail", Q491="Partial"), "Yes", "No"))</f>
        <v/>
      </c>
      <c r="U491" s="8" t="n"/>
      <c r="V491" s="8" t="n"/>
      <c r="W491" s="8" t="n"/>
      <c r="X491" s="8" t="inlineStr">
        <is>
          <t>No</t>
        </is>
      </c>
      <c r="Y491" s="8" t="n"/>
      <c r="Z491" s="8" t="n"/>
      <c r="AA491" s="8" t="n"/>
      <c r="AB491" s="8" t="inlineStr">
        <is>
          <t>[Security Analyst]</t>
        </is>
      </c>
      <c r="AC491" s="8" t="n"/>
      <c r="AD491" s="8" t="n"/>
      <c r="AE491" s="16">
        <f>IF(AA491&lt;&gt;"", AA491+90, "")</f>
        <v/>
      </c>
      <c r="AF491" s="8" t="n"/>
    </row>
    <row r="492">
      <c r="A492">
        <f>IF(B492&lt;&gt;"", "HC-"&amp;TEXT(ROW()-1,"00000"), "")</f>
        <v/>
      </c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>
        <f>IF(K492="", "", IF(K492="Implemented", "Pass", IF(K492="Partial", "Partial", IF(K492="Not Applicable", "N/A", "Fail"))))</f>
        <v/>
      </c>
      <c r="R492" s="8" t="n"/>
      <c r="S492" s="8" t="n"/>
      <c r="T492">
        <f>IF(Q492="", "", IF(OR(Q492="Fail", Q492="Partial"), "Yes", "No"))</f>
        <v/>
      </c>
      <c r="U492" s="8" t="n"/>
      <c r="V492" s="8" t="n"/>
      <c r="W492" s="8" t="n"/>
      <c r="X492" s="8" t="inlineStr">
        <is>
          <t>No</t>
        </is>
      </c>
      <c r="Y492" s="8" t="n"/>
      <c r="Z492" s="8" t="n"/>
      <c r="AA492" s="8" t="n"/>
      <c r="AB492" s="8" t="inlineStr">
        <is>
          <t>[Security Analyst]</t>
        </is>
      </c>
      <c r="AC492" s="8" t="n"/>
      <c r="AD492" s="8" t="n"/>
      <c r="AE492" s="16">
        <f>IF(AA492&lt;&gt;"", AA492+90, "")</f>
        <v/>
      </c>
      <c r="AF492" s="8" t="n"/>
    </row>
    <row r="493">
      <c r="A493">
        <f>IF(B493&lt;&gt;"", "HC-"&amp;TEXT(ROW()-1,"00000"), "")</f>
        <v/>
      </c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>
        <f>IF(K493="", "", IF(K493="Implemented", "Pass", IF(K493="Partial", "Partial", IF(K493="Not Applicable", "N/A", "Fail"))))</f>
        <v/>
      </c>
      <c r="R493" s="8" t="n"/>
      <c r="S493" s="8" t="n"/>
      <c r="T493">
        <f>IF(Q493="", "", IF(OR(Q493="Fail", Q493="Partial"), "Yes", "No"))</f>
        <v/>
      </c>
      <c r="U493" s="8" t="n"/>
      <c r="V493" s="8" t="n"/>
      <c r="W493" s="8" t="n"/>
      <c r="X493" s="8" t="inlineStr">
        <is>
          <t>No</t>
        </is>
      </c>
      <c r="Y493" s="8" t="n"/>
      <c r="Z493" s="8" t="n"/>
      <c r="AA493" s="8" t="n"/>
      <c r="AB493" s="8" t="inlineStr">
        <is>
          <t>[Security Analyst]</t>
        </is>
      </c>
      <c r="AC493" s="8" t="n"/>
      <c r="AD493" s="8" t="n"/>
      <c r="AE493" s="16">
        <f>IF(AA493&lt;&gt;"", AA493+90, "")</f>
        <v/>
      </c>
      <c r="AF493" s="8" t="n"/>
    </row>
    <row r="494">
      <c r="A494">
        <f>IF(B494&lt;&gt;"", "HC-"&amp;TEXT(ROW()-1,"00000"), "")</f>
        <v/>
      </c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>
        <f>IF(K494="", "", IF(K494="Implemented", "Pass", IF(K494="Partial", "Partial", IF(K494="Not Applicable", "N/A", "Fail"))))</f>
        <v/>
      </c>
      <c r="R494" s="8" t="n"/>
      <c r="S494" s="8" t="n"/>
      <c r="T494">
        <f>IF(Q494="", "", IF(OR(Q494="Fail", Q494="Partial"), "Yes", "No"))</f>
        <v/>
      </c>
      <c r="U494" s="8" t="n"/>
      <c r="V494" s="8" t="n"/>
      <c r="W494" s="8" t="n"/>
      <c r="X494" s="8" t="inlineStr">
        <is>
          <t>No</t>
        </is>
      </c>
      <c r="Y494" s="8" t="n"/>
      <c r="Z494" s="8" t="n"/>
      <c r="AA494" s="8" t="n"/>
      <c r="AB494" s="8" t="inlineStr">
        <is>
          <t>[Security Analyst]</t>
        </is>
      </c>
      <c r="AC494" s="8" t="n"/>
      <c r="AD494" s="8" t="n"/>
      <c r="AE494" s="16">
        <f>IF(AA494&lt;&gt;"", AA494+90, "")</f>
        <v/>
      </c>
      <c r="AF494" s="8" t="n"/>
    </row>
    <row r="495">
      <c r="A495">
        <f>IF(B495&lt;&gt;"", "HC-"&amp;TEXT(ROW()-1,"00000"), "")</f>
        <v/>
      </c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>
        <f>IF(K495="", "", IF(K495="Implemented", "Pass", IF(K495="Partial", "Partial", IF(K495="Not Applicable", "N/A", "Fail"))))</f>
        <v/>
      </c>
      <c r="R495" s="8" t="n"/>
      <c r="S495" s="8" t="n"/>
      <c r="T495">
        <f>IF(Q495="", "", IF(OR(Q495="Fail", Q495="Partial"), "Yes", "No"))</f>
        <v/>
      </c>
      <c r="U495" s="8" t="n"/>
      <c r="V495" s="8" t="n"/>
      <c r="W495" s="8" t="n"/>
      <c r="X495" s="8" t="inlineStr">
        <is>
          <t>No</t>
        </is>
      </c>
      <c r="Y495" s="8" t="n"/>
      <c r="Z495" s="8" t="n"/>
      <c r="AA495" s="8" t="n"/>
      <c r="AB495" s="8" t="inlineStr">
        <is>
          <t>[Security Analyst]</t>
        </is>
      </c>
      <c r="AC495" s="8" t="n"/>
      <c r="AD495" s="8" t="n"/>
      <c r="AE495" s="16">
        <f>IF(AA495&lt;&gt;"", AA495+90, "")</f>
        <v/>
      </c>
      <c r="AF495" s="8" t="n"/>
    </row>
    <row r="496">
      <c r="A496">
        <f>IF(B496&lt;&gt;"", "HC-"&amp;TEXT(ROW()-1,"00000"), "")</f>
        <v/>
      </c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>
        <f>IF(K496="", "", IF(K496="Implemented", "Pass", IF(K496="Partial", "Partial", IF(K496="Not Applicable", "N/A", "Fail"))))</f>
        <v/>
      </c>
      <c r="R496" s="8" t="n"/>
      <c r="S496" s="8" t="n"/>
      <c r="T496">
        <f>IF(Q496="", "", IF(OR(Q496="Fail", Q496="Partial"), "Yes", "No"))</f>
        <v/>
      </c>
      <c r="U496" s="8" t="n"/>
      <c r="V496" s="8" t="n"/>
      <c r="W496" s="8" t="n"/>
      <c r="X496" s="8" t="inlineStr">
        <is>
          <t>No</t>
        </is>
      </c>
      <c r="Y496" s="8" t="n"/>
      <c r="Z496" s="8" t="n"/>
      <c r="AA496" s="8" t="n"/>
      <c r="AB496" s="8" t="inlineStr">
        <is>
          <t>[Security Analyst]</t>
        </is>
      </c>
      <c r="AC496" s="8" t="n"/>
      <c r="AD496" s="8" t="n"/>
      <c r="AE496" s="16">
        <f>IF(AA496&lt;&gt;"", AA496+90, "")</f>
        <v/>
      </c>
      <c r="AF496" s="8" t="n"/>
    </row>
    <row r="497">
      <c r="A497">
        <f>IF(B497&lt;&gt;"", "HC-"&amp;TEXT(ROW()-1,"00000"), "")</f>
        <v/>
      </c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>
        <f>IF(K497="", "", IF(K497="Implemented", "Pass", IF(K497="Partial", "Partial", IF(K497="Not Applicable", "N/A", "Fail"))))</f>
        <v/>
      </c>
      <c r="R497" s="8" t="n"/>
      <c r="S497" s="8" t="n"/>
      <c r="T497">
        <f>IF(Q497="", "", IF(OR(Q497="Fail", Q497="Partial"), "Yes", "No"))</f>
        <v/>
      </c>
      <c r="U497" s="8" t="n"/>
      <c r="V497" s="8" t="n"/>
      <c r="W497" s="8" t="n"/>
      <c r="X497" s="8" t="inlineStr">
        <is>
          <t>No</t>
        </is>
      </c>
      <c r="Y497" s="8" t="n"/>
      <c r="Z497" s="8" t="n"/>
      <c r="AA497" s="8" t="n"/>
      <c r="AB497" s="8" t="inlineStr">
        <is>
          <t>[Security Analyst]</t>
        </is>
      </c>
      <c r="AC497" s="8" t="n"/>
      <c r="AD497" s="8" t="n"/>
      <c r="AE497" s="16">
        <f>IF(AA497&lt;&gt;"", AA497+90, "")</f>
        <v/>
      </c>
      <c r="AF497" s="8" t="n"/>
    </row>
    <row r="498">
      <c r="A498">
        <f>IF(B498&lt;&gt;"", "HC-"&amp;TEXT(ROW()-1,"00000"), "")</f>
        <v/>
      </c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>
        <f>IF(K498="", "", IF(K498="Implemented", "Pass", IF(K498="Partial", "Partial", IF(K498="Not Applicable", "N/A", "Fail"))))</f>
        <v/>
      </c>
      <c r="R498" s="8" t="n"/>
      <c r="S498" s="8" t="n"/>
      <c r="T498">
        <f>IF(Q498="", "", IF(OR(Q498="Fail", Q498="Partial"), "Yes", "No"))</f>
        <v/>
      </c>
      <c r="U498" s="8" t="n"/>
      <c r="V498" s="8" t="n"/>
      <c r="W498" s="8" t="n"/>
      <c r="X498" s="8" t="inlineStr">
        <is>
          <t>No</t>
        </is>
      </c>
      <c r="Y498" s="8" t="n"/>
      <c r="Z498" s="8" t="n"/>
      <c r="AA498" s="8" t="n"/>
      <c r="AB498" s="8" t="inlineStr">
        <is>
          <t>[Security Analyst]</t>
        </is>
      </c>
      <c r="AC498" s="8" t="n"/>
      <c r="AD498" s="8" t="n"/>
      <c r="AE498" s="16">
        <f>IF(AA498&lt;&gt;"", AA498+90, "")</f>
        <v/>
      </c>
      <c r="AF498" s="8" t="n"/>
    </row>
    <row r="499">
      <c r="A499">
        <f>IF(B499&lt;&gt;"", "HC-"&amp;TEXT(ROW()-1,"00000"), "")</f>
        <v/>
      </c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>
        <f>IF(K499="", "", IF(K499="Implemented", "Pass", IF(K499="Partial", "Partial", IF(K499="Not Applicable", "N/A", "Fail"))))</f>
        <v/>
      </c>
      <c r="R499" s="8" t="n"/>
      <c r="S499" s="8" t="n"/>
      <c r="T499">
        <f>IF(Q499="", "", IF(OR(Q499="Fail", Q499="Partial"), "Yes", "No"))</f>
        <v/>
      </c>
      <c r="U499" s="8" t="n"/>
      <c r="V499" s="8" t="n"/>
      <c r="W499" s="8" t="n"/>
      <c r="X499" s="8" t="inlineStr">
        <is>
          <t>No</t>
        </is>
      </c>
      <c r="Y499" s="8" t="n"/>
      <c r="Z499" s="8" t="n"/>
      <c r="AA499" s="8" t="n"/>
      <c r="AB499" s="8" t="inlineStr">
        <is>
          <t>[Security Analyst]</t>
        </is>
      </c>
      <c r="AC499" s="8" t="n"/>
      <c r="AD499" s="8" t="n"/>
      <c r="AE499" s="16">
        <f>IF(AA499&lt;&gt;"", AA499+90, "")</f>
        <v/>
      </c>
      <c r="AF499" s="8" t="n"/>
    </row>
    <row r="500">
      <c r="A500">
        <f>IF(B500&lt;&gt;"", "HC-"&amp;TEXT(ROW()-1,"00000"), "")</f>
        <v/>
      </c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>
        <f>IF(K500="", "", IF(K500="Implemented", "Pass", IF(K500="Partial", "Partial", IF(K500="Not Applicable", "N/A", "Fail"))))</f>
        <v/>
      </c>
      <c r="R500" s="8" t="n"/>
      <c r="S500" s="8" t="n"/>
      <c r="T500">
        <f>IF(Q500="", "", IF(OR(Q500="Fail", Q500="Partial"), "Yes", "No"))</f>
        <v/>
      </c>
      <c r="U500" s="8" t="n"/>
      <c r="V500" s="8" t="n"/>
      <c r="W500" s="8" t="n"/>
      <c r="X500" s="8" t="inlineStr">
        <is>
          <t>No</t>
        </is>
      </c>
      <c r="Y500" s="8" t="n"/>
      <c r="Z500" s="8" t="n"/>
      <c r="AA500" s="8" t="n"/>
      <c r="AB500" s="8" t="inlineStr">
        <is>
          <t>[Security Analyst]</t>
        </is>
      </c>
      <c r="AC500" s="8" t="n"/>
      <c r="AD500" s="8" t="n"/>
      <c r="AE500" s="16">
        <f>IF(AA500&lt;&gt;"", AA500+90, "")</f>
        <v/>
      </c>
      <c r="AF500" s="8" t="n"/>
    </row>
    <row r="501">
      <c r="A501">
        <f>IF(B501&lt;&gt;"", "HC-"&amp;TEXT(ROW()-1,"00000"), "")</f>
        <v/>
      </c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>
        <f>IF(K501="", "", IF(K501="Implemented", "Pass", IF(K501="Partial", "Partial", IF(K501="Not Applicable", "N/A", "Fail"))))</f>
        <v/>
      </c>
      <c r="R501" s="8" t="n"/>
      <c r="S501" s="8" t="n"/>
      <c r="T501">
        <f>IF(Q501="", "", IF(OR(Q501="Fail", Q501="Partial"), "Yes", "No"))</f>
        <v/>
      </c>
      <c r="U501" s="8" t="n"/>
      <c r="V501" s="8" t="n"/>
      <c r="W501" s="8" t="n"/>
      <c r="X501" s="8" t="inlineStr">
        <is>
          <t>No</t>
        </is>
      </c>
      <c r="Y501" s="8" t="n"/>
      <c r="Z501" s="8" t="n"/>
      <c r="AA501" s="8" t="n"/>
      <c r="AB501" s="8" t="inlineStr">
        <is>
          <t>[Security Analyst]</t>
        </is>
      </c>
      <c r="AC501" s="8" t="n"/>
      <c r="AD501" s="8" t="n"/>
      <c r="AE501" s="16">
        <f>IF(AA501&lt;&gt;"", AA501+90, "")</f>
        <v/>
      </c>
      <c r="AF50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Q2:Q501">
    <cfRule type="expression" priority="1" dxfId="7">
      <formula>OR(ISNUMBER(SEARCH("Fully Compliant",$Q2)),ISNUMBER(SEARCH("Compliant",$Q2)),ISNUMBER(SEARCH("Completed",$Q2)),ISNUMBER(SEARCH("Pass",$Q2)),ISNUMBER(SEARCH("Approved",$Q2)))</formula>
    </cfRule>
    <cfRule type="expression" priority="2" dxfId="1">
      <formula>OR(ISNUMBER(SEARCH("Substantially Compliant",$Q2)),ISNUMBER(SEARCH("Partial",$Q2)),ISNUMBER(SEARCH("In Progress",$Q2)),ISNUMBER(SEARCH("Under Review",$Q2)))</formula>
    </cfRule>
    <cfRule type="expression" priority="3" dxfId="0">
      <formula>OR(ISNUMBER(SEARCH("Non-Compliant",$Q2)),ISNUMBER(SEARCH("Fail",$Q2)),ISNUMBER(SEARCH("Blocked",$Q2)),ISNUMBER(SEARCH("Rejected",$Q2)),ISNUMBER(SEARCH("Expired",$Q2)))</formula>
    </cfRule>
  </conditionalFormatting>
  <conditionalFormatting sqref="A2:AF501">
    <cfRule type="expression" priority="4" dxfId="10">
      <formula>AND($J2="Critical", $Q2="Fail")</formula>
    </cfRule>
    <cfRule type="expression" priority="5" dxfId="11">
      <formula>$X2="Yes"</formula>
    </cfRule>
  </conditionalFormatting>
  <conditionalFormatting sqref="W2:W501">
    <cfRule type="expression" priority="6" dxfId="10">
      <formula>AND($T2="Yes", $W2&lt;TODAY(), $W2&lt;&gt;"")</formula>
    </cfRule>
  </conditionalFormatting>
  <dataValidations count="9">
    <dataValidation sqref="I2:I501" showDropDown="0" showInputMessage="0" showErrorMessage="1" allowBlank="1" errorTitle="Invalid Entry" error="Please select from the dropdown list." type="list">
      <formula1>"Access Control,Audit &amp; Logging,Authentication,Network Security,Data Protection,System Hardening,Patch Management,Secure Configuration,Service Minimization,Physical Security,Cryptography,Backup &amp; Recovery"</formula1>
    </dataValidation>
    <dataValidation sqref="J2:J5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K2:K501" showDropDown="0" showInputMessage="0" showErrorMessage="1" allowBlank="1" errorTitle="Invalid Entry" error="Please select from the dropdown list." type="list">
      <formula1>"✅ Implemented,⚠️ Partial,❌ Not Implemented,➖ Not Applicable,📝 Planned,⏳ In Progress"</formula1>
    </dataValidation>
    <dataValidation sqref="L2:L501" showDropDown="0" showInputMessage="0" showErrorMessage="1" allowBlank="1" errorTitle="Invalid Entry" error="Please select from the dropdown list." type="list">
      <formula1>"Automated Tool,Manual Configuration,Native Feature,Third-Party Tool,Compensating Control,Not Implemented"</formula1>
    </dataValidation>
    <dataValidation sqref="Q2:Q501" showDropDown="0" showInputMessage="0" showErrorMessage="1" allowBlank="1" errorTitle="Invalid Entry" error="Please select from the dropdown list." type="list">
      <formula1>"✅ Pass,❌ Fail,⚠️ Partial,➖ N/A"</formula1>
    </dataValidation>
    <dataValidation sqref="S2:S5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T2:T501" showDropDown="0" showInputMessage="0" showErrorMessage="1" allowBlank="1" errorTitle="Invalid Entry" error="Please select from the dropdown list." type="list">
      <formula1>"Yes,No"</formula1>
    </dataValidation>
    <dataValidation sqref="X2:X501" showDropDown="0" showInputMessage="0" showErrorMessage="1" allowBlank="1" errorTitle="Invalid Entry" error="Please select from the dropdown list." type="list">
      <formula1>"Yes,No"</formula1>
    </dataValidation>
    <dataValidation sqref="AD2:AD501" showDropDown="0" showInputMessage="0" showErrorMessage="1" allowBlank="1" errorTitle="Invalid Entry" error="Please select from the dropdown list." type="list">
      <formula1>"Configuration Export,Security Tool Report,Manual Inspection,Audit Log Review,Test/Validation,Documentation Review"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5" customWidth="1" min="4" max="4"/>
    <col width="12" customWidth="1" min="5" max="5"/>
    <col width="12" customWidth="1" min="6" max="6"/>
    <col width="30" customWidth="1" min="7" max="7"/>
    <col width="15" customWidth="1" min="8" max="8"/>
    <col width="20" customWidth="1" min="9" max="9"/>
    <col width="40" customWidth="1" min="10" max="10"/>
    <col width="40" customWidth="1" min="11" max="11"/>
    <col width="40" customWidth="1" min="12" max="12"/>
    <col width="18" customWidth="1" min="13" max="13"/>
    <col width="25" customWidth="1" min="14" max="14"/>
    <col width="40" customWidth="1" min="15" max="15"/>
    <col width="25" customWidth="1" min="16" max="16"/>
    <col width="25" customWidth="1" min="17" max="17"/>
    <col width="15" customWidth="1" min="18" max="18"/>
    <col width="25" customWidth="1" min="19" max="19"/>
    <col width="15" customWidth="1" min="20" max="20"/>
    <col width="25" customWidth="1" min="21" max="21"/>
    <col width="15" customWidth="1" min="22" max="22"/>
    <col width="18" customWidth="1" min="23" max="23"/>
    <col width="18" customWidth="1" min="24" max="24"/>
    <col width="15" customWidth="1" min="25" max="25"/>
    <col width="15" customWidth="1" min="26" max="26"/>
    <col width="16" customWidth="1" min="27" max="27"/>
    <col width="18" customWidth="1" min="28" max="28"/>
    <col width="15" customWidth="1" min="29" max="29"/>
    <col width="15" customWidth="1" min="30" max="30"/>
    <col width="40" customWidth="1" min="31" max="31"/>
    <col width="18" customWidth="1" min="32" max="32"/>
    <col width="40" customWidth="1" min="33" max="33"/>
    <col width="40" customWidth="1" min="34" max="34"/>
    <col width="40" customWidth="1" min="35" max="35"/>
    <col width="30" customWidth="1" min="36" max="36"/>
    <col width="40" customWidth="1" min="37" max="37"/>
  </cols>
  <sheetData>
    <row r="1">
      <c r="A1" s="6" t="inlineStr">
        <is>
          <t>Exception_ID</t>
        </is>
      </c>
      <c r="B1" s="6" t="inlineStr">
        <is>
          <t>Control_ID</t>
        </is>
      </c>
      <c r="C1" s="6" t="inlineStr">
        <is>
          <t>Asset_ID</t>
        </is>
      </c>
      <c r="D1" s="6" t="inlineStr">
        <is>
          <t>Asset_Name</t>
        </is>
      </c>
      <c r="E1" s="6" t="inlineStr">
        <is>
          <t>Standard_ID</t>
        </is>
      </c>
      <c r="F1" s="6" t="inlineStr">
        <is>
          <t>Control_Number</t>
        </is>
      </c>
      <c r="G1" s="6" t="inlineStr">
        <is>
          <t>Control_Title</t>
        </is>
      </c>
      <c r="H1" s="6" t="inlineStr">
        <is>
          <t>Control_Severity</t>
        </is>
      </c>
      <c r="I1" s="6" t="inlineStr">
        <is>
          <t>Exception_Type</t>
        </is>
      </c>
      <c r="J1" s="6" t="inlineStr">
        <is>
          <t>Exception_Reason</t>
        </is>
      </c>
      <c r="K1" s="6" t="inlineStr">
        <is>
          <t>Business_Justification</t>
        </is>
      </c>
      <c r="L1" s="6" t="inlineStr">
        <is>
          <t>Risk_Assessment</t>
        </is>
      </c>
      <c r="M1" s="6" t="inlineStr">
        <is>
          <t>Residual_Risk_Rating</t>
        </is>
      </c>
      <c r="N1" s="6" t="inlineStr">
        <is>
          <t>Compensating_Control_Required</t>
        </is>
      </c>
      <c r="O1" s="6" t="inlineStr">
        <is>
          <t>Compensating_Control_Description</t>
        </is>
      </c>
      <c r="P1" s="6" t="inlineStr">
        <is>
          <t>Compensating_Control_Effectiveness</t>
        </is>
      </c>
      <c r="Q1" s="6" t="inlineStr">
        <is>
          <t>Requested_By</t>
        </is>
      </c>
      <c r="R1" s="6" t="inlineStr">
        <is>
          <t>Request_Date</t>
        </is>
      </c>
      <c r="S1" s="6" t="inlineStr">
        <is>
          <t>Reviewed_By</t>
        </is>
      </c>
      <c r="T1" s="6" t="inlineStr">
        <is>
          <t>Review_Date</t>
        </is>
      </c>
      <c r="U1" s="6" t="inlineStr">
        <is>
          <t>Approved_By</t>
        </is>
      </c>
      <c r="V1" s="6" t="inlineStr">
        <is>
          <t>Approval_Date</t>
        </is>
      </c>
      <c r="W1" s="6" t="inlineStr">
        <is>
          <t>Exception_Status</t>
        </is>
      </c>
      <c r="X1" s="6" t="inlineStr">
        <is>
          <t>Exception_Duration</t>
        </is>
      </c>
      <c r="Y1" s="6" t="inlineStr">
        <is>
          <t>Valid_From_Date</t>
        </is>
      </c>
      <c r="Z1" s="6" t="inlineStr">
        <is>
          <t>Valid_Until_Date</t>
        </is>
      </c>
      <c r="AA1" s="6" t="inlineStr">
        <is>
          <t>Days_Until_Expiry</t>
        </is>
      </c>
      <c r="AB1" s="6" t="inlineStr">
        <is>
          <t>Review_Required</t>
        </is>
      </c>
      <c r="AC1" s="6" t="inlineStr">
        <is>
          <t>Last_Review_Date</t>
        </is>
      </c>
      <c r="AD1" s="6" t="inlineStr">
        <is>
          <t>Next_Review_Date</t>
        </is>
      </c>
      <c r="AE1" s="6" t="inlineStr">
        <is>
          <t>Audit_Trail</t>
        </is>
      </c>
      <c r="AF1" s="6" t="inlineStr">
        <is>
          <t>Monitoring_Required</t>
        </is>
      </c>
      <c r="AG1" s="6" t="inlineStr">
        <is>
          <t>Monitoring_Description</t>
        </is>
      </c>
      <c r="AH1" s="6" t="inlineStr">
        <is>
          <t>Re_Assessment_Trigger</t>
        </is>
      </c>
      <c r="AI1" s="6" t="inlineStr">
        <is>
          <t>Exception_Closure_Plan</t>
        </is>
      </c>
      <c r="AJ1" s="6" t="inlineStr">
        <is>
          <t>Documentation_Reference</t>
        </is>
      </c>
      <c r="AK1" s="6" t="inlineStr">
        <is>
          <t>Notes</t>
        </is>
      </c>
    </row>
    <row r="2">
      <c r="A2">
        <f>IF(B2&lt;&gt;"", "EXC-"&amp;TEXT(ROW()-1,"000"), "")</f>
        <v/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inlineStr">
        <is>
          <t>Yes</t>
        </is>
      </c>
      <c r="O2" s="8" t="n"/>
      <c r="P2" s="8" t="n"/>
      <c r="Q2" s="8" t="n"/>
      <c r="R2" s="8" t="n"/>
      <c r="S2" s="8" t="n"/>
      <c r="T2" s="8" t="n"/>
      <c r="U2" s="8" t="n"/>
      <c r="V2" s="8" t="n"/>
      <c r="W2" s="8" t="inlineStr">
        <is>
          <t>Pending Review</t>
        </is>
      </c>
      <c r="X2" s="8" t="n"/>
      <c r="Y2" s="8" t="n"/>
      <c r="Z2" s="16">
        <f>IF(AND(Y2&lt;&gt;"", X2&lt;&gt;""), IF(X2="3 Months", Y2+90, IF(X2="6 Months", Y2+180, IF(X2="12 Months", Y2+365, IF(X2="24 Months", Y2+730, Y2+365)))), "")</f>
        <v/>
      </c>
      <c r="AA2" s="17">
        <f>IF(Z2&lt;&gt;"", Z2-TODAY(), "")</f>
        <v/>
      </c>
      <c r="AB2">
        <f>IF(AA2="", "", IF(AA2&lt;30, "Yes - Expiring Soon", IF(AD2&lt;TODAY()+30, "Yes - Periodic Review Due", "No")))</f>
        <v/>
      </c>
      <c r="AC2" s="8" t="n"/>
      <c r="AD2" s="16">
        <f>IF(AND(Y2&lt;&gt;"", Z2&lt;&gt;""), Y2+((Z2-Y2)/2), "")</f>
        <v/>
      </c>
      <c r="AE2" s="8" t="n"/>
      <c r="AF2" s="8" t="inlineStr">
        <is>
          <t>Yes</t>
        </is>
      </c>
      <c r="AG2" s="8" t="n"/>
      <c r="AH2" s="8" t="n"/>
      <c r="AI2" s="8" t="n"/>
      <c r="AJ2" s="8" t="n"/>
      <c r="AK2" s="8" t="n"/>
    </row>
    <row r="3">
      <c r="A3">
        <f>IF(B3&lt;&gt;"", "EXC-"&amp;TEXT(ROW()-1,"000"), "")</f>
        <v/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inlineStr">
        <is>
          <t>Yes</t>
        </is>
      </c>
      <c r="O3" s="8" t="n"/>
      <c r="P3" s="8" t="n"/>
      <c r="Q3" s="8" t="n"/>
      <c r="R3" s="8" t="n"/>
      <c r="S3" s="8" t="n"/>
      <c r="T3" s="8" t="n"/>
      <c r="U3" s="8" t="n"/>
      <c r="V3" s="8" t="n"/>
      <c r="W3" s="8" t="inlineStr">
        <is>
          <t>Pending Review</t>
        </is>
      </c>
      <c r="X3" s="8" t="n"/>
      <c r="Y3" s="8" t="n"/>
      <c r="Z3" s="16">
        <f>IF(AND(Y3&lt;&gt;"", X3&lt;&gt;""), IF(X3="3 Months", Y3+90, IF(X3="6 Months", Y3+180, IF(X3="12 Months", Y3+365, IF(X3="24 Months", Y3+730, Y3+365)))), "")</f>
        <v/>
      </c>
      <c r="AA3" s="17">
        <f>IF(Z3&lt;&gt;"", Z3-TODAY(), "")</f>
        <v/>
      </c>
      <c r="AB3">
        <f>IF(AA3="", "", IF(AA3&lt;30, "Yes - Expiring Soon", IF(AD3&lt;TODAY()+30, "Yes - Periodic Review Due", "No")))</f>
        <v/>
      </c>
      <c r="AC3" s="8" t="n"/>
      <c r="AD3" s="16">
        <f>IF(AND(Y3&lt;&gt;"", Z3&lt;&gt;""), Y3+((Z3-Y3)/2), "")</f>
        <v/>
      </c>
      <c r="AE3" s="8" t="n"/>
      <c r="AF3" s="8" t="inlineStr">
        <is>
          <t>Yes</t>
        </is>
      </c>
      <c r="AG3" s="8" t="n"/>
      <c r="AH3" s="8" t="n"/>
      <c r="AI3" s="8" t="n"/>
      <c r="AJ3" s="8" t="n"/>
      <c r="AK3" s="8" t="n"/>
    </row>
    <row r="4">
      <c r="A4">
        <f>IF(B4&lt;&gt;"", "EXC-"&amp;TEXT(ROW()-1,"000"), "")</f>
        <v/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inlineStr">
        <is>
          <t>Yes</t>
        </is>
      </c>
      <c r="O4" s="8" t="n"/>
      <c r="P4" s="8" t="n"/>
      <c r="Q4" s="8" t="n"/>
      <c r="R4" s="8" t="n"/>
      <c r="S4" s="8" t="n"/>
      <c r="T4" s="8" t="n"/>
      <c r="U4" s="8" t="n"/>
      <c r="V4" s="8" t="n"/>
      <c r="W4" s="8" t="inlineStr">
        <is>
          <t>Pending Review</t>
        </is>
      </c>
      <c r="X4" s="8" t="n"/>
      <c r="Y4" s="8" t="n"/>
      <c r="Z4" s="16">
        <f>IF(AND(Y4&lt;&gt;"", X4&lt;&gt;""), IF(X4="3 Months", Y4+90, IF(X4="6 Months", Y4+180, IF(X4="12 Months", Y4+365, IF(X4="24 Months", Y4+730, Y4+365)))), "")</f>
        <v/>
      </c>
      <c r="AA4" s="17">
        <f>IF(Z4&lt;&gt;"", Z4-TODAY(), "")</f>
        <v/>
      </c>
      <c r="AB4">
        <f>IF(AA4="", "", IF(AA4&lt;30, "Yes - Expiring Soon", IF(AD4&lt;TODAY()+30, "Yes - Periodic Review Due", "No")))</f>
        <v/>
      </c>
      <c r="AC4" s="8" t="n"/>
      <c r="AD4" s="16">
        <f>IF(AND(Y4&lt;&gt;"", Z4&lt;&gt;""), Y4+((Z4-Y4)/2), "")</f>
        <v/>
      </c>
      <c r="AE4" s="8" t="n"/>
      <c r="AF4" s="8" t="inlineStr">
        <is>
          <t>Yes</t>
        </is>
      </c>
      <c r="AG4" s="8" t="n"/>
      <c r="AH4" s="8" t="n"/>
      <c r="AI4" s="8" t="n"/>
      <c r="AJ4" s="8" t="n"/>
      <c r="AK4" s="8" t="n"/>
    </row>
    <row r="5">
      <c r="A5">
        <f>IF(B5&lt;&gt;"", "EXC-"&amp;TEXT(ROW()-1,"000"), 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inlineStr">
        <is>
          <t>Yes</t>
        </is>
      </c>
      <c r="O5" s="8" t="n"/>
      <c r="P5" s="8" t="n"/>
      <c r="Q5" s="8" t="n"/>
      <c r="R5" s="8" t="n"/>
      <c r="S5" s="8" t="n"/>
      <c r="T5" s="8" t="n"/>
      <c r="U5" s="8" t="n"/>
      <c r="V5" s="8" t="n"/>
      <c r="W5" s="8" t="inlineStr">
        <is>
          <t>Pending Review</t>
        </is>
      </c>
      <c r="X5" s="8" t="n"/>
      <c r="Y5" s="8" t="n"/>
      <c r="Z5" s="16">
        <f>IF(AND(Y5&lt;&gt;"", X5&lt;&gt;""), IF(X5="3 Months", Y5+90, IF(X5="6 Months", Y5+180, IF(X5="12 Months", Y5+365, IF(X5="24 Months", Y5+730, Y5+365)))), "")</f>
        <v/>
      </c>
      <c r="AA5" s="17">
        <f>IF(Z5&lt;&gt;"", Z5-TODAY(), "")</f>
        <v/>
      </c>
      <c r="AB5">
        <f>IF(AA5="", "", IF(AA5&lt;30, "Yes - Expiring Soon", IF(AD5&lt;TODAY()+30, "Yes - Periodic Review Due", "No")))</f>
        <v/>
      </c>
      <c r="AC5" s="8" t="n"/>
      <c r="AD5" s="16">
        <f>IF(AND(Y5&lt;&gt;"", Z5&lt;&gt;""), Y5+((Z5-Y5)/2), "")</f>
        <v/>
      </c>
      <c r="AE5" s="8" t="n"/>
      <c r="AF5" s="8" t="inlineStr">
        <is>
          <t>Yes</t>
        </is>
      </c>
      <c r="AG5" s="8" t="n"/>
      <c r="AH5" s="8" t="n"/>
      <c r="AI5" s="8" t="n"/>
      <c r="AJ5" s="8" t="n"/>
      <c r="AK5" s="8" t="n"/>
    </row>
    <row r="6">
      <c r="A6">
        <f>IF(B6&lt;&gt;"", "EXC-"&amp;TEXT(ROW()-1,"000"), "")</f>
        <v/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inlineStr">
        <is>
          <t>Yes</t>
        </is>
      </c>
      <c r="O6" s="8" t="n"/>
      <c r="P6" s="8" t="n"/>
      <c r="Q6" s="8" t="n"/>
      <c r="R6" s="8" t="n"/>
      <c r="S6" s="8" t="n"/>
      <c r="T6" s="8" t="n"/>
      <c r="U6" s="8" t="n"/>
      <c r="V6" s="8" t="n"/>
      <c r="W6" s="8" t="inlineStr">
        <is>
          <t>Pending Review</t>
        </is>
      </c>
      <c r="X6" s="8" t="n"/>
      <c r="Y6" s="8" t="n"/>
      <c r="Z6" s="16">
        <f>IF(AND(Y6&lt;&gt;"", X6&lt;&gt;""), IF(X6="3 Months", Y6+90, IF(X6="6 Months", Y6+180, IF(X6="12 Months", Y6+365, IF(X6="24 Months", Y6+730, Y6+365)))), "")</f>
        <v/>
      </c>
      <c r="AA6" s="17">
        <f>IF(Z6&lt;&gt;"", Z6-TODAY(), "")</f>
        <v/>
      </c>
      <c r="AB6">
        <f>IF(AA6="", "", IF(AA6&lt;30, "Yes - Expiring Soon", IF(AD6&lt;TODAY()+30, "Yes - Periodic Review Due", "No")))</f>
        <v/>
      </c>
      <c r="AC6" s="8" t="n"/>
      <c r="AD6" s="16">
        <f>IF(AND(Y6&lt;&gt;"", Z6&lt;&gt;""), Y6+((Z6-Y6)/2), "")</f>
        <v/>
      </c>
      <c r="AE6" s="8" t="n"/>
      <c r="AF6" s="8" t="inlineStr">
        <is>
          <t>Yes</t>
        </is>
      </c>
      <c r="AG6" s="8" t="n"/>
      <c r="AH6" s="8" t="n"/>
      <c r="AI6" s="8" t="n"/>
      <c r="AJ6" s="8" t="n"/>
      <c r="AK6" s="8" t="n"/>
    </row>
    <row r="7">
      <c r="A7">
        <f>IF(B7&lt;&gt;"", "EXC-"&amp;TEXT(ROW()-1,"000"), 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inlineStr">
        <is>
          <t>Yes</t>
        </is>
      </c>
      <c r="O7" s="8" t="n"/>
      <c r="P7" s="8" t="n"/>
      <c r="Q7" s="8" t="n"/>
      <c r="R7" s="8" t="n"/>
      <c r="S7" s="8" t="n"/>
      <c r="T7" s="8" t="n"/>
      <c r="U7" s="8" t="n"/>
      <c r="V7" s="8" t="n"/>
      <c r="W7" s="8" t="inlineStr">
        <is>
          <t>Pending Review</t>
        </is>
      </c>
      <c r="X7" s="8" t="n"/>
      <c r="Y7" s="8" t="n"/>
      <c r="Z7" s="16">
        <f>IF(AND(Y7&lt;&gt;"", X7&lt;&gt;""), IF(X7="3 Months", Y7+90, IF(X7="6 Months", Y7+180, IF(X7="12 Months", Y7+365, IF(X7="24 Months", Y7+730, Y7+365)))), "")</f>
        <v/>
      </c>
      <c r="AA7" s="17">
        <f>IF(Z7&lt;&gt;"", Z7-TODAY(), "")</f>
        <v/>
      </c>
      <c r="AB7">
        <f>IF(AA7="", "", IF(AA7&lt;30, "Yes - Expiring Soon", IF(AD7&lt;TODAY()+30, "Yes - Periodic Review Due", "No")))</f>
        <v/>
      </c>
      <c r="AC7" s="8" t="n"/>
      <c r="AD7" s="16">
        <f>IF(AND(Y7&lt;&gt;"", Z7&lt;&gt;""), Y7+((Z7-Y7)/2), "")</f>
        <v/>
      </c>
      <c r="AE7" s="8" t="n"/>
      <c r="AF7" s="8" t="inlineStr">
        <is>
          <t>Yes</t>
        </is>
      </c>
      <c r="AG7" s="8" t="n"/>
      <c r="AH7" s="8" t="n"/>
      <c r="AI7" s="8" t="n"/>
      <c r="AJ7" s="8" t="n"/>
      <c r="AK7" s="8" t="n"/>
    </row>
    <row r="8">
      <c r="A8">
        <f>IF(B8&lt;&gt;"", "EXC-"&amp;TEXT(ROW()-1,"000"), "")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inlineStr">
        <is>
          <t>Yes</t>
        </is>
      </c>
      <c r="O8" s="8" t="n"/>
      <c r="P8" s="8" t="n"/>
      <c r="Q8" s="8" t="n"/>
      <c r="R8" s="8" t="n"/>
      <c r="S8" s="8" t="n"/>
      <c r="T8" s="8" t="n"/>
      <c r="U8" s="8" t="n"/>
      <c r="V8" s="8" t="n"/>
      <c r="W8" s="8" t="inlineStr">
        <is>
          <t>Pending Review</t>
        </is>
      </c>
      <c r="X8" s="8" t="n"/>
      <c r="Y8" s="8" t="n"/>
      <c r="Z8" s="16">
        <f>IF(AND(Y8&lt;&gt;"", X8&lt;&gt;""), IF(X8="3 Months", Y8+90, IF(X8="6 Months", Y8+180, IF(X8="12 Months", Y8+365, IF(X8="24 Months", Y8+730, Y8+365)))), "")</f>
        <v/>
      </c>
      <c r="AA8" s="17">
        <f>IF(Z8&lt;&gt;"", Z8-TODAY(), "")</f>
        <v/>
      </c>
      <c r="AB8">
        <f>IF(AA8="", "", IF(AA8&lt;30, "Yes - Expiring Soon", IF(AD8&lt;TODAY()+30, "Yes - Periodic Review Due", "No")))</f>
        <v/>
      </c>
      <c r="AC8" s="8" t="n"/>
      <c r="AD8" s="16">
        <f>IF(AND(Y8&lt;&gt;"", Z8&lt;&gt;""), Y8+((Z8-Y8)/2), "")</f>
        <v/>
      </c>
      <c r="AE8" s="8" t="n"/>
      <c r="AF8" s="8" t="inlineStr">
        <is>
          <t>Yes</t>
        </is>
      </c>
      <c r="AG8" s="8" t="n"/>
      <c r="AH8" s="8" t="n"/>
      <c r="AI8" s="8" t="n"/>
      <c r="AJ8" s="8" t="n"/>
      <c r="AK8" s="8" t="n"/>
    </row>
    <row r="9">
      <c r="A9">
        <f>IF(B9&lt;&gt;"", "EXC-"&amp;TEXT(ROW()-1,"000"), 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inlineStr">
        <is>
          <t>Yes</t>
        </is>
      </c>
      <c r="O9" s="8" t="n"/>
      <c r="P9" s="8" t="n"/>
      <c r="Q9" s="8" t="n"/>
      <c r="R9" s="8" t="n"/>
      <c r="S9" s="8" t="n"/>
      <c r="T9" s="8" t="n"/>
      <c r="U9" s="8" t="n"/>
      <c r="V9" s="8" t="n"/>
      <c r="W9" s="8" t="inlineStr">
        <is>
          <t>Pending Review</t>
        </is>
      </c>
      <c r="X9" s="8" t="n"/>
      <c r="Y9" s="8" t="n"/>
      <c r="Z9" s="16">
        <f>IF(AND(Y9&lt;&gt;"", X9&lt;&gt;""), IF(X9="3 Months", Y9+90, IF(X9="6 Months", Y9+180, IF(X9="12 Months", Y9+365, IF(X9="24 Months", Y9+730, Y9+365)))), "")</f>
        <v/>
      </c>
      <c r="AA9" s="17">
        <f>IF(Z9&lt;&gt;"", Z9-TODAY(), "")</f>
        <v/>
      </c>
      <c r="AB9">
        <f>IF(AA9="", "", IF(AA9&lt;30, "Yes - Expiring Soon", IF(AD9&lt;TODAY()+30, "Yes - Periodic Review Due", "No")))</f>
        <v/>
      </c>
      <c r="AC9" s="8" t="n"/>
      <c r="AD9" s="16">
        <f>IF(AND(Y9&lt;&gt;"", Z9&lt;&gt;""), Y9+((Z9-Y9)/2), "")</f>
        <v/>
      </c>
      <c r="AE9" s="8" t="n"/>
      <c r="AF9" s="8" t="inlineStr">
        <is>
          <t>Yes</t>
        </is>
      </c>
      <c r="AG9" s="8" t="n"/>
      <c r="AH9" s="8" t="n"/>
      <c r="AI9" s="8" t="n"/>
      <c r="AJ9" s="8" t="n"/>
      <c r="AK9" s="8" t="n"/>
    </row>
    <row r="10">
      <c r="A10">
        <f>IF(B10&lt;&gt;"", "EXC-"&amp;TEXT(ROW()-1,"000"), "")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inlineStr">
        <is>
          <t>Yes</t>
        </is>
      </c>
      <c r="O10" s="8" t="n"/>
      <c r="P10" s="8" t="n"/>
      <c r="Q10" s="8" t="n"/>
      <c r="R10" s="8" t="n"/>
      <c r="S10" s="8" t="n"/>
      <c r="T10" s="8" t="n"/>
      <c r="U10" s="8" t="n"/>
      <c r="V10" s="8" t="n"/>
      <c r="W10" s="8" t="inlineStr">
        <is>
          <t>Pending Review</t>
        </is>
      </c>
      <c r="X10" s="8" t="n"/>
      <c r="Y10" s="8" t="n"/>
      <c r="Z10" s="16">
        <f>IF(AND(Y10&lt;&gt;"", X10&lt;&gt;""), IF(X10="3 Months", Y10+90, IF(X10="6 Months", Y10+180, IF(X10="12 Months", Y10+365, IF(X10="24 Months", Y10+730, Y10+365)))), "")</f>
        <v/>
      </c>
      <c r="AA10" s="17">
        <f>IF(Z10&lt;&gt;"", Z10-TODAY(), "")</f>
        <v/>
      </c>
      <c r="AB10">
        <f>IF(AA10="", "", IF(AA10&lt;30, "Yes - Expiring Soon", IF(AD10&lt;TODAY()+30, "Yes - Periodic Review Due", "No")))</f>
        <v/>
      </c>
      <c r="AC10" s="8" t="n"/>
      <c r="AD10" s="16">
        <f>IF(AND(Y10&lt;&gt;"", Z10&lt;&gt;""), Y10+((Z10-Y10)/2), "")</f>
        <v/>
      </c>
      <c r="AE10" s="8" t="n"/>
      <c r="AF10" s="8" t="inlineStr">
        <is>
          <t>Yes</t>
        </is>
      </c>
      <c r="AG10" s="8" t="n"/>
      <c r="AH10" s="8" t="n"/>
      <c r="AI10" s="8" t="n"/>
      <c r="AJ10" s="8" t="n"/>
      <c r="AK10" s="8" t="n"/>
    </row>
    <row r="11">
      <c r="A11">
        <f>IF(B11&lt;&gt;"", "EXC-"&amp;TEXT(ROW()-1,"000"), 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inlineStr">
        <is>
          <t>Yes</t>
        </is>
      </c>
      <c r="O11" s="8" t="n"/>
      <c r="P11" s="8" t="n"/>
      <c r="Q11" s="8" t="n"/>
      <c r="R11" s="8" t="n"/>
      <c r="S11" s="8" t="n"/>
      <c r="T11" s="8" t="n"/>
      <c r="U11" s="8" t="n"/>
      <c r="V11" s="8" t="n"/>
      <c r="W11" s="8" t="inlineStr">
        <is>
          <t>Pending Review</t>
        </is>
      </c>
      <c r="X11" s="8" t="n"/>
      <c r="Y11" s="8" t="n"/>
      <c r="Z11" s="16">
        <f>IF(AND(Y11&lt;&gt;"", X11&lt;&gt;""), IF(X11="3 Months", Y11+90, IF(X11="6 Months", Y11+180, IF(X11="12 Months", Y11+365, IF(X11="24 Months", Y11+730, Y11+365)))), "")</f>
        <v/>
      </c>
      <c r="AA11" s="17">
        <f>IF(Z11&lt;&gt;"", Z11-TODAY(), "")</f>
        <v/>
      </c>
      <c r="AB11">
        <f>IF(AA11="", "", IF(AA11&lt;30, "Yes - Expiring Soon", IF(AD11&lt;TODAY()+30, "Yes - Periodic Review Due", "No")))</f>
        <v/>
      </c>
      <c r="AC11" s="8" t="n"/>
      <c r="AD11" s="16">
        <f>IF(AND(Y11&lt;&gt;"", Z11&lt;&gt;""), Y11+((Z11-Y11)/2), "")</f>
        <v/>
      </c>
      <c r="AE11" s="8" t="n"/>
      <c r="AF11" s="8" t="inlineStr">
        <is>
          <t>Yes</t>
        </is>
      </c>
      <c r="AG11" s="8" t="n"/>
      <c r="AH11" s="8" t="n"/>
      <c r="AI11" s="8" t="n"/>
      <c r="AJ11" s="8" t="n"/>
      <c r="AK11" s="8" t="n"/>
    </row>
    <row r="12">
      <c r="A12">
        <f>IF(B12&lt;&gt;"", "EXC-"&amp;TEXT(ROW()-1,"000"), "")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inlineStr">
        <is>
          <t>Yes</t>
        </is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inlineStr">
        <is>
          <t>Pending Review</t>
        </is>
      </c>
      <c r="X12" s="8" t="n"/>
      <c r="Y12" s="8" t="n"/>
      <c r="Z12" s="16">
        <f>IF(AND(Y12&lt;&gt;"", X12&lt;&gt;""), IF(X12="3 Months", Y12+90, IF(X12="6 Months", Y12+180, IF(X12="12 Months", Y12+365, IF(X12="24 Months", Y12+730, Y12+365)))), "")</f>
        <v/>
      </c>
      <c r="AA12" s="17">
        <f>IF(Z12&lt;&gt;"", Z12-TODAY(), "")</f>
        <v/>
      </c>
      <c r="AB12">
        <f>IF(AA12="", "", IF(AA12&lt;30, "Yes - Expiring Soon", IF(AD12&lt;TODAY()+30, "Yes - Periodic Review Due", "No")))</f>
        <v/>
      </c>
      <c r="AC12" s="8" t="n"/>
      <c r="AD12" s="16">
        <f>IF(AND(Y12&lt;&gt;"", Z12&lt;&gt;""), Y12+((Z12-Y12)/2), "")</f>
        <v/>
      </c>
      <c r="AE12" s="8" t="n"/>
      <c r="AF12" s="8" t="inlineStr">
        <is>
          <t>Yes</t>
        </is>
      </c>
      <c r="AG12" s="8" t="n"/>
      <c r="AH12" s="8" t="n"/>
      <c r="AI12" s="8" t="n"/>
      <c r="AJ12" s="8" t="n"/>
      <c r="AK12" s="8" t="n"/>
    </row>
    <row r="13">
      <c r="A13">
        <f>IF(B13&lt;&gt;"", "EXC-"&amp;TEXT(ROW()-1,"000"), 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inlineStr">
        <is>
          <t>Yes</t>
        </is>
      </c>
      <c r="O13" s="8" t="n"/>
      <c r="P13" s="8" t="n"/>
      <c r="Q13" s="8" t="n"/>
      <c r="R13" s="8" t="n"/>
      <c r="S13" s="8" t="n"/>
      <c r="T13" s="8" t="n"/>
      <c r="U13" s="8" t="n"/>
      <c r="V13" s="8" t="n"/>
      <c r="W13" s="8" t="inlineStr">
        <is>
          <t>Pending Review</t>
        </is>
      </c>
      <c r="X13" s="8" t="n"/>
      <c r="Y13" s="8" t="n"/>
      <c r="Z13" s="16">
        <f>IF(AND(Y13&lt;&gt;"", X13&lt;&gt;""), IF(X13="3 Months", Y13+90, IF(X13="6 Months", Y13+180, IF(X13="12 Months", Y13+365, IF(X13="24 Months", Y13+730, Y13+365)))), "")</f>
        <v/>
      </c>
      <c r="AA13" s="17">
        <f>IF(Z13&lt;&gt;"", Z13-TODAY(), "")</f>
        <v/>
      </c>
      <c r="AB13">
        <f>IF(AA13="", "", IF(AA13&lt;30, "Yes - Expiring Soon", IF(AD13&lt;TODAY()+30, "Yes - Periodic Review Due", "No")))</f>
        <v/>
      </c>
      <c r="AC13" s="8" t="n"/>
      <c r="AD13" s="16">
        <f>IF(AND(Y13&lt;&gt;"", Z13&lt;&gt;""), Y13+((Z13-Y13)/2), "")</f>
        <v/>
      </c>
      <c r="AE13" s="8" t="n"/>
      <c r="AF13" s="8" t="inlineStr">
        <is>
          <t>Yes</t>
        </is>
      </c>
      <c r="AG13" s="8" t="n"/>
      <c r="AH13" s="8" t="n"/>
      <c r="AI13" s="8" t="n"/>
      <c r="AJ13" s="8" t="n"/>
      <c r="AK13" s="8" t="n"/>
    </row>
    <row r="14">
      <c r="A14">
        <f>IF(B14&lt;&gt;"", "EXC-"&amp;TEXT(ROW()-1,"000"), "")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inlineStr">
        <is>
          <t>Yes</t>
        </is>
      </c>
      <c r="O14" s="8" t="n"/>
      <c r="P14" s="8" t="n"/>
      <c r="Q14" s="8" t="n"/>
      <c r="R14" s="8" t="n"/>
      <c r="S14" s="8" t="n"/>
      <c r="T14" s="8" t="n"/>
      <c r="U14" s="8" t="n"/>
      <c r="V14" s="8" t="n"/>
      <c r="W14" s="8" t="inlineStr">
        <is>
          <t>Pending Review</t>
        </is>
      </c>
      <c r="X14" s="8" t="n"/>
      <c r="Y14" s="8" t="n"/>
      <c r="Z14" s="16">
        <f>IF(AND(Y14&lt;&gt;"", X14&lt;&gt;""), IF(X14="3 Months", Y14+90, IF(X14="6 Months", Y14+180, IF(X14="12 Months", Y14+365, IF(X14="24 Months", Y14+730, Y14+365)))), "")</f>
        <v/>
      </c>
      <c r="AA14" s="17">
        <f>IF(Z14&lt;&gt;"", Z14-TODAY(), "")</f>
        <v/>
      </c>
      <c r="AB14">
        <f>IF(AA14="", "", IF(AA14&lt;30, "Yes - Expiring Soon", IF(AD14&lt;TODAY()+30, "Yes - Periodic Review Due", "No")))</f>
        <v/>
      </c>
      <c r="AC14" s="8" t="n"/>
      <c r="AD14" s="16">
        <f>IF(AND(Y14&lt;&gt;"", Z14&lt;&gt;""), Y14+((Z14-Y14)/2), "")</f>
        <v/>
      </c>
      <c r="AE14" s="8" t="n"/>
      <c r="AF14" s="8" t="inlineStr">
        <is>
          <t>Yes</t>
        </is>
      </c>
      <c r="AG14" s="8" t="n"/>
      <c r="AH14" s="8" t="n"/>
      <c r="AI14" s="8" t="n"/>
      <c r="AJ14" s="8" t="n"/>
      <c r="AK14" s="8" t="n"/>
    </row>
    <row r="15">
      <c r="A15">
        <f>IF(B15&lt;&gt;"", "EXC-"&amp;TEXT(ROW()-1,"000"), 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inlineStr">
        <is>
          <t>Yes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inlineStr">
        <is>
          <t>Pending Review</t>
        </is>
      </c>
      <c r="X15" s="8" t="n"/>
      <c r="Y15" s="8" t="n"/>
      <c r="Z15" s="16">
        <f>IF(AND(Y15&lt;&gt;"", X15&lt;&gt;""), IF(X15="3 Months", Y15+90, IF(X15="6 Months", Y15+180, IF(X15="12 Months", Y15+365, IF(X15="24 Months", Y15+730, Y15+365)))), "")</f>
        <v/>
      </c>
      <c r="AA15" s="17">
        <f>IF(Z15&lt;&gt;"", Z15-TODAY(), "")</f>
        <v/>
      </c>
      <c r="AB15">
        <f>IF(AA15="", "", IF(AA15&lt;30, "Yes - Expiring Soon", IF(AD15&lt;TODAY()+30, "Yes - Periodic Review Due", "No")))</f>
        <v/>
      </c>
      <c r="AC15" s="8" t="n"/>
      <c r="AD15" s="16">
        <f>IF(AND(Y15&lt;&gt;"", Z15&lt;&gt;""), Y15+((Z15-Y15)/2), "")</f>
        <v/>
      </c>
      <c r="AE15" s="8" t="n"/>
      <c r="AF15" s="8" t="inlineStr">
        <is>
          <t>Yes</t>
        </is>
      </c>
      <c r="AG15" s="8" t="n"/>
      <c r="AH15" s="8" t="n"/>
      <c r="AI15" s="8" t="n"/>
      <c r="AJ15" s="8" t="n"/>
      <c r="AK15" s="8" t="n"/>
    </row>
    <row r="16">
      <c r="A16">
        <f>IF(B16&lt;&gt;"", "EXC-"&amp;TEXT(ROW()-1,"000"), "")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inlineStr">
        <is>
          <t>Yes</t>
        </is>
      </c>
      <c r="O16" s="8" t="n"/>
      <c r="P16" s="8" t="n"/>
      <c r="Q16" s="8" t="n"/>
      <c r="R16" s="8" t="n"/>
      <c r="S16" s="8" t="n"/>
      <c r="T16" s="8" t="n"/>
      <c r="U16" s="8" t="n"/>
      <c r="V16" s="8" t="n"/>
      <c r="W16" s="8" t="inlineStr">
        <is>
          <t>Pending Review</t>
        </is>
      </c>
      <c r="X16" s="8" t="n"/>
      <c r="Y16" s="8" t="n"/>
      <c r="Z16" s="16">
        <f>IF(AND(Y16&lt;&gt;"", X16&lt;&gt;""), IF(X16="3 Months", Y16+90, IF(X16="6 Months", Y16+180, IF(X16="12 Months", Y16+365, IF(X16="24 Months", Y16+730, Y16+365)))), "")</f>
        <v/>
      </c>
      <c r="AA16" s="17">
        <f>IF(Z16&lt;&gt;"", Z16-TODAY(), "")</f>
        <v/>
      </c>
      <c r="AB16">
        <f>IF(AA16="", "", IF(AA16&lt;30, "Yes - Expiring Soon", IF(AD16&lt;TODAY()+30, "Yes - Periodic Review Due", "No")))</f>
        <v/>
      </c>
      <c r="AC16" s="8" t="n"/>
      <c r="AD16" s="16">
        <f>IF(AND(Y16&lt;&gt;"", Z16&lt;&gt;""), Y16+((Z16-Y16)/2), "")</f>
        <v/>
      </c>
      <c r="AE16" s="8" t="n"/>
      <c r="AF16" s="8" t="inlineStr">
        <is>
          <t>Yes</t>
        </is>
      </c>
      <c r="AG16" s="8" t="n"/>
      <c r="AH16" s="8" t="n"/>
      <c r="AI16" s="8" t="n"/>
      <c r="AJ16" s="8" t="n"/>
      <c r="AK16" s="8" t="n"/>
    </row>
    <row r="17">
      <c r="A17">
        <f>IF(B17&lt;&gt;"", "EXC-"&amp;TEXT(ROW()-1,"000"), 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inlineStr">
        <is>
          <t>Yes</t>
        </is>
      </c>
      <c r="O17" s="8" t="n"/>
      <c r="P17" s="8" t="n"/>
      <c r="Q17" s="8" t="n"/>
      <c r="R17" s="8" t="n"/>
      <c r="S17" s="8" t="n"/>
      <c r="T17" s="8" t="n"/>
      <c r="U17" s="8" t="n"/>
      <c r="V17" s="8" t="n"/>
      <c r="W17" s="8" t="inlineStr">
        <is>
          <t>Pending Review</t>
        </is>
      </c>
      <c r="X17" s="8" t="n"/>
      <c r="Y17" s="8" t="n"/>
      <c r="Z17" s="16">
        <f>IF(AND(Y17&lt;&gt;"", X17&lt;&gt;""), IF(X17="3 Months", Y17+90, IF(X17="6 Months", Y17+180, IF(X17="12 Months", Y17+365, IF(X17="24 Months", Y17+730, Y17+365)))), "")</f>
        <v/>
      </c>
      <c r="AA17" s="17">
        <f>IF(Z17&lt;&gt;"", Z17-TODAY(), "")</f>
        <v/>
      </c>
      <c r="AB17">
        <f>IF(AA17="", "", IF(AA17&lt;30, "Yes - Expiring Soon", IF(AD17&lt;TODAY()+30, "Yes - Periodic Review Due", "No")))</f>
        <v/>
      </c>
      <c r="AC17" s="8" t="n"/>
      <c r="AD17" s="16">
        <f>IF(AND(Y17&lt;&gt;"", Z17&lt;&gt;""), Y17+((Z17-Y17)/2), "")</f>
        <v/>
      </c>
      <c r="AE17" s="8" t="n"/>
      <c r="AF17" s="8" t="inlineStr">
        <is>
          <t>Yes</t>
        </is>
      </c>
      <c r="AG17" s="8" t="n"/>
      <c r="AH17" s="8" t="n"/>
      <c r="AI17" s="8" t="n"/>
      <c r="AJ17" s="8" t="n"/>
      <c r="AK17" s="8" t="n"/>
    </row>
    <row r="18">
      <c r="A18">
        <f>IF(B18&lt;&gt;"", "EXC-"&amp;TEXT(ROW()-1,"000"), "")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inlineStr">
        <is>
          <t>Yes</t>
        </is>
      </c>
      <c r="O18" s="8" t="n"/>
      <c r="P18" s="8" t="n"/>
      <c r="Q18" s="8" t="n"/>
      <c r="R18" s="8" t="n"/>
      <c r="S18" s="8" t="n"/>
      <c r="T18" s="8" t="n"/>
      <c r="U18" s="8" t="n"/>
      <c r="V18" s="8" t="n"/>
      <c r="W18" s="8" t="inlineStr">
        <is>
          <t>Pending Review</t>
        </is>
      </c>
      <c r="X18" s="8" t="n"/>
      <c r="Y18" s="8" t="n"/>
      <c r="Z18" s="16">
        <f>IF(AND(Y18&lt;&gt;"", X18&lt;&gt;""), IF(X18="3 Months", Y18+90, IF(X18="6 Months", Y18+180, IF(X18="12 Months", Y18+365, IF(X18="24 Months", Y18+730, Y18+365)))), "")</f>
        <v/>
      </c>
      <c r="AA18" s="17">
        <f>IF(Z18&lt;&gt;"", Z18-TODAY(), "")</f>
        <v/>
      </c>
      <c r="AB18">
        <f>IF(AA18="", "", IF(AA18&lt;30, "Yes - Expiring Soon", IF(AD18&lt;TODAY()+30, "Yes - Periodic Review Due", "No")))</f>
        <v/>
      </c>
      <c r="AC18" s="8" t="n"/>
      <c r="AD18" s="16">
        <f>IF(AND(Y18&lt;&gt;"", Z18&lt;&gt;""), Y18+((Z18-Y18)/2), "")</f>
        <v/>
      </c>
      <c r="AE18" s="8" t="n"/>
      <c r="AF18" s="8" t="inlineStr">
        <is>
          <t>Yes</t>
        </is>
      </c>
      <c r="AG18" s="8" t="n"/>
      <c r="AH18" s="8" t="n"/>
      <c r="AI18" s="8" t="n"/>
      <c r="AJ18" s="8" t="n"/>
      <c r="AK18" s="8" t="n"/>
    </row>
    <row r="19">
      <c r="A19">
        <f>IF(B19&lt;&gt;"", "EXC-"&amp;TEXT(ROW()-1,"000"), 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inlineStr">
        <is>
          <t>Yes</t>
        </is>
      </c>
      <c r="O19" s="8" t="n"/>
      <c r="P19" s="8" t="n"/>
      <c r="Q19" s="8" t="n"/>
      <c r="R19" s="8" t="n"/>
      <c r="S19" s="8" t="n"/>
      <c r="T19" s="8" t="n"/>
      <c r="U19" s="8" t="n"/>
      <c r="V19" s="8" t="n"/>
      <c r="W19" s="8" t="inlineStr">
        <is>
          <t>Pending Review</t>
        </is>
      </c>
      <c r="X19" s="8" t="n"/>
      <c r="Y19" s="8" t="n"/>
      <c r="Z19" s="16">
        <f>IF(AND(Y19&lt;&gt;"", X19&lt;&gt;""), IF(X19="3 Months", Y19+90, IF(X19="6 Months", Y19+180, IF(X19="12 Months", Y19+365, IF(X19="24 Months", Y19+730, Y19+365)))), "")</f>
        <v/>
      </c>
      <c r="AA19" s="17">
        <f>IF(Z19&lt;&gt;"", Z19-TODAY(), "")</f>
        <v/>
      </c>
      <c r="AB19">
        <f>IF(AA19="", "", IF(AA19&lt;30, "Yes - Expiring Soon", IF(AD19&lt;TODAY()+30, "Yes - Periodic Review Due", "No")))</f>
        <v/>
      </c>
      <c r="AC19" s="8" t="n"/>
      <c r="AD19" s="16">
        <f>IF(AND(Y19&lt;&gt;"", Z19&lt;&gt;""), Y19+((Z19-Y19)/2), "")</f>
        <v/>
      </c>
      <c r="AE19" s="8" t="n"/>
      <c r="AF19" s="8" t="inlineStr">
        <is>
          <t>Yes</t>
        </is>
      </c>
      <c r="AG19" s="8" t="n"/>
      <c r="AH19" s="8" t="n"/>
      <c r="AI19" s="8" t="n"/>
      <c r="AJ19" s="8" t="n"/>
      <c r="AK19" s="8" t="n"/>
    </row>
    <row r="20">
      <c r="A20">
        <f>IF(B20&lt;&gt;"", "EXC-"&amp;TEXT(ROW()-1,"000"), "")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inlineStr">
        <is>
          <t>Yes</t>
        </is>
      </c>
      <c r="O20" s="8" t="n"/>
      <c r="P20" s="8" t="n"/>
      <c r="Q20" s="8" t="n"/>
      <c r="R20" s="8" t="n"/>
      <c r="S20" s="8" t="n"/>
      <c r="T20" s="8" t="n"/>
      <c r="U20" s="8" t="n"/>
      <c r="V20" s="8" t="n"/>
      <c r="W20" s="8" t="inlineStr">
        <is>
          <t>Pending Review</t>
        </is>
      </c>
      <c r="X20" s="8" t="n"/>
      <c r="Y20" s="8" t="n"/>
      <c r="Z20" s="16">
        <f>IF(AND(Y20&lt;&gt;"", X20&lt;&gt;""), IF(X20="3 Months", Y20+90, IF(X20="6 Months", Y20+180, IF(X20="12 Months", Y20+365, IF(X20="24 Months", Y20+730, Y20+365)))), "")</f>
        <v/>
      </c>
      <c r="AA20" s="17">
        <f>IF(Z20&lt;&gt;"", Z20-TODAY(), "")</f>
        <v/>
      </c>
      <c r="AB20">
        <f>IF(AA20="", "", IF(AA20&lt;30, "Yes - Expiring Soon", IF(AD20&lt;TODAY()+30, "Yes - Periodic Review Due", "No")))</f>
        <v/>
      </c>
      <c r="AC20" s="8" t="n"/>
      <c r="AD20" s="16">
        <f>IF(AND(Y20&lt;&gt;"", Z20&lt;&gt;""), Y20+((Z20-Y20)/2), "")</f>
        <v/>
      </c>
      <c r="AE20" s="8" t="n"/>
      <c r="AF20" s="8" t="inlineStr">
        <is>
          <t>Yes</t>
        </is>
      </c>
      <c r="AG20" s="8" t="n"/>
      <c r="AH20" s="8" t="n"/>
      <c r="AI20" s="8" t="n"/>
      <c r="AJ20" s="8" t="n"/>
      <c r="AK20" s="8" t="n"/>
    </row>
    <row r="21">
      <c r="A21">
        <f>IF(B21&lt;&gt;"", "EXC-"&amp;TEXT(ROW()-1,"000"), 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Yes</t>
        </is>
      </c>
      <c r="O21" s="8" t="n"/>
      <c r="P21" s="8" t="n"/>
      <c r="Q21" s="8" t="n"/>
      <c r="R21" s="8" t="n"/>
      <c r="S21" s="8" t="n"/>
      <c r="T21" s="8" t="n"/>
      <c r="U21" s="8" t="n"/>
      <c r="V21" s="8" t="n"/>
      <c r="W21" s="8" t="inlineStr">
        <is>
          <t>Pending Review</t>
        </is>
      </c>
      <c r="X21" s="8" t="n"/>
      <c r="Y21" s="8" t="n"/>
      <c r="Z21" s="16">
        <f>IF(AND(Y21&lt;&gt;"", X21&lt;&gt;""), IF(X21="3 Months", Y21+90, IF(X21="6 Months", Y21+180, IF(X21="12 Months", Y21+365, IF(X21="24 Months", Y21+730, Y21+365)))), "")</f>
        <v/>
      </c>
      <c r="AA21" s="17">
        <f>IF(Z21&lt;&gt;"", Z21-TODAY(), "")</f>
        <v/>
      </c>
      <c r="AB21">
        <f>IF(AA21="", "", IF(AA21&lt;30, "Yes - Expiring Soon", IF(AD21&lt;TODAY()+30, "Yes - Periodic Review Due", "No")))</f>
        <v/>
      </c>
      <c r="AC21" s="8" t="n"/>
      <c r="AD21" s="16">
        <f>IF(AND(Y21&lt;&gt;"", Z21&lt;&gt;""), Y21+((Z21-Y21)/2), "")</f>
        <v/>
      </c>
      <c r="AE21" s="8" t="n"/>
      <c r="AF21" s="8" t="inlineStr">
        <is>
          <t>Yes</t>
        </is>
      </c>
      <c r="AG21" s="8" t="n"/>
      <c r="AH21" s="8" t="n"/>
      <c r="AI21" s="8" t="n"/>
      <c r="AJ21" s="8" t="n"/>
      <c r="AK21" s="8" t="n"/>
    </row>
    <row r="22">
      <c r="A22">
        <f>IF(B22&lt;&gt;"", "EXC-"&amp;TEXT(ROW()-1,"000"), "")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inlineStr">
        <is>
          <t>Yes</t>
        </is>
      </c>
      <c r="O22" s="8" t="n"/>
      <c r="P22" s="8" t="n"/>
      <c r="Q22" s="8" t="n"/>
      <c r="R22" s="8" t="n"/>
      <c r="S22" s="8" t="n"/>
      <c r="T22" s="8" t="n"/>
      <c r="U22" s="8" t="n"/>
      <c r="V22" s="8" t="n"/>
      <c r="W22" s="8" t="inlineStr">
        <is>
          <t>Pending Review</t>
        </is>
      </c>
      <c r="X22" s="8" t="n"/>
      <c r="Y22" s="8" t="n"/>
      <c r="Z22" s="16">
        <f>IF(AND(Y22&lt;&gt;"", X22&lt;&gt;""), IF(X22="3 Months", Y22+90, IF(X22="6 Months", Y22+180, IF(X22="12 Months", Y22+365, IF(X22="24 Months", Y22+730, Y22+365)))), "")</f>
        <v/>
      </c>
      <c r="AA22" s="17">
        <f>IF(Z22&lt;&gt;"", Z22-TODAY(), "")</f>
        <v/>
      </c>
      <c r="AB22">
        <f>IF(AA22="", "", IF(AA22&lt;30, "Yes - Expiring Soon", IF(AD22&lt;TODAY()+30, "Yes - Periodic Review Due", "No")))</f>
        <v/>
      </c>
      <c r="AC22" s="8" t="n"/>
      <c r="AD22" s="16">
        <f>IF(AND(Y22&lt;&gt;"", Z22&lt;&gt;""), Y22+((Z22-Y22)/2), "")</f>
        <v/>
      </c>
      <c r="AE22" s="8" t="n"/>
      <c r="AF22" s="8" t="inlineStr">
        <is>
          <t>Yes</t>
        </is>
      </c>
      <c r="AG22" s="8" t="n"/>
      <c r="AH22" s="8" t="n"/>
      <c r="AI22" s="8" t="n"/>
      <c r="AJ22" s="8" t="n"/>
      <c r="AK22" s="8" t="n"/>
    </row>
    <row r="23">
      <c r="A23">
        <f>IF(B23&lt;&gt;"", "EXC-"&amp;TEXT(ROW()-1,"000"), 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inlineStr">
        <is>
          <t>Yes</t>
        </is>
      </c>
      <c r="O23" s="8" t="n"/>
      <c r="P23" s="8" t="n"/>
      <c r="Q23" s="8" t="n"/>
      <c r="R23" s="8" t="n"/>
      <c r="S23" s="8" t="n"/>
      <c r="T23" s="8" t="n"/>
      <c r="U23" s="8" t="n"/>
      <c r="V23" s="8" t="n"/>
      <c r="W23" s="8" t="inlineStr">
        <is>
          <t>Pending Review</t>
        </is>
      </c>
      <c r="X23" s="8" t="n"/>
      <c r="Y23" s="8" t="n"/>
      <c r="Z23" s="16">
        <f>IF(AND(Y23&lt;&gt;"", X23&lt;&gt;""), IF(X23="3 Months", Y23+90, IF(X23="6 Months", Y23+180, IF(X23="12 Months", Y23+365, IF(X23="24 Months", Y23+730, Y23+365)))), "")</f>
        <v/>
      </c>
      <c r="AA23" s="17">
        <f>IF(Z23&lt;&gt;"", Z23-TODAY(), "")</f>
        <v/>
      </c>
      <c r="AB23">
        <f>IF(AA23="", "", IF(AA23&lt;30, "Yes - Expiring Soon", IF(AD23&lt;TODAY()+30, "Yes - Periodic Review Due", "No")))</f>
        <v/>
      </c>
      <c r="AC23" s="8" t="n"/>
      <c r="AD23" s="16">
        <f>IF(AND(Y23&lt;&gt;"", Z23&lt;&gt;""), Y23+((Z23-Y23)/2), "")</f>
        <v/>
      </c>
      <c r="AE23" s="8" t="n"/>
      <c r="AF23" s="8" t="inlineStr">
        <is>
          <t>Yes</t>
        </is>
      </c>
      <c r="AG23" s="8" t="n"/>
      <c r="AH23" s="8" t="n"/>
      <c r="AI23" s="8" t="n"/>
      <c r="AJ23" s="8" t="n"/>
      <c r="AK23" s="8" t="n"/>
    </row>
    <row r="24">
      <c r="A24">
        <f>IF(B24&lt;&gt;"", "EXC-"&amp;TEXT(ROW()-1,"000"), "")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inlineStr">
        <is>
          <t>Yes</t>
        </is>
      </c>
      <c r="O24" s="8" t="n"/>
      <c r="P24" s="8" t="n"/>
      <c r="Q24" s="8" t="n"/>
      <c r="R24" s="8" t="n"/>
      <c r="S24" s="8" t="n"/>
      <c r="T24" s="8" t="n"/>
      <c r="U24" s="8" t="n"/>
      <c r="V24" s="8" t="n"/>
      <c r="W24" s="8" t="inlineStr">
        <is>
          <t>Pending Review</t>
        </is>
      </c>
      <c r="X24" s="8" t="n"/>
      <c r="Y24" s="8" t="n"/>
      <c r="Z24" s="16">
        <f>IF(AND(Y24&lt;&gt;"", X24&lt;&gt;""), IF(X24="3 Months", Y24+90, IF(X24="6 Months", Y24+180, IF(X24="12 Months", Y24+365, IF(X24="24 Months", Y24+730, Y24+365)))), "")</f>
        <v/>
      </c>
      <c r="AA24" s="17">
        <f>IF(Z24&lt;&gt;"", Z24-TODAY(), "")</f>
        <v/>
      </c>
      <c r="AB24">
        <f>IF(AA24="", "", IF(AA24&lt;30, "Yes - Expiring Soon", IF(AD24&lt;TODAY()+30, "Yes - Periodic Review Due", "No")))</f>
        <v/>
      </c>
      <c r="AC24" s="8" t="n"/>
      <c r="AD24" s="16">
        <f>IF(AND(Y24&lt;&gt;"", Z24&lt;&gt;""), Y24+((Z24-Y24)/2), "")</f>
        <v/>
      </c>
      <c r="AE24" s="8" t="n"/>
      <c r="AF24" s="8" t="inlineStr">
        <is>
          <t>Yes</t>
        </is>
      </c>
      <c r="AG24" s="8" t="n"/>
      <c r="AH24" s="8" t="n"/>
      <c r="AI24" s="8" t="n"/>
      <c r="AJ24" s="8" t="n"/>
      <c r="AK24" s="8" t="n"/>
    </row>
    <row r="25">
      <c r="A25">
        <f>IF(B25&lt;&gt;"", "EXC-"&amp;TEXT(ROW()-1,"000"), 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inlineStr">
        <is>
          <t>Yes</t>
        </is>
      </c>
      <c r="O25" s="8" t="n"/>
      <c r="P25" s="8" t="n"/>
      <c r="Q25" s="8" t="n"/>
      <c r="R25" s="8" t="n"/>
      <c r="S25" s="8" t="n"/>
      <c r="T25" s="8" t="n"/>
      <c r="U25" s="8" t="n"/>
      <c r="V25" s="8" t="n"/>
      <c r="W25" s="8" t="inlineStr">
        <is>
          <t>Pending Review</t>
        </is>
      </c>
      <c r="X25" s="8" t="n"/>
      <c r="Y25" s="8" t="n"/>
      <c r="Z25" s="16">
        <f>IF(AND(Y25&lt;&gt;"", X25&lt;&gt;""), IF(X25="3 Months", Y25+90, IF(X25="6 Months", Y25+180, IF(X25="12 Months", Y25+365, IF(X25="24 Months", Y25+730, Y25+365)))), "")</f>
        <v/>
      </c>
      <c r="AA25" s="17">
        <f>IF(Z25&lt;&gt;"", Z25-TODAY(), "")</f>
        <v/>
      </c>
      <c r="AB25">
        <f>IF(AA25="", "", IF(AA25&lt;30, "Yes - Expiring Soon", IF(AD25&lt;TODAY()+30, "Yes - Periodic Review Due", "No")))</f>
        <v/>
      </c>
      <c r="AC25" s="8" t="n"/>
      <c r="AD25" s="16">
        <f>IF(AND(Y25&lt;&gt;"", Z25&lt;&gt;""), Y25+((Z25-Y25)/2), "")</f>
        <v/>
      </c>
      <c r="AE25" s="8" t="n"/>
      <c r="AF25" s="8" t="inlineStr">
        <is>
          <t>Yes</t>
        </is>
      </c>
      <c r="AG25" s="8" t="n"/>
      <c r="AH25" s="8" t="n"/>
      <c r="AI25" s="8" t="n"/>
      <c r="AJ25" s="8" t="n"/>
      <c r="AK25" s="8" t="n"/>
    </row>
    <row r="26">
      <c r="A26">
        <f>IF(B26&lt;&gt;"", "EXC-"&amp;TEXT(ROW()-1,"000"), "")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inlineStr">
        <is>
          <t>Yes</t>
        </is>
      </c>
      <c r="O26" s="8" t="n"/>
      <c r="P26" s="8" t="n"/>
      <c r="Q26" s="8" t="n"/>
      <c r="R26" s="8" t="n"/>
      <c r="S26" s="8" t="n"/>
      <c r="T26" s="8" t="n"/>
      <c r="U26" s="8" t="n"/>
      <c r="V26" s="8" t="n"/>
      <c r="W26" s="8" t="inlineStr">
        <is>
          <t>Pending Review</t>
        </is>
      </c>
      <c r="X26" s="8" t="n"/>
      <c r="Y26" s="8" t="n"/>
      <c r="Z26" s="16">
        <f>IF(AND(Y26&lt;&gt;"", X26&lt;&gt;""), IF(X26="3 Months", Y26+90, IF(X26="6 Months", Y26+180, IF(X26="12 Months", Y26+365, IF(X26="24 Months", Y26+730, Y26+365)))), "")</f>
        <v/>
      </c>
      <c r="AA26" s="17">
        <f>IF(Z26&lt;&gt;"", Z26-TODAY(), "")</f>
        <v/>
      </c>
      <c r="AB26">
        <f>IF(AA26="", "", IF(AA26&lt;30, "Yes - Expiring Soon", IF(AD26&lt;TODAY()+30, "Yes - Periodic Review Due", "No")))</f>
        <v/>
      </c>
      <c r="AC26" s="8" t="n"/>
      <c r="AD26" s="16">
        <f>IF(AND(Y26&lt;&gt;"", Z26&lt;&gt;""), Y26+((Z26-Y26)/2), "")</f>
        <v/>
      </c>
      <c r="AE26" s="8" t="n"/>
      <c r="AF26" s="8" t="inlineStr">
        <is>
          <t>Yes</t>
        </is>
      </c>
      <c r="AG26" s="8" t="n"/>
      <c r="AH26" s="8" t="n"/>
      <c r="AI26" s="8" t="n"/>
      <c r="AJ26" s="8" t="n"/>
      <c r="AK26" s="8" t="n"/>
    </row>
    <row r="27">
      <c r="A27">
        <f>IF(B27&lt;&gt;"", "EXC-"&amp;TEXT(ROW()-1,"000"), 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inlineStr">
        <is>
          <t>Yes</t>
        </is>
      </c>
      <c r="O27" s="8" t="n"/>
      <c r="P27" s="8" t="n"/>
      <c r="Q27" s="8" t="n"/>
      <c r="R27" s="8" t="n"/>
      <c r="S27" s="8" t="n"/>
      <c r="T27" s="8" t="n"/>
      <c r="U27" s="8" t="n"/>
      <c r="V27" s="8" t="n"/>
      <c r="W27" s="8" t="inlineStr">
        <is>
          <t>Pending Review</t>
        </is>
      </c>
      <c r="X27" s="8" t="n"/>
      <c r="Y27" s="8" t="n"/>
      <c r="Z27" s="16">
        <f>IF(AND(Y27&lt;&gt;"", X27&lt;&gt;""), IF(X27="3 Months", Y27+90, IF(X27="6 Months", Y27+180, IF(X27="12 Months", Y27+365, IF(X27="24 Months", Y27+730, Y27+365)))), "")</f>
        <v/>
      </c>
      <c r="AA27" s="17">
        <f>IF(Z27&lt;&gt;"", Z27-TODAY(), "")</f>
        <v/>
      </c>
      <c r="AB27">
        <f>IF(AA27="", "", IF(AA27&lt;30, "Yes - Expiring Soon", IF(AD27&lt;TODAY()+30, "Yes - Periodic Review Due", "No")))</f>
        <v/>
      </c>
      <c r="AC27" s="8" t="n"/>
      <c r="AD27" s="16">
        <f>IF(AND(Y27&lt;&gt;"", Z27&lt;&gt;""), Y27+((Z27-Y27)/2), "")</f>
        <v/>
      </c>
      <c r="AE27" s="8" t="n"/>
      <c r="AF27" s="8" t="inlineStr">
        <is>
          <t>Yes</t>
        </is>
      </c>
      <c r="AG27" s="8" t="n"/>
      <c r="AH27" s="8" t="n"/>
      <c r="AI27" s="8" t="n"/>
      <c r="AJ27" s="8" t="n"/>
      <c r="AK27" s="8" t="n"/>
    </row>
    <row r="28">
      <c r="A28">
        <f>IF(B28&lt;&gt;"", "EXC-"&amp;TEXT(ROW()-1,"000"), "")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inlineStr">
        <is>
          <t>Yes</t>
        </is>
      </c>
      <c r="O28" s="8" t="n"/>
      <c r="P28" s="8" t="n"/>
      <c r="Q28" s="8" t="n"/>
      <c r="R28" s="8" t="n"/>
      <c r="S28" s="8" t="n"/>
      <c r="T28" s="8" t="n"/>
      <c r="U28" s="8" t="n"/>
      <c r="V28" s="8" t="n"/>
      <c r="W28" s="8" t="inlineStr">
        <is>
          <t>Pending Review</t>
        </is>
      </c>
      <c r="X28" s="8" t="n"/>
      <c r="Y28" s="8" t="n"/>
      <c r="Z28" s="16">
        <f>IF(AND(Y28&lt;&gt;"", X28&lt;&gt;""), IF(X28="3 Months", Y28+90, IF(X28="6 Months", Y28+180, IF(X28="12 Months", Y28+365, IF(X28="24 Months", Y28+730, Y28+365)))), "")</f>
        <v/>
      </c>
      <c r="AA28" s="17">
        <f>IF(Z28&lt;&gt;"", Z28-TODAY(), "")</f>
        <v/>
      </c>
      <c r="AB28">
        <f>IF(AA28="", "", IF(AA28&lt;30, "Yes - Expiring Soon", IF(AD28&lt;TODAY()+30, "Yes - Periodic Review Due", "No")))</f>
        <v/>
      </c>
      <c r="AC28" s="8" t="n"/>
      <c r="AD28" s="16">
        <f>IF(AND(Y28&lt;&gt;"", Z28&lt;&gt;""), Y28+((Z28-Y28)/2), "")</f>
        <v/>
      </c>
      <c r="AE28" s="8" t="n"/>
      <c r="AF28" s="8" t="inlineStr">
        <is>
          <t>Yes</t>
        </is>
      </c>
      <c r="AG28" s="8" t="n"/>
      <c r="AH28" s="8" t="n"/>
      <c r="AI28" s="8" t="n"/>
      <c r="AJ28" s="8" t="n"/>
      <c r="AK28" s="8" t="n"/>
    </row>
    <row r="29">
      <c r="A29">
        <f>IF(B29&lt;&gt;"", "EXC-"&amp;TEXT(ROW()-1,"000"), 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Yes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inlineStr">
        <is>
          <t>Pending Review</t>
        </is>
      </c>
      <c r="X29" s="8" t="n"/>
      <c r="Y29" s="8" t="n"/>
      <c r="Z29" s="16">
        <f>IF(AND(Y29&lt;&gt;"", X29&lt;&gt;""), IF(X29="3 Months", Y29+90, IF(X29="6 Months", Y29+180, IF(X29="12 Months", Y29+365, IF(X29="24 Months", Y29+730, Y29+365)))), "")</f>
        <v/>
      </c>
      <c r="AA29" s="17">
        <f>IF(Z29&lt;&gt;"", Z29-TODAY(), "")</f>
        <v/>
      </c>
      <c r="AB29">
        <f>IF(AA29="", "", IF(AA29&lt;30, "Yes - Expiring Soon", IF(AD29&lt;TODAY()+30, "Yes - Periodic Review Due", "No")))</f>
        <v/>
      </c>
      <c r="AC29" s="8" t="n"/>
      <c r="AD29" s="16">
        <f>IF(AND(Y29&lt;&gt;"", Z29&lt;&gt;""), Y29+((Z29-Y29)/2), "")</f>
        <v/>
      </c>
      <c r="AE29" s="8" t="n"/>
      <c r="AF29" s="8" t="inlineStr">
        <is>
          <t>Yes</t>
        </is>
      </c>
      <c r="AG29" s="8" t="n"/>
      <c r="AH29" s="8" t="n"/>
      <c r="AI29" s="8" t="n"/>
      <c r="AJ29" s="8" t="n"/>
      <c r="AK29" s="8" t="n"/>
    </row>
    <row r="30">
      <c r="A30">
        <f>IF(B30&lt;&gt;"", "EXC-"&amp;TEXT(ROW()-1,"000"), "")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inlineStr">
        <is>
          <t>Yes</t>
        </is>
      </c>
      <c r="O30" s="8" t="n"/>
      <c r="P30" s="8" t="n"/>
      <c r="Q30" s="8" t="n"/>
      <c r="R30" s="8" t="n"/>
      <c r="S30" s="8" t="n"/>
      <c r="T30" s="8" t="n"/>
      <c r="U30" s="8" t="n"/>
      <c r="V30" s="8" t="n"/>
      <c r="W30" s="8" t="inlineStr">
        <is>
          <t>Pending Review</t>
        </is>
      </c>
      <c r="X30" s="8" t="n"/>
      <c r="Y30" s="8" t="n"/>
      <c r="Z30" s="16">
        <f>IF(AND(Y30&lt;&gt;"", X30&lt;&gt;""), IF(X30="3 Months", Y30+90, IF(X30="6 Months", Y30+180, IF(X30="12 Months", Y30+365, IF(X30="24 Months", Y30+730, Y30+365)))), "")</f>
        <v/>
      </c>
      <c r="AA30" s="17">
        <f>IF(Z30&lt;&gt;"", Z30-TODAY(), "")</f>
        <v/>
      </c>
      <c r="AB30">
        <f>IF(AA30="", "", IF(AA30&lt;30, "Yes - Expiring Soon", IF(AD30&lt;TODAY()+30, "Yes - Periodic Review Due", "No")))</f>
        <v/>
      </c>
      <c r="AC30" s="8" t="n"/>
      <c r="AD30" s="16">
        <f>IF(AND(Y30&lt;&gt;"", Z30&lt;&gt;""), Y30+((Z30-Y30)/2), "")</f>
        <v/>
      </c>
      <c r="AE30" s="8" t="n"/>
      <c r="AF30" s="8" t="inlineStr">
        <is>
          <t>Yes</t>
        </is>
      </c>
      <c r="AG30" s="8" t="n"/>
      <c r="AH30" s="8" t="n"/>
      <c r="AI30" s="8" t="n"/>
      <c r="AJ30" s="8" t="n"/>
      <c r="AK30" s="8" t="n"/>
    </row>
    <row r="31">
      <c r="A31">
        <f>IF(B31&lt;&gt;"", "EXC-"&amp;TEXT(ROW()-1,"000"), 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inlineStr">
        <is>
          <t>Yes</t>
        </is>
      </c>
      <c r="O31" s="8" t="n"/>
      <c r="P31" s="8" t="n"/>
      <c r="Q31" s="8" t="n"/>
      <c r="R31" s="8" t="n"/>
      <c r="S31" s="8" t="n"/>
      <c r="T31" s="8" t="n"/>
      <c r="U31" s="8" t="n"/>
      <c r="V31" s="8" t="n"/>
      <c r="W31" s="8" t="inlineStr">
        <is>
          <t>Pending Review</t>
        </is>
      </c>
      <c r="X31" s="8" t="n"/>
      <c r="Y31" s="8" t="n"/>
      <c r="Z31" s="16">
        <f>IF(AND(Y31&lt;&gt;"", X31&lt;&gt;""), IF(X31="3 Months", Y31+90, IF(X31="6 Months", Y31+180, IF(X31="12 Months", Y31+365, IF(X31="24 Months", Y31+730, Y31+365)))), "")</f>
        <v/>
      </c>
      <c r="AA31" s="17">
        <f>IF(Z31&lt;&gt;"", Z31-TODAY(), "")</f>
        <v/>
      </c>
      <c r="AB31">
        <f>IF(AA31="", "", IF(AA31&lt;30, "Yes - Expiring Soon", IF(AD31&lt;TODAY()+30, "Yes - Periodic Review Due", "No")))</f>
        <v/>
      </c>
      <c r="AC31" s="8" t="n"/>
      <c r="AD31" s="16">
        <f>IF(AND(Y31&lt;&gt;"", Z31&lt;&gt;""), Y31+((Z31-Y31)/2), "")</f>
        <v/>
      </c>
      <c r="AE31" s="8" t="n"/>
      <c r="AF31" s="8" t="inlineStr">
        <is>
          <t>Yes</t>
        </is>
      </c>
      <c r="AG31" s="8" t="n"/>
      <c r="AH31" s="8" t="n"/>
      <c r="AI31" s="8" t="n"/>
      <c r="AJ31" s="8" t="n"/>
      <c r="AK31" s="8" t="n"/>
    </row>
    <row r="32">
      <c r="A32">
        <f>IF(B32&lt;&gt;"", "EXC-"&amp;TEXT(ROW()-1,"000"), "")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inlineStr">
        <is>
          <t>Yes</t>
        </is>
      </c>
      <c r="O32" s="8" t="n"/>
      <c r="P32" s="8" t="n"/>
      <c r="Q32" s="8" t="n"/>
      <c r="R32" s="8" t="n"/>
      <c r="S32" s="8" t="n"/>
      <c r="T32" s="8" t="n"/>
      <c r="U32" s="8" t="n"/>
      <c r="V32" s="8" t="n"/>
      <c r="W32" s="8" t="inlineStr">
        <is>
          <t>Pending Review</t>
        </is>
      </c>
      <c r="X32" s="8" t="n"/>
      <c r="Y32" s="8" t="n"/>
      <c r="Z32" s="16">
        <f>IF(AND(Y32&lt;&gt;"", X32&lt;&gt;""), IF(X32="3 Months", Y32+90, IF(X32="6 Months", Y32+180, IF(X32="12 Months", Y32+365, IF(X32="24 Months", Y32+730, Y32+365)))), "")</f>
        <v/>
      </c>
      <c r="AA32" s="17">
        <f>IF(Z32&lt;&gt;"", Z32-TODAY(), "")</f>
        <v/>
      </c>
      <c r="AB32">
        <f>IF(AA32="", "", IF(AA32&lt;30, "Yes - Expiring Soon", IF(AD32&lt;TODAY()+30, "Yes - Periodic Review Due", "No")))</f>
        <v/>
      </c>
      <c r="AC32" s="8" t="n"/>
      <c r="AD32" s="16">
        <f>IF(AND(Y32&lt;&gt;"", Z32&lt;&gt;""), Y32+((Z32-Y32)/2), "")</f>
        <v/>
      </c>
      <c r="AE32" s="8" t="n"/>
      <c r="AF32" s="8" t="inlineStr">
        <is>
          <t>Yes</t>
        </is>
      </c>
      <c r="AG32" s="8" t="n"/>
      <c r="AH32" s="8" t="n"/>
      <c r="AI32" s="8" t="n"/>
      <c r="AJ32" s="8" t="n"/>
      <c r="AK32" s="8" t="n"/>
    </row>
    <row r="33">
      <c r="A33">
        <f>IF(B33&lt;&gt;"", "EXC-"&amp;TEXT(ROW()-1,"000"), 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inlineStr">
        <is>
          <t>Yes</t>
        </is>
      </c>
      <c r="O33" s="8" t="n"/>
      <c r="P33" s="8" t="n"/>
      <c r="Q33" s="8" t="n"/>
      <c r="R33" s="8" t="n"/>
      <c r="S33" s="8" t="n"/>
      <c r="T33" s="8" t="n"/>
      <c r="U33" s="8" t="n"/>
      <c r="V33" s="8" t="n"/>
      <c r="W33" s="8" t="inlineStr">
        <is>
          <t>Pending Review</t>
        </is>
      </c>
      <c r="X33" s="8" t="n"/>
      <c r="Y33" s="8" t="n"/>
      <c r="Z33" s="16">
        <f>IF(AND(Y33&lt;&gt;"", X33&lt;&gt;""), IF(X33="3 Months", Y33+90, IF(X33="6 Months", Y33+180, IF(X33="12 Months", Y33+365, IF(X33="24 Months", Y33+730, Y33+365)))), "")</f>
        <v/>
      </c>
      <c r="AA33" s="17">
        <f>IF(Z33&lt;&gt;"", Z33-TODAY(), "")</f>
        <v/>
      </c>
      <c r="AB33">
        <f>IF(AA33="", "", IF(AA33&lt;30, "Yes - Expiring Soon", IF(AD33&lt;TODAY()+30, "Yes - Periodic Review Due", "No")))</f>
        <v/>
      </c>
      <c r="AC33" s="8" t="n"/>
      <c r="AD33" s="16">
        <f>IF(AND(Y33&lt;&gt;"", Z33&lt;&gt;""), Y33+((Z33-Y33)/2), "")</f>
        <v/>
      </c>
      <c r="AE33" s="8" t="n"/>
      <c r="AF33" s="8" t="inlineStr">
        <is>
          <t>Yes</t>
        </is>
      </c>
      <c r="AG33" s="8" t="n"/>
      <c r="AH33" s="8" t="n"/>
      <c r="AI33" s="8" t="n"/>
      <c r="AJ33" s="8" t="n"/>
      <c r="AK33" s="8" t="n"/>
    </row>
    <row r="34">
      <c r="A34">
        <f>IF(B34&lt;&gt;"", "EXC-"&amp;TEXT(ROW()-1,"000"), "")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inlineStr">
        <is>
          <t>Yes</t>
        </is>
      </c>
      <c r="O34" s="8" t="n"/>
      <c r="P34" s="8" t="n"/>
      <c r="Q34" s="8" t="n"/>
      <c r="R34" s="8" t="n"/>
      <c r="S34" s="8" t="n"/>
      <c r="T34" s="8" t="n"/>
      <c r="U34" s="8" t="n"/>
      <c r="V34" s="8" t="n"/>
      <c r="W34" s="8" t="inlineStr">
        <is>
          <t>Pending Review</t>
        </is>
      </c>
      <c r="X34" s="8" t="n"/>
      <c r="Y34" s="8" t="n"/>
      <c r="Z34" s="16">
        <f>IF(AND(Y34&lt;&gt;"", X34&lt;&gt;""), IF(X34="3 Months", Y34+90, IF(X34="6 Months", Y34+180, IF(X34="12 Months", Y34+365, IF(X34="24 Months", Y34+730, Y34+365)))), "")</f>
        <v/>
      </c>
      <c r="AA34" s="17">
        <f>IF(Z34&lt;&gt;"", Z34-TODAY(), "")</f>
        <v/>
      </c>
      <c r="AB34">
        <f>IF(AA34="", "", IF(AA34&lt;30, "Yes - Expiring Soon", IF(AD34&lt;TODAY()+30, "Yes - Periodic Review Due", "No")))</f>
        <v/>
      </c>
      <c r="AC34" s="8" t="n"/>
      <c r="AD34" s="16">
        <f>IF(AND(Y34&lt;&gt;"", Z34&lt;&gt;""), Y34+((Z34-Y34)/2), "")</f>
        <v/>
      </c>
      <c r="AE34" s="8" t="n"/>
      <c r="AF34" s="8" t="inlineStr">
        <is>
          <t>Yes</t>
        </is>
      </c>
      <c r="AG34" s="8" t="n"/>
      <c r="AH34" s="8" t="n"/>
      <c r="AI34" s="8" t="n"/>
      <c r="AJ34" s="8" t="n"/>
      <c r="AK34" s="8" t="n"/>
    </row>
    <row r="35">
      <c r="A35">
        <f>IF(B35&lt;&gt;"", "EXC-"&amp;TEXT(ROW()-1,"000"), 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inlineStr">
        <is>
          <t>Yes</t>
        </is>
      </c>
      <c r="O35" s="8" t="n"/>
      <c r="P35" s="8" t="n"/>
      <c r="Q35" s="8" t="n"/>
      <c r="R35" s="8" t="n"/>
      <c r="S35" s="8" t="n"/>
      <c r="T35" s="8" t="n"/>
      <c r="U35" s="8" t="n"/>
      <c r="V35" s="8" t="n"/>
      <c r="W35" s="8" t="inlineStr">
        <is>
          <t>Pending Review</t>
        </is>
      </c>
      <c r="X35" s="8" t="n"/>
      <c r="Y35" s="8" t="n"/>
      <c r="Z35" s="16">
        <f>IF(AND(Y35&lt;&gt;"", X35&lt;&gt;""), IF(X35="3 Months", Y35+90, IF(X35="6 Months", Y35+180, IF(X35="12 Months", Y35+365, IF(X35="24 Months", Y35+730, Y35+365)))), "")</f>
        <v/>
      </c>
      <c r="AA35" s="17">
        <f>IF(Z35&lt;&gt;"", Z35-TODAY(), "")</f>
        <v/>
      </c>
      <c r="AB35">
        <f>IF(AA35="", "", IF(AA35&lt;30, "Yes - Expiring Soon", IF(AD35&lt;TODAY()+30, "Yes - Periodic Review Due", "No")))</f>
        <v/>
      </c>
      <c r="AC35" s="8" t="n"/>
      <c r="AD35" s="16">
        <f>IF(AND(Y35&lt;&gt;"", Z35&lt;&gt;""), Y35+((Z35-Y35)/2), "")</f>
        <v/>
      </c>
      <c r="AE35" s="8" t="n"/>
      <c r="AF35" s="8" t="inlineStr">
        <is>
          <t>Yes</t>
        </is>
      </c>
      <c r="AG35" s="8" t="n"/>
      <c r="AH35" s="8" t="n"/>
      <c r="AI35" s="8" t="n"/>
      <c r="AJ35" s="8" t="n"/>
      <c r="AK35" s="8" t="n"/>
    </row>
    <row r="36">
      <c r="A36">
        <f>IF(B36&lt;&gt;"", "EXC-"&amp;TEXT(ROW()-1,"000"), "")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Yes</t>
        </is>
      </c>
      <c r="O36" s="8" t="n"/>
      <c r="P36" s="8" t="n"/>
      <c r="Q36" s="8" t="n"/>
      <c r="R36" s="8" t="n"/>
      <c r="S36" s="8" t="n"/>
      <c r="T36" s="8" t="n"/>
      <c r="U36" s="8" t="n"/>
      <c r="V36" s="8" t="n"/>
      <c r="W36" s="8" t="inlineStr">
        <is>
          <t>Pending Review</t>
        </is>
      </c>
      <c r="X36" s="8" t="n"/>
      <c r="Y36" s="8" t="n"/>
      <c r="Z36" s="16">
        <f>IF(AND(Y36&lt;&gt;"", X36&lt;&gt;""), IF(X36="3 Months", Y36+90, IF(X36="6 Months", Y36+180, IF(X36="12 Months", Y36+365, IF(X36="24 Months", Y36+730, Y36+365)))), "")</f>
        <v/>
      </c>
      <c r="AA36" s="17">
        <f>IF(Z36&lt;&gt;"", Z36-TODAY(), "")</f>
        <v/>
      </c>
      <c r="AB36">
        <f>IF(AA36="", "", IF(AA36&lt;30, "Yes - Expiring Soon", IF(AD36&lt;TODAY()+30, "Yes - Periodic Review Due", "No")))</f>
        <v/>
      </c>
      <c r="AC36" s="8" t="n"/>
      <c r="AD36" s="16">
        <f>IF(AND(Y36&lt;&gt;"", Z36&lt;&gt;""), Y36+((Z36-Y36)/2), "")</f>
        <v/>
      </c>
      <c r="AE36" s="8" t="n"/>
      <c r="AF36" s="8" t="inlineStr">
        <is>
          <t>Yes</t>
        </is>
      </c>
      <c r="AG36" s="8" t="n"/>
      <c r="AH36" s="8" t="n"/>
      <c r="AI36" s="8" t="n"/>
      <c r="AJ36" s="8" t="n"/>
      <c r="AK36" s="8" t="n"/>
    </row>
    <row r="37">
      <c r="A37">
        <f>IF(B37&lt;&gt;"", "EXC-"&amp;TEXT(ROW()-1,"000"), 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inlineStr">
        <is>
          <t>Yes</t>
        </is>
      </c>
      <c r="O37" s="8" t="n"/>
      <c r="P37" s="8" t="n"/>
      <c r="Q37" s="8" t="n"/>
      <c r="R37" s="8" t="n"/>
      <c r="S37" s="8" t="n"/>
      <c r="T37" s="8" t="n"/>
      <c r="U37" s="8" t="n"/>
      <c r="V37" s="8" t="n"/>
      <c r="W37" s="8" t="inlineStr">
        <is>
          <t>Pending Review</t>
        </is>
      </c>
      <c r="X37" s="8" t="n"/>
      <c r="Y37" s="8" t="n"/>
      <c r="Z37" s="16">
        <f>IF(AND(Y37&lt;&gt;"", X37&lt;&gt;""), IF(X37="3 Months", Y37+90, IF(X37="6 Months", Y37+180, IF(X37="12 Months", Y37+365, IF(X37="24 Months", Y37+730, Y37+365)))), "")</f>
        <v/>
      </c>
      <c r="AA37" s="17">
        <f>IF(Z37&lt;&gt;"", Z37-TODAY(), "")</f>
        <v/>
      </c>
      <c r="AB37">
        <f>IF(AA37="", "", IF(AA37&lt;30, "Yes - Expiring Soon", IF(AD37&lt;TODAY()+30, "Yes - Periodic Review Due", "No")))</f>
        <v/>
      </c>
      <c r="AC37" s="8" t="n"/>
      <c r="AD37" s="16">
        <f>IF(AND(Y37&lt;&gt;"", Z37&lt;&gt;""), Y37+((Z37-Y37)/2), "")</f>
        <v/>
      </c>
      <c r="AE37" s="8" t="n"/>
      <c r="AF37" s="8" t="inlineStr">
        <is>
          <t>Yes</t>
        </is>
      </c>
      <c r="AG37" s="8" t="n"/>
      <c r="AH37" s="8" t="n"/>
      <c r="AI37" s="8" t="n"/>
      <c r="AJ37" s="8" t="n"/>
      <c r="AK37" s="8" t="n"/>
    </row>
    <row r="38">
      <c r="A38">
        <f>IF(B38&lt;&gt;"", "EXC-"&amp;TEXT(ROW()-1,"000"), "")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inlineStr">
        <is>
          <t>Yes</t>
        </is>
      </c>
      <c r="O38" s="8" t="n"/>
      <c r="P38" s="8" t="n"/>
      <c r="Q38" s="8" t="n"/>
      <c r="R38" s="8" t="n"/>
      <c r="S38" s="8" t="n"/>
      <c r="T38" s="8" t="n"/>
      <c r="U38" s="8" t="n"/>
      <c r="V38" s="8" t="n"/>
      <c r="W38" s="8" t="inlineStr">
        <is>
          <t>Pending Review</t>
        </is>
      </c>
      <c r="X38" s="8" t="n"/>
      <c r="Y38" s="8" t="n"/>
      <c r="Z38" s="16">
        <f>IF(AND(Y38&lt;&gt;"", X38&lt;&gt;""), IF(X38="3 Months", Y38+90, IF(X38="6 Months", Y38+180, IF(X38="12 Months", Y38+365, IF(X38="24 Months", Y38+730, Y38+365)))), "")</f>
        <v/>
      </c>
      <c r="AA38" s="17">
        <f>IF(Z38&lt;&gt;"", Z38-TODAY(), "")</f>
        <v/>
      </c>
      <c r="AB38">
        <f>IF(AA38="", "", IF(AA38&lt;30, "Yes - Expiring Soon", IF(AD38&lt;TODAY()+30, "Yes - Periodic Review Due", "No")))</f>
        <v/>
      </c>
      <c r="AC38" s="8" t="n"/>
      <c r="AD38" s="16">
        <f>IF(AND(Y38&lt;&gt;"", Z38&lt;&gt;""), Y38+((Z38-Y38)/2), "")</f>
        <v/>
      </c>
      <c r="AE38" s="8" t="n"/>
      <c r="AF38" s="8" t="inlineStr">
        <is>
          <t>Yes</t>
        </is>
      </c>
      <c r="AG38" s="8" t="n"/>
      <c r="AH38" s="8" t="n"/>
      <c r="AI38" s="8" t="n"/>
      <c r="AJ38" s="8" t="n"/>
      <c r="AK38" s="8" t="n"/>
    </row>
    <row r="39">
      <c r="A39">
        <f>IF(B39&lt;&gt;"", "EXC-"&amp;TEXT(ROW()-1,"000"), 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inlineStr">
        <is>
          <t>Yes</t>
        </is>
      </c>
      <c r="O39" s="8" t="n"/>
      <c r="P39" s="8" t="n"/>
      <c r="Q39" s="8" t="n"/>
      <c r="R39" s="8" t="n"/>
      <c r="S39" s="8" t="n"/>
      <c r="T39" s="8" t="n"/>
      <c r="U39" s="8" t="n"/>
      <c r="V39" s="8" t="n"/>
      <c r="W39" s="8" t="inlineStr">
        <is>
          <t>Pending Review</t>
        </is>
      </c>
      <c r="X39" s="8" t="n"/>
      <c r="Y39" s="8" t="n"/>
      <c r="Z39" s="16">
        <f>IF(AND(Y39&lt;&gt;"", X39&lt;&gt;""), IF(X39="3 Months", Y39+90, IF(X39="6 Months", Y39+180, IF(X39="12 Months", Y39+365, IF(X39="24 Months", Y39+730, Y39+365)))), "")</f>
        <v/>
      </c>
      <c r="AA39" s="17">
        <f>IF(Z39&lt;&gt;"", Z39-TODAY(), "")</f>
        <v/>
      </c>
      <c r="AB39">
        <f>IF(AA39="", "", IF(AA39&lt;30, "Yes - Expiring Soon", IF(AD39&lt;TODAY()+30, "Yes - Periodic Review Due", "No")))</f>
        <v/>
      </c>
      <c r="AC39" s="8" t="n"/>
      <c r="AD39" s="16">
        <f>IF(AND(Y39&lt;&gt;"", Z39&lt;&gt;""), Y39+((Z39-Y39)/2), "")</f>
        <v/>
      </c>
      <c r="AE39" s="8" t="n"/>
      <c r="AF39" s="8" t="inlineStr">
        <is>
          <t>Yes</t>
        </is>
      </c>
      <c r="AG39" s="8" t="n"/>
      <c r="AH39" s="8" t="n"/>
      <c r="AI39" s="8" t="n"/>
      <c r="AJ39" s="8" t="n"/>
      <c r="AK39" s="8" t="n"/>
    </row>
    <row r="40">
      <c r="A40">
        <f>IF(B40&lt;&gt;"", "EXC-"&amp;TEXT(ROW()-1,"000"), "")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inlineStr">
        <is>
          <t>Yes</t>
        </is>
      </c>
      <c r="O40" s="8" t="n"/>
      <c r="P40" s="8" t="n"/>
      <c r="Q40" s="8" t="n"/>
      <c r="R40" s="8" t="n"/>
      <c r="S40" s="8" t="n"/>
      <c r="T40" s="8" t="n"/>
      <c r="U40" s="8" t="n"/>
      <c r="V40" s="8" t="n"/>
      <c r="W40" s="8" t="inlineStr">
        <is>
          <t>Pending Review</t>
        </is>
      </c>
      <c r="X40" s="8" t="n"/>
      <c r="Y40" s="8" t="n"/>
      <c r="Z40" s="16">
        <f>IF(AND(Y40&lt;&gt;"", X40&lt;&gt;""), IF(X40="3 Months", Y40+90, IF(X40="6 Months", Y40+180, IF(X40="12 Months", Y40+365, IF(X40="24 Months", Y40+730, Y40+365)))), "")</f>
        <v/>
      </c>
      <c r="AA40" s="17">
        <f>IF(Z40&lt;&gt;"", Z40-TODAY(), "")</f>
        <v/>
      </c>
      <c r="AB40">
        <f>IF(AA40="", "", IF(AA40&lt;30, "Yes - Expiring Soon", IF(AD40&lt;TODAY()+30, "Yes - Periodic Review Due", "No")))</f>
        <v/>
      </c>
      <c r="AC40" s="8" t="n"/>
      <c r="AD40" s="16">
        <f>IF(AND(Y40&lt;&gt;"", Z40&lt;&gt;""), Y40+((Z40-Y40)/2), "")</f>
        <v/>
      </c>
      <c r="AE40" s="8" t="n"/>
      <c r="AF40" s="8" t="inlineStr">
        <is>
          <t>Yes</t>
        </is>
      </c>
      <c r="AG40" s="8" t="n"/>
      <c r="AH40" s="8" t="n"/>
      <c r="AI40" s="8" t="n"/>
      <c r="AJ40" s="8" t="n"/>
      <c r="AK40" s="8" t="n"/>
    </row>
    <row r="41">
      <c r="A41">
        <f>IF(B41&lt;&gt;"", "EXC-"&amp;TEXT(ROW()-1,"000"), 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inlineStr">
        <is>
          <t>Yes</t>
        </is>
      </c>
      <c r="O41" s="8" t="n"/>
      <c r="P41" s="8" t="n"/>
      <c r="Q41" s="8" t="n"/>
      <c r="R41" s="8" t="n"/>
      <c r="S41" s="8" t="n"/>
      <c r="T41" s="8" t="n"/>
      <c r="U41" s="8" t="n"/>
      <c r="V41" s="8" t="n"/>
      <c r="W41" s="8" t="inlineStr">
        <is>
          <t>Pending Review</t>
        </is>
      </c>
      <c r="X41" s="8" t="n"/>
      <c r="Y41" s="8" t="n"/>
      <c r="Z41" s="16">
        <f>IF(AND(Y41&lt;&gt;"", X41&lt;&gt;""), IF(X41="3 Months", Y41+90, IF(X41="6 Months", Y41+180, IF(X41="12 Months", Y41+365, IF(X41="24 Months", Y41+730, Y41+365)))), "")</f>
        <v/>
      </c>
      <c r="AA41" s="17">
        <f>IF(Z41&lt;&gt;"", Z41-TODAY(), "")</f>
        <v/>
      </c>
      <c r="AB41">
        <f>IF(AA41="", "", IF(AA41&lt;30, "Yes - Expiring Soon", IF(AD41&lt;TODAY()+30, "Yes - Periodic Review Due", "No")))</f>
        <v/>
      </c>
      <c r="AC41" s="8" t="n"/>
      <c r="AD41" s="16">
        <f>IF(AND(Y41&lt;&gt;"", Z41&lt;&gt;""), Y41+((Z41-Y41)/2), "")</f>
        <v/>
      </c>
      <c r="AE41" s="8" t="n"/>
      <c r="AF41" s="8" t="inlineStr">
        <is>
          <t>Yes</t>
        </is>
      </c>
      <c r="AG41" s="8" t="n"/>
      <c r="AH41" s="8" t="n"/>
      <c r="AI41" s="8" t="n"/>
      <c r="AJ41" s="8" t="n"/>
      <c r="AK41" s="8" t="n"/>
    </row>
    <row r="42">
      <c r="A42">
        <f>IF(B42&lt;&gt;"", "EXC-"&amp;TEXT(ROW()-1,"000"), "")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inlineStr">
        <is>
          <t>Yes</t>
        </is>
      </c>
      <c r="O42" s="8" t="n"/>
      <c r="P42" s="8" t="n"/>
      <c r="Q42" s="8" t="n"/>
      <c r="R42" s="8" t="n"/>
      <c r="S42" s="8" t="n"/>
      <c r="T42" s="8" t="n"/>
      <c r="U42" s="8" t="n"/>
      <c r="V42" s="8" t="n"/>
      <c r="W42" s="8" t="inlineStr">
        <is>
          <t>Pending Review</t>
        </is>
      </c>
      <c r="X42" s="8" t="n"/>
      <c r="Y42" s="8" t="n"/>
      <c r="Z42" s="16">
        <f>IF(AND(Y42&lt;&gt;"", X42&lt;&gt;""), IF(X42="3 Months", Y42+90, IF(X42="6 Months", Y42+180, IF(X42="12 Months", Y42+365, IF(X42="24 Months", Y42+730, Y42+365)))), "")</f>
        <v/>
      </c>
      <c r="AA42" s="17">
        <f>IF(Z42&lt;&gt;"", Z42-TODAY(), "")</f>
        <v/>
      </c>
      <c r="AB42">
        <f>IF(AA42="", "", IF(AA42&lt;30, "Yes - Expiring Soon", IF(AD42&lt;TODAY()+30, "Yes - Periodic Review Due", "No")))</f>
        <v/>
      </c>
      <c r="AC42" s="8" t="n"/>
      <c r="AD42" s="16">
        <f>IF(AND(Y42&lt;&gt;"", Z42&lt;&gt;""), Y42+((Z42-Y42)/2), "")</f>
        <v/>
      </c>
      <c r="AE42" s="8" t="n"/>
      <c r="AF42" s="8" t="inlineStr">
        <is>
          <t>Yes</t>
        </is>
      </c>
      <c r="AG42" s="8" t="n"/>
      <c r="AH42" s="8" t="n"/>
      <c r="AI42" s="8" t="n"/>
      <c r="AJ42" s="8" t="n"/>
      <c r="AK42" s="8" t="n"/>
    </row>
    <row r="43">
      <c r="A43">
        <f>IF(B43&lt;&gt;"", "EXC-"&amp;TEXT(ROW()-1,"000"), 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inlineStr">
        <is>
          <t>Yes</t>
        </is>
      </c>
      <c r="O43" s="8" t="n"/>
      <c r="P43" s="8" t="n"/>
      <c r="Q43" s="8" t="n"/>
      <c r="R43" s="8" t="n"/>
      <c r="S43" s="8" t="n"/>
      <c r="T43" s="8" t="n"/>
      <c r="U43" s="8" t="n"/>
      <c r="V43" s="8" t="n"/>
      <c r="W43" s="8" t="inlineStr">
        <is>
          <t>Pending Review</t>
        </is>
      </c>
      <c r="X43" s="8" t="n"/>
      <c r="Y43" s="8" t="n"/>
      <c r="Z43" s="16">
        <f>IF(AND(Y43&lt;&gt;"", X43&lt;&gt;""), IF(X43="3 Months", Y43+90, IF(X43="6 Months", Y43+180, IF(X43="12 Months", Y43+365, IF(X43="24 Months", Y43+730, Y43+365)))), "")</f>
        <v/>
      </c>
      <c r="AA43" s="17">
        <f>IF(Z43&lt;&gt;"", Z43-TODAY(), "")</f>
        <v/>
      </c>
      <c r="AB43">
        <f>IF(AA43="", "", IF(AA43&lt;30, "Yes - Expiring Soon", IF(AD43&lt;TODAY()+30, "Yes - Periodic Review Due", "No")))</f>
        <v/>
      </c>
      <c r="AC43" s="8" t="n"/>
      <c r="AD43" s="16">
        <f>IF(AND(Y43&lt;&gt;"", Z43&lt;&gt;""), Y43+((Z43-Y43)/2), "")</f>
        <v/>
      </c>
      <c r="AE43" s="8" t="n"/>
      <c r="AF43" s="8" t="inlineStr">
        <is>
          <t>Yes</t>
        </is>
      </c>
      <c r="AG43" s="8" t="n"/>
      <c r="AH43" s="8" t="n"/>
      <c r="AI43" s="8" t="n"/>
      <c r="AJ43" s="8" t="n"/>
      <c r="AK43" s="8" t="n"/>
    </row>
    <row r="44">
      <c r="A44">
        <f>IF(B44&lt;&gt;"", "EXC-"&amp;TEXT(ROW()-1,"000"), "")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inlineStr">
        <is>
          <t>Yes</t>
        </is>
      </c>
      <c r="O44" s="8" t="n"/>
      <c r="P44" s="8" t="n"/>
      <c r="Q44" s="8" t="n"/>
      <c r="R44" s="8" t="n"/>
      <c r="S44" s="8" t="n"/>
      <c r="T44" s="8" t="n"/>
      <c r="U44" s="8" t="n"/>
      <c r="V44" s="8" t="n"/>
      <c r="W44" s="8" t="inlineStr">
        <is>
          <t>Pending Review</t>
        </is>
      </c>
      <c r="X44" s="8" t="n"/>
      <c r="Y44" s="8" t="n"/>
      <c r="Z44" s="16">
        <f>IF(AND(Y44&lt;&gt;"", X44&lt;&gt;""), IF(X44="3 Months", Y44+90, IF(X44="6 Months", Y44+180, IF(X44="12 Months", Y44+365, IF(X44="24 Months", Y44+730, Y44+365)))), "")</f>
        <v/>
      </c>
      <c r="AA44" s="17">
        <f>IF(Z44&lt;&gt;"", Z44-TODAY(), "")</f>
        <v/>
      </c>
      <c r="AB44">
        <f>IF(AA44="", "", IF(AA44&lt;30, "Yes - Expiring Soon", IF(AD44&lt;TODAY()+30, "Yes - Periodic Review Due", "No")))</f>
        <v/>
      </c>
      <c r="AC44" s="8" t="n"/>
      <c r="AD44" s="16">
        <f>IF(AND(Y44&lt;&gt;"", Z44&lt;&gt;""), Y44+((Z44-Y44)/2), "")</f>
        <v/>
      </c>
      <c r="AE44" s="8" t="n"/>
      <c r="AF44" s="8" t="inlineStr">
        <is>
          <t>Yes</t>
        </is>
      </c>
      <c r="AG44" s="8" t="n"/>
      <c r="AH44" s="8" t="n"/>
      <c r="AI44" s="8" t="n"/>
      <c r="AJ44" s="8" t="n"/>
      <c r="AK44" s="8" t="n"/>
    </row>
    <row r="45">
      <c r="A45">
        <f>IF(B45&lt;&gt;"", "EXC-"&amp;TEXT(ROW()-1,"000"), 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inlineStr">
        <is>
          <t>Yes</t>
        </is>
      </c>
      <c r="O45" s="8" t="n"/>
      <c r="P45" s="8" t="n"/>
      <c r="Q45" s="8" t="n"/>
      <c r="R45" s="8" t="n"/>
      <c r="S45" s="8" t="n"/>
      <c r="T45" s="8" t="n"/>
      <c r="U45" s="8" t="n"/>
      <c r="V45" s="8" t="n"/>
      <c r="W45" s="8" t="inlineStr">
        <is>
          <t>Pending Review</t>
        </is>
      </c>
      <c r="X45" s="8" t="n"/>
      <c r="Y45" s="8" t="n"/>
      <c r="Z45" s="16">
        <f>IF(AND(Y45&lt;&gt;"", X45&lt;&gt;""), IF(X45="3 Months", Y45+90, IF(X45="6 Months", Y45+180, IF(X45="12 Months", Y45+365, IF(X45="24 Months", Y45+730, Y45+365)))), "")</f>
        <v/>
      </c>
      <c r="AA45" s="17">
        <f>IF(Z45&lt;&gt;"", Z45-TODAY(), "")</f>
        <v/>
      </c>
      <c r="AB45">
        <f>IF(AA45="", "", IF(AA45&lt;30, "Yes - Expiring Soon", IF(AD45&lt;TODAY()+30, "Yes - Periodic Review Due", "No")))</f>
        <v/>
      </c>
      <c r="AC45" s="8" t="n"/>
      <c r="AD45" s="16">
        <f>IF(AND(Y45&lt;&gt;"", Z45&lt;&gt;""), Y45+((Z45-Y45)/2), "")</f>
        <v/>
      </c>
      <c r="AE45" s="8" t="n"/>
      <c r="AF45" s="8" t="inlineStr">
        <is>
          <t>Yes</t>
        </is>
      </c>
      <c r="AG45" s="8" t="n"/>
      <c r="AH45" s="8" t="n"/>
      <c r="AI45" s="8" t="n"/>
      <c r="AJ45" s="8" t="n"/>
      <c r="AK45" s="8" t="n"/>
    </row>
    <row r="46">
      <c r="A46">
        <f>IF(B46&lt;&gt;"", "EXC-"&amp;TEXT(ROW()-1,"000"), "")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inlineStr">
        <is>
          <t>Yes</t>
        </is>
      </c>
      <c r="O46" s="8" t="n"/>
      <c r="P46" s="8" t="n"/>
      <c r="Q46" s="8" t="n"/>
      <c r="R46" s="8" t="n"/>
      <c r="S46" s="8" t="n"/>
      <c r="T46" s="8" t="n"/>
      <c r="U46" s="8" t="n"/>
      <c r="V46" s="8" t="n"/>
      <c r="W46" s="8" t="inlineStr">
        <is>
          <t>Pending Review</t>
        </is>
      </c>
      <c r="X46" s="8" t="n"/>
      <c r="Y46" s="8" t="n"/>
      <c r="Z46" s="16">
        <f>IF(AND(Y46&lt;&gt;"", X46&lt;&gt;""), IF(X46="3 Months", Y46+90, IF(X46="6 Months", Y46+180, IF(X46="12 Months", Y46+365, IF(X46="24 Months", Y46+730, Y46+365)))), "")</f>
        <v/>
      </c>
      <c r="AA46" s="17">
        <f>IF(Z46&lt;&gt;"", Z46-TODAY(), "")</f>
        <v/>
      </c>
      <c r="AB46">
        <f>IF(AA46="", "", IF(AA46&lt;30, "Yes - Expiring Soon", IF(AD46&lt;TODAY()+30, "Yes - Periodic Review Due", "No")))</f>
        <v/>
      </c>
      <c r="AC46" s="8" t="n"/>
      <c r="AD46" s="16">
        <f>IF(AND(Y46&lt;&gt;"", Z46&lt;&gt;""), Y46+((Z46-Y46)/2), "")</f>
        <v/>
      </c>
      <c r="AE46" s="8" t="n"/>
      <c r="AF46" s="8" t="inlineStr">
        <is>
          <t>Yes</t>
        </is>
      </c>
      <c r="AG46" s="8" t="n"/>
      <c r="AH46" s="8" t="n"/>
      <c r="AI46" s="8" t="n"/>
      <c r="AJ46" s="8" t="n"/>
      <c r="AK46" s="8" t="n"/>
    </row>
    <row r="47">
      <c r="A47">
        <f>IF(B47&lt;&gt;"", "EXC-"&amp;TEXT(ROW()-1,"000"), 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inlineStr">
        <is>
          <t>Yes</t>
        </is>
      </c>
      <c r="O47" s="8" t="n"/>
      <c r="P47" s="8" t="n"/>
      <c r="Q47" s="8" t="n"/>
      <c r="R47" s="8" t="n"/>
      <c r="S47" s="8" t="n"/>
      <c r="T47" s="8" t="n"/>
      <c r="U47" s="8" t="n"/>
      <c r="V47" s="8" t="n"/>
      <c r="W47" s="8" t="inlineStr">
        <is>
          <t>Pending Review</t>
        </is>
      </c>
      <c r="X47" s="8" t="n"/>
      <c r="Y47" s="8" t="n"/>
      <c r="Z47" s="16">
        <f>IF(AND(Y47&lt;&gt;"", X47&lt;&gt;""), IF(X47="3 Months", Y47+90, IF(X47="6 Months", Y47+180, IF(X47="12 Months", Y47+365, IF(X47="24 Months", Y47+730, Y47+365)))), "")</f>
        <v/>
      </c>
      <c r="AA47" s="17">
        <f>IF(Z47&lt;&gt;"", Z47-TODAY(), "")</f>
        <v/>
      </c>
      <c r="AB47">
        <f>IF(AA47="", "", IF(AA47&lt;30, "Yes - Expiring Soon", IF(AD47&lt;TODAY()+30, "Yes - Periodic Review Due", "No")))</f>
        <v/>
      </c>
      <c r="AC47" s="8" t="n"/>
      <c r="AD47" s="16">
        <f>IF(AND(Y47&lt;&gt;"", Z47&lt;&gt;""), Y47+((Z47-Y47)/2), "")</f>
        <v/>
      </c>
      <c r="AE47" s="8" t="n"/>
      <c r="AF47" s="8" t="inlineStr">
        <is>
          <t>Yes</t>
        </is>
      </c>
      <c r="AG47" s="8" t="n"/>
      <c r="AH47" s="8" t="n"/>
      <c r="AI47" s="8" t="n"/>
      <c r="AJ47" s="8" t="n"/>
      <c r="AK47" s="8" t="n"/>
    </row>
    <row r="48">
      <c r="A48">
        <f>IF(B48&lt;&gt;"", "EXC-"&amp;TEXT(ROW()-1,"000"), "")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inlineStr">
        <is>
          <t>Yes</t>
        </is>
      </c>
      <c r="O48" s="8" t="n"/>
      <c r="P48" s="8" t="n"/>
      <c r="Q48" s="8" t="n"/>
      <c r="R48" s="8" t="n"/>
      <c r="S48" s="8" t="n"/>
      <c r="T48" s="8" t="n"/>
      <c r="U48" s="8" t="n"/>
      <c r="V48" s="8" t="n"/>
      <c r="W48" s="8" t="inlineStr">
        <is>
          <t>Pending Review</t>
        </is>
      </c>
      <c r="X48" s="8" t="n"/>
      <c r="Y48" s="8" t="n"/>
      <c r="Z48" s="16">
        <f>IF(AND(Y48&lt;&gt;"", X48&lt;&gt;""), IF(X48="3 Months", Y48+90, IF(X48="6 Months", Y48+180, IF(X48="12 Months", Y48+365, IF(X48="24 Months", Y48+730, Y48+365)))), "")</f>
        <v/>
      </c>
      <c r="AA48" s="17">
        <f>IF(Z48&lt;&gt;"", Z48-TODAY(), "")</f>
        <v/>
      </c>
      <c r="AB48">
        <f>IF(AA48="", "", IF(AA48&lt;30, "Yes - Expiring Soon", IF(AD48&lt;TODAY()+30, "Yes - Periodic Review Due", "No")))</f>
        <v/>
      </c>
      <c r="AC48" s="8" t="n"/>
      <c r="AD48" s="16">
        <f>IF(AND(Y48&lt;&gt;"", Z48&lt;&gt;""), Y48+((Z48-Y48)/2), "")</f>
        <v/>
      </c>
      <c r="AE48" s="8" t="n"/>
      <c r="AF48" s="8" t="inlineStr">
        <is>
          <t>Yes</t>
        </is>
      </c>
      <c r="AG48" s="8" t="n"/>
      <c r="AH48" s="8" t="n"/>
      <c r="AI48" s="8" t="n"/>
      <c r="AJ48" s="8" t="n"/>
      <c r="AK48" s="8" t="n"/>
    </row>
    <row r="49">
      <c r="A49">
        <f>IF(B49&lt;&gt;"", "EXC-"&amp;TEXT(ROW()-1,"000"), 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inlineStr">
        <is>
          <t>Yes</t>
        </is>
      </c>
      <c r="O49" s="8" t="n"/>
      <c r="P49" s="8" t="n"/>
      <c r="Q49" s="8" t="n"/>
      <c r="R49" s="8" t="n"/>
      <c r="S49" s="8" t="n"/>
      <c r="T49" s="8" t="n"/>
      <c r="U49" s="8" t="n"/>
      <c r="V49" s="8" t="n"/>
      <c r="W49" s="8" t="inlineStr">
        <is>
          <t>Pending Review</t>
        </is>
      </c>
      <c r="X49" s="8" t="n"/>
      <c r="Y49" s="8" t="n"/>
      <c r="Z49" s="16">
        <f>IF(AND(Y49&lt;&gt;"", X49&lt;&gt;""), IF(X49="3 Months", Y49+90, IF(X49="6 Months", Y49+180, IF(X49="12 Months", Y49+365, IF(X49="24 Months", Y49+730, Y49+365)))), "")</f>
        <v/>
      </c>
      <c r="AA49" s="17">
        <f>IF(Z49&lt;&gt;"", Z49-TODAY(), "")</f>
        <v/>
      </c>
      <c r="AB49">
        <f>IF(AA49="", "", IF(AA49&lt;30, "Yes - Expiring Soon", IF(AD49&lt;TODAY()+30, "Yes - Periodic Review Due", "No")))</f>
        <v/>
      </c>
      <c r="AC49" s="8" t="n"/>
      <c r="AD49" s="16">
        <f>IF(AND(Y49&lt;&gt;"", Z49&lt;&gt;""), Y49+((Z49-Y49)/2), "")</f>
        <v/>
      </c>
      <c r="AE49" s="8" t="n"/>
      <c r="AF49" s="8" t="inlineStr">
        <is>
          <t>Yes</t>
        </is>
      </c>
      <c r="AG49" s="8" t="n"/>
      <c r="AH49" s="8" t="n"/>
      <c r="AI49" s="8" t="n"/>
      <c r="AJ49" s="8" t="n"/>
      <c r="AK49" s="8" t="n"/>
    </row>
    <row r="50">
      <c r="A50">
        <f>IF(B50&lt;&gt;"", "EXC-"&amp;TEXT(ROW()-1,"000"), "")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inlineStr">
        <is>
          <t>Yes</t>
        </is>
      </c>
      <c r="O50" s="8" t="n"/>
      <c r="P50" s="8" t="n"/>
      <c r="Q50" s="8" t="n"/>
      <c r="R50" s="8" t="n"/>
      <c r="S50" s="8" t="n"/>
      <c r="T50" s="8" t="n"/>
      <c r="U50" s="8" t="n"/>
      <c r="V50" s="8" t="n"/>
      <c r="W50" s="8" t="inlineStr">
        <is>
          <t>Pending Review</t>
        </is>
      </c>
      <c r="X50" s="8" t="n"/>
      <c r="Y50" s="8" t="n"/>
      <c r="Z50" s="16">
        <f>IF(AND(Y50&lt;&gt;"", X50&lt;&gt;""), IF(X50="3 Months", Y50+90, IF(X50="6 Months", Y50+180, IF(X50="12 Months", Y50+365, IF(X50="24 Months", Y50+730, Y50+365)))), "")</f>
        <v/>
      </c>
      <c r="AA50" s="17">
        <f>IF(Z50&lt;&gt;"", Z50-TODAY(), "")</f>
        <v/>
      </c>
      <c r="AB50">
        <f>IF(AA50="", "", IF(AA50&lt;30, "Yes - Expiring Soon", IF(AD50&lt;TODAY()+30, "Yes - Periodic Review Due", "No")))</f>
        <v/>
      </c>
      <c r="AC50" s="8" t="n"/>
      <c r="AD50" s="16">
        <f>IF(AND(Y50&lt;&gt;"", Z50&lt;&gt;""), Y50+((Z50-Y50)/2), "")</f>
        <v/>
      </c>
      <c r="AE50" s="8" t="n"/>
      <c r="AF50" s="8" t="inlineStr">
        <is>
          <t>Yes</t>
        </is>
      </c>
      <c r="AG50" s="8" t="n"/>
      <c r="AH50" s="8" t="n"/>
      <c r="AI50" s="8" t="n"/>
      <c r="AJ50" s="8" t="n"/>
      <c r="AK50" s="8" t="n"/>
    </row>
    <row r="51">
      <c r="A51">
        <f>IF(B51&lt;&gt;"", "EXC-"&amp;TEXT(ROW()-1,"000"), 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inlineStr">
        <is>
          <t>Yes</t>
        </is>
      </c>
      <c r="O51" s="8" t="n"/>
      <c r="P51" s="8" t="n"/>
      <c r="Q51" s="8" t="n"/>
      <c r="R51" s="8" t="n"/>
      <c r="S51" s="8" t="n"/>
      <c r="T51" s="8" t="n"/>
      <c r="U51" s="8" t="n"/>
      <c r="V51" s="8" t="n"/>
      <c r="W51" s="8" t="inlineStr">
        <is>
          <t>Pending Review</t>
        </is>
      </c>
      <c r="X51" s="8" t="n"/>
      <c r="Y51" s="8" t="n"/>
      <c r="Z51" s="16">
        <f>IF(AND(Y51&lt;&gt;"", X51&lt;&gt;""), IF(X51="3 Months", Y51+90, IF(X51="6 Months", Y51+180, IF(X51="12 Months", Y51+365, IF(X51="24 Months", Y51+730, Y51+365)))), "")</f>
        <v/>
      </c>
      <c r="AA51" s="17">
        <f>IF(Z51&lt;&gt;"", Z51-TODAY(), "")</f>
        <v/>
      </c>
      <c r="AB51">
        <f>IF(AA51="", "", IF(AA51&lt;30, "Yes - Expiring Soon", IF(AD51&lt;TODAY()+30, "Yes - Periodic Review Due", "No")))</f>
        <v/>
      </c>
      <c r="AC51" s="8" t="n"/>
      <c r="AD51" s="16">
        <f>IF(AND(Y51&lt;&gt;"", Z51&lt;&gt;""), Y51+((Z51-Y51)/2), "")</f>
        <v/>
      </c>
      <c r="AE51" s="8" t="n"/>
      <c r="AF51" s="8" t="inlineStr">
        <is>
          <t>Yes</t>
        </is>
      </c>
      <c r="AG51" s="8" t="n"/>
      <c r="AH51" s="8" t="n"/>
      <c r="AI51" s="8" t="n"/>
      <c r="AJ51" s="8" t="n"/>
      <c r="AK5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W2:W51">
    <cfRule type="expression" priority="1" dxfId="7">
      <formula>OR(ISNUMBER(SEARCH("Fully Compliant",$W2)),ISNUMBER(SEARCH("Compliant",$W2)),ISNUMBER(SEARCH("Completed",$W2)),ISNUMBER(SEARCH("Pass",$W2)),ISNUMBER(SEARCH("Approved",$W2)))</formula>
    </cfRule>
    <cfRule type="expression" priority="2" dxfId="1">
      <formula>OR(ISNUMBER(SEARCH("Substantially Compliant",$W2)),ISNUMBER(SEARCH("Partial",$W2)),ISNUMBER(SEARCH("In Progress",$W2)),ISNUMBER(SEARCH("Under Review",$W2)))</formula>
    </cfRule>
    <cfRule type="expression" priority="3" dxfId="0">
      <formula>OR(ISNUMBER(SEARCH("Non-Compliant",$W2)),ISNUMBER(SEARCH("Fail",$W2)),ISNUMBER(SEARCH("Blocked",$W2)),ISNUMBER(SEARCH("Rejected",$W2)),ISNUMBER(SEARCH("Expired",$W2)))</formula>
    </cfRule>
  </conditionalFormatting>
  <conditionalFormatting sqref="AA2:AA51">
    <cfRule type="expression" priority="4" dxfId="1">
      <formula>AND($AA2&lt;30, $AA2&gt;=0)</formula>
    </cfRule>
    <cfRule type="cellIs" priority="5" operator="lessThan" dxfId="0">
      <formula>0</formula>
    </cfRule>
  </conditionalFormatting>
  <conditionalFormatting sqref="M2:M51">
    <cfRule type="expression" priority="6" dxfId="8">
      <formula>OR($M2="Critical", $M2="High")</formula>
    </cfRule>
  </conditionalFormatting>
  <conditionalFormatting sqref="O2:O51">
    <cfRule type="expression" priority="7" dxfId="12">
      <formula>AND($N2="Yes", $O2="")</formula>
    </cfRule>
  </conditionalFormatting>
  <dataValidations count="7">
    <dataValidation sqref="I2:I51" showDropDown="0" showInputMessage="0" showErrorMessage="1" allowBlank="1" errorTitle="Invalid Entry" error="Please select from the dropdown list." type="list">
      <formula1>"Technical Limitation,Business Requirement,Legacy System,Performance Impact,Vendor Limitation,Cost Prohibitive,Temporary Transition,Regulatory Conflict"</formula1>
    </dataValidation>
    <dataValidation sqref="M2:M5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N2:N51" showDropDown="0" showInputMessage="0" showErrorMessage="1" allowBlank="1" errorTitle="Invalid Entry" error="Please select from the dropdown list." type="list">
      <formula1>"Yes,No"</formula1>
    </dataValidation>
    <dataValidation sqref="P2:P51" showDropDown="0" showInputMessage="0" showErrorMessage="1" allowBlank="1" errorTitle="Invalid Entry" error="Please select from the dropdown list." type="list">
      <formula1>"Full,Partial,None"</formula1>
    </dataValidation>
    <dataValidation sqref="W2:W51" showDropDown="0" showInputMessage="0" showErrorMessage="1" allowBlank="1" errorTitle="Invalid Entry" error="Please select from the dropdown list." type="list">
      <formula1>"📝 Pending Review,🔍 Under Review,✅ Approved,⚠️ Conditionally Approved,❌ Rejected,⏰ Expired,✔️ Closed"</formula1>
    </dataValidation>
    <dataValidation sqref="X2:X51" showDropDown="0" showInputMessage="0" showErrorMessage="1" allowBlank="1" errorTitle="Invalid Entry" error="Please select from the dropdown list." type="list">
      <formula1>"3 Months,6 Months,12 Months,24 Months,Indefinite"</formula1>
    </dataValidation>
    <dataValidation sqref="AF2:AF51" showDropDown="0" showInputMessage="0" showErrorMessage="1" allowBlank="1" errorTitle="Invalid Entry" error="Please select from the dropdown list.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0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25" customWidth="1" min="5" max="5"/>
    <col width="12" customWidth="1" min="6" max="6"/>
    <col width="12" customWidth="1" min="7" max="7"/>
    <col width="12" customWidth="1" min="8" max="8"/>
    <col width="30" customWidth="1" min="9" max="9"/>
    <col width="15" customWidth="1" min="10" max="10"/>
    <col width="40" customWidth="1" min="11" max="11"/>
    <col width="15" customWidth="1" min="12" max="12"/>
    <col width="40" customWidth="1" min="13" max="13"/>
    <col width="15" customWidth="1" min="14" max="14"/>
    <col width="20" customWidth="1" min="15" max="15"/>
    <col width="18" customWidth="1" min="16" max="16"/>
    <col width="20" customWidth="1" min="17" max="17"/>
    <col width="40" customWidth="1" min="18" max="18"/>
    <col width="25" customWidth="1" min="19" max="19"/>
    <col width="25" customWidth="1" min="20" max="20"/>
    <col width="15" customWidth="1" min="21" max="21"/>
    <col width="15" customWidth="1" min="22" max="22"/>
    <col width="30" customWidth="1" min="23" max="23"/>
    <col width="18" customWidth="1" min="24" max="24"/>
    <col width="15" customWidth="1" min="25" max="25"/>
    <col width="20" customWidth="1" min="26" max="26"/>
    <col width="15" customWidth="1" min="27" max="27"/>
    <col width="20" customWidth="1" min="28" max="28"/>
    <col width="16" customWidth="1" min="29" max="29"/>
    <col width="14" customWidth="1" min="30" max="30"/>
    <col width="18" customWidth="1" min="31" max="31"/>
    <col width="40" customWidth="1" min="32" max="32"/>
    <col width="18" customWidth="1" min="33" max="33"/>
    <col width="40" customWidth="1" min="34" max="34"/>
    <col width="18" customWidth="1" min="35" max="35"/>
    <col width="20" customWidth="1" min="36" max="36"/>
    <col width="25" customWidth="1" min="37" max="37"/>
    <col width="15" customWidth="1" min="38" max="38"/>
    <col width="18" customWidth="1" min="39" max="39"/>
    <col width="15" customWidth="1" min="40" max="40"/>
    <col width="18" customWidth="1" min="41" max="41"/>
    <col width="18" customWidth="1" min="42" max="42"/>
    <col width="20" customWidth="1" min="43" max="43"/>
    <col width="40" customWidth="1" min="44" max="44"/>
    <col width="40" customWidth="1" min="45" max="45"/>
    <col width="15" customWidth="1" min="46" max="46"/>
    <col width="25" customWidth="1" min="47" max="47"/>
    <col width="40" customWidth="1" min="48" max="48"/>
  </cols>
  <sheetData>
    <row r="1">
      <c r="A1" s="6" t="inlineStr">
        <is>
          <t>Remediation_ID</t>
        </is>
      </c>
      <c r="B1" s="6" t="inlineStr">
        <is>
          <t>Gap_Type</t>
        </is>
      </c>
      <c r="C1" s="6" t="inlineStr">
        <is>
          <t>Control_ID</t>
        </is>
      </c>
      <c r="D1" s="6" t="inlineStr">
        <is>
          <t>Asset_ID</t>
        </is>
      </c>
      <c r="E1" s="6" t="inlineStr">
        <is>
          <t>Asset_Name</t>
        </is>
      </c>
      <c r="F1" s="6" t="inlineStr">
        <is>
          <t>Asset_Tier</t>
        </is>
      </c>
      <c r="G1" s="6" t="inlineStr">
        <is>
          <t>Standard_ID</t>
        </is>
      </c>
      <c r="H1" s="6" t="inlineStr">
        <is>
          <t>Control_Number</t>
        </is>
      </c>
      <c r="I1" s="6" t="inlineStr">
        <is>
          <t>Control_Title</t>
        </is>
      </c>
      <c r="J1" s="6" t="inlineStr">
        <is>
          <t>Control_Severity</t>
        </is>
      </c>
      <c r="K1" s="6" t="inlineStr">
        <is>
          <t>Gap_Description</t>
        </is>
      </c>
      <c r="L1" s="6" t="inlineStr">
        <is>
          <t>Gap_Risk_Rating</t>
        </is>
      </c>
      <c r="M1" s="6" t="inlineStr">
        <is>
          <t>Impact_Assessment</t>
        </is>
      </c>
      <c r="N1" s="6" t="inlineStr">
        <is>
          <t>Discovery_Date</t>
        </is>
      </c>
      <c r="O1" s="6" t="inlineStr">
        <is>
          <t>Discovery_Method</t>
        </is>
      </c>
      <c r="P1" s="6" t="inlineStr">
        <is>
          <t>Remediation_Required</t>
        </is>
      </c>
      <c r="Q1" s="6" t="inlineStr">
        <is>
          <t>Remediation_Strategy</t>
        </is>
      </c>
      <c r="R1" s="6" t="inlineStr">
        <is>
          <t>Remediation_Description</t>
        </is>
      </c>
      <c r="S1" s="6" t="inlineStr">
        <is>
          <t>Remediation_Owner</t>
        </is>
      </c>
      <c r="T1" s="6" t="inlineStr">
        <is>
          <t>Remediation_Team</t>
        </is>
      </c>
      <c r="U1" s="6" t="inlineStr">
        <is>
          <t>Estimated_Effort</t>
        </is>
      </c>
      <c r="V1" s="6" t="inlineStr">
        <is>
          <t>Estimated_Cost</t>
        </is>
      </c>
      <c r="W1" s="6" t="inlineStr">
        <is>
          <t>Dependencies</t>
        </is>
      </c>
      <c r="X1" s="6" t="inlineStr">
        <is>
          <t>Remediation_Priority</t>
        </is>
      </c>
      <c r="Y1" s="6" t="inlineStr">
        <is>
          <t>Target_Start_Date</t>
        </is>
      </c>
      <c r="Z1" s="6" t="inlineStr">
        <is>
          <t>Target_Completion_Date</t>
        </is>
      </c>
      <c r="AA1" s="6" t="inlineStr">
        <is>
          <t>Actual_Start_Date</t>
        </is>
      </c>
      <c r="AB1" s="6" t="inlineStr">
        <is>
          <t>Actual_Completion_Date</t>
        </is>
      </c>
      <c r="AC1" s="6" t="inlineStr">
        <is>
          <t>Days_To_Remediate</t>
        </is>
      </c>
      <c r="AD1" s="6" t="inlineStr">
        <is>
          <t>Days_Overdue</t>
        </is>
      </c>
      <c r="AE1" s="6" t="inlineStr">
        <is>
          <t>Status</t>
        </is>
      </c>
      <c r="AF1" s="6" t="inlineStr">
        <is>
          <t>Status_Notes</t>
        </is>
      </c>
      <c r="AG1" s="6" t="inlineStr">
        <is>
          <t>Completion_Percentage</t>
        </is>
      </c>
      <c r="AH1" s="6" t="inlineStr">
        <is>
          <t>Blocker_Description</t>
        </is>
      </c>
      <c r="AI1" s="6" t="inlineStr">
        <is>
          <t>Verification_Required</t>
        </is>
      </c>
      <c r="AJ1" s="6" t="inlineStr">
        <is>
          <t>Verification_Method</t>
        </is>
      </c>
      <c r="AK1" s="6" t="inlineStr">
        <is>
          <t>Verified_By</t>
        </is>
      </c>
      <c r="AL1" s="6" t="inlineStr">
        <is>
          <t>Verification_Date</t>
        </is>
      </c>
      <c r="AM1" s="6" t="inlineStr">
        <is>
          <t>Verification_Result</t>
        </is>
      </c>
      <c r="AN1" s="6" t="inlineStr">
        <is>
          <t>Re_Test_Required</t>
        </is>
      </c>
      <c r="AO1" s="6" t="inlineStr">
        <is>
          <t>Change_Request_ID</t>
        </is>
      </c>
      <c r="AP1" s="6" t="inlineStr">
        <is>
          <t>Risk_Acceptance_ID</t>
        </is>
      </c>
      <c r="AQ1" s="6" t="inlineStr">
        <is>
          <t>Evidence_Reference</t>
        </is>
      </c>
      <c r="AR1" s="6" t="inlineStr">
        <is>
          <t>Lessons_Learned</t>
        </is>
      </c>
      <c r="AS1" s="6" t="inlineStr">
        <is>
          <t>Preventive_Action</t>
        </is>
      </c>
      <c r="AT1" s="6" t="inlineStr">
        <is>
          <t>Closure_Date</t>
        </is>
      </c>
      <c r="AU1" s="6" t="inlineStr">
        <is>
          <t>Approved_By</t>
        </is>
      </c>
      <c r="AV1" s="6" t="inlineStr">
        <is>
          <t>Notes</t>
        </is>
      </c>
    </row>
    <row r="2">
      <c r="A2">
        <f>IF(B2&lt;&gt;"", "REM-"&amp;TEXT(ROW()-1,"000"), "")</f>
        <v/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inlineStr">
        <is>
          <t>Yes</t>
        </is>
      </c>
      <c r="Q2" s="8" t="n"/>
      <c r="R2" s="8" t="n"/>
      <c r="S2" s="8" t="n"/>
      <c r="T2" s="8" t="n"/>
      <c r="U2" s="8" t="n"/>
      <c r="V2" s="8" t="n"/>
      <c r="W2" s="8" t="n"/>
      <c r="X2">
        <f>IF(L2="", "", IF(L2="Critical", "Critical", IF(AND(L2="High", F2="Critical"), "Critical", IF(L2="High", "High", IF(L2="Medium", "Medium", "Low")))))</f>
        <v/>
      </c>
      <c r="Y2" s="8" t="n"/>
      <c r="Z2" s="18">
        <f>IF(AND(N2&lt;&gt;"", X2&lt;&gt;""), IF(X2="Critical", N2+3, IF(X2="High", N2+7, IF(X2="Medium", N2+30, N2+90))), "")</f>
        <v/>
      </c>
      <c r="AA2" s="8" t="n"/>
      <c r="AB2" s="8" t="n"/>
      <c r="AC2" s="17">
        <f>IF(AND(AA2&lt;&gt;"", AB2&lt;&gt;""), AB2-AA2, "")</f>
        <v/>
      </c>
      <c r="AD2" s="17">
        <f>IF(AE2="", "", IF(OR(AE2="Completed", AE2="Closed - Fixed", AE2="Closed - Exception"), 0, IF(AND(Z2&lt;&gt;"", TODAY()&gt;Z2), TODAY()-Z2, 0)))</f>
        <v/>
      </c>
      <c r="AE2" s="8" t="inlineStr">
        <is>
          <t>Identified</t>
        </is>
      </c>
      <c r="AF2" s="8" t="n"/>
      <c r="AG2" s="9" t="n">
        <v>0</v>
      </c>
      <c r="AH2" s="8" t="n"/>
      <c r="AI2" s="8" t="inlineStr">
        <is>
          <t>Yes</t>
        </is>
      </c>
      <c r="AJ2" s="8" t="n"/>
      <c r="AK2" s="8" t="n"/>
      <c r="AL2" s="8" t="n"/>
      <c r="AM2" s="8" t="n"/>
      <c r="AN2" s="8" t="inlineStr">
        <is>
          <t>No</t>
        </is>
      </c>
      <c r="AO2" s="8" t="n"/>
      <c r="AP2" s="8" t="n"/>
      <c r="AQ2" s="8" t="n"/>
      <c r="AR2" s="8" t="n"/>
      <c r="AS2" s="8" t="n"/>
      <c r="AT2" s="8" t="n"/>
      <c r="AU2" s="8" t="n"/>
      <c r="AV2" s="8" t="n"/>
    </row>
    <row r="3">
      <c r="A3">
        <f>IF(B3&lt;&gt;"", "REM-"&amp;TEXT(ROW()-1,"000"), "")</f>
        <v/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inlineStr">
        <is>
          <t>Yes</t>
        </is>
      </c>
      <c r="Q3" s="8" t="n"/>
      <c r="R3" s="8" t="n"/>
      <c r="S3" s="8" t="n"/>
      <c r="T3" s="8" t="n"/>
      <c r="U3" s="8" t="n"/>
      <c r="V3" s="8" t="n"/>
      <c r="W3" s="8" t="n"/>
      <c r="X3">
        <f>IF(L3="", "", IF(L3="Critical", "Critical", IF(AND(L3="High", F3="Critical"), "Critical", IF(L3="High", "High", IF(L3="Medium", "Medium", "Low")))))</f>
        <v/>
      </c>
      <c r="Y3" s="8" t="n"/>
      <c r="Z3" s="18">
        <f>IF(AND(N3&lt;&gt;"", X3&lt;&gt;""), IF(X3="Critical", N3+3, IF(X3="High", N3+7, IF(X3="Medium", N3+30, N3+90))), "")</f>
        <v/>
      </c>
      <c r="AA3" s="8" t="n"/>
      <c r="AB3" s="8" t="n"/>
      <c r="AC3" s="17">
        <f>IF(AND(AA3&lt;&gt;"", AB3&lt;&gt;""), AB3-AA3, "")</f>
        <v/>
      </c>
      <c r="AD3" s="17">
        <f>IF(AE3="", "", IF(OR(AE3="Completed", AE3="Closed - Fixed", AE3="Closed - Exception"), 0, IF(AND(Z3&lt;&gt;"", TODAY()&gt;Z3), TODAY()-Z3, 0)))</f>
        <v/>
      </c>
      <c r="AE3" s="8" t="inlineStr">
        <is>
          <t>Identified</t>
        </is>
      </c>
      <c r="AF3" s="8" t="n"/>
      <c r="AG3" s="9" t="n">
        <v>0</v>
      </c>
      <c r="AH3" s="8" t="n"/>
      <c r="AI3" s="8" t="inlineStr">
        <is>
          <t>Yes</t>
        </is>
      </c>
      <c r="AJ3" s="8" t="n"/>
      <c r="AK3" s="8" t="n"/>
      <c r="AL3" s="8" t="n"/>
      <c r="AM3" s="8" t="n"/>
      <c r="AN3" s="8" t="inlineStr">
        <is>
          <t>No</t>
        </is>
      </c>
      <c r="AO3" s="8" t="n"/>
      <c r="AP3" s="8" t="n"/>
      <c r="AQ3" s="8" t="n"/>
      <c r="AR3" s="8" t="n"/>
      <c r="AS3" s="8" t="n"/>
      <c r="AT3" s="8" t="n"/>
      <c r="AU3" s="8" t="n"/>
      <c r="AV3" s="8" t="n"/>
    </row>
    <row r="4">
      <c r="A4">
        <f>IF(B4&lt;&gt;"", "REM-"&amp;TEXT(ROW()-1,"000"), "")</f>
        <v/>
      </c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inlineStr">
        <is>
          <t>Yes</t>
        </is>
      </c>
      <c r="Q4" s="8" t="n"/>
      <c r="R4" s="8" t="n"/>
      <c r="S4" s="8" t="n"/>
      <c r="T4" s="8" t="n"/>
      <c r="U4" s="8" t="n"/>
      <c r="V4" s="8" t="n"/>
      <c r="W4" s="8" t="n"/>
      <c r="X4">
        <f>IF(L4="", "", IF(L4="Critical", "Critical", IF(AND(L4="High", F4="Critical"), "Critical", IF(L4="High", "High", IF(L4="Medium", "Medium", "Low")))))</f>
        <v/>
      </c>
      <c r="Y4" s="8" t="n"/>
      <c r="Z4" s="18">
        <f>IF(AND(N4&lt;&gt;"", X4&lt;&gt;""), IF(X4="Critical", N4+3, IF(X4="High", N4+7, IF(X4="Medium", N4+30, N4+90))), "")</f>
        <v/>
      </c>
      <c r="AA4" s="8" t="n"/>
      <c r="AB4" s="8" t="n"/>
      <c r="AC4" s="17">
        <f>IF(AND(AA4&lt;&gt;"", AB4&lt;&gt;""), AB4-AA4, "")</f>
        <v/>
      </c>
      <c r="AD4" s="17">
        <f>IF(AE4="", "", IF(OR(AE4="Completed", AE4="Closed - Fixed", AE4="Closed - Exception"), 0, IF(AND(Z4&lt;&gt;"", TODAY()&gt;Z4), TODAY()-Z4, 0)))</f>
        <v/>
      </c>
      <c r="AE4" s="8" t="inlineStr">
        <is>
          <t>Identified</t>
        </is>
      </c>
      <c r="AF4" s="8" t="n"/>
      <c r="AG4" s="9" t="n">
        <v>0</v>
      </c>
      <c r="AH4" s="8" t="n"/>
      <c r="AI4" s="8" t="inlineStr">
        <is>
          <t>Yes</t>
        </is>
      </c>
      <c r="AJ4" s="8" t="n"/>
      <c r="AK4" s="8" t="n"/>
      <c r="AL4" s="8" t="n"/>
      <c r="AM4" s="8" t="n"/>
      <c r="AN4" s="8" t="inlineStr">
        <is>
          <t>No</t>
        </is>
      </c>
      <c r="AO4" s="8" t="n"/>
      <c r="AP4" s="8" t="n"/>
      <c r="AQ4" s="8" t="n"/>
      <c r="AR4" s="8" t="n"/>
      <c r="AS4" s="8" t="n"/>
      <c r="AT4" s="8" t="n"/>
      <c r="AU4" s="8" t="n"/>
      <c r="AV4" s="8" t="n"/>
    </row>
    <row r="5">
      <c r="A5">
        <f>IF(B5&lt;&gt;"", "REM-"&amp;TEXT(ROW()-1,"000"), 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inlineStr">
        <is>
          <t>Yes</t>
        </is>
      </c>
      <c r="Q5" s="8" t="n"/>
      <c r="R5" s="8" t="n"/>
      <c r="S5" s="8" t="n"/>
      <c r="T5" s="8" t="n"/>
      <c r="U5" s="8" t="n"/>
      <c r="V5" s="8" t="n"/>
      <c r="W5" s="8" t="n"/>
      <c r="X5">
        <f>IF(L5="", "", IF(L5="Critical", "Critical", IF(AND(L5="High", F5="Critical"), "Critical", IF(L5="High", "High", IF(L5="Medium", "Medium", "Low")))))</f>
        <v/>
      </c>
      <c r="Y5" s="8" t="n"/>
      <c r="Z5" s="18">
        <f>IF(AND(N5&lt;&gt;"", X5&lt;&gt;""), IF(X5="Critical", N5+3, IF(X5="High", N5+7, IF(X5="Medium", N5+30, N5+90))), "")</f>
        <v/>
      </c>
      <c r="AA5" s="8" t="n"/>
      <c r="AB5" s="8" t="n"/>
      <c r="AC5" s="17">
        <f>IF(AND(AA5&lt;&gt;"", AB5&lt;&gt;""), AB5-AA5, "")</f>
        <v/>
      </c>
      <c r="AD5" s="17">
        <f>IF(AE5="", "", IF(OR(AE5="Completed", AE5="Closed - Fixed", AE5="Closed - Exception"), 0, IF(AND(Z5&lt;&gt;"", TODAY()&gt;Z5), TODAY()-Z5, 0)))</f>
        <v/>
      </c>
      <c r="AE5" s="8" t="inlineStr">
        <is>
          <t>Identified</t>
        </is>
      </c>
      <c r="AF5" s="8" t="n"/>
      <c r="AG5" s="9" t="n">
        <v>0</v>
      </c>
      <c r="AH5" s="8" t="n"/>
      <c r="AI5" s="8" t="inlineStr">
        <is>
          <t>Yes</t>
        </is>
      </c>
      <c r="AJ5" s="8" t="n"/>
      <c r="AK5" s="8" t="n"/>
      <c r="AL5" s="8" t="n"/>
      <c r="AM5" s="8" t="n"/>
      <c r="AN5" s="8" t="inlineStr">
        <is>
          <t>No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</row>
    <row r="6">
      <c r="A6">
        <f>IF(B6&lt;&gt;"", "REM-"&amp;TEXT(ROW()-1,"000"), "")</f>
        <v/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inlineStr">
        <is>
          <t>Yes</t>
        </is>
      </c>
      <c r="Q6" s="8" t="n"/>
      <c r="R6" s="8" t="n"/>
      <c r="S6" s="8" t="n"/>
      <c r="T6" s="8" t="n"/>
      <c r="U6" s="8" t="n"/>
      <c r="V6" s="8" t="n"/>
      <c r="W6" s="8" t="n"/>
      <c r="X6">
        <f>IF(L6="", "", IF(L6="Critical", "Critical", IF(AND(L6="High", F6="Critical"), "Critical", IF(L6="High", "High", IF(L6="Medium", "Medium", "Low")))))</f>
        <v/>
      </c>
      <c r="Y6" s="8" t="n"/>
      <c r="Z6" s="18">
        <f>IF(AND(N6&lt;&gt;"", X6&lt;&gt;""), IF(X6="Critical", N6+3, IF(X6="High", N6+7, IF(X6="Medium", N6+30, N6+90))), "")</f>
        <v/>
      </c>
      <c r="AA6" s="8" t="n"/>
      <c r="AB6" s="8" t="n"/>
      <c r="AC6" s="17">
        <f>IF(AND(AA6&lt;&gt;"", AB6&lt;&gt;""), AB6-AA6, "")</f>
        <v/>
      </c>
      <c r="AD6" s="17">
        <f>IF(AE6="", "", IF(OR(AE6="Completed", AE6="Closed - Fixed", AE6="Closed - Exception"), 0, IF(AND(Z6&lt;&gt;"", TODAY()&gt;Z6), TODAY()-Z6, 0)))</f>
        <v/>
      </c>
      <c r="AE6" s="8" t="inlineStr">
        <is>
          <t>Identified</t>
        </is>
      </c>
      <c r="AF6" s="8" t="n"/>
      <c r="AG6" s="9" t="n">
        <v>0</v>
      </c>
      <c r="AH6" s="8" t="n"/>
      <c r="AI6" s="8" t="inlineStr">
        <is>
          <t>Yes</t>
        </is>
      </c>
      <c r="AJ6" s="8" t="n"/>
      <c r="AK6" s="8" t="n"/>
      <c r="AL6" s="8" t="n"/>
      <c r="AM6" s="8" t="n"/>
      <c r="AN6" s="8" t="inlineStr">
        <is>
          <t>No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</row>
    <row r="7">
      <c r="A7">
        <f>IF(B7&lt;&gt;"", "REM-"&amp;TEXT(ROW()-1,"000"), 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inlineStr">
        <is>
          <t>Yes</t>
        </is>
      </c>
      <c r="Q7" s="8" t="n"/>
      <c r="R7" s="8" t="n"/>
      <c r="S7" s="8" t="n"/>
      <c r="T7" s="8" t="n"/>
      <c r="U7" s="8" t="n"/>
      <c r="V7" s="8" t="n"/>
      <c r="W7" s="8" t="n"/>
      <c r="X7">
        <f>IF(L7="", "", IF(L7="Critical", "Critical", IF(AND(L7="High", F7="Critical"), "Critical", IF(L7="High", "High", IF(L7="Medium", "Medium", "Low")))))</f>
        <v/>
      </c>
      <c r="Y7" s="8" t="n"/>
      <c r="Z7" s="18">
        <f>IF(AND(N7&lt;&gt;"", X7&lt;&gt;""), IF(X7="Critical", N7+3, IF(X7="High", N7+7, IF(X7="Medium", N7+30, N7+90))), "")</f>
        <v/>
      </c>
      <c r="AA7" s="8" t="n"/>
      <c r="AB7" s="8" t="n"/>
      <c r="AC7" s="17">
        <f>IF(AND(AA7&lt;&gt;"", AB7&lt;&gt;""), AB7-AA7, "")</f>
        <v/>
      </c>
      <c r="AD7" s="17">
        <f>IF(AE7="", "", IF(OR(AE7="Completed", AE7="Closed - Fixed", AE7="Closed - Exception"), 0, IF(AND(Z7&lt;&gt;"", TODAY()&gt;Z7), TODAY()-Z7, 0)))</f>
        <v/>
      </c>
      <c r="AE7" s="8" t="inlineStr">
        <is>
          <t>Identified</t>
        </is>
      </c>
      <c r="AF7" s="8" t="n"/>
      <c r="AG7" s="9" t="n">
        <v>0</v>
      </c>
      <c r="AH7" s="8" t="n"/>
      <c r="AI7" s="8" t="inlineStr">
        <is>
          <t>Yes</t>
        </is>
      </c>
      <c r="AJ7" s="8" t="n"/>
      <c r="AK7" s="8" t="n"/>
      <c r="AL7" s="8" t="n"/>
      <c r="AM7" s="8" t="n"/>
      <c r="AN7" s="8" t="inlineStr">
        <is>
          <t>No</t>
        </is>
      </c>
      <c r="AO7" s="8" t="n"/>
      <c r="AP7" s="8" t="n"/>
      <c r="AQ7" s="8" t="n"/>
      <c r="AR7" s="8" t="n"/>
      <c r="AS7" s="8" t="n"/>
      <c r="AT7" s="8" t="n"/>
      <c r="AU7" s="8" t="n"/>
      <c r="AV7" s="8" t="n"/>
    </row>
    <row r="8">
      <c r="A8">
        <f>IF(B8&lt;&gt;"", "REM-"&amp;TEXT(ROW()-1,"000"), "")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inlineStr">
        <is>
          <t>Yes</t>
        </is>
      </c>
      <c r="Q8" s="8" t="n"/>
      <c r="R8" s="8" t="n"/>
      <c r="S8" s="8" t="n"/>
      <c r="T8" s="8" t="n"/>
      <c r="U8" s="8" t="n"/>
      <c r="V8" s="8" t="n"/>
      <c r="W8" s="8" t="n"/>
      <c r="X8">
        <f>IF(L8="", "", IF(L8="Critical", "Critical", IF(AND(L8="High", F8="Critical"), "Critical", IF(L8="High", "High", IF(L8="Medium", "Medium", "Low")))))</f>
        <v/>
      </c>
      <c r="Y8" s="8" t="n"/>
      <c r="Z8" s="18">
        <f>IF(AND(N8&lt;&gt;"", X8&lt;&gt;""), IF(X8="Critical", N8+3, IF(X8="High", N8+7, IF(X8="Medium", N8+30, N8+90))), "")</f>
        <v/>
      </c>
      <c r="AA8" s="8" t="n"/>
      <c r="AB8" s="8" t="n"/>
      <c r="AC8" s="17">
        <f>IF(AND(AA8&lt;&gt;"", AB8&lt;&gt;""), AB8-AA8, "")</f>
        <v/>
      </c>
      <c r="AD8" s="17">
        <f>IF(AE8="", "", IF(OR(AE8="Completed", AE8="Closed - Fixed", AE8="Closed - Exception"), 0, IF(AND(Z8&lt;&gt;"", TODAY()&gt;Z8), TODAY()-Z8, 0)))</f>
        <v/>
      </c>
      <c r="AE8" s="8" t="inlineStr">
        <is>
          <t>Identified</t>
        </is>
      </c>
      <c r="AF8" s="8" t="n"/>
      <c r="AG8" s="9" t="n">
        <v>0</v>
      </c>
      <c r="AH8" s="8" t="n"/>
      <c r="AI8" s="8" t="inlineStr">
        <is>
          <t>Yes</t>
        </is>
      </c>
      <c r="AJ8" s="8" t="n"/>
      <c r="AK8" s="8" t="n"/>
      <c r="AL8" s="8" t="n"/>
      <c r="AM8" s="8" t="n"/>
      <c r="AN8" s="8" t="inlineStr">
        <is>
          <t>No</t>
        </is>
      </c>
      <c r="AO8" s="8" t="n"/>
      <c r="AP8" s="8" t="n"/>
      <c r="AQ8" s="8" t="n"/>
      <c r="AR8" s="8" t="n"/>
      <c r="AS8" s="8" t="n"/>
      <c r="AT8" s="8" t="n"/>
      <c r="AU8" s="8" t="n"/>
      <c r="AV8" s="8" t="n"/>
    </row>
    <row r="9">
      <c r="A9">
        <f>IF(B9&lt;&gt;"", "REM-"&amp;TEXT(ROW()-1,"000"), 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inlineStr">
        <is>
          <t>Yes</t>
        </is>
      </c>
      <c r="Q9" s="8" t="n"/>
      <c r="R9" s="8" t="n"/>
      <c r="S9" s="8" t="n"/>
      <c r="T9" s="8" t="n"/>
      <c r="U9" s="8" t="n"/>
      <c r="V9" s="8" t="n"/>
      <c r="W9" s="8" t="n"/>
      <c r="X9">
        <f>IF(L9="", "", IF(L9="Critical", "Critical", IF(AND(L9="High", F9="Critical"), "Critical", IF(L9="High", "High", IF(L9="Medium", "Medium", "Low")))))</f>
        <v/>
      </c>
      <c r="Y9" s="8" t="n"/>
      <c r="Z9" s="18">
        <f>IF(AND(N9&lt;&gt;"", X9&lt;&gt;""), IF(X9="Critical", N9+3, IF(X9="High", N9+7, IF(X9="Medium", N9+30, N9+90))), "")</f>
        <v/>
      </c>
      <c r="AA9" s="8" t="n"/>
      <c r="AB9" s="8" t="n"/>
      <c r="AC9" s="17">
        <f>IF(AND(AA9&lt;&gt;"", AB9&lt;&gt;""), AB9-AA9, "")</f>
        <v/>
      </c>
      <c r="AD9" s="17">
        <f>IF(AE9="", "", IF(OR(AE9="Completed", AE9="Closed - Fixed", AE9="Closed - Exception"), 0, IF(AND(Z9&lt;&gt;"", TODAY()&gt;Z9), TODAY()-Z9, 0)))</f>
        <v/>
      </c>
      <c r="AE9" s="8" t="inlineStr">
        <is>
          <t>Identified</t>
        </is>
      </c>
      <c r="AF9" s="8" t="n"/>
      <c r="AG9" s="9" t="n">
        <v>0</v>
      </c>
      <c r="AH9" s="8" t="n"/>
      <c r="AI9" s="8" t="inlineStr">
        <is>
          <t>Yes</t>
        </is>
      </c>
      <c r="AJ9" s="8" t="n"/>
      <c r="AK9" s="8" t="n"/>
      <c r="AL9" s="8" t="n"/>
      <c r="AM9" s="8" t="n"/>
      <c r="AN9" s="8" t="inlineStr">
        <is>
          <t>No</t>
        </is>
      </c>
      <c r="AO9" s="8" t="n"/>
      <c r="AP9" s="8" t="n"/>
      <c r="AQ9" s="8" t="n"/>
      <c r="AR9" s="8" t="n"/>
      <c r="AS9" s="8" t="n"/>
      <c r="AT9" s="8" t="n"/>
      <c r="AU9" s="8" t="n"/>
      <c r="AV9" s="8" t="n"/>
    </row>
    <row r="10">
      <c r="A10">
        <f>IF(B10&lt;&gt;"", "REM-"&amp;TEXT(ROW()-1,"000"), "")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inlineStr">
        <is>
          <t>Yes</t>
        </is>
      </c>
      <c r="Q10" s="8" t="n"/>
      <c r="R10" s="8" t="n"/>
      <c r="S10" s="8" t="n"/>
      <c r="T10" s="8" t="n"/>
      <c r="U10" s="8" t="n"/>
      <c r="V10" s="8" t="n"/>
      <c r="W10" s="8" t="n"/>
      <c r="X10">
        <f>IF(L10="", "", IF(L10="Critical", "Critical", IF(AND(L10="High", F10="Critical"), "Critical", IF(L10="High", "High", IF(L10="Medium", "Medium", "Low")))))</f>
        <v/>
      </c>
      <c r="Y10" s="8" t="n"/>
      <c r="Z10" s="18">
        <f>IF(AND(N10&lt;&gt;"", X10&lt;&gt;""), IF(X10="Critical", N10+3, IF(X10="High", N10+7, IF(X10="Medium", N10+30, N10+90))), "")</f>
        <v/>
      </c>
      <c r="AA10" s="8" t="n"/>
      <c r="AB10" s="8" t="n"/>
      <c r="AC10" s="17">
        <f>IF(AND(AA10&lt;&gt;"", AB10&lt;&gt;""), AB10-AA10, "")</f>
        <v/>
      </c>
      <c r="AD10" s="17">
        <f>IF(AE10="", "", IF(OR(AE10="Completed", AE10="Closed - Fixed", AE10="Closed - Exception"), 0, IF(AND(Z10&lt;&gt;"", TODAY()&gt;Z10), TODAY()-Z10, 0)))</f>
        <v/>
      </c>
      <c r="AE10" s="8" t="inlineStr">
        <is>
          <t>Identified</t>
        </is>
      </c>
      <c r="AF10" s="8" t="n"/>
      <c r="AG10" s="9" t="n">
        <v>0</v>
      </c>
      <c r="AH10" s="8" t="n"/>
      <c r="AI10" s="8" t="inlineStr">
        <is>
          <t>Yes</t>
        </is>
      </c>
      <c r="AJ10" s="8" t="n"/>
      <c r="AK10" s="8" t="n"/>
      <c r="AL10" s="8" t="n"/>
      <c r="AM10" s="8" t="n"/>
      <c r="AN10" s="8" t="inlineStr">
        <is>
          <t>No</t>
        </is>
      </c>
      <c r="AO10" s="8" t="n"/>
      <c r="AP10" s="8" t="n"/>
      <c r="AQ10" s="8" t="n"/>
      <c r="AR10" s="8" t="n"/>
      <c r="AS10" s="8" t="n"/>
      <c r="AT10" s="8" t="n"/>
      <c r="AU10" s="8" t="n"/>
      <c r="AV10" s="8" t="n"/>
    </row>
    <row r="11">
      <c r="A11">
        <f>IF(B11&lt;&gt;"", "REM-"&amp;TEXT(ROW()-1,"000"), 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inlineStr">
        <is>
          <t>Yes</t>
        </is>
      </c>
      <c r="Q11" s="8" t="n"/>
      <c r="R11" s="8" t="n"/>
      <c r="S11" s="8" t="n"/>
      <c r="T11" s="8" t="n"/>
      <c r="U11" s="8" t="n"/>
      <c r="V11" s="8" t="n"/>
      <c r="W11" s="8" t="n"/>
      <c r="X11">
        <f>IF(L11="", "", IF(L11="Critical", "Critical", IF(AND(L11="High", F11="Critical"), "Critical", IF(L11="High", "High", IF(L11="Medium", "Medium", "Low")))))</f>
        <v/>
      </c>
      <c r="Y11" s="8" t="n"/>
      <c r="Z11" s="18">
        <f>IF(AND(N11&lt;&gt;"", X11&lt;&gt;""), IF(X11="Critical", N11+3, IF(X11="High", N11+7, IF(X11="Medium", N11+30, N11+90))), "")</f>
        <v/>
      </c>
      <c r="AA11" s="8" t="n"/>
      <c r="AB11" s="8" t="n"/>
      <c r="AC11" s="17">
        <f>IF(AND(AA11&lt;&gt;"", AB11&lt;&gt;""), AB11-AA11, "")</f>
        <v/>
      </c>
      <c r="AD11" s="17">
        <f>IF(AE11="", "", IF(OR(AE11="Completed", AE11="Closed - Fixed", AE11="Closed - Exception"), 0, IF(AND(Z11&lt;&gt;"", TODAY()&gt;Z11), TODAY()-Z11, 0)))</f>
        <v/>
      </c>
      <c r="AE11" s="8" t="inlineStr">
        <is>
          <t>Identified</t>
        </is>
      </c>
      <c r="AF11" s="8" t="n"/>
      <c r="AG11" s="9" t="n">
        <v>0</v>
      </c>
      <c r="AH11" s="8" t="n"/>
      <c r="AI11" s="8" t="inlineStr">
        <is>
          <t>Yes</t>
        </is>
      </c>
      <c r="AJ11" s="8" t="n"/>
      <c r="AK11" s="8" t="n"/>
      <c r="AL11" s="8" t="n"/>
      <c r="AM11" s="8" t="n"/>
      <c r="AN11" s="8" t="inlineStr">
        <is>
          <t>No</t>
        </is>
      </c>
      <c r="AO11" s="8" t="n"/>
      <c r="AP11" s="8" t="n"/>
      <c r="AQ11" s="8" t="n"/>
      <c r="AR11" s="8" t="n"/>
      <c r="AS11" s="8" t="n"/>
      <c r="AT11" s="8" t="n"/>
      <c r="AU11" s="8" t="n"/>
      <c r="AV11" s="8" t="n"/>
    </row>
    <row r="12">
      <c r="A12">
        <f>IF(B12&lt;&gt;"", "REM-"&amp;TEXT(ROW()-1,"000"), "")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inlineStr">
        <is>
          <t>Yes</t>
        </is>
      </c>
      <c r="Q12" s="8" t="n"/>
      <c r="R12" s="8" t="n"/>
      <c r="S12" s="8" t="n"/>
      <c r="T12" s="8" t="n"/>
      <c r="U12" s="8" t="n"/>
      <c r="V12" s="8" t="n"/>
      <c r="W12" s="8" t="n"/>
      <c r="X12">
        <f>IF(L12="", "", IF(L12="Critical", "Critical", IF(AND(L12="High", F12="Critical"), "Critical", IF(L12="High", "High", IF(L12="Medium", "Medium", "Low")))))</f>
        <v/>
      </c>
      <c r="Y12" s="8" t="n"/>
      <c r="Z12" s="18">
        <f>IF(AND(N12&lt;&gt;"", X12&lt;&gt;""), IF(X12="Critical", N12+3, IF(X12="High", N12+7, IF(X12="Medium", N12+30, N12+90))), "")</f>
        <v/>
      </c>
      <c r="AA12" s="8" t="n"/>
      <c r="AB12" s="8" t="n"/>
      <c r="AC12" s="17">
        <f>IF(AND(AA12&lt;&gt;"", AB12&lt;&gt;""), AB12-AA12, "")</f>
        <v/>
      </c>
      <c r="AD12" s="17">
        <f>IF(AE12="", "", IF(OR(AE12="Completed", AE12="Closed - Fixed", AE12="Closed - Exception"), 0, IF(AND(Z12&lt;&gt;"", TODAY()&gt;Z12), TODAY()-Z12, 0)))</f>
        <v/>
      </c>
      <c r="AE12" s="8" t="inlineStr">
        <is>
          <t>Identified</t>
        </is>
      </c>
      <c r="AF12" s="8" t="n"/>
      <c r="AG12" s="9" t="n">
        <v>0</v>
      </c>
      <c r="AH12" s="8" t="n"/>
      <c r="AI12" s="8" t="inlineStr">
        <is>
          <t>Yes</t>
        </is>
      </c>
      <c r="AJ12" s="8" t="n"/>
      <c r="AK12" s="8" t="n"/>
      <c r="AL12" s="8" t="n"/>
      <c r="AM12" s="8" t="n"/>
      <c r="AN12" s="8" t="inlineStr">
        <is>
          <t>No</t>
        </is>
      </c>
      <c r="AO12" s="8" t="n"/>
      <c r="AP12" s="8" t="n"/>
      <c r="AQ12" s="8" t="n"/>
      <c r="AR12" s="8" t="n"/>
      <c r="AS12" s="8" t="n"/>
      <c r="AT12" s="8" t="n"/>
      <c r="AU12" s="8" t="n"/>
      <c r="AV12" s="8" t="n"/>
    </row>
    <row r="13">
      <c r="A13">
        <f>IF(B13&lt;&gt;"", "REM-"&amp;TEXT(ROW()-1,"000"), 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Yes</t>
        </is>
      </c>
      <c r="Q13" s="8" t="n"/>
      <c r="R13" s="8" t="n"/>
      <c r="S13" s="8" t="n"/>
      <c r="T13" s="8" t="n"/>
      <c r="U13" s="8" t="n"/>
      <c r="V13" s="8" t="n"/>
      <c r="W13" s="8" t="n"/>
      <c r="X13">
        <f>IF(L13="", "", IF(L13="Critical", "Critical", IF(AND(L13="High", F13="Critical"), "Critical", IF(L13="High", "High", IF(L13="Medium", "Medium", "Low")))))</f>
        <v/>
      </c>
      <c r="Y13" s="8" t="n"/>
      <c r="Z13" s="18">
        <f>IF(AND(N13&lt;&gt;"", X13&lt;&gt;""), IF(X13="Critical", N13+3, IF(X13="High", N13+7, IF(X13="Medium", N13+30, N13+90))), "")</f>
        <v/>
      </c>
      <c r="AA13" s="8" t="n"/>
      <c r="AB13" s="8" t="n"/>
      <c r="AC13" s="17">
        <f>IF(AND(AA13&lt;&gt;"", AB13&lt;&gt;""), AB13-AA13, "")</f>
        <v/>
      </c>
      <c r="AD13" s="17">
        <f>IF(AE13="", "", IF(OR(AE13="Completed", AE13="Closed - Fixed", AE13="Closed - Exception"), 0, IF(AND(Z13&lt;&gt;"", TODAY()&gt;Z13), TODAY()-Z13, 0)))</f>
        <v/>
      </c>
      <c r="AE13" s="8" t="inlineStr">
        <is>
          <t>Identified</t>
        </is>
      </c>
      <c r="AF13" s="8" t="n"/>
      <c r="AG13" s="9" t="n">
        <v>0</v>
      </c>
      <c r="AH13" s="8" t="n"/>
      <c r="AI13" s="8" t="inlineStr">
        <is>
          <t>Yes</t>
        </is>
      </c>
      <c r="AJ13" s="8" t="n"/>
      <c r="AK13" s="8" t="n"/>
      <c r="AL13" s="8" t="n"/>
      <c r="AM13" s="8" t="n"/>
      <c r="AN13" s="8" t="inlineStr">
        <is>
          <t>No</t>
        </is>
      </c>
      <c r="AO13" s="8" t="n"/>
      <c r="AP13" s="8" t="n"/>
      <c r="AQ13" s="8" t="n"/>
      <c r="AR13" s="8" t="n"/>
      <c r="AS13" s="8" t="n"/>
      <c r="AT13" s="8" t="n"/>
      <c r="AU13" s="8" t="n"/>
      <c r="AV13" s="8" t="n"/>
    </row>
    <row r="14">
      <c r="A14">
        <f>IF(B14&lt;&gt;"", "REM-"&amp;TEXT(ROW()-1,"000"), "")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inlineStr">
        <is>
          <t>Yes</t>
        </is>
      </c>
      <c r="Q14" s="8" t="n"/>
      <c r="R14" s="8" t="n"/>
      <c r="S14" s="8" t="n"/>
      <c r="T14" s="8" t="n"/>
      <c r="U14" s="8" t="n"/>
      <c r="V14" s="8" t="n"/>
      <c r="W14" s="8" t="n"/>
      <c r="X14">
        <f>IF(L14="", "", IF(L14="Critical", "Critical", IF(AND(L14="High", F14="Critical"), "Critical", IF(L14="High", "High", IF(L14="Medium", "Medium", "Low")))))</f>
        <v/>
      </c>
      <c r="Y14" s="8" t="n"/>
      <c r="Z14" s="18">
        <f>IF(AND(N14&lt;&gt;"", X14&lt;&gt;""), IF(X14="Critical", N14+3, IF(X14="High", N14+7, IF(X14="Medium", N14+30, N14+90))), "")</f>
        <v/>
      </c>
      <c r="AA14" s="8" t="n"/>
      <c r="AB14" s="8" t="n"/>
      <c r="AC14" s="17">
        <f>IF(AND(AA14&lt;&gt;"", AB14&lt;&gt;""), AB14-AA14, "")</f>
        <v/>
      </c>
      <c r="AD14" s="17">
        <f>IF(AE14="", "", IF(OR(AE14="Completed", AE14="Closed - Fixed", AE14="Closed - Exception"), 0, IF(AND(Z14&lt;&gt;"", TODAY()&gt;Z14), TODAY()-Z14, 0)))</f>
        <v/>
      </c>
      <c r="AE14" s="8" t="inlineStr">
        <is>
          <t>Identified</t>
        </is>
      </c>
      <c r="AF14" s="8" t="n"/>
      <c r="AG14" s="9" t="n">
        <v>0</v>
      </c>
      <c r="AH14" s="8" t="n"/>
      <c r="AI14" s="8" t="inlineStr">
        <is>
          <t>Yes</t>
        </is>
      </c>
      <c r="AJ14" s="8" t="n"/>
      <c r="AK14" s="8" t="n"/>
      <c r="AL14" s="8" t="n"/>
      <c r="AM14" s="8" t="n"/>
      <c r="AN14" s="8" t="inlineStr">
        <is>
          <t>No</t>
        </is>
      </c>
      <c r="AO14" s="8" t="n"/>
      <c r="AP14" s="8" t="n"/>
      <c r="AQ14" s="8" t="n"/>
      <c r="AR14" s="8" t="n"/>
      <c r="AS14" s="8" t="n"/>
      <c r="AT14" s="8" t="n"/>
      <c r="AU14" s="8" t="n"/>
      <c r="AV14" s="8" t="n"/>
    </row>
    <row r="15">
      <c r="A15">
        <f>IF(B15&lt;&gt;"", "REM-"&amp;TEXT(ROW()-1,"000"), 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inlineStr">
        <is>
          <t>Yes</t>
        </is>
      </c>
      <c r="Q15" s="8" t="n"/>
      <c r="R15" s="8" t="n"/>
      <c r="S15" s="8" t="n"/>
      <c r="T15" s="8" t="n"/>
      <c r="U15" s="8" t="n"/>
      <c r="V15" s="8" t="n"/>
      <c r="W15" s="8" t="n"/>
      <c r="X15">
        <f>IF(L15="", "", IF(L15="Critical", "Critical", IF(AND(L15="High", F15="Critical"), "Critical", IF(L15="High", "High", IF(L15="Medium", "Medium", "Low")))))</f>
        <v/>
      </c>
      <c r="Y15" s="8" t="n"/>
      <c r="Z15" s="18">
        <f>IF(AND(N15&lt;&gt;"", X15&lt;&gt;""), IF(X15="Critical", N15+3, IF(X15="High", N15+7, IF(X15="Medium", N15+30, N15+90))), "")</f>
        <v/>
      </c>
      <c r="AA15" s="8" t="n"/>
      <c r="AB15" s="8" t="n"/>
      <c r="AC15" s="17">
        <f>IF(AND(AA15&lt;&gt;"", AB15&lt;&gt;""), AB15-AA15, "")</f>
        <v/>
      </c>
      <c r="AD15" s="17">
        <f>IF(AE15="", "", IF(OR(AE15="Completed", AE15="Closed - Fixed", AE15="Closed - Exception"), 0, IF(AND(Z15&lt;&gt;"", TODAY()&gt;Z15), TODAY()-Z15, 0)))</f>
        <v/>
      </c>
      <c r="AE15" s="8" t="inlineStr">
        <is>
          <t>Identified</t>
        </is>
      </c>
      <c r="AF15" s="8" t="n"/>
      <c r="AG15" s="9" t="n">
        <v>0</v>
      </c>
      <c r="AH15" s="8" t="n"/>
      <c r="AI15" s="8" t="inlineStr">
        <is>
          <t>Yes</t>
        </is>
      </c>
      <c r="AJ15" s="8" t="n"/>
      <c r="AK15" s="8" t="n"/>
      <c r="AL15" s="8" t="n"/>
      <c r="AM15" s="8" t="n"/>
      <c r="AN15" s="8" t="inlineStr">
        <is>
          <t>No</t>
        </is>
      </c>
      <c r="AO15" s="8" t="n"/>
      <c r="AP15" s="8" t="n"/>
      <c r="AQ15" s="8" t="n"/>
      <c r="AR15" s="8" t="n"/>
      <c r="AS15" s="8" t="n"/>
      <c r="AT15" s="8" t="n"/>
      <c r="AU15" s="8" t="n"/>
      <c r="AV15" s="8" t="n"/>
    </row>
    <row r="16">
      <c r="A16">
        <f>IF(B16&lt;&gt;"", "REM-"&amp;TEXT(ROW()-1,"000"), "")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inlineStr">
        <is>
          <t>Yes</t>
        </is>
      </c>
      <c r="Q16" s="8" t="n"/>
      <c r="R16" s="8" t="n"/>
      <c r="S16" s="8" t="n"/>
      <c r="T16" s="8" t="n"/>
      <c r="U16" s="8" t="n"/>
      <c r="V16" s="8" t="n"/>
      <c r="W16" s="8" t="n"/>
      <c r="X16">
        <f>IF(L16="", "", IF(L16="Critical", "Critical", IF(AND(L16="High", F16="Critical"), "Critical", IF(L16="High", "High", IF(L16="Medium", "Medium", "Low")))))</f>
        <v/>
      </c>
      <c r="Y16" s="8" t="n"/>
      <c r="Z16" s="18">
        <f>IF(AND(N16&lt;&gt;"", X16&lt;&gt;""), IF(X16="Critical", N16+3, IF(X16="High", N16+7, IF(X16="Medium", N16+30, N16+90))), "")</f>
        <v/>
      </c>
      <c r="AA16" s="8" t="n"/>
      <c r="AB16" s="8" t="n"/>
      <c r="AC16" s="17">
        <f>IF(AND(AA16&lt;&gt;"", AB16&lt;&gt;""), AB16-AA16, "")</f>
        <v/>
      </c>
      <c r="AD16" s="17">
        <f>IF(AE16="", "", IF(OR(AE16="Completed", AE16="Closed - Fixed", AE16="Closed - Exception"), 0, IF(AND(Z16&lt;&gt;"", TODAY()&gt;Z16), TODAY()-Z16, 0)))</f>
        <v/>
      </c>
      <c r="AE16" s="8" t="inlineStr">
        <is>
          <t>Identified</t>
        </is>
      </c>
      <c r="AF16" s="8" t="n"/>
      <c r="AG16" s="9" t="n">
        <v>0</v>
      </c>
      <c r="AH16" s="8" t="n"/>
      <c r="AI16" s="8" t="inlineStr">
        <is>
          <t>Yes</t>
        </is>
      </c>
      <c r="AJ16" s="8" t="n"/>
      <c r="AK16" s="8" t="n"/>
      <c r="AL16" s="8" t="n"/>
      <c r="AM16" s="8" t="n"/>
      <c r="AN16" s="8" t="inlineStr">
        <is>
          <t>No</t>
        </is>
      </c>
      <c r="AO16" s="8" t="n"/>
      <c r="AP16" s="8" t="n"/>
      <c r="AQ16" s="8" t="n"/>
      <c r="AR16" s="8" t="n"/>
      <c r="AS16" s="8" t="n"/>
      <c r="AT16" s="8" t="n"/>
      <c r="AU16" s="8" t="n"/>
      <c r="AV16" s="8" t="n"/>
    </row>
    <row r="17">
      <c r="A17">
        <f>IF(B17&lt;&gt;"", "REM-"&amp;TEXT(ROW()-1,"000"), 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inlineStr">
        <is>
          <t>Yes</t>
        </is>
      </c>
      <c r="Q17" s="8" t="n"/>
      <c r="R17" s="8" t="n"/>
      <c r="S17" s="8" t="n"/>
      <c r="T17" s="8" t="n"/>
      <c r="U17" s="8" t="n"/>
      <c r="V17" s="8" t="n"/>
      <c r="W17" s="8" t="n"/>
      <c r="X17">
        <f>IF(L17="", "", IF(L17="Critical", "Critical", IF(AND(L17="High", F17="Critical"), "Critical", IF(L17="High", "High", IF(L17="Medium", "Medium", "Low")))))</f>
        <v/>
      </c>
      <c r="Y17" s="8" t="n"/>
      <c r="Z17" s="18">
        <f>IF(AND(N17&lt;&gt;"", X17&lt;&gt;""), IF(X17="Critical", N17+3, IF(X17="High", N17+7, IF(X17="Medium", N17+30, N17+90))), "")</f>
        <v/>
      </c>
      <c r="AA17" s="8" t="n"/>
      <c r="AB17" s="8" t="n"/>
      <c r="AC17" s="17">
        <f>IF(AND(AA17&lt;&gt;"", AB17&lt;&gt;""), AB17-AA17, "")</f>
        <v/>
      </c>
      <c r="AD17" s="17">
        <f>IF(AE17="", "", IF(OR(AE17="Completed", AE17="Closed - Fixed", AE17="Closed - Exception"), 0, IF(AND(Z17&lt;&gt;"", TODAY()&gt;Z17), TODAY()-Z17, 0)))</f>
        <v/>
      </c>
      <c r="AE17" s="8" t="inlineStr">
        <is>
          <t>Identified</t>
        </is>
      </c>
      <c r="AF17" s="8" t="n"/>
      <c r="AG17" s="9" t="n">
        <v>0</v>
      </c>
      <c r="AH17" s="8" t="n"/>
      <c r="AI17" s="8" t="inlineStr">
        <is>
          <t>Yes</t>
        </is>
      </c>
      <c r="AJ17" s="8" t="n"/>
      <c r="AK17" s="8" t="n"/>
      <c r="AL17" s="8" t="n"/>
      <c r="AM17" s="8" t="n"/>
      <c r="AN17" s="8" t="inlineStr">
        <is>
          <t>No</t>
        </is>
      </c>
      <c r="AO17" s="8" t="n"/>
      <c r="AP17" s="8" t="n"/>
      <c r="AQ17" s="8" t="n"/>
      <c r="AR17" s="8" t="n"/>
      <c r="AS17" s="8" t="n"/>
      <c r="AT17" s="8" t="n"/>
      <c r="AU17" s="8" t="n"/>
      <c r="AV17" s="8" t="n"/>
    </row>
    <row r="18">
      <c r="A18">
        <f>IF(B18&lt;&gt;"", "REM-"&amp;TEXT(ROW()-1,"000"), "")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inlineStr">
        <is>
          <t>Yes</t>
        </is>
      </c>
      <c r="Q18" s="8" t="n"/>
      <c r="R18" s="8" t="n"/>
      <c r="S18" s="8" t="n"/>
      <c r="T18" s="8" t="n"/>
      <c r="U18" s="8" t="n"/>
      <c r="V18" s="8" t="n"/>
      <c r="W18" s="8" t="n"/>
      <c r="X18">
        <f>IF(L18="", "", IF(L18="Critical", "Critical", IF(AND(L18="High", F18="Critical"), "Critical", IF(L18="High", "High", IF(L18="Medium", "Medium", "Low")))))</f>
        <v/>
      </c>
      <c r="Y18" s="8" t="n"/>
      <c r="Z18" s="18">
        <f>IF(AND(N18&lt;&gt;"", X18&lt;&gt;""), IF(X18="Critical", N18+3, IF(X18="High", N18+7, IF(X18="Medium", N18+30, N18+90))), "")</f>
        <v/>
      </c>
      <c r="AA18" s="8" t="n"/>
      <c r="AB18" s="8" t="n"/>
      <c r="AC18" s="17">
        <f>IF(AND(AA18&lt;&gt;"", AB18&lt;&gt;""), AB18-AA18, "")</f>
        <v/>
      </c>
      <c r="AD18" s="17">
        <f>IF(AE18="", "", IF(OR(AE18="Completed", AE18="Closed - Fixed", AE18="Closed - Exception"), 0, IF(AND(Z18&lt;&gt;"", TODAY()&gt;Z18), TODAY()-Z18, 0)))</f>
        <v/>
      </c>
      <c r="AE18" s="8" t="inlineStr">
        <is>
          <t>Identified</t>
        </is>
      </c>
      <c r="AF18" s="8" t="n"/>
      <c r="AG18" s="9" t="n">
        <v>0</v>
      </c>
      <c r="AH18" s="8" t="n"/>
      <c r="AI18" s="8" t="inlineStr">
        <is>
          <t>Yes</t>
        </is>
      </c>
      <c r="AJ18" s="8" t="n"/>
      <c r="AK18" s="8" t="n"/>
      <c r="AL18" s="8" t="n"/>
      <c r="AM18" s="8" t="n"/>
      <c r="AN18" s="8" t="inlineStr">
        <is>
          <t>No</t>
        </is>
      </c>
      <c r="AO18" s="8" t="n"/>
      <c r="AP18" s="8" t="n"/>
      <c r="AQ18" s="8" t="n"/>
      <c r="AR18" s="8" t="n"/>
      <c r="AS18" s="8" t="n"/>
      <c r="AT18" s="8" t="n"/>
      <c r="AU18" s="8" t="n"/>
      <c r="AV18" s="8" t="n"/>
    </row>
    <row r="19">
      <c r="A19">
        <f>IF(B19&lt;&gt;"", "REM-"&amp;TEXT(ROW()-1,"000"), 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inlineStr">
        <is>
          <t>Yes</t>
        </is>
      </c>
      <c r="Q19" s="8" t="n"/>
      <c r="R19" s="8" t="n"/>
      <c r="S19" s="8" t="n"/>
      <c r="T19" s="8" t="n"/>
      <c r="U19" s="8" t="n"/>
      <c r="V19" s="8" t="n"/>
      <c r="W19" s="8" t="n"/>
      <c r="X19">
        <f>IF(L19="", "", IF(L19="Critical", "Critical", IF(AND(L19="High", F19="Critical"), "Critical", IF(L19="High", "High", IF(L19="Medium", "Medium", "Low")))))</f>
        <v/>
      </c>
      <c r="Y19" s="8" t="n"/>
      <c r="Z19" s="18">
        <f>IF(AND(N19&lt;&gt;"", X19&lt;&gt;""), IF(X19="Critical", N19+3, IF(X19="High", N19+7, IF(X19="Medium", N19+30, N19+90))), "")</f>
        <v/>
      </c>
      <c r="AA19" s="8" t="n"/>
      <c r="AB19" s="8" t="n"/>
      <c r="AC19" s="17">
        <f>IF(AND(AA19&lt;&gt;"", AB19&lt;&gt;""), AB19-AA19, "")</f>
        <v/>
      </c>
      <c r="AD19" s="17">
        <f>IF(AE19="", "", IF(OR(AE19="Completed", AE19="Closed - Fixed", AE19="Closed - Exception"), 0, IF(AND(Z19&lt;&gt;"", TODAY()&gt;Z19), TODAY()-Z19, 0)))</f>
        <v/>
      </c>
      <c r="AE19" s="8" t="inlineStr">
        <is>
          <t>Identified</t>
        </is>
      </c>
      <c r="AF19" s="8" t="n"/>
      <c r="AG19" s="9" t="n">
        <v>0</v>
      </c>
      <c r="AH19" s="8" t="n"/>
      <c r="AI19" s="8" t="inlineStr">
        <is>
          <t>Yes</t>
        </is>
      </c>
      <c r="AJ19" s="8" t="n"/>
      <c r="AK19" s="8" t="n"/>
      <c r="AL19" s="8" t="n"/>
      <c r="AM19" s="8" t="n"/>
      <c r="AN19" s="8" t="inlineStr">
        <is>
          <t>No</t>
        </is>
      </c>
      <c r="AO19" s="8" t="n"/>
      <c r="AP19" s="8" t="n"/>
      <c r="AQ19" s="8" t="n"/>
      <c r="AR19" s="8" t="n"/>
      <c r="AS19" s="8" t="n"/>
      <c r="AT19" s="8" t="n"/>
      <c r="AU19" s="8" t="n"/>
      <c r="AV19" s="8" t="n"/>
    </row>
    <row r="20">
      <c r="A20">
        <f>IF(B20&lt;&gt;"", "REM-"&amp;TEXT(ROW()-1,"000"), "")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inlineStr">
        <is>
          <t>Yes</t>
        </is>
      </c>
      <c r="Q20" s="8" t="n"/>
      <c r="R20" s="8" t="n"/>
      <c r="S20" s="8" t="n"/>
      <c r="T20" s="8" t="n"/>
      <c r="U20" s="8" t="n"/>
      <c r="V20" s="8" t="n"/>
      <c r="W20" s="8" t="n"/>
      <c r="X20">
        <f>IF(L20="", "", IF(L20="Critical", "Critical", IF(AND(L20="High", F20="Critical"), "Critical", IF(L20="High", "High", IF(L20="Medium", "Medium", "Low")))))</f>
        <v/>
      </c>
      <c r="Y20" s="8" t="n"/>
      <c r="Z20" s="18">
        <f>IF(AND(N20&lt;&gt;"", X20&lt;&gt;""), IF(X20="Critical", N20+3, IF(X20="High", N20+7, IF(X20="Medium", N20+30, N20+90))), "")</f>
        <v/>
      </c>
      <c r="AA20" s="8" t="n"/>
      <c r="AB20" s="8" t="n"/>
      <c r="AC20" s="17">
        <f>IF(AND(AA20&lt;&gt;"", AB20&lt;&gt;""), AB20-AA20, "")</f>
        <v/>
      </c>
      <c r="AD20" s="17">
        <f>IF(AE20="", "", IF(OR(AE20="Completed", AE20="Closed - Fixed", AE20="Closed - Exception"), 0, IF(AND(Z20&lt;&gt;"", TODAY()&gt;Z20), TODAY()-Z20, 0)))</f>
        <v/>
      </c>
      <c r="AE20" s="8" t="inlineStr">
        <is>
          <t>Identified</t>
        </is>
      </c>
      <c r="AF20" s="8" t="n"/>
      <c r="AG20" s="9" t="n">
        <v>0</v>
      </c>
      <c r="AH20" s="8" t="n"/>
      <c r="AI20" s="8" t="inlineStr">
        <is>
          <t>Yes</t>
        </is>
      </c>
      <c r="AJ20" s="8" t="n"/>
      <c r="AK20" s="8" t="n"/>
      <c r="AL20" s="8" t="n"/>
      <c r="AM20" s="8" t="n"/>
      <c r="AN20" s="8" t="inlineStr">
        <is>
          <t>No</t>
        </is>
      </c>
      <c r="AO20" s="8" t="n"/>
      <c r="AP20" s="8" t="n"/>
      <c r="AQ20" s="8" t="n"/>
      <c r="AR20" s="8" t="n"/>
      <c r="AS20" s="8" t="n"/>
      <c r="AT20" s="8" t="n"/>
      <c r="AU20" s="8" t="n"/>
      <c r="AV20" s="8" t="n"/>
    </row>
    <row r="21">
      <c r="A21">
        <f>IF(B21&lt;&gt;"", "REM-"&amp;TEXT(ROW()-1,"000"), 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inlineStr">
        <is>
          <t>Yes</t>
        </is>
      </c>
      <c r="Q21" s="8" t="n"/>
      <c r="R21" s="8" t="n"/>
      <c r="S21" s="8" t="n"/>
      <c r="T21" s="8" t="n"/>
      <c r="U21" s="8" t="n"/>
      <c r="V21" s="8" t="n"/>
      <c r="W21" s="8" t="n"/>
      <c r="X21">
        <f>IF(L21="", "", IF(L21="Critical", "Critical", IF(AND(L21="High", F21="Critical"), "Critical", IF(L21="High", "High", IF(L21="Medium", "Medium", "Low")))))</f>
        <v/>
      </c>
      <c r="Y21" s="8" t="n"/>
      <c r="Z21" s="18">
        <f>IF(AND(N21&lt;&gt;"", X21&lt;&gt;""), IF(X21="Critical", N21+3, IF(X21="High", N21+7, IF(X21="Medium", N21+30, N21+90))), "")</f>
        <v/>
      </c>
      <c r="AA21" s="8" t="n"/>
      <c r="AB21" s="8" t="n"/>
      <c r="AC21" s="17">
        <f>IF(AND(AA21&lt;&gt;"", AB21&lt;&gt;""), AB21-AA21, "")</f>
        <v/>
      </c>
      <c r="AD21" s="17">
        <f>IF(AE21="", "", IF(OR(AE21="Completed", AE21="Closed - Fixed", AE21="Closed - Exception"), 0, IF(AND(Z21&lt;&gt;"", TODAY()&gt;Z21), TODAY()-Z21, 0)))</f>
        <v/>
      </c>
      <c r="AE21" s="8" t="inlineStr">
        <is>
          <t>Identified</t>
        </is>
      </c>
      <c r="AF21" s="8" t="n"/>
      <c r="AG21" s="9" t="n">
        <v>0</v>
      </c>
      <c r="AH21" s="8" t="n"/>
      <c r="AI21" s="8" t="inlineStr">
        <is>
          <t>Yes</t>
        </is>
      </c>
      <c r="AJ21" s="8" t="n"/>
      <c r="AK21" s="8" t="n"/>
      <c r="AL21" s="8" t="n"/>
      <c r="AM21" s="8" t="n"/>
      <c r="AN21" s="8" t="inlineStr">
        <is>
          <t>No</t>
        </is>
      </c>
      <c r="AO21" s="8" t="n"/>
      <c r="AP21" s="8" t="n"/>
      <c r="AQ21" s="8" t="n"/>
      <c r="AR21" s="8" t="n"/>
      <c r="AS21" s="8" t="n"/>
      <c r="AT21" s="8" t="n"/>
      <c r="AU21" s="8" t="n"/>
      <c r="AV21" s="8" t="n"/>
    </row>
    <row r="22">
      <c r="A22">
        <f>IF(B22&lt;&gt;"", "REM-"&amp;TEXT(ROW()-1,"000"), "")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inlineStr">
        <is>
          <t>Yes</t>
        </is>
      </c>
      <c r="Q22" s="8" t="n"/>
      <c r="R22" s="8" t="n"/>
      <c r="S22" s="8" t="n"/>
      <c r="T22" s="8" t="n"/>
      <c r="U22" s="8" t="n"/>
      <c r="V22" s="8" t="n"/>
      <c r="W22" s="8" t="n"/>
      <c r="X22">
        <f>IF(L22="", "", IF(L22="Critical", "Critical", IF(AND(L22="High", F22="Critical"), "Critical", IF(L22="High", "High", IF(L22="Medium", "Medium", "Low")))))</f>
        <v/>
      </c>
      <c r="Y22" s="8" t="n"/>
      <c r="Z22" s="18">
        <f>IF(AND(N22&lt;&gt;"", X22&lt;&gt;""), IF(X22="Critical", N22+3, IF(X22="High", N22+7, IF(X22="Medium", N22+30, N22+90))), "")</f>
        <v/>
      </c>
      <c r="AA22" s="8" t="n"/>
      <c r="AB22" s="8" t="n"/>
      <c r="AC22" s="17">
        <f>IF(AND(AA22&lt;&gt;"", AB22&lt;&gt;""), AB22-AA22, "")</f>
        <v/>
      </c>
      <c r="AD22" s="17">
        <f>IF(AE22="", "", IF(OR(AE22="Completed", AE22="Closed - Fixed", AE22="Closed - Exception"), 0, IF(AND(Z22&lt;&gt;"", TODAY()&gt;Z22), TODAY()-Z22, 0)))</f>
        <v/>
      </c>
      <c r="AE22" s="8" t="inlineStr">
        <is>
          <t>Identified</t>
        </is>
      </c>
      <c r="AF22" s="8" t="n"/>
      <c r="AG22" s="9" t="n">
        <v>0</v>
      </c>
      <c r="AH22" s="8" t="n"/>
      <c r="AI22" s="8" t="inlineStr">
        <is>
          <t>Yes</t>
        </is>
      </c>
      <c r="AJ22" s="8" t="n"/>
      <c r="AK22" s="8" t="n"/>
      <c r="AL22" s="8" t="n"/>
      <c r="AM22" s="8" t="n"/>
      <c r="AN22" s="8" t="inlineStr">
        <is>
          <t>No</t>
        </is>
      </c>
      <c r="AO22" s="8" t="n"/>
      <c r="AP22" s="8" t="n"/>
      <c r="AQ22" s="8" t="n"/>
      <c r="AR22" s="8" t="n"/>
      <c r="AS22" s="8" t="n"/>
      <c r="AT22" s="8" t="n"/>
      <c r="AU22" s="8" t="n"/>
      <c r="AV22" s="8" t="n"/>
    </row>
    <row r="23">
      <c r="A23">
        <f>IF(B23&lt;&gt;"", "REM-"&amp;TEXT(ROW()-1,"000"), 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inlineStr">
        <is>
          <t>Yes</t>
        </is>
      </c>
      <c r="Q23" s="8" t="n"/>
      <c r="R23" s="8" t="n"/>
      <c r="S23" s="8" t="n"/>
      <c r="T23" s="8" t="n"/>
      <c r="U23" s="8" t="n"/>
      <c r="V23" s="8" t="n"/>
      <c r="W23" s="8" t="n"/>
      <c r="X23">
        <f>IF(L23="", "", IF(L23="Critical", "Critical", IF(AND(L23="High", F23="Critical"), "Critical", IF(L23="High", "High", IF(L23="Medium", "Medium", "Low")))))</f>
        <v/>
      </c>
      <c r="Y23" s="8" t="n"/>
      <c r="Z23" s="18">
        <f>IF(AND(N23&lt;&gt;"", X23&lt;&gt;""), IF(X23="Critical", N23+3, IF(X23="High", N23+7, IF(X23="Medium", N23+30, N23+90))), "")</f>
        <v/>
      </c>
      <c r="AA23" s="8" t="n"/>
      <c r="AB23" s="8" t="n"/>
      <c r="AC23" s="17">
        <f>IF(AND(AA23&lt;&gt;"", AB23&lt;&gt;""), AB23-AA23, "")</f>
        <v/>
      </c>
      <c r="AD23" s="17">
        <f>IF(AE23="", "", IF(OR(AE23="Completed", AE23="Closed - Fixed", AE23="Closed - Exception"), 0, IF(AND(Z23&lt;&gt;"", TODAY()&gt;Z23), TODAY()-Z23, 0)))</f>
        <v/>
      </c>
      <c r="AE23" s="8" t="inlineStr">
        <is>
          <t>Identified</t>
        </is>
      </c>
      <c r="AF23" s="8" t="n"/>
      <c r="AG23" s="9" t="n">
        <v>0</v>
      </c>
      <c r="AH23" s="8" t="n"/>
      <c r="AI23" s="8" t="inlineStr">
        <is>
          <t>Yes</t>
        </is>
      </c>
      <c r="AJ23" s="8" t="n"/>
      <c r="AK23" s="8" t="n"/>
      <c r="AL23" s="8" t="n"/>
      <c r="AM23" s="8" t="n"/>
      <c r="AN23" s="8" t="inlineStr">
        <is>
          <t>No</t>
        </is>
      </c>
      <c r="AO23" s="8" t="n"/>
      <c r="AP23" s="8" t="n"/>
      <c r="AQ23" s="8" t="n"/>
      <c r="AR23" s="8" t="n"/>
      <c r="AS23" s="8" t="n"/>
      <c r="AT23" s="8" t="n"/>
      <c r="AU23" s="8" t="n"/>
      <c r="AV23" s="8" t="n"/>
    </row>
    <row r="24">
      <c r="A24">
        <f>IF(B24&lt;&gt;"", "REM-"&amp;TEXT(ROW()-1,"000"), "")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inlineStr">
        <is>
          <t>Yes</t>
        </is>
      </c>
      <c r="Q24" s="8" t="n"/>
      <c r="R24" s="8" t="n"/>
      <c r="S24" s="8" t="n"/>
      <c r="T24" s="8" t="n"/>
      <c r="U24" s="8" t="n"/>
      <c r="V24" s="8" t="n"/>
      <c r="W24" s="8" t="n"/>
      <c r="X24">
        <f>IF(L24="", "", IF(L24="Critical", "Critical", IF(AND(L24="High", F24="Critical"), "Critical", IF(L24="High", "High", IF(L24="Medium", "Medium", "Low")))))</f>
        <v/>
      </c>
      <c r="Y24" s="8" t="n"/>
      <c r="Z24" s="18">
        <f>IF(AND(N24&lt;&gt;"", X24&lt;&gt;""), IF(X24="Critical", N24+3, IF(X24="High", N24+7, IF(X24="Medium", N24+30, N24+90))), "")</f>
        <v/>
      </c>
      <c r="AA24" s="8" t="n"/>
      <c r="AB24" s="8" t="n"/>
      <c r="AC24" s="17">
        <f>IF(AND(AA24&lt;&gt;"", AB24&lt;&gt;""), AB24-AA24, "")</f>
        <v/>
      </c>
      <c r="AD24" s="17">
        <f>IF(AE24="", "", IF(OR(AE24="Completed", AE24="Closed - Fixed", AE24="Closed - Exception"), 0, IF(AND(Z24&lt;&gt;"", TODAY()&gt;Z24), TODAY()-Z24, 0)))</f>
        <v/>
      </c>
      <c r="AE24" s="8" t="inlineStr">
        <is>
          <t>Identified</t>
        </is>
      </c>
      <c r="AF24" s="8" t="n"/>
      <c r="AG24" s="9" t="n">
        <v>0</v>
      </c>
      <c r="AH24" s="8" t="n"/>
      <c r="AI24" s="8" t="inlineStr">
        <is>
          <t>Yes</t>
        </is>
      </c>
      <c r="AJ24" s="8" t="n"/>
      <c r="AK24" s="8" t="n"/>
      <c r="AL24" s="8" t="n"/>
      <c r="AM24" s="8" t="n"/>
      <c r="AN24" s="8" t="inlineStr">
        <is>
          <t>No</t>
        </is>
      </c>
      <c r="AO24" s="8" t="n"/>
      <c r="AP24" s="8" t="n"/>
      <c r="AQ24" s="8" t="n"/>
      <c r="AR24" s="8" t="n"/>
      <c r="AS24" s="8" t="n"/>
      <c r="AT24" s="8" t="n"/>
      <c r="AU24" s="8" t="n"/>
      <c r="AV24" s="8" t="n"/>
    </row>
    <row r="25">
      <c r="A25">
        <f>IF(B25&lt;&gt;"", "REM-"&amp;TEXT(ROW()-1,"000"), 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inlineStr">
        <is>
          <t>Yes</t>
        </is>
      </c>
      <c r="Q25" s="8" t="n"/>
      <c r="R25" s="8" t="n"/>
      <c r="S25" s="8" t="n"/>
      <c r="T25" s="8" t="n"/>
      <c r="U25" s="8" t="n"/>
      <c r="V25" s="8" t="n"/>
      <c r="W25" s="8" t="n"/>
      <c r="X25">
        <f>IF(L25="", "", IF(L25="Critical", "Critical", IF(AND(L25="High", F25="Critical"), "Critical", IF(L25="High", "High", IF(L25="Medium", "Medium", "Low")))))</f>
        <v/>
      </c>
      <c r="Y25" s="8" t="n"/>
      <c r="Z25" s="18">
        <f>IF(AND(N25&lt;&gt;"", X25&lt;&gt;""), IF(X25="Critical", N25+3, IF(X25="High", N25+7, IF(X25="Medium", N25+30, N25+90))), "")</f>
        <v/>
      </c>
      <c r="AA25" s="8" t="n"/>
      <c r="AB25" s="8" t="n"/>
      <c r="AC25" s="17">
        <f>IF(AND(AA25&lt;&gt;"", AB25&lt;&gt;""), AB25-AA25, "")</f>
        <v/>
      </c>
      <c r="AD25" s="17">
        <f>IF(AE25="", "", IF(OR(AE25="Completed", AE25="Closed - Fixed", AE25="Closed - Exception"), 0, IF(AND(Z25&lt;&gt;"", TODAY()&gt;Z25), TODAY()-Z25, 0)))</f>
        <v/>
      </c>
      <c r="AE25" s="8" t="inlineStr">
        <is>
          <t>Identified</t>
        </is>
      </c>
      <c r="AF25" s="8" t="n"/>
      <c r="AG25" s="9" t="n">
        <v>0</v>
      </c>
      <c r="AH25" s="8" t="n"/>
      <c r="AI25" s="8" t="inlineStr">
        <is>
          <t>Yes</t>
        </is>
      </c>
      <c r="AJ25" s="8" t="n"/>
      <c r="AK25" s="8" t="n"/>
      <c r="AL25" s="8" t="n"/>
      <c r="AM25" s="8" t="n"/>
      <c r="AN25" s="8" t="inlineStr">
        <is>
          <t>No</t>
        </is>
      </c>
      <c r="AO25" s="8" t="n"/>
      <c r="AP25" s="8" t="n"/>
      <c r="AQ25" s="8" t="n"/>
      <c r="AR25" s="8" t="n"/>
      <c r="AS25" s="8" t="n"/>
      <c r="AT25" s="8" t="n"/>
      <c r="AU25" s="8" t="n"/>
      <c r="AV25" s="8" t="n"/>
    </row>
    <row r="26">
      <c r="A26">
        <f>IF(B26&lt;&gt;"", "REM-"&amp;TEXT(ROW()-1,"000"), "")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inlineStr">
        <is>
          <t>Yes</t>
        </is>
      </c>
      <c r="Q26" s="8" t="n"/>
      <c r="R26" s="8" t="n"/>
      <c r="S26" s="8" t="n"/>
      <c r="T26" s="8" t="n"/>
      <c r="U26" s="8" t="n"/>
      <c r="V26" s="8" t="n"/>
      <c r="W26" s="8" t="n"/>
      <c r="X26">
        <f>IF(L26="", "", IF(L26="Critical", "Critical", IF(AND(L26="High", F26="Critical"), "Critical", IF(L26="High", "High", IF(L26="Medium", "Medium", "Low")))))</f>
        <v/>
      </c>
      <c r="Y26" s="8" t="n"/>
      <c r="Z26" s="18">
        <f>IF(AND(N26&lt;&gt;"", X26&lt;&gt;""), IF(X26="Critical", N26+3, IF(X26="High", N26+7, IF(X26="Medium", N26+30, N26+90))), "")</f>
        <v/>
      </c>
      <c r="AA26" s="8" t="n"/>
      <c r="AB26" s="8" t="n"/>
      <c r="AC26" s="17">
        <f>IF(AND(AA26&lt;&gt;"", AB26&lt;&gt;""), AB26-AA26, "")</f>
        <v/>
      </c>
      <c r="AD26" s="17">
        <f>IF(AE26="", "", IF(OR(AE26="Completed", AE26="Closed - Fixed", AE26="Closed - Exception"), 0, IF(AND(Z26&lt;&gt;"", TODAY()&gt;Z26), TODAY()-Z26, 0)))</f>
        <v/>
      </c>
      <c r="AE26" s="8" t="inlineStr">
        <is>
          <t>Identified</t>
        </is>
      </c>
      <c r="AF26" s="8" t="n"/>
      <c r="AG26" s="9" t="n">
        <v>0</v>
      </c>
      <c r="AH26" s="8" t="n"/>
      <c r="AI26" s="8" t="inlineStr">
        <is>
          <t>Yes</t>
        </is>
      </c>
      <c r="AJ26" s="8" t="n"/>
      <c r="AK26" s="8" t="n"/>
      <c r="AL26" s="8" t="n"/>
      <c r="AM26" s="8" t="n"/>
      <c r="AN26" s="8" t="inlineStr">
        <is>
          <t>No</t>
        </is>
      </c>
      <c r="AO26" s="8" t="n"/>
      <c r="AP26" s="8" t="n"/>
      <c r="AQ26" s="8" t="n"/>
      <c r="AR26" s="8" t="n"/>
      <c r="AS26" s="8" t="n"/>
      <c r="AT26" s="8" t="n"/>
      <c r="AU26" s="8" t="n"/>
      <c r="AV26" s="8" t="n"/>
    </row>
    <row r="27">
      <c r="A27">
        <f>IF(B27&lt;&gt;"", "REM-"&amp;TEXT(ROW()-1,"000"), 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inlineStr">
        <is>
          <t>Yes</t>
        </is>
      </c>
      <c r="Q27" s="8" t="n"/>
      <c r="R27" s="8" t="n"/>
      <c r="S27" s="8" t="n"/>
      <c r="T27" s="8" t="n"/>
      <c r="U27" s="8" t="n"/>
      <c r="V27" s="8" t="n"/>
      <c r="W27" s="8" t="n"/>
      <c r="X27">
        <f>IF(L27="", "", IF(L27="Critical", "Critical", IF(AND(L27="High", F27="Critical"), "Critical", IF(L27="High", "High", IF(L27="Medium", "Medium", "Low")))))</f>
        <v/>
      </c>
      <c r="Y27" s="8" t="n"/>
      <c r="Z27" s="18">
        <f>IF(AND(N27&lt;&gt;"", X27&lt;&gt;""), IF(X27="Critical", N27+3, IF(X27="High", N27+7, IF(X27="Medium", N27+30, N27+90))), "")</f>
        <v/>
      </c>
      <c r="AA27" s="8" t="n"/>
      <c r="AB27" s="8" t="n"/>
      <c r="AC27" s="17">
        <f>IF(AND(AA27&lt;&gt;"", AB27&lt;&gt;""), AB27-AA27, "")</f>
        <v/>
      </c>
      <c r="AD27" s="17">
        <f>IF(AE27="", "", IF(OR(AE27="Completed", AE27="Closed - Fixed", AE27="Closed - Exception"), 0, IF(AND(Z27&lt;&gt;"", TODAY()&gt;Z27), TODAY()-Z27, 0)))</f>
        <v/>
      </c>
      <c r="AE27" s="8" t="inlineStr">
        <is>
          <t>Identified</t>
        </is>
      </c>
      <c r="AF27" s="8" t="n"/>
      <c r="AG27" s="9" t="n">
        <v>0</v>
      </c>
      <c r="AH27" s="8" t="n"/>
      <c r="AI27" s="8" t="inlineStr">
        <is>
          <t>Yes</t>
        </is>
      </c>
      <c r="AJ27" s="8" t="n"/>
      <c r="AK27" s="8" t="n"/>
      <c r="AL27" s="8" t="n"/>
      <c r="AM27" s="8" t="n"/>
      <c r="AN27" s="8" t="inlineStr">
        <is>
          <t>No</t>
        </is>
      </c>
      <c r="AO27" s="8" t="n"/>
      <c r="AP27" s="8" t="n"/>
      <c r="AQ27" s="8" t="n"/>
      <c r="AR27" s="8" t="n"/>
      <c r="AS27" s="8" t="n"/>
      <c r="AT27" s="8" t="n"/>
      <c r="AU27" s="8" t="n"/>
      <c r="AV27" s="8" t="n"/>
    </row>
    <row r="28">
      <c r="A28">
        <f>IF(B28&lt;&gt;"", "REM-"&amp;TEXT(ROW()-1,"000"), "")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inlineStr">
        <is>
          <t>Yes</t>
        </is>
      </c>
      <c r="Q28" s="8" t="n"/>
      <c r="R28" s="8" t="n"/>
      <c r="S28" s="8" t="n"/>
      <c r="T28" s="8" t="n"/>
      <c r="U28" s="8" t="n"/>
      <c r="V28" s="8" t="n"/>
      <c r="W28" s="8" t="n"/>
      <c r="X28">
        <f>IF(L28="", "", IF(L28="Critical", "Critical", IF(AND(L28="High", F28="Critical"), "Critical", IF(L28="High", "High", IF(L28="Medium", "Medium", "Low")))))</f>
        <v/>
      </c>
      <c r="Y28" s="8" t="n"/>
      <c r="Z28" s="18">
        <f>IF(AND(N28&lt;&gt;"", X28&lt;&gt;""), IF(X28="Critical", N28+3, IF(X28="High", N28+7, IF(X28="Medium", N28+30, N28+90))), "")</f>
        <v/>
      </c>
      <c r="AA28" s="8" t="n"/>
      <c r="AB28" s="8" t="n"/>
      <c r="AC28" s="17">
        <f>IF(AND(AA28&lt;&gt;"", AB28&lt;&gt;""), AB28-AA28, "")</f>
        <v/>
      </c>
      <c r="AD28" s="17">
        <f>IF(AE28="", "", IF(OR(AE28="Completed", AE28="Closed - Fixed", AE28="Closed - Exception"), 0, IF(AND(Z28&lt;&gt;"", TODAY()&gt;Z28), TODAY()-Z28, 0)))</f>
        <v/>
      </c>
      <c r="AE28" s="8" t="inlineStr">
        <is>
          <t>Identified</t>
        </is>
      </c>
      <c r="AF28" s="8" t="n"/>
      <c r="AG28" s="9" t="n">
        <v>0</v>
      </c>
      <c r="AH28" s="8" t="n"/>
      <c r="AI28" s="8" t="inlineStr">
        <is>
          <t>Yes</t>
        </is>
      </c>
      <c r="AJ28" s="8" t="n"/>
      <c r="AK28" s="8" t="n"/>
      <c r="AL28" s="8" t="n"/>
      <c r="AM28" s="8" t="n"/>
      <c r="AN28" s="8" t="inlineStr">
        <is>
          <t>No</t>
        </is>
      </c>
      <c r="AO28" s="8" t="n"/>
      <c r="AP28" s="8" t="n"/>
      <c r="AQ28" s="8" t="n"/>
      <c r="AR28" s="8" t="n"/>
      <c r="AS28" s="8" t="n"/>
      <c r="AT28" s="8" t="n"/>
      <c r="AU28" s="8" t="n"/>
      <c r="AV28" s="8" t="n"/>
    </row>
    <row r="29">
      <c r="A29">
        <f>IF(B29&lt;&gt;"", "REM-"&amp;TEXT(ROW()-1,"000"), 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inlineStr">
        <is>
          <t>Yes</t>
        </is>
      </c>
      <c r="Q29" s="8" t="n"/>
      <c r="R29" s="8" t="n"/>
      <c r="S29" s="8" t="n"/>
      <c r="T29" s="8" t="n"/>
      <c r="U29" s="8" t="n"/>
      <c r="V29" s="8" t="n"/>
      <c r="W29" s="8" t="n"/>
      <c r="X29">
        <f>IF(L29="", "", IF(L29="Critical", "Critical", IF(AND(L29="High", F29="Critical"), "Critical", IF(L29="High", "High", IF(L29="Medium", "Medium", "Low")))))</f>
        <v/>
      </c>
      <c r="Y29" s="8" t="n"/>
      <c r="Z29" s="18">
        <f>IF(AND(N29&lt;&gt;"", X29&lt;&gt;""), IF(X29="Critical", N29+3, IF(X29="High", N29+7, IF(X29="Medium", N29+30, N29+90))), "")</f>
        <v/>
      </c>
      <c r="AA29" s="8" t="n"/>
      <c r="AB29" s="8" t="n"/>
      <c r="AC29" s="17">
        <f>IF(AND(AA29&lt;&gt;"", AB29&lt;&gt;""), AB29-AA29, "")</f>
        <v/>
      </c>
      <c r="AD29" s="17">
        <f>IF(AE29="", "", IF(OR(AE29="Completed", AE29="Closed - Fixed", AE29="Closed - Exception"), 0, IF(AND(Z29&lt;&gt;"", TODAY()&gt;Z29), TODAY()-Z29, 0)))</f>
        <v/>
      </c>
      <c r="AE29" s="8" t="inlineStr">
        <is>
          <t>Identified</t>
        </is>
      </c>
      <c r="AF29" s="8" t="n"/>
      <c r="AG29" s="9" t="n">
        <v>0</v>
      </c>
      <c r="AH29" s="8" t="n"/>
      <c r="AI29" s="8" t="inlineStr">
        <is>
          <t>Yes</t>
        </is>
      </c>
      <c r="AJ29" s="8" t="n"/>
      <c r="AK29" s="8" t="n"/>
      <c r="AL29" s="8" t="n"/>
      <c r="AM29" s="8" t="n"/>
      <c r="AN29" s="8" t="inlineStr">
        <is>
          <t>No</t>
        </is>
      </c>
      <c r="AO29" s="8" t="n"/>
      <c r="AP29" s="8" t="n"/>
      <c r="AQ29" s="8" t="n"/>
      <c r="AR29" s="8" t="n"/>
      <c r="AS29" s="8" t="n"/>
      <c r="AT29" s="8" t="n"/>
      <c r="AU29" s="8" t="n"/>
      <c r="AV29" s="8" t="n"/>
    </row>
    <row r="30">
      <c r="A30">
        <f>IF(B30&lt;&gt;"", "REM-"&amp;TEXT(ROW()-1,"000"), "")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inlineStr">
        <is>
          <t>Yes</t>
        </is>
      </c>
      <c r="Q30" s="8" t="n"/>
      <c r="R30" s="8" t="n"/>
      <c r="S30" s="8" t="n"/>
      <c r="T30" s="8" t="n"/>
      <c r="U30" s="8" t="n"/>
      <c r="V30" s="8" t="n"/>
      <c r="W30" s="8" t="n"/>
      <c r="X30">
        <f>IF(L30="", "", IF(L30="Critical", "Critical", IF(AND(L30="High", F30="Critical"), "Critical", IF(L30="High", "High", IF(L30="Medium", "Medium", "Low")))))</f>
        <v/>
      </c>
      <c r="Y30" s="8" t="n"/>
      <c r="Z30" s="18">
        <f>IF(AND(N30&lt;&gt;"", X30&lt;&gt;""), IF(X30="Critical", N30+3, IF(X30="High", N30+7, IF(X30="Medium", N30+30, N30+90))), "")</f>
        <v/>
      </c>
      <c r="AA30" s="8" t="n"/>
      <c r="AB30" s="8" t="n"/>
      <c r="AC30" s="17">
        <f>IF(AND(AA30&lt;&gt;"", AB30&lt;&gt;""), AB30-AA30, "")</f>
        <v/>
      </c>
      <c r="AD30" s="17">
        <f>IF(AE30="", "", IF(OR(AE30="Completed", AE30="Closed - Fixed", AE30="Closed - Exception"), 0, IF(AND(Z30&lt;&gt;"", TODAY()&gt;Z30), TODAY()-Z30, 0)))</f>
        <v/>
      </c>
      <c r="AE30" s="8" t="inlineStr">
        <is>
          <t>Identified</t>
        </is>
      </c>
      <c r="AF30" s="8" t="n"/>
      <c r="AG30" s="9" t="n">
        <v>0</v>
      </c>
      <c r="AH30" s="8" t="n"/>
      <c r="AI30" s="8" t="inlineStr">
        <is>
          <t>Yes</t>
        </is>
      </c>
      <c r="AJ30" s="8" t="n"/>
      <c r="AK30" s="8" t="n"/>
      <c r="AL30" s="8" t="n"/>
      <c r="AM30" s="8" t="n"/>
      <c r="AN30" s="8" t="inlineStr">
        <is>
          <t>No</t>
        </is>
      </c>
      <c r="AO30" s="8" t="n"/>
      <c r="AP30" s="8" t="n"/>
      <c r="AQ30" s="8" t="n"/>
      <c r="AR30" s="8" t="n"/>
      <c r="AS30" s="8" t="n"/>
      <c r="AT30" s="8" t="n"/>
      <c r="AU30" s="8" t="n"/>
      <c r="AV30" s="8" t="n"/>
    </row>
    <row r="31">
      <c r="A31">
        <f>IF(B31&lt;&gt;"", "REM-"&amp;TEXT(ROW()-1,"000"), 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inlineStr">
        <is>
          <t>Yes</t>
        </is>
      </c>
      <c r="Q31" s="8" t="n"/>
      <c r="R31" s="8" t="n"/>
      <c r="S31" s="8" t="n"/>
      <c r="T31" s="8" t="n"/>
      <c r="U31" s="8" t="n"/>
      <c r="V31" s="8" t="n"/>
      <c r="W31" s="8" t="n"/>
      <c r="X31">
        <f>IF(L31="", "", IF(L31="Critical", "Critical", IF(AND(L31="High", F31="Critical"), "Critical", IF(L31="High", "High", IF(L31="Medium", "Medium", "Low")))))</f>
        <v/>
      </c>
      <c r="Y31" s="8" t="n"/>
      <c r="Z31" s="18">
        <f>IF(AND(N31&lt;&gt;"", X31&lt;&gt;""), IF(X31="Critical", N31+3, IF(X31="High", N31+7, IF(X31="Medium", N31+30, N31+90))), "")</f>
        <v/>
      </c>
      <c r="AA31" s="8" t="n"/>
      <c r="AB31" s="8" t="n"/>
      <c r="AC31" s="17">
        <f>IF(AND(AA31&lt;&gt;"", AB31&lt;&gt;""), AB31-AA31, "")</f>
        <v/>
      </c>
      <c r="AD31" s="17">
        <f>IF(AE31="", "", IF(OR(AE31="Completed", AE31="Closed - Fixed", AE31="Closed - Exception"), 0, IF(AND(Z31&lt;&gt;"", TODAY()&gt;Z31), TODAY()-Z31, 0)))</f>
        <v/>
      </c>
      <c r="AE31" s="8" t="inlineStr">
        <is>
          <t>Identified</t>
        </is>
      </c>
      <c r="AF31" s="8" t="n"/>
      <c r="AG31" s="9" t="n">
        <v>0</v>
      </c>
      <c r="AH31" s="8" t="n"/>
      <c r="AI31" s="8" t="inlineStr">
        <is>
          <t>Yes</t>
        </is>
      </c>
      <c r="AJ31" s="8" t="n"/>
      <c r="AK31" s="8" t="n"/>
      <c r="AL31" s="8" t="n"/>
      <c r="AM31" s="8" t="n"/>
      <c r="AN31" s="8" t="inlineStr">
        <is>
          <t>No</t>
        </is>
      </c>
      <c r="AO31" s="8" t="n"/>
      <c r="AP31" s="8" t="n"/>
      <c r="AQ31" s="8" t="n"/>
      <c r="AR31" s="8" t="n"/>
      <c r="AS31" s="8" t="n"/>
      <c r="AT31" s="8" t="n"/>
      <c r="AU31" s="8" t="n"/>
      <c r="AV31" s="8" t="n"/>
    </row>
    <row r="32">
      <c r="A32">
        <f>IF(B32&lt;&gt;"", "REM-"&amp;TEXT(ROW()-1,"000"), "")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inlineStr">
        <is>
          <t>Yes</t>
        </is>
      </c>
      <c r="Q32" s="8" t="n"/>
      <c r="R32" s="8" t="n"/>
      <c r="S32" s="8" t="n"/>
      <c r="T32" s="8" t="n"/>
      <c r="U32" s="8" t="n"/>
      <c r="V32" s="8" t="n"/>
      <c r="W32" s="8" t="n"/>
      <c r="X32">
        <f>IF(L32="", "", IF(L32="Critical", "Critical", IF(AND(L32="High", F32="Critical"), "Critical", IF(L32="High", "High", IF(L32="Medium", "Medium", "Low")))))</f>
        <v/>
      </c>
      <c r="Y32" s="8" t="n"/>
      <c r="Z32" s="18">
        <f>IF(AND(N32&lt;&gt;"", X32&lt;&gt;""), IF(X32="Critical", N32+3, IF(X32="High", N32+7, IF(X32="Medium", N32+30, N32+90))), "")</f>
        <v/>
      </c>
      <c r="AA32" s="8" t="n"/>
      <c r="AB32" s="8" t="n"/>
      <c r="AC32" s="17">
        <f>IF(AND(AA32&lt;&gt;"", AB32&lt;&gt;""), AB32-AA32, "")</f>
        <v/>
      </c>
      <c r="AD32" s="17">
        <f>IF(AE32="", "", IF(OR(AE32="Completed", AE32="Closed - Fixed", AE32="Closed - Exception"), 0, IF(AND(Z32&lt;&gt;"", TODAY()&gt;Z32), TODAY()-Z32, 0)))</f>
        <v/>
      </c>
      <c r="AE32" s="8" t="inlineStr">
        <is>
          <t>Identified</t>
        </is>
      </c>
      <c r="AF32" s="8" t="n"/>
      <c r="AG32" s="9" t="n">
        <v>0</v>
      </c>
      <c r="AH32" s="8" t="n"/>
      <c r="AI32" s="8" t="inlineStr">
        <is>
          <t>Yes</t>
        </is>
      </c>
      <c r="AJ32" s="8" t="n"/>
      <c r="AK32" s="8" t="n"/>
      <c r="AL32" s="8" t="n"/>
      <c r="AM32" s="8" t="n"/>
      <c r="AN32" s="8" t="inlineStr">
        <is>
          <t>No</t>
        </is>
      </c>
      <c r="AO32" s="8" t="n"/>
      <c r="AP32" s="8" t="n"/>
      <c r="AQ32" s="8" t="n"/>
      <c r="AR32" s="8" t="n"/>
      <c r="AS32" s="8" t="n"/>
      <c r="AT32" s="8" t="n"/>
      <c r="AU32" s="8" t="n"/>
      <c r="AV32" s="8" t="n"/>
    </row>
    <row r="33">
      <c r="A33">
        <f>IF(B33&lt;&gt;"", "REM-"&amp;TEXT(ROW()-1,"000"), 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inlineStr">
        <is>
          <t>Yes</t>
        </is>
      </c>
      <c r="Q33" s="8" t="n"/>
      <c r="R33" s="8" t="n"/>
      <c r="S33" s="8" t="n"/>
      <c r="T33" s="8" t="n"/>
      <c r="U33" s="8" t="n"/>
      <c r="V33" s="8" t="n"/>
      <c r="W33" s="8" t="n"/>
      <c r="X33">
        <f>IF(L33="", "", IF(L33="Critical", "Critical", IF(AND(L33="High", F33="Critical"), "Critical", IF(L33="High", "High", IF(L33="Medium", "Medium", "Low")))))</f>
        <v/>
      </c>
      <c r="Y33" s="8" t="n"/>
      <c r="Z33" s="18">
        <f>IF(AND(N33&lt;&gt;"", X33&lt;&gt;""), IF(X33="Critical", N33+3, IF(X33="High", N33+7, IF(X33="Medium", N33+30, N33+90))), "")</f>
        <v/>
      </c>
      <c r="AA33" s="8" t="n"/>
      <c r="AB33" s="8" t="n"/>
      <c r="AC33" s="17">
        <f>IF(AND(AA33&lt;&gt;"", AB33&lt;&gt;""), AB33-AA33, "")</f>
        <v/>
      </c>
      <c r="AD33" s="17">
        <f>IF(AE33="", "", IF(OR(AE33="Completed", AE33="Closed - Fixed", AE33="Closed - Exception"), 0, IF(AND(Z33&lt;&gt;"", TODAY()&gt;Z33), TODAY()-Z33, 0)))</f>
        <v/>
      </c>
      <c r="AE33" s="8" t="inlineStr">
        <is>
          <t>Identified</t>
        </is>
      </c>
      <c r="AF33" s="8" t="n"/>
      <c r="AG33" s="9" t="n">
        <v>0</v>
      </c>
      <c r="AH33" s="8" t="n"/>
      <c r="AI33" s="8" t="inlineStr">
        <is>
          <t>Yes</t>
        </is>
      </c>
      <c r="AJ33" s="8" t="n"/>
      <c r="AK33" s="8" t="n"/>
      <c r="AL33" s="8" t="n"/>
      <c r="AM33" s="8" t="n"/>
      <c r="AN33" s="8" t="inlineStr">
        <is>
          <t>No</t>
        </is>
      </c>
      <c r="AO33" s="8" t="n"/>
      <c r="AP33" s="8" t="n"/>
      <c r="AQ33" s="8" t="n"/>
      <c r="AR33" s="8" t="n"/>
      <c r="AS33" s="8" t="n"/>
      <c r="AT33" s="8" t="n"/>
      <c r="AU33" s="8" t="n"/>
      <c r="AV33" s="8" t="n"/>
    </row>
    <row r="34">
      <c r="A34">
        <f>IF(B34&lt;&gt;"", "REM-"&amp;TEXT(ROW()-1,"000"), "")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inlineStr">
        <is>
          <t>Yes</t>
        </is>
      </c>
      <c r="Q34" s="8" t="n"/>
      <c r="R34" s="8" t="n"/>
      <c r="S34" s="8" t="n"/>
      <c r="T34" s="8" t="n"/>
      <c r="U34" s="8" t="n"/>
      <c r="V34" s="8" t="n"/>
      <c r="W34" s="8" t="n"/>
      <c r="X34">
        <f>IF(L34="", "", IF(L34="Critical", "Critical", IF(AND(L34="High", F34="Critical"), "Critical", IF(L34="High", "High", IF(L34="Medium", "Medium", "Low")))))</f>
        <v/>
      </c>
      <c r="Y34" s="8" t="n"/>
      <c r="Z34" s="18">
        <f>IF(AND(N34&lt;&gt;"", X34&lt;&gt;""), IF(X34="Critical", N34+3, IF(X34="High", N34+7, IF(X34="Medium", N34+30, N34+90))), "")</f>
        <v/>
      </c>
      <c r="AA34" s="8" t="n"/>
      <c r="AB34" s="8" t="n"/>
      <c r="AC34" s="17">
        <f>IF(AND(AA34&lt;&gt;"", AB34&lt;&gt;""), AB34-AA34, "")</f>
        <v/>
      </c>
      <c r="AD34" s="17">
        <f>IF(AE34="", "", IF(OR(AE34="Completed", AE34="Closed - Fixed", AE34="Closed - Exception"), 0, IF(AND(Z34&lt;&gt;"", TODAY()&gt;Z34), TODAY()-Z34, 0)))</f>
        <v/>
      </c>
      <c r="AE34" s="8" t="inlineStr">
        <is>
          <t>Identified</t>
        </is>
      </c>
      <c r="AF34" s="8" t="n"/>
      <c r="AG34" s="9" t="n">
        <v>0</v>
      </c>
      <c r="AH34" s="8" t="n"/>
      <c r="AI34" s="8" t="inlineStr">
        <is>
          <t>Yes</t>
        </is>
      </c>
      <c r="AJ34" s="8" t="n"/>
      <c r="AK34" s="8" t="n"/>
      <c r="AL34" s="8" t="n"/>
      <c r="AM34" s="8" t="n"/>
      <c r="AN34" s="8" t="inlineStr">
        <is>
          <t>No</t>
        </is>
      </c>
      <c r="AO34" s="8" t="n"/>
      <c r="AP34" s="8" t="n"/>
      <c r="AQ34" s="8" t="n"/>
      <c r="AR34" s="8" t="n"/>
      <c r="AS34" s="8" t="n"/>
      <c r="AT34" s="8" t="n"/>
      <c r="AU34" s="8" t="n"/>
      <c r="AV34" s="8" t="n"/>
    </row>
    <row r="35">
      <c r="A35">
        <f>IF(B35&lt;&gt;"", "REM-"&amp;TEXT(ROW()-1,"000"), 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inlineStr">
        <is>
          <t>Yes</t>
        </is>
      </c>
      <c r="Q35" s="8" t="n"/>
      <c r="R35" s="8" t="n"/>
      <c r="S35" s="8" t="n"/>
      <c r="T35" s="8" t="n"/>
      <c r="U35" s="8" t="n"/>
      <c r="V35" s="8" t="n"/>
      <c r="W35" s="8" t="n"/>
      <c r="X35">
        <f>IF(L35="", "", IF(L35="Critical", "Critical", IF(AND(L35="High", F35="Critical"), "Critical", IF(L35="High", "High", IF(L35="Medium", "Medium", "Low")))))</f>
        <v/>
      </c>
      <c r="Y35" s="8" t="n"/>
      <c r="Z35" s="18">
        <f>IF(AND(N35&lt;&gt;"", X35&lt;&gt;""), IF(X35="Critical", N35+3, IF(X35="High", N35+7, IF(X35="Medium", N35+30, N35+90))), "")</f>
        <v/>
      </c>
      <c r="AA35" s="8" t="n"/>
      <c r="AB35" s="8" t="n"/>
      <c r="AC35" s="17">
        <f>IF(AND(AA35&lt;&gt;"", AB35&lt;&gt;""), AB35-AA35, "")</f>
        <v/>
      </c>
      <c r="AD35" s="17">
        <f>IF(AE35="", "", IF(OR(AE35="Completed", AE35="Closed - Fixed", AE35="Closed - Exception"), 0, IF(AND(Z35&lt;&gt;"", TODAY()&gt;Z35), TODAY()-Z35, 0)))</f>
        <v/>
      </c>
      <c r="AE35" s="8" t="inlineStr">
        <is>
          <t>Identified</t>
        </is>
      </c>
      <c r="AF35" s="8" t="n"/>
      <c r="AG35" s="9" t="n">
        <v>0</v>
      </c>
      <c r="AH35" s="8" t="n"/>
      <c r="AI35" s="8" t="inlineStr">
        <is>
          <t>Yes</t>
        </is>
      </c>
      <c r="AJ35" s="8" t="n"/>
      <c r="AK35" s="8" t="n"/>
      <c r="AL35" s="8" t="n"/>
      <c r="AM35" s="8" t="n"/>
      <c r="AN35" s="8" t="inlineStr">
        <is>
          <t>No</t>
        </is>
      </c>
      <c r="AO35" s="8" t="n"/>
      <c r="AP35" s="8" t="n"/>
      <c r="AQ35" s="8" t="n"/>
      <c r="AR35" s="8" t="n"/>
      <c r="AS35" s="8" t="n"/>
      <c r="AT35" s="8" t="n"/>
      <c r="AU35" s="8" t="n"/>
      <c r="AV35" s="8" t="n"/>
    </row>
    <row r="36">
      <c r="A36">
        <f>IF(B36&lt;&gt;"", "REM-"&amp;TEXT(ROW()-1,"000"), "")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inlineStr">
        <is>
          <t>Yes</t>
        </is>
      </c>
      <c r="Q36" s="8" t="n"/>
      <c r="R36" s="8" t="n"/>
      <c r="S36" s="8" t="n"/>
      <c r="T36" s="8" t="n"/>
      <c r="U36" s="8" t="n"/>
      <c r="V36" s="8" t="n"/>
      <c r="W36" s="8" t="n"/>
      <c r="X36">
        <f>IF(L36="", "", IF(L36="Critical", "Critical", IF(AND(L36="High", F36="Critical"), "Critical", IF(L36="High", "High", IF(L36="Medium", "Medium", "Low")))))</f>
        <v/>
      </c>
      <c r="Y36" s="8" t="n"/>
      <c r="Z36" s="18">
        <f>IF(AND(N36&lt;&gt;"", X36&lt;&gt;""), IF(X36="Critical", N36+3, IF(X36="High", N36+7, IF(X36="Medium", N36+30, N36+90))), "")</f>
        <v/>
      </c>
      <c r="AA36" s="8" t="n"/>
      <c r="AB36" s="8" t="n"/>
      <c r="AC36" s="17">
        <f>IF(AND(AA36&lt;&gt;"", AB36&lt;&gt;""), AB36-AA36, "")</f>
        <v/>
      </c>
      <c r="AD36" s="17">
        <f>IF(AE36="", "", IF(OR(AE36="Completed", AE36="Closed - Fixed", AE36="Closed - Exception"), 0, IF(AND(Z36&lt;&gt;"", TODAY()&gt;Z36), TODAY()-Z36, 0)))</f>
        <v/>
      </c>
      <c r="AE36" s="8" t="inlineStr">
        <is>
          <t>Identified</t>
        </is>
      </c>
      <c r="AF36" s="8" t="n"/>
      <c r="AG36" s="9" t="n">
        <v>0</v>
      </c>
      <c r="AH36" s="8" t="n"/>
      <c r="AI36" s="8" t="inlineStr">
        <is>
          <t>Yes</t>
        </is>
      </c>
      <c r="AJ36" s="8" t="n"/>
      <c r="AK36" s="8" t="n"/>
      <c r="AL36" s="8" t="n"/>
      <c r="AM36" s="8" t="n"/>
      <c r="AN36" s="8" t="inlineStr">
        <is>
          <t>No</t>
        </is>
      </c>
      <c r="AO36" s="8" t="n"/>
      <c r="AP36" s="8" t="n"/>
      <c r="AQ36" s="8" t="n"/>
      <c r="AR36" s="8" t="n"/>
      <c r="AS36" s="8" t="n"/>
      <c r="AT36" s="8" t="n"/>
      <c r="AU36" s="8" t="n"/>
      <c r="AV36" s="8" t="n"/>
    </row>
    <row r="37">
      <c r="A37">
        <f>IF(B37&lt;&gt;"", "REM-"&amp;TEXT(ROW()-1,"000"), 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inlineStr">
        <is>
          <t>Yes</t>
        </is>
      </c>
      <c r="Q37" s="8" t="n"/>
      <c r="R37" s="8" t="n"/>
      <c r="S37" s="8" t="n"/>
      <c r="T37" s="8" t="n"/>
      <c r="U37" s="8" t="n"/>
      <c r="V37" s="8" t="n"/>
      <c r="W37" s="8" t="n"/>
      <c r="X37">
        <f>IF(L37="", "", IF(L37="Critical", "Critical", IF(AND(L37="High", F37="Critical"), "Critical", IF(L37="High", "High", IF(L37="Medium", "Medium", "Low")))))</f>
        <v/>
      </c>
      <c r="Y37" s="8" t="n"/>
      <c r="Z37" s="18">
        <f>IF(AND(N37&lt;&gt;"", X37&lt;&gt;""), IF(X37="Critical", N37+3, IF(X37="High", N37+7, IF(X37="Medium", N37+30, N37+90))), "")</f>
        <v/>
      </c>
      <c r="AA37" s="8" t="n"/>
      <c r="AB37" s="8" t="n"/>
      <c r="AC37" s="17">
        <f>IF(AND(AA37&lt;&gt;"", AB37&lt;&gt;""), AB37-AA37, "")</f>
        <v/>
      </c>
      <c r="AD37" s="17">
        <f>IF(AE37="", "", IF(OR(AE37="Completed", AE37="Closed - Fixed", AE37="Closed - Exception"), 0, IF(AND(Z37&lt;&gt;"", TODAY()&gt;Z37), TODAY()-Z37, 0)))</f>
        <v/>
      </c>
      <c r="AE37" s="8" t="inlineStr">
        <is>
          <t>Identified</t>
        </is>
      </c>
      <c r="AF37" s="8" t="n"/>
      <c r="AG37" s="9" t="n">
        <v>0</v>
      </c>
      <c r="AH37" s="8" t="n"/>
      <c r="AI37" s="8" t="inlineStr">
        <is>
          <t>Yes</t>
        </is>
      </c>
      <c r="AJ37" s="8" t="n"/>
      <c r="AK37" s="8" t="n"/>
      <c r="AL37" s="8" t="n"/>
      <c r="AM37" s="8" t="n"/>
      <c r="AN37" s="8" t="inlineStr">
        <is>
          <t>No</t>
        </is>
      </c>
      <c r="AO37" s="8" t="n"/>
      <c r="AP37" s="8" t="n"/>
      <c r="AQ37" s="8" t="n"/>
      <c r="AR37" s="8" t="n"/>
      <c r="AS37" s="8" t="n"/>
      <c r="AT37" s="8" t="n"/>
      <c r="AU37" s="8" t="n"/>
      <c r="AV37" s="8" t="n"/>
    </row>
    <row r="38">
      <c r="A38">
        <f>IF(B38&lt;&gt;"", "REM-"&amp;TEXT(ROW()-1,"000"), "")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inlineStr">
        <is>
          <t>Yes</t>
        </is>
      </c>
      <c r="Q38" s="8" t="n"/>
      <c r="R38" s="8" t="n"/>
      <c r="S38" s="8" t="n"/>
      <c r="T38" s="8" t="n"/>
      <c r="U38" s="8" t="n"/>
      <c r="V38" s="8" t="n"/>
      <c r="W38" s="8" t="n"/>
      <c r="X38">
        <f>IF(L38="", "", IF(L38="Critical", "Critical", IF(AND(L38="High", F38="Critical"), "Critical", IF(L38="High", "High", IF(L38="Medium", "Medium", "Low")))))</f>
        <v/>
      </c>
      <c r="Y38" s="8" t="n"/>
      <c r="Z38" s="18">
        <f>IF(AND(N38&lt;&gt;"", X38&lt;&gt;""), IF(X38="Critical", N38+3, IF(X38="High", N38+7, IF(X38="Medium", N38+30, N38+90))), "")</f>
        <v/>
      </c>
      <c r="AA38" s="8" t="n"/>
      <c r="AB38" s="8" t="n"/>
      <c r="AC38" s="17">
        <f>IF(AND(AA38&lt;&gt;"", AB38&lt;&gt;""), AB38-AA38, "")</f>
        <v/>
      </c>
      <c r="AD38" s="17">
        <f>IF(AE38="", "", IF(OR(AE38="Completed", AE38="Closed - Fixed", AE38="Closed - Exception"), 0, IF(AND(Z38&lt;&gt;"", TODAY()&gt;Z38), TODAY()-Z38, 0)))</f>
        <v/>
      </c>
      <c r="AE38" s="8" t="inlineStr">
        <is>
          <t>Identified</t>
        </is>
      </c>
      <c r="AF38" s="8" t="n"/>
      <c r="AG38" s="9" t="n">
        <v>0</v>
      </c>
      <c r="AH38" s="8" t="n"/>
      <c r="AI38" s="8" t="inlineStr">
        <is>
          <t>Yes</t>
        </is>
      </c>
      <c r="AJ38" s="8" t="n"/>
      <c r="AK38" s="8" t="n"/>
      <c r="AL38" s="8" t="n"/>
      <c r="AM38" s="8" t="n"/>
      <c r="AN38" s="8" t="inlineStr">
        <is>
          <t>No</t>
        </is>
      </c>
      <c r="AO38" s="8" t="n"/>
      <c r="AP38" s="8" t="n"/>
      <c r="AQ38" s="8" t="n"/>
      <c r="AR38" s="8" t="n"/>
      <c r="AS38" s="8" t="n"/>
      <c r="AT38" s="8" t="n"/>
      <c r="AU38" s="8" t="n"/>
      <c r="AV38" s="8" t="n"/>
    </row>
    <row r="39">
      <c r="A39">
        <f>IF(B39&lt;&gt;"", "REM-"&amp;TEXT(ROW()-1,"000"), 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inlineStr">
        <is>
          <t>Yes</t>
        </is>
      </c>
      <c r="Q39" s="8" t="n"/>
      <c r="R39" s="8" t="n"/>
      <c r="S39" s="8" t="n"/>
      <c r="T39" s="8" t="n"/>
      <c r="U39" s="8" t="n"/>
      <c r="V39" s="8" t="n"/>
      <c r="W39" s="8" t="n"/>
      <c r="X39">
        <f>IF(L39="", "", IF(L39="Critical", "Critical", IF(AND(L39="High", F39="Critical"), "Critical", IF(L39="High", "High", IF(L39="Medium", "Medium", "Low")))))</f>
        <v/>
      </c>
      <c r="Y39" s="8" t="n"/>
      <c r="Z39" s="18">
        <f>IF(AND(N39&lt;&gt;"", X39&lt;&gt;""), IF(X39="Critical", N39+3, IF(X39="High", N39+7, IF(X39="Medium", N39+30, N39+90))), "")</f>
        <v/>
      </c>
      <c r="AA39" s="8" t="n"/>
      <c r="AB39" s="8" t="n"/>
      <c r="AC39" s="17">
        <f>IF(AND(AA39&lt;&gt;"", AB39&lt;&gt;""), AB39-AA39, "")</f>
        <v/>
      </c>
      <c r="AD39" s="17">
        <f>IF(AE39="", "", IF(OR(AE39="Completed", AE39="Closed - Fixed", AE39="Closed - Exception"), 0, IF(AND(Z39&lt;&gt;"", TODAY()&gt;Z39), TODAY()-Z39, 0)))</f>
        <v/>
      </c>
      <c r="AE39" s="8" t="inlineStr">
        <is>
          <t>Identified</t>
        </is>
      </c>
      <c r="AF39" s="8" t="n"/>
      <c r="AG39" s="9" t="n">
        <v>0</v>
      </c>
      <c r="AH39" s="8" t="n"/>
      <c r="AI39" s="8" t="inlineStr">
        <is>
          <t>Yes</t>
        </is>
      </c>
      <c r="AJ39" s="8" t="n"/>
      <c r="AK39" s="8" t="n"/>
      <c r="AL39" s="8" t="n"/>
      <c r="AM39" s="8" t="n"/>
      <c r="AN39" s="8" t="inlineStr">
        <is>
          <t>No</t>
        </is>
      </c>
      <c r="AO39" s="8" t="n"/>
      <c r="AP39" s="8" t="n"/>
      <c r="AQ39" s="8" t="n"/>
      <c r="AR39" s="8" t="n"/>
      <c r="AS39" s="8" t="n"/>
      <c r="AT39" s="8" t="n"/>
      <c r="AU39" s="8" t="n"/>
      <c r="AV39" s="8" t="n"/>
    </row>
    <row r="40">
      <c r="A40">
        <f>IF(B40&lt;&gt;"", "REM-"&amp;TEXT(ROW()-1,"000"), "")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inlineStr">
        <is>
          <t>Yes</t>
        </is>
      </c>
      <c r="Q40" s="8" t="n"/>
      <c r="R40" s="8" t="n"/>
      <c r="S40" s="8" t="n"/>
      <c r="T40" s="8" t="n"/>
      <c r="U40" s="8" t="n"/>
      <c r="V40" s="8" t="n"/>
      <c r="W40" s="8" t="n"/>
      <c r="X40">
        <f>IF(L40="", "", IF(L40="Critical", "Critical", IF(AND(L40="High", F40="Critical"), "Critical", IF(L40="High", "High", IF(L40="Medium", "Medium", "Low")))))</f>
        <v/>
      </c>
      <c r="Y40" s="8" t="n"/>
      <c r="Z40" s="18">
        <f>IF(AND(N40&lt;&gt;"", X40&lt;&gt;""), IF(X40="Critical", N40+3, IF(X40="High", N40+7, IF(X40="Medium", N40+30, N40+90))), "")</f>
        <v/>
      </c>
      <c r="AA40" s="8" t="n"/>
      <c r="AB40" s="8" t="n"/>
      <c r="AC40" s="17">
        <f>IF(AND(AA40&lt;&gt;"", AB40&lt;&gt;""), AB40-AA40, "")</f>
        <v/>
      </c>
      <c r="AD40" s="17">
        <f>IF(AE40="", "", IF(OR(AE40="Completed", AE40="Closed - Fixed", AE40="Closed - Exception"), 0, IF(AND(Z40&lt;&gt;"", TODAY()&gt;Z40), TODAY()-Z40, 0)))</f>
        <v/>
      </c>
      <c r="AE40" s="8" t="inlineStr">
        <is>
          <t>Identified</t>
        </is>
      </c>
      <c r="AF40" s="8" t="n"/>
      <c r="AG40" s="9" t="n">
        <v>0</v>
      </c>
      <c r="AH40" s="8" t="n"/>
      <c r="AI40" s="8" t="inlineStr">
        <is>
          <t>Yes</t>
        </is>
      </c>
      <c r="AJ40" s="8" t="n"/>
      <c r="AK40" s="8" t="n"/>
      <c r="AL40" s="8" t="n"/>
      <c r="AM40" s="8" t="n"/>
      <c r="AN40" s="8" t="inlineStr">
        <is>
          <t>No</t>
        </is>
      </c>
      <c r="AO40" s="8" t="n"/>
      <c r="AP40" s="8" t="n"/>
      <c r="AQ40" s="8" t="n"/>
      <c r="AR40" s="8" t="n"/>
      <c r="AS40" s="8" t="n"/>
      <c r="AT40" s="8" t="n"/>
      <c r="AU40" s="8" t="n"/>
      <c r="AV40" s="8" t="n"/>
    </row>
    <row r="41">
      <c r="A41">
        <f>IF(B41&lt;&gt;"", "REM-"&amp;TEXT(ROW()-1,"000"), 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inlineStr">
        <is>
          <t>Yes</t>
        </is>
      </c>
      <c r="Q41" s="8" t="n"/>
      <c r="R41" s="8" t="n"/>
      <c r="S41" s="8" t="n"/>
      <c r="T41" s="8" t="n"/>
      <c r="U41" s="8" t="n"/>
      <c r="V41" s="8" t="n"/>
      <c r="W41" s="8" t="n"/>
      <c r="X41">
        <f>IF(L41="", "", IF(L41="Critical", "Critical", IF(AND(L41="High", F41="Critical"), "Critical", IF(L41="High", "High", IF(L41="Medium", "Medium", "Low")))))</f>
        <v/>
      </c>
      <c r="Y41" s="8" t="n"/>
      <c r="Z41" s="18">
        <f>IF(AND(N41&lt;&gt;"", X41&lt;&gt;""), IF(X41="Critical", N41+3, IF(X41="High", N41+7, IF(X41="Medium", N41+30, N41+90))), "")</f>
        <v/>
      </c>
      <c r="AA41" s="8" t="n"/>
      <c r="AB41" s="8" t="n"/>
      <c r="AC41" s="17">
        <f>IF(AND(AA41&lt;&gt;"", AB41&lt;&gt;""), AB41-AA41, "")</f>
        <v/>
      </c>
      <c r="AD41" s="17">
        <f>IF(AE41="", "", IF(OR(AE41="Completed", AE41="Closed - Fixed", AE41="Closed - Exception"), 0, IF(AND(Z41&lt;&gt;"", TODAY()&gt;Z41), TODAY()-Z41, 0)))</f>
        <v/>
      </c>
      <c r="AE41" s="8" t="inlineStr">
        <is>
          <t>Identified</t>
        </is>
      </c>
      <c r="AF41" s="8" t="n"/>
      <c r="AG41" s="9" t="n">
        <v>0</v>
      </c>
      <c r="AH41" s="8" t="n"/>
      <c r="AI41" s="8" t="inlineStr">
        <is>
          <t>Yes</t>
        </is>
      </c>
      <c r="AJ41" s="8" t="n"/>
      <c r="AK41" s="8" t="n"/>
      <c r="AL41" s="8" t="n"/>
      <c r="AM41" s="8" t="n"/>
      <c r="AN41" s="8" t="inlineStr">
        <is>
          <t>No</t>
        </is>
      </c>
      <c r="AO41" s="8" t="n"/>
      <c r="AP41" s="8" t="n"/>
      <c r="AQ41" s="8" t="n"/>
      <c r="AR41" s="8" t="n"/>
      <c r="AS41" s="8" t="n"/>
      <c r="AT41" s="8" t="n"/>
      <c r="AU41" s="8" t="n"/>
      <c r="AV41" s="8" t="n"/>
    </row>
    <row r="42">
      <c r="A42">
        <f>IF(B42&lt;&gt;"", "REM-"&amp;TEXT(ROW()-1,"000"), "")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inlineStr">
        <is>
          <t>Yes</t>
        </is>
      </c>
      <c r="Q42" s="8" t="n"/>
      <c r="R42" s="8" t="n"/>
      <c r="S42" s="8" t="n"/>
      <c r="T42" s="8" t="n"/>
      <c r="U42" s="8" t="n"/>
      <c r="V42" s="8" t="n"/>
      <c r="W42" s="8" t="n"/>
      <c r="X42">
        <f>IF(L42="", "", IF(L42="Critical", "Critical", IF(AND(L42="High", F42="Critical"), "Critical", IF(L42="High", "High", IF(L42="Medium", "Medium", "Low")))))</f>
        <v/>
      </c>
      <c r="Y42" s="8" t="n"/>
      <c r="Z42" s="18">
        <f>IF(AND(N42&lt;&gt;"", X42&lt;&gt;""), IF(X42="Critical", N42+3, IF(X42="High", N42+7, IF(X42="Medium", N42+30, N42+90))), "")</f>
        <v/>
      </c>
      <c r="AA42" s="8" t="n"/>
      <c r="AB42" s="8" t="n"/>
      <c r="AC42" s="17">
        <f>IF(AND(AA42&lt;&gt;"", AB42&lt;&gt;""), AB42-AA42, "")</f>
        <v/>
      </c>
      <c r="AD42" s="17">
        <f>IF(AE42="", "", IF(OR(AE42="Completed", AE42="Closed - Fixed", AE42="Closed - Exception"), 0, IF(AND(Z42&lt;&gt;"", TODAY()&gt;Z42), TODAY()-Z42, 0)))</f>
        <v/>
      </c>
      <c r="AE42" s="8" t="inlineStr">
        <is>
          <t>Identified</t>
        </is>
      </c>
      <c r="AF42" s="8" t="n"/>
      <c r="AG42" s="9" t="n">
        <v>0</v>
      </c>
      <c r="AH42" s="8" t="n"/>
      <c r="AI42" s="8" t="inlineStr">
        <is>
          <t>Yes</t>
        </is>
      </c>
      <c r="AJ42" s="8" t="n"/>
      <c r="AK42" s="8" t="n"/>
      <c r="AL42" s="8" t="n"/>
      <c r="AM42" s="8" t="n"/>
      <c r="AN42" s="8" t="inlineStr">
        <is>
          <t>No</t>
        </is>
      </c>
      <c r="AO42" s="8" t="n"/>
      <c r="AP42" s="8" t="n"/>
      <c r="AQ42" s="8" t="n"/>
      <c r="AR42" s="8" t="n"/>
      <c r="AS42" s="8" t="n"/>
      <c r="AT42" s="8" t="n"/>
      <c r="AU42" s="8" t="n"/>
      <c r="AV42" s="8" t="n"/>
    </row>
    <row r="43">
      <c r="A43">
        <f>IF(B43&lt;&gt;"", "REM-"&amp;TEXT(ROW()-1,"000"), 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inlineStr">
        <is>
          <t>Yes</t>
        </is>
      </c>
      <c r="Q43" s="8" t="n"/>
      <c r="R43" s="8" t="n"/>
      <c r="S43" s="8" t="n"/>
      <c r="T43" s="8" t="n"/>
      <c r="U43" s="8" t="n"/>
      <c r="V43" s="8" t="n"/>
      <c r="W43" s="8" t="n"/>
      <c r="X43">
        <f>IF(L43="", "", IF(L43="Critical", "Critical", IF(AND(L43="High", F43="Critical"), "Critical", IF(L43="High", "High", IF(L43="Medium", "Medium", "Low")))))</f>
        <v/>
      </c>
      <c r="Y43" s="8" t="n"/>
      <c r="Z43" s="18">
        <f>IF(AND(N43&lt;&gt;"", X43&lt;&gt;""), IF(X43="Critical", N43+3, IF(X43="High", N43+7, IF(X43="Medium", N43+30, N43+90))), "")</f>
        <v/>
      </c>
      <c r="AA43" s="8" t="n"/>
      <c r="AB43" s="8" t="n"/>
      <c r="AC43" s="17">
        <f>IF(AND(AA43&lt;&gt;"", AB43&lt;&gt;""), AB43-AA43, "")</f>
        <v/>
      </c>
      <c r="AD43" s="17">
        <f>IF(AE43="", "", IF(OR(AE43="Completed", AE43="Closed - Fixed", AE43="Closed - Exception"), 0, IF(AND(Z43&lt;&gt;"", TODAY()&gt;Z43), TODAY()-Z43, 0)))</f>
        <v/>
      </c>
      <c r="AE43" s="8" t="inlineStr">
        <is>
          <t>Identified</t>
        </is>
      </c>
      <c r="AF43" s="8" t="n"/>
      <c r="AG43" s="9" t="n">
        <v>0</v>
      </c>
      <c r="AH43" s="8" t="n"/>
      <c r="AI43" s="8" t="inlineStr">
        <is>
          <t>Yes</t>
        </is>
      </c>
      <c r="AJ43" s="8" t="n"/>
      <c r="AK43" s="8" t="n"/>
      <c r="AL43" s="8" t="n"/>
      <c r="AM43" s="8" t="n"/>
      <c r="AN43" s="8" t="inlineStr">
        <is>
          <t>No</t>
        </is>
      </c>
      <c r="AO43" s="8" t="n"/>
      <c r="AP43" s="8" t="n"/>
      <c r="AQ43" s="8" t="n"/>
      <c r="AR43" s="8" t="n"/>
      <c r="AS43" s="8" t="n"/>
      <c r="AT43" s="8" t="n"/>
      <c r="AU43" s="8" t="n"/>
      <c r="AV43" s="8" t="n"/>
    </row>
    <row r="44">
      <c r="A44">
        <f>IF(B44&lt;&gt;"", "REM-"&amp;TEXT(ROW()-1,"000"), "")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inlineStr">
        <is>
          <t>Yes</t>
        </is>
      </c>
      <c r="Q44" s="8" t="n"/>
      <c r="R44" s="8" t="n"/>
      <c r="S44" s="8" t="n"/>
      <c r="T44" s="8" t="n"/>
      <c r="U44" s="8" t="n"/>
      <c r="V44" s="8" t="n"/>
      <c r="W44" s="8" t="n"/>
      <c r="X44">
        <f>IF(L44="", "", IF(L44="Critical", "Critical", IF(AND(L44="High", F44="Critical"), "Critical", IF(L44="High", "High", IF(L44="Medium", "Medium", "Low")))))</f>
        <v/>
      </c>
      <c r="Y44" s="8" t="n"/>
      <c r="Z44" s="18">
        <f>IF(AND(N44&lt;&gt;"", X44&lt;&gt;""), IF(X44="Critical", N44+3, IF(X44="High", N44+7, IF(X44="Medium", N44+30, N44+90))), "")</f>
        <v/>
      </c>
      <c r="AA44" s="8" t="n"/>
      <c r="AB44" s="8" t="n"/>
      <c r="AC44" s="17">
        <f>IF(AND(AA44&lt;&gt;"", AB44&lt;&gt;""), AB44-AA44, "")</f>
        <v/>
      </c>
      <c r="AD44" s="17">
        <f>IF(AE44="", "", IF(OR(AE44="Completed", AE44="Closed - Fixed", AE44="Closed - Exception"), 0, IF(AND(Z44&lt;&gt;"", TODAY()&gt;Z44), TODAY()-Z44, 0)))</f>
        <v/>
      </c>
      <c r="AE44" s="8" t="inlineStr">
        <is>
          <t>Identified</t>
        </is>
      </c>
      <c r="AF44" s="8" t="n"/>
      <c r="AG44" s="9" t="n">
        <v>0</v>
      </c>
      <c r="AH44" s="8" t="n"/>
      <c r="AI44" s="8" t="inlineStr">
        <is>
          <t>Yes</t>
        </is>
      </c>
      <c r="AJ44" s="8" t="n"/>
      <c r="AK44" s="8" t="n"/>
      <c r="AL44" s="8" t="n"/>
      <c r="AM44" s="8" t="n"/>
      <c r="AN44" s="8" t="inlineStr">
        <is>
          <t>No</t>
        </is>
      </c>
      <c r="AO44" s="8" t="n"/>
      <c r="AP44" s="8" t="n"/>
      <c r="AQ44" s="8" t="n"/>
      <c r="AR44" s="8" t="n"/>
      <c r="AS44" s="8" t="n"/>
      <c r="AT44" s="8" t="n"/>
      <c r="AU44" s="8" t="n"/>
      <c r="AV44" s="8" t="n"/>
    </row>
    <row r="45">
      <c r="A45">
        <f>IF(B45&lt;&gt;"", "REM-"&amp;TEXT(ROW()-1,"000"), 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inlineStr">
        <is>
          <t>Yes</t>
        </is>
      </c>
      <c r="Q45" s="8" t="n"/>
      <c r="R45" s="8" t="n"/>
      <c r="S45" s="8" t="n"/>
      <c r="T45" s="8" t="n"/>
      <c r="U45" s="8" t="n"/>
      <c r="V45" s="8" t="n"/>
      <c r="W45" s="8" t="n"/>
      <c r="X45">
        <f>IF(L45="", "", IF(L45="Critical", "Critical", IF(AND(L45="High", F45="Critical"), "Critical", IF(L45="High", "High", IF(L45="Medium", "Medium", "Low")))))</f>
        <v/>
      </c>
      <c r="Y45" s="8" t="n"/>
      <c r="Z45" s="18">
        <f>IF(AND(N45&lt;&gt;"", X45&lt;&gt;""), IF(X45="Critical", N45+3, IF(X45="High", N45+7, IF(X45="Medium", N45+30, N45+90))), "")</f>
        <v/>
      </c>
      <c r="AA45" s="8" t="n"/>
      <c r="AB45" s="8" t="n"/>
      <c r="AC45" s="17">
        <f>IF(AND(AA45&lt;&gt;"", AB45&lt;&gt;""), AB45-AA45, "")</f>
        <v/>
      </c>
      <c r="AD45" s="17">
        <f>IF(AE45="", "", IF(OR(AE45="Completed", AE45="Closed - Fixed", AE45="Closed - Exception"), 0, IF(AND(Z45&lt;&gt;"", TODAY()&gt;Z45), TODAY()-Z45, 0)))</f>
        <v/>
      </c>
      <c r="AE45" s="8" t="inlineStr">
        <is>
          <t>Identified</t>
        </is>
      </c>
      <c r="AF45" s="8" t="n"/>
      <c r="AG45" s="9" t="n">
        <v>0</v>
      </c>
      <c r="AH45" s="8" t="n"/>
      <c r="AI45" s="8" t="inlineStr">
        <is>
          <t>Yes</t>
        </is>
      </c>
      <c r="AJ45" s="8" t="n"/>
      <c r="AK45" s="8" t="n"/>
      <c r="AL45" s="8" t="n"/>
      <c r="AM45" s="8" t="n"/>
      <c r="AN45" s="8" t="inlineStr">
        <is>
          <t>No</t>
        </is>
      </c>
      <c r="AO45" s="8" t="n"/>
      <c r="AP45" s="8" t="n"/>
      <c r="AQ45" s="8" t="n"/>
      <c r="AR45" s="8" t="n"/>
      <c r="AS45" s="8" t="n"/>
      <c r="AT45" s="8" t="n"/>
      <c r="AU45" s="8" t="n"/>
      <c r="AV45" s="8" t="n"/>
    </row>
    <row r="46">
      <c r="A46">
        <f>IF(B46&lt;&gt;"", "REM-"&amp;TEXT(ROW()-1,"000"), "")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inlineStr">
        <is>
          <t>Yes</t>
        </is>
      </c>
      <c r="Q46" s="8" t="n"/>
      <c r="R46" s="8" t="n"/>
      <c r="S46" s="8" t="n"/>
      <c r="T46" s="8" t="n"/>
      <c r="U46" s="8" t="n"/>
      <c r="V46" s="8" t="n"/>
      <c r="W46" s="8" t="n"/>
      <c r="X46">
        <f>IF(L46="", "", IF(L46="Critical", "Critical", IF(AND(L46="High", F46="Critical"), "Critical", IF(L46="High", "High", IF(L46="Medium", "Medium", "Low")))))</f>
        <v/>
      </c>
      <c r="Y46" s="8" t="n"/>
      <c r="Z46" s="18">
        <f>IF(AND(N46&lt;&gt;"", X46&lt;&gt;""), IF(X46="Critical", N46+3, IF(X46="High", N46+7, IF(X46="Medium", N46+30, N46+90))), "")</f>
        <v/>
      </c>
      <c r="AA46" s="8" t="n"/>
      <c r="AB46" s="8" t="n"/>
      <c r="AC46" s="17">
        <f>IF(AND(AA46&lt;&gt;"", AB46&lt;&gt;""), AB46-AA46, "")</f>
        <v/>
      </c>
      <c r="AD46" s="17">
        <f>IF(AE46="", "", IF(OR(AE46="Completed", AE46="Closed - Fixed", AE46="Closed - Exception"), 0, IF(AND(Z46&lt;&gt;"", TODAY()&gt;Z46), TODAY()-Z46, 0)))</f>
        <v/>
      </c>
      <c r="AE46" s="8" t="inlineStr">
        <is>
          <t>Identified</t>
        </is>
      </c>
      <c r="AF46" s="8" t="n"/>
      <c r="AG46" s="9" t="n">
        <v>0</v>
      </c>
      <c r="AH46" s="8" t="n"/>
      <c r="AI46" s="8" t="inlineStr">
        <is>
          <t>Yes</t>
        </is>
      </c>
      <c r="AJ46" s="8" t="n"/>
      <c r="AK46" s="8" t="n"/>
      <c r="AL46" s="8" t="n"/>
      <c r="AM46" s="8" t="n"/>
      <c r="AN46" s="8" t="inlineStr">
        <is>
          <t>No</t>
        </is>
      </c>
      <c r="AO46" s="8" t="n"/>
      <c r="AP46" s="8" t="n"/>
      <c r="AQ46" s="8" t="n"/>
      <c r="AR46" s="8" t="n"/>
      <c r="AS46" s="8" t="n"/>
      <c r="AT46" s="8" t="n"/>
      <c r="AU46" s="8" t="n"/>
      <c r="AV46" s="8" t="n"/>
    </row>
    <row r="47">
      <c r="A47">
        <f>IF(B47&lt;&gt;"", "REM-"&amp;TEXT(ROW()-1,"000"), 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inlineStr">
        <is>
          <t>Yes</t>
        </is>
      </c>
      <c r="Q47" s="8" t="n"/>
      <c r="R47" s="8" t="n"/>
      <c r="S47" s="8" t="n"/>
      <c r="T47" s="8" t="n"/>
      <c r="U47" s="8" t="n"/>
      <c r="V47" s="8" t="n"/>
      <c r="W47" s="8" t="n"/>
      <c r="X47">
        <f>IF(L47="", "", IF(L47="Critical", "Critical", IF(AND(L47="High", F47="Critical"), "Critical", IF(L47="High", "High", IF(L47="Medium", "Medium", "Low")))))</f>
        <v/>
      </c>
      <c r="Y47" s="8" t="n"/>
      <c r="Z47" s="18">
        <f>IF(AND(N47&lt;&gt;"", X47&lt;&gt;""), IF(X47="Critical", N47+3, IF(X47="High", N47+7, IF(X47="Medium", N47+30, N47+90))), "")</f>
        <v/>
      </c>
      <c r="AA47" s="8" t="n"/>
      <c r="AB47" s="8" t="n"/>
      <c r="AC47" s="17">
        <f>IF(AND(AA47&lt;&gt;"", AB47&lt;&gt;""), AB47-AA47, "")</f>
        <v/>
      </c>
      <c r="AD47" s="17">
        <f>IF(AE47="", "", IF(OR(AE47="Completed", AE47="Closed - Fixed", AE47="Closed - Exception"), 0, IF(AND(Z47&lt;&gt;"", TODAY()&gt;Z47), TODAY()-Z47, 0)))</f>
        <v/>
      </c>
      <c r="AE47" s="8" t="inlineStr">
        <is>
          <t>Identified</t>
        </is>
      </c>
      <c r="AF47" s="8" t="n"/>
      <c r="AG47" s="9" t="n">
        <v>0</v>
      </c>
      <c r="AH47" s="8" t="n"/>
      <c r="AI47" s="8" t="inlineStr">
        <is>
          <t>Yes</t>
        </is>
      </c>
      <c r="AJ47" s="8" t="n"/>
      <c r="AK47" s="8" t="n"/>
      <c r="AL47" s="8" t="n"/>
      <c r="AM47" s="8" t="n"/>
      <c r="AN47" s="8" t="inlineStr">
        <is>
          <t>No</t>
        </is>
      </c>
      <c r="AO47" s="8" t="n"/>
      <c r="AP47" s="8" t="n"/>
      <c r="AQ47" s="8" t="n"/>
      <c r="AR47" s="8" t="n"/>
      <c r="AS47" s="8" t="n"/>
      <c r="AT47" s="8" t="n"/>
      <c r="AU47" s="8" t="n"/>
      <c r="AV47" s="8" t="n"/>
    </row>
    <row r="48">
      <c r="A48">
        <f>IF(B48&lt;&gt;"", "REM-"&amp;TEXT(ROW()-1,"000"), "")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inlineStr">
        <is>
          <t>Yes</t>
        </is>
      </c>
      <c r="Q48" s="8" t="n"/>
      <c r="R48" s="8" t="n"/>
      <c r="S48" s="8" t="n"/>
      <c r="T48" s="8" t="n"/>
      <c r="U48" s="8" t="n"/>
      <c r="V48" s="8" t="n"/>
      <c r="W48" s="8" t="n"/>
      <c r="X48">
        <f>IF(L48="", "", IF(L48="Critical", "Critical", IF(AND(L48="High", F48="Critical"), "Critical", IF(L48="High", "High", IF(L48="Medium", "Medium", "Low")))))</f>
        <v/>
      </c>
      <c r="Y48" s="8" t="n"/>
      <c r="Z48" s="18">
        <f>IF(AND(N48&lt;&gt;"", X48&lt;&gt;""), IF(X48="Critical", N48+3, IF(X48="High", N48+7, IF(X48="Medium", N48+30, N48+90))), "")</f>
        <v/>
      </c>
      <c r="AA48" s="8" t="n"/>
      <c r="AB48" s="8" t="n"/>
      <c r="AC48" s="17">
        <f>IF(AND(AA48&lt;&gt;"", AB48&lt;&gt;""), AB48-AA48, "")</f>
        <v/>
      </c>
      <c r="AD48" s="17">
        <f>IF(AE48="", "", IF(OR(AE48="Completed", AE48="Closed - Fixed", AE48="Closed - Exception"), 0, IF(AND(Z48&lt;&gt;"", TODAY()&gt;Z48), TODAY()-Z48, 0)))</f>
        <v/>
      </c>
      <c r="AE48" s="8" t="inlineStr">
        <is>
          <t>Identified</t>
        </is>
      </c>
      <c r="AF48" s="8" t="n"/>
      <c r="AG48" s="9" t="n">
        <v>0</v>
      </c>
      <c r="AH48" s="8" t="n"/>
      <c r="AI48" s="8" t="inlineStr">
        <is>
          <t>Yes</t>
        </is>
      </c>
      <c r="AJ48" s="8" t="n"/>
      <c r="AK48" s="8" t="n"/>
      <c r="AL48" s="8" t="n"/>
      <c r="AM48" s="8" t="n"/>
      <c r="AN48" s="8" t="inlineStr">
        <is>
          <t>No</t>
        </is>
      </c>
      <c r="AO48" s="8" t="n"/>
      <c r="AP48" s="8" t="n"/>
      <c r="AQ48" s="8" t="n"/>
      <c r="AR48" s="8" t="n"/>
      <c r="AS48" s="8" t="n"/>
      <c r="AT48" s="8" t="n"/>
      <c r="AU48" s="8" t="n"/>
      <c r="AV48" s="8" t="n"/>
    </row>
    <row r="49">
      <c r="A49">
        <f>IF(B49&lt;&gt;"", "REM-"&amp;TEXT(ROW()-1,"000"), 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inlineStr">
        <is>
          <t>Yes</t>
        </is>
      </c>
      <c r="Q49" s="8" t="n"/>
      <c r="R49" s="8" t="n"/>
      <c r="S49" s="8" t="n"/>
      <c r="T49" s="8" t="n"/>
      <c r="U49" s="8" t="n"/>
      <c r="V49" s="8" t="n"/>
      <c r="W49" s="8" t="n"/>
      <c r="X49">
        <f>IF(L49="", "", IF(L49="Critical", "Critical", IF(AND(L49="High", F49="Critical"), "Critical", IF(L49="High", "High", IF(L49="Medium", "Medium", "Low")))))</f>
        <v/>
      </c>
      <c r="Y49" s="8" t="n"/>
      <c r="Z49" s="18">
        <f>IF(AND(N49&lt;&gt;"", X49&lt;&gt;""), IF(X49="Critical", N49+3, IF(X49="High", N49+7, IF(X49="Medium", N49+30, N49+90))), "")</f>
        <v/>
      </c>
      <c r="AA49" s="8" t="n"/>
      <c r="AB49" s="8" t="n"/>
      <c r="AC49" s="17">
        <f>IF(AND(AA49&lt;&gt;"", AB49&lt;&gt;""), AB49-AA49, "")</f>
        <v/>
      </c>
      <c r="AD49" s="17">
        <f>IF(AE49="", "", IF(OR(AE49="Completed", AE49="Closed - Fixed", AE49="Closed - Exception"), 0, IF(AND(Z49&lt;&gt;"", TODAY()&gt;Z49), TODAY()-Z49, 0)))</f>
        <v/>
      </c>
      <c r="AE49" s="8" t="inlineStr">
        <is>
          <t>Identified</t>
        </is>
      </c>
      <c r="AF49" s="8" t="n"/>
      <c r="AG49" s="9" t="n">
        <v>0</v>
      </c>
      <c r="AH49" s="8" t="n"/>
      <c r="AI49" s="8" t="inlineStr">
        <is>
          <t>Yes</t>
        </is>
      </c>
      <c r="AJ49" s="8" t="n"/>
      <c r="AK49" s="8" t="n"/>
      <c r="AL49" s="8" t="n"/>
      <c r="AM49" s="8" t="n"/>
      <c r="AN49" s="8" t="inlineStr">
        <is>
          <t>No</t>
        </is>
      </c>
      <c r="AO49" s="8" t="n"/>
      <c r="AP49" s="8" t="n"/>
      <c r="AQ49" s="8" t="n"/>
      <c r="AR49" s="8" t="n"/>
      <c r="AS49" s="8" t="n"/>
      <c r="AT49" s="8" t="n"/>
      <c r="AU49" s="8" t="n"/>
      <c r="AV49" s="8" t="n"/>
    </row>
    <row r="50">
      <c r="A50">
        <f>IF(B50&lt;&gt;"", "REM-"&amp;TEXT(ROW()-1,"000"), "")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inlineStr">
        <is>
          <t>Yes</t>
        </is>
      </c>
      <c r="Q50" s="8" t="n"/>
      <c r="R50" s="8" t="n"/>
      <c r="S50" s="8" t="n"/>
      <c r="T50" s="8" t="n"/>
      <c r="U50" s="8" t="n"/>
      <c r="V50" s="8" t="n"/>
      <c r="W50" s="8" t="n"/>
      <c r="X50">
        <f>IF(L50="", "", IF(L50="Critical", "Critical", IF(AND(L50="High", F50="Critical"), "Critical", IF(L50="High", "High", IF(L50="Medium", "Medium", "Low")))))</f>
        <v/>
      </c>
      <c r="Y50" s="8" t="n"/>
      <c r="Z50" s="18">
        <f>IF(AND(N50&lt;&gt;"", X50&lt;&gt;""), IF(X50="Critical", N50+3, IF(X50="High", N50+7, IF(X50="Medium", N50+30, N50+90))), "")</f>
        <v/>
      </c>
      <c r="AA50" s="8" t="n"/>
      <c r="AB50" s="8" t="n"/>
      <c r="AC50" s="17">
        <f>IF(AND(AA50&lt;&gt;"", AB50&lt;&gt;""), AB50-AA50, "")</f>
        <v/>
      </c>
      <c r="AD50" s="17">
        <f>IF(AE50="", "", IF(OR(AE50="Completed", AE50="Closed - Fixed", AE50="Closed - Exception"), 0, IF(AND(Z50&lt;&gt;"", TODAY()&gt;Z50), TODAY()-Z50, 0)))</f>
        <v/>
      </c>
      <c r="AE50" s="8" t="inlineStr">
        <is>
          <t>Identified</t>
        </is>
      </c>
      <c r="AF50" s="8" t="n"/>
      <c r="AG50" s="9" t="n">
        <v>0</v>
      </c>
      <c r="AH50" s="8" t="n"/>
      <c r="AI50" s="8" t="inlineStr">
        <is>
          <t>Yes</t>
        </is>
      </c>
      <c r="AJ50" s="8" t="n"/>
      <c r="AK50" s="8" t="n"/>
      <c r="AL50" s="8" t="n"/>
      <c r="AM50" s="8" t="n"/>
      <c r="AN50" s="8" t="inlineStr">
        <is>
          <t>No</t>
        </is>
      </c>
      <c r="AO50" s="8" t="n"/>
      <c r="AP50" s="8" t="n"/>
      <c r="AQ50" s="8" t="n"/>
      <c r="AR50" s="8" t="n"/>
      <c r="AS50" s="8" t="n"/>
      <c r="AT50" s="8" t="n"/>
      <c r="AU50" s="8" t="n"/>
      <c r="AV50" s="8" t="n"/>
    </row>
    <row r="51">
      <c r="A51">
        <f>IF(B51&lt;&gt;"", "REM-"&amp;TEXT(ROW()-1,"000"), 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inlineStr">
        <is>
          <t>Yes</t>
        </is>
      </c>
      <c r="Q51" s="8" t="n"/>
      <c r="R51" s="8" t="n"/>
      <c r="S51" s="8" t="n"/>
      <c r="T51" s="8" t="n"/>
      <c r="U51" s="8" t="n"/>
      <c r="V51" s="8" t="n"/>
      <c r="W51" s="8" t="n"/>
      <c r="X51">
        <f>IF(L51="", "", IF(L51="Critical", "Critical", IF(AND(L51="High", F51="Critical"), "Critical", IF(L51="High", "High", IF(L51="Medium", "Medium", "Low")))))</f>
        <v/>
      </c>
      <c r="Y51" s="8" t="n"/>
      <c r="Z51" s="18">
        <f>IF(AND(N51&lt;&gt;"", X51&lt;&gt;""), IF(X51="Critical", N51+3, IF(X51="High", N51+7, IF(X51="Medium", N51+30, N51+90))), "")</f>
        <v/>
      </c>
      <c r="AA51" s="8" t="n"/>
      <c r="AB51" s="8" t="n"/>
      <c r="AC51" s="17">
        <f>IF(AND(AA51&lt;&gt;"", AB51&lt;&gt;""), AB51-AA51, "")</f>
        <v/>
      </c>
      <c r="AD51" s="17">
        <f>IF(AE51="", "", IF(OR(AE51="Completed", AE51="Closed - Fixed", AE51="Closed - Exception"), 0, IF(AND(Z51&lt;&gt;"", TODAY()&gt;Z51), TODAY()-Z51, 0)))</f>
        <v/>
      </c>
      <c r="AE51" s="8" t="inlineStr">
        <is>
          <t>Identified</t>
        </is>
      </c>
      <c r="AF51" s="8" t="n"/>
      <c r="AG51" s="9" t="n">
        <v>0</v>
      </c>
      <c r="AH51" s="8" t="n"/>
      <c r="AI51" s="8" t="inlineStr">
        <is>
          <t>Yes</t>
        </is>
      </c>
      <c r="AJ51" s="8" t="n"/>
      <c r="AK51" s="8" t="n"/>
      <c r="AL51" s="8" t="n"/>
      <c r="AM51" s="8" t="n"/>
      <c r="AN51" s="8" t="inlineStr">
        <is>
          <t>No</t>
        </is>
      </c>
      <c r="AO51" s="8" t="n"/>
      <c r="AP51" s="8" t="n"/>
      <c r="AQ51" s="8" t="n"/>
      <c r="AR51" s="8" t="n"/>
      <c r="AS51" s="8" t="n"/>
      <c r="AT51" s="8" t="n"/>
      <c r="AU51" s="8" t="n"/>
      <c r="AV51" s="8" t="n"/>
    </row>
    <row r="52">
      <c r="A52">
        <f>IF(B52&lt;&gt;"", "REM-"&amp;TEXT(ROW()-1,"000"), "")</f>
        <v/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inlineStr">
        <is>
          <t>Yes</t>
        </is>
      </c>
      <c r="Q52" s="8" t="n"/>
      <c r="R52" s="8" t="n"/>
      <c r="S52" s="8" t="n"/>
      <c r="T52" s="8" t="n"/>
      <c r="U52" s="8" t="n"/>
      <c r="V52" s="8" t="n"/>
      <c r="W52" s="8" t="n"/>
      <c r="X52">
        <f>IF(L52="", "", IF(L52="Critical", "Critical", IF(AND(L52="High", F52="Critical"), "Critical", IF(L52="High", "High", IF(L52="Medium", "Medium", "Low")))))</f>
        <v/>
      </c>
      <c r="Y52" s="8" t="n"/>
      <c r="Z52" s="18">
        <f>IF(AND(N52&lt;&gt;"", X52&lt;&gt;""), IF(X52="Critical", N52+3, IF(X52="High", N52+7, IF(X52="Medium", N52+30, N52+90))), "")</f>
        <v/>
      </c>
      <c r="AA52" s="8" t="n"/>
      <c r="AB52" s="8" t="n"/>
      <c r="AC52" s="17">
        <f>IF(AND(AA52&lt;&gt;"", AB52&lt;&gt;""), AB52-AA52, "")</f>
        <v/>
      </c>
      <c r="AD52" s="17">
        <f>IF(AE52="", "", IF(OR(AE52="Completed", AE52="Closed - Fixed", AE52="Closed - Exception"), 0, IF(AND(Z52&lt;&gt;"", TODAY()&gt;Z52), TODAY()-Z52, 0)))</f>
        <v/>
      </c>
      <c r="AE52" s="8" t="inlineStr">
        <is>
          <t>Identified</t>
        </is>
      </c>
      <c r="AF52" s="8" t="n"/>
      <c r="AG52" s="9" t="n">
        <v>0</v>
      </c>
      <c r="AH52" s="8" t="n"/>
      <c r="AI52" s="8" t="inlineStr">
        <is>
          <t>Yes</t>
        </is>
      </c>
      <c r="AJ52" s="8" t="n"/>
      <c r="AK52" s="8" t="n"/>
      <c r="AL52" s="8" t="n"/>
      <c r="AM52" s="8" t="n"/>
      <c r="AN52" s="8" t="inlineStr">
        <is>
          <t>No</t>
        </is>
      </c>
      <c r="AO52" s="8" t="n"/>
      <c r="AP52" s="8" t="n"/>
      <c r="AQ52" s="8" t="n"/>
      <c r="AR52" s="8" t="n"/>
      <c r="AS52" s="8" t="n"/>
      <c r="AT52" s="8" t="n"/>
      <c r="AU52" s="8" t="n"/>
      <c r="AV52" s="8" t="n"/>
    </row>
    <row r="53">
      <c r="A53">
        <f>IF(B53&lt;&gt;"", "REM-"&amp;TEXT(ROW()-1,"000"), 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inlineStr">
        <is>
          <t>Yes</t>
        </is>
      </c>
      <c r="Q53" s="8" t="n"/>
      <c r="R53" s="8" t="n"/>
      <c r="S53" s="8" t="n"/>
      <c r="T53" s="8" t="n"/>
      <c r="U53" s="8" t="n"/>
      <c r="V53" s="8" t="n"/>
      <c r="W53" s="8" t="n"/>
      <c r="X53">
        <f>IF(L53="", "", IF(L53="Critical", "Critical", IF(AND(L53="High", F53="Critical"), "Critical", IF(L53="High", "High", IF(L53="Medium", "Medium", "Low")))))</f>
        <v/>
      </c>
      <c r="Y53" s="8" t="n"/>
      <c r="Z53" s="18">
        <f>IF(AND(N53&lt;&gt;"", X53&lt;&gt;""), IF(X53="Critical", N53+3, IF(X53="High", N53+7, IF(X53="Medium", N53+30, N53+90))), "")</f>
        <v/>
      </c>
      <c r="AA53" s="8" t="n"/>
      <c r="AB53" s="8" t="n"/>
      <c r="AC53" s="17">
        <f>IF(AND(AA53&lt;&gt;"", AB53&lt;&gt;""), AB53-AA53, "")</f>
        <v/>
      </c>
      <c r="AD53" s="17">
        <f>IF(AE53="", "", IF(OR(AE53="Completed", AE53="Closed - Fixed", AE53="Closed - Exception"), 0, IF(AND(Z53&lt;&gt;"", TODAY()&gt;Z53), TODAY()-Z53, 0)))</f>
        <v/>
      </c>
      <c r="AE53" s="8" t="inlineStr">
        <is>
          <t>Identified</t>
        </is>
      </c>
      <c r="AF53" s="8" t="n"/>
      <c r="AG53" s="9" t="n">
        <v>0</v>
      </c>
      <c r="AH53" s="8" t="n"/>
      <c r="AI53" s="8" t="inlineStr">
        <is>
          <t>Yes</t>
        </is>
      </c>
      <c r="AJ53" s="8" t="n"/>
      <c r="AK53" s="8" t="n"/>
      <c r="AL53" s="8" t="n"/>
      <c r="AM53" s="8" t="n"/>
      <c r="AN53" s="8" t="inlineStr">
        <is>
          <t>No</t>
        </is>
      </c>
      <c r="AO53" s="8" t="n"/>
      <c r="AP53" s="8" t="n"/>
      <c r="AQ53" s="8" t="n"/>
      <c r="AR53" s="8" t="n"/>
      <c r="AS53" s="8" t="n"/>
      <c r="AT53" s="8" t="n"/>
      <c r="AU53" s="8" t="n"/>
      <c r="AV53" s="8" t="n"/>
    </row>
    <row r="54">
      <c r="A54">
        <f>IF(B54&lt;&gt;"", "REM-"&amp;TEXT(ROW()-1,"000"), "")</f>
        <v/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inlineStr">
        <is>
          <t>Yes</t>
        </is>
      </c>
      <c r="Q54" s="8" t="n"/>
      <c r="R54" s="8" t="n"/>
      <c r="S54" s="8" t="n"/>
      <c r="T54" s="8" t="n"/>
      <c r="U54" s="8" t="n"/>
      <c r="V54" s="8" t="n"/>
      <c r="W54" s="8" t="n"/>
      <c r="X54">
        <f>IF(L54="", "", IF(L54="Critical", "Critical", IF(AND(L54="High", F54="Critical"), "Critical", IF(L54="High", "High", IF(L54="Medium", "Medium", "Low")))))</f>
        <v/>
      </c>
      <c r="Y54" s="8" t="n"/>
      <c r="Z54" s="18">
        <f>IF(AND(N54&lt;&gt;"", X54&lt;&gt;""), IF(X54="Critical", N54+3, IF(X54="High", N54+7, IF(X54="Medium", N54+30, N54+90))), "")</f>
        <v/>
      </c>
      <c r="AA54" s="8" t="n"/>
      <c r="AB54" s="8" t="n"/>
      <c r="AC54" s="17">
        <f>IF(AND(AA54&lt;&gt;"", AB54&lt;&gt;""), AB54-AA54, "")</f>
        <v/>
      </c>
      <c r="AD54" s="17">
        <f>IF(AE54="", "", IF(OR(AE54="Completed", AE54="Closed - Fixed", AE54="Closed - Exception"), 0, IF(AND(Z54&lt;&gt;"", TODAY()&gt;Z54), TODAY()-Z54, 0)))</f>
        <v/>
      </c>
      <c r="AE54" s="8" t="inlineStr">
        <is>
          <t>Identified</t>
        </is>
      </c>
      <c r="AF54" s="8" t="n"/>
      <c r="AG54" s="9" t="n">
        <v>0</v>
      </c>
      <c r="AH54" s="8" t="n"/>
      <c r="AI54" s="8" t="inlineStr">
        <is>
          <t>Yes</t>
        </is>
      </c>
      <c r="AJ54" s="8" t="n"/>
      <c r="AK54" s="8" t="n"/>
      <c r="AL54" s="8" t="n"/>
      <c r="AM54" s="8" t="n"/>
      <c r="AN54" s="8" t="inlineStr">
        <is>
          <t>No</t>
        </is>
      </c>
      <c r="AO54" s="8" t="n"/>
      <c r="AP54" s="8" t="n"/>
      <c r="AQ54" s="8" t="n"/>
      <c r="AR54" s="8" t="n"/>
      <c r="AS54" s="8" t="n"/>
      <c r="AT54" s="8" t="n"/>
      <c r="AU54" s="8" t="n"/>
      <c r="AV54" s="8" t="n"/>
    </row>
    <row r="55">
      <c r="A55">
        <f>IF(B55&lt;&gt;"", "REM-"&amp;TEXT(ROW()-1,"000"), "")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inlineStr">
        <is>
          <t>Yes</t>
        </is>
      </c>
      <c r="Q55" s="8" t="n"/>
      <c r="R55" s="8" t="n"/>
      <c r="S55" s="8" t="n"/>
      <c r="T55" s="8" t="n"/>
      <c r="U55" s="8" t="n"/>
      <c r="V55" s="8" t="n"/>
      <c r="W55" s="8" t="n"/>
      <c r="X55">
        <f>IF(L55="", "", IF(L55="Critical", "Critical", IF(AND(L55="High", F55="Critical"), "Critical", IF(L55="High", "High", IF(L55="Medium", "Medium", "Low")))))</f>
        <v/>
      </c>
      <c r="Y55" s="8" t="n"/>
      <c r="Z55" s="18">
        <f>IF(AND(N55&lt;&gt;"", X55&lt;&gt;""), IF(X55="Critical", N55+3, IF(X55="High", N55+7, IF(X55="Medium", N55+30, N55+90))), "")</f>
        <v/>
      </c>
      <c r="AA55" s="8" t="n"/>
      <c r="AB55" s="8" t="n"/>
      <c r="AC55" s="17">
        <f>IF(AND(AA55&lt;&gt;"", AB55&lt;&gt;""), AB55-AA55, "")</f>
        <v/>
      </c>
      <c r="AD55" s="17">
        <f>IF(AE55="", "", IF(OR(AE55="Completed", AE55="Closed - Fixed", AE55="Closed - Exception"), 0, IF(AND(Z55&lt;&gt;"", TODAY()&gt;Z55), TODAY()-Z55, 0)))</f>
        <v/>
      </c>
      <c r="AE55" s="8" t="inlineStr">
        <is>
          <t>Identified</t>
        </is>
      </c>
      <c r="AF55" s="8" t="n"/>
      <c r="AG55" s="9" t="n">
        <v>0</v>
      </c>
      <c r="AH55" s="8" t="n"/>
      <c r="AI55" s="8" t="inlineStr">
        <is>
          <t>Yes</t>
        </is>
      </c>
      <c r="AJ55" s="8" t="n"/>
      <c r="AK55" s="8" t="n"/>
      <c r="AL55" s="8" t="n"/>
      <c r="AM55" s="8" t="n"/>
      <c r="AN55" s="8" t="inlineStr">
        <is>
          <t>No</t>
        </is>
      </c>
      <c r="AO55" s="8" t="n"/>
      <c r="AP55" s="8" t="n"/>
      <c r="AQ55" s="8" t="n"/>
      <c r="AR55" s="8" t="n"/>
      <c r="AS55" s="8" t="n"/>
      <c r="AT55" s="8" t="n"/>
      <c r="AU55" s="8" t="n"/>
      <c r="AV55" s="8" t="n"/>
    </row>
    <row r="56">
      <c r="A56">
        <f>IF(B56&lt;&gt;"", "REM-"&amp;TEXT(ROW()-1,"000"), "")</f>
        <v/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inlineStr">
        <is>
          <t>Yes</t>
        </is>
      </c>
      <c r="Q56" s="8" t="n"/>
      <c r="R56" s="8" t="n"/>
      <c r="S56" s="8" t="n"/>
      <c r="T56" s="8" t="n"/>
      <c r="U56" s="8" t="n"/>
      <c r="V56" s="8" t="n"/>
      <c r="W56" s="8" t="n"/>
      <c r="X56">
        <f>IF(L56="", "", IF(L56="Critical", "Critical", IF(AND(L56="High", F56="Critical"), "Critical", IF(L56="High", "High", IF(L56="Medium", "Medium", "Low")))))</f>
        <v/>
      </c>
      <c r="Y56" s="8" t="n"/>
      <c r="Z56" s="18">
        <f>IF(AND(N56&lt;&gt;"", X56&lt;&gt;""), IF(X56="Critical", N56+3, IF(X56="High", N56+7, IF(X56="Medium", N56+30, N56+90))), "")</f>
        <v/>
      </c>
      <c r="AA56" s="8" t="n"/>
      <c r="AB56" s="8" t="n"/>
      <c r="AC56" s="17">
        <f>IF(AND(AA56&lt;&gt;"", AB56&lt;&gt;""), AB56-AA56, "")</f>
        <v/>
      </c>
      <c r="AD56" s="17">
        <f>IF(AE56="", "", IF(OR(AE56="Completed", AE56="Closed - Fixed", AE56="Closed - Exception"), 0, IF(AND(Z56&lt;&gt;"", TODAY()&gt;Z56), TODAY()-Z56, 0)))</f>
        <v/>
      </c>
      <c r="AE56" s="8" t="inlineStr">
        <is>
          <t>Identified</t>
        </is>
      </c>
      <c r="AF56" s="8" t="n"/>
      <c r="AG56" s="9" t="n">
        <v>0</v>
      </c>
      <c r="AH56" s="8" t="n"/>
      <c r="AI56" s="8" t="inlineStr">
        <is>
          <t>Yes</t>
        </is>
      </c>
      <c r="AJ56" s="8" t="n"/>
      <c r="AK56" s="8" t="n"/>
      <c r="AL56" s="8" t="n"/>
      <c r="AM56" s="8" t="n"/>
      <c r="AN56" s="8" t="inlineStr">
        <is>
          <t>No</t>
        </is>
      </c>
      <c r="AO56" s="8" t="n"/>
      <c r="AP56" s="8" t="n"/>
      <c r="AQ56" s="8" t="n"/>
      <c r="AR56" s="8" t="n"/>
      <c r="AS56" s="8" t="n"/>
      <c r="AT56" s="8" t="n"/>
      <c r="AU56" s="8" t="n"/>
      <c r="AV56" s="8" t="n"/>
    </row>
    <row r="57">
      <c r="A57">
        <f>IF(B57&lt;&gt;"", "REM-"&amp;TEXT(ROW()-1,"000"), "")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inlineStr">
        <is>
          <t>Yes</t>
        </is>
      </c>
      <c r="Q57" s="8" t="n"/>
      <c r="R57" s="8" t="n"/>
      <c r="S57" s="8" t="n"/>
      <c r="T57" s="8" t="n"/>
      <c r="U57" s="8" t="n"/>
      <c r="V57" s="8" t="n"/>
      <c r="W57" s="8" t="n"/>
      <c r="X57">
        <f>IF(L57="", "", IF(L57="Critical", "Critical", IF(AND(L57="High", F57="Critical"), "Critical", IF(L57="High", "High", IF(L57="Medium", "Medium", "Low")))))</f>
        <v/>
      </c>
      <c r="Y57" s="8" t="n"/>
      <c r="Z57" s="18">
        <f>IF(AND(N57&lt;&gt;"", X57&lt;&gt;""), IF(X57="Critical", N57+3, IF(X57="High", N57+7, IF(X57="Medium", N57+30, N57+90))), "")</f>
        <v/>
      </c>
      <c r="AA57" s="8" t="n"/>
      <c r="AB57" s="8" t="n"/>
      <c r="AC57" s="17">
        <f>IF(AND(AA57&lt;&gt;"", AB57&lt;&gt;""), AB57-AA57, "")</f>
        <v/>
      </c>
      <c r="AD57" s="17">
        <f>IF(AE57="", "", IF(OR(AE57="Completed", AE57="Closed - Fixed", AE57="Closed - Exception"), 0, IF(AND(Z57&lt;&gt;"", TODAY()&gt;Z57), TODAY()-Z57, 0)))</f>
        <v/>
      </c>
      <c r="AE57" s="8" t="inlineStr">
        <is>
          <t>Identified</t>
        </is>
      </c>
      <c r="AF57" s="8" t="n"/>
      <c r="AG57" s="9" t="n">
        <v>0</v>
      </c>
      <c r="AH57" s="8" t="n"/>
      <c r="AI57" s="8" t="inlineStr">
        <is>
          <t>Yes</t>
        </is>
      </c>
      <c r="AJ57" s="8" t="n"/>
      <c r="AK57" s="8" t="n"/>
      <c r="AL57" s="8" t="n"/>
      <c r="AM57" s="8" t="n"/>
      <c r="AN57" s="8" t="inlineStr">
        <is>
          <t>No</t>
        </is>
      </c>
      <c r="AO57" s="8" t="n"/>
      <c r="AP57" s="8" t="n"/>
      <c r="AQ57" s="8" t="n"/>
      <c r="AR57" s="8" t="n"/>
      <c r="AS57" s="8" t="n"/>
      <c r="AT57" s="8" t="n"/>
      <c r="AU57" s="8" t="n"/>
      <c r="AV57" s="8" t="n"/>
    </row>
    <row r="58">
      <c r="A58">
        <f>IF(B58&lt;&gt;"", "REM-"&amp;TEXT(ROW()-1,"000"), "")</f>
        <v/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inlineStr">
        <is>
          <t>Yes</t>
        </is>
      </c>
      <c r="Q58" s="8" t="n"/>
      <c r="R58" s="8" t="n"/>
      <c r="S58" s="8" t="n"/>
      <c r="T58" s="8" t="n"/>
      <c r="U58" s="8" t="n"/>
      <c r="V58" s="8" t="n"/>
      <c r="W58" s="8" t="n"/>
      <c r="X58">
        <f>IF(L58="", "", IF(L58="Critical", "Critical", IF(AND(L58="High", F58="Critical"), "Critical", IF(L58="High", "High", IF(L58="Medium", "Medium", "Low")))))</f>
        <v/>
      </c>
      <c r="Y58" s="8" t="n"/>
      <c r="Z58" s="18">
        <f>IF(AND(N58&lt;&gt;"", X58&lt;&gt;""), IF(X58="Critical", N58+3, IF(X58="High", N58+7, IF(X58="Medium", N58+30, N58+90))), "")</f>
        <v/>
      </c>
      <c r="AA58" s="8" t="n"/>
      <c r="AB58" s="8" t="n"/>
      <c r="AC58" s="17">
        <f>IF(AND(AA58&lt;&gt;"", AB58&lt;&gt;""), AB58-AA58, "")</f>
        <v/>
      </c>
      <c r="AD58" s="17">
        <f>IF(AE58="", "", IF(OR(AE58="Completed", AE58="Closed - Fixed", AE58="Closed - Exception"), 0, IF(AND(Z58&lt;&gt;"", TODAY()&gt;Z58), TODAY()-Z58, 0)))</f>
        <v/>
      </c>
      <c r="AE58" s="8" t="inlineStr">
        <is>
          <t>Identified</t>
        </is>
      </c>
      <c r="AF58" s="8" t="n"/>
      <c r="AG58" s="9" t="n">
        <v>0</v>
      </c>
      <c r="AH58" s="8" t="n"/>
      <c r="AI58" s="8" t="inlineStr">
        <is>
          <t>Yes</t>
        </is>
      </c>
      <c r="AJ58" s="8" t="n"/>
      <c r="AK58" s="8" t="n"/>
      <c r="AL58" s="8" t="n"/>
      <c r="AM58" s="8" t="n"/>
      <c r="AN58" s="8" t="inlineStr">
        <is>
          <t>No</t>
        </is>
      </c>
      <c r="AO58" s="8" t="n"/>
      <c r="AP58" s="8" t="n"/>
      <c r="AQ58" s="8" t="n"/>
      <c r="AR58" s="8" t="n"/>
      <c r="AS58" s="8" t="n"/>
      <c r="AT58" s="8" t="n"/>
      <c r="AU58" s="8" t="n"/>
      <c r="AV58" s="8" t="n"/>
    </row>
    <row r="59">
      <c r="A59">
        <f>IF(B59&lt;&gt;"", "REM-"&amp;TEXT(ROW()-1,"000"), "")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inlineStr">
        <is>
          <t>Yes</t>
        </is>
      </c>
      <c r="Q59" s="8" t="n"/>
      <c r="R59" s="8" t="n"/>
      <c r="S59" s="8" t="n"/>
      <c r="T59" s="8" t="n"/>
      <c r="U59" s="8" t="n"/>
      <c r="V59" s="8" t="n"/>
      <c r="W59" s="8" t="n"/>
      <c r="X59">
        <f>IF(L59="", "", IF(L59="Critical", "Critical", IF(AND(L59="High", F59="Critical"), "Critical", IF(L59="High", "High", IF(L59="Medium", "Medium", "Low")))))</f>
        <v/>
      </c>
      <c r="Y59" s="8" t="n"/>
      <c r="Z59" s="18">
        <f>IF(AND(N59&lt;&gt;"", X59&lt;&gt;""), IF(X59="Critical", N59+3, IF(X59="High", N59+7, IF(X59="Medium", N59+30, N59+90))), "")</f>
        <v/>
      </c>
      <c r="AA59" s="8" t="n"/>
      <c r="AB59" s="8" t="n"/>
      <c r="AC59" s="17">
        <f>IF(AND(AA59&lt;&gt;"", AB59&lt;&gt;""), AB59-AA59, "")</f>
        <v/>
      </c>
      <c r="AD59" s="17">
        <f>IF(AE59="", "", IF(OR(AE59="Completed", AE59="Closed - Fixed", AE59="Closed - Exception"), 0, IF(AND(Z59&lt;&gt;"", TODAY()&gt;Z59), TODAY()-Z59, 0)))</f>
        <v/>
      </c>
      <c r="AE59" s="8" t="inlineStr">
        <is>
          <t>Identified</t>
        </is>
      </c>
      <c r="AF59" s="8" t="n"/>
      <c r="AG59" s="9" t="n">
        <v>0</v>
      </c>
      <c r="AH59" s="8" t="n"/>
      <c r="AI59" s="8" t="inlineStr">
        <is>
          <t>Yes</t>
        </is>
      </c>
      <c r="AJ59" s="8" t="n"/>
      <c r="AK59" s="8" t="n"/>
      <c r="AL59" s="8" t="n"/>
      <c r="AM59" s="8" t="n"/>
      <c r="AN59" s="8" t="inlineStr">
        <is>
          <t>No</t>
        </is>
      </c>
      <c r="AO59" s="8" t="n"/>
      <c r="AP59" s="8" t="n"/>
      <c r="AQ59" s="8" t="n"/>
      <c r="AR59" s="8" t="n"/>
      <c r="AS59" s="8" t="n"/>
      <c r="AT59" s="8" t="n"/>
      <c r="AU59" s="8" t="n"/>
      <c r="AV59" s="8" t="n"/>
    </row>
    <row r="60">
      <c r="A60">
        <f>IF(B60&lt;&gt;"", "REM-"&amp;TEXT(ROW()-1,"000"), "")</f>
        <v/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inlineStr">
        <is>
          <t>Yes</t>
        </is>
      </c>
      <c r="Q60" s="8" t="n"/>
      <c r="R60" s="8" t="n"/>
      <c r="S60" s="8" t="n"/>
      <c r="T60" s="8" t="n"/>
      <c r="U60" s="8" t="n"/>
      <c r="V60" s="8" t="n"/>
      <c r="W60" s="8" t="n"/>
      <c r="X60">
        <f>IF(L60="", "", IF(L60="Critical", "Critical", IF(AND(L60="High", F60="Critical"), "Critical", IF(L60="High", "High", IF(L60="Medium", "Medium", "Low")))))</f>
        <v/>
      </c>
      <c r="Y60" s="8" t="n"/>
      <c r="Z60" s="18">
        <f>IF(AND(N60&lt;&gt;"", X60&lt;&gt;""), IF(X60="Critical", N60+3, IF(X60="High", N60+7, IF(X60="Medium", N60+30, N60+90))), "")</f>
        <v/>
      </c>
      <c r="AA60" s="8" t="n"/>
      <c r="AB60" s="8" t="n"/>
      <c r="AC60" s="17">
        <f>IF(AND(AA60&lt;&gt;"", AB60&lt;&gt;""), AB60-AA60, "")</f>
        <v/>
      </c>
      <c r="AD60" s="17">
        <f>IF(AE60="", "", IF(OR(AE60="Completed", AE60="Closed - Fixed", AE60="Closed - Exception"), 0, IF(AND(Z60&lt;&gt;"", TODAY()&gt;Z60), TODAY()-Z60, 0)))</f>
        <v/>
      </c>
      <c r="AE60" s="8" t="inlineStr">
        <is>
          <t>Identified</t>
        </is>
      </c>
      <c r="AF60" s="8" t="n"/>
      <c r="AG60" s="9" t="n">
        <v>0</v>
      </c>
      <c r="AH60" s="8" t="n"/>
      <c r="AI60" s="8" t="inlineStr">
        <is>
          <t>Yes</t>
        </is>
      </c>
      <c r="AJ60" s="8" t="n"/>
      <c r="AK60" s="8" t="n"/>
      <c r="AL60" s="8" t="n"/>
      <c r="AM60" s="8" t="n"/>
      <c r="AN60" s="8" t="inlineStr">
        <is>
          <t>No</t>
        </is>
      </c>
      <c r="AO60" s="8" t="n"/>
      <c r="AP60" s="8" t="n"/>
      <c r="AQ60" s="8" t="n"/>
      <c r="AR60" s="8" t="n"/>
      <c r="AS60" s="8" t="n"/>
      <c r="AT60" s="8" t="n"/>
      <c r="AU60" s="8" t="n"/>
      <c r="AV60" s="8" t="n"/>
    </row>
    <row r="61">
      <c r="A61">
        <f>IF(B61&lt;&gt;"", "REM-"&amp;TEXT(ROW()-1,"000"), "")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inlineStr">
        <is>
          <t>Yes</t>
        </is>
      </c>
      <c r="Q61" s="8" t="n"/>
      <c r="R61" s="8" t="n"/>
      <c r="S61" s="8" t="n"/>
      <c r="T61" s="8" t="n"/>
      <c r="U61" s="8" t="n"/>
      <c r="V61" s="8" t="n"/>
      <c r="W61" s="8" t="n"/>
      <c r="X61">
        <f>IF(L61="", "", IF(L61="Critical", "Critical", IF(AND(L61="High", F61="Critical"), "Critical", IF(L61="High", "High", IF(L61="Medium", "Medium", "Low")))))</f>
        <v/>
      </c>
      <c r="Y61" s="8" t="n"/>
      <c r="Z61" s="18">
        <f>IF(AND(N61&lt;&gt;"", X61&lt;&gt;""), IF(X61="Critical", N61+3, IF(X61="High", N61+7, IF(X61="Medium", N61+30, N61+90))), "")</f>
        <v/>
      </c>
      <c r="AA61" s="8" t="n"/>
      <c r="AB61" s="8" t="n"/>
      <c r="AC61" s="17">
        <f>IF(AND(AA61&lt;&gt;"", AB61&lt;&gt;""), AB61-AA61, "")</f>
        <v/>
      </c>
      <c r="AD61" s="17">
        <f>IF(AE61="", "", IF(OR(AE61="Completed", AE61="Closed - Fixed", AE61="Closed - Exception"), 0, IF(AND(Z61&lt;&gt;"", TODAY()&gt;Z61), TODAY()-Z61, 0)))</f>
        <v/>
      </c>
      <c r="AE61" s="8" t="inlineStr">
        <is>
          <t>Identified</t>
        </is>
      </c>
      <c r="AF61" s="8" t="n"/>
      <c r="AG61" s="9" t="n">
        <v>0</v>
      </c>
      <c r="AH61" s="8" t="n"/>
      <c r="AI61" s="8" t="inlineStr">
        <is>
          <t>Yes</t>
        </is>
      </c>
      <c r="AJ61" s="8" t="n"/>
      <c r="AK61" s="8" t="n"/>
      <c r="AL61" s="8" t="n"/>
      <c r="AM61" s="8" t="n"/>
      <c r="AN61" s="8" t="inlineStr">
        <is>
          <t>No</t>
        </is>
      </c>
      <c r="AO61" s="8" t="n"/>
      <c r="AP61" s="8" t="n"/>
      <c r="AQ61" s="8" t="n"/>
      <c r="AR61" s="8" t="n"/>
      <c r="AS61" s="8" t="n"/>
      <c r="AT61" s="8" t="n"/>
      <c r="AU61" s="8" t="n"/>
      <c r="AV61" s="8" t="n"/>
    </row>
    <row r="62">
      <c r="A62">
        <f>IF(B62&lt;&gt;"", "REM-"&amp;TEXT(ROW()-1,"000"), "")</f>
        <v/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inlineStr">
        <is>
          <t>Yes</t>
        </is>
      </c>
      <c r="Q62" s="8" t="n"/>
      <c r="R62" s="8" t="n"/>
      <c r="S62" s="8" t="n"/>
      <c r="T62" s="8" t="n"/>
      <c r="U62" s="8" t="n"/>
      <c r="V62" s="8" t="n"/>
      <c r="W62" s="8" t="n"/>
      <c r="X62">
        <f>IF(L62="", "", IF(L62="Critical", "Critical", IF(AND(L62="High", F62="Critical"), "Critical", IF(L62="High", "High", IF(L62="Medium", "Medium", "Low")))))</f>
        <v/>
      </c>
      <c r="Y62" s="8" t="n"/>
      <c r="Z62" s="18">
        <f>IF(AND(N62&lt;&gt;"", X62&lt;&gt;""), IF(X62="Critical", N62+3, IF(X62="High", N62+7, IF(X62="Medium", N62+30, N62+90))), "")</f>
        <v/>
      </c>
      <c r="AA62" s="8" t="n"/>
      <c r="AB62" s="8" t="n"/>
      <c r="AC62" s="17">
        <f>IF(AND(AA62&lt;&gt;"", AB62&lt;&gt;""), AB62-AA62, "")</f>
        <v/>
      </c>
      <c r="AD62" s="17">
        <f>IF(AE62="", "", IF(OR(AE62="Completed", AE62="Closed - Fixed", AE62="Closed - Exception"), 0, IF(AND(Z62&lt;&gt;"", TODAY()&gt;Z62), TODAY()-Z62, 0)))</f>
        <v/>
      </c>
      <c r="AE62" s="8" t="inlineStr">
        <is>
          <t>Identified</t>
        </is>
      </c>
      <c r="AF62" s="8" t="n"/>
      <c r="AG62" s="9" t="n">
        <v>0</v>
      </c>
      <c r="AH62" s="8" t="n"/>
      <c r="AI62" s="8" t="inlineStr">
        <is>
          <t>Yes</t>
        </is>
      </c>
      <c r="AJ62" s="8" t="n"/>
      <c r="AK62" s="8" t="n"/>
      <c r="AL62" s="8" t="n"/>
      <c r="AM62" s="8" t="n"/>
      <c r="AN62" s="8" t="inlineStr">
        <is>
          <t>No</t>
        </is>
      </c>
      <c r="AO62" s="8" t="n"/>
      <c r="AP62" s="8" t="n"/>
      <c r="AQ62" s="8" t="n"/>
      <c r="AR62" s="8" t="n"/>
      <c r="AS62" s="8" t="n"/>
      <c r="AT62" s="8" t="n"/>
      <c r="AU62" s="8" t="n"/>
      <c r="AV62" s="8" t="n"/>
    </row>
    <row r="63">
      <c r="A63">
        <f>IF(B63&lt;&gt;"", "REM-"&amp;TEXT(ROW()-1,"000"), "")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inlineStr">
        <is>
          <t>Yes</t>
        </is>
      </c>
      <c r="Q63" s="8" t="n"/>
      <c r="R63" s="8" t="n"/>
      <c r="S63" s="8" t="n"/>
      <c r="T63" s="8" t="n"/>
      <c r="U63" s="8" t="n"/>
      <c r="V63" s="8" t="n"/>
      <c r="W63" s="8" t="n"/>
      <c r="X63">
        <f>IF(L63="", "", IF(L63="Critical", "Critical", IF(AND(L63="High", F63="Critical"), "Critical", IF(L63="High", "High", IF(L63="Medium", "Medium", "Low")))))</f>
        <v/>
      </c>
      <c r="Y63" s="8" t="n"/>
      <c r="Z63" s="18">
        <f>IF(AND(N63&lt;&gt;"", X63&lt;&gt;""), IF(X63="Critical", N63+3, IF(X63="High", N63+7, IF(X63="Medium", N63+30, N63+90))), "")</f>
        <v/>
      </c>
      <c r="AA63" s="8" t="n"/>
      <c r="AB63" s="8" t="n"/>
      <c r="AC63" s="17">
        <f>IF(AND(AA63&lt;&gt;"", AB63&lt;&gt;""), AB63-AA63, "")</f>
        <v/>
      </c>
      <c r="AD63" s="17">
        <f>IF(AE63="", "", IF(OR(AE63="Completed", AE63="Closed - Fixed", AE63="Closed - Exception"), 0, IF(AND(Z63&lt;&gt;"", TODAY()&gt;Z63), TODAY()-Z63, 0)))</f>
        <v/>
      </c>
      <c r="AE63" s="8" t="inlineStr">
        <is>
          <t>Identified</t>
        </is>
      </c>
      <c r="AF63" s="8" t="n"/>
      <c r="AG63" s="9" t="n">
        <v>0</v>
      </c>
      <c r="AH63" s="8" t="n"/>
      <c r="AI63" s="8" t="inlineStr">
        <is>
          <t>Yes</t>
        </is>
      </c>
      <c r="AJ63" s="8" t="n"/>
      <c r="AK63" s="8" t="n"/>
      <c r="AL63" s="8" t="n"/>
      <c r="AM63" s="8" t="n"/>
      <c r="AN63" s="8" t="inlineStr">
        <is>
          <t>No</t>
        </is>
      </c>
      <c r="AO63" s="8" t="n"/>
      <c r="AP63" s="8" t="n"/>
      <c r="AQ63" s="8" t="n"/>
      <c r="AR63" s="8" t="n"/>
      <c r="AS63" s="8" t="n"/>
      <c r="AT63" s="8" t="n"/>
      <c r="AU63" s="8" t="n"/>
      <c r="AV63" s="8" t="n"/>
    </row>
    <row r="64">
      <c r="A64">
        <f>IF(B64&lt;&gt;"", "REM-"&amp;TEXT(ROW()-1,"000"), "")</f>
        <v/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inlineStr">
        <is>
          <t>Yes</t>
        </is>
      </c>
      <c r="Q64" s="8" t="n"/>
      <c r="R64" s="8" t="n"/>
      <c r="S64" s="8" t="n"/>
      <c r="T64" s="8" t="n"/>
      <c r="U64" s="8" t="n"/>
      <c r="V64" s="8" t="n"/>
      <c r="W64" s="8" t="n"/>
      <c r="X64">
        <f>IF(L64="", "", IF(L64="Critical", "Critical", IF(AND(L64="High", F64="Critical"), "Critical", IF(L64="High", "High", IF(L64="Medium", "Medium", "Low")))))</f>
        <v/>
      </c>
      <c r="Y64" s="8" t="n"/>
      <c r="Z64" s="18">
        <f>IF(AND(N64&lt;&gt;"", X64&lt;&gt;""), IF(X64="Critical", N64+3, IF(X64="High", N64+7, IF(X64="Medium", N64+30, N64+90))), "")</f>
        <v/>
      </c>
      <c r="AA64" s="8" t="n"/>
      <c r="AB64" s="8" t="n"/>
      <c r="AC64" s="17">
        <f>IF(AND(AA64&lt;&gt;"", AB64&lt;&gt;""), AB64-AA64, "")</f>
        <v/>
      </c>
      <c r="AD64" s="17">
        <f>IF(AE64="", "", IF(OR(AE64="Completed", AE64="Closed - Fixed", AE64="Closed - Exception"), 0, IF(AND(Z64&lt;&gt;"", TODAY()&gt;Z64), TODAY()-Z64, 0)))</f>
        <v/>
      </c>
      <c r="AE64" s="8" t="inlineStr">
        <is>
          <t>Identified</t>
        </is>
      </c>
      <c r="AF64" s="8" t="n"/>
      <c r="AG64" s="9" t="n">
        <v>0</v>
      </c>
      <c r="AH64" s="8" t="n"/>
      <c r="AI64" s="8" t="inlineStr">
        <is>
          <t>Yes</t>
        </is>
      </c>
      <c r="AJ64" s="8" t="n"/>
      <c r="AK64" s="8" t="n"/>
      <c r="AL64" s="8" t="n"/>
      <c r="AM64" s="8" t="n"/>
      <c r="AN64" s="8" t="inlineStr">
        <is>
          <t>No</t>
        </is>
      </c>
      <c r="AO64" s="8" t="n"/>
      <c r="AP64" s="8" t="n"/>
      <c r="AQ64" s="8" t="n"/>
      <c r="AR64" s="8" t="n"/>
      <c r="AS64" s="8" t="n"/>
      <c r="AT64" s="8" t="n"/>
      <c r="AU64" s="8" t="n"/>
      <c r="AV64" s="8" t="n"/>
    </row>
    <row r="65">
      <c r="A65">
        <f>IF(B65&lt;&gt;"", "REM-"&amp;TEXT(ROW()-1,"000"), "")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inlineStr">
        <is>
          <t>Yes</t>
        </is>
      </c>
      <c r="Q65" s="8" t="n"/>
      <c r="R65" s="8" t="n"/>
      <c r="S65" s="8" t="n"/>
      <c r="T65" s="8" t="n"/>
      <c r="U65" s="8" t="n"/>
      <c r="V65" s="8" t="n"/>
      <c r="W65" s="8" t="n"/>
      <c r="X65">
        <f>IF(L65="", "", IF(L65="Critical", "Critical", IF(AND(L65="High", F65="Critical"), "Critical", IF(L65="High", "High", IF(L65="Medium", "Medium", "Low")))))</f>
        <v/>
      </c>
      <c r="Y65" s="8" t="n"/>
      <c r="Z65" s="18">
        <f>IF(AND(N65&lt;&gt;"", X65&lt;&gt;""), IF(X65="Critical", N65+3, IF(X65="High", N65+7, IF(X65="Medium", N65+30, N65+90))), "")</f>
        <v/>
      </c>
      <c r="AA65" s="8" t="n"/>
      <c r="AB65" s="8" t="n"/>
      <c r="AC65" s="17">
        <f>IF(AND(AA65&lt;&gt;"", AB65&lt;&gt;""), AB65-AA65, "")</f>
        <v/>
      </c>
      <c r="AD65" s="17">
        <f>IF(AE65="", "", IF(OR(AE65="Completed", AE65="Closed - Fixed", AE65="Closed - Exception"), 0, IF(AND(Z65&lt;&gt;"", TODAY()&gt;Z65), TODAY()-Z65, 0)))</f>
        <v/>
      </c>
      <c r="AE65" s="8" t="inlineStr">
        <is>
          <t>Identified</t>
        </is>
      </c>
      <c r="AF65" s="8" t="n"/>
      <c r="AG65" s="9" t="n">
        <v>0</v>
      </c>
      <c r="AH65" s="8" t="n"/>
      <c r="AI65" s="8" t="inlineStr">
        <is>
          <t>Yes</t>
        </is>
      </c>
      <c r="AJ65" s="8" t="n"/>
      <c r="AK65" s="8" t="n"/>
      <c r="AL65" s="8" t="n"/>
      <c r="AM65" s="8" t="n"/>
      <c r="AN65" s="8" t="inlineStr">
        <is>
          <t>No</t>
        </is>
      </c>
      <c r="AO65" s="8" t="n"/>
      <c r="AP65" s="8" t="n"/>
      <c r="AQ65" s="8" t="n"/>
      <c r="AR65" s="8" t="n"/>
      <c r="AS65" s="8" t="n"/>
      <c r="AT65" s="8" t="n"/>
      <c r="AU65" s="8" t="n"/>
      <c r="AV65" s="8" t="n"/>
    </row>
    <row r="66">
      <c r="A66">
        <f>IF(B66&lt;&gt;"", "REM-"&amp;TEXT(ROW()-1,"000"), "")</f>
        <v/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inlineStr">
        <is>
          <t>Yes</t>
        </is>
      </c>
      <c r="Q66" s="8" t="n"/>
      <c r="R66" s="8" t="n"/>
      <c r="S66" s="8" t="n"/>
      <c r="T66" s="8" t="n"/>
      <c r="U66" s="8" t="n"/>
      <c r="V66" s="8" t="n"/>
      <c r="W66" s="8" t="n"/>
      <c r="X66">
        <f>IF(L66="", "", IF(L66="Critical", "Critical", IF(AND(L66="High", F66="Critical"), "Critical", IF(L66="High", "High", IF(L66="Medium", "Medium", "Low")))))</f>
        <v/>
      </c>
      <c r="Y66" s="8" t="n"/>
      <c r="Z66" s="18">
        <f>IF(AND(N66&lt;&gt;"", X66&lt;&gt;""), IF(X66="Critical", N66+3, IF(X66="High", N66+7, IF(X66="Medium", N66+30, N66+90))), "")</f>
        <v/>
      </c>
      <c r="AA66" s="8" t="n"/>
      <c r="AB66" s="8" t="n"/>
      <c r="AC66" s="17">
        <f>IF(AND(AA66&lt;&gt;"", AB66&lt;&gt;""), AB66-AA66, "")</f>
        <v/>
      </c>
      <c r="AD66" s="17">
        <f>IF(AE66="", "", IF(OR(AE66="Completed", AE66="Closed - Fixed", AE66="Closed - Exception"), 0, IF(AND(Z66&lt;&gt;"", TODAY()&gt;Z66), TODAY()-Z66, 0)))</f>
        <v/>
      </c>
      <c r="AE66" s="8" t="inlineStr">
        <is>
          <t>Identified</t>
        </is>
      </c>
      <c r="AF66" s="8" t="n"/>
      <c r="AG66" s="9" t="n">
        <v>0</v>
      </c>
      <c r="AH66" s="8" t="n"/>
      <c r="AI66" s="8" t="inlineStr">
        <is>
          <t>Yes</t>
        </is>
      </c>
      <c r="AJ66" s="8" t="n"/>
      <c r="AK66" s="8" t="n"/>
      <c r="AL66" s="8" t="n"/>
      <c r="AM66" s="8" t="n"/>
      <c r="AN66" s="8" t="inlineStr">
        <is>
          <t>No</t>
        </is>
      </c>
      <c r="AO66" s="8" t="n"/>
      <c r="AP66" s="8" t="n"/>
      <c r="AQ66" s="8" t="n"/>
      <c r="AR66" s="8" t="n"/>
      <c r="AS66" s="8" t="n"/>
      <c r="AT66" s="8" t="n"/>
      <c r="AU66" s="8" t="n"/>
      <c r="AV66" s="8" t="n"/>
    </row>
    <row r="67">
      <c r="A67">
        <f>IF(B67&lt;&gt;"", "REM-"&amp;TEXT(ROW()-1,"000"), "")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inlineStr">
        <is>
          <t>Yes</t>
        </is>
      </c>
      <c r="Q67" s="8" t="n"/>
      <c r="R67" s="8" t="n"/>
      <c r="S67" s="8" t="n"/>
      <c r="T67" s="8" t="n"/>
      <c r="U67" s="8" t="n"/>
      <c r="V67" s="8" t="n"/>
      <c r="W67" s="8" t="n"/>
      <c r="X67">
        <f>IF(L67="", "", IF(L67="Critical", "Critical", IF(AND(L67="High", F67="Critical"), "Critical", IF(L67="High", "High", IF(L67="Medium", "Medium", "Low")))))</f>
        <v/>
      </c>
      <c r="Y67" s="8" t="n"/>
      <c r="Z67" s="18">
        <f>IF(AND(N67&lt;&gt;"", X67&lt;&gt;""), IF(X67="Critical", N67+3, IF(X67="High", N67+7, IF(X67="Medium", N67+30, N67+90))), "")</f>
        <v/>
      </c>
      <c r="AA67" s="8" t="n"/>
      <c r="AB67" s="8" t="n"/>
      <c r="AC67" s="17">
        <f>IF(AND(AA67&lt;&gt;"", AB67&lt;&gt;""), AB67-AA67, "")</f>
        <v/>
      </c>
      <c r="AD67" s="17">
        <f>IF(AE67="", "", IF(OR(AE67="Completed", AE67="Closed - Fixed", AE67="Closed - Exception"), 0, IF(AND(Z67&lt;&gt;"", TODAY()&gt;Z67), TODAY()-Z67, 0)))</f>
        <v/>
      </c>
      <c r="AE67" s="8" t="inlineStr">
        <is>
          <t>Identified</t>
        </is>
      </c>
      <c r="AF67" s="8" t="n"/>
      <c r="AG67" s="9" t="n">
        <v>0</v>
      </c>
      <c r="AH67" s="8" t="n"/>
      <c r="AI67" s="8" t="inlineStr">
        <is>
          <t>Yes</t>
        </is>
      </c>
      <c r="AJ67" s="8" t="n"/>
      <c r="AK67" s="8" t="n"/>
      <c r="AL67" s="8" t="n"/>
      <c r="AM67" s="8" t="n"/>
      <c r="AN67" s="8" t="inlineStr">
        <is>
          <t>No</t>
        </is>
      </c>
      <c r="AO67" s="8" t="n"/>
      <c r="AP67" s="8" t="n"/>
      <c r="AQ67" s="8" t="n"/>
      <c r="AR67" s="8" t="n"/>
      <c r="AS67" s="8" t="n"/>
      <c r="AT67" s="8" t="n"/>
      <c r="AU67" s="8" t="n"/>
      <c r="AV67" s="8" t="n"/>
    </row>
    <row r="68">
      <c r="A68">
        <f>IF(B68&lt;&gt;"", "REM-"&amp;TEXT(ROW()-1,"000"), "")</f>
        <v/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inlineStr">
        <is>
          <t>Yes</t>
        </is>
      </c>
      <c r="Q68" s="8" t="n"/>
      <c r="R68" s="8" t="n"/>
      <c r="S68" s="8" t="n"/>
      <c r="T68" s="8" t="n"/>
      <c r="U68" s="8" t="n"/>
      <c r="V68" s="8" t="n"/>
      <c r="W68" s="8" t="n"/>
      <c r="X68">
        <f>IF(L68="", "", IF(L68="Critical", "Critical", IF(AND(L68="High", F68="Critical"), "Critical", IF(L68="High", "High", IF(L68="Medium", "Medium", "Low")))))</f>
        <v/>
      </c>
      <c r="Y68" s="8" t="n"/>
      <c r="Z68" s="18">
        <f>IF(AND(N68&lt;&gt;"", X68&lt;&gt;""), IF(X68="Critical", N68+3, IF(X68="High", N68+7, IF(X68="Medium", N68+30, N68+90))), "")</f>
        <v/>
      </c>
      <c r="AA68" s="8" t="n"/>
      <c r="AB68" s="8" t="n"/>
      <c r="AC68" s="17">
        <f>IF(AND(AA68&lt;&gt;"", AB68&lt;&gt;""), AB68-AA68, "")</f>
        <v/>
      </c>
      <c r="AD68" s="17">
        <f>IF(AE68="", "", IF(OR(AE68="Completed", AE68="Closed - Fixed", AE68="Closed - Exception"), 0, IF(AND(Z68&lt;&gt;"", TODAY()&gt;Z68), TODAY()-Z68, 0)))</f>
        <v/>
      </c>
      <c r="AE68" s="8" t="inlineStr">
        <is>
          <t>Identified</t>
        </is>
      </c>
      <c r="AF68" s="8" t="n"/>
      <c r="AG68" s="9" t="n">
        <v>0</v>
      </c>
      <c r="AH68" s="8" t="n"/>
      <c r="AI68" s="8" t="inlineStr">
        <is>
          <t>Yes</t>
        </is>
      </c>
      <c r="AJ68" s="8" t="n"/>
      <c r="AK68" s="8" t="n"/>
      <c r="AL68" s="8" t="n"/>
      <c r="AM68" s="8" t="n"/>
      <c r="AN68" s="8" t="inlineStr">
        <is>
          <t>No</t>
        </is>
      </c>
      <c r="AO68" s="8" t="n"/>
      <c r="AP68" s="8" t="n"/>
      <c r="AQ68" s="8" t="n"/>
      <c r="AR68" s="8" t="n"/>
      <c r="AS68" s="8" t="n"/>
      <c r="AT68" s="8" t="n"/>
      <c r="AU68" s="8" t="n"/>
      <c r="AV68" s="8" t="n"/>
    </row>
    <row r="69">
      <c r="A69">
        <f>IF(B69&lt;&gt;"", "REM-"&amp;TEXT(ROW()-1,"000"), "")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inlineStr">
        <is>
          <t>Yes</t>
        </is>
      </c>
      <c r="Q69" s="8" t="n"/>
      <c r="R69" s="8" t="n"/>
      <c r="S69" s="8" t="n"/>
      <c r="T69" s="8" t="n"/>
      <c r="U69" s="8" t="n"/>
      <c r="V69" s="8" t="n"/>
      <c r="W69" s="8" t="n"/>
      <c r="X69">
        <f>IF(L69="", "", IF(L69="Critical", "Critical", IF(AND(L69="High", F69="Critical"), "Critical", IF(L69="High", "High", IF(L69="Medium", "Medium", "Low")))))</f>
        <v/>
      </c>
      <c r="Y69" s="8" t="n"/>
      <c r="Z69" s="18">
        <f>IF(AND(N69&lt;&gt;"", X69&lt;&gt;""), IF(X69="Critical", N69+3, IF(X69="High", N69+7, IF(X69="Medium", N69+30, N69+90))), "")</f>
        <v/>
      </c>
      <c r="AA69" s="8" t="n"/>
      <c r="AB69" s="8" t="n"/>
      <c r="AC69" s="17">
        <f>IF(AND(AA69&lt;&gt;"", AB69&lt;&gt;""), AB69-AA69, "")</f>
        <v/>
      </c>
      <c r="AD69" s="17">
        <f>IF(AE69="", "", IF(OR(AE69="Completed", AE69="Closed - Fixed", AE69="Closed - Exception"), 0, IF(AND(Z69&lt;&gt;"", TODAY()&gt;Z69), TODAY()-Z69, 0)))</f>
        <v/>
      </c>
      <c r="AE69" s="8" t="inlineStr">
        <is>
          <t>Identified</t>
        </is>
      </c>
      <c r="AF69" s="8" t="n"/>
      <c r="AG69" s="9" t="n">
        <v>0</v>
      </c>
      <c r="AH69" s="8" t="n"/>
      <c r="AI69" s="8" t="inlineStr">
        <is>
          <t>Yes</t>
        </is>
      </c>
      <c r="AJ69" s="8" t="n"/>
      <c r="AK69" s="8" t="n"/>
      <c r="AL69" s="8" t="n"/>
      <c r="AM69" s="8" t="n"/>
      <c r="AN69" s="8" t="inlineStr">
        <is>
          <t>No</t>
        </is>
      </c>
      <c r="AO69" s="8" t="n"/>
      <c r="AP69" s="8" t="n"/>
      <c r="AQ69" s="8" t="n"/>
      <c r="AR69" s="8" t="n"/>
      <c r="AS69" s="8" t="n"/>
      <c r="AT69" s="8" t="n"/>
      <c r="AU69" s="8" t="n"/>
      <c r="AV69" s="8" t="n"/>
    </row>
    <row r="70">
      <c r="A70">
        <f>IF(B70&lt;&gt;"", "REM-"&amp;TEXT(ROW()-1,"000"), "")</f>
        <v/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inlineStr">
        <is>
          <t>Yes</t>
        </is>
      </c>
      <c r="Q70" s="8" t="n"/>
      <c r="R70" s="8" t="n"/>
      <c r="S70" s="8" t="n"/>
      <c r="T70" s="8" t="n"/>
      <c r="U70" s="8" t="n"/>
      <c r="V70" s="8" t="n"/>
      <c r="W70" s="8" t="n"/>
      <c r="X70">
        <f>IF(L70="", "", IF(L70="Critical", "Critical", IF(AND(L70="High", F70="Critical"), "Critical", IF(L70="High", "High", IF(L70="Medium", "Medium", "Low")))))</f>
        <v/>
      </c>
      <c r="Y70" s="8" t="n"/>
      <c r="Z70" s="18">
        <f>IF(AND(N70&lt;&gt;"", X70&lt;&gt;""), IF(X70="Critical", N70+3, IF(X70="High", N70+7, IF(X70="Medium", N70+30, N70+90))), "")</f>
        <v/>
      </c>
      <c r="AA70" s="8" t="n"/>
      <c r="AB70" s="8" t="n"/>
      <c r="AC70" s="17">
        <f>IF(AND(AA70&lt;&gt;"", AB70&lt;&gt;""), AB70-AA70, "")</f>
        <v/>
      </c>
      <c r="AD70" s="17">
        <f>IF(AE70="", "", IF(OR(AE70="Completed", AE70="Closed - Fixed", AE70="Closed - Exception"), 0, IF(AND(Z70&lt;&gt;"", TODAY()&gt;Z70), TODAY()-Z70, 0)))</f>
        <v/>
      </c>
      <c r="AE70" s="8" t="inlineStr">
        <is>
          <t>Identified</t>
        </is>
      </c>
      <c r="AF70" s="8" t="n"/>
      <c r="AG70" s="9" t="n">
        <v>0</v>
      </c>
      <c r="AH70" s="8" t="n"/>
      <c r="AI70" s="8" t="inlineStr">
        <is>
          <t>Yes</t>
        </is>
      </c>
      <c r="AJ70" s="8" t="n"/>
      <c r="AK70" s="8" t="n"/>
      <c r="AL70" s="8" t="n"/>
      <c r="AM70" s="8" t="n"/>
      <c r="AN70" s="8" t="inlineStr">
        <is>
          <t>No</t>
        </is>
      </c>
      <c r="AO70" s="8" t="n"/>
      <c r="AP70" s="8" t="n"/>
      <c r="AQ70" s="8" t="n"/>
      <c r="AR70" s="8" t="n"/>
      <c r="AS70" s="8" t="n"/>
      <c r="AT70" s="8" t="n"/>
      <c r="AU70" s="8" t="n"/>
      <c r="AV70" s="8" t="n"/>
    </row>
    <row r="71">
      <c r="A71">
        <f>IF(B71&lt;&gt;"", "REM-"&amp;TEXT(ROW()-1,"000"), "")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inlineStr">
        <is>
          <t>Yes</t>
        </is>
      </c>
      <c r="Q71" s="8" t="n"/>
      <c r="R71" s="8" t="n"/>
      <c r="S71" s="8" t="n"/>
      <c r="T71" s="8" t="n"/>
      <c r="U71" s="8" t="n"/>
      <c r="V71" s="8" t="n"/>
      <c r="W71" s="8" t="n"/>
      <c r="X71">
        <f>IF(L71="", "", IF(L71="Critical", "Critical", IF(AND(L71="High", F71="Critical"), "Critical", IF(L71="High", "High", IF(L71="Medium", "Medium", "Low")))))</f>
        <v/>
      </c>
      <c r="Y71" s="8" t="n"/>
      <c r="Z71" s="18">
        <f>IF(AND(N71&lt;&gt;"", X71&lt;&gt;""), IF(X71="Critical", N71+3, IF(X71="High", N71+7, IF(X71="Medium", N71+30, N71+90))), "")</f>
        <v/>
      </c>
      <c r="AA71" s="8" t="n"/>
      <c r="AB71" s="8" t="n"/>
      <c r="AC71" s="17">
        <f>IF(AND(AA71&lt;&gt;"", AB71&lt;&gt;""), AB71-AA71, "")</f>
        <v/>
      </c>
      <c r="AD71" s="17">
        <f>IF(AE71="", "", IF(OR(AE71="Completed", AE71="Closed - Fixed", AE71="Closed - Exception"), 0, IF(AND(Z71&lt;&gt;"", TODAY()&gt;Z71), TODAY()-Z71, 0)))</f>
        <v/>
      </c>
      <c r="AE71" s="8" t="inlineStr">
        <is>
          <t>Identified</t>
        </is>
      </c>
      <c r="AF71" s="8" t="n"/>
      <c r="AG71" s="9" t="n">
        <v>0</v>
      </c>
      <c r="AH71" s="8" t="n"/>
      <c r="AI71" s="8" t="inlineStr">
        <is>
          <t>Yes</t>
        </is>
      </c>
      <c r="AJ71" s="8" t="n"/>
      <c r="AK71" s="8" t="n"/>
      <c r="AL71" s="8" t="n"/>
      <c r="AM71" s="8" t="n"/>
      <c r="AN71" s="8" t="inlineStr">
        <is>
          <t>No</t>
        </is>
      </c>
      <c r="AO71" s="8" t="n"/>
      <c r="AP71" s="8" t="n"/>
      <c r="AQ71" s="8" t="n"/>
      <c r="AR71" s="8" t="n"/>
      <c r="AS71" s="8" t="n"/>
      <c r="AT71" s="8" t="n"/>
      <c r="AU71" s="8" t="n"/>
      <c r="AV71" s="8" t="n"/>
    </row>
    <row r="72">
      <c r="A72">
        <f>IF(B72&lt;&gt;"", "REM-"&amp;TEXT(ROW()-1,"000"), "")</f>
        <v/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inlineStr">
        <is>
          <t>Yes</t>
        </is>
      </c>
      <c r="Q72" s="8" t="n"/>
      <c r="R72" s="8" t="n"/>
      <c r="S72" s="8" t="n"/>
      <c r="T72" s="8" t="n"/>
      <c r="U72" s="8" t="n"/>
      <c r="V72" s="8" t="n"/>
      <c r="W72" s="8" t="n"/>
      <c r="X72">
        <f>IF(L72="", "", IF(L72="Critical", "Critical", IF(AND(L72="High", F72="Critical"), "Critical", IF(L72="High", "High", IF(L72="Medium", "Medium", "Low")))))</f>
        <v/>
      </c>
      <c r="Y72" s="8" t="n"/>
      <c r="Z72" s="18">
        <f>IF(AND(N72&lt;&gt;"", X72&lt;&gt;""), IF(X72="Critical", N72+3, IF(X72="High", N72+7, IF(X72="Medium", N72+30, N72+90))), "")</f>
        <v/>
      </c>
      <c r="AA72" s="8" t="n"/>
      <c r="AB72" s="8" t="n"/>
      <c r="AC72" s="17">
        <f>IF(AND(AA72&lt;&gt;"", AB72&lt;&gt;""), AB72-AA72, "")</f>
        <v/>
      </c>
      <c r="AD72" s="17">
        <f>IF(AE72="", "", IF(OR(AE72="Completed", AE72="Closed - Fixed", AE72="Closed - Exception"), 0, IF(AND(Z72&lt;&gt;"", TODAY()&gt;Z72), TODAY()-Z72, 0)))</f>
        <v/>
      </c>
      <c r="AE72" s="8" t="inlineStr">
        <is>
          <t>Identified</t>
        </is>
      </c>
      <c r="AF72" s="8" t="n"/>
      <c r="AG72" s="9" t="n">
        <v>0</v>
      </c>
      <c r="AH72" s="8" t="n"/>
      <c r="AI72" s="8" t="inlineStr">
        <is>
          <t>Yes</t>
        </is>
      </c>
      <c r="AJ72" s="8" t="n"/>
      <c r="AK72" s="8" t="n"/>
      <c r="AL72" s="8" t="n"/>
      <c r="AM72" s="8" t="n"/>
      <c r="AN72" s="8" t="inlineStr">
        <is>
          <t>No</t>
        </is>
      </c>
      <c r="AO72" s="8" t="n"/>
      <c r="AP72" s="8" t="n"/>
      <c r="AQ72" s="8" t="n"/>
      <c r="AR72" s="8" t="n"/>
      <c r="AS72" s="8" t="n"/>
      <c r="AT72" s="8" t="n"/>
      <c r="AU72" s="8" t="n"/>
      <c r="AV72" s="8" t="n"/>
    </row>
    <row r="73">
      <c r="A73">
        <f>IF(B73&lt;&gt;"", "REM-"&amp;TEXT(ROW()-1,"000"), "")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inlineStr">
        <is>
          <t>Yes</t>
        </is>
      </c>
      <c r="Q73" s="8" t="n"/>
      <c r="R73" s="8" t="n"/>
      <c r="S73" s="8" t="n"/>
      <c r="T73" s="8" t="n"/>
      <c r="U73" s="8" t="n"/>
      <c r="V73" s="8" t="n"/>
      <c r="W73" s="8" t="n"/>
      <c r="X73">
        <f>IF(L73="", "", IF(L73="Critical", "Critical", IF(AND(L73="High", F73="Critical"), "Critical", IF(L73="High", "High", IF(L73="Medium", "Medium", "Low")))))</f>
        <v/>
      </c>
      <c r="Y73" s="8" t="n"/>
      <c r="Z73" s="18">
        <f>IF(AND(N73&lt;&gt;"", X73&lt;&gt;""), IF(X73="Critical", N73+3, IF(X73="High", N73+7, IF(X73="Medium", N73+30, N73+90))), "")</f>
        <v/>
      </c>
      <c r="AA73" s="8" t="n"/>
      <c r="AB73" s="8" t="n"/>
      <c r="AC73" s="17">
        <f>IF(AND(AA73&lt;&gt;"", AB73&lt;&gt;""), AB73-AA73, "")</f>
        <v/>
      </c>
      <c r="AD73" s="17">
        <f>IF(AE73="", "", IF(OR(AE73="Completed", AE73="Closed - Fixed", AE73="Closed - Exception"), 0, IF(AND(Z73&lt;&gt;"", TODAY()&gt;Z73), TODAY()-Z73, 0)))</f>
        <v/>
      </c>
      <c r="AE73" s="8" t="inlineStr">
        <is>
          <t>Identified</t>
        </is>
      </c>
      <c r="AF73" s="8" t="n"/>
      <c r="AG73" s="9" t="n">
        <v>0</v>
      </c>
      <c r="AH73" s="8" t="n"/>
      <c r="AI73" s="8" t="inlineStr">
        <is>
          <t>Yes</t>
        </is>
      </c>
      <c r="AJ73" s="8" t="n"/>
      <c r="AK73" s="8" t="n"/>
      <c r="AL73" s="8" t="n"/>
      <c r="AM73" s="8" t="n"/>
      <c r="AN73" s="8" t="inlineStr">
        <is>
          <t>No</t>
        </is>
      </c>
      <c r="AO73" s="8" t="n"/>
      <c r="AP73" s="8" t="n"/>
      <c r="AQ73" s="8" t="n"/>
      <c r="AR73" s="8" t="n"/>
      <c r="AS73" s="8" t="n"/>
      <c r="AT73" s="8" t="n"/>
      <c r="AU73" s="8" t="n"/>
      <c r="AV73" s="8" t="n"/>
    </row>
    <row r="74">
      <c r="A74">
        <f>IF(B74&lt;&gt;"", "REM-"&amp;TEXT(ROW()-1,"000"), "")</f>
        <v/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inlineStr">
        <is>
          <t>Yes</t>
        </is>
      </c>
      <c r="Q74" s="8" t="n"/>
      <c r="R74" s="8" t="n"/>
      <c r="S74" s="8" t="n"/>
      <c r="T74" s="8" t="n"/>
      <c r="U74" s="8" t="n"/>
      <c r="V74" s="8" t="n"/>
      <c r="W74" s="8" t="n"/>
      <c r="X74">
        <f>IF(L74="", "", IF(L74="Critical", "Critical", IF(AND(L74="High", F74="Critical"), "Critical", IF(L74="High", "High", IF(L74="Medium", "Medium", "Low")))))</f>
        <v/>
      </c>
      <c r="Y74" s="8" t="n"/>
      <c r="Z74" s="18">
        <f>IF(AND(N74&lt;&gt;"", X74&lt;&gt;""), IF(X74="Critical", N74+3, IF(X74="High", N74+7, IF(X74="Medium", N74+30, N74+90))), "")</f>
        <v/>
      </c>
      <c r="AA74" s="8" t="n"/>
      <c r="AB74" s="8" t="n"/>
      <c r="AC74" s="17">
        <f>IF(AND(AA74&lt;&gt;"", AB74&lt;&gt;""), AB74-AA74, "")</f>
        <v/>
      </c>
      <c r="AD74" s="17">
        <f>IF(AE74="", "", IF(OR(AE74="Completed", AE74="Closed - Fixed", AE74="Closed - Exception"), 0, IF(AND(Z74&lt;&gt;"", TODAY()&gt;Z74), TODAY()-Z74, 0)))</f>
        <v/>
      </c>
      <c r="AE74" s="8" t="inlineStr">
        <is>
          <t>Identified</t>
        </is>
      </c>
      <c r="AF74" s="8" t="n"/>
      <c r="AG74" s="9" t="n">
        <v>0</v>
      </c>
      <c r="AH74" s="8" t="n"/>
      <c r="AI74" s="8" t="inlineStr">
        <is>
          <t>Yes</t>
        </is>
      </c>
      <c r="AJ74" s="8" t="n"/>
      <c r="AK74" s="8" t="n"/>
      <c r="AL74" s="8" t="n"/>
      <c r="AM74" s="8" t="n"/>
      <c r="AN74" s="8" t="inlineStr">
        <is>
          <t>No</t>
        </is>
      </c>
      <c r="AO74" s="8" t="n"/>
      <c r="AP74" s="8" t="n"/>
      <c r="AQ74" s="8" t="n"/>
      <c r="AR74" s="8" t="n"/>
      <c r="AS74" s="8" t="n"/>
      <c r="AT74" s="8" t="n"/>
      <c r="AU74" s="8" t="n"/>
      <c r="AV74" s="8" t="n"/>
    </row>
    <row r="75">
      <c r="A75">
        <f>IF(B75&lt;&gt;"", "REM-"&amp;TEXT(ROW()-1,"000"), "")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inlineStr">
        <is>
          <t>Yes</t>
        </is>
      </c>
      <c r="Q75" s="8" t="n"/>
      <c r="R75" s="8" t="n"/>
      <c r="S75" s="8" t="n"/>
      <c r="T75" s="8" t="n"/>
      <c r="U75" s="8" t="n"/>
      <c r="V75" s="8" t="n"/>
      <c r="W75" s="8" t="n"/>
      <c r="X75">
        <f>IF(L75="", "", IF(L75="Critical", "Critical", IF(AND(L75="High", F75="Critical"), "Critical", IF(L75="High", "High", IF(L75="Medium", "Medium", "Low")))))</f>
        <v/>
      </c>
      <c r="Y75" s="8" t="n"/>
      <c r="Z75" s="18">
        <f>IF(AND(N75&lt;&gt;"", X75&lt;&gt;""), IF(X75="Critical", N75+3, IF(X75="High", N75+7, IF(X75="Medium", N75+30, N75+90))), "")</f>
        <v/>
      </c>
      <c r="AA75" s="8" t="n"/>
      <c r="AB75" s="8" t="n"/>
      <c r="AC75" s="17">
        <f>IF(AND(AA75&lt;&gt;"", AB75&lt;&gt;""), AB75-AA75, "")</f>
        <v/>
      </c>
      <c r="AD75" s="17">
        <f>IF(AE75="", "", IF(OR(AE75="Completed", AE75="Closed - Fixed", AE75="Closed - Exception"), 0, IF(AND(Z75&lt;&gt;"", TODAY()&gt;Z75), TODAY()-Z75, 0)))</f>
        <v/>
      </c>
      <c r="AE75" s="8" t="inlineStr">
        <is>
          <t>Identified</t>
        </is>
      </c>
      <c r="AF75" s="8" t="n"/>
      <c r="AG75" s="9" t="n">
        <v>0</v>
      </c>
      <c r="AH75" s="8" t="n"/>
      <c r="AI75" s="8" t="inlineStr">
        <is>
          <t>Yes</t>
        </is>
      </c>
      <c r="AJ75" s="8" t="n"/>
      <c r="AK75" s="8" t="n"/>
      <c r="AL75" s="8" t="n"/>
      <c r="AM75" s="8" t="n"/>
      <c r="AN75" s="8" t="inlineStr">
        <is>
          <t>No</t>
        </is>
      </c>
      <c r="AO75" s="8" t="n"/>
      <c r="AP75" s="8" t="n"/>
      <c r="AQ75" s="8" t="n"/>
      <c r="AR75" s="8" t="n"/>
      <c r="AS75" s="8" t="n"/>
      <c r="AT75" s="8" t="n"/>
      <c r="AU75" s="8" t="n"/>
      <c r="AV75" s="8" t="n"/>
    </row>
    <row r="76">
      <c r="A76">
        <f>IF(B76&lt;&gt;"", "REM-"&amp;TEXT(ROW()-1,"000"), "")</f>
        <v/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inlineStr">
        <is>
          <t>Yes</t>
        </is>
      </c>
      <c r="Q76" s="8" t="n"/>
      <c r="R76" s="8" t="n"/>
      <c r="S76" s="8" t="n"/>
      <c r="T76" s="8" t="n"/>
      <c r="U76" s="8" t="n"/>
      <c r="V76" s="8" t="n"/>
      <c r="W76" s="8" t="n"/>
      <c r="X76">
        <f>IF(L76="", "", IF(L76="Critical", "Critical", IF(AND(L76="High", F76="Critical"), "Critical", IF(L76="High", "High", IF(L76="Medium", "Medium", "Low")))))</f>
        <v/>
      </c>
      <c r="Y76" s="8" t="n"/>
      <c r="Z76" s="18">
        <f>IF(AND(N76&lt;&gt;"", X76&lt;&gt;""), IF(X76="Critical", N76+3, IF(X76="High", N76+7, IF(X76="Medium", N76+30, N76+90))), "")</f>
        <v/>
      </c>
      <c r="AA76" s="8" t="n"/>
      <c r="AB76" s="8" t="n"/>
      <c r="AC76" s="17">
        <f>IF(AND(AA76&lt;&gt;"", AB76&lt;&gt;""), AB76-AA76, "")</f>
        <v/>
      </c>
      <c r="AD76" s="17">
        <f>IF(AE76="", "", IF(OR(AE76="Completed", AE76="Closed - Fixed", AE76="Closed - Exception"), 0, IF(AND(Z76&lt;&gt;"", TODAY()&gt;Z76), TODAY()-Z76, 0)))</f>
        <v/>
      </c>
      <c r="AE76" s="8" t="inlineStr">
        <is>
          <t>Identified</t>
        </is>
      </c>
      <c r="AF76" s="8" t="n"/>
      <c r="AG76" s="9" t="n">
        <v>0</v>
      </c>
      <c r="AH76" s="8" t="n"/>
      <c r="AI76" s="8" t="inlineStr">
        <is>
          <t>Yes</t>
        </is>
      </c>
      <c r="AJ76" s="8" t="n"/>
      <c r="AK76" s="8" t="n"/>
      <c r="AL76" s="8" t="n"/>
      <c r="AM76" s="8" t="n"/>
      <c r="AN76" s="8" t="inlineStr">
        <is>
          <t>No</t>
        </is>
      </c>
      <c r="AO76" s="8" t="n"/>
      <c r="AP76" s="8" t="n"/>
      <c r="AQ76" s="8" t="n"/>
      <c r="AR76" s="8" t="n"/>
      <c r="AS76" s="8" t="n"/>
      <c r="AT76" s="8" t="n"/>
      <c r="AU76" s="8" t="n"/>
      <c r="AV76" s="8" t="n"/>
    </row>
    <row r="77">
      <c r="A77">
        <f>IF(B77&lt;&gt;"", "REM-"&amp;TEXT(ROW()-1,"000"), "")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inlineStr">
        <is>
          <t>Yes</t>
        </is>
      </c>
      <c r="Q77" s="8" t="n"/>
      <c r="R77" s="8" t="n"/>
      <c r="S77" s="8" t="n"/>
      <c r="T77" s="8" t="n"/>
      <c r="U77" s="8" t="n"/>
      <c r="V77" s="8" t="n"/>
      <c r="W77" s="8" t="n"/>
      <c r="X77">
        <f>IF(L77="", "", IF(L77="Critical", "Critical", IF(AND(L77="High", F77="Critical"), "Critical", IF(L77="High", "High", IF(L77="Medium", "Medium", "Low")))))</f>
        <v/>
      </c>
      <c r="Y77" s="8" t="n"/>
      <c r="Z77" s="18">
        <f>IF(AND(N77&lt;&gt;"", X77&lt;&gt;""), IF(X77="Critical", N77+3, IF(X77="High", N77+7, IF(X77="Medium", N77+30, N77+90))), "")</f>
        <v/>
      </c>
      <c r="AA77" s="8" t="n"/>
      <c r="AB77" s="8" t="n"/>
      <c r="AC77" s="17">
        <f>IF(AND(AA77&lt;&gt;"", AB77&lt;&gt;""), AB77-AA77, "")</f>
        <v/>
      </c>
      <c r="AD77" s="17">
        <f>IF(AE77="", "", IF(OR(AE77="Completed", AE77="Closed - Fixed", AE77="Closed - Exception"), 0, IF(AND(Z77&lt;&gt;"", TODAY()&gt;Z77), TODAY()-Z77, 0)))</f>
        <v/>
      </c>
      <c r="AE77" s="8" t="inlineStr">
        <is>
          <t>Identified</t>
        </is>
      </c>
      <c r="AF77" s="8" t="n"/>
      <c r="AG77" s="9" t="n">
        <v>0</v>
      </c>
      <c r="AH77" s="8" t="n"/>
      <c r="AI77" s="8" t="inlineStr">
        <is>
          <t>Yes</t>
        </is>
      </c>
      <c r="AJ77" s="8" t="n"/>
      <c r="AK77" s="8" t="n"/>
      <c r="AL77" s="8" t="n"/>
      <c r="AM77" s="8" t="n"/>
      <c r="AN77" s="8" t="inlineStr">
        <is>
          <t>No</t>
        </is>
      </c>
      <c r="AO77" s="8" t="n"/>
      <c r="AP77" s="8" t="n"/>
      <c r="AQ77" s="8" t="n"/>
      <c r="AR77" s="8" t="n"/>
      <c r="AS77" s="8" t="n"/>
      <c r="AT77" s="8" t="n"/>
      <c r="AU77" s="8" t="n"/>
      <c r="AV77" s="8" t="n"/>
    </row>
    <row r="78">
      <c r="A78">
        <f>IF(B78&lt;&gt;"", "REM-"&amp;TEXT(ROW()-1,"000"), "")</f>
        <v/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inlineStr">
        <is>
          <t>Yes</t>
        </is>
      </c>
      <c r="Q78" s="8" t="n"/>
      <c r="R78" s="8" t="n"/>
      <c r="S78" s="8" t="n"/>
      <c r="T78" s="8" t="n"/>
      <c r="U78" s="8" t="n"/>
      <c r="V78" s="8" t="n"/>
      <c r="W78" s="8" t="n"/>
      <c r="X78">
        <f>IF(L78="", "", IF(L78="Critical", "Critical", IF(AND(L78="High", F78="Critical"), "Critical", IF(L78="High", "High", IF(L78="Medium", "Medium", "Low")))))</f>
        <v/>
      </c>
      <c r="Y78" s="8" t="n"/>
      <c r="Z78" s="18">
        <f>IF(AND(N78&lt;&gt;"", X78&lt;&gt;""), IF(X78="Critical", N78+3, IF(X78="High", N78+7, IF(X78="Medium", N78+30, N78+90))), "")</f>
        <v/>
      </c>
      <c r="AA78" s="8" t="n"/>
      <c r="AB78" s="8" t="n"/>
      <c r="AC78" s="17">
        <f>IF(AND(AA78&lt;&gt;"", AB78&lt;&gt;""), AB78-AA78, "")</f>
        <v/>
      </c>
      <c r="AD78" s="17">
        <f>IF(AE78="", "", IF(OR(AE78="Completed", AE78="Closed - Fixed", AE78="Closed - Exception"), 0, IF(AND(Z78&lt;&gt;"", TODAY()&gt;Z78), TODAY()-Z78, 0)))</f>
        <v/>
      </c>
      <c r="AE78" s="8" t="inlineStr">
        <is>
          <t>Identified</t>
        </is>
      </c>
      <c r="AF78" s="8" t="n"/>
      <c r="AG78" s="9" t="n">
        <v>0</v>
      </c>
      <c r="AH78" s="8" t="n"/>
      <c r="AI78" s="8" t="inlineStr">
        <is>
          <t>Yes</t>
        </is>
      </c>
      <c r="AJ78" s="8" t="n"/>
      <c r="AK78" s="8" t="n"/>
      <c r="AL78" s="8" t="n"/>
      <c r="AM78" s="8" t="n"/>
      <c r="AN78" s="8" t="inlineStr">
        <is>
          <t>No</t>
        </is>
      </c>
      <c r="AO78" s="8" t="n"/>
      <c r="AP78" s="8" t="n"/>
      <c r="AQ78" s="8" t="n"/>
      <c r="AR78" s="8" t="n"/>
      <c r="AS78" s="8" t="n"/>
      <c r="AT78" s="8" t="n"/>
      <c r="AU78" s="8" t="n"/>
      <c r="AV78" s="8" t="n"/>
    </row>
    <row r="79">
      <c r="A79">
        <f>IF(B79&lt;&gt;"", "REM-"&amp;TEXT(ROW()-1,"000"), "")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inlineStr">
        <is>
          <t>Yes</t>
        </is>
      </c>
      <c r="Q79" s="8" t="n"/>
      <c r="R79" s="8" t="n"/>
      <c r="S79" s="8" t="n"/>
      <c r="T79" s="8" t="n"/>
      <c r="U79" s="8" t="n"/>
      <c r="V79" s="8" t="n"/>
      <c r="W79" s="8" t="n"/>
      <c r="X79">
        <f>IF(L79="", "", IF(L79="Critical", "Critical", IF(AND(L79="High", F79="Critical"), "Critical", IF(L79="High", "High", IF(L79="Medium", "Medium", "Low")))))</f>
        <v/>
      </c>
      <c r="Y79" s="8" t="n"/>
      <c r="Z79" s="18">
        <f>IF(AND(N79&lt;&gt;"", X79&lt;&gt;""), IF(X79="Critical", N79+3, IF(X79="High", N79+7, IF(X79="Medium", N79+30, N79+90))), "")</f>
        <v/>
      </c>
      <c r="AA79" s="8" t="n"/>
      <c r="AB79" s="8" t="n"/>
      <c r="AC79" s="17">
        <f>IF(AND(AA79&lt;&gt;"", AB79&lt;&gt;""), AB79-AA79, "")</f>
        <v/>
      </c>
      <c r="AD79" s="17">
        <f>IF(AE79="", "", IF(OR(AE79="Completed", AE79="Closed - Fixed", AE79="Closed - Exception"), 0, IF(AND(Z79&lt;&gt;"", TODAY()&gt;Z79), TODAY()-Z79, 0)))</f>
        <v/>
      </c>
      <c r="AE79" s="8" t="inlineStr">
        <is>
          <t>Identified</t>
        </is>
      </c>
      <c r="AF79" s="8" t="n"/>
      <c r="AG79" s="9" t="n">
        <v>0</v>
      </c>
      <c r="AH79" s="8" t="n"/>
      <c r="AI79" s="8" t="inlineStr">
        <is>
          <t>Yes</t>
        </is>
      </c>
      <c r="AJ79" s="8" t="n"/>
      <c r="AK79" s="8" t="n"/>
      <c r="AL79" s="8" t="n"/>
      <c r="AM79" s="8" t="n"/>
      <c r="AN79" s="8" t="inlineStr">
        <is>
          <t>No</t>
        </is>
      </c>
      <c r="AO79" s="8" t="n"/>
      <c r="AP79" s="8" t="n"/>
      <c r="AQ79" s="8" t="n"/>
      <c r="AR79" s="8" t="n"/>
      <c r="AS79" s="8" t="n"/>
      <c r="AT79" s="8" t="n"/>
      <c r="AU79" s="8" t="n"/>
      <c r="AV79" s="8" t="n"/>
    </row>
    <row r="80">
      <c r="A80">
        <f>IF(B80&lt;&gt;"", "REM-"&amp;TEXT(ROW()-1,"000"), "")</f>
        <v/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inlineStr">
        <is>
          <t>Yes</t>
        </is>
      </c>
      <c r="Q80" s="8" t="n"/>
      <c r="R80" s="8" t="n"/>
      <c r="S80" s="8" t="n"/>
      <c r="T80" s="8" t="n"/>
      <c r="U80" s="8" t="n"/>
      <c r="V80" s="8" t="n"/>
      <c r="W80" s="8" t="n"/>
      <c r="X80">
        <f>IF(L80="", "", IF(L80="Critical", "Critical", IF(AND(L80="High", F80="Critical"), "Critical", IF(L80="High", "High", IF(L80="Medium", "Medium", "Low")))))</f>
        <v/>
      </c>
      <c r="Y80" s="8" t="n"/>
      <c r="Z80" s="18">
        <f>IF(AND(N80&lt;&gt;"", X80&lt;&gt;""), IF(X80="Critical", N80+3, IF(X80="High", N80+7, IF(X80="Medium", N80+30, N80+90))), "")</f>
        <v/>
      </c>
      <c r="AA80" s="8" t="n"/>
      <c r="AB80" s="8" t="n"/>
      <c r="AC80" s="17">
        <f>IF(AND(AA80&lt;&gt;"", AB80&lt;&gt;""), AB80-AA80, "")</f>
        <v/>
      </c>
      <c r="AD80" s="17">
        <f>IF(AE80="", "", IF(OR(AE80="Completed", AE80="Closed - Fixed", AE80="Closed - Exception"), 0, IF(AND(Z80&lt;&gt;"", TODAY()&gt;Z80), TODAY()-Z80, 0)))</f>
        <v/>
      </c>
      <c r="AE80" s="8" t="inlineStr">
        <is>
          <t>Identified</t>
        </is>
      </c>
      <c r="AF80" s="8" t="n"/>
      <c r="AG80" s="9" t="n">
        <v>0</v>
      </c>
      <c r="AH80" s="8" t="n"/>
      <c r="AI80" s="8" t="inlineStr">
        <is>
          <t>Yes</t>
        </is>
      </c>
      <c r="AJ80" s="8" t="n"/>
      <c r="AK80" s="8" t="n"/>
      <c r="AL80" s="8" t="n"/>
      <c r="AM80" s="8" t="n"/>
      <c r="AN80" s="8" t="inlineStr">
        <is>
          <t>No</t>
        </is>
      </c>
      <c r="AO80" s="8" t="n"/>
      <c r="AP80" s="8" t="n"/>
      <c r="AQ80" s="8" t="n"/>
      <c r="AR80" s="8" t="n"/>
      <c r="AS80" s="8" t="n"/>
      <c r="AT80" s="8" t="n"/>
      <c r="AU80" s="8" t="n"/>
      <c r="AV80" s="8" t="n"/>
    </row>
    <row r="81">
      <c r="A81">
        <f>IF(B81&lt;&gt;"", "REM-"&amp;TEXT(ROW()-1,"000"), "")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inlineStr">
        <is>
          <t>Yes</t>
        </is>
      </c>
      <c r="Q81" s="8" t="n"/>
      <c r="R81" s="8" t="n"/>
      <c r="S81" s="8" t="n"/>
      <c r="T81" s="8" t="n"/>
      <c r="U81" s="8" t="n"/>
      <c r="V81" s="8" t="n"/>
      <c r="W81" s="8" t="n"/>
      <c r="X81">
        <f>IF(L81="", "", IF(L81="Critical", "Critical", IF(AND(L81="High", F81="Critical"), "Critical", IF(L81="High", "High", IF(L81="Medium", "Medium", "Low")))))</f>
        <v/>
      </c>
      <c r="Y81" s="8" t="n"/>
      <c r="Z81" s="18">
        <f>IF(AND(N81&lt;&gt;"", X81&lt;&gt;""), IF(X81="Critical", N81+3, IF(X81="High", N81+7, IF(X81="Medium", N81+30, N81+90))), "")</f>
        <v/>
      </c>
      <c r="AA81" s="8" t="n"/>
      <c r="AB81" s="8" t="n"/>
      <c r="AC81" s="17">
        <f>IF(AND(AA81&lt;&gt;"", AB81&lt;&gt;""), AB81-AA81, "")</f>
        <v/>
      </c>
      <c r="AD81" s="17">
        <f>IF(AE81="", "", IF(OR(AE81="Completed", AE81="Closed - Fixed", AE81="Closed - Exception"), 0, IF(AND(Z81&lt;&gt;"", TODAY()&gt;Z81), TODAY()-Z81, 0)))</f>
        <v/>
      </c>
      <c r="AE81" s="8" t="inlineStr">
        <is>
          <t>Identified</t>
        </is>
      </c>
      <c r="AF81" s="8" t="n"/>
      <c r="AG81" s="9" t="n">
        <v>0</v>
      </c>
      <c r="AH81" s="8" t="n"/>
      <c r="AI81" s="8" t="inlineStr">
        <is>
          <t>Yes</t>
        </is>
      </c>
      <c r="AJ81" s="8" t="n"/>
      <c r="AK81" s="8" t="n"/>
      <c r="AL81" s="8" t="n"/>
      <c r="AM81" s="8" t="n"/>
      <c r="AN81" s="8" t="inlineStr">
        <is>
          <t>No</t>
        </is>
      </c>
      <c r="AO81" s="8" t="n"/>
      <c r="AP81" s="8" t="n"/>
      <c r="AQ81" s="8" t="n"/>
      <c r="AR81" s="8" t="n"/>
      <c r="AS81" s="8" t="n"/>
      <c r="AT81" s="8" t="n"/>
      <c r="AU81" s="8" t="n"/>
      <c r="AV81" s="8" t="n"/>
    </row>
    <row r="82">
      <c r="A82">
        <f>IF(B82&lt;&gt;"", "REM-"&amp;TEXT(ROW()-1,"000"), "")</f>
        <v/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inlineStr">
        <is>
          <t>Yes</t>
        </is>
      </c>
      <c r="Q82" s="8" t="n"/>
      <c r="R82" s="8" t="n"/>
      <c r="S82" s="8" t="n"/>
      <c r="T82" s="8" t="n"/>
      <c r="U82" s="8" t="n"/>
      <c r="V82" s="8" t="n"/>
      <c r="W82" s="8" t="n"/>
      <c r="X82">
        <f>IF(L82="", "", IF(L82="Critical", "Critical", IF(AND(L82="High", F82="Critical"), "Critical", IF(L82="High", "High", IF(L82="Medium", "Medium", "Low")))))</f>
        <v/>
      </c>
      <c r="Y82" s="8" t="n"/>
      <c r="Z82" s="18">
        <f>IF(AND(N82&lt;&gt;"", X82&lt;&gt;""), IF(X82="Critical", N82+3, IF(X82="High", N82+7, IF(X82="Medium", N82+30, N82+90))), "")</f>
        <v/>
      </c>
      <c r="AA82" s="8" t="n"/>
      <c r="AB82" s="8" t="n"/>
      <c r="AC82" s="17">
        <f>IF(AND(AA82&lt;&gt;"", AB82&lt;&gt;""), AB82-AA82, "")</f>
        <v/>
      </c>
      <c r="AD82" s="17">
        <f>IF(AE82="", "", IF(OR(AE82="Completed", AE82="Closed - Fixed", AE82="Closed - Exception"), 0, IF(AND(Z82&lt;&gt;"", TODAY()&gt;Z82), TODAY()-Z82, 0)))</f>
        <v/>
      </c>
      <c r="AE82" s="8" t="inlineStr">
        <is>
          <t>Identified</t>
        </is>
      </c>
      <c r="AF82" s="8" t="n"/>
      <c r="AG82" s="9" t="n">
        <v>0</v>
      </c>
      <c r="AH82" s="8" t="n"/>
      <c r="AI82" s="8" t="inlineStr">
        <is>
          <t>Yes</t>
        </is>
      </c>
      <c r="AJ82" s="8" t="n"/>
      <c r="AK82" s="8" t="n"/>
      <c r="AL82" s="8" t="n"/>
      <c r="AM82" s="8" t="n"/>
      <c r="AN82" s="8" t="inlineStr">
        <is>
          <t>No</t>
        </is>
      </c>
      <c r="AO82" s="8" t="n"/>
      <c r="AP82" s="8" t="n"/>
      <c r="AQ82" s="8" t="n"/>
      <c r="AR82" s="8" t="n"/>
      <c r="AS82" s="8" t="n"/>
      <c r="AT82" s="8" t="n"/>
      <c r="AU82" s="8" t="n"/>
      <c r="AV82" s="8" t="n"/>
    </row>
    <row r="83">
      <c r="A83">
        <f>IF(B83&lt;&gt;"", "REM-"&amp;TEXT(ROW()-1,"000"), "")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inlineStr">
        <is>
          <t>Yes</t>
        </is>
      </c>
      <c r="Q83" s="8" t="n"/>
      <c r="R83" s="8" t="n"/>
      <c r="S83" s="8" t="n"/>
      <c r="T83" s="8" t="n"/>
      <c r="U83" s="8" t="n"/>
      <c r="V83" s="8" t="n"/>
      <c r="W83" s="8" t="n"/>
      <c r="X83">
        <f>IF(L83="", "", IF(L83="Critical", "Critical", IF(AND(L83="High", F83="Critical"), "Critical", IF(L83="High", "High", IF(L83="Medium", "Medium", "Low")))))</f>
        <v/>
      </c>
      <c r="Y83" s="8" t="n"/>
      <c r="Z83" s="18">
        <f>IF(AND(N83&lt;&gt;"", X83&lt;&gt;""), IF(X83="Critical", N83+3, IF(X83="High", N83+7, IF(X83="Medium", N83+30, N83+90))), "")</f>
        <v/>
      </c>
      <c r="AA83" s="8" t="n"/>
      <c r="AB83" s="8" t="n"/>
      <c r="AC83" s="17">
        <f>IF(AND(AA83&lt;&gt;"", AB83&lt;&gt;""), AB83-AA83, "")</f>
        <v/>
      </c>
      <c r="AD83" s="17">
        <f>IF(AE83="", "", IF(OR(AE83="Completed", AE83="Closed - Fixed", AE83="Closed - Exception"), 0, IF(AND(Z83&lt;&gt;"", TODAY()&gt;Z83), TODAY()-Z83, 0)))</f>
        <v/>
      </c>
      <c r="AE83" s="8" t="inlineStr">
        <is>
          <t>Identified</t>
        </is>
      </c>
      <c r="AF83" s="8" t="n"/>
      <c r="AG83" s="9" t="n">
        <v>0</v>
      </c>
      <c r="AH83" s="8" t="n"/>
      <c r="AI83" s="8" t="inlineStr">
        <is>
          <t>Yes</t>
        </is>
      </c>
      <c r="AJ83" s="8" t="n"/>
      <c r="AK83" s="8" t="n"/>
      <c r="AL83" s="8" t="n"/>
      <c r="AM83" s="8" t="n"/>
      <c r="AN83" s="8" t="inlineStr">
        <is>
          <t>No</t>
        </is>
      </c>
      <c r="AO83" s="8" t="n"/>
      <c r="AP83" s="8" t="n"/>
      <c r="AQ83" s="8" t="n"/>
      <c r="AR83" s="8" t="n"/>
      <c r="AS83" s="8" t="n"/>
      <c r="AT83" s="8" t="n"/>
      <c r="AU83" s="8" t="n"/>
      <c r="AV83" s="8" t="n"/>
    </row>
    <row r="84">
      <c r="A84">
        <f>IF(B84&lt;&gt;"", "REM-"&amp;TEXT(ROW()-1,"000"), "")</f>
        <v/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inlineStr">
        <is>
          <t>Yes</t>
        </is>
      </c>
      <c r="Q84" s="8" t="n"/>
      <c r="R84" s="8" t="n"/>
      <c r="S84" s="8" t="n"/>
      <c r="T84" s="8" t="n"/>
      <c r="U84" s="8" t="n"/>
      <c r="V84" s="8" t="n"/>
      <c r="W84" s="8" t="n"/>
      <c r="X84">
        <f>IF(L84="", "", IF(L84="Critical", "Critical", IF(AND(L84="High", F84="Critical"), "Critical", IF(L84="High", "High", IF(L84="Medium", "Medium", "Low")))))</f>
        <v/>
      </c>
      <c r="Y84" s="8" t="n"/>
      <c r="Z84" s="18">
        <f>IF(AND(N84&lt;&gt;"", X84&lt;&gt;""), IF(X84="Critical", N84+3, IF(X84="High", N84+7, IF(X84="Medium", N84+30, N84+90))), "")</f>
        <v/>
      </c>
      <c r="AA84" s="8" t="n"/>
      <c r="AB84" s="8" t="n"/>
      <c r="AC84" s="17">
        <f>IF(AND(AA84&lt;&gt;"", AB84&lt;&gt;""), AB84-AA84, "")</f>
        <v/>
      </c>
      <c r="AD84" s="17">
        <f>IF(AE84="", "", IF(OR(AE84="Completed", AE84="Closed - Fixed", AE84="Closed - Exception"), 0, IF(AND(Z84&lt;&gt;"", TODAY()&gt;Z84), TODAY()-Z84, 0)))</f>
        <v/>
      </c>
      <c r="AE84" s="8" t="inlineStr">
        <is>
          <t>Identified</t>
        </is>
      </c>
      <c r="AF84" s="8" t="n"/>
      <c r="AG84" s="9" t="n">
        <v>0</v>
      </c>
      <c r="AH84" s="8" t="n"/>
      <c r="AI84" s="8" t="inlineStr">
        <is>
          <t>Yes</t>
        </is>
      </c>
      <c r="AJ84" s="8" t="n"/>
      <c r="AK84" s="8" t="n"/>
      <c r="AL84" s="8" t="n"/>
      <c r="AM84" s="8" t="n"/>
      <c r="AN84" s="8" t="inlineStr">
        <is>
          <t>No</t>
        </is>
      </c>
      <c r="AO84" s="8" t="n"/>
      <c r="AP84" s="8" t="n"/>
      <c r="AQ84" s="8" t="n"/>
      <c r="AR84" s="8" t="n"/>
      <c r="AS84" s="8" t="n"/>
      <c r="AT84" s="8" t="n"/>
      <c r="AU84" s="8" t="n"/>
      <c r="AV84" s="8" t="n"/>
    </row>
    <row r="85">
      <c r="A85">
        <f>IF(B85&lt;&gt;"", "REM-"&amp;TEXT(ROW()-1,"000"), "")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inlineStr">
        <is>
          <t>Yes</t>
        </is>
      </c>
      <c r="Q85" s="8" t="n"/>
      <c r="R85" s="8" t="n"/>
      <c r="S85" s="8" t="n"/>
      <c r="T85" s="8" t="n"/>
      <c r="U85" s="8" t="n"/>
      <c r="V85" s="8" t="n"/>
      <c r="W85" s="8" t="n"/>
      <c r="X85">
        <f>IF(L85="", "", IF(L85="Critical", "Critical", IF(AND(L85="High", F85="Critical"), "Critical", IF(L85="High", "High", IF(L85="Medium", "Medium", "Low")))))</f>
        <v/>
      </c>
      <c r="Y85" s="8" t="n"/>
      <c r="Z85" s="18">
        <f>IF(AND(N85&lt;&gt;"", X85&lt;&gt;""), IF(X85="Critical", N85+3, IF(X85="High", N85+7, IF(X85="Medium", N85+30, N85+90))), "")</f>
        <v/>
      </c>
      <c r="AA85" s="8" t="n"/>
      <c r="AB85" s="8" t="n"/>
      <c r="AC85" s="17">
        <f>IF(AND(AA85&lt;&gt;"", AB85&lt;&gt;""), AB85-AA85, "")</f>
        <v/>
      </c>
      <c r="AD85" s="17">
        <f>IF(AE85="", "", IF(OR(AE85="Completed", AE85="Closed - Fixed", AE85="Closed - Exception"), 0, IF(AND(Z85&lt;&gt;"", TODAY()&gt;Z85), TODAY()-Z85, 0)))</f>
        <v/>
      </c>
      <c r="AE85" s="8" t="inlineStr">
        <is>
          <t>Identified</t>
        </is>
      </c>
      <c r="AF85" s="8" t="n"/>
      <c r="AG85" s="9" t="n">
        <v>0</v>
      </c>
      <c r="AH85" s="8" t="n"/>
      <c r="AI85" s="8" t="inlineStr">
        <is>
          <t>Yes</t>
        </is>
      </c>
      <c r="AJ85" s="8" t="n"/>
      <c r="AK85" s="8" t="n"/>
      <c r="AL85" s="8" t="n"/>
      <c r="AM85" s="8" t="n"/>
      <c r="AN85" s="8" t="inlineStr">
        <is>
          <t>No</t>
        </is>
      </c>
      <c r="AO85" s="8" t="n"/>
      <c r="AP85" s="8" t="n"/>
      <c r="AQ85" s="8" t="n"/>
      <c r="AR85" s="8" t="n"/>
      <c r="AS85" s="8" t="n"/>
      <c r="AT85" s="8" t="n"/>
      <c r="AU85" s="8" t="n"/>
      <c r="AV85" s="8" t="n"/>
    </row>
    <row r="86">
      <c r="A86">
        <f>IF(B86&lt;&gt;"", "REM-"&amp;TEXT(ROW()-1,"000"), "")</f>
        <v/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inlineStr">
        <is>
          <t>Yes</t>
        </is>
      </c>
      <c r="Q86" s="8" t="n"/>
      <c r="R86" s="8" t="n"/>
      <c r="S86" s="8" t="n"/>
      <c r="T86" s="8" t="n"/>
      <c r="U86" s="8" t="n"/>
      <c r="V86" s="8" t="n"/>
      <c r="W86" s="8" t="n"/>
      <c r="X86">
        <f>IF(L86="", "", IF(L86="Critical", "Critical", IF(AND(L86="High", F86="Critical"), "Critical", IF(L86="High", "High", IF(L86="Medium", "Medium", "Low")))))</f>
        <v/>
      </c>
      <c r="Y86" s="8" t="n"/>
      <c r="Z86" s="18">
        <f>IF(AND(N86&lt;&gt;"", X86&lt;&gt;""), IF(X86="Critical", N86+3, IF(X86="High", N86+7, IF(X86="Medium", N86+30, N86+90))), "")</f>
        <v/>
      </c>
      <c r="AA86" s="8" t="n"/>
      <c r="AB86" s="8" t="n"/>
      <c r="AC86" s="17">
        <f>IF(AND(AA86&lt;&gt;"", AB86&lt;&gt;""), AB86-AA86, "")</f>
        <v/>
      </c>
      <c r="AD86" s="17">
        <f>IF(AE86="", "", IF(OR(AE86="Completed", AE86="Closed - Fixed", AE86="Closed - Exception"), 0, IF(AND(Z86&lt;&gt;"", TODAY()&gt;Z86), TODAY()-Z86, 0)))</f>
        <v/>
      </c>
      <c r="AE86" s="8" t="inlineStr">
        <is>
          <t>Identified</t>
        </is>
      </c>
      <c r="AF86" s="8" t="n"/>
      <c r="AG86" s="9" t="n">
        <v>0</v>
      </c>
      <c r="AH86" s="8" t="n"/>
      <c r="AI86" s="8" t="inlineStr">
        <is>
          <t>Yes</t>
        </is>
      </c>
      <c r="AJ86" s="8" t="n"/>
      <c r="AK86" s="8" t="n"/>
      <c r="AL86" s="8" t="n"/>
      <c r="AM86" s="8" t="n"/>
      <c r="AN86" s="8" t="inlineStr">
        <is>
          <t>No</t>
        </is>
      </c>
      <c r="AO86" s="8" t="n"/>
      <c r="AP86" s="8" t="n"/>
      <c r="AQ86" s="8" t="n"/>
      <c r="AR86" s="8" t="n"/>
      <c r="AS86" s="8" t="n"/>
      <c r="AT86" s="8" t="n"/>
      <c r="AU86" s="8" t="n"/>
      <c r="AV86" s="8" t="n"/>
    </row>
    <row r="87">
      <c r="A87">
        <f>IF(B87&lt;&gt;"", "REM-"&amp;TEXT(ROW()-1,"000"), "")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inlineStr">
        <is>
          <t>Yes</t>
        </is>
      </c>
      <c r="Q87" s="8" t="n"/>
      <c r="R87" s="8" t="n"/>
      <c r="S87" s="8" t="n"/>
      <c r="T87" s="8" t="n"/>
      <c r="U87" s="8" t="n"/>
      <c r="V87" s="8" t="n"/>
      <c r="W87" s="8" t="n"/>
      <c r="X87">
        <f>IF(L87="", "", IF(L87="Critical", "Critical", IF(AND(L87="High", F87="Critical"), "Critical", IF(L87="High", "High", IF(L87="Medium", "Medium", "Low")))))</f>
        <v/>
      </c>
      <c r="Y87" s="8" t="n"/>
      <c r="Z87" s="18">
        <f>IF(AND(N87&lt;&gt;"", X87&lt;&gt;""), IF(X87="Critical", N87+3, IF(X87="High", N87+7, IF(X87="Medium", N87+30, N87+90))), "")</f>
        <v/>
      </c>
      <c r="AA87" s="8" t="n"/>
      <c r="AB87" s="8" t="n"/>
      <c r="AC87" s="17">
        <f>IF(AND(AA87&lt;&gt;"", AB87&lt;&gt;""), AB87-AA87, "")</f>
        <v/>
      </c>
      <c r="AD87" s="17">
        <f>IF(AE87="", "", IF(OR(AE87="Completed", AE87="Closed - Fixed", AE87="Closed - Exception"), 0, IF(AND(Z87&lt;&gt;"", TODAY()&gt;Z87), TODAY()-Z87, 0)))</f>
        <v/>
      </c>
      <c r="AE87" s="8" t="inlineStr">
        <is>
          <t>Identified</t>
        </is>
      </c>
      <c r="AF87" s="8" t="n"/>
      <c r="AG87" s="9" t="n">
        <v>0</v>
      </c>
      <c r="AH87" s="8" t="n"/>
      <c r="AI87" s="8" t="inlineStr">
        <is>
          <t>Yes</t>
        </is>
      </c>
      <c r="AJ87" s="8" t="n"/>
      <c r="AK87" s="8" t="n"/>
      <c r="AL87" s="8" t="n"/>
      <c r="AM87" s="8" t="n"/>
      <c r="AN87" s="8" t="inlineStr">
        <is>
          <t>No</t>
        </is>
      </c>
      <c r="AO87" s="8" t="n"/>
      <c r="AP87" s="8" t="n"/>
      <c r="AQ87" s="8" t="n"/>
      <c r="AR87" s="8" t="n"/>
      <c r="AS87" s="8" t="n"/>
      <c r="AT87" s="8" t="n"/>
      <c r="AU87" s="8" t="n"/>
      <c r="AV87" s="8" t="n"/>
    </row>
    <row r="88">
      <c r="A88">
        <f>IF(B88&lt;&gt;"", "REM-"&amp;TEXT(ROW()-1,"000"), "")</f>
        <v/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inlineStr">
        <is>
          <t>Yes</t>
        </is>
      </c>
      <c r="Q88" s="8" t="n"/>
      <c r="R88" s="8" t="n"/>
      <c r="S88" s="8" t="n"/>
      <c r="T88" s="8" t="n"/>
      <c r="U88" s="8" t="n"/>
      <c r="V88" s="8" t="n"/>
      <c r="W88" s="8" t="n"/>
      <c r="X88">
        <f>IF(L88="", "", IF(L88="Critical", "Critical", IF(AND(L88="High", F88="Critical"), "Critical", IF(L88="High", "High", IF(L88="Medium", "Medium", "Low")))))</f>
        <v/>
      </c>
      <c r="Y88" s="8" t="n"/>
      <c r="Z88" s="18">
        <f>IF(AND(N88&lt;&gt;"", X88&lt;&gt;""), IF(X88="Critical", N88+3, IF(X88="High", N88+7, IF(X88="Medium", N88+30, N88+90))), "")</f>
        <v/>
      </c>
      <c r="AA88" s="8" t="n"/>
      <c r="AB88" s="8" t="n"/>
      <c r="AC88" s="17">
        <f>IF(AND(AA88&lt;&gt;"", AB88&lt;&gt;""), AB88-AA88, "")</f>
        <v/>
      </c>
      <c r="AD88" s="17">
        <f>IF(AE88="", "", IF(OR(AE88="Completed", AE88="Closed - Fixed", AE88="Closed - Exception"), 0, IF(AND(Z88&lt;&gt;"", TODAY()&gt;Z88), TODAY()-Z88, 0)))</f>
        <v/>
      </c>
      <c r="AE88" s="8" t="inlineStr">
        <is>
          <t>Identified</t>
        </is>
      </c>
      <c r="AF88" s="8" t="n"/>
      <c r="AG88" s="9" t="n">
        <v>0</v>
      </c>
      <c r="AH88" s="8" t="n"/>
      <c r="AI88" s="8" t="inlineStr">
        <is>
          <t>Yes</t>
        </is>
      </c>
      <c r="AJ88" s="8" t="n"/>
      <c r="AK88" s="8" t="n"/>
      <c r="AL88" s="8" t="n"/>
      <c r="AM88" s="8" t="n"/>
      <c r="AN88" s="8" t="inlineStr">
        <is>
          <t>No</t>
        </is>
      </c>
      <c r="AO88" s="8" t="n"/>
      <c r="AP88" s="8" t="n"/>
      <c r="AQ88" s="8" t="n"/>
      <c r="AR88" s="8" t="n"/>
      <c r="AS88" s="8" t="n"/>
      <c r="AT88" s="8" t="n"/>
      <c r="AU88" s="8" t="n"/>
      <c r="AV88" s="8" t="n"/>
    </row>
    <row r="89">
      <c r="A89">
        <f>IF(B89&lt;&gt;"", "REM-"&amp;TEXT(ROW()-1,"000"), "")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inlineStr">
        <is>
          <t>Yes</t>
        </is>
      </c>
      <c r="Q89" s="8" t="n"/>
      <c r="R89" s="8" t="n"/>
      <c r="S89" s="8" t="n"/>
      <c r="T89" s="8" t="n"/>
      <c r="U89" s="8" t="n"/>
      <c r="V89" s="8" t="n"/>
      <c r="W89" s="8" t="n"/>
      <c r="X89">
        <f>IF(L89="", "", IF(L89="Critical", "Critical", IF(AND(L89="High", F89="Critical"), "Critical", IF(L89="High", "High", IF(L89="Medium", "Medium", "Low")))))</f>
        <v/>
      </c>
      <c r="Y89" s="8" t="n"/>
      <c r="Z89" s="18">
        <f>IF(AND(N89&lt;&gt;"", X89&lt;&gt;""), IF(X89="Critical", N89+3, IF(X89="High", N89+7, IF(X89="Medium", N89+30, N89+90))), "")</f>
        <v/>
      </c>
      <c r="AA89" s="8" t="n"/>
      <c r="AB89" s="8" t="n"/>
      <c r="AC89" s="17">
        <f>IF(AND(AA89&lt;&gt;"", AB89&lt;&gt;""), AB89-AA89, "")</f>
        <v/>
      </c>
      <c r="AD89" s="17">
        <f>IF(AE89="", "", IF(OR(AE89="Completed", AE89="Closed - Fixed", AE89="Closed - Exception"), 0, IF(AND(Z89&lt;&gt;"", TODAY()&gt;Z89), TODAY()-Z89, 0)))</f>
        <v/>
      </c>
      <c r="AE89" s="8" t="inlineStr">
        <is>
          <t>Identified</t>
        </is>
      </c>
      <c r="AF89" s="8" t="n"/>
      <c r="AG89" s="9" t="n">
        <v>0</v>
      </c>
      <c r="AH89" s="8" t="n"/>
      <c r="AI89" s="8" t="inlineStr">
        <is>
          <t>Yes</t>
        </is>
      </c>
      <c r="AJ89" s="8" t="n"/>
      <c r="AK89" s="8" t="n"/>
      <c r="AL89" s="8" t="n"/>
      <c r="AM89" s="8" t="n"/>
      <c r="AN89" s="8" t="inlineStr">
        <is>
          <t>No</t>
        </is>
      </c>
      <c r="AO89" s="8" t="n"/>
      <c r="AP89" s="8" t="n"/>
      <c r="AQ89" s="8" t="n"/>
      <c r="AR89" s="8" t="n"/>
      <c r="AS89" s="8" t="n"/>
      <c r="AT89" s="8" t="n"/>
      <c r="AU89" s="8" t="n"/>
      <c r="AV89" s="8" t="n"/>
    </row>
    <row r="90">
      <c r="A90">
        <f>IF(B90&lt;&gt;"", "REM-"&amp;TEXT(ROW()-1,"000"), "")</f>
        <v/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inlineStr">
        <is>
          <t>Yes</t>
        </is>
      </c>
      <c r="Q90" s="8" t="n"/>
      <c r="R90" s="8" t="n"/>
      <c r="S90" s="8" t="n"/>
      <c r="T90" s="8" t="n"/>
      <c r="U90" s="8" t="n"/>
      <c r="V90" s="8" t="n"/>
      <c r="W90" s="8" t="n"/>
      <c r="X90">
        <f>IF(L90="", "", IF(L90="Critical", "Critical", IF(AND(L90="High", F90="Critical"), "Critical", IF(L90="High", "High", IF(L90="Medium", "Medium", "Low")))))</f>
        <v/>
      </c>
      <c r="Y90" s="8" t="n"/>
      <c r="Z90" s="18">
        <f>IF(AND(N90&lt;&gt;"", X90&lt;&gt;""), IF(X90="Critical", N90+3, IF(X90="High", N90+7, IF(X90="Medium", N90+30, N90+90))), "")</f>
        <v/>
      </c>
      <c r="AA90" s="8" t="n"/>
      <c r="AB90" s="8" t="n"/>
      <c r="AC90" s="17">
        <f>IF(AND(AA90&lt;&gt;"", AB90&lt;&gt;""), AB90-AA90, "")</f>
        <v/>
      </c>
      <c r="AD90" s="17">
        <f>IF(AE90="", "", IF(OR(AE90="Completed", AE90="Closed - Fixed", AE90="Closed - Exception"), 0, IF(AND(Z90&lt;&gt;"", TODAY()&gt;Z90), TODAY()-Z90, 0)))</f>
        <v/>
      </c>
      <c r="AE90" s="8" t="inlineStr">
        <is>
          <t>Identified</t>
        </is>
      </c>
      <c r="AF90" s="8" t="n"/>
      <c r="AG90" s="9" t="n">
        <v>0</v>
      </c>
      <c r="AH90" s="8" t="n"/>
      <c r="AI90" s="8" t="inlineStr">
        <is>
          <t>Yes</t>
        </is>
      </c>
      <c r="AJ90" s="8" t="n"/>
      <c r="AK90" s="8" t="n"/>
      <c r="AL90" s="8" t="n"/>
      <c r="AM90" s="8" t="n"/>
      <c r="AN90" s="8" t="inlineStr">
        <is>
          <t>No</t>
        </is>
      </c>
      <c r="AO90" s="8" t="n"/>
      <c r="AP90" s="8" t="n"/>
      <c r="AQ90" s="8" t="n"/>
      <c r="AR90" s="8" t="n"/>
      <c r="AS90" s="8" t="n"/>
      <c r="AT90" s="8" t="n"/>
      <c r="AU90" s="8" t="n"/>
      <c r="AV90" s="8" t="n"/>
    </row>
    <row r="91">
      <c r="A91">
        <f>IF(B91&lt;&gt;"", "REM-"&amp;TEXT(ROW()-1,"000"), "")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inlineStr">
        <is>
          <t>Yes</t>
        </is>
      </c>
      <c r="Q91" s="8" t="n"/>
      <c r="R91" s="8" t="n"/>
      <c r="S91" s="8" t="n"/>
      <c r="T91" s="8" t="n"/>
      <c r="U91" s="8" t="n"/>
      <c r="V91" s="8" t="n"/>
      <c r="W91" s="8" t="n"/>
      <c r="X91">
        <f>IF(L91="", "", IF(L91="Critical", "Critical", IF(AND(L91="High", F91="Critical"), "Critical", IF(L91="High", "High", IF(L91="Medium", "Medium", "Low")))))</f>
        <v/>
      </c>
      <c r="Y91" s="8" t="n"/>
      <c r="Z91" s="18">
        <f>IF(AND(N91&lt;&gt;"", X91&lt;&gt;""), IF(X91="Critical", N91+3, IF(X91="High", N91+7, IF(X91="Medium", N91+30, N91+90))), "")</f>
        <v/>
      </c>
      <c r="AA91" s="8" t="n"/>
      <c r="AB91" s="8" t="n"/>
      <c r="AC91" s="17">
        <f>IF(AND(AA91&lt;&gt;"", AB91&lt;&gt;""), AB91-AA91, "")</f>
        <v/>
      </c>
      <c r="AD91" s="17">
        <f>IF(AE91="", "", IF(OR(AE91="Completed", AE91="Closed - Fixed", AE91="Closed - Exception"), 0, IF(AND(Z91&lt;&gt;"", TODAY()&gt;Z91), TODAY()-Z91, 0)))</f>
        <v/>
      </c>
      <c r="AE91" s="8" t="inlineStr">
        <is>
          <t>Identified</t>
        </is>
      </c>
      <c r="AF91" s="8" t="n"/>
      <c r="AG91" s="9" t="n">
        <v>0</v>
      </c>
      <c r="AH91" s="8" t="n"/>
      <c r="AI91" s="8" t="inlineStr">
        <is>
          <t>Yes</t>
        </is>
      </c>
      <c r="AJ91" s="8" t="n"/>
      <c r="AK91" s="8" t="n"/>
      <c r="AL91" s="8" t="n"/>
      <c r="AM91" s="8" t="n"/>
      <c r="AN91" s="8" t="inlineStr">
        <is>
          <t>No</t>
        </is>
      </c>
      <c r="AO91" s="8" t="n"/>
      <c r="AP91" s="8" t="n"/>
      <c r="AQ91" s="8" t="n"/>
      <c r="AR91" s="8" t="n"/>
      <c r="AS91" s="8" t="n"/>
      <c r="AT91" s="8" t="n"/>
      <c r="AU91" s="8" t="n"/>
      <c r="AV91" s="8" t="n"/>
    </row>
    <row r="92">
      <c r="A92">
        <f>IF(B92&lt;&gt;"", "REM-"&amp;TEXT(ROW()-1,"000"), "")</f>
        <v/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inlineStr">
        <is>
          <t>Yes</t>
        </is>
      </c>
      <c r="Q92" s="8" t="n"/>
      <c r="R92" s="8" t="n"/>
      <c r="S92" s="8" t="n"/>
      <c r="T92" s="8" t="n"/>
      <c r="U92" s="8" t="n"/>
      <c r="V92" s="8" t="n"/>
      <c r="W92" s="8" t="n"/>
      <c r="X92">
        <f>IF(L92="", "", IF(L92="Critical", "Critical", IF(AND(L92="High", F92="Critical"), "Critical", IF(L92="High", "High", IF(L92="Medium", "Medium", "Low")))))</f>
        <v/>
      </c>
      <c r="Y92" s="8" t="n"/>
      <c r="Z92" s="18">
        <f>IF(AND(N92&lt;&gt;"", X92&lt;&gt;""), IF(X92="Critical", N92+3, IF(X92="High", N92+7, IF(X92="Medium", N92+30, N92+90))), "")</f>
        <v/>
      </c>
      <c r="AA92" s="8" t="n"/>
      <c r="AB92" s="8" t="n"/>
      <c r="AC92" s="17">
        <f>IF(AND(AA92&lt;&gt;"", AB92&lt;&gt;""), AB92-AA92, "")</f>
        <v/>
      </c>
      <c r="AD92" s="17">
        <f>IF(AE92="", "", IF(OR(AE92="Completed", AE92="Closed - Fixed", AE92="Closed - Exception"), 0, IF(AND(Z92&lt;&gt;"", TODAY()&gt;Z92), TODAY()-Z92, 0)))</f>
        <v/>
      </c>
      <c r="AE92" s="8" t="inlineStr">
        <is>
          <t>Identified</t>
        </is>
      </c>
      <c r="AF92" s="8" t="n"/>
      <c r="AG92" s="9" t="n">
        <v>0</v>
      </c>
      <c r="AH92" s="8" t="n"/>
      <c r="AI92" s="8" t="inlineStr">
        <is>
          <t>Yes</t>
        </is>
      </c>
      <c r="AJ92" s="8" t="n"/>
      <c r="AK92" s="8" t="n"/>
      <c r="AL92" s="8" t="n"/>
      <c r="AM92" s="8" t="n"/>
      <c r="AN92" s="8" t="inlineStr">
        <is>
          <t>No</t>
        </is>
      </c>
      <c r="AO92" s="8" t="n"/>
      <c r="AP92" s="8" t="n"/>
      <c r="AQ92" s="8" t="n"/>
      <c r="AR92" s="8" t="n"/>
      <c r="AS92" s="8" t="n"/>
      <c r="AT92" s="8" t="n"/>
      <c r="AU92" s="8" t="n"/>
      <c r="AV92" s="8" t="n"/>
    </row>
    <row r="93">
      <c r="A93">
        <f>IF(B93&lt;&gt;"", "REM-"&amp;TEXT(ROW()-1,"000"), "")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inlineStr">
        <is>
          <t>Yes</t>
        </is>
      </c>
      <c r="Q93" s="8" t="n"/>
      <c r="R93" s="8" t="n"/>
      <c r="S93" s="8" t="n"/>
      <c r="T93" s="8" t="n"/>
      <c r="U93" s="8" t="n"/>
      <c r="V93" s="8" t="n"/>
      <c r="W93" s="8" t="n"/>
      <c r="X93">
        <f>IF(L93="", "", IF(L93="Critical", "Critical", IF(AND(L93="High", F93="Critical"), "Critical", IF(L93="High", "High", IF(L93="Medium", "Medium", "Low")))))</f>
        <v/>
      </c>
      <c r="Y93" s="8" t="n"/>
      <c r="Z93" s="18">
        <f>IF(AND(N93&lt;&gt;"", X93&lt;&gt;""), IF(X93="Critical", N93+3, IF(X93="High", N93+7, IF(X93="Medium", N93+30, N93+90))), "")</f>
        <v/>
      </c>
      <c r="AA93" s="8" t="n"/>
      <c r="AB93" s="8" t="n"/>
      <c r="AC93" s="17">
        <f>IF(AND(AA93&lt;&gt;"", AB93&lt;&gt;""), AB93-AA93, "")</f>
        <v/>
      </c>
      <c r="AD93" s="17">
        <f>IF(AE93="", "", IF(OR(AE93="Completed", AE93="Closed - Fixed", AE93="Closed - Exception"), 0, IF(AND(Z93&lt;&gt;"", TODAY()&gt;Z93), TODAY()-Z93, 0)))</f>
        <v/>
      </c>
      <c r="AE93" s="8" t="inlineStr">
        <is>
          <t>Identified</t>
        </is>
      </c>
      <c r="AF93" s="8" t="n"/>
      <c r="AG93" s="9" t="n">
        <v>0</v>
      </c>
      <c r="AH93" s="8" t="n"/>
      <c r="AI93" s="8" t="inlineStr">
        <is>
          <t>Yes</t>
        </is>
      </c>
      <c r="AJ93" s="8" t="n"/>
      <c r="AK93" s="8" t="n"/>
      <c r="AL93" s="8" t="n"/>
      <c r="AM93" s="8" t="n"/>
      <c r="AN93" s="8" t="inlineStr">
        <is>
          <t>No</t>
        </is>
      </c>
      <c r="AO93" s="8" t="n"/>
      <c r="AP93" s="8" t="n"/>
      <c r="AQ93" s="8" t="n"/>
      <c r="AR93" s="8" t="n"/>
      <c r="AS93" s="8" t="n"/>
      <c r="AT93" s="8" t="n"/>
      <c r="AU93" s="8" t="n"/>
      <c r="AV93" s="8" t="n"/>
    </row>
    <row r="94">
      <c r="A94">
        <f>IF(B94&lt;&gt;"", "REM-"&amp;TEXT(ROW()-1,"000"), "")</f>
        <v/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inlineStr">
        <is>
          <t>Yes</t>
        </is>
      </c>
      <c r="Q94" s="8" t="n"/>
      <c r="R94" s="8" t="n"/>
      <c r="S94" s="8" t="n"/>
      <c r="T94" s="8" t="n"/>
      <c r="U94" s="8" t="n"/>
      <c r="V94" s="8" t="n"/>
      <c r="W94" s="8" t="n"/>
      <c r="X94">
        <f>IF(L94="", "", IF(L94="Critical", "Critical", IF(AND(L94="High", F94="Critical"), "Critical", IF(L94="High", "High", IF(L94="Medium", "Medium", "Low")))))</f>
        <v/>
      </c>
      <c r="Y94" s="8" t="n"/>
      <c r="Z94" s="18">
        <f>IF(AND(N94&lt;&gt;"", X94&lt;&gt;""), IF(X94="Critical", N94+3, IF(X94="High", N94+7, IF(X94="Medium", N94+30, N94+90))), "")</f>
        <v/>
      </c>
      <c r="AA94" s="8" t="n"/>
      <c r="AB94" s="8" t="n"/>
      <c r="AC94" s="17">
        <f>IF(AND(AA94&lt;&gt;"", AB94&lt;&gt;""), AB94-AA94, "")</f>
        <v/>
      </c>
      <c r="AD94" s="17">
        <f>IF(AE94="", "", IF(OR(AE94="Completed", AE94="Closed - Fixed", AE94="Closed - Exception"), 0, IF(AND(Z94&lt;&gt;"", TODAY()&gt;Z94), TODAY()-Z94, 0)))</f>
        <v/>
      </c>
      <c r="AE94" s="8" t="inlineStr">
        <is>
          <t>Identified</t>
        </is>
      </c>
      <c r="AF94" s="8" t="n"/>
      <c r="AG94" s="9" t="n">
        <v>0</v>
      </c>
      <c r="AH94" s="8" t="n"/>
      <c r="AI94" s="8" t="inlineStr">
        <is>
          <t>Yes</t>
        </is>
      </c>
      <c r="AJ94" s="8" t="n"/>
      <c r="AK94" s="8" t="n"/>
      <c r="AL94" s="8" t="n"/>
      <c r="AM94" s="8" t="n"/>
      <c r="AN94" s="8" t="inlineStr">
        <is>
          <t>No</t>
        </is>
      </c>
      <c r="AO94" s="8" t="n"/>
      <c r="AP94" s="8" t="n"/>
      <c r="AQ94" s="8" t="n"/>
      <c r="AR94" s="8" t="n"/>
      <c r="AS94" s="8" t="n"/>
      <c r="AT94" s="8" t="n"/>
      <c r="AU94" s="8" t="n"/>
      <c r="AV94" s="8" t="n"/>
    </row>
    <row r="95">
      <c r="A95">
        <f>IF(B95&lt;&gt;"", "REM-"&amp;TEXT(ROW()-1,"000"), "")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inlineStr">
        <is>
          <t>Yes</t>
        </is>
      </c>
      <c r="Q95" s="8" t="n"/>
      <c r="R95" s="8" t="n"/>
      <c r="S95" s="8" t="n"/>
      <c r="T95" s="8" t="n"/>
      <c r="U95" s="8" t="n"/>
      <c r="V95" s="8" t="n"/>
      <c r="W95" s="8" t="n"/>
      <c r="X95">
        <f>IF(L95="", "", IF(L95="Critical", "Critical", IF(AND(L95="High", F95="Critical"), "Critical", IF(L95="High", "High", IF(L95="Medium", "Medium", "Low")))))</f>
        <v/>
      </c>
      <c r="Y95" s="8" t="n"/>
      <c r="Z95" s="18">
        <f>IF(AND(N95&lt;&gt;"", X95&lt;&gt;""), IF(X95="Critical", N95+3, IF(X95="High", N95+7, IF(X95="Medium", N95+30, N95+90))), "")</f>
        <v/>
      </c>
      <c r="AA95" s="8" t="n"/>
      <c r="AB95" s="8" t="n"/>
      <c r="AC95" s="17">
        <f>IF(AND(AA95&lt;&gt;"", AB95&lt;&gt;""), AB95-AA95, "")</f>
        <v/>
      </c>
      <c r="AD95" s="17">
        <f>IF(AE95="", "", IF(OR(AE95="Completed", AE95="Closed - Fixed", AE95="Closed - Exception"), 0, IF(AND(Z95&lt;&gt;"", TODAY()&gt;Z95), TODAY()-Z95, 0)))</f>
        <v/>
      </c>
      <c r="AE95" s="8" t="inlineStr">
        <is>
          <t>Identified</t>
        </is>
      </c>
      <c r="AF95" s="8" t="n"/>
      <c r="AG95" s="9" t="n">
        <v>0</v>
      </c>
      <c r="AH95" s="8" t="n"/>
      <c r="AI95" s="8" t="inlineStr">
        <is>
          <t>Yes</t>
        </is>
      </c>
      <c r="AJ95" s="8" t="n"/>
      <c r="AK95" s="8" t="n"/>
      <c r="AL95" s="8" t="n"/>
      <c r="AM95" s="8" t="n"/>
      <c r="AN95" s="8" t="inlineStr">
        <is>
          <t>No</t>
        </is>
      </c>
      <c r="AO95" s="8" t="n"/>
      <c r="AP95" s="8" t="n"/>
      <c r="AQ95" s="8" t="n"/>
      <c r="AR95" s="8" t="n"/>
      <c r="AS95" s="8" t="n"/>
      <c r="AT95" s="8" t="n"/>
      <c r="AU95" s="8" t="n"/>
      <c r="AV95" s="8" t="n"/>
    </row>
    <row r="96">
      <c r="A96">
        <f>IF(B96&lt;&gt;"", "REM-"&amp;TEXT(ROW()-1,"000"), "")</f>
        <v/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inlineStr">
        <is>
          <t>Yes</t>
        </is>
      </c>
      <c r="Q96" s="8" t="n"/>
      <c r="R96" s="8" t="n"/>
      <c r="S96" s="8" t="n"/>
      <c r="T96" s="8" t="n"/>
      <c r="U96" s="8" t="n"/>
      <c r="V96" s="8" t="n"/>
      <c r="W96" s="8" t="n"/>
      <c r="X96">
        <f>IF(L96="", "", IF(L96="Critical", "Critical", IF(AND(L96="High", F96="Critical"), "Critical", IF(L96="High", "High", IF(L96="Medium", "Medium", "Low")))))</f>
        <v/>
      </c>
      <c r="Y96" s="8" t="n"/>
      <c r="Z96" s="18">
        <f>IF(AND(N96&lt;&gt;"", X96&lt;&gt;""), IF(X96="Critical", N96+3, IF(X96="High", N96+7, IF(X96="Medium", N96+30, N96+90))), "")</f>
        <v/>
      </c>
      <c r="AA96" s="8" t="n"/>
      <c r="AB96" s="8" t="n"/>
      <c r="AC96" s="17">
        <f>IF(AND(AA96&lt;&gt;"", AB96&lt;&gt;""), AB96-AA96, "")</f>
        <v/>
      </c>
      <c r="AD96" s="17">
        <f>IF(AE96="", "", IF(OR(AE96="Completed", AE96="Closed - Fixed", AE96="Closed - Exception"), 0, IF(AND(Z96&lt;&gt;"", TODAY()&gt;Z96), TODAY()-Z96, 0)))</f>
        <v/>
      </c>
      <c r="AE96" s="8" t="inlineStr">
        <is>
          <t>Identified</t>
        </is>
      </c>
      <c r="AF96" s="8" t="n"/>
      <c r="AG96" s="9" t="n">
        <v>0</v>
      </c>
      <c r="AH96" s="8" t="n"/>
      <c r="AI96" s="8" t="inlineStr">
        <is>
          <t>Yes</t>
        </is>
      </c>
      <c r="AJ96" s="8" t="n"/>
      <c r="AK96" s="8" t="n"/>
      <c r="AL96" s="8" t="n"/>
      <c r="AM96" s="8" t="n"/>
      <c r="AN96" s="8" t="inlineStr">
        <is>
          <t>No</t>
        </is>
      </c>
      <c r="AO96" s="8" t="n"/>
      <c r="AP96" s="8" t="n"/>
      <c r="AQ96" s="8" t="n"/>
      <c r="AR96" s="8" t="n"/>
      <c r="AS96" s="8" t="n"/>
      <c r="AT96" s="8" t="n"/>
      <c r="AU96" s="8" t="n"/>
      <c r="AV96" s="8" t="n"/>
    </row>
    <row r="97">
      <c r="A97">
        <f>IF(B97&lt;&gt;"", "REM-"&amp;TEXT(ROW()-1,"000"), "")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inlineStr">
        <is>
          <t>Yes</t>
        </is>
      </c>
      <c r="Q97" s="8" t="n"/>
      <c r="R97" s="8" t="n"/>
      <c r="S97" s="8" t="n"/>
      <c r="T97" s="8" t="n"/>
      <c r="U97" s="8" t="n"/>
      <c r="V97" s="8" t="n"/>
      <c r="W97" s="8" t="n"/>
      <c r="X97">
        <f>IF(L97="", "", IF(L97="Critical", "Critical", IF(AND(L97="High", F97="Critical"), "Critical", IF(L97="High", "High", IF(L97="Medium", "Medium", "Low")))))</f>
        <v/>
      </c>
      <c r="Y97" s="8" t="n"/>
      <c r="Z97" s="18">
        <f>IF(AND(N97&lt;&gt;"", X97&lt;&gt;""), IF(X97="Critical", N97+3, IF(X97="High", N97+7, IF(X97="Medium", N97+30, N97+90))), "")</f>
        <v/>
      </c>
      <c r="AA97" s="8" t="n"/>
      <c r="AB97" s="8" t="n"/>
      <c r="AC97" s="17">
        <f>IF(AND(AA97&lt;&gt;"", AB97&lt;&gt;""), AB97-AA97, "")</f>
        <v/>
      </c>
      <c r="AD97" s="17">
        <f>IF(AE97="", "", IF(OR(AE97="Completed", AE97="Closed - Fixed", AE97="Closed - Exception"), 0, IF(AND(Z97&lt;&gt;"", TODAY()&gt;Z97), TODAY()-Z97, 0)))</f>
        <v/>
      </c>
      <c r="AE97" s="8" t="inlineStr">
        <is>
          <t>Identified</t>
        </is>
      </c>
      <c r="AF97" s="8" t="n"/>
      <c r="AG97" s="9" t="n">
        <v>0</v>
      </c>
      <c r="AH97" s="8" t="n"/>
      <c r="AI97" s="8" t="inlineStr">
        <is>
          <t>Yes</t>
        </is>
      </c>
      <c r="AJ97" s="8" t="n"/>
      <c r="AK97" s="8" t="n"/>
      <c r="AL97" s="8" t="n"/>
      <c r="AM97" s="8" t="n"/>
      <c r="AN97" s="8" t="inlineStr">
        <is>
          <t>No</t>
        </is>
      </c>
      <c r="AO97" s="8" t="n"/>
      <c r="AP97" s="8" t="n"/>
      <c r="AQ97" s="8" t="n"/>
      <c r="AR97" s="8" t="n"/>
      <c r="AS97" s="8" t="n"/>
      <c r="AT97" s="8" t="n"/>
      <c r="AU97" s="8" t="n"/>
      <c r="AV97" s="8" t="n"/>
    </row>
    <row r="98">
      <c r="A98">
        <f>IF(B98&lt;&gt;"", "REM-"&amp;TEXT(ROW()-1,"000"), "")</f>
        <v/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inlineStr">
        <is>
          <t>Yes</t>
        </is>
      </c>
      <c r="Q98" s="8" t="n"/>
      <c r="R98" s="8" t="n"/>
      <c r="S98" s="8" t="n"/>
      <c r="T98" s="8" t="n"/>
      <c r="U98" s="8" t="n"/>
      <c r="V98" s="8" t="n"/>
      <c r="W98" s="8" t="n"/>
      <c r="X98">
        <f>IF(L98="", "", IF(L98="Critical", "Critical", IF(AND(L98="High", F98="Critical"), "Critical", IF(L98="High", "High", IF(L98="Medium", "Medium", "Low")))))</f>
        <v/>
      </c>
      <c r="Y98" s="8" t="n"/>
      <c r="Z98" s="18">
        <f>IF(AND(N98&lt;&gt;"", X98&lt;&gt;""), IF(X98="Critical", N98+3, IF(X98="High", N98+7, IF(X98="Medium", N98+30, N98+90))), "")</f>
        <v/>
      </c>
      <c r="AA98" s="8" t="n"/>
      <c r="AB98" s="8" t="n"/>
      <c r="AC98" s="17">
        <f>IF(AND(AA98&lt;&gt;"", AB98&lt;&gt;""), AB98-AA98, "")</f>
        <v/>
      </c>
      <c r="AD98" s="17">
        <f>IF(AE98="", "", IF(OR(AE98="Completed", AE98="Closed - Fixed", AE98="Closed - Exception"), 0, IF(AND(Z98&lt;&gt;"", TODAY()&gt;Z98), TODAY()-Z98, 0)))</f>
        <v/>
      </c>
      <c r="AE98" s="8" t="inlineStr">
        <is>
          <t>Identified</t>
        </is>
      </c>
      <c r="AF98" s="8" t="n"/>
      <c r="AG98" s="9" t="n">
        <v>0</v>
      </c>
      <c r="AH98" s="8" t="n"/>
      <c r="AI98" s="8" t="inlineStr">
        <is>
          <t>Yes</t>
        </is>
      </c>
      <c r="AJ98" s="8" t="n"/>
      <c r="AK98" s="8" t="n"/>
      <c r="AL98" s="8" t="n"/>
      <c r="AM98" s="8" t="n"/>
      <c r="AN98" s="8" t="inlineStr">
        <is>
          <t>No</t>
        </is>
      </c>
      <c r="AO98" s="8" t="n"/>
      <c r="AP98" s="8" t="n"/>
      <c r="AQ98" s="8" t="n"/>
      <c r="AR98" s="8" t="n"/>
      <c r="AS98" s="8" t="n"/>
      <c r="AT98" s="8" t="n"/>
      <c r="AU98" s="8" t="n"/>
      <c r="AV98" s="8" t="n"/>
    </row>
    <row r="99">
      <c r="A99">
        <f>IF(B99&lt;&gt;"", "REM-"&amp;TEXT(ROW()-1,"000"), "")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inlineStr">
        <is>
          <t>Yes</t>
        </is>
      </c>
      <c r="Q99" s="8" t="n"/>
      <c r="R99" s="8" t="n"/>
      <c r="S99" s="8" t="n"/>
      <c r="T99" s="8" t="n"/>
      <c r="U99" s="8" t="n"/>
      <c r="V99" s="8" t="n"/>
      <c r="W99" s="8" t="n"/>
      <c r="X99">
        <f>IF(L99="", "", IF(L99="Critical", "Critical", IF(AND(L99="High", F99="Critical"), "Critical", IF(L99="High", "High", IF(L99="Medium", "Medium", "Low")))))</f>
        <v/>
      </c>
      <c r="Y99" s="8" t="n"/>
      <c r="Z99" s="18">
        <f>IF(AND(N99&lt;&gt;"", X99&lt;&gt;""), IF(X99="Critical", N99+3, IF(X99="High", N99+7, IF(X99="Medium", N99+30, N99+90))), "")</f>
        <v/>
      </c>
      <c r="AA99" s="8" t="n"/>
      <c r="AB99" s="8" t="n"/>
      <c r="AC99" s="17">
        <f>IF(AND(AA99&lt;&gt;"", AB99&lt;&gt;""), AB99-AA99, "")</f>
        <v/>
      </c>
      <c r="AD99" s="17">
        <f>IF(AE99="", "", IF(OR(AE99="Completed", AE99="Closed - Fixed", AE99="Closed - Exception"), 0, IF(AND(Z99&lt;&gt;"", TODAY()&gt;Z99), TODAY()-Z99, 0)))</f>
        <v/>
      </c>
      <c r="AE99" s="8" t="inlineStr">
        <is>
          <t>Identified</t>
        </is>
      </c>
      <c r="AF99" s="8" t="n"/>
      <c r="AG99" s="9" t="n">
        <v>0</v>
      </c>
      <c r="AH99" s="8" t="n"/>
      <c r="AI99" s="8" t="inlineStr">
        <is>
          <t>Yes</t>
        </is>
      </c>
      <c r="AJ99" s="8" t="n"/>
      <c r="AK99" s="8" t="n"/>
      <c r="AL99" s="8" t="n"/>
      <c r="AM99" s="8" t="n"/>
      <c r="AN99" s="8" t="inlineStr">
        <is>
          <t>No</t>
        </is>
      </c>
      <c r="AO99" s="8" t="n"/>
      <c r="AP99" s="8" t="n"/>
      <c r="AQ99" s="8" t="n"/>
      <c r="AR99" s="8" t="n"/>
      <c r="AS99" s="8" t="n"/>
      <c r="AT99" s="8" t="n"/>
      <c r="AU99" s="8" t="n"/>
      <c r="AV99" s="8" t="n"/>
    </row>
    <row r="100">
      <c r="A100">
        <f>IF(B100&lt;&gt;"", "REM-"&amp;TEXT(ROW()-1,"000"), "")</f>
        <v/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inlineStr">
        <is>
          <t>Yes</t>
        </is>
      </c>
      <c r="Q100" s="8" t="n"/>
      <c r="R100" s="8" t="n"/>
      <c r="S100" s="8" t="n"/>
      <c r="T100" s="8" t="n"/>
      <c r="U100" s="8" t="n"/>
      <c r="V100" s="8" t="n"/>
      <c r="W100" s="8" t="n"/>
      <c r="X100">
        <f>IF(L100="", "", IF(L100="Critical", "Critical", IF(AND(L100="High", F100="Critical"), "Critical", IF(L100="High", "High", IF(L100="Medium", "Medium", "Low")))))</f>
        <v/>
      </c>
      <c r="Y100" s="8" t="n"/>
      <c r="Z100" s="18">
        <f>IF(AND(N100&lt;&gt;"", X100&lt;&gt;""), IF(X100="Critical", N100+3, IF(X100="High", N100+7, IF(X100="Medium", N100+30, N100+90))), "")</f>
        <v/>
      </c>
      <c r="AA100" s="8" t="n"/>
      <c r="AB100" s="8" t="n"/>
      <c r="AC100" s="17">
        <f>IF(AND(AA100&lt;&gt;"", AB100&lt;&gt;""), AB100-AA100, "")</f>
        <v/>
      </c>
      <c r="AD100" s="17">
        <f>IF(AE100="", "", IF(OR(AE100="Completed", AE100="Closed - Fixed", AE100="Closed - Exception"), 0, IF(AND(Z100&lt;&gt;"", TODAY()&gt;Z100), TODAY()-Z100, 0)))</f>
        <v/>
      </c>
      <c r="AE100" s="8" t="inlineStr">
        <is>
          <t>Identified</t>
        </is>
      </c>
      <c r="AF100" s="8" t="n"/>
      <c r="AG100" s="9" t="n">
        <v>0</v>
      </c>
      <c r="AH100" s="8" t="n"/>
      <c r="AI100" s="8" t="inlineStr">
        <is>
          <t>Yes</t>
        </is>
      </c>
      <c r="AJ100" s="8" t="n"/>
      <c r="AK100" s="8" t="n"/>
      <c r="AL100" s="8" t="n"/>
      <c r="AM100" s="8" t="n"/>
      <c r="AN100" s="8" t="inlineStr">
        <is>
          <t>No</t>
        </is>
      </c>
      <c r="AO100" s="8" t="n"/>
      <c r="AP100" s="8" t="n"/>
      <c r="AQ100" s="8" t="n"/>
      <c r="AR100" s="8" t="n"/>
      <c r="AS100" s="8" t="n"/>
      <c r="AT100" s="8" t="n"/>
      <c r="AU100" s="8" t="n"/>
      <c r="AV100" s="8" t="n"/>
    </row>
    <row r="101">
      <c r="A101">
        <f>IF(B101&lt;&gt;"", "REM-"&amp;TEXT(ROW()-1,"000"), "")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inlineStr">
        <is>
          <t>Yes</t>
        </is>
      </c>
      <c r="Q101" s="8" t="n"/>
      <c r="R101" s="8" t="n"/>
      <c r="S101" s="8" t="n"/>
      <c r="T101" s="8" t="n"/>
      <c r="U101" s="8" t="n"/>
      <c r="V101" s="8" t="n"/>
      <c r="W101" s="8" t="n"/>
      <c r="X101">
        <f>IF(L101="", "", IF(L101="Critical", "Critical", IF(AND(L101="High", F101="Critical"), "Critical", IF(L101="High", "High", IF(L101="Medium", "Medium", "Low")))))</f>
        <v/>
      </c>
      <c r="Y101" s="8" t="n"/>
      <c r="Z101" s="18">
        <f>IF(AND(N101&lt;&gt;"", X101&lt;&gt;""), IF(X101="Critical", N101+3, IF(X101="High", N101+7, IF(X101="Medium", N101+30, N101+90))), "")</f>
        <v/>
      </c>
      <c r="AA101" s="8" t="n"/>
      <c r="AB101" s="8" t="n"/>
      <c r="AC101" s="17">
        <f>IF(AND(AA101&lt;&gt;"", AB101&lt;&gt;""), AB101-AA101, "")</f>
        <v/>
      </c>
      <c r="AD101" s="17">
        <f>IF(AE101="", "", IF(OR(AE101="Completed", AE101="Closed - Fixed", AE101="Closed - Exception"), 0, IF(AND(Z101&lt;&gt;"", TODAY()&gt;Z101), TODAY()-Z101, 0)))</f>
        <v/>
      </c>
      <c r="AE101" s="8" t="inlineStr">
        <is>
          <t>Identified</t>
        </is>
      </c>
      <c r="AF101" s="8" t="n"/>
      <c r="AG101" s="9" t="n">
        <v>0</v>
      </c>
      <c r="AH101" s="8" t="n"/>
      <c r="AI101" s="8" t="inlineStr">
        <is>
          <t>Yes</t>
        </is>
      </c>
      <c r="AJ101" s="8" t="n"/>
      <c r="AK101" s="8" t="n"/>
      <c r="AL101" s="8" t="n"/>
      <c r="AM101" s="8" t="n"/>
      <c r="AN101" s="8" t="inlineStr">
        <is>
          <t>No</t>
        </is>
      </c>
      <c r="AO101" s="8" t="n"/>
      <c r="AP101" s="8" t="n"/>
      <c r="AQ101" s="8" t="n"/>
      <c r="AR101" s="8" t="n"/>
      <c r="AS101" s="8" t="n"/>
      <c r="AT101" s="8" t="n"/>
      <c r="AU101" s="8" t="n"/>
      <c r="AV10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AE2:AE101">
    <cfRule type="expression" priority="1" dxfId="7">
      <formula>OR(ISNUMBER(SEARCH("Fully Compliant",$AE2)),ISNUMBER(SEARCH("Compliant",$AE2)),ISNUMBER(SEARCH("Completed",$AE2)),ISNUMBER(SEARCH("Pass",$AE2)),ISNUMBER(SEARCH("Approved",$AE2)))</formula>
    </cfRule>
    <cfRule type="expression" priority="2" dxfId="1">
      <formula>OR(ISNUMBER(SEARCH("Substantially Compliant",$AE2)),ISNUMBER(SEARCH("Partial",$AE2)),ISNUMBER(SEARCH("In Progress",$AE2)),ISNUMBER(SEARCH("Under Review",$AE2)))</formula>
    </cfRule>
    <cfRule type="expression" priority="3" dxfId="0">
      <formula>OR(ISNUMBER(SEARCH("Non-Compliant",$AE2)),ISNUMBER(SEARCH("Fail",$AE2)),ISNUMBER(SEARCH("Blocked",$AE2)),ISNUMBER(SEARCH("Rejected",$AE2)),ISNUMBER(SEARCH("Expired",$AE2)))</formula>
    </cfRule>
  </conditionalFormatting>
  <conditionalFormatting sqref="AD2:AD101">
    <cfRule type="cellIs" priority="4" operator="greaterThan" dxfId="3">
      <formula>0</formula>
    </cfRule>
    <cfRule type="cellIs" priority="5" operator="greaterThan" dxfId="0">
      <formula>7</formula>
    </cfRule>
  </conditionalFormatting>
  <conditionalFormatting sqref="L2:L101">
    <cfRule type="expression" priority="6" dxfId="8">
      <formula>OR($L2="Critical", $L2="High")</formula>
    </cfRule>
  </conditionalFormatting>
  <conditionalFormatting sqref="A2:AV101">
    <cfRule type="expression" priority="7" dxfId="13">
      <formula>AND($F2="Critical", $AE2&lt;&gt;"Completed")</formula>
    </cfRule>
  </conditionalFormatting>
  <conditionalFormatting sqref="AG2:AG101">
    <cfRule type="colorScale" priority="8">
      <colorScale>
        <cfvo type="num" val="0"/>
        <cfvo type="num" val="0.5"/>
        <cfvo type="num" val="1"/>
        <color rgb="00C00000"/>
        <color rgb="00FFEB9C"/>
        <color rgb="0070AD47"/>
      </colorScale>
    </cfRule>
  </conditionalFormatting>
  <dataValidations count="13">
    <dataValidation sqref="B2:B101" showDropDown="0" showInputMessage="0" showErrorMessage="1" allowBlank="1" errorTitle="Invalid Entry" error="Please select from the dropdown list." type="list">
      <formula1>"Hardening Gap,Configuration Drift,Vulnerability,Audit Finding,Threat Response"</formula1>
    </dataValidation>
    <dataValidation sqref="F2:F1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J2:J1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L2:L1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O2:O101" showDropDown="0" showInputMessage="0" showErrorMessage="1" allowBlank="1" errorTitle="Invalid Entry" error="Please select from the dropdown list." type="list">
      <formula1>"Security Assessment,Vulnerability Scan,Configuration Monitoring,Penetration Test,Incident Response,Audit,Threat Intelligence"</formula1>
    </dataValidation>
    <dataValidation sqref="P2:P101" showDropDown="0" showInputMessage="0" showErrorMessage="1" allowBlank="1" errorTitle="Invalid Entry" error="Please select from the dropdown list." type="list">
      <formula1>"Yes,No"</formula1>
    </dataValidation>
    <dataValidation sqref="Q2:Q101" showDropDown="0" showInputMessage="0" showErrorMessage="1" allowBlank="1" errorTitle="Invalid Entry" error="Please select from the dropdown list." type="list">
      <formula1>"Configuration Change,Software Update,Policy Change,Compensating Control,Accept as Exception,Asset Decommission,Defer"</formula1>
    </dataValidation>
    <dataValidation sqref="U2:U101" showDropDown="0" showInputMessage="0" showErrorMessage="1" allowBlank="1" errorTitle="Invalid Entry" error="Please select from the dropdown list." type="list">
      <formula1>"&lt;1 hour,1-4 hours,1 day,2-5 days,1-2 weeks,2-4 weeks,&gt;1 month"</formula1>
    </dataValidation>
    <dataValidation sqref="X2:X101" showDropDown="0" showInputMessage="0" showErrorMessage="1" allowBlank="1" errorTitle="Invalid Entry" error="Please select from the dropdown list." type="list">
      <formula1>"🔴 Critical,🟡 High,🟢 Medium,⭕ Low"</formula1>
    </dataValidation>
    <dataValidation sqref="AE2:AE101" showDropDown="0" showInputMessage="0" showErrorMessage="1" allowBlank="1" errorTitle="Invalid Entry" error="Please select from the dropdown list." type="list">
      <formula1>"🔍 Identified,📝 Planning,✅ Approved,⏳ In Progress,🔎 Verification,✅ Completed,🚫 Blocked,⏸️ Deferred,✔️ Closed - Fixed,➖ Closed - Exception,❌ Closed - Not Required"</formula1>
    </dataValidation>
    <dataValidation sqref="AI2:AI101" showDropDown="0" showInputMessage="0" showErrorMessage="1" allowBlank="1" errorTitle="Invalid Entry" error="Please select from the dropdown list." type="list">
      <formula1>"Yes,No"</formula1>
    </dataValidation>
    <dataValidation sqref="AM2:AM101" showDropDown="0" showInputMessage="0" showErrorMessage="1" allowBlank="1" errorTitle="Invalid Entry" error="Please select from the dropdown list." type="list">
      <formula1>"✅ Pass,❌ Fail"</formula1>
    </dataValidation>
    <dataValidation sqref="AN2:AN101" showDropDown="0" showInputMessage="0" showErrorMessage="1" allowBlank="1" errorTitle="Invalid Entry" error="Please select from the dropdown list.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20" customWidth="1" min="4" max="4"/>
  </cols>
  <sheetData>
    <row r="1">
      <c r="A1" s="1" t="inlineStr">
        <is>
          <t>Security Hardening Compliance Dashboard</t>
        </is>
      </c>
    </row>
    <row r="2">
      <c r="A2" s="19" t="inlineStr">
        <is>
          <t>Assessment Date: 08.02.2026</t>
        </is>
      </c>
    </row>
    <row r="4">
      <c r="A4" s="3" t="inlineStr">
        <is>
          <t>OVERALL COMPLIANCE SUMMARY</t>
        </is>
      </c>
    </row>
    <row r="5">
      <c r="A5" s="5" t="inlineStr">
        <is>
          <t>Overall Compliance Percentage</t>
        </is>
      </c>
      <c r="B5" s="20">
        <f>AVERAGE(Asset_Hardening_Assessment!O:O)</f>
        <v/>
      </c>
      <c r="C5" t="inlineStr">
        <is>
          <t>Target</t>
        </is>
      </c>
      <c r="D5" t="inlineStr">
        <is>
          <t>95%</t>
        </is>
      </c>
    </row>
    <row r="6">
      <c r="A6" t="inlineStr">
        <is>
          <t>Total Assets Assessed</t>
        </is>
      </c>
      <c r="B6" s="17">
        <f>COUNTA(Asset_Hardening_Assessment!A:A)-1</f>
        <v/>
      </c>
    </row>
    <row r="7">
      <c r="A7" t="inlineStr">
        <is>
          <t>Fully Compliant Assets</t>
        </is>
      </c>
      <c r="B7" s="17">
        <f>COUNTIF(Asset_Hardening_Assessment!U:U,"Fully Compliant")</f>
        <v/>
      </c>
      <c r="C7" t="inlineStr">
        <is>
          <t>Percentage</t>
        </is>
      </c>
      <c r="D7" s="15">
        <f>B7/B6</f>
        <v/>
      </c>
    </row>
    <row r="8">
      <c r="A8" t="inlineStr">
        <is>
          <t>Non-Compliant Assets</t>
        </is>
      </c>
      <c r="B8" s="21">
        <f>COUNTIF(Asset_Hardening_Assessment!U:U,"Non-Compliant")</f>
        <v/>
      </c>
      <c r="C8" t="inlineStr">
        <is>
          <t>Target</t>
        </is>
      </c>
      <c r="D8" t="inlineStr">
        <is>
          <t>0</t>
        </is>
      </c>
    </row>
    <row r="9">
      <c r="A9" t="inlineStr">
        <is>
          <t>Total Applicable Controls</t>
        </is>
      </c>
      <c r="B9" s="22">
        <f>SUM(Asset_Hardening_Assessment!J:J)</f>
        <v/>
      </c>
    </row>
    <row r="10">
      <c r="A10" t="inlineStr">
        <is>
          <t>Implemented Controls</t>
        </is>
      </c>
      <c r="B10" s="22">
        <f>SUM(Asset_Hardening_Assessment!K:K)</f>
        <v/>
      </c>
    </row>
    <row r="11">
      <c r="A11" t="inlineStr">
        <is>
          <t>Total Gaps (Not Implemented)</t>
        </is>
      </c>
      <c r="B11" s="22">
        <f>SUM(Asset_Hardening_Assessment!M:M)</f>
        <v/>
      </c>
      <c r="C11" t="inlineStr">
        <is>
          <t>Target</t>
        </is>
      </c>
      <c r="D11" t="inlineStr">
        <is>
          <t>0</t>
        </is>
      </c>
    </row>
    <row r="12">
      <c r="A12" t="inlineStr">
        <is>
          <t>High-Risk Gaps</t>
        </is>
      </c>
      <c r="B12" s="21">
        <f>SUM(Asset_Hardening_Assessment!P:P)</f>
        <v/>
      </c>
      <c r="C12" t="inlineStr">
        <is>
          <t>Target</t>
        </is>
      </c>
      <c r="D12" t="inlineStr">
        <is>
          <t>0</t>
        </is>
      </c>
    </row>
    <row r="13">
      <c r="A13" t="inlineStr">
        <is>
          <t>Active Exceptions</t>
        </is>
      </c>
      <c r="B13" s="17">
        <f>COUNTIF(Exception_Management!W:W,"Approved")</f>
        <v/>
      </c>
      <c r="C13" t="inlineStr">
        <is>
          <t>Target</t>
        </is>
      </c>
      <c r="D13" s="17">
        <f>B5*0.05</f>
        <v/>
      </c>
    </row>
    <row r="14">
      <c r="A14" t="inlineStr">
        <is>
          <t>Open Remediation Items</t>
        </is>
      </c>
      <c r="B14" s="17">
        <f>COUNTIFS(Remediation_Tracking!AE:AE,"&lt;&gt;Completed",Remediation_Tracking!AE:AE,"&lt;&gt;Closed - Fixed",Remediation_Tracking!AE:AE,"&lt;&gt;Closed - Exception")</f>
        <v/>
      </c>
    </row>
    <row r="16">
      <c r="A16" s="3" t="inlineStr">
        <is>
          <t>COMPLIANCE BY ASSET TIER</t>
        </is>
      </c>
    </row>
    <row r="17">
      <c r="A17" s="23" t="inlineStr">
        <is>
          <t>Asset Tier</t>
        </is>
      </c>
      <c r="B17" s="23" t="inlineStr">
        <is>
          <t>Asset Count</t>
        </is>
      </c>
      <c r="C17" s="23" t="inlineStr">
        <is>
          <t>Avg Compliance %</t>
        </is>
      </c>
      <c r="D17" s="23" t="inlineStr">
        <is>
          <t>Status</t>
        </is>
      </c>
    </row>
    <row r="18">
      <c r="A18" t="inlineStr">
        <is>
          <t>Critical</t>
        </is>
      </c>
      <c r="B18" s="17">
        <f>COUNTIF(Asset_Hardening_Assessment!D:D,"Critical")</f>
        <v/>
      </c>
      <c r="C18" s="15">
        <f>AVERAGEIF(Asset_Hardening_Assessment!D:D,"Critical",Asset_Hardening_Assessment!O:O)</f>
        <v/>
      </c>
      <c r="D18">
        <f>IF(C18="", "", IF(AND(C18&gt;=1.0, COUNTIFS(Asset_Hardening_Assessment!D:D,"Critical",Asset_Hardening_Assessment!U:U,"Non-Compliant")=0), "Green", IF(C18&gt;=0.9, "Yellow", "Red")))</f>
        <v/>
      </c>
    </row>
    <row r="19">
      <c r="A19" t="inlineStr">
        <is>
          <t>High</t>
        </is>
      </c>
      <c r="B19" s="17">
        <f>COUNTIF(Asset_Hardening_Assessment!D:D,"High")</f>
        <v/>
      </c>
      <c r="C19" s="15">
        <f>AVERAGEIF(Asset_Hardening_Assessment!D:D,"High",Asset_Hardening_Assessment!O:O)</f>
        <v/>
      </c>
      <c r="D19">
        <f>IF(C19="", "", IF(AND(C19&gt;=0.98, COUNTIFS(Asset_Hardening_Assessment!D:D,"High",Asset_Hardening_Assessment!U:U,"Non-Compliant")=0), "Green", IF(C19&gt;=0.9, "Yellow", "Red")))</f>
        <v/>
      </c>
    </row>
    <row r="20">
      <c r="A20" t="inlineStr">
        <is>
          <t>Medium</t>
        </is>
      </c>
      <c r="B20" s="17">
        <f>COUNTIF(Asset_Hardening_Assessment!D:D,"Medium")</f>
        <v/>
      </c>
      <c r="C20" s="15">
        <f>AVERAGEIF(Asset_Hardening_Assessment!D:D,"Medium",Asset_Hardening_Assessment!O:O)</f>
        <v/>
      </c>
      <c r="D20">
        <f>IF(C20="", "", IF(AND(C20&gt;=0.95, COUNTIFS(Asset_Hardening_Assessment!D:D,"Medium",Asset_Hardening_Assessment!U:U,"Non-Compliant")=0), "Green", IF(C20&gt;=0.9, "Yellow", "Red")))</f>
        <v/>
      </c>
    </row>
    <row r="21">
      <c r="A21" t="inlineStr">
        <is>
          <t>Low</t>
        </is>
      </c>
      <c r="B21" s="17">
        <f>COUNTIF(Asset_Hardening_Assessment!D:D,"Low")</f>
        <v/>
      </c>
      <c r="C21" s="15">
        <f>AVERAGEIF(Asset_Hardening_Assessment!D:D,"Low",Asset_Hardening_Assessment!O:O)</f>
        <v/>
      </c>
      <c r="D21">
        <f>IF(C21="", "", IF(AND(C21&gt;=0.9, COUNTIFS(Asset_Hardening_Assessment!D:D,"Low",Asset_Hardening_Assessment!U:U,"Non-Compliant")=0), "Green", IF(C21&gt;=0.9, "Yellow", "Red")))</f>
        <v/>
      </c>
    </row>
    <row r="23">
      <c r="A23" s="3" t="inlineStr">
        <is>
          <t>REMEDIATION PROGRESS</t>
        </is>
      </c>
    </row>
    <row r="24">
      <c r="A24" t="inlineStr">
        <is>
          <t>Total Gaps Identified</t>
        </is>
      </c>
      <c r="B24" s="17">
        <f>COUNTA(Remediation_Tracking!A:A)-1</f>
        <v/>
      </c>
    </row>
    <row r="25">
      <c r="A25" t="inlineStr">
        <is>
          <t>Gaps Closed</t>
        </is>
      </c>
      <c r="B25" s="17">
        <f>COUNTIFS(Remediation_Tracking!AE:AE,"Completed")+COUNTIF(Remediation_Tracking!AE:AE,"Closed - Fixed")</f>
        <v/>
      </c>
    </row>
    <row r="26">
      <c r="A26" t="inlineStr">
        <is>
          <t>Gap Closure Rate</t>
        </is>
      </c>
      <c r="B26" s="15">
        <f>IF(B24&gt;0, B25/B24, "")</f>
        <v/>
      </c>
      <c r="C26" t="inlineStr">
        <is>
          <t>Target</t>
        </is>
      </c>
      <c r="D26" t="inlineStr">
        <is>
          <t>≥80%</t>
        </is>
      </c>
    </row>
    <row r="27">
      <c r="A27" t="inlineStr">
        <is>
          <t>Mean Time to Remediate (MTTR)</t>
        </is>
      </c>
      <c r="B27" s="24">
        <f>AVERAGE(Remediation_Tracking!AC:AC)</f>
        <v/>
      </c>
      <c r="C27" t="inlineStr">
        <is>
          <t>Target</t>
        </is>
      </c>
      <c r="D27" t="inlineStr">
        <is>
          <t>≤14 days</t>
        </is>
      </c>
    </row>
    <row r="28">
      <c r="A28" t="inlineStr">
        <is>
          <t>Overdue Remediations</t>
        </is>
      </c>
      <c r="B28" s="21">
        <f>COUNTIF(Remediation_Tracking!AD:AD,"&gt;0")</f>
        <v/>
      </c>
      <c r="C28" t="inlineStr">
        <is>
          <t>Target</t>
        </is>
      </c>
      <c r="D28" t="inlineStr">
        <is>
          <t>0</t>
        </is>
      </c>
    </row>
    <row r="29">
      <c r="A29" t="inlineStr">
        <is>
          <t>Blocked Remediations</t>
        </is>
      </c>
      <c r="B29" s="17">
        <f>COUNTIF(Remediation_Tracking!AE:AE,"Blocked")</f>
        <v/>
      </c>
      <c r="C29" t="inlineStr">
        <is>
          <t>Target</t>
        </is>
      </c>
      <c r="D29" t="inlineStr">
        <is>
          <t>0</t>
        </is>
      </c>
    </row>
    <row r="30">
      <c r="A30" t="inlineStr">
        <is>
          <t>Critical Gaps (Open)</t>
        </is>
      </c>
      <c r="B30" s="21">
        <f>COUNTIFS(Remediation_Tracking!L:L,"Critical",Remediation_Tracking!AE:AE,"&lt;&gt;Completed")</f>
        <v/>
      </c>
      <c r="C30" t="inlineStr">
        <is>
          <t>Target</t>
        </is>
      </c>
      <c r="D30" t="inlineStr">
        <is>
          <t>0</t>
        </is>
      </c>
    </row>
    <row r="31">
      <c r="A31" t="inlineStr">
        <is>
          <t>High Gaps (Open)</t>
        </is>
      </c>
      <c r="B31" s="17">
        <f>COUNTIFS(Remediation_Tracking!L:L,"High",Remediation_Tracking!AE:AE,"&lt;&gt;Completed")</f>
        <v/>
      </c>
      <c r="C31" t="inlineStr">
        <is>
          <t>Target</t>
        </is>
      </c>
      <c r="D31" t="inlineStr">
        <is>
          <t>≤3</t>
        </is>
      </c>
    </row>
    <row r="33">
      <c r="A33" s="3" t="inlineStr">
        <is>
          <t>EXCEPTION ANALYSIS</t>
        </is>
      </c>
    </row>
    <row r="34">
      <c r="A34" t="inlineStr">
        <is>
          <t>Total Active Exceptions</t>
        </is>
      </c>
      <c r="B34" s="17">
        <f>COUNTIF(Exception_Management!W:W,"Approved")</f>
        <v/>
      </c>
    </row>
    <row r="35">
      <c r="A35" t="inlineStr">
        <is>
          <t>Exceptions Without Compensating Controls</t>
        </is>
      </c>
      <c r="B35" s="21">
        <f>COUNTIFS(Exception_Management!N:N,"No",Exception_Management!W:W,"Approved")</f>
        <v/>
      </c>
      <c r="C35" t="inlineStr">
        <is>
          <t>Target</t>
        </is>
      </c>
      <c r="D35" t="inlineStr">
        <is>
          <t>0</t>
        </is>
      </c>
    </row>
    <row r="36">
      <c r="A36" t="inlineStr">
        <is>
          <t>Exceptions Expiring &lt;30 Days</t>
        </is>
      </c>
      <c r="B36" s="17">
        <f>COUNTIFS(Exception_Management!AA:AA,"&lt;30",Exception_Management!AA:AA,"&gt;=0")</f>
        <v/>
      </c>
    </row>
    <row r="37">
      <c r="A37" t="inlineStr">
        <is>
          <t>Expired Exceptions</t>
        </is>
      </c>
      <c r="B37" s="21">
        <f>COUNTIF(Exception_Management!AA:AA,"&lt;0")</f>
        <v/>
      </c>
      <c r="C37" t="inlineStr">
        <is>
          <t>Target</t>
        </is>
      </c>
      <c r="D37" t="inlineStr">
        <is>
          <t>0</t>
        </is>
      </c>
    </row>
    <row r="38">
      <c r="A38" t="inlineStr">
        <is>
          <t>High-Risk Exceptions (Residual Risk High/Critical)</t>
        </is>
      </c>
      <c r="B38" s="21">
        <f>COUNTIFS(Exception_Management!M:M,"High",Exception_Management!W:W,"Approved")+COUNTIFS(Exception_Management!M:M,"Critical",Exception_Management!W:W,"Approved")</f>
        <v/>
      </c>
      <c r="C38" t="inlineStr">
        <is>
          <t>Target</t>
        </is>
      </c>
      <c r="D38" t="inlineStr">
        <is>
          <t>0</t>
        </is>
      </c>
    </row>
    <row r="40">
      <c r="A40" s="3" t="inlineStr">
        <is>
          <t>EVIDENCE COMPLETENESS</t>
        </is>
      </c>
    </row>
    <row r="41">
      <c r="A41" t="inlineStr">
        <is>
          <t>Total Implemented Controls</t>
        </is>
      </c>
      <c r="B41" s="22">
        <f>COUNTIF(Control_Compliance_Detail!K:K,"Implemented")</f>
        <v/>
      </c>
    </row>
    <row r="42">
      <c r="A42" t="inlineStr">
        <is>
          <t>Controls With Evidence</t>
        </is>
      </c>
      <c r="B42" s="22">
        <f>COUNTIFS(Control_Compliance_Detail!K:K,"Implemented",Control_Compliance_Detail!AC:AC,"&lt;&gt;")</f>
        <v/>
      </c>
    </row>
    <row r="43">
      <c r="A43" t="inlineStr">
        <is>
          <t>Evidence Completeness %</t>
        </is>
      </c>
      <c r="B43" s="15">
        <f>IF(B41&gt;0, B42/B41, "")</f>
        <v/>
      </c>
      <c r="C43" t="inlineStr">
        <is>
          <t>Target</t>
        </is>
      </c>
      <c r="D43" t="inlineStr">
        <is>
          <t>≥95%</t>
        </is>
      </c>
    </row>
    <row r="44">
      <c r="A44" t="inlineStr">
        <is>
          <t>Missing Evidence (Critical Assets)</t>
        </is>
      </c>
      <c r="B44" s="21">
        <f>COUNTIFS(Control_Compliance_Detail!K:K,"Implemented",Asset_Hardening_Assessment!D:D,"Critical",Control_Compliance_Detail!AC:AC,"")</f>
        <v/>
      </c>
      <c r="C44" t="inlineStr">
        <is>
          <t>Target</t>
        </is>
      </c>
      <c r="D44" t="inlineStr">
        <is>
          <t>0</t>
        </is>
      </c>
    </row>
    <row r="46">
      <c r="A46" s="25" t="inlineStr">
        <is>
          <t>NOTE: Trend analysis requires 3+ assessment cycles. Maintain historical data for meaningful insights.</t>
        </is>
      </c>
    </row>
  </sheetData>
  <mergeCells count="8">
    <mergeCell ref="A1:D1"/>
    <mergeCell ref="A23:D23"/>
    <mergeCell ref="A40:D40"/>
    <mergeCell ref="A4:D4"/>
    <mergeCell ref="A16:D16"/>
    <mergeCell ref="A2:D2"/>
    <mergeCell ref="A33:D33"/>
    <mergeCell ref="A46:D46"/>
  </mergeCells>
  <conditionalFormatting sqref="B5">
    <cfRule type="cellIs" priority="1" operator="greaterThanOrEqual" dxfId="7">
      <formula>0.95</formula>
    </cfRule>
    <cfRule type="cellIs" priority="2" operator="between" dxfId="1">
      <formula>0.90</formula>
      <formula>0.94</formula>
    </cfRule>
    <cfRule type="cellIs" priority="3" operator="lessThan" dxfId="0">
      <formula>0.90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25" customWidth="1" min="4" max="4"/>
    <col width="12" customWidth="1" min="5" max="5"/>
    <col width="12" customWidth="1" min="6" max="6"/>
    <col width="14" customWidth="1" min="7" max="7"/>
    <col width="30" customWidth="1" min="8" max="8"/>
    <col width="12" customWidth="1" min="9" max="9"/>
    <col width="15" customWidth="1" min="10" max="10"/>
    <col width="15" customWidth="1" min="11" max="11"/>
    <col width="40" customWidth="1" min="12" max="12"/>
    <col width="20" customWidth="1" min="13" max="13"/>
    <col width="35" customWidth="1" min="14" max="14"/>
    <col width="12" customWidth="1" min="15" max="15"/>
    <col width="18" customWidth="1" min="16" max="16"/>
    <col width="25" customWidth="1" min="17" max="17"/>
    <col width="15" customWidth="1" min="18" max="18"/>
    <col width="20" customWidth="1" min="19" max="19"/>
    <col width="16" customWidth="1" min="20" max="20"/>
    <col width="18" customWidth="1" min="21" max="21"/>
    <col width="30" customWidth="1" min="22" max="22"/>
    <col width="15" customWidth="1" min="23" max="23"/>
    <col width="25" customWidth="1" min="24" max="24"/>
    <col width="25" customWidth="1" min="25" max="25"/>
  </cols>
  <sheetData>
    <row r="1">
      <c r="A1" s="6" t="inlineStr">
        <is>
          <t>Priority_Rank</t>
        </is>
      </c>
      <c r="B1" s="6" t="inlineStr">
        <is>
          <t>Remediation_ID</t>
        </is>
      </c>
      <c r="C1" s="6" t="inlineStr">
        <is>
          <t>Asset_ID</t>
        </is>
      </c>
      <c r="D1" s="6" t="inlineStr">
        <is>
          <t>Asset_Name</t>
        </is>
      </c>
      <c r="E1" s="6" t="inlineStr">
        <is>
          <t>Asset_Tier</t>
        </is>
      </c>
      <c r="F1" s="6" t="inlineStr">
        <is>
          <t>Control_ID</t>
        </is>
      </c>
      <c r="G1" s="6" t="inlineStr">
        <is>
          <t>Control_Number</t>
        </is>
      </c>
      <c r="H1" s="6" t="inlineStr">
        <is>
          <t>Control_Title</t>
        </is>
      </c>
      <c r="I1" s="6" t="inlineStr">
        <is>
          <t>Standard_ID</t>
        </is>
      </c>
      <c r="J1" s="6" t="inlineStr">
        <is>
          <t>Control_Severity</t>
        </is>
      </c>
      <c r="K1" s="6" t="inlineStr">
        <is>
          <t>Gap_Risk_Rating</t>
        </is>
      </c>
      <c r="L1" s="6" t="inlineStr">
        <is>
          <t>Gap_Description</t>
        </is>
      </c>
      <c r="M1" s="6" t="inlineStr">
        <is>
          <t>Exploitation_Likelihood</t>
        </is>
      </c>
      <c r="N1" s="6" t="inlineStr">
        <is>
          <t>Impact_Assessment</t>
        </is>
      </c>
      <c r="O1" s="6" t="inlineStr">
        <is>
          <t>Risk_Score</t>
        </is>
      </c>
      <c r="P1" s="6" t="inlineStr">
        <is>
          <t>Priority_Category</t>
        </is>
      </c>
      <c r="Q1" s="6" t="inlineStr">
        <is>
          <t>Remediation_Owner</t>
        </is>
      </c>
      <c r="R1" s="6" t="inlineStr">
        <is>
          <t>Estimated_Effort</t>
        </is>
      </c>
      <c r="S1" s="6" t="inlineStr">
        <is>
          <t>Target_Completion_Date</t>
        </is>
      </c>
      <c r="T1" s="6" t="inlineStr">
        <is>
          <t>Days_Until_Target</t>
        </is>
      </c>
      <c r="U1" s="6" t="inlineStr">
        <is>
          <t>Status</t>
        </is>
      </c>
      <c r="V1" s="6" t="inlineStr">
        <is>
          <t>Dependencies</t>
        </is>
      </c>
      <c r="W1" s="6" t="inlineStr">
        <is>
          <t>Quick_Win</t>
        </is>
      </c>
      <c r="X1" s="6" t="inlineStr">
        <is>
          <t>Related_Gaps</t>
        </is>
      </c>
      <c r="Y1" s="6" t="inlineStr">
        <is>
          <t>Batch_Opportunity</t>
        </is>
      </c>
    </row>
    <row r="2">
      <c r="A2">
        <f>IF(B2&lt;&gt;"", ROW()-1, "")</f>
        <v/>
      </c>
      <c r="B2">
        <f>Remediation_Tracking!A2</f>
        <v/>
      </c>
      <c r="C2">
        <f>Remediation_Tracking!D2</f>
        <v/>
      </c>
      <c r="D2">
        <f>Remediation_Tracking!E2</f>
        <v/>
      </c>
      <c r="E2">
        <f>Remediation_Tracking!F2</f>
        <v/>
      </c>
      <c r="F2">
        <f>Remediation_Tracking!C2</f>
        <v/>
      </c>
      <c r="G2">
        <f>Remediation_Tracking!H2</f>
        <v/>
      </c>
      <c r="H2">
        <f>Remediation_Tracking!I2</f>
        <v/>
      </c>
      <c r="I2">
        <f>Remediation_Tracking!G2</f>
        <v/>
      </c>
      <c r="J2">
        <f>Remediation_Tracking!J2</f>
        <v/>
      </c>
      <c r="K2">
        <f>Remediation_Tracking!L2</f>
        <v/>
      </c>
      <c r="L2">
        <f>Remediation_Tracking!K2</f>
        <v/>
      </c>
      <c r="M2" s="8" t="inlineStr">
        <is>
          <t>Medium</t>
        </is>
      </c>
      <c r="N2">
        <f>Remediation_Tracking!M2</f>
        <v/>
      </c>
      <c r="O2" s="26">
        <f>IF(E2="", "", (IF(E2="Critical",5,IF(E2="High",4,IF(E2="Medium",3,2)))*10) + (IF(J2="Critical",5,IF(J2="High",4,IF(J2="Medium",3,2)))*8) + (IF(M2="Very High",5,IF(M2="High",4,IF(M2="Medium",3,IF(M2="Low",2,1))))*6) + (IF(T2&lt;0, ABS(T2)/7*2, 0)))</f>
        <v/>
      </c>
      <c r="P2">
        <f>IF(O2="", "", IF(AND(E2="Critical", OR(K2="Critical",K2="High"), T2&lt;0), "P0 - Critical &amp; Urgent", IF(AND(E2="Critical", OR(K2="Critical",K2="High")), "P1 - Critical", IF(OR(AND(E2="High",K2="High"),AND(E2="Critical",K2="Medium")), "P2 - High Priority", IF(OR(AND(E2="Medium",K2="High"),AND(E2="High",K2="Medium")), "P3 - Medium Priority", "P4 - Low Priority")))))</f>
        <v/>
      </c>
      <c r="Q2">
        <f>Remediation_Tracking!S2</f>
        <v/>
      </c>
      <c r="R2">
        <f>Remediation_Tracking!U2</f>
        <v/>
      </c>
      <c r="S2">
        <f>Remediation_Tracking!Z2</f>
        <v/>
      </c>
      <c r="T2" s="17">
        <f>IF(S2&lt;&gt;"", S2-TODAY(), "")</f>
        <v/>
      </c>
      <c r="U2">
        <f>Remediation_Tracking!AE2</f>
        <v/>
      </c>
      <c r="V2">
        <f>Remediation_Tracking!W2</f>
        <v/>
      </c>
      <c r="W2">
        <f>IF(AND(OR(R2="&lt;1 hour",R2="1-4 hours",R2="1 day"), OR(K2="Medium",K2="High",K2="Critical")), "Yes - Quick Win", "No")</f>
        <v/>
      </c>
      <c r="X2" s="8" t="n"/>
      <c r="Y2" s="8" t="n"/>
    </row>
    <row r="3">
      <c r="A3">
        <f>IF(B3&lt;&gt;"", ROW()-1, "")</f>
        <v/>
      </c>
      <c r="B3">
        <f>Remediation_Tracking!A3</f>
        <v/>
      </c>
      <c r="C3">
        <f>Remediation_Tracking!D3</f>
        <v/>
      </c>
      <c r="D3">
        <f>Remediation_Tracking!E3</f>
        <v/>
      </c>
      <c r="E3">
        <f>Remediation_Tracking!F3</f>
        <v/>
      </c>
      <c r="F3">
        <f>Remediation_Tracking!C3</f>
        <v/>
      </c>
      <c r="G3">
        <f>Remediation_Tracking!H3</f>
        <v/>
      </c>
      <c r="H3">
        <f>Remediation_Tracking!I3</f>
        <v/>
      </c>
      <c r="I3">
        <f>Remediation_Tracking!G3</f>
        <v/>
      </c>
      <c r="J3">
        <f>Remediation_Tracking!J3</f>
        <v/>
      </c>
      <c r="K3">
        <f>Remediation_Tracking!L3</f>
        <v/>
      </c>
      <c r="L3">
        <f>Remediation_Tracking!K3</f>
        <v/>
      </c>
      <c r="M3" s="8" t="inlineStr">
        <is>
          <t>Medium</t>
        </is>
      </c>
      <c r="N3">
        <f>Remediation_Tracking!M3</f>
        <v/>
      </c>
      <c r="O3" s="26">
        <f>IF(E3="", "", (IF(E3="Critical",5,IF(E3="High",4,IF(E3="Medium",3,2)))*10) + (IF(J3="Critical",5,IF(J3="High",4,IF(J3="Medium",3,2)))*8) + (IF(M3="Very High",5,IF(M3="High",4,IF(M3="Medium",3,IF(M3="Low",2,1))))*6) + (IF(T3&lt;0, ABS(T3)/7*2, 0)))</f>
        <v/>
      </c>
      <c r="P3">
        <f>IF(O3="", "", IF(AND(E3="Critical", OR(K3="Critical",K3="High"), T3&lt;0), "P0 - Critical &amp; Urgent", IF(AND(E3="Critical", OR(K3="Critical",K3="High")), "P1 - Critical", IF(OR(AND(E3="High",K3="High"),AND(E3="Critical",K3="Medium")), "P2 - High Priority", IF(OR(AND(E3="Medium",K3="High"),AND(E3="High",K3="Medium")), "P3 - Medium Priority", "P4 - Low Priority")))))</f>
        <v/>
      </c>
      <c r="Q3">
        <f>Remediation_Tracking!S3</f>
        <v/>
      </c>
      <c r="R3">
        <f>Remediation_Tracking!U3</f>
        <v/>
      </c>
      <c r="S3">
        <f>Remediation_Tracking!Z3</f>
        <v/>
      </c>
      <c r="T3" s="17">
        <f>IF(S3&lt;&gt;"", S3-TODAY(), "")</f>
        <v/>
      </c>
      <c r="U3">
        <f>Remediation_Tracking!AE3</f>
        <v/>
      </c>
      <c r="V3">
        <f>Remediation_Tracking!W3</f>
        <v/>
      </c>
      <c r="W3">
        <f>IF(AND(OR(R3="&lt;1 hour",R3="1-4 hours",R3="1 day"), OR(K3="Medium",K3="High",K3="Critical")), "Yes - Quick Win", "No")</f>
        <v/>
      </c>
      <c r="X3" s="8" t="n"/>
      <c r="Y3" s="8" t="n"/>
    </row>
    <row r="4">
      <c r="A4">
        <f>IF(B4&lt;&gt;"", ROW()-1, "")</f>
        <v/>
      </c>
      <c r="B4">
        <f>Remediation_Tracking!A4</f>
        <v/>
      </c>
      <c r="C4">
        <f>Remediation_Tracking!D4</f>
        <v/>
      </c>
      <c r="D4">
        <f>Remediation_Tracking!E4</f>
        <v/>
      </c>
      <c r="E4">
        <f>Remediation_Tracking!F4</f>
        <v/>
      </c>
      <c r="F4">
        <f>Remediation_Tracking!C4</f>
        <v/>
      </c>
      <c r="G4">
        <f>Remediation_Tracking!H4</f>
        <v/>
      </c>
      <c r="H4">
        <f>Remediation_Tracking!I4</f>
        <v/>
      </c>
      <c r="I4">
        <f>Remediation_Tracking!G4</f>
        <v/>
      </c>
      <c r="J4">
        <f>Remediation_Tracking!J4</f>
        <v/>
      </c>
      <c r="K4">
        <f>Remediation_Tracking!L4</f>
        <v/>
      </c>
      <c r="L4">
        <f>Remediation_Tracking!K4</f>
        <v/>
      </c>
      <c r="M4" s="8" t="inlineStr">
        <is>
          <t>Medium</t>
        </is>
      </c>
      <c r="N4">
        <f>Remediation_Tracking!M4</f>
        <v/>
      </c>
      <c r="O4" s="26">
        <f>IF(E4="", "", (IF(E4="Critical",5,IF(E4="High",4,IF(E4="Medium",3,2)))*10) + (IF(J4="Critical",5,IF(J4="High",4,IF(J4="Medium",3,2)))*8) + (IF(M4="Very High",5,IF(M4="High",4,IF(M4="Medium",3,IF(M4="Low",2,1))))*6) + (IF(T4&lt;0, ABS(T4)/7*2, 0)))</f>
        <v/>
      </c>
      <c r="P4">
        <f>IF(O4="", "", IF(AND(E4="Critical", OR(K4="Critical",K4="High"), T4&lt;0), "P0 - Critical &amp; Urgent", IF(AND(E4="Critical", OR(K4="Critical",K4="High")), "P1 - Critical", IF(OR(AND(E4="High",K4="High"),AND(E4="Critical",K4="Medium")), "P2 - High Priority", IF(OR(AND(E4="Medium",K4="High"),AND(E4="High",K4="Medium")), "P3 - Medium Priority", "P4 - Low Priority")))))</f>
        <v/>
      </c>
      <c r="Q4">
        <f>Remediation_Tracking!S4</f>
        <v/>
      </c>
      <c r="R4">
        <f>Remediation_Tracking!U4</f>
        <v/>
      </c>
      <c r="S4">
        <f>Remediation_Tracking!Z4</f>
        <v/>
      </c>
      <c r="T4" s="17">
        <f>IF(S4&lt;&gt;"", S4-TODAY(), "")</f>
        <v/>
      </c>
      <c r="U4">
        <f>Remediation_Tracking!AE4</f>
        <v/>
      </c>
      <c r="V4">
        <f>Remediation_Tracking!W4</f>
        <v/>
      </c>
      <c r="W4">
        <f>IF(AND(OR(R4="&lt;1 hour",R4="1-4 hours",R4="1 day"), OR(K4="Medium",K4="High",K4="Critical")), "Yes - Quick Win", "No")</f>
        <v/>
      </c>
      <c r="X4" s="8" t="n"/>
      <c r="Y4" s="8" t="n"/>
    </row>
    <row r="5">
      <c r="A5">
        <f>IF(B5&lt;&gt;"", ROW()-1, "")</f>
        <v/>
      </c>
      <c r="B5">
        <f>Remediation_Tracking!A5</f>
        <v/>
      </c>
      <c r="C5">
        <f>Remediation_Tracking!D5</f>
        <v/>
      </c>
      <c r="D5">
        <f>Remediation_Tracking!E5</f>
        <v/>
      </c>
      <c r="E5">
        <f>Remediation_Tracking!F5</f>
        <v/>
      </c>
      <c r="F5">
        <f>Remediation_Tracking!C5</f>
        <v/>
      </c>
      <c r="G5">
        <f>Remediation_Tracking!H5</f>
        <v/>
      </c>
      <c r="H5">
        <f>Remediation_Tracking!I5</f>
        <v/>
      </c>
      <c r="I5">
        <f>Remediation_Tracking!G5</f>
        <v/>
      </c>
      <c r="J5">
        <f>Remediation_Tracking!J5</f>
        <v/>
      </c>
      <c r="K5">
        <f>Remediation_Tracking!L5</f>
        <v/>
      </c>
      <c r="L5">
        <f>Remediation_Tracking!K5</f>
        <v/>
      </c>
      <c r="M5" s="8" t="inlineStr">
        <is>
          <t>Medium</t>
        </is>
      </c>
      <c r="N5">
        <f>Remediation_Tracking!M5</f>
        <v/>
      </c>
      <c r="O5" s="26">
        <f>IF(E5="", "", (IF(E5="Critical",5,IF(E5="High",4,IF(E5="Medium",3,2)))*10) + (IF(J5="Critical",5,IF(J5="High",4,IF(J5="Medium",3,2)))*8) + (IF(M5="Very High",5,IF(M5="High",4,IF(M5="Medium",3,IF(M5="Low",2,1))))*6) + (IF(T5&lt;0, ABS(T5)/7*2, 0)))</f>
        <v/>
      </c>
      <c r="P5">
        <f>IF(O5="", "", IF(AND(E5="Critical", OR(K5="Critical",K5="High"), T5&lt;0), "P0 - Critical &amp; Urgent", IF(AND(E5="Critical", OR(K5="Critical",K5="High")), "P1 - Critical", IF(OR(AND(E5="High",K5="High"),AND(E5="Critical",K5="Medium")), "P2 - High Priority", IF(OR(AND(E5="Medium",K5="High"),AND(E5="High",K5="Medium")), "P3 - Medium Priority", "P4 - Low Priority")))))</f>
        <v/>
      </c>
      <c r="Q5">
        <f>Remediation_Tracking!S5</f>
        <v/>
      </c>
      <c r="R5">
        <f>Remediation_Tracking!U5</f>
        <v/>
      </c>
      <c r="S5">
        <f>Remediation_Tracking!Z5</f>
        <v/>
      </c>
      <c r="T5" s="17">
        <f>IF(S5&lt;&gt;"", S5-TODAY(), "")</f>
        <v/>
      </c>
      <c r="U5">
        <f>Remediation_Tracking!AE5</f>
        <v/>
      </c>
      <c r="V5">
        <f>Remediation_Tracking!W5</f>
        <v/>
      </c>
      <c r="W5">
        <f>IF(AND(OR(R5="&lt;1 hour",R5="1-4 hours",R5="1 day"), OR(K5="Medium",K5="High",K5="Critical")), "Yes - Quick Win", "No")</f>
        <v/>
      </c>
      <c r="X5" s="8" t="n"/>
      <c r="Y5" s="8" t="n"/>
    </row>
    <row r="6">
      <c r="A6">
        <f>IF(B6&lt;&gt;"", ROW()-1, "")</f>
        <v/>
      </c>
      <c r="B6">
        <f>Remediation_Tracking!A6</f>
        <v/>
      </c>
      <c r="C6">
        <f>Remediation_Tracking!D6</f>
        <v/>
      </c>
      <c r="D6">
        <f>Remediation_Tracking!E6</f>
        <v/>
      </c>
      <c r="E6">
        <f>Remediation_Tracking!F6</f>
        <v/>
      </c>
      <c r="F6">
        <f>Remediation_Tracking!C6</f>
        <v/>
      </c>
      <c r="G6">
        <f>Remediation_Tracking!H6</f>
        <v/>
      </c>
      <c r="H6">
        <f>Remediation_Tracking!I6</f>
        <v/>
      </c>
      <c r="I6">
        <f>Remediation_Tracking!G6</f>
        <v/>
      </c>
      <c r="J6">
        <f>Remediation_Tracking!J6</f>
        <v/>
      </c>
      <c r="K6">
        <f>Remediation_Tracking!L6</f>
        <v/>
      </c>
      <c r="L6">
        <f>Remediation_Tracking!K6</f>
        <v/>
      </c>
      <c r="M6" s="8" t="inlineStr">
        <is>
          <t>Medium</t>
        </is>
      </c>
      <c r="N6">
        <f>Remediation_Tracking!M6</f>
        <v/>
      </c>
      <c r="O6" s="26">
        <f>IF(E6="", "", (IF(E6="Critical",5,IF(E6="High",4,IF(E6="Medium",3,2)))*10) + (IF(J6="Critical",5,IF(J6="High",4,IF(J6="Medium",3,2)))*8) + (IF(M6="Very High",5,IF(M6="High",4,IF(M6="Medium",3,IF(M6="Low",2,1))))*6) + (IF(T6&lt;0, ABS(T6)/7*2, 0)))</f>
        <v/>
      </c>
      <c r="P6">
        <f>IF(O6="", "", IF(AND(E6="Critical", OR(K6="Critical",K6="High"), T6&lt;0), "P0 - Critical &amp; Urgent", IF(AND(E6="Critical", OR(K6="Critical",K6="High")), "P1 - Critical", IF(OR(AND(E6="High",K6="High"),AND(E6="Critical",K6="Medium")), "P2 - High Priority", IF(OR(AND(E6="Medium",K6="High"),AND(E6="High",K6="Medium")), "P3 - Medium Priority", "P4 - Low Priority")))))</f>
        <v/>
      </c>
      <c r="Q6">
        <f>Remediation_Tracking!S6</f>
        <v/>
      </c>
      <c r="R6">
        <f>Remediation_Tracking!U6</f>
        <v/>
      </c>
      <c r="S6">
        <f>Remediation_Tracking!Z6</f>
        <v/>
      </c>
      <c r="T6" s="17">
        <f>IF(S6&lt;&gt;"", S6-TODAY(), "")</f>
        <v/>
      </c>
      <c r="U6">
        <f>Remediation_Tracking!AE6</f>
        <v/>
      </c>
      <c r="V6">
        <f>Remediation_Tracking!W6</f>
        <v/>
      </c>
      <c r="W6">
        <f>IF(AND(OR(R6="&lt;1 hour",R6="1-4 hours",R6="1 day"), OR(K6="Medium",K6="High",K6="Critical")), "Yes - Quick Win", "No")</f>
        <v/>
      </c>
      <c r="X6" s="8" t="n"/>
      <c r="Y6" s="8" t="n"/>
    </row>
    <row r="7">
      <c r="A7">
        <f>IF(B7&lt;&gt;"", ROW()-1, "")</f>
        <v/>
      </c>
      <c r="B7">
        <f>Remediation_Tracking!A7</f>
        <v/>
      </c>
      <c r="C7">
        <f>Remediation_Tracking!D7</f>
        <v/>
      </c>
      <c r="D7">
        <f>Remediation_Tracking!E7</f>
        <v/>
      </c>
      <c r="E7">
        <f>Remediation_Tracking!F7</f>
        <v/>
      </c>
      <c r="F7">
        <f>Remediation_Tracking!C7</f>
        <v/>
      </c>
      <c r="G7">
        <f>Remediation_Tracking!H7</f>
        <v/>
      </c>
      <c r="H7">
        <f>Remediation_Tracking!I7</f>
        <v/>
      </c>
      <c r="I7">
        <f>Remediation_Tracking!G7</f>
        <v/>
      </c>
      <c r="J7">
        <f>Remediation_Tracking!J7</f>
        <v/>
      </c>
      <c r="K7">
        <f>Remediation_Tracking!L7</f>
        <v/>
      </c>
      <c r="L7">
        <f>Remediation_Tracking!K7</f>
        <v/>
      </c>
      <c r="M7" s="8" t="inlineStr">
        <is>
          <t>Medium</t>
        </is>
      </c>
      <c r="N7">
        <f>Remediation_Tracking!M7</f>
        <v/>
      </c>
      <c r="O7" s="26">
        <f>IF(E7="", "", (IF(E7="Critical",5,IF(E7="High",4,IF(E7="Medium",3,2)))*10) + (IF(J7="Critical",5,IF(J7="High",4,IF(J7="Medium",3,2)))*8) + (IF(M7="Very High",5,IF(M7="High",4,IF(M7="Medium",3,IF(M7="Low",2,1))))*6) + (IF(T7&lt;0, ABS(T7)/7*2, 0)))</f>
        <v/>
      </c>
      <c r="P7">
        <f>IF(O7="", "", IF(AND(E7="Critical", OR(K7="Critical",K7="High"), T7&lt;0), "P0 - Critical &amp; Urgent", IF(AND(E7="Critical", OR(K7="Critical",K7="High")), "P1 - Critical", IF(OR(AND(E7="High",K7="High"),AND(E7="Critical",K7="Medium")), "P2 - High Priority", IF(OR(AND(E7="Medium",K7="High"),AND(E7="High",K7="Medium")), "P3 - Medium Priority", "P4 - Low Priority")))))</f>
        <v/>
      </c>
      <c r="Q7">
        <f>Remediation_Tracking!S7</f>
        <v/>
      </c>
      <c r="R7">
        <f>Remediation_Tracking!U7</f>
        <v/>
      </c>
      <c r="S7">
        <f>Remediation_Tracking!Z7</f>
        <v/>
      </c>
      <c r="T7" s="17">
        <f>IF(S7&lt;&gt;"", S7-TODAY(), "")</f>
        <v/>
      </c>
      <c r="U7">
        <f>Remediation_Tracking!AE7</f>
        <v/>
      </c>
      <c r="V7">
        <f>Remediation_Tracking!W7</f>
        <v/>
      </c>
      <c r="W7">
        <f>IF(AND(OR(R7="&lt;1 hour",R7="1-4 hours",R7="1 day"), OR(K7="Medium",K7="High",K7="Critical")), "Yes - Quick Win", "No")</f>
        <v/>
      </c>
      <c r="X7" s="8" t="n"/>
      <c r="Y7" s="8" t="n"/>
    </row>
    <row r="8">
      <c r="A8">
        <f>IF(B8&lt;&gt;"", ROW()-1, "")</f>
        <v/>
      </c>
      <c r="B8">
        <f>Remediation_Tracking!A8</f>
        <v/>
      </c>
      <c r="C8">
        <f>Remediation_Tracking!D8</f>
        <v/>
      </c>
      <c r="D8">
        <f>Remediation_Tracking!E8</f>
        <v/>
      </c>
      <c r="E8">
        <f>Remediation_Tracking!F8</f>
        <v/>
      </c>
      <c r="F8">
        <f>Remediation_Tracking!C8</f>
        <v/>
      </c>
      <c r="G8">
        <f>Remediation_Tracking!H8</f>
        <v/>
      </c>
      <c r="H8">
        <f>Remediation_Tracking!I8</f>
        <v/>
      </c>
      <c r="I8">
        <f>Remediation_Tracking!G8</f>
        <v/>
      </c>
      <c r="J8">
        <f>Remediation_Tracking!J8</f>
        <v/>
      </c>
      <c r="K8">
        <f>Remediation_Tracking!L8</f>
        <v/>
      </c>
      <c r="L8">
        <f>Remediation_Tracking!K8</f>
        <v/>
      </c>
      <c r="M8" s="8" t="inlineStr">
        <is>
          <t>Medium</t>
        </is>
      </c>
      <c r="N8">
        <f>Remediation_Tracking!M8</f>
        <v/>
      </c>
      <c r="O8" s="26">
        <f>IF(E8="", "", (IF(E8="Critical",5,IF(E8="High",4,IF(E8="Medium",3,2)))*10) + (IF(J8="Critical",5,IF(J8="High",4,IF(J8="Medium",3,2)))*8) + (IF(M8="Very High",5,IF(M8="High",4,IF(M8="Medium",3,IF(M8="Low",2,1))))*6) + (IF(T8&lt;0, ABS(T8)/7*2, 0)))</f>
        <v/>
      </c>
      <c r="P8">
        <f>IF(O8="", "", IF(AND(E8="Critical", OR(K8="Critical",K8="High"), T8&lt;0), "P0 - Critical &amp; Urgent", IF(AND(E8="Critical", OR(K8="Critical",K8="High")), "P1 - Critical", IF(OR(AND(E8="High",K8="High"),AND(E8="Critical",K8="Medium")), "P2 - High Priority", IF(OR(AND(E8="Medium",K8="High"),AND(E8="High",K8="Medium")), "P3 - Medium Priority", "P4 - Low Priority")))))</f>
        <v/>
      </c>
      <c r="Q8">
        <f>Remediation_Tracking!S8</f>
        <v/>
      </c>
      <c r="R8">
        <f>Remediation_Tracking!U8</f>
        <v/>
      </c>
      <c r="S8">
        <f>Remediation_Tracking!Z8</f>
        <v/>
      </c>
      <c r="T8" s="17">
        <f>IF(S8&lt;&gt;"", S8-TODAY(), "")</f>
        <v/>
      </c>
      <c r="U8">
        <f>Remediation_Tracking!AE8</f>
        <v/>
      </c>
      <c r="V8">
        <f>Remediation_Tracking!W8</f>
        <v/>
      </c>
      <c r="W8">
        <f>IF(AND(OR(R8="&lt;1 hour",R8="1-4 hours",R8="1 day"), OR(K8="Medium",K8="High",K8="Critical")), "Yes - Quick Win", "No")</f>
        <v/>
      </c>
      <c r="X8" s="8" t="n"/>
      <c r="Y8" s="8" t="n"/>
    </row>
    <row r="9">
      <c r="A9">
        <f>IF(B9&lt;&gt;"", ROW()-1, "")</f>
        <v/>
      </c>
      <c r="B9">
        <f>Remediation_Tracking!A9</f>
        <v/>
      </c>
      <c r="C9">
        <f>Remediation_Tracking!D9</f>
        <v/>
      </c>
      <c r="D9">
        <f>Remediation_Tracking!E9</f>
        <v/>
      </c>
      <c r="E9">
        <f>Remediation_Tracking!F9</f>
        <v/>
      </c>
      <c r="F9">
        <f>Remediation_Tracking!C9</f>
        <v/>
      </c>
      <c r="G9">
        <f>Remediation_Tracking!H9</f>
        <v/>
      </c>
      <c r="H9">
        <f>Remediation_Tracking!I9</f>
        <v/>
      </c>
      <c r="I9">
        <f>Remediation_Tracking!G9</f>
        <v/>
      </c>
      <c r="J9">
        <f>Remediation_Tracking!J9</f>
        <v/>
      </c>
      <c r="K9">
        <f>Remediation_Tracking!L9</f>
        <v/>
      </c>
      <c r="L9">
        <f>Remediation_Tracking!K9</f>
        <v/>
      </c>
      <c r="M9" s="8" t="inlineStr">
        <is>
          <t>Medium</t>
        </is>
      </c>
      <c r="N9">
        <f>Remediation_Tracking!M9</f>
        <v/>
      </c>
      <c r="O9" s="26">
        <f>IF(E9="", "", (IF(E9="Critical",5,IF(E9="High",4,IF(E9="Medium",3,2)))*10) + (IF(J9="Critical",5,IF(J9="High",4,IF(J9="Medium",3,2)))*8) + (IF(M9="Very High",5,IF(M9="High",4,IF(M9="Medium",3,IF(M9="Low",2,1))))*6) + (IF(T9&lt;0, ABS(T9)/7*2, 0)))</f>
        <v/>
      </c>
      <c r="P9">
        <f>IF(O9="", "", IF(AND(E9="Critical", OR(K9="Critical",K9="High"), T9&lt;0), "P0 - Critical &amp; Urgent", IF(AND(E9="Critical", OR(K9="Critical",K9="High")), "P1 - Critical", IF(OR(AND(E9="High",K9="High"),AND(E9="Critical",K9="Medium")), "P2 - High Priority", IF(OR(AND(E9="Medium",K9="High"),AND(E9="High",K9="Medium")), "P3 - Medium Priority", "P4 - Low Priority")))))</f>
        <v/>
      </c>
      <c r="Q9">
        <f>Remediation_Tracking!S9</f>
        <v/>
      </c>
      <c r="R9">
        <f>Remediation_Tracking!U9</f>
        <v/>
      </c>
      <c r="S9">
        <f>Remediation_Tracking!Z9</f>
        <v/>
      </c>
      <c r="T9" s="17">
        <f>IF(S9&lt;&gt;"", S9-TODAY(), "")</f>
        <v/>
      </c>
      <c r="U9">
        <f>Remediation_Tracking!AE9</f>
        <v/>
      </c>
      <c r="V9">
        <f>Remediation_Tracking!W9</f>
        <v/>
      </c>
      <c r="W9">
        <f>IF(AND(OR(R9="&lt;1 hour",R9="1-4 hours",R9="1 day"), OR(K9="Medium",K9="High",K9="Critical")), "Yes - Quick Win", "No")</f>
        <v/>
      </c>
      <c r="X9" s="8" t="n"/>
      <c r="Y9" s="8" t="n"/>
    </row>
    <row r="10">
      <c r="A10">
        <f>IF(B10&lt;&gt;"", ROW()-1, "")</f>
        <v/>
      </c>
      <c r="B10">
        <f>Remediation_Tracking!A10</f>
        <v/>
      </c>
      <c r="C10">
        <f>Remediation_Tracking!D10</f>
        <v/>
      </c>
      <c r="D10">
        <f>Remediation_Tracking!E10</f>
        <v/>
      </c>
      <c r="E10">
        <f>Remediation_Tracking!F10</f>
        <v/>
      </c>
      <c r="F10">
        <f>Remediation_Tracking!C10</f>
        <v/>
      </c>
      <c r="G10">
        <f>Remediation_Tracking!H10</f>
        <v/>
      </c>
      <c r="H10">
        <f>Remediation_Tracking!I10</f>
        <v/>
      </c>
      <c r="I10">
        <f>Remediation_Tracking!G10</f>
        <v/>
      </c>
      <c r="J10">
        <f>Remediation_Tracking!J10</f>
        <v/>
      </c>
      <c r="K10">
        <f>Remediation_Tracking!L10</f>
        <v/>
      </c>
      <c r="L10">
        <f>Remediation_Tracking!K10</f>
        <v/>
      </c>
      <c r="M10" s="8" t="inlineStr">
        <is>
          <t>Medium</t>
        </is>
      </c>
      <c r="N10">
        <f>Remediation_Tracking!M10</f>
        <v/>
      </c>
      <c r="O10" s="26">
        <f>IF(E10="", "", (IF(E10="Critical",5,IF(E10="High",4,IF(E10="Medium",3,2)))*10) + (IF(J10="Critical",5,IF(J10="High",4,IF(J10="Medium",3,2)))*8) + (IF(M10="Very High",5,IF(M10="High",4,IF(M10="Medium",3,IF(M10="Low",2,1))))*6) + (IF(T10&lt;0, ABS(T10)/7*2, 0)))</f>
        <v/>
      </c>
      <c r="P10">
        <f>IF(O10="", "", IF(AND(E10="Critical", OR(K10="Critical",K10="High"), T10&lt;0), "P0 - Critical &amp; Urgent", IF(AND(E10="Critical", OR(K10="Critical",K10="High")), "P1 - Critical", IF(OR(AND(E10="High",K10="High"),AND(E10="Critical",K10="Medium")), "P2 - High Priority", IF(OR(AND(E10="Medium",K10="High"),AND(E10="High",K10="Medium")), "P3 - Medium Priority", "P4 - Low Priority")))))</f>
        <v/>
      </c>
      <c r="Q10">
        <f>Remediation_Tracking!S10</f>
        <v/>
      </c>
      <c r="R10">
        <f>Remediation_Tracking!U10</f>
        <v/>
      </c>
      <c r="S10">
        <f>Remediation_Tracking!Z10</f>
        <v/>
      </c>
      <c r="T10" s="17">
        <f>IF(S10&lt;&gt;"", S10-TODAY(), "")</f>
        <v/>
      </c>
      <c r="U10">
        <f>Remediation_Tracking!AE10</f>
        <v/>
      </c>
      <c r="V10">
        <f>Remediation_Tracking!W10</f>
        <v/>
      </c>
      <c r="W10">
        <f>IF(AND(OR(R10="&lt;1 hour",R10="1-4 hours",R10="1 day"), OR(K10="Medium",K10="High",K10="Critical")), "Yes - Quick Win", "No")</f>
        <v/>
      </c>
      <c r="X10" s="8" t="n"/>
      <c r="Y10" s="8" t="n"/>
    </row>
    <row r="11">
      <c r="A11">
        <f>IF(B11&lt;&gt;"", ROW()-1, "")</f>
        <v/>
      </c>
      <c r="B11">
        <f>Remediation_Tracking!A11</f>
        <v/>
      </c>
      <c r="C11">
        <f>Remediation_Tracking!D11</f>
        <v/>
      </c>
      <c r="D11">
        <f>Remediation_Tracking!E11</f>
        <v/>
      </c>
      <c r="E11">
        <f>Remediation_Tracking!F11</f>
        <v/>
      </c>
      <c r="F11">
        <f>Remediation_Tracking!C11</f>
        <v/>
      </c>
      <c r="G11">
        <f>Remediation_Tracking!H11</f>
        <v/>
      </c>
      <c r="H11">
        <f>Remediation_Tracking!I11</f>
        <v/>
      </c>
      <c r="I11">
        <f>Remediation_Tracking!G11</f>
        <v/>
      </c>
      <c r="J11">
        <f>Remediation_Tracking!J11</f>
        <v/>
      </c>
      <c r="K11">
        <f>Remediation_Tracking!L11</f>
        <v/>
      </c>
      <c r="L11">
        <f>Remediation_Tracking!K11</f>
        <v/>
      </c>
      <c r="M11" s="8" t="inlineStr">
        <is>
          <t>Medium</t>
        </is>
      </c>
      <c r="N11">
        <f>Remediation_Tracking!M11</f>
        <v/>
      </c>
      <c r="O11" s="26">
        <f>IF(E11="", "", (IF(E11="Critical",5,IF(E11="High",4,IF(E11="Medium",3,2)))*10) + (IF(J11="Critical",5,IF(J11="High",4,IF(J11="Medium",3,2)))*8) + (IF(M11="Very High",5,IF(M11="High",4,IF(M11="Medium",3,IF(M11="Low",2,1))))*6) + (IF(T11&lt;0, ABS(T11)/7*2, 0)))</f>
        <v/>
      </c>
      <c r="P11">
        <f>IF(O11="", "", IF(AND(E11="Critical", OR(K11="Critical",K11="High"), T11&lt;0), "P0 - Critical &amp; Urgent", IF(AND(E11="Critical", OR(K11="Critical",K11="High")), "P1 - Critical", IF(OR(AND(E11="High",K11="High"),AND(E11="Critical",K11="Medium")), "P2 - High Priority", IF(OR(AND(E11="Medium",K11="High"),AND(E11="High",K11="Medium")), "P3 - Medium Priority", "P4 - Low Priority")))))</f>
        <v/>
      </c>
      <c r="Q11">
        <f>Remediation_Tracking!S11</f>
        <v/>
      </c>
      <c r="R11">
        <f>Remediation_Tracking!U11</f>
        <v/>
      </c>
      <c r="S11">
        <f>Remediation_Tracking!Z11</f>
        <v/>
      </c>
      <c r="T11" s="17">
        <f>IF(S11&lt;&gt;"", S11-TODAY(), "")</f>
        <v/>
      </c>
      <c r="U11">
        <f>Remediation_Tracking!AE11</f>
        <v/>
      </c>
      <c r="V11">
        <f>Remediation_Tracking!W11</f>
        <v/>
      </c>
      <c r="W11">
        <f>IF(AND(OR(R11="&lt;1 hour",R11="1-4 hours",R11="1 day"), OR(K11="Medium",K11="High",K11="Critical")), "Yes - Quick Win", "No")</f>
        <v/>
      </c>
      <c r="X11" s="8" t="n"/>
      <c r="Y11" s="8" t="n"/>
    </row>
    <row r="12">
      <c r="A12">
        <f>IF(B12&lt;&gt;"", ROW()-1, "")</f>
        <v/>
      </c>
      <c r="B12">
        <f>Remediation_Tracking!A12</f>
        <v/>
      </c>
      <c r="C12">
        <f>Remediation_Tracking!D12</f>
        <v/>
      </c>
      <c r="D12">
        <f>Remediation_Tracking!E12</f>
        <v/>
      </c>
      <c r="E12">
        <f>Remediation_Tracking!F12</f>
        <v/>
      </c>
      <c r="F12">
        <f>Remediation_Tracking!C12</f>
        <v/>
      </c>
      <c r="G12">
        <f>Remediation_Tracking!H12</f>
        <v/>
      </c>
      <c r="H12">
        <f>Remediation_Tracking!I12</f>
        <v/>
      </c>
      <c r="I12">
        <f>Remediation_Tracking!G12</f>
        <v/>
      </c>
      <c r="J12">
        <f>Remediation_Tracking!J12</f>
        <v/>
      </c>
      <c r="K12">
        <f>Remediation_Tracking!L12</f>
        <v/>
      </c>
      <c r="L12">
        <f>Remediation_Tracking!K12</f>
        <v/>
      </c>
      <c r="M12" s="8" t="inlineStr">
        <is>
          <t>Medium</t>
        </is>
      </c>
      <c r="N12">
        <f>Remediation_Tracking!M12</f>
        <v/>
      </c>
      <c r="O12" s="26">
        <f>IF(E12="", "", (IF(E12="Critical",5,IF(E12="High",4,IF(E12="Medium",3,2)))*10) + (IF(J12="Critical",5,IF(J12="High",4,IF(J12="Medium",3,2)))*8) + (IF(M12="Very High",5,IF(M12="High",4,IF(M12="Medium",3,IF(M12="Low",2,1))))*6) + (IF(T12&lt;0, ABS(T12)/7*2, 0)))</f>
        <v/>
      </c>
      <c r="P12">
        <f>IF(O12="", "", IF(AND(E12="Critical", OR(K12="Critical",K12="High"), T12&lt;0), "P0 - Critical &amp; Urgent", IF(AND(E12="Critical", OR(K12="Critical",K12="High")), "P1 - Critical", IF(OR(AND(E12="High",K12="High"),AND(E12="Critical",K12="Medium")), "P2 - High Priority", IF(OR(AND(E12="Medium",K12="High"),AND(E12="High",K12="Medium")), "P3 - Medium Priority", "P4 - Low Priority")))))</f>
        <v/>
      </c>
      <c r="Q12">
        <f>Remediation_Tracking!S12</f>
        <v/>
      </c>
      <c r="R12">
        <f>Remediation_Tracking!U12</f>
        <v/>
      </c>
      <c r="S12">
        <f>Remediation_Tracking!Z12</f>
        <v/>
      </c>
      <c r="T12" s="17">
        <f>IF(S12&lt;&gt;"", S12-TODAY(), "")</f>
        <v/>
      </c>
      <c r="U12">
        <f>Remediation_Tracking!AE12</f>
        <v/>
      </c>
      <c r="V12">
        <f>Remediation_Tracking!W12</f>
        <v/>
      </c>
      <c r="W12">
        <f>IF(AND(OR(R12="&lt;1 hour",R12="1-4 hours",R12="1 day"), OR(K12="Medium",K12="High",K12="Critical")), "Yes - Quick Win", "No")</f>
        <v/>
      </c>
      <c r="X12" s="8" t="n"/>
      <c r="Y12" s="8" t="n"/>
    </row>
    <row r="13">
      <c r="A13">
        <f>IF(B13&lt;&gt;"", ROW()-1, "")</f>
        <v/>
      </c>
      <c r="B13">
        <f>Remediation_Tracking!A13</f>
        <v/>
      </c>
      <c r="C13">
        <f>Remediation_Tracking!D13</f>
        <v/>
      </c>
      <c r="D13">
        <f>Remediation_Tracking!E13</f>
        <v/>
      </c>
      <c r="E13">
        <f>Remediation_Tracking!F13</f>
        <v/>
      </c>
      <c r="F13">
        <f>Remediation_Tracking!C13</f>
        <v/>
      </c>
      <c r="G13">
        <f>Remediation_Tracking!H13</f>
        <v/>
      </c>
      <c r="H13">
        <f>Remediation_Tracking!I13</f>
        <v/>
      </c>
      <c r="I13">
        <f>Remediation_Tracking!G13</f>
        <v/>
      </c>
      <c r="J13">
        <f>Remediation_Tracking!J13</f>
        <v/>
      </c>
      <c r="K13">
        <f>Remediation_Tracking!L13</f>
        <v/>
      </c>
      <c r="L13">
        <f>Remediation_Tracking!K13</f>
        <v/>
      </c>
      <c r="M13" s="8" t="inlineStr">
        <is>
          <t>Medium</t>
        </is>
      </c>
      <c r="N13">
        <f>Remediation_Tracking!M13</f>
        <v/>
      </c>
      <c r="O13" s="26">
        <f>IF(E13="", "", (IF(E13="Critical",5,IF(E13="High",4,IF(E13="Medium",3,2)))*10) + (IF(J13="Critical",5,IF(J13="High",4,IF(J13="Medium",3,2)))*8) + (IF(M13="Very High",5,IF(M13="High",4,IF(M13="Medium",3,IF(M13="Low",2,1))))*6) + (IF(T13&lt;0, ABS(T13)/7*2, 0)))</f>
        <v/>
      </c>
      <c r="P13">
        <f>IF(O13="", "", IF(AND(E13="Critical", OR(K13="Critical",K13="High"), T13&lt;0), "P0 - Critical &amp; Urgent", IF(AND(E13="Critical", OR(K13="Critical",K13="High")), "P1 - Critical", IF(OR(AND(E13="High",K13="High"),AND(E13="Critical",K13="Medium")), "P2 - High Priority", IF(OR(AND(E13="Medium",K13="High"),AND(E13="High",K13="Medium")), "P3 - Medium Priority", "P4 - Low Priority")))))</f>
        <v/>
      </c>
      <c r="Q13">
        <f>Remediation_Tracking!S13</f>
        <v/>
      </c>
      <c r="R13">
        <f>Remediation_Tracking!U13</f>
        <v/>
      </c>
      <c r="S13">
        <f>Remediation_Tracking!Z13</f>
        <v/>
      </c>
      <c r="T13" s="17">
        <f>IF(S13&lt;&gt;"", S13-TODAY(), "")</f>
        <v/>
      </c>
      <c r="U13">
        <f>Remediation_Tracking!AE13</f>
        <v/>
      </c>
      <c r="V13">
        <f>Remediation_Tracking!W13</f>
        <v/>
      </c>
      <c r="W13">
        <f>IF(AND(OR(R13="&lt;1 hour",R13="1-4 hours",R13="1 day"), OR(K13="Medium",K13="High",K13="Critical")), "Yes - Quick Win", "No")</f>
        <v/>
      </c>
      <c r="X13" s="8" t="n"/>
      <c r="Y13" s="8" t="n"/>
    </row>
    <row r="14">
      <c r="A14">
        <f>IF(B14&lt;&gt;"", ROW()-1, "")</f>
        <v/>
      </c>
      <c r="B14">
        <f>Remediation_Tracking!A14</f>
        <v/>
      </c>
      <c r="C14">
        <f>Remediation_Tracking!D14</f>
        <v/>
      </c>
      <c r="D14">
        <f>Remediation_Tracking!E14</f>
        <v/>
      </c>
      <c r="E14">
        <f>Remediation_Tracking!F14</f>
        <v/>
      </c>
      <c r="F14">
        <f>Remediation_Tracking!C14</f>
        <v/>
      </c>
      <c r="G14">
        <f>Remediation_Tracking!H14</f>
        <v/>
      </c>
      <c r="H14">
        <f>Remediation_Tracking!I14</f>
        <v/>
      </c>
      <c r="I14">
        <f>Remediation_Tracking!G14</f>
        <v/>
      </c>
      <c r="J14">
        <f>Remediation_Tracking!J14</f>
        <v/>
      </c>
      <c r="K14">
        <f>Remediation_Tracking!L14</f>
        <v/>
      </c>
      <c r="L14">
        <f>Remediation_Tracking!K14</f>
        <v/>
      </c>
      <c r="M14" s="8" t="inlineStr">
        <is>
          <t>Medium</t>
        </is>
      </c>
      <c r="N14">
        <f>Remediation_Tracking!M14</f>
        <v/>
      </c>
      <c r="O14" s="26">
        <f>IF(E14="", "", (IF(E14="Critical",5,IF(E14="High",4,IF(E14="Medium",3,2)))*10) + (IF(J14="Critical",5,IF(J14="High",4,IF(J14="Medium",3,2)))*8) + (IF(M14="Very High",5,IF(M14="High",4,IF(M14="Medium",3,IF(M14="Low",2,1))))*6) + (IF(T14&lt;0, ABS(T14)/7*2, 0)))</f>
        <v/>
      </c>
      <c r="P14">
        <f>IF(O14="", "", IF(AND(E14="Critical", OR(K14="Critical",K14="High"), T14&lt;0), "P0 - Critical &amp; Urgent", IF(AND(E14="Critical", OR(K14="Critical",K14="High")), "P1 - Critical", IF(OR(AND(E14="High",K14="High"),AND(E14="Critical",K14="Medium")), "P2 - High Priority", IF(OR(AND(E14="Medium",K14="High"),AND(E14="High",K14="Medium")), "P3 - Medium Priority", "P4 - Low Priority")))))</f>
        <v/>
      </c>
      <c r="Q14">
        <f>Remediation_Tracking!S14</f>
        <v/>
      </c>
      <c r="R14">
        <f>Remediation_Tracking!U14</f>
        <v/>
      </c>
      <c r="S14">
        <f>Remediation_Tracking!Z14</f>
        <v/>
      </c>
      <c r="T14" s="17">
        <f>IF(S14&lt;&gt;"", S14-TODAY(), "")</f>
        <v/>
      </c>
      <c r="U14">
        <f>Remediation_Tracking!AE14</f>
        <v/>
      </c>
      <c r="V14">
        <f>Remediation_Tracking!W14</f>
        <v/>
      </c>
      <c r="W14">
        <f>IF(AND(OR(R14="&lt;1 hour",R14="1-4 hours",R14="1 day"), OR(K14="Medium",K14="High",K14="Critical")), "Yes - Quick Win", "No")</f>
        <v/>
      </c>
      <c r="X14" s="8" t="n"/>
      <c r="Y14" s="8" t="n"/>
    </row>
    <row r="15">
      <c r="A15">
        <f>IF(B15&lt;&gt;"", ROW()-1, "")</f>
        <v/>
      </c>
      <c r="B15">
        <f>Remediation_Tracking!A15</f>
        <v/>
      </c>
      <c r="C15">
        <f>Remediation_Tracking!D15</f>
        <v/>
      </c>
      <c r="D15">
        <f>Remediation_Tracking!E15</f>
        <v/>
      </c>
      <c r="E15">
        <f>Remediation_Tracking!F15</f>
        <v/>
      </c>
      <c r="F15">
        <f>Remediation_Tracking!C15</f>
        <v/>
      </c>
      <c r="G15">
        <f>Remediation_Tracking!H15</f>
        <v/>
      </c>
      <c r="H15">
        <f>Remediation_Tracking!I15</f>
        <v/>
      </c>
      <c r="I15">
        <f>Remediation_Tracking!G15</f>
        <v/>
      </c>
      <c r="J15">
        <f>Remediation_Tracking!J15</f>
        <v/>
      </c>
      <c r="K15">
        <f>Remediation_Tracking!L15</f>
        <v/>
      </c>
      <c r="L15">
        <f>Remediation_Tracking!K15</f>
        <v/>
      </c>
      <c r="M15" s="8" t="inlineStr">
        <is>
          <t>Medium</t>
        </is>
      </c>
      <c r="N15">
        <f>Remediation_Tracking!M15</f>
        <v/>
      </c>
      <c r="O15" s="26">
        <f>IF(E15="", "", (IF(E15="Critical",5,IF(E15="High",4,IF(E15="Medium",3,2)))*10) + (IF(J15="Critical",5,IF(J15="High",4,IF(J15="Medium",3,2)))*8) + (IF(M15="Very High",5,IF(M15="High",4,IF(M15="Medium",3,IF(M15="Low",2,1))))*6) + (IF(T15&lt;0, ABS(T15)/7*2, 0)))</f>
        <v/>
      </c>
      <c r="P15">
        <f>IF(O15="", "", IF(AND(E15="Critical", OR(K15="Critical",K15="High"), T15&lt;0), "P0 - Critical &amp; Urgent", IF(AND(E15="Critical", OR(K15="Critical",K15="High")), "P1 - Critical", IF(OR(AND(E15="High",K15="High"),AND(E15="Critical",K15="Medium")), "P2 - High Priority", IF(OR(AND(E15="Medium",K15="High"),AND(E15="High",K15="Medium")), "P3 - Medium Priority", "P4 - Low Priority")))))</f>
        <v/>
      </c>
      <c r="Q15">
        <f>Remediation_Tracking!S15</f>
        <v/>
      </c>
      <c r="R15">
        <f>Remediation_Tracking!U15</f>
        <v/>
      </c>
      <c r="S15">
        <f>Remediation_Tracking!Z15</f>
        <v/>
      </c>
      <c r="T15" s="17">
        <f>IF(S15&lt;&gt;"", S15-TODAY(), "")</f>
        <v/>
      </c>
      <c r="U15">
        <f>Remediation_Tracking!AE15</f>
        <v/>
      </c>
      <c r="V15">
        <f>Remediation_Tracking!W15</f>
        <v/>
      </c>
      <c r="W15">
        <f>IF(AND(OR(R15="&lt;1 hour",R15="1-4 hours",R15="1 day"), OR(K15="Medium",K15="High",K15="Critical")), "Yes - Quick Win", "No")</f>
        <v/>
      </c>
      <c r="X15" s="8" t="n"/>
      <c r="Y15" s="8" t="n"/>
    </row>
    <row r="16">
      <c r="A16">
        <f>IF(B16&lt;&gt;"", ROW()-1, "")</f>
        <v/>
      </c>
      <c r="B16">
        <f>Remediation_Tracking!A16</f>
        <v/>
      </c>
      <c r="C16">
        <f>Remediation_Tracking!D16</f>
        <v/>
      </c>
      <c r="D16">
        <f>Remediation_Tracking!E16</f>
        <v/>
      </c>
      <c r="E16">
        <f>Remediation_Tracking!F16</f>
        <v/>
      </c>
      <c r="F16">
        <f>Remediation_Tracking!C16</f>
        <v/>
      </c>
      <c r="G16">
        <f>Remediation_Tracking!H16</f>
        <v/>
      </c>
      <c r="H16">
        <f>Remediation_Tracking!I16</f>
        <v/>
      </c>
      <c r="I16">
        <f>Remediation_Tracking!G16</f>
        <v/>
      </c>
      <c r="J16">
        <f>Remediation_Tracking!J16</f>
        <v/>
      </c>
      <c r="K16">
        <f>Remediation_Tracking!L16</f>
        <v/>
      </c>
      <c r="L16">
        <f>Remediation_Tracking!K16</f>
        <v/>
      </c>
      <c r="M16" s="8" t="inlineStr">
        <is>
          <t>Medium</t>
        </is>
      </c>
      <c r="N16">
        <f>Remediation_Tracking!M16</f>
        <v/>
      </c>
      <c r="O16" s="26">
        <f>IF(E16="", "", (IF(E16="Critical",5,IF(E16="High",4,IF(E16="Medium",3,2)))*10) + (IF(J16="Critical",5,IF(J16="High",4,IF(J16="Medium",3,2)))*8) + (IF(M16="Very High",5,IF(M16="High",4,IF(M16="Medium",3,IF(M16="Low",2,1))))*6) + (IF(T16&lt;0, ABS(T16)/7*2, 0)))</f>
        <v/>
      </c>
      <c r="P16">
        <f>IF(O16="", "", IF(AND(E16="Critical", OR(K16="Critical",K16="High"), T16&lt;0), "P0 - Critical &amp; Urgent", IF(AND(E16="Critical", OR(K16="Critical",K16="High")), "P1 - Critical", IF(OR(AND(E16="High",K16="High"),AND(E16="Critical",K16="Medium")), "P2 - High Priority", IF(OR(AND(E16="Medium",K16="High"),AND(E16="High",K16="Medium")), "P3 - Medium Priority", "P4 - Low Priority")))))</f>
        <v/>
      </c>
      <c r="Q16">
        <f>Remediation_Tracking!S16</f>
        <v/>
      </c>
      <c r="R16">
        <f>Remediation_Tracking!U16</f>
        <v/>
      </c>
      <c r="S16">
        <f>Remediation_Tracking!Z16</f>
        <v/>
      </c>
      <c r="T16" s="17">
        <f>IF(S16&lt;&gt;"", S16-TODAY(), "")</f>
        <v/>
      </c>
      <c r="U16">
        <f>Remediation_Tracking!AE16</f>
        <v/>
      </c>
      <c r="V16">
        <f>Remediation_Tracking!W16</f>
        <v/>
      </c>
      <c r="W16">
        <f>IF(AND(OR(R16="&lt;1 hour",R16="1-4 hours",R16="1 day"), OR(K16="Medium",K16="High",K16="Critical")), "Yes - Quick Win", "No")</f>
        <v/>
      </c>
      <c r="X16" s="8" t="n"/>
      <c r="Y16" s="8" t="n"/>
    </row>
    <row r="17">
      <c r="A17">
        <f>IF(B17&lt;&gt;"", ROW()-1, "")</f>
        <v/>
      </c>
      <c r="B17">
        <f>Remediation_Tracking!A17</f>
        <v/>
      </c>
      <c r="C17">
        <f>Remediation_Tracking!D17</f>
        <v/>
      </c>
      <c r="D17">
        <f>Remediation_Tracking!E17</f>
        <v/>
      </c>
      <c r="E17">
        <f>Remediation_Tracking!F17</f>
        <v/>
      </c>
      <c r="F17">
        <f>Remediation_Tracking!C17</f>
        <v/>
      </c>
      <c r="G17">
        <f>Remediation_Tracking!H17</f>
        <v/>
      </c>
      <c r="H17">
        <f>Remediation_Tracking!I17</f>
        <v/>
      </c>
      <c r="I17">
        <f>Remediation_Tracking!G17</f>
        <v/>
      </c>
      <c r="J17">
        <f>Remediation_Tracking!J17</f>
        <v/>
      </c>
      <c r="K17">
        <f>Remediation_Tracking!L17</f>
        <v/>
      </c>
      <c r="L17">
        <f>Remediation_Tracking!K17</f>
        <v/>
      </c>
      <c r="M17" s="8" t="inlineStr">
        <is>
          <t>Medium</t>
        </is>
      </c>
      <c r="N17">
        <f>Remediation_Tracking!M17</f>
        <v/>
      </c>
      <c r="O17" s="26">
        <f>IF(E17="", "", (IF(E17="Critical",5,IF(E17="High",4,IF(E17="Medium",3,2)))*10) + (IF(J17="Critical",5,IF(J17="High",4,IF(J17="Medium",3,2)))*8) + (IF(M17="Very High",5,IF(M17="High",4,IF(M17="Medium",3,IF(M17="Low",2,1))))*6) + (IF(T17&lt;0, ABS(T17)/7*2, 0)))</f>
        <v/>
      </c>
      <c r="P17">
        <f>IF(O17="", "", IF(AND(E17="Critical", OR(K17="Critical",K17="High"), T17&lt;0), "P0 - Critical &amp; Urgent", IF(AND(E17="Critical", OR(K17="Critical",K17="High")), "P1 - Critical", IF(OR(AND(E17="High",K17="High"),AND(E17="Critical",K17="Medium")), "P2 - High Priority", IF(OR(AND(E17="Medium",K17="High"),AND(E17="High",K17="Medium")), "P3 - Medium Priority", "P4 - Low Priority")))))</f>
        <v/>
      </c>
      <c r="Q17">
        <f>Remediation_Tracking!S17</f>
        <v/>
      </c>
      <c r="R17">
        <f>Remediation_Tracking!U17</f>
        <v/>
      </c>
      <c r="S17">
        <f>Remediation_Tracking!Z17</f>
        <v/>
      </c>
      <c r="T17" s="17">
        <f>IF(S17&lt;&gt;"", S17-TODAY(), "")</f>
        <v/>
      </c>
      <c r="U17">
        <f>Remediation_Tracking!AE17</f>
        <v/>
      </c>
      <c r="V17">
        <f>Remediation_Tracking!W17</f>
        <v/>
      </c>
      <c r="W17">
        <f>IF(AND(OR(R17="&lt;1 hour",R17="1-4 hours",R17="1 day"), OR(K17="Medium",K17="High",K17="Critical")), "Yes - Quick Win", "No")</f>
        <v/>
      </c>
      <c r="X17" s="8" t="n"/>
      <c r="Y17" s="8" t="n"/>
    </row>
    <row r="18">
      <c r="A18">
        <f>IF(B18&lt;&gt;"", ROW()-1, "")</f>
        <v/>
      </c>
      <c r="B18">
        <f>Remediation_Tracking!A18</f>
        <v/>
      </c>
      <c r="C18">
        <f>Remediation_Tracking!D18</f>
        <v/>
      </c>
      <c r="D18">
        <f>Remediation_Tracking!E18</f>
        <v/>
      </c>
      <c r="E18">
        <f>Remediation_Tracking!F18</f>
        <v/>
      </c>
      <c r="F18">
        <f>Remediation_Tracking!C18</f>
        <v/>
      </c>
      <c r="G18">
        <f>Remediation_Tracking!H18</f>
        <v/>
      </c>
      <c r="H18">
        <f>Remediation_Tracking!I18</f>
        <v/>
      </c>
      <c r="I18">
        <f>Remediation_Tracking!G18</f>
        <v/>
      </c>
      <c r="J18">
        <f>Remediation_Tracking!J18</f>
        <v/>
      </c>
      <c r="K18">
        <f>Remediation_Tracking!L18</f>
        <v/>
      </c>
      <c r="L18">
        <f>Remediation_Tracking!K18</f>
        <v/>
      </c>
      <c r="M18" s="8" t="inlineStr">
        <is>
          <t>Medium</t>
        </is>
      </c>
      <c r="N18">
        <f>Remediation_Tracking!M18</f>
        <v/>
      </c>
      <c r="O18" s="26">
        <f>IF(E18="", "", (IF(E18="Critical",5,IF(E18="High",4,IF(E18="Medium",3,2)))*10) + (IF(J18="Critical",5,IF(J18="High",4,IF(J18="Medium",3,2)))*8) + (IF(M18="Very High",5,IF(M18="High",4,IF(M18="Medium",3,IF(M18="Low",2,1))))*6) + (IF(T18&lt;0, ABS(T18)/7*2, 0)))</f>
        <v/>
      </c>
      <c r="P18">
        <f>IF(O18="", "", IF(AND(E18="Critical", OR(K18="Critical",K18="High"), T18&lt;0), "P0 - Critical &amp; Urgent", IF(AND(E18="Critical", OR(K18="Critical",K18="High")), "P1 - Critical", IF(OR(AND(E18="High",K18="High"),AND(E18="Critical",K18="Medium")), "P2 - High Priority", IF(OR(AND(E18="Medium",K18="High"),AND(E18="High",K18="Medium")), "P3 - Medium Priority", "P4 - Low Priority")))))</f>
        <v/>
      </c>
      <c r="Q18">
        <f>Remediation_Tracking!S18</f>
        <v/>
      </c>
      <c r="R18">
        <f>Remediation_Tracking!U18</f>
        <v/>
      </c>
      <c r="S18">
        <f>Remediation_Tracking!Z18</f>
        <v/>
      </c>
      <c r="T18" s="17">
        <f>IF(S18&lt;&gt;"", S18-TODAY(), "")</f>
        <v/>
      </c>
      <c r="U18">
        <f>Remediation_Tracking!AE18</f>
        <v/>
      </c>
      <c r="V18">
        <f>Remediation_Tracking!W18</f>
        <v/>
      </c>
      <c r="W18">
        <f>IF(AND(OR(R18="&lt;1 hour",R18="1-4 hours",R18="1 day"), OR(K18="Medium",K18="High",K18="Critical")), "Yes - Quick Win", "No")</f>
        <v/>
      </c>
      <c r="X18" s="8" t="n"/>
      <c r="Y18" s="8" t="n"/>
    </row>
    <row r="19">
      <c r="A19">
        <f>IF(B19&lt;&gt;"", ROW()-1, "")</f>
        <v/>
      </c>
      <c r="B19">
        <f>Remediation_Tracking!A19</f>
        <v/>
      </c>
      <c r="C19">
        <f>Remediation_Tracking!D19</f>
        <v/>
      </c>
      <c r="D19">
        <f>Remediation_Tracking!E19</f>
        <v/>
      </c>
      <c r="E19">
        <f>Remediation_Tracking!F19</f>
        <v/>
      </c>
      <c r="F19">
        <f>Remediation_Tracking!C19</f>
        <v/>
      </c>
      <c r="G19">
        <f>Remediation_Tracking!H19</f>
        <v/>
      </c>
      <c r="H19">
        <f>Remediation_Tracking!I19</f>
        <v/>
      </c>
      <c r="I19">
        <f>Remediation_Tracking!G19</f>
        <v/>
      </c>
      <c r="J19">
        <f>Remediation_Tracking!J19</f>
        <v/>
      </c>
      <c r="K19">
        <f>Remediation_Tracking!L19</f>
        <v/>
      </c>
      <c r="L19">
        <f>Remediation_Tracking!K19</f>
        <v/>
      </c>
      <c r="M19" s="8" t="inlineStr">
        <is>
          <t>Medium</t>
        </is>
      </c>
      <c r="N19">
        <f>Remediation_Tracking!M19</f>
        <v/>
      </c>
      <c r="O19" s="26">
        <f>IF(E19="", "", (IF(E19="Critical",5,IF(E19="High",4,IF(E19="Medium",3,2)))*10) + (IF(J19="Critical",5,IF(J19="High",4,IF(J19="Medium",3,2)))*8) + (IF(M19="Very High",5,IF(M19="High",4,IF(M19="Medium",3,IF(M19="Low",2,1))))*6) + (IF(T19&lt;0, ABS(T19)/7*2, 0)))</f>
        <v/>
      </c>
      <c r="P19">
        <f>IF(O19="", "", IF(AND(E19="Critical", OR(K19="Critical",K19="High"), T19&lt;0), "P0 - Critical &amp; Urgent", IF(AND(E19="Critical", OR(K19="Critical",K19="High")), "P1 - Critical", IF(OR(AND(E19="High",K19="High"),AND(E19="Critical",K19="Medium")), "P2 - High Priority", IF(OR(AND(E19="Medium",K19="High"),AND(E19="High",K19="Medium")), "P3 - Medium Priority", "P4 - Low Priority")))))</f>
        <v/>
      </c>
      <c r="Q19">
        <f>Remediation_Tracking!S19</f>
        <v/>
      </c>
      <c r="R19">
        <f>Remediation_Tracking!U19</f>
        <v/>
      </c>
      <c r="S19">
        <f>Remediation_Tracking!Z19</f>
        <v/>
      </c>
      <c r="T19" s="17">
        <f>IF(S19&lt;&gt;"", S19-TODAY(), "")</f>
        <v/>
      </c>
      <c r="U19">
        <f>Remediation_Tracking!AE19</f>
        <v/>
      </c>
      <c r="V19">
        <f>Remediation_Tracking!W19</f>
        <v/>
      </c>
      <c r="W19">
        <f>IF(AND(OR(R19="&lt;1 hour",R19="1-4 hours",R19="1 day"), OR(K19="Medium",K19="High",K19="Critical")), "Yes - Quick Win", "No")</f>
        <v/>
      </c>
      <c r="X19" s="8" t="n"/>
      <c r="Y19" s="8" t="n"/>
    </row>
    <row r="20">
      <c r="A20">
        <f>IF(B20&lt;&gt;"", ROW()-1, "")</f>
        <v/>
      </c>
      <c r="B20">
        <f>Remediation_Tracking!A20</f>
        <v/>
      </c>
      <c r="C20">
        <f>Remediation_Tracking!D20</f>
        <v/>
      </c>
      <c r="D20">
        <f>Remediation_Tracking!E20</f>
        <v/>
      </c>
      <c r="E20">
        <f>Remediation_Tracking!F20</f>
        <v/>
      </c>
      <c r="F20">
        <f>Remediation_Tracking!C20</f>
        <v/>
      </c>
      <c r="G20">
        <f>Remediation_Tracking!H20</f>
        <v/>
      </c>
      <c r="H20">
        <f>Remediation_Tracking!I20</f>
        <v/>
      </c>
      <c r="I20">
        <f>Remediation_Tracking!G20</f>
        <v/>
      </c>
      <c r="J20">
        <f>Remediation_Tracking!J20</f>
        <v/>
      </c>
      <c r="K20">
        <f>Remediation_Tracking!L20</f>
        <v/>
      </c>
      <c r="L20">
        <f>Remediation_Tracking!K20</f>
        <v/>
      </c>
      <c r="M20" s="8" t="inlineStr">
        <is>
          <t>Medium</t>
        </is>
      </c>
      <c r="N20">
        <f>Remediation_Tracking!M20</f>
        <v/>
      </c>
      <c r="O20" s="26">
        <f>IF(E20="", "", (IF(E20="Critical",5,IF(E20="High",4,IF(E20="Medium",3,2)))*10) + (IF(J20="Critical",5,IF(J20="High",4,IF(J20="Medium",3,2)))*8) + (IF(M20="Very High",5,IF(M20="High",4,IF(M20="Medium",3,IF(M20="Low",2,1))))*6) + (IF(T20&lt;0, ABS(T20)/7*2, 0)))</f>
        <v/>
      </c>
      <c r="P20">
        <f>IF(O20="", "", IF(AND(E20="Critical", OR(K20="Critical",K20="High"), T20&lt;0), "P0 - Critical &amp; Urgent", IF(AND(E20="Critical", OR(K20="Critical",K20="High")), "P1 - Critical", IF(OR(AND(E20="High",K20="High"),AND(E20="Critical",K20="Medium")), "P2 - High Priority", IF(OR(AND(E20="Medium",K20="High"),AND(E20="High",K20="Medium")), "P3 - Medium Priority", "P4 - Low Priority")))))</f>
        <v/>
      </c>
      <c r="Q20">
        <f>Remediation_Tracking!S20</f>
        <v/>
      </c>
      <c r="R20">
        <f>Remediation_Tracking!U20</f>
        <v/>
      </c>
      <c r="S20">
        <f>Remediation_Tracking!Z20</f>
        <v/>
      </c>
      <c r="T20" s="17">
        <f>IF(S20&lt;&gt;"", S20-TODAY(), "")</f>
        <v/>
      </c>
      <c r="U20">
        <f>Remediation_Tracking!AE20</f>
        <v/>
      </c>
      <c r="V20">
        <f>Remediation_Tracking!W20</f>
        <v/>
      </c>
      <c r="W20">
        <f>IF(AND(OR(R20="&lt;1 hour",R20="1-4 hours",R20="1 day"), OR(K20="Medium",K20="High",K20="Critical")), "Yes - Quick Win", "No")</f>
        <v/>
      </c>
      <c r="X20" s="8" t="n"/>
      <c r="Y20" s="8" t="n"/>
    </row>
    <row r="21">
      <c r="A21">
        <f>IF(B21&lt;&gt;"", ROW()-1, "")</f>
        <v/>
      </c>
      <c r="B21">
        <f>Remediation_Tracking!A21</f>
        <v/>
      </c>
      <c r="C21">
        <f>Remediation_Tracking!D21</f>
        <v/>
      </c>
      <c r="D21">
        <f>Remediation_Tracking!E21</f>
        <v/>
      </c>
      <c r="E21">
        <f>Remediation_Tracking!F21</f>
        <v/>
      </c>
      <c r="F21">
        <f>Remediation_Tracking!C21</f>
        <v/>
      </c>
      <c r="G21">
        <f>Remediation_Tracking!H21</f>
        <v/>
      </c>
      <c r="H21">
        <f>Remediation_Tracking!I21</f>
        <v/>
      </c>
      <c r="I21">
        <f>Remediation_Tracking!G21</f>
        <v/>
      </c>
      <c r="J21">
        <f>Remediation_Tracking!J21</f>
        <v/>
      </c>
      <c r="K21">
        <f>Remediation_Tracking!L21</f>
        <v/>
      </c>
      <c r="L21">
        <f>Remediation_Tracking!K21</f>
        <v/>
      </c>
      <c r="M21" s="8" t="inlineStr">
        <is>
          <t>Medium</t>
        </is>
      </c>
      <c r="N21">
        <f>Remediation_Tracking!M21</f>
        <v/>
      </c>
      <c r="O21" s="26">
        <f>IF(E21="", "", (IF(E21="Critical",5,IF(E21="High",4,IF(E21="Medium",3,2)))*10) + (IF(J21="Critical",5,IF(J21="High",4,IF(J21="Medium",3,2)))*8) + (IF(M21="Very High",5,IF(M21="High",4,IF(M21="Medium",3,IF(M21="Low",2,1))))*6) + (IF(T21&lt;0, ABS(T21)/7*2, 0)))</f>
        <v/>
      </c>
      <c r="P21">
        <f>IF(O21="", "", IF(AND(E21="Critical", OR(K21="Critical",K21="High"), T21&lt;0), "P0 - Critical &amp; Urgent", IF(AND(E21="Critical", OR(K21="Critical",K21="High")), "P1 - Critical", IF(OR(AND(E21="High",K21="High"),AND(E21="Critical",K21="Medium")), "P2 - High Priority", IF(OR(AND(E21="Medium",K21="High"),AND(E21="High",K21="Medium")), "P3 - Medium Priority", "P4 - Low Priority")))))</f>
        <v/>
      </c>
      <c r="Q21">
        <f>Remediation_Tracking!S21</f>
        <v/>
      </c>
      <c r="R21">
        <f>Remediation_Tracking!U21</f>
        <v/>
      </c>
      <c r="S21">
        <f>Remediation_Tracking!Z21</f>
        <v/>
      </c>
      <c r="T21" s="17">
        <f>IF(S21&lt;&gt;"", S21-TODAY(), "")</f>
        <v/>
      </c>
      <c r="U21">
        <f>Remediation_Tracking!AE21</f>
        <v/>
      </c>
      <c r="V21">
        <f>Remediation_Tracking!W21</f>
        <v/>
      </c>
      <c r="W21">
        <f>IF(AND(OR(R21="&lt;1 hour",R21="1-4 hours",R21="1 day"), OR(K21="Medium",K21="High",K21="Critical")), "Yes - Quick Win", "No")</f>
        <v/>
      </c>
      <c r="X21" s="8" t="n"/>
      <c r="Y21" s="8" t="n"/>
    </row>
    <row r="22">
      <c r="A22">
        <f>IF(B22&lt;&gt;"", ROW()-1, "")</f>
        <v/>
      </c>
      <c r="B22">
        <f>Remediation_Tracking!A22</f>
        <v/>
      </c>
      <c r="C22">
        <f>Remediation_Tracking!D22</f>
        <v/>
      </c>
      <c r="D22">
        <f>Remediation_Tracking!E22</f>
        <v/>
      </c>
      <c r="E22">
        <f>Remediation_Tracking!F22</f>
        <v/>
      </c>
      <c r="F22">
        <f>Remediation_Tracking!C22</f>
        <v/>
      </c>
      <c r="G22">
        <f>Remediation_Tracking!H22</f>
        <v/>
      </c>
      <c r="H22">
        <f>Remediation_Tracking!I22</f>
        <v/>
      </c>
      <c r="I22">
        <f>Remediation_Tracking!G22</f>
        <v/>
      </c>
      <c r="J22">
        <f>Remediation_Tracking!J22</f>
        <v/>
      </c>
      <c r="K22">
        <f>Remediation_Tracking!L22</f>
        <v/>
      </c>
      <c r="L22">
        <f>Remediation_Tracking!K22</f>
        <v/>
      </c>
      <c r="M22" s="8" t="inlineStr">
        <is>
          <t>Medium</t>
        </is>
      </c>
      <c r="N22">
        <f>Remediation_Tracking!M22</f>
        <v/>
      </c>
      <c r="O22" s="26">
        <f>IF(E22="", "", (IF(E22="Critical",5,IF(E22="High",4,IF(E22="Medium",3,2)))*10) + (IF(J22="Critical",5,IF(J22="High",4,IF(J22="Medium",3,2)))*8) + (IF(M22="Very High",5,IF(M22="High",4,IF(M22="Medium",3,IF(M22="Low",2,1))))*6) + (IF(T22&lt;0, ABS(T22)/7*2, 0)))</f>
        <v/>
      </c>
      <c r="P22">
        <f>IF(O22="", "", IF(AND(E22="Critical", OR(K22="Critical",K22="High"), T22&lt;0), "P0 - Critical &amp; Urgent", IF(AND(E22="Critical", OR(K22="Critical",K22="High")), "P1 - Critical", IF(OR(AND(E22="High",K22="High"),AND(E22="Critical",K22="Medium")), "P2 - High Priority", IF(OR(AND(E22="Medium",K22="High"),AND(E22="High",K22="Medium")), "P3 - Medium Priority", "P4 - Low Priority")))))</f>
        <v/>
      </c>
      <c r="Q22">
        <f>Remediation_Tracking!S22</f>
        <v/>
      </c>
      <c r="R22">
        <f>Remediation_Tracking!U22</f>
        <v/>
      </c>
      <c r="S22">
        <f>Remediation_Tracking!Z22</f>
        <v/>
      </c>
      <c r="T22" s="17">
        <f>IF(S22&lt;&gt;"", S22-TODAY(), "")</f>
        <v/>
      </c>
      <c r="U22">
        <f>Remediation_Tracking!AE22</f>
        <v/>
      </c>
      <c r="V22">
        <f>Remediation_Tracking!W22</f>
        <v/>
      </c>
      <c r="W22">
        <f>IF(AND(OR(R22="&lt;1 hour",R22="1-4 hours",R22="1 day"), OR(K22="Medium",K22="High",K22="Critical")), "Yes - Quick Win", "No")</f>
        <v/>
      </c>
      <c r="X22" s="8" t="n"/>
      <c r="Y22" s="8" t="n"/>
    </row>
    <row r="23">
      <c r="A23">
        <f>IF(B23&lt;&gt;"", ROW()-1, "")</f>
        <v/>
      </c>
      <c r="B23">
        <f>Remediation_Tracking!A23</f>
        <v/>
      </c>
      <c r="C23">
        <f>Remediation_Tracking!D23</f>
        <v/>
      </c>
      <c r="D23">
        <f>Remediation_Tracking!E23</f>
        <v/>
      </c>
      <c r="E23">
        <f>Remediation_Tracking!F23</f>
        <v/>
      </c>
      <c r="F23">
        <f>Remediation_Tracking!C23</f>
        <v/>
      </c>
      <c r="G23">
        <f>Remediation_Tracking!H23</f>
        <v/>
      </c>
      <c r="H23">
        <f>Remediation_Tracking!I23</f>
        <v/>
      </c>
      <c r="I23">
        <f>Remediation_Tracking!G23</f>
        <v/>
      </c>
      <c r="J23">
        <f>Remediation_Tracking!J23</f>
        <v/>
      </c>
      <c r="K23">
        <f>Remediation_Tracking!L23</f>
        <v/>
      </c>
      <c r="L23">
        <f>Remediation_Tracking!K23</f>
        <v/>
      </c>
      <c r="M23" s="8" t="inlineStr">
        <is>
          <t>Medium</t>
        </is>
      </c>
      <c r="N23">
        <f>Remediation_Tracking!M23</f>
        <v/>
      </c>
      <c r="O23" s="26">
        <f>IF(E23="", "", (IF(E23="Critical",5,IF(E23="High",4,IF(E23="Medium",3,2)))*10) + (IF(J23="Critical",5,IF(J23="High",4,IF(J23="Medium",3,2)))*8) + (IF(M23="Very High",5,IF(M23="High",4,IF(M23="Medium",3,IF(M23="Low",2,1))))*6) + (IF(T23&lt;0, ABS(T23)/7*2, 0)))</f>
        <v/>
      </c>
      <c r="P23">
        <f>IF(O23="", "", IF(AND(E23="Critical", OR(K23="Critical",K23="High"), T23&lt;0), "P0 - Critical &amp; Urgent", IF(AND(E23="Critical", OR(K23="Critical",K23="High")), "P1 - Critical", IF(OR(AND(E23="High",K23="High"),AND(E23="Critical",K23="Medium")), "P2 - High Priority", IF(OR(AND(E23="Medium",K23="High"),AND(E23="High",K23="Medium")), "P3 - Medium Priority", "P4 - Low Priority")))))</f>
        <v/>
      </c>
      <c r="Q23">
        <f>Remediation_Tracking!S23</f>
        <v/>
      </c>
      <c r="R23">
        <f>Remediation_Tracking!U23</f>
        <v/>
      </c>
      <c r="S23">
        <f>Remediation_Tracking!Z23</f>
        <v/>
      </c>
      <c r="T23" s="17">
        <f>IF(S23&lt;&gt;"", S23-TODAY(), "")</f>
        <v/>
      </c>
      <c r="U23">
        <f>Remediation_Tracking!AE23</f>
        <v/>
      </c>
      <c r="V23">
        <f>Remediation_Tracking!W23</f>
        <v/>
      </c>
      <c r="W23">
        <f>IF(AND(OR(R23="&lt;1 hour",R23="1-4 hours",R23="1 day"), OR(K23="Medium",K23="High",K23="Critical")), "Yes - Quick Win", "No")</f>
        <v/>
      </c>
      <c r="X23" s="8" t="n"/>
      <c r="Y23" s="8" t="n"/>
    </row>
    <row r="24">
      <c r="A24">
        <f>IF(B24&lt;&gt;"", ROW()-1, "")</f>
        <v/>
      </c>
      <c r="B24">
        <f>Remediation_Tracking!A24</f>
        <v/>
      </c>
      <c r="C24">
        <f>Remediation_Tracking!D24</f>
        <v/>
      </c>
      <c r="D24">
        <f>Remediation_Tracking!E24</f>
        <v/>
      </c>
      <c r="E24">
        <f>Remediation_Tracking!F24</f>
        <v/>
      </c>
      <c r="F24">
        <f>Remediation_Tracking!C24</f>
        <v/>
      </c>
      <c r="G24">
        <f>Remediation_Tracking!H24</f>
        <v/>
      </c>
      <c r="H24">
        <f>Remediation_Tracking!I24</f>
        <v/>
      </c>
      <c r="I24">
        <f>Remediation_Tracking!G24</f>
        <v/>
      </c>
      <c r="J24">
        <f>Remediation_Tracking!J24</f>
        <v/>
      </c>
      <c r="K24">
        <f>Remediation_Tracking!L24</f>
        <v/>
      </c>
      <c r="L24">
        <f>Remediation_Tracking!K24</f>
        <v/>
      </c>
      <c r="M24" s="8" t="inlineStr">
        <is>
          <t>Medium</t>
        </is>
      </c>
      <c r="N24">
        <f>Remediation_Tracking!M24</f>
        <v/>
      </c>
      <c r="O24" s="26">
        <f>IF(E24="", "", (IF(E24="Critical",5,IF(E24="High",4,IF(E24="Medium",3,2)))*10) + (IF(J24="Critical",5,IF(J24="High",4,IF(J24="Medium",3,2)))*8) + (IF(M24="Very High",5,IF(M24="High",4,IF(M24="Medium",3,IF(M24="Low",2,1))))*6) + (IF(T24&lt;0, ABS(T24)/7*2, 0)))</f>
        <v/>
      </c>
      <c r="P24">
        <f>IF(O24="", "", IF(AND(E24="Critical", OR(K24="Critical",K24="High"), T24&lt;0), "P0 - Critical &amp; Urgent", IF(AND(E24="Critical", OR(K24="Critical",K24="High")), "P1 - Critical", IF(OR(AND(E24="High",K24="High"),AND(E24="Critical",K24="Medium")), "P2 - High Priority", IF(OR(AND(E24="Medium",K24="High"),AND(E24="High",K24="Medium")), "P3 - Medium Priority", "P4 - Low Priority")))))</f>
        <v/>
      </c>
      <c r="Q24">
        <f>Remediation_Tracking!S24</f>
        <v/>
      </c>
      <c r="R24">
        <f>Remediation_Tracking!U24</f>
        <v/>
      </c>
      <c r="S24">
        <f>Remediation_Tracking!Z24</f>
        <v/>
      </c>
      <c r="T24" s="17">
        <f>IF(S24&lt;&gt;"", S24-TODAY(), "")</f>
        <v/>
      </c>
      <c r="U24">
        <f>Remediation_Tracking!AE24</f>
        <v/>
      </c>
      <c r="V24">
        <f>Remediation_Tracking!W24</f>
        <v/>
      </c>
      <c r="W24">
        <f>IF(AND(OR(R24="&lt;1 hour",R24="1-4 hours",R24="1 day"), OR(K24="Medium",K24="High",K24="Critical")), "Yes - Quick Win", "No")</f>
        <v/>
      </c>
      <c r="X24" s="8" t="n"/>
      <c r="Y24" s="8" t="n"/>
    </row>
    <row r="25">
      <c r="A25">
        <f>IF(B25&lt;&gt;"", ROW()-1, "")</f>
        <v/>
      </c>
      <c r="B25">
        <f>Remediation_Tracking!A25</f>
        <v/>
      </c>
      <c r="C25">
        <f>Remediation_Tracking!D25</f>
        <v/>
      </c>
      <c r="D25">
        <f>Remediation_Tracking!E25</f>
        <v/>
      </c>
      <c r="E25">
        <f>Remediation_Tracking!F25</f>
        <v/>
      </c>
      <c r="F25">
        <f>Remediation_Tracking!C25</f>
        <v/>
      </c>
      <c r="G25">
        <f>Remediation_Tracking!H25</f>
        <v/>
      </c>
      <c r="H25">
        <f>Remediation_Tracking!I25</f>
        <v/>
      </c>
      <c r="I25">
        <f>Remediation_Tracking!G25</f>
        <v/>
      </c>
      <c r="J25">
        <f>Remediation_Tracking!J25</f>
        <v/>
      </c>
      <c r="K25">
        <f>Remediation_Tracking!L25</f>
        <v/>
      </c>
      <c r="L25">
        <f>Remediation_Tracking!K25</f>
        <v/>
      </c>
      <c r="M25" s="8" t="inlineStr">
        <is>
          <t>Medium</t>
        </is>
      </c>
      <c r="N25">
        <f>Remediation_Tracking!M25</f>
        <v/>
      </c>
      <c r="O25" s="26">
        <f>IF(E25="", "", (IF(E25="Critical",5,IF(E25="High",4,IF(E25="Medium",3,2)))*10) + (IF(J25="Critical",5,IF(J25="High",4,IF(J25="Medium",3,2)))*8) + (IF(M25="Very High",5,IF(M25="High",4,IF(M25="Medium",3,IF(M25="Low",2,1))))*6) + (IF(T25&lt;0, ABS(T25)/7*2, 0)))</f>
        <v/>
      </c>
      <c r="P25">
        <f>IF(O25="", "", IF(AND(E25="Critical", OR(K25="Critical",K25="High"), T25&lt;0), "P0 - Critical &amp; Urgent", IF(AND(E25="Critical", OR(K25="Critical",K25="High")), "P1 - Critical", IF(OR(AND(E25="High",K25="High"),AND(E25="Critical",K25="Medium")), "P2 - High Priority", IF(OR(AND(E25="Medium",K25="High"),AND(E25="High",K25="Medium")), "P3 - Medium Priority", "P4 - Low Priority")))))</f>
        <v/>
      </c>
      <c r="Q25">
        <f>Remediation_Tracking!S25</f>
        <v/>
      </c>
      <c r="R25">
        <f>Remediation_Tracking!U25</f>
        <v/>
      </c>
      <c r="S25">
        <f>Remediation_Tracking!Z25</f>
        <v/>
      </c>
      <c r="T25" s="17">
        <f>IF(S25&lt;&gt;"", S25-TODAY(), "")</f>
        <v/>
      </c>
      <c r="U25">
        <f>Remediation_Tracking!AE25</f>
        <v/>
      </c>
      <c r="V25">
        <f>Remediation_Tracking!W25</f>
        <v/>
      </c>
      <c r="W25">
        <f>IF(AND(OR(R25="&lt;1 hour",R25="1-4 hours",R25="1 day"), OR(K25="Medium",K25="High",K25="Critical")), "Yes - Quick Win", "No")</f>
        <v/>
      </c>
      <c r="X25" s="8" t="n"/>
      <c r="Y25" s="8" t="n"/>
    </row>
    <row r="26">
      <c r="A26">
        <f>IF(B26&lt;&gt;"", ROW()-1, "")</f>
        <v/>
      </c>
      <c r="B26">
        <f>Remediation_Tracking!A26</f>
        <v/>
      </c>
      <c r="C26">
        <f>Remediation_Tracking!D26</f>
        <v/>
      </c>
      <c r="D26">
        <f>Remediation_Tracking!E26</f>
        <v/>
      </c>
      <c r="E26">
        <f>Remediation_Tracking!F26</f>
        <v/>
      </c>
      <c r="F26">
        <f>Remediation_Tracking!C26</f>
        <v/>
      </c>
      <c r="G26">
        <f>Remediation_Tracking!H26</f>
        <v/>
      </c>
      <c r="H26">
        <f>Remediation_Tracking!I26</f>
        <v/>
      </c>
      <c r="I26">
        <f>Remediation_Tracking!G26</f>
        <v/>
      </c>
      <c r="J26">
        <f>Remediation_Tracking!J26</f>
        <v/>
      </c>
      <c r="K26">
        <f>Remediation_Tracking!L26</f>
        <v/>
      </c>
      <c r="L26">
        <f>Remediation_Tracking!K26</f>
        <v/>
      </c>
      <c r="M26" s="8" t="inlineStr">
        <is>
          <t>Medium</t>
        </is>
      </c>
      <c r="N26">
        <f>Remediation_Tracking!M26</f>
        <v/>
      </c>
      <c r="O26" s="26">
        <f>IF(E26="", "", (IF(E26="Critical",5,IF(E26="High",4,IF(E26="Medium",3,2)))*10) + (IF(J26="Critical",5,IF(J26="High",4,IF(J26="Medium",3,2)))*8) + (IF(M26="Very High",5,IF(M26="High",4,IF(M26="Medium",3,IF(M26="Low",2,1))))*6) + (IF(T26&lt;0, ABS(T26)/7*2, 0)))</f>
        <v/>
      </c>
      <c r="P26">
        <f>IF(O26="", "", IF(AND(E26="Critical", OR(K26="Critical",K26="High"), T26&lt;0), "P0 - Critical &amp; Urgent", IF(AND(E26="Critical", OR(K26="Critical",K26="High")), "P1 - Critical", IF(OR(AND(E26="High",K26="High"),AND(E26="Critical",K26="Medium")), "P2 - High Priority", IF(OR(AND(E26="Medium",K26="High"),AND(E26="High",K26="Medium")), "P3 - Medium Priority", "P4 - Low Priority")))))</f>
        <v/>
      </c>
      <c r="Q26">
        <f>Remediation_Tracking!S26</f>
        <v/>
      </c>
      <c r="R26">
        <f>Remediation_Tracking!U26</f>
        <v/>
      </c>
      <c r="S26">
        <f>Remediation_Tracking!Z26</f>
        <v/>
      </c>
      <c r="T26" s="17">
        <f>IF(S26&lt;&gt;"", S26-TODAY(), "")</f>
        <v/>
      </c>
      <c r="U26">
        <f>Remediation_Tracking!AE26</f>
        <v/>
      </c>
      <c r="V26">
        <f>Remediation_Tracking!W26</f>
        <v/>
      </c>
      <c r="W26">
        <f>IF(AND(OR(R26="&lt;1 hour",R26="1-4 hours",R26="1 day"), OR(K26="Medium",K26="High",K26="Critical")), "Yes - Quick Win", "No")</f>
        <v/>
      </c>
      <c r="X26" s="8" t="n"/>
      <c r="Y26" s="8" t="n"/>
    </row>
    <row r="27">
      <c r="A27">
        <f>IF(B27&lt;&gt;"", ROW()-1, "")</f>
        <v/>
      </c>
      <c r="B27">
        <f>Remediation_Tracking!A27</f>
        <v/>
      </c>
      <c r="C27">
        <f>Remediation_Tracking!D27</f>
        <v/>
      </c>
      <c r="D27">
        <f>Remediation_Tracking!E27</f>
        <v/>
      </c>
      <c r="E27">
        <f>Remediation_Tracking!F27</f>
        <v/>
      </c>
      <c r="F27">
        <f>Remediation_Tracking!C27</f>
        <v/>
      </c>
      <c r="G27">
        <f>Remediation_Tracking!H27</f>
        <v/>
      </c>
      <c r="H27">
        <f>Remediation_Tracking!I27</f>
        <v/>
      </c>
      <c r="I27">
        <f>Remediation_Tracking!G27</f>
        <v/>
      </c>
      <c r="J27">
        <f>Remediation_Tracking!J27</f>
        <v/>
      </c>
      <c r="K27">
        <f>Remediation_Tracking!L27</f>
        <v/>
      </c>
      <c r="L27">
        <f>Remediation_Tracking!K27</f>
        <v/>
      </c>
      <c r="M27" s="8" t="inlineStr">
        <is>
          <t>Medium</t>
        </is>
      </c>
      <c r="N27">
        <f>Remediation_Tracking!M27</f>
        <v/>
      </c>
      <c r="O27" s="26">
        <f>IF(E27="", "", (IF(E27="Critical",5,IF(E27="High",4,IF(E27="Medium",3,2)))*10) + (IF(J27="Critical",5,IF(J27="High",4,IF(J27="Medium",3,2)))*8) + (IF(M27="Very High",5,IF(M27="High",4,IF(M27="Medium",3,IF(M27="Low",2,1))))*6) + (IF(T27&lt;0, ABS(T27)/7*2, 0)))</f>
        <v/>
      </c>
      <c r="P27">
        <f>IF(O27="", "", IF(AND(E27="Critical", OR(K27="Critical",K27="High"), T27&lt;0), "P0 - Critical &amp; Urgent", IF(AND(E27="Critical", OR(K27="Critical",K27="High")), "P1 - Critical", IF(OR(AND(E27="High",K27="High"),AND(E27="Critical",K27="Medium")), "P2 - High Priority", IF(OR(AND(E27="Medium",K27="High"),AND(E27="High",K27="Medium")), "P3 - Medium Priority", "P4 - Low Priority")))))</f>
        <v/>
      </c>
      <c r="Q27">
        <f>Remediation_Tracking!S27</f>
        <v/>
      </c>
      <c r="R27">
        <f>Remediation_Tracking!U27</f>
        <v/>
      </c>
      <c r="S27">
        <f>Remediation_Tracking!Z27</f>
        <v/>
      </c>
      <c r="T27" s="17">
        <f>IF(S27&lt;&gt;"", S27-TODAY(), "")</f>
        <v/>
      </c>
      <c r="U27">
        <f>Remediation_Tracking!AE27</f>
        <v/>
      </c>
      <c r="V27">
        <f>Remediation_Tracking!W27</f>
        <v/>
      </c>
      <c r="W27">
        <f>IF(AND(OR(R27="&lt;1 hour",R27="1-4 hours",R27="1 day"), OR(K27="Medium",K27="High",K27="Critical")), "Yes - Quick Win", "No")</f>
        <v/>
      </c>
      <c r="X27" s="8" t="n"/>
      <c r="Y27" s="8" t="n"/>
    </row>
    <row r="28">
      <c r="A28">
        <f>IF(B28&lt;&gt;"", ROW()-1, "")</f>
        <v/>
      </c>
      <c r="B28">
        <f>Remediation_Tracking!A28</f>
        <v/>
      </c>
      <c r="C28">
        <f>Remediation_Tracking!D28</f>
        <v/>
      </c>
      <c r="D28">
        <f>Remediation_Tracking!E28</f>
        <v/>
      </c>
      <c r="E28">
        <f>Remediation_Tracking!F28</f>
        <v/>
      </c>
      <c r="F28">
        <f>Remediation_Tracking!C28</f>
        <v/>
      </c>
      <c r="G28">
        <f>Remediation_Tracking!H28</f>
        <v/>
      </c>
      <c r="H28">
        <f>Remediation_Tracking!I28</f>
        <v/>
      </c>
      <c r="I28">
        <f>Remediation_Tracking!G28</f>
        <v/>
      </c>
      <c r="J28">
        <f>Remediation_Tracking!J28</f>
        <v/>
      </c>
      <c r="K28">
        <f>Remediation_Tracking!L28</f>
        <v/>
      </c>
      <c r="L28">
        <f>Remediation_Tracking!K28</f>
        <v/>
      </c>
      <c r="M28" s="8" t="inlineStr">
        <is>
          <t>Medium</t>
        </is>
      </c>
      <c r="N28">
        <f>Remediation_Tracking!M28</f>
        <v/>
      </c>
      <c r="O28" s="26">
        <f>IF(E28="", "", (IF(E28="Critical",5,IF(E28="High",4,IF(E28="Medium",3,2)))*10) + (IF(J28="Critical",5,IF(J28="High",4,IF(J28="Medium",3,2)))*8) + (IF(M28="Very High",5,IF(M28="High",4,IF(M28="Medium",3,IF(M28="Low",2,1))))*6) + (IF(T28&lt;0, ABS(T28)/7*2, 0)))</f>
        <v/>
      </c>
      <c r="P28">
        <f>IF(O28="", "", IF(AND(E28="Critical", OR(K28="Critical",K28="High"), T28&lt;0), "P0 - Critical &amp; Urgent", IF(AND(E28="Critical", OR(K28="Critical",K28="High")), "P1 - Critical", IF(OR(AND(E28="High",K28="High"),AND(E28="Critical",K28="Medium")), "P2 - High Priority", IF(OR(AND(E28="Medium",K28="High"),AND(E28="High",K28="Medium")), "P3 - Medium Priority", "P4 - Low Priority")))))</f>
        <v/>
      </c>
      <c r="Q28">
        <f>Remediation_Tracking!S28</f>
        <v/>
      </c>
      <c r="R28">
        <f>Remediation_Tracking!U28</f>
        <v/>
      </c>
      <c r="S28">
        <f>Remediation_Tracking!Z28</f>
        <v/>
      </c>
      <c r="T28" s="17">
        <f>IF(S28&lt;&gt;"", S28-TODAY(), "")</f>
        <v/>
      </c>
      <c r="U28">
        <f>Remediation_Tracking!AE28</f>
        <v/>
      </c>
      <c r="V28">
        <f>Remediation_Tracking!W28</f>
        <v/>
      </c>
      <c r="W28">
        <f>IF(AND(OR(R28="&lt;1 hour",R28="1-4 hours",R28="1 day"), OR(K28="Medium",K28="High",K28="Critical")), "Yes - Quick Win", "No")</f>
        <v/>
      </c>
      <c r="X28" s="8" t="n"/>
      <c r="Y28" s="8" t="n"/>
    </row>
    <row r="29">
      <c r="A29">
        <f>IF(B29&lt;&gt;"", ROW()-1, "")</f>
        <v/>
      </c>
      <c r="B29">
        <f>Remediation_Tracking!A29</f>
        <v/>
      </c>
      <c r="C29">
        <f>Remediation_Tracking!D29</f>
        <v/>
      </c>
      <c r="D29">
        <f>Remediation_Tracking!E29</f>
        <v/>
      </c>
      <c r="E29">
        <f>Remediation_Tracking!F29</f>
        <v/>
      </c>
      <c r="F29">
        <f>Remediation_Tracking!C29</f>
        <v/>
      </c>
      <c r="G29">
        <f>Remediation_Tracking!H29</f>
        <v/>
      </c>
      <c r="H29">
        <f>Remediation_Tracking!I29</f>
        <v/>
      </c>
      <c r="I29">
        <f>Remediation_Tracking!G29</f>
        <v/>
      </c>
      <c r="J29">
        <f>Remediation_Tracking!J29</f>
        <v/>
      </c>
      <c r="K29">
        <f>Remediation_Tracking!L29</f>
        <v/>
      </c>
      <c r="L29">
        <f>Remediation_Tracking!K29</f>
        <v/>
      </c>
      <c r="M29" s="8" t="inlineStr">
        <is>
          <t>Medium</t>
        </is>
      </c>
      <c r="N29">
        <f>Remediation_Tracking!M29</f>
        <v/>
      </c>
      <c r="O29" s="26">
        <f>IF(E29="", "", (IF(E29="Critical",5,IF(E29="High",4,IF(E29="Medium",3,2)))*10) + (IF(J29="Critical",5,IF(J29="High",4,IF(J29="Medium",3,2)))*8) + (IF(M29="Very High",5,IF(M29="High",4,IF(M29="Medium",3,IF(M29="Low",2,1))))*6) + (IF(T29&lt;0, ABS(T29)/7*2, 0)))</f>
        <v/>
      </c>
      <c r="P29">
        <f>IF(O29="", "", IF(AND(E29="Critical", OR(K29="Critical",K29="High"), T29&lt;0), "P0 - Critical &amp; Urgent", IF(AND(E29="Critical", OR(K29="Critical",K29="High")), "P1 - Critical", IF(OR(AND(E29="High",K29="High"),AND(E29="Critical",K29="Medium")), "P2 - High Priority", IF(OR(AND(E29="Medium",K29="High"),AND(E29="High",K29="Medium")), "P3 - Medium Priority", "P4 - Low Priority")))))</f>
        <v/>
      </c>
      <c r="Q29">
        <f>Remediation_Tracking!S29</f>
        <v/>
      </c>
      <c r="R29">
        <f>Remediation_Tracking!U29</f>
        <v/>
      </c>
      <c r="S29">
        <f>Remediation_Tracking!Z29</f>
        <v/>
      </c>
      <c r="T29" s="17">
        <f>IF(S29&lt;&gt;"", S29-TODAY(), "")</f>
        <v/>
      </c>
      <c r="U29">
        <f>Remediation_Tracking!AE29</f>
        <v/>
      </c>
      <c r="V29">
        <f>Remediation_Tracking!W29</f>
        <v/>
      </c>
      <c r="W29">
        <f>IF(AND(OR(R29="&lt;1 hour",R29="1-4 hours",R29="1 day"), OR(K29="Medium",K29="High",K29="Critical")), "Yes - Quick Win", "No")</f>
        <v/>
      </c>
      <c r="X29" s="8" t="n"/>
      <c r="Y29" s="8" t="n"/>
    </row>
    <row r="30">
      <c r="A30">
        <f>IF(B30&lt;&gt;"", ROW()-1, "")</f>
        <v/>
      </c>
      <c r="B30">
        <f>Remediation_Tracking!A30</f>
        <v/>
      </c>
      <c r="C30">
        <f>Remediation_Tracking!D30</f>
        <v/>
      </c>
      <c r="D30">
        <f>Remediation_Tracking!E30</f>
        <v/>
      </c>
      <c r="E30">
        <f>Remediation_Tracking!F30</f>
        <v/>
      </c>
      <c r="F30">
        <f>Remediation_Tracking!C30</f>
        <v/>
      </c>
      <c r="G30">
        <f>Remediation_Tracking!H30</f>
        <v/>
      </c>
      <c r="H30">
        <f>Remediation_Tracking!I30</f>
        <v/>
      </c>
      <c r="I30">
        <f>Remediation_Tracking!G30</f>
        <v/>
      </c>
      <c r="J30">
        <f>Remediation_Tracking!J30</f>
        <v/>
      </c>
      <c r="K30">
        <f>Remediation_Tracking!L30</f>
        <v/>
      </c>
      <c r="L30">
        <f>Remediation_Tracking!K30</f>
        <v/>
      </c>
      <c r="M30" s="8" t="inlineStr">
        <is>
          <t>Medium</t>
        </is>
      </c>
      <c r="N30">
        <f>Remediation_Tracking!M30</f>
        <v/>
      </c>
      <c r="O30" s="26">
        <f>IF(E30="", "", (IF(E30="Critical",5,IF(E30="High",4,IF(E30="Medium",3,2)))*10) + (IF(J30="Critical",5,IF(J30="High",4,IF(J30="Medium",3,2)))*8) + (IF(M30="Very High",5,IF(M30="High",4,IF(M30="Medium",3,IF(M30="Low",2,1))))*6) + (IF(T30&lt;0, ABS(T30)/7*2, 0)))</f>
        <v/>
      </c>
      <c r="P30">
        <f>IF(O30="", "", IF(AND(E30="Critical", OR(K30="Critical",K30="High"), T30&lt;0), "P0 - Critical &amp; Urgent", IF(AND(E30="Critical", OR(K30="Critical",K30="High")), "P1 - Critical", IF(OR(AND(E30="High",K30="High"),AND(E30="Critical",K30="Medium")), "P2 - High Priority", IF(OR(AND(E30="Medium",K30="High"),AND(E30="High",K30="Medium")), "P3 - Medium Priority", "P4 - Low Priority")))))</f>
        <v/>
      </c>
      <c r="Q30">
        <f>Remediation_Tracking!S30</f>
        <v/>
      </c>
      <c r="R30">
        <f>Remediation_Tracking!U30</f>
        <v/>
      </c>
      <c r="S30">
        <f>Remediation_Tracking!Z30</f>
        <v/>
      </c>
      <c r="T30" s="17">
        <f>IF(S30&lt;&gt;"", S30-TODAY(), "")</f>
        <v/>
      </c>
      <c r="U30">
        <f>Remediation_Tracking!AE30</f>
        <v/>
      </c>
      <c r="V30">
        <f>Remediation_Tracking!W30</f>
        <v/>
      </c>
      <c r="W30">
        <f>IF(AND(OR(R30="&lt;1 hour",R30="1-4 hours",R30="1 day"), OR(K30="Medium",K30="High",K30="Critical")), "Yes - Quick Win", "No")</f>
        <v/>
      </c>
      <c r="X30" s="8" t="n"/>
      <c r="Y30" s="8" t="n"/>
    </row>
    <row r="31">
      <c r="A31">
        <f>IF(B31&lt;&gt;"", ROW()-1, "")</f>
        <v/>
      </c>
      <c r="B31">
        <f>Remediation_Tracking!A31</f>
        <v/>
      </c>
      <c r="C31">
        <f>Remediation_Tracking!D31</f>
        <v/>
      </c>
      <c r="D31">
        <f>Remediation_Tracking!E31</f>
        <v/>
      </c>
      <c r="E31">
        <f>Remediation_Tracking!F31</f>
        <v/>
      </c>
      <c r="F31">
        <f>Remediation_Tracking!C31</f>
        <v/>
      </c>
      <c r="G31">
        <f>Remediation_Tracking!H31</f>
        <v/>
      </c>
      <c r="H31">
        <f>Remediation_Tracking!I31</f>
        <v/>
      </c>
      <c r="I31">
        <f>Remediation_Tracking!G31</f>
        <v/>
      </c>
      <c r="J31">
        <f>Remediation_Tracking!J31</f>
        <v/>
      </c>
      <c r="K31">
        <f>Remediation_Tracking!L31</f>
        <v/>
      </c>
      <c r="L31">
        <f>Remediation_Tracking!K31</f>
        <v/>
      </c>
      <c r="M31" s="8" t="inlineStr">
        <is>
          <t>Medium</t>
        </is>
      </c>
      <c r="N31">
        <f>Remediation_Tracking!M31</f>
        <v/>
      </c>
      <c r="O31" s="26">
        <f>IF(E31="", "", (IF(E31="Critical",5,IF(E31="High",4,IF(E31="Medium",3,2)))*10) + (IF(J31="Critical",5,IF(J31="High",4,IF(J31="Medium",3,2)))*8) + (IF(M31="Very High",5,IF(M31="High",4,IF(M31="Medium",3,IF(M31="Low",2,1))))*6) + (IF(T31&lt;0, ABS(T31)/7*2, 0)))</f>
        <v/>
      </c>
      <c r="P31">
        <f>IF(O31="", "", IF(AND(E31="Critical", OR(K31="Critical",K31="High"), T31&lt;0), "P0 - Critical &amp; Urgent", IF(AND(E31="Critical", OR(K31="Critical",K31="High")), "P1 - Critical", IF(OR(AND(E31="High",K31="High"),AND(E31="Critical",K31="Medium")), "P2 - High Priority", IF(OR(AND(E31="Medium",K31="High"),AND(E31="High",K31="Medium")), "P3 - Medium Priority", "P4 - Low Priority")))))</f>
        <v/>
      </c>
      <c r="Q31">
        <f>Remediation_Tracking!S31</f>
        <v/>
      </c>
      <c r="R31">
        <f>Remediation_Tracking!U31</f>
        <v/>
      </c>
      <c r="S31">
        <f>Remediation_Tracking!Z31</f>
        <v/>
      </c>
      <c r="T31" s="17">
        <f>IF(S31&lt;&gt;"", S31-TODAY(), "")</f>
        <v/>
      </c>
      <c r="U31">
        <f>Remediation_Tracking!AE31</f>
        <v/>
      </c>
      <c r="V31">
        <f>Remediation_Tracking!W31</f>
        <v/>
      </c>
      <c r="W31">
        <f>IF(AND(OR(R31="&lt;1 hour",R31="1-4 hours",R31="1 day"), OR(K31="Medium",K31="High",K31="Critical")), "Yes - Quick Win", "No")</f>
        <v/>
      </c>
      <c r="X31" s="8" t="n"/>
      <c r="Y31" s="8" t="n"/>
    </row>
    <row r="32">
      <c r="A32">
        <f>IF(B32&lt;&gt;"", ROW()-1, "")</f>
        <v/>
      </c>
      <c r="B32">
        <f>Remediation_Tracking!A32</f>
        <v/>
      </c>
      <c r="C32">
        <f>Remediation_Tracking!D32</f>
        <v/>
      </c>
      <c r="D32">
        <f>Remediation_Tracking!E32</f>
        <v/>
      </c>
      <c r="E32">
        <f>Remediation_Tracking!F32</f>
        <v/>
      </c>
      <c r="F32">
        <f>Remediation_Tracking!C32</f>
        <v/>
      </c>
      <c r="G32">
        <f>Remediation_Tracking!H32</f>
        <v/>
      </c>
      <c r="H32">
        <f>Remediation_Tracking!I32</f>
        <v/>
      </c>
      <c r="I32">
        <f>Remediation_Tracking!G32</f>
        <v/>
      </c>
      <c r="J32">
        <f>Remediation_Tracking!J32</f>
        <v/>
      </c>
      <c r="K32">
        <f>Remediation_Tracking!L32</f>
        <v/>
      </c>
      <c r="L32">
        <f>Remediation_Tracking!K32</f>
        <v/>
      </c>
      <c r="M32" s="8" t="inlineStr">
        <is>
          <t>Medium</t>
        </is>
      </c>
      <c r="N32">
        <f>Remediation_Tracking!M32</f>
        <v/>
      </c>
      <c r="O32" s="26">
        <f>IF(E32="", "", (IF(E32="Critical",5,IF(E32="High",4,IF(E32="Medium",3,2)))*10) + (IF(J32="Critical",5,IF(J32="High",4,IF(J32="Medium",3,2)))*8) + (IF(M32="Very High",5,IF(M32="High",4,IF(M32="Medium",3,IF(M32="Low",2,1))))*6) + (IF(T32&lt;0, ABS(T32)/7*2, 0)))</f>
        <v/>
      </c>
      <c r="P32">
        <f>IF(O32="", "", IF(AND(E32="Critical", OR(K32="Critical",K32="High"), T32&lt;0), "P0 - Critical &amp; Urgent", IF(AND(E32="Critical", OR(K32="Critical",K32="High")), "P1 - Critical", IF(OR(AND(E32="High",K32="High"),AND(E32="Critical",K32="Medium")), "P2 - High Priority", IF(OR(AND(E32="Medium",K32="High"),AND(E32="High",K32="Medium")), "P3 - Medium Priority", "P4 - Low Priority")))))</f>
        <v/>
      </c>
      <c r="Q32">
        <f>Remediation_Tracking!S32</f>
        <v/>
      </c>
      <c r="R32">
        <f>Remediation_Tracking!U32</f>
        <v/>
      </c>
      <c r="S32">
        <f>Remediation_Tracking!Z32</f>
        <v/>
      </c>
      <c r="T32" s="17">
        <f>IF(S32&lt;&gt;"", S32-TODAY(), "")</f>
        <v/>
      </c>
      <c r="U32">
        <f>Remediation_Tracking!AE32</f>
        <v/>
      </c>
      <c r="V32">
        <f>Remediation_Tracking!W32</f>
        <v/>
      </c>
      <c r="W32">
        <f>IF(AND(OR(R32="&lt;1 hour",R32="1-4 hours",R32="1 day"), OR(K32="Medium",K32="High",K32="Critical")), "Yes - Quick Win", "No")</f>
        <v/>
      </c>
      <c r="X32" s="8" t="n"/>
      <c r="Y32" s="8" t="n"/>
    </row>
    <row r="33">
      <c r="A33">
        <f>IF(B33&lt;&gt;"", ROW()-1, "")</f>
        <v/>
      </c>
      <c r="B33">
        <f>Remediation_Tracking!A33</f>
        <v/>
      </c>
      <c r="C33">
        <f>Remediation_Tracking!D33</f>
        <v/>
      </c>
      <c r="D33">
        <f>Remediation_Tracking!E33</f>
        <v/>
      </c>
      <c r="E33">
        <f>Remediation_Tracking!F33</f>
        <v/>
      </c>
      <c r="F33">
        <f>Remediation_Tracking!C33</f>
        <v/>
      </c>
      <c r="G33">
        <f>Remediation_Tracking!H33</f>
        <v/>
      </c>
      <c r="H33">
        <f>Remediation_Tracking!I33</f>
        <v/>
      </c>
      <c r="I33">
        <f>Remediation_Tracking!G33</f>
        <v/>
      </c>
      <c r="J33">
        <f>Remediation_Tracking!J33</f>
        <v/>
      </c>
      <c r="K33">
        <f>Remediation_Tracking!L33</f>
        <v/>
      </c>
      <c r="L33">
        <f>Remediation_Tracking!K33</f>
        <v/>
      </c>
      <c r="M33" s="8" t="inlineStr">
        <is>
          <t>Medium</t>
        </is>
      </c>
      <c r="N33">
        <f>Remediation_Tracking!M33</f>
        <v/>
      </c>
      <c r="O33" s="26">
        <f>IF(E33="", "", (IF(E33="Critical",5,IF(E33="High",4,IF(E33="Medium",3,2)))*10) + (IF(J33="Critical",5,IF(J33="High",4,IF(J33="Medium",3,2)))*8) + (IF(M33="Very High",5,IF(M33="High",4,IF(M33="Medium",3,IF(M33="Low",2,1))))*6) + (IF(T33&lt;0, ABS(T33)/7*2, 0)))</f>
        <v/>
      </c>
      <c r="P33">
        <f>IF(O33="", "", IF(AND(E33="Critical", OR(K33="Critical",K33="High"), T33&lt;0), "P0 - Critical &amp; Urgent", IF(AND(E33="Critical", OR(K33="Critical",K33="High")), "P1 - Critical", IF(OR(AND(E33="High",K33="High"),AND(E33="Critical",K33="Medium")), "P2 - High Priority", IF(OR(AND(E33="Medium",K33="High"),AND(E33="High",K33="Medium")), "P3 - Medium Priority", "P4 - Low Priority")))))</f>
        <v/>
      </c>
      <c r="Q33">
        <f>Remediation_Tracking!S33</f>
        <v/>
      </c>
      <c r="R33">
        <f>Remediation_Tracking!U33</f>
        <v/>
      </c>
      <c r="S33">
        <f>Remediation_Tracking!Z33</f>
        <v/>
      </c>
      <c r="T33" s="17">
        <f>IF(S33&lt;&gt;"", S33-TODAY(), "")</f>
        <v/>
      </c>
      <c r="U33">
        <f>Remediation_Tracking!AE33</f>
        <v/>
      </c>
      <c r="V33">
        <f>Remediation_Tracking!W33</f>
        <v/>
      </c>
      <c r="W33">
        <f>IF(AND(OR(R33="&lt;1 hour",R33="1-4 hours",R33="1 day"), OR(K33="Medium",K33="High",K33="Critical")), "Yes - Quick Win", "No")</f>
        <v/>
      </c>
      <c r="X33" s="8" t="n"/>
      <c r="Y33" s="8" t="n"/>
    </row>
    <row r="34">
      <c r="A34">
        <f>IF(B34&lt;&gt;"", ROW()-1, "")</f>
        <v/>
      </c>
      <c r="B34">
        <f>Remediation_Tracking!A34</f>
        <v/>
      </c>
      <c r="C34">
        <f>Remediation_Tracking!D34</f>
        <v/>
      </c>
      <c r="D34">
        <f>Remediation_Tracking!E34</f>
        <v/>
      </c>
      <c r="E34">
        <f>Remediation_Tracking!F34</f>
        <v/>
      </c>
      <c r="F34">
        <f>Remediation_Tracking!C34</f>
        <v/>
      </c>
      <c r="G34">
        <f>Remediation_Tracking!H34</f>
        <v/>
      </c>
      <c r="H34">
        <f>Remediation_Tracking!I34</f>
        <v/>
      </c>
      <c r="I34">
        <f>Remediation_Tracking!G34</f>
        <v/>
      </c>
      <c r="J34">
        <f>Remediation_Tracking!J34</f>
        <v/>
      </c>
      <c r="K34">
        <f>Remediation_Tracking!L34</f>
        <v/>
      </c>
      <c r="L34">
        <f>Remediation_Tracking!K34</f>
        <v/>
      </c>
      <c r="M34" s="8" t="inlineStr">
        <is>
          <t>Medium</t>
        </is>
      </c>
      <c r="N34">
        <f>Remediation_Tracking!M34</f>
        <v/>
      </c>
      <c r="O34" s="26">
        <f>IF(E34="", "", (IF(E34="Critical",5,IF(E34="High",4,IF(E34="Medium",3,2)))*10) + (IF(J34="Critical",5,IF(J34="High",4,IF(J34="Medium",3,2)))*8) + (IF(M34="Very High",5,IF(M34="High",4,IF(M34="Medium",3,IF(M34="Low",2,1))))*6) + (IF(T34&lt;0, ABS(T34)/7*2, 0)))</f>
        <v/>
      </c>
      <c r="P34">
        <f>IF(O34="", "", IF(AND(E34="Critical", OR(K34="Critical",K34="High"), T34&lt;0), "P0 - Critical &amp; Urgent", IF(AND(E34="Critical", OR(K34="Critical",K34="High")), "P1 - Critical", IF(OR(AND(E34="High",K34="High"),AND(E34="Critical",K34="Medium")), "P2 - High Priority", IF(OR(AND(E34="Medium",K34="High"),AND(E34="High",K34="Medium")), "P3 - Medium Priority", "P4 - Low Priority")))))</f>
        <v/>
      </c>
      <c r="Q34">
        <f>Remediation_Tracking!S34</f>
        <v/>
      </c>
      <c r="R34">
        <f>Remediation_Tracking!U34</f>
        <v/>
      </c>
      <c r="S34">
        <f>Remediation_Tracking!Z34</f>
        <v/>
      </c>
      <c r="T34" s="17">
        <f>IF(S34&lt;&gt;"", S34-TODAY(), "")</f>
        <v/>
      </c>
      <c r="U34">
        <f>Remediation_Tracking!AE34</f>
        <v/>
      </c>
      <c r="V34">
        <f>Remediation_Tracking!W34</f>
        <v/>
      </c>
      <c r="W34">
        <f>IF(AND(OR(R34="&lt;1 hour",R34="1-4 hours",R34="1 day"), OR(K34="Medium",K34="High",K34="Critical")), "Yes - Quick Win", "No")</f>
        <v/>
      </c>
      <c r="X34" s="8" t="n"/>
      <c r="Y34" s="8" t="n"/>
    </row>
    <row r="35">
      <c r="A35">
        <f>IF(B35&lt;&gt;"", ROW()-1, "")</f>
        <v/>
      </c>
      <c r="B35">
        <f>Remediation_Tracking!A35</f>
        <v/>
      </c>
      <c r="C35">
        <f>Remediation_Tracking!D35</f>
        <v/>
      </c>
      <c r="D35">
        <f>Remediation_Tracking!E35</f>
        <v/>
      </c>
      <c r="E35">
        <f>Remediation_Tracking!F35</f>
        <v/>
      </c>
      <c r="F35">
        <f>Remediation_Tracking!C35</f>
        <v/>
      </c>
      <c r="G35">
        <f>Remediation_Tracking!H35</f>
        <v/>
      </c>
      <c r="H35">
        <f>Remediation_Tracking!I35</f>
        <v/>
      </c>
      <c r="I35">
        <f>Remediation_Tracking!G35</f>
        <v/>
      </c>
      <c r="J35">
        <f>Remediation_Tracking!J35</f>
        <v/>
      </c>
      <c r="K35">
        <f>Remediation_Tracking!L35</f>
        <v/>
      </c>
      <c r="L35">
        <f>Remediation_Tracking!K35</f>
        <v/>
      </c>
      <c r="M35" s="8" t="inlineStr">
        <is>
          <t>Medium</t>
        </is>
      </c>
      <c r="N35">
        <f>Remediation_Tracking!M35</f>
        <v/>
      </c>
      <c r="O35" s="26">
        <f>IF(E35="", "", (IF(E35="Critical",5,IF(E35="High",4,IF(E35="Medium",3,2)))*10) + (IF(J35="Critical",5,IF(J35="High",4,IF(J35="Medium",3,2)))*8) + (IF(M35="Very High",5,IF(M35="High",4,IF(M35="Medium",3,IF(M35="Low",2,1))))*6) + (IF(T35&lt;0, ABS(T35)/7*2, 0)))</f>
        <v/>
      </c>
      <c r="P35">
        <f>IF(O35="", "", IF(AND(E35="Critical", OR(K35="Critical",K35="High"), T35&lt;0), "P0 - Critical &amp; Urgent", IF(AND(E35="Critical", OR(K35="Critical",K35="High")), "P1 - Critical", IF(OR(AND(E35="High",K35="High"),AND(E35="Critical",K35="Medium")), "P2 - High Priority", IF(OR(AND(E35="Medium",K35="High"),AND(E35="High",K35="Medium")), "P3 - Medium Priority", "P4 - Low Priority")))))</f>
        <v/>
      </c>
      <c r="Q35">
        <f>Remediation_Tracking!S35</f>
        <v/>
      </c>
      <c r="R35">
        <f>Remediation_Tracking!U35</f>
        <v/>
      </c>
      <c r="S35">
        <f>Remediation_Tracking!Z35</f>
        <v/>
      </c>
      <c r="T35" s="17">
        <f>IF(S35&lt;&gt;"", S35-TODAY(), "")</f>
        <v/>
      </c>
      <c r="U35">
        <f>Remediation_Tracking!AE35</f>
        <v/>
      </c>
      <c r="V35">
        <f>Remediation_Tracking!W35</f>
        <v/>
      </c>
      <c r="W35">
        <f>IF(AND(OR(R35="&lt;1 hour",R35="1-4 hours",R35="1 day"), OR(K35="Medium",K35="High",K35="Critical")), "Yes - Quick Win", "No")</f>
        <v/>
      </c>
      <c r="X35" s="8" t="n"/>
      <c r="Y35" s="8" t="n"/>
    </row>
    <row r="36">
      <c r="A36">
        <f>IF(B36&lt;&gt;"", ROW()-1, "")</f>
        <v/>
      </c>
      <c r="B36">
        <f>Remediation_Tracking!A36</f>
        <v/>
      </c>
      <c r="C36">
        <f>Remediation_Tracking!D36</f>
        <v/>
      </c>
      <c r="D36">
        <f>Remediation_Tracking!E36</f>
        <v/>
      </c>
      <c r="E36">
        <f>Remediation_Tracking!F36</f>
        <v/>
      </c>
      <c r="F36">
        <f>Remediation_Tracking!C36</f>
        <v/>
      </c>
      <c r="G36">
        <f>Remediation_Tracking!H36</f>
        <v/>
      </c>
      <c r="H36">
        <f>Remediation_Tracking!I36</f>
        <v/>
      </c>
      <c r="I36">
        <f>Remediation_Tracking!G36</f>
        <v/>
      </c>
      <c r="J36">
        <f>Remediation_Tracking!J36</f>
        <v/>
      </c>
      <c r="K36">
        <f>Remediation_Tracking!L36</f>
        <v/>
      </c>
      <c r="L36">
        <f>Remediation_Tracking!K36</f>
        <v/>
      </c>
      <c r="M36" s="8" t="inlineStr">
        <is>
          <t>Medium</t>
        </is>
      </c>
      <c r="N36">
        <f>Remediation_Tracking!M36</f>
        <v/>
      </c>
      <c r="O36" s="26">
        <f>IF(E36="", "", (IF(E36="Critical",5,IF(E36="High",4,IF(E36="Medium",3,2)))*10) + (IF(J36="Critical",5,IF(J36="High",4,IF(J36="Medium",3,2)))*8) + (IF(M36="Very High",5,IF(M36="High",4,IF(M36="Medium",3,IF(M36="Low",2,1))))*6) + (IF(T36&lt;0, ABS(T36)/7*2, 0)))</f>
        <v/>
      </c>
      <c r="P36">
        <f>IF(O36="", "", IF(AND(E36="Critical", OR(K36="Critical",K36="High"), T36&lt;0), "P0 - Critical &amp; Urgent", IF(AND(E36="Critical", OR(K36="Critical",K36="High")), "P1 - Critical", IF(OR(AND(E36="High",K36="High"),AND(E36="Critical",K36="Medium")), "P2 - High Priority", IF(OR(AND(E36="Medium",K36="High"),AND(E36="High",K36="Medium")), "P3 - Medium Priority", "P4 - Low Priority")))))</f>
        <v/>
      </c>
      <c r="Q36">
        <f>Remediation_Tracking!S36</f>
        <v/>
      </c>
      <c r="R36">
        <f>Remediation_Tracking!U36</f>
        <v/>
      </c>
      <c r="S36">
        <f>Remediation_Tracking!Z36</f>
        <v/>
      </c>
      <c r="T36" s="17">
        <f>IF(S36&lt;&gt;"", S36-TODAY(), "")</f>
        <v/>
      </c>
      <c r="U36">
        <f>Remediation_Tracking!AE36</f>
        <v/>
      </c>
      <c r="V36">
        <f>Remediation_Tracking!W36</f>
        <v/>
      </c>
      <c r="W36">
        <f>IF(AND(OR(R36="&lt;1 hour",R36="1-4 hours",R36="1 day"), OR(K36="Medium",K36="High",K36="Critical")), "Yes - Quick Win", "No")</f>
        <v/>
      </c>
      <c r="X36" s="8" t="n"/>
      <c r="Y36" s="8" t="n"/>
    </row>
    <row r="37">
      <c r="A37">
        <f>IF(B37&lt;&gt;"", ROW()-1, "")</f>
        <v/>
      </c>
      <c r="B37">
        <f>Remediation_Tracking!A37</f>
        <v/>
      </c>
      <c r="C37">
        <f>Remediation_Tracking!D37</f>
        <v/>
      </c>
      <c r="D37">
        <f>Remediation_Tracking!E37</f>
        <v/>
      </c>
      <c r="E37">
        <f>Remediation_Tracking!F37</f>
        <v/>
      </c>
      <c r="F37">
        <f>Remediation_Tracking!C37</f>
        <v/>
      </c>
      <c r="G37">
        <f>Remediation_Tracking!H37</f>
        <v/>
      </c>
      <c r="H37">
        <f>Remediation_Tracking!I37</f>
        <v/>
      </c>
      <c r="I37">
        <f>Remediation_Tracking!G37</f>
        <v/>
      </c>
      <c r="J37">
        <f>Remediation_Tracking!J37</f>
        <v/>
      </c>
      <c r="K37">
        <f>Remediation_Tracking!L37</f>
        <v/>
      </c>
      <c r="L37">
        <f>Remediation_Tracking!K37</f>
        <v/>
      </c>
      <c r="M37" s="8" t="inlineStr">
        <is>
          <t>Medium</t>
        </is>
      </c>
      <c r="N37">
        <f>Remediation_Tracking!M37</f>
        <v/>
      </c>
      <c r="O37" s="26">
        <f>IF(E37="", "", (IF(E37="Critical",5,IF(E37="High",4,IF(E37="Medium",3,2)))*10) + (IF(J37="Critical",5,IF(J37="High",4,IF(J37="Medium",3,2)))*8) + (IF(M37="Very High",5,IF(M37="High",4,IF(M37="Medium",3,IF(M37="Low",2,1))))*6) + (IF(T37&lt;0, ABS(T37)/7*2, 0)))</f>
        <v/>
      </c>
      <c r="P37">
        <f>IF(O37="", "", IF(AND(E37="Critical", OR(K37="Critical",K37="High"), T37&lt;0), "P0 - Critical &amp; Urgent", IF(AND(E37="Critical", OR(K37="Critical",K37="High")), "P1 - Critical", IF(OR(AND(E37="High",K37="High"),AND(E37="Critical",K37="Medium")), "P2 - High Priority", IF(OR(AND(E37="Medium",K37="High"),AND(E37="High",K37="Medium")), "P3 - Medium Priority", "P4 - Low Priority")))))</f>
        <v/>
      </c>
      <c r="Q37">
        <f>Remediation_Tracking!S37</f>
        <v/>
      </c>
      <c r="R37">
        <f>Remediation_Tracking!U37</f>
        <v/>
      </c>
      <c r="S37">
        <f>Remediation_Tracking!Z37</f>
        <v/>
      </c>
      <c r="T37" s="17">
        <f>IF(S37&lt;&gt;"", S37-TODAY(), "")</f>
        <v/>
      </c>
      <c r="U37">
        <f>Remediation_Tracking!AE37</f>
        <v/>
      </c>
      <c r="V37">
        <f>Remediation_Tracking!W37</f>
        <v/>
      </c>
      <c r="W37">
        <f>IF(AND(OR(R37="&lt;1 hour",R37="1-4 hours",R37="1 day"), OR(K37="Medium",K37="High",K37="Critical")), "Yes - Quick Win", "No")</f>
        <v/>
      </c>
      <c r="X37" s="8" t="n"/>
      <c r="Y37" s="8" t="n"/>
    </row>
    <row r="38">
      <c r="A38">
        <f>IF(B38&lt;&gt;"", ROW()-1, "")</f>
        <v/>
      </c>
      <c r="B38">
        <f>Remediation_Tracking!A38</f>
        <v/>
      </c>
      <c r="C38">
        <f>Remediation_Tracking!D38</f>
        <v/>
      </c>
      <c r="D38">
        <f>Remediation_Tracking!E38</f>
        <v/>
      </c>
      <c r="E38">
        <f>Remediation_Tracking!F38</f>
        <v/>
      </c>
      <c r="F38">
        <f>Remediation_Tracking!C38</f>
        <v/>
      </c>
      <c r="G38">
        <f>Remediation_Tracking!H38</f>
        <v/>
      </c>
      <c r="H38">
        <f>Remediation_Tracking!I38</f>
        <v/>
      </c>
      <c r="I38">
        <f>Remediation_Tracking!G38</f>
        <v/>
      </c>
      <c r="J38">
        <f>Remediation_Tracking!J38</f>
        <v/>
      </c>
      <c r="K38">
        <f>Remediation_Tracking!L38</f>
        <v/>
      </c>
      <c r="L38">
        <f>Remediation_Tracking!K38</f>
        <v/>
      </c>
      <c r="M38" s="8" t="inlineStr">
        <is>
          <t>Medium</t>
        </is>
      </c>
      <c r="N38">
        <f>Remediation_Tracking!M38</f>
        <v/>
      </c>
      <c r="O38" s="26">
        <f>IF(E38="", "", (IF(E38="Critical",5,IF(E38="High",4,IF(E38="Medium",3,2)))*10) + (IF(J38="Critical",5,IF(J38="High",4,IF(J38="Medium",3,2)))*8) + (IF(M38="Very High",5,IF(M38="High",4,IF(M38="Medium",3,IF(M38="Low",2,1))))*6) + (IF(T38&lt;0, ABS(T38)/7*2, 0)))</f>
        <v/>
      </c>
      <c r="P38">
        <f>IF(O38="", "", IF(AND(E38="Critical", OR(K38="Critical",K38="High"), T38&lt;0), "P0 - Critical &amp; Urgent", IF(AND(E38="Critical", OR(K38="Critical",K38="High")), "P1 - Critical", IF(OR(AND(E38="High",K38="High"),AND(E38="Critical",K38="Medium")), "P2 - High Priority", IF(OR(AND(E38="Medium",K38="High"),AND(E38="High",K38="Medium")), "P3 - Medium Priority", "P4 - Low Priority")))))</f>
        <v/>
      </c>
      <c r="Q38">
        <f>Remediation_Tracking!S38</f>
        <v/>
      </c>
      <c r="R38">
        <f>Remediation_Tracking!U38</f>
        <v/>
      </c>
      <c r="S38">
        <f>Remediation_Tracking!Z38</f>
        <v/>
      </c>
      <c r="T38" s="17">
        <f>IF(S38&lt;&gt;"", S38-TODAY(), "")</f>
        <v/>
      </c>
      <c r="U38">
        <f>Remediation_Tracking!AE38</f>
        <v/>
      </c>
      <c r="V38">
        <f>Remediation_Tracking!W38</f>
        <v/>
      </c>
      <c r="W38">
        <f>IF(AND(OR(R38="&lt;1 hour",R38="1-4 hours",R38="1 day"), OR(K38="Medium",K38="High",K38="Critical")), "Yes - Quick Win", "No")</f>
        <v/>
      </c>
      <c r="X38" s="8" t="n"/>
      <c r="Y38" s="8" t="n"/>
    </row>
    <row r="39">
      <c r="A39">
        <f>IF(B39&lt;&gt;"", ROW()-1, "")</f>
        <v/>
      </c>
      <c r="B39">
        <f>Remediation_Tracking!A39</f>
        <v/>
      </c>
      <c r="C39">
        <f>Remediation_Tracking!D39</f>
        <v/>
      </c>
      <c r="D39">
        <f>Remediation_Tracking!E39</f>
        <v/>
      </c>
      <c r="E39">
        <f>Remediation_Tracking!F39</f>
        <v/>
      </c>
      <c r="F39">
        <f>Remediation_Tracking!C39</f>
        <v/>
      </c>
      <c r="G39">
        <f>Remediation_Tracking!H39</f>
        <v/>
      </c>
      <c r="H39">
        <f>Remediation_Tracking!I39</f>
        <v/>
      </c>
      <c r="I39">
        <f>Remediation_Tracking!G39</f>
        <v/>
      </c>
      <c r="J39">
        <f>Remediation_Tracking!J39</f>
        <v/>
      </c>
      <c r="K39">
        <f>Remediation_Tracking!L39</f>
        <v/>
      </c>
      <c r="L39">
        <f>Remediation_Tracking!K39</f>
        <v/>
      </c>
      <c r="M39" s="8" t="inlineStr">
        <is>
          <t>Medium</t>
        </is>
      </c>
      <c r="N39">
        <f>Remediation_Tracking!M39</f>
        <v/>
      </c>
      <c r="O39" s="26">
        <f>IF(E39="", "", (IF(E39="Critical",5,IF(E39="High",4,IF(E39="Medium",3,2)))*10) + (IF(J39="Critical",5,IF(J39="High",4,IF(J39="Medium",3,2)))*8) + (IF(M39="Very High",5,IF(M39="High",4,IF(M39="Medium",3,IF(M39="Low",2,1))))*6) + (IF(T39&lt;0, ABS(T39)/7*2, 0)))</f>
        <v/>
      </c>
      <c r="P39">
        <f>IF(O39="", "", IF(AND(E39="Critical", OR(K39="Critical",K39="High"), T39&lt;0), "P0 - Critical &amp; Urgent", IF(AND(E39="Critical", OR(K39="Critical",K39="High")), "P1 - Critical", IF(OR(AND(E39="High",K39="High"),AND(E39="Critical",K39="Medium")), "P2 - High Priority", IF(OR(AND(E39="Medium",K39="High"),AND(E39="High",K39="Medium")), "P3 - Medium Priority", "P4 - Low Priority")))))</f>
        <v/>
      </c>
      <c r="Q39">
        <f>Remediation_Tracking!S39</f>
        <v/>
      </c>
      <c r="R39">
        <f>Remediation_Tracking!U39</f>
        <v/>
      </c>
      <c r="S39">
        <f>Remediation_Tracking!Z39</f>
        <v/>
      </c>
      <c r="T39" s="17">
        <f>IF(S39&lt;&gt;"", S39-TODAY(), "")</f>
        <v/>
      </c>
      <c r="U39">
        <f>Remediation_Tracking!AE39</f>
        <v/>
      </c>
      <c r="V39">
        <f>Remediation_Tracking!W39</f>
        <v/>
      </c>
      <c r="W39">
        <f>IF(AND(OR(R39="&lt;1 hour",R39="1-4 hours",R39="1 day"), OR(K39="Medium",K39="High",K39="Critical")), "Yes - Quick Win", "No")</f>
        <v/>
      </c>
      <c r="X39" s="8" t="n"/>
      <c r="Y39" s="8" t="n"/>
    </row>
    <row r="40">
      <c r="A40">
        <f>IF(B40&lt;&gt;"", ROW()-1, "")</f>
        <v/>
      </c>
      <c r="B40">
        <f>Remediation_Tracking!A40</f>
        <v/>
      </c>
      <c r="C40">
        <f>Remediation_Tracking!D40</f>
        <v/>
      </c>
      <c r="D40">
        <f>Remediation_Tracking!E40</f>
        <v/>
      </c>
      <c r="E40">
        <f>Remediation_Tracking!F40</f>
        <v/>
      </c>
      <c r="F40">
        <f>Remediation_Tracking!C40</f>
        <v/>
      </c>
      <c r="G40">
        <f>Remediation_Tracking!H40</f>
        <v/>
      </c>
      <c r="H40">
        <f>Remediation_Tracking!I40</f>
        <v/>
      </c>
      <c r="I40">
        <f>Remediation_Tracking!G40</f>
        <v/>
      </c>
      <c r="J40">
        <f>Remediation_Tracking!J40</f>
        <v/>
      </c>
      <c r="K40">
        <f>Remediation_Tracking!L40</f>
        <v/>
      </c>
      <c r="L40">
        <f>Remediation_Tracking!K40</f>
        <v/>
      </c>
      <c r="M40" s="8" t="inlineStr">
        <is>
          <t>Medium</t>
        </is>
      </c>
      <c r="N40">
        <f>Remediation_Tracking!M40</f>
        <v/>
      </c>
      <c r="O40" s="26">
        <f>IF(E40="", "", (IF(E40="Critical",5,IF(E40="High",4,IF(E40="Medium",3,2)))*10) + (IF(J40="Critical",5,IF(J40="High",4,IF(J40="Medium",3,2)))*8) + (IF(M40="Very High",5,IF(M40="High",4,IF(M40="Medium",3,IF(M40="Low",2,1))))*6) + (IF(T40&lt;0, ABS(T40)/7*2, 0)))</f>
        <v/>
      </c>
      <c r="P40">
        <f>IF(O40="", "", IF(AND(E40="Critical", OR(K40="Critical",K40="High"), T40&lt;0), "P0 - Critical &amp; Urgent", IF(AND(E40="Critical", OR(K40="Critical",K40="High")), "P1 - Critical", IF(OR(AND(E40="High",K40="High"),AND(E40="Critical",K40="Medium")), "P2 - High Priority", IF(OR(AND(E40="Medium",K40="High"),AND(E40="High",K40="Medium")), "P3 - Medium Priority", "P4 - Low Priority")))))</f>
        <v/>
      </c>
      <c r="Q40">
        <f>Remediation_Tracking!S40</f>
        <v/>
      </c>
      <c r="R40">
        <f>Remediation_Tracking!U40</f>
        <v/>
      </c>
      <c r="S40">
        <f>Remediation_Tracking!Z40</f>
        <v/>
      </c>
      <c r="T40" s="17">
        <f>IF(S40&lt;&gt;"", S40-TODAY(), "")</f>
        <v/>
      </c>
      <c r="U40">
        <f>Remediation_Tracking!AE40</f>
        <v/>
      </c>
      <c r="V40">
        <f>Remediation_Tracking!W40</f>
        <v/>
      </c>
      <c r="W40">
        <f>IF(AND(OR(R40="&lt;1 hour",R40="1-4 hours",R40="1 day"), OR(K40="Medium",K40="High",K40="Critical")), "Yes - Quick Win", "No")</f>
        <v/>
      </c>
      <c r="X40" s="8" t="n"/>
      <c r="Y40" s="8" t="n"/>
    </row>
    <row r="41">
      <c r="A41">
        <f>IF(B41&lt;&gt;"", ROW()-1, "")</f>
        <v/>
      </c>
      <c r="B41">
        <f>Remediation_Tracking!A41</f>
        <v/>
      </c>
      <c r="C41">
        <f>Remediation_Tracking!D41</f>
        <v/>
      </c>
      <c r="D41">
        <f>Remediation_Tracking!E41</f>
        <v/>
      </c>
      <c r="E41">
        <f>Remediation_Tracking!F41</f>
        <v/>
      </c>
      <c r="F41">
        <f>Remediation_Tracking!C41</f>
        <v/>
      </c>
      <c r="G41">
        <f>Remediation_Tracking!H41</f>
        <v/>
      </c>
      <c r="H41">
        <f>Remediation_Tracking!I41</f>
        <v/>
      </c>
      <c r="I41">
        <f>Remediation_Tracking!G41</f>
        <v/>
      </c>
      <c r="J41">
        <f>Remediation_Tracking!J41</f>
        <v/>
      </c>
      <c r="K41">
        <f>Remediation_Tracking!L41</f>
        <v/>
      </c>
      <c r="L41">
        <f>Remediation_Tracking!K41</f>
        <v/>
      </c>
      <c r="M41" s="8" t="inlineStr">
        <is>
          <t>Medium</t>
        </is>
      </c>
      <c r="N41">
        <f>Remediation_Tracking!M41</f>
        <v/>
      </c>
      <c r="O41" s="26">
        <f>IF(E41="", "", (IF(E41="Critical",5,IF(E41="High",4,IF(E41="Medium",3,2)))*10) + (IF(J41="Critical",5,IF(J41="High",4,IF(J41="Medium",3,2)))*8) + (IF(M41="Very High",5,IF(M41="High",4,IF(M41="Medium",3,IF(M41="Low",2,1))))*6) + (IF(T41&lt;0, ABS(T41)/7*2, 0)))</f>
        <v/>
      </c>
      <c r="P41">
        <f>IF(O41="", "", IF(AND(E41="Critical", OR(K41="Critical",K41="High"), T41&lt;0), "P0 - Critical &amp; Urgent", IF(AND(E41="Critical", OR(K41="Critical",K41="High")), "P1 - Critical", IF(OR(AND(E41="High",K41="High"),AND(E41="Critical",K41="Medium")), "P2 - High Priority", IF(OR(AND(E41="Medium",K41="High"),AND(E41="High",K41="Medium")), "P3 - Medium Priority", "P4 - Low Priority")))))</f>
        <v/>
      </c>
      <c r="Q41">
        <f>Remediation_Tracking!S41</f>
        <v/>
      </c>
      <c r="R41">
        <f>Remediation_Tracking!U41</f>
        <v/>
      </c>
      <c r="S41">
        <f>Remediation_Tracking!Z41</f>
        <v/>
      </c>
      <c r="T41" s="17">
        <f>IF(S41&lt;&gt;"", S41-TODAY(), "")</f>
        <v/>
      </c>
      <c r="U41">
        <f>Remediation_Tracking!AE41</f>
        <v/>
      </c>
      <c r="V41">
        <f>Remediation_Tracking!W41</f>
        <v/>
      </c>
      <c r="W41">
        <f>IF(AND(OR(R41="&lt;1 hour",R41="1-4 hours",R41="1 day"), OR(K41="Medium",K41="High",K41="Critical")), "Yes - Quick Win", "No")</f>
        <v/>
      </c>
      <c r="X41" s="8" t="n"/>
      <c r="Y41" s="8" t="n"/>
    </row>
    <row r="42">
      <c r="A42">
        <f>IF(B42&lt;&gt;"", ROW()-1, "")</f>
        <v/>
      </c>
      <c r="B42">
        <f>Remediation_Tracking!A42</f>
        <v/>
      </c>
      <c r="C42">
        <f>Remediation_Tracking!D42</f>
        <v/>
      </c>
      <c r="D42">
        <f>Remediation_Tracking!E42</f>
        <v/>
      </c>
      <c r="E42">
        <f>Remediation_Tracking!F42</f>
        <v/>
      </c>
      <c r="F42">
        <f>Remediation_Tracking!C42</f>
        <v/>
      </c>
      <c r="G42">
        <f>Remediation_Tracking!H42</f>
        <v/>
      </c>
      <c r="H42">
        <f>Remediation_Tracking!I42</f>
        <v/>
      </c>
      <c r="I42">
        <f>Remediation_Tracking!G42</f>
        <v/>
      </c>
      <c r="J42">
        <f>Remediation_Tracking!J42</f>
        <v/>
      </c>
      <c r="K42">
        <f>Remediation_Tracking!L42</f>
        <v/>
      </c>
      <c r="L42">
        <f>Remediation_Tracking!K42</f>
        <v/>
      </c>
      <c r="M42" s="8" t="inlineStr">
        <is>
          <t>Medium</t>
        </is>
      </c>
      <c r="N42">
        <f>Remediation_Tracking!M42</f>
        <v/>
      </c>
      <c r="O42" s="26">
        <f>IF(E42="", "", (IF(E42="Critical",5,IF(E42="High",4,IF(E42="Medium",3,2)))*10) + (IF(J42="Critical",5,IF(J42="High",4,IF(J42="Medium",3,2)))*8) + (IF(M42="Very High",5,IF(M42="High",4,IF(M42="Medium",3,IF(M42="Low",2,1))))*6) + (IF(T42&lt;0, ABS(T42)/7*2, 0)))</f>
        <v/>
      </c>
      <c r="P42">
        <f>IF(O42="", "", IF(AND(E42="Critical", OR(K42="Critical",K42="High"), T42&lt;0), "P0 - Critical &amp; Urgent", IF(AND(E42="Critical", OR(K42="Critical",K42="High")), "P1 - Critical", IF(OR(AND(E42="High",K42="High"),AND(E42="Critical",K42="Medium")), "P2 - High Priority", IF(OR(AND(E42="Medium",K42="High"),AND(E42="High",K42="Medium")), "P3 - Medium Priority", "P4 - Low Priority")))))</f>
        <v/>
      </c>
      <c r="Q42">
        <f>Remediation_Tracking!S42</f>
        <v/>
      </c>
      <c r="R42">
        <f>Remediation_Tracking!U42</f>
        <v/>
      </c>
      <c r="S42">
        <f>Remediation_Tracking!Z42</f>
        <v/>
      </c>
      <c r="T42" s="17">
        <f>IF(S42&lt;&gt;"", S42-TODAY(), "")</f>
        <v/>
      </c>
      <c r="U42">
        <f>Remediation_Tracking!AE42</f>
        <v/>
      </c>
      <c r="V42">
        <f>Remediation_Tracking!W42</f>
        <v/>
      </c>
      <c r="W42">
        <f>IF(AND(OR(R42="&lt;1 hour",R42="1-4 hours",R42="1 day"), OR(K42="Medium",K42="High",K42="Critical")), "Yes - Quick Win", "No")</f>
        <v/>
      </c>
      <c r="X42" s="8" t="n"/>
      <c r="Y42" s="8" t="n"/>
    </row>
    <row r="43">
      <c r="A43">
        <f>IF(B43&lt;&gt;"", ROW()-1, "")</f>
        <v/>
      </c>
      <c r="B43">
        <f>Remediation_Tracking!A43</f>
        <v/>
      </c>
      <c r="C43">
        <f>Remediation_Tracking!D43</f>
        <v/>
      </c>
      <c r="D43">
        <f>Remediation_Tracking!E43</f>
        <v/>
      </c>
      <c r="E43">
        <f>Remediation_Tracking!F43</f>
        <v/>
      </c>
      <c r="F43">
        <f>Remediation_Tracking!C43</f>
        <v/>
      </c>
      <c r="G43">
        <f>Remediation_Tracking!H43</f>
        <v/>
      </c>
      <c r="H43">
        <f>Remediation_Tracking!I43</f>
        <v/>
      </c>
      <c r="I43">
        <f>Remediation_Tracking!G43</f>
        <v/>
      </c>
      <c r="J43">
        <f>Remediation_Tracking!J43</f>
        <v/>
      </c>
      <c r="K43">
        <f>Remediation_Tracking!L43</f>
        <v/>
      </c>
      <c r="L43">
        <f>Remediation_Tracking!K43</f>
        <v/>
      </c>
      <c r="M43" s="8" t="inlineStr">
        <is>
          <t>Medium</t>
        </is>
      </c>
      <c r="N43">
        <f>Remediation_Tracking!M43</f>
        <v/>
      </c>
      <c r="O43" s="26">
        <f>IF(E43="", "", (IF(E43="Critical",5,IF(E43="High",4,IF(E43="Medium",3,2)))*10) + (IF(J43="Critical",5,IF(J43="High",4,IF(J43="Medium",3,2)))*8) + (IF(M43="Very High",5,IF(M43="High",4,IF(M43="Medium",3,IF(M43="Low",2,1))))*6) + (IF(T43&lt;0, ABS(T43)/7*2, 0)))</f>
        <v/>
      </c>
      <c r="P43">
        <f>IF(O43="", "", IF(AND(E43="Critical", OR(K43="Critical",K43="High"), T43&lt;0), "P0 - Critical &amp; Urgent", IF(AND(E43="Critical", OR(K43="Critical",K43="High")), "P1 - Critical", IF(OR(AND(E43="High",K43="High"),AND(E43="Critical",K43="Medium")), "P2 - High Priority", IF(OR(AND(E43="Medium",K43="High"),AND(E43="High",K43="Medium")), "P3 - Medium Priority", "P4 - Low Priority")))))</f>
        <v/>
      </c>
      <c r="Q43">
        <f>Remediation_Tracking!S43</f>
        <v/>
      </c>
      <c r="R43">
        <f>Remediation_Tracking!U43</f>
        <v/>
      </c>
      <c r="S43">
        <f>Remediation_Tracking!Z43</f>
        <v/>
      </c>
      <c r="T43" s="17">
        <f>IF(S43&lt;&gt;"", S43-TODAY(), "")</f>
        <v/>
      </c>
      <c r="U43">
        <f>Remediation_Tracking!AE43</f>
        <v/>
      </c>
      <c r="V43">
        <f>Remediation_Tracking!W43</f>
        <v/>
      </c>
      <c r="W43">
        <f>IF(AND(OR(R43="&lt;1 hour",R43="1-4 hours",R43="1 day"), OR(K43="Medium",K43="High",K43="Critical")), "Yes - Quick Win", "No")</f>
        <v/>
      </c>
      <c r="X43" s="8" t="n"/>
      <c r="Y43" s="8" t="n"/>
    </row>
    <row r="44">
      <c r="A44">
        <f>IF(B44&lt;&gt;"", ROW()-1, "")</f>
        <v/>
      </c>
      <c r="B44">
        <f>Remediation_Tracking!A44</f>
        <v/>
      </c>
      <c r="C44">
        <f>Remediation_Tracking!D44</f>
        <v/>
      </c>
      <c r="D44">
        <f>Remediation_Tracking!E44</f>
        <v/>
      </c>
      <c r="E44">
        <f>Remediation_Tracking!F44</f>
        <v/>
      </c>
      <c r="F44">
        <f>Remediation_Tracking!C44</f>
        <v/>
      </c>
      <c r="G44">
        <f>Remediation_Tracking!H44</f>
        <v/>
      </c>
      <c r="H44">
        <f>Remediation_Tracking!I44</f>
        <v/>
      </c>
      <c r="I44">
        <f>Remediation_Tracking!G44</f>
        <v/>
      </c>
      <c r="J44">
        <f>Remediation_Tracking!J44</f>
        <v/>
      </c>
      <c r="K44">
        <f>Remediation_Tracking!L44</f>
        <v/>
      </c>
      <c r="L44">
        <f>Remediation_Tracking!K44</f>
        <v/>
      </c>
      <c r="M44" s="8" t="inlineStr">
        <is>
          <t>Medium</t>
        </is>
      </c>
      <c r="N44">
        <f>Remediation_Tracking!M44</f>
        <v/>
      </c>
      <c r="O44" s="26">
        <f>IF(E44="", "", (IF(E44="Critical",5,IF(E44="High",4,IF(E44="Medium",3,2)))*10) + (IF(J44="Critical",5,IF(J44="High",4,IF(J44="Medium",3,2)))*8) + (IF(M44="Very High",5,IF(M44="High",4,IF(M44="Medium",3,IF(M44="Low",2,1))))*6) + (IF(T44&lt;0, ABS(T44)/7*2, 0)))</f>
        <v/>
      </c>
      <c r="P44">
        <f>IF(O44="", "", IF(AND(E44="Critical", OR(K44="Critical",K44="High"), T44&lt;0), "P0 - Critical &amp; Urgent", IF(AND(E44="Critical", OR(K44="Critical",K44="High")), "P1 - Critical", IF(OR(AND(E44="High",K44="High"),AND(E44="Critical",K44="Medium")), "P2 - High Priority", IF(OR(AND(E44="Medium",K44="High"),AND(E44="High",K44="Medium")), "P3 - Medium Priority", "P4 - Low Priority")))))</f>
        <v/>
      </c>
      <c r="Q44">
        <f>Remediation_Tracking!S44</f>
        <v/>
      </c>
      <c r="R44">
        <f>Remediation_Tracking!U44</f>
        <v/>
      </c>
      <c r="S44">
        <f>Remediation_Tracking!Z44</f>
        <v/>
      </c>
      <c r="T44" s="17">
        <f>IF(S44&lt;&gt;"", S44-TODAY(), "")</f>
        <v/>
      </c>
      <c r="U44">
        <f>Remediation_Tracking!AE44</f>
        <v/>
      </c>
      <c r="V44">
        <f>Remediation_Tracking!W44</f>
        <v/>
      </c>
      <c r="W44">
        <f>IF(AND(OR(R44="&lt;1 hour",R44="1-4 hours",R44="1 day"), OR(K44="Medium",K44="High",K44="Critical")), "Yes - Quick Win", "No")</f>
        <v/>
      </c>
      <c r="X44" s="8" t="n"/>
      <c r="Y44" s="8" t="n"/>
    </row>
    <row r="45">
      <c r="A45">
        <f>IF(B45&lt;&gt;"", ROW()-1, "")</f>
        <v/>
      </c>
      <c r="B45">
        <f>Remediation_Tracking!A45</f>
        <v/>
      </c>
      <c r="C45">
        <f>Remediation_Tracking!D45</f>
        <v/>
      </c>
      <c r="D45">
        <f>Remediation_Tracking!E45</f>
        <v/>
      </c>
      <c r="E45">
        <f>Remediation_Tracking!F45</f>
        <v/>
      </c>
      <c r="F45">
        <f>Remediation_Tracking!C45</f>
        <v/>
      </c>
      <c r="G45">
        <f>Remediation_Tracking!H45</f>
        <v/>
      </c>
      <c r="H45">
        <f>Remediation_Tracking!I45</f>
        <v/>
      </c>
      <c r="I45">
        <f>Remediation_Tracking!G45</f>
        <v/>
      </c>
      <c r="J45">
        <f>Remediation_Tracking!J45</f>
        <v/>
      </c>
      <c r="K45">
        <f>Remediation_Tracking!L45</f>
        <v/>
      </c>
      <c r="L45">
        <f>Remediation_Tracking!K45</f>
        <v/>
      </c>
      <c r="M45" s="8" t="inlineStr">
        <is>
          <t>Medium</t>
        </is>
      </c>
      <c r="N45">
        <f>Remediation_Tracking!M45</f>
        <v/>
      </c>
      <c r="O45" s="26">
        <f>IF(E45="", "", (IF(E45="Critical",5,IF(E45="High",4,IF(E45="Medium",3,2)))*10) + (IF(J45="Critical",5,IF(J45="High",4,IF(J45="Medium",3,2)))*8) + (IF(M45="Very High",5,IF(M45="High",4,IF(M45="Medium",3,IF(M45="Low",2,1))))*6) + (IF(T45&lt;0, ABS(T45)/7*2, 0)))</f>
        <v/>
      </c>
      <c r="P45">
        <f>IF(O45="", "", IF(AND(E45="Critical", OR(K45="Critical",K45="High"), T45&lt;0), "P0 - Critical &amp; Urgent", IF(AND(E45="Critical", OR(K45="Critical",K45="High")), "P1 - Critical", IF(OR(AND(E45="High",K45="High"),AND(E45="Critical",K45="Medium")), "P2 - High Priority", IF(OR(AND(E45="Medium",K45="High"),AND(E45="High",K45="Medium")), "P3 - Medium Priority", "P4 - Low Priority")))))</f>
        <v/>
      </c>
      <c r="Q45">
        <f>Remediation_Tracking!S45</f>
        <v/>
      </c>
      <c r="R45">
        <f>Remediation_Tracking!U45</f>
        <v/>
      </c>
      <c r="S45">
        <f>Remediation_Tracking!Z45</f>
        <v/>
      </c>
      <c r="T45" s="17">
        <f>IF(S45&lt;&gt;"", S45-TODAY(), "")</f>
        <v/>
      </c>
      <c r="U45">
        <f>Remediation_Tracking!AE45</f>
        <v/>
      </c>
      <c r="V45">
        <f>Remediation_Tracking!W45</f>
        <v/>
      </c>
      <c r="W45">
        <f>IF(AND(OR(R45="&lt;1 hour",R45="1-4 hours",R45="1 day"), OR(K45="Medium",K45="High",K45="Critical")), "Yes - Quick Win", "No")</f>
        <v/>
      </c>
      <c r="X45" s="8" t="n"/>
      <c r="Y45" s="8" t="n"/>
    </row>
    <row r="46">
      <c r="A46">
        <f>IF(B46&lt;&gt;"", ROW()-1, "")</f>
        <v/>
      </c>
      <c r="B46">
        <f>Remediation_Tracking!A46</f>
        <v/>
      </c>
      <c r="C46">
        <f>Remediation_Tracking!D46</f>
        <v/>
      </c>
      <c r="D46">
        <f>Remediation_Tracking!E46</f>
        <v/>
      </c>
      <c r="E46">
        <f>Remediation_Tracking!F46</f>
        <v/>
      </c>
      <c r="F46">
        <f>Remediation_Tracking!C46</f>
        <v/>
      </c>
      <c r="G46">
        <f>Remediation_Tracking!H46</f>
        <v/>
      </c>
      <c r="H46">
        <f>Remediation_Tracking!I46</f>
        <v/>
      </c>
      <c r="I46">
        <f>Remediation_Tracking!G46</f>
        <v/>
      </c>
      <c r="J46">
        <f>Remediation_Tracking!J46</f>
        <v/>
      </c>
      <c r="K46">
        <f>Remediation_Tracking!L46</f>
        <v/>
      </c>
      <c r="L46">
        <f>Remediation_Tracking!K46</f>
        <v/>
      </c>
      <c r="M46" s="8" t="inlineStr">
        <is>
          <t>Medium</t>
        </is>
      </c>
      <c r="N46">
        <f>Remediation_Tracking!M46</f>
        <v/>
      </c>
      <c r="O46" s="26">
        <f>IF(E46="", "", (IF(E46="Critical",5,IF(E46="High",4,IF(E46="Medium",3,2)))*10) + (IF(J46="Critical",5,IF(J46="High",4,IF(J46="Medium",3,2)))*8) + (IF(M46="Very High",5,IF(M46="High",4,IF(M46="Medium",3,IF(M46="Low",2,1))))*6) + (IF(T46&lt;0, ABS(T46)/7*2, 0)))</f>
        <v/>
      </c>
      <c r="P46">
        <f>IF(O46="", "", IF(AND(E46="Critical", OR(K46="Critical",K46="High"), T46&lt;0), "P0 - Critical &amp; Urgent", IF(AND(E46="Critical", OR(K46="Critical",K46="High")), "P1 - Critical", IF(OR(AND(E46="High",K46="High"),AND(E46="Critical",K46="Medium")), "P2 - High Priority", IF(OR(AND(E46="Medium",K46="High"),AND(E46="High",K46="Medium")), "P3 - Medium Priority", "P4 - Low Priority")))))</f>
        <v/>
      </c>
      <c r="Q46">
        <f>Remediation_Tracking!S46</f>
        <v/>
      </c>
      <c r="R46">
        <f>Remediation_Tracking!U46</f>
        <v/>
      </c>
      <c r="S46">
        <f>Remediation_Tracking!Z46</f>
        <v/>
      </c>
      <c r="T46" s="17">
        <f>IF(S46&lt;&gt;"", S46-TODAY(), "")</f>
        <v/>
      </c>
      <c r="U46">
        <f>Remediation_Tracking!AE46</f>
        <v/>
      </c>
      <c r="V46">
        <f>Remediation_Tracking!W46</f>
        <v/>
      </c>
      <c r="W46">
        <f>IF(AND(OR(R46="&lt;1 hour",R46="1-4 hours",R46="1 day"), OR(K46="Medium",K46="High",K46="Critical")), "Yes - Quick Win", "No")</f>
        <v/>
      </c>
      <c r="X46" s="8" t="n"/>
      <c r="Y46" s="8" t="n"/>
    </row>
    <row r="47">
      <c r="A47">
        <f>IF(B47&lt;&gt;"", ROW()-1, "")</f>
        <v/>
      </c>
      <c r="B47">
        <f>Remediation_Tracking!A47</f>
        <v/>
      </c>
      <c r="C47">
        <f>Remediation_Tracking!D47</f>
        <v/>
      </c>
      <c r="D47">
        <f>Remediation_Tracking!E47</f>
        <v/>
      </c>
      <c r="E47">
        <f>Remediation_Tracking!F47</f>
        <v/>
      </c>
      <c r="F47">
        <f>Remediation_Tracking!C47</f>
        <v/>
      </c>
      <c r="G47">
        <f>Remediation_Tracking!H47</f>
        <v/>
      </c>
      <c r="H47">
        <f>Remediation_Tracking!I47</f>
        <v/>
      </c>
      <c r="I47">
        <f>Remediation_Tracking!G47</f>
        <v/>
      </c>
      <c r="J47">
        <f>Remediation_Tracking!J47</f>
        <v/>
      </c>
      <c r="K47">
        <f>Remediation_Tracking!L47</f>
        <v/>
      </c>
      <c r="L47">
        <f>Remediation_Tracking!K47</f>
        <v/>
      </c>
      <c r="M47" s="8" t="inlineStr">
        <is>
          <t>Medium</t>
        </is>
      </c>
      <c r="N47">
        <f>Remediation_Tracking!M47</f>
        <v/>
      </c>
      <c r="O47" s="26">
        <f>IF(E47="", "", (IF(E47="Critical",5,IF(E47="High",4,IF(E47="Medium",3,2)))*10) + (IF(J47="Critical",5,IF(J47="High",4,IF(J47="Medium",3,2)))*8) + (IF(M47="Very High",5,IF(M47="High",4,IF(M47="Medium",3,IF(M47="Low",2,1))))*6) + (IF(T47&lt;0, ABS(T47)/7*2, 0)))</f>
        <v/>
      </c>
      <c r="P47">
        <f>IF(O47="", "", IF(AND(E47="Critical", OR(K47="Critical",K47="High"), T47&lt;0), "P0 - Critical &amp; Urgent", IF(AND(E47="Critical", OR(K47="Critical",K47="High")), "P1 - Critical", IF(OR(AND(E47="High",K47="High"),AND(E47="Critical",K47="Medium")), "P2 - High Priority", IF(OR(AND(E47="Medium",K47="High"),AND(E47="High",K47="Medium")), "P3 - Medium Priority", "P4 - Low Priority")))))</f>
        <v/>
      </c>
      <c r="Q47">
        <f>Remediation_Tracking!S47</f>
        <v/>
      </c>
      <c r="R47">
        <f>Remediation_Tracking!U47</f>
        <v/>
      </c>
      <c r="S47">
        <f>Remediation_Tracking!Z47</f>
        <v/>
      </c>
      <c r="T47" s="17">
        <f>IF(S47&lt;&gt;"", S47-TODAY(), "")</f>
        <v/>
      </c>
      <c r="U47">
        <f>Remediation_Tracking!AE47</f>
        <v/>
      </c>
      <c r="V47">
        <f>Remediation_Tracking!W47</f>
        <v/>
      </c>
      <c r="W47">
        <f>IF(AND(OR(R47="&lt;1 hour",R47="1-4 hours",R47="1 day"), OR(K47="Medium",K47="High",K47="Critical")), "Yes - Quick Win", "No")</f>
        <v/>
      </c>
      <c r="X47" s="8" t="n"/>
      <c r="Y47" s="8" t="n"/>
    </row>
    <row r="48">
      <c r="A48">
        <f>IF(B48&lt;&gt;"", ROW()-1, "")</f>
        <v/>
      </c>
      <c r="B48">
        <f>Remediation_Tracking!A48</f>
        <v/>
      </c>
      <c r="C48">
        <f>Remediation_Tracking!D48</f>
        <v/>
      </c>
      <c r="D48">
        <f>Remediation_Tracking!E48</f>
        <v/>
      </c>
      <c r="E48">
        <f>Remediation_Tracking!F48</f>
        <v/>
      </c>
      <c r="F48">
        <f>Remediation_Tracking!C48</f>
        <v/>
      </c>
      <c r="G48">
        <f>Remediation_Tracking!H48</f>
        <v/>
      </c>
      <c r="H48">
        <f>Remediation_Tracking!I48</f>
        <v/>
      </c>
      <c r="I48">
        <f>Remediation_Tracking!G48</f>
        <v/>
      </c>
      <c r="J48">
        <f>Remediation_Tracking!J48</f>
        <v/>
      </c>
      <c r="K48">
        <f>Remediation_Tracking!L48</f>
        <v/>
      </c>
      <c r="L48">
        <f>Remediation_Tracking!K48</f>
        <v/>
      </c>
      <c r="M48" s="8" t="inlineStr">
        <is>
          <t>Medium</t>
        </is>
      </c>
      <c r="N48">
        <f>Remediation_Tracking!M48</f>
        <v/>
      </c>
      <c r="O48" s="26">
        <f>IF(E48="", "", (IF(E48="Critical",5,IF(E48="High",4,IF(E48="Medium",3,2)))*10) + (IF(J48="Critical",5,IF(J48="High",4,IF(J48="Medium",3,2)))*8) + (IF(M48="Very High",5,IF(M48="High",4,IF(M48="Medium",3,IF(M48="Low",2,1))))*6) + (IF(T48&lt;0, ABS(T48)/7*2, 0)))</f>
        <v/>
      </c>
      <c r="P48">
        <f>IF(O48="", "", IF(AND(E48="Critical", OR(K48="Critical",K48="High"), T48&lt;0), "P0 - Critical &amp; Urgent", IF(AND(E48="Critical", OR(K48="Critical",K48="High")), "P1 - Critical", IF(OR(AND(E48="High",K48="High"),AND(E48="Critical",K48="Medium")), "P2 - High Priority", IF(OR(AND(E48="Medium",K48="High"),AND(E48="High",K48="Medium")), "P3 - Medium Priority", "P4 - Low Priority")))))</f>
        <v/>
      </c>
      <c r="Q48">
        <f>Remediation_Tracking!S48</f>
        <v/>
      </c>
      <c r="R48">
        <f>Remediation_Tracking!U48</f>
        <v/>
      </c>
      <c r="S48">
        <f>Remediation_Tracking!Z48</f>
        <v/>
      </c>
      <c r="T48" s="17">
        <f>IF(S48&lt;&gt;"", S48-TODAY(), "")</f>
        <v/>
      </c>
      <c r="U48">
        <f>Remediation_Tracking!AE48</f>
        <v/>
      </c>
      <c r="V48">
        <f>Remediation_Tracking!W48</f>
        <v/>
      </c>
      <c r="W48">
        <f>IF(AND(OR(R48="&lt;1 hour",R48="1-4 hours",R48="1 day"), OR(K48="Medium",K48="High",K48="Critical")), "Yes - Quick Win", "No")</f>
        <v/>
      </c>
      <c r="X48" s="8" t="n"/>
      <c r="Y48" s="8" t="n"/>
    </row>
    <row r="49">
      <c r="A49">
        <f>IF(B49&lt;&gt;"", ROW()-1, "")</f>
        <v/>
      </c>
      <c r="B49">
        <f>Remediation_Tracking!A49</f>
        <v/>
      </c>
      <c r="C49">
        <f>Remediation_Tracking!D49</f>
        <v/>
      </c>
      <c r="D49">
        <f>Remediation_Tracking!E49</f>
        <v/>
      </c>
      <c r="E49">
        <f>Remediation_Tracking!F49</f>
        <v/>
      </c>
      <c r="F49">
        <f>Remediation_Tracking!C49</f>
        <v/>
      </c>
      <c r="G49">
        <f>Remediation_Tracking!H49</f>
        <v/>
      </c>
      <c r="H49">
        <f>Remediation_Tracking!I49</f>
        <v/>
      </c>
      <c r="I49">
        <f>Remediation_Tracking!G49</f>
        <v/>
      </c>
      <c r="J49">
        <f>Remediation_Tracking!J49</f>
        <v/>
      </c>
      <c r="K49">
        <f>Remediation_Tracking!L49</f>
        <v/>
      </c>
      <c r="L49">
        <f>Remediation_Tracking!K49</f>
        <v/>
      </c>
      <c r="M49" s="8" t="inlineStr">
        <is>
          <t>Medium</t>
        </is>
      </c>
      <c r="N49">
        <f>Remediation_Tracking!M49</f>
        <v/>
      </c>
      <c r="O49" s="26">
        <f>IF(E49="", "", (IF(E49="Critical",5,IF(E49="High",4,IF(E49="Medium",3,2)))*10) + (IF(J49="Critical",5,IF(J49="High",4,IF(J49="Medium",3,2)))*8) + (IF(M49="Very High",5,IF(M49="High",4,IF(M49="Medium",3,IF(M49="Low",2,1))))*6) + (IF(T49&lt;0, ABS(T49)/7*2, 0)))</f>
        <v/>
      </c>
      <c r="P49">
        <f>IF(O49="", "", IF(AND(E49="Critical", OR(K49="Critical",K49="High"), T49&lt;0), "P0 - Critical &amp; Urgent", IF(AND(E49="Critical", OR(K49="Critical",K49="High")), "P1 - Critical", IF(OR(AND(E49="High",K49="High"),AND(E49="Critical",K49="Medium")), "P2 - High Priority", IF(OR(AND(E49="Medium",K49="High"),AND(E49="High",K49="Medium")), "P3 - Medium Priority", "P4 - Low Priority")))))</f>
        <v/>
      </c>
      <c r="Q49">
        <f>Remediation_Tracking!S49</f>
        <v/>
      </c>
      <c r="R49">
        <f>Remediation_Tracking!U49</f>
        <v/>
      </c>
      <c r="S49">
        <f>Remediation_Tracking!Z49</f>
        <v/>
      </c>
      <c r="T49" s="17">
        <f>IF(S49&lt;&gt;"", S49-TODAY(), "")</f>
        <v/>
      </c>
      <c r="U49">
        <f>Remediation_Tracking!AE49</f>
        <v/>
      </c>
      <c r="V49">
        <f>Remediation_Tracking!W49</f>
        <v/>
      </c>
      <c r="W49">
        <f>IF(AND(OR(R49="&lt;1 hour",R49="1-4 hours",R49="1 day"), OR(K49="Medium",K49="High",K49="Critical")), "Yes - Quick Win", "No")</f>
        <v/>
      </c>
      <c r="X49" s="8" t="n"/>
      <c r="Y49" s="8" t="n"/>
    </row>
    <row r="50">
      <c r="A50">
        <f>IF(B50&lt;&gt;"", ROW()-1, "")</f>
        <v/>
      </c>
      <c r="B50">
        <f>Remediation_Tracking!A50</f>
        <v/>
      </c>
      <c r="C50">
        <f>Remediation_Tracking!D50</f>
        <v/>
      </c>
      <c r="D50">
        <f>Remediation_Tracking!E50</f>
        <v/>
      </c>
      <c r="E50">
        <f>Remediation_Tracking!F50</f>
        <v/>
      </c>
      <c r="F50">
        <f>Remediation_Tracking!C50</f>
        <v/>
      </c>
      <c r="G50">
        <f>Remediation_Tracking!H50</f>
        <v/>
      </c>
      <c r="H50">
        <f>Remediation_Tracking!I50</f>
        <v/>
      </c>
      <c r="I50">
        <f>Remediation_Tracking!G50</f>
        <v/>
      </c>
      <c r="J50">
        <f>Remediation_Tracking!J50</f>
        <v/>
      </c>
      <c r="K50">
        <f>Remediation_Tracking!L50</f>
        <v/>
      </c>
      <c r="L50">
        <f>Remediation_Tracking!K50</f>
        <v/>
      </c>
      <c r="M50" s="8" t="inlineStr">
        <is>
          <t>Medium</t>
        </is>
      </c>
      <c r="N50">
        <f>Remediation_Tracking!M50</f>
        <v/>
      </c>
      <c r="O50" s="26">
        <f>IF(E50="", "", (IF(E50="Critical",5,IF(E50="High",4,IF(E50="Medium",3,2)))*10) + (IF(J50="Critical",5,IF(J50="High",4,IF(J50="Medium",3,2)))*8) + (IF(M50="Very High",5,IF(M50="High",4,IF(M50="Medium",3,IF(M50="Low",2,1))))*6) + (IF(T50&lt;0, ABS(T50)/7*2, 0)))</f>
        <v/>
      </c>
      <c r="P50">
        <f>IF(O50="", "", IF(AND(E50="Critical", OR(K50="Critical",K50="High"), T50&lt;0), "P0 - Critical &amp; Urgent", IF(AND(E50="Critical", OR(K50="Critical",K50="High")), "P1 - Critical", IF(OR(AND(E50="High",K50="High"),AND(E50="Critical",K50="Medium")), "P2 - High Priority", IF(OR(AND(E50="Medium",K50="High"),AND(E50="High",K50="Medium")), "P3 - Medium Priority", "P4 - Low Priority")))))</f>
        <v/>
      </c>
      <c r="Q50">
        <f>Remediation_Tracking!S50</f>
        <v/>
      </c>
      <c r="R50">
        <f>Remediation_Tracking!U50</f>
        <v/>
      </c>
      <c r="S50">
        <f>Remediation_Tracking!Z50</f>
        <v/>
      </c>
      <c r="T50" s="17">
        <f>IF(S50&lt;&gt;"", S50-TODAY(), "")</f>
        <v/>
      </c>
      <c r="U50">
        <f>Remediation_Tracking!AE50</f>
        <v/>
      </c>
      <c r="V50">
        <f>Remediation_Tracking!W50</f>
        <v/>
      </c>
      <c r="W50">
        <f>IF(AND(OR(R50="&lt;1 hour",R50="1-4 hours",R50="1 day"), OR(K50="Medium",K50="High",K50="Critical")), "Yes - Quick Win", "No")</f>
        <v/>
      </c>
      <c r="X50" s="8" t="n"/>
      <c r="Y50" s="8" t="n"/>
    </row>
    <row r="51">
      <c r="A51">
        <f>IF(B51&lt;&gt;"", ROW()-1, "")</f>
        <v/>
      </c>
      <c r="B51">
        <f>Remediation_Tracking!A51</f>
        <v/>
      </c>
      <c r="C51">
        <f>Remediation_Tracking!D51</f>
        <v/>
      </c>
      <c r="D51">
        <f>Remediation_Tracking!E51</f>
        <v/>
      </c>
      <c r="E51">
        <f>Remediation_Tracking!F51</f>
        <v/>
      </c>
      <c r="F51">
        <f>Remediation_Tracking!C51</f>
        <v/>
      </c>
      <c r="G51">
        <f>Remediation_Tracking!H51</f>
        <v/>
      </c>
      <c r="H51">
        <f>Remediation_Tracking!I51</f>
        <v/>
      </c>
      <c r="I51">
        <f>Remediation_Tracking!G51</f>
        <v/>
      </c>
      <c r="J51">
        <f>Remediation_Tracking!J51</f>
        <v/>
      </c>
      <c r="K51">
        <f>Remediation_Tracking!L51</f>
        <v/>
      </c>
      <c r="L51">
        <f>Remediation_Tracking!K51</f>
        <v/>
      </c>
      <c r="M51" s="8" t="inlineStr">
        <is>
          <t>Medium</t>
        </is>
      </c>
      <c r="N51">
        <f>Remediation_Tracking!M51</f>
        <v/>
      </c>
      <c r="O51" s="26">
        <f>IF(E51="", "", (IF(E51="Critical",5,IF(E51="High",4,IF(E51="Medium",3,2)))*10) + (IF(J51="Critical",5,IF(J51="High",4,IF(J51="Medium",3,2)))*8) + (IF(M51="Very High",5,IF(M51="High",4,IF(M51="Medium",3,IF(M51="Low",2,1))))*6) + (IF(T51&lt;0, ABS(T51)/7*2, 0)))</f>
        <v/>
      </c>
      <c r="P51">
        <f>IF(O51="", "", IF(AND(E51="Critical", OR(K51="Critical",K51="High"), T51&lt;0), "P0 - Critical &amp; Urgent", IF(AND(E51="Critical", OR(K51="Critical",K51="High")), "P1 - Critical", IF(OR(AND(E51="High",K51="High"),AND(E51="Critical",K51="Medium")), "P2 - High Priority", IF(OR(AND(E51="Medium",K51="High"),AND(E51="High",K51="Medium")), "P3 - Medium Priority", "P4 - Low Priority")))))</f>
        <v/>
      </c>
      <c r="Q51">
        <f>Remediation_Tracking!S51</f>
        <v/>
      </c>
      <c r="R51">
        <f>Remediation_Tracking!U51</f>
        <v/>
      </c>
      <c r="S51">
        <f>Remediation_Tracking!Z51</f>
        <v/>
      </c>
      <c r="T51" s="17">
        <f>IF(S51&lt;&gt;"", S51-TODAY(), "")</f>
        <v/>
      </c>
      <c r="U51">
        <f>Remediation_Tracking!AE51</f>
        <v/>
      </c>
      <c r="V51">
        <f>Remediation_Tracking!W51</f>
        <v/>
      </c>
      <c r="W51">
        <f>IF(AND(OR(R51="&lt;1 hour",R51="1-4 hours",R51="1 day"), OR(K51="Medium",K51="High",K51="Critical")), "Yes - Quick Win", "No")</f>
        <v/>
      </c>
      <c r="X51" s="8" t="n"/>
      <c r="Y51" s="8" t="n"/>
    </row>
    <row r="52">
      <c r="A52">
        <f>IF(B52&lt;&gt;"", ROW()-1, "")</f>
        <v/>
      </c>
      <c r="B52">
        <f>Remediation_Tracking!A52</f>
        <v/>
      </c>
      <c r="C52">
        <f>Remediation_Tracking!D52</f>
        <v/>
      </c>
      <c r="D52">
        <f>Remediation_Tracking!E52</f>
        <v/>
      </c>
      <c r="E52">
        <f>Remediation_Tracking!F52</f>
        <v/>
      </c>
      <c r="F52">
        <f>Remediation_Tracking!C52</f>
        <v/>
      </c>
      <c r="G52">
        <f>Remediation_Tracking!H52</f>
        <v/>
      </c>
      <c r="H52">
        <f>Remediation_Tracking!I52</f>
        <v/>
      </c>
      <c r="I52">
        <f>Remediation_Tracking!G52</f>
        <v/>
      </c>
      <c r="J52">
        <f>Remediation_Tracking!J52</f>
        <v/>
      </c>
      <c r="K52">
        <f>Remediation_Tracking!L52</f>
        <v/>
      </c>
      <c r="L52">
        <f>Remediation_Tracking!K52</f>
        <v/>
      </c>
      <c r="M52" s="8" t="inlineStr">
        <is>
          <t>Medium</t>
        </is>
      </c>
      <c r="N52">
        <f>Remediation_Tracking!M52</f>
        <v/>
      </c>
      <c r="O52" s="26">
        <f>IF(E52="", "", (IF(E52="Critical",5,IF(E52="High",4,IF(E52="Medium",3,2)))*10) + (IF(J52="Critical",5,IF(J52="High",4,IF(J52="Medium",3,2)))*8) + (IF(M52="Very High",5,IF(M52="High",4,IF(M52="Medium",3,IF(M52="Low",2,1))))*6) + (IF(T52&lt;0, ABS(T52)/7*2, 0)))</f>
        <v/>
      </c>
      <c r="P52">
        <f>IF(O52="", "", IF(AND(E52="Critical", OR(K52="Critical",K52="High"), T52&lt;0), "P0 - Critical &amp; Urgent", IF(AND(E52="Critical", OR(K52="Critical",K52="High")), "P1 - Critical", IF(OR(AND(E52="High",K52="High"),AND(E52="Critical",K52="Medium")), "P2 - High Priority", IF(OR(AND(E52="Medium",K52="High"),AND(E52="High",K52="Medium")), "P3 - Medium Priority", "P4 - Low Priority")))))</f>
        <v/>
      </c>
      <c r="Q52">
        <f>Remediation_Tracking!S52</f>
        <v/>
      </c>
      <c r="R52">
        <f>Remediation_Tracking!U52</f>
        <v/>
      </c>
      <c r="S52">
        <f>Remediation_Tracking!Z52</f>
        <v/>
      </c>
      <c r="T52" s="17">
        <f>IF(S52&lt;&gt;"", S52-TODAY(), "")</f>
        <v/>
      </c>
      <c r="U52">
        <f>Remediation_Tracking!AE52</f>
        <v/>
      </c>
      <c r="V52">
        <f>Remediation_Tracking!W52</f>
        <v/>
      </c>
      <c r="W52">
        <f>IF(AND(OR(R52="&lt;1 hour",R52="1-4 hours",R52="1 day"), OR(K52="Medium",K52="High",K52="Critical")), "Yes - Quick Win", "No")</f>
        <v/>
      </c>
      <c r="X52" s="8" t="n"/>
      <c r="Y52" s="8" t="n"/>
    </row>
    <row r="53">
      <c r="A53">
        <f>IF(B53&lt;&gt;"", ROW()-1, "")</f>
        <v/>
      </c>
      <c r="B53">
        <f>Remediation_Tracking!A53</f>
        <v/>
      </c>
      <c r="C53">
        <f>Remediation_Tracking!D53</f>
        <v/>
      </c>
      <c r="D53">
        <f>Remediation_Tracking!E53</f>
        <v/>
      </c>
      <c r="E53">
        <f>Remediation_Tracking!F53</f>
        <v/>
      </c>
      <c r="F53">
        <f>Remediation_Tracking!C53</f>
        <v/>
      </c>
      <c r="G53">
        <f>Remediation_Tracking!H53</f>
        <v/>
      </c>
      <c r="H53">
        <f>Remediation_Tracking!I53</f>
        <v/>
      </c>
      <c r="I53">
        <f>Remediation_Tracking!G53</f>
        <v/>
      </c>
      <c r="J53">
        <f>Remediation_Tracking!J53</f>
        <v/>
      </c>
      <c r="K53">
        <f>Remediation_Tracking!L53</f>
        <v/>
      </c>
      <c r="L53">
        <f>Remediation_Tracking!K53</f>
        <v/>
      </c>
      <c r="M53" s="8" t="inlineStr">
        <is>
          <t>Medium</t>
        </is>
      </c>
      <c r="N53">
        <f>Remediation_Tracking!M53</f>
        <v/>
      </c>
      <c r="O53" s="26">
        <f>IF(E53="", "", (IF(E53="Critical",5,IF(E53="High",4,IF(E53="Medium",3,2)))*10) + (IF(J53="Critical",5,IF(J53="High",4,IF(J53="Medium",3,2)))*8) + (IF(M53="Very High",5,IF(M53="High",4,IF(M53="Medium",3,IF(M53="Low",2,1))))*6) + (IF(T53&lt;0, ABS(T53)/7*2, 0)))</f>
        <v/>
      </c>
      <c r="P53">
        <f>IF(O53="", "", IF(AND(E53="Critical", OR(K53="Critical",K53="High"), T53&lt;0), "P0 - Critical &amp; Urgent", IF(AND(E53="Critical", OR(K53="Critical",K53="High")), "P1 - Critical", IF(OR(AND(E53="High",K53="High"),AND(E53="Critical",K53="Medium")), "P2 - High Priority", IF(OR(AND(E53="Medium",K53="High"),AND(E53="High",K53="Medium")), "P3 - Medium Priority", "P4 - Low Priority")))))</f>
        <v/>
      </c>
      <c r="Q53">
        <f>Remediation_Tracking!S53</f>
        <v/>
      </c>
      <c r="R53">
        <f>Remediation_Tracking!U53</f>
        <v/>
      </c>
      <c r="S53">
        <f>Remediation_Tracking!Z53</f>
        <v/>
      </c>
      <c r="T53" s="17">
        <f>IF(S53&lt;&gt;"", S53-TODAY(), "")</f>
        <v/>
      </c>
      <c r="U53">
        <f>Remediation_Tracking!AE53</f>
        <v/>
      </c>
      <c r="V53">
        <f>Remediation_Tracking!W53</f>
        <v/>
      </c>
      <c r="W53">
        <f>IF(AND(OR(R53="&lt;1 hour",R53="1-4 hours",R53="1 day"), OR(K53="Medium",K53="High",K53="Critical")), "Yes - Quick Win", "No")</f>
        <v/>
      </c>
      <c r="X53" s="8" t="n"/>
      <c r="Y53" s="8" t="n"/>
    </row>
    <row r="54">
      <c r="A54">
        <f>IF(B54&lt;&gt;"", ROW()-1, "")</f>
        <v/>
      </c>
      <c r="B54">
        <f>Remediation_Tracking!A54</f>
        <v/>
      </c>
      <c r="C54">
        <f>Remediation_Tracking!D54</f>
        <v/>
      </c>
      <c r="D54">
        <f>Remediation_Tracking!E54</f>
        <v/>
      </c>
      <c r="E54">
        <f>Remediation_Tracking!F54</f>
        <v/>
      </c>
      <c r="F54">
        <f>Remediation_Tracking!C54</f>
        <v/>
      </c>
      <c r="G54">
        <f>Remediation_Tracking!H54</f>
        <v/>
      </c>
      <c r="H54">
        <f>Remediation_Tracking!I54</f>
        <v/>
      </c>
      <c r="I54">
        <f>Remediation_Tracking!G54</f>
        <v/>
      </c>
      <c r="J54">
        <f>Remediation_Tracking!J54</f>
        <v/>
      </c>
      <c r="K54">
        <f>Remediation_Tracking!L54</f>
        <v/>
      </c>
      <c r="L54">
        <f>Remediation_Tracking!K54</f>
        <v/>
      </c>
      <c r="M54" s="8" t="inlineStr">
        <is>
          <t>Medium</t>
        </is>
      </c>
      <c r="N54">
        <f>Remediation_Tracking!M54</f>
        <v/>
      </c>
      <c r="O54" s="26">
        <f>IF(E54="", "", (IF(E54="Critical",5,IF(E54="High",4,IF(E54="Medium",3,2)))*10) + (IF(J54="Critical",5,IF(J54="High",4,IF(J54="Medium",3,2)))*8) + (IF(M54="Very High",5,IF(M54="High",4,IF(M54="Medium",3,IF(M54="Low",2,1))))*6) + (IF(T54&lt;0, ABS(T54)/7*2, 0)))</f>
        <v/>
      </c>
      <c r="P54">
        <f>IF(O54="", "", IF(AND(E54="Critical", OR(K54="Critical",K54="High"), T54&lt;0), "P0 - Critical &amp; Urgent", IF(AND(E54="Critical", OR(K54="Critical",K54="High")), "P1 - Critical", IF(OR(AND(E54="High",K54="High"),AND(E54="Critical",K54="Medium")), "P2 - High Priority", IF(OR(AND(E54="Medium",K54="High"),AND(E54="High",K54="Medium")), "P3 - Medium Priority", "P4 - Low Priority")))))</f>
        <v/>
      </c>
      <c r="Q54">
        <f>Remediation_Tracking!S54</f>
        <v/>
      </c>
      <c r="R54">
        <f>Remediation_Tracking!U54</f>
        <v/>
      </c>
      <c r="S54">
        <f>Remediation_Tracking!Z54</f>
        <v/>
      </c>
      <c r="T54" s="17">
        <f>IF(S54&lt;&gt;"", S54-TODAY(), "")</f>
        <v/>
      </c>
      <c r="U54">
        <f>Remediation_Tracking!AE54</f>
        <v/>
      </c>
      <c r="V54">
        <f>Remediation_Tracking!W54</f>
        <v/>
      </c>
      <c r="W54">
        <f>IF(AND(OR(R54="&lt;1 hour",R54="1-4 hours",R54="1 day"), OR(K54="Medium",K54="High",K54="Critical")), "Yes - Quick Win", "No")</f>
        <v/>
      </c>
      <c r="X54" s="8" t="n"/>
      <c r="Y54" s="8" t="n"/>
    </row>
    <row r="55">
      <c r="A55">
        <f>IF(B55&lt;&gt;"", ROW()-1, "")</f>
        <v/>
      </c>
      <c r="B55">
        <f>Remediation_Tracking!A55</f>
        <v/>
      </c>
      <c r="C55">
        <f>Remediation_Tracking!D55</f>
        <v/>
      </c>
      <c r="D55">
        <f>Remediation_Tracking!E55</f>
        <v/>
      </c>
      <c r="E55">
        <f>Remediation_Tracking!F55</f>
        <v/>
      </c>
      <c r="F55">
        <f>Remediation_Tracking!C55</f>
        <v/>
      </c>
      <c r="G55">
        <f>Remediation_Tracking!H55</f>
        <v/>
      </c>
      <c r="H55">
        <f>Remediation_Tracking!I55</f>
        <v/>
      </c>
      <c r="I55">
        <f>Remediation_Tracking!G55</f>
        <v/>
      </c>
      <c r="J55">
        <f>Remediation_Tracking!J55</f>
        <v/>
      </c>
      <c r="K55">
        <f>Remediation_Tracking!L55</f>
        <v/>
      </c>
      <c r="L55">
        <f>Remediation_Tracking!K55</f>
        <v/>
      </c>
      <c r="M55" s="8" t="inlineStr">
        <is>
          <t>Medium</t>
        </is>
      </c>
      <c r="N55">
        <f>Remediation_Tracking!M55</f>
        <v/>
      </c>
      <c r="O55" s="26">
        <f>IF(E55="", "", (IF(E55="Critical",5,IF(E55="High",4,IF(E55="Medium",3,2)))*10) + (IF(J55="Critical",5,IF(J55="High",4,IF(J55="Medium",3,2)))*8) + (IF(M55="Very High",5,IF(M55="High",4,IF(M55="Medium",3,IF(M55="Low",2,1))))*6) + (IF(T55&lt;0, ABS(T55)/7*2, 0)))</f>
        <v/>
      </c>
      <c r="P55">
        <f>IF(O55="", "", IF(AND(E55="Critical", OR(K55="Critical",K55="High"), T55&lt;0), "P0 - Critical &amp; Urgent", IF(AND(E55="Critical", OR(K55="Critical",K55="High")), "P1 - Critical", IF(OR(AND(E55="High",K55="High"),AND(E55="Critical",K55="Medium")), "P2 - High Priority", IF(OR(AND(E55="Medium",K55="High"),AND(E55="High",K55="Medium")), "P3 - Medium Priority", "P4 - Low Priority")))))</f>
        <v/>
      </c>
      <c r="Q55">
        <f>Remediation_Tracking!S55</f>
        <v/>
      </c>
      <c r="R55">
        <f>Remediation_Tracking!U55</f>
        <v/>
      </c>
      <c r="S55">
        <f>Remediation_Tracking!Z55</f>
        <v/>
      </c>
      <c r="T55" s="17">
        <f>IF(S55&lt;&gt;"", S55-TODAY(), "")</f>
        <v/>
      </c>
      <c r="U55">
        <f>Remediation_Tracking!AE55</f>
        <v/>
      </c>
      <c r="V55">
        <f>Remediation_Tracking!W55</f>
        <v/>
      </c>
      <c r="W55">
        <f>IF(AND(OR(R55="&lt;1 hour",R55="1-4 hours",R55="1 day"), OR(K55="Medium",K55="High",K55="Critical")), "Yes - Quick Win", "No")</f>
        <v/>
      </c>
      <c r="X55" s="8" t="n"/>
      <c r="Y55" s="8" t="n"/>
    </row>
    <row r="56">
      <c r="A56">
        <f>IF(B56&lt;&gt;"", ROW()-1, "")</f>
        <v/>
      </c>
      <c r="B56">
        <f>Remediation_Tracking!A56</f>
        <v/>
      </c>
      <c r="C56">
        <f>Remediation_Tracking!D56</f>
        <v/>
      </c>
      <c r="D56">
        <f>Remediation_Tracking!E56</f>
        <v/>
      </c>
      <c r="E56">
        <f>Remediation_Tracking!F56</f>
        <v/>
      </c>
      <c r="F56">
        <f>Remediation_Tracking!C56</f>
        <v/>
      </c>
      <c r="G56">
        <f>Remediation_Tracking!H56</f>
        <v/>
      </c>
      <c r="H56">
        <f>Remediation_Tracking!I56</f>
        <v/>
      </c>
      <c r="I56">
        <f>Remediation_Tracking!G56</f>
        <v/>
      </c>
      <c r="J56">
        <f>Remediation_Tracking!J56</f>
        <v/>
      </c>
      <c r="K56">
        <f>Remediation_Tracking!L56</f>
        <v/>
      </c>
      <c r="L56">
        <f>Remediation_Tracking!K56</f>
        <v/>
      </c>
      <c r="M56" s="8" t="inlineStr">
        <is>
          <t>Medium</t>
        </is>
      </c>
      <c r="N56">
        <f>Remediation_Tracking!M56</f>
        <v/>
      </c>
      <c r="O56" s="26">
        <f>IF(E56="", "", (IF(E56="Critical",5,IF(E56="High",4,IF(E56="Medium",3,2)))*10) + (IF(J56="Critical",5,IF(J56="High",4,IF(J56="Medium",3,2)))*8) + (IF(M56="Very High",5,IF(M56="High",4,IF(M56="Medium",3,IF(M56="Low",2,1))))*6) + (IF(T56&lt;0, ABS(T56)/7*2, 0)))</f>
        <v/>
      </c>
      <c r="P56">
        <f>IF(O56="", "", IF(AND(E56="Critical", OR(K56="Critical",K56="High"), T56&lt;0), "P0 - Critical &amp; Urgent", IF(AND(E56="Critical", OR(K56="Critical",K56="High")), "P1 - Critical", IF(OR(AND(E56="High",K56="High"),AND(E56="Critical",K56="Medium")), "P2 - High Priority", IF(OR(AND(E56="Medium",K56="High"),AND(E56="High",K56="Medium")), "P3 - Medium Priority", "P4 - Low Priority")))))</f>
        <v/>
      </c>
      <c r="Q56">
        <f>Remediation_Tracking!S56</f>
        <v/>
      </c>
      <c r="R56">
        <f>Remediation_Tracking!U56</f>
        <v/>
      </c>
      <c r="S56">
        <f>Remediation_Tracking!Z56</f>
        <v/>
      </c>
      <c r="T56" s="17">
        <f>IF(S56&lt;&gt;"", S56-TODAY(), "")</f>
        <v/>
      </c>
      <c r="U56">
        <f>Remediation_Tracking!AE56</f>
        <v/>
      </c>
      <c r="V56">
        <f>Remediation_Tracking!W56</f>
        <v/>
      </c>
      <c r="W56">
        <f>IF(AND(OR(R56="&lt;1 hour",R56="1-4 hours",R56="1 day"), OR(K56="Medium",K56="High",K56="Critical")), "Yes - Quick Win", "No")</f>
        <v/>
      </c>
      <c r="X56" s="8" t="n"/>
      <c r="Y56" s="8" t="n"/>
    </row>
    <row r="57">
      <c r="A57">
        <f>IF(B57&lt;&gt;"", ROW()-1, "")</f>
        <v/>
      </c>
      <c r="B57">
        <f>Remediation_Tracking!A57</f>
        <v/>
      </c>
      <c r="C57">
        <f>Remediation_Tracking!D57</f>
        <v/>
      </c>
      <c r="D57">
        <f>Remediation_Tracking!E57</f>
        <v/>
      </c>
      <c r="E57">
        <f>Remediation_Tracking!F57</f>
        <v/>
      </c>
      <c r="F57">
        <f>Remediation_Tracking!C57</f>
        <v/>
      </c>
      <c r="G57">
        <f>Remediation_Tracking!H57</f>
        <v/>
      </c>
      <c r="H57">
        <f>Remediation_Tracking!I57</f>
        <v/>
      </c>
      <c r="I57">
        <f>Remediation_Tracking!G57</f>
        <v/>
      </c>
      <c r="J57">
        <f>Remediation_Tracking!J57</f>
        <v/>
      </c>
      <c r="K57">
        <f>Remediation_Tracking!L57</f>
        <v/>
      </c>
      <c r="L57">
        <f>Remediation_Tracking!K57</f>
        <v/>
      </c>
      <c r="M57" s="8" t="inlineStr">
        <is>
          <t>Medium</t>
        </is>
      </c>
      <c r="N57">
        <f>Remediation_Tracking!M57</f>
        <v/>
      </c>
      <c r="O57" s="26">
        <f>IF(E57="", "", (IF(E57="Critical",5,IF(E57="High",4,IF(E57="Medium",3,2)))*10) + (IF(J57="Critical",5,IF(J57="High",4,IF(J57="Medium",3,2)))*8) + (IF(M57="Very High",5,IF(M57="High",4,IF(M57="Medium",3,IF(M57="Low",2,1))))*6) + (IF(T57&lt;0, ABS(T57)/7*2, 0)))</f>
        <v/>
      </c>
      <c r="P57">
        <f>IF(O57="", "", IF(AND(E57="Critical", OR(K57="Critical",K57="High"), T57&lt;0), "P0 - Critical &amp; Urgent", IF(AND(E57="Critical", OR(K57="Critical",K57="High")), "P1 - Critical", IF(OR(AND(E57="High",K57="High"),AND(E57="Critical",K57="Medium")), "P2 - High Priority", IF(OR(AND(E57="Medium",K57="High"),AND(E57="High",K57="Medium")), "P3 - Medium Priority", "P4 - Low Priority")))))</f>
        <v/>
      </c>
      <c r="Q57">
        <f>Remediation_Tracking!S57</f>
        <v/>
      </c>
      <c r="R57">
        <f>Remediation_Tracking!U57</f>
        <v/>
      </c>
      <c r="S57">
        <f>Remediation_Tracking!Z57</f>
        <v/>
      </c>
      <c r="T57" s="17">
        <f>IF(S57&lt;&gt;"", S57-TODAY(), "")</f>
        <v/>
      </c>
      <c r="U57">
        <f>Remediation_Tracking!AE57</f>
        <v/>
      </c>
      <c r="V57">
        <f>Remediation_Tracking!W57</f>
        <v/>
      </c>
      <c r="W57">
        <f>IF(AND(OR(R57="&lt;1 hour",R57="1-4 hours",R57="1 day"), OR(K57="Medium",K57="High",K57="Critical")), "Yes - Quick Win", "No")</f>
        <v/>
      </c>
      <c r="X57" s="8" t="n"/>
      <c r="Y57" s="8" t="n"/>
    </row>
    <row r="58">
      <c r="A58">
        <f>IF(B58&lt;&gt;"", ROW()-1, "")</f>
        <v/>
      </c>
      <c r="B58">
        <f>Remediation_Tracking!A58</f>
        <v/>
      </c>
      <c r="C58">
        <f>Remediation_Tracking!D58</f>
        <v/>
      </c>
      <c r="D58">
        <f>Remediation_Tracking!E58</f>
        <v/>
      </c>
      <c r="E58">
        <f>Remediation_Tracking!F58</f>
        <v/>
      </c>
      <c r="F58">
        <f>Remediation_Tracking!C58</f>
        <v/>
      </c>
      <c r="G58">
        <f>Remediation_Tracking!H58</f>
        <v/>
      </c>
      <c r="H58">
        <f>Remediation_Tracking!I58</f>
        <v/>
      </c>
      <c r="I58">
        <f>Remediation_Tracking!G58</f>
        <v/>
      </c>
      <c r="J58">
        <f>Remediation_Tracking!J58</f>
        <v/>
      </c>
      <c r="K58">
        <f>Remediation_Tracking!L58</f>
        <v/>
      </c>
      <c r="L58">
        <f>Remediation_Tracking!K58</f>
        <v/>
      </c>
      <c r="M58" s="8" t="inlineStr">
        <is>
          <t>Medium</t>
        </is>
      </c>
      <c r="N58">
        <f>Remediation_Tracking!M58</f>
        <v/>
      </c>
      <c r="O58" s="26">
        <f>IF(E58="", "", (IF(E58="Critical",5,IF(E58="High",4,IF(E58="Medium",3,2)))*10) + (IF(J58="Critical",5,IF(J58="High",4,IF(J58="Medium",3,2)))*8) + (IF(M58="Very High",5,IF(M58="High",4,IF(M58="Medium",3,IF(M58="Low",2,1))))*6) + (IF(T58&lt;0, ABS(T58)/7*2, 0)))</f>
        <v/>
      </c>
      <c r="P58">
        <f>IF(O58="", "", IF(AND(E58="Critical", OR(K58="Critical",K58="High"), T58&lt;0), "P0 - Critical &amp; Urgent", IF(AND(E58="Critical", OR(K58="Critical",K58="High")), "P1 - Critical", IF(OR(AND(E58="High",K58="High"),AND(E58="Critical",K58="Medium")), "P2 - High Priority", IF(OR(AND(E58="Medium",K58="High"),AND(E58="High",K58="Medium")), "P3 - Medium Priority", "P4 - Low Priority")))))</f>
        <v/>
      </c>
      <c r="Q58">
        <f>Remediation_Tracking!S58</f>
        <v/>
      </c>
      <c r="R58">
        <f>Remediation_Tracking!U58</f>
        <v/>
      </c>
      <c r="S58">
        <f>Remediation_Tracking!Z58</f>
        <v/>
      </c>
      <c r="T58" s="17">
        <f>IF(S58&lt;&gt;"", S58-TODAY(), "")</f>
        <v/>
      </c>
      <c r="U58">
        <f>Remediation_Tracking!AE58</f>
        <v/>
      </c>
      <c r="V58">
        <f>Remediation_Tracking!W58</f>
        <v/>
      </c>
      <c r="W58">
        <f>IF(AND(OR(R58="&lt;1 hour",R58="1-4 hours",R58="1 day"), OR(K58="Medium",K58="High",K58="Critical")), "Yes - Quick Win", "No")</f>
        <v/>
      </c>
      <c r="X58" s="8" t="n"/>
      <c r="Y58" s="8" t="n"/>
    </row>
    <row r="59">
      <c r="A59">
        <f>IF(B59&lt;&gt;"", ROW()-1, "")</f>
        <v/>
      </c>
      <c r="B59">
        <f>Remediation_Tracking!A59</f>
        <v/>
      </c>
      <c r="C59">
        <f>Remediation_Tracking!D59</f>
        <v/>
      </c>
      <c r="D59">
        <f>Remediation_Tracking!E59</f>
        <v/>
      </c>
      <c r="E59">
        <f>Remediation_Tracking!F59</f>
        <v/>
      </c>
      <c r="F59">
        <f>Remediation_Tracking!C59</f>
        <v/>
      </c>
      <c r="G59">
        <f>Remediation_Tracking!H59</f>
        <v/>
      </c>
      <c r="H59">
        <f>Remediation_Tracking!I59</f>
        <v/>
      </c>
      <c r="I59">
        <f>Remediation_Tracking!G59</f>
        <v/>
      </c>
      <c r="J59">
        <f>Remediation_Tracking!J59</f>
        <v/>
      </c>
      <c r="K59">
        <f>Remediation_Tracking!L59</f>
        <v/>
      </c>
      <c r="L59">
        <f>Remediation_Tracking!K59</f>
        <v/>
      </c>
      <c r="M59" s="8" t="inlineStr">
        <is>
          <t>Medium</t>
        </is>
      </c>
      <c r="N59">
        <f>Remediation_Tracking!M59</f>
        <v/>
      </c>
      <c r="O59" s="26">
        <f>IF(E59="", "", (IF(E59="Critical",5,IF(E59="High",4,IF(E59="Medium",3,2)))*10) + (IF(J59="Critical",5,IF(J59="High",4,IF(J59="Medium",3,2)))*8) + (IF(M59="Very High",5,IF(M59="High",4,IF(M59="Medium",3,IF(M59="Low",2,1))))*6) + (IF(T59&lt;0, ABS(T59)/7*2, 0)))</f>
        <v/>
      </c>
      <c r="P59">
        <f>IF(O59="", "", IF(AND(E59="Critical", OR(K59="Critical",K59="High"), T59&lt;0), "P0 - Critical &amp; Urgent", IF(AND(E59="Critical", OR(K59="Critical",K59="High")), "P1 - Critical", IF(OR(AND(E59="High",K59="High"),AND(E59="Critical",K59="Medium")), "P2 - High Priority", IF(OR(AND(E59="Medium",K59="High"),AND(E59="High",K59="Medium")), "P3 - Medium Priority", "P4 - Low Priority")))))</f>
        <v/>
      </c>
      <c r="Q59">
        <f>Remediation_Tracking!S59</f>
        <v/>
      </c>
      <c r="R59">
        <f>Remediation_Tracking!U59</f>
        <v/>
      </c>
      <c r="S59">
        <f>Remediation_Tracking!Z59</f>
        <v/>
      </c>
      <c r="T59" s="17">
        <f>IF(S59&lt;&gt;"", S59-TODAY(), "")</f>
        <v/>
      </c>
      <c r="U59">
        <f>Remediation_Tracking!AE59</f>
        <v/>
      </c>
      <c r="V59">
        <f>Remediation_Tracking!W59</f>
        <v/>
      </c>
      <c r="W59">
        <f>IF(AND(OR(R59="&lt;1 hour",R59="1-4 hours",R59="1 day"), OR(K59="Medium",K59="High",K59="Critical")), "Yes - Quick Win", "No")</f>
        <v/>
      </c>
      <c r="X59" s="8" t="n"/>
      <c r="Y59" s="8" t="n"/>
    </row>
    <row r="60">
      <c r="A60">
        <f>IF(B60&lt;&gt;"", ROW()-1, "")</f>
        <v/>
      </c>
      <c r="B60">
        <f>Remediation_Tracking!A60</f>
        <v/>
      </c>
      <c r="C60">
        <f>Remediation_Tracking!D60</f>
        <v/>
      </c>
      <c r="D60">
        <f>Remediation_Tracking!E60</f>
        <v/>
      </c>
      <c r="E60">
        <f>Remediation_Tracking!F60</f>
        <v/>
      </c>
      <c r="F60">
        <f>Remediation_Tracking!C60</f>
        <v/>
      </c>
      <c r="G60">
        <f>Remediation_Tracking!H60</f>
        <v/>
      </c>
      <c r="H60">
        <f>Remediation_Tracking!I60</f>
        <v/>
      </c>
      <c r="I60">
        <f>Remediation_Tracking!G60</f>
        <v/>
      </c>
      <c r="J60">
        <f>Remediation_Tracking!J60</f>
        <v/>
      </c>
      <c r="K60">
        <f>Remediation_Tracking!L60</f>
        <v/>
      </c>
      <c r="L60">
        <f>Remediation_Tracking!K60</f>
        <v/>
      </c>
      <c r="M60" s="8" t="inlineStr">
        <is>
          <t>Medium</t>
        </is>
      </c>
      <c r="N60">
        <f>Remediation_Tracking!M60</f>
        <v/>
      </c>
      <c r="O60" s="26">
        <f>IF(E60="", "", (IF(E60="Critical",5,IF(E60="High",4,IF(E60="Medium",3,2)))*10) + (IF(J60="Critical",5,IF(J60="High",4,IF(J60="Medium",3,2)))*8) + (IF(M60="Very High",5,IF(M60="High",4,IF(M60="Medium",3,IF(M60="Low",2,1))))*6) + (IF(T60&lt;0, ABS(T60)/7*2, 0)))</f>
        <v/>
      </c>
      <c r="P60">
        <f>IF(O60="", "", IF(AND(E60="Critical", OR(K60="Critical",K60="High"), T60&lt;0), "P0 - Critical &amp; Urgent", IF(AND(E60="Critical", OR(K60="Critical",K60="High")), "P1 - Critical", IF(OR(AND(E60="High",K60="High"),AND(E60="Critical",K60="Medium")), "P2 - High Priority", IF(OR(AND(E60="Medium",K60="High"),AND(E60="High",K60="Medium")), "P3 - Medium Priority", "P4 - Low Priority")))))</f>
        <v/>
      </c>
      <c r="Q60">
        <f>Remediation_Tracking!S60</f>
        <v/>
      </c>
      <c r="R60">
        <f>Remediation_Tracking!U60</f>
        <v/>
      </c>
      <c r="S60">
        <f>Remediation_Tracking!Z60</f>
        <v/>
      </c>
      <c r="T60" s="17">
        <f>IF(S60&lt;&gt;"", S60-TODAY(), "")</f>
        <v/>
      </c>
      <c r="U60">
        <f>Remediation_Tracking!AE60</f>
        <v/>
      </c>
      <c r="V60">
        <f>Remediation_Tracking!W60</f>
        <v/>
      </c>
      <c r="W60">
        <f>IF(AND(OR(R60="&lt;1 hour",R60="1-4 hours",R60="1 day"), OR(K60="Medium",K60="High",K60="Critical")), "Yes - Quick Win", "No")</f>
        <v/>
      </c>
      <c r="X60" s="8" t="n"/>
      <c r="Y60" s="8" t="n"/>
    </row>
    <row r="61">
      <c r="A61">
        <f>IF(B61&lt;&gt;"", ROW()-1, "")</f>
        <v/>
      </c>
      <c r="B61">
        <f>Remediation_Tracking!A61</f>
        <v/>
      </c>
      <c r="C61">
        <f>Remediation_Tracking!D61</f>
        <v/>
      </c>
      <c r="D61">
        <f>Remediation_Tracking!E61</f>
        <v/>
      </c>
      <c r="E61">
        <f>Remediation_Tracking!F61</f>
        <v/>
      </c>
      <c r="F61">
        <f>Remediation_Tracking!C61</f>
        <v/>
      </c>
      <c r="G61">
        <f>Remediation_Tracking!H61</f>
        <v/>
      </c>
      <c r="H61">
        <f>Remediation_Tracking!I61</f>
        <v/>
      </c>
      <c r="I61">
        <f>Remediation_Tracking!G61</f>
        <v/>
      </c>
      <c r="J61">
        <f>Remediation_Tracking!J61</f>
        <v/>
      </c>
      <c r="K61">
        <f>Remediation_Tracking!L61</f>
        <v/>
      </c>
      <c r="L61">
        <f>Remediation_Tracking!K61</f>
        <v/>
      </c>
      <c r="M61" s="8" t="inlineStr">
        <is>
          <t>Medium</t>
        </is>
      </c>
      <c r="N61">
        <f>Remediation_Tracking!M61</f>
        <v/>
      </c>
      <c r="O61" s="26">
        <f>IF(E61="", "", (IF(E61="Critical",5,IF(E61="High",4,IF(E61="Medium",3,2)))*10) + (IF(J61="Critical",5,IF(J61="High",4,IF(J61="Medium",3,2)))*8) + (IF(M61="Very High",5,IF(M61="High",4,IF(M61="Medium",3,IF(M61="Low",2,1))))*6) + (IF(T61&lt;0, ABS(T61)/7*2, 0)))</f>
        <v/>
      </c>
      <c r="P61">
        <f>IF(O61="", "", IF(AND(E61="Critical", OR(K61="Critical",K61="High"), T61&lt;0), "P0 - Critical &amp; Urgent", IF(AND(E61="Critical", OR(K61="Critical",K61="High")), "P1 - Critical", IF(OR(AND(E61="High",K61="High"),AND(E61="Critical",K61="Medium")), "P2 - High Priority", IF(OR(AND(E61="Medium",K61="High"),AND(E61="High",K61="Medium")), "P3 - Medium Priority", "P4 - Low Priority")))))</f>
        <v/>
      </c>
      <c r="Q61">
        <f>Remediation_Tracking!S61</f>
        <v/>
      </c>
      <c r="R61">
        <f>Remediation_Tracking!U61</f>
        <v/>
      </c>
      <c r="S61">
        <f>Remediation_Tracking!Z61</f>
        <v/>
      </c>
      <c r="T61" s="17">
        <f>IF(S61&lt;&gt;"", S61-TODAY(), "")</f>
        <v/>
      </c>
      <c r="U61">
        <f>Remediation_Tracking!AE61</f>
        <v/>
      </c>
      <c r="V61">
        <f>Remediation_Tracking!W61</f>
        <v/>
      </c>
      <c r="W61">
        <f>IF(AND(OR(R61="&lt;1 hour",R61="1-4 hours",R61="1 day"), OR(K61="Medium",K61="High",K61="Critical")), "Yes - Quick Win", "No")</f>
        <v/>
      </c>
      <c r="X61" s="8" t="n"/>
      <c r="Y61" s="8" t="n"/>
    </row>
    <row r="62">
      <c r="A62">
        <f>IF(B62&lt;&gt;"", ROW()-1, "")</f>
        <v/>
      </c>
      <c r="B62">
        <f>Remediation_Tracking!A62</f>
        <v/>
      </c>
      <c r="C62">
        <f>Remediation_Tracking!D62</f>
        <v/>
      </c>
      <c r="D62">
        <f>Remediation_Tracking!E62</f>
        <v/>
      </c>
      <c r="E62">
        <f>Remediation_Tracking!F62</f>
        <v/>
      </c>
      <c r="F62">
        <f>Remediation_Tracking!C62</f>
        <v/>
      </c>
      <c r="G62">
        <f>Remediation_Tracking!H62</f>
        <v/>
      </c>
      <c r="H62">
        <f>Remediation_Tracking!I62</f>
        <v/>
      </c>
      <c r="I62">
        <f>Remediation_Tracking!G62</f>
        <v/>
      </c>
      <c r="J62">
        <f>Remediation_Tracking!J62</f>
        <v/>
      </c>
      <c r="K62">
        <f>Remediation_Tracking!L62</f>
        <v/>
      </c>
      <c r="L62">
        <f>Remediation_Tracking!K62</f>
        <v/>
      </c>
      <c r="M62" s="8" t="inlineStr">
        <is>
          <t>Medium</t>
        </is>
      </c>
      <c r="N62">
        <f>Remediation_Tracking!M62</f>
        <v/>
      </c>
      <c r="O62" s="26">
        <f>IF(E62="", "", (IF(E62="Critical",5,IF(E62="High",4,IF(E62="Medium",3,2)))*10) + (IF(J62="Critical",5,IF(J62="High",4,IF(J62="Medium",3,2)))*8) + (IF(M62="Very High",5,IF(M62="High",4,IF(M62="Medium",3,IF(M62="Low",2,1))))*6) + (IF(T62&lt;0, ABS(T62)/7*2, 0)))</f>
        <v/>
      </c>
      <c r="P62">
        <f>IF(O62="", "", IF(AND(E62="Critical", OR(K62="Critical",K62="High"), T62&lt;0), "P0 - Critical &amp; Urgent", IF(AND(E62="Critical", OR(K62="Critical",K62="High")), "P1 - Critical", IF(OR(AND(E62="High",K62="High"),AND(E62="Critical",K62="Medium")), "P2 - High Priority", IF(OR(AND(E62="Medium",K62="High"),AND(E62="High",K62="Medium")), "P3 - Medium Priority", "P4 - Low Priority")))))</f>
        <v/>
      </c>
      <c r="Q62">
        <f>Remediation_Tracking!S62</f>
        <v/>
      </c>
      <c r="R62">
        <f>Remediation_Tracking!U62</f>
        <v/>
      </c>
      <c r="S62">
        <f>Remediation_Tracking!Z62</f>
        <v/>
      </c>
      <c r="T62" s="17">
        <f>IF(S62&lt;&gt;"", S62-TODAY(), "")</f>
        <v/>
      </c>
      <c r="U62">
        <f>Remediation_Tracking!AE62</f>
        <v/>
      </c>
      <c r="V62">
        <f>Remediation_Tracking!W62</f>
        <v/>
      </c>
      <c r="W62">
        <f>IF(AND(OR(R62="&lt;1 hour",R62="1-4 hours",R62="1 day"), OR(K62="Medium",K62="High",K62="Critical")), "Yes - Quick Win", "No")</f>
        <v/>
      </c>
      <c r="X62" s="8" t="n"/>
      <c r="Y62" s="8" t="n"/>
    </row>
    <row r="63">
      <c r="A63">
        <f>IF(B63&lt;&gt;"", ROW()-1, "")</f>
        <v/>
      </c>
      <c r="B63">
        <f>Remediation_Tracking!A63</f>
        <v/>
      </c>
      <c r="C63">
        <f>Remediation_Tracking!D63</f>
        <v/>
      </c>
      <c r="D63">
        <f>Remediation_Tracking!E63</f>
        <v/>
      </c>
      <c r="E63">
        <f>Remediation_Tracking!F63</f>
        <v/>
      </c>
      <c r="F63">
        <f>Remediation_Tracking!C63</f>
        <v/>
      </c>
      <c r="G63">
        <f>Remediation_Tracking!H63</f>
        <v/>
      </c>
      <c r="H63">
        <f>Remediation_Tracking!I63</f>
        <v/>
      </c>
      <c r="I63">
        <f>Remediation_Tracking!G63</f>
        <v/>
      </c>
      <c r="J63">
        <f>Remediation_Tracking!J63</f>
        <v/>
      </c>
      <c r="K63">
        <f>Remediation_Tracking!L63</f>
        <v/>
      </c>
      <c r="L63">
        <f>Remediation_Tracking!K63</f>
        <v/>
      </c>
      <c r="M63" s="8" t="inlineStr">
        <is>
          <t>Medium</t>
        </is>
      </c>
      <c r="N63">
        <f>Remediation_Tracking!M63</f>
        <v/>
      </c>
      <c r="O63" s="26">
        <f>IF(E63="", "", (IF(E63="Critical",5,IF(E63="High",4,IF(E63="Medium",3,2)))*10) + (IF(J63="Critical",5,IF(J63="High",4,IF(J63="Medium",3,2)))*8) + (IF(M63="Very High",5,IF(M63="High",4,IF(M63="Medium",3,IF(M63="Low",2,1))))*6) + (IF(T63&lt;0, ABS(T63)/7*2, 0)))</f>
        <v/>
      </c>
      <c r="P63">
        <f>IF(O63="", "", IF(AND(E63="Critical", OR(K63="Critical",K63="High"), T63&lt;0), "P0 - Critical &amp; Urgent", IF(AND(E63="Critical", OR(K63="Critical",K63="High")), "P1 - Critical", IF(OR(AND(E63="High",K63="High"),AND(E63="Critical",K63="Medium")), "P2 - High Priority", IF(OR(AND(E63="Medium",K63="High"),AND(E63="High",K63="Medium")), "P3 - Medium Priority", "P4 - Low Priority")))))</f>
        <v/>
      </c>
      <c r="Q63">
        <f>Remediation_Tracking!S63</f>
        <v/>
      </c>
      <c r="R63">
        <f>Remediation_Tracking!U63</f>
        <v/>
      </c>
      <c r="S63">
        <f>Remediation_Tracking!Z63</f>
        <v/>
      </c>
      <c r="T63" s="17">
        <f>IF(S63&lt;&gt;"", S63-TODAY(), "")</f>
        <v/>
      </c>
      <c r="U63">
        <f>Remediation_Tracking!AE63</f>
        <v/>
      </c>
      <c r="V63">
        <f>Remediation_Tracking!W63</f>
        <v/>
      </c>
      <c r="W63">
        <f>IF(AND(OR(R63="&lt;1 hour",R63="1-4 hours",R63="1 day"), OR(K63="Medium",K63="High",K63="Critical")), "Yes - Quick Win", "No")</f>
        <v/>
      </c>
      <c r="X63" s="8" t="n"/>
      <c r="Y63" s="8" t="n"/>
    </row>
    <row r="64">
      <c r="A64">
        <f>IF(B64&lt;&gt;"", ROW()-1, "")</f>
        <v/>
      </c>
      <c r="B64">
        <f>Remediation_Tracking!A64</f>
        <v/>
      </c>
      <c r="C64">
        <f>Remediation_Tracking!D64</f>
        <v/>
      </c>
      <c r="D64">
        <f>Remediation_Tracking!E64</f>
        <v/>
      </c>
      <c r="E64">
        <f>Remediation_Tracking!F64</f>
        <v/>
      </c>
      <c r="F64">
        <f>Remediation_Tracking!C64</f>
        <v/>
      </c>
      <c r="G64">
        <f>Remediation_Tracking!H64</f>
        <v/>
      </c>
      <c r="H64">
        <f>Remediation_Tracking!I64</f>
        <v/>
      </c>
      <c r="I64">
        <f>Remediation_Tracking!G64</f>
        <v/>
      </c>
      <c r="J64">
        <f>Remediation_Tracking!J64</f>
        <v/>
      </c>
      <c r="K64">
        <f>Remediation_Tracking!L64</f>
        <v/>
      </c>
      <c r="L64">
        <f>Remediation_Tracking!K64</f>
        <v/>
      </c>
      <c r="M64" s="8" t="inlineStr">
        <is>
          <t>Medium</t>
        </is>
      </c>
      <c r="N64">
        <f>Remediation_Tracking!M64</f>
        <v/>
      </c>
      <c r="O64" s="26">
        <f>IF(E64="", "", (IF(E64="Critical",5,IF(E64="High",4,IF(E64="Medium",3,2)))*10) + (IF(J64="Critical",5,IF(J64="High",4,IF(J64="Medium",3,2)))*8) + (IF(M64="Very High",5,IF(M64="High",4,IF(M64="Medium",3,IF(M64="Low",2,1))))*6) + (IF(T64&lt;0, ABS(T64)/7*2, 0)))</f>
        <v/>
      </c>
      <c r="P64">
        <f>IF(O64="", "", IF(AND(E64="Critical", OR(K64="Critical",K64="High"), T64&lt;0), "P0 - Critical &amp; Urgent", IF(AND(E64="Critical", OR(K64="Critical",K64="High")), "P1 - Critical", IF(OR(AND(E64="High",K64="High"),AND(E64="Critical",K64="Medium")), "P2 - High Priority", IF(OR(AND(E64="Medium",K64="High"),AND(E64="High",K64="Medium")), "P3 - Medium Priority", "P4 - Low Priority")))))</f>
        <v/>
      </c>
      <c r="Q64">
        <f>Remediation_Tracking!S64</f>
        <v/>
      </c>
      <c r="R64">
        <f>Remediation_Tracking!U64</f>
        <v/>
      </c>
      <c r="S64">
        <f>Remediation_Tracking!Z64</f>
        <v/>
      </c>
      <c r="T64" s="17">
        <f>IF(S64&lt;&gt;"", S64-TODAY(), "")</f>
        <v/>
      </c>
      <c r="U64">
        <f>Remediation_Tracking!AE64</f>
        <v/>
      </c>
      <c r="V64">
        <f>Remediation_Tracking!W64</f>
        <v/>
      </c>
      <c r="W64">
        <f>IF(AND(OR(R64="&lt;1 hour",R64="1-4 hours",R64="1 day"), OR(K64="Medium",K64="High",K64="Critical")), "Yes - Quick Win", "No")</f>
        <v/>
      </c>
      <c r="X64" s="8" t="n"/>
      <c r="Y64" s="8" t="n"/>
    </row>
    <row r="65">
      <c r="A65">
        <f>IF(B65&lt;&gt;"", ROW()-1, "")</f>
        <v/>
      </c>
      <c r="B65">
        <f>Remediation_Tracking!A65</f>
        <v/>
      </c>
      <c r="C65">
        <f>Remediation_Tracking!D65</f>
        <v/>
      </c>
      <c r="D65">
        <f>Remediation_Tracking!E65</f>
        <v/>
      </c>
      <c r="E65">
        <f>Remediation_Tracking!F65</f>
        <v/>
      </c>
      <c r="F65">
        <f>Remediation_Tracking!C65</f>
        <v/>
      </c>
      <c r="G65">
        <f>Remediation_Tracking!H65</f>
        <v/>
      </c>
      <c r="H65">
        <f>Remediation_Tracking!I65</f>
        <v/>
      </c>
      <c r="I65">
        <f>Remediation_Tracking!G65</f>
        <v/>
      </c>
      <c r="J65">
        <f>Remediation_Tracking!J65</f>
        <v/>
      </c>
      <c r="K65">
        <f>Remediation_Tracking!L65</f>
        <v/>
      </c>
      <c r="L65">
        <f>Remediation_Tracking!K65</f>
        <v/>
      </c>
      <c r="M65" s="8" t="inlineStr">
        <is>
          <t>Medium</t>
        </is>
      </c>
      <c r="N65">
        <f>Remediation_Tracking!M65</f>
        <v/>
      </c>
      <c r="O65" s="26">
        <f>IF(E65="", "", (IF(E65="Critical",5,IF(E65="High",4,IF(E65="Medium",3,2)))*10) + (IF(J65="Critical",5,IF(J65="High",4,IF(J65="Medium",3,2)))*8) + (IF(M65="Very High",5,IF(M65="High",4,IF(M65="Medium",3,IF(M65="Low",2,1))))*6) + (IF(T65&lt;0, ABS(T65)/7*2, 0)))</f>
        <v/>
      </c>
      <c r="P65">
        <f>IF(O65="", "", IF(AND(E65="Critical", OR(K65="Critical",K65="High"), T65&lt;0), "P0 - Critical &amp; Urgent", IF(AND(E65="Critical", OR(K65="Critical",K65="High")), "P1 - Critical", IF(OR(AND(E65="High",K65="High"),AND(E65="Critical",K65="Medium")), "P2 - High Priority", IF(OR(AND(E65="Medium",K65="High"),AND(E65="High",K65="Medium")), "P3 - Medium Priority", "P4 - Low Priority")))))</f>
        <v/>
      </c>
      <c r="Q65">
        <f>Remediation_Tracking!S65</f>
        <v/>
      </c>
      <c r="R65">
        <f>Remediation_Tracking!U65</f>
        <v/>
      </c>
      <c r="S65">
        <f>Remediation_Tracking!Z65</f>
        <v/>
      </c>
      <c r="T65" s="17">
        <f>IF(S65&lt;&gt;"", S65-TODAY(), "")</f>
        <v/>
      </c>
      <c r="U65">
        <f>Remediation_Tracking!AE65</f>
        <v/>
      </c>
      <c r="V65">
        <f>Remediation_Tracking!W65</f>
        <v/>
      </c>
      <c r="W65">
        <f>IF(AND(OR(R65="&lt;1 hour",R65="1-4 hours",R65="1 day"), OR(K65="Medium",K65="High",K65="Critical")), "Yes - Quick Win", "No")</f>
        <v/>
      </c>
      <c r="X65" s="8" t="n"/>
      <c r="Y65" s="8" t="n"/>
    </row>
    <row r="66">
      <c r="A66">
        <f>IF(B66&lt;&gt;"", ROW()-1, "")</f>
        <v/>
      </c>
      <c r="B66">
        <f>Remediation_Tracking!A66</f>
        <v/>
      </c>
      <c r="C66">
        <f>Remediation_Tracking!D66</f>
        <v/>
      </c>
      <c r="D66">
        <f>Remediation_Tracking!E66</f>
        <v/>
      </c>
      <c r="E66">
        <f>Remediation_Tracking!F66</f>
        <v/>
      </c>
      <c r="F66">
        <f>Remediation_Tracking!C66</f>
        <v/>
      </c>
      <c r="G66">
        <f>Remediation_Tracking!H66</f>
        <v/>
      </c>
      <c r="H66">
        <f>Remediation_Tracking!I66</f>
        <v/>
      </c>
      <c r="I66">
        <f>Remediation_Tracking!G66</f>
        <v/>
      </c>
      <c r="J66">
        <f>Remediation_Tracking!J66</f>
        <v/>
      </c>
      <c r="K66">
        <f>Remediation_Tracking!L66</f>
        <v/>
      </c>
      <c r="L66">
        <f>Remediation_Tracking!K66</f>
        <v/>
      </c>
      <c r="M66" s="8" t="inlineStr">
        <is>
          <t>Medium</t>
        </is>
      </c>
      <c r="N66">
        <f>Remediation_Tracking!M66</f>
        <v/>
      </c>
      <c r="O66" s="26">
        <f>IF(E66="", "", (IF(E66="Critical",5,IF(E66="High",4,IF(E66="Medium",3,2)))*10) + (IF(J66="Critical",5,IF(J66="High",4,IF(J66="Medium",3,2)))*8) + (IF(M66="Very High",5,IF(M66="High",4,IF(M66="Medium",3,IF(M66="Low",2,1))))*6) + (IF(T66&lt;0, ABS(T66)/7*2, 0)))</f>
        <v/>
      </c>
      <c r="P66">
        <f>IF(O66="", "", IF(AND(E66="Critical", OR(K66="Critical",K66="High"), T66&lt;0), "P0 - Critical &amp; Urgent", IF(AND(E66="Critical", OR(K66="Critical",K66="High")), "P1 - Critical", IF(OR(AND(E66="High",K66="High"),AND(E66="Critical",K66="Medium")), "P2 - High Priority", IF(OR(AND(E66="Medium",K66="High"),AND(E66="High",K66="Medium")), "P3 - Medium Priority", "P4 - Low Priority")))))</f>
        <v/>
      </c>
      <c r="Q66">
        <f>Remediation_Tracking!S66</f>
        <v/>
      </c>
      <c r="R66">
        <f>Remediation_Tracking!U66</f>
        <v/>
      </c>
      <c r="S66">
        <f>Remediation_Tracking!Z66</f>
        <v/>
      </c>
      <c r="T66" s="17">
        <f>IF(S66&lt;&gt;"", S66-TODAY(), "")</f>
        <v/>
      </c>
      <c r="U66">
        <f>Remediation_Tracking!AE66</f>
        <v/>
      </c>
      <c r="V66">
        <f>Remediation_Tracking!W66</f>
        <v/>
      </c>
      <c r="W66">
        <f>IF(AND(OR(R66="&lt;1 hour",R66="1-4 hours",R66="1 day"), OR(K66="Medium",K66="High",K66="Critical")), "Yes - Quick Win", "No")</f>
        <v/>
      </c>
      <c r="X66" s="8" t="n"/>
      <c r="Y66" s="8" t="n"/>
    </row>
    <row r="67">
      <c r="A67">
        <f>IF(B67&lt;&gt;"", ROW()-1, "")</f>
        <v/>
      </c>
      <c r="B67">
        <f>Remediation_Tracking!A67</f>
        <v/>
      </c>
      <c r="C67">
        <f>Remediation_Tracking!D67</f>
        <v/>
      </c>
      <c r="D67">
        <f>Remediation_Tracking!E67</f>
        <v/>
      </c>
      <c r="E67">
        <f>Remediation_Tracking!F67</f>
        <v/>
      </c>
      <c r="F67">
        <f>Remediation_Tracking!C67</f>
        <v/>
      </c>
      <c r="G67">
        <f>Remediation_Tracking!H67</f>
        <v/>
      </c>
      <c r="H67">
        <f>Remediation_Tracking!I67</f>
        <v/>
      </c>
      <c r="I67">
        <f>Remediation_Tracking!G67</f>
        <v/>
      </c>
      <c r="J67">
        <f>Remediation_Tracking!J67</f>
        <v/>
      </c>
      <c r="K67">
        <f>Remediation_Tracking!L67</f>
        <v/>
      </c>
      <c r="L67">
        <f>Remediation_Tracking!K67</f>
        <v/>
      </c>
      <c r="M67" s="8" t="inlineStr">
        <is>
          <t>Medium</t>
        </is>
      </c>
      <c r="N67">
        <f>Remediation_Tracking!M67</f>
        <v/>
      </c>
      <c r="O67" s="26">
        <f>IF(E67="", "", (IF(E67="Critical",5,IF(E67="High",4,IF(E67="Medium",3,2)))*10) + (IF(J67="Critical",5,IF(J67="High",4,IF(J67="Medium",3,2)))*8) + (IF(M67="Very High",5,IF(M67="High",4,IF(M67="Medium",3,IF(M67="Low",2,1))))*6) + (IF(T67&lt;0, ABS(T67)/7*2, 0)))</f>
        <v/>
      </c>
      <c r="P67">
        <f>IF(O67="", "", IF(AND(E67="Critical", OR(K67="Critical",K67="High"), T67&lt;0), "P0 - Critical &amp; Urgent", IF(AND(E67="Critical", OR(K67="Critical",K67="High")), "P1 - Critical", IF(OR(AND(E67="High",K67="High"),AND(E67="Critical",K67="Medium")), "P2 - High Priority", IF(OR(AND(E67="Medium",K67="High"),AND(E67="High",K67="Medium")), "P3 - Medium Priority", "P4 - Low Priority")))))</f>
        <v/>
      </c>
      <c r="Q67">
        <f>Remediation_Tracking!S67</f>
        <v/>
      </c>
      <c r="R67">
        <f>Remediation_Tracking!U67</f>
        <v/>
      </c>
      <c r="S67">
        <f>Remediation_Tracking!Z67</f>
        <v/>
      </c>
      <c r="T67" s="17">
        <f>IF(S67&lt;&gt;"", S67-TODAY(), "")</f>
        <v/>
      </c>
      <c r="U67">
        <f>Remediation_Tracking!AE67</f>
        <v/>
      </c>
      <c r="V67">
        <f>Remediation_Tracking!W67</f>
        <v/>
      </c>
      <c r="W67">
        <f>IF(AND(OR(R67="&lt;1 hour",R67="1-4 hours",R67="1 day"), OR(K67="Medium",K67="High",K67="Critical")), "Yes - Quick Win", "No")</f>
        <v/>
      </c>
      <c r="X67" s="8" t="n"/>
      <c r="Y67" s="8" t="n"/>
    </row>
    <row r="68">
      <c r="A68">
        <f>IF(B68&lt;&gt;"", ROW()-1, "")</f>
        <v/>
      </c>
      <c r="B68">
        <f>Remediation_Tracking!A68</f>
        <v/>
      </c>
      <c r="C68">
        <f>Remediation_Tracking!D68</f>
        <v/>
      </c>
      <c r="D68">
        <f>Remediation_Tracking!E68</f>
        <v/>
      </c>
      <c r="E68">
        <f>Remediation_Tracking!F68</f>
        <v/>
      </c>
      <c r="F68">
        <f>Remediation_Tracking!C68</f>
        <v/>
      </c>
      <c r="G68">
        <f>Remediation_Tracking!H68</f>
        <v/>
      </c>
      <c r="H68">
        <f>Remediation_Tracking!I68</f>
        <v/>
      </c>
      <c r="I68">
        <f>Remediation_Tracking!G68</f>
        <v/>
      </c>
      <c r="J68">
        <f>Remediation_Tracking!J68</f>
        <v/>
      </c>
      <c r="K68">
        <f>Remediation_Tracking!L68</f>
        <v/>
      </c>
      <c r="L68">
        <f>Remediation_Tracking!K68</f>
        <v/>
      </c>
      <c r="M68" s="8" t="inlineStr">
        <is>
          <t>Medium</t>
        </is>
      </c>
      <c r="N68">
        <f>Remediation_Tracking!M68</f>
        <v/>
      </c>
      <c r="O68" s="26">
        <f>IF(E68="", "", (IF(E68="Critical",5,IF(E68="High",4,IF(E68="Medium",3,2)))*10) + (IF(J68="Critical",5,IF(J68="High",4,IF(J68="Medium",3,2)))*8) + (IF(M68="Very High",5,IF(M68="High",4,IF(M68="Medium",3,IF(M68="Low",2,1))))*6) + (IF(T68&lt;0, ABS(T68)/7*2, 0)))</f>
        <v/>
      </c>
      <c r="P68">
        <f>IF(O68="", "", IF(AND(E68="Critical", OR(K68="Critical",K68="High"), T68&lt;0), "P0 - Critical &amp; Urgent", IF(AND(E68="Critical", OR(K68="Critical",K68="High")), "P1 - Critical", IF(OR(AND(E68="High",K68="High"),AND(E68="Critical",K68="Medium")), "P2 - High Priority", IF(OR(AND(E68="Medium",K68="High"),AND(E68="High",K68="Medium")), "P3 - Medium Priority", "P4 - Low Priority")))))</f>
        <v/>
      </c>
      <c r="Q68">
        <f>Remediation_Tracking!S68</f>
        <v/>
      </c>
      <c r="R68">
        <f>Remediation_Tracking!U68</f>
        <v/>
      </c>
      <c r="S68">
        <f>Remediation_Tracking!Z68</f>
        <v/>
      </c>
      <c r="T68" s="17">
        <f>IF(S68&lt;&gt;"", S68-TODAY(), "")</f>
        <v/>
      </c>
      <c r="U68">
        <f>Remediation_Tracking!AE68</f>
        <v/>
      </c>
      <c r="V68">
        <f>Remediation_Tracking!W68</f>
        <v/>
      </c>
      <c r="W68">
        <f>IF(AND(OR(R68="&lt;1 hour",R68="1-4 hours",R68="1 day"), OR(K68="Medium",K68="High",K68="Critical")), "Yes - Quick Win", "No")</f>
        <v/>
      </c>
      <c r="X68" s="8" t="n"/>
      <c r="Y68" s="8" t="n"/>
    </row>
    <row r="69">
      <c r="A69">
        <f>IF(B69&lt;&gt;"", ROW()-1, "")</f>
        <v/>
      </c>
      <c r="B69">
        <f>Remediation_Tracking!A69</f>
        <v/>
      </c>
      <c r="C69">
        <f>Remediation_Tracking!D69</f>
        <v/>
      </c>
      <c r="D69">
        <f>Remediation_Tracking!E69</f>
        <v/>
      </c>
      <c r="E69">
        <f>Remediation_Tracking!F69</f>
        <v/>
      </c>
      <c r="F69">
        <f>Remediation_Tracking!C69</f>
        <v/>
      </c>
      <c r="G69">
        <f>Remediation_Tracking!H69</f>
        <v/>
      </c>
      <c r="H69">
        <f>Remediation_Tracking!I69</f>
        <v/>
      </c>
      <c r="I69">
        <f>Remediation_Tracking!G69</f>
        <v/>
      </c>
      <c r="J69">
        <f>Remediation_Tracking!J69</f>
        <v/>
      </c>
      <c r="K69">
        <f>Remediation_Tracking!L69</f>
        <v/>
      </c>
      <c r="L69">
        <f>Remediation_Tracking!K69</f>
        <v/>
      </c>
      <c r="M69" s="8" t="inlineStr">
        <is>
          <t>Medium</t>
        </is>
      </c>
      <c r="N69">
        <f>Remediation_Tracking!M69</f>
        <v/>
      </c>
      <c r="O69" s="26">
        <f>IF(E69="", "", (IF(E69="Critical",5,IF(E69="High",4,IF(E69="Medium",3,2)))*10) + (IF(J69="Critical",5,IF(J69="High",4,IF(J69="Medium",3,2)))*8) + (IF(M69="Very High",5,IF(M69="High",4,IF(M69="Medium",3,IF(M69="Low",2,1))))*6) + (IF(T69&lt;0, ABS(T69)/7*2, 0)))</f>
        <v/>
      </c>
      <c r="P69">
        <f>IF(O69="", "", IF(AND(E69="Critical", OR(K69="Critical",K69="High"), T69&lt;0), "P0 - Critical &amp; Urgent", IF(AND(E69="Critical", OR(K69="Critical",K69="High")), "P1 - Critical", IF(OR(AND(E69="High",K69="High"),AND(E69="Critical",K69="Medium")), "P2 - High Priority", IF(OR(AND(E69="Medium",K69="High"),AND(E69="High",K69="Medium")), "P3 - Medium Priority", "P4 - Low Priority")))))</f>
        <v/>
      </c>
      <c r="Q69">
        <f>Remediation_Tracking!S69</f>
        <v/>
      </c>
      <c r="R69">
        <f>Remediation_Tracking!U69</f>
        <v/>
      </c>
      <c r="S69">
        <f>Remediation_Tracking!Z69</f>
        <v/>
      </c>
      <c r="T69" s="17">
        <f>IF(S69&lt;&gt;"", S69-TODAY(), "")</f>
        <v/>
      </c>
      <c r="U69">
        <f>Remediation_Tracking!AE69</f>
        <v/>
      </c>
      <c r="V69">
        <f>Remediation_Tracking!W69</f>
        <v/>
      </c>
      <c r="W69">
        <f>IF(AND(OR(R69="&lt;1 hour",R69="1-4 hours",R69="1 day"), OR(K69="Medium",K69="High",K69="Critical")), "Yes - Quick Win", "No")</f>
        <v/>
      </c>
      <c r="X69" s="8" t="n"/>
      <c r="Y69" s="8" t="n"/>
    </row>
    <row r="70">
      <c r="A70">
        <f>IF(B70&lt;&gt;"", ROW()-1, "")</f>
        <v/>
      </c>
      <c r="B70">
        <f>Remediation_Tracking!A70</f>
        <v/>
      </c>
      <c r="C70">
        <f>Remediation_Tracking!D70</f>
        <v/>
      </c>
      <c r="D70">
        <f>Remediation_Tracking!E70</f>
        <v/>
      </c>
      <c r="E70">
        <f>Remediation_Tracking!F70</f>
        <v/>
      </c>
      <c r="F70">
        <f>Remediation_Tracking!C70</f>
        <v/>
      </c>
      <c r="G70">
        <f>Remediation_Tracking!H70</f>
        <v/>
      </c>
      <c r="H70">
        <f>Remediation_Tracking!I70</f>
        <v/>
      </c>
      <c r="I70">
        <f>Remediation_Tracking!G70</f>
        <v/>
      </c>
      <c r="J70">
        <f>Remediation_Tracking!J70</f>
        <v/>
      </c>
      <c r="K70">
        <f>Remediation_Tracking!L70</f>
        <v/>
      </c>
      <c r="L70">
        <f>Remediation_Tracking!K70</f>
        <v/>
      </c>
      <c r="M70" s="8" t="inlineStr">
        <is>
          <t>Medium</t>
        </is>
      </c>
      <c r="N70">
        <f>Remediation_Tracking!M70</f>
        <v/>
      </c>
      <c r="O70" s="26">
        <f>IF(E70="", "", (IF(E70="Critical",5,IF(E70="High",4,IF(E70="Medium",3,2)))*10) + (IF(J70="Critical",5,IF(J70="High",4,IF(J70="Medium",3,2)))*8) + (IF(M70="Very High",5,IF(M70="High",4,IF(M70="Medium",3,IF(M70="Low",2,1))))*6) + (IF(T70&lt;0, ABS(T70)/7*2, 0)))</f>
        <v/>
      </c>
      <c r="P70">
        <f>IF(O70="", "", IF(AND(E70="Critical", OR(K70="Critical",K70="High"), T70&lt;0), "P0 - Critical &amp; Urgent", IF(AND(E70="Critical", OR(K70="Critical",K70="High")), "P1 - Critical", IF(OR(AND(E70="High",K70="High"),AND(E70="Critical",K70="Medium")), "P2 - High Priority", IF(OR(AND(E70="Medium",K70="High"),AND(E70="High",K70="Medium")), "P3 - Medium Priority", "P4 - Low Priority")))))</f>
        <v/>
      </c>
      <c r="Q70">
        <f>Remediation_Tracking!S70</f>
        <v/>
      </c>
      <c r="R70">
        <f>Remediation_Tracking!U70</f>
        <v/>
      </c>
      <c r="S70">
        <f>Remediation_Tracking!Z70</f>
        <v/>
      </c>
      <c r="T70" s="17">
        <f>IF(S70&lt;&gt;"", S70-TODAY(), "")</f>
        <v/>
      </c>
      <c r="U70">
        <f>Remediation_Tracking!AE70</f>
        <v/>
      </c>
      <c r="V70">
        <f>Remediation_Tracking!W70</f>
        <v/>
      </c>
      <c r="W70">
        <f>IF(AND(OR(R70="&lt;1 hour",R70="1-4 hours",R70="1 day"), OR(K70="Medium",K70="High",K70="Critical")), "Yes - Quick Win", "No")</f>
        <v/>
      </c>
      <c r="X70" s="8" t="n"/>
      <c r="Y70" s="8" t="n"/>
    </row>
    <row r="71">
      <c r="A71">
        <f>IF(B71&lt;&gt;"", ROW()-1, "")</f>
        <v/>
      </c>
      <c r="B71">
        <f>Remediation_Tracking!A71</f>
        <v/>
      </c>
      <c r="C71">
        <f>Remediation_Tracking!D71</f>
        <v/>
      </c>
      <c r="D71">
        <f>Remediation_Tracking!E71</f>
        <v/>
      </c>
      <c r="E71">
        <f>Remediation_Tracking!F71</f>
        <v/>
      </c>
      <c r="F71">
        <f>Remediation_Tracking!C71</f>
        <v/>
      </c>
      <c r="G71">
        <f>Remediation_Tracking!H71</f>
        <v/>
      </c>
      <c r="H71">
        <f>Remediation_Tracking!I71</f>
        <v/>
      </c>
      <c r="I71">
        <f>Remediation_Tracking!G71</f>
        <v/>
      </c>
      <c r="J71">
        <f>Remediation_Tracking!J71</f>
        <v/>
      </c>
      <c r="K71">
        <f>Remediation_Tracking!L71</f>
        <v/>
      </c>
      <c r="L71">
        <f>Remediation_Tracking!K71</f>
        <v/>
      </c>
      <c r="M71" s="8" t="inlineStr">
        <is>
          <t>Medium</t>
        </is>
      </c>
      <c r="N71">
        <f>Remediation_Tracking!M71</f>
        <v/>
      </c>
      <c r="O71" s="26">
        <f>IF(E71="", "", (IF(E71="Critical",5,IF(E71="High",4,IF(E71="Medium",3,2)))*10) + (IF(J71="Critical",5,IF(J71="High",4,IF(J71="Medium",3,2)))*8) + (IF(M71="Very High",5,IF(M71="High",4,IF(M71="Medium",3,IF(M71="Low",2,1))))*6) + (IF(T71&lt;0, ABS(T71)/7*2, 0)))</f>
        <v/>
      </c>
      <c r="P71">
        <f>IF(O71="", "", IF(AND(E71="Critical", OR(K71="Critical",K71="High"), T71&lt;0), "P0 - Critical &amp; Urgent", IF(AND(E71="Critical", OR(K71="Critical",K71="High")), "P1 - Critical", IF(OR(AND(E71="High",K71="High"),AND(E71="Critical",K71="Medium")), "P2 - High Priority", IF(OR(AND(E71="Medium",K71="High"),AND(E71="High",K71="Medium")), "P3 - Medium Priority", "P4 - Low Priority")))))</f>
        <v/>
      </c>
      <c r="Q71">
        <f>Remediation_Tracking!S71</f>
        <v/>
      </c>
      <c r="R71">
        <f>Remediation_Tracking!U71</f>
        <v/>
      </c>
      <c r="S71">
        <f>Remediation_Tracking!Z71</f>
        <v/>
      </c>
      <c r="T71" s="17">
        <f>IF(S71&lt;&gt;"", S71-TODAY(), "")</f>
        <v/>
      </c>
      <c r="U71">
        <f>Remediation_Tracking!AE71</f>
        <v/>
      </c>
      <c r="V71">
        <f>Remediation_Tracking!W71</f>
        <v/>
      </c>
      <c r="W71">
        <f>IF(AND(OR(R71="&lt;1 hour",R71="1-4 hours",R71="1 day"), OR(K71="Medium",K71="High",K71="Critical")), "Yes - Quick Win", "No")</f>
        <v/>
      </c>
      <c r="X71" s="8" t="n"/>
      <c r="Y71" s="8" t="n"/>
    </row>
    <row r="72">
      <c r="A72">
        <f>IF(B72&lt;&gt;"", ROW()-1, "")</f>
        <v/>
      </c>
      <c r="B72">
        <f>Remediation_Tracking!A72</f>
        <v/>
      </c>
      <c r="C72">
        <f>Remediation_Tracking!D72</f>
        <v/>
      </c>
      <c r="D72">
        <f>Remediation_Tracking!E72</f>
        <v/>
      </c>
      <c r="E72">
        <f>Remediation_Tracking!F72</f>
        <v/>
      </c>
      <c r="F72">
        <f>Remediation_Tracking!C72</f>
        <v/>
      </c>
      <c r="G72">
        <f>Remediation_Tracking!H72</f>
        <v/>
      </c>
      <c r="H72">
        <f>Remediation_Tracking!I72</f>
        <v/>
      </c>
      <c r="I72">
        <f>Remediation_Tracking!G72</f>
        <v/>
      </c>
      <c r="J72">
        <f>Remediation_Tracking!J72</f>
        <v/>
      </c>
      <c r="K72">
        <f>Remediation_Tracking!L72</f>
        <v/>
      </c>
      <c r="L72">
        <f>Remediation_Tracking!K72</f>
        <v/>
      </c>
      <c r="M72" s="8" t="inlineStr">
        <is>
          <t>Medium</t>
        </is>
      </c>
      <c r="N72">
        <f>Remediation_Tracking!M72</f>
        <v/>
      </c>
      <c r="O72" s="26">
        <f>IF(E72="", "", (IF(E72="Critical",5,IF(E72="High",4,IF(E72="Medium",3,2)))*10) + (IF(J72="Critical",5,IF(J72="High",4,IF(J72="Medium",3,2)))*8) + (IF(M72="Very High",5,IF(M72="High",4,IF(M72="Medium",3,IF(M72="Low",2,1))))*6) + (IF(T72&lt;0, ABS(T72)/7*2, 0)))</f>
        <v/>
      </c>
      <c r="P72">
        <f>IF(O72="", "", IF(AND(E72="Critical", OR(K72="Critical",K72="High"), T72&lt;0), "P0 - Critical &amp; Urgent", IF(AND(E72="Critical", OR(K72="Critical",K72="High")), "P1 - Critical", IF(OR(AND(E72="High",K72="High"),AND(E72="Critical",K72="Medium")), "P2 - High Priority", IF(OR(AND(E72="Medium",K72="High"),AND(E72="High",K72="Medium")), "P3 - Medium Priority", "P4 - Low Priority")))))</f>
        <v/>
      </c>
      <c r="Q72">
        <f>Remediation_Tracking!S72</f>
        <v/>
      </c>
      <c r="R72">
        <f>Remediation_Tracking!U72</f>
        <v/>
      </c>
      <c r="S72">
        <f>Remediation_Tracking!Z72</f>
        <v/>
      </c>
      <c r="T72" s="17">
        <f>IF(S72&lt;&gt;"", S72-TODAY(), "")</f>
        <v/>
      </c>
      <c r="U72">
        <f>Remediation_Tracking!AE72</f>
        <v/>
      </c>
      <c r="V72">
        <f>Remediation_Tracking!W72</f>
        <v/>
      </c>
      <c r="W72">
        <f>IF(AND(OR(R72="&lt;1 hour",R72="1-4 hours",R72="1 day"), OR(K72="Medium",K72="High",K72="Critical")), "Yes - Quick Win", "No")</f>
        <v/>
      </c>
      <c r="X72" s="8" t="n"/>
      <c r="Y72" s="8" t="n"/>
    </row>
    <row r="73">
      <c r="A73">
        <f>IF(B73&lt;&gt;"", ROW()-1, "")</f>
        <v/>
      </c>
      <c r="B73">
        <f>Remediation_Tracking!A73</f>
        <v/>
      </c>
      <c r="C73">
        <f>Remediation_Tracking!D73</f>
        <v/>
      </c>
      <c r="D73">
        <f>Remediation_Tracking!E73</f>
        <v/>
      </c>
      <c r="E73">
        <f>Remediation_Tracking!F73</f>
        <v/>
      </c>
      <c r="F73">
        <f>Remediation_Tracking!C73</f>
        <v/>
      </c>
      <c r="G73">
        <f>Remediation_Tracking!H73</f>
        <v/>
      </c>
      <c r="H73">
        <f>Remediation_Tracking!I73</f>
        <v/>
      </c>
      <c r="I73">
        <f>Remediation_Tracking!G73</f>
        <v/>
      </c>
      <c r="J73">
        <f>Remediation_Tracking!J73</f>
        <v/>
      </c>
      <c r="K73">
        <f>Remediation_Tracking!L73</f>
        <v/>
      </c>
      <c r="L73">
        <f>Remediation_Tracking!K73</f>
        <v/>
      </c>
      <c r="M73" s="8" t="inlineStr">
        <is>
          <t>Medium</t>
        </is>
      </c>
      <c r="N73">
        <f>Remediation_Tracking!M73</f>
        <v/>
      </c>
      <c r="O73" s="26">
        <f>IF(E73="", "", (IF(E73="Critical",5,IF(E73="High",4,IF(E73="Medium",3,2)))*10) + (IF(J73="Critical",5,IF(J73="High",4,IF(J73="Medium",3,2)))*8) + (IF(M73="Very High",5,IF(M73="High",4,IF(M73="Medium",3,IF(M73="Low",2,1))))*6) + (IF(T73&lt;0, ABS(T73)/7*2, 0)))</f>
        <v/>
      </c>
      <c r="P73">
        <f>IF(O73="", "", IF(AND(E73="Critical", OR(K73="Critical",K73="High"), T73&lt;0), "P0 - Critical &amp; Urgent", IF(AND(E73="Critical", OR(K73="Critical",K73="High")), "P1 - Critical", IF(OR(AND(E73="High",K73="High"),AND(E73="Critical",K73="Medium")), "P2 - High Priority", IF(OR(AND(E73="Medium",K73="High"),AND(E73="High",K73="Medium")), "P3 - Medium Priority", "P4 - Low Priority")))))</f>
        <v/>
      </c>
      <c r="Q73">
        <f>Remediation_Tracking!S73</f>
        <v/>
      </c>
      <c r="R73">
        <f>Remediation_Tracking!U73</f>
        <v/>
      </c>
      <c r="S73">
        <f>Remediation_Tracking!Z73</f>
        <v/>
      </c>
      <c r="T73" s="17">
        <f>IF(S73&lt;&gt;"", S73-TODAY(), "")</f>
        <v/>
      </c>
      <c r="U73">
        <f>Remediation_Tracking!AE73</f>
        <v/>
      </c>
      <c r="V73">
        <f>Remediation_Tracking!W73</f>
        <v/>
      </c>
      <c r="W73">
        <f>IF(AND(OR(R73="&lt;1 hour",R73="1-4 hours",R73="1 day"), OR(K73="Medium",K73="High",K73="Critical")), "Yes - Quick Win", "No")</f>
        <v/>
      </c>
      <c r="X73" s="8" t="n"/>
      <c r="Y73" s="8" t="n"/>
    </row>
    <row r="74">
      <c r="A74">
        <f>IF(B74&lt;&gt;"", ROW()-1, "")</f>
        <v/>
      </c>
      <c r="B74">
        <f>Remediation_Tracking!A74</f>
        <v/>
      </c>
      <c r="C74">
        <f>Remediation_Tracking!D74</f>
        <v/>
      </c>
      <c r="D74">
        <f>Remediation_Tracking!E74</f>
        <v/>
      </c>
      <c r="E74">
        <f>Remediation_Tracking!F74</f>
        <v/>
      </c>
      <c r="F74">
        <f>Remediation_Tracking!C74</f>
        <v/>
      </c>
      <c r="G74">
        <f>Remediation_Tracking!H74</f>
        <v/>
      </c>
      <c r="H74">
        <f>Remediation_Tracking!I74</f>
        <v/>
      </c>
      <c r="I74">
        <f>Remediation_Tracking!G74</f>
        <v/>
      </c>
      <c r="J74">
        <f>Remediation_Tracking!J74</f>
        <v/>
      </c>
      <c r="K74">
        <f>Remediation_Tracking!L74</f>
        <v/>
      </c>
      <c r="L74">
        <f>Remediation_Tracking!K74</f>
        <v/>
      </c>
      <c r="M74" s="8" t="inlineStr">
        <is>
          <t>Medium</t>
        </is>
      </c>
      <c r="N74">
        <f>Remediation_Tracking!M74</f>
        <v/>
      </c>
      <c r="O74" s="26">
        <f>IF(E74="", "", (IF(E74="Critical",5,IF(E74="High",4,IF(E74="Medium",3,2)))*10) + (IF(J74="Critical",5,IF(J74="High",4,IF(J74="Medium",3,2)))*8) + (IF(M74="Very High",5,IF(M74="High",4,IF(M74="Medium",3,IF(M74="Low",2,1))))*6) + (IF(T74&lt;0, ABS(T74)/7*2, 0)))</f>
        <v/>
      </c>
      <c r="P74">
        <f>IF(O74="", "", IF(AND(E74="Critical", OR(K74="Critical",K74="High"), T74&lt;0), "P0 - Critical &amp; Urgent", IF(AND(E74="Critical", OR(K74="Critical",K74="High")), "P1 - Critical", IF(OR(AND(E74="High",K74="High"),AND(E74="Critical",K74="Medium")), "P2 - High Priority", IF(OR(AND(E74="Medium",K74="High"),AND(E74="High",K74="Medium")), "P3 - Medium Priority", "P4 - Low Priority")))))</f>
        <v/>
      </c>
      <c r="Q74">
        <f>Remediation_Tracking!S74</f>
        <v/>
      </c>
      <c r="R74">
        <f>Remediation_Tracking!U74</f>
        <v/>
      </c>
      <c r="S74">
        <f>Remediation_Tracking!Z74</f>
        <v/>
      </c>
      <c r="T74" s="17">
        <f>IF(S74&lt;&gt;"", S74-TODAY(), "")</f>
        <v/>
      </c>
      <c r="U74">
        <f>Remediation_Tracking!AE74</f>
        <v/>
      </c>
      <c r="V74">
        <f>Remediation_Tracking!W74</f>
        <v/>
      </c>
      <c r="W74">
        <f>IF(AND(OR(R74="&lt;1 hour",R74="1-4 hours",R74="1 day"), OR(K74="Medium",K74="High",K74="Critical")), "Yes - Quick Win", "No")</f>
        <v/>
      </c>
      <c r="X74" s="8" t="n"/>
      <c r="Y74" s="8" t="n"/>
    </row>
    <row r="75">
      <c r="A75">
        <f>IF(B75&lt;&gt;"", ROW()-1, "")</f>
        <v/>
      </c>
      <c r="B75">
        <f>Remediation_Tracking!A75</f>
        <v/>
      </c>
      <c r="C75">
        <f>Remediation_Tracking!D75</f>
        <v/>
      </c>
      <c r="D75">
        <f>Remediation_Tracking!E75</f>
        <v/>
      </c>
      <c r="E75">
        <f>Remediation_Tracking!F75</f>
        <v/>
      </c>
      <c r="F75">
        <f>Remediation_Tracking!C75</f>
        <v/>
      </c>
      <c r="G75">
        <f>Remediation_Tracking!H75</f>
        <v/>
      </c>
      <c r="H75">
        <f>Remediation_Tracking!I75</f>
        <v/>
      </c>
      <c r="I75">
        <f>Remediation_Tracking!G75</f>
        <v/>
      </c>
      <c r="J75">
        <f>Remediation_Tracking!J75</f>
        <v/>
      </c>
      <c r="K75">
        <f>Remediation_Tracking!L75</f>
        <v/>
      </c>
      <c r="L75">
        <f>Remediation_Tracking!K75</f>
        <v/>
      </c>
      <c r="M75" s="8" t="inlineStr">
        <is>
          <t>Medium</t>
        </is>
      </c>
      <c r="N75">
        <f>Remediation_Tracking!M75</f>
        <v/>
      </c>
      <c r="O75" s="26">
        <f>IF(E75="", "", (IF(E75="Critical",5,IF(E75="High",4,IF(E75="Medium",3,2)))*10) + (IF(J75="Critical",5,IF(J75="High",4,IF(J75="Medium",3,2)))*8) + (IF(M75="Very High",5,IF(M75="High",4,IF(M75="Medium",3,IF(M75="Low",2,1))))*6) + (IF(T75&lt;0, ABS(T75)/7*2, 0)))</f>
        <v/>
      </c>
      <c r="P75">
        <f>IF(O75="", "", IF(AND(E75="Critical", OR(K75="Critical",K75="High"), T75&lt;0), "P0 - Critical &amp; Urgent", IF(AND(E75="Critical", OR(K75="Critical",K75="High")), "P1 - Critical", IF(OR(AND(E75="High",K75="High"),AND(E75="Critical",K75="Medium")), "P2 - High Priority", IF(OR(AND(E75="Medium",K75="High"),AND(E75="High",K75="Medium")), "P3 - Medium Priority", "P4 - Low Priority")))))</f>
        <v/>
      </c>
      <c r="Q75">
        <f>Remediation_Tracking!S75</f>
        <v/>
      </c>
      <c r="R75">
        <f>Remediation_Tracking!U75</f>
        <v/>
      </c>
      <c r="S75">
        <f>Remediation_Tracking!Z75</f>
        <v/>
      </c>
      <c r="T75" s="17">
        <f>IF(S75&lt;&gt;"", S75-TODAY(), "")</f>
        <v/>
      </c>
      <c r="U75">
        <f>Remediation_Tracking!AE75</f>
        <v/>
      </c>
      <c r="V75">
        <f>Remediation_Tracking!W75</f>
        <v/>
      </c>
      <c r="W75">
        <f>IF(AND(OR(R75="&lt;1 hour",R75="1-4 hours",R75="1 day"), OR(K75="Medium",K75="High",K75="Critical")), "Yes - Quick Win", "No")</f>
        <v/>
      </c>
      <c r="X75" s="8" t="n"/>
      <c r="Y75" s="8" t="n"/>
    </row>
    <row r="76">
      <c r="A76">
        <f>IF(B76&lt;&gt;"", ROW()-1, "")</f>
        <v/>
      </c>
      <c r="B76">
        <f>Remediation_Tracking!A76</f>
        <v/>
      </c>
      <c r="C76">
        <f>Remediation_Tracking!D76</f>
        <v/>
      </c>
      <c r="D76">
        <f>Remediation_Tracking!E76</f>
        <v/>
      </c>
      <c r="E76">
        <f>Remediation_Tracking!F76</f>
        <v/>
      </c>
      <c r="F76">
        <f>Remediation_Tracking!C76</f>
        <v/>
      </c>
      <c r="G76">
        <f>Remediation_Tracking!H76</f>
        <v/>
      </c>
      <c r="H76">
        <f>Remediation_Tracking!I76</f>
        <v/>
      </c>
      <c r="I76">
        <f>Remediation_Tracking!G76</f>
        <v/>
      </c>
      <c r="J76">
        <f>Remediation_Tracking!J76</f>
        <v/>
      </c>
      <c r="K76">
        <f>Remediation_Tracking!L76</f>
        <v/>
      </c>
      <c r="L76">
        <f>Remediation_Tracking!K76</f>
        <v/>
      </c>
      <c r="M76" s="8" t="inlineStr">
        <is>
          <t>Medium</t>
        </is>
      </c>
      <c r="N76">
        <f>Remediation_Tracking!M76</f>
        <v/>
      </c>
      <c r="O76" s="26">
        <f>IF(E76="", "", (IF(E76="Critical",5,IF(E76="High",4,IF(E76="Medium",3,2)))*10) + (IF(J76="Critical",5,IF(J76="High",4,IF(J76="Medium",3,2)))*8) + (IF(M76="Very High",5,IF(M76="High",4,IF(M76="Medium",3,IF(M76="Low",2,1))))*6) + (IF(T76&lt;0, ABS(T76)/7*2, 0)))</f>
        <v/>
      </c>
      <c r="P76">
        <f>IF(O76="", "", IF(AND(E76="Critical", OR(K76="Critical",K76="High"), T76&lt;0), "P0 - Critical &amp; Urgent", IF(AND(E76="Critical", OR(K76="Critical",K76="High")), "P1 - Critical", IF(OR(AND(E76="High",K76="High"),AND(E76="Critical",K76="Medium")), "P2 - High Priority", IF(OR(AND(E76="Medium",K76="High"),AND(E76="High",K76="Medium")), "P3 - Medium Priority", "P4 - Low Priority")))))</f>
        <v/>
      </c>
      <c r="Q76">
        <f>Remediation_Tracking!S76</f>
        <v/>
      </c>
      <c r="R76">
        <f>Remediation_Tracking!U76</f>
        <v/>
      </c>
      <c r="S76">
        <f>Remediation_Tracking!Z76</f>
        <v/>
      </c>
      <c r="T76" s="17">
        <f>IF(S76&lt;&gt;"", S76-TODAY(), "")</f>
        <v/>
      </c>
      <c r="U76">
        <f>Remediation_Tracking!AE76</f>
        <v/>
      </c>
      <c r="V76">
        <f>Remediation_Tracking!W76</f>
        <v/>
      </c>
      <c r="W76">
        <f>IF(AND(OR(R76="&lt;1 hour",R76="1-4 hours",R76="1 day"), OR(K76="Medium",K76="High",K76="Critical")), "Yes - Quick Win", "No")</f>
        <v/>
      </c>
      <c r="X76" s="8" t="n"/>
      <c r="Y76" s="8" t="n"/>
    </row>
    <row r="77">
      <c r="A77">
        <f>IF(B77&lt;&gt;"", ROW()-1, "")</f>
        <v/>
      </c>
      <c r="B77">
        <f>Remediation_Tracking!A77</f>
        <v/>
      </c>
      <c r="C77">
        <f>Remediation_Tracking!D77</f>
        <v/>
      </c>
      <c r="D77">
        <f>Remediation_Tracking!E77</f>
        <v/>
      </c>
      <c r="E77">
        <f>Remediation_Tracking!F77</f>
        <v/>
      </c>
      <c r="F77">
        <f>Remediation_Tracking!C77</f>
        <v/>
      </c>
      <c r="G77">
        <f>Remediation_Tracking!H77</f>
        <v/>
      </c>
      <c r="H77">
        <f>Remediation_Tracking!I77</f>
        <v/>
      </c>
      <c r="I77">
        <f>Remediation_Tracking!G77</f>
        <v/>
      </c>
      <c r="J77">
        <f>Remediation_Tracking!J77</f>
        <v/>
      </c>
      <c r="K77">
        <f>Remediation_Tracking!L77</f>
        <v/>
      </c>
      <c r="L77">
        <f>Remediation_Tracking!K77</f>
        <v/>
      </c>
      <c r="M77" s="8" t="inlineStr">
        <is>
          <t>Medium</t>
        </is>
      </c>
      <c r="N77">
        <f>Remediation_Tracking!M77</f>
        <v/>
      </c>
      <c r="O77" s="26">
        <f>IF(E77="", "", (IF(E77="Critical",5,IF(E77="High",4,IF(E77="Medium",3,2)))*10) + (IF(J77="Critical",5,IF(J77="High",4,IF(J77="Medium",3,2)))*8) + (IF(M77="Very High",5,IF(M77="High",4,IF(M77="Medium",3,IF(M77="Low",2,1))))*6) + (IF(T77&lt;0, ABS(T77)/7*2, 0)))</f>
        <v/>
      </c>
      <c r="P77">
        <f>IF(O77="", "", IF(AND(E77="Critical", OR(K77="Critical",K77="High"), T77&lt;0), "P0 - Critical &amp; Urgent", IF(AND(E77="Critical", OR(K77="Critical",K77="High")), "P1 - Critical", IF(OR(AND(E77="High",K77="High"),AND(E77="Critical",K77="Medium")), "P2 - High Priority", IF(OR(AND(E77="Medium",K77="High"),AND(E77="High",K77="Medium")), "P3 - Medium Priority", "P4 - Low Priority")))))</f>
        <v/>
      </c>
      <c r="Q77">
        <f>Remediation_Tracking!S77</f>
        <v/>
      </c>
      <c r="R77">
        <f>Remediation_Tracking!U77</f>
        <v/>
      </c>
      <c r="S77">
        <f>Remediation_Tracking!Z77</f>
        <v/>
      </c>
      <c r="T77" s="17">
        <f>IF(S77&lt;&gt;"", S77-TODAY(), "")</f>
        <v/>
      </c>
      <c r="U77">
        <f>Remediation_Tracking!AE77</f>
        <v/>
      </c>
      <c r="V77">
        <f>Remediation_Tracking!W77</f>
        <v/>
      </c>
      <c r="W77">
        <f>IF(AND(OR(R77="&lt;1 hour",R77="1-4 hours",R77="1 day"), OR(K77="Medium",K77="High",K77="Critical")), "Yes - Quick Win", "No")</f>
        <v/>
      </c>
      <c r="X77" s="8" t="n"/>
      <c r="Y77" s="8" t="n"/>
    </row>
    <row r="78">
      <c r="A78">
        <f>IF(B78&lt;&gt;"", ROW()-1, "")</f>
        <v/>
      </c>
      <c r="B78">
        <f>Remediation_Tracking!A78</f>
        <v/>
      </c>
      <c r="C78">
        <f>Remediation_Tracking!D78</f>
        <v/>
      </c>
      <c r="D78">
        <f>Remediation_Tracking!E78</f>
        <v/>
      </c>
      <c r="E78">
        <f>Remediation_Tracking!F78</f>
        <v/>
      </c>
      <c r="F78">
        <f>Remediation_Tracking!C78</f>
        <v/>
      </c>
      <c r="G78">
        <f>Remediation_Tracking!H78</f>
        <v/>
      </c>
      <c r="H78">
        <f>Remediation_Tracking!I78</f>
        <v/>
      </c>
      <c r="I78">
        <f>Remediation_Tracking!G78</f>
        <v/>
      </c>
      <c r="J78">
        <f>Remediation_Tracking!J78</f>
        <v/>
      </c>
      <c r="K78">
        <f>Remediation_Tracking!L78</f>
        <v/>
      </c>
      <c r="L78">
        <f>Remediation_Tracking!K78</f>
        <v/>
      </c>
      <c r="M78" s="8" t="inlineStr">
        <is>
          <t>Medium</t>
        </is>
      </c>
      <c r="N78">
        <f>Remediation_Tracking!M78</f>
        <v/>
      </c>
      <c r="O78" s="26">
        <f>IF(E78="", "", (IF(E78="Critical",5,IF(E78="High",4,IF(E78="Medium",3,2)))*10) + (IF(J78="Critical",5,IF(J78="High",4,IF(J78="Medium",3,2)))*8) + (IF(M78="Very High",5,IF(M78="High",4,IF(M78="Medium",3,IF(M78="Low",2,1))))*6) + (IF(T78&lt;0, ABS(T78)/7*2, 0)))</f>
        <v/>
      </c>
      <c r="P78">
        <f>IF(O78="", "", IF(AND(E78="Critical", OR(K78="Critical",K78="High"), T78&lt;0), "P0 - Critical &amp; Urgent", IF(AND(E78="Critical", OR(K78="Critical",K78="High")), "P1 - Critical", IF(OR(AND(E78="High",K78="High"),AND(E78="Critical",K78="Medium")), "P2 - High Priority", IF(OR(AND(E78="Medium",K78="High"),AND(E78="High",K78="Medium")), "P3 - Medium Priority", "P4 - Low Priority")))))</f>
        <v/>
      </c>
      <c r="Q78">
        <f>Remediation_Tracking!S78</f>
        <v/>
      </c>
      <c r="R78">
        <f>Remediation_Tracking!U78</f>
        <v/>
      </c>
      <c r="S78">
        <f>Remediation_Tracking!Z78</f>
        <v/>
      </c>
      <c r="T78" s="17">
        <f>IF(S78&lt;&gt;"", S78-TODAY(), "")</f>
        <v/>
      </c>
      <c r="U78">
        <f>Remediation_Tracking!AE78</f>
        <v/>
      </c>
      <c r="V78">
        <f>Remediation_Tracking!W78</f>
        <v/>
      </c>
      <c r="W78">
        <f>IF(AND(OR(R78="&lt;1 hour",R78="1-4 hours",R78="1 day"), OR(K78="Medium",K78="High",K78="Critical")), "Yes - Quick Win", "No")</f>
        <v/>
      </c>
      <c r="X78" s="8" t="n"/>
      <c r="Y78" s="8" t="n"/>
    </row>
    <row r="79">
      <c r="A79">
        <f>IF(B79&lt;&gt;"", ROW()-1, "")</f>
        <v/>
      </c>
      <c r="B79">
        <f>Remediation_Tracking!A79</f>
        <v/>
      </c>
      <c r="C79">
        <f>Remediation_Tracking!D79</f>
        <v/>
      </c>
      <c r="D79">
        <f>Remediation_Tracking!E79</f>
        <v/>
      </c>
      <c r="E79">
        <f>Remediation_Tracking!F79</f>
        <v/>
      </c>
      <c r="F79">
        <f>Remediation_Tracking!C79</f>
        <v/>
      </c>
      <c r="G79">
        <f>Remediation_Tracking!H79</f>
        <v/>
      </c>
      <c r="H79">
        <f>Remediation_Tracking!I79</f>
        <v/>
      </c>
      <c r="I79">
        <f>Remediation_Tracking!G79</f>
        <v/>
      </c>
      <c r="J79">
        <f>Remediation_Tracking!J79</f>
        <v/>
      </c>
      <c r="K79">
        <f>Remediation_Tracking!L79</f>
        <v/>
      </c>
      <c r="L79">
        <f>Remediation_Tracking!K79</f>
        <v/>
      </c>
      <c r="M79" s="8" t="inlineStr">
        <is>
          <t>Medium</t>
        </is>
      </c>
      <c r="N79">
        <f>Remediation_Tracking!M79</f>
        <v/>
      </c>
      <c r="O79" s="26">
        <f>IF(E79="", "", (IF(E79="Critical",5,IF(E79="High",4,IF(E79="Medium",3,2)))*10) + (IF(J79="Critical",5,IF(J79="High",4,IF(J79="Medium",3,2)))*8) + (IF(M79="Very High",5,IF(M79="High",4,IF(M79="Medium",3,IF(M79="Low",2,1))))*6) + (IF(T79&lt;0, ABS(T79)/7*2, 0)))</f>
        <v/>
      </c>
      <c r="P79">
        <f>IF(O79="", "", IF(AND(E79="Critical", OR(K79="Critical",K79="High"), T79&lt;0), "P0 - Critical &amp; Urgent", IF(AND(E79="Critical", OR(K79="Critical",K79="High")), "P1 - Critical", IF(OR(AND(E79="High",K79="High"),AND(E79="Critical",K79="Medium")), "P2 - High Priority", IF(OR(AND(E79="Medium",K79="High"),AND(E79="High",K79="Medium")), "P3 - Medium Priority", "P4 - Low Priority")))))</f>
        <v/>
      </c>
      <c r="Q79">
        <f>Remediation_Tracking!S79</f>
        <v/>
      </c>
      <c r="R79">
        <f>Remediation_Tracking!U79</f>
        <v/>
      </c>
      <c r="S79">
        <f>Remediation_Tracking!Z79</f>
        <v/>
      </c>
      <c r="T79" s="17">
        <f>IF(S79&lt;&gt;"", S79-TODAY(), "")</f>
        <v/>
      </c>
      <c r="U79">
        <f>Remediation_Tracking!AE79</f>
        <v/>
      </c>
      <c r="V79">
        <f>Remediation_Tracking!W79</f>
        <v/>
      </c>
      <c r="W79">
        <f>IF(AND(OR(R79="&lt;1 hour",R79="1-4 hours",R79="1 day"), OR(K79="Medium",K79="High",K79="Critical")), "Yes - Quick Win", "No")</f>
        <v/>
      </c>
      <c r="X79" s="8" t="n"/>
      <c r="Y79" s="8" t="n"/>
    </row>
    <row r="80">
      <c r="A80">
        <f>IF(B80&lt;&gt;"", ROW()-1, "")</f>
        <v/>
      </c>
      <c r="B80">
        <f>Remediation_Tracking!A80</f>
        <v/>
      </c>
      <c r="C80">
        <f>Remediation_Tracking!D80</f>
        <v/>
      </c>
      <c r="D80">
        <f>Remediation_Tracking!E80</f>
        <v/>
      </c>
      <c r="E80">
        <f>Remediation_Tracking!F80</f>
        <v/>
      </c>
      <c r="F80">
        <f>Remediation_Tracking!C80</f>
        <v/>
      </c>
      <c r="G80">
        <f>Remediation_Tracking!H80</f>
        <v/>
      </c>
      <c r="H80">
        <f>Remediation_Tracking!I80</f>
        <v/>
      </c>
      <c r="I80">
        <f>Remediation_Tracking!G80</f>
        <v/>
      </c>
      <c r="J80">
        <f>Remediation_Tracking!J80</f>
        <v/>
      </c>
      <c r="K80">
        <f>Remediation_Tracking!L80</f>
        <v/>
      </c>
      <c r="L80">
        <f>Remediation_Tracking!K80</f>
        <v/>
      </c>
      <c r="M80" s="8" t="inlineStr">
        <is>
          <t>Medium</t>
        </is>
      </c>
      <c r="N80">
        <f>Remediation_Tracking!M80</f>
        <v/>
      </c>
      <c r="O80" s="26">
        <f>IF(E80="", "", (IF(E80="Critical",5,IF(E80="High",4,IF(E80="Medium",3,2)))*10) + (IF(J80="Critical",5,IF(J80="High",4,IF(J80="Medium",3,2)))*8) + (IF(M80="Very High",5,IF(M80="High",4,IF(M80="Medium",3,IF(M80="Low",2,1))))*6) + (IF(T80&lt;0, ABS(T80)/7*2, 0)))</f>
        <v/>
      </c>
      <c r="P80">
        <f>IF(O80="", "", IF(AND(E80="Critical", OR(K80="Critical",K80="High"), T80&lt;0), "P0 - Critical &amp; Urgent", IF(AND(E80="Critical", OR(K80="Critical",K80="High")), "P1 - Critical", IF(OR(AND(E80="High",K80="High"),AND(E80="Critical",K80="Medium")), "P2 - High Priority", IF(OR(AND(E80="Medium",K80="High"),AND(E80="High",K80="Medium")), "P3 - Medium Priority", "P4 - Low Priority")))))</f>
        <v/>
      </c>
      <c r="Q80">
        <f>Remediation_Tracking!S80</f>
        <v/>
      </c>
      <c r="R80">
        <f>Remediation_Tracking!U80</f>
        <v/>
      </c>
      <c r="S80">
        <f>Remediation_Tracking!Z80</f>
        <v/>
      </c>
      <c r="T80" s="17">
        <f>IF(S80&lt;&gt;"", S80-TODAY(), "")</f>
        <v/>
      </c>
      <c r="U80">
        <f>Remediation_Tracking!AE80</f>
        <v/>
      </c>
      <c r="V80">
        <f>Remediation_Tracking!W80</f>
        <v/>
      </c>
      <c r="W80">
        <f>IF(AND(OR(R80="&lt;1 hour",R80="1-4 hours",R80="1 day"), OR(K80="Medium",K80="High",K80="Critical")), "Yes - Quick Win", "No")</f>
        <v/>
      </c>
      <c r="X80" s="8" t="n"/>
      <c r="Y80" s="8" t="n"/>
    </row>
    <row r="81">
      <c r="A81">
        <f>IF(B81&lt;&gt;"", ROW()-1, "")</f>
        <v/>
      </c>
      <c r="B81">
        <f>Remediation_Tracking!A81</f>
        <v/>
      </c>
      <c r="C81">
        <f>Remediation_Tracking!D81</f>
        <v/>
      </c>
      <c r="D81">
        <f>Remediation_Tracking!E81</f>
        <v/>
      </c>
      <c r="E81">
        <f>Remediation_Tracking!F81</f>
        <v/>
      </c>
      <c r="F81">
        <f>Remediation_Tracking!C81</f>
        <v/>
      </c>
      <c r="G81">
        <f>Remediation_Tracking!H81</f>
        <v/>
      </c>
      <c r="H81">
        <f>Remediation_Tracking!I81</f>
        <v/>
      </c>
      <c r="I81">
        <f>Remediation_Tracking!G81</f>
        <v/>
      </c>
      <c r="J81">
        <f>Remediation_Tracking!J81</f>
        <v/>
      </c>
      <c r="K81">
        <f>Remediation_Tracking!L81</f>
        <v/>
      </c>
      <c r="L81">
        <f>Remediation_Tracking!K81</f>
        <v/>
      </c>
      <c r="M81" s="8" t="inlineStr">
        <is>
          <t>Medium</t>
        </is>
      </c>
      <c r="N81">
        <f>Remediation_Tracking!M81</f>
        <v/>
      </c>
      <c r="O81" s="26">
        <f>IF(E81="", "", (IF(E81="Critical",5,IF(E81="High",4,IF(E81="Medium",3,2)))*10) + (IF(J81="Critical",5,IF(J81="High",4,IF(J81="Medium",3,2)))*8) + (IF(M81="Very High",5,IF(M81="High",4,IF(M81="Medium",3,IF(M81="Low",2,1))))*6) + (IF(T81&lt;0, ABS(T81)/7*2, 0)))</f>
        <v/>
      </c>
      <c r="P81">
        <f>IF(O81="", "", IF(AND(E81="Critical", OR(K81="Critical",K81="High"), T81&lt;0), "P0 - Critical &amp; Urgent", IF(AND(E81="Critical", OR(K81="Critical",K81="High")), "P1 - Critical", IF(OR(AND(E81="High",K81="High"),AND(E81="Critical",K81="Medium")), "P2 - High Priority", IF(OR(AND(E81="Medium",K81="High"),AND(E81="High",K81="Medium")), "P3 - Medium Priority", "P4 - Low Priority")))))</f>
        <v/>
      </c>
      <c r="Q81">
        <f>Remediation_Tracking!S81</f>
        <v/>
      </c>
      <c r="R81">
        <f>Remediation_Tracking!U81</f>
        <v/>
      </c>
      <c r="S81">
        <f>Remediation_Tracking!Z81</f>
        <v/>
      </c>
      <c r="T81" s="17">
        <f>IF(S81&lt;&gt;"", S81-TODAY(), "")</f>
        <v/>
      </c>
      <c r="U81">
        <f>Remediation_Tracking!AE81</f>
        <v/>
      </c>
      <c r="V81">
        <f>Remediation_Tracking!W81</f>
        <v/>
      </c>
      <c r="W81">
        <f>IF(AND(OR(R81="&lt;1 hour",R81="1-4 hours",R81="1 day"), OR(K81="Medium",K81="High",K81="Critical")), "Yes - Quick Win", "No")</f>
        <v/>
      </c>
      <c r="X81" s="8" t="n"/>
      <c r="Y81" s="8" t="n"/>
    </row>
    <row r="82">
      <c r="A82">
        <f>IF(B82&lt;&gt;"", ROW()-1, "")</f>
        <v/>
      </c>
      <c r="B82">
        <f>Remediation_Tracking!A82</f>
        <v/>
      </c>
      <c r="C82">
        <f>Remediation_Tracking!D82</f>
        <v/>
      </c>
      <c r="D82">
        <f>Remediation_Tracking!E82</f>
        <v/>
      </c>
      <c r="E82">
        <f>Remediation_Tracking!F82</f>
        <v/>
      </c>
      <c r="F82">
        <f>Remediation_Tracking!C82</f>
        <v/>
      </c>
      <c r="G82">
        <f>Remediation_Tracking!H82</f>
        <v/>
      </c>
      <c r="H82">
        <f>Remediation_Tracking!I82</f>
        <v/>
      </c>
      <c r="I82">
        <f>Remediation_Tracking!G82</f>
        <v/>
      </c>
      <c r="J82">
        <f>Remediation_Tracking!J82</f>
        <v/>
      </c>
      <c r="K82">
        <f>Remediation_Tracking!L82</f>
        <v/>
      </c>
      <c r="L82">
        <f>Remediation_Tracking!K82</f>
        <v/>
      </c>
      <c r="M82" s="8" t="inlineStr">
        <is>
          <t>Medium</t>
        </is>
      </c>
      <c r="N82">
        <f>Remediation_Tracking!M82</f>
        <v/>
      </c>
      <c r="O82" s="26">
        <f>IF(E82="", "", (IF(E82="Critical",5,IF(E82="High",4,IF(E82="Medium",3,2)))*10) + (IF(J82="Critical",5,IF(J82="High",4,IF(J82="Medium",3,2)))*8) + (IF(M82="Very High",5,IF(M82="High",4,IF(M82="Medium",3,IF(M82="Low",2,1))))*6) + (IF(T82&lt;0, ABS(T82)/7*2, 0)))</f>
        <v/>
      </c>
      <c r="P82">
        <f>IF(O82="", "", IF(AND(E82="Critical", OR(K82="Critical",K82="High"), T82&lt;0), "P0 - Critical &amp; Urgent", IF(AND(E82="Critical", OR(K82="Critical",K82="High")), "P1 - Critical", IF(OR(AND(E82="High",K82="High"),AND(E82="Critical",K82="Medium")), "P2 - High Priority", IF(OR(AND(E82="Medium",K82="High"),AND(E82="High",K82="Medium")), "P3 - Medium Priority", "P4 - Low Priority")))))</f>
        <v/>
      </c>
      <c r="Q82">
        <f>Remediation_Tracking!S82</f>
        <v/>
      </c>
      <c r="R82">
        <f>Remediation_Tracking!U82</f>
        <v/>
      </c>
      <c r="S82">
        <f>Remediation_Tracking!Z82</f>
        <v/>
      </c>
      <c r="T82" s="17">
        <f>IF(S82&lt;&gt;"", S82-TODAY(), "")</f>
        <v/>
      </c>
      <c r="U82">
        <f>Remediation_Tracking!AE82</f>
        <v/>
      </c>
      <c r="V82">
        <f>Remediation_Tracking!W82</f>
        <v/>
      </c>
      <c r="W82">
        <f>IF(AND(OR(R82="&lt;1 hour",R82="1-4 hours",R82="1 day"), OR(K82="Medium",K82="High",K82="Critical")), "Yes - Quick Win", "No")</f>
        <v/>
      </c>
      <c r="X82" s="8" t="n"/>
      <c r="Y82" s="8" t="n"/>
    </row>
    <row r="83">
      <c r="A83">
        <f>IF(B83&lt;&gt;"", ROW()-1, "")</f>
        <v/>
      </c>
      <c r="B83">
        <f>Remediation_Tracking!A83</f>
        <v/>
      </c>
      <c r="C83">
        <f>Remediation_Tracking!D83</f>
        <v/>
      </c>
      <c r="D83">
        <f>Remediation_Tracking!E83</f>
        <v/>
      </c>
      <c r="E83">
        <f>Remediation_Tracking!F83</f>
        <v/>
      </c>
      <c r="F83">
        <f>Remediation_Tracking!C83</f>
        <v/>
      </c>
      <c r="G83">
        <f>Remediation_Tracking!H83</f>
        <v/>
      </c>
      <c r="H83">
        <f>Remediation_Tracking!I83</f>
        <v/>
      </c>
      <c r="I83">
        <f>Remediation_Tracking!G83</f>
        <v/>
      </c>
      <c r="J83">
        <f>Remediation_Tracking!J83</f>
        <v/>
      </c>
      <c r="K83">
        <f>Remediation_Tracking!L83</f>
        <v/>
      </c>
      <c r="L83">
        <f>Remediation_Tracking!K83</f>
        <v/>
      </c>
      <c r="M83" s="8" t="inlineStr">
        <is>
          <t>Medium</t>
        </is>
      </c>
      <c r="N83">
        <f>Remediation_Tracking!M83</f>
        <v/>
      </c>
      <c r="O83" s="26">
        <f>IF(E83="", "", (IF(E83="Critical",5,IF(E83="High",4,IF(E83="Medium",3,2)))*10) + (IF(J83="Critical",5,IF(J83="High",4,IF(J83="Medium",3,2)))*8) + (IF(M83="Very High",5,IF(M83="High",4,IF(M83="Medium",3,IF(M83="Low",2,1))))*6) + (IF(T83&lt;0, ABS(T83)/7*2, 0)))</f>
        <v/>
      </c>
      <c r="P83">
        <f>IF(O83="", "", IF(AND(E83="Critical", OR(K83="Critical",K83="High"), T83&lt;0), "P0 - Critical &amp; Urgent", IF(AND(E83="Critical", OR(K83="Critical",K83="High")), "P1 - Critical", IF(OR(AND(E83="High",K83="High"),AND(E83="Critical",K83="Medium")), "P2 - High Priority", IF(OR(AND(E83="Medium",K83="High"),AND(E83="High",K83="Medium")), "P3 - Medium Priority", "P4 - Low Priority")))))</f>
        <v/>
      </c>
      <c r="Q83">
        <f>Remediation_Tracking!S83</f>
        <v/>
      </c>
      <c r="R83">
        <f>Remediation_Tracking!U83</f>
        <v/>
      </c>
      <c r="S83">
        <f>Remediation_Tracking!Z83</f>
        <v/>
      </c>
      <c r="T83" s="17">
        <f>IF(S83&lt;&gt;"", S83-TODAY(), "")</f>
        <v/>
      </c>
      <c r="U83">
        <f>Remediation_Tracking!AE83</f>
        <v/>
      </c>
      <c r="V83">
        <f>Remediation_Tracking!W83</f>
        <v/>
      </c>
      <c r="W83">
        <f>IF(AND(OR(R83="&lt;1 hour",R83="1-4 hours",R83="1 day"), OR(K83="Medium",K83="High",K83="Critical")), "Yes - Quick Win", "No")</f>
        <v/>
      </c>
      <c r="X83" s="8" t="n"/>
      <c r="Y83" s="8" t="n"/>
    </row>
    <row r="84">
      <c r="A84">
        <f>IF(B84&lt;&gt;"", ROW()-1, "")</f>
        <v/>
      </c>
      <c r="B84">
        <f>Remediation_Tracking!A84</f>
        <v/>
      </c>
      <c r="C84">
        <f>Remediation_Tracking!D84</f>
        <v/>
      </c>
      <c r="D84">
        <f>Remediation_Tracking!E84</f>
        <v/>
      </c>
      <c r="E84">
        <f>Remediation_Tracking!F84</f>
        <v/>
      </c>
      <c r="F84">
        <f>Remediation_Tracking!C84</f>
        <v/>
      </c>
      <c r="G84">
        <f>Remediation_Tracking!H84</f>
        <v/>
      </c>
      <c r="H84">
        <f>Remediation_Tracking!I84</f>
        <v/>
      </c>
      <c r="I84">
        <f>Remediation_Tracking!G84</f>
        <v/>
      </c>
      <c r="J84">
        <f>Remediation_Tracking!J84</f>
        <v/>
      </c>
      <c r="K84">
        <f>Remediation_Tracking!L84</f>
        <v/>
      </c>
      <c r="L84">
        <f>Remediation_Tracking!K84</f>
        <v/>
      </c>
      <c r="M84" s="8" t="inlineStr">
        <is>
          <t>Medium</t>
        </is>
      </c>
      <c r="N84">
        <f>Remediation_Tracking!M84</f>
        <v/>
      </c>
      <c r="O84" s="26">
        <f>IF(E84="", "", (IF(E84="Critical",5,IF(E84="High",4,IF(E84="Medium",3,2)))*10) + (IF(J84="Critical",5,IF(J84="High",4,IF(J84="Medium",3,2)))*8) + (IF(M84="Very High",5,IF(M84="High",4,IF(M84="Medium",3,IF(M84="Low",2,1))))*6) + (IF(T84&lt;0, ABS(T84)/7*2, 0)))</f>
        <v/>
      </c>
      <c r="P84">
        <f>IF(O84="", "", IF(AND(E84="Critical", OR(K84="Critical",K84="High"), T84&lt;0), "P0 - Critical &amp; Urgent", IF(AND(E84="Critical", OR(K84="Critical",K84="High")), "P1 - Critical", IF(OR(AND(E84="High",K84="High"),AND(E84="Critical",K84="Medium")), "P2 - High Priority", IF(OR(AND(E84="Medium",K84="High"),AND(E84="High",K84="Medium")), "P3 - Medium Priority", "P4 - Low Priority")))))</f>
        <v/>
      </c>
      <c r="Q84">
        <f>Remediation_Tracking!S84</f>
        <v/>
      </c>
      <c r="R84">
        <f>Remediation_Tracking!U84</f>
        <v/>
      </c>
      <c r="S84">
        <f>Remediation_Tracking!Z84</f>
        <v/>
      </c>
      <c r="T84" s="17">
        <f>IF(S84&lt;&gt;"", S84-TODAY(), "")</f>
        <v/>
      </c>
      <c r="U84">
        <f>Remediation_Tracking!AE84</f>
        <v/>
      </c>
      <c r="V84">
        <f>Remediation_Tracking!W84</f>
        <v/>
      </c>
      <c r="W84">
        <f>IF(AND(OR(R84="&lt;1 hour",R84="1-4 hours",R84="1 day"), OR(K84="Medium",K84="High",K84="Critical")), "Yes - Quick Win", "No")</f>
        <v/>
      </c>
      <c r="X84" s="8" t="n"/>
      <c r="Y84" s="8" t="n"/>
    </row>
    <row r="85">
      <c r="A85">
        <f>IF(B85&lt;&gt;"", ROW()-1, "")</f>
        <v/>
      </c>
      <c r="B85">
        <f>Remediation_Tracking!A85</f>
        <v/>
      </c>
      <c r="C85">
        <f>Remediation_Tracking!D85</f>
        <v/>
      </c>
      <c r="D85">
        <f>Remediation_Tracking!E85</f>
        <v/>
      </c>
      <c r="E85">
        <f>Remediation_Tracking!F85</f>
        <v/>
      </c>
      <c r="F85">
        <f>Remediation_Tracking!C85</f>
        <v/>
      </c>
      <c r="G85">
        <f>Remediation_Tracking!H85</f>
        <v/>
      </c>
      <c r="H85">
        <f>Remediation_Tracking!I85</f>
        <v/>
      </c>
      <c r="I85">
        <f>Remediation_Tracking!G85</f>
        <v/>
      </c>
      <c r="J85">
        <f>Remediation_Tracking!J85</f>
        <v/>
      </c>
      <c r="K85">
        <f>Remediation_Tracking!L85</f>
        <v/>
      </c>
      <c r="L85">
        <f>Remediation_Tracking!K85</f>
        <v/>
      </c>
      <c r="M85" s="8" t="inlineStr">
        <is>
          <t>Medium</t>
        </is>
      </c>
      <c r="N85">
        <f>Remediation_Tracking!M85</f>
        <v/>
      </c>
      <c r="O85" s="26">
        <f>IF(E85="", "", (IF(E85="Critical",5,IF(E85="High",4,IF(E85="Medium",3,2)))*10) + (IF(J85="Critical",5,IF(J85="High",4,IF(J85="Medium",3,2)))*8) + (IF(M85="Very High",5,IF(M85="High",4,IF(M85="Medium",3,IF(M85="Low",2,1))))*6) + (IF(T85&lt;0, ABS(T85)/7*2, 0)))</f>
        <v/>
      </c>
      <c r="P85">
        <f>IF(O85="", "", IF(AND(E85="Critical", OR(K85="Critical",K85="High"), T85&lt;0), "P0 - Critical &amp; Urgent", IF(AND(E85="Critical", OR(K85="Critical",K85="High")), "P1 - Critical", IF(OR(AND(E85="High",K85="High"),AND(E85="Critical",K85="Medium")), "P2 - High Priority", IF(OR(AND(E85="Medium",K85="High"),AND(E85="High",K85="Medium")), "P3 - Medium Priority", "P4 - Low Priority")))))</f>
        <v/>
      </c>
      <c r="Q85">
        <f>Remediation_Tracking!S85</f>
        <v/>
      </c>
      <c r="R85">
        <f>Remediation_Tracking!U85</f>
        <v/>
      </c>
      <c r="S85">
        <f>Remediation_Tracking!Z85</f>
        <v/>
      </c>
      <c r="T85" s="17">
        <f>IF(S85&lt;&gt;"", S85-TODAY(), "")</f>
        <v/>
      </c>
      <c r="U85">
        <f>Remediation_Tracking!AE85</f>
        <v/>
      </c>
      <c r="V85">
        <f>Remediation_Tracking!W85</f>
        <v/>
      </c>
      <c r="W85">
        <f>IF(AND(OR(R85="&lt;1 hour",R85="1-4 hours",R85="1 day"), OR(K85="Medium",K85="High",K85="Critical")), "Yes - Quick Win", "No")</f>
        <v/>
      </c>
      <c r="X85" s="8" t="n"/>
      <c r="Y85" s="8" t="n"/>
    </row>
    <row r="86">
      <c r="A86">
        <f>IF(B86&lt;&gt;"", ROW()-1, "")</f>
        <v/>
      </c>
      <c r="B86">
        <f>Remediation_Tracking!A86</f>
        <v/>
      </c>
      <c r="C86">
        <f>Remediation_Tracking!D86</f>
        <v/>
      </c>
      <c r="D86">
        <f>Remediation_Tracking!E86</f>
        <v/>
      </c>
      <c r="E86">
        <f>Remediation_Tracking!F86</f>
        <v/>
      </c>
      <c r="F86">
        <f>Remediation_Tracking!C86</f>
        <v/>
      </c>
      <c r="G86">
        <f>Remediation_Tracking!H86</f>
        <v/>
      </c>
      <c r="H86">
        <f>Remediation_Tracking!I86</f>
        <v/>
      </c>
      <c r="I86">
        <f>Remediation_Tracking!G86</f>
        <v/>
      </c>
      <c r="J86">
        <f>Remediation_Tracking!J86</f>
        <v/>
      </c>
      <c r="K86">
        <f>Remediation_Tracking!L86</f>
        <v/>
      </c>
      <c r="L86">
        <f>Remediation_Tracking!K86</f>
        <v/>
      </c>
      <c r="M86" s="8" t="inlineStr">
        <is>
          <t>Medium</t>
        </is>
      </c>
      <c r="N86">
        <f>Remediation_Tracking!M86</f>
        <v/>
      </c>
      <c r="O86" s="26">
        <f>IF(E86="", "", (IF(E86="Critical",5,IF(E86="High",4,IF(E86="Medium",3,2)))*10) + (IF(J86="Critical",5,IF(J86="High",4,IF(J86="Medium",3,2)))*8) + (IF(M86="Very High",5,IF(M86="High",4,IF(M86="Medium",3,IF(M86="Low",2,1))))*6) + (IF(T86&lt;0, ABS(T86)/7*2, 0)))</f>
        <v/>
      </c>
      <c r="P86">
        <f>IF(O86="", "", IF(AND(E86="Critical", OR(K86="Critical",K86="High"), T86&lt;0), "P0 - Critical &amp; Urgent", IF(AND(E86="Critical", OR(K86="Critical",K86="High")), "P1 - Critical", IF(OR(AND(E86="High",K86="High"),AND(E86="Critical",K86="Medium")), "P2 - High Priority", IF(OR(AND(E86="Medium",K86="High"),AND(E86="High",K86="Medium")), "P3 - Medium Priority", "P4 - Low Priority")))))</f>
        <v/>
      </c>
      <c r="Q86">
        <f>Remediation_Tracking!S86</f>
        <v/>
      </c>
      <c r="R86">
        <f>Remediation_Tracking!U86</f>
        <v/>
      </c>
      <c r="S86">
        <f>Remediation_Tracking!Z86</f>
        <v/>
      </c>
      <c r="T86" s="17">
        <f>IF(S86&lt;&gt;"", S86-TODAY(), "")</f>
        <v/>
      </c>
      <c r="U86">
        <f>Remediation_Tracking!AE86</f>
        <v/>
      </c>
      <c r="V86">
        <f>Remediation_Tracking!W86</f>
        <v/>
      </c>
      <c r="W86">
        <f>IF(AND(OR(R86="&lt;1 hour",R86="1-4 hours",R86="1 day"), OR(K86="Medium",K86="High",K86="Critical")), "Yes - Quick Win", "No")</f>
        <v/>
      </c>
      <c r="X86" s="8" t="n"/>
      <c r="Y86" s="8" t="n"/>
    </row>
    <row r="87">
      <c r="A87">
        <f>IF(B87&lt;&gt;"", ROW()-1, "")</f>
        <v/>
      </c>
      <c r="B87">
        <f>Remediation_Tracking!A87</f>
        <v/>
      </c>
      <c r="C87">
        <f>Remediation_Tracking!D87</f>
        <v/>
      </c>
      <c r="D87">
        <f>Remediation_Tracking!E87</f>
        <v/>
      </c>
      <c r="E87">
        <f>Remediation_Tracking!F87</f>
        <v/>
      </c>
      <c r="F87">
        <f>Remediation_Tracking!C87</f>
        <v/>
      </c>
      <c r="G87">
        <f>Remediation_Tracking!H87</f>
        <v/>
      </c>
      <c r="H87">
        <f>Remediation_Tracking!I87</f>
        <v/>
      </c>
      <c r="I87">
        <f>Remediation_Tracking!G87</f>
        <v/>
      </c>
      <c r="J87">
        <f>Remediation_Tracking!J87</f>
        <v/>
      </c>
      <c r="K87">
        <f>Remediation_Tracking!L87</f>
        <v/>
      </c>
      <c r="L87">
        <f>Remediation_Tracking!K87</f>
        <v/>
      </c>
      <c r="M87" s="8" t="inlineStr">
        <is>
          <t>Medium</t>
        </is>
      </c>
      <c r="N87">
        <f>Remediation_Tracking!M87</f>
        <v/>
      </c>
      <c r="O87" s="26">
        <f>IF(E87="", "", (IF(E87="Critical",5,IF(E87="High",4,IF(E87="Medium",3,2)))*10) + (IF(J87="Critical",5,IF(J87="High",4,IF(J87="Medium",3,2)))*8) + (IF(M87="Very High",5,IF(M87="High",4,IF(M87="Medium",3,IF(M87="Low",2,1))))*6) + (IF(T87&lt;0, ABS(T87)/7*2, 0)))</f>
        <v/>
      </c>
      <c r="P87">
        <f>IF(O87="", "", IF(AND(E87="Critical", OR(K87="Critical",K87="High"), T87&lt;0), "P0 - Critical &amp; Urgent", IF(AND(E87="Critical", OR(K87="Critical",K87="High")), "P1 - Critical", IF(OR(AND(E87="High",K87="High"),AND(E87="Critical",K87="Medium")), "P2 - High Priority", IF(OR(AND(E87="Medium",K87="High"),AND(E87="High",K87="Medium")), "P3 - Medium Priority", "P4 - Low Priority")))))</f>
        <v/>
      </c>
      <c r="Q87">
        <f>Remediation_Tracking!S87</f>
        <v/>
      </c>
      <c r="R87">
        <f>Remediation_Tracking!U87</f>
        <v/>
      </c>
      <c r="S87">
        <f>Remediation_Tracking!Z87</f>
        <v/>
      </c>
      <c r="T87" s="17">
        <f>IF(S87&lt;&gt;"", S87-TODAY(), "")</f>
        <v/>
      </c>
      <c r="U87">
        <f>Remediation_Tracking!AE87</f>
        <v/>
      </c>
      <c r="V87">
        <f>Remediation_Tracking!W87</f>
        <v/>
      </c>
      <c r="W87">
        <f>IF(AND(OR(R87="&lt;1 hour",R87="1-4 hours",R87="1 day"), OR(K87="Medium",K87="High",K87="Critical")), "Yes - Quick Win", "No")</f>
        <v/>
      </c>
      <c r="X87" s="8" t="n"/>
      <c r="Y87" s="8" t="n"/>
    </row>
    <row r="88">
      <c r="A88">
        <f>IF(B88&lt;&gt;"", ROW()-1, "")</f>
        <v/>
      </c>
      <c r="B88">
        <f>Remediation_Tracking!A88</f>
        <v/>
      </c>
      <c r="C88">
        <f>Remediation_Tracking!D88</f>
        <v/>
      </c>
      <c r="D88">
        <f>Remediation_Tracking!E88</f>
        <v/>
      </c>
      <c r="E88">
        <f>Remediation_Tracking!F88</f>
        <v/>
      </c>
      <c r="F88">
        <f>Remediation_Tracking!C88</f>
        <v/>
      </c>
      <c r="G88">
        <f>Remediation_Tracking!H88</f>
        <v/>
      </c>
      <c r="H88">
        <f>Remediation_Tracking!I88</f>
        <v/>
      </c>
      <c r="I88">
        <f>Remediation_Tracking!G88</f>
        <v/>
      </c>
      <c r="J88">
        <f>Remediation_Tracking!J88</f>
        <v/>
      </c>
      <c r="K88">
        <f>Remediation_Tracking!L88</f>
        <v/>
      </c>
      <c r="L88">
        <f>Remediation_Tracking!K88</f>
        <v/>
      </c>
      <c r="M88" s="8" t="inlineStr">
        <is>
          <t>Medium</t>
        </is>
      </c>
      <c r="N88">
        <f>Remediation_Tracking!M88</f>
        <v/>
      </c>
      <c r="O88" s="26">
        <f>IF(E88="", "", (IF(E88="Critical",5,IF(E88="High",4,IF(E88="Medium",3,2)))*10) + (IF(J88="Critical",5,IF(J88="High",4,IF(J88="Medium",3,2)))*8) + (IF(M88="Very High",5,IF(M88="High",4,IF(M88="Medium",3,IF(M88="Low",2,1))))*6) + (IF(T88&lt;0, ABS(T88)/7*2, 0)))</f>
        <v/>
      </c>
      <c r="P88">
        <f>IF(O88="", "", IF(AND(E88="Critical", OR(K88="Critical",K88="High"), T88&lt;0), "P0 - Critical &amp; Urgent", IF(AND(E88="Critical", OR(K88="Critical",K88="High")), "P1 - Critical", IF(OR(AND(E88="High",K88="High"),AND(E88="Critical",K88="Medium")), "P2 - High Priority", IF(OR(AND(E88="Medium",K88="High"),AND(E88="High",K88="Medium")), "P3 - Medium Priority", "P4 - Low Priority")))))</f>
        <v/>
      </c>
      <c r="Q88">
        <f>Remediation_Tracking!S88</f>
        <v/>
      </c>
      <c r="R88">
        <f>Remediation_Tracking!U88</f>
        <v/>
      </c>
      <c r="S88">
        <f>Remediation_Tracking!Z88</f>
        <v/>
      </c>
      <c r="T88" s="17">
        <f>IF(S88&lt;&gt;"", S88-TODAY(), "")</f>
        <v/>
      </c>
      <c r="U88">
        <f>Remediation_Tracking!AE88</f>
        <v/>
      </c>
      <c r="V88">
        <f>Remediation_Tracking!W88</f>
        <v/>
      </c>
      <c r="W88">
        <f>IF(AND(OR(R88="&lt;1 hour",R88="1-4 hours",R88="1 day"), OR(K88="Medium",K88="High",K88="Critical")), "Yes - Quick Win", "No")</f>
        <v/>
      </c>
      <c r="X88" s="8" t="n"/>
      <c r="Y88" s="8" t="n"/>
    </row>
    <row r="89">
      <c r="A89">
        <f>IF(B89&lt;&gt;"", ROW()-1, "")</f>
        <v/>
      </c>
      <c r="B89">
        <f>Remediation_Tracking!A89</f>
        <v/>
      </c>
      <c r="C89">
        <f>Remediation_Tracking!D89</f>
        <v/>
      </c>
      <c r="D89">
        <f>Remediation_Tracking!E89</f>
        <v/>
      </c>
      <c r="E89">
        <f>Remediation_Tracking!F89</f>
        <v/>
      </c>
      <c r="F89">
        <f>Remediation_Tracking!C89</f>
        <v/>
      </c>
      <c r="G89">
        <f>Remediation_Tracking!H89</f>
        <v/>
      </c>
      <c r="H89">
        <f>Remediation_Tracking!I89</f>
        <v/>
      </c>
      <c r="I89">
        <f>Remediation_Tracking!G89</f>
        <v/>
      </c>
      <c r="J89">
        <f>Remediation_Tracking!J89</f>
        <v/>
      </c>
      <c r="K89">
        <f>Remediation_Tracking!L89</f>
        <v/>
      </c>
      <c r="L89">
        <f>Remediation_Tracking!K89</f>
        <v/>
      </c>
      <c r="M89" s="8" t="inlineStr">
        <is>
          <t>Medium</t>
        </is>
      </c>
      <c r="N89">
        <f>Remediation_Tracking!M89</f>
        <v/>
      </c>
      <c r="O89" s="26">
        <f>IF(E89="", "", (IF(E89="Critical",5,IF(E89="High",4,IF(E89="Medium",3,2)))*10) + (IF(J89="Critical",5,IF(J89="High",4,IF(J89="Medium",3,2)))*8) + (IF(M89="Very High",5,IF(M89="High",4,IF(M89="Medium",3,IF(M89="Low",2,1))))*6) + (IF(T89&lt;0, ABS(T89)/7*2, 0)))</f>
        <v/>
      </c>
      <c r="P89">
        <f>IF(O89="", "", IF(AND(E89="Critical", OR(K89="Critical",K89="High"), T89&lt;0), "P0 - Critical &amp; Urgent", IF(AND(E89="Critical", OR(K89="Critical",K89="High")), "P1 - Critical", IF(OR(AND(E89="High",K89="High"),AND(E89="Critical",K89="Medium")), "P2 - High Priority", IF(OR(AND(E89="Medium",K89="High"),AND(E89="High",K89="Medium")), "P3 - Medium Priority", "P4 - Low Priority")))))</f>
        <v/>
      </c>
      <c r="Q89">
        <f>Remediation_Tracking!S89</f>
        <v/>
      </c>
      <c r="R89">
        <f>Remediation_Tracking!U89</f>
        <v/>
      </c>
      <c r="S89">
        <f>Remediation_Tracking!Z89</f>
        <v/>
      </c>
      <c r="T89" s="17">
        <f>IF(S89&lt;&gt;"", S89-TODAY(), "")</f>
        <v/>
      </c>
      <c r="U89">
        <f>Remediation_Tracking!AE89</f>
        <v/>
      </c>
      <c r="V89">
        <f>Remediation_Tracking!W89</f>
        <v/>
      </c>
      <c r="W89">
        <f>IF(AND(OR(R89="&lt;1 hour",R89="1-4 hours",R89="1 day"), OR(K89="Medium",K89="High",K89="Critical")), "Yes - Quick Win", "No")</f>
        <v/>
      </c>
      <c r="X89" s="8" t="n"/>
      <c r="Y89" s="8" t="n"/>
    </row>
    <row r="90">
      <c r="A90">
        <f>IF(B90&lt;&gt;"", ROW()-1, "")</f>
        <v/>
      </c>
      <c r="B90">
        <f>Remediation_Tracking!A90</f>
        <v/>
      </c>
      <c r="C90">
        <f>Remediation_Tracking!D90</f>
        <v/>
      </c>
      <c r="D90">
        <f>Remediation_Tracking!E90</f>
        <v/>
      </c>
      <c r="E90">
        <f>Remediation_Tracking!F90</f>
        <v/>
      </c>
      <c r="F90">
        <f>Remediation_Tracking!C90</f>
        <v/>
      </c>
      <c r="G90">
        <f>Remediation_Tracking!H90</f>
        <v/>
      </c>
      <c r="H90">
        <f>Remediation_Tracking!I90</f>
        <v/>
      </c>
      <c r="I90">
        <f>Remediation_Tracking!G90</f>
        <v/>
      </c>
      <c r="J90">
        <f>Remediation_Tracking!J90</f>
        <v/>
      </c>
      <c r="K90">
        <f>Remediation_Tracking!L90</f>
        <v/>
      </c>
      <c r="L90">
        <f>Remediation_Tracking!K90</f>
        <v/>
      </c>
      <c r="M90" s="8" t="inlineStr">
        <is>
          <t>Medium</t>
        </is>
      </c>
      <c r="N90">
        <f>Remediation_Tracking!M90</f>
        <v/>
      </c>
      <c r="O90" s="26">
        <f>IF(E90="", "", (IF(E90="Critical",5,IF(E90="High",4,IF(E90="Medium",3,2)))*10) + (IF(J90="Critical",5,IF(J90="High",4,IF(J90="Medium",3,2)))*8) + (IF(M90="Very High",5,IF(M90="High",4,IF(M90="Medium",3,IF(M90="Low",2,1))))*6) + (IF(T90&lt;0, ABS(T90)/7*2, 0)))</f>
        <v/>
      </c>
      <c r="P90">
        <f>IF(O90="", "", IF(AND(E90="Critical", OR(K90="Critical",K90="High"), T90&lt;0), "P0 - Critical &amp; Urgent", IF(AND(E90="Critical", OR(K90="Critical",K90="High")), "P1 - Critical", IF(OR(AND(E90="High",K90="High"),AND(E90="Critical",K90="Medium")), "P2 - High Priority", IF(OR(AND(E90="Medium",K90="High"),AND(E90="High",K90="Medium")), "P3 - Medium Priority", "P4 - Low Priority")))))</f>
        <v/>
      </c>
      <c r="Q90">
        <f>Remediation_Tracking!S90</f>
        <v/>
      </c>
      <c r="R90">
        <f>Remediation_Tracking!U90</f>
        <v/>
      </c>
      <c r="S90">
        <f>Remediation_Tracking!Z90</f>
        <v/>
      </c>
      <c r="T90" s="17">
        <f>IF(S90&lt;&gt;"", S90-TODAY(), "")</f>
        <v/>
      </c>
      <c r="U90">
        <f>Remediation_Tracking!AE90</f>
        <v/>
      </c>
      <c r="V90">
        <f>Remediation_Tracking!W90</f>
        <v/>
      </c>
      <c r="W90">
        <f>IF(AND(OR(R90="&lt;1 hour",R90="1-4 hours",R90="1 day"), OR(K90="Medium",K90="High",K90="Critical")), "Yes - Quick Win", "No")</f>
        <v/>
      </c>
      <c r="X90" s="8" t="n"/>
      <c r="Y90" s="8" t="n"/>
    </row>
    <row r="91">
      <c r="A91">
        <f>IF(B91&lt;&gt;"", ROW()-1, "")</f>
        <v/>
      </c>
      <c r="B91">
        <f>Remediation_Tracking!A91</f>
        <v/>
      </c>
      <c r="C91">
        <f>Remediation_Tracking!D91</f>
        <v/>
      </c>
      <c r="D91">
        <f>Remediation_Tracking!E91</f>
        <v/>
      </c>
      <c r="E91">
        <f>Remediation_Tracking!F91</f>
        <v/>
      </c>
      <c r="F91">
        <f>Remediation_Tracking!C91</f>
        <v/>
      </c>
      <c r="G91">
        <f>Remediation_Tracking!H91</f>
        <v/>
      </c>
      <c r="H91">
        <f>Remediation_Tracking!I91</f>
        <v/>
      </c>
      <c r="I91">
        <f>Remediation_Tracking!G91</f>
        <v/>
      </c>
      <c r="J91">
        <f>Remediation_Tracking!J91</f>
        <v/>
      </c>
      <c r="K91">
        <f>Remediation_Tracking!L91</f>
        <v/>
      </c>
      <c r="L91">
        <f>Remediation_Tracking!K91</f>
        <v/>
      </c>
      <c r="M91" s="8" t="inlineStr">
        <is>
          <t>Medium</t>
        </is>
      </c>
      <c r="N91">
        <f>Remediation_Tracking!M91</f>
        <v/>
      </c>
      <c r="O91" s="26">
        <f>IF(E91="", "", (IF(E91="Critical",5,IF(E91="High",4,IF(E91="Medium",3,2)))*10) + (IF(J91="Critical",5,IF(J91="High",4,IF(J91="Medium",3,2)))*8) + (IF(M91="Very High",5,IF(M91="High",4,IF(M91="Medium",3,IF(M91="Low",2,1))))*6) + (IF(T91&lt;0, ABS(T91)/7*2, 0)))</f>
        <v/>
      </c>
      <c r="P91">
        <f>IF(O91="", "", IF(AND(E91="Critical", OR(K91="Critical",K91="High"), T91&lt;0), "P0 - Critical &amp; Urgent", IF(AND(E91="Critical", OR(K91="Critical",K91="High")), "P1 - Critical", IF(OR(AND(E91="High",K91="High"),AND(E91="Critical",K91="Medium")), "P2 - High Priority", IF(OR(AND(E91="Medium",K91="High"),AND(E91="High",K91="Medium")), "P3 - Medium Priority", "P4 - Low Priority")))))</f>
        <v/>
      </c>
      <c r="Q91">
        <f>Remediation_Tracking!S91</f>
        <v/>
      </c>
      <c r="R91">
        <f>Remediation_Tracking!U91</f>
        <v/>
      </c>
      <c r="S91">
        <f>Remediation_Tracking!Z91</f>
        <v/>
      </c>
      <c r="T91" s="17">
        <f>IF(S91&lt;&gt;"", S91-TODAY(), "")</f>
        <v/>
      </c>
      <c r="U91">
        <f>Remediation_Tracking!AE91</f>
        <v/>
      </c>
      <c r="V91">
        <f>Remediation_Tracking!W91</f>
        <v/>
      </c>
      <c r="W91">
        <f>IF(AND(OR(R91="&lt;1 hour",R91="1-4 hours",R91="1 day"), OR(K91="Medium",K91="High",K91="Critical")), "Yes - Quick Win", "No")</f>
        <v/>
      </c>
      <c r="X91" s="8" t="n"/>
      <c r="Y91" s="8" t="n"/>
    </row>
    <row r="92">
      <c r="A92">
        <f>IF(B92&lt;&gt;"", ROW()-1, "")</f>
        <v/>
      </c>
      <c r="B92">
        <f>Remediation_Tracking!A92</f>
        <v/>
      </c>
      <c r="C92">
        <f>Remediation_Tracking!D92</f>
        <v/>
      </c>
      <c r="D92">
        <f>Remediation_Tracking!E92</f>
        <v/>
      </c>
      <c r="E92">
        <f>Remediation_Tracking!F92</f>
        <v/>
      </c>
      <c r="F92">
        <f>Remediation_Tracking!C92</f>
        <v/>
      </c>
      <c r="G92">
        <f>Remediation_Tracking!H92</f>
        <v/>
      </c>
      <c r="H92">
        <f>Remediation_Tracking!I92</f>
        <v/>
      </c>
      <c r="I92">
        <f>Remediation_Tracking!G92</f>
        <v/>
      </c>
      <c r="J92">
        <f>Remediation_Tracking!J92</f>
        <v/>
      </c>
      <c r="K92">
        <f>Remediation_Tracking!L92</f>
        <v/>
      </c>
      <c r="L92">
        <f>Remediation_Tracking!K92</f>
        <v/>
      </c>
      <c r="M92" s="8" t="inlineStr">
        <is>
          <t>Medium</t>
        </is>
      </c>
      <c r="N92">
        <f>Remediation_Tracking!M92</f>
        <v/>
      </c>
      <c r="O92" s="26">
        <f>IF(E92="", "", (IF(E92="Critical",5,IF(E92="High",4,IF(E92="Medium",3,2)))*10) + (IF(J92="Critical",5,IF(J92="High",4,IF(J92="Medium",3,2)))*8) + (IF(M92="Very High",5,IF(M92="High",4,IF(M92="Medium",3,IF(M92="Low",2,1))))*6) + (IF(T92&lt;0, ABS(T92)/7*2, 0)))</f>
        <v/>
      </c>
      <c r="P92">
        <f>IF(O92="", "", IF(AND(E92="Critical", OR(K92="Critical",K92="High"), T92&lt;0), "P0 - Critical &amp; Urgent", IF(AND(E92="Critical", OR(K92="Critical",K92="High")), "P1 - Critical", IF(OR(AND(E92="High",K92="High"),AND(E92="Critical",K92="Medium")), "P2 - High Priority", IF(OR(AND(E92="Medium",K92="High"),AND(E92="High",K92="Medium")), "P3 - Medium Priority", "P4 - Low Priority")))))</f>
        <v/>
      </c>
      <c r="Q92">
        <f>Remediation_Tracking!S92</f>
        <v/>
      </c>
      <c r="R92">
        <f>Remediation_Tracking!U92</f>
        <v/>
      </c>
      <c r="S92">
        <f>Remediation_Tracking!Z92</f>
        <v/>
      </c>
      <c r="T92" s="17">
        <f>IF(S92&lt;&gt;"", S92-TODAY(), "")</f>
        <v/>
      </c>
      <c r="U92">
        <f>Remediation_Tracking!AE92</f>
        <v/>
      </c>
      <c r="V92">
        <f>Remediation_Tracking!W92</f>
        <v/>
      </c>
      <c r="W92">
        <f>IF(AND(OR(R92="&lt;1 hour",R92="1-4 hours",R92="1 day"), OR(K92="Medium",K92="High",K92="Critical")), "Yes - Quick Win", "No")</f>
        <v/>
      </c>
      <c r="X92" s="8" t="n"/>
      <c r="Y92" s="8" t="n"/>
    </row>
    <row r="93">
      <c r="A93">
        <f>IF(B93&lt;&gt;"", ROW()-1, "")</f>
        <v/>
      </c>
      <c r="B93">
        <f>Remediation_Tracking!A93</f>
        <v/>
      </c>
      <c r="C93">
        <f>Remediation_Tracking!D93</f>
        <v/>
      </c>
      <c r="D93">
        <f>Remediation_Tracking!E93</f>
        <v/>
      </c>
      <c r="E93">
        <f>Remediation_Tracking!F93</f>
        <v/>
      </c>
      <c r="F93">
        <f>Remediation_Tracking!C93</f>
        <v/>
      </c>
      <c r="G93">
        <f>Remediation_Tracking!H93</f>
        <v/>
      </c>
      <c r="H93">
        <f>Remediation_Tracking!I93</f>
        <v/>
      </c>
      <c r="I93">
        <f>Remediation_Tracking!G93</f>
        <v/>
      </c>
      <c r="J93">
        <f>Remediation_Tracking!J93</f>
        <v/>
      </c>
      <c r="K93">
        <f>Remediation_Tracking!L93</f>
        <v/>
      </c>
      <c r="L93">
        <f>Remediation_Tracking!K93</f>
        <v/>
      </c>
      <c r="M93" s="8" t="inlineStr">
        <is>
          <t>Medium</t>
        </is>
      </c>
      <c r="N93">
        <f>Remediation_Tracking!M93</f>
        <v/>
      </c>
      <c r="O93" s="26">
        <f>IF(E93="", "", (IF(E93="Critical",5,IF(E93="High",4,IF(E93="Medium",3,2)))*10) + (IF(J93="Critical",5,IF(J93="High",4,IF(J93="Medium",3,2)))*8) + (IF(M93="Very High",5,IF(M93="High",4,IF(M93="Medium",3,IF(M93="Low",2,1))))*6) + (IF(T93&lt;0, ABS(T93)/7*2, 0)))</f>
        <v/>
      </c>
      <c r="P93">
        <f>IF(O93="", "", IF(AND(E93="Critical", OR(K93="Critical",K93="High"), T93&lt;0), "P0 - Critical &amp; Urgent", IF(AND(E93="Critical", OR(K93="Critical",K93="High")), "P1 - Critical", IF(OR(AND(E93="High",K93="High"),AND(E93="Critical",K93="Medium")), "P2 - High Priority", IF(OR(AND(E93="Medium",K93="High"),AND(E93="High",K93="Medium")), "P3 - Medium Priority", "P4 - Low Priority")))))</f>
        <v/>
      </c>
      <c r="Q93">
        <f>Remediation_Tracking!S93</f>
        <v/>
      </c>
      <c r="R93">
        <f>Remediation_Tracking!U93</f>
        <v/>
      </c>
      <c r="S93">
        <f>Remediation_Tracking!Z93</f>
        <v/>
      </c>
      <c r="T93" s="17">
        <f>IF(S93&lt;&gt;"", S93-TODAY(), "")</f>
        <v/>
      </c>
      <c r="U93">
        <f>Remediation_Tracking!AE93</f>
        <v/>
      </c>
      <c r="V93">
        <f>Remediation_Tracking!W93</f>
        <v/>
      </c>
      <c r="W93">
        <f>IF(AND(OR(R93="&lt;1 hour",R93="1-4 hours",R93="1 day"), OR(K93="Medium",K93="High",K93="Critical")), "Yes - Quick Win", "No")</f>
        <v/>
      </c>
      <c r="X93" s="8" t="n"/>
      <c r="Y93" s="8" t="n"/>
    </row>
    <row r="94">
      <c r="A94">
        <f>IF(B94&lt;&gt;"", ROW()-1, "")</f>
        <v/>
      </c>
      <c r="B94">
        <f>Remediation_Tracking!A94</f>
        <v/>
      </c>
      <c r="C94">
        <f>Remediation_Tracking!D94</f>
        <v/>
      </c>
      <c r="D94">
        <f>Remediation_Tracking!E94</f>
        <v/>
      </c>
      <c r="E94">
        <f>Remediation_Tracking!F94</f>
        <v/>
      </c>
      <c r="F94">
        <f>Remediation_Tracking!C94</f>
        <v/>
      </c>
      <c r="G94">
        <f>Remediation_Tracking!H94</f>
        <v/>
      </c>
      <c r="H94">
        <f>Remediation_Tracking!I94</f>
        <v/>
      </c>
      <c r="I94">
        <f>Remediation_Tracking!G94</f>
        <v/>
      </c>
      <c r="J94">
        <f>Remediation_Tracking!J94</f>
        <v/>
      </c>
      <c r="K94">
        <f>Remediation_Tracking!L94</f>
        <v/>
      </c>
      <c r="L94">
        <f>Remediation_Tracking!K94</f>
        <v/>
      </c>
      <c r="M94" s="8" t="inlineStr">
        <is>
          <t>Medium</t>
        </is>
      </c>
      <c r="N94">
        <f>Remediation_Tracking!M94</f>
        <v/>
      </c>
      <c r="O94" s="26">
        <f>IF(E94="", "", (IF(E94="Critical",5,IF(E94="High",4,IF(E94="Medium",3,2)))*10) + (IF(J94="Critical",5,IF(J94="High",4,IF(J94="Medium",3,2)))*8) + (IF(M94="Very High",5,IF(M94="High",4,IF(M94="Medium",3,IF(M94="Low",2,1))))*6) + (IF(T94&lt;0, ABS(T94)/7*2, 0)))</f>
        <v/>
      </c>
      <c r="P94">
        <f>IF(O94="", "", IF(AND(E94="Critical", OR(K94="Critical",K94="High"), T94&lt;0), "P0 - Critical &amp; Urgent", IF(AND(E94="Critical", OR(K94="Critical",K94="High")), "P1 - Critical", IF(OR(AND(E94="High",K94="High"),AND(E94="Critical",K94="Medium")), "P2 - High Priority", IF(OR(AND(E94="Medium",K94="High"),AND(E94="High",K94="Medium")), "P3 - Medium Priority", "P4 - Low Priority")))))</f>
        <v/>
      </c>
      <c r="Q94">
        <f>Remediation_Tracking!S94</f>
        <v/>
      </c>
      <c r="R94">
        <f>Remediation_Tracking!U94</f>
        <v/>
      </c>
      <c r="S94">
        <f>Remediation_Tracking!Z94</f>
        <v/>
      </c>
      <c r="T94" s="17">
        <f>IF(S94&lt;&gt;"", S94-TODAY(), "")</f>
        <v/>
      </c>
      <c r="U94">
        <f>Remediation_Tracking!AE94</f>
        <v/>
      </c>
      <c r="V94">
        <f>Remediation_Tracking!W94</f>
        <v/>
      </c>
      <c r="W94">
        <f>IF(AND(OR(R94="&lt;1 hour",R94="1-4 hours",R94="1 day"), OR(K94="Medium",K94="High",K94="Critical")), "Yes - Quick Win", "No")</f>
        <v/>
      </c>
      <c r="X94" s="8" t="n"/>
      <c r="Y94" s="8" t="n"/>
    </row>
    <row r="95">
      <c r="A95">
        <f>IF(B95&lt;&gt;"", ROW()-1, "")</f>
        <v/>
      </c>
      <c r="B95">
        <f>Remediation_Tracking!A95</f>
        <v/>
      </c>
      <c r="C95">
        <f>Remediation_Tracking!D95</f>
        <v/>
      </c>
      <c r="D95">
        <f>Remediation_Tracking!E95</f>
        <v/>
      </c>
      <c r="E95">
        <f>Remediation_Tracking!F95</f>
        <v/>
      </c>
      <c r="F95">
        <f>Remediation_Tracking!C95</f>
        <v/>
      </c>
      <c r="G95">
        <f>Remediation_Tracking!H95</f>
        <v/>
      </c>
      <c r="H95">
        <f>Remediation_Tracking!I95</f>
        <v/>
      </c>
      <c r="I95">
        <f>Remediation_Tracking!G95</f>
        <v/>
      </c>
      <c r="J95">
        <f>Remediation_Tracking!J95</f>
        <v/>
      </c>
      <c r="K95">
        <f>Remediation_Tracking!L95</f>
        <v/>
      </c>
      <c r="L95">
        <f>Remediation_Tracking!K95</f>
        <v/>
      </c>
      <c r="M95" s="8" t="inlineStr">
        <is>
          <t>Medium</t>
        </is>
      </c>
      <c r="N95">
        <f>Remediation_Tracking!M95</f>
        <v/>
      </c>
      <c r="O95" s="26">
        <f>IF(E95="", "", (IF(E95="Critical",5,IF(E95="High",4,IF(E95="Medium",3,2)))*10) + (IF(J95="Critical",5,IF(J95="High",4,IF(J95="Medium",3,2)))*8) + (IF(M95="Very High",5,IF(M95="High",4,IF(M95="Medium",3,IF(M95="Low",2,1))))*6) + (IF(T95&lt;0, ABS(T95)/7*2, 0)))</f>
        <v/>
      </c>
      <c r="P95">
        <f>IF(O95="", "", IF(AND(E95="Critical", OR(K95="Critical",K95="High"), T95&lt;0), "P0 - Critical &amp; Urgent", IF(AND(E95="Critical", OR(K95="Critical",K95="High")), "P1 - Critical", IF(OR(AND(E95="High",K95="High"),AND(E95="Critical",K95="Medium")), "P2 - High Priority", IF(OR(AND(E95="Medium",K95="High"),AND(E95="High",K95="Medium")), "P3 - Medium Priority", "P4 - Low Priority")))))</f>
        <v/>
      </c>
      <c r="Q95">
        <f>Remediation_Tracking!S95</f>
        <v/>
      </c>
      <c r="R95">
        <f>Remediation_Tracking!U95</f>
        <v/>
      </c>
      <c r="S95">
        <f>Remediation_Tracking!Z95</f>
        <v/>
      </c>
      <c r="T95" s="17">
        <f>IF(S95&lt;&gt;"", S95-TODAY(), "")</f>
        <v/>
      </c>
      <c r="U95">
        <f>Remediation_Tracking!AE95</f>
        <v/>
      </c>
      <c r="V95">
        <f>Remediation_Tracking!W95</f>
        <v/>
      </c>
      <c r="W95">
        <f>IF(AND(OR(R95="&lt;1 hour",R95="1-4 hours",R95="1 day"), OR(K95="Medium",K95="High",K95="Critical")), "Yes - Quick Win", "No")</f>
        <v/>
      </c>
      <c r="X95" s="8" t="n"/>
      <c r="Y95" s="8" t="n"/>
    </row>
    <row r="96">
      <c r="A96">
        <f>IF(B96&lt;&gt;"", ROW()-1, "")</f>
        <v/>
      </c>
      <c r="B96">
        <f>Remediation_Tracking!A96</f>
        <v/>
      </c>
      <c r="C96">
        <f>Remediation_Tracking!D96</f>
        <v/>
      </c>
      <c r="D96">
        <f>Remediation_Tracking!E96</f>
        <v/>
      </c>
      <c r="E96">
        <f>Remediation_Tracking!F96</f>
        <v/>
      </c>
      <c r="F96">
        <f>Remediation_Tracking!C96</f>
        <v/>
      </c>
      <c r="G96">
        <f>Remediation_Tracking!H96</f>
        <v/>
      </c>
      <c r="H96">
        <f>Remediation_Tracking!I96</f>
        <v/>
      </c>
      <c r="I96">
        <f>Remediation_Tracking!G96</f>
        <v/>
      </c>
      <c r="J96">
        <f>Remediation_Tracking!J96</f>
        <v/>
      </c>
      <c r="K96">
        <f>Remediation_Tracking!L96</f>
        <v/>
      </c>
      <c r="L96">
        <f>Remediation_Tracking!K96</f>
        <v/>
      </c>
      <c r="M96" s="8" t="inlineStr">
        <is>
          <t>Medium</t>
        </is>
      </c>
      <c r="N96">
        <f>Remediation_Tracking!M96</f>
        <v/>
      </c>
      <c r="O96" s="26">
        <f>IF(E96="", "", (IF(E96="Critical",5,IF(E96="High",4,IF(E96="Medium",3,2)))*10) + (IF(J96="Critical",5,IF(J96="High",4,IF(J96="Medium",3,2)))*8) + (IF(M96="Very High",5,IF(M96="High",4,IF(M96="Medium",3,IF(M96="Low",2,1))))*6) + (IF(T96&lt;0, ABS(T96)/7*2, 0)))</f>
        <v/>
      </c>
      <c r="P96">
        <f>IF(O96="", "", IF(AND(E96="Critical", OR(K96="Critical",K96="High"), T96&lt;0), "P0 - Critical &amp; Urgent", IF(AND(E96="Critical", OR(K96="Critical",K96="High")), "P1 - Critical", IF(OR(AND(E96="High",K96="High"),AND(E96="Critical",K96="Medium")), "P2 - High Priority", IF(OR(AND(E96="Medium",K96="High"),AND(E96="High",K96="Medium")), "P3 - Medium Priority", "P4 - Low Priority")))))</f>
        <v/>
      </c>
      <c r="Q96">
        <f>Remediation_Tracking!S96</f>
        <v/>
      </c>
      <c r="R96">
        <f>Remediation_Tracking!U96</f>
        <v/>
      </c>
      <c r="S96">
        <f>Remediation_Tracking!Z96</f>
        <v/>
      </c>
      <c r="T96" s="17">
        <f>IF(S96&lt;&gt;"", S96-TODAY(), "")</f>
        <v/>
      </c>
      <c r="U96">
        <f>Remediation_Tracking!AE96</f>
        <v/>
      </c>
      <c r="V96">
        <f>Remediation_Tracking!W96</f>
        <v/>
      </c>
      <c r="W96">
        <f>IF(AND(OR(R96="&lt;1 hour",R96="1-4 hours",R96="1 day"), OR(K96="Medium",K96="High",K96="Critical")), "Yes - Quick Win", "No")</f>
        <v/>
      </c>
      <c r="X96" s="8" t="n"/>
      <c r="Y96" s="8" t="n"/>
    </row>
    <row r="97">
      <c r="A97">
        <f>IF(B97&lt;&gt;"", ROW()-1, "")</f>
        <v/>
      </c>
      <c r="B97">
        <f>Remediation_Tracking!A97</f>
        <v/>
      </c>
      <c r="C97">
        <f>Remediation_Tracking!D97</f>
        <v/>
      </c>
      <c r="D97">
        <f>Remediation_Tracking!E97</f>
        <v/>
      </c>
      <c r="E97">
        <f>Remediation_Tracking!F97</f>
        <v/>
      </c>
      <c r="F97">
        <f>Remediation_Tracking!C97</f>
        <v/>
      </c>
      <c r="G97">
        <f>Remediation_Tracking!H97</f>
        <v/>
      </c>
      <c r="H97">
        <f>Remediation_Tracking!I97</f>
        <v/>
      </c>
      <c r="I97">
        <f>Remediation_Tracking!G97</f>
        <v/>
      </c>
      <c r="J97">
        <f>Remediation_Tracking!J97</f>
        <v/>
      </c>
      <c r="K97">
        <f>Remediation_Tracking!L97</f>
        <v/>
      </c>
      <c r="L97">
        <f>Remediation_Tracking!K97</f>
        <v/>
      </c>
      <c r="M97" s="8" t="inlineStr">
        <is>
          <t>Medium</t>
        </is>
      </c>
      <c r="N97">
        <f>Remediation_Tracking!M97</f>
        <v/>
      </c>
      <c r="O97" s="26">
        <f>IF(E97="", "", (IF(E97="Critical",5,IF(E97="High",4,IF(E97="Medium",3,2)))*10) + (IF(J97="Critical",5,IF(J97="High",4,IF(J97="Medium",3,2)))*8) + (IF(M97="Very High",5,IF(M97="High",4,IF(M97="Medium",3,IF(M97="Low",2,1))))*6) + (IF(T97&lt;0, ABS(T97)/7*2, 0)))</f>
        <v/>
      </c>
      <c r="P97">
        <f>IF(O97="", "", IF(AND(E97="Critical", OR(K97="Critical",K97="High"), T97&lt;0), "P0 - Critical &amp; Urgent", IF(AND(E97="Critical", OR(K97="Critical",K97="High")), "P1 - Critical", IF(OR(AND(E97="High",K97="High"),AND(E97="Critical",K97="Medium")), "P2 - High Priority", IF(OR(AND(E97="Medium",K97="High"),AND(E97="High",K97="Medium")), "P3 - Medium Priority", "P4 - Low Priority")))))</f>
        <v/>
      </c>
      <c r="Q97">
        <f>Remediation_Tracking!S97</f>
        <v/>
      </c>
      <c r="R97">
        <f>Remediation_Tracking!U97</f>
        <v/>
      </c>
      <c r="S97">
        <f>Remediation_Tracking!Z97</f>
        <v/>
      </c>
      <c r="T97" s="17">
        <f>IF(S97&lt;&gt;"", S97-TODAY(), "")</f>
        <v/>
      </c>
      <c r="U97">
        <f>Remediation_Tracking!AE97</f>
        <v/>
      </c>
      <c r="V97">
        <f>Remediation_Tracking!W97</f>
        <v/>
      </c>
      <c r="W97">
        <f>IF(AND(OR(R97="&lt;1 hour",R97="1-4 hours",R97="1 day"), OR(K97="Medium",K97="High",K97="Critical")), "Yes - Quick Win", "No")</f>
        <v/>
      </c>
      <c r="X97" s="8" t="n"/>
      <c r="Y97" s="8" t="n"/>
    </row>
    <row r="98">
      <c r="A98">
        <f>IF(B98&lt;&gt;"", ROW()-1, "")</f>
        <v/>
      </c>
      <c r="B98">
        <f>Remediation_Tracking!A98</f>
        <v/>
      </c>
      <c r="C98">
        <f>Remediation_Tracking!D98</f>
        <v/>
      </c>
      <c r="D98">
        <f>Remediation_Tracking!E98</f>
        <v/>
      </c>
      <c r="E98">
        <f>Remediation_Tracking!F98</f>
        <v/>
      </c>
      <c r="F98">
        <f>Remediation_Tracking!C98</f>
        <v/>
      </c>
      <c r="G98">
        <f>Remediation_Tracking!H98</f>
        <v/>
      </c>
      <c r="H98">
        <f>Remediation_Tracking!I98</f>
        <v/>
      </c>
      <c r="I98">
        <f>Remediation_Tracking!G98</f>
        <v/>
      </c>
      <c r="J98">
        <f>Remediation_Tracking!J98</f>
        <v/>
      </c>
      <c r="K98">
        <f>Remediation_Tracking!L98</f>
        <v/>
      </c>
      <c r="L98">
        <f>Remediation_Tracking!K98</f>
        <v/>
      </c>
      <c r="M98" s="8" t="inlineStr">
        <is>
          <t>Medium</t>
        </is>
      </c>
      <c r="N98">
        <f>Remediation_Tracking!M98</f>
        <v/>
      </c>
      <c r="O98" s="26">
        <f>IF(E98="", "", (IF(E98="Critical",5,IF(E98="High",4,IF(E98="Medium",3,2)))*10) + (IF(J98="Critical",5,IF(J98="High",4,IF(J98="Medium",3,2)))*8) + (IF(M98="Very High",5,IF(M98="High",4,IF(M98="Medium",3,IF(M98="Low",2,1))))*6) + (IF(T98&lt;0, ABS(T98)/7*2, 0)))</f>
        <v/>
      </c>
      <c r="P98">
        <f>IF(O98="", "", IF(AND(E98="Critical", OR(K98="Critical",K98="High"), T98&lt;0), "P0 - Critical &amp; Urgent", IF(AND(E98="Critical", OR(K98="Critical",K98="High")), "P1 - Critical", IF(OR(AND(E98="High",K98="High"),AND(E98="Critical",K98="Medium")), "P2 - High Priority", IF(OR(AND(E98="Medium",K98="High"),AND(E98="High",K98="Medium")), "P3 - Medium Priority", "P4 - Low Priority")))))</f>
        <v/>
      </c>
      <c r="Q98">
        <f>Remediation_Tracking!S98</f>
        <v/>
      </c>
      <c r="R98">
        <f>Remediation_Tracking!U98</f>
        <v/>
      </c>
      <c r="S98">
        <f>Remediation_Tracking!Z98</f>
        <v/>
      </c>
      <c r="T98" s="17">
        <f>IF(S98&lt;&gt;"", S98-TODAY(), "")</f>
        <v/>
      </c>
      <c r="U98">
        <f>Remediation_Tracking!AE98</f>
        <v/>
      </c>
      <c r="V98">
        <f>Remediation_Tracking!W98</f>
        <v/>
      </c>
      <c r="W98">
        <f>IF(AND(OR(R98="&lt;1 hour",R98="1-4 hours",R98="1 day"), OR(K98="Medium",K98="High",K98="Critical")), "Yes - Quick Win", "No")</f>
        <v/>
      </c>
      <c r="X98" s="8" t="n"/>
      <c r="Y98" s="8" t="n"/>
    </row>
    <row r="99">
      <c r="A99">
        <f>IF(B99&lt;&gt;"", ROW()-1, "")</f>
        <v/>
      </c>
      <c r="B99">
        <f>Remediation_Tracking!A99</f>
        <v/>
      </c>
      <c r="C99">
        <f>Remediation_Tracking!D99</f>
        <v/>
      </c>
      <c r="D99">
        <f>Remediation_Tracking!E99</f>
        <v/>
      </c>
      <c r="E99">
        <f>Remediation_Tracking!F99</f>
        <v/>
      </c>
      <c r="F99">
        <f>Remediation_Tracking!C99</f>
        <v/>
      </c>
      <c r="G99">
        <f>Remediation_Tracking!H99</f>
        <v/>
      </c>
      <c r="H99">
        <f>Remediation_Tracking!I99</f>
        <v/>
      </c>
      <c r="I99">
        <f>Remediation_Tracking!G99</f>
        <v/>
      </c>
      <c r="J99">
        <f>Remediation_Tracking!J99</f>
        <v/>
      </c>
      <c r="K99">
        <f>Remediation_Tracking!L99</f>
        <v/>
      </c>
      <c r="L99">
        <f>Remediation_Tracking!K99</f>
        <v/>
      </c>
      <c r="M99" s="8" t="inlineStr">
        <is>
          <t>Medium</t>
        </is>
      </c>
      <c r="N99">
        <f>Remediation_Tracking!M99</f>
        <v/>
      </c>
      <c r="O99" s="26">
        <f>IF(E99="", "", (IF(E99="Critical",5,IF(E99="High",4,IF(E99="Medium",3,2)))*10) + (IF(J99="Critical",5,IF(J99="High",4,IF(J99="Medium",3,2)))*8) + (IF(M99="Very High",5,IF(M99="High",4,IF(M99="Medium",3,IF(M99="Low",2,1))))*6) + (IF(T99&lt;0, ABS(T99)/7*2, 0)))</f>
        <v/>
      </c>
      <c r="P99">
        <f>IF(O99="", "", IF(AND(E99="Critical", OR(K99="Critical",K99="High"), T99&lt;0), "P0 - Critical &amp; Urgent", IF(AND(E99="Critical", OR(K99="Critical",K99="High")), "P1 - Critical", IF(OR(AND(E99="High",K99="High"),AND(E99="Critical",K99="Medium")), "P2 - High Priority", IF(OR(AND(E99="Medium",K99="High"),AND(E99="High",K99="Medium")), "P3 - Medium Priority", "P4 - Low Priority")))))</f>
        <v/>
      </c>
      <c r="Q99">
        <f>Remediation_Tracking!S99</f>
        <v/>
      </c>
      <c r="R99">
        <f>Remediation_Tracking!U99</f>
        <v/>
      </c>
      <c r="S99">
        <f>Remediation_Tracking!Z99</f>
        <v/>
      </c>
      <c r="T99" s="17">
        <f>IF(S99&lt;&gt;"", S99-TODAY(), "")</f>
        <v/>
      </c>
      <c r="U99">
        <f>Remediation_Tracking!AE99</f>
        <v/>
      </c>
      <c r="V99">
        <f>Remediation_Tracking!W99</f>
        <v/>
      </c>
      <c r="W99">
        <f>IF(AND(OR(R99="&lt;1 hour",R99="1-4 hours",R99="1 day"), OR(K99="Medium",K99="High",K99="Critical")), "Yes - Quick Win", "No")</f>
        <v/>
      </c>
      <c r="X99" s="8" t="n"/>
      <c r="Y99" s="8" t="n"/>
    </row>
    <row r="100">
      <c r="A100">
        <f>IF(B100&lt;&gt;"", ROW()-1, "")</f>
        <v/>
      </c>
      <c r="B100">
        <f>Remediation_Tracking!A100</f>
        <v/>
      </c>
      <c r="C100">
        <f>Remediation_Tracking!D100</f>
        <v/>
      </c>
      <c r="D100">
        <f>Remediation_Tracking!E100</f>
        <v/>
      </c>
      <c r="E100">
        <f>Remediation_Tracking!F100</f>
        <v/>
      </c>
      <c r="F100">
        <f>Remediation_Tracking!C100</f>
        <v/>
      </c>
      <c r="G100">
        <f>Remediation_Tracking!H100</f>
        <v/>
      </c>
      <c r="H100">
        <f>Remediation_Tracking!I100</f>
        <v/>
      </c>
      <c r="I100">
        <f>Remediation_Tracking!G100</f>
        <v/>
      </c>
      <c r="J100">
        <f>Remediation_Tracking!J100</f>
        <v/>
      </c>
      <c r="K100">
        <f>Remediation_Tracking!L100</f>
        <v/>
      </c>
      <c r="L100">
        <f>Remediation_Tracking!K100</f>
        <v/>
      </c>
      <c r="M100" s="8" t="inlineStr">
        <is>
          <t>Medium</t>
        </is>
      </c>
      <c r="N100">
        <f>Remediation_Tracking!M100</f>
        <v/>
      </c>
      <c r="O100" s="26">
        <f>IF(E100="", "", (IF(E100="Critical",5,IF(E100="High",4,IF(E100="Medium",3,2)))*10) + (IF(J100="Critical",5,IF(J100="High",4,IF(J100="Medium",3,2)))*8) + (IF(M100="Very High",5,IF(M100="High",4,IF(M100="Medium",3,IF(M100="Low",2,1))))*6) + (IF(T100&lt;0, ABS(T100)/7*2, 0)))</f>
        <v/>
      </c>
      <c r="P100">
        <f>IF(O100="", "", IF(AND(E100="Critical", OR(K100="Critical",K100="High"), T100&lt;0), "P0 - Critical &amp; Urgent", IF(AND(E100="Critical", OR(K100="Critical",K100="High")), "P1 - Critical", IF(OR(AND(E100="High",K100="High"),AND(E100="Critical",K100="Medium")), "P2 - High Priority", IF(OR(AND(E100="Medium",K100="High"),AND(E100="High",K100="Medium")), "P3 - Medium Priority", "P4 - Low Priority")))))</f>
        <v/>
      </c>
      <c r="Q100">
        <f>Remediation_Tracking!S100</f>
        <v/>
      </c>
      <c r="R100">
        <f>Remediation_Tracking!U100</f>
        <v/>
      </c>
      <c r="S100">
        <f>Remediation_Tracking!Z100</f>
        <v/>
      </c>
      <c r="T100" s="17">
        <f>IF(S100&lt;&gt;"", S100-TODAY(), "")</f>
        <v/>
      </c>
      <c r="U100">
        <f>Remediation_Tracking!AE100</f>
        <v/>
      </c>
      <c r="V100">
        <f>Remediation_Tracking!W100</f>
        <v/>
      </c>
      <c r="W100">
        <f>IF(AND(OR(R100="&lt;1 hour",R100="1-4 hours",R100="1 day"), OR(K100="Medium",K100="High",K100="Critical")), "Yes - Quick Win", "No")</f>
        <v/>
      </c>
      <c r="X100" s="8" t="n"/>
      <c r="Y100" s="8" t="n"/>
    </row>
    <row r="101">
      <c r="A101">
        <f>IF(B101&lt;&gt;"", ROW()-1, "")</f>
        <v/>
      </c>
      <c r="B101">
        <f>Remediation_Tracking!A101</f>
        <v/>
      </c>
      <c r="C101">
        <f>Remediation_Tracking!D101</f>
        <v/>
      </c>
      <c r="D101">
        <f>Remediation_Tracking!E101</f>
        <v/>
      </c>
      <c r="E101">
        <f>Remediation_Tracking!F101</f>
        <v/>
      </c>
      <c r="F101">
        <f>Remediation_Tracking!C101</f>
        <v/>
      </c>
      <c r="G101">
        <f>Remediation_Tracking!H101</f>
        <v/>
      </c>
      <c r="H101">
        <f>Remediation_Tracking!I101</f>
        <v/>
      </c>
      <c r="I101">
        <f>Remediation_Tracking!G101</f>
        <v/>
      </c>
      <c r="J101">
        <f>Remediation_Tracking!J101</f>
        <v/>
      </c>
      <c r="K101">
        <f>Remediation_Tracking!L101</f>
        <v/>
      </c>
      <c r="L101">
        <f>Remediation_Tracking!K101</f>
        <v/>
      </c>
      <c r="M101" s="8" t="inlineStr">
        <is>
          <t>Medium</t>
        </is>
      </c>
      <c r="N101">
        <f>Remediation_Tracking!M101</f>
        <v/>
      </c>
      <c r="O101" s="26">
        <f>IF(E101="", "", (IF(E101="Critical",5,IF(E101="High",4,IF(E101="Medium",3,2)))*10) + (IF(J101="Critical",5,IF(J101="High",4,IF(J101="Medium",3,2)))*8) + (IF(M101="Very High",5,IF(M101="High",4,IF(M101="Medium",3,IF(M101="Low",2,1))))*6) + (IF(T101&lt;0, ABS(T101)/7*2, 0)))</f>
        <v/>
      </c>
      <c r="P101">
        <f>IF(O101="", "", IF(AND(E101="Critical", OR(K101="Critical",K101="High"), T101&lt;0), "P0 - Critical &amp; Urgent", IF(AND(E101="Critical", OR(K101="Critical",K101="High")), "P1 - Critical", IF(OR(AND(E101="High",K101="High"),AND(E101="Critical",K101="Medium")), "P2 - High Priority", IF(OR(AND(E101="Medium",K101="High"),AND(E101="High",K101="Medium")), "P3 - Medium Priority", "P4 - Low Priority")))))</f>
        <v/>
      </c>
      <c r="Q101">
        <f>Remediation_Tracking!S101</f>
        <v/>
      </c>
      <c r="R101">
        <f>Remediation_Tracking!U101</f>
        <v/>
      </c>
      <c r="S101">
        <f>Remediation_Tracking!Z101</f>
        <v/>
      </c>
      <c r="T101" s="17">
        <f>IF(S101&lt;&gt;"", S101-TODAY(), "")</f>
        <v/>
      </c>
      <c r="U101">
        <f>Remediation_Tracking!AE101</f>
        <v/>
      </c>
      <c r="V101">
        <f>Remediation_Tracking!W101</f>
        <v/>
      </c>
      <c r="W101">
        <f>IF(AND(OR(R101="&lt;1 hour",R101="1-4 hours",R101="1 day"), OR(K101="Medium",K101="High",K101="Critical")), "Yes - Quick Win", "No")</f>
        <v/>
      </c>
      <c r="X101" s="8" t="n"/>
      <c r="Y10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P2:P101">
    <cfRule type="cellIs" priority="1" operator="equal" dxfId="14">
      <formula>"P0 - Critical &amp; Urgent"</formula>
    </cfRule>
    <cfRule type="cellIs" priority="2" operator="equal" dxfId="0">
      <formula>"P1 - Critical"</formula>
    </cfRule>
    <cfRule type="cellIs" priority="3" operator="equal" dxfId="3">
      <formula>"P2 - High Priority"</formula>
    </cfRule>
    <cfRule type="cellIs" priority="4" operator="equal" dxfId="1">
      <formula>"P3 - Medium Priority"</formula>
    </cfRule>
  </conditionalFormatting>
  <conditionalFormatting sqref="A2:Y101">
    <cfRule type="expression" priority="5" dxfId="15">
      <formula>$W2="Yes - Quick Win"</formula>
    </cfRule>
  </conditionalFormatting>
  <conditionalFormatting sqref="T2:T101">
    <cfRule type="cellIs" priority="6" operator="lessThan" dxfId="10">
      <formula>0</formula>
    </cfRule>
  </conditionalFormatting>
  <conditionalFormatting sqref="U2:U101">
    <cfRule type="cellIs" priority="7" operator="equal" dxfId="2">
      <formula>"Blocked"</formula>
    </cfRule>
  </conditionalFormatting>
  <dataValidations count="1">
    <dataValidation sqref="M2:M101" showDropDown="0" showInputMessage="0" showErrorMessage="1" allowBlank="1" errorTitle="Invalid Entry" error="Please select from the dropdown list." type="list">
      <formula1>"🔴 Very High,🟡 High,🟢 Medium,⭕ Low,⚪ Very Low"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4" customWidth="1" min="3" max="3"/>
    <col width="14" customWidth="1" min="4" max="4"/>
    <col width="14" customWidth="1" min="5" max="5"/>
    <col width="50" customWidth="1" min="6" max="6"/>
    <col width="20" customWidth="1" min="7" max="7"/>
    <col width="20" customWidth="1" min="8" max="8"/>
    <col width="15" customWidth="1" min="9" max="9"/>
    <col width="25" customWidth="1" min="10" max="10"/>
    <col width="30" customWidth="1" min="11" max="11"/>
    <col width="40" customWidth="1" min="12" max="12"/>
    <col width="65" customWidth="1" min="13" max="13"/>
    <col width="20" customWidth="1" min="14" max="14"/>
    <col width="18" customWidth="1" min="15" max="15"/>
    <col width="18" customWidth="1" min="16" max="16"/>
    <col width="15" customWidth="1" min="17" max="17"/>
    <col width="25" customWidth="1" min="18" max="18"/>
    <col width="15" customWidth="1" min="19" max="19"/>
    <col width="40" customWidth="1" min="20" max="20"/>
    <col width="40" customWidth="1" min="21" max="21"/>
  </cols>
  <sheetData>
    <row r="1">
      <c r="A1" s="6" t="inlineStr">
        <is>
          <t>Evidence_ID</t>
        </is>
      </c>
      <c r="B1" s="6" t="inlineStr">
        <is>
          <t>Evidence_Type</t>
        </is>
      </c>
      <c r="C1" s="6" t="inlineStr">
        <is>
          <t>Related_Control_ID</t>
        </is>
      </c>
      <c r="D1" s="6" t="inlineStr">
        <is>
          <t>Related_Asset_ID</t>
        </is>
      </c>
      <c r="E1" s="6" t="inlineStr">
        <is>
          <t>Related_Exception_ID</t>
        </is>
      </c>
      <c r="F1" s="6" t="inlineStr">
        <is>
          <t>Evidence_Description</t>
        </is>
      </c>
      <c r="G1" s="6" t="inlineStr">
        <is>
          <t>Evidence_Source</t>
        </is>
      </c>
      <c r="H1" s="6" t="inlineStr">
        <is>
          <t>Collection_Method</t>
        </is>
      </c>
      <c r="I1" s="6" t="inlineStr">
        <is>
          <t>Collection_Date</t>
        </is>
      </c>
      <c r="J1" s="6" t="inlineStr">
        <is>
          <t>Collected_By</t>
        </is>
      </c>
      <c r="K1" s="6" t="inlineStr">
        <is>
          <t>File_Name</t>
        </is>
      </c>
      <c r="L1" s="6" t="inlineStr">
        <is>
          <t>File_Location</t>
        </is>
      </c>
      <c r="M1" s="6" t="inlineStr">
        <is>
          <t>File_Hash</t>
        </is>
      </c>
      <c r="N1" s="6" t="inlineStr">
        <is>
          <t>Evidence_Validity_Period</t>
        </is>
      </c>
      <c r="O1" s="6" t="inlineStr">
        <is>
          <t>Evidence_Expiry_Date</t>
        </is>
      </c>
      <c r="P1" s="6" t="inlineStr">
        <is>
          <t>Review_Required</t>
        </is>
      </c>
      <c r="Q1" s="6" t="inlineStr">
        <is>
          <t>Evidence_Status</t>
        </is>
      </c>
      <c r="R1" s="6" t="inlineStr">
        <is>
          <t>Verification_By</t>
        </is>
      </c>
      <c r="S1" s="6" t="inlineStr">
        <is>
          <t>Verification_Date</t>
        </is>
      </c>
      <c r="T1" s="6" t="inlineStr">
        <is>
          <t>Audit_Trail</t>
        </is>
      </c>
      <c r="U1" s="6" t="inlineStr">
        <is>
          <t>Notes</t>
        </is>
      </c>
    </row>
    <row r="2">
      <c r="A2">
        <f>IF(B2&lt;&gt;"", "EVD-"&amp;TEXT(ROW()-1,"000"), "")</f>
        <v/>
      </c>
      <c r="B2" s="8" t="n"/>
      <c r="C2" s="8" t="n"/>
      <c r="D2" s="8" t="n"/>
      <c r="E2" s="8" t="n"/>
      <c r="F2" s="8" t="n"/>
      <c r="G2" s="8" t="n"/>
      <c r="H2" s="8" t="n"/>
      <c r="I2" s="8" t="n"/>
      <c r="J2" s="8" t="inlineStr">
        <is>
          <t>[Security Analyst]</t>
        </is>
      </c>
      <c r="K2" s="8" t="n"/>
      <c r="L2" s="8" t="inlineStr">
        <is>
          <t>[File Server Path]</t>
        </is>
      </c>
      <c r="M2" s="8" t="n"/>
      <c r="N2" s="8" t="inlineStr">
        <is>
          <t>3 Months</t>
        </is>
      </c>
      <c r="O2" s="16">
        <f>IF(AND(I2&lt;&gt;"", N2&lt;&gt;""), IF(N2="Point-in-Time", I2, IF(N2="1 Month", I2+30, IF(N2="3 Months", I2+90, IF(N2="6 Months", I2+180, IF(N2="12 Months", I2+365, IF(N2="Continuous", "N/A", I2)))))), "")</f>
        <v/>
      </c>
      <c r="P2">
        <f>IF(O2="", "", IF(Q2="Expired", "Yes - Expired", IF(AND(O2&lt;&gt;"N/A", O2&lt;TODAY()+30), "Yes - Expiring Soon", "No")))</f>
        <v/>
      </c>
      <c r="Q2" s="8" t="inlineStr">
        <is>
          <t>Active</t>
        </is>
      </c>
      <c r="R2" s="8" t="n"/>
      <c r="S2" s="8" t="n"/>
      <c r="T2" s="8" t="n"/>
      <c r="U2" s="8" t="n"/>
    </row>
    <row r="3">
      <c r="A3">
        <f>IF(B3&lt;&gt;"", "EVD-"&amp;TEXT(ROW()-1,"000"), "")</f>
        <v/>
      </c>
      <c r="B3" s="8" t="n"/>
      <c r="C3" s="8" t="n"/>
      <c r="D3" s="8" t="n"/>
      <c r="E3" s="8" t="n"/>
      <c r="F3" s="8" t="n"/>
      <c r="G3" s="8" t="n"/>
      <c r="H3" s="8" t="n"/>
      <c r="I3" s="8" t="n"/>
      <c r="J3" s="8" t="inlineStr">
        <is>
          <t>[Security Analyst]</t>
        </is>
      </c>
      <c r="K3" s="8" t="n"/>
      <c r="L3" s="8" t="inlineStr">
        <is>
          <t>[File Server Path]</t>
        </is>
      </c>
      <c r="M3" s="8" t="n"/>
      <c r="N3" s="8" t="inlineStr">
        <is>
          <t>3 Months</t>
        </is>
      </c>
      <c r="O3" s="16">
        <f>IF(AND(I3&lt;&gt;"", N3&lt;&gt;""), IF(N3="Point-in-Time", I3, IF(N3="1 Month", I3+30, IF(N3="3 Months", I3+90, IF(N3="6 Months", I3+180, IF(N3="12 Months", I3+365, IF(N3="Continuous", "N/A", I3)))))), "")</f>
        <v/>
      </c>
      <c r="P3">
        <f>IF(O3="", "", IF(Q3="Expired", "Yes - Expired", IF(AND(O3&lt;&gt;"N/A", O3&lt;TODAY()+30), "Yes - Expiring Soon", "No")))</f>
        <v/>
      </c>
      <c r="Q3" s="8" t="inlineStr">
        <is>
          <t>Active</t>
        </is>
      </c>
      <c r="R3" s="8" t="n"/>
      <c r="S3" s="8" t="n"/>
      <c r="T3" s="8" t="n"/>
      <c r="U3" s="8" t="n"/>
    </row>
    <row r="4">
      <c r="A4">
        <f>IF(B4&lt;&gt;"", "EVD-"&amp;TEXT(ROW()-1,"000"), "")</f>
        <v/>
      </c>
      <c r="B4" s="8" t="n"/>
      <c r="C4" s="8" t="n"/>
      <c r="D4" s="8" t="n"/>
      <c r="E4" s="8" t="n"/>
      <c r="F4" s="8" t="n"/>
      <c r="G4" s="8" t="n"/>
      <c r="H4" s="8" t="n"/>
      <c r="I4" s="8" t="n"/>
      <c r="J4" s="8" t="inlineStr">
        <is>
          <t>[Security Analyst]</t>
        </is>
      </c>
      <c r="K4" s="8" t="n"/>
      <c r="L4" s="8" t="inlineStr">
        <is>
          <t>[File Server Path]</t>
        </is>
      </c>
      <c r="M4" s="8" t="n"/>
      <c r="N4" s="8" t="inlineStr">
        <is>
          <t>3 Months</t>
        </is>
      </c>
      <c r="O4" s="16">
        <f>IF(AND(I4&lt;&gt;"", N4&lt;&gt;""), IF(N4="Point-in-Time", I4, IF(N4="1 Month", I4+30, IF(N4="3 Months", I4+90, IF(N4="6 Months", I4+180, IF(N4="12 Months", I4+365, IF(N4="Continuous", "N/A", I4)))))), "")</f>
        <v/>
      </c>
      <c r="P4">
        <f>IF(O4="", "", IF(Q4="Expired", "Yes - Expired", IF(AND(O4&lt;&gt;"N/A", O4&lt;TODAY()+30), "Yes - Expiring Soon", "No")))</f>
        <v/>
      </c>
      <c r="Q4" s="8" t="inlineStr">
        <is>
          <t>Active</t>
        </is>
      </c>
      <c r="R4" s="8" t="n"/>
      <c r="S4" s="8" t="n"/>
      <c r="T4" s="8" t="n"/>
      <c r="U4" s="8" t="n"/>
    </row>
    <row r="5">
      <c r="A5">
        <f>IF(B5&lt;&gt;"", "EVD-"&amp;TEXT(ROW()-1,"000"), "")</f>
        <v/>
      </c>
      <c r="B5" s="8" t="n"/>
      <c r="C5" s="8" t="n"/>
      <c r="D5" s="8" t="n"/>
      <c r="E5" s="8" t="n"/>
      <c r="F5" s="8" t="n"/>
      <c r="G5" s="8" t="n"/>
      <c r="H5" s="8" t="n"/>
      <c r="I5" s="8" t="n"/>
      <c r="J5" s="8" t="inlineStr">
        <is>
          <t>[Security Analyst]</t>
        </is>
      </c>
      <c r="K5" s="8" t="n"/>
      <c r="L5" s="8" t="inlineStr">
        <is>
          <t>[File Server Path]</t>
        </is>
      </c>
      <c r="M5" s="8" t="n"/>
      <c r="N5" s="8" t="inlineStr">
        <is>
          <t>3 Months</t>
        </is>
      </c>
      <c r="O5" s="16">
        <f>IF(AND(I5&lt;&gt;"", N5&lt;&gt;""), IF(N5="Point-in-Time", I5, IF(N5="1 Month", I5+30, IF(N5="3 Months", I5+90, IF(N5="6 Months", I5+180, IF(N5="12 Months", I5+365, IF(N5="Continuous", "N/A", I5)))))), "")</f>
        <v/>
      </c>
      <c r="P5">
        <f>IF(O5="", "", IF(Q5="Expired", "Yes - Expired", IF(AND(O5&lt;&gt;"N/A", O5&lt;TODAY()+30), "Yes - Expiring Soon", "No")))</f>
        <v/>
      </c>
      <c r="Q5" s="8" t="inlineStr">
        <is>
          <t>Active</t>
        </is>
      </c>
      <c r="R5" s="8" t="n"/>
      <c r="S5" s="8" t="n"/>
      <c r="T5" s="8" t="n"/>
      <c r="U5" s="8" t="n"/>
    </row>
    <row r="6">
      <c r="A6">
        <f>IF(B6&lt;&gt;"", "EVD-"&amp;TEXT(ROW()-1,"000"), "")</f>
        <v/>
      </c>
      <c r="B6" s="8" t="n"/>
      <c r="C6" s="8" t="n"/>
      <c r="D6" s="8" t="n"/>
      <c r="E6" s="8" t="n"/>
      <c r="F6" s="8" t="n"/>
      <c r="G6" s="8" t="n"/>
      <c r="H6" s="8" t="n"/>
      <c r="I6" s="8" t="n"/>
      <c r="J6" s="8" t="inlineStr">
        <is>
          <t>[Security Analyst]</t>
        </is>
      </c>
      <c r="K6" s="8" t="n"/>
      <c r="L6" s="8" t="inlineStr">
        <is>
          <t>[File Server Path]</t>
        </is>
      </c>
      <c r="M6" s="8" t="n"/>
      <c r="N6" s="8" t="inlineStr">
        <is>
          <t>3 Months</t>
        </is>
      </c>
      <c r="O6" s="16">
        <f>IF(AND(I6&lt;&gt;"", N6&lt;&gt;""), IF(N6="Point-in-Time", I6, IF(N6="1 Month", I6+30, IF(N6="3 Months", I6+90, IF(N6="6 Months", I6+180, IF(N6="12 Months", I6+365, IF(N6="Continuous", "N/A", I6)))))), "")</f>
        <v/>
      </c>
      <c r="P6">
        <f>IF(O6="", "", IF(Q6="Expired", "Yes - Expired", IF(AND(O6&lt;&gt;"N/A", O6&lt;TODAY()+30), "Yes - Expiring Soon", "No")))</f>
        <v/>
      </c>
      <c r="Q6" s="8" t="inlineStr">
        <is>
          <t>Active</t>
        </is>
      </c>
      <c r="R6" s="8" t="n"/>
      <c r="S6" s="8" t="n"/>
      <c r="T6" s="8" t="n"/>
      <c r="U6" s="8" t="n"/>
    </row>
    <row r="7">
      <c r="A7">
        <f>IF(B7&lt;&gt;"", "EVD-"&amp;TEXT(ROW()-1,"000"), "")</f>
        <v/>
      </c>
      <c r="B7" s="8" t="n"/>
      <c r="C7" s="8" t="n"/>
      <c r="D7" s="8" t="n"/>
      <c r="E7" s="8" t="n"/>
      <c r="F7" s="8" t="n"/>
      <c r="G7" s="8" t="n"/>
      <c r="H7" s="8" t="n"/>
      <c r="I7" s="8" t="n"/>
      <c r="J7" s="8" t="inlineStr">
        <is>
          <t>[Security Analyst]</t>
        </is>
      </c>
      <c r="K7" s="8" t="n"/>
      <c r="L7" s="8" t="inlineStr">
        <is>
          <t>[File Server Path]</t>
        </is>
      </c>
      <c r="M7" s="8" t="n"/>
      <c r="N7" s="8" t="inlineStr">
        <is>
          <t>3 Months</t>
        </is>
      </c>
      <c r="O7" s="16">
        <f>IF(AND(I7&lt;&gt;"", N7&lt;&gt;""), IF(N7="Point-in-Time", I7, IF(N7="1 Month", I7+30, IF(N7="3 Months", I7+90, IF(N7="6 Months", I7+180, IF(N7="12 Months", I7+365, IF(N7="Continuous", "N/A", I7)))))), "")</f>
        <v/>
      </c>
      <c r="P7">
        <f>IF(O7="", "", IF(Q7="Expired", "Yes - Expired", IF(AND(O7&lt;&gt;"N/A", O7&lt;TODAY()+30), "Yes - Expiring Soon", "No")))</f>
        <v/>
      </c>
      <c r="Q7" s="8" t="inlineStr">
        <is>
          <t>Active</t>
        </is>
      </c>
      <c r="R7" s="8" t="n"/>
      <c r="S7" s="8" t="n"/>
      <c r="T7" s="8" t="n"/>
      <c r="U7" s="8" t="n"/>
    </row>
    <row r="8">
      <c r="A8">
        <f>IF(B8&lt;&gt;"", "EVD-"&amp;TEXT(ROW()-1,"000"), "")</f>
        <v/>
      </c>
      <c r="B8" s="8" t="n"/>
      <c r="C8" s="8" t="n"/>
      <c r="D8" s="8" t="n"/>
      <c r="E8" s="8" t="n"/>
      <c r="F8" s="8" t="n"/>
      <c r="G8" s="8" t="n"/>
      <c r="H8" s="8" t="n"/>
      <c r="I8" s="8" t="n"/>
      <c r="J8" s="8" t="inlineStr">
        <is>
          <t>[Security Analyst]</t>
        </is>
      </c>
      <c r="K8" s="8" t="n"/>
      <c r="L8" s="8" t="inlineStr">
        <is>
          <t>[File Server Path]</t>
        </is>
      </c>
      <c r="M8" s="8" t="n"/>
      <c r="N8" s="8" t="inlineStr">
        <is>
          <t>3 Months</t>
        </is>
      </c>
      <c r="O8" s="16">
        <f>IF(AND(I8&lt;&gt;"", N8&lt;&gt;""), IF(N8="Point-in-Time", I8, IF(N8="1 Month", I8+30, IF(N8="3 Months", I8+90, IF(N8="6 Months", I8+180, IF(N8="12 Months", I8+365, IF(N8="Continuous", "N/A", I8)))))), "")</f>
        <v/>
      </c>
      <c r="P8">
        <f>IF(O8="", "", IF(Q8="Expired", "Yes - Expired", IF(AND(O8&lt;&gt;"N/A", O8&lt;TODAY()+30), "Yes - Expiring Soon", "No")))</f>
        <v/>
      </c>
      <c r="Q8" s="8" t="inlineStr">
        <is>
          <t>Active</t>
        </is>
      </c>
      <c r="R8" s="8" t="n"/>
      <c r="S8" s="8" t="n"/>
      <c r="T8" s="8" t="n"/>
      <c r="U8" s="8" t="n"/>
    </row>
    <row r="9">
      <c r="A9">
        <f>IF(B9&lt;&gt;"", "EVD-"&amp;TEXT(ROW()-1,"000"), "")</f>
        <v/>
      </c>
      <c r="B9" s="8" t="n"/>
      <c r="C9" s="8" t="n"/>
      <c r="D9" s="8" t="n"/>
      <c r="E9" s="8" t="n"/>
      <c r="F9" s="8" t="n"/>
      <c r="G9" s="8" t="n"/>
      <c r="H9" s="8" t="n"/>
      <c r="I9" s="8" t="n"/>
      <c r="J9" s="8" t="inlineStr">
        <is>
          <t>[Security Analyst]</t>
        </is>
      </c>
      <c r="K9" s="8" t="n"/>
      <c r="L9" s="8" t="inlineStr">
        <is>
          <t>[File Server Path]</t>
        </is>
      </c>
      <c r="M9" s="8" t="n"/>
      <c r="N9" s="8" t="inlineStr">
        <is>
          <t>3 Months</t>
        </is>
      </c>
      <c r="O9" s="16">
        <f>IF(AND(I9&lt;&gt;"", N9&lt;&gt;""), IF(N9="Point-in-Time", I9, IF(N9="1 Month", I9+30, IF(N9="3 Months", I9+90, IF(N9="6 Months", I9+180, IF(N9="12 Months", I9+365, IF(N9="Continuous", "N/A", I9)))))), "")</f>
        <v/>
      </c>
      <c r="P9">
        <f>IF(O9="", "", IF(Q9="Expired", "Yes - Expired", IF(AND(O9&lt;&gt;"N/A", O9&lt;TODAY()+30), "Yes - Expiring Soon", "No")))</f>
        <v/>
      </c>
      <c r="Q9" s="8" t="inlineStr">
        <is>
          <t>Active</t>
        </is>
      </c>
      <c r="R9" s="8" t="n"/>
      <c r="S9" s="8" t="n"/>
      <c r="T9" s="8" t="n"/>
      <c r="U9" s="8" t="n"/>
    </row>
    <row r="10">
      <c r="A10">
        <f>IF(B10&lt;&gt;"", "EVD-"&amp;TEXT(ROW()-1,"000"), "")</f>
        <v/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[Security Analyst]</t>
        </is>
      </c>
      <c r="K10" s="8" t="n"/>
      <c r="L10" s="8" t="inlineStr">
        <is>
          <t>[File Server Path]</t>
        </is>
      </c>
      <c r="M10" s="8" t="n"/>
      <c r="N10" s="8" t="inlineStr">
        <is>
          <t>3 Months</t>
        </is>
      </c>
      <c r="O10" s="16">
        <f>IF(AND(I10&lt;&gt;"", N10&lt;&gt;""), IF(N10="Point-in-Time", I10, IF(N10="1 Month", I10+30, IF(N10="3 Months", I10+90, IF(N10="6 Months", I10+180, IF(N10="12 Months", I10+365, IF(N10="Continuous", "N/A", I10)))))), "")</f>
        <v/>
      </c>
      <c r="P10">
        <f>IF(O10="", "", IF(Q10="Expired", "Yes - Expired", IF(AND(O10&lt;&gt;"N/A", O10&lt;TODAY()+30), "Yes - Expiring Soon", "No")))</f>
        <v/>
      </c>
      <c r="Q10" s="8" t="inlineStr">
        <is>
          <t>Active</t>
        </is>
      </c>
      <c r="R10" s="8" t="n"/>
      <c r="S10" s="8" t="n"/>
      <c r="T10" s="8" t="n"/>
      <c r="U10" s="8" t="n"/>
    </row>
    <row r="11">
      <c r="A11">
        <f>IF(B11&lt;&gt;"", "EVD-"&amp;TEXT(ROW()-1,"000"), "")</f>
        <v/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inlineStr">
        <is>
          <t>[Security Analyst]</t>
        </is>
      </c>
      <c r="K11" s="8" t="n"/>
      <c r="L11" s="8" t="inlineStr">
        <is>
          <t>[File Server Path]</t>
        </is>
      </c>
      <c r="M11" s="8" t="n"/>
      <c r="N11" s="8" t="inlineStr">
        <is>
          <t>3 Months</t>
        </is>
      </c>
      <c r="O11" s="16">
        <f>IF(AND(I11&lt;&gt;"", N11&lt;&gt;""), IF(N11="Point-in-Time", I11, IF(N11="1 Month", I11+30, IF(N11="3 Months", I11+90, IF(N11="6 Months", I11+180, IF(N11="12 Months", I11+365, IF(N11="Continuous", "N/A", I11)))))), "")</f>
        <v/>
      </c>
      <c r="P11">
        <f>IF(O11="", "", IF(Q11="Expired", "Yes - Expired", IF(AND(O11&lt;&gt;"N/A", O11&lt;TODAY()+30), "Yes - Expiring Soon", "No")))</f>
        <v/>
      </c>
      <c r="Q11" s="8" t="inlineStr">
        <is>
          <t>Active</t>
        </is>
      </c>
      <c r="R11" s="8" t="n"/>
      <c r="S11" s="8" t="n"/>
      <c r="T11" s="8" t="n"/>
      <c r="U11" s="8" t="n"/>
    </row>
    <row r="12">
      <c r="A12">
        <f>IF(B12&lt;&gt;"", "EVD-"&amp;TEXT(ROW()-1,"000"), "")</f>
        <v/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inlineStr">
        <is>
          <t>[Security Analyst]</t>
        </is>
      </c>
      <c r="K12" s="8" t="n"/>
      <c r="L12" s="8" t="inlineStr">
        <is>
          <t>[File Server Path]</t>
        </is>
      </c>
      <c r="M12" s="8" t="n"/>
      <c r="N12" s="8" t="inlineStr">
        <is>
          <t>3 Months</t>
        </is>
      </c>
      <c r="O12" s="16">
        <f>IF(AND(I12&lt;&gt;"", N12&lt;&gt;""), IF(N12="Point-in-Time", I12, IF(N12="1 Month", I12+30, IF(N12="3 Months", I12+90, IF(N12="6 Months", I12+180, IF(N12="12 Months", I12+365, IF(N12="Continuous", "N/A", I12)))))), "")</f>
        <v/>
      </c>
      <c r="P12">
        <f>IF(O12="", "", IF(Q12="Expired", "Yes - Expired", IF(AND(O12&lt;&gt;"N/A", O12&lt;TODAY()+30), "Yes - Expiring Soon", "No")))</f>
        <v/>
      </c>
      <c r="Q12" s="8" t="inlineStr">
        <is>
          <t>Active</t>
        </is>
      </c>
      <c r="R12" s="8" t="n"/>
      <c r="S12" s="8" t="n"/>
      <c r="T12" s="8" t="n"/>
      <c r="U12" s="8" t="n"/>
    </row>
    <row r="13">
      <c r="A13">
        <f>IF(B13&lt;&gt;"", "EVD-"&amp;TEXT(ROW()-1,"000"), "")</f>
        <v/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inlineStr">
        <is>
          <t>[Security Analyst]</t>
        </is>
      </c>
      <c r="K13" s="8" t="n"/>
      <c r="L13" s="8" t="inlineStr">
        <is>
          <t>[File Server Path]</t>
        </is>
      </c>
      <c r="M13" s="8" t="n"/>
      <c r="N13" s="8" t="inlineStr">
        <is>
          <t>3 Months</t>
        </is>
      </c>
      <c r="O13" s="16">
        <f>IF(AND(I13&lt;&gt;"", N13&lt;&gt;""), IF(N13="Point-in-Time", I13, IF(N13="1 Month", I13+30, IF(N13="3 Months", I13+90, IF(N13="6 Months", I13+180, IF(N13="12 Months", I13+365, IF(N13="Continuous", "N/A", I13)))))), "")</f>
        <v/>
      </c>
      <c r="P13">
        <f>IF(O13="", "", IF(Q13="Expired", "Yes - Expired", IF(AND(O13&lt;&gt;"N/A", O13&lt;TODAY()+30), "Yes - Expiring Soon", "No")))</f>
        <v/>
      </c>
      <c r="Q13" s="8" t="inlineStr">
        <is>
          <t>Active</t>
        </is>
      </c>
      <c r="R13" s="8" t="n"/>
      <c r="S13" s="8" t="n"/>
      <c r="T13" s="8" t="n"/>
      <c r="U13" s="8" t="n"/>
    </row>
    <row r="14">
      <c r="A14">
        <f>IF(B14&lt;&gt;"", "EVD-"&amp;TEXT(ROW()-1,"000"), "")</f>
        <v/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inlineStr">
        <is>
          <t>[Security Analyst]</t>
        </is>
      </c>
      <c r="K14" s="8" t="n"/>
      <c r="L14" s="8" t="inlineStr">
        <is>
          <t>[File Server Path]</t>
        </is>
      </c>
      <c r="M14" s="8" t="n"/>
      <c r="N14" s="8" t="inlineStr">
        <is>
          <t>3 Months</t>
        </is>
      </c>
      <c r="O14" s="16">
        <f>IF(AND(I14&lt;&gt;"", N14&lt;&gt;""), IF(N14="Point-in-Time", I14, IF(N14="1 Month", I14+30, IF(N14="3 Months", I14+90, IF(N14="6 Months", I14+180, IF(N14="12 Months", I14+365, IF(N14="Continuous", "N/A", I14)))))), "")</f>
        <v/>
      </c>
      <c r="P14">
        <f>IF(O14="", "", IF(Q14="Expired", "Yes - Expired", IF(AND(O14&lt;&gt;"N/A", O14&lt;TODAY()+30), "Yes - Expiring Soon", "No")))</f>
        <v/>
      </c>
      <c r="Q14" s="8" t="inlineStr">
        <is>
          <t>Active</t>
        </is>
      </c>
      <c r="R14" s="8" t="n"/>
      <c r="S14" s="8" t="n"/>
      <c r="T14" s="8" t="n"/>
      <c r="U14" s="8" t="n"/>
    </row>
    <row r="15">
      <c r="A15">
        <f>IF(B15&lt;&gt;"", "EVD-"&amp;TEXT(ROW()-1,"000"), "")</f>
        <v/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inlineStr">
        <is>
          <t>[Security Analyst]</t>
        </is>
      </c>
      <c r="K15" s="8" t="n"/>
      <c r="L15" s="8" t="inlineStr">
        <is>
          <t>[File Server Path]</t>
        </is>
      </c>
      <c r="M15" s="8" t="n"/>
      <c r="N15" s="8" t="inlineStr">
        <is>
          <t>3 Months</t>
        </is>
      </c>
      <c r="O15" s="16">
        <f>IF(AND(I15&lt;&gt;"", N15&lt;&gt;""), IF(N15="Point-in-Time", I15, IF(N15="1 Month", I15+30, IF(N15="3 Months", I15+90, IF(N15="6 Months", I15+180, IF(N15="12 Months", I15+365, IF(N15="Continuous", "N/A", I15)))))), "")</f>
        <v/>
      </c>
      <c r="P15">
        <f>IF(O15="", "", IF(Q15="Expired", "Yes - Expired", IF(AND(O15&lt;&gt;"N/A", O15&lt;TODAY()+30), "Yes - Expiring Soon", "No")))</f>
        <v/>
      </c>
      <c r="Q15" s="8" t="inlineStr">
        <is>
          <t>Active</t>
        </is>
      </c>
      <c r="R15" s="8" t="n"/>
      <c r="S15" s="8" t="n"/>
      <c r="T15" s="8" t="n"/>
      <c r="U15" s="8" t="n"/>
    </row>
    <row r="16">
      <c r="A16">
        <f>IF(B16&lt;&gt;"", "EVD-"&amp;TEXT(ROW()-1,"000"), "")</f>
        <v/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inlineStr">
        <is>
          <t>[Security Analyst]</t>
        </is>
      </c>
      <c r="K16" s="8" t="n"/>
      <c r="L16" s="8" t="inlineStr">
        <is>
          <t>[File Server Path]</t>
        </is>
      </c>
      <c r="M16" s="8" t="n"/>
      <c r="N16" s="8" t="inlineStr">
        <is>
          <t>3 Months</t>
        </is>
      </c>
      <c r="O16" s="16">
        <f>IF(AND(I16&lt;&gt;"", N16&lt;&gt;""), IF(N16="Point-in-Time", I16, IF(N16="1 Month", I16+30, IF(N16="3 Months", I16+90, IF(N16="6 Months", I16+180, IF(N16="12 Months", I16+365, IF(N16="Continuous", "N/A", I16)))))), "")</f>
        <v/>
      </c>
      <c r="P16">
        <f>IF(O16="", "", IF(Q16="Expired", "Yes - Expired", IF(AND(O16&lt;&gt;"N/A", O16&lt;TODAY()+30), "Yes - Expiring Soon", "No")))</f>
        <v/>
      </c>
      <c r="Q16" s="8" t="inlineStr">
        <is>
          <t>Active</t>
        </is>
      </c>
      <c r="R16" s="8" t="n"/>
      <c r="S16" s="8" t="n"/>
      <c r="T16" s="8" t="n"/>
      <c r="U16" s="8" t="n"/>
    </row>
    <row r="17">
      <c r="A17">
        <f>IF(B17&lt;&gt;"", "EVD-"&amp;TEXT(ROW()-1,"000"), "")</f>
        <v/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inlineStr">
        <is>
          <t>[Security Analyst]</t>
        </is>
      </c>
      <c r="K17" s="8" t="n"/>
      <c r="L17" s="8" t="inlineStr">
        <is>
          <t>[File Server Path]</t>
        </is>
      </c>
      <c r="M17" s="8" t="n"/>
      <c r="N17" s="8" t="inlineStr">
        <is>
          <t>3 Months</t>
        </is>
      </c>
      <c r="O17" s="16">
        <f>IF(AND(I17&lt;&gt;"", N17&lt;&gt;""), IF(N17="Point-in-Time", I17, IF(N17="1 Month", I17+30, IF(N17="3 Months", I17+90, IF(N17="6 Months", I17+180, IF(N17="12 Months", I17+365, IF(N17="Continuous", "N/A", I17)))))), "")</f>
        <v/>
      </c>
      <c r="P17">
        <f>IF(O17="", "", IF(Q17="Expired", "Yes - Expired", IF(AND(O17&lt;&gt;"N/A", O17&lt;TODAY()+30), "Yes - Expiring Soon", "No")))</f>
        <v/>
      </c>
      <c r="Q17" s="8" t="inlineStr">
        <is>
          <t>Active</t>
        </is>
      </c>
      <c r="R17" s="8" t="n"/>
      <c r="S17" s="8" t="n"/>
      <c r="T17" s="8" t="n"/>
      <c r="U17" s="8" t="n"/>
    </row>
    <row r="18">
      <c r="A18">
        <f>IF(B18&lt;&gt;"", "EVD-"&amp;TEXT(ROW()-1,"000"), "")</f>
        <v/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inlineStr">
        <is>
          <t>[Security Analyst]</t>
        </is>
      </c>
      <c r="K18" s="8" t="n"/>
      <c r="L18" s="8" t="inlineStr">
        <is>
          <t>[File Server Path]</t>
        </is>
      </c>
      <c r="M18" s="8" t="n"/>
      <c r="N18" s="8" t="inlineStr">
        <is>
          <t>3 Months</t>
        </is>
      </c>
      <c r="O18" s="16">
        <f>IF(AND(I18&lt;&gt;"", N18&lt;&gt;""), IF(N18="Point-in-Time", I18, IF(N18="1 Month", I18+30, IF(N18="3 Months", I18+90, IF(N18="6 Months", I18+180, IF(N18="12 Months", I18+365, IF(N18="Continuous", "N/A", I18)))))), "")</f>
        <v/>
      </c>
      <c r="P18">
        <f>IF(O18="", "", IF(Q18="Expired", "Yes - Expired", IF(AND(O18&lt;&gt;"N/A", O18&lt;TODAY()+30), "Yes - Expiring Soon", "No")))</f>
        <v/>
      </c>
      <c r="Q18" s="8" t="inlineStr">
        <is>
          <t>Active</t>
        </is>
      </c>
      <c r="R18" s="8" t="n"/>
      <c r="S18" s="8" t="n"/>
      <c r="T18" s="8" t="n"/>
      <c r="U18" s="8" t="n"/>
    </row>
    <row r="19">
      <c r="A19">
        <f>IF(B19&lt;&gt;"", "EVD-"&amp;TEXT(ROW()-1,"000"), "")</f>
        <v/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inlineStr">
        <is>
          <t>[Security Analyst]</t>
        </is>
      </c>
      <c r="K19" s="8" t="n"/>
      <c r="L19" s="8" t="inlineStr">
        <is>
          <t>[File Server Path]</t>
        </is>
      </c>
      <c r="M19" s="8" t="n"/>
      <c r="N19" s="8" t="inlineStr">
        <is>
          <t>3 Months</t>
        </is>
      </c>
      <c r="O19" s="16">
        <f>IF(AND(I19&lt;&gt;"", N19&lt;&gt;""), IF(N19="Point-in-Time", I19, IF(N19="1 Month", I19+30, IF(N19="3 Months", I19+90, IF(N19="6 Months", I19+180, IF(N19="12 Months", I19+365, IF(N19="Continuous", "N/A", I19)))))), "")</f>
        <v/>
      </c>
      <c r="P19">
        <f>IF(O19="", "", IF(Q19="Expired", "Yes - Expired", IF(AND(O19&lt;&gt;"N/A", O19&lt;TODAY()+30), "Yes - Expiring Soon", "No")))</f>
        <v/>
      </c>
      <c r="Q19" s="8" t="inlineStr">
        <is>
          <t>Active</t>
        </is>
      </c>
      <c r="R19" s="8" t="n"/>
      <c r="S19" s="8" t="n"/>
      <c r="T19" s="8" t="n"/>
      <c r="U19" s="8" t="n"/>
    </row>
    <row r="20">
      <c r="A20">
        <f>IF(B20&lt;&gt;"", "EVD-"&amp;TEXT(ROW()-1,"000"), "")</f>
        <v/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inlineStr">
        <is>
          <t>[Security Analyst]</t>
        </is>
      </c>
      <c r="K20" s="8" t="n"/>
      <c r="L20" s="8" t="inlineStr">
        <is>
          <t>[File Server Path]</t>
        </is>
      </c>
      <c r="M20" s="8" t="n"/>
      <c r="N20" s="8" t="inlineStr">
        <is>
          <t>3 Months</t>
        </is>
      </c>
      <c r="O20" s="16">
        <f>IF(AND(I20&lt;&gt;"", N20&lt;&gt;""), IF(N20="Point-in-Time", I20, IF(N20="1 Month", I20+30, IF(N20="3 Months", I20+90, IF(N20="6 Months", I20+180, IF(N20="12 Months", I20+365, IF(N20="Continuous", "N/A", I20)))))), "")</f>
        <v/>
      </c>
      <c r="P20">
        <f>IF(O20="", "", IF(Q20="Expired", "Yes - Expired", IF(AND(O20&lt;&gt;"N/A", O20&lt;TODAY()+30), "Yes - Expiring Soon", "No")))</f>
        <v/>
      </c>
      <c r="Q20" s="8" t="inlineStr">
        <is>
          <t>Active</t>
        </is>
      </c>
      <c r="R20" s="8" t="n"/>
      <c r="S20" s="8" t="n"/>
      <c r="T20" s="8" t="n"/>
      <c r="U20" s="8" t="n"/>
    </row>
    <row r="21">
      <c r="A21">
        <f>IF(B21&lt;&gt;"", "EVD-"&amp;TEXT(ROW()-1,"000"), "")</f>
        <v/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inlineStr">
        <is>
          <t>[Security Analyst]</t>
        </is>
      </c>
      <c r="K21" s="8" t="n"/>
      <c r="L21" s="8" t="inlineStr">
        <is>
          <t>[File Server Path]</t>
        </is>
      </c>
      <c r="M21" s="8" t="n"/>
      <c r="N21" s="8" t="inlineStr">
        <is>
          <t>3 Months</t>
        </is>
      </c>
      <c r="O21" s="16">
        <f>IF(AND(I21&lt;&gt;"", N21&lt;&gt;""), IF(N21="Point-in-Time", I21, IF(N21="1 Month", I21+30, IF(N21="3 Months", I21+90, IF(N21="6 Months", I21+180, IF(N21="12 Months", I21+365, IF(N21="Continuous", "N/A", I21)))))), "")</f>
        <v/>
      </c>
      <c r="P21">
        <f>IF(O21="", "", IF(Q21="Expired", "Yes - Expired", IF(AND(O21&lt;&gt;"N/A", O21&lt;TODAY()+30), "Yes - Expiring Soon", "No")))</f>
        <v/>
      </c>
      <c r="Q21" s="8" t="inlineStr">
        <is>
          <t>Active</t>
        </is>
      </c>
      <c r="R21" s="8" t="n"/>
      <c r="S21" s="8" t="n"/>
      <c r="T21" s="8" t="n"/>
      <c r="U21" s="8" t="n"/>
    </row>
    <row r="22">
      <c r="A22">
        <f>IF(B22&lt;&gt;"", "EVD-"&amp;TEXT(ROW()-1,"000"), "")</f>
        <v/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inlineStr">
        <is>
          <t>[Security Analyst]</t>
        </is>
      </c>
      <c r="K22" s="8" t="n"/>
      <c r="L22" s="8" t="inlineStr">
        <is>
          <t>[File Server Path]</t>
        </is>
      </c>
      <c r="M22" s="8" t="n"/>
      <c r="N22" s="8" t="inlineStr">
        <is>
          <t>3 Months</t>
        </is>
      </c>
      <c r="O22" s="16">
        <f>IF(AND(I22&lt;&gt;"", N22&lt;&gt;""), IF(N22="Point-in-Time", I22, IF(N22="1 Month", I22+30, IF(N22="3 Months", I22+90, IF(N22="6 Months", I22+180, IF(N22="12 Months", I22+365, IF(N22="Continuous", "N/A", I22)))))), "")</f>
        <v/>
      </c>
      <c r="P22">
        <f>IF(O22="", "", IF(Q22="Expired", "Yes - Expired", IF(AND(O22&lt;&gt;"N/A", O22&lt;TODAY()+30), "Yes - Expiring Soon", "No")))</f>
        <v/>
      </c>
      <c r="Q22" s="8" t="inlineStr">
        <is>
          <t>Active</t>
        </is>
      </c>
      <c r="R22" s="8" t="n"/>
      <c r="S22" s="8" t="n"/>
      <c r="T22" s="8" t="n"/>
      <c r="U22" s="8" t="n"/>
    </row>
    <row r="23">
      <c r="A23">
        <f>IF(B23&lt;&gt;"", "EVD-"&amp;TEXT(ROW()-1,"000"), "")</f>
        <v/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inlineStr">
        <is>
          <t>[Security Analyst]</t>
        </is>
      </c>
      <c r="K23" s="8" t="n"/>
      <c r="L23" s="8" t="inlineStr">
        <is>
          <t>[File Server Path]</t>
        </is>
      </c>
      <c r="M23" s="8" t="n"/>
      <c r="N23" s="8" t="inlineStr">
        <is>
          <t>3 Months</t>
        </is>
      </c>
      <c r="O23" s="16">
        <f>IF(AND(I23&lt;&gt;"", N23&lt;&gt;""), IF(N23="Point-in-Time", I23, IF(N23="1 Month", I23+30, IF(N23="3 Months", I23+90, IF(N23="6 Months", I23+180, IF(N23="12 Months", I23+365, IF(N23="Continuous", "N/A", I23)))))), "")</f>
        <v/>
      </c>
      <c r="P23">
        <f>IF(O23="", "", IF(Q23="Expired", "Yes - Expired", IF(AND(O23&lt;&gt;"N/A", O23&lt;TODAY()+30), "Yes - Expiring Soon", "No")))</f>
        <v/>
      </c>
      <c r="Q23" s="8" t="inlineStr">
        <is>
          <t>Active</t>
        </is>
      </c>
      <c r="R23" s="8" t="n"/>
      <c r="S23" s="8" t="n"/>
      <c r="T23" s="8" t="n"/>
      <c r="U23" s="8" t="n"/>
    </row>
    <row r="24">
      <c r="A24">
        <f>IF(B24&lt;&gt;"", "EVD-"&amp;TEXT(ROW()-1,"000"), "")</f>
        <v/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inlineStr">
        <is>
          <t>[Security Analyst]</t>
        </is>
      </c>
      <c r="K24" s="8" t="n"/>
      <c r="L24" s="8" t="inlineStr">
        <is>
          <t>[File Server Path]</t>
        </is>
      </c>
      <c r="M24" s="8" t="n"/>
      <c r="N24" s="8" t="inlineStr">
        <is>
          <t>3 Months</t>
        </is>
      </c>
      <c r="O24" s="16">
        <f>IF(AND(I24&lt;&gt;"", N24&lt;&gt;""), IF(N24="Point-in-Time", I24, IF(N24="1 Month", I24+30, IF(N24="3 Months", I24+90, IF(N24="6 Months", I24+180, IF(N24="12 Months", I24+365, IF(N24="Continuous", "N/A", I24)))))), "")</f>
        <v/>
      </c>
      <c r="P24">
        <f>IF(O24="", "", IF(Q24="Expired", "Yes - Expired", IF(AND(O24&lt;&gt;"N/A", O24&lt;TODAY()+30), "Yes - Expiring Soon", "No")))</f>
        <v/>
      </c>
      <c r="Q24" s="8" t="inlineStr">
        <is>
          <t>Active</t>
        </is>
      </c>
      <c r="R24" s="8" t="n"/>
      <c r="S24" s="8" t="n"/>
      <c r="T24" s="8" t="n"/>
      <c r="U24" s="8" t="n"/>
    </row>
    <row r="25">
      <c r="A25">
        <f>IF(B25&lt;&gt;"", "EVD-"&amp;TEXT(ROW()-1,"000"), "")</f>
        <v/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inlineStr">
        <is>
          <t>[Security Analyst]</t>
        </is>
      </c>
      <c r="K25" s="8" t="n"/>
      <c r="L25" s="8" t="inlineStr">
        <is>
          <t>[File Server Path]</t>
        </is>
      </c>
      <c r="M25" s="8" t="n"/>
      <c r="N25" s="8" t="inlineStr">
        <is>
          <t>3 Months</t>
        </is>
      </c>
      <c r="O25" s="16">
        <f>IF(AND(I25&lt;&gt;"", N25&lt;&gt;""), IF(N25="Point-in-Time", I25, IF(N25="1 Month", I25+30, IF(N25="3 Months", I25+90, IF(N25="6 Months", I25+180, IF(N25="12 Months", I25+365, IF(N25="Continuous", "N/A", I25)))))), "")</f>
        <v/>
      </c>
      <c r="P25">
        <f>IF(O25="", "", IF(Q25="Expired", "Yes - Expired", IF(AND(O25&lt;&gt;"N/A", O25&lt;TODAY()+30), "Yes - Expiring Soon", "No")))</f>
        <v/>
      </c>
      <c r="Q25" s="8" t="inlineStr">
        <is>
          <t>Active</t>
        </is>
      </c>
      <c r="R25" s="8" t="n"/>
      <c r="S25" s="8" t="n"/>
      <c r="T25" s="8" t="n"/>
      <c r="U25" s="8" t="n"/>
    </row>
    <row r="26">
      <c r="A26">
        <f>IF(B26&lt;&gt;"", "EVD-"&amp;TEXT(ROW()-1,"000"), "")</f>
        <v/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inlineStr">
        <is>
          <t>[Security Analyst]</t>
        </is>
      </c>
      <c r="K26" s="8" t="n"/>
      <c r="L26" s="8" t="inlineStr">
        <is>
          <t>[File Server Path]</t>
        </is>
      </c>
      <c r="M26" s="8" t="n"/>
      <c r="N26" s="8" t="inlineStr">
        <is>
          <t>3 Months</t>
        </is>
      </c>
      <c r="O26" s="16">
        <f>IF(AND(I26&lt;&gt;"", N26&lt;&gt;""), IF(N26="Point-in-Time", I26, IF(N26="1 Month", I26+30, IF(N26="3 Months", I26+90, IF(N26="6 Months", I26+180, IF(N26="12 Months", I26+365, IF(N26="Continuous", "N/A", I26)))))), "")</f>
        <v/>
      </c>
      <c r="P26">
        <f>IF(O26="", "", IF(Q26="Expired", "Yes - Expired", IF(AND(O26&lt;&gt;"N/A", O26&lt;TODAY()+30), "Yes - Expiring Soon", "No")))</f>
        <v/>
      </c>
      <c r="Q26" s="8" t="inlineStr">
        <is>
          <t>Active</t>
        </is>
      </c>
      <c r="R26" s="8" t="n"/>
      <c r="S26" s="8" t="n"/>
      <c r="T26" s="8" t="n"/>
      <c r="U26" s="8" t="n"/>
    </row>
    <row r="27">
      <c r="A27">
        <f>IF(B27&lt;&gt;"", "EVD-"&amp;TEXT(ROW()-1,"000"), "")</f>
        <v/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inlineStr">
        <is>
          <t>[Security Analyst]</t>
        </is>
      </c>
      <c r="K27" s="8" t="n"/>
      <c r="L27" s="8" t="inlineStr">
        <is>
          <t>[File Server Path]</t>
        </is>
      </c>
      <c r="M27" s="8" t="n"/>
      <c r="N27" s="8" t="inlineStr">
        <is>
          <t>3 Months</t>
        </is>
      </c>
      <c r="O27" s="16">
        <f>IF(AND(I27&lt;&gt;"", N27&lt;&gt;""), IF(N27="Point-in-Time", I27, IF(N27="1 Month", I27+30, IF(N27="3 Months", I27+90, IF(N27="6 Months", I27+180, IF(N27="12 Months", I27+365, IF(N27="Continuous", "N/A", I27)))))), "")</f>
        <v/>
      </c>
      <c r="P27">
        <f>IF(O27="", "", IF(Q27="Expired", "Yes - Expired", IF(AND(O27&lt;&gt;"N/A", O27&lt;TODAY()+30), "Yes - Expiring Soon", "No")))</f>
        <v/>
      </c>
      <c r="Q27" s="8" t="inlineStr">
        <is>
          <t>Active</t>
        </is>
      </c>
      <c r="R27" s="8" t="n"/>
      <c r="S27" s="8" t="n"/>
      <c r="T27" s="8" t="n"/>
      <c r="U27" s="8" t="n"/>
    </row>
    <row r="28">
      <c r="A28">
        <f>IF(B28&lt;&gt;"", "EVD-"&amp;TEXT(ROW()-1,"000"), "")</f>
        <v/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inlineStr">
        <is>
          <t>[Security Analyst]</t>
        </is>
      </c>
      <c r="K28" s="8" t="n"/>
      <c r="L28" s="8" t="inlineStr">
        <is>
          <t>[File Server Path]</t>
        </is>
      </c>
      <c r="M28" s="8" t="n"/>
      <c r="N28" s="8" t="inlineStr">
        <is>
          <t>3 Months</t>
        </is>
      </c>
      <c r="O28" s="16">
        <f>IF(AND(I28&lt;&gt;"", N28&lt;&gt;""), IF(N28="Point-in-Time", I28, IF(N28="1 Month", I28+30, IF(N28="3 Months", I28+90, IF(N28="6 Months", I28+180, IF(N28="12 Months", I28+365, IF(N28="Continuous", "N/A", I28)))))), "")</f>
        <v/>
      </c>
      <c r="P28">
        <f>IF(O28="", "", IF(Q28="Expired", "Yes - Expired", IF(AND(O28&lt;&gt;"N/A", O28&lt;TODAY()+30), "Yes - Expiring Soon", "No")))</f>
        <v/>
      </c>
      <c r="Q28" s="8" t="inlineStr">
        <is>
          <t>Active</t>
        </is>
      </c>
      <c r="R28" s="8" t="n"/>
      <c r="S28" s="8" t="n"/>
      <c r="T28" s="8" t="n"/>
      <c r="U28" s="8" t="n"/>
    </row>
    <row r="29">
      <c r="A29">
        <f>IF(B29&lt;&gt;"", "EVD-"&amp;TEXT(ROW()-1,"000"), "")</f>
        <v/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inlineStr">
        <is>
          <t>[Security Analyst]</t>
        </is>
      </c>
      <c r="K29" s="8" t="n"/>
      <c r="L29" s="8" t="inlineStr">
        <is>
          <t>[File Server Path]</t>
        </is>
      </c>
      <c r="M29" s="8" t="n"/>
      <c r="N29" s="8" t="inlineStr">
        <is>
          <t>3 Months</t>
        </is>
      </c>
      <c r="O29" s="16">
        <f>IF(AND(I29&lt;&gt;"", N29&lt;&gt;""), IF(N29="Point-in-Time", I29, IF(N29="1 Month", I29+30, IF(N29="3 Months", I29+90, IF(N29="6 Months", I29+180, IF(N29="12 Months", I29+365, IF(N29="Continuous", "N/A", I29)))))), "")</f>
        <v/>
      </c>
      <c r="P29">
        <f>IF(O29="", "", IF(Q29="Expired", "Yes - Expired", IF(AND(O29&lt;&gt;"N/A", O29&lt;TODAY()+30), "Yes - Expiring Soon", "No")))</f>
        <v/>
      </c>
      <c r="Q29" s="8" t="inlineStr">
        <is>
          <t>Active</t>
        </is>
      </c>
      <c r="R29" s="8" t="n"/>
      <c r="S29" s="8" t="n"/>
      <c r="T29" s="8" t="n"/>
      <c r="U29" s="8" t="n"/>
    </row>
    <row r="30">
      <c r="A30">
        <f>IF(B30&lt;&gt;"", "EVD-"&amp;TEXT(ROW()-1,"000"), "")</f>
        <v/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inlineStr">
        <is>
          <t>[Security Analyst]</t>
        </is>
      </c>
      <c r="K30" s="8" t="n"/>
      <c r="L30" s="8" t="inlineStr">
        <is>
          <t>[File Server Path]</t>
        </is>
      </c>
      <c r="M30" s="8" t="n"/>
      <c r="N30" s="8" t="inlineStr">
        <is>
          <t>3 Months</t>
        </is>
      </c>
      <c r="O30" s="16">
        <f>IF(AND(I30&lt;&gt;"", N30&lt;&gt;""), IF(N30="Point-in-Time", I30, IF(N30="1 Month", I30+30, IF(N30="3 Months", I30+90, IF(N30="6 Months", I30+180, IF(N30="12 Months", I30+365, IF(N30="Continuous", "N/A", I30)))))), "")</f>
        <v/>
      </c>
      <c r="P30">
        <f>IF(O30="", "", IF(Q30="Expired", "Yes - Expired", IF(AND(O30&lt;&gt;"N/A", O30&lt;TODAY()+30), "Yes - Expiring Soon", "No")))</f>
        <v/>
      </c>
      <c r="Q30" s="8" t="inlineStr">
        <is>
          <t>Active</t>
        </is>
      </c>
      <c r="R30" s="8" t="n"/>
      <c r="S30" s="8" t="n"/>
      <c r="T30" s="8" t="n"/>
      <c r="U30" s="8" t="n"/>
    </row>
    <row r="31">
      <c r="A31">
        <f>IF(B31&lt;&gt;"", "EVD-"&amp;TEXT(ROW()-1,"000"), "")</f>
        <v/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inlineStr">
        <is>
          <t>[Security Analyst]</t>
        </is>
      </c>
      <c r="K31" s="8" t="n"/>
      <c r="L31" s="8" t="inlineStr">
        <is>
          <t>[File Server Path]</t>
        </is>
      </c>
      <c r="M31" s="8" t="n"/>
      <c r="N31" s="8" t="inlineStr">
        <is>
          <t>3 Months</t>
        </is>
      </c>
      <c r="O31" s="16">
        <f>IF(AND(I31&lt;&gt;"", N31&lt;&gt;""), IF(N31="Point-in-Time", I31, IF(N31="1 Month", I31+30, IF(N31="3 Months", I31+90, IF(N31="6 Months", I31+180, IF(N31="12 Months", I31+365, IF(N31="Continuous", "N/A", I31)))))), "")</f>
        <v/>
      </c>
      <c r="P31">
        <f>IF(O31="", "", IF(Q31="Expired", "Yes - Expired", IF(AND(O31&lt;&gt;"N/A", O31&lt;TODAY()+30), "Yes - Expiring Soon", "No")))</f>
        <v/>
      </c>
      <c r="Q31" s="8" t="inlineStr">
        <is>
          <t>Active</t>
        </is>
      </c>
      <c r="R31" s="8" t="n"/>
      <c r="S31" s="8" t="n"/>
      <c r="T31" s="8" t="n"/>
      <c r="U31" s="8" t="n"/>
    </row>
    <row r="32">
      <c r="A32">
        <f>IF(B32&lt;&gt;"", "EVD-"&amp;TEXT(ROW()-1,"000"), "")</f>
        <v/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inlineStr">
        <is>
          <t>[Security Analyst]</t>
        </is>
      </c>
      <c r="K32" s="8" t="n"/>
      <c r="L32" s="8" t="inlineStr">
        <is>
          <t>[File Server Path]</t>
        </is>
      </c>
      <c r="M32" s="8" t="n"/>
      <c r="N32" s="8" t="inlineStr">
        <is>
          <t>3 Months</t>
        </is>
      </c>
      <c r="O32" s="16">
        <f>IF(AND(I32&lt;&gt;"", N32&lt;&gt;""), IF(N32="Point-in-Time", I32, IF(N32="1 Month", I32+30, IF(N32="3 Months", I32+90, IF(N32="6 Months", I32+180, IF(N32="12 Months", I32+365, IF(N32="Continuous", "N/A", I32)))))), "")</f>
        <v/>
      </c>
      <c r="P32">
        <f>IF(O32="", "", IF(Q32="Expired", "Yes - Expired", IF(AND(O32&lt;&gt;"N/A", O32&lt;TODAY()+30), "Yes - Expiring Soon", "No")))</f>
        <v/>
      </c>
      <c r="Q32" s="8" t="inlineStr">
        <is>
          <t>Active</t>
        </is>
      </c>
      <c r="R32" s="8" t="n"/>
      <c r="S32" s="8" t="n"/>
      <c r="T32" s="8" t="n"/>
      <c r="U32" s="8" t="n"/>
    </row>
    <row r="33">
      <c r="A33">
        <f>IF(B33&lt;&gt;"", "EVD-"&amp;TEXT(ROW()-1,"000"), "")</f>
        <v/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inlineStr">
        <is>
          <t>[Security Analyst]</t>
        </is>
      </c>
      <c r="K33" s="8" t="n"/>
      <c r="L33" s="8" t="inlineStr">
        <is>
          <t>[File Server Path]</t>
        </is>
      </c>
      <c r="M33" s="8" t="n"/>
      <c r="N33" s="8" t="inlineStr">
        <is>
          <t>3 Months</t>
        </is>
      </c>
      <c r="O33" s="16">
        <f>IF(AND(I33&lt;&gt;"", N33&lt;&gt;""), IF(N33="Point-in-Time", I33, IF(N33="1 Month", I33+30, IF(N33="3 Months", I33+90, IF(N33="6 Months", I33+180, IF(N33="12 Months", I33+365, IF(N33="Continuous", "N/A", I33)))))), "")</f>
        <v/>
      </c>
      <c r="P33">
        <f>IF(O33="", "", IF(Q33="Expired", "Yes - Expired", IF(AND(O33&lt;&gt;"N/A", O33&lt;TODAY()+30), "Yes - Expiring Soon", "No")))</f>
        <v/>
      </c>
      <c r="Q33" s="8" t="inlineStr">
        <is>
          <t>Active</t>
        </is>
      </c>
      <c r="R33" s="8" t="n"/>
      <c r="S33" s="8" t="n"/>
      <c r="T33" s="8" t="n"/>
      <c r="U33" s="8" t="n"/>
    </row>
    <row r="34">
      <c r="A34">
        <f>IF(B34&lt;&gt;"", "EVD-"&amp;TEXT(ROW()-1,"000"), "")</f>
        <v/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inlineStr">
        <is>
          <t>[Security Analyst]</t>
        </is>
      </c>
      <c r="K34" s="8" t="n"/>
      <c r="L34" s="8" t="inlineStr">
        <is>
          <t>[File Server Path]</t>
        </is>
      </c>
      <c r="M34" s="8" t="n"/>
      <c r="N34" s="8" t="inlineStr">
        <is>
          <t>3 Months</t>
        </is>
      </c>
      <c r="O34" s="16">
        <f>IF(AND(I34&lt;&gt;"", N34&lt;&gt;""), IF(N34="Point-in-Time", I34, IF(N34="1 Month", I34+30, IF(N34="3 Months", I34+90, IF(N34="6 Months", I34+180, IF(N34="12 Months", I34+365, IF(N34="Continuous", "N/A", I34)))))), "")</f>
        <v/>
      </c>
      <c r="P34">
        <f>IF(O34="", "", IF(Q34="Expired", "Yes - Expired", IF(AND(O34&lt;&gt;"N/A", O34&lt;TODAY()+30), "Yes - Expiring Soon", "No")))</f>
        <v/>
      </c>
      <c r="Q34" s="8" t="inlineStr">
        <is>
          <t>Active</t>
        </is>
      </c>
      <c r="R34" s="8" t="n"/>
      <c r="S34" s="8" t="n"/>
      <c r="T34" s="8" t="n"/>
      <c r="U34" s="8" t="n"/>
    </row>
    <row r="35">
      <c r="A35">
        <f>IF(B35&lt;&gt;"", "EVD-"&amp;TEXT(ROW()-1,"000"), "")</f>
        <v/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inlineStr">
        <is>
          <t>[Security Analyst]</t>
        </is>
      </c>
      <c r="K35" s="8" t="n"/>
      <c r="L35" s="8" t="inlineStr">
        <is>
          <t>[File Server Path]</t>
        </is>
      </c>
      <c r="M35" s="8" t="n"/>
      <c r="N35" s="8" t="inlineStr">
        <is>
          <t>3 Months</t>
        </is>
      </c>
      <c r="O35" s="16">
        <f>IF(AND(I35&lt;&gt;"", N35&lt;&gt;""), IF(N35="Point-in-Time", I35, IF(N35="1 Month", I35+30, IF(N35="3 Months", I35+90, IF(N35="6 Months", I35+180, IF(N35="12 Months", I35+365, IF(N35="Continuous", "N/A", I35)))))), "")</f>
        <v/>
      </c>
      <c r="P35">
        <f>IF(O35="", "", IF(Q35="Expired", "Yes - Expired", IF(AND(O35&lt;&gt;"N/A", O35&lt;TODAY()+30), "Yes - Expiring Soon", "No")))</f>
        <v/>
      </c>
      <c r="Q35" s="8" t="inlineStr">
        <is>
          <t>Active</t>
        </is>
      </c>
      <c r="R35" s="8" t="n"/>
      <c r="S35" s="8" t="n"/>
      <c r="T35" s="8" t="n"/>
      <c r="U35" s="8" t="n"/>
    </row>
    <row r="36">
      <c r="A36">
        <f>IF(B36&lt;&gt;"", "EVD-"&amp;TEXT(ROW()-1,"000"), "")</f>
        <v/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inlineStr">
        <is>
          <t>[Security Analyst]</t>
        </is>
      </c>
      <c r="K36" s="8" t="n"/>
      <c r="L36" s="8" t="inlineStr">
        <is>
          <t>[File Server Path]</t>
        </is>
      </c>
      <c r="M36" s="8" t="n"/>
      <c r="N36" s="8" t="inlineStr">
        <is>
          <t>3 Months</t>
        </is>
      </c>
      <c r="O36" s="16">
        <f>IF(AND(I36&lt;&gt;"", N36&lt;&gt;""), IF(N36="Point-in-Time", I36, IF(N36="1 Month", I36+30, IF(N36="3 Months", I36+90, IF(N36="6 Months", I36+180, IF(N36="12 Months", I36+365, IF(N36="Continuous", "N/A", I36)))))), "")</f>
        <v/>
      </c>
      <c r="P36">
        <f>IF(O36="", "", IF(Q36="Expired", "Yes - Expired", IF(AND(O36&lt;&gt;"N/A", O36&lt;TODAY()+30), "Yes - Expiring Soon", "No")))</f>
        <v/>
      </c>
      <c r="Q36" s="8" t="inlineStr">
        <is>
          <t>Active</t>
        </is>
      </c>
      <c r="R36" s="8" t="n"/>
      <c r="S36" s="8" t="n"/>
      <c r="T36" s="8" t="n"/>
      <c r="U36" s="8" t="n"/>
    </row>
    <row r="37">
      <c r="A37">
        <f>IF(B37&lt;&gt;"", "EVD-"&amp;TEXT(ROW()-1,"000"), "")</f>
        <v/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inlineStr">
        <is>
          <t>[Security Analyst]</t>
        </is>
      </c>
      <c r="K37" s="8" t="n"/>
      <c r="L37" s="8" t="inlineStr">
        <is>
          <t>[File Server Path]</t>
        </is>
      </c>
      <c r="M37" s="8" t="n"/>
      <c r="N37" s="8" t="inlineStr">
        <is>
          <t>3 Months</t>
        </is>
      </c>
      <c r="O37" s="16">
        <f>IF(AND(I37&lt;&gt;"", N37&lt;&gt;""), IF(N37="Point-in-Time", I37, IF(N37="1 Month", I37+30, IF(N37="3 Months", I37+90, IF(N37="6 Months", I37+180, IF(N37="12 Months", I37+365, IF(N37="Continuous", "N/A", I37)))))), "")</f>
        <v/>
      </c>
      <c r="P37">
        <f>IF(O37="", "", IF(Q37="Expired", "Yes - Expired", IF(AND(O37&lt;&gt;"N/A", O37&lt;TODAY()+30), "Yes - Expiring Soon", "No")))</f>
        <v/>
      </c>
      <c r="Q37" s="8" t="inlineStr">
        <is>
          <t>Active</t>
        </is>
      </c>
      <c r="R37" s="8" t="n"/>
      <c r="S37" s="8" t="n"/>
      <c r="T37" s="8" t="n"/>
      <c r="U37" s="8" t="n"/>
    </row>
    <row r="38">
      <c r="A38">
        <f>IF(B38&lt;&gt;"", "EVD-"&amp;TEXT(ROW()-1,"000"), "")</f>
        <v/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inlineStr">
        <is>
          <t>[Security Analyst]</t>
        </is>
      </c>
      <c r="K38" s="8" t="n"/>
      <c r="L38" s="8" t="inlineStr">
        <is>
          <t>[File Server Path]</t>
        </is>
      </c>
      <c r="M38" s="8" t="n"/>
      <c r="N38" s="8" t="inlineStr">
        <is>
          <t>3 Months</t>
        </is>
      </c>
      <c r="O38" s="16">
        <f>IF(AND(I38&lt;&gt;"", N38&lt;&gt;""), IF(N38="Point-in-Time", I38, IF(N38="1 Month", I38+30, IF(N38="3 Months", I38+90, IF(N38="6 Months", I38+180, IF(N38="12 Months", I38+365, IF(N38="Continuous", "N/A", I38)))))), "")</f>
        <v/>
      </c>
      <c r="P38">
        <f>IF(O38="", "", IF(Q38="Expired", "Yes - Expired", IF(AND(O38&lt;&gt;"N/A", O38&lt;TODAY()+30), "Yes - Expiring Soon", "No")))</f>
        <v/>
      </c>
      <c r="Q38" s="8" t="inlineStr">
        <is>
          <t>Active</t>
        </is>
      </c>
      <c r="R38" s="8" t="n"/>
      <c r="S38" s="8" t="n"/>
      <c r="T38" s="8" t="n"/>
      <c r="U38" s="8" t="n"/>
    </row>
    <row r="39">
      <c r="A39">
        <f>IF(B39&lt;&gt;"", "EVD-"&amp;TEXT(ROW()-1,"000"), "")</f>
        <v/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inlineStr">
        <is>
          <t>[Security Analyst]</t>
        </is>
      </c>
      <c r="K39" s="8" t="n"/>
      <c r="L39" s="8" t="inlineStr">
        <is>
          <t>[File Server Path]</t>
        </is>
      </c>
      <c r="M39" s="8" t="n"/>
      <c r="N39" s="8" t="inlineStr">
        <is>
          <t>3 Months</t>
        </is>
      </c>
      <c r="O39" s="16">
        <f>IF(AND(I39&lt;&gt;"", N39&lt;&gt;""), IF(N39="Point-in-Time", I39, IF(N39="1 Month", I39+30, IF(N39="3 Months", I39+90, IF(N39="6 Months", I39+180, IF(N39="12 Months", I39+365, IF(N39="Continuous", "N/A", I39)))))), "")</f>
        <v/>
      </c>
      <c r="P39">
        <f>IF(O39="", "", IF(Q39="Expired", "Yes - Expired", IF(AND(O39&lt;&gt;"N/A", O39&lt;TODAY()+30), "Yes - Expiring Soon", "No")))</f>
        <v/>
      </c>
      <c r="Q39" s="8" t="inlineStr">
        <is>
          <t>Active</t>
        </is>
      </c>
      <c r="R39" s="8" t="n"/>
      <c r="S39" s="8" t="n"/>
      <c r="T39" s="8" t="n"/>
      <c r="U39" s="8" t="n"/>
    </row>
    <row r="40">
      <c r="A40">
        <f>IF(B40&lt;&gt;"", "EVD-"&amp;TEXT(ROW()-1,"000"), "")</f>
        <v/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inlineStr">
        <is>
          <t>[Security Analyst]</t>
        </is>
      </c>
      <c r="K40" s="8" t="n"/>
      <c r="L40" s="8" t="inlineStr">
        <is>
          <t>[File Server Path]</t>
        </is>
      </c>
      <c r="M40" s="8" t="n"/>
      <c r="N40" s="8" t="inlineStr">
        <is>
          <t>3 Months</t>
        </is>
      </c>
      <c r="O40" s="16">
        <f>IF(AND(I40&lt;&gt;"", N40&lt;&gt;""), IF(N40="Point-in-Time", I40, IF(N40="1 Month", I40+30, IF(N40="3 Months", I40+90, IF(N40="6 Months", I40+180, IF(N40="12 Months", I40+365, IF(N40="Continuous", "N/A", I40)))))), "")</f>
        <v/>
      </c>
      <c r="P40">
        <f>IF(O40="", "", IF(Q40="Expired", "Yes - Expired", IF(AND(O40&lt;&gt;"N/A", O40&lt;TODAY()+30), "Yes - Expiring Soon", "No")))</f>
        <v/>
      </c>
      <c r="Q40" s="8" t="inlineStr">
        <is>
          <t>Active</t>
        </is>
      </c>
      <c r="R40" s="8" t="n"/>
      <c r="S40" s="8" t="n"/>
      <c r="T40" s="8" t="n"/>
      <c r="U40" s="8" t="n"/>
    </row>
    <row r="41">
      <c r="A41">
        <f>IF(B41&lt;&gt;"", "EVD-"&amp;TEXT(ROW()-1,"000"), "")</f>
        <v/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inlineStr">
        <is>
          <t>[Security Analyst]</t>
        </is>
      </c>
      <c r="K41" s="8" t="n"/>
      <c r="L41" s="8" t="inlineStr">
        <is>
          <t>[File Server Path]</t>
        </is>
      </c>
      <c r="M41" s="8" t="n"/>
      <c r="N41" s="8" t="inlineStr">
        <is>
          <t>3 Months</t>
        </is>
      </c>
      <c r="O41" s="16">
        <f>IF(AND(I41&lt;&gt;"", N41&lt;&gt;""), IF(N41="Point-in-Time", I41, IF(N41="1 Month", I41+30, IF(N41="3 Months", I41+90, IF(N41="6 Months", I41+180, IF(N41="12 Months", I41+365, IF(N41="Continuous", "N/A", I41)))))), "")</f>
        <v/>
      </c>
      <c r="P41">
        <f>IF(O41="", "", IF(Q41="Expired", "Yes - Expired", IF(AND(O41&lt;&gt;"N/A", O41&lt;TODAY()+30), "Yes - Expiring Soon", "No")))</f>
        <v/>
      </c>
      <c r="Q41" s="8" t="inlineStr">
        <is>
          <t>Active</t>
        </is>
      </c>
      <c r="R41" s="8" t="n"/>
      <c r="S41" s="8" t="n"/>
      <c r="T41" s="8" t="n"/>
      <c r="U41" s="8" t="n"/>
    </row>
    <row r="42">
      <c r="A42">
        <f>IF(B42&lt;&gt;"", "EVD-"&amp;TEXT(ROW()-1,"000"), "")</f>
        <v/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inlineStr">
        <is>
          <t>[Security Analyst]</t>
        </is>
      </c>
      <c r="K42" s="8" t="n"/>
      <c r="L42" s="8" t="inlineStr">
        <is>
          <t>[File Server Path]</t>
        </is>
      </c>
      <c r="M42" s="8" t="n"/>
      <c r="N42" s="8" t="inlineStr">
        <is>
          <t>3 Months</t>
        </is>
      </c>
      <c r="O42" s="16">
        <f>IF(AND(I42&lt;&gt;"", N42&lt;&gt;""), IF(N42="Point-in-Time", I42, IF(N42="1 Month", I42+30, IF(N42="3 Months", I42+90, IF(N42="6 Months", I42+180, IF(N42="12 Months", I42+365, IF(N42="Continuous", "N/A", I42)))))), "")</f>
        <v/>
      </c>
      <c r="P42">
        <f>IF(O42="", "", IF(Q42="Expired", "Yes - Expired", IF(AND(O42&lt;&gt;"N/A", O42&lt;TODAY()+30), "Yes - Expiring Soon", "No")))</f>
        <v/>
      </c>
      <c r="Q42" s="8" t="inlineStr">
        <is>
          <t>Active</t>
        </is>
      </c>
      <c r="R42" s="8" t="n"/>
      <c r="S42" s="8" t="n"/>
      <c r="T42" s="8" t="n"/>
      <c r="U42" s="8" t="n"/>
    </row>
    <row r="43">
      <c r="A43">
        <f>IF(B43&lt;&gt;"", "EVD-"&amp;TEXT(ROW()-1,"000"), "")</f>
        <v/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inlineStr">
        <is>
          <t>[Security Analyst]</t>
        </is>
      </c>
      <c r="K43" s="8" t="n"/>
      <c r="L43" s="8" t="inlineStr">
        <is>
          <t>[File Server Path]</t>
        </is>
      </c>
      <c r="M43" s="8" t="n"/>
      <c r="N43" s="8" t="inlineStr">
        <is>
          <t>3 Months</t>
        </is>
      </c>
      <c r="O43" s="16">
        <f>IF(AND(I43&lt;&gt;"", N43&lt;&gt;""), IF(N43="Point-in-Time", I43, IF(N43="1 Month", I43+30, IF(N43="3 Months", I43+90, IF(N43="6 Months", I43+180, IF(N43="12 Months", I43+365, IF(N43="Continuous", "N/A", I43)))))), "")</f>
        <v/>
      </c>
      <c r="P43">
        <f>IF(O43="", "", IF(Q43="Expired", "Yes - Expired", IF(AND(O43&lt;&gt;"N/A", O43&lt;TODAY()+30), "Yes - Expiring Soon", "No")))</f>
        <v/>
      </c>
      <c r="Q43" s="8" t="inlineStr">
        <is>
          <t>Active</t>
        </is>
      </c>
      <c r="R43" s="8" t="n"/>
      <c r="S43" s="8" t="n"/>
      <c r="T43" s="8" t="n"/>
      <c r="U43" s="8" t="n"/>
    </row>
    <row r="44">
      <c r="A44">
        <f>IF(B44&lt;&gt;"", "EVD-"&amp;TEXT(ROW()-1,"000"), "")</f>
        <v/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inlineStr">
        <is>
          <t>[Security Analyst]</t>
        </is>
      </c>
      <c r="K44" s="8" t="n"/>
      <c r="L44" s="8" t="inlineStr">
        <is>
          <t>[File Server Path]</t>
        </is>
      </c>
      <c r="M44" s="8" t="n"/>
      <c r="N44" s="8" t="inlineStr">
        <is>
          <t>3 Months</t>
        </is>
      </c>
      <c r="O44" s="16">
        <f>IF(AND(I44&lt;&gt;"", N44&lt;&gt;""), IF(N44="Point-in-Time", I44, IF(N44="1 Month", I44+30, IF(N44="3 Months", I44+90, IF(N44="6 Months", I44+180, IF(N44="12 Months", I44+365, IF(N44="Continuous", "N/A", I44)))))), "")</f>
        <v/>
      </c>
      <c r="P44">
        <f>IF(O44="", "", IF(Q44="Expired", "Yes - Expired", IF(AND(O44&lt;&gt;"N/A", O44&lt;TODAY()+30), "Yes - Expiring Soon", "No")))</f>
        <v/>
      </c>
      <c r="Q44" s="8" t="inlineStr">
        <is>
          <t>Active</t>
        </is>
      </c>
      <c r="R44" s="8" t="n"/>
      <c r="S44" s="8" t="n"/>
      <c r="T44" s="8" t="n"/>
      <c r="U44" s="8" t="n"/>
    </row>
    <row r="45">
      <c r="A45">
        <f>IF(B45&lt;&gt;"", "EVD-"&amp;TEXT(ROW()-1,"000"), "")</f>
        <v/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inlineStr">
        <is>
          <t>[Security Analyst]</t>
        </is>
      </c>
      <c r="K45" s="8" t="n"/>
      <c r="L45" s="8" t="inlineStr">
        <is>
          <t>[File Server Path]</t>
        </is>
      </c>
      <c r="M45" s="8" t="n"/>
      <c r="N45" s="8" t="inlineStr">
        <is>
          <t>3 Months</t>
        </is>
      </c>
      <c r="O45" s="16">
        <f>IF(AND(I45&lt;&gt;"", N45&lt;&gt;""), IF(N45="Point-in-Time", I45, IF(N45="1 Month", I45+30, IF(N45="3 Months", I45+90, IF(N45="6 Months", I45+180, IF(N45="12 Months", I45+365, IF(N45="Continuous", "N/A", I45)))))), "")</f>
        <v/>
      </c>
      <c r="P45">
        <f>IF(O45="", "", IF(Q45="Expired", "Yes - Expired", IF(AND(O45&lt;&gt;"N/A", O45&lt;TODAY()+30), "Yes - Expiring Soon", "No")))</f>
        <v/>
      </c>
      <c r="Q45" s="8" t="inlineStr">
        <is>
          <t>Active</t>
        </is>
      </c>
      <c r="R45" s="8" t="n"/>
      <c r="S45" s="8" t="n"/>
      <c r="T45" s="8" t="n"/>
      <c r="U45" s="8" t="n"/>
    </row>
    <row r="46">
      <c r="A46">
        <f>IF(B46&lt;&gt;"", "EVD-"&amp;TEXT(ROW()-1,"000"), "")</f>
        <v/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inlineStr">
        <is>
          <t>[Security Analyst]</t>
        </is>
      </c>
      <c r="K46" s="8" t="n"/>
      <c r="L46" s="8" t="inlineStr">
        <is>
          <t>[File Server Path]</t>
        </is>
      </c>
      <c r="M46" s="8" t="n"/>
      <c r="N46" s="8" t="inlineStr">
        <is>
          <t>3 Months</t>
        </is>
      </c>
      <c r="O46" s="16">
        <f>IF(AND(I46&lt;&gt;"", N46&lt;&gt;""), IF(N46="Point-in-Time", I46, IF(N46="1 Month", I46+30, IF(N46="3 Months", I46+90, IF(N46="6 Months", I46+180, IF(N46="12 Months", I46+365, IF(N46="Continuous", "N/A", I46)))))), "")</f>
        <v/>
      </c>
      <c r="P46">
        <f>IF(O46="", "", IF(Q46="Expired", "Yes - Expired", IF(AND(O46&lt;&gt;"N/A", O46&lt;TODAY()+30), "Yes - Expiring Soon", "No")))</f>
        <v/>
      </c>
      <c r="Q46" s="8" t="inlineStr">
        <is>
          <t>Active</t>
        </is>
      </c>
      <c r="R46" s="8" t="n"/>
      <c r="S46" s="8" t="n"/>
      <c r="T46" s="8" t="n"/>
      <c r="U46" s="8" t="n"/>
    </row>
    <row r="47">
      <c r="A47">
        <f>IF(B47&lt;&gt;"", "EVD-"&amp;TEXT(ROW()-1,"000"), "")</f>
        <v/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inlineStr">
        <is>
          <t>[Security Analyst]</t>
        </is>
      </c>
      <c r="K47" s="8" t="n"/>
      <c r="L47" s="8" t="inlineStr">
        <is>
          <t>[File Server Path]</t>
        </is>
      </c>
      <c r="M47" s="8" t="n"/>
      <c r="N47" s="8" t="inlineStr">
        <is>
          <t>3 Months</t>
        </is>
      </c>
      <c r="O47" s="16">
        <f>IF(AND(I47&lt;&gt;"", N47&lt;&gt;""), IF(N47="Point-in-Time", I47, IF(N47="1 Month", I47+30, IF(N47="3 Months", I47+90, IF(N47="6 Months", I47+180, IF(N47="12 Months", I47+365, IF(N47="Continuous", "N/A", I47)))))), "")</f>
        <v/>
      </c>
      <c r="P47">
        <f>IF(O47="", "", IF(Q47="Expired", "Yes - Expired", IF(AND(O47&lt;&gt;"N/A", O47&lt;TODAY()+30), "Yes - Expiring Soon", "No")))</f>
        <v/>
      </c>
      <c r="Q47" s="8" t="inlineStr">
        <is>
          <t>Active</t>
        </is>
      </c>
      <c r="R47" s="8" t="n"/>
      <c r="S47" s="8" t="n"/>
      <c r="T47" s="8" t="n"/>
      <c r="U47" s="8" t="n"/>
    </row>
    <row r="48">
      <c r="A48">
        <f>IF(B48&lt;&gt;"", "EVD-"&amp;TEXT(ROW()-1,"000"), "")</f>
        <v/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inlineStr">
        <is>
          <t>[Security Analyst]</t>
        </is>
      </c>
      <c r="K48" s="8" t="n"/>
      <c r="L48" s="8" t="inlineStr">
        <is>
          <t>[File Server Path]</t>
        </is>
      </c>
      <c r="M48" s="8" t="n"/>
      <c r="N48" s="8" t="inlineStr">
        <is>
          <t>3 Months</t>
        </is>
      </c>
      <c r="O48" s="16">
        <f>IF(AND(I48&lt;&gt;"", N48&lt;&gt;""), IF(N48="Point-in-Time", I48, IF(N48="1 Month", I48+30, IF(N48="3 Months", I48+90, IF(N48="6 Months", I48+180, IF(N48="12 Months", I48+365, IF(N48="Continuous", "N/A", I48)))))), "")</f>
        <v/>
      </c>
      <c r="P48">
        <f>IF(O48="", "", IF(Q48="Expired", "Yes - Expired", IF(AND(O48&lt;&gt;"N/A", O48&lt;TODAY()+30), "Yes - Expiring Soon", "No")))</f>
        <v/>
      </c>
      <c r="Q48" s="8" t="inlineStr">
        <is>
          <t>Active</t>
        </is>
      </c>
      <c r="R48" s="8" t="n"/>
      <c r="S48" s="8" t="n"/>
      <c r="T48" s="8" t="n"/>
      <c r="U48" s="8" t="n"/>
    </row>
    <row r="49">
      <c r="A49">
        <f>IF(B49&lt;&gt;"", "EVD-"&amp;TEXT(ROW()-1,"000"), "")</f>
        <v/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inlineStr">
        <is>
          <t>[Security Analyst]</t>
        </is>
      </c>
      <c r="K49" s="8" t="n"/>
      <c r="L49" s="8" t="inlineStr">
        <is>
          <t>[File Server Path]</t>
        </is>
      </c>
      <c r="M49" s="8" t="n"/>
      <c r="N49" s="8" t="inlineStr">
        <is>
          <t>3 Months</t>
        </is>
      </c>
      <c r="O49" s="16">
        <f>IF(AND(I49&lt;&gt;"", N49&lt;&gt;""), IF(N49="Point-in-Time", I49, IF(N49="1 Month", I49+30, IF(N49="3 Months", I49+90, IF(N49="6 Months", I49+180, IF(N49="12 Months", I49+365, IF(N49="Continuous", "N/A", I49)))))), "")</f>
        <v/>
      </c>
      <c r="P49">
        <f>IF(O49="", "", IF(Q49="Expired", "Yes - Expired", IF(AND(O49&lt;&gt;"N/A", O49&lt;TODAY()+30), "Yes - Expiring Soon", "No")))</f>
        <v/>
      </c>
      <c r="Q49" s="8" t="inlineStr">
        <is>
          <t>Active</t>
        </is>
      </c>
      <c r="R49" s="8" t="n"/>
      <c r="S49" s="8" t="n"/>
      <c r="T49" s="8" t="n"/>
      <c r="U49" s="8" t="n"/>
    </row>
    <row r="50">
      <c r="A50">
        <f>IF(B50&lt;&gt;"", "EVD-"&amp;TEXT(ROW()-1,"000"), "")</f>
        <v/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inlineStr">
        <is>
          <t>[Security Analyst]</t>
        </is>
      </c>
      <c r="K50" s="8" t="n"/>
      <c r="L50" s="8" t="inlineStr">
        <is>
          <t>[File Server Path]</t>
        </is>
      </c>
      <c r="M50" s="8" t="n"/>
      <c r="N50" s="8" t="inlineStr">
        <is>
          <t>3 Months</t>
        </is>
      </c>
      <c r="O50" s="16">
        <f>IF(AND(I50&lt;&gt;"", N50&lt;&gt;""), IF(N50="Point-in-Time", I50, IF(N50="1 Month", I50+30, IF(N50="3 Months", I50+90, IF(N50="6 Months", I50+180, IF(N50="12 Months", I50+365, IF(N50="Continuous", "N/A", I50)))))), "")</f>
        <v/>
      </c>
      <c r="P50">
        <f>IF(O50="", "", IF(Q50="Expired", "Yes - Expired", IF(AND(O50&lt;&gt;"N/A", O50&lt;TODAY()+30), "Yes - Expiring Soon", "No")))</f>
        <v/>
      </c>
      <c r="Q50" s="8" t="inlineStr">
        <is>
          <t>Active</t>
        </is>
      </c>
      <c r="R50" s="8" t="n"/>
      <c r="S50" s="8" t="n"/>
      <c r="T50" s="8" t="n"/>
      <c r="U50" s="8" t="n"/>
    </row>
    <row r="51">
      <c r="A51">
        <f>IF(B51&lt;&gt;"", "EVD-"&amp;TEXT(ROW()-1,"000"), "")</f>
        <v/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inlineStr">
        <is>
          <t>[Security Analyst]</t>
        </is>
      </c>
      <c r="K51" s="8" t="n"/>
      <c r="L51" s="8" t="inlineStr">
        <is>
          <t>[File Server Path]</t>
        </is>
      </c>
      <c r="M51" s="8" t="n"/>
      <c r="N51" s="8" t="inlineStr">
        <is>
          <t>3 Months</t>
        </is>
      </c>
      <c r="O51" s="16">
        <f>IF(AND(I51&lt;&gt;"", N51&lt;&gt;""), IF(N51="Point-in-Time", I51, IF(N51="1 Month", I51+30, IF(N51="3 Months", I51+90, IF(N51="6 Months", I51+180, IF(N51="12 Months", I51+365, IF(N51="Continuous", "N/A", I51)))))), "")</f>
        <v/>
      </c>
      <c r="P51">
        <f>IF(O51="", "", IF(Q51="Expired", "Yes - Expired", IF(AND(O51&lt;&gt;"N/A", O51&lt;TODAY()+30), "Yes - Expiring Soon", "No")))</f>
        <v/>
      </c>
      <c r="Q51" s="8" t="inlineStr">
        <is>
          <t>Active</t>
        </is>
      </c>
      <c r="R51" s="8" t="n"/>
      <c r="S51" s="8" t="n"/>
      <c r="T51" s="8" t="n"/>
      <c r="U51" s="8" t="n"/>
    </row>
    <row r="52">
      <c r="A52">
        <f>IF(B52&lt;&gt;"", "EVD-"&amp;TEXT(ROW()-1,"000"), "")</f>
        <v/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inlineStr">
        <is>
          <t>[Security Analyst]</t>
        </is>
      </c>
      <c r="K52" s="8" t="n"/>
      <c r="L52" s="8" t="inlineStr">
        <is>
          <t>[File Server Path]</t>
        </is>
      </c>
      <c r="M52" s="8" t="n"/>
      <c r="N52" s="8" t="inlineStr">
        <is>
          <t>3 Months</t>
        </is>
      </c>
      <c r="O52" s="16">
        <f>IF(AND(I52&lt;&gt;"", N52&lt;&gt;""), IF(N52="Point-in-Time", I52, IF(N52="1 Month", I52+30, IF(N52="3 Months", I52+90, IF(N52="6 Months", I52+180, IF(N52="12 Months", I52+365, IF(N52="Continuous", "N/A", I52)))))), "")</f>
        <v/>
      </c>
      <c r="P52">
        <f>IF(O52="", "", IF(Q52="Expired", "Yes - Expired", IF(AND(O52&lt;&gt;"N/A", O52&lt;TODAY()+30), "Yes - Expiring Soon", "No")))</f>
        <v/>
      </c>
      <c r="Q52" s="8" t="inlineStr">
        <is>
          <t>Active</t>
        </is>
      </c>
      <c r="R52" s="8" t="n"/>
      <c r="S52" s="8" t="n"/>
      <c r="T52" s="8" t="n"/>
      <c r="U52" s="8" t="n"/>
    </row>
    <row r="53">
      <c r="A53">
        <f>IF(B53&lt;&gt;"", "EVD-"&amp;TEXT(ROW()-1,"000"), "")</f>
        <v/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inlineStr">
        <is>
          <t>[Security Analyst]</t>
        </is>
      </c>
      <c r="K53" s="8" t="n"/>
      <c r="L53" s="8" t="inlineStr">
        <is>
          <t>[File Server Path]</t>
        </is>
      </c>
      <c r="M53" s="8" t="n"/>
      <c r="N53" s="8" t="inlineStr">
        <is>
          <t>3 Months</t>
        </is>
      </c>
      <c r="O53" s="16">
        <f>IF(AND(I53&lt;&gt;"", N53&lt;&gt;""), IF(N53="Point-in-Time", I53, IF(N53="1 Month", I53+30, IF(N53="3 Months", I53+90, IF(N53="6 Months", I53+180, IF(N53="12 Months", I53+365, IF(N53="Continuous", "N/A", I53)))))), "")</f>
        <v/>
      </c>
      <c r="P53">
        <f>IF(O53="", "", IF(Q53="Expired", "Yes - Expired", IF(AND(O53&lt;&gt;"N/A", O53&lt;TODAY()+30), "Yes - Expiring Soon", "No")))</f>
        <v/>
      </c>
      <c r="Q53" s="8" t="inlineStr">
        <is>
          <t>Active</t>
        </is>
      </c>
      <c r="R53" s="8" t="n"/>
      <c r="S53" s="8" t="n"/>
      <c r="T53" s="8" t="n"/>
      <c r="U53" s="8" t="n"/>
    </row>
    <row r="54">
      <c r="A54">
        <f>IF(B54&lt;&gt;"", "EVD-"&amp;TEXT(ROW()-1,"000"), "")</f>
        <v/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inlineStr">
        <is>
          <t>[Security Analyst]</t>
        </is>
      </c>
      <c r="K54" s="8" t="n"/>
      <c r="L54" s="8" t="inlineStr">
        <is>
          <t>[File Server Path]</t>
        </is>
      </c>
      <c r="M54" s="8" t="n"/>
      <c r="N54" s="8" t="inlineStr">
        <is>
          <t>3 Months</t>
        </is>
      </c>
      <c r="O54" s="16">
        <f>IF(AND(I54&lt;&gt;"", N54&lt;&gt;""), IF(N54="Point-in-Time", I54, IF(N54="1 Month", I54+30, IF(N54="3 Months", I54+90, IF(N54="6 Months", I54+180, IF(N54="12 Months", I54+365, IF(N54="Continuous", "N/A", I54)))))), "")</f>
        <v/>
      </c>
      <c r="P54">
        <f>IF(O54="", "", IF(Q54="Expired", "Yes - Expired", IF(AND(O54&lt;&gt;"N/A", O54&lt;TODAY()+30), "Yes - Expiring Soon", "No")))</f>
        <v/>
      </c>
      <c r="Q54" s="8" t="inlineStr">
        <is>
          <t>Active</t>
        </is>
      </c>
      <c r="R54" s="8" t="n"/>
      <c r="S54" s="8" t="n"/>
      <c r="T54" s="8" t="n"/>
      <c r="U54" s="8" t="n"/>
    </row>
    <row r="55">
      <c r="A55">
        <f>IF(B55&lt;&gt;"", "EVD-"&amp;TEXT(ROW()-1,"000"), "")</f>
        <v/>
      </c>
      <c r="B55" s="8" t="n"/>
      <c r="C55" s="8" t="n"/>
      <c r="D55" s="8" t="n"/>
      <c r="E55" s="8" t="n"/>
      <c r="F55" s="8" t="n"/>
      <c r="G55" s="8" t="n"/>
      <c r="H55" s="8" t="n"/>
      <c r="I55" s="8" t="n"/>
      <c r="J55" s="8" t="inlineStr">
        <is>
          <t>[Security Analyst]</t>
        </is>
      </c>
      <c r="K55" s="8" t="n"/>
      <c r="L55" s="8" t="inlineStr">
        <is>
          <t>[File Server Path]</t>
        </is>
      </c>
      <c r="M55" s="8" t="n"/>
      <c r="N55" s="8" t="inlineStr">
        <is>
          <t>3 Months</t>
        </is>
      </c>
      <c r="O55" s="16">
        <f>IF(AND(I55&lt;&gt;"", N55&lt;&gt;""), IF(N55="Point-in-Time", I55, IF(N55="1 Month", I55+30, IF(N55="3 Months", I55+90, IF(N55="6 Months", I55+180, IF(N55="12 Months", I55+365, IF(N55="Continuous", "N/A", I55)))))), "")</f>
        <v/>
      </c>
      <c r="P55">
        <f>IF(O55="", "", IF(Q55="Expired", "Yes - Expired", IF(AND(O55&lt;&gt;"N/A", O55&lt;TODAY()+30), "Yes - Expiring Soon", "No")))</f>
        <v/>
      </c>
      <c r="Q55" s="8" t="inlineStr">
        <is>
          <t>Active</t>
        </is>
      </c>
      <c r="R55" s="8" t="n"/>
      <c r="S55" s="8" t="n"/>
      <c r="T55" s="8" t="n"/>
      <c r="U55" s="8" t="n"/>
    </row>
    <row r="56">
      <c r="A56">
        <f>IF(B56&lt;&gt;"", "EVD-"&amp;TEXT(ROW()-1,"000"), "")</f>
        <v/>
      </c>
      <c r="B56" s="8" t="n"/>
      <c r="C56" s="8" t="n"/>
      <c r="D56" s="8" t="n"/>
      <c r="E56" s="8" t="n"/>
      <c r="F56" s="8" t="n"/>
      <c r="G56" s="8" t="n"/>
      <c r="H56" s="8" t="n"/>
      <c r="I56" s="8" t="n"/>
      <c r="J56" s="8" t="inlineStr">
        <is>
          <t>[Security Analyst]</t>
        </is>
      </c>
      <c r="K56" s="8" t="n"/>
      <c r="L56" s="8" t="inlineStr">
        <is>
          <t>[File Server Path]</t>
        </is>
      </c>
      <c r="M56" s="8" t="n"/>
      <c r="N56" s="8" t="inlineStr">
        <is>
          <t>3 Months</t>
        </is>
      </c>
      <c r="O56" s="16">
        <f>IF(AND(I56&lt;&gt;"", N56&lt;&gt;""), IF(N56="Point-in-Time", I56, IF(N56="1 Month", I56+30, IF(N56="3 Months", I56+90, IF(N56="6 Months", I56+180, IF(N56="12 Months", I56+365, IF(N56="Continuous", "N/A", I56)))))), "")</f>
        <v/>
      </c>
      <c r="P56">
        <f>IF(O56="", "", IF(Q56="Expired", "Yes - Expired", IF(AND(O56&lt;&gt;"N/A", O56&lt;TODAY()+30), "Yes - Expiring Soon", "No")))</f>
        <v/>
      </c>
      <c r="Q56" s="8" t="inlineStr">
        <is>
          <t>Active</t>
        </is>
      </c>
      <c r="R56" s="8" t="n"/>
      <c r="S56" s="8" t="n"/>
      <c r="T56" s="8" t="n"/>
      <c r="U56" s="8" t="n"/>
    </row>
    <row r="57">
      <c r="A57">
        <f>IF(B57&lt;&gt;"", "EVD-"&amp;TEXT(ROW()-1,"000"), "")</f>
        <v/>
      </c>
      <c r="B57" s="8" t="n"/>
      <c r="C57" s="8" t="n"/>
      <c r="D57" s="8" t="n"/>
      <c r="E57" s="8" t="n"/>
      <c r="F57" s="8" t="n"/>
      <c r="G57" s="8" t="n"/>
      <c r="H57" s="8" t="n"/>
      <c r="I57" s="8" t="n"/>
      <c r="J57" s="8" t="inlineStr">
        <is>
          <t>[Security Analyst]</t>
        </is>
      </c>
      <c r="K57" s="8" t="n"/>
      <c r="L57" s="8" t="inlineStr">
        <is>
          <t>[File Server Path]</t>
        </is>
      </c>
      <c r="M57" s="8" t="n"/>
      <c r="N57" s="8" t="inlineStr">
        <is>
          <t>3 Months</t>
        </is>
      </c>
      <c r="O57" s="16">
        <f>IF(AND(I57&lt;&gt;"", N57&lt;&gt;""), IF(N57="Point-in-Time", I57, IF(N57="1 Month", I57+30, IF(N57="3 Months", I57+90, IF(N57="6 Months", I57+180, IF(N57="12 Months", I57+365, IF(N57="Continuous", "N/A", I57)))))), "")</f>
        <v/>
      </c>
      <c r="P57">
        <f>IF(O57="", "", IF(Q57="Expired", "Yes - Expired", IF(AND(O57&lt;&gt;"N/A", O57&lt;TODAY()+30), "Yes - Expiring Soon", "No")))</f>
        <v/>
      </c>
      <c r="Q57" s="8" t="inlineStr">
        <is>
          <t>Active</t>
        </is>
      </c>
      <c r="R57" s="8" t="n"/>
      <c r="S57" s="8" t="n"/>
      <c r="T57" s="8" t="n"/>
      <c r="U57" s="8" t="n"/>
    </row>
    <row r="58">
      <c r="A58">
        <f>IF(B58&lt;&gt;"", "EVD-"&amp;TEXT(ROW()-1,"000"), "")</f>
        <v/>
      </c>
      <c r="B58" s="8" t="n"/>
      <c r="C58" s="8" t="n"/>
      <c r="D58" s="8" t="n"/>
      <c r="E58" s="8" t="n"/>
      <c r="F58" s="8" t="n"/>
      <c r="G58" s="8" t="n"/>
      <c r="H58" s="8" t="n"/>
      <c r="I58" s="8" t="n"/>
      <c r="J58" s="8" t="inlineStr">
        <is>
          <t>[Security Analyst]</t>
        </is>
      </c>
      <c r="K58" s="8" t="n"/>
      <c r="L58" s="8" t="inlineStr">
        <is>
          <t>[File Server Path]</t>
        </is>
      </c>
      <c r="M58" s="8" t="n"/>
      <c r="N58" s="8" t="inlineStr">
        <is>
          <t>3 Months</t>
        </is>
      </c>
      <c r="O58" s="16">
        <f>IF(AND(I58&lt;&gt;"", N58&lt;&gt;""), IF(N58="Point-in-Time", I58, IF(N58="1 Month", I58+30, IF(N58="3 Months", I58+90, IF(N58="6 Months", I58+180, IF(N58="12 Months", I58+365, IF(N58="Continuous", "N/A", I58)))))), "")</f>
        <v/>
      </c>
      <c r="P58">
        <f>IF(O58="", "", IF(Q58="Expired", "Yes - Expired", IF(AND(O58&lt;&gt;"N/A", O58&lt;TODAY()+30), "Yes - Expiring Soon", "No")))</f>
        <v/>
      </c>
      <c r="Q58" s="8" t="inlineStr">
        <is>
          <t>Active</t>
        </is>
      </c>
      <c r="R58" s="8" t="n"/>
      <c r="S58" s="8" t="n"/>
      <c r="T58" s="8" t="n"/>
      <c r="U58" s="8" t="n"/>
    </row>
    <row r="59">
      <c r="A59">
        <f>IF(B59&lt;&gt;"", "EVD-"&amp;TEXT(ROW()-1,"000"), "")</f>
        <v/>
      </c>
      <c r="B59" s="8" t="n"/>
      <c r="C59" s="8" t="n"/>
      <c r="D59" s="8" t="n"/>
      <c r="E59" s="8" t="n"/>
      <c r="F59" s="8" t="n"/>
      <c r="G59" s="8" t="n"/>
      <c r="H59" s="8" t="n"/>
      <c r="I59" s="8" t="n"/>
      <c r="J59" s="8" t="inlineStr">
        <is>
          <t>[Security Analyst]</t>
        </is>
      </c>
      <c r="K59" s="8" t="n"/>
      <c r="L59" s="8" t="inlineStr">
        <is>
          <t>[File Server Path]</t>
        </is>
      </c>
      <c r="M59" s="8" t="n"/>
      <c r="N59" s="8" t="inlineStr">
        <is>
          <t>3 Months</t>
        </is>
      </c>
      <c r="O59" s="16">
        <f>IF(AND(I59&lt;&gt;"", N59&lt;&gt;""), IF(N59="Point-in-Time", I59, IF(N59="1 Month", I59+30, IF(N59="3 Months", I59+90, IF(N59="6 Months", I59+180, IF(N59="12 Months", I59+365, IF(N59="Continuous", "N/A", I59)))))), "")</f>
        <v/>
      </c>
      <c r="P59">
        <f>IF(O59="", "", IF(Q59="Expired", "Yes - Expired", IF(AND(O59&lt;&gt;"N/A", O59&lt;TODAY()+30), "Yes - Expiring Soon", "No")))</f>
        <v/>
      </c>
      <c r="Q59" s="8" t="inlineStr">
        <is>
          <t>Active</t>
        </is>
      </c>
      <c r="R59" s="8" t="n"/>
      <c r="S59" s="8" t="n"/>
      <c r="T59" s="8" t="n"/>
      <c r="U59" s="8" t="n"/>
    </row>
    <row r="60">
      <c r="A60">
        <f>IF(B60&lt;&gt;"", "EVD-"&amp;TEXT(ROW()-1,"000"), "")</f>
        <v/>
      </c>
      <c r="B60" s="8" t="n"/>
      <c r="C60" s="8" t="n"/>
      <c r="D60" s="8" t="n"/>
      <c r="E60" s="8" t="n"/>
      <c r="F60" s="8" t="n"/>
      <c r="G60" s="8" t="n"/>
      <c r="H60" s="8" t="n"/>
      <c r="I60" s="8" t="n"/>
      <c r="J60" s="8" t="inlineStr">
        <is>
          <t>[Security Analyst]</t>
        </is>
      </c>
      <c r="K60" s="8" t="n"/>
      <c r="L60" s="8" t="inlineStr">
        <is>
          <t>[File Server Path]</t>
        </is>
      </c>
      <c r="M60" s="8" t="n"/>
      <c r="N60" s="8" t="inlineStr">
        <is>
          <t>3 Months</t>
        </is>
      </c>
      <c r="O60" s="16">
        <f>IF(AND(I60&lt;&gt;"", N60&lt;&gt;""), IF(N60="Point-in-Time", I60, IF(N60="1 Month", I60+30, IF(N60="3 Months", I60+90, IF(N60="6 Months", I60+180, IF(N60="12 Months", I60+365, IF(N60="Continuous", "N/A", I60)))))), "")</f>
        <v/>
      </c>
      <c r="P60">
        <f>IF(O60="", "", IF(Q60="Expired", "Yes - Expired", IF(AND(O60&lt;&gt;"N/A", O60&lt;TODAY()+30), "Yes - Expiring Soon", "No")))</f>
        <v/>
      </c>
      <c r="Q60" s="8" t="inlineStr">
        <is>
          <t>Active</t>
        </is>
      </c>
      <c r="R60" s="8" t="n"/>
      <c r="S60" s="8" t="n"/>
      <c r="T60" s="8" t="n"/>
      <c r="U60" s="8" t="n"/>
    </row>
    <row r="61">
      <c r="A61">
        <f>IF(B61&lt;&gt;"", "EVD-"&amp;TEXT(ROW()-1,"000"), "")</f>
        <v/>
      </c>
      <c r="B61" s="8" t="n"/>
      <c r="C61" s="8" t="n"/>
      <c r="D61" s="8" t="n"/>
      <c r="E61" s="8" t="n"/>
      <c r="F61" s="8" t="n"/>
      <c r="G61" s="8" t="n"/>
      <c r="H61" s="8" t="n"/>
      <c r="I61" s="8" t="n"/>
      <c r="J61" s="8" t="inlineStr">
        <is>
          <t>[Security Analyst]</t>
        </is>
      </c>
      <c r="K61" s="8" t="n"/>
      <c r="L61" s="8" t="inlineStr">
        <is>
          <t>[File Server Path]</t>
        </is>
      </c>
      <c r="M61" s="8" t="n"/>
      <c r="N61" s="8" t="inlineStr">
        <is>
          <t>3 Months</t>
        </is>
      </c>
      <c r="O61" s="16">
        <f>IF(AND(I61&lt;&gt;"", N61&lt;&gt;""), IF(N61="Point-in-Time", I61, IF(N61="1 Month", I61+30, IF(N61="3 Months", I61+90, IF(N61="6 Months", I61+180, IF(N61="12 Months", I61+365, IF(N61="Continuous", "N/A", I61)))))), "")</f>
        <v/>
      </c>
      <c r="P61">
        <f>IF(O61="", "", IF(Q61="Expired", "Yes - Expired", IF(AND(O61&lt;&gt;"N/A", O61&lt;TODAY()+30), "Yes - Expiring Soon", "No")))</f>
        <v/>
      </c>
      <c r="Q61" s="8" t="inlineStr">
        <is>
          <t>Active</t>
        </is>
      </c>
      <c r="R61" s="8" t="n"/>
      <c r="S61" s="8" t="n"/>
      <c r="T61" s="8" t="n"/>
      <c r="U61" s="8" t="n"/>
    </row>
    <row r="62">
      <c r="A62">
        <f>IF(B62&lt;&gt;"", "EVD-"&amp;TEXT(ROW()-1,"000"), "")</f>
        <v/>
      </c>
      <c r="B62" s="8" t="n"/>
      <c r="C62" s="8" t="n"/>
      <c r="D62" s="8" t="n"/>
      <c r="E62" s="8" t="n"/>
      <c r="F62" s="8" t="n"/>
      <c r="G62" s="8" t="n"/>
      <c r="H62" s="8" t="n"/>
      <c r="I62" s="8" t="n"/>
      <c r="J62" s="8" t="inlineStr">
        <is>
          <t>[Security Analyst]</t>
        </is>
      </c>
      <c r="K62" s="8" t="n"/>
      <c r="L62" s="8" t="inlineStr">
        <is>
          <t>[File Server Path]</t>
        </is>
      </c>
      <c r="M62" s="8" t="n"/>
      <c r="N62" s="8" t="inlineStr">
        <is>
          <t>3 Months</t>
        </is>
      </c>
      <c r="O62" s="16">
        <f>IF(AND(I62&lt;&gt;"", N62&lt;&gt;""), IF(N62="Point-in-Time", I62, IF(N62="1 Month", I62+30, IF(N62="3 Months", I62+90, IF(N62="6 Months", I62+180, IF(N62="12 Months", I62+365, IF(N62="Continuous", "N/A", I62)))))), "")</f>
        <v/>
      </c>
      <c r="P62">
        <f>IF(O62="", "", IF(Q62="Expired", "Yes - Expired", IF(AND(O62&lt;&gt;"N/A", O62&lt;TODAY()+30), "Yes - Expiring Soon", "No")))</f>
        <v/>
      </c>
      <c r="Q62" s="8" t="inlineStr">
        <is>
          <t>Active</t>
        </is>
      </c>
      <c r="R62" s="8" t="n"/>
      <c r="S62" s="8" t="n"/>
      <c r="T62" s="8" t="n"/>
      <c r="U62" s="8" t="n"/>
    </row>
    <row r="63">
      <c r="A63">
        <f>IF(B63&lt;&gt;"", "EVD-"&amp;TEXT(ROW()-1,"000"), "")</f>
        <v/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inlineStr">
        <is>
          <t>[Security Analyst]</t>
        </is>
      </c>
      <c r="K63" s="8" t="n"/>
      <c r="L63" s="8" t="inlineStr">
        <is>
          <t>[File Server Path]</t>
        </is>
      </c>
      <c r="M63" s="8" t="n"/>
      <c r="N63" s="8" t="inlineStr">
        <is>
          <t>3 Months</t>
        </is>
      </c>
      <c r="O63" s="16">
        <f>IF(AND(I63&lt;&gt;"", N63&lt;&gt;""), IF(N63="Point-in-Time", I63, IF(N63="1 Month", I63+30, IF(N63="3 Months", I63+90, IF(N63="6 Months", I63+180, IF(N63="12 Months", I63+365, IF(N63="Continuous", "N/A", I63)))))), "")</f>
        <v/>
      </c>
      <c r="P63">
        <f>IF(O63="", "", IF(Q63="Expired", "Yes - Expired", IF(AND(O63&lt;&gt;"N/A", O63&lt;TODAY()+30), "Yes - Expiring Soon", "No")))</f>
        <v/>
      </c>
      <c r="Q63" s="8" t="inlineStr">
        <is>
          <t>Active</t>
        </is>
      </c>
      <c r="R63" s="8" t="n"/>
      <c r="S63" s="8" t="n"/>
      <c r="T63" s="8" t="n"/>
      <c r="U63" s="8" t="n"/>
    </row>
    <row r="64">
      <c r="A64">
        <f>IF(B64&lt;&gt;"", "EVD-"&amp;TEXT(ROW()-1,"000"), "")</f>
        <v/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inlineStr">
        <is>
          <t>[Security Analyst]</t>
        </is>
      </c>
      <c r="K64" s="8" t="n"/>
      <c r="L64" s="8" t="inlineStr">
        <is>
          <t>[File Server Path]</t>
        </is>
      </c>
      <c r="M64" s="8" t="n"/>
      <c r="N64" s="8" t="inlineStr">
        <is>
          <t>3 Months</t>
        </is>
      </c>
      <c r="O64" s="16">
        <f>IF(AND(I64&lt;&gt;"", N64&lt;&gt;""), IF(N64="Point-in-Time", I64, IF(N64="1 Month", I64+30, IF(N64="3 Months", I64+90, IF(N64="6 Months", I64+180, IF(N64="12 Months", I64+365, IF(N64="Continuous", "N/A", I64)))))), "")</f>
        <v/>
      </c>
      <c r="P64">
        <f>IF(O64="", "", IF(Q64="Expired", "Yes - Expired", IF(AND(O64&lt;&gt;"N/A", O64&lt;TODAY()+30), "Yes - Expiring Soon", "No")))</f>
        <v/>
      </c>
      <c r="Q64" s="8" t="inlineStr">
        <is>
          <t>Active</t>
        </is>
      </c>
      <c r="R64" s="8" t="n"/>
      <c r="S64" s="8" t="n"/>
      <c r="T64" s="8" t="n"/>
      <c r="U64" s="8" t="n"/>
    </row>
    <row r="65">
      <c r="A65">
        <f>IF(B65&lt;&gt;"", "EVD-"&amp;TEXT(ROW()-1,"000"), "")</f>
        <v/>
      </c>
      <c r="B65" s="8" t="n"/>
      <c r="C65" s="8" t="n"/>
      <c r="D65" s="8" t="n"/>
      <c r="E65" s="8" t="n"/>
      <c r="F65" s="8" t="n"/>
      <c r="G65" s="8" t="n"/>
      <c r="H65" s="8" t="n"/>
      <c r="I65" s="8" t="n"/>
      <c r="J65" s="8" t="inlineStr">
        <is>
          <t>[Security Analyst]</t>
        </is>
      </c>
      <c r="K65" s="8" t="n"/>
      <c r="L65" s="8" t="inlineStr">
        <is>
          <t>[File Server Path]</t>
        </is>
      </c>
      <c r="M65" s="8" t="n"/>
      <c r="N65" s="8" t="inlineStr">
        <is>
          <t>3 Months</t>
        </is>
      </c>
      <c r="O65" s="16">
        <f>IF(AND(I65&lt;&gt;"", N65&lt;&gt;""), IF(N65="Point-in-Time", I65, IF(N65="1 Month", I65+30, IF(N65="3 Months", I65+90, IF(N65="6 Months", I65+180, IF(N65="12 Months", I65+365, IF(N65="Continuous", "N/A", I65)))))), "")</f>
        <v/>
      </c>
      <c r="P65">
        <f>IF(O65="", "", IF(Q65="Expired", "Yes - Expired", IF(AND(O65&lt;&gt;"N/A", O65&lt;TODAY()+30), "Yes - Expiring Soon", "No")))</f>
        <v/>
      </c>
      <c r="Q65" s="8" t="inlineStr">
        <is>
          <t>Active</t>
        </is>
      </c>
      <c r="R65" s="8" t="n"/>
      <c r="S65" s="8" t="n"/>
      <c r="T65" s="8" t="n"/>
      <c r="U65" s="8" t="n"/>
    </row>
    <row r="66">
      <c r="A66">
        <f>IF(B66&lt;&gt;"", "EVD-"&amp;TEXT(ROW()-1,"000"), "")</f>
        <v/>
      </c>
      <c r="B66" s="8" t="n"/>
      <c r="C66" s="8" t="n"/>
      <c r="D66" s="8" t="n"/>
      <c r="E66" s="8" t="n"/>
      <c r="F66" s="8" t="n"/>
      <c r="G66" s="8" t="n"/>
      <c r="H66" s="8" t="n"/>
      <c r="I66" s="8" t="n"/>
      <c r="J66" s="8" t="inlineStr">
        <is>
          <t>[Security Analyst]</t>
        </is>
      </c>
      <c r="K66" s="8" t="n"/>
      <c r="L66" s="8" t="inlineStr">
        <is>
          <t>[File Server Path]</t>
        </is>
      </c>
      <c r="M66" s="8" t="n"/>
      <c r="N66" s="8" t="inlineStr">
        <is>
          <t>3 Months</t>
        </is>
      </c>
      <c r="O66" s="16">
        <f>IF(AND(I66&lt;&gt;"", N66&lt;&gt;""), IF(N66="Point-in-Time", I66, IF(N66="1 Month", I66+30, IF(N66="3 Months", I66+90, IF(N66="6 Months", I66+180, IF(N66="12 Months", I66+365, IF(N66="Continuous", "N/A", I66)))))), "")</f>
        <v/>
      </c>
      <c r="P66">
        <f>IF(O66="", "", IF(Q66="Expired", "Yes - Expired", IF(AND(O66&lt;&gt;"N/A", O66&lt;TODAY()+30), "Yes - Expiring Soon", "No")))</f>
        <v/>
      </c>
      <c r="Q66" s="8" t="inlineStr">
        <is>
          <t>Active</t>
        </is>
      </c>
      <c r="R66" s="8" t="n"/>
      <c r="S66" s="8" t="n"/>
      <c r="T66" s="8" t="n"/>
      <c r="U66" s="8" t="n"/>
    </row>
    <row r="67">
      <c r="A67">
        <f>IF(B67&lt;&gt;"", "EVD-"&amp;TEXT(ROW()-1,"000"), "")</f>
        <v/>
      </c>
      <c r="B67" s="8" t="n"/>
      <c r="C67" s="8" t="n"/>
      <c r="D67" s="8" t="n"/>
      <c r="E67" s="8" t="n"/>
      <c r="F67" s="8" t="n"/>
      <c r="G67" s="8" t="n"/>
      <c r="H67" s="8" t="n"/>
      <c r="I67" s="8" t="n"/>
      <c r="J67" s="8" t="inlineStr">
        <is>
          <t>[Security Analyst]</t>
        </is>
      </c>
      <c r="K67" s="8" t="n"/>
      <c r="L67" s="8" t="inlineStr">
        <is>
          <t>[File Server Path]</t>
        </is>
      </c>
      <c r="M67" s="8" t="n"/>
      <c r="N67" s="8" t="inlineStr">
        <is>
          <t>3 Months</t>
        </is>
      </c>
      <c r="O67" s="16">
        <f>IF(AND(I67&lt;&gt;"", N67&lt;&gt;""), IF(N67="Point-in-Time", I67, IF(N67="1 Month", I67+30, IF(N67="3 Months", I67+90, IF(N67="6 Months", I67+180, IF(N67="12 Months", I67+365, IF(N67="Continuous", "N/A", I67)))))), "")</f>
        <v/>
      </c>
      <c r="P67">
        <f>IF(O67="", "", IF(Q67="Expired", "Yes - Expired", IF(AND(O67&lt;&gt;"N/A", O67&lt;TODAY()+30), "Yes - Expiring Soon", "No")))</f>
        <v/>
      </c>
      <c r="Q67" s="8" t="inlineStr">
        <is>
          <t>Active</t>
        </is>
      </c>
      <c r="R67" s="8" t="n"/>
      <c r="S67" s="8" t="n"/>
      <c r="T67" s="8" t="n"/>
      <c r="U67" s="8" t="n"/>
    </row>
    <row r="68">
      <c r="A68">
        <f>IF(B68&lt;&gt;"", "EVD-"&amp;TEXT(ROW()-1,"000"), "")</f>
        <v/>
      </c>
      <c r="B68" s="8" t="n"/>
      <c r="C68" s="8" t="n"/>
      <c r="D68" s="8" t="n"/>
      <c r="E68" s="8" t="n"/>
      <c r="F68" s="8" t="n"/>
      <c r="G68" s="8" t="n"/>
      <c r="H68" s="8" t="n"/>
      <c r="I68" s="8" t="n"/>
      <c r="J68" s="8" t="inlineStr">
        <is>
          <t>[Security Analyst]</t>
        </is>
      </c>
      <c r="K68" s="8" t="n"/>
      <c r="L68" s="8" t="inlineStr">
        <is>
          <t>[File Server Path]</t>
        </is>
      </c>
      <c r="M68" s="8" t="n"/>
      <c r="N68" s="8" t="inlineStr">
        <is>
          <t>3 Months</t>
        </is>
      </c>
      <c r="O68" s="16">
        <f>IF(AND(I68&lt;&gt;"", N68&lt;&gt;""), IF(N68="Point-in-Time", I68, IF(N68="1 Month", I68+30, IF(N68="3 Months", I68+90, IF(N68="6 Months", I68+180, IF(N68="12 Months", I68+365, IF(N68="Continuous", "N/A", I68)))))), "")</f>
        <v/>
      </c>
      <c r="P68">
        <f>IF(O68="", "", IF(Q68="Expired", "Yes - Expired", IF(AND(O68&lt;&gt;"N/A", O68&lt;TODAY()+30), "Yes - Expiring Soon", "No")))</f>
        <v/>
      </c>
      <c r="Q68" s="8" t="inlineStr">
        <is>
          <t>Active</t>
        </is>
      </c>
      <c r="R68" s="8" t="n"/>
      <c r="S68" s="8" t="n"/>
      <c r="T68" s="8" t="n"/>
      <c r="U68" s="8" t="n"/>
    </row>
    <row r="69">
      <c r="A69">
        <f>IF(B69&lt;&gt;"", "EVD-"&amp;TEXT(ROW()-1,"000"), "")</f>
        <v/>
      </c>
      <c r="B69" s="8" t="n"/>
      <c r="C69" s="8" t="n"/>
      <c r="D69" s="8" t="n"/>
      <c r="E69" s="8" t="n"/>
      <c r="F69" s="8" t="n"/>
      <c r="G69" s="8" t="n"/>
      <c r="H69" s="8" t="n"/>
      <c r="I69" s="8" t="n"/>
      <c r="J69" s="8" t="inlineStr">
        <is>
          <t>[Security Analyst]</t>
        </is>
      </c>
      <c r="K69" s="8" t="n"/>
      <c r="L69" s="8" t="inlineStr">
        <is>
          <t>[File Server Path]</t>
        </is>
      </c>
      <c r="M69" s="8" t="n"/>
      <c r="N69" s="8" t="inlineStr">
        <is>
          <t>3 Months</t>
        </is>
      </c>
      <c r="O69" s="16">
        <f>IF(AND(I69&lt;&gt;"", N69&lt;&gt;""), IF(N69="Point-in-Time", I69, IF(N69="1 Month", I69+30, IF(N69="3 Months", I69+90, IF(N69="6 Months", I69+180, IF(N69="12 Months", I69+365, IF(N69="Continuous", "N/A", I69)))))), "")</f>
        <v/>
      </c>
      <c r="P69">
        <f>IF(O69="", "", IF(Q69="Expired", "Yes - Expired", IF(AND(O69&lt;&gt;"N/A", O69&lt;TODAY()+30), "Yes - Expiring Soon", "No")))</f>
        <v/>
      </c>
      <c r="Q69" s="8" t="inlineStr">
        <is>
          <t>Active</t>
        </is>
      </c>
      <c r="R69" s="8" t="n"/>
      <c r="S69" s="8" t="n"/>
      <c r="T69" s="8" t="n"/>
      <c r="U69" s="8" t="n"/>
    </row>
    <row r="70">
      <c r="A70">
        <f>IF(B70&lt;&gt;"", "EVD-"&amp;TEXT(ROW()-1,"000"), "")</f>
        <v/>
      </c>
      <c r="B70" s="8" t="n"/>
      <c r="C70" s="8" t="n"/>
      <c r="D70" s="8" t="n"/>
      <c r="E70" s="8" t="n"/>
      <c r="F70" s="8" t="n"/>
      <c r="G70" s="8" t="n"/>
      <c r="H70" s="8" t="n"/>
      <c r="I70" s="8" t="n"/>
      <c r="J70" s="8" t="inlineStr">
        <is>
          <t>[Security Analyst]</t>
        </is>
      </c>
      <c r="K70" s="8" t="n"/>
      <c r="L70" s="8" t="inlineStr">
        <is>
          <t>[File Server Path]</t>
        </is>
      </c>
      <c r="M70" s="8" t="n"/>
      <c r="N70" s="8" t="inlineStr">
        <is>
          <t>3 Months</t>
        </is>
      </c>
      <c r="O70" s="16">
        <f>IF(AND(I70&lt;&gt;"", N70&lt;&gt;""), IF(N70="Point-in-Time", I70, IF(N70="1 Month", I70+30, IF(N70="3 Months", I70+90, IF(N70="6 Months", I70+180, IF(N70="12 Months", I70+365, IF(N70="Continuous", "N/A", I70)))))), "")</f>
        <v/>
      </c>
      <c r="P70">
        <f>IF(O70="", "", IF(Q70="Expired", "Yes - Expired", IF(AND(O70&lt;&gt;"N/A", O70&lt;TODAY()+30), "Yes - Expiring Soon", "No")))</f>
        <v/>
      </c>
      <c r="Q70" s="8" t="inlineStr">
        <is>
          <t>Active</t>
        </is>
      </c>
      <c r="R70" s="8" t="n"/>
      <c r="S70" s="8" t="n"/>
      <c r="T70" s="8" t="n"/>
      <c r="U70" s="8" t="n"/>
    </row>
    <row r="71">
      <c r="A71">
        <f>IF(B71&lt;&gt;"", "EVD-"&amp;TEXT(ROW()-1,"000"), "")</f>
        <v/>
      </c>
      <c r="B71" s="8" t="n"/>
      <c r="C71" s="8" t="n"/>
      <c r="D71" s="8" t="n"/>
      <c r="E71" s="8" t="n"/>
      <c r="F71" s="8" t="n"/>
      <c r="G71" s="8" t="n"/>
      <c r="H71" s="8" t="n"/>
      <c r="I71" s="8" t="n"/>
      <c r="J71" s="8" t="inlineStr">
        <is>
          <t>[Security Analyst]</t>
        </is>
      </c>
      <c r="K71" s="8" t="n"/>
      <c r="L71" s="8" t="inlineStr">
        <is>
          <t>[File Server Path]</t>
        </is>
      </c>
      <c r="M71" s="8" t="n"/>
      <c r="N71" s="8" t="inlineStr">
        <is>
          <t>3 Months</t>
        </is>
      </c>
      <c r="O71" s="16">
        <f>IF(AND(I71&lt;&gt;"", N71&lt;&gt;""), IF(N71="Point-in-Time", I71, IF(N71="1 Month", I71+30, IF(N71="3 Months", I71+90, IF(N71="6 Months", I71+180, IF(N71="12 Months", I71+365, IF(N71="Continuous", "N/A", I71)))))), "")</f>
        <v/>
      </c>
      <c r="P71">
        <f>IF(O71="", "", IF(Q71="Expired", "Yes - Expired", IF(AND(O71&lt;&gt;"N/A", O71&lt;TODAY()+30), "Yes - Expiring Soon", "No")))</f>
        <v/>
      </c>
      <c r="Q71" s="8" t="inlineStr">
        <is>
          <t>Active</t>
        </is>
      </c>
      <c r="R71" s="8" t="n"/>
      <c r="S71" s="8" t="n"/>
      <c r="T71" s="8" t="n"/>
      <c r="U71" s="8" t="n"/>
    </row>
    <row r="72">
      <c r="A72">
        <f>IF(B72&lt;&gt;"", "EVD-"&amp;TEXT(ROW()-1,"000"), "")</f>
        <v/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inlineStr">
        <is>
          <t>[Security Analyst]</t>
        </is>
      </c>
      <c r="K72" s="8" t="n"/>
      <c r="L72" s="8" t="inlineStr">
        <is>
          <t>[File Server Path]</t>
        </is>
      </c>
      <c r="M72" s="8" t="n"/>
      <c r="N72" s="8" t="inlineStr">
        <is>
          <t>3 Months</t>
        </is>
      </c>
      <c r="O72" s="16">
        <f>IF(AND(I72&lt;&gt;"", N72&lt;&gt;""), IF(N72="Point-in-Time", I72, IF(N72="1 Month", I72+30, IF(N72="3 Months", I72+90, IF(N72="6 Months", I72+180, IF(N72="12 Months", I72+365, IF(N72="Continuous", "N/A", I72)))))), "")</f>
        <v/>
      </c>
      <c r="P72">
        <f>IF(O72="", "", IF(Q72="Expired", "Yes - Expired", IF(AND(O72&lt;&gt;"N/A", O72&lt;TODAY()+30), "Yes - Expiring Soon", "No")))</f>
        <v/>
      </c>
      <c r="Q72" s="8" t="inlineStr">
        <is>
          <t>Active</t>
        </is>
      </c>
      <c r="R72" s="8" t="n"/>
      <c r="S72" s="8" t="n"/>
      <c r="T72" s="8" t="n"/>
      <c r="U72" s="8" t="n"/>
    </row>
    <row r="73">
      <c r="A73">
        <f>IF(B73&lt;&gt;"", "EVD-"&amp;TEXT(ROW()-1,"000"), "")</f>
        <v/>
      </c>
      <c r="B73" s="8" t="n"/>
      <c r="C73" s="8" t="n"/>
      <c r="D73" s="8" t="n"/>
      <c r="E73" s="8" t="n"/>
      <c r="F73" s="8" t="n"/>
      <c r="G73" s="8" t="n"/>
      <c r="H73" s="8" t="n"/>
      <c r="I73" s="8" t="n"/>
      <c r="J73" s="8" t="inlineStr">
        <is>
          <t>[Security Analyst]</t>
        </is>
      </c>
      <c r="K73" s="8" t="n"/>
      <c r="L73" s="8" t="inlineStr">
        <is>
          <t>[File Server Path]</t>
        </is>
      </c>
      <c r="M73" s="8" t="n"/>
      <c r="N73" s="8" t="inlineStr">
        <is>
          <t>3 Months</t>
        </is>
      </c>
      <c r="O73" s="16">
        <f>IF(AND(I73&lt;&gt;"", N73&lt;&gt;""), IF(N73="Point-in-Time", I73, IF(N73="1 Month", I73+30, IF(N73="3 Months", I73+90, IF(N73="6 Months", I73+180, IF(N73="12 Months", I73+365, IF(N73="Continuous", "N/A", I73)))))), "")</f>
        <v/>
      </c>
      <c r="P73">
        <f>IF(O73="", "", IF(Q73="Expired", "Yes - Expired", IF(AND(O73&lt;&gt;"N/A", O73&lt;TODAY()+30), "Yes - Expiring Soon", "No")))</f>
        <v/>
      </c>
      <c r="Q73" s="8" t="inlineStr">
        <is>
          <t>Active</t>
        </is>
      </c>
      <c r="R73" s="8" t="n"/>
      <c r="S73" s="8" t="n"/>
      <c r="T73" s="8" t="n"/>
      <c r="U73" s="8" t="n"/>
    </row>
    <row r="74">
      <c r="A74">
        <f>IF(B74&lt;&gt;"", "EVD-"&amp;TEXT(ROW()-1,"000"), "")</f>
        <v/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inlineStr">
        <is>
          <t>[Security Analyst]</t>
        </is>
      </c>
      <c r="K74" s="8" t="n"/>
      <c r="L74" s="8" t="inlineStr">
        <is>
          <t>[File Server Path]</t>
        </is>
      </c>
      <c r="M74" s="8" t="n"/>
      <c r="N74" s="8" t="inlineStr">
        <is>
          <t>3 Months</t>
        </is>
      </c>
      <c r="O74" s="16">
        <f>IF(AND(I74&lt;&gt;"", N74&lt;&gt;""), IF(N74="Point-in-Time", I74, IF(N74="1 Month", I74+30, IF(N74="3 Months", I74+90, IF(N74="6 Months", I74+180, IF(N74="12 Months", I74+365, IF(N74="Continuous", "N/A", I74)))))), "")</f>
        <v/>
      </c>
      <c r="P74">
        <f>IF(O74="", "", IF(Q74="Expired", "Yes - Expired", IF(AND(O74&lt;&gt;"N/A", O74&lt;TODAY()+30), "Yes - Expiring Soon", "No")))</f>
        <v/>
      </c>
      <c r="Q74" s="8" t="inlineStr">
        <is>
          <t>Active</t>
        </is>
      </c>
      <c r="R74" s="8" t="n"/>
      <c r="S74" s="8" t="n"/>
      <c r="T74" s="8" t="n"/>
      <c r="U74" s="8" t="n"/>
    </row>
    <row r="75">
      <c r="A75">
        <f>IF(B75&lt;&gt;"", "EVD-"&amp;TEXT(ROW()-1,"000"), "")</f>
        <v/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inlineStr">
        <is>
          <t>[Security Analyst]</t>
        </is>
      </c>
      <c r="K75" s="8" t="n"/>
      <c r="L75" s="8" t="inlineStr">
        <is>
          <t>[File Server Path]</t>
        </is>
      </c>
      <c r="M75" s="8" t="n"/>
      <c r="N75" s="8" t="inlineStr">
        <is>
          <t>3 Months</t>
        </is>
      </c>
      <c r="O75" s="16">
        <f>IF(AND(I75&lt;&gt;"", N75&lt;&gt;""), IF(N75="Point-in-Time", I75, IF(N75="1 Month", I75+30, IF(N75="3 Months", I75+90, IF(N75="6 Months", I75+180, IF(N75="12 Months", I75+365, IF(N75="Continuous", "N/A", I75)))))), "")</f>
        <v/>
      </c>
      <c r="P75">
        <f>IF(O75="", "", IF(Q75="Expired", "Yes - Expired", IF(AND(O75&lt;&gt;"N/A", O75&lt;TODAY()+30), "Yes - Expiring Soon", "No")))</f>
        <v/>
      </c>
      <c r="Q75" s="8" t="inlineStr">
        <is>
          <t>Active</t>
        </is>
      </c>
      <c r="R75" s="8" t="n"/>
      <c r="S75" s="8" t="n"/>
      <c r="T75" s="8" t="n"/>
      <c r="U75" s="8" t="n"/>
    </row>
    <row r="76">
      <c r="A76">
        <f>IF(B76&lt;&gt;"", "EVD-"&amp;TEXT(ROW()-1,"000"), "")</f>
        <v/>
      </c>
      <c r="B76" s="8" t="n"/>
      <c r="C76" s="8" t="n"/>
      <c r="D76" s="8" t="n"/>
      <c r="E76" s="8" t="n"/>
      <c r="F76" s="8" t="n"/>
      <c r="G76" s="8" t="n"/>
      <c r="H76" s="8" t="n"/>
      <c r="I76" s="8" t="n"/>
      <c r="J76" s="8" t="inlineStr">
        <is>
          <t>[Security Analyst]</t>
        </is>
      </c>
      <c r="K76" s="8" t="n"/>
      <c r="L76" s="8" t="inlineStr">
        <is>
          <t>[File Server Path]</t>
        </is>
      </c>
      <c r="M76" s="8" t="n"/>
      <c r="N76" s="8" t="inlineStr">
        <is>
          <t>3 Months</t>
        </is>
      </c>
      <c r="O76" s="16">
        <f>IF(AND(I76&lt;&gt;"", N76&lt;&gt;""), IF(N76="Point-in-Time", I76, IF(N76="1 Month", I76+30, IF(N76="3 Months", I76+90, IF(N76="6 Months", I76+180, IF(N76="12 Months", I76+365, IF(N76="Continuous", "N/A", I76)))))), "")</f>
        <v/>
      </c>
      <c r="P76">
        <f>IF(O76="", "", IF(Q76="Expired", "Yes - Expired", IF(AND(O76&lt;&gt;"N/A", O76&lt;TODAY()+30), "Yes - Expiring Soon", "No")))</f>
        <v/>
      </c>
      <c r="Q76" s="8" t="inlineStr">
        <is>
          <t>Active</t>
        </is>
      </c>
      <c r="R76" s="8" t="n"/>
      <c r="S76" s="8" t="n"/>
      <c r="T76" s="8" t="n"/>
      <c r="U76" s="8" t="n"/>
    </row>
    <row r="77">
      <c r="A77">
        <f>IF(B77&lt;&gt;"", "EVD-"&amp;TEXT(ROW()-1,"000"), "")</f>
        <v/>
      </c>
      <c r="B77" s="8" t="n"/>
      <c r="C77" s="8" t="n"/>
      <c r="D77" s="8" t="n"/>
      <c r="E77" s="8" t="n"/>
      <c r="F77" s="8" t="n"/>
      <c r="G77" s="8" t="n"/>
      <c r="H77" s="8" t="n"/>
      <c r="I77" s="8" t="n"/>
      <c r="J77" s="8" t="inlineStr">
        <is>
          <t>[Security Analyst]</t>
        </is>
      </c>
      <c r="K77" s="8" t="n"/>
      <c r="L77" s="8" t="inlineStr">
        <is>
          <t>[File Server Path]</t>
        </is>
      </c>
      <c r="M77" s="8" t="n"/>
      <c r="N77" s="8" t="inlineStr">
        <is>
          <t>3 Months</t>
        </is>
      </c>
      <c r="O77" s="16">
        <f>IF(AND(I77&lt;&gt;"", N77&lt;&gt;""), IF(N77="Point-in-Time", I77, IF(N77="1 Month", I77+30, IF(N77="3 Months", I77+90, IF(N77="6 Months", I77+180, IF(N77="12 Months", I77+365, IF(N77="Continuous", "N/A", I77)))))), "")</f>
        <v/>
      </c>
      <c r="P77">
        <f>IF(O77="", "", IF(Q77="Expired", "Yes - Expired", IF(AND(O77&lt;&gt;"N/A", O77&lt;TODAY()+30), "Yes - Expiring Soon", "No")))</f>
        <v/>
      </c>
      <c r="Q77" s="8" t="inlineStr">
        <is>
          <t>Active</t>
        </is>
      </c>
      <c r="R77" s="8" t="n"/>
      <c r="S77" s="8" t="n"/>
      <c r="T77" s="8" t="n"/>
      <c r="U77" s="8" t="n"/>
    </row>
    <row r="78">
      <c r="A78">
        <f>IF(B78&lt;&gt;"", "EVD-"&amp;TEXT(ROW()-1,"000"), "")</f>
        <v/>
      </c>
      <c r="B78" s="8" t="n"/>
      <c r="C78" s="8" t="n"/>
      <c r="D78" s="8" t="n"/>
      <c r="E78" s="8" t="n"/>
      <c r="F78" s="8" t="n"/>
      <c r="G78" s="8" t="n"/>
      <c r="H78" s="8" t="n"/>
      <c r="I78" s="8" t="n"/>
      <c r="J78" s="8" t="inlineStr">
        <is>
          <t>[Security Analyst]</t>
        </is>
      </c>
      <c r="K78" s="8" t="n"/>
      <c r="L78" s="8" t="inlineStr">
        <is>
          <t>[File Server Path]</t>
        </is>
      </c>
      <c r="M78" s="8" t="n"/>
      <c r="N78" s="8" t="inlineStr">
        <is>
          <t>3 Months</t>
        </is>
      </c>
      <c r="O78" s="16">
        <f>IF(AND(I78&lt;&gt;"", N78&lt;&gt;""), IF(N78="Point-in-Time", I78, IF(N78="1 Month", I78+30, IF(N78="3 Months", I78+90, IF(N78="6 Months", I78+180, IF(N78="12 Months", I78+365, IF(N78="Continuous", "N/A", I78)))))), "")</f>
        <v/>
      </c>
      <c r="P78">
        <f>IF(O78="", "", IF(Q78="Expired", "Yes - Expired", IF(AND(O78&lt;&gt;"N/A", O78&lt;TODAY()+30), "Yes - Expiring Soon", "No")))</f>
        <v/>
      </c>
      <c r="Q78" s="8" t="inlineStr">
        <is>
          <t>Active</t>
        </is>
      </c>
      <c r="R78" s="8" t="n"/>
      <c r="S78" s="8" t="n"/>
      <c r="T78" s="8" t="n"/>
      <c r="U78" s="8" t="n"/>
    </row>
    <row r="79">
      <c r="A79">
        <f>IF(B79&lt;&gt;"", "EVD-"&amp;TEXT(ROW()-1,"000"), "")</f>
        <v/>
      </c>
      <c r="B79" s="8" t="n"/>
      <c r="C79" s="8" t="n"/>
      <c r="D79" s="8" t="n"/>
      <c r="E79" s="8" t="n"/>
      <c r="F79" s="8" t="n"/>
      <c r="G79" s="8" t="n"/>
      <c r="H79" s="8" t="n"/>
      <c r="I79" s="8" t="n"/>
      <c r="J79" s="8" t="inlineStr">
        <is>
          <t>[Security Analyst]</t>
        </is>
      </c>
      <c r="K79" s="8" t="n"/>
      <c r="L79" s="8" t="inlineStr">
        <is>
          <t>[File Server Path]</t>
        </is>
      </c>
      <c r="M79" s="8" t="n"/>
      <c r="N79" s="8" t="inlineStr">
        <is>
          <t>3 Months</t>
        </is>
      </c>
      <c r="O79" s="16">
        <f>IF(AND(I79&lt;&gt;"", N79&lt;&gt;""), IF(N79="Point-in-Time", I79, IF(N79="1 Month", I79+30, IF(N79="3 Months", I79+90, IF(N79="6 Months", I79+180, IF(N79="12 Months", I79+365, IF(N79="Continuous", "N/A", I79)))))), "")</f>
        <v/>
      </c>
      <c r="P79">
        <f>IF(O79="", "", IF(Q79="Expired", "Yes - Expired", IF(AND(O79&lt;&gt;"N/A", O79&lt;TODAY()+30), "Yes - Expiring Soon", "No")))</f>
        <v/>
      </c>
      <c r="Q79" s="8" t="inlineStr">
        <is>
          <t>Active</t>
        </is>
      </c>
      <c r="R79" s="8" t="n"/>
      <c r="S79" s="8" t="n"/>
      <c r="T79" s="8" t="n"/>
      <c r="U79" s="8" t="n"/>
    </row>
    <row r="80">
      <c r="A80">
        <f>IF(B80&lt;&gt;"", "EVD-"&amp;TEXT(ROW()-1,"000"), "")</f>
        <v/>
      </c>
      <c r="B80" s="8" t="n"/>
      <c r="C80" s="8" t="n"/>
      <c r="D80" s="8" t="n"/>
      <c r="E80" s="8" t="n"/>
      <c r="F80" s="8" t="n"/>
      <c r="G80" s="8" t="n"/>
      <c r="H80" s="8" t="n"/>
      <c r="I80" s="8" t="n"/>
      <c r="J80" s="8" t="inlineStr">
        <is>
          <t>[Security Analyst]</t>
        </is>
      </c>
      <c r="K80" s="8" t="n"/>
      <c r="L80" s="8" t="inlineStr">
        <is>
          <t>[File Server Path]</t>
        </is>
      </c>
      <c r="M80" s="8" t="n"/>
      <c r="N80" s="8" t="inlineStr">
        <is>
          <t>3 Months</t>
        </is>
      </c>
      <c r="O80" s="16">
        <f>IF(AND(I80&lt;&gt;"", N80&lt;&gt;""), IF(N80="Point-in-Time", I80, IF(N80="1 Month", I80+30, IF(N80="3 Months", I80+90, IF(N80="6 Months", I80+180, IF(N80="12 Months", I80+365, IF(N80="Continuous", "N/A", I80)))))), "")</f>
        <v/>
      </c>
      <c r="P80">
        <f>IF(O80="", "", IF(Q80="Expired", "Yes - Expired", IF(AND(O80&lt;&gt;"N/A", O80&lt;TODAY()+30), "Yes - Expiring Soon", "No")))</f>
        <v/>
      </c>
      <c r="Q80" s="8" t="inlineStr">
        <is>
          <t>Active</t>
        </is>
      </c>
      <c r="R80" s="8" t="n"/>
      <c r="S80" s="8" t="n"/>
      <c r="T80" s="8" t="n"/>
      <c r="U80" s="8" t="n"/>
    </row>
    <row r="81">
      <c r="A81">
        <f>IF(B81&lt;&gt;"", "EVD-"&amp;TEXT(ROW()-1,"000"), "")</f>
        <v/>
      </c>
      <c r="B81" s="8" t="n"/>
      <c r="C81" s="8" t="n"/>
      <c r="D81" s="8" t="n"/>
      <c r="E81" s="8" t="n"/>
      <c r="F81" s="8" t="n"/>
      <c r="G81" s="8" t="n"/>
      <c r="H81" s="8" t="n"/>
      <c r="I81" s="8" t="n"/>
      <c r="J81" s="8" t="inlineStr">
        <is>
          <t>[Security Analyst]</t>
        </is>
      </c>
      <c r="K81" s="8" t="n"/>
      <c r="L81" s="8" t="inlineStr">
        <is>
          <t>[File Server Path]</t>
        </is>
      </c>
      <c r="M81" s="8" t="n"/>
      <c r="N81" s="8" t="inlineStr">
        <is>
          <t>3 Months</t>
        </is>
      </c>
      <c r="O81" s="16">
        <f>IF(AND(I81&lt;&gt;"", N81&lt;&gt;""), IF(N81="Point-in-Time", I81, IF(N81="1 Month", I81+30, IF(N81="3 Months", I81+90, IF(N81="6 Months", I81+180, IF(N81="12 Months", I81+365, IF(N81="Continuous", "N/A", I81)))))), "")</f>
        <v/>
      </c>
      <c r="P81">
        <f>IF(O81="", "", IF(Q81="Expired", "Yes - Expired", IF(AND(O81&lt;&gt;"N/A", O81&lt;TODAY()+30), "Yes - Expiring Soon", "No")))</f>
        <v/>
      </c>
      <c r="Q81" s="8" t="inlineStr">
        <is>
          <t>Active</t>
        </is>
      </c>
      <c r="R81" s="8" t="n"/>
      <c r="S81" s="8" t="n"/>
      <c r="T81" s="8" t="n"/>
      <c r="U81" s="8" t="n"/>
    </row>
    <row r="82">
      <c r="A82">
        <f>IF(B82&lt;&gt;"", "EVD-"&amp;TEXT(ROW()-1,"000"), "")</f>
        <v/>
      </c>
      <c r="B82" s="8" t="n"/>
      <c r="C82" s="8" t="n"/>
      <c r="D82" s="8" t="n"/>
      <c r="E82" s="8" t="n"/>
      <c r="F82" s="8" t="n"/>
      <c r="G82" s="8" t="n"/>
      <c r="H82" s="8" t="n"/>
      <c r="I82" s="8" t="n"/>
      <c r="J82" s="8" t="inlineStr">
        <is>
          <t>[Security Analyst]</t>
        </is>
      </c>
      <c r="K82" s="8" t="n"/>
      <c r="L82" s="8" t="inlineStr">
        <is>
          <t>[File Server Path]</t>
        </is>
      </c>
      <c r="M82" s="8" t="n"/>
      <c r="N82" s="8" t="inlineStr">
        <is>
          <t>3 Months</t>
        </is>
      </c>
      <c r="O82" s="16">
        <f>IF(AND(I82&lt;&gt;"", N82&lt;&gt;""), IF(N82="Point-in-Time", I82, IF(N82="1 Month", I82+30, IF(N82="3 Months", I82+90, IF(N82="6 Months", I82+180, IF(N82="12 Months", I82+365, IF(N82="Continuous", "N/A", I82)))))), "")</f>
        <v/>
      </c>
      <c r="P82">
        <f>IF(O82="", "", IF(Q82="Expired", "Yes - Expired", IF(AND(O82&lt;&gt;"N/A", O82&lt;TODAY()+30), "Yes - Expiring Soon", "No")))</f>
        <v/>
      </c>
      <c r="Q82" s="8" t="inlineStr">
        <is>
          <t>Active</t>
        </is>
      </c>
      <c r="R82" s="8" t="n"/>
      <c r="S82" s="8" t="n"/>
      <c r="T82" s="8" t="n"/>
      <c r="U82" s="8" t="n"/>
    </row>
    <row r="83">
      <c r="A83">
        <f>IF(B83&lt;&gt;"", "EVD-"&amp;TEXT(ROW()-1,"000"), "")</f>
        <v/>
      </c>
      <c r="B83" s="8" t="n"/>
      <c r="C83" s="8" t="n"/>
      <c r="D83" s="8" t="n"/>
      <c r="E83" s="8" t="n"/>
      <c r="F83" s="8" t="n"/>
      <c r="G83" s="8" t="n"/>
      <c r="H83" s="8" t="n"/>
      <c r="I83" s="8" t="n"/>
      <c r="J83" s="8" t="inlineStr">
        <is>
          <t>[Security Analyst]</t>
        </is>
      </c>
      <c r="K83" s="8" t="n"/>
      <c r="L83" s="8" t="inlineStr">
        <is>
          <t>[File Server Path]</t>
        </is>
      </c>
      <c r="M83" s="8" t="n"/>
      <c r="N83" s="8" t="inlineStr">
        <is>
          <t>3 Months</t>
        </is>
      </c>
      <c r="O83" s="16">
        <f>IF(AND(I83&lt;&gt;"", N83&lt;&gt;""), IF(N83="Point-in-Time", I83, IF(N83="1 Month", I83+30, IF(N83="3 Months", I83+90, IF(N83="6 Months", I83+180, IF(N83="12 Months", I83+365, IF(N83="Continuous", "N/A", I83)))))), "")</f>
        <v/>
      </c>
      <c r="P83">
        <f>IF(O83="", "", IF(Q83="Expired", "Yes - Expired", IF(AND(O83&lt;&gt;"N/A", O83&lt;TODAY()+30), "Yes - Expiring Soon", "No")))</f>
        <v/>
      </c>
      <c r="Q83" s="8" t="inlineStr">
        <is>
          <t>Active</t>
        </is>
      </c>
      <c r="R83" s="8" t="n"/>
      <c r="S83" s="8" t="n"/>
      <c r="T83" s="8" t="n"/>
      <c r="U83" s="8" t="n"/>
    </row>
    <row r="84">
      <c r="A84">
        <f>IF(B84&lt;&gt;"", "EVD-"&amp;TEXT(ROW()-1,"000"), "")</f>
        <v/>
      </c>
      <c r="B84" s="8" t="n"/>
      <c r="C84" s="8" t="n"/>
      <c r="D84" s="8" t="n"/>
      <c r="E84" s="8" t="n"/>
      <c r="F84" s="8" t="n"/>
      <c r="G84" s="8" t="n"/>
      <c r="H84" s="8" t="n"/>
      <c r="I84" s="8" t="n"/>
      <c r="J84" s="8" t="inlineStr">
        <is>
          <t>[Security Analyst]</t>
        </is>
      </c>
      <c r="K84" s="8" t="n"/>
      <c r="L84" s="8" t="inlineStr">
        <is>
          <t>[File Server Path]</t>
        </is>
      </c>
      <c r="M84" s="8" t="n"/>
      <c r="N84" s="8" t="inlineStr">
        <is>
          <t>3 Months</t>
        </is>
      </c>
      <c r="O84" s="16">
        <f>IF(AND(I84&lt;&gt;"", N84&lt;&gt;""), IF(N84="Point-in-Time", I84, IF(N84="1 Month", I84+30, IF(N84="3 Months", I84+90, IF(N84="6 Months", I84+180, IF(N84="12 Months", I84+365, IF(N84="Continuous", "N/A", I84)))))), "")</f>
        <v/>
      </c>
      <c r="P84">
        <f>IF(O84="", "", IF(Q84="Expired", "Yes - Expired", IF(AND(O84&lt;&gt;"N/A", O84&lt;TODAY()+30), "Yes - Expiring Soon", "No")))</f>
        <v/>
      </c>
      <c r="Q84" s="8" t="inlineStr">
        <is>
          <t>Active</t>
        </is>
      </c>
      <c r="R84" s="8" t="n"/>
      <c r="S84" s="8" t="n"/>
      <c r="T84" s="8" t="n"/>
      <c r="U84" s="8" t="n"/>
    </row>
    <row r="85">
      <c r="A85">
        <f>IF(B85&lt;&gt;"", "EVD-"&amp;TEXT(ROW()-1,"000"), "")</f>
        <v/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inlineStr">
        <is>
          <t>[Security Analyst]</t>
        </is>
      </c>
      <c r="K85" s="8" t="n"/>
      <c r="L85" s="8" t="inlineStr">
        <is>
          <t>[File Server Path]</t>
        </is>
      </c>
      <c r="M85" s="8" t="n"/>
      <c r="N85" s="8" t="inlineStr">
        <is>
          <t>3 Months</t>
        </is>
      </c>
      <c r="O85" s="16">
        <f>IF(AND(I85&lt;&gt;"", N85&lt;&gt;""), IF(N85="Point-in-Time", I85, IF(N85="1 Month", I85+30, IF(N85="3 Months", I85+90, IF(N85="6 Months", I85+180, IF(N85="12 Months", I85+365, IF(N85="Continuous", "N/A", I85)))))), "")</f>
        <v/>
      </c>
      <c r="P85">
        <f>IF(O85="", "", IF(Q85="Expired", "Yes - Expired", IF(AND(O85&lt;&gt;"N/A", O85&lt;TODAY()+30), "Yes - Expiring Soon", "No")))</f>
        <v/>
      </c>
      <c r="Q85" s="8" t="inlineStr">
        <is>
          <t>Active</t>
        </is>
      </c>
      <c r="R85" s="8" t="n"/>
      <c r="S85" s="8" t="n"/>
      <c r="T85" s="8" t="n"/>
      <c r="U85" s="8" t="n"/>
    </row>
    <row r="86">
      <c r="A86">
        <f>IF(B86&lt;&gt;"", "EVD-"&amp;TEXT(ROW()-1,"000"), "")</f>
        <v/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inlineStr">
        <is>
          <t>[Security Analyst]</t>
        </is>
      </c>
      <c r="K86" s="8" t="n"/>
      <c r="L86" s="8" t="inlineStr">
        <is>
          <t>[File Server Path]</t>
        </is>
      </c>
      <c r="M86" s="8" t="n"/>
      <c r="N86" s="8" t="inlineStr">
        <is>
          <t>3 Months</t>
        </is>
      </c>
      <c r="O86" s="16">
        <f>IF(AND(I86&lt;&gt;"", N86&lt;&gt;""), IF(N86="Point-in-Time", I86, IF(N86="1 Month", I86+30, IF(N86="3 Months", I86+90, IF(N86="6 Months", I86+180, IF(N86="12 Months", I86+365, IF(N86="Continuous", "N/A", I86)))))), "")</f>
        <v/>
      </c>
      <c r="P86">
        <f>IF(O86="", "", IF(Q86="Expired", "Yes - Expired", IF(AND(O86&lt;&gt;"N/A", O86&lt;TODAY()+30), "Yes - Expiring Soon", "No")))</f>
        <v/>
      </c>
      <c r="Q86" s="8" t="inlineStr">
        <is>
          <t>Active</t>
        </is>
      </c>
      <c r="R86" s="8" t="n"/>
      <c r="S86" s="8" t="n"/>
      <c r="T86" s="8" t="n"/>
      <c r="U86" s="8" t="n"/>
    </row>
    <row r="87">
      <c r="A87">
        <f>IF(B87&lt;&gt;"", "EVD-"&amp;TEXT(ROW()-1,"000"), "")</f>
        <v/>
      </c>
      <c r="B87" s="8" t="n"/>
      <c r="C87" s="8" t="n"/>
      <c r="D87" s="8" t="n"/>
      <c r="E87" s="8" t="n"/>
      <c r="F87" s="8" t="n"/>
      <c r="G87" s="8" t="n"/>
      <c r="H87" s="8" t="n"/>
      <c r="I87" s="8" t="n"/>
      <c r="J87" s="8" t="inlineStr">
        <is>
          <t>[Security Analyst]</t>
        </is>
      </c>
      <c r="K87" s="8" t="n"/>
      <c r="L87" s="8" t="inlineStr">
        <is>
          <t>[File Server Path]</t>
        </is>
      </c>
      <c r="M87" s="8" t="n"/>
      <c r="N87" s="8" t="inlineStr">
        <is>
          <t>3 Months</t>
        </is>
      </c>
      <c r="O87" s="16">
        <f>IF(AND(I87&lt;&gt;"", N87&lt;&gt;""), IF(N87="Point-in-Time", I87, IF(N87="1 Month", I87+30, IF(N87="3 Months", I87+90, IF(N87="6 Months", I87+180, IF(N87="12 Months", I87+365, IF(N87="Continuous", "N/A", I87)))))), "")</f>
        <v/>
      </c>
      <c r="P87">
        <f>IF(O87="", "", IF(Q87="Expired", "Yes - Expired", IF(AND(O87&lt;&gt;"N/A", O87&lt;TODAY()+30), "Yes - Expiring Soon", "No")))</f>
        <v/>
      </c>
      <c r="Q87" s="8" t="inlineStr">
        <is>
          <t>Active</t>
        </is>
      </c>
      <c r="R87" s="8" t="n"/>
      <c r="S87" s="8" t="n"/>
      <c r="T87" s="8" t="n"/>
      <c r="U87" s="8" t="n"/>
    </row>
    <row r="88">
      <c r="A88">
        <f>IF(B88&lt;&gt;"", "EVD-"&amp;TEXT(ROW()-1,"000"), "")</f>
        <v/>
      </c>
      <c r="B88" s="8" t="n"/>
      <c r="C88" s="8" t="n"/>
      <c r="D88" s="8" t="n"/>
      <c r="E88" s="8" t="n"/>
      <c r="F88" s="8" t="n"/>
      <c r="G88" s="8" t="n"/>
      <c r="H88" s="8" t="n"/>
      <c r="I88" s="8" t="n"/>
      <c r="J88" s="8" t="inlineStr">
        <is>
          <t>[Security Analyst]</t>
        </is>
      </c>
      <c r="K88" s="8" t="n"/>
      <c r="L88" s="8" t="inlineStr">
        <is>
          <t>[File Server Path]</t>
        </is>
      </c>
      <c r="M88" s="8" t="n"/>
      <c r="N88" s="8" t="inlineStr">
        <is>
          <t>3 Months</t>
        </is>
      </c>
      <c r="O88" s="16">
        <f>IF(AND(I88&lt;&gt;"", N88&lt;&gt;""), IF(N88="Point-in-Time", I88, IF(N88="1 Month", I88+30, IF(N88="3 Months", I88+90, IF(N88="6 Months", I88+180, IF(N88="12 Months", I88+365, IF(N88="Continuous", "N/A", I88)))))), "")</f>
        <v/>
      </c>
      <c r="P88">
        <f>IF(O88="", "", IF(Q88="Expired", "Yes - Expired", IF(AND(O88&lt;&gt;"N/A", O88&lt;TODAY()+30), "Yes - Expiring Soon", "No")))</f>
        <v/>
      </c>
      <c r="Q88" s="8" t="inlineStr">
        <is>
          <t>Active</t>
        </is>
      </c>
      <c r="R88" s="8" t="n"/>
      <c r="S88" s="8" t="n"/>
      <c r="T88" s="8" t="n"/>
      <c r="U88" s="8" t="n"/>
    </row>
    <row r="89">
      <c r="A89">
        <f>IF(B89&lt;&gt;"", "EVD-"&amp;TEXT(ROW()-1,"000"), "")</f>
        <v/>
      </c>
      <c r="B89" s="8" t="n"/>
      <c r="C89" s="8" t="n"/>
      <c r="D89" s="8" t="n"/>
      <c r="E89" s="8" t="n"/>
      <c r="F89" s="8" t="n"/>
      <c r="G89" s="8" t="n"/>
      <c r="H89" s="8" t="n"/>
      <c r="I89" s="8" t="n"/>
      <c r="J89" s="8" t="inlineStr">
        <is>
          <t>[Security Analyst]</t>
        </is>
      </c>
      <c r="K89" s="8" t="n"/>
      <c r="L89" s="8" t="inlineStr">
        <is>
          <t>[File Server Path]</t>
        </is>
      </c>
      <c r="M89" s="8" t="n"/>
      <c r="N89" s="8" t="inlineStr">
        <is>
          <t>3 Months</t>
        </is>
      </c>
      <c r="O89" s="16">
        <f>IF(AND(I89&lt;&gt;"", N89&lt;&gt;""), IF(N89="Point-in-Time", I89, IF(N89="1 Month", I89+30, IF(N89="3 Months", I89+90, IF(N89="6 Months", I89+180, IF(N89="12 Months", I89+365, IF(N89="Continuous", "N/A", I89)))))), "")</f>
        <v/>
      </c>
      <c r="P89">
        <f>IF(O89="", "", IF(Q89="Expired", "Yes - Expired", IF(AND(O89&lt;&gt;"N/A", O89&lt;TODAY()+30), "Yes - Expiring Soon", "No")))</f>
        <v/>
      </c>
      <c r="Q89" s="8" t="inlineStr">
        <is>
          <t>Active</t>
        </is>
      </c>
      <c r="R89" s="8" t="n"/>
      <c r="S89" s="8" t="n"/>
      <c r="T89" s="8" t="n"/>
      <c r="U89" s="8" t="n"/>
    </row>
    <row r="90">
      <c r="A90">
        <f>IF(B90&lt;&gt;"", "EVD-"&amp;TEXT(ROW()-1,"000"), "")</f>
        <v/>
      </c>
      <c r="B90" s="8" t="n"/>
      <c r="C90" s="8" t="n"/>
      <c r="D90" s="8" t="n"/>
      <c r="E90" s="8" t="n"/>
      <c r="F90" s="8" t="n"/>
      <c r="G90" s="8" t="n"/>
      <c r="H90" s="8" t="n"/>
      <c r="I90" s="8" t="n"/>
      <c r="J90" s="8" t="inlineStr">
        <is>
          <t>[Security Analyst]</t>
        </is>
      </c>
      <c r="K90" s="8" t="n"/>
      <c r="L90" s="8" t="inlineStr">
        <is>
          <t>[File Server Path]</t>
        </is>
      </c>
      <c r="M90" s="8" t="n"/>
      <c r="N90" s="8" t="inlineStr">
        <is>
          <t>3 Months</t>
        </is>
      </c>
      <c r="O90" s="16">
        <f>IF(AND(I90&lt;&gt;"", N90&lt;&gt;""), IF(N90="Point-in-Time", I90, IF(N90="1 Month", I90+30, IF(N90="3 Months", I90+90, IF(N90="6 Months", I90+180, IF(N90="12 Months", I90+365, IF(N90="Continuous", "N/A", I90)))))), "")</f>
        <v/>
      </c>
      <c r="P90">
        <f>IF(O90="", "", IF(Q90="Expired", "Yes - Expired", IF(AND(O90&lt;&gt;"N/A", O90&lt;TODAY()+30), "Yes - Expiring Soon", "No")))</f>
        <v/>
      </c>
      <c r="Q90" s="8" t="inlineStr">
        <is>
          <t>Active</t>
        </is>
      </c>
      <c r="R90" s="8" t="n"/>
      <c r="S90" s="8" t="n"/>
      <c r="T90" s="8" t="n"/>
      <c r="U90" s="8" t="n"/>
    </row>
    <row r="91">
      <c r="A91">
        <f>IF(B91&lt;&gt;"", "EVD-"&amp;TEXT(ROW()-1,"000"), "")</f>
        <v/>
      </c>
      <c r="B91" s="8" t="n"/>
      <c r="C91" s="8" t="n"/>
      <c r="D91" s="8" t="n"/>
      <c r="E91" s="8" t="n"/>
      <c r="F91" s="8" t="n"/>
      <c r="G91" s="8" t="n"/>
      <c r="H91" s="8" t="n"/>
      <c r="I91" s="8" t="n"/>
      <c r="J91" s="8" t="inlineStr">
        <is>
          <t>[Security Analyst]</t>
        </is>
      </c>
      <c r="K91" s="8" t="n"/>
      <c r="L91" s="8" t="inlineStr">
        <is>
          <t>[File Server Path]</t>
        </is>
      </c>
      <c r="M91" s="8" t="n"/>
      <c r="N91" s="8" t="inlineStr">
        <is>
          <t>3 Months</t>
        </is>
      </c>
      <c r="O91" s="16">
        <f>IF(AND(I91&lt;&gt;"", N91&lt;&gt;""), IF(N91="Point-in-Time", I91, IF(N91="1 Month", I91+30, IF(N91="3 Months", I91+90, IF(N91="6 Months", I91+180, IF(N91="12 Months", I91+365, IF(N91="Continuous", "N/A", I91)))))), "")</f>
        <v/>
      </c>
      <c r="P91">
        <f>IF(O91="", "", IF(Q91="Expired", "Yes - Expired", IF(AND(O91&lt;&gt;"N/A", O91&lt;TODAY()+30), "Yes - Expiring Soon", "No")))</f>
        <v/>
      </c>
      <c r="Q91" s="8" t="inlineStr">
        <is>
          <t>Active</t>
        </is>
      </c>
      <c r="R91" s="8" t="n"/>
      <c r="S91" s="8" t="n"/>
      <c r="T91" s="8" t="n"/>
      <c r="U91" s="8" t="n"/>
    </row>
    <row r="92">
      <c r="A92">
        <f>IF(B92&lt;&gt;"", "EVD-"&amp;TEXT(ROW()-1,"000"), "")</f>
        <v/>
      </c>
      <c r="B92" s="8" t="n"/>
      <c r="C92" s="8" t="n"/>
      <c r="D92" s="8" t="n"/>
      <c r="E92" s="8" t="n"/>
      <c r="F92" s="8" t="n"/>
      <c r="G92" s="8" t="n"/>
      <c r="H92" s="8" t="n"/>
      <c r="I92" s="8" t="n"/>
      <c r="J92" s="8" t="inlineStr">
        <is>
          <t>[Security Analyst]</t>
        </is>
      </c>
      <c r="K92" s="8" t="n"/>
      <c r="L92" s="8" t="inlineStr">
        <is>
          <t>[File Server Path]</t>
        </is>
      </c>
      <c r="M92" s="8" t="n"/>
      <c r="N92" s="8" t="inlineStr">
        <is>
          <t>3 Months</t>
        </is>
      </c>
      <c r="O92" s="16">
        <f>IF(AND(I92&lt;&gt;"", N92&lt;&gt;""), IF(N92="Point-in-Time", I92, IF(N92="1 Month", I92+30, IF(N92="3 Months", I92+90, IF(N92="6 Months", I92+180, IF(N92="12 Months", I92+365, IF(N92="Continuous", "N/A", I92)))))), "")</f>
        <v/>
      </c>
      <c r="P92">
        <f>IF(O92="", "", IF(Q92="Expired", "Yes - Expired", IF(AND(O92&lt;&gt;"N/A", O92&lt;TODAY()+30), "Yes - Expiring Soon", "No")))</f>
        <v/>
      </c>
      <c r="Q92" s="8" t="inlineStr">
        <is>
          <t>Active</t>
        </is>
      </c>
      <c r="R92" s="8" t="n"/>
      <c r="S92" s="8" t="n"/>
      <c r="T92" s="8" t="n"/>
      <c r="U92" s="8" t="n"/>
    </row>
    <row r="93">
      <c r="A93">
        <f>IF(B93&lt;&gt;"", "EVD-"&amp;TEXT(ROW()-1,"000"), "")</f>
        <v/>
      </c>
      <c r="B93" s="8" t="n"/>
      <c r="C93" s="8" t="n"/>
      <c r="D93" s="8" t="n"/>
      <c r="E93" s="8" t="n"/>
      <c r="F93" s="8" t="n"/>
      <c r="G93" s="8" t="n"/>
      <c r="H93" s="8" t="n"/>
      <c r="I93" s="8" t="n"/>
      <c r="J93" s="8" t="inlineStr">
        <is>
          <t>[Security Analyst]</t>
        </is>
      </c>
      <c r="K93" s="8" t="n"/>
      <c r="L93" s="8" t="inlineStr">
        <is>
          <t>[File Server Path]</t>
        </is>
      </c>
      <c r="M93" s="8" t="n"/>
      <c r="N93" s="8" t="inlineStr">
        <is>
          <t>3 Months</t>
        </is>
      </c>
      <c r="O93" s="16">
        <f>IF(AND(I93&lt;&gt;"", N93&lt;&gt;""), IF(N93="Point-in-Time", I93, IF(N93="1 Month", I93+30, IF(N93="3 Months", I93+90, IF(N93="6 Months", I93+180, IF(N93="12 Months", I93+365, IF(N93="Continuous", "N/A", I93)))))), "")</f>
        <v/>
      </c>
      <c r="P93">
        <f>IF(O93="", "", IF(Q93="Expired", "Yes - Expired", IF(AND(O93&lt;&gt;"N/A", O93&lt;TODAY()+30), "Yes - Expiring Soon", "No")))</f>
        <v/>
      </c>
      <c r="Q93" s="8" t="inlineStr">
        <is>
          <t>Active</t>
        </is>
      </c>
      <c r="R93" s="8" t="n"/>
      <c r="S93" s="8" t="n"/>
      <c r="T93" s="8" t="n"/>
      <c r="U93" s="8" t="n"/>
    </row>
    <row r="94">
      <c r="A94">
        <f>IF(B94&lt;&gt;"", "EVD-"&amp;TEXT(ROW()-1,"000"), "")</f>
        <v/>
      </c>
      <c r="B94" s="8" t="n"/>
      <c r="C94" s="8" t="n"/>
      <c r="D94" s="8" t="n"/>
      <c r="E94" s="8" t="n"/>
      <c r="F94" s="8" t="n"/>
      <c r="G94" s="8" t="n"/>
      <c r="H94" s="8" t="n"/>
      <c r="I94" s="8" t="n"/>
      <c r="J94" s="8" t="inlineStr">
        <is>
          <t>[Security Analyst]</t>
        </is>
      </c>
      <c r="K94" s="8" t="n"/>
      <c r="L94" s="8" t="inlineStr">
        <is>
          <t>[File Server Path]</t>
        </is>
      </c>
      <c r="M94" s="8" t="n"/>
      <c r="N94" s="8" t="inlineStr">
        <is>
          <t>3 Months</t>
        </is>
      </c>
      <c r="O94" s="16">
        <f>IF(AND(I94&lt;&gt;"", N94&lt;&gt;""), IF(N94="Point-in-Time", I94, IF(N94="1 Month", I94+30, IF(N94="3 Months", I94+90, IF(N94="6 Months", I94+180, IF(N94="12 Months", I94+365, IF(N94="Continuous", "N/A", I94)))))), "")</f>
        <v/>
      </c>
      <c r="P94">
        <f>IF(O94="", "", IF(Q94="Expired", "Yes - Expired", IF(AND(O94&lt;&gt;"N/A", O94&lt;TODAY()+30), "Yes - Expiring Soon", "No")))</f>
        <v/>
      </c>
      <c r="Q94" s="8" t="inlineStr">
        <is>
          <t>Active</t>
        </is>
      </c>
      <c r="R94" s="8" t="n"/>
      <c r="S94" s="8" t="n"/>
      <c r="T94" s="8" t="n"/>
      <c r="U94" s="8" t="n"/>
    </row>
    <row r="95">
      <c r="A95">
        <f>IF(B95&lt;&gt;"", "EVD-"&amp;TEXT(ROW()-1,"000"), "")</f>
        <v/>
      </c>
      <c r="B95" s="8" t="n"/>
      <c r="C95" s="8" t="n"/>
      <c r="D95" s="8" t="n"/>
      <c r="E95" s="8" t="n"/>
      <c r="F95" s="8" t="n"/>
      <c r="G95" s="8" t="n"/>
      <c r="H95" s="8" t="n"/>
      <c r="I95" s="8" t="n"/>
      <c r="J95" s="8" t="inlineStr">
        <is>
          <t>[Security Analyst]</t>
        </is>
      </c>
      <c r="K95" s="8" t="n"/>
      <c r="L95" s="8" t="inlineStr">
        <is>
          <t>[File Server Path]</t>
        </is>
      </c>
      <c r="M95" s="8" t="n"/>
      <c r="N95" s="8" t="inlineStr">
        <is>
          <t>3 Months</t>
        </is>
      </c>
      <c r="O95" s="16">
        <f>IF(AND(I95&lt;&gt;"", N95&lt;&gt;""), IF(N95="Point-in-Time", I95, IF(N95="1 Month", I95+30, IF(N95="3 Months", I95+90, IF(N95="6 Months", I95+180, IF(N95="12 Months", I95+365, IF(N95="Continuous", "N/A", I95)))))), "")</f>
        <v/>
      </c>
      <c r="P95">
        <f>IF(O95="", "", IF(Q95="Expired", "Yes - Expired", IF(AND(O95&lt;&gt;"N/A", O95&lt;TODAY()+30), "Yes - Expiring Soon", "No")))</f>
        <v/>
      </c>
      <c r="Q95" s="8" t="inlineStr">
        <is>
          <t>Active</t>
        </is>
      </c>
      <c r="R95" s="8" t="n"/>
      <c r="S95" s="8" t="n"/>
      <c r="T95" s="8" t="n"/>
      <c r="U95" s="8" t="n"/>
    </row>
    <row r="96">
      <c r="A96">
        <f>IF(B96&lt;&gt;"", "EVD-"&amp;TEXT(ROW()-1,"000"), "")</f>
        <v/>
      </c>
      <c r="B96" s="8" t="n"/>
      <c r="C96" s="8" t="n"/>
      <c r="D96" s="8" t="n"/>
      <c r="E96" s="8" t="n"/>
      <c r="F96" s="8" t="n"/>
      <c r="G96" s="8" t="n"/>
      <c r="H96" s="8" t="n"/>
      <c r="I96" s="8" t="n"/>
      <c r="J96" s="8" t="inlineStr">
        <is>
          <t>[Security Analyst]</t>
        </is>
      </c>
      <c r="K96" s="8" t="n"/>
      <c r="L96" s="8" t="inlineStr">
        <is>
          <t>[File Server Path]</t>
        </is>
      </c>
      <c r="M96" s="8" t="n"/>
      <c r="N96" s="8" t="inlineStr">
        <is>
          <t>3 Months</t>
        </is>
      </c>
      <c r="O96" s="16">
        <f>IF(AND(I96&lt;&gt;"", N96&lt;&gt;""), IF(N96="Point-in-Time", I96, IF(N96="1 Month", I96+30, IF(N96="3 Months", I96+90, IF(N96="6 Months", I96+180, IF(N96="12 Months", I96+365, IF(N96="Continuous", "N/A", I96)))))), "")</f>
        <v/>
      </c>
      <c r="P96">
        <f>IF(O96="", "", IF(Q96="Expired", "Yes - Expired", IF(AND(O96&lt;&gt;"N/A", O96&lt;TODAY()+30), "Yes - Expiring Soon", "No")))</f>
        <v/>
      </c>
      <c r="Q96" s="8" t="inlineStr">
        <is>
          <t>Active</t>
        </is>
      </c>
      <c r="R96" s="8" t="n"/>
      <c r="S96" s="8" t="n"/>
      <c r="T96" s="8" t="n"/>
      <c r="U96" s="8" t="n"/>
    </row>
    <row r="97">
      <c r="A97">
        <f>IF(B97&lt;&gt;"", "EVD-"&amp;TEXT(ROW()-1,"000"), "")</f>
        <v/>
      </c>
      <c r="B97" s="8" t="n"/>
      <c r="C97" s="8" t="n"/>
      <c r="D97" s="8" t="n"/>
      <c r="E97" s="8" t="n"/>
      <c r="F97" s="8" t="n"/>
      <c r="G97" s="8" t="n"/>
      <c r="H97" s="8" t="n"/>
      <c r="I97" s="8" t="n"/>
      <c r="J97" s="8" t="inlineStr">
        <is>
          <t>[Security Analyst]</t>
        </is>
      </c>
      <c r="K97" s="8" t="n"/>
      <c r="L97" s="8" t="inlineStr">
        <is>
          <t>[File Server Path]</t>
        </is>
      </c>
      <c r="M97" s="8" t="n"/>
      <c r="N97" s="8" t="inlineStr">
        <is>
          <t>3 Months</t>
        </is>
      </c>
      <c r="O97" s="16">
        <f>IF(AND(I97&lt;&gt;"", N97&lt;&gt;""), IF(N97="Point-in-Time", I97, IF(N97="1 Month", I97+30, IF(N97="3 Months", I97+90, IF(N97="6 Months", I97+180, IF(N97="12 Months", I97+365, IF(N97="Continuous", "N/A", I97)))))), "")</f>
        <v/>
      </c>
      <c r="P97">
        <f>IF(O97="", "", IF(Q97="Expired", "Yes - Expired", IF(AND(O97&lt;&gt;"N/A", O97&lt;TODAY()+30), "Yes - Expiring Soon", "No")))</f>
        <v/>
      </c>
      <c r="Q97" s="8" t="inlineStr">
        <is>
          <t>Active</t>
        </is>
      </c>
      <c r="R97" s="8" t="n"/>
      <c r="S97" s="8" t="n"/>
      <c r="T97" s="8" t="n"/>
      <c r="U97" s="8" t="n"/>
    </row>
    <row r="98">
      <c r="A98">
        <f>IF(B98&lt;&gt;"", "EVD-"&amp;TEXT(ROW()-1,"000"), "")</f>
        <v/>
      </c>
      <c r="B98" s="8" t="n"/>
      <c r="C98" s="8" t="n"/>
      <c r="D98" s="8" t="n"/>
      <c r="E98" s="8" t="n"/>
      <c r="F98" s="8" t="n"/>
      <c r="G98" s="8" t="n"/>
      <c r="H98" s="8" t="n"/>
      <c r="I98" s="8" t="n"/>
      <c r="J98" s="8" t="inlineStr">
        <is>
          <t>[Security Analyst]</t>
        </is>
      </c>
      <c r="K98" s="8" t="n"/>
      <c r="L98" s="8" t="inlineStr">
        <is>
          <t>[File Server Path]</t>
        </is>
      </c>
      <c r="M98" s="8" t="n"/>
      <c r="N98" s="8" t="inlineStr">
        <is>
          <t>3 Months</t>
        </is>
      </c>
      <c r="O98" s="16">
        <f>IF(AND(I98&lt;&gt;"", N98&lt;&gt;""), IF(N98="Point-in-Time", I98, IF(N98="1 Month", I98+30, IF(N98="3 Months", I98+90, IF(N98="6 Months", I98+180, IF(N98="12 Months", I98+365, IF(N98="Continuous", "N/A", I98)))))), "")</f>
        <v/>
      </c>
      <c r="P98">
        <f>IF(O98="", "", IF(Q98="Expired", "Yes - Expired", IF(AND(O98&lt;&gt;"N/A", O98&lt;TODAY()+30), "Yes - Expiring Soon", "No")))</f>
        <v/>
      </c>
      <c r="Q98" s="8" t="inlineStr">
        <is>
          <t>Active</t>
        </is>
      </c>
      <c r="R98" s="8" t="n"/>
      <c r="S98" s="8" t="n"/>
      <c r="T98" s="8" t="n"/>
      <c r="U98" s="8" t="n"/>
    </row>
    <row r="99">
      <c r="A99">
        <f>IF(B99&lt;&gt;"", "EVD-"&amp;TEXT(ROW()-1,"000"), "")</f>
        <v/>
      </c>
      <c r="B99" s="8" t="n"/>
      <c r="C99" s="8" t="n"/>
      <c r="D99" s="8" t="n"/>
      <c r="E99" s="8" t="n"/>
      <c r="F99" s="8" t="n"/>
      <c r="G99" s="8" t="n"/>
      <c r="H99" s="8" t="n"/>
      <c r="I99" s="8" t="n"/>
      <c r="J99" s="8" t="inlineStr">
        <is>
          <t>[Security Analyst]</t>
        </is>
      </c>
      <c r="K99" s="8" t="n"/>
      <c r="L99" s="8" t="inlineStr">
        <is>
          <t>[File Server Path]</t>
        </is>
      </c>
      <c r="M99" s="8" t="n"/>
      <c r="N99" s="8" t="inlineStr">
        <is>
          <t>3 Months</t>
        </is>
      </c>
      <c r="O99" s="16">
        <f>IF(AND(I99&lt;&gt;"", N99&lt;&gt;""), IF(N99="Point-in-Time", I99, IF(N99="1 Month", I99+30, IF(N99="3 Months", I99+90, IF(N99="6 Months", I99+180, IF(N99="12 Months", I99+365, IF(N99="Continuous", "N/A", I99)))))), "")</f>
        <v/>
      </c>
      <c r="P99">
        <f>IF(O99="", "", IF(Q99="Expired", "Yes - Expired", IF(AND(O99&lt;&gt;"N/A", O99&lt;TODAY()+30), "Yes - Expiring Soon", "No")))</f>
        <v/>
      </c>
      <c r="Q99" s="8" t="inlineStr">
        <is>
          <t>Active</t>
        </is>
      </c>
      <c r="R99" s="8" t="n"/>
      <c r="S99" s="8" t="n"/>
      <c r="T99" s="8" t="n"/>
      <c r="U99" s="8" t="n"/>
    </row>
    <row r="100">
      <c r="A100">
        <f>IF(B100&lt;&gt;"", "EVD-"&amp;TEXT(ROW()-1,"000"), "")</f>
        <v/>
      </c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inlineStr">
        <is>
          <t>[Security Analyst]</t>
        </is>
      </c>
      <c r="K100" s="8" t="n"/>
      <c r="L100" s="8" t="inlineStr">
        <is>
          <t>[File Server Path]</t>
        </is>
      </c>
      <c r="M100" s="8" t="n"/>
      <c r="N100" s="8" t="inlineStr">
        <is>
          <t>3 Months</t>
        </is>
      </c>
      <c r="O100" s="16">
        <f>IF(AND(I100&lt;&gt;"", N100&lt;&gt;""), IF(N100="Point-in-Time", I100, IF(N100="1 Month", I100+30, IF(N100="3 Months", I100+90, IF(N100="6 Months", I100+180, IF(N100="12 Months", I100+365, IF(N100="Continuous", "N/A", I100)))))), "")</f>
        <v/>
      </c>
      <c r="P100">
        <f>IF(O100="", "", IF(Q100="Expired", "Yes - Expired", IF(AND(O100&lt;&gt;"N/A", O100&lt;TODAY()+30), "Yes - Expiring Soon", "No")))</f>
        <v/>
      </c>
      <c r="Q100" s="8" t="inlineStr">
        <is>
          <t>Active</t>
        </is>
      </c>
      <c r="R100" s="8" t="n"/>
      <c r="S100" s="8" t="n"/>
      <c r="T100" s="8" t="n"/>
      <c r="U100" s="8" t="n"/>
    </row>
    <row r="101">
      <c r="A101">
        <f>IF(B101&lt;&gt;"", "EVD-"&amp;TEXT(ROW()-1,"000"), "")</f>
        <v/>
      </c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inlineStr">
        <is>
          <t>[Security Analyst]</t>
        </is>
      </c>
      <c r="K101" s="8" t="n"/>
      <c r="L101" s="8" t="inlineStr">
        <is>
          <t>[File Server Path]</t>
        </is>
      </c>
      <c r="M101" s="8" t="n"/>
      <c r="N101" s="8" t="inlineStr">
        <is>
          <t>3 Months</t>
        </is>
      </c>
      <c r="O101" s="16">
        <f>IF(AND(I101&lt;&gt;"", N101&lt;&gt;""), IF(N101="Point-in-Time", I101, IF(N101="1 Month", I101+30, IF(N101="3 Months", I101+90, IF(N101="6 Months", I101+180, IF(N101="12 Months", I101+365, IF(N101="Continuous", "N/A", I101)))))), "")</f>
        <v/>
      </c>
      <c r="P101">
        <f>IF(O101="", "", IF(Q101="Expired", "Yes - Expired", IF(AND(O101&lt;&gt;"N/A", O101&lt;TODAY()+30), "Yes - Expiring Soon", "No")))</f>
        <v/>
      </c>
      <c r="Q101" s="8" t="inlineStr">
        <is>
          <t>Active</t>
        </is>
      </c>
      <c r="R101" s="8" t="n"/>
      <c r="S101" s="8" t="n"/>
      <c r="T101" s="8" t="n"/>
      <c r="U101" s="8" t="n"/>
    </row>
  </sheetData>
  <sheetProtection selectLockedCells="0" selectUnlockedCells="0" sheet="1" objects="0" insertRows="0" insertHyperlinks="1" autoFilter="1" scenarios="0" formatColumns="0" deleteColumns="0" insertColumns="0" pivotTables="1" deleteRows="0" formatCells="0" formatRows="0" sort="1"/>
  <conditionalFormatting sqref="Q2:Q101">
    <cfRule type="cellIs" priority="1" operator="equal" dxfId="0">
      <formula>"Expired"</formula>
    </cfRule>
    <cfRule type="cellIs" priority="2" operator="equal" dxfId="2">
      <formula>"Superseded"</formula>
    </cfRule>
  </conditionalFormatting>
  <conditionalFormatting sqref="P2:P101">
    <cfRule type="expression" priority="3" dxfId="1">
      <formula>LEFT($P2,3)="Yes"</formula>
    </cfRule>
  </conditionalFormatting>
  <conditionalFormatting sqref="O2:O101">
    <cfRule type="expression" priority="4" dxfId="1">
      <formula>AND($O2&lt;&gt;"", $O2&lt;&gt;"N/A", $O2&lt;TODAY()+30, $O2&gt;=TODAY())</formula>
    </cfRule>
  </conditionalFormatting>
  <conditionalFormatting sqref="A2:U101">
    <cfRule type="expression" priority="5" dxfId="16">
      <formula>AND($B2="Attestation", OR($N2="6 Months",$N2="12 Months",$N2="Continuous"))</formula>
    </cfRule>
  </conditionalFormatting>
  <dataValidations count="5">
    <dataValidation sqref="B2:B101" showDropDown="0" showInputMessage="0" showErrorMessage="1" allowBlank="1" errorTitle="Invalid Entry" error="Please select from the dropdown list." type="list">
      <formula1>"Configuration Export,Screenshot,Security Scan Report,Audit Log Extract,Policy/Procedure Document,Test Results,Attestation,Change Record,Exception Approval,Vendor Documentation"</formula1>
    </dataValidation>
    <dataValidation sqref="G2:G101" showDropDown="0" showInputMessage="0" showErrorMessage="1" allowBlank="1" errorTitle="Invalid Entry" error="Please select from the dropdown list." type="list">
      <formula1>"Automated Tool,Manual Collection,System Export,Security Tool,Change Management System,Documentation Repository,Email,Meeting Minutes"</formula1>
    </dataValidation>
    <dataValidation sqref="H2:H101" showDropDown="0" showInputMessage="0" showErrorMessage="1" allowBlank="1" errorTitle="Invalid Entry" error="Please select from the dropdown list." type="list">
      <formula1>"API/Script,Command Line,GUI Screenshot,File Export,Report Generation,Manual Documentation,Copy/Paste"</formula1>
    </dataValidation>
    <dataValidation sqref="N2:N101" showDropDown="0" showInputMessage="0" showErrorMessage="1" allowBlank="1" errorTitle="Invalid Entry" error="Please select from the dropdown list." type="list">
      <formula1>"Point-in-Time,1 Month,3 Months,6 Months,12 Months,Continuous,Until Changed"</formula1>
    </dataValidation>
    <dataValidation sqref="Q2:Q101" showDropDown="0" showInputMessage="0" showErrorMessage="1" allowBlank="1" errorTitle="Invalid Entry" error="Please select from the dropdown list." type="list">
      <formula1>"✅ Active,⏰ Expired,🔄 Superseded"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15" customWidth="1" min="3" max="3"/>
    <col width="50" customWidth="1" min="4" max="4"/>
  </cols>
  <sheetData>
    <row r="1">
      <c r="A1" s="27" t="inlineStr">
        <is>
          <t>Security Hardening Assessment</t>
        </is>
      </c>
    </row>
    <row r="2">
      <c r="A2" s="28" t="inlineStr">
        <is>
          <t>Approval &amp; Sign-Off</t>
        </is>
      </c>
    </row>
    <row r="4">
      <c r="A4" s="3" t="inlineStr">
        <is>
          <t>ASSESSMENT SUMMARY</t>
        </is>
      </c>
    </row>
    <row r="5">
      <c r="A5" s="5" t="inlineStr">
        <is>
          <t>Assessment Period</t>
        </is>
      </c>
      <c r="B5" t="inlineStr">
        <is>
          <t>08.02.2026 (update with actual period)</t>
        </is>
      </c>
    </row>
    <row r="6">
      <c r="A6" s="5" t="inlineStr">
        <is>
          <t>Assessment Scope</t>
        </is>
      </c>
      <c r="B6" s="8" t="inlineStr">
        <is>
          <t>All in-scope information assets per ISMS scope definition</t>
        </is>
      </c>
    </row>
    <row r="7">
      <c r="A7" s="5" t="inlineStr">
        <is>
          <t>Number of Assets Assessed</t>
        </is>
      </c>
      <c r="B7" s="29">
        <f>COUNTA(Asset_Hardening_Assessment!A:A)-1</f>
        <v/>
      </c>
    </row>
    <row r="8">
      <c r="A8" s="5" t="inlineStr">
        <is>
          <t>Number of Standards Applied</t>
        </is>
      </c>
      <c r="B8" s="29">
        <f>COUNTA(Hardening_Standard_Register!A:A)-1</f>
        <v/>
      </c>
    </row>
    <row r="9">
      <c r="A9" s="5" t="inlineStr">
        <is>
          <t>Overall Compliance Percentage</t>
        </is>
      </c>
      <c r="B9" s="30">
        <f>Compliance_Dashboard!B5</f>
        <v/>
      </c>
    </row>
    <row r="10">
      <c r="A10" s="5" t="inlineStr">
        <is>
          <t>Critical Gaps Identified</t>
        </is>
      </c>
      <c r="B10" s="29">
        <f>Compliance_Dashboard!B14</f>
        <v/>
      </c>
    </row>
    <row r="11">
      <c r="A11" s="5" t="inlineStr">
        <is>
          <t>High-Risk Gaps Identified</t>
        </is>
      </c>
      <c r="B11" s="29">
        <f>Compliance_Dashboard!B13</f>
        <v/>
      </c>
    </row>
    <row r="12">
      <c r="A12" s="5" t="inlineStr">
        <is>
          <t>Active Exceptions</t>
        </is>
      </c>
      <c r="B12" s="29">
        <f>Compliance_Dashboard!B15</f>
        <v/>
      </c>
    </row>
    <row r="13">
      <c r="B13" s="8" t="n"/>
    </row>
    <row r="14">
      <c r="A14" s="3" t="inlineStr">
        <is>
          <t>KEY FINDINGS</t>
        </is>
      </c>
    </row>
    <row r="15">
      <c r="A15" s="5" t="inlineStr">
        <is>
          <t>Summary:</t>
        </is>
      </c>
    </row>
    <row r="16" ht="120" customHeight="1">
      <c r="B16" s="31" t="inlineStr">
        <is>
          <t>[Provide narrative summary of:
• Overall hardening posture assessment
• Significant compliance achievements
• Material gaps or deficiencies identified
• Remediation priorities
• Resource requirements for gap closure
• Recommended actions]</t>
        </is>
      </c>
    </row>
    <row r="18">
      <c r="A18" s="3" t="inlineStr">
        <is>
          <t>RISK ASSESSMENT</t>
        </is>
      </c>
    </row>
    <row r="19">
      <c r="A19" s="23" t="inlineStr">
        <is>
          <t>Risk Category</t>
        </is>
      </c>
      <c r="B19" s="32" t="inlineStr">
        <is>
          <t>Status</t>
        </is>
      </c>
      <c r="C19" s="32" t="inlineStr">
        <is>
          <t>Description</t>
        </is>
      </c>
    </row>
    <row r="20">
      <c r="A20" s="33" t="inlineStr">
        <is>
          <t>Critical Assets - Non-Compliant</t>
        </is>
      </c>
      <c r="B20" s="34" t="inlineStr">
        <is>
          <t>[Red/Yellow/Green]</t>
        </is>
      </c>
      <c r="C20" s="34" t="inlineStr">
        <is>
          <t>[Description]</t>
        </is>
      </c>
    </row>
    <row r="21">
      <c r="A21" s="33" t="inlineStr">
        <is>
          <t>High-Risk Gaps - Unmitigated</t>
        </is>
      </c>
      <c r="B21" s="34" t="inlineStr">
        <is>
          <t>[Red/Yellow/Green]</t>
        </is>
      </c>
      <c r="C21" s="34" t="inlineStr">
        <is>
          <t>[Description]</t>
        </is>
      </c>
    </row>
    <row r="22">
      <c r="A22" s="33" t="inlineStr">
        <is>
          <t>Exceptions - High Residual Risk</t>
        </is>
      </c>
      <c r="B22" s="34" t="inlineStr">
        <is>
          <t>[Red/Yellow/Green]</t>
        </is>
      </c>
      <c r="C22" s="34" t="inlineStr">
        <is>
          <t>[Description]</t>
        </is>
      </c>
    </row>
    <row r="23">
      <c r="A23" s="33" t="inlineStr">
        <is>
          <t>Remediation - Overdue Items</t>
        </is>
      </c>
      <c r="B23" s="34" t="inlineStr">
        <is>
          <t>[Red/Yellow/Green]</t>
        </is>
      </c>
      <c r="C23" s="34" t="inlineStr">
        <is>
          <t>[Description]</t>
        </is>
      </c>
    </row>
    <row r="24">
      <c r="A24" s="33" t="inlineStr">
        <is>
          <t>Trend - Compliance Direction</t>
        </is>
      </c>
      <c r="B24" s="33" t="inlineStr">
        <is>
          <t>[Red/Yellow/Green]</t>
        </is>
      </c>
      <c r="C24" s="33" t="inlineStr">
        <is>
          <t>[Description]</t>
        </is>
      </c>
    </row>
    <row r="26">
      <c r="A26" s="3" t="inlineStr">
        <is>
          <t>APPROVAL SIGN-OFF</t>
        </is>
      </c>
      <c r="B26" s="8" t="n"/>
      <c r="C26" s="8" t="n"/>
      <c r="D26" s="8" t="n"/>
    </row>
    <row r="27">
      <c r="A27" s="5" t="inlineStr">
        <is>
          <t>Tier 1 - Operational Review</t>
        </is>
      </c>
      <c r="B27" s="8" t="n"/>
      <c r="C27" s="8" t="n"/>
      <c r="D27" s="8" t="n"/>
    </row>
    <row r="28">
      <c r="A28" s="35" t="inlineStr">
        <is>
          <t>Role</t>
        </is>
      </c>
      <c r="B28" s="35" t="inlineStr">
        <is>
          <t>Name</t>
        </is>
      </c>
      <c r="C28" s="35" t="inlineStr">
        <is>
          <t>Date</t>
        </is>
      </c>
      <c r="D28" s="35" t="inlineStr">
        <is>
          <t>Comments</t>
        </is>
      </c>
    </row>
    <row r="29">
      <c r="A29" t="inlineStr">
        <is>
          <t>Security Analyst (Assessor)</t>
        </is>
      </c>
      <c r="B29" t="inlineStr">
        <is>
          <t>[Security Analyst]</t>
        </is>
      </c>
      <c r="C29" s="16" t="n"/>
      <c r="D29" t="inlineStr"/>
    </row>
    <row r="30">
      <c r="A30" t="inlineStr">
        <is>
          <t>Security Team Lead</t>
        </is>
      </c>
      <c r="B30" t="inlineStr">
        <is>
          <t>[Name]</t>
        </is>
      </c>
      <c r="C30" s="16" t="n"/>
      <c r="D30" t="inlineStr"/>
    </row>
    <row r="31">
      <c r="B31" s="8" t="n"/>
      <c r="C31" s="8" t="n"/>
      <c r="D31" s="8" t="n"/>
    </row>
    <row r="32">
      <c r="A32" s="5" t="inlineStr">
        <is>
          <t>Tier 2 - Management Review</t>
        </is>
      </c>
      <c r="B32" s="8" t="n"/>
      <c r="C32" s="8" t="n"/>
      <c r="D32" s="8" t="n"/>
    </row>
    <row r="33">
      <c r="A33" s="35" t="inlineStr">
        <is>
          <t>Role</t>
        </is>
      </c>
      <c r="B33" s="35" t="inlineStr">
        <is>
          <t>Name</t>
        </is>
      </c>
      <c r="C33" s="35" t="inlineStr">
        <is>
          <t>Date</t>
        </is>
      </c>
      <c r="D33" s="35" t="inlineStr">
        <is>
          <t>Comments</t>
        </is>
      </c>
    </row>
    <row r="34">
      <c r="A34" t="inlineStr">
        <is>
          <t>Security Manager</t>
        </is>
      </c>
      <c r="B34" t="inlineStr">
        <is>
          <t>[Name]</t>
        </is>
      </c>
      <c r="C34" s="16" t="n"/>
      <c r="D34" t="inlineStr"/>
    </row>
    <row r="35">
      <c r="A35" t="inlineStr">
        <is>
          <t>IT Manager</t>
        </is>
      </c>
      <c r="B35" t="inlineStr">
        <is>
          <t>[Name]</t>
        </is>
      </c>
      <c r="C35" s="16" t="n"/>
      <c r="D35" t="inlineStr"/>
    </row>
    <row r="36">
      <c r="B36" s="8" t="n"/>
      <c r="C36" s="8" t="n"/>
      <c r="D36" s="8" t="n"/>
    </row>
    <row r="37">
      <c r="A37" s="5" t="inlineStr">
        <is>
          <t>Tier 3 - Executive Acceptance</t>
        </is>
      </c>
    </row>
    <row r="38">
      <c r="A38" s="35" t="inlineStr">
        <is>
          <t>Role</t>
        </is>
      </c>
      <c r="B38" s="35" t="inlineStr">
        <is>
          <t>Name</t>
        </is>
      </c>
      <c r="C38" s="35" t="inlineStr">
        <is>
          <t>Date</t>
        </is>
      </c>
      <c r="D38" s="35" t="inlineStr">
        <is>
          <t>Comments</t>
        </is>
      </c>
    </row>
    <row r="39">
      <c r="A39" t="inlineStr">
        <is>
          <t>CISO / CIO</t>
        </is>
      </c>
      <c r="B39" t="inlineStr">
        <is>
          <t>[Name]</t>
        </is>
      </c>
      <c r="C39" s="16" t="n"/>
      <c r="D39" t="inlineStr"/>
    </row>
    <row r="40">
      <c r="B40" s="8" t="n"/>
    </row>
    <row r="41">
      <c r="A41" s="3" t="inlineStr">
        <is>
          <t>NEXT STEPS</t>
        </is>
      </c>
      <c r="B41" s="8" t="n"/>
    </row>
    <row r="42">
      <c r="B42" s="36" t="inlineStr">
        <is>
          <t>☐ Remediation plan approved and resourced</t>
        </is>
      </c>
    </row>
    <row r="43">
      <c r="B43" s="36" t="inlineStr">
        <is>
          <t>☐ High-risk gaps scheduled for immediate remediation</t>
        </is>
      </c>
    </row>
    <row r="44">
      <c r="B44" s="36" t="inlineStr">
        <is>
          <t>☐ Exception renewals/reviews scheduled</t>
        </is>
      </c>
    </row>
    <row r="45">
      <c r="B45" s="36" t="inlineStr">
        <is>
          <t>☐ Next assessment scheduled for [Date]</t>
        </is>
      </c>
    </row>
    <row r="46">
      <c r="B46" s="7" t="inlineStr">
        <is>
          <t>☐ Evidence collection automated where feasible</t>
        </is>
      </c>
    </row>
    <row r="47">
      <c r="B47" s="7" t="inlineStr">
        <is>
          <t>☐ Integration with A.8.9.3 (Monitoring) confirmed</t>
        </is>
      </c>
    </row>
  </sheetData>
  <mergeCells count="10">
    <mergeCell ref="A4:B4"/>
    <mergeCell ref="A26:B26"/>
    <mergeCell ref="A2:B2"/>
    <mergeCell ref="A41:B41"/>
    <mergeCell ref="A37:B37"/>
    <mergeCell ref="A32:B32"/>
    <mergeCell ref="A14:B14"/>
    <mergeCell ref="A1:B1"/>
    <mergeCell ref="A18:B18"/>
    <mergeCell ref="A27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2026-02-08T10:50:12Z</dcterms:created>
  <dcterms:modified xmlns:dcterms="http://purl.org/dc/terms/" xmlns:xsi="http://www.w3.org/2001/XMLSchema-instance" xsi:type="dcterms:W3CDTF">2026-02-08T10:50:13Z</dcterms:modified>
</cp:coreProperties>
</file>