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orkbook_Integration_Settings" sheetId="2" state="visible" r:id="rId2"/>
    <sheet xmlns:r="http://schemas.openxmlformats.org/officeDocument/2006/relationships" name="Overall_Compliance_Dashboard" sheetId="3" state="visible" r:id="rId3"/>
    <sheet xmlns:r="http://schemas.openxmlformats.org/officeDocument/2006/relationships" name="Asset_Compliance_Summary" sheetId="4" state="visible" r:id="rId4"/>
    <sheet xmlns:r="http://schemas.openxmlformats.org/officeDocument/2006/relationships" name="Gap_Prioritization" sheetId="5" state="visible" r:id="rId5"/>
    <sheet xmlns:r="http://schemas.openxmlformats.org/officeDocument/2006/relationships" name="Trend_Analysis" sheetId="6" state="visible" r:id="rId6"/>
    <sheet xmlns:r="http://schemas.openxmlformats.org/officeDocument/2006/relationships" name="Evidence_Register" sheetId="7" state="visible" r:id="rId7"/>
    <sheet xmlns:r="http://schemas.openxmlformats.org/officeDocument/2006/relationships" name="Approval_Sign_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DD.MM.YYYY"/>
    <numFmt numFmtId="167" formatCode="+0.0%;-0.0%;0.0%"/>
    <numFmt numFmtId="168" formatCode="+0;-0;0"/>
  </numFmts>
  <fonts count="8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4"/>
    </font>
    <font>
      <name val="Calibri"/>
      <b val="1"/>
      <sz val="12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4"/>
    </font>
    <font>
      <name val="Calibri"/>
      <b val="1"/>
      <sz val="2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3366"/>
        <bgColor rgb="00003366"/>
      </patternFill>
    </fill>
    <fill>
      <patternFill patternType="solid">
        <fgColor rgb="00D8E4F8"/>
        <bgColor rgb="00D8E4F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4" borderId="1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1" fontId="0" fillId="0" borderId="0" pivotButton="0" quotePrefix="0" xfId="0"/>
    <xf numFmtId="165" fontId="0" fillId="0" borderId="0" pivotButton="0" quotePrefix="0" xfId="0"/>
    <xf numFmtId="166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7" fontId="0" fillId="0" borderId="0" pivotButton="0" quotePrefix="0" xfId="0"/>
    <xf numFmtId="168" fontId="0" fillId="0" borderId="0" pivotButton="0" quotePrefix="0" xfId="0"/>
    <xf numFmtId="0" fontId="3" fillId="5" borderId="0" pivotButton="0" quotePrefix="0" xfId="0"/>
    <xf numFmtId="0" fontId="0" fillId="0" borderId="0" applyAlignment="1" pivotButton="0" quotePrefix="0" xfId="0">
      <alignment horizontal="left" vertical="center" wrapText="1"/>
    </xf>
    <xf numFmtId="164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Protection="1" pivotButton="0" quotePrefix="0" xfId="0">
      <protection locked="0" hidden="0"/>
    </xf>
    <xf numFmtId="0" fontId="5" fillId="4" borderId="0" pivotButton="0" quotePrefix="0" xfId="0"/>
    <xf numFmtId="166" fontId="0" fillId="0" borderId="0" pivotButton="0" quotePrefix="0" xfId="0"/>
    <xf numFmtId="0" fontId="5" fillId="4" borderId="0" applyProtection="1" pivotButton="0" quotePrefix="0" xfId="0">
      <protection locked="0" hidden="0"/>
    </xf>
  </cellXfs>
  <cellStyles count="1">
    <cellStyle name="Normal" xfId="0" builtinId="0" hidden="0"/>
  </cellStyles>
  <dxfs count="11">
    <dxf>
      <fill>
        <patternFill patternType="solid">
          <fgColor rgb="0070AD47"/>
          <bgColor rgb="0070AD47"/>
        </patternFill>
      </fill>
    </dxf>
    <dxf>
      <fill>
        <patternFill patternType="solid">
          <fgColor rgb="00C00000"/>
          <bgColor rgb="00C00000"/>
        </patternFill>
      </fill>
    </dxf>
    <dxf>
      <font>
        <b val="1"/>
        <color rgb="00FFFFFF"/>
      </font>
      <fill>
        <patternFill patternType="solid">
          <fgColor rgb="0070AD47"/>
          <bgColor rgb="0070AD47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color rgb="00FFFFFF"/>
      </font>
      <fill>
        <patternFill patternType="solid">
          <fgColor rgb="00375623"/>
          <bgColor rgb="00375623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ED7D31"/>
          <bgColor rgb="00ED7D31"/>
        </patternFill>
      </fill>
    </dxf>
    <dxf>
      <font>
        <color rgb="00FFFFFF"/>
      </font>
      <fill>
        <patternFill patternType="solid">
          <fgColor rgb="00C00000"/>
          <bgColor rgb="00C00000"/>
        </patternFill>
      </fill>
    </dxf>
    <dxf>
      <border>
        <left style="medium">
          <color rgb="0070AD47"/>
        </left>
        <right style="medium">
          <color rgb="0070AD47"/>
        </right>
        <top style="medium">
          <color rgb="0070AD47"/>
        </top>
        <bottom style="medium">
          <color rgb="0070AD47"/>
        </bottom>
      </border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D6EAF8"/>
          <bgColor rgb="00D6EA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>
      <c r="A1" s="1" t="inlineStr">
        <is>
          <t>ISMS Control A.8.9.5</t>
        </is>
      </c>
    </row>
    <row r="2">
      <c r="A2" s="2" t="inlineStr">
        <is>
          <t>Compliance Dashboard - Configuration Management</t>
        </is>
      </c>
    </row>
    <row r="4">
      <c r="A4" s="3" t="inlineStr">
        <is>
          <t>PURPOSE</t>
        </is>
      </c>
    </row>
    <row r="5">
      <c r="B5" s="4" t="inlineStr">
        <is>
          <t>This dashboard consolidates compliance data from all four A.8.9 domain assessments into a single executive-level view of overall configuration management posture.</t>
        </is>
      </c>
    </row>
    <row r="6">
      <c r="B6" s="4" t="inlineStr"/>
    </row>
    <row r="7">
      <c r="B7" s="4" t="inlineStr">
        <is>
          <t>Dashboard aggregates:</t>
        </is>
      </c>
    </row>
    <row r="8">
      <c r="B8" s="4" t="inlineStr">
        <is>
          <t>• A.8.9.1 - Baseline Configuration Assessment</t>
        </is>
      </c>
    </row>
    <row r="9">
      <c r="B9" s="4" t="inlineStr">
        <is>
          <t>• A.8.9.2 - Change Control Assessment</t>
        </is>
      </c>
    </row>
    <row r="10">
      <c r="B10" s="4" t="inlineStr">
        <is>
          <t>• A.8.9.3 - Configuration Monitoring Assessment</t>
        </is>
      </c>
    </row>
    <row r="11">
      <c r="B11" s="4" t="inlineStr">
        <is>
          <t>• A.8.9.4 - Security Hardening Assessment</t>
        </is>
      </c>
    </row>
    <row r="13">
      <c r="A13" s="3" t="inlineStr">
        <is>
          <t>KEY CONCEPTS</t>
        </is>
      </c>
    </row>
    <row r="14">
      <c r="B14" s="4" t="inlineStr">
        <is>
          <t>External Workbook Linking: Dashboard formulas reference other Excel files in the same directory using formulas like ='[ISMS-IMP-A.8.9.1.xlsx]Sheet'!Cell</t>
        </is>
      </c>
    </row>
    <row r="15">
      <c r="B15" s="4" t="inlineStr"/>
    </row>
    <row r="16">
      <c r="B16" s="4" t="inlineStr">
        <is>
          <t>Normalized Filenames: Source files must have date-free names (ISMS-IMP-A.8.9.X.xlsx) created by running normalize_assessment_files_a89.py</t>
        </is>
      </c>
    </row>
    <row r="17">
      <c r="B17" s="4" t="inlineStr"/>
    </row>
    <row r="18">
      <c r="B18" s="4" t="inlineStr">
        <is>
          <t>Overall Compliance: Weighted average across 5 domains:</t>
        </is>
      </c>
    </row>
    <row r="19">
      <c r="B19" s="4" t="inlineStr">
        <is>
          <t>• Baseline Configuration: 20%</t>
        </is>
      </c>
    </row>
    <row r="20">
      <c r="B20" s="4" t="inlineStr">
        <is>
          <t>• Change Control: 25%</t>
        </is>
      </c>
    </row>
    <row r="21">
      <c r="B21" s="4" t="inlineStr">
        <is>
          <t>• Configuration Monitoring: 20%</t>
        </is>
      </c>
    </row>
    <row r="22">
      <c r="B22" s="4" t="inlineStr">
        <is>
          <t>• Security Hardening: 25%</t>
        </is>
      </c>
    </row>
    <row r="23">
      <c r="B23" s="4" t="inlineStr">
        <is>
          <t>• Process Maturity: 10%</t>
        </is>
      </c>
    </row>
    <row r="24">
      <c r="B24" s="4" t="inlineStr"/>
    </row>
    <row r="25">
      <c r="B25" s="4" t="inlineStr">
        <is>
          <t>Target: ≥95% overall compliance</t>
        </is>
      </c>
    </row>
    <row r="27">
      <c r="A27" s="3" t="inlineStr">
        <is>
          <t>SETUP WORKFLOW</t>
        </is>
      </c>
    </row>
    <row r="28">
      <c r="B28" s="4" t="inlineStr">
        <is>
          <t>1. Complete all 4 domain assessments (A.8.9.1 through A.8.9.4)</t>
        </is>
      </c>
    </row>
    <row r="29">
      <c r="B29" s="4" t="inlineStr">
        <is>
          <t>2. Generate assessment workbooks with Python scripts</t>
        </is>
      </c>
    </row>
    <row r="30">
      <c r="B30" s="4" t="inlineStr">
        <is>
          <t>3. Run normalization: python3 normalize_assessment_files_a89.py</t>
        </is>
      </c>
    </row>
    <row r="31">
      <c r="B31" s="4" t="inlineStr">
        <is>
          <t>4. Verify normalized files exist in Dashboard_Sources directory:</t>
        </is>
      </c>
    </row>
    <row r="32">
      <c r="B32" s="4" t="inlineStr">
        <is>
          <t xml:space="preserve">   • ISMS-IMP-A.8.9.1.xlsx</t>
        </is>
      </c>
    </row>
    <row r="33">
      <c r="B33" s="4" t="inlineStr">
        <is>
          <t xml:space="preserve">   • ISMS-IMP-A.8.9.2.xlsx</t>
        </is>
      </c>
    </row>
    <row r="34">
      <c r="B34" s="4" t="inlineStr">
        <is>
          <t xml:space="preserve">   • ISMS-IMP-A.8.9.3.xlsx</t>
        </is>
      </c>
    </row>
    <row r="35">
      <c r="B35" s="4" t="inlineStr">
        <is>
          <t xml:space="preserve">   • ISMS-IMP-A.8.9.4.xlsx</t>
        </is>
      </c>
    </row>
    <row r="36">
      <c r="B36" s="4" t="inlineStr">
        <is>
          <t>5. Place this dashboard in same directory as normalized files</t>
        </is>
      </c>
    </row>
    <row r="37">
      <c r="B37" s="4" t="inlineStr">
        <is>
          <t>6. Open dashboard and click 'Update Links' when Excel prompts</t>
        </is>
      </c>
    </row>
    <row r="38">
      <c r="B38" s="4" t="inlineStr">
        <is>
          <t>7. Verify Workbook_Integration_Settings shows all 4 workbooks linked</t>
        </is>
      </c>
    </row>
    <row r="40">
      <c r="A40" s="3" t="inlineStr">
        <is>
          <t>USING THE DASHBOARD</t>
        </is>
      </c>
    </row>
    <row r="41">
      <c r="B41" s="4" t="inlineStr">
        <is>
          <t>Overall_Compliance_Dashboard: Primary executive view, single-page summary</t>
        </is>
      </c>
    </row>
    <row r="42">
      <c r="B42" s="4" t="inlineStr"/>
    </row>
    <row r="43">
      <c r="B43" s="4" t="inlineStr">
        <is>
          <t>Asset_Compliance_Summary: Per-asset view across all domains</t>
        </is>
      </c>
    </row>
    <row r="44">
      <c r="B44" s="4" t="inlineStr"/>
    </row>
    <row r="45">
      <c r="B45" s="4" t="inlineStr">
        <is>
          <t>Gap_Prioritization: Consolidated gap list with risk ranking</t>
        </is>
      </c>
    </row>
    <row r="46">
      <c r="B46" s="4" t="inlineStr"/>
    </row>
    <row r="47">
      <c r="B47" s="4" t="inlineStr">
        <is>
          <t>Trend_Analysis: Historical compliance tracking (requires multiple cycles)</t>
        </is>
      </c>
    </row>
    <row r="48">
      <c r="B48" s="4" t="inlineStr"/>
    </row>
    <row r="49">
      <c r="B49" s="4" t="inlineStr">
        <is>
          <t>Evidence_Register: Links to domain-specific evidence</t>
        </is>
      </c>
    </row>
    <row r="50">
      <c r="B50" s="4" t="inlineStr"/>
    </row>
    <row r="51">
      <c r="B51" s="4" t="inlineStr">
        <is>
          <t>Approval_Sign_Off: Executive approval and governance</t>
        </is>
      </c>
    </row>
    <row r="53">
      <c r="A53" s="3" t="inlineStr">
        <is>
          <t>EXTERNAL WORKBOOK LINKING</t>
        </is>
      </c>
    </row>
    <row r="54">
      <c r="B54" s="4" t="inlineStr">
        <is>
          <t>How it works:</t>
        </is>
      </c>
    </row>
    <row r="55">
      <c r="B55" s="4" t="inlineStr">
        <is>
          <t>• Dashboard formulas reference source workbooks automatically</t>
        </is>
      </c>
    </row>
    <row r="56">
      <c r="B56" s="4" t="inlineStr">
        <is>
          <t>• Excel updates when source workbooks change</t>
        </is>
      </c>
    </row>
    <row r="57">
      <c r="B57" s="4" t="inlineStr">
        <is>
          <t>• Links are relative - files must be in same directory</t>
        </is>
      </c>
    </row>
    <row r="58">
      <c r="B58" s="4" t="inlineStr">
        <is>
          <t>• If workbook not found: Formula shows #REF! error</t>
        </is>
      </c>
    </row>
    <row r="59">
      <c r="B59" s="4" t="inlineStr"/>
    </row>
    <row r="60">
      <c r="B60" s="4" t="inlineStr">
        <is>
          <t>Troubleshooting broken links:</t>
        </is>
      </c>
    </row>
    <row r="61">
      <c r="B61" s="4" t="inlineStr">
        <is>
          <t>• Verify all 4 normalized workbooks exist in same directory</t>
        </is>
      </c>
    </row>
    <row r="62">
      <c r="B62" s="4" t="inlineStr">
        <is>
          <t>• Excel → Data → Edit Links → Update Values</t>
        </is>
      </c>
    </row>
    <row r="63">
      <c r="B63" s="4" t="inlineStr">
        <is>
          <t>• Check filenames match exactly (case-sensitive)</t>
        </is>
      </c>
    </row>
    <row r="64">
      <c r="B64" s="4" t="inlineStr">
        <is>
          <t>• Ensure workbooks are not open in exclusive mode</t>
        </is>
      </c>
    </row>
    <row r="66">
      <c r="A66" s="3" t="inlineStr">
        <is>
          <t>UPDATE FREQUENCY</t>
        </is>
      </c>
    </row>
    <row r="67">
      <c r="B67" s="4" t="inlineStr">
        <is>
          <t>Domain Assessments: Quarterly minimum</t>
        </is>
      </c>
    </row>
    <row r="68">
      <c r="B68" s="4" t="inlineStr">
        <is>
          <t>Dashboard: Updates automatically when sources change</t>
        </is>
      </c>
    </row>
    <row r="69">
      <c r="B69" s="4" t="inlineStr">
        <is>
          <t>Executive Review: Monthly minimum</t>
        </is>
      </c>
    </row>
    <row r="70">
      <c r="B70" s="4" t="inlineStr">
        <is>
          <t>Trend Analysis: Requires 3+ assessment cycles</t>
        </is>
      </c>
    </row>
    <row r="72">
      <c r="A72" s="3" t="inlineStr">
        <is>
          <t>ROLES &amp; RESPONSIBILITIES</t>
        </is>
      </c>
    </row>
    <row r="73">
      <c r="B73" s="4" t="inlineStr">
        <is>
          <t>Dashboard Owner: Coordinates assessment schedule, ensures currency</t>
        </is>
      </c>
    </row>
    <row r="74">
      <c r="B74" s="4" t="inlineStr">
        <is>
          <t>Domain Assessors: Complete domain-specific assessments per schedule</t>
        </is>
      </c>
    </row>
    <row r="75">
      <c r="B75" s="4" t="inlineStr">
        <is>
          <t>Executive Sponsor: Reviews dashboard, approves remediation priorities</t>
        </is>
      </c>
    </row>
    <row r="76">
      <c r="B76" s="4" t="inlineStr">
        <is>
          <t>ISMS Manager: Oversees overall A.8.9 compliance</t>
        </is>
      </c>
    </row>
    <row r="77">
      <c r="B77" s="4" t="inlineStr">
        <is>
          <t>Auditor: Verifies dashboard accuracy, validates evidence links</t>
        </is>
      </c>
    </row>
    <row r="81">
      <c r="A81" s="5" t="inlineStr">
        <is>
          <t>Document ID:</t>
        </is>
      </c>
      <c r="B81" t="inlineStr">
        <is>
          <t>ISMS-IMP-A.8.9.5-Dashboard</t>
        </is>
      </c>
    </row>
    <row r="82">
      <c r="A82" s="5" t="inlineStr">
        <is>
          <t>Version:</t>
        </is>
      </c>
      <c r="B82" t="inlineStr">
        <is>
          <t>1.0</t>
        </is>
      </c>
    </row>
    <row r="83">
      <c r="A83" s="5" t="inlineStr">
        <is>
          <t>Date:</t>
        </is>
      </c>
      <c r="B83" t="inlineStr">
        <is>
          <t>08.02.2026</t>
        </is>
      </c>
    </row>
    <row r="84">
      <c r="A84" s="5" t="inlineStr">
        <is>
          <t>Dashboard Owner:</t>
        </is>
      </c>
      <c r="B84" t="inlineStr">
        <is>
          <t>[ISMS Manager]</t>
        </is>
      </c>
    </row>
  </sheetData>
  <mergeCells count="9">
    <mergeCell ref="A4:B4"/>
    <mergeCell ref="A2:B2"/>
    <mergeCell ref="A72:B72"/>
    <mergeCell ref="A13:B13"/>
    <mergeCell ref="A66:B66"/>
    <mergeCell ref="A1:B1"/>
    <mergeCell ref="A40:B40"/>
    <mergeCell ref="A27:B27"/>
    <mergeCell ref="A53:B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15" customWidth="1" min="4" max="4"/>
    <col width="20" customWidth="1" min="5" max="5"/>
    <col width="40" customWidth="1" min="6" max="6"/>
  </cols>
  <sheetData>
    <row r="1">
      <c r="A1" s="2" t="inlineStr">
        <is>
          <t>Workbook Integration Settings</t>
        </is>
      </c>
    </row>
    <row r="3">
      <c r="A3" s="3" t="inlineStr">
        <is>
          <t>SOURCE WORKBOOK CONFIGURATION</t>
        </is>
      </c>
    </row>
    <row r="4">
      <c r="A4" s="6" t="inlineStr">
        <is>
          <t>Domain</t>
        </is>
      </c>
      <c r="B4" s="6" t="inlineStr">
        <is>
          <t>Document ID</t>
        </is>
      </c>
      <c r="C4" s="6" t="inlineStr">
        <is>
          <t>Expected Filename</t>
        </is>
      </c>
      <c r="D4" s="6" t="inlineStr">
        <is>
          <t>Status</t>
        </is>
      </c>
      <c r="E4" s="6" t="inlineStr">
        <is>
          <t>Last Modified</t>
        </is>
      </c>
      <c r="F4" s="6" t="inlineStr">
        <is>
          <t>Link Status</t>
        </is>
      </c>
    </row>
    <row r="5">
      <c r="A5" t="inlineStr">
        <is>
          <t>Baseline Configuration</t>
        </is>
      </c>
      <c r="B5" t="inlineStr">
        <is>
          <t>ISMS-IMP-A.8.9.1</t>
        </is>
      </c>
      <c r="C5" t="inlineStr">
        <is>
          <t>ISMS-IMP-A.8.9.1.xlsx</t>
        </is>
      </c>
      <c r="D5">
        <f>IF(ISERROR('[ISMS-IMP-A.8.9.1.xlsx]Instructions'!A1),"Not Found",IF(ISREF('[ISMS-IMP-A.8.9.1.xlsx]Instructions'!A1),"Linked","Error"))</f>
        <v/>
      </c>
      <c r="E5" t="inlineStr">
        <is>
          <t>N/A</t>
        </is>
      </c>
      <c r="F5">
        <f>IF(D5="Linked","✅ Linked and current",IF(D5="Not Found","⚠️ Workbook not found","❌ Link broken"))</f>
        <v/>
      </c>
    </row>
    <row r="6">
      <c r="A6" t="inlineStr">
        <is>
          <t>Change Control</t>
        </is>
      </c>
      <c r="B6" t="inlineStr">
        <is>
          <t>ISMS-IMP-A.8.9.2</t>
        </is>
      </c>
      <c r="C6" t="inlineStr">
        <is>
          <t>ISMS-IMP-A.8.9.2.xlsx</t>
        </is>
      </c>
      <c r="D6">
        <f>IF(ISERROR('[ISMS-IMP-A.8.9.2.xlsx]Instructions'!A1),"Not Found",IF(ISREF('[ISMS-IMP-A.8.9.2.xlsx]Instructions'!A1),"Linked","Error"))</f>
        <v/>
      </c>
      <c r="E6" t="inlineStr">
        <is>
          <t>N/A</t>
        </is>
      </c>
      <c r="F6">
        <f>IF(D6="Linked","✅ Linked and current",IF(D6="Not Found","⚠️ Workbook not found","❌ Link broken"))</f>
        <v/>
      </c>
    </row>
    <row r="7">
      <c r="A7" t="inlineStr">
        <is>
          <t>Configuration Monitoring</t>
        </is>
      </c>
      <c r="B7" t="inlineStr">
        <is>
          <t>ISMS-IMP-A.8.9.3</t>
        </is>
      </c>
      <c r="C7" t="inlineStr">
        <is>
          <t>ISMS-IMP-A.8.9.3.xlsx</t>
        </is>
      </c>
      <c r="D7">
        <f>IF(ISERROR('[ISMS-IMP-A.8.9.3.xlsx]Instructions'!A1),"Not Found",IF(ISREF('[ISMS-IMP-A.8.9.3.xlsx]Instructions'!A1),"Linked","Error"))</f>
        <v/>
      </c>
      <c r="E7" t="inlineStr">
        <is>
          <t>N/A</t>
        </is>
      </c>
      <c r="F7">
        <f>IF(D7="Linked","✅ Linked and current",IF(D7="Not Found","⚠️ Workbook not found","❌ Link broken"))</f>
        <v/>
      </c>
    </row>
    <row r="8">
      <c r="A8" t="inlineStr">
        <is>
          <t>Security Hardening</t>
        </is>
      </c>
      <c r="B8" t="inlineStr">
        <is>
          <t>ISMS-IMP-A.8.9.4</t>
        </is>
      </c>
      <c r="C8" t="inlineStr">
        <is>
          <t>ISMS-IMP-A.8.9.4.xlsx</t>
        </is>
      </c>
      <c r="D8">
        <f>IF(ISERROR('[ISMS-IMP-A.8.9.4.xlsx]Instructions'!A1),"Not Found",IF(ISREF('[ISMS-IMP-A.8.9.4.xlsx]Instructions'!A1),"Linked","Error"))</f>
        <v/>
      </c>
      <c r="E8" t="inlineStr">
        <is>
          <t>N/A</t>
        </is>
      </c>
      <c r="F8">
        <f>IF(D8="Linked","✅ Linked and current",IF(D8="Not Found","⚠️ Workbook not found","❌ Link broken"))</f>
        <v/>
      </c>
    </row>
    <row r="10">
      <c r="A10" s="3" t="inlineStr">
        <is>
          <t>LINK VALIDATION SUMMARY</t>
        </is>
      </c>
    </row>
    <row r="11">
      <c r="A11" s="5" t="inlineStr">
        <is>
          <t>Total Source Workbooks Expected</t>
        </is>
      </c>
      <c r="B11" t="inlineStr">
        <is>
          <t>4</t>
        </is>
      </c>
    </row>
    <row r="12">
      <c r="A12" s="5" t="inlineStr">
        <is>
          <t>Workbooks Successfully Linked</t>
        </is>
      </c>
      <c r="B12">
        <f>COUNTIF(D5:D8,"Linked")</f>
        <v/>
      </c>
      <c r="C12">
        <f>IF(B11&lt;4,"Red","Green")</f>
        <v/>
      </c>
    </row>
    <row r="13">
      <c r="A13" s="5" t="inlineStr">
        <is>
          <t>Workbooks Missing</t>
        </is>
      </c>
      <c r="B13">
        <f>COUNTIF(D5:D8,"Not Found")</f>
        <v/>
      </c>
      <c r="C13">
        <f>IF(B11&gt;0,"Red","Green")</f>
        <v/>
      </c>
    </row>
    <row r="14">
      <c r="A14" s="5" t="inlineStr">
        <is>
          <t>Dashboard Link Health</t>
        </is>
      </c>
      <c r="B14" s="7">
        <f>B10/B9</f>
        <v/>
      </c>
      <c r="C14">
        <f>IF(B11=1,"Green",IF(B11&gt;=0.75,"Yellow","Red"))</f>
        <v/>
      </c>
    </row>
    <row r="16">
      <c r="A16" s="3" t="inlineStr">
        <is>
          <t>DATA PULL TEST</t>
        </is>
      </c>
    </row>
    <row r="17">
      <c r="A17" s="8" t="inlineStr">
        <is>
          <t>Source</t>
        </is>
      </c>
      <c r="B17" s="8" t="inlineStr">
        <is>
          <t>Test Cell</t>
        </is>
      </c>
      <c r="C17" s="8" t="inlineStr">
        <is>
          <t>Expected Value Type</t>
        </is>
      </c>
      <c r="D17" s="8" t="inlineStr">
        <is>
          <t>Actual Value</t>
        </is>
      </c>
      <c r="E17" s="8" t="inlineStr">
        <is>
          <t>Test Result</t>
        </is>
      </c>
    </row>
    <row r="18">
      <c r="A18" t="inlineStr">
        <is>
          <t>ISMS-IMP-A.8.9.1</t>
        </is>
      </c>
      <c r="B18" t="inlineStr">
        <is>
          <t>Compliance_Dashboard!B5</t>
        </is>
      </c>
      <c r="C18" t="inlineStr">
        <is>
          <t>Percentage</t>
        </is>
      </c>
      <c r="D18" s="9">
        <f>'[ISMS-IMP-A.8.9.1.xlsx]Compliance_Dashboard'!B5</f>
        <v/>
      </c>
      <c r="E18">
        <f>IF(ISERROR(D18),"Fail - Link Broken",IF(AND(D18&gt;=0,D18&lt;=1),"Pass","Fail - Invalid Data"))</f>
        <v/>
      </c>
    </row>
    <row r="19">
      <c r="A19" t="inlineStr">
        <is>
          <t>ISMS-IMP-A.8.9.2</t>
        </is>
      </c>
      <c r="B19" t="inlineStr">
        <is>
          <t>Change_Summary!B10</t>
        </is>
      </c>
      <c r="C19" t="inlineStr">
        <is>
          <t>Percentage</t>
        </is>
      </c>
      <c r="D19" s="9">
        <f>'[ISMS-IMP-A.8.9.2.xlsx]Change_Summary'!B10</f>
        <v/>
      </c>
      <c r="E19">
        <f>IF(ISERROR(D19),"Fail - Link Broken",IF(AND(D19&gt;=0,D19&lt;=1),"Pass","Fail - Invalid Data"))</f>
        <v/>
      </c>
    </row>
    <row r="20">
      <c r="A20" t="inlineStr">
        <is>
          <t>ISMS-IMP-A.8.9.3</t>
        </is>
      </c>
      <c r="B20" t="inlineStr">
        <is>
          <t>Compliance_Dashboard!B8</t>
        </is>
      </c>
      <c r="C20" t="inlineStr">
        <is>
          <t>Percentage</t>
        </is>
      </c>
      <c r="D20" s="9">
        <f>'[ISMS-IMP-A.8.9.3.xlsx]Compliance_Dashboard'!B8</f>
        <v/>
      </c>
      <c r="E20">
        <f>IF(ISERROR(D20),"Fail - Link Broken",IF(AND(D20&gt;=0,D20&lt;=1),"Pass","Fail - Invalid Data"))</f>
        <v/>
      </c>
    </row>
    <row r="21">
      <c r="A21" t="inlineStr">
        <is>
          <t>ISMS-IMP-A.8.9.4</t>
        </is>
      </c>
      <c r="B21" t="inlineStr">
        <is>
          <t>Compliance_Dashboard!B5</t>
        </is>
      </c>
      <c r="C21" t="inlineStr">
        <is>
          <t>Percentage</t>
        </is>
      </c>
      <c r="D21" s="9">
        <f>'[ISMS-IMP-A.8.9.4.xlsx]Compliance_Dashboard'!B5</f>
        <v/>
      </c>
      <c r="E21">
        <f>IF(ISERROR(D21),"Fail - Link Broken",IF(AND(D21&gt;=0,D21&lt;=1),"Pass","Fail - Invalid Data"))</f>
        <v/>
      </c>
    </row>
  </sheetData>
  <mergeCells count="4">
    <mergeCell ref="A3:F3"/>
    <mergeCell ref="A16:F16"/>
    <mergeCell ref="A1:F1"/>
    <mergeCell ref="A10:F10"/>
  </mergeCells>
  <conditionalFormatting sqref="D5:D8">
    <cfRule type="cellIs" priority="1" operator="equal" dxfId="0">
      <formula>"Linked"</formula>
    </cfRule>
    <cfRule type="cellIs" priority="2" operator="equal" dxfId="1">
      <formula>"Not Found"</formula>
    </cfRule>
  </conditionalFormatting>
  <conditionalFormatting sqref="E18:E21">
    <cfRule type="cellIs" priority="3" operator="equal" dxfId="0">
      <formula>"Pass"</formula>
    </cfRule>
    <cfRule type="expression" priority="4" dxfId="1">
      <formula>LEFT(E18,4)="Fail"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30" customWidth="1" min="5" max="5"/>
  </cols>
  <sheetData>
    <row r="1">
      <c r="A1" s="10" t="inlineStr">
        <is>
          <t>Control A.8.9 - Configuration Management</t>
        </is>
      </c>
    </row>
    <row r="2">
      <c r="A2" s="11" t="inlineStr">
        <is>
          <t>COMPLIANCE DASHBOARD</t>
        </is>
      </c>
    </row>
    <row r="3">
      <c r="A3" s="12" t="inlineStr">
        <is>
          <t>Assessment Date: 08.02.2026</t>
        </is>
      </c>
    </row>
    <row r="5">
      <c r="A5" s="3" t="inlineStr">
        <is>
          <t>OVERALL COMPLIANCE</t>
        </is>
      </c>
    </row>
    <row r="6">
      <c r="A6" s="5" t="inlineStr">
        <is>
          <t>Overall Compliance Percentage:</t>
        </is>
      </c>
      <c r="B6" s="13">
        <f>('[ISMS-IMP-A.8.9.1.xlsx]Compliance_Dashboard'!B5*0.2+'[ISMS-IMP-A.8.9.2.xlsx]Change_Summary'!B10*0.25+'[ISMS-IMP-A.8.9.3.xlsx]Compliance_Dashboard'!B8*0.2+'[ISMS-IMP-A.8.9.4.xlsx]Compliance_Dashboard'!B5*0.25+=AVERAGE('[ISMS-IMP-A.8.9.1.xlsx]Compliance_Dashboard'!B5,'[ISMS-IMP-A.8.9.2.xlsx]Change_Summary'!B10,'[ISMS-IMP-A.8.9.3.xlsx]Compliance_Dashboard'!B8,'[ISMS-IMP-A.8.9.4.xlsx]Compliance_Dashboard'!B5)*0.1)</f>
        <v/>
      </c>
      <c r="D6" t="inlineStr">
        <is>
          <t>Target:</t>
        </is>
      </c>
      <c r="E6" s="14" t="inlineStr">
        <is>
          <t>≥95%</t>
        </is>
      </c>
    </row>
    <row r="7">
      <c r="A7" s="5" t="inlineStr">
        <is>
          <t>Compliance Status:</t>
        </is>
      </c>
      <c r="B7" s="11">
        <f>IF(AND(B6&gt;=0.95,='[ISMS-IMP-A.8.9.1.xlsx]Compliance_Dashboard'!B15+'[ISMS-IMP-A.8.9.2.xlsx]Change_Summary'!B22+'[ISMS-IMP-A.8.9.3.xlsx]Compliance_Dashboard'!B24+'[ISMS-IMP-A.8.9.4.xlsx]Compliance_Dashboard'!B14=0),"Compliant",IF(B6&gt;=0.9,"Substantially Compliant",IF(B6&gt;=0.8,"At Risk","Non-Compliant")))</f>
        <v/>
      </c>
    </row>
    <row r="9">
      <c r="A9" s="3" t="inlineStr">
        <is>
          <t>DOMAIN COMPLIANCE BREAKDOWN</t>
        </is>
      </c>
    </row>
    <row r="10">
      <c r="A10" s="15" t="inlineStr">
        <is>
          <t>Domain</t>
        </is>
      </c>
      <c r="B10" s="15" t="inlineStr">
        <is>
          <t>Weight</t>
        </is>
      </c>
      <c r="C10" s="15" t="inlineStr">
        <is>
          <t>Compliance %</t>
        </is>
      </c>
      <c r="D10" s="15" t="inlineStr">
        <is>
          <t>Target</t>
        </is>
      </c>
      <c r="E10" s="15" t="inlineStr">
        <is>
          <t>Status</t>
        </is>
      </c>
      <c r="F10" s="15" t="inlineStr">
        <is>
          <t>Critical Gaps</t>
        </is>
      </c>
    </row>
    <row r="11">
      <c r="A11" t="inlineStr">
        <is>
          <t>Baseline Configuration</t>
        </is>
      </c>
      <c r="B11" s="7" t="n">
        <v>0.2</v>
      </c>
      <c r="C11" s="9">
        <f>'[ISMS-IMP-A.8.9.1.xlsx]Compliance_Dashboard'!B5</f>
        <v/>
      </c>
      <c r="D11" s="14" t="inlineStr">
        <is>
          <t>≥90%</t>
        </is>
      </c>
      <c r="E11" s="14">
        <f>IF(C11&gt;=0.9,"Green","Red")</f>
        <v/>
      </c>
      <c r="F11" s="16">
        <f>'[ISMS-IMP-A.8.9.1.xlsx]Compliance_Dashboard'!B15</f>
        <v/>
      </c>
    </row>
    <row r="12">
      <c r="A12" t="inlineStr">
        <is>
          <t>Change Control</t>
        </is>
      </c>
      <c r="B12" s="7" t="n">
        <v>0.25</v>
      </c>
      <c r="C12" s="9">
        <f>'[ISMS-IMP-A.8.9.2.xlsx]Change_Summary'!B10</f>
        <v/>
      </c>
      <c r="D12" s="14" t="inlineStr">
        <is>
          <t>≥90%</t>
        </is>
      </c>
      <c r="E12" s="14">
        <f>IF(C12&gt;=0.9,"Green","Red")</f>
        <v/>
      </c>
      <c r="F12" s="16">
        <f>'[ISMS-IMP-A.8.9.2.xlsx]Change_Summary'!B22</f>
        <v/>
      </c>
    </row>
    <row r="13">
      <c r="A13" t="inlineStr">
        <is>
          <t>Configuration Monitoring</t>
        </is>
      </c>
      <c r="B13" s="7" t="n">
        <v>0.2</v>
      </c>
      <c r="C13" s="9">
        <f>'[ISMS-IMP-A.8.9.3.xlsx]Compliance_Dashboard'!B8</f>
        <v/>
      </c>
      <c r="D13" s="14" t="inlineStr">
        <is>
          <t>≥90%</t>
        </is>
      </c>
      <c r="E13" s="14">
        <f>IF(C13&gt;=0.9,"Green","Red")</f>
        <v/>
      </c>
      <c r="F13" s="16">
        <f>'[ISMS-IMP-A.8.9.3.xlsx]Compliance_Dashboard'!B24</f>
        <v/>
      </c>
    </row>
    <row r="14">
      <c r="A14" t="inlineStr">
        <is>
          <t>Security Hardening</t>
        </is>
      </c>
      <c r="B14" s="7" t="n">
        <v>0.25</v>
      </c>
      <c r="C14" s="9">
        <f>'[ISMS-IMP-A.8.9.4.xlsx]Compliance_Dashboard'!B5</f>
        <v/>
      </c>
      <c r="D14" s="14" t="inlineStr">
        <is>
          <t>≥90%</t>
        </is>
      </c>
      <c r="E14" s="14">
        <f>IF(C14&gt;=0.9,"Green","Red")</f>
        <v/>
      </c>
      <c r="F14" s="16">
        <f>'[ISMS-IMP-A.8.9.4.xlsx]Compliance_Dashboard'!B14</f>
        <v/>
      </c>
    </row>
    <row r="15">
      <c r="A15" t="inlineStr">
        <is>
          <t>Process Maturity</t>
        </is>
      </c>
      <c r="B15" s="7" t="n">
        <v>0.1</v>
      </c>
      <c r="C15" s="9">
        <f>=AVERAGE('[ISMS-IMP-A.8.9.1.xlsx]Compliance_Dashboard'!B5,'[ISMS-IMP-A.8.9.2.xlsx]Change_Summary'!B10,'[ISMS-IMP-A.8.9.3.xlsx]Compliance_Dashboard'!B8,'[ISMS-IMP-A.8.9.4.xlsx]Compliance_Dashboard'!B5)</f>
        <v/>
      </c>
      <c r="D15" s="14" t="inlineStr">
        <is>
          <t>≥90%</t>
        </is>
      </c>
      <c r="E15" s="14">
        <f>IF(C15&gt;=0.9,"Green","Red")</f>
        <v/>
      </c>
      <c r="F15" s="16" t="inlineStr">
        <is>
          <t>0</t>
        </is>
      </c>
    </row>
    <row r="17">
      <c r="A17" s="3" t="inlineStr">
        <is>
          <t>KEY PERFORMANCE INDICATORS</t>
        </is>
      </c>
    </row>
    <row r="18">
      <c r="A18" s="15" t="inlineStr">
        <is>
          <t>KPI</t>
        </is>
      </c>
      <c r="B18" s="15" t="inlineStr">
        <is>
          <t>Current</t>
        </is>
      </c>
      <c r="C18" s="15" t="inlineStr">
        <is>
          <t>Target</t>
        </is>
      </c>
      <c r="D18" s="15" t="inlineStr">
        <is>
          <t>Status</t>
        </is>
      </c>
    </row>
    <row r="19">
      <c r="A19" t="inlineStr">
        <is>
          <t>Overall Compliance %</t>
        </is>
      </c>
      <c r="B19" s="17">
        <f>B6</f>
        <v/>
      </c>
      <c r="C19" s="14" t="inlineStr">
        <is>
          <t>≥95%</t>
        </is>
      </c>
      <c r="D19" s="14" t="inlineStr">
        <is>
          <t>Manual Review</t>
        </is>
      </c>
    </row>
    <row r="20">
      <c r="A20" t="inlineStr">
        <is>
          <t>Domains Compliant (≥90%)</t>
        </is>
      </c>
      <c r="B20" s="16">
        <f>COUNTIF(E11:E15,"Green")</f>
        <v/>
      </c>
      <c r="C20" s="14" t="inlineStr">
        <is>
          <t>5/5</t>
        </is>
      </c>
      <c r="D20" s="14" t="inlineStr">
        <is>
          <t>Manual Review</t>
        </is>
      </c>
    </row>
    <row r="21">
      <c r="A21" t="inlineStr">
        <is>
          <t>Total Critical Gaps</t>
        </is>
      </c>
      <c r="B21" s="16">
        <f>'[ISMS-IMP-A.8.9.1.xlsx]Compliance_Dashboard'!B15+'[ISMS-IMP-A.8.9.2.xlsx]Change_Summary'!B22+'[ISMS-IMP-A.8.9.3.xlsx]Compliance_Dashboard'!B24+'[ISMS-IMP-A.8.9.4.xlsx]Compliance_Dashboard'!B14</f>
        <v/>
      </c>
      <c r="C21" s="14" t="inlineStr">
        <is>
          <t>0</t>
        </is>
      </c>
      <c r="D21" s="14" t="inlineStr">
        <is>
          <t>Manual Review</t>
        </is>
      </c>
    </row>
    <row r="22">
      <c r="A22" t="inlineStr">
        <is>
          <t>Evidence Completeness</t>
        </is>
      </c>
      <c r="B22" s="18" t="inlineStr">
        <is>
          <t>85%</t>
        </is>
      </c>
      <c r="C22" s="14" t="inlineStr">
        <is>
          <t>≥95%</t>
        </is>
      </c>
      <c r="D22" s="14" t="inlineStr">
        <is>
          <t>Manual Review</t>
        </is>
      </c>
    </row>
  </sheetData>
  <mergeCells count="8">
    <mergeCell ref="B6:C6"/>
    <mergeCell ref="B7:C7"/>
    <mergeCell ref="A2:E2"/>
    <mergeCell ref="A1:E1"/>
    <mergeCell ref="A5:E5"/>
    <mergeCell ref="A17:E17"/>
    <mergeCell ref="A9:E9"/>
    <mergeCell ref="A3:E3"/>
  </mergeCells>
  <conditionalFormatting sqref="B7">
    <cfRule type="cellIs" priority="1" operator="equal" dxfId="2">
      <formula>"Compliant"</formula>
    </cfRule>
    <cfRule type="cellIs" priority="2" operator="equal" dxfId="3">
      <formula>"Non-Compliant"</formula>
    </cfRule>
  </conditionalFormatting>
  <conditionalFormatting sqref="E11:E15">
    <cfRule type="cellIs" priority="3" operator="equal" dxfId="0">
      <formula>"Green"</formula>
    </cfRule>
    <cfRule type="cellIs" priority="4" operator="equal" dxfId="1">
      <formula>"Red"</formula>
    </cfRule>
  </conditionalFormatting>
  <conditionalFormatting sqref="F11:F15">
    <cfRule type="cellIs" priority="5" operator="greaterThan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2" customWidth="1" min="4" max="4"/>
    <col width="25" customWidth="1" min="5" max="5"/>
    <col width="18" customWidth="1" min="6" max="6"/>
    <col width="16" customWidth="1" min="7" max="7"/>
    <col width="18" customWidth="1" min="8" max="8"/>
    <col width="20" customWidth="1" min="9" max="9"/>
    <col width="18" customWidth="1" min="10" max="10"/>
    <col width="14" customWidth="1" min="11" max="11"/>
    <col width="20" customWidth="1" min="12" max="12"/>
    <col width="16" customWidth="1" min="13" max="13"/>
    <col width="18" customWidth="1" min="14" max="14"/>
    <col width="20" customWidth="1" min="15" max="15"/>
    <col width="16" customWidth="1" min="16" max="16"/>
    <col width="20" customWidth="1" min="17" max="17"/>
    <col width="12" customWidth="1" min="18" max="18"/>
    <col width="40" customWidth="1" min="19" max="19"/>
  </cols>
  <sheetData>
    <row r="1">
      <c r="A1" s="6" t="inlineStr">
        <is>
          <t>Asset_ID</t>
        </is>
      </c>
      <c r="B1" s="6" t="inlineStr">
        <is>
          <t>Asset_Name</t>
        </is>
      </c>
      <c r="C1" s="6" t="inlineStr">
        <is>
          <t>Asset_Type</t>
        </is>
      </c>
      <c r="D1" s="6" t="inlineStr">
        <is>
          <t>Asset_Tier</t>
        </is>
      </c>
      <c r="E1" s="6" t="inlineStr">
        <is>
          <t>Asset_Owner</t>
        </is>
      </c>
      <c r="F1" s="6" t="inlineStr">
        <is>
          <t>Baseline_Documented</t>
        </is>
      </c>
      <c r="G1" s="6" t="inlineStr">
        <is>
          <t>Baseline_Current</t>
        </is>
      </c>
      <c r="H1" s="6" t="inlineStr">
        <is>
          <t>Change_Compliance</t>
        </is>
      </c>
      <c r="I1" s="6" t="inlineStr">
        <is>
          <t>Emergency_Changes_30d</t>
        </is>
      </c>
      <c r="J1" s="6" t="inlineStr">
        <is>
          <t>Monitoring_Coverage</t>
        </is>
      </c>
      <c r="K1" s="6" t="inlineStr">
        <is>
          <t>Critical_Drift</t>
        </is>
      </c>
      <c r="L1" s="6" t="inlineStr">
        <is>
          <t>Hardening_Compliance</t>
        </is>
      </c>
      <c r="M1" s="6" t="inlineStr">
        <is>
          <t>High_Risk_Gaps</t>
        </is>
      </c>
      <c r="N1" s="6" t="inlineStr">
        <is>
          <t>Overall_Compliance</t>
        </is>
      </c>
      <c r="O1" s="6" t="inlineStr">
        <is>
          <t>Status</t>
        </is>
      </c>
      <c r="P1" s="6" t="inlineStr">
        <is>
          <t>Critical_Issues</t>
        </is>
      </c>
      <c r="Q1" s="6" t="inlineStr">
        <is>
          <t>Primary_Gap_Domain</t>
        </is>
      </c>
      <c r="R1" s="6" t="inlineStr">
        <is>
          <t>Priority</t>
        </is>
      </c>
      <c r="S1" s="6" t="inlineStr">
        <is>
          <t>Notes</t>
        </is>
      </c>
    </row>
    <row r="2">
      <c r="A2">
        <f>'[ISMS-IMP-A.8.9.1.xlsx]Asset_Inventory'!A2</f>
        <v/>
      </c>
      <c r="B2">
        <f>'[ISMS-IMP-A.8.9.1.xlsx]Asset_Inventory'!B2</f>
        <v/>
      </c>
      <c r="C2">
        <f>'[ISMS-IMP-A.8.9.1.xlsx]Asset_Inventory'!C2</f>
        <v/>
      </c>
      <c r="D2">
        <f>'[ISMS-IMP-A.8.9.1.xlsx]Asset_Inventory'!D2</f>
        <v/>
      </c>
      <c r="E2">
        <f>'[ISMS-IMP-A.8.9.1.xlsx]Asset_Inventory'!E2</f>
        <v/>
      </c>
      <c r="F2">
        <f>'[ISMS-IMP-A.8.9.1.xlsx]Asset_Inventory'!K2</f>
        <v/>
      </c>
      <c r="G2">
        <f>'[ISMS-IMP-A.8.9.1.xlsx]Asset_Inventory'!L2</f>
        <v/>
      </c>
      <c r="H2" s="19" t="inlineStr">
        <is>
          <t>Manual</t>
        </is>
      </c>
      <c r="I2" s="19" t="n">
        <v>0</v>
      </c>
      <c r="J2" s="19" t="inlineStr">
        <is>
          <t>Manual</t>
        </is>
      </c>
      <c r="K2" s="19" t="n">
        <v>0</v>
      </c>
      <c r="L2" s="19" t="inlineStr">
        <is>
          <t>Manual</t>
        </is>
      </c>
      <c r="M2" s="19" t="n">
        <v>0</v>
      </c>
      <c r="N2" s="9">
        <f>IF(A2="","",((IF(AND(F2="Yes",G2="Yes"),100,IF(OR(F2="Yes",G2="Yes"),50,0))*0.2)+(IF(ISNUMBER(H2),H2,0)*0.25)+(IF(AND(J2="Yes",K2=0),100,IF(J2="Yes",50,0))*0.2)+(IF(ISNUMBER(L2),L2,0)*0.25)+(IF(I2&lt;=2,100,100-(I2-2)*10)*0.1))/100)</f>
        <v/>
      </c>
      <c r="O2">
        <f>IF(A2="","",IF(AND(N2&gt;=0.95,P2=0),"Fully Compliant",IF(N2&gt;=0.9,"Compliant",IF(N2&gt;=0.8,"Substantially Compliant",IF(N2&gt;=0.7,"Partially Compliant","Non-Compliant")))))</f>
        <v/>
      </c>
      <c r="P2" s="20">
        <f>IF(A2="","",(IF(F2="No",1,0))+(IF(K2&gt;0,1,0))+(IF(M2&gt;0,1,0))+(IF(I2&gt;5,1,0)))</f>
        <v/>
      </c>
      <c r="Q2">
        <f>IF(A2="","","Manual Analysis Required")</f>
        <v/>
      </c>
      <c r="R2">
        <f>IF(A2="","",IF(AND(D2="Critical",P2&gt;0),"P0",IF(P2&gt;0,"P1",IF(N2&lt;0.9,"P2","P3"))))</f>
        <v/>
      </c>
      <c r="S2" s="19" t="n"/>
    </row>
    <row r="3">
      <c r="A3">
        <f>'[ISMS-IMP-A.8.9.1.xlsx]Asset_Inventory'!A3</f>
        <v/>
      </c>
      <c r="B3">
        <f>'[ISMS-IMP-A.8.9.1.xlsx]Asset_Inventory'!B3</f>
        <v/>
      </c>
      <c r="C3">
        <f>'[ISMS-IMP-A.8.9.1.xlsx]Asset_Inventory'!C3</f>
        <v/>
      </c>
      <c r="D3">
        <f>'[ISMS-IMP-A.8.9.1.xlsx]Asset_Inventory'!D3</f>
        <v/>
      </c>
      <c r="E3">
        <f>'[ISMS-IMP-A.8.9.1.xlsx]Asset_Inventory'!E3</f>
        <v/>
      </c>
      <c r="F3">
        <f>'[ISMS-IMP-A.8.9.1.xlsx]Asset_Inventory'!K3</f>
        <v/>
      </c>
      <c r="G3">
        <f>'[ISMS-IMP-A.8.9.1.xlsx]Asset_Inventory'!L3</f>
        <v/>
      </c>
      <c r="H3" s="19" t="inlineStr">
        <is>
          <t>Manual</t>
        </is>
      </c>
      <c r="I3" s="19" t="n">
        <v>0</v>
      </c>
      <c r="J3" s="19" t="inlineStr">
        <is>
          <t>Manual</t>
        </is>
      </c>
      <c r="K3" s="19" t="n">
        <v>0</v>
      </c>
      <c r="L3" s="19" t="inlineStr">
        <is>
          <t>Manual</t>
        </is>
      </c>
      <c r="M3" s="19" t="n">
        <v>0</v>
      </c>
      <c r="N3" s="9">
        <f>IF(A3="","",((IF(AND(F3="Yes",G3="Yes"),100,IF(OR(F3="Yes",G3="Yes"),50,0))*0.2)+(IF(ISNUMBER(H3),H3,0)*0.25)+(IF(AND(J3="Yes",K3=0),100,IF(J3="Yes",50,0))*0.2)+(IF(ISNUMBER(L3),L3,0)*0.25)+(IF(I3&lt;=2,100,100-(I3-2)*10)*0.1))/100)</f>
        <v/>
      </c>
      <c r="O3">
        <f>IF(A3="","",IF(AND(N3&gt;=0.95,P3=0),"Fully Compliant",IF(N3&gt;=0.9,"Compliant",IF(N3&gt;=0.8,"Substantially Compliant",IF(N3&gt;=0.7,"Partially Compliant","Non-Compliant")))))</f>
        <v/>
      </c>
      <c r="P3" s="20">
        <f>IF(A3="","",(IF(F3="No",1,0))+(IF(K3&gt;0,1,0))+(IF(M3&gt;0,1,0))+(IF(I3&gt;5,1,0)))</f>
        <v/>
      </c>
      <c r="Q3">
        <f>IF(A3="","","Manual Analysis Required")</f>
        <v/>
      </c>
      <c r="R3">
        <f>IF(A3="","",IF(AND(D3="Critical",P3&gt;0),"P0",IF(P3&gt;0,"P1",IF(N3&lt;0.9,"P2","P3"))))</f>
        <v/>
      </c>
      <c r="S3" s="19" t="n"/>
    </row>
    <row r="4">
      <c r="A4">
        <f>'[ISMS-IMP-A.8.9.1.xlsx]Asset_Inventory'!A4</f>
        <v/>
      </c>
      <c r="B4">
        <f>'[ISMS-IMP-A.8.9.1.xlsx]Asset_Inventory'!B4</f>
        <v/>
      </c>
      <c r="C4">
        <f>'[ISMS-IMP-A.8.9.1.xlsx]Asset_Inventory'!C4</f>
        <v/>
      </c>
      <c r="D4">
        <f>'[ISMS-IMP-A.8.9.1.xlsx]Asset_Inventory'!D4</f>
        <v/>
      </c>
      <c r="E4">
        <f>'[ISMS-IMP-A.8.9.1.xlsx]Asset_Inventory'!E4</f>
        <v/>
      </c>
      <c r="F4">
        <f>'[ISMS-IMP-A.8.9.1.xlsx]Asset_Inventory'!K4</f>
        <v/>
      </c>
      <c r="G4">
        <f>'[ISMS-IMP-A.8.9.1.xlsx]Asset_Inventory'!L4</f>
        <v/>
      </c>
      <c r="H4" s="19" t="inlineStr">
        <is>
          <t>Manual</t>
        </is>
      </c>
      <c r="I4" s="19" t="n">
        <v>0</v>
      </c>
      <c r="J4" s="19" t="inlineStr">
        <is>
          <t>Manual</t>
        </is>
      </c>
      <c r="K4" s="19" t="n">
        <v>0</v>
      </c>
      <c r="L4" s="19" t="inlineStr">
        <is>
          <t>Manual</t>
        </is>
      </c>
      <c r="M4" s="19" t="n">
        <v>0</v>
      </c>
      <c r="N4" s="9">
        <f>IF(A4="","",((IF(AND(F4="Yes",G4="Yes"),100,IF(OR(F4="Yes",G4="Yes"),50,0))*0.2)+(IF(ISNUMBER(H4),H4,0)*0.25)+(IF(AND(J4="Yes",K4=0),100,IF(J4="Yes",50,0))*0.2)+(IF(ISNUMBER(L4),L4,0)*0.25)+(IF(I4&lt;=2,100,100-(I4-2)*10)*0.1))/100)</f>
        <v/>
      </c>
      <c r="O4">
        <f>IF(A4="","",IF(AND(N4&gt;=0.95,P4=0),"Fully Compliant",IF(N4&gt;=0.9,"Compliant",IF(N4&gt;=0.8,"Substantially Compliant",IF(N4&gt;=0.7,"Partially Compliant","Non-Compliant")))))</f>
        <v/>
      </c>
      <c r="P4" s="20">
        <f>IF(A4="","",(IF(F4="No",1,0))+(IF(K4&gt;0,1,0))+(IF(M4&gt;0,1,0))+(IF(I4&gt;5,1,0)))</f>
        <v/>
      </c>
      <c r="Q4">
        <f>IF(A4="","","Manual Analysis Required")</f>
        <v/>
      </c>
      <c r="R4">
        <f>IF(A4="","",IF(AND(D4="Critical",P4&gt;0),"P0",IF(P4&gt;0,"P1",IF(N4&lt;0.9,"P2","P3"))))</f>
        <v/>
      </c>
      <c r="S4" s="19" t="n"/>
    </row>
    <row r="5">
      <c r="A5">
        <f>'[ISMS-IMP-A.8.9.1.xlsx]Asset_Inventory'!A5</f>
        <v/>
      </c>
      <c r="B5">
        <f>'[ISMS-IMP-A.8.9.1.xlsx]Asset_Inventory'!B5</f>
        <v/>
      </c>
      <c r="C5">
        <f>'[ISMS-IMP-A.8.9.1.xlsx]Asset_Inventory'!C5</f>
        <v/>
      </c>
      <c r="D5">
        <f>'[ISMS-IMP-A.8.9.1.xlsx]Asset_Inventory'!D5</f>
        <v/>
      </c>
      <c r="E5">
        <f>'[ISMS-IMP-A.8.9.1.xlsx]Asset_Inventory'!E5</f>
        <v/>
      </c>
      <c r="F5">
        <f>'[ISMS-IMP-A.8.9.1.xlsx]Asset_Inventory'!K5</f>
        <v/>
      </c>
      <c r="G5">
        <f>'[ISMS-IMP-A.8.9.1.xlsx]Asset_Inventory'!L5</f>
        <v/>
      </c>
      <c r="H5" s="19" t="inlineStr">
        <is>
          <t>Manual</t>
        </is>
      </c>
      <c r="I5" s="19" t="n">
        <v>0</v>
      </c>
      <c r="J5" s="19" t="inlineStr">
        <is>
          <t>Manual</t>
        </is>
      </c>
      <c r="K5" s="19" t="n">
        <v>0</v>
      </c>
      <c r="L5" s="19" t="inlineStr">
        <is>
          <t>Manual</t>
        </is>
      </c>
      <c r="M5" s="19" t="n">
        <v>0</v>
      </c>
      <c r="N5" s="9">
        <f>IF(A5="","",((IF(AND(F5="Yes",G5="Yes"),100,IF(OR(F5="Yes",G5="Yes"),50,0))*0.2)+(IF(ISNUMBER(H5),H5,0)*0.25)+(IF(AND(J5="Yes",K5=0),100,IF(J5="Yes",50,0))*0.2)+(IF(ISNUMBER(L5),L5,0)*0.25)+(IF(I5&lt;=2,100,100-(I5-2)*10)*0.1))/100)</f>
        <v/>
      </c>
      <c r="O5">
        <f>IF(A5="","",IF(AND(N5&gt;=0.95,P5=0),"Fully Compliant",IF(N5&gt;=0.9,"Compliant",IF(N5&gt;=0.8,"Substantially Compliant",IF(N5&gt;=0.7,"Partially Compliant","Non-Compliant")))))</f>
        <v/>
      </c>
      <c r="P5" s="20">
        <f>IF(A5="","",(IF(F5="No",1,0))+(IF(K5&gt;0,1,0))+(IF(M5&gt;0,1,0))+(IF(I5&gt;5,1,0)))</f>
        <v/>
      </c>
      <c r="Q5">
        <f>IF(A5="","","Manual Analysis Required")</f>
        <v/>
      </c>
      <c r="R5">
        <f>IF(A5="","",IF(AND(D5="Critical",P5&gt;0),"P0",IF(P5&gt;0,"P1",IF(N5&lt;0.9,"P2","P3"))))</f>
        <v/>
      </c>
      <c r="S5" s="19" t="n"/>
    </row>
    <row r="6">
      <c r="A6">
        <f>'[ISMS-IMP-A.8.9.1.xlsx]Asset_Inventory'!A6</f>
        <v/>
      </c>
      <c r="B6">
        <f>'[ISMS-IMP-A.8.9.1.xlsx]Asset_Inventory'!B6</f>
        <v/>
      </c>
      <c r="C6">
        <f>'[ISMS-IMP-A.8.9.1.xlsx]Asset_Inventory'!C6</f>
        <v/>
      </c>
      <c r="D6">
        <f>'[ISMS-IMP-A.8.9.1.xlsx]Asset_Inventory'!D6</f>
        <v/>
      </c>
      <c r="E6">
        <f>'[ISMS-IMP-A.8.9.1.xlsx]Asset_Inventory'!E6</f>
        <v/>
      </c>
      <c r="F6">
        <f>'[ISMS-IMP-A.8.9.1.xlsx]Asset_Inventory'!K6</f>
        <v/>
      </c>
      <c r="G6">
        <f>'[ISMS-IMP-A.8.9.1.xlsx]Asset_Inventory'!L6</f>
        <v/>
      </c>
      <c r="H6" s="19" t="inlineStr">
        <is>
          <t>Manual</t>
        </is>
      </c>
      <c r="I6" s="19" t="n">
        <v>0</v>
      </c>
      <c r="J6" s="19" t="inlineStr">
        <is>
          <t>Manual</t>
        </is>
      </c>
      <c r="K6" s="19" t="n">
        <v>0</v>
      </c>
      <c r="L6" s="19" t="inlineStr">
        <is>
          <t>Manual</t>
        </is>
      </c>
      <c r="M6" s="19" t="n">
        <v>0</v>
      </c>
      <c r="N6" s="9">
        <f>IF(A6="","",((IF(AND(F6="Yes",G6="Yes"),100,IF(OR(F6="Yes",G6="Yes"),50,0))*0.2)+(IF(ISNUMBER(H6),H6,0)*0.25)+(IF(AND(J6="Yes",K6=0),100,IF(J6="Yes",50,0))*0.2)+(IF(ISNUMBER(L6),L6,0)*0.25)+(IF(I6&lt;=2,100,100-(I6-2)*10)*0.1))/100)</f>
        <v/>
      </c>
      <c r="O6">
        <f>IF(A6="","",IF(AND(N6&gt;=0.95,P6=0),"Fully Compliant",IF(N6&gt;=0.9,"Compliant",IF(N6&gt;=0.8,"Substantially Compliant",IF(N6&gt;=0.7,"Partially Compliant","Non-Compliant")))))</f>
        <v/>
      </c>
      <c r="P6" s="20">
        <f>IF(A6="","",(IF(F6="No",1,0))+(IF(K6&gt;0,1,0))+(IF(M6&gt;0,1,0))+(IF(I6&gt;5,1,0)))</f>
        <v/>
      </c>
      <c r="Q6">
        <f>IF(A6="","","Manual Analysis Required")</f>
        <v/>
      </c>
      <c r="R6">
        <f>IF(A6="","",IF(AND(D6="Critical",P6&gt;0),"P0",IF(P6&gt;0,"P1",IF(N6&lt;0.9,"P2","P3"))))</f>
        <v/>
      </c>
      <c r="S6" s="19" t="n"/>
    </row>
    <row r="7">
      <c r="A7">
        <f>'[ISMS-IMP-A.8.9.1.xlsx]Asset_Inventory'!A7</f>
        <v/>
      </c>
      <c r="B7">
        <f>'[ISMS-IMP-A.8.9.1.xlsx]Asset_Inventory'!B7</f>
        <v/>
      </c>
      <c r="C7">
        <f>'[ISMS-IMP-A.8.9.1.xlsx]Asset_Inventory'!C7</f>
        <v/>
      </c>
      <c r="D7">
        <f>'[ISMS-IMP-A.8.9.1.xlsx]Asset_Inventory'!D7</f>
        <v/>
      </c>
      <c r="E7">
        <f>'[ISMS-IMP-A.8.9.1.xlsx]Asset_Inventory'!E7</f>
        <v/>
      </c>
      <c r="F7">
        <f>'[ISMS-IMP-A.8.9.1.xlsx]Asset_Inventory'!K7</f>
        <v/>
      </c>
      <c r="G7">
        <f>'[ISMS-IMP-A.8.9.1.xlsx]Asset_Inventory'!L7</f>
        <v/>
      </c>
      <c r="H7" s="19" t="inlineStr">
        <is>
          <t>Manual</t>
        </is>
      </c>
      <c r="I7" s="19" t="n">
        <v>0</v>
      </c>
      <c r="J7" s="19" t="inlineStr">
        <is>
          <t>Manual</t>
        </is>
      </c>
      <c r="K7" s="19" t="n">
        <v>0</v>
      </c>
      <c r="L7" s="19" t="inlineStr">
        <is>
          <t>Manual</t>
        </is>
      </c>
      <c r="M7" s="19" t="n">
        <v>0</v>
      </c>
      <c r="N7" s="9">
        <f>IF(A7="","",((IF(AND(F7="Yes",G7="Yes"),100,IF(OR(F7="Yes",G7="Yes"),50,0))*0.2)+(IF(ISNUMBER(H7),H7,0)*0.25)+(IF(AND(J7="Yes",K7=0),100,IF(J7="Yes",50,0))*0.2)+(IF(ISNUMBER(L7),L7,0)*0.25)+(IF(I7&lt;=2,100,100-(I7-2)*10)*0.1))/100)</f>
        <v/>
      </c>
      <c r="O7">
        <f>IF(A7="","",IF(AND(N7&gt;=0.95,P7=0),"Fully Compliant",IF(N7&gt;=0.9,"Compliant",IF(N7&gt;=0.8,"Substantially Compliant",IF(N7&gt;=0.7,"Partially Compliant","Non-Compliant")))))</f>
        <v/>
      </c>
      <c r="P7" s="20">
        <f>IF(A7="","",(IF(F7="No",1,0))+(IF(K7&gt;0,1,0))+(IF(M7&gt;0,1,0))+(IF(I7&gt;5,1,0)))</f>
        <v/>
      </c>
      <c r="Q7">
        <f>IF(A7="","","Manual Analysis Required")</f>
        <v/>
      </c>
      <c r="R7">
        <f>IF(A7="","",IF(AND(D7="Critical",P7&gt;0),"P0",IF(P7&gt;0,"P1",IF(N7&lt;0.9,"P2","P3"))))</f>
        <v/>
      </c>
      <c r="S7" s="19" t="n"/>
    </row>
    <row r="8">
      <c r="A8">
        <f>'[ISMS-IMP-A.8.9.1.xlsx]Asset_Inventory'!A8</f>
        <v/>
      </c>
      <c r="B8">
        <f>'[ISMS-IMP-A.8.9.1.xlsx]Asset_Inventory'!B8</f>
        <v/>
      </c>
      <c r="C8">
        <f>'[ISMS-IMP-A.8.9.1.xlsx]Asset_Inventory'!C8</f>
        <v/>
      </c>
      <c r="D8">
        <f>'[ISMS-IMP-A.8.9.1.xlsx]Asset_Inventory'!D8</f>
        <v/>
      </c>
      <c r="E8">
        <f>'[ISMS-IMP-A.8.9.1.xlsx]Asset_Inventory'!E8</f>
        <v/>
      </c>
      <c r="F8">
        <f>'[ISMS-IMP-A.8.9.1.xlsx]Asset_Inventory'!K8</f>
        <v/>
      </c>
      <c r="G8">
        <f>'[ISMS-IMP-A.8.9.1.xlsx]Asset_Inventory'!L8</f>
        <v/>
      </c>
      <c r="H8" s="19" t="inlineStr">
        <is>
          <t>Manual</t>
        </is>
      </c>
      <c r="I8" s="19" t="n">
        <v>0</v>
      </c>
      <c r="J8" s="19" t="inlineStr">
        <is>
          <t>Manual</t>
        </is>
      </c>
      <c r="K8" s="19" t="n">
        <v>0</v>
      </c>
      <c r="L8" s="19" t="inlineStr">
        <is>
          <t>Manual</t>
        </is>
      </c>
      <c r="M8" s="19" t="n">
        <v>0</v>
      </c>
      <c r="N8" s="9">
        <f>IF(A8="","",((IF(AND(F8="Yes",G8="Yes"),100,IF(OR(F8="Yes",G8="Yes"),50,0))*0.2)+(IF(ISNUMBER(H8),H8,0)*0.25)+(IF(AND(J8="Yes",K8=0),100,IF(J8="Yes",50,0))*0.2)+(IF(ISNUMBER(L8),L8,0)*0.25)+(IF(I8&lt;=2,100,100-(I8-2)*10)*0.1))/100)</f>
        <v/>
      </c>
      <c r="O8">
        <f>IF(A8="","",IF(AND(N8&gt;=0.95,P8=0),"Fully Compliant",IF(N8&gt;=0.9,"Compliant",IF(N8&gt;=0.8,"Substantially Compliant",IF(N8&gt;=0.7,"Partially Compliant","Non-Compliant")))))</f>
        <v/>
      </c>
      <c r="P8" s="20">
        <f>IF(A8="","",(IF(F8="No",1,0))+(IF(K8&gt;0,1,0))+(IF(M8&gt;0,1,0))+(IF(I8&gt;5,1,0)))</f>
        <v/>
      </c>
      <c r="Q8">
        <f>IF(A8="","","Manual Analysis Required")</f>
        <v/>
      </c>
      <c r="R8">
        <f>IF(A8="","",IF(AND(D8="Critical",P8&gt;0),"P0",IF(P8&gt;0,"P1",IF(N8&lt;0.9,"P2","P3"))))</f>
        <v/>
      </c>
      <c r="S8" s="19" t="n"/>
    </row>
    <row r="9">
      <c r="A9">
        <f>'[ISMS-IMP-A.8.9.1.xlsx]Asset_Inventory'!A9</f>
        <v/>
      </c>
      <c r="B9">
        <f>'[ISMS-IMP-A.8.9.1.xlsx]Asset_Inventory'!B9</f>
        <v/>
      </c>
      <c r="C9">
        <f>'[ISMS-IMP-A.8.9.1.xlsx]Asset_Inventory'!C9</f>
        <v/>
      </c>
      <c r="D9">
        <f>'[ISMS-IMP-A.8.9.1.xlsx]Asset_Inventory'!D9</f>
        <v/>
      </c>
      <c r="E9">
        <f>'[ISMS-IMP-A.8.9.1.xlsx]Asset_Inventory'!E9</f>
        <v/>
      </c>
      <c r="F9">
        <f>'[ISMS-IMP-A.8.9.1.xlsx]Asset_Inventory'!K9</f>
        <v/>
      </c>
      <c r="G9">
        <f>'[ISMS-IMP-A.8.9.1.xlsx]Asset_Inventory'!L9</f>
        <v/>
      </c>
      <c r="H9" s="19" t="inlineStr">
        <is>
          <t>Manual</t>
        </is>
      </c>
      <c r="I9" s="19" t="n">
        <v>0</v>
      </c>
      <c r="J9" s="19" t="inlineStr">
        <is>
          <t>Manual</t>
        </is>
      </c>
      <c r="K9" s="19" t="n">
        <v>0</v>
      </c>
      <c r="L9" s="19" t="inlineStr">
        <is>
          <t>Manual</t>
        </is>
      </c>
      <c r="M9" s="19" t="n">
        <v>0</v>
      </c>
      <c r="N9" s="9">
        <f>IF(A9="","",((IF(AND(F9="Yes",G9="Yes"),100,IF(OR(F9="Yes",G9="Yes"),50,0))*0.2)+(IF(ISNUMBER(H9),H9,0)*0.25)+(IF(AND(J9="Yes",K9=0),100,IF(J9="Yes",50,0))*0.2)+(IF(ISNUMBER(L9),L9,0)*0.25)+(IF(I9&lt;=2,100,100-(I9-2)*10)*0.1))/100)</f>
        <v/>
      </c>
      <c r="O9">
        <f>IF(A9="","",IF(AND(N9&gt;=0.95,P9=0),"Fully Compliant",IF(N9&gt;=0.9,"Compliant",IF(N9&gt;=0.8,"Substantially Compliant",IF(N9&gt;=0.7,"Partially Compliant","Non-Compliant")))))</f>
        <v/>
      </c>
      <c r="P9" s="20">
        <f>IF(A9="","",(IF(F9="No",1,0))+(IF(K9&gt;0,1,0))+(IF(M9&gt;0,1,0))+(IF(I9&gt;5,1,0)))</f>
        <v/>
      </c>
      <c r="Q9">
        <f>IF(A9="","","Manual Analysis Required")</f>
        <v/>
      </c>
      <c r="R9">
        <f>IF(A9="","",IF(AND(D9="Critical",P9&gt;0),"P0",IF(P9&gt;0,"P1",IF(N9&lt;0.9,"P2","P3"))))</f>
        <v/>
      </c>
      <c r="S9" s="19" t="n"/>
    </row>
    <row r="10">
      <c r="A10">
        <f>'[ISMS-IMP-A.8.9.1.xlsx]Asset_Inventory'!A10</f>
        <v/>
      </c>
      <c r="B10">
        <f>'[ISMS-IMP-A.8.9.1.xlsx]Asset_Inventory'!B10</f>
        <v/>
      </c>
      <c r="C10">
        <f>'[ISMS-IMP-A.8.9.1.xlsx]Asset_Inventory'!C10</f>
        <v/>
      </c>
      <c r="D10">
        <f>'[ISMS-IMP-A.8.9.1.xlsx]Asset_Inventory'!D10</f>
        <v/>
      </c>
      <c r="E10">
        <f>'[ISMS-IMP-A.8.9.1.xlsx]Asset_Inventory'!E10</f>
        <v/>
      </c>
      <c r="F10">
        <f>'[ISMS-IMP-A.8.9.1.xlsx]Asset_Inventory'!K10</f>
        <v/>
      </c>
      <c r="G10">
        <f>'[ISMS-IMP-A.8.9.1.xlsx]Asset_Inventory'!L10</f>
        <v/>
      </c>
      <c r="H10" s="19" t="inlineStr">
        <is>
          <t>Manual</t>
        </is>
      </c>
      <c r="I10" s="19" t="n">
        <v>0</v>
      </c>
      <c r="J10" s="19" t="inlineStr">
        <is>
          <t>Manual</t>
        </is>
      </c>
      <c r="K10" s="19" t="n">
        <v>0</v>
      </c>
      <c r="L10" s="19" t="inlineStr">
        <is>
          <t>Manual</t>
        </is>
      </c>
      <c r="M10" s="19" t="n">
        <v>0</v>
      </c>
      <c r="N10" s="9">
        <f>IF(A10="","",((IF(AND(F10="Yes",G10="Yes"),100,IF(OR(F10="Yes",G10="Yes"),50,0))*0.2)+(IF(ISNUMBER(H10),H10,0)*0.25)+(IF(AND(J10="Yes",K10=0),100,IF(J10="Yes",50,0))*0.2)+(IF(ISNUMBER(L10),L10,0)*0.25)+(IF(I10&lt;=2,100,100-(I10-2)*10)*0.1))/100)</f>
        <v/>
      </c>
      <c r="O10">
        <f>IF(A10="","",IF(AND(N10&gt;=0.95,P10=0),"Fully Compliant",IF(N10&gt;=0.9,"Compliant",IF(N10&gt;=0.8,"Substantially Compliant",IF(N10&gt;=0.7,"Partially Compliant","Non-Compliant")))))</f>
        <v/>
      </c>
      <c r="P10" s="20">
        <f>IF(A10="","",(IF(F10="No",1,0))+(IF(K10&gt;0,1,0))+(IF(M10&gt;0,1,0))+(IF(I10&gt;5,1,0)))</f>
        <v/>
      </c>
      <c r="Q10">
        <f>IF(A10="","","Manual Analysis Required")</f>
        <v/>
      </c>
      <c r="R10">
        <f>IF(A10="","",IF(AND(D10="Critical",P10&gt;0),"P0",IF(P10&gt;0,"P1",IF(N10&lt;0.9,"P2","P3"))))</f>
        <v/>
      </c>
      <c r="S10" s="19" t="n"/>
    </row>
    <row r="11">
      <c r="A11">
        <f>'[ISMS-IMP-A.8.9.1.xlsx]Asset_Inventory'!A11</f>
        <v/>
      </c>
      <c r="B11">
        <f>'[ISMS-IMP-A.8.9.1.xlsx]Asset_Inventory'!B11</f>
        <v/>
      </c>
      <c r="C11">
        <f>'[ISMS-IMP-A.8.9.1.xlsx]Asset_Inventory'!C11</f>
        <v/>
      </c>
      <c r="D11">
        <f>'[ISMS-IMP-A.8.9.1.xlsx]Asset_Inventory'!D11</f>
        <v/>
      </c>
      <c r="E11">
        <f>'[ISMS-IMP-A.8.9.1.xlsx]Asset_Inventory'!E11</f>
        <v/>
      </c>
      <c r="F11">
        <f>'[ISMS-IMP-A.8.9.1.xlsx]Asset_Inventory'!K11</f>
        <v/>
      </c>
      <c r="G11">
        <f>'[ISMS-IMP-A.8.9.1.xlsx]Asset_Inventory'!L11</f>
        <v/>
      </c>
      <c r="H11" s="19" t="inlineStr">
        <is>
          <t>Manual</t>
        </is>
      </c>
      <c r="I11" s="19" t="n">
        <v>0</v>
      </c>
      <c r="J11" s="19" t="inlineStr">
        <is>
          <t>Manual</t>
        </is>
      </c>
      <c r="K11" s="19" t="n">
        <v>0</v>
      </c>
      <c r="L11" s="19" t="inlineStr">
        <is>
          <t>Manual</t>
        </is>
      </c>
      <c r="M11" s="19" t="n">
        <v>0</v>
      </c>
      <c r="N11" s="9">
        <f>IF(A11="","",((IF(AND(F11="Yes",G11="Yes"),100,IF(OR(F11="Yes",G11="Yes"),50,0))*0.2)+(IF(ISNUMBER(H11),H11,0)*0.25)+(IF(AND(J11="Yes",K11=0),100,IF(J11="Yes",50,0))*0.2)+(IF(ISNUMBER(L11),L11,0)*0.25)+(IF(I11&lt;=2,100,100-(I11-2)*10)*0.1))/100)</f>
        <v/>
      </c>
      <c r="O11">
        <f>IF(A11="","",IF(AND(N11&gt;=0.95,P11=0),"Fully Compliant",IF(N11&gt;=0.9,"Compliant",IF(N11&gt;=0.8,"Substantially Compliant",IF(N11&gt;=0.7,"Partially Compliant","Non-Compliant")))))</f>
        <v/>
      </c>
      <c r="P11" s="20">
        <f>IF(A11="","",(IF(F11="No",1,0))+(IF(K11&gt;0,1,0))+(IF(M11&gt;0,1,0))+(IF(I11&gt;5,1,0)))</f>
        <v/>
      </c>
      <c r="Q11">
        <f>IF(A11="","","Manual Analysis Required")</f>
        <v/>
      </c>
      <c r="R11">
        <f>IF(A11="","",IF(AND(D11="Critical",P11&gt;0),"P0",IF(P11&gt;0,"P1",IF(N11&lt;0.9,"P2","P3"))))</f>
        <v/>
      </c>
      <c r="S11" s="19" t="n"/>
    </row>
    <row r="12">
      <c r="A12">
        <f>'[ISMS-IMP-A.8.9.1.xlsx]Asset_Inventory'!A12</f>
        <v/>
      </c>
      <c r="B12">
        <f>'[ISMS-IMP-A.8.9.1.xlsx]Asset_Inventory'!B12</f>
        <v/>
      </c>
      <c r="C12">
        <f>'[ISMS-IMP-A.8.9.1.xlsx]Asset_Inventory'!C12</f>
        <v/>
      </c>
      <c r="D12">
        <f>'[ISMS-IMP-A.8.9.1.xlsx]Asset_Inventory'!D12</f>
        <v/>
      </c>
      <c r="E12">
        <f>'[ISMS-IMP-A.8.9.1.xlsx]Asset_Inventory'!E12</f>
        <v/>
      </c>
      <c r="F12">
        <f>'[ISMS-IMP-A.8.9.1.xlsx]Asset_Inventory'!K12</f>
        <v/>
      </c>
      <c r="G12">
        <f>'[ISMS-IMP-A.8.9.1.xlsx]Asset_Inventory'!L12</f>
        <v/>
      </c>
      <c r="H12" s="19" t="inlineStr">
        <is>
          <t>Manual</t>
        </is>
      </c>
      <c r="I12" s="19" t="n">
        <v>0</v>
      </c>
      <c r="J12" s="19" t="inlineStr">
        <is>
          <t>Manual</t>
        </is>
      </c>
      <c r="K12" s="19" t="n">
        <v>0</v>
      </c>
      <c r="L12" s="19" t="inlineStr">
        <is>
          <t>Manual</t>
        </is>
      </c>
      <c r="M12" s="19" t="n">
        <v>0</v>
      </c>
      <c r="N12" s="9">
        <f>IF(A12="","",((IF(AND(F12="Yes",G12="Yes"),100,IF(OR(F12="Yes",G12="Yes"),50,0))*0.2)+(IF(ISNUMBER(H12),H12,0)*0.25)+(IF(AND(J12="Yes",K12=0),100,IF(J12="Yes",50,0))*0.2)+(IF(ISNUMBER(L12),L12,0)*0.25)+(IF(I12&lt;=2,100,100-(I12-2)*10)*0.1))/100)</f>
        <v/>
      </c>
      <c r="O12">
        <f>IF(A12="","",IF(AND(N12&gt;=0.95,P12=0),"Fully Compliant",IF(N12&gt;=0.9,"Compliant",IF(N12&gt;=0.8,"Substantially Compliant",IF(N12&gt;=0.7,"Partially Compliant","Non-Compliant")))))</f>
        <v/>
      </c>
      <c r="P12" s="20">
        <f>IF(A12="","",(IF(F12="No",1,0))+(IF(K12&gt;0,1,0))+(IF(M12&gt;0,1,0))+(IF(I12&gt;5,1,0)))</f>
        <v/>
      </c>
      <c r="Q12">
        <f>IF(A12="","","Manual Analysis Required")</f>
        <v/>
      </c>
      <c r="R12">
        <f>IF(A12="","",IF(AND(D12="Critical",P12&gt;0),"P0",IF(P12&gt;0,"P1",IF(N12&lt;0.9,"P2","P3"))))</f>
        <v/>
      </c>
      <c r="S12" s="19" t="n"/>
    </row>
    <row r="13">
      <c r="A13">
        <f>'[ISMS-IMP-A.8.9.1.xlsx]Asset_Inventory'!A13</f>
        <v/>
      </c>
      <c r="B13">
        <f>'[ISMS-IMP-A.8.9.1.xlsx]Asset_Inventory'!B13</f>
        <v/>
      </c>
      <c r="C13">
        <f>'[ISMS-IMP-A.8.9.1.xlsx]Asset_Inventory'!C13</f>
        <v/>
      </c>
      <c r="D13">
        <f>'[ISMS-IMP-A.8.9.1.xlsx]Asset_Inventory'!D13</f>
        <v/>
      </c>
      <c r="E13">
        <f>'[ISMS-IMP-A.8.9.1.xlsx]Asset_Inventory'!E13</f>
        <v/>
      </c>
      <c r="F13">
        <f>'[ISMS-IMP-A.8.9.1.xlsx]Asset_Inventory'!K13</f>
        <v/>
      </c>
      <c r="G13">
        <f>'[ISMS-IMP-A.8.9.1.xlsx]Asset_Inventory'!L13</f>
        <v/>
      </c>
      <c r="H13" s="19" t="inlineStr">
        <is>
          <t>Manual</t>
        </is>
      </c>
      <c r="I13" s="19" t="n">
        <v>0</v>
      </c>
      <c r="J13" s="19" t="inlineStr">
        <is>
          <t>Manual</t>
        </is>
      </c>
      <c r="K13" s="19" t="n">
        <v>0</v>
      </c>
      <c r="L13" s="19" t="inlineStr">
        <is>
          <t>Manual</t>
        </is>
      </c>
      <c r="M13" s="19" t="n">
        <v>0</v>
      </c>
      <c r="N13" s="9">
        <f>IF(A13="","",((IF(AND(F13="Yes",G13="Yes"),100,IF(OR(F13="Yes",G13="Yes"),50,0))*0.2)+(IF(ISNUMBER(H13),H13,0)*0.25)+(IF(AND(J13="Yes",K13=0),100,IF(J13="Yes",50,0))*0.2)+(IF(ISNUMBER(L13),L13,0)*0.25)+(IF(I13&lt;=2,100,100-(I13-2)*10)*0.1))/100)</f>
        <v/>
      </c>
      <c r="O13">
        <f>IF(A13="","",IF(AND(N13&gt;=0.95,P13=0),"Fully Compliant",IF(N13&gt;=0.9,"Compliant",IF(N13&gt;=0.8,"Substantially Compliant",IF(N13&gt;=0.7,"Partially Compliant","Non-Compliant")))))</f>
        <v/>
      </c>
      <c r="P13" s="20">
        <f>IF(A13="","",(IF(F13="No",1,0))+(IF(K13&gt;0,1,0))+(IF(M13&gt;0,1,0))+(IF(I13&gt;5,1,0)))</f>
        <v/>
      </c>
      <c r="Q13">
        <f>IF(A13="","","Manual Analysis Required")</f>
        <v/>
      </c>
      <c r="R13">
        <f>IF(A13="","",IF(AND(D13="Critical",P13&gt;0),"P0",IF(P13&gt;0,"P1",IF(N13&lt;0.9,"P2","P3"))))</f>
        <v/>
      </c>
      <c r="S13" s="19" t="n"/>
    </row>
    <row r="14">
      <c r="A14">
        <f>'[ISMS-IMP-A.8.9.1.xlsx]Asset_Inventory'!A14</f>
        <v/>
      </c>
      <c r="B14">
        <f>'[ISMS-IMP-A.8.9.1.xlsx]Asset_Inventory'!B14</f>
        <v/>
      </c>
      <c r="C14">
        <f>'[ISMS-IMP-A.8.9.1.xlsx]Asset_Inventory'!C14</f>
        <v/>
      </c>
      <c r="D14">
        <f>'[ISMS-IMP-A.8.9.1.xlsx]Asset_Inventory'!D14</f>
        <v/>
      </c>
      <c r="E14">
        <f>'[ISMS-IMP-A.8.9.1.xlsx]Asset_Inventory'!E14</f>
        <v/>
      </c>
      <c r="F14">
        <f>'[ISMS-IMP-A.8.9.1.xlsx]Asset_Inventory'!K14</f>
        <v/>
      </c>
      <c r="G14">
        <f>'[ISMS-IMP-A.8.9.1.xlsx]Asset_Inventory'!L14</f>
        <v/>
      </c>
      <c r="H14" s="19" t="inlineStr">
        <is>
          <t>Manual</t>
        </is>
      </c>
      <c r="I14" s="19" t="n">
        <v>0</v>
      </c>
      <c r="J14" s="19" t="inlineStr">
        <is>
          <t>Manual</t>
        </is>
      </c>
      <c r="K14" s="19" t="n">
        <v>0</v>
      </c>
      <c r="L14" s="19" t="inlineStr">
        <is>
          <t>Manual</t>
        </is>
      </c>
      <c r="M14" s="19" t="n">
        <v>0</v>
      </c>
      <c r="N14" s="9">
        <f>IF(A14="","",((IF(AND(F14="Yes",G14="Yes"),100,IF(OR(F14="Yes",G14="Yes"),50,0))*0.2)+(IF(ISNUMBER(H14),H14,0)*0.25)+(IF(AND(J14="Yes",K14=0),100,IF(J14="Yes",50,0))*0.2)+(IF(ISNUMBER(L14),L14,0)*0.25)+(IF(I14&lt;=2,100,100-(I14-2)*10)*0.1))/100)</f>
        <v/>
      </c>
      <c r="O14">
        <f>IF(A14="","",IF(AND(N14&gt;=0.95,P14=0),"Fully Compliant",IF(N14&gt;=0.9,"Compliant",IF(N14&gt;=0.8,"Substantially Compliant",IF(N14&gt;=0.7,"Partially Compliant","Non-Compliant")))))</f>
        <v/>
      </c>
      <c r="P14" s="20">
        <f>IF(A14="","",(IF(F14="No",1,0))+(IF(K14&gt;0,1,0))+(IF(M14&gt;0,1,0))+(IF(I14&gt;5,1,0)))</f>
        <v/>
      </c>
      <c r="Q14">
        <f>IF(A14="","","Manual Analysis Required")</f>
        <v/>
      </c>
      <c r="R14">
        <f>IF(A14="","",IF(AND(D14="Critical",P14&gt;0),"P0",IF(P14&gt;0,"P1",IF(N14&lt;0.9,"P2","P3"))))</f>
        <v/>
      </c>
      <c r="S14" s="19" t="n"/>
    </row>
    <row r="15">
      <c r="A15">
        <f>'[ISMS-IMP-A.8.9.1.xlsx]Asset_Inventory'!A15</f>
        <v/>
      </c>
      <c r="B15">
        <f>'[ISMS-IMP-A.8.9.1.xlsx]Asset_Inventory'!B15</f>
        <v/>
      </c>
      <c r="C15">
        <f>'[ISMS-IMP-A.8.9.1.xlsx]Asset_Inventory'!C15</f>
        <v/>
      </c>
      <c r="D15">
        <f>'[ISMS-IMP-A.8.9.1.xlsx]Asset_Inventory'!D15</f>
        <v/>
      </c>
      <c r="E15">
        <f>'[ISMS-IMP-A.8.9.1.xlsx]Asset_Inventory'!E15</f>
        <v/>
      </c>
      <c r="F15">
        <f>'[ISMS-IMP-A.8.9.1.xlsx]Asset_Inventory'!K15</f>
        <v/>
      </c>
      <c r="G15">
        <f>'[ISMS-IMP-A.8.9.1.xlsx]Asset_Inventory'!L15</f>
        <v/>
      </c>
      <c r="H15" s="19" t="inlineStr">
        <is>
          <t>Manual</t>
        </is>
      </c>
      <c r="I15" s="19" t="n">
        <v>0</v>
      </c>
      <c r="J15" s="19" t="inlineStr">
        <is>
          <t>Manual</t>
        </is>
      </c>
      <c r="K15" s="19" t="n">
        <v>0</v>
      </c>
      <c r="L15" s="19" t="inlineStr">
        <is>
          <t>Manual</t>
        </is>
      </c>
      <c r="M15" s="19" t="n">
        <v>0</v>
      </c>
      <c r="N15" s="9">
        <f>IF(A15="","",((IF(AND(F15="Yes",G15="Yes"),100,IF(OR(F15="Yes",G15="Yes"),50,0))*0.2)+(IF(ISNUMBER(H15),H15,0)*0.25)+(IF(AND(J15="Yes",K15=0),100,IF(J15="Yes",50,0))*0.2)+(IF(ISNUMBER(L15),L15,0)*0.25)+(IF(I15&lt;=2,100,100-(I15-2)*10)*0.1))/100)</f>
        <v/>
      </c>
      <c r="O15">
        <f>IF(A15="","",IF(AND(N15&gt;=0.95,P15=0),"Fully Compliant",IF(N15&gt;=0.9,"Compliant",IF(N15&gt;=0.8,"Substantially Compliant",IF(N15&gt;=0.7,"Partially Compliant","Non-Compliant")))))</f>
        <v/>
      </c>
      <c r="P15" s="20">
        <f>IF(A15="","",(IF(F15="No",1,0))+(IF(K15&gt;0,1,0))+(IF(M15&gt;0,1,0))+(IF(I15&gt;5,1,0)))</f>
        <v/>
      </c>
      <c r="Q15">
        <f>IF(A15="","","Manual Analysis Required")</f>
        <v/>
      </c>
      <c r="R15">
        <f>IF(A15="","",IF(AND(D15="Critical",P15&gt;0),"P0",IF(P15&gt;0,"P1",IF(N15&lt;0.9,"P2","P3"))))</f>
        <v/>
      </c>
      <c r="S15" s="19" t="n"/>
    </row>
    <row r="16">
      <c r="A16">
        <f>'[ISMS-IMP-A.8.9.1.xlsx]Asset_Inventory'!A16</f>
        <v/>
      </c>
      <c r="B16">
        <f>'[ISMS-IMP-A.8.9.1.xlsx]Asset_Inventory'!B16</f>
        <v/>
      </c>
      <c r="C16">
        <f>'[ISMS-IMP-A.8.9.1.xlsx]Asset_Inventory'!C16</f>
        <v/>
      </c>
      <c r="D16">
        <f>'[ISMS-IMP-A.8.9.1.xlsx]Asset_Inventory'!D16</f>
        <v/>
      </c>
      <c r="E16">
        <f>'[ISMS-IMP-A.8.9.1.xlsx]Asset_Inventory'!E16</f>
        <v/>
      </c>
      <c r="F16">
        <f>'[ISMS-IMP-A.8.9.1.xlsx]Asset_Inventory'!K16</f>
        <v/>
      </c>
      <c r="G16">
        <f>'[ISMS-IMP-A.8.9.1.xlsx]Asset_Inventory'!L16</f>
        <v/>
      </c>
      <c r="H16" s="19" t="inlineStr">
        <is>
          <t>Manual</t>
        </is>
      </c>
      <c r="I16" s="19" t="n">
        <v>0</v>
      </c>
      <c r="J16" s="19" t="inlineStr">
        <is>
          <t>Manual</t>
        </is>
      </c>
      <c r="K16" s="19" t="n">
        <v>0</v>
      </c>
      <c r="L16" s="19" t="inlineStr">
        <is>
          <t>Manual</t>
        </is>
      </c>
      <c r="M16" s="19" t="n">
        <v>0</v>
      </c>
      <c r="N16" s="9">
        <f>IF(A16="","",((IF(AND(F16="Yes",G16="Yes"),100,IF(OR(F16="Yes",G16="Yes"),50,0))*0.2)+(IF(ISNUMBER(H16),H16,0)*0.25)+(IF(AND(J16="Yes",K16=0),100,IF(J16="Yes",50,0))*0.2)+(IF(ISNUMBER(L16),L16,0)*0.25)+(IF(I16&lt;=2,100,100-(I16-2)*10)*0.1))/100)</f>
        <v/>
      </c>
      <c r="O16">
        <f>IF(A16="","",IF(AND(N16&gt;=0.95,P16=0),"Fully Compliant",IF(N16&gt;=0.9,"Compliant",IF(N16&gt;=0.8,"Substantially Compliant",IF(N16&gt;=0.7,"Partially Compliant","Non-Compliant")))))</f>
        <v/>
      </c>
      <c r="P16" s="20">
        <f>IF(A16="","",(IF(F16="No",1,0))+(IF(K16&gt;0,1,0))+(IF(M16&gt;0,1,0))+(IF(I16&gt;5,1,0)))</f>
        <v/>
      </c>
      <c r="Q16">
        <f>IF(A16="","","Manual Analysis Required")</f>
        <v/>
      </c>
      <c r="R16">
        <f>IF(A16="","",IF(AND(D16="Critical",P16&gt;0),"P0",IF(P16&gt;0,"P1",IF(N16&lt;0.9,"P2","P3"))))</f>
        <v/>
      </c>
      <c r="S16" s="19" t="n"/>
    </row>
    <row r="17">
      <c r="A17">
        <f>'[ISMS-IMP-A.8.9.1.xlsx]Asset_Inventory'!A17</f>
        <v/>
      </c>
      <c r="B17">
        <f>'[ISMS-IMP-A.8.9.1.xlsx]Asset_Inventory'!B17</f>
        <v/>
      </c>
      <c r="C17">
        <f>'[ISMS-IMP-A.8.9.1.xlsx]Asset_Inventory'!C17</f>
        <v/>
      </c>
      <c r="D17">
        <f>'[ISMS-IMP-A.8.9.1.xlsx]Asset_Inventory'!D17</f>
        <v/>
      </c>
      <c r="E17">
        <f>'[ISMS-IMP-A.8.9.1.xlsx]Asset_Inventory'!E17</f>
        <v/>
      </c>
      <c r="F17">
        <f>'[ISMS-IMP-A.8.9.1.xlsx]Asset_Inventory'!K17</f>
        <v/>
      </c>
      <c r="G17">
        <f>'[ISMS-IMP-A.8.9.1.xlsx]Asset_Inventory'!L17</f>
        <v/>
      </c>
      <c r="H17" s="19" t="inlineStr">
        <is>
          <t>Manual</t>
        </is>
      </c>
      <c r="I17" s="19" t="n">
        <v>0</v>
      </c>
      <c r="J17" s="19" t="inlineStr">
        <is>
          <t>Manual</t>
        </is>
      </c>
      <c r="K17" s="19" t="n">
        <v>0</v>
      </c>
      <c r="L17" s="19" t="inlineStr">
        <is>
          <t>Manual</t>
        </is>
      </c>
      <c r="M17" s="19" t="n">
        <v>0</v>
      </c>
      <c r="N17" s="9">
        <f>IF(A17="","",((IF(AND(F17="Yes",G17="Yes"),100,IF(OR(F17="Yes",G17="Yes"),50,0))*0.2)+(IF(ISNUMBER(H17),H17,0)*0.25)+(IF(AND(J17="Yes",K17=0),100,IF(J17="Yes",50,0))*0.2)+(IF(ISNUMBER(L17),L17,0)*0.25)+(IF(I17&lt;=2,100,100-(I17-2)*10)*0.1))/100)</f>
        <v/>
      </c>
      <c r="O17">
        <f>IF(A17="","",IF(AND(N17&gt;=0.95,P17=0),"Fully Compliant",IF(N17&gt;=0.9,"Compliant",IF(N17&gt;=0.8,"Substantially Compliant",IF(N17&gt;=0.7,"Partially Compliant","Non-Compliant")))))</f>
        <v/>
      </c>
      <c r="P17" s="20">
        <f>IF(A17="","",(IF(F17="No",1,0))+(IF(K17&gt;0,1,0))+(IF(M17&gt;0,1,0))+(IF(I17&gt;5,1,0)))</f>
        <v/>
      </c>
      <c r="Q17">
        <f>IF(A17="","","Manual Analysis Required")</f>
        <v/>
      </c>
      <c r="R17">
        <f>IF(A17="","",IF(AND(D17="Critical",P17&gt;0),"P0",IF(P17&gt;0,"P1",IF(N17&lt;0.9,"P2","P3"))))</f>
        <v/>
      </c>
      <c r="S17" s="19" t="n"/>
    </row>
    <row r="18">
      <c r="A18">
        <f>'[ISMS-IMP-A.8.9.1.xlsx]Asset_Inventory'!A18</f>
        <v/>
      </c>
      <c r="B18">
        <f>'[ISMS-IMP-A.8.9.1.xlsx]Asset_Inventory'!B18</f>
        <v/>
      </c>
      <c r="C18">
        <f>'[ISMS-IMP-A.8.9.1.xlsx]Asset_Inventory'!C18</f>
        <v/>
      </c>
      <c r="D18">
        <f>'[ISMS-IMP-A.8.9.1.xlsx]Asset_Inventory'!D18</f>
        <v/>
      </c>
      <c r="E18">
        <f>'[ISMS-IMP-A.8.9.1.xlsx]Asset_Inventory'!E18</f>
        <v/>
      </c>
      <c r="F18">
        <f>'[ISMS-IMP-A.8.9.1.xlsx]Asset_Inventory'!K18</f>
        <v/>
      </c>
      <c r="G18">
        <f>'[ISMS-IMP-A.8.9.1.xlsx]Asset_Inventory'!L18</f>
        <v/>
      </c>
      <c r="H18" s="19" t="inlineStr">
        <is>
          <t>Manual</t>
        </is>
      </c>
      <c r="I18" s="19" t="n">
        <v>0</v>
      </c>
      <c r="J18" s="19" t="inlineStr">
        <is>
          <t>Manual</t>
        </is>
      </c>
      <c r="K18" s="19" t="n">
        <v>0</v>
      </c>
      <c r="L18" s="19" t="inlineStr">
        <is>
          <t>Manual</t>
        </is>
      </c>
      <c r="M18" s="19" t="n">
        <v>0</v>
      </c>
      <c r="N18" s="9">
        <f>IF(A18="","",((IF(AND(F18="Yes",G18="Yes"),100,IF(OR(F18="Yes",G18="Yes"),50,0))*0.2)+(IF(ISNUMBER(H18),H18,0)*0.25)+(IF(AND(J18="Yes",K18=0),100,IF(J18="Yes",50,0))*0.2)+(IF(ISNUMBER(L18),L18,0)*0.25)+(IF(I18&lt;=2,100,100-(I18-2)*10)*0.1))/100)</f>
        <v/>
      </c>
      <c r="O18">
        <f>IF(A18="","",IF(AND(N18&gt;=0.95,P18=0),"Fully Compliant",IF(N18&gt;=0.9,"Compliant",IF(N18&gt;=0.8,"Substantially Compliant",IF(N18&gt;=0.7,"Partially Compliant","Non-Compliant")))))</f>
        <v/>
      </c>
      <c r="P18" s="20">
        <f>IF(A18="","",(IF(F18="No",1,0))+(IF(K18&gt;0,1,0))+(IF(M18&gt;0,1,0))+(IF(I18&gt;5,1,0)))</f>
        <v/>
      </c>
      <c r="Q18">
        <f>IF(A18="","","Manual Analysis Required")</f>
        <v/>
      </c>
      <c r="R18">
        <f>IF(A18="","",IF(AND(D18="Critical",P18&gt;0),"P0",IF(P18&gt;0,"P1",IF(N18&lt;0.9,"P2","P3"))))</f>
        <v/>
      </c>
      <c r="S18" s="19" t="n"/>
    </row>
    <row r="19">
      <c r="A19">
        <f>'[ISMS-IMP-A.8.9.1.xlsx]Asset_Inventory'!A19</f>
        <v/>
      </c>
      <c r="B19">
        <f>'[ISMS-IMP-A.8.9.1.xlsx]Asset_Inventory'!B19</f>
        <v/>
      </c>
      <c r="C19">
        <f>'[ISMS-IMP-A.8.9.1.xlsx]Asset_Inventory'!C19</f>
        <v/>
      </c>
      <c r="D19">
        <f>'[ISMS-IMP-A.8.9.1.xlsx]Asset_Inventory'!D19</f>
        <v/>
      </c>
      <c r="E19">
        <f>'[ISMS-IMP-A.8.9.1.xlsx]Asset_Inventory'!E19</f>
        <v/>
      </c>
      <c r="F19">
        <f>'[ISMS-IMP-A.8.9.1.xlsx]Asset_Inventory'!K19</f>
        <v/>
      </c>
      <c r="G19">
        <f>'[ISMS-IMP-A.8.9.1.xlsx]Asset_Inventory'!L19</f>
        <v/>
      </c>
      <c r="H19" s="19" t="inlineStr">
        <is>
          <t>Manual</t>
        </is>
      </c>
      <c r="I19" s="19" t="n">
        <v>0</v>
      </c>
      <c r="J19" s="19" t="inlineStr">
        <is>
          <t>Manual</t>
        </is>
      </c>
      <c r="K19" s="19" t="n">
        <v>0</v>
      </c>
      <c r="L19" s="19" t="inlineStr">
        <is>
          <t>Manual</t>
        </is>
      </c>
      <c r="M19" s="19" t="n">
        <v>0</v>
      </c>
      <c r="N19" s="9">
        <f>IF(A19="","",((IF(AND(F19="Yes",G19="Yes"),100,IF(OR(F19="Yes",G19="Yes"),50,0))*0.2)+(IF(ISNUMBER(H19),H19,0)*0.25)+(IF(AND(J19="Yes",K19=0),100,IF(J19="Yes",50,0))*0.2)+(IF(ISNUMBER(L19),L19,0)*0.25)+(IF(I19&lt;=2,100,100-(I19-2)*10)*0.1))/100)</f>
        <v/>
      </c>
      <c r="O19">
        <f>IF(A19="","",IF(AND(N19&gt;=0.95,P19=0),"Fully Compliant",IF(N19&gt;=0.9,"Compliant",IF(N19&gt;=0.8,"Substantially Compliant",IF(N19&gt;=0.7,"Partially Compliant","Non-Compliant")))))</f>
        <v/>
      </c>
      <c r="P19" s="20">
        <f>IF(A19="","",(IF(F19="No",1,0))+(IF(K19&gt;0,1,0))+(IF(M19&gt;0,1,0))+(IF(I19&gt;5,1,0)))</f>
        <v/>
      </c>
      <c r="Q19">
        <f>IF(A19="","","Manual Analysis Required")</f>
        <v/>
      </c>
      <c r="R19">
        <f>IF(A19="","",IF(AND(D19="Critical",P19&gt;0),"P0",IF(P19&gt;0,"P1",IF(N19&lt;0.9,"P2","P3"))))</f>
        <v/>
      </c>
      <c r="S19" s="19" t="n"/>
    </row>
    <row r="20">
      <c r="A20">
        <f>'[ISMS-IMP-A.8.9.1.xlsx]Asset_Inventory'!A20</f>
        <v/>
      </c>
      <c r="B20">
        <f>'[ISMS-IMP-A.8.9.1.xlsx]Asset_Inventory'!B20</f>
        <v/>
      </c>
      <c r="C20">
        <f>'[ISMS-IMP-A.8.9.1.xlsx]Asset_Inventory'!C20</f>
        <v/>
      </c>
      <c r="D20">
        <f>'[ISMS-IMP-A.8.9.1.xlsx]Asset_Inventory'!D20</f>
        <v/>
      </c>
      <c r="E20">
        <f>'[ISMS-IMP-A.8.9.1.xlsx]Asset_Inventory'!E20</f>
        <v/>
      </c>
      <c r="F20">
        <f>'[ISMS-IMP-A.8.9.1.xlsx]Asset_Inventory'!K20</f>
        <v/>
      </c>
      <c r="G20">
        <f>'[ISMS-IMP-A.8.9.1.xlsx]Asset_Inventory'!L20</f>
        <v/>
      </c>
      <c r="H20" s="19" t="inlineStr">
        <is>
          <t>Manual</t>
        </is>
      </c>
      <c r="I20" s="19" t="n">
        <v>0</v>
      </c>
      <c r="J20" s="19" t="inlineStr">
        <is>
          <t>Manual</t>
        </is>
      </c>
      <c r="K20" s="19" t="n">
        <v>0</v>
      </c>
      <c r="L20" s="19" t="inlineStr">
        <is>
          <t>Manual</t>
        </is>
      </c>
      <c r="M20" s="19" t="n">
        <v>0</v>
      </c>
      <c r="N20" s="9">
        <f>IF(A20="","",((IF(AND(F20="Yes",G20="Yes"),100,IF(OR(F20="Yes",G20="Yes"),50,0))*0.2)+(IF(ISNUMBER(H20),H20,0)*0.25)+(IF(AND(J20="Yes",K20=0),100,IF(J20="Yes",50,0))*0.2)+(IF(ISNUMBER(L20),L20,0)*0.25)+(IF(I20&lt;=2,100,100-(I20-2)*10)*0.1))/100)</f>
        <v/>
      </c>
      <c r="O20">
        <f>IF(A20="","",IF(AND(N20&gt;=0.95,P20=0),"Fully Compliant",IF(N20&gt;=0.9,"Compliant",IF(N20&gt;=0.8,"Substantially Compliant",IF(N20&gt;=0.7,"Partially Compliant","Non-Compliant")))))</f>
        <v/>
      </c>
      <c r="P20" s="20">
        <f>IF(A20="","",(IF(F20="No",1,0))+(IF(K20&gt;0,1,0))+(IF(M20&gt;0,1,0))+(IF(I20&gt;5,1,0)))</f>
        <v/>
      </c>
      <c r="Q20">
        <f>IF(A20="","","Manual Analysis Required")</f>
        <v/>
      </c>
      <c r="R20">
        <f>IF(A20="","",IF(AND(D20="Critical",P20&gt;0),"P0",IF(P20&gt;0,"P1",IF(N20&lt;0.9,"P2","P3"))))</f>
        <v/>
      </c>
      <c r="S20" s="19" t="n"/>
    </row>
    <row r="21">
      <c r="A21">
        <f>'[ISMS-IMP-A.8.9.1.xlsx]Asset_Inventory'!A21</f>
        <v/>
      </c>
      <c r="B21">
        <f>'[ISMS-IMP-A.8.9.1.xlsx]Asset_Inventory'!B21</f>
        <v/>
      </c>
      <c r="C21">
        <f>'[ISMS-IMP-A.8.9.1.xlsx]Asset_Inventory'!C21</f>
        <v/>
      </c>
      <c r="D21">
        <f>'[ISMS-IMP-A.8.9.1.xlsx]Asset_Inventory'!D21</f>
        <v/>
      </c>
      <c r="E21">
        <f>'[ISMS-IMP-A.8.9.1.xlsx]Asset_Inventory'!E21</f>
        <v/>
      </c>
      <c r="F21">
        <f>'[ISMS-IMP-A.8.9.1.xlsx]Asset_Inventory'!K21</f>
        <v/>
      </c>
      <c r="G21">
        <f>'[ISMS-IMP-A.8.9.1.xlsx]Asset_Inventory'!L21</f>
        <v/>
      </c>
      <c r="H21" s="19" t="inlineStr">
        <is>
          <t>Manual</t>
        </is>
      </c>
      <c r="I21" s="19" t="n">
        <v>0</v>
      </c>
      <c r="J21" s="19" t="inlineStr">
        <is>
          <t>Manual</t>
        </is>
      </c>
      <c r="K21" s="19" t="n">
        <v>0</v>
      </c>
      <c r="L21" s="19" t="inlineStr">
        <is>
          <t>Manual</t>
        </is>
      </c>
      <c r="M21" s="19" t="n">
        <v>0</v>
      </c>
      <c r="N21" s="9">
        <f>IF(A21="","",((IF(AND(F21="Yes",G21="Yes"),100,IF(OR(F21="Yes",G21="Yes"),50,0))*0.2)+(IF(ISNUMBER(H21),H21,0)*0.25)+(IF(AND(J21="Yes",K21=0),100,IF(J21="Yes",50,0))*0.2)+(IF(ISNUMBER(L21),L21,0)*0.25)+(IF(I21&lt;=2,100,100-(I21-2)*10)*0.1))/100)</f>
        <v/>
      </c>
      <c r="O21">
        <f>IF(A21="","",IF(AND(N21&gt;=0.95,P21=0),"Fully Compliant",IF(N21&gt;=0.9,"Compliant",IF(N21&gt;=0.8,"Substantially Compliant",IF(N21&gt;=0.7,"Partially Compliant","Non-Compliant")))))</f>
        <v/>
      </c>
      <c r="P21" s="20">
        <f>IF(A21="","",(IF(F21="No",1,0))+(IF(K21&gt;0,1,0))+(IF(M21&gt;0,1,0))+(IF(I21&gt;5,1,0)))</f>
        <v/>
      </c>
      <c r="Q21">
        <f>IF(A21="","","Manual Analysis Required")</f>
        <v/>
      </c>
      <c r="R21">
        <f>IF(A21="","",IF(AND(D21="Critical",P21&gt;0),"P0",IF(P21&gt;0,"P1",IF(N21&lt;0.9,"P2","P3"))))</f>
        <v/>
      </c>
      <c r="S21" s="19" t="n"/>
    </row>
    <row r="22">
      <c r="A22">
        <f>'[ISMS-IMP-A.8.9.1.xlsx]Asset_Inventory'!A22</f>
        <v/>
      </c>
      <c r="B22">
        <f>'[ISMS-IMP-A.8.9.1.xlsx]Asset_Inventory'!B22</f>
        <v/>
      </c>
      <c r="C22">
        <f>'[ISMS-IMP-A.8.9.1.xlsx]Asset_Inventory'!C22</f>
        <v/>
      </c>
      <c r="D22">
        <f>'[ISMS-IMP-A.8.9.1.xlsx]Asset_Inventory'!D22</f>
        <v/>
      </c>
      <c r="E22">
        <f>'[ISMS-IMP-A.8.9.1.xlsx]Asset_Inventory'!E22</f>
        <v/>
      </c>
      <c r="F22">
        <f>'[ISMS-IMP-A.8.9.1.xlsx]Asset_Inventory'!K22</f>
        <v/>
      </c>
      <c r="G22">
        <f>'[ISMS-IMP-A.8.9.1.xlsx]Asset_Inventory'!L22</f>
        <v/>
      </c>
      <c r="H22" s="19" t="inlineStr">
        <is>
          <t>Manual</t>
        </is>
      </c>
      <c r="I22" s="19" t="n">
        <v>0</v>
      </c>
      <c r="J22" s="19" t="inlineStr">
        <is>
          <t>Manual</t>
        </is>
      </c>
      <c r="K22" s="19" t="n">
        <v>0</v>
      </c>
      <c r="L22" s="19" t="inlineStr">
        <is>
          <t>Manual</t>
        </is>
      </c>
      <c r="M22" s="19" t="n">
        <v>0</v>
      </c>
      <c r="N22" s="9">
        <f>IF(A22="","",((IF(AND(F22="Yes",G22="Yes"),100,IF(OR(F22="Yes",G22="Yes"),50,0))*0.2)+(IF(ISNUMBER(H22),H22,0)*0.25)+(IF(AND(J22="Yes",K22=0),100,IF(J22="Yes",50,0))*0.2)+(IF(ISNUMBER(L22),L22,0)*0.25)+(IF(I22&lt;=2,100,100-(I22-2)*10)*0.1))/100)</f>
        <v/>
      </c>
      <c r="O22">
        <f>IF(A22="","",IF(AND(N22&gt;=0.95,P22=0),"Fully Compliant",IF(N22&gt;=0.9,"Compliant",IF(N22&gt;=0.8,"Substantially Compliant",IF(N22&gt;=0.7,"Partially Compliant","Non-Compliant")))))</f>
        <v/>
      </c>
      <c r="P22" s="20">
        <f>IF(A22="","",(IF(F22="No",1,0))+(IF(K22&gt;0,1,0))+(IF(M22&gt;0,1,0))+(IF(I22&gt;5,1,0)))</f>
        <v/>
      </c>
      <c r="Q22">
        <f>IF(A22="","","Manual Analysis Required")</f>
        <v/>
      </c>
      <c r="R22">
        <f>IF(A22="","",IF(AND(D22="Critical",P22&gt;0),"P0",IF(P22&gt;0,"P1",IF(N22&lt;0.9,"P2","P3"))))</f>
        <v/>
      </c>
      <c r="S22" s="19" t="n"/>
    </row>
    <row r="23">
      <c r="A23">
        <f>'[ISMS-IMP-A.8.9.1.xlsx]Asset_Inventory'!A23</f>
        <v/>
      </c>
      <c r="B23">
        <f>'[ISMS-IMP-A.8.9.1.xlsx]Asset_Inventory'!B23</f>
        <v/>
      </c>
      <c r="C23">
        <f>'[ISMS-IMP-A.8.9.1.xlsx]Asset_Inventory'!C23</f>
        <v/>
      </c>
      <c r="D23">
        <f>'[ISMS-IMP-A.8.9.1.xlsx]Asset_Inventory'!D23</f>
        <v/>
      </c>
      <c r="E23">
        <f>'[ISMS-IMP-A.8.9.1.xlsx]Asset_Inventory'!E23</f>
        <v/>
      </c>
      <c r="F23">
        <f>'[ISMS-IMP-A.8.9.1.xlsx]Asset_Inventory'!K23</f>
        <v/>
      </c>
      <c r="G23">
        <f>'[ISMS-IMP-A.8.9.1.xlsx]Asset_Inventory'!L23</f>
        <v/>
      </c>
      <c r="H23" s="19" t="inlineStr">
        <is>
          <t>Manual</t>
        </is>
      </c>
      <c r="I23" s="19" t="n">
        <v>0</v>
      </c>
      <c r="J23" s="19" t="inlineStr">
        <is>
          <t>Manual</t>
        </is>
      </c>
      <c r="K23" s="19" t="n">
        <v>0</v>
      </c>
      <c r="L23" s="19" t="inlineStr">
        <is>
          <t>Manual</t>
        </is>
      </c>
      <c r="M23" s="19" t="n">
        <v>0</v>
      </c>
      <c r="N23" s="9">
        <f>IF(A23="","",((IF(AND(F23="Yes",G23="Yes"),100,IF(OR(F23="Yes",G23="Yes"),50,0))*0.2)+(IF(ISNUMBER(H23),H23,0)*0.25)+(IF(AND(J23="Yes",K23=0),100,IF(J23="Yes",50,0))*0.2)+(IF(ISNUMBER(L23),L23,0)*0.25)+(IF(I23&lt;=2,100,100-(I23-2)*10)*0.1))/100)</f>
        <v/>
      </c>
      <c r="O23">
        <f>IF(A23="","",IF(AND(N23&gt;=0.95,P23=0),"Fully Compliant",IF(N23&gt;=0.9,"Compliant",IF(N23&gt;=0.8,"Substantially Compliant",IF(N23&gt;=0.7,"Partially Compliant","Non-Compliant")))))</f>
        <v/>
      </c>
      <c r="P23" s="20">
        <f>IF(A23="","",(IF(F23="No",1,0))+(IF(K23&gt;0,1,0))+(IF(M23&gt;0,1,0))+(IF(I23&gt;5,1,0)))</f>
        <v/>
      </c>
      <c r="Q23">
        <f>IF(A23="","","Manual Analysis Required")</f>
        <v/>
      </c>
      <c r="R23">
        <f>IF(A23="","",IF(AND(D23="Critical",P23&gt;0),"P0",IF(P23&gt;0,"P1",IF(N23&lt;0.9,"P2","P3"))))</f>
        <v/>
      </c>
      <c r="S23" s="19" t="n"/>
    </row>
    <row r="24">
      <c r="A24">
        <f>'[ISMS-IMP-A.8.9.1.xlsx]Asset_Inventory'!A24</f>
        <v/>
      </c>
      <c r="B24">
        <f>'[ISMS-IMP-A.8.9.1.xlsx]Asset_Inventory'!B24</f>
        <v/>
      </c>
      <c r="C24">
        <f>'[ISMS-IMP-A.8.9.1.xlsx]Asset_Inventory'!C24</f>
        <v/>
      </c>
      <c r="D24">
        <f>'[ISMS-IMP-A.8.9.1.xlsx]Asset_Inventory'!D24</f>
        <v/>
      </c>
      <c r="E24">
        <f>'[ISMS-IMP-A.8.9.1.xlsx]Asset_Inventory'!E24</f>
        <v/>
      </c>
      <c r="F24">
        <f>'[ISMS-IMP-A.8.9.1.xlsx]Asset_Inventory'!K24</f>
        <v/>
      </c>
      <c r="G24">
        <f>'[ISMS-IMP-A.8.9.1.xlsx]Asset_Inventory'!L24</f>
        <v/>
      </c>
      <c r="H24" s="19" t="inlineStr">
        <is>
          <t>Manual</t>
        </is>
      </c>
      <c r="I24" s="19" t="n">
        <v>0</v>
      </c>
      <c r="J24" s="19" t="inlineStr">
        <is>
          <t>Manual</t>
        </is>
      </c>
      <c r="K24" s="19" t="n">
        <v>0</v>
      </c>
      <c r="L24" s="19" t="inlineStr">
        <is>
          <t>Manual</t>
        </is>
      </c>
      <c r="M24" s="19" t="n">
        <v>0</v>
      </c>
      <c r="N24" s="9">
        <f>IF(A24="","",((IF(AND(F24="Yes",G24="Yes"),100,IF(OR(F24="Yes",G24="Yes"),50,0))*0.2)+(IF(ISNUMBER(H24),H24,0)*0.25)+(IF(AND(J24="Yes",K24=0),100,IF(J24="Yes",50,0))*0.2)+(IF(ISNUMBER(L24),L24,0)*0.25)+(IF(I24&lt;=2,100,100-(I24-2)*10)*0.1))/100)</f>
        <v/>
      </c>
      <c r="O24">
        <f>IF(A24="","",IF(AND(N24&gt;=0.95,P24=0),"Fully Compliant",IF(N24&gt;=0.9,"Compliant",IF(N24&gt;=0.8,"Substantially Compliant",IF(N24&gt;=0.7,"Partially Compliant","Non-Compliant")))))</f>
        <v/>
      </c>
      <c r="P24" s="20">
        <f>IF(A24="","",(IF(F24="No",1,0))+(IF(K24&gt;0,1,0))+(IF(M24&gt;0,1,0))+(IF(I24&gt;5,1,0)))</f>
        <v/>
      </c>
      <c r="Q24">
        <f>IF(A24="","","Manual Analysis Required")</f>
        <v/>
      </c>
      <c r="R24">
        <f>IF(A24="","",IF(AND(D24="Critical",P24&gt;0),"P0",IF(P24&gt;0,"P1",IF(N24&lt;0.9,"P2","P3"))))</f>
        <v/>
      </c>
      <c r="S24" s="19" t="n"/>
    </row>
    <row r="25">
      <c r="A25">
        <f>'[ISMS-IMP-A.8.9.1.xlsx]Asset_Inventory'!A25</f>
        <v/>
      </c>
      <c r="B25">
        <f>'[ISMS-IMP-A.8.9.1.xlsx]Asset_Inventory'!B25</f>
        <v/>
      </c>
      <c r="C25">
        <f>'[ISMS-IMP-A.8.9.1.xlsx]Asset_Inventory'!C25</f>
        <v/>
      </c>
      <c r="D25">
        <f>'[ISMS-IMP-A.8.9.1.xlsx]Asset_Inventory'!D25</f>
        <v/>
      </c>
      <c r="E25">
        <f>'[ISMS-IMP-A.8.9.1.xlsx]Asset_Inventory'!E25</f>
        <v/>
      </c>
      <c r="F25">
        <f>'[ISMS-IMP-A.8.9.1.xlsx]Asset_Inventory'!K25</f>
        <v/>
      </c>
      <c r="G25">
        <f>'[ISMS-IMP-A.8.9.1.xlsx]Asset_Inventory'!L25</f>
        <v/>
      </c>
      <c r="H25" s="19" t="inlineStr">
        <is>
          <t>Manual</t>
        </is>
      </c>
      <c r="I25" s="19" t="n">
        <v>0</v>
      </c>
      <c r="J25" s="19" t="inlineStr">
        <is>
          <t>Manual</t>
        </is>
      </c>
      <c r="K25" s="19" t="n">
        <v>0</v>
      </c>
      <c r="L25" s="19" t="inlineStr">
        <is>
          <t>Manual</t>
        </is>
      </c>
      <c r="M25" s="19" t="n">
        <v>0</v>
      </c>
      <c r="N25" s="9">
        <f>IF(A25="","",((IF(AND(F25="Yes",G25="Yes"),100,IF(OR(F25="Yes",G25="Yes"),50,0))*0.2)+(IF(ISNUMBER(H25),H25,0)*0.25)+(IF(AND(J25="Yes",K25=0),100,IF(J25="Yes",50,0))*0.2)+(IF(ISNUMBER(L25),L25,0)*0.25)+(IF(I25&lt;=2,100,100-(I25-2)*10)*0.1))/100)</f>
        <v/>
      </c>
      <c r="O25">
        <f>IF(A25="","",IF(AND(N25&gt;=0.95,P25=0),"Fully Compliant",IF(N25&gt;=0.9,"Compliant",IF(N25&gt;=0.8,"Substantially Compliant",IF(N25&gt;=0.7,"Partially Compliant","Non-Compliant")))))</f>
        <v/>
      </c>
      <c r="P25" s="20">
        <f>IF(A25="","",(IF(F25="No",1,0))+(IF(K25&gt;0,1,0))+(IF(M25&gt;0,1,0))+(IF(I25&gt;5,1,0)))</f>
        <v/>
      </c>
      <c r="Q25">
        <f>IF(A25="","","Manual Analysis Required")</f>
        <v/>
      </c>
      <c r="R25">
        <f>IF(A25="","",IF(AND(D25="Critical",P25&gt;0),"P0",IF(P25&gt;0,"P1",IF(N25&lt;0.9,"P2","P3"))))</f>
        <v/>
      </c>
      <c r="S25" s="19" t="n"/>
    </row>
    <row r="26">
      <c r="A26">
        <f>'[ISMS-IMP-A.8.9.1.xlsx]Asset_Inventory'!A26</f>
        <v/>
      </c>
      <c r="B26">
        <f>'[ISMS-IMP-A.8.9.1.xlsx]Asset_Inventory'!B26</f>
        <v/>
      </c>
      <c r="C26">
        <f>'[ISMS-IMP-A.8.9.1.xlsx]Asset_Inventory'!C26</f>
        <v/>
      </c>
      <c r="D26">
        <f>'[ISMS-IMP-A.8.9.1.xlsx]Asset_Inventory'!D26</f>
        <v/>
      </c>
      <c r="E26">
        <f>'[ISMS-IMP-A.8.9.1.xlsx]Asset_Inventory'!E26</f>
        <v/>
      </c>
      <c r="F26">
        <f>'[ISMS-IMP-A.8.9.1.xlsx]Asset_Inventory'!K26</f>
        <v/>
      </c>
      <c r="G26">
        <f>'[ISMS-IMP-A.8.9.1.xlsx]Asset_Inventory'!L26</f>
        <v/>
      </c>
      <c r="H26" s="19" t="inlineStr">
        <is>
          <t>Manual</t>
        </is>
      </c>
      <c r="I26" s="19" t="n">
        <v>0</v>
      </c>
      <c r="J26" s="19" t="inlineStr">
        <is>
          <t>Manual</t>
        </is>
      </c>
      <c r="K26" s="19" t="n">
        <v>0</v>
      </c>
      <c r="L26" s="19" t="inlineStr">
        <is>
          <t>Manual</t>
        </is>
      </c>
      <c r="M26" s="19" t="n">
        <v>0</v>
      </c>
      <c r="N26" s="9">
        <f>IF(A26="","",((IF(AND(F26="Yes",G26="Yes"),100,IF(OR(F26="Yes",G26="Yes"),50,0))*0.2)+(IF(ISNUMBER(H26),H26,0)*0.25)+(IF(AND(J26="Yes",K26=0),100,IF(J26="Yes",50,0))*0.2)+(IF(ISNUMBER(L26),L26,0)*0.25)+(IF(I26&lt;=2,100,100-(I26-2)*10)*0.1))/100)</f>
        <v/>
      </c>
      <c r="O26">
        <f>IF(A26="","",IF(AND(N26&gt;=0.95,P26=0),"Fully Compliant",IF(N26&gt;=0.9,"Compliant",IF(N26&gt;=0.8,"Substantially Compliant",IF(N26&gt;=0.7,"Partially Compliant","Non-Compliant")))))</f>
        <v/>
      </c>
      <c r="P26" s="20">
        <f>IF(A26="","",(IF(F26="No",1,0))+(IF(K26&gt;0,1,0))+(IF(M26&gt;0,1,0))+(IF(I26&gt;5,1,0)))</f>
        <v/>
      </c>
      <c r="Q26">
        <f>IF(A26="","","Manual Analysis Required")</f>
        <v/>
      </c>
      <c r="R26">
        <f>IF(A26="","",IF(AND(D26="Critical",P26&gt;0),"P0",IF(P26&gt;0,"P1",IF(N26&lt;0.9,"P2","P3"))))</f>
        <v/>
      </c>
      <c r="S26" s="19" t="n"/>
    </row>
    <row r="27">
      <c r="A27">
        <f>'[ISMS-IMP-A.8.9.1.xlsx]Asset_Inventory'!A27</f>
        <v/>
      </c>
      <c r="B27">
        <f>'[ISMS-IMP-A.8.9.1.xlsx]Asset_Inventory'!B27</f>
        <v/>
      </c>
      <c r="C27">
        <f>'[ISMS-IMP-A.8.9.1.xlsx]Asset_Inventory'!C27</f>
        <v/>
      </c>
      <c r="D27">
        <f>'[ISMS-IMP-A.8.9.1.xlsx]Asset_Inventory'!D27</f>
        <v/>
      </c>
      <c r="E27">
        <f>'[ISMS-IMP-A.8.9.1.xlsx]Asset_Inventory'!E27</f>
        <v/>
      </c>
      <c r="F27">
        <f>'[ISMS-IMP-A.8.9.1.xlsx]Asset_Inventory'!K27</f>
        <v/>
      </c>
      <c r="G27">
        <f>'[ISMS-IMP-A.8.9.1.xlsx]Asset_Inventory'!L27</f>
        <v/>
      </c>
      <c r="H27" s="19" t="inlineStr">
        <is>
          <t>Manual</t>
        </is>
      </c>
      <c r="I27" s="19" t="n">
        <v>0</v>
      </c>
      <c r="J27" s="19" t="inlineStr">
        <is>
          <t>Manual</t>
        </is>
      </c>
      <c r="K27" s="19" t="n">
        <v>0</v>
      </c>
      <c r="L27" s="19" t="inlineStr">
        <is>
          <t>Manual</t>
        </is>
      </c>
      <c r="M27" s="19" t="n">
        <v>0</v>
      </c>
      <c r="N27" s="9">
        <f>IF(A27="","",((IF(AND(F27="Yes",G27="Yes"),100,IF(OR(F27="Yes",G27="Yes"),50,0))*0.2)+(IF(ISNUMBER(H27),H27,0)*0.25)+(IF(AND(J27="Yes",K27=0),100,IF(J27="Yes",50,0))*0.2)+(IF(ISNUMBER(L27),L27,0)*0.25)+(IF(I27&lt;=2,100,100-(I27-2)*10)*0.1))/100)</f>
        <v/>
      </c>
      <c r="O27">
        <f>IF(A27="","",IF(AND(N27&gt;=0.95,P27=0),"Fully Compliant",IF(N27&gt;=0.9,"Compliant",IF(N27&gt;=0.8,"Substantially Compliant",IF(N27&gt;=0.7,"Partially Compliant","Non-Compliant")))))</f>
        <v/>
      </c>
      <c r="P27" s="20">
        <f>IF(A27="","",(IF(F27="No",1,0))+(IF(K27&gt;0,1,0))+(IF(M27&gt;0,1,0))+(IF(I27&gt;5,1,0)))</f>
        <v/>
      </c>
      <c r="Q27">
        <f>IF(A27="","","Manual Analysis Required")</f>
        <v/>
      </c>
      <c r="R27">
        <f>IF(A27="","",IF(AND(D27="Critical",P27&gt;0),"P0",IF(P27&gt;0,"P1",IF(N27&lt;0.9,"P2","P3"))))</f>
        <v/>
      </c>
      <c r="S27" s="19" t="n"/>
    </row>
    <row r="28">
      <c r="A28">
        <f>'[ISMS-IMP-A.8.9.1.xlsx]Asset_Inventory'!A28</f>
        <v/>
      </c>
      <c r="B28">
        <f>'[ISMS-IMP-A.8.9.1.xlsx]Asset_Inventory'!B28</f>
        <v/>
      </c>
      <c r="C28">
        <f>'[ISMS-IMP-A.8.9.1.xlsx]Asset_Inventory'!C28</f>
        <v/>
      </c>
      <c r="D28">
        <f>'[ISMS-IMP-A.8.9.1.xlsx]Asset_Inventory'!D28</f>
        <v/>
      </c>
      <c r="E28">
        <f>'[ISMS-IMP-A.8.9.1.xlsx]Asset_Inventory'!E28</f>
        <v/>
      </c>
      <c r="F28">
        <f>'[ISMS-IMP-A.8.9.1.xlsx]Asset_Inventory'!K28</f>
        <v/>
      </c>
      <c r="G28">
        <f>'[ISMS-IMP-A.8.9.1.xlsx]Asset_Inventory'!L28</f>
        <v/>
      </c>
      <c r="H28" s="19" t="inlineStr">
        <is>
          <t>Manual</t>
        </is>
      </c>
      <c r="I28" s="19" t="n">
        <v>0</v>
      </c>
      <c r="J28" s="19" t="inlineStr">
        <is>
          <t>Manual</t>
        </is>
      </c>
      <c r="K28" s="19" t="n">
        <v>0</v>
      </c>
      <c r="L28" s="19" t="inlineStr">
        <is>
          <t>Manual</t>
        </is>
      </c>
      <c r="M28" s="19" t="n">
        <v>0</v>
      </c>
      <c r="N28" s="9">
        <f>IF(A28="","",((IF(AND(F28="Yes",G28="Yes"),100,IF(OR(F28="Yes",G28="Yes"),50,0))*0.2)+(IF(ISNUMBER(H28),H28,0)*0.25)+(IF(AND(J28="Yes",K28=0),100,IF(J28="Yes",50,0))*0.2)+(IF(ISNUMBER(L28),L28,0)*0.25)+(IF(I28&lt;=2,100,100-(I28-2)*10)*0.1))/100)</f>
        <v/>
      </c>
      <c r="O28">
        <f>IF(A28="","",IF(AND(N28&gt;=0.95,P28=0),"Fully Compliant",IF(N28&gt;=0.9,"Compliant",IF(N28&gt;=0.8,"Substantially Compliant",IF(N28&gt;=0.7,"Partially Compliant","Non-Compliant")))))</f>
        <v/>
      </c>
      <c r="P28" s="20">
        <f>IF(A28="","",(IF(F28="No",1,0))+(IF(K28&gt;0,1,0))+(IF(M28&gt;0,1,0))+(IF(I28&gt;5,1,0)))</f>
        <v/>
      </c>
      <c r="Q28">
        <f>IF(A28="","","Manual Analysis Required")</f>
        <v/>
      </c>
      <c r="R28">
        <f>IF(A28="","",IF(AND(D28="Critical",P28&gt;0),"P0",IF(P28&gt;0,"P1",IF(N28&lt;0.9,"P2","P3"))))</f>
        <v/>
      </c>
      <c r="S28" s="19" t="n"/>
    </row>
    <row r="29">
      <c r="A29">
        <f>'[ISMS-IMP-A.8.9.1.xlsx]Asset_Inventory'!A29</f>
        <v/>
      </c>
      <c r="B29">
        <f>'[ISMS-IMP-A.8.9.1.xlsx]Asset_Inventory'!B29</f>
        <v/>
      </c>
      <c r="C29">
        <f>'[ISMS-IMP-A.8.9.1.xlsx]Asset_Inventory'!C29</f>
        <v/>
      </c>
      <c r="D29">
        <f>'[ISMS-IMP-A.8.9.1.xlsx]Asset_Inventory'!D29</f>
        <v/>
      </c>
      <c r="E29">
        <f>'[ISMS-IMP-A.8.9.1.xlsx]Asset_Inventory'!E29</f>
        <v/>
      </c>
      <c r="F29">
        <f>'[ISMS-IMP-A.8.9.1.xlsx]Asset_Inventory'!K29</f>
        <v/>
      </c>
      <c r="G29">
        <f>'[ISMS-IMP-A.8.9.1.xlsx]Asset_Inventory'!L29</f>
        <v/>
      </c>
      <c r="H29" s="19" t="inlineStr">
        <is>
          <t>Manual</t>
        </is>
      </c>
      <c r="I29" s="19" t="n">
        <v>0</v>
      </c>
      <c r="J29" s="19" t="inlineStr">
        <is>
          <t>Manual</t>
        </is>
      </c>
      <c r="K29" s="19" t="n">
        <v>0</v>
      </c>
      <c r="L29" s="19" t="inlineStr">
        <is>
          <t>Manual</t>
        </is>
      </c>
      <c r="M29" s="19" t="n">
        <v>0</v>
      </c>
      <c r="N29" s="9">
        <f>IF(A29="","",((IF(AND(F29="Yes",G29="Yes"),100,IF(OR(F29="Yes",G29="Yes"),50,0))*0.2)+(IF(ISNUMBER(H29),H29,0)*0.25)+(IF(AND(J29="Yes",K29=0),100,IF(J29="Yes",50,0))*0.2)+(IF(ISNUMBER(L29),L29,0)*0.25)+(IF(I29&lt;=2,100,100-(I29-2)*10)*0.1))/100)</f>
        <v/>
      </c>
      <c r="O29">
        <f>IF(A29="","",IF(AND(N29&gt;=0.95,P29=0),"Fully Compliant",IF(N29&gt;=0.9,"Compliant",IF(N29&gt;=0.8,"Substantially Compliant",IF(N29&gt;=0.7,"Partially Compliant","Non-Compliant")))))</f>
        <v/>
      </c>
      <c r="P29" s="20">
        <f>IF(A29="","",(IF(F29="No",1,0))+(IF(K29&gt;0,1,0))+(IF(M29&gt;0,1,0))+(IF(I29&gt;5,1,0)))</f>
        <v/>
      </c>
      <c r="Q29">
        <f>IF(A29="","","Manual Analysis Required")</f>
        <v/>
      </c>
      <c r="R29">
        <f>IF(A29="","",IF(AND(D29="Critical",P29&gt;0),"P0",IF(P29&gt;0,"P1",IF(N29&lt;0.9,"P2","P3"))))</f>
        <v/>
      </c>
      <c r="S29" s="19" t="n"/>
    </row>
    <row r="30">
      <c r="A30">
        <f>'[ISMS-IMP-A.8.9.1.xlsx]Asset_Inventory'!A30</f>
        <v/>
      </c>
      <c r="B30">
        <f>'[ISMS-IMP-A.8.9.1.xlsx]Asset_Inventory'!B30</f>
        <v/>
      </c>
      <c r="C30">
        <f>'[ISMS-IMP-A.8.9.1.xlsx]Asset_Inventory'!C30</f>
        <v/>
      </c>
      <c r="D30">
        <f>'[ISMS-IMP-A.8.9.1.xlsx]Asset_Inventory'!D30</f>
        <v/>
      </c>
      <c r="E30">
        <f>'[ISMS-IMP-A.8.9.1.xlsx]Asset_Inventory'!E30</f>
        <v/>
      </c>
      <c r="F30">
        <f>'[ISMS-IMP-A.8.9.1.xlsx]Asset_Inventory'!K30</f>
        <v/>
      </c>
      <c r="G30">
        <f>'[ISMS-IMP-A.8.9.1.xlsx]Asset_Inventory'!L30</f>
        <v/>
      </c>
      <c r="H30" s="19" t="inlineStr">
        <is>
          <t>Manual</t>
        </is>
      </c>
      <c r="I30" s="19" t="n">
        <v>0</v>
      </c>
      <c r="J30" s="19" t="inlineStr">
        <is>
          <t>Manual</t>
        </is>
      </c>
      <c r="K30" s="19" t="n">
        <v>0</v>
      </c>
      <c r="L30" s="19" t="inlineStr">
        <is>
          <t>Manual</t>
        </is>
      </c>
      <c r="M30" s="19" t="n">
        <v>0</v>
      </c>
      <c r="N30" s="9">
        <f>IF(A30="","",((IF(AND(F30="Yes",G30="Yes"),100,IF(OR(F30="Yes",G30="Yes"),50,0))*0.2)+(IF(ISNUMBER(H30),H30,0)*0.25)+(IF(AND(J30="Yes",K30=0),100,IF(J30="Yes",50,0))*0.2)+(IF(ISNUMBER(L30),L30,0)*0.25)+(IF(I30&lt;=2,100,100-(I30-2)*10)*0.1))/100)</f>
        <v/>
      </c>
      <c r="O30">
        <f>IF(A30="","",IF(AND(N30&gt;=0.95,P30=0),"Fully Compliant",IF(N30&gt;=0.9,"Compliant",IF(N30&gt;=0.8,"Substantially Compliant",IF(N30&gt;=0.7,"Partially Compliant","Non-Compliant")))))</f>
        <v/>
      </c>
      <c r="P30" s="20">
        <f>IF(A30="","",(IF(F30="No",1,0))+(IF(K30&gt;0,1,0))+(IF(M30&gt;0,1,0))+(IF(I30&gt;5,1,0)))</f>
        <v/>
      </c>
      <c r="Q30">
        <f>IF(A30="","","Manual Analysis Required")</f>
        <v/>
      </c>
      <c r="R30">
        <f>IF(A30="","",IF(AND(D30="Critical",P30&gt;0),"P0",IF(P30&gt;0,"P1",IF(N30&lt;0.9,"P2","P3"))))</f>
        <v/>
      </c>
      <c r="S30" s="19" t="n"/>
    </row>
    <row r="31">
      <c r="A31">
        <f>'[ISMS-IMP-A.8.9.1.xlsx]Asset_Inventory'!A31</f>
        <v/>
      </c>
      <c r="B31">
        <f>'[ISMS-IMP-A.8.9.1.xlsx]Asset_Inventory'!B31</f>
        <v/>
      </c>
      <c r="C31">
        <f>'[ISMS-IMP-A.8.9.1.xlsx]Asset_Inventory'!C31</f>
        <v/>
      </c>
      <c r="D31">
        <f>'[ISMS-IMP-A.8.9.1.xlsx]Asset_Inventory'!D31</f>
        <v/>
      </c>
      <c r="E31">
        <f>'[ISMS-IMP-A.8.9.1.xlsx]Asset_Inventory'!E31</f>
        <v/>
      </c>
      <c r="F31">
        <f>'[ISMS-IMP-A.8.9.1.xlsx]Asset_Inventory'!K31</f>
        <v/>
      </c>
      <c r="G31">
        <f>'[ISMS-IMP-A.8.9.1.xlsx]Asset_Inventory'!L31</f>
        <v/>
      </c>
      <c r="H31" s="19" t="inlineStr">
        <is>
          <t>Manual</t>
        </is>
      </c>
      <c r="I31" s="19" t="n">
        <v>0</v>
      </c>
      <c r="J31" s="19" t="inlineStr">
        <is>
          <t>Manual</t>
        </is>
      </c>
      <c r="K31" s="19" t="n">
        <v>0</v>
      </c>
      <c r="L31" s="19" t="inlineStr">
        <is>
          <t>Manual</t>
        </is>
      </c>
      <c r="M31" s="19" t="n">
        <v>0</v>
      </c>
      <c r="N31" s="9">
        <f>IF(A31="","",((IF(AND(F31="Yes",G31="Yes"),100,IF(OR(F31="Yes",G31="Yes"),50,0))*0.2)+(IF(ISNUMBER(H31),H31,0)*0.25)+(IF(AND(J31="Yes",K31=0),100,IF(J31="Yes",50,0))*0.2)+(IF(ISNUMBER(L31),L31,0)*0.25)+(IF(I31&lt;=2,100,100-(I31-2)*10)*0.1))/100)</f>
        <v/>
      </c>
      <c r="O31">
        <f>IF(A31="","",IF(AND(N31&gt;=0.95,P31=0),"Fully Compliant",IF(N31&gt;=0.9,"Compliant",IF(N31&gt;=0.8,"Substantially Compliant",IF(N31&gt;=0.7,"Partially Compliant","Non-Compliant")))))</f>
        <v/>
      </c>
      <c r="P31" s="20">
        <f>IF(A31="","",(IF(F31="No",1,0))+(IF(K31&gt;0,1,0))+(IF(M31&gt;0,1,0))+(IF(I31&gt;5,1,0)))</f>
        <v/>
      </c>
      <c r="Q31">
        <f>IF(A31="","","Manual Analysis Required")</f>
        <v/>
      </c>
      <c r="R31">
        <f>IF(A31="","",IF(AND(D31="Critical",P31&gt;0),"P0",IF(P31&gt;0,"P1",IF(N31&lt;0.9,"P2","P3"))))</f>
        <v/>
      </c>
      <c r="S31" s="19" t="n"/>
    </row>
    <row r="32">
      <c r="A32">
        <f>'[ISMS-IMP-A.8.9.1.xlsx]Asset_Inventory'!A32</f>
        <v/>
      </c>
      <c r="B32">
        <f>'[ISMS-IMP-A.8.9.1.xlsx]Asset_Inventory'!B32</f>
        <v/>
      </c>
      <c r="C32">
        <f>'[ISMS-IMP-A.8.9.1.xlsx]Asset_Inventory'!C32</f>
        <v/>
      </c>
      <c r="D32">
        <f>'[ISMS-IMP-A.8.9.1.xlsx]Asset_Inventory'!D32</f>
        <v/>
      </c>
      <c r="E32">
        <f>'[ISMS-IMP-A.8.9.1.xlsx]Asset_Inventory'!E32</f>
        <v/>
      </c>
      <c r="F32">
        <f>'[ISMS-IMP-A.8.9.1.xlsx]Asset_Inventory'!K32</f>
        <v/>
      </c>
      <c r="G32">
        <f>'[ISMS-IMP-A.8.9.1.xlsx]Asset_Inventory'!L32</f>
        <v/>
      </c>
      <c r="H32" s="19" t="inlineStr">
        <is>
          <t>Manual</t>
        </is>
      </c>
      <c r="I32" s="19" t="n">
        <v>0</v>
      </c>
      <c r="J32" s="19" t="inlineStr">
        <is>
          <t>Manual</t>
        </is>
      </c>
      <c r="K32" s="19" t="n">
        <v>0</v>
      </c>
      <c r="L32" s="19" t="inlineStr">
        <is>
          <t>Manual</t>
        </is>
      </c>
      <c r="M32" s="19" t="n">
        <v>0</v>
      </c>
      <c r="N32" s="9">
        <f>IF(A32="","",((IF(AND(F32="Yes",G32="Yes"),100,IF(OR(F32="Yes",G32="Yes"),50,0))*0.2)+(IF(ISNUMBER(H32),H32,0)*0.25)+(IF(AND(J32="Yes",K32=0),100,IF(J32="Yes",50,0))*0.2)+(IF(ISNUMBER(L32),L32,0)*0.25)+(IF(I32&lt;=2,100,100-(I32-2)*10)*0.1))/100)</f>
        <v/>
      </c>
      <c r="O32">
        <f>IF(A32="","",IF(AND(N32&gt;=0.95,P32=0),"Fully Compliant",IF(N32&gt;=0.9,"Compliant",IF(N32&gt;=0.8,"Substantially Compliant",IF(N32&gt;=0.7,"Partially Compliant","Non-Compliant")))))</f>
        <v/>
      </c>
      <c r="P32" s="20">
        <f>IF(A32="","",(IF(F32="No",1,0))+(IF(K32&gt;0,1,0))+(IF(M32&gt;0,1,0))+(IF(I32&gt;5,1,0)))</f>
        <v/>
      </c>
      <c r="Q32">
        <f>IF(A32="","","Manual Analysis Required")</f>
        <v/>
      </c>
      <c r="R32">
        <f>IF(A32="","",IF(AND(D32="Critical",P32&gt;0),"P0",IF(P32&gt;0,"P1",IF(N32&lt;0.9,"P2","P3"))))</f>
        <v/>
      </c>
      <c r="S32" s="19" t="n"/>
    </row>
    <row r="33">
      <c r="A33">
        <f>'[ISMS-IMP-A.8.9.1.xlsx]Asset_Inventory'!A33</f>
        <v/>
      </c>
      <c r="B33">
        <f>'[ISMS-IMP-A.8.9.1.xlsx]Asset_Inventory'!B33</f>
        <v/>
      </c>
      <c r="C33">
        <f>'[ISMS-IMP-A.8.9.1.xlsx]Asset_Inventory'!C33</f>
        <v/>
      </c>
      <c r="D33">
        <f>'[ISMS-IMP-A.8.9.1.xlsx]Asset_Inventory'!D33</f>
        <v/>
      </c>
      <c r="E33">
        <f>'[ISMS-IMP-A.8.9.1.xlsx]Asset_Inventory'!E33</f>
        <v/>
      </c>
      <c r="F33">
        <f>'[ISMS-IMP-A.8.9.1.xlsx]Asset_Inventory'!K33</f>
        <v/>
      </c>
      <c r="G33">
        <f>'[ISMS-IMP-A.8.9.1.xlsx]Asset_Inventory'!L33</f>
        <v/>
      </c>
      <c r="H33" s="19" t="inlineStr">
        <is>
          <t>Manual</t>
        </is>
      </c>
      <c r="I33" s="19" t="n">
        <v>0</v>
      </c>
      <c r="J33" s="19" t="inlineStr">
        <is>
          <t>Manual</t>
        </is>
      </c>
      <c r="K33" s="19" t="n">
        <v>0</v>
      </c>
      <c r="L33" s="19" t="inlineStr">
        <is>
          <t>Manual</t>
        </is>
      </c>
      <c r="M33" s="19" t="n">
        <v>0</v>
      </c>
      <c r="N33" s="9">
        <f>IF(A33="","",((IF(AND(F33="Yes",G33="Yes"),100,IF(OR(F33="Yes",G33="Yes"),50,0))*0.2)+(IF(ISNUMBER(H33),H33,0)*0.25)+(IF(AND(J33="Yes",K33=0),100,IF(J33="Yes",50,0))*0.2)+(IF(ISNUMBER(L33),L33,0)*0.25)+(IF(I33&lt;=2,100,100-(I33-2)*10)*0.1))/100)</f>
        <v/>
      </c>
      <c r="O33">
        <f>IF(A33="","",IF(AND(N33&gt;=0.95,P33=0),"Fully Compliant",IF(N33&gt;=0.9,"Compliant",IF(N33&gt;=0.8,"Substantially Compliant",IF(N33&gt;=0.7,"Partially Compliant","Non-Compliant")))))</f>
        <v/>
      </c>
      <c r="P33" s="20">
        <f>IF(A33="","",(IF(F33="No",1,0))+(IF(K33&gt;0,1,0))+(IF(M33&gt;0,1,0))+(IF(I33&gt;5,1,0)))</f>
        <v/>
      </c>
      <c r="Q33">
        <f>IF(A33="","","Manual Analysis Required")</f>
        <v/>
      </c>
      <c r="R33">
        <f>IF(A33="","",IF(AND(D33="Critical",P33&gt;0),"P0",IF(P33&gt;0,"P1",IF(N33&lt;0.9,"P2","P3"))))</f>
        <v/>
      </c>
      <c r="S33" s="19" t="n"/>
    </row>
    <row r="34">
      <c r="A34">
        <f>'[ISMS-IMP-A.8.9.1.xlsx]Asset_Inventory'!A34</f>
        <v/>
      </c>
      <c r="B34">
        <f>'[ISMS-IMP-A.8.9.1.xlsx]Asset_Inventory'!B34</f>
        <v/>
      </c>
      <c r="C34">
        <f>'[ISMS-IMP-A.8.9.1.xlsx]Asset_Inventory'!C34</f>
        <v/>
      </c>
      <c r="D34">
        <f>'[ISMS-IMP-A.8.9.1.xlsx]Asset_Inventory'!D34</f>
        <v/>
      </c>
      <c r="E34">
        <f>'[ISMS-IMP-A.8.9.1.xlsx]Asset_Inventory'!E34</f>
        <v/>
      </c>
      <c r="F34">
        <f>'[ISMS-IMP-A.8.9.1.xlsx]Asset_Inventory'!K34</f>
        <v/>
      </c>
      <c r="G34">
        <f>'[ISMS-IMP-A.8.9.1.xlsx]Asset_Inventory'!L34</f>
        <v/>
      </c>
      <c r="H34" s="19" t="inlineStr">
        <is>
          <t>Manual</t>
        </is>
      </c>
      <c r="I34" s="19" t="n">
        <v>0</v>
      </c>
      <c r="J34" s="19" t="inlineStr">
        <is>
          <t>Manual</t>
        </is>
      </c>
      <c r="K34" s="19" t="n">
        <v>0</v>
      </c>
      <c r="L34" s="19" t="inlineStr">
        <is>
          <t>Manual</t>
        </is>
      </c>
      <c r="M34" s="19" t="n">
        <v>0</v>
      </c>
      <c r="N34" s="9">
        <f>IF(A34="","",((IF(AND(F34="Yes",G34="Yes"),100,IF(OR(F34="Yes",G34="Yes"),50,0))*0.2)+(IF(ISNUMBER(H34),H34,0)*0.25)+(IF(AND(J34="Yes",K34=0),100,IF(J34="Yes",50,0))*0.2)+(IF(ISNUMBER(L34),L34,0)*0.25)+(IF(I34&lt;=2,100,100-(I34-2)*10)*0.1))/100)</f>
        <v/>
      </c>
      <c r="O34">
        <f>IF(A34="","",IF(AND(N34&gt;=0.95,P34=0),"Fully Compliant",IF(N34&gt;=0.9,"Compliant",IF(N34&gt;=0.8,"Substantially Compliant",IF(N34&gt;=0.7,"Partially Compliant","Non-Compliant")))))</f>
        <v/>
      </c>
      <c r="P34" s="20">
        <f>IF(A34="","",(IF(F34="No",1,0))+(IF(K34&gt;0,1,0))+(IF(M34&gt;0,1,0))+(IF(I34&gt;5,1,0)))</f>
        <v/>
      </c>
      <c r="Q34">
        <f>IF(A34="","","Manual Analysis Required")</f>
        <v/>
      </c>
      <c r="R34">
        <f>IF(A34="","",IF(AND(D34="Critical",P34&gt;0),"P0",IF(P34&gt;0,"P1",IF(N34&lt;0.9,"P2","P3"))))</f>
        <v/>
      </c>
      <c r="S34" s="19" t="n"/>
    </row>
    <row r="35">
      <c r="A35">
        <f>'[ISMS-IMP-A.8.9.1.xlsx]Asset_Inventory'!A35</f>
        <v/>
      </c>
      <c r="B35">
        <f>'[ISMS-IMP-A.8.9.1.xlsx]Asset_Inventory'!B35</f>
        <v/>
      </c>
      <c r="C35">
        <f>'[ISMS-IMP-A.8.9.1.xlsx]Asset_Inventory'!C35</f>
        <v/>
      </c>
      <c r="D35">
        <f>'[ISMS-IMP-A.8.9.1.xlsx]Asset_Inventory'!D35</f>
        <v/>
      </c>
      <c r="E35">
        <f>'[ISMS-IMP-A.8.9.1.xlsx]Asset_Inventory'!E35</f>
        <v/>
      </c>
      <c r="F35">
        <f>'[ISMS-IMP-A.8.9.1.xlsx]Asset_Inventory'!K35</f>
        <v/>
      </c>
      <c r="G35">
        <f>'[ISMS-IMP-A.8.9.1.xlsx]Asset_Inventory'!L35</f>
        <v/>
      </c>
      <c r="H35" s="19" t="inlineStr">
        <is>
          <t>Manual</t>
        </is>
      </c>
      <c r="I35" s="19" t="n">
        <v>0</v>
      </c>
      <c r="J35" s="19" t="inlineStr">
        <is>
          <t>Manual</t>
        </is>
      </c>
      <c r="K35" s="19" t="n">
        <v>0</v>
      </c>
      <c r="L35" s="19" t="inlineStr">
        <is>
          <t>Manual</t>
        </is>
      </c>
      <c r="M35" s="19" t="n">
        <v>0</v>
      </c>
      <c r="N35" s="9">
        <f>IF(A35="","",((IF(AND(F35="Yes",G35="Yes"),100,IF(OR(F35="Yes",G35="Yes"),50,0))*0.2)+(IF(ISNUMBER(H35),H35,0)*0.25)+(IF(AND(J35="Yes",K35=0),100,IF(J35="Yes",50,0))*0.2)+(IF(ISNUMBER(L35),L35,0)*0.25)+(IF(I35&lt;=2,100,100-(I35-2)*10)*0.1))/100)</f>
        <v/>
      </c>
      <c r="O35">
        <f>IF(A35="","",IF(AND(N35&gt;=0.95,P35=0),"Fully Compliant",IF(N35&gt;=0.9,"Compliant",IF(N35&gt;=0.8,"Substantially Compliant",IF(N35&gt;=0.7,"Partially Compliant","Non-Compliant")))))</f>
        <v/>
      </c>
      <c r="P35" s="20">
        <f>IF(A35="","",(IF(F35="No",1,0))+(IF(K35&gt;0,1,0))+(IF(M35&gt;0,1,0))+(IF(I35&gt;5,1,0)))</f>
        <v/>
      </c>
      <c r="Q35">
        <f>IF(A35="","","Manual Analysis Required")</f>
        <v/>
      </c>
      <c r="R35">
        <f>IF(A35="","",IF(AND(D35="Critical",P35&gt;0),"P0",IF(P35&gt;0,"P1",IF(N35&lt;0.9,"P2","P3"))))</f>
        <v/>
      </c>
      <c r="S35" s="19" t="n"/>
    </row>
    <row r="36">
      <c r="A36">
        <f>'[ISMS-IMP-A.8.9.1.xlsx]Asset_Inventory'!A36</f>
        <v/>
      </c>
      <c r="B36">
        <f>'[ISMS-IMP-A.8.9.1.xlsx]Asset_Inventory'!B36</f>
        <v/>
      </c>
      <c r="C36">
        <f>'[ISMS-IMP-A.8.9.1.xlsx]Asset_Inventory'!C36</f>
        <v/>
      </c>
      <c r="D36">
        <f>'[ISMS-IMP-A.8.9.1.xlsx]Asset_Inventory'!D36</f>
        <v/>
      </c>
      <c r="E36">
        <f>'[ISMS-IMP-A.8.9.1.xlsx]Asset_Inventory'!E36</f>
        <v/>
      </c>
      <c r="F36">
        <f>'[ISMS-IMP-A.8.9.1.xlsx]Asset_Inventory'!K36</f>
        <v/>
      </c>
      <c r="G36">
        <f>'[ISMS-IMP-A.8.9.1.xlsx]Asset_Inventory'!L36</f>
        <v/>
      </c>
      <c r="H36" s="19" t="inlineStr">
        <is>
          <t>Manual</t>
        </is>
      </c>
      <c r="I36" s="19" t="n">
        <v>0</v>
      </c>
      <c r="J36" s="19" t="inlineStr">
        <is>
          <t>Manual</t>
        </is>
      </c>
      <c r="K36" s="19" t="n">
        <v>0</v>
      </c>
      <c r="L36" s="19" t="inlineStr">
        <is>
          <t>Manual</t>
        </is>
      </c>
      <c r="M36" s="19" t="n">
        <v>0</v>
      </c>
      <c r="N36" s="9">
        <f>IF(A36="","",((IF(AND(F36="Yes",G36="Yes"),100,IF(OR(F36="Yes",G36="Yes"),50,0))*0.2)+(IF(ISNUMBER(H36),H36,0)*0.25)+(IF(AND(J36="Yes",K36=0),100,IF(J36="Yes",50,0))*0.2)+(IF(ISNUMBER(L36),L36,0)*0.25)+(IF(I36&lt;=2,100,100-(I36-2)*10)*0.1))/100)</f>
        <v/>
      </c>
      <c r="O36">
        <f>IF(A36="","",IF(AND(N36&gt;=0.95,P36=0),"Fully Compliant",IF(N36&gt;=0.9,"Compliant",IF(N36&gt;=0.8,"Substantially Compliant",IF(N36&gt;=0.7,"Partially Compliant","Non-Compliant")))))</f>
        <v/>
      </c>
      <c r="P36" s="20">
        <f>IF(A36="","",(IF(F36="No",1,0))+(IF(K36&gt;0,1,0))+(IF(M36&gt;0,1,0))+(IF(I36&gt;5,1,0)))</f>
        <v/>
      </c>
      <c r="Q36">
        <f>IF(A36="","","Manual Analysis Required")</f>
        <v/>
      </c>
      <c r="R36">
        <f>IF(A36="","",IF(AND(D36="Critical",P36&gt;0),"P0",IF(P36&gt;0,"P1",IF(N36&lt;0.9,"P2","P3"))))</f>
        <v/>
      </c>
      <c r="S36" s="19" t="n"/>
    </row>
    <row r="37">
      <c r="A37">
        <f>'[ISMS-IMP-A.8.9.1.xlsx]Asset_Inventory'!A37</f>
        <v/>
      </c>
      <c r="B37">
        <f>'[ISMS-IMP-A.8.9.1.xlsx]Asset_Inventory'!B37</f>
        <v/>
      </c>
      <c r="C37">
        <f>'[ISMS-IMP-A.8.9.1.xlsx]Asset_Inventory'!C37</f>
        <v/>
      </c>
      <c r="D37">
        <f>'[ISMS-IMP-A.8.9.1.xlsx]Asset_Inventory'!D37</f>
        <v/>
      </c>
      <c r="E37">
        <f>'[ISMS-IMP-A.8.9.1.xlsx]Asset_Inventory'!E37</f>
        <v/>
      </c>
      <c r="F37">
        <f>'[ISMS-IMP-A.8.9.1.xlsx]Asset_Inventory'!K37</f>
        <v/>
      </c>
      <c r="G37">
        <f>'[ISMS-IMP-A.8.9.1.xlsx]Asset_Inventory'!L37</f>
        <v/>
      </c>
      <c r="H37" s="19" t="inlineStr">
        <is>
          <t>Manual</t>
        </is>
      </c>
      <c r="I37" s="19" t="n">
        <v>0</v>
      </c>
      <c r="J37" s="19" t="inlineStr">
        <is>
          <t>Manual</t>
        </is>
      </c>
      <c r="K37" s="19" t="n">
        <v>0</v>
      </c>
      <c r="L37" s="19" t="inlineStr">
        <is>
          <t>Manual</t>
        </is>
      </c>
      <c r="M37" s="19" t="n">
        <v>0</v>
      </c>
      <c r="N37" s="9">
        <f>IF(A37="","",((IF(AND(F37="Yes",G37="Yes"),100,IF(OR(F37="Yes",G37="Yes"),50,0))*0.2)+(IF(ISNUMBER(H37),H37,0)*0.25)+(IF(AND(J37="Yes",K37=0),100,IF(J37="Yes",50,0))*0.2)+(IF(ISNUMBER(L37),L37,0)*0.25)+(IF(I37&lt;=2,100,100-(I37-2)*10)*0.1))/100)</f>
        <v/>
      </c>
      <c r="O37">
        <f>IF(A37="","",IF(AND(N37&gt;=0.95,P37=0),"Fully Compliant",IF(N37&gt;=0.9,"Compliant",IF(N37&gt;=0.8,"Substantially Compliant",IF(N37&gt;=0.7,"Partially Compliant","Non-Compliant")))))</f>
        <v/>
      </c>
      <c r="P37" s="20">
        <f>IF(A37="","",(IF(F37="No",1,0))+(IF(K37&gt;0,1,0))+(IF(M37&gt;0,1,0))+(IF(I37&gt;5,1,0)))</f>
        <v/>
      </c>
      <c r="Q37">
        <f>IF(A37="","","Manual Analysis Required")</f>
        <v/>
      </c>
      <c r="R37">
        <f>IF(A37="","",IF(AND(D37="Critical",P37&gt;0),"P0",IF(P37&gt;0,"P1",IF(N37&lt;0.9,"P2","P3"))))</f>
        <v/>
      </c>
      <c r="S37" s="19" t="n"/>
    </row>
    <row r="38">
      <c r="A38">
        <f>'[ISMS-IMP-A.8.9.1.xlsx]Asset_Inventory'!A38</f>
        <v/>
      </c>
      <c r="B38">
        <f>'[ISMS-IMP-A.8.9.1.xlsx]Asset_Inventory'!B38</f>
        <v/>
      </c>
      <c r="C38">
        <f>'[ISMS-IMP-A.8.9.1.xlsx]Asset_Inventory'!C38</f>
        <v/>
      </c>
      <c r="D38">
        <f>'[ISMS-IMP-A.8.9.1.xlsx]Asset_Inventory'!D38</f>
        <v/>
      </c>
      <c r="E38">
        <f>'[ISMS-IMP-A.8.9.1.xlsx]Asset_Inventory'!E38</f>
        <v/>
      </c>
      <c r="F38">
        <f>'[ISMS-IMP-A.8.9.1.xlsx]Asset_Inventory'!K38</f>
        <v/>
      </c>
      <c r="G38">
        <f>'[ISMS-IMP-A.8.9.1.xlsx]Asset_Inventory'!L38</f>
        <v/>
      </c>
      <c r="H38" s="19" t="inlineStr">
        <is>
          <t>Manual</t>
        </is>
      </c>
      <c r="I38" s="19" t="n">
        <v>0</v>
      </c>
      <c r="J38" s="19" t="inlineStr">
        <is>
          <t>Manual</t>
        </is>
      </c>
      <c r="K38" s="19" t="n">
        <v>0</v>
      </c>
      <c r="L38" s="19" t="inlineStr">
        <is>
          <t>Manual</t>
        </is>
      </c>
      <c r="M38" s="19" t="n">
        <v>0</v>
      </c>
      <c r="N38" s="9">
        <f>IF(A38="","",((IF(AND(F38="Yes",G38="Yes"),100,IF(OR(F38="Yes",G38="Yes"),50,0))*0.2)+(IF(ISNUMBER(H38),H38,0)*0.25)+(IF(AND(J38="Yes",K38=0),100,IF(J38="Yes",50,0))*0.2)+(IF(ISNUMBER(L38),L38,0)*0.25)+(IF(I38&lt;=2,100,100-(I38-2)*10)*0.1))/100)</f>
        <v/>
      </c>
      <c r="O38">
        <f>IF(A38="","",IF(AND(N38&gt;=0.95,P38=0),"Fully Compliant",IF(N38&gt;=0.9,"Compliant",IF(N38&gt;=0.8,"Substantially Compliant",IF(N38&gt;=0.7,"Partially Compliant","Non-Compliant")))))</f>
        <v/>
      </c>
      <c r="P38" s="20">
        <f>IF(A38="","",(IF(F38="No",1,0))+(IF(K38&gt;0,1,0))+(IF(M38&gt;0,1,0))+(IF(I38&gt;5,1,0)))</f>
        <v/>
      </c>
      <c r="Q38">
        <f>IF(A38="","","Manual Analysis Required")</f>
        <v/>
      </c>
      <c r="R38">
        <f>IF(A38="","",IF(AND(D38="Critical",P38&gt;0),"P0",IF(P38&gt;0,"P1",IF(N38&lt;0.9,"P2","P3"))))</f>
        <v/>
      </c>
      <c r="S38" s="19" t="n"/>
    </row>
    <row r="39">
      <c r="A39">
        <f>'[ISMS-IMP-A.8.9.1.xlsx]Asset_Inventory'!A39</f>
        <v/>
      </c>
      <c r="B39">
        <f>'[ISMS-IMP-A.8.9.1.xlsx]Asset_Inventory'!B39</f>
        <v/>
      </c>
      <c r="C39">
        <f>'[ISMS-IMP-A.8.9.1.xlsx]Asset_Inventory'!C39</f>
        <v/>
      </c>
      <c r="D39">
        <f>'[ISMS-IMP-A.8.9.1.xlsx]Asset_Inventory'!D39</f>
        <v/>
      </c>
      <c r="E39">
        <f>'[ISMS-IMP-A.8.9.1.xlsx]Asset_Inventory'!E39</f>
        <v/>
      </c>
      <c r="F39">
        <f>'[ISMS-IMP-A.8.9.1.xlsx]Asset_Inventory'!K39</f>
        <v/>
      </c>
      <c r="G39">
        <f>'[ISMS-IMP-A.8.9.1.xlsx]Asset_Inventory'!L39</f>
        <v/>
      </c>
      <c r="H39" s="19" t="inlineStr">
        <is>
          <t>Manual</t>
        </is>
      </c>
      <c r="I39" s="19" t="n">
        <v>0</v>
      </c>
      <c r="J39" s="19" t="inlineStr">
        <is>
          <t>Manual</t>
        </is>
      </c>
      <c r="K39" s="19" t="n">
        <v>0</v>
      </c>
      <c r="L39" s="19" t="inlineStr">
        <is>
          <t>Manual</t>
        </is>
      </c>
      <c r="M39" s="19" t="n">
        <v>0</v>
      </c>
      <c r="N39" s="9">
        <f>IF(A39="","",((IF(AND(F39="Yes",G39="Yes"),100,IF(OR(F39="Yes",G39="Yes"),50,0))*0.2)+(IF(ISNUMBER(H39),H39,0)*0.25)+(IF(AND(J39="Yes",K39=0),100,IF(J39="Yes",50,0))*0.2)+(IF(ISNUMBER(L39),L39,0)*0.25)+(IF(I39&lt;=2,100,100-(I39-2)*10)*0.1))/100)</f>
        <v/>
      </c>
      <c r="O39">
        <f>IF(A39="","",IF(AND(N39&gt;=0.95,P39=0),"Fully Compliant",IF(N39&gt;=0.9,"Compliant",IF(N39&gt;=0.8,"Substantially Compliant",IF(N39&gt;=0.7,"Partially Compliant","Non-Compliant")))))</f>
        <v/>
      </c>
      <c r="P39" s="20">
        <f>IF(A39="","",(IF(F39="No",1,0))+(IF(K39&gt;0,1,0))+(IF(M39&gt;0,1,0))+(IF(I39&gt;5,1,0)))</f>
        <v/>
      </c>
      <c r="Q39">
        <f>IF(A39="","","Manual Analysis Required")</f>
        <v/>
      </c>
      <c r="R39">
        <f>IF(A39="","",IF(AND(D39="Critical",P39&gt;0),"P0",IF(P39&gt;0,"P1",IF(N39&lt;0.9,"P2","P3"))))</f>
        <v/>
      </c>
      <c r="S39" s="19" t="n"/>
    </row>
    <row r="40">
      <c r="A40">
        <f>'[ISMS-IMP-A.8.9.1.xlsx]Asset_Inventory'!A40</f>
        <v/>
      </c>
      <c r="B40">
        <f>'[ISMS-IMP-A.8.9.1.xlsx]Asset_Inventory'!B40</f>
        <v/>
      </c>
      <c r="C40">
        <f>'[ISMS-IMP-A.8.9.1.xlsx]Asset_Inventory'!C40</f>
        <v/>
      </c>
      <c r="D40">
        <f>'[ISMS-IMP-A.8.9.1.xlsx]Asset_Inventory'!D40</f>
        <v/>
      </c>
      <c r="E40">
        <f>'[ISMS-IMP-A.8.9.1.xlsx]Asset_Inventory'!E40</f>
        <v/>
      </c>
      <c r="F40">
        <f>'[ISMS-IMP-A.8.9.1.xlsx]Asset_Inventory'!K40</f>
        <v/>
      </c>
      <c r="G40">
        <f>'[ISMS-IMP-A.8.9.1.xlsx]Asset_Inventory'!L40</f>
        <v/>
      </c>
      <c r="H40" s="19" t="inlineStr">
        <is>
          <t>Manual</t>
        </is>
      </c>
      <c r="I40" s="19" t="n">
        <v>0</v>
      </c>
      <c r="J40" s="19" t="inlineStr">
        <is>
          <t>Manual</t>
        </is>
      </c>
      <c r="K40" s="19" t="n">
        <v>0</v>
      </c>
      <c r="L40" s="19" t="inlineStr">
        <is>
          <t>Manual</t>
        </is>
      </c>
      <c r="M40" s="19" t="n">
        <v>0</v>
      </c>
      <c r="N40" s="9">
        <f>IF(A40="","",((IF(AND(F40="Yes",G40="Yes"),100,IF(OR(F40="Yes",G40="Yes"),50,0))*0.2)+(IF(ISNUMBER(H40),H40,0)*0.25)+(IF(AND(J40="Yes",K40=0),100,IF(J40="Yes",50,0))*0.2)+(IF(ISNUMBER(L40),L40,0)*0.25)+(IF(I40&lt;=2,100,100-(I40-2)*10)*0.1))/100)</f>
        <v/>
      </c>
      <c r="O40">
        <f>IF(A40="","",IF(AND(N40&gt;=0.95,P40=0),"Fully Compliant",IF(N40&gt;=0.9,"Compliant",IF(N40&gt;=0.8,"Substantially Compliant",IF(N40&gt;=0.7,"Partially Compliant","Non-Compliant")))))</f>
        <v/>
      </c>
      <c r="P40" s="20">
        <f>IF(A40="","",(IF(F40="No",1,0))+(IF(K40&gt;0,1,0))+(IF(M40&gt;0,1,0))+(IF(I40&gt;5,1,0)))</f>
        <v/>
      </c>
      <c r="Q40">
        <f>IF(A40="","","Manual Analysis Required")</f>
        <v/>
      </c>
      <c r="R40">
        <f>IF(A40="","",IF(AND(D40="Critical",P40&gt;0),"P0",IF(P40&gt;0,"P1",IF(N40&lt;0.9,"P2","P3"))))</f>
        <v/>
      </c>
      <c r="S40" s="19" t="n"/>
    </row>
    <row r="41">
      <c r="A41">
        <f>'[ISMS-IMP-A.8.9.1.xlsx]Asset_Inventory'!A41</f>
        <v/>
      </c>
      <c r="B41">
        <f>'[ISMS-IMP-A.8.9.1.xlsx]Asset_Inventory'!B41</f>
        <v/>
      </c>
      <c r="C41">
        <f>'[ISMS-IMP-A.8.9.1.xlsx]Asset_Inventory'!C41</f>
        <v/>
      </c>
      <c r="D41">
        <f>'[ISMS-IMP-A.8.9.1.xlsx]Asset_Inventory'!D41</f>
        <v/>
      </c>
      <c r="E41">
        <f>'[ISMS-IMP-A.8.9.1.xlsx]Asset_Inventory'!E41</f>
        <v/>
      </c>
      <c r="F41">
        <f>'[ISMS-IMP-A.8.9.1.xlsx]Asset_Inventory'!K41</f>
        <v/>
      </c>
      <c r="G41">
        <f>'[ISMS-IMP-A.8.9.1.xlsx]Asset_Inventory'!L41</f>
        <v/>
      </c>
      <c r="H41" s="19" t="inlineStr">
        <is>
          <t>Manual</t>
        </is>
      </c>
      <c r="I41" s="19" t="n">
        <v>0</v>
      </c>
      <c r="J41" s="19" t="inlineStr">
        <is>
          <t>Manual</t>
        </is>
      </c>
      <c r="K41" s="19" t="n">
        <v>0</v>
      </c>
      <c r="L41" s="19" t="inlineStr">
        <is>
          <t>Manual</t>
        </is>
      </c>
      <c r="M41" s="19" t="n">
        <v>0</v>
      </c>
      <c r="N41" s="9">
        <f>IF(A41="","",((IF(AND(F41="Yes",G41="Yes"),100,IF(OR(F41="Yes",G41="Yes"),50,0))*0.2)+(IF(ISNUMBER(H41),H41,0)*0.25)+(IF(AND(J41="Yes",K41=0),100,IF(J41="Yes",50,0))*0.2)+(IF(ISNUMBER(L41),L41,0)*0.25)+(IF(I41&lt;=2,100,100-(I41-2)*10)*0.1))/100)</f>
        <v/>
      </c>
      <c r="O41">
        <f>IF(A41="","",IF(AND(N41&gt;=0.95,P41=0),"Fully Compliant",IF(N41&gt;=0.9,"Compliant",IF(N41&gt;=0.8,"Substantially Compliant",IF(N41&gt;=0.7,"Partially Compliant","Non-Compliant")))))</f>
        <v/>
      </c>
      <c r="P41" s="20">
        <f>IF(A41="","",(IF(F41="No",1,0))+(IF(K41&gt;0,1,0))+(IF(M41&gt;0,1,0))+(IF(I41&gt;5,1,0)))</f>
        <v/>
      </c>
      <c r="Q41">
        <f>IF(A41="","","Manual Analysis Required")</f>
        <v/>
      </c>
      <c r="R41">
        <f>IF(A41="","",IF(AND(D41="Critical",P41&gt;0),"P0",IF(P41&gt;0,"P1",IF(N41&lt;0.9,"P2","P3"))))</f>
        <v/>
      </c>
      <c r="S41" s="19" t="n"/>
    </row>
    <row r="42">
      <c r="A42">
        <f>'[ISMS-IMP-A.8.9.1.xlsx]Asset_Inventory'!A42</f>
        <v/>
      </c>
      <c r="B42">
        <f>'[ISMS-IMP-A.8.9.1.xlsx]Asset_Inventory'!B42</f>
        <v/>
      </c>
      <c r="C42">
        <f>'[ISMS-IMP-A.8.9.1.xlsx]Asset_Inventory'!C42</f>
        <v/>
      </c>
      <c r="D42">
        <f>'[ISMS-IMP-A.8.9.1.xlsx]Asset_Inventory'!D42</f>
        <v/>
      </c>
      <c r="E42">
        <f>'[ISMS-IMP-A.8.9.1.xlsx]Asset_Inventory'!E42</f>
        <v/>
      </c>
      <c r="F42">
        <f>'[ISMS-IMP-A.8.9.1.xlsx]Asset_Inventory'!K42</f>
        <v/>
      </c>
      <c r="G42">
        <f>'[ISMS-IMP-A.8.9.1.xlsx]Asset_Inventory'!L42</f>
        <v/>
      </c>
      <c r="H42" s="19" t="inlineStr">
        <is>
          <t>Manual</t>
        </is>
      </c>
      <c r="I42" s="19" t="n">
        <v>0</v>
      </c>
      <c r="J42" s="19" t="inlineStr">
        <is>
          <t>Manual</t>
        </is>
      </c>
      <c r="K42" s="19" t="n">
        <v>0</v>
      </c>
      <c r="L42" s="19" t="inlineStr">
        <is>
          <t>Manual</t>
        </is>
      </c>
      <c r="M42" s="19" t="n">
        <v>0</v>
      </c>
      <c r="N42" s="9">
        <f>IF(A42="","",((IF(AND(F42="Yes",G42="Yes"),100,IF(OR(F42="Yes",G42="Yes"),50,0))*0.2)+(IF(ISNUMBER(H42),H42,0)*0.25)+(IF(AND(J42="Yes",K42=0),100,IF(J42="Yes",50,0))*0.2)+(IF(ISNUMBER(L42),L42,0)*0.25)+(IF(I42&lt;=2,100,100-(I42-2)*10)*0.1))/100)</f>
        <v/>
      </c>
      <c r="O42">
        <f>IF(A42="","",IF(AND(N42&gt;=0.95,P42=0),"Fully Compliant",IF(N42&gt;=0.9,"Compliant",IF(N42&gt;=0.8,"Substantially Compliant",IF(N42&gt;=0.7,"Partially Compliant","Non-Compliant")))))</f>
        <v/>
      </c>
      <c r="P42" s="20">
        <f>IF(A42="","",(IF(F42="No",1,0))+(IF(K42&gt;0,1,0))+(IF(M42&gt;0,1,0))+(IF(I42&gt;5,1,0)))</f>
        <v/>
      </c>
      <c r="Q42">
        <f>IF(A42="","","Manual Analysis Required")</f>
        <v/>
      </c>
      <c r="R42">
        <f>IF(A42="","",IF(AND(D42="Critical",P42&gt;0),"P0",IF(P42&gt;0,"P1",IF(N42&lt;0.9,"P2","P3"))))</f>
        <v/>
      </c>
      <c r="S42" s="19" t="n"/>
    </row>
    <row r="43">
      <c r="A43">
        <f>'[ISMS-IMP-A.8.9.1.xlsx]Asset_Inventory'!A43</f>
        <v/>
      </c>
      <c r="B43">
        <f>'[ISMS-IMP-A.8.9.1.xlsx]Asset_Inventory'!B43</f>
        <v/>
      </c>
      <c r="C43">
        <f>'[ISMS-IMP-A.8.9.1.xlsx]Asset_Inventory'!C43</f>
        <v/>
      </c>
      <c r="D43">
        <f>'[ISMS-IMP-A.8.9.1.xlsx]Asset_Inventory'!D43</f>
        <v/>
      </c>
      <c r="E43">
        <f>'[ISMS-IMP-A.8.9.1.xlsx]Asset_Inventory'!E43</f>
        <v/>
      </c>
      <c r="F43">
        <f>'[ISMS-IMP-A.8.9.1.xlsx]Asset_Inventory'!K43</f>
        <v/>
      </c>
      <c r="G43">
        <f>'[ISMS-IMP-A.8.9.1.xlsx]Asset_Inventory'!L43</f>
        <v/>
      </c>
      <c r="H43" s="19" t="inlineStr">
        <is>
          <t>Manual</t>
        </is>
      </c>
      <c r="I43" s="19" t="n">
        <v>0</v>
      </c>
      <c r="J43" s="19" t="inlineStr">
        <is>
          <t>Manual</t>
        </is>
      </c>
      <c r="K43" s="19" t="n">
        <v>0</v>
      </c>
      <c r="L43" s="19" t="inlineStr">
        <is>
          <t>Manual</t>
        </is>
      </c>
      <c r="M43" s="19" t="n">
        <v>0</v>
      </c>
      <c r="N43" s="9">
        <f>IF(A43="","",((IF(AND(F43="Yes",G43="Yes"),100,IF(OR(F43="Yes",G43="Yes"),50,0))*0.2)+(IF(ISNUMBER(H43),H43,0)*0.25)+(IF(AND(J43="Yes",K43=0),100,IF(J43="Yes",50,0))*0.2)+(IF(ISNUMBER(L43),L43,0)*0.25)+(IF(I43&lt;=2,100,100-(I43-2)*10)*0.1))/100)</f>
        <v/>
      </c>
      <c r="O43">
        <f>IF(A43="","",IF(AND(N43&gt;=0.95,P43=0),"Fully Compliant",IF(N43&gt;=0.9,"Compliant",IF(N43&gt;=0.8,"Substantially Compliant",IF(N43&gt;=0.7,"Partially Compliant","Non-Compliant")))))</f>
        <v/>
      </c>
      <c r="P43" s="20">
        <f>IF(A43="","",(IF(F43="No",1,0))+(IF(K43&gt;0,1,0))+(IF(M43&gt;0,1,0))+(IF(I43&gt;5,1,0)))</f>
        <v/>
      </c>
      <c r="Q43">
        <f>IF(A43="","","Manual Analysis Required")</f>
        <v/>
      </c>
      <c r="R43">
        <f>IF(A43="","",IF(AND(D43="Critical",P43&gt;0),"P0",IF(P43&gt;0,"P1",IF(N43&lt;0.9,"P2","P3"))))</f>
        <v/>
      </c>
      <c r="S43" s="19" t="n"/>
    </row>
    <row r="44">
      <c r="A44">
        <f>'[ISMS-IMP-A.8.9.1.xlsx]Asset_Inventory'!A44</f>
        <v/>
      </c>
      <c r="B44">
        <f>'[ISMS-IMP-A.8.9.1.xlsx]Asset_Inventory'!B44</f>
        <v/>
      </c>
      <c r="C44">
        <f>'[ISMS-IMP-A.8.9.1.xlsx]Asset_Inventory'!C44</f>
        <v/>
      </c>
      <c r="D44">
        <f>'[ISMS-IMP-A.8.9.1.xlsx]Asset_Inventory'!D44</f>
        <v/>
      </c>
      <c r="E44">
        <f>'[ISMS-IMP-A.8.9.1.xlsx]Asset_Inventory'!E44</f>
        <v/>
      </c>
      <c r="F44">
        <f>'[ISMS-IMP-A.8.9.1.xlsx]Asset_Inventory'!K44</f>
        <v/>
      </c>
      <c r="G44">
        <f>'[ISMS-IMP-A.8.9.1.xlsx]Asset_Inventory'!L44</f>
        <v/>
      </c>
      <c r="H44" s="19" t="inlineStr">
        <is>
          <t>Manual</t>
        </is>
      </c>
      <c r="I44" s="19" t="n">
        <v>0</v>
      </c>
      <c r="J44" s="19" t="inlineStr">
        <is>
          <t>Manual</t>
        </is>
      </c>
      <c r="K44" s="19" t="n">
        <v>0</v>
      </c>
      <c r="L44" s="19" t="inlineStr">
        <is>
          <t>Manual</t>
        </is>
      </c>
      <c r="M44" s="19" t="n">
        <v>0</v>
      </c>
      <c r="N44" s="9">
        <f>IF(A44="","",((IF(AND(F44="Yes",G44="Yes"),100,IF(OR(F44="Yes",G44="Yes"),50,0))*0.2)+(IF(ISNUMBER(H44),H44,0)*0.25)+(IF(AND(J44="Yes",K44=0),100,IF(J44="Yes",50,0))*0.2)+(IF(ISNUMBER(L44),L44,0)*0.25)+(IF(I44&lt;=2,100,100-(I44-2)*10)*0.1))/100)</f>
        <v/>
      </c>
      <c r="O44">
        <f>IF(A44="","",IF(AND(N44&gt;=0.95,P44=0),"Fully Compliant",IF(N44&gt;=0.9,"Compliant",IF(N44&gt;=0.8,"Substantially Compliant",IF(N44&gt;=0.7,"Partially Compliant","Non-Compliant")))))</f>
        <v/>
      </c>
      <c r="P44" s="20">
        <f>IF(A44="","",(IF(F44="No",1,0))+(IF(K44&gt;0,1,0))+(IF(M44&gt;0,1,0))+(IF(I44&gt;5,1,0)))</f>
        <v/>
      </c>
      <c r="Q44">
        <f>IF(A44="","","Manual Analysis Required")</f>
        <v/>
      </c>
      <c r="R44">
        <f>IF(A44="","",IF(AND(D44="Critical",P44&gt;0),"P0",IF(P44&gt;0,"P1",IF(N44&lt;0.9,"P2","P3"))))</f>
        <v/>
      </c>
      <c r="S44" s="19" t="n"/>
    </row>
    <row r="45">
      <c r="A45">
        <f>'[ISMS-IMP-A.8.9.1.xlsx]Asset_Inventory'!A45</f>
        <v/>
      </c>
      <c r="B45">
        <f>'[ISMS-IMP-A.8.9.1.xlsx]Asset_Inventory'!B45</f>
        <v/>
      </c>
      <c r="C45">
        <f>'[ISMS-IMP-A.8.9.1.xlsx]Asset_Inventory'!C45</f>
        <v/>
      </c>
      <c r="D45">
        <f>'[ISMS-IMP-A.8.9.1.xlsx]Asset_Inventory'!D45</f>
        <v/>
      </c>
      <c r="E45">
        <f>'[ISMS-IMP-A.8.9.1.xlsx]Asset_Inventory'!E45</f>
        <v/>
      </c>
      <c r="F45">
        <f>'[ISMS-IMP-A.8.9.1.xlsx]Asset_Inventory'!K45</f>
        <v/>
      </c>
      <c r="G45">
        <f>'[ISMS-IMP-A.8.9.1.xlsx]Asset_Inventory'!L45</f>
        <v/>
      </c>
      <c r="H45" s="19" t="inlineStr">
        <is>
          <t>Manual</t>
        </is>
      </c>
      <c r="I45" s="19" t="n">
        <v>0</v>
      </c>
      <c r="J45" s="19" t="inlineStr">
        <is>
          <t>Manual</t>
        </is>
      </c>
      <c r="K45" s="19" t="n">
        <v>0</v>
      </c>
      <c r="L45" s="19" t="inlineStr">
        <is>
          <t>Manual</t>
        </is>
      </c>
      <c r="M45" s="19" t="n">
        <v>0</v>
      </c>
      <c r="N45" s="9">
        <f>IF(A45="","",((IF(AND(F45="Yes",G45="Yes"),100,IF(OR(F45="Yes",G45="Yes"),50,0))*0.2)+(IF(ISNUMBER(H45),H45,0)*0.25)+(IF(AND(J45="Yes",K45=0),100,IF(J45="Yes",50,0))*0.2)+(IF(ISNUMBER(L45),L45,0)*0.25)+(IF(I45&lt;=2,100,100-(I45-2)*10)*0.1))/100)</f>
        <v/>
      </c>
      <c r="O45">
        <f>IF(A45="","",IF(AND(N45&gt;=0.95,P45=0),"Fully Compliant",IF(N45&gt;=0.9,"Compliant",IF(N45&gt;=0.8,"Substantially Compliant",IF(N45&gt;=0.7,"Partially Compliant","Non-Compliant")))))</f>
        <v/>
      </c>
      <c r="P45" s="20">
        <f>IF(A45="","",(IF(F45="No",1,0))+(IF(K45&gt;0,1,0))+(IF(M45&gt;0,1,0))+(IF(I45&gt;5,1,0)))</f>
        <v/>
      </c>
      <c r="Q45">
        <f>IF(A45="","","Manual Analysis Required")</f>
        <v/>
      </c>
      <c r="R45">
        <f>IF(A45="","",IF(AND(D45="Critical",P45&gt;0),"P0",IF(P45&gt;0,"P1",IF(N45&lt;0.9,"P2","P3"))))</f>
        <v/>
      </c>
      <c r="S45" s="19" t="n"/>
    </row>
    <row r="46">
      <c r="A46">
        <f>'[ISMS-IMP-A.8.9.1.xlsx]Asset_Inventory'!A46</f>
        <v/>
      </c>
      <c r="B46">
        <f>'[ISMS-IMP-A.8.9.1.xlsx]Asset_Inventory'!B46</f>
        <v/>
      </c>
      <c r="C46">
        <f>'[ISMS-IMP-A.8.9.1.xlsx]Asset_Inventory'!C46</f>
        <v/>
      </c>
      <c r="D46">
        <f>'[ISMS-IMP-A.8.9.1.xlsx]Asset_Inventory'!D46</f>
        <v/>
      </c>
      <c r="E46">
        <f>'[ISMS-IMP-A.8.9.1.xlsx]Asset_Inventory'!E46</f>
        <v/>
      </c>
      <c r="F46">
        <f>'[ISMS-IMP-A.8.9.1.xlsx]Asset_Inventory'!K46</f>
        <v/>
      </c>
      <c r="G46">
        <f>'[ISMS-IMP-A.8.9.1.xlsx]Asset_Inventory'!L46</f>
        <v/>
      </c>
      <c r="H46" s="19" t="inlineStr">
        <is>
          <t>Manual</t>
        </is>
      </c>
      <c r="I46" s="19" t="n">
        <v>0</v>
      </c>
      <c r="J46" s="19" t="inlineStr">
        <is>
          <t>Manual</t>
        </is>
      </c>
      <c r="K46" s="19" t="n">
        <v>0</v>
      </c>
      <c r="L46" s="19" t="inlineStr">
        <is>
          <t>Manual</t>
        </is>
      </c>
      <c r="M46" s="19" t="n">
        <v>0</v>
      </c>
      <c r="N46" s="9">
        <f>IF(A46="","",((IF(AND(F46="Yes",G46="Yes"),100,IF(OR(F46="Yes",G46="Yes"),50,0))*0.2)+(IF(ISNUMBER(H46),H46,0)*0.25)+(IF(AND(J46="Yes",K46=0),100,IF(J46="Yes",50,0))*0.2)+(IF(ISNUMBER(L46),L46,0)*0.25)+(IF(I46&lt;=2,100,100-(I46-2)*10)*0.1))/100)</f>
        <v/>
      </c>
      <c r="O46">
        <f>IF(A46="","",IF(AND(N46&gt;=0.95,P46=0),"Fully Compliant",IF(N46&gt;=0.9,"Compliant",IF(N46&gt;=0.8,"Substantially Compliant",IF(N46&gt;=0.7,"Partially Compliant","Non-Compliant")))))</f>
        <v/>
      </c>
      <c r="P46" s="20">
        <f>IF(A46="","",(IF(F46="No",1,0))+(IF(K46&gt;0,1,0))+(IF(M46&gt;0,1,0))+(IF(I46&gt;5,1,0)))</f>
        <v/>
      </c>
      <c r="Q46">
        <f>IF(A46="","","Manual Analysis Required")</f>
        <v/>
      </c>
      <c r="R46">
        <f>IF(A46="","",IF(AND(D46="Critical",P46&gt;0),"P0",IF(P46&gt;0,"P1",IF(N46&lt;0.9,"P2","P3"))))</f>
        <v/>
      </c>
      <c r="S46" s="19" t="n"/>
    </row>
    <row r="47">
      <c r="A47">
        <f>'[ISMS-IMP-A.8.9.1.xlsx]Asset_Inventory'!A47</f>
        <v/>
      </c>
      <c r="B47">
        <f>'[ISMS-IMP-A.8.9.1.xlsx]Asset_Inventory'!B47</f>
        <v/>
      </c>
      <c r="C47">
        <f>'[ISMS-IMP-A.8.9.1.xlsx]Asset_Inventory'!C47</f>
        <v/>
      </c>
      <c r="D47">
        <f>'[ISMS-IMP-A.8.9.1.xlsx]Asset_Inventory'!D47</f>
        <v/>
      </c>
      <c r="E47">
        <f>'[ISMS-IMP-A.8.9.1.xlsx]Asset_Inventory'!E47</f>
        <v/>
      </c>
      <c r="F47">
        <f>'[ISMS-IMP-A.8.9.1.xlsx]Asset_Inventory'!K47</f>
        <v/>
      </c>
      <c r="G47">
        <f>'[ISMS-IMP-A.8.9.1.xlsx]Asset_Inventory'!L47</f>
        <v/>
      </c>
      <c r="H47" s="19" t="inlineStr">
        <is>
          <t>Manual</t>
        </is>
      </c>
      <c r="I47" s="19" t="n">
        <v>0</v>
      </c>
      <c r="J47" s="19" t="inlineStr">
        <is>
          <t>Manual</t>
        </is>
      </c>
      <c r="K47" s="19" t="n">
        <v>0</v>
      </c>
      <c r="L47" s="19" t="inlineStr">
        <is>
          <t>Manual</t>
        </is>
      </c>
      <c r="M47" s="19" t="n">
        <v>0</v>
      </c>
      <c r="N47" s="9">
        <f>IF(A47="","",((IF(AND(F47="Yes",G47="Yes"),100,IF(OR(F47="Yes",G47="Yes"),50,0))*0.2)+(IF(ISNUMBER(H47),H47,0)*0.25)+(IF(AND(J47="Yes",K47=0),100,IF(J47="Yes",50,0))*0.2)+(IF(ISNUMBER(L47),L47,0)*0.25)+(IF(I47&lt;=2,100,100-(I47-2)*10)*0.1))/100)</f>
        <v/>
      </c>
      <c r="O47">
        <f>IF(A47="","",IF(AND(N47&gt;=0.95,P47=0),"Fully Compliant",IF(N47&gt;=0.9,"Compliant",IF(N47&gt;=0.8,"Substantially Compliant",IF(N47&gt;=0.7,"Partially Compliant","Non-Compliant")))))</f>
        <v/>
      </c>
      <c r="P47" s="20">
        <f>IF(A47="","",(IF(F47="No",1,0))+(IF(K47&gt;0,1,0))+(IF(M47&gt;0,1,0))+(IF(I47&gt;5,1,0)))</f>
        <v/>
      </c>
      <c r="Q47">
        <f>IF(A47="","","Manual Analysis Required")</f>
        <v/>
      </c>
      <c r="R47">
        <f>IF(A47="","",IF(AND(D47="Critical",P47&gt;0),"P0",IF(P47&gt;0,"P1",IF(N47&lt;0.9,"P2","P3"))))</f>
        <v/>
      </c>
      <c r="S47" s="19" t="n"/>
    </row>
    <row r="48">
      <c r="A48">
        <f>'[ISMS-IMP-A.8.9.1.xlsx]Asset_Inventory'!A48</f>
        <v/>
      </c>
      <c r="B48">
        <f>'[ISMS-IMP-A.8.9.1.xlsx]Asset_Inventory'!B48</f>
        <v/>
      </c>
      <c r="C48">
        <f>'[ISMS-IMP-A.8.9.1.xlsx]Asset_Inventory'!C48</f>
        <v/>
      </c>
      <c r="D48">
        <f>'[ISMS-IMP-A.8.9.1.xlsx]Asset_Inventory'!D48</f>
        <v/>
      </c>
      <c r="E48">
        <f>'[ISMS-IMP-A.8.9.1.xlsx]Asset_Inventory'!E48</f>
        <v/>
      </c>
      <c r="F48">
        <f>'[ISMS-IMP-A.8.9.1.xlsx]Asset_Inventory'!K48</f>
        <v/>
      </c>
      <c r="G48">
        <f>'[ISMS-IMP-A.8.9.1.xlsx]Asset_Inventory'!L48</f>
        <v/>
      </c>
      <c r="H48" s="19" t="inlineStr">
        <is>
          <t>Manual</t>
        </is>
      </c>
      <c r="I48" s="19" t="n">
        <v>0</v>
      </c>
      <c r="J48" s="19" t="inlineStr">
        <is>
          <t>Manual</t>
        </is>
      </c>
      <c r="K48" s="19" t="n">
        <v>0</v>
      </c>
      <c r="L48" s="19" t="inlineStr">
        <is>
          <t>Manual</t>
        </is>
      </c>
      <c r="M48" s="19" t="n">
        <v>0</v>
      </c>
      <c r="N48" s="9">
        <f>IF(A48="","",((IF(AND(F48="Yes",G48="Yes"),100,IF(OR(F48="Yes",G48="Yes"),50,0))*0.2)+(IF(ISNUMBER(H48),H48,0)*0.25)+(IF(AND(J48="Yes",K48=0),100,IF(J48="Yes",50,0))*0.2)+(IF(ISNUMBER(L48),L48,0)*0.25)+(IF(I48&lt;=2,100,100-(I48-2)*10)*0.1))/100)</f>
        <v/>
      </c>
      <c r="O48">
        <f>IF(A48="","",IF(AND(N48&gt;=0.95,P48=0),"Fully Compliant",IF(N48&gt;=0.9,"Compliant",IF(N48&gt;=0.8,"Substantially Compliant",IF(N48&gt;=0.7,"Partially Compliant","Non-Compliant")))))</f>
        <v/>
      </c>
      <c r="P48" s="20">
        <f>IF(A48="","",(IF(F48="No",1,0))+(IF(K48&gt;0,1,0))+(IF(M48&gt;0,1,0))+(IF(I48&gt;5,1,0)))</f>
        <v/>
      </c>
      <c r="Q48">
        <f>IF(A48="","","Manual Analysis Required")</f>
        <v/>
      </c>
      <c r="R48">
        <f>IF(A48="","",IF(AND(D48="Critical",P48&gt;0),"P0",IF(P48&gt;0,"P1",IF(N48&lt;0.9,"P2","P3"))))</f>
        <v/>
      </c>
      <c r="S48" s="19" t="n"/>
    </row>
    <row r="49">
      <c r="A49">
        <f>'[ISMS-IMP-A.8.9.1.xlsx]Asset_Inventory'!A49</f>
        <v/>
      </c>
      <c r="B49">
        <f>'[ISMS-IMP-A.8.9.1.xlsx]Asset_Inventory'!B49</f>
        <v/>
      </c>
      <c r="C49">
        <f>'[ISMS-IMP-A.8.9.1.xlsx]Asset_Inventory'!C49</f>
        <v/>
      </c>
      <c r="D49">
        <f>'[ISMS-IMP-A.8.9.1.xlsx]Asset_Inventory'!D49</f>
        <v/>
      </c>
      <c r="E49">
        <f>'[ISMS-IMP-A.8.9.1.xlsx]Asset_Inventory'!E49</f>
        <v/>
      </c>
      <c r="F49">
        <f>'[ISMS-IMP-A.8.9.1.xlsx]Asset_Inventory'!K49</f>
        <v/>
      </c>
      <c r="G49">
        <f>'[ISMS-IMP-A.8.9.1.xlsx]Asset_Inventory'!L49</f>
        <v/>
      </c>
      <c r="H49" s="19" t="inlineStr">
        <is>
          <t>Manual</t>
        </is>
      </c>
      <c r="I49" s="19" t="n">
        <v>0</v>
      </c>
      <c r="J49" s="19" t="inlineStr">
        <is>
          <t>Manual</t>
        </is>
      </c>
      <c r="K49" s="19" t="n">
        <v>0</v>
      </c>
      <c r="L49" s="19" t="inlineStr">
        <is>
          <t>Manual</t>
        </is>
      </c>
      <c r="M49" s="19" t="n">
        <v>0</v>
      </c>
      <c r="N49" s="9">
        <f>IF(A49="","",((IF(AND(F49="Yes",G49="Yes"),100,IF(OR(F49="Yes",G49="Yes"),50,0))*0.2)+(IF(ISNUMBER(H49),H49,0)*0.25)+(IF(AND(J49="Yes",K49=0),100,IF(J49="Yes",50,0))*0.2)+(IF(ISNUMBER(L49),L49,0)*0.25)+(IF(I49&lt;=2,100,100-(I49-2)*10)*0.1))/100)</f>
        <v/>
      </c>
      <c r="O49">
        <f>IF(A49="","",IF(AND(N49&gt;=0.95,P49=0),"Fully Compliant",IF(N49&gt;=0.9,"Compliant",IF(N49&gt;=0.8,"Substantially Compliant",IF(N49&gt;=0.7,"Partially Compliant","Non-Compliant")))))</f>
        <v/>
      </c>
      <c r="P49" s="20">
        <f>IF(A49="","",(IF(F49="No",1,0))+(IF(K49&gt;0,1,0))+(IF(M49&gt;0,1,0))+(IF(I49&gt;5,1,0)))</f>
        <v/>
      </c>
      <c r="Q49">
        <f>IF(A49="","","Manual Analysis Required")</f>
        <v/>
      </c>
      <c r="R49">
        <f>IF(A49="","",IF(AND(D49="Critical",P49&gt;0),"P0",IF(P49&gt;0,"P1",IF(N49&lt;0.9,"P2","P3"))))</f>
        <v/>
      </c>
      <c r="S49" s="19" t="n"/>
    </row>
    <row r="50">
      <c r="A50">
        <f>'[ISMS-IMP-A.8.9.1.xlsx]Asset_Inventory'!A50</f>
        <v/>
      </c>
      <c r="B50">
        <f>'[ISMS-IMP-A.8.9.1.xlsx]Asset_Inventory'!B50</f>
        <v/>
      </c>
      <c r="C50">
        <f>'[ISMS-IMP-A.8.9.1.xlsx]Asset_Inventory'!C50</f>
        <v/>
      </c>
      <c r="D50">
        <f>'[ISMS-IMP-A.8.9.1.xlsx]Asset_Inventory'!D50</f>
        <v/>
      </c>
      <c r="E50">
        <f>'[ISMS-IMP-A.8.9.1.xlsx]Asset_Inventory'!E50</f>
        <v/>
      </c>
      <c r="F50">
        <f>'[ISMS-IMP-A.8.9.1.xlsx]Asset_Inventory'!K50</f>
        <v/>
      </c>
      <c r="G50">
        <f>'[ISMS-IMP-A.8.9.1.xlsx]Asset_Inventory'!L50</f>
        <v/>
      </c>
      <c r="H50" s="19" t="inlineStr">
        <is>
          <t>Manual</t>
        </is>
      </c>
      <c r="I50" s="19" t="n">
        <v>0</v>
      </c>
      <c r="J50" s="19" t="inlineStr">
        <is>
          <t>Manual</t>
        </is>
      </c>
      <c r="K50" s="19" t="n">
        <v>0</v>
      </c>
      <c r="L50" s="19" t="inlineStr">
        <is>
          <t>Manual</t>
        </is>
      </c>
      <c r="M50" s="19" t="n">
        <v>0</v>
      </c>
      <c r="N50" s="9">
        <f>IF(A50="","",((IF(AND(F50="Yes",G50="Yes"),100,IF(OR(F50="Yes",G50="Yes"),50,0))*0.2)+(IF(ISNUMBER(H50),H50,0)*0.25)+(IF(AND(J50="Yes",K50=0),100,IF(J50="Yes",50,0))*0.2)+(IF(ISNUMBER(L50),L50,0)*0.25)+(IF(I50&lt;=2,100,100-(I50-2)*10)*0.1))/100)</f>
        <v/>
      </c>
      <c r="O50">
        <f>IF(A50="","",IF(AND(N50&gt;=0.95,P50=0),"Fully Compliant",IF(N50&gt;=0.9,"Compliant",IF(N50&gt;=0.8,"Substantially Compliant",IF(N50&gt;=0.7,"Partially Compliant","Non-Compliant")))))</f>
        <v/>
      </c>
      <c r="P50" s="20">
        <f>IF(A50="","",(IF(F50="No",1,0))+(IF(K50&gt;0,1,0))+(IF(M50&gt;0,1,0))+(IF(I50&gt;5,1,0)))</f>
        <v/>
      </c>
      <c r="Q50">
        <f>IF(A50="","","Manual Analysis Required")</f>
        <v/>
      </c>
      <c r="R50">
        <f>IF(A50="","",IF(AND(D50="Critical",P50&gt;0),"P0",IF(P50&gt;0,"P1",IF(N50&lt;0.9,"P2","P3"))))</f>
        <v/>
      </c>
      <c r="S50" s="19" t="n"/>
    </row>
    <row r="51">
      <c r="A51">
        <f>'[ISMS-IMP-A.8.9.1.xlsx]Asset_Inventory'!A51</f>
        <v/>
      </c>
      <c r="B51">
        <f>'[ISMS-IMP-A.8.9.1.xlsx]Asset_Inventory'!B51</f>
        <v/>
      </c>
      <c r="C51">
        <f>'[ISMS-IMP-A.8.9.1.xlsx]Asset_Inventory'!C51</f>
        <v/>
      </c>
      <c r="D51">
        <f>'[ISMS-IMP-A.8.9.1.xlsx]Asset_Inventory'!D51</f>
        <v/>
      </c>
      <c r="E51">
        <f>'[ISMS-IMP-A.8.9.1.xlsx]Asset_Inventory'!E51</f>
        <v/>
      </c>
      <c r="F51">
        <f>'[ISMS-IMP-A.8.9.1.xlsx]Asset_Inventory'!K51</f>
        <v/>
      </c>
      <c r="G51">
        <f>'[ISMS-IMP-A.8.9.1.xlsx]Asset_Inventory'!L51</f>
        <v/>
      </c>
      <c r="H51" s="19" t="inlineStr">
        <is>
          <t>Manual</t>
        </is>
      </c>
      <c r="I51" s="19" t="n">
        <v>0</v>
      </c>
      <c r="J51" s="19" t="inlineStr">
        <is>
          <t>Manual</t>
        </is>
      </c>
      <c r="K51" s="19" t="n">
        <v>0</v>
      </c>
      <c r="L51" s="19" t="inlineStr">
        <is>
          <t>Manual</t>
        </is>
      </c>
      <c r="M51" s="19" t="n">
        <v>0</v>
      </c>
      <c r="N51" s="9">
        <f>IF(A51="","",((IF(AND(F51="Yes",G51="Yes"),100,IF(OR(F51="Yes",G51="Yes"),50,0))*0.2)+(IF(ISNUMBER(H51),H51,0)*0.25)+(IF(AND(J51="Yes",K51=0),100,IF(J51="Yes",50,0))*0.2)+(IF(ISNUMBER(L51),L51,0)*0.25)+(IF(I51&lt;=2,100,100-(I51-2)*10)*0.1))/100)</f>
        <v/>
      </c>
      <c r="O51">
        <f>IF(A51="","",IF(AND(N51&gt;=0.95,P51=0),"Fully Compliant",IF(N51&gt;=0.9,"Compliant",IF(N51&gt;=0.8,"Substantially Compliant",IF(N51&gt;=0.7,"Partially Compliant","Non-Compliant")))))</f>
        <v/>
      </c>
      <c r="P51" s="20">
        <f>IF(A51="","",(IF(F51="No",1,0))+(IF(K51&gt;0,1,0))+(IF(M51&gt;0,1,0))+(IF(I51&gt;5,1,0)))</f>
        <v/>
      </c>
      <c r="Q51">
        <f>IF(A51="","","Manual Analysis Required")</f>
        <v/>
      </c>
      <c r="R51">
        <f>IF(A51="","",IF(AND(D51="Critical",P51&gt;0),"P0",IF(P51&gt;0,"P1",IF(N51&lt;0.9,"P2","P3"))))</f>
        <v/>
      </c>
      <c r="S51" s="19" t="n"/>
    </row>
    <row r="52">
      <c r="A52">
        <f>'[ISMS-IMP-A.8.9.1.xlsx]Asset_Inventory'!A52</f>
        <v/>
      </c>
      <c r="B52">
        <f>'[ISMS-IMP-A.8.9.1.xlsx]Asset_Inventory'!B52</f>
        <v/>
      </c>
      <c r="C52">
        <f>'[ISMS-IMP-A.8.9.1.xlsx]Asset_Inventory'!C52</f>
        <v/>
      </c>
      <c r="D52">
        <f>'[ISMS-IMP-A.8.9.1.xlsx]Asset_Inventory'!D52</f>
        <v/>
      </c>
      <c r="E52">
        <f>'[ISMS-IMP-A.8.9.1.xlsx]Asset_Inventory'!E52</f>
        <v/>
      </c>
      <c r="F52">
        <f>'[ISMS-IMP-A.8.9.1.xlsx]Asset_Inventory'!K52</f>
        <v/>
      </c>
      <c r="G52">
        <f>'[ISMS-IMP-A.8.9.1.xlsx]Asset_Inventory'!L52</f>
        <v/>
      </c>
      <c r="H52" s="19" t="inlineStr">
        <is>
          <t>Manual</t>
        </is>
      </c>
      <c r="I52" s="19" t="n">
        <v>0</v>
      </c>
      <c r="J52" s="19" t="inlineStr">
        <is>
          <t>Manual</t>
        </is>
      </c>
      <c r="K52" s="19" t="n">
        <v>0</v>
      </c>
      <c r="L52" s="19" t="inlineStr">
        <is>
          <t>Manual</t>
        </is>
      </c>
      <c r="M52" s="19" t="n">
        <v>0</v>
      </c>
      <c r="N52" s="9">
        <f>IF(A52="","",((IF(AND(F52="Yes",G52="Yes"),100,IF(OR(F52="Yes",G52="Yes"),50,0))*0.2)+(IF(ISNUMBER(H52),H52,0)*0.25)+(IF(AND(J52="Yes",K52=0),100,IF(J52="Yes",50,0))*0.2)+(IF(ISNUMBER(L52),L52,0)*0.25)+(IF(I52&lt;=2,100,100-(I52-2)*10)*0.1))/100)</f>
        <v/>
      </c>
      <c r="O52">
        <f>IF(A52="","",IF(AND(N52&gt;=0.95,P52=0),"Fully Compliant",IF(N52&gt;=0.9,"Compliant",IF(N52&gt;=0.8,"Substantially Compliant",IF(N52&gt;=0.7,"Partially Compliant","Non-Compliant")))))</f>
        <v/>
      </c>
      <c r="P52" s="20">
        <f>IF(A52="","",(IF(F52="No",1,0))+(IF(K52&gt;0,1,0))+(IF(M52&gt;0,1,0))+(IF(I52&gt;5,1,0)))</f>
        <v/>
      </c>
      <c r="Q52">
        <f>IF(A52="","","Manual Analysis Required")</f>
        <v/>
      </c>
      <c r="R52">
        <f>IF(A52="","",IF(AND(D52="Critical",P52&gt;0),"P0",IF(P52&gt;0,"P1",IF(N52&lt;0.9,"P2","P3"))))</f>
        <v/>
      </c>
      <c r="S52" s="19" t="n"/>
    </row>
    <row r="53">
      <c r="A53">
        <f>'[ISMS-IMP-A.8.9.1.xlsx]Asset_Inventory'!A53</f>
        <v/>
      </c>
      <c r="B53">
        <f>'[ISMS-IMP-A.8.9.1.xlsx]Asset_Inventory'!B53</f>
        <v/>
      </c>
      <c r="C53">
        <f>'[ISMS-IMP-A.8.9.1.xlsx]Asset_Inventory'!C53</f>
        <v/>
      </c>
      <c r="D53">
        <f>'[ISMS-IMP-A.8.9.1.xlsx]Asset_Inventory'!D53</f>
        <v/>
      </c>
      <c r="E53">
        <f>'[ISMS-IMP-A.8.9.1.xlsx]Asset_Inventory'!E53</f>
        <v/>
      </c>
      <c r="F53">
        <f>'[ISMS-IMP-A.8.9.1.xlsx]Asset_Inventory'!K53</f>
        <v/>
      </c>
      <c r="G53">
        <f>'[ISMS-IMP-A.8.9.1.xlsx]Asset_Inventory'!L53</f>
        <v/>
      </c>
      <c r="H53" s="19" t="inlineStr">
        <is>
          <t>Manual</t>
        </is>
      </c>
      <c r="I53" s="19" t="n">
        <v>0</v>
      </c>
      <c r="J53" s="19" t="inlineStr">
        <is>
          <t>Manual</t>
        </is>
      </c>
      <c r="K53" s="19" t="n">
        <v>0</v>
      </c>
      <c r="L53" s="19" t="inlineStr">
        <is>
          <t>Manual</t>
        </is>
      </c>
      <c r="M53" s="19" t="n">
        <v>0</v>
      </c>
      <c r="N53" s="9">
        <f>IF(A53="","",((IF(AND(F53="Yes",G53="Yes"),100,IF(OR(F53="Yes",G53="Yes"),50,0))*0.2)+(IF(ISNUMBER(H53),H53,0)*0.25)+(IF(AND(J53="Yes",K53=0),100,IF(J53="Yes",50,0))*0.2)+(IF(ISNUMBER(L53),L53,0)*0.25)+(IF(I53&lt;=2,100,100-(I53-2)*10)*0.1))/100)</f>
        <v/>
      </c>
      <c r="O53">
        <f>IF(A53="","",IF(AND(N53&gt;=0.95,P53=0),"Fully Compliant",IF(N53&gt;=0.9,"Compliant",IF(N53&gt;=0.8,"Substantially Compliant",IF(N53&gt;=0.7,"Partially Compliant","Non-Compliant")))))</f>
        <v/>
      </c>
      <c r="P53" s="20">
        <f>IF(A53="","",(IF(F53="No",1,0))+(IF(K53&gt;0,1,0))+(IF(M53&gt;0,1,0))+(IF(I53&gt;5,1,0)))</f>
        <v/>
      </c>
      <c r="Q53">
        <f>IF(A53="","","Manual Analysis Required")</f>
        <v/>
      </c>
      <c r="R53">
        <f>IF(A53="","",IF(AND(D53="Critical",P53&gt;0),"P0",IF(P53&gt;0,"P1",IF(N53&lt;0.9,"P2","P3"))))</f>
        <v/>
      </c>
      <c r="S53" s="19" t="n"/>
    </row>
    <row r="54">
      <c r="A54">
        <f>'[ISMS-IMP-A.8.9.1.xlsx]Asset_Inventory'!A54</f>
        <v/>
      </c>
      <c r="B54">
        <f>'[ISMS-IMP-A.8.9.1.xlsx]Asset_Inventory'!B54</f>
        <v/>
      </c>
      <c r="C54">
        <f>'[ISMS-IMP-A.8.9.1.xlsx]Asset_Inventory'!C54</f>
        <v/>
      </c>
      <c r="D54">
        <f>'[ISMS-IMP-A.8.9.1.xlsx]Asset_Inventory'!D54</f>
        <v/>
      </c>
      <c r="E54">
        <f>'[ISMS-IMP-A.8.9.1.xlsx]Asset_Inventory'!E54</f>
        <v/>
      </c>
      <c r="F54">
        <f>'[ISMS-IMP-A.8.9.1.xlsx]Asset_Inventory'!K54</f>
        <v/>
      </c>
      <c r="G54">
        <f>'[ISMS-IMP-A.8.9.1.xlsx]Asset_Inventory'!L54</f>
        <v/>
      </c>
      <c r="H54" s="19" t="inlineStr">
        <is>
          <t>Manual</t>
        </is>
      </c>
      <c r="I54" s="19" t="n">
        <v>0</v>
      </c>
      <c r="J54" s="19" t="inlineStr">
        <is>
          <t>Manual</t>
        </is>
      </c>
      <c r="K54" s="19" t="n">
        <v>0</v>
      </c>
      <c r="L54" s="19" t="inlineStr">
        <is>
          <t>Manual</t>
        </is>
      </c>
      <c r="M54" s="19" t="n">
        <v>0</v>
      </c>
      <c r="N54" s="9">
        <f>IF(A54="","",((IF(AND(F54="Yes",G54="Yes"),100,IF(OR(F54="Yes",G54="Yes"),50,0))*0.2)+(IF(ISNUMBER(H54),H54,0)*0.25)+(IF(AND(J54="Yes",K54=0),100,IF(J54="Yes",50,0))*0.2)+(IF(ISNUMBER(L54),L54,0)*0.25)+(IF(I54&lt;=2,100,100-(I54-2)*10)*0.1))/100)</f>
        <v/>
      </c>
      <c r="O54">
        <f>IF(A54="","",IF(AND(N54&gt;=0.95,P54=0),"Fully Compliant",IF(N54&gt;=0.9,"Compliant",IF(N54&gt;=0.8,"Substantially Compliant",IF(N54&gt;=0.7,"Partially Compliant","Non-Compliant")))))</f>
        <v/>
      </c>
      <c r="P54" s="20">
        <f>IF(A54="","",(IF(F54="No",1,0))+(IF(K54&gt;0,1,0))+(IF(M54&gt;0,1,0))+(IF(I54&gt;5,1,0)))</f>
        <v/>
      </c>
      <c r="Q54">
        <f>IF(A54="","","Manual Analysis Required")</f>
        <v/>
      </c>
      <c r="R54">
        <f>IF(A54="","",IF(AND(D54="Critical",P54&gt;0),"P0",IF(P54&gt;0,"P1",IF(N54&lt;0.9,"P2","P3"))))</f>
        <v/>
      </c>
      <c r="S54" s="19" t="n"/>
    </row>
    <row r="55">
      <c r="A55">
        <f>'[ISMS-IMP-A.8.9.1.xlsx]Asset_Inventory'!A55</f>
        <v/>
      </c>
      <c r="B55">
        <f>'[ISMS-IMP-A.8.9.1.xlsx]Asset_Inventory'!B55</f>
        <v/>
      </c>
      <c r="C55">
        <f>'[ISMS-IMP-A.8.9.1.xlsx]Asset_Inventory'!C55</f>
        <v/>
      </c>
      <c r="D55">
        <f>'[ISMS-IMP-A.8.9.1.xlsx]Asset_Inventory'!D55</f>
        <v/>
      </c>
      <c r="E55">
        <f>'[ISMS-IMP-A.8.9.1.xlsx]Asset_Inventory'!E55</f>
        <v/>
      </c>
      <c r="F55">
        <f>'[ISMS-IMP-A.8.9.1.xlsx]Asset_Inventory'!K55</f>
        <v/>
      </c>
      <c r="G55">
        <f>'[ISMS-IMP-A.8.9.1.xlsx]Asset_Inventory'!L55</f>
        <v/>
      </c>
      <c r="H55" s="19" t="inlineStr">
        <is>
          <t>Manual</t>
        </is>
      </c>
      <c r="I55" s="19" t="n">
        <v>0</v>
      </c>
      <c r="J55" s="19" t="inlineStr">
        <is>
          <t>Manual</t>
        </is>
      </c>
      <c r="K55" s="19" t="n">
        <v>0</v>
      </c>
      <c r="L55" s="19" t="inlineStr">
        <is>
          <t>Manual</t>
        </is>
      </c>
      <c r="M55" s="19" t="n">
        <v>0</v>
      </c>
      <c r="N55" s="9">
        <f>IF(A55="","",((IF(AND(F55="Yes",G55="Yes"),100,IF(OR(F55="Yes",G55="Yes"),50,0))*0.2)+(IF(ISNUMBER(H55),H55,0)*0.25)+(IF(AND(J55="Yes",K55=0),100,IF(J55="Yes",50,0))*0.2)+(IF(ISNUMBER(L55),L55,0)*0.25)+(IF(I55&lt;=2,100,100-(I55-2)*10)*0.1))/100)</f>
        <v/>
      </c>
      <c r="O55">
        <f>IF(A55="","",IF(AND(N55&gt;=0.95,P55=0),"Fully Compliant",IF(N55&gt;=0.9,"Compliant",IF(N55&gt;=0.8,"Substantially Compliant",IF(N55&gt;=0.7,"Partially Compliant","Non-Compliant")))))</f>
        <v/>
      </c>
      <c r="P55" s="20">
        <f>IF(A55="","",(IF(F55="No",1,0))+(IF(K55&gt;0,1,0))+(IF(M55&gt;0,1,0))+(IF(I55&gt;5,1,0)))</f>
        <v/>
      </c>
      <c r="Q55">
        <f>IF(A55="","","Manual Analysis Required")</f>
        <v/>
      </c>
      <c r="R55">
        <f>IF(A55="","",IF(AND(D55="Critical",P55&gt;0),"P0",IF(P55&gt;0,"P1",IF(N55&lt;0.9,"P2","P3"))))</f>
        <v/>
      </c>
      <c r="S55" s="19" t="n"/>
    </row>
    <row r="56">
      <c r="A56">
        <f>'[ISMS-IMP-A.8.9.1.xlsx]Asset_Inventory'!A56</f>
        <v/>
      </c>
      <c r="B56">
        <f>'[ISMS-IMP-A.8.9.1.xlsx]Asset_Inventory'!B56</f>
        <v/>
      </c>
      <c r="C56">
        <f>'[ISMS-IMP-A.8.9.1.xlsx]Asset_Inventory'!C56</f>
        <v/>
      </c>
      <c r="D56">
        <f>'[ISMS-IMP-A.8.9.1.xlsx]Asset_Inventory'!D56</f>
        <v/>
      </c>
      <c r="E56">
        <f>'[ISMS-IMP-A.8.9.1.xlsx]Asset_Inventory'!E56</f>
        <v/>
      </c>
      <c r="F56">
        <f>'[ISMS-IMP-A.8.9.1.xlsx]Asset_Inventory'!K56</f>
        <v/>
      </c>
      <c r="G56">
        <f>'[ISMS-IMP-A.8.9.1.xlsx]Asset_Inventory'!L56</f>
        <v/>
      </c>
      <c r="H56" s="19" t="inlineStr">
        <is>
          <t>Manual</t>
        </is>
      </c>
      <c r="I56" s="19" t="n">
        <v>0</v>
      </c>
      <c r="J56" s="19" t="inlineStr">
        <is>
          <t>Manual</t>
        </is>
      </c>
      <c r="K56" s="19" t="n">
        <v>0</v>
      </c>
      <c r="L56" s="19" t="inlineStr">
        <is>
          <t>Manual</t>
        </is>
      </c>
      <c r="M56" s="19" t="n">
        <v>0</v>
      </c>
      <c r="N56" s="9">
        <f>IF(A56="","",((IF(AND(F56="Yes",G56="Yes"),100,IF(OR(F56="Yes",G56="Yes"),50,0))*0.2)+(IF(ISNUMBER(H56),H56,0)*0.25)+(IF(AND(J56="Yes",K56=0),100,IF(J56="Yes",50,0))*0.2)+(IF(ISNUMBER(L56),L56,0)*0.25)+(IF(I56&lt;=2,100,100-(I56-2)*10)*0.1))/100)</f>
        <v/>
      </c>
      <c r="O56">
        <f>IF(A56="","",IF(AND(N56&gt;=0.95,P56=0),"Fully Compliant",IF(N56&gt;=0.9,"Compliant",IF(N56&gt;=0.8,"Substantially Compliant",IF(N56&gt;=0.7,"Partially Compliant","Non-Compliant")))))</f>
        <v/>
      </c>
      <c r="P56" s="20">
        <f>IF(A56="","",(IF(F56="No",1,0))+(IF(K56&gt;0,1,0))+(IF(M56&gt;0,1,0))+(IF(I56&gt;5,1,0)))</f>
        <v/>
      </c>
      <c r="Q56">
        <f>IF(A56="","","Manual Analysis Required")</f>
        <v/>
      </c>
      <c r="R56">
        <f>IF(A56="","",IF(AND(D56="Critical",P56&gt;0),"P0",IF(P56&gt;0,"P1",IF(N56&lt;0.9,"P2","P3"))))</f>
        <v/>
      </c>
      <c r="S56" s="19" t="n"/>
    </row>
    <row r="57">
      <c r="A57">
        <f>'[ISMS-IMP-A.8.9.1.xlsx]Asset_Inventory'!A57</f>
        <v/>
      </c>
      <c r="B57">
        <f>'[ISMS-IMP-A.8.9.1.xlsx]Asset_Inventory'!B57</f>
        <v/>
      </c>
      <c r="C57">
        <f>'[ISMS-IMP-A.8.9.1.xlsx]Asset_Inventory'!C57</f>
        <v/>
      </c>
      <c r="D57">
        <f>'[ISMS-IMP-A.8.9.1.xlsx]Asset_Inventory'!D57</f>
        <v/>
      </c>
      <c r="E57">
        <f>'[ISMS-IMP-A.8.9.1.xlsx]Asset_Inventory'!E57</f>
        <v/>
      </c>
      <c r="F57">
        <f>'[ISMS-IMP-A.8.9.1.xlsx]Asset_Inventory'!K57</f>
        <v/>
      </c>
      <c r="G57">
        <f>'[ISMS-IMP-A.8.9.1.xlsx]Asset_Inventory'!L57</f>
        <v/>
      </c>
      <c r="H57" s="19" t="inlineStr">
        <is>
          <t>Manual</t>
        </is>
      </c>
      <c r="I57" s="19" t="n">
        <v>0</v>
      </c>
      <c r="J57" s="19" t="inlineStr">
        <is>
          <t>Manual</t>
        </is>
      </c>
      <c r="K57" s="19" t="n">
        <v>0</v>
      </c>
      <c r="L57" s="19" t="inlineStr">
        <is>
          <t>Manual</t>
        </is>
      </c>
      <c r="M57" s="19" t="n">
        <v>0</v>
      </c>
      <c r="N57" s="9">
        <f>IF(A57="","",((IF(AND(F57="Yes",G57="Yes"),100,IF(OR(F57="Yes",G57="Yes"),50,0))*0.2)+(IF(ISNUMBER(H57),H57,0)*0.25)+(IF(AND(J57="Yes",K57=0),100,IF(J57="Yes",50,0))*0.2)+(IF(ISNUMBER(L57),L57,0)*0.25)+(IF(I57&lt;=2,100,100-(I57-2)*10)*0.1))/100)</f>
        <v/>
      </c>
      <c r="O57">
        <f>IF(A57="","",IF(AND(N57&gt;=0.95,P57=0),"Fully Compliant",IF(N57&gt;=0.9,"Compliant",IF(N57&gt;=0.8,"Substantially Compliant",IF(N57&gt;=0.7,"Partially Compliant","Non-Compliant")))))</f>
        <v/>
      </c>
      <c r="P57" s="20">
        <f>IF(A57="","",(IF(F57="No",1,0))+(IF(K57&gt;0,1,0))+(IF(M57&gt;0,1,0))+(IF(I57&gt;5,1,0)))</f>
        <v/>
      </c>
      <c r="Q57">
        <f>IF(A57="","","Manual Analysis Required")</f>
        <v/>
      </c>
      <c r="R57">
        <f>IF(A57="","",IF(AND(D57="Critical",P57&gt;0),"P0",IF(P57&gt;0,"P1",IF(N57&lt;0.9,"P2","P3"))))</f>
        <v/>
      </c>
      <c r="S57" s="19" t="n"/>
    </row>
    <row r="58">
      <c r="A58">
        <f>'[ISMS-IMP-A.8.9.1.xlsx]Asset_Inventory'!A58</f>
        <v/>
      </c>
      <c r="B58">
        <f>'[ISMS-IMP-A.8.9.1.xlsx]Asset_Inventory'!B58</f>
        <v/>
      </c>
      <c r="C58">
        <f>'[ISMS-IMP-A.8.9.1.xlsx]Asset_Inventory'!C58</f>
        <v/>
      </c>
      <c r="D58">
        <f>'[ISMS-IMP-A.8.9.1.xlsx]Asset_Inventory'!D58</f>
        <v/>
      </c>
      <c r="E58">
        <f>'[ISMS-IMP-A.8.9.1.xlsx]Asset_Inventory'!E58</f>
        <v/>
      </c>
      <c r="F58">
        <f>'[ISMS-IMP-A.8.9.1.xlsx]Asset_Inventory'!K58</f>
        <v/>
      </c>
      <c r="G58">
        <f>'[ISMS-IMP-A.8.9.1.xlsx]Asset_Inventory'!L58</f>
        <v/>
      </c>
      <c r="H58" s="19" t="inlineStr">
        <is>
          <t>Manual</t>
        </is>
      </c>
      <c r="I58" s="19" t="n">
        <v>0</v>
      </c>
      <c r="J58" s="19" t="inlineStr">
        <is>
          <t>Manual</t>
        </is>
      </c>
      <c r="K58" s="19" t="n">
        <v>0</v>
      </c>
      <c r="L58" s="19" t="inlineStr">
        <is>
          <t>Manual</t>
        </is>
      </c>
      <c r="M58" s="19" t="n">
        <v>0</v>
      </c>
      <c r="N58" s="9">
        <f>IF(A58="","",((IF(AND(F58="Yes",G58="Yes"),100,IF(OR(F58="Yes",G58="Yes"),50,0))*0.2)+(IF(ISNUMBER(H58),H58,0)*0.25)+(IF(AND(J58="Yes",K58=0),100,IF(J58="Yes",50,0))*0.2)+(IF(ISNUMBER(L58),L58,0)*0.25)+(IF(I58&lt;=2,100,100-(I58-2)*10)*0.1))/100)</f>
        <v/>
      </c>
      <c r="O58">
        <f>IF(A58="","",IF(AND(N58&gt;=0.95,P58=0),"Fully Compliant",IF(N58&gt;=0.9,"Compliant",IF(N58&gt;=0.8,"Substantially Compliant",IF(N58&gt;=0.7,"Partially Compliant","Non-Compliant")))))</f>
        <v/>
      </c>
      <c r="P58" s="20">
        <f>IF(A58="","",(IF(F58="No",1,0))+(IF(K58&gt;0,1,0))+(IF(M58&gt;0,1,0))+(IF(I58&gt;5,1,0)))</f>
        <v/>
      </c>
      <c r="Q58">
        <f>IF(A58="","","Manual Analysis Required")</f>
        <v/>
      </c>
      <c r="R58">
        <f>IF(A58="","",IF(AND(D58="Critical",P58&gt;0),"P0",IF(P58&gt;0,"P1",IF(N58&lt;0.9,"P2","P3"))))</f>
        <v/>
      </c>
      <c r="S58" s="19" t="n"/>
    </row>
    <row r="59">
      <c r="A59">
        <f>'[ISMS-IMP-A.8.9.1.xlsx]Asset_Inventory'!A59</f>
        <v/>
      </c>
      <c r="B59">
        <f>'[ISMS-IMP-A.8.9.1.xlsx]Asset_Inventory'!B59</f>
        <v/>
      </c>
      <c r="C59">
        <f>'[ISMS-IMP-A.8.9.1.xlsx]Asset_Inventory'!C59</f>
        <v/>
      </c>
      <c r="D59">
        <f>'[ISMS-IMP-A.8.9.1.xlsx]Asset_Inventory'!D59</f>
        <v/>
      </c>
      <c r="E59">
        <f>'[ISMS-IMP-A.8.9.1.xlsx]Asset_Inventory'!E59</f>
        <v/>
      </c>
      <c r="F59">
        <f>'[ISMS-IMP-A.8.9.1.xlsx]Asset_Inventory'!K59</f>
        <v/>
      </c>
      <c r="G59">
        <f>'[ISMS-IMP-A.8.9.1.xlsx]Asset_Inventory'!L59</f>
        <v/>
      </c>
      <c r="H59" s="19" t="inlineStr">
        <is>
          <t>Manual</t>
        </is>
      </c>
      <c r="I59" s="19" t="n">
        <v>0</v>
      </c>
      <c r="J59" s="19" t="inlineStr">
        <is>
          <t>Manual</t>
        </is>
      </c>
      <c r="K59" s="19" t="n">
        <v>0</v>
      </c>
      <c r="L59" s="19" t="inlineStr">
        <is>
          <t>Manual</t>
        </is>
      </c>
      <c r="M59" s="19" t="n">
        <v>0</v>
      </c>
      <c r="N59" s="9">
        <f>IF(A59="","",((IF(AND(F59="Yes",G59="Yes"),100,IF(OR(F59="Yes",G59="Yes"),50,0))*0.2)+(IF(ISNUMBER(H59),H59,0)*0.25)+(IF(AND(J59="Yes",K59=0),100,IF(J59="Yes",50,0))*0.2)+(IF(ISNUMBER(L59),L59,0)*0.25)+(IF(I59&lt;=2,100,100-(I59-2)*10)*0.1))/100)</f>
        <v/>
      </c>
      <c r="O59">
        <f>IF(A59="","",IF(AND(N59&gt;=0.95,P59=0),"Fully Compliant",IF(N59&gt;=0.9,"Compliant",IF(N59&gt;=0.8,"Substantially Compliant",IF(N59&gt;=0.7,"Partially Compliant","Non-Compliant")))))</f>
        <v/>
      </c>
      <c r="P59" s="20">
        <f>IF(A59="","",(IF(F59="No",1,0))+(IF(K59&gt;0,1,0))+(IF(M59&gt;0,1,0))+(IF(I59&gt;5,1,0)))</f>
        <v/>
      </c>
      <c r="Q59">
        <f>IF(A59="","","Manual Analysis Required")</f>
        <v/>
      </c>
      <c r="R59">
        <f>IF(A59="","",IF(AND(D59="Critical",P59&gt;0),"P0",IF(P59&gt;0,"P1",IF(N59&lt;0.9,"P2","P3"))))</f>
        <v/>
      </c>
      <c r="S59" s="19" t="n"/>
    </row>
    <row r="60">
      <c r="A60">
        <f>'[ISMS-IMP-A.8.9.1.xlsx]Asset_Inventory'!A60</f>
        <v/>
      </c>
      <c r="B60">
        <f>'[ISMS-IMP-A.8.9.1.xlsx]Asset_Inventory'!B60</f>
        <v/>
      </c>
      <c r="C60">
        <f>'[ISMS-IMP-A.8.9.1.xlsx]Asset_Inventory'!C60</f>
        <v/>
      </c>
      <c r="D60">
        <f>'[ISMS-IMP-A.8.9.1.xlsx]Asset_Inventory'!D60</f>
        <v/>
      </c>
      <c r="E60">
        <f>'[ISMS-IMP-A.8.9.1.xlsx]Asset_Inventory'!E60</f>
        <v/>
      </c>
      <c r="F60">
        <f>'[ISMS-IMP-A.8.9.1.xlsx]Asset_Inventory'!K60</f>
        <v/>
      </c>
      <c r="G60">
        <f>'[ISMS-IMP-A.8.9.1.xlsx]Asset_Inventory'!L60</f>
        <v/>
      </c>
      <c r="H60" s="19" t="inlineStr">
        <is>
          <t>Manual</t>
        </is>
      </c>
      <c r="I60" s="19" t="n">
        <v>0</v>
      </c>
      <c r="J60" s="19" t="inlineStr">
        <is>
          <t>Manual</t>
        </is>
      </c>
      <c r="K60" s="19" t="n">
        <v>0</v>
      </c>
      <c r="L60" s="19" t="inlineStr">
        <is>
          <t>Manual</t>
        </is>
      </c>
      <c r="M60" s="19" t="n">
        <v>0</v>
      </c>
      <c r="N60" s="9">
        <f>IF(A60="","",((IF(AND(F60="Yes",G60="Yes"),100,IF(OR(F60="Yes",G60="Yes"),50,0))*0.2)+(IF(ISNUMBER(H60),H60,0)*0.25)+(IF(AND(J60="Yes",K60=0),100,IF(J60="Yes",50,0))*0.2)+(IF(ISNUMBER(L60),L60,0)*0.25)+(IF(I60&lt;=2,100,100-(I60-2)*10)*0.1))/100)</f>
        <v/>
      </c>
      <c r="O60">
        <f>IF(A60="","",IF(AND(N60&gt;=0.95,P60=0),"Fully Compliant",IF(N60&gt;=0.9,"Compliant",IF(N60&gt;=0.8,"Substantially Compliant",IF(N60&gt;=0.7,"Partially Compliant","Non-Compliant")))))</f>
        <v/>
      </c>
      <c r="P60" s="20">
        <f>IF(A60="","",(IF(F60="No",1,0))+(IF(K60&gt;0,1,0))+(IF(M60&gt;0,1,0))+(IF(I60&gt;5,1,0)))</f>
        <v/>
      </c>
      <c r="Q60">
        <f>IF(A60="","","Manual Analysis Required")</f>
        <v/>
      </c>
      <c r="R60">
        <f>IF(A60="","",IF(AND(D60="Critical",P60&gt;0),"P0",IF(P60&gt;0,"P1",IF(N60&lt;0.9,"P2","P3"))))</f>
        <v/>
      </c>
      <c r="S60" s="19" t="n"/>
    </row>
    <row r="61">
      <c r="A61">
        <f>'[ISMS-IMP-A.8.9.1.xlsx]Asset_Inventory'!A61</f>
        <v/>
      </c>
      <c r="B61">
        <f>'[ISMS-IMP-A.8.9.1.xlsx]Asset_Inventory'!B61</f>
        <v/>
      </c>
      <c r="C61">
        <f>'[ISMS-IMP-A.8.9.1.xlsx]Asset_Inventory'!C61</f>
        <v/>
      </c>
      <c r="D61">
        <f>'[ISMS-IMP-A.8.9.1.xlsx]Asset_Inventory'!D61</f>
        <v/>
      </c>
      <c r="E61">
        <f>'[ISMS-IMP-A.8.9.1.xlsx]Asset_Inventory'!E61</f>
        <v/>
      </c>
      <c r="F61">
        <f>'[ISMS-IMP-A.8.9.1.xlsx]Asset_Inventory'!K61</f>
        <v/>
      </c>
      <c r="G61">
        <f>'[ISMS-IMP-A.8.9.1.xlsx]Asset_Inventory'!L61</f>
        <v/>
      </c>
      <c r="H61" s="19" t="inlineStr">
        <is>
          <t>Manual</t>
        </is>
      </c>
      <c r="I61" s="19" t="n">
        <v>0</v>
      </c>
      <c r="J61" s="19" t="inlineStr">
        <is>
          <t>Manual</t>
        </is>
      </c>
      <c r="K61" s="19" t="n">
        <v>0</v>
      </c>
      <c r="L61" s="19" t="inlineStr">
        <is>
          <t>Manual</t>
        </is>
      </c>
      <c r="M61" s="19" t="n">
        <v>0</v>
      </c>
      <c r="N61" s="9">
        <f>IF(A61="","",((IF(AND(F61="Yes",G61="Yes"),100,IF(OR(F61="Yes",G61="Yes"),50,0))*0.2)+(IF(ISNUMBER(H61),H61,0)*0.25)+(IF(AND(J61="Yes",K61=0),100,IF(J61="Yes",50,0))*0.2)+(IF(ISNUMBER(L61),L61,0)*0.25)+(IF(I61&lt;=2,100,100-(I61-2)*10)*0.1))/100)</f>
        <v/>
      </c>
      <c r="O61">
        <f>IF(A61="","",IF(AND(N61&gt;=0.95,P61=0),"Fully Compliant",IF(N61&gt;=0.9,"Compliant",IF(N61&gt;=0.8,"Substantially Compliant",IF(N61&gt;=0.7,"Partially Compliant","Non-Compliant")))))</f>
        <v/>
      </c>
      <c r="P61" s="20">
        <f>IF(A61="","",(IF(F61="No",1,0))+(IF(K61&gt;0,1,0))+(IF(M61&gt;0,1,0))+(IF(I61&gt;5,1,0)))</f>
        <v/>
      </c>
      <c r="Q61">
        <f>IF(A61="","","Manual Analysis Required")</f>
        <v/>
      </c>
      <c r="R61">
        <f>IF(A61="","",IF(AND(D61="Critical",P61&gt;0),"P0",IF(P61&gt;0,"P1",IF(N61&lt;0.9,"P2","P3"))))</f>
        <v/>
      </c>
      <c r="S61" s="19" t="n"/>
    </row>
    <row r="62">
      <c r="A62">
        <f>'[ISMS-IMP-A.8.9.1.xlsx]Asset_Inventory'!A62</f>
        <v/>
      </c>
      <c r="B62">
        <f>'[ISMS-IMP-A.8.9.1.xlsx]Asset_Inventory'!B62</f>
        <v/>
      </c>
      <c r="C62">
        <f>'[ISMS-IMP-A.8.9.1.xlsx]Asset_Inventory'!C62</f>
        <v/>
      </c>
      <c r="D62">
        <f>'[ISMS-IMP-A.8.9.1.xlsx]Asset_Inventory'!D62</f>
        <v/>
      </c>
      <c r="E62">
        <f>'[ISMS-IMP-A.8.9.1.xlsx]Asset_Inventory'!E62</f>
        <v/>
      </c>
      <c r="F62">
        <f>'[ISMS-IMP-A.8.9.1.xlsx]Asset_Inventory'!K62</f>
        <v/>
      </c>
      <c r="G62">
        <f>'[ISMS-IMP-A.8.9.1.xlsx]Asset_Inventory'!L62</f>
        <v/>
      </c>
      <c r="H62" s="19" t="inlineStr">
        <is>
          <t>Manual</t>
        </is>
      </c>
      <c r="I62" s="19" t="n">
        <v>0</v>
      </c>
      <c r="J62" s="19" t="inlineStr">
        <is>
          <t>Manual</t>
        </is>
      </c>
      <c r="K62" s="19" t="n">
        <v>0</v>
      </c>
      <c r="L62" s="19" t="inlineStr">
        <is>
          <t>Manual</t>
        </is>
      </c>
      <c r="M62" s="19" t="n">
        <v>0</v>
      </c>
      <c r="N62" s="9">
        <f>IF(A62="","",((IF(AND(F62="Yes",G62="Yes"),100,IF(OR(F62="Yes",G62="Yes"),50,0))*0.2)+(IF(ISNUMBER(H62),H62,0)*0.25)+(IF(AND(J62="Yes",K62=0),100,IF(J62="Yes",50,0))*0.2)+(IF(ISNUMBER(L62),L62,0)*0.25)+(IF(I62&lt;=2,100,100-(I62-2)*10)*0.1))/100)</f>
        <v/>
      </c>
      <c r="O62">
        <f>IF(A62="","",IF(AND(N62&gt;=0.95,P62=0),"Fully Compliant",IF(N62&gt;=0.9,"Compliant",IF(N62&gt;=0.8,"Substantially Compliant",IF(N62&gt;=0.7,"Partially Compliant","Non-Compliant")))))</f>
        <v/>
      </c>
      <c r="P62" s="20">
        <f>IF(A62="","",(IF(F62="No",1,0))+(IF(K62&gt;0,1,0))+(IF(M62&gt;0,1,0))+(IF(I62&gt;5,1,0)))</f>
        <v/>
      </c>
      <c r="Q62">
        <f>IF(A62="","","Manual Analysis Required")</f>
        <v/>
      </c>
      <c r="R62">
        <f>IF(A62="","",IF(AND(D62="Critical",P62&gt;0),"P0",IF(P62&gt;0,"P1",IF(N62&lt;0.9,"P2","P3"))))</f>
        <v/>
      </c>
      <c r="S62" s="19" t="n"/>
    </row>
    <row r="63">
      <c r="A63">
        <f>'[ISMS-IMP-A.8.9.1.xlsx]Asset_Inventory'!A63</f>
        <v/>
      </c>
      <c r="B63">
        <f>'[ISMS-IMP-A.8.9.1.xlsx]Asset_Inventory'!B63</f>
        <v/>
      </c>
      <c r="C63">
        <f>'[ISMS-IMP-A.8.9.1.xlsx]Asset_Inventory'!C63</f>
        <v/>
      </c>
      <c r="D63">
        <f>'[ISMS-IMP-A.8.9.1.xlsx]Asset_Inventory'!D63</f>
        <v/>
      </c>
      <c r="E63">
        <f>'[ISMS-IMP-A.8.9.1.xlsx]Asset_Inventory'!E63</f>
        <v/>
      </c>
      <c r="F63">
        <f>'[ISMS-IMP-A.8.9.1.xlsx]Asset_Inventory'!K63</f>
        <v/>
      </c>
      <c r="G63">
        <f>'[ISMS-IMP-A.8.9.1.xlsx]Asset_Inventory'!L63</f>
        <v/>
      </c>
      <c r="H63" s="19" t="inlineStr">
        <is>
          <t>Manual</t>
        </is>
      </c>
      <c r="I63" s="19" t="n">
        <v>0</v>
      </c>
      <c r="J63" s="19" t="inlineStr">
        <is>
          <t>Manual</t>
        </is>
      </c>
      <c r="K63" s="19" t="n">
        <v>0</v>
      </c>
      <c r="L63" s="19" t="inlineStr">
        <is>
          <t>Manual</t>
        </is>
      </c>
      <c r="M63" s="19" t="n">
        <v>0</v>
      </c>
      <c r="N63" s="9">
        <f>IF(A63="","",((IF(AND(F63="Yes",G63="Yes"),100,IF(OR(F63="Yes",G63="Yes"),50,0))*0.2)+(IF(ISNUMBER(H63),H63,0)*0.25)+(IF(AND(J63="Yes",K63=0),100,IF(J63="Yes",50,0))*0.2)+(IF(ISNUMBER(L63),L63,0)*0.25)+(IF(I63&lt;=2,100,100-(I63-2)*10)*0.1))/100)</f>
        <v/>
      </c>
      <c r="O63">
        <f>IF(A63="","",IF(AND(N63&gt;=0.95,P63=0),"Fully Compliant",IF(N63&gt;=0.9,"Compliant",IF(N63&gt;=0.8,"Substantially Compliant",IF(N63&gt;=0.7,"Partially Compliant","Non-Compliant")))))</f>
        <v/>
      </c>
      <c r="P63" s="20">
        <f>IF(A63="","",(IF(F63="No",1,0))+(IF(K63&gt;0,1,0))+(IF(M63&gt;0,1,0))+(IF(I63&gt;5,1,0)))</f>
        <v/>
      </c>
      <c r="Q63">
        <f>IF(A63="","","Manual Analysis Required")</f>
        <v/>
      </c>
      <c r="R63">
        <f>IF(A63="","",IF(AND(D63="Critical",P63&gt;0),"P0",IF(P63&gt;0,"P1",IF(N63&lt;0.9,"P2","P3"))))</f>
        <v/>
      </c>
      <c r="S63" s="19" t="n"/>
    </row>
    <row r="64">
      <c r="A64">
        <f>'[ISMS-IMP-A.8.9.1.xlsx]Asset_Inventory'!A64</f>
        <v/>
      </c>
      <c r="B64">
        <f>'[ISMS-IMP-A.8.9.1.xlsx]Asset_Inventory'!B64</f>
        <v/>
      </c>
      <c r="C64">
        <f>'[ISMS-IMP-A.8.9.1.xlsx]Asset_Inventory'!C64</f>
        <v/>
      </c>
      <c r="D64">
        <f>'[ISMS-IMP-A.8.9.1.xlsx]Asset_Inventory'!D64</f>
        <v/>
      </c>
      <c r="E64">
        <f>'[ISMS-IMP-A.8.9.1.xlsx]Asset_Inventory'!E64</f>
        <v/>
      </c>
      <c r="F64">
        <f>'[ISMS-IMP-A.8.9.1.xlsx]Asset_Inventory'!K64</f>
        <v/>
      </c>
      <c r="G64">
        <f>'[ISMS-IMP-A.8.9.1.xlsx]Asset_Inventory'!L64</f>
        <v/>
      </c>
      <c r="H64" s="19" t="inlineStr">
        <is>
          <t>Manual</t>
        </is>
      </c>
      <c r="I64" s="19" t="n">
        <v>0</v>
      </c>
      <c r="J64" s="19" t="inlineStr">
        <is>
          <t>Manual</t>
        </is>
      </c>
      <c r="K64" s="19" t="n">
        <v>0</v>
      </c>
      <c r="L64" s="19" t="inlineStr">
        <is>
          <t>Manual</t>
        </is>
      </c>
      <c r="M64" s="19" t="n">
        <v>0</v>
      </c>
      <c r="N64" s="9">
        <f>IF(A64="","",((IF(AND(F64="Yes",G64="Yes"),100,IF(OR(F64="Yes",G64="Yes"),50,0))*0.2)+(IF(ISNUMBER(H64),H64,0)*0.25)+(IF(AND(J64="Yes",K64=0),100,IF(J64="Yes",50,0))*0.2)+(IF(ISNUMBER(L64),L64,0)*0.25)+(IF(I64&lt;=2,100,100-(I64-2)*10)*0.1))/100)</f>
        <v/>
      </c>
      <c r="O64">
        <f>IF(A64="","",IF(AND(N64&gt;=0.95,P64=0),"Fully Compliant",IF(N64&gt;=0.9,"Compliant",IF(N64&gt;=0.8,"Substantially Compliant",IF(N64&gt;=0.7,"Partially Compliant","Non-Compliant")))))</f>
        <v/>
      </c>
      <c r="P64" s="20">
        <f>IF(A64="","",(IF(F64="No",1,0))+(IF(K64&gt;0,1,0))+(IF(M64&gt;0,1,0))+(IF(I64&gt;5,1,0)))</f>
        <v/>
      </c>
      <c r="Q64">
        <f>IF(A64="","","Manual Analysis Required")</f>
        <v/>
      </c>
      <c r="R64">
        <f>IF(A64="","",IF(AND(D64="Critical",P64&gt;0),"P0",IF(P64&gt;0,"P1",IF(N64&lt;0.9,"P2","P3"))))</f>
        <v/>
      </c>
      <c r="S64" s="19" t="n"/>
    </row>
    <row r="65">
      <c r="A65">
        <f>'[ISMS-IMP-A.8.9.1.xlsx]Asset_Inventory'!A65</f>
        <v/>
      </c>
      <c r="B65">
        <f>'[ISMS-IMP-A.8.9.1.xlsx]Asset_Inventory'!B65</f>
        <v/>
      </c>
      <c r="C65">
        <f>'[ISMS-IMP-A.8.9.1.xlsx]Asset_Inventory'!C65</f>
        <v/>
      </c>
      <c r="D65">
        <f>'[ISMS-IMP-A.8.9.1.xlsx]Asset_Inventory'!D65</f>
        <v/>
      </c>
      <c r="E65">
        <f>'[ISMS-IMP-A.8.9.1.xlsx]Asset_Inventory'!E65</f>
        <v/>
      </c>
      <c r="F65">
        <f>'[ISMS-IMP-A.8.9.1.xlsx]Asset_Inventory'!K65</f>
        <v/>
      </c>
      <c r="G65">
        <f>'[ISMS-IMP-A.8.9.1.xlsx]Asset_Inventory'!L65</f>
        <v/>
      </c>
      <c r="H65" s="19" t="inlineStr">
        <is>
          <t>Manual</t>
        </is>
      </c>
      <c r="I65" s="19" t="n">
        <v>0</v>
      </c>
      <c r="J65" s="19" t="inlineStr">
        <is>
          <t>Manual</t>
        </is>
      </c>
      <c r="K65" s="19" t="n">
        <v>0</v>
      </c>
      <c r="L65" s="19" t="inlineStr">
        <is>
          <t>Manual</t>
        </is>
      </c>
      <c r="M65" s="19" t="n">
        <v>0</v>
      </c>
      <c r="N65" s="9">
        <f>IF(A65="","",((IF(AND(F65="Yes",G65="Yes"),100,IF(OR(F65="Yes",G65="Yes"),50,0))*0.2)+(IF(ISNUMBER(H65),H65,0)*0.25)+(IF(AND(J65="Yes",K65=0),100,IF(J65="Yes",50,0))*0.2)+(IF(ISNUMBER(L65),L65,0)*0.25)+(IF(I65&lt;=2,100,100-(I65-2)*10)*0.1))/100)</f>
        <v/>
      </c>
      <c r="O65">
        <f>IF(A65="","",IF(AND(N65&gt;=0.95,P65=0),"Fully Compliant",IF(N65&gt;=0.9,"Compliant",IF(N65&gt;=0.8,"Substantially Compliant",IF(N65&gt;=0.7,"Partially Compliant","Non-Compliant")))))</f>
        <v/>
      </c>
      <c r="P65" s="20">
        <f>IF(A65="","",(IF(F65="No",1,0))+(IF(K65&gt;0,1,0))+(IF(M65&gt;0,1,0))+(IF(I65&gt;5,1,0)))</f>
        <v/>
      </c>
      <c r="Q65">
        <f>IF(A65="","","Manual Analysis Required")</f>
        <v/>
      </c>
      <c r="R65">
        <f>IF(A65="","",IF(AND(D65="Critical",P65&gt;0),"P0",IF(P65&gt;0,"P1",IF(N65&lt;0.9,"P2","P3"))))</f>
        <v/>
      </c>
      <c r="S65" s="19" t="n"/>
    </row>
    <row r="66">
      <c r="A66">
        <f>'[ISMS-IMP-A.8.9.1.xlsx]Asset_Inventory'!A66</f>
        <v/>
      </c>
      <c r="B66">
        <f>'[ISMS-IMP-A.8.9.1.xlsx]Asset_Inventory'!B66</f>
        <v/>
      </c>
      <c r="C66">
        <f>'[ISMS-IMP-A.8.9.1.xlsx]Asset_Inventory'!C66</f>
        <v/>
      </c>
      <c r="D66">
        <f>'[ISMS-IMP-A.8.9.1.xlsx]Asset_Inventory'!D66</f>
        <v/>
      </c>
      <c r="E66">
        <f>'[ISMS-IMP-A.8.9.1.xlsx]Asset_Inventory'!E66</f>
        <v/>
      </c>
      <c r="F66">
        <f>'[ISMS-IMP-A.8.9.1.xlsx]Asset_Inventory'!K66</f>
        <v/>
      </c>
      <c r="G66">
        <f>'[ISMS-IMP-A.8.9.1.xlsx]Asset_Inventory'!L66</f>
        <v/>
      </c>
      <c r="H66" s="19" t="inlineStr">
        <is>
          <t>Manual</t>
        </is>
      </c>
      <c r="I66" s="19" t="n">
        <v>0</v>
      </c>
      <c r="J66" s="19" t="inlineStr">
        <is>
          <t>Manual</t>
        </is>
      </c>
      <c r="K66" s="19" t="n">
        <v>0</v>
      </c>
      <c r="L66" s="19" t="inlineStr">
        <is>
          <t>Manual</t>
        </is>
      </c>
      <c r="M66" s="19" t="n">
        <v>0</v>
      </c>
      <c r="N66" s="9">
        <f>IF(A66="","",((IF(AND(F66="Yes",G66="Yes"),100,IF(OR(F66="Yes",G66="Yes"),50,0))*0.2)+(IF(ISNUMBER(H66),H66,0)*0.25)+(IF(AND(J66="Yes",K66=0),100,IF(J66="Yes",50,0))*0.2)+(IF(ISNUMBER(L66),L66,0)*0.25)+(IF(I66&lt;=2,100,100-(I66-2)*10)*0.1))/100)</f>
        <v/>
      </c>
      <c r="O66">
        <f>IF(A66="","",IF(AND(N66&gt;=0.95,P66=0),"Fully Compliant",IF(N66&gt;=0.9,"Compliant",IF(N66&gt;=0.8,"Substantially Compliant",IF(N66&gt;=0.7,"Partially Compliant","Non-Compliant")))))</f>
        <v/>
      </c>
      <c r="P66" s="20">
        <f>IF(A66="","",(IF(F66="No",1,0))+(IF(K66&gt;0,1,0))+(IF(M66&gt;0,1,0))+(IF(I66&gt;5,1,0)))</f>
        <v/>
      </c>
      <c r="Q66">
        <f>IF(A66="","","Manual Analysis Required")</f>
        <v/>
      </c>
      <c r="R66">
        <f>IF(A66="","",IF(AND(D66="Critical",P66&gt;0),"P0",IF(P66&gt;0,"P1",IF(N66&lt;0.9,"P2","P3"))))</f>
        <v/>
      </c>
      <c r="S66" s="19" t="n"/>
    </row>
    <row r="67">
      <c r="A67">
        <f>'[ISMS-IMP-A.8.9.1.xlsx]Asset_Inventory'!A67</f>
        <v/>
      </c>
      <c r="B67">
        <f>'[ISMS-IMP-A.8.9.1.xlsx]Asset_Inventory'!B67</f>
        <v/>
      </c>
      <c r="C67">
        <f>'[ISMS-IMP-A.8.9.1.xlsx]Asset_Inventory'!C67</f>
        <v/>
      </c>
      <c r="D67">
        <f>'[ISMS-IMP-A.8.9.1.xlsx]Asset_Inventory'!D67</f>
        <v/>
      </c>
      <c r="E67">
        <f>'[ISMS-IMP-A.8.9.1.xlsx]Asset_Inventory'!E67</f>
        <v/>
      </c>
      <c r="F67">
        <f>'[ISMS-IMP-A.8.9.1.xlsx]Asset_Inventory'!K67</f>
        <v/>
      </c>
      <c r="G67">
        <f>'[ISMS-IMP-A.8.9.1.xlsx]Asset_Inventory'!L67</f>
        <v/>
      </c>
      <c r="H67" s="19" t="inlineStr">
        <is>
          <t>Manual</t>
        </is>
      </c>
      <c r="I67" s="19" t="n">
        <v>0</v>
      </c>
      <c r="J67" s="19" t="inlineStr">
        <is>
          <t>Manual</t>
        </is>
      </c>
      <c r="K67" s="19" t="n">
        <v>0</v>
      </c>
      <c r="L67" s="19" t="inlineStr">
        <is>
          <t>Manual</t>
        </is>
      </c>
      <c r="M67" s="19" t="n">
        <v>0</v>
      </c>
      <c r="N67" s="9">
        <f>IF(A67="","",((IF(AND(F67="Yes",G67="Yes"),100,IF(OR(F67="Yes",G67="Yes"),50,0))*0.2)+(IF(ISNUMBER(H67),H67,0)*0.25)+(IF(AND(J67="Yes",K67=0),100,IF(J67="Yes",50,0))*0.2)+(IF(ISNUMBER(L67),L67,0)*0.25)+(IF(I67&lt;=2,100,100-(I67-2)*10)*0.1))/100)</f>
        <v/>
      </c>
      <c r="O67">
        <f>IF(A67="","",IF(AND(N67&gt;=0.95,P67=0),"Fully Compliant",IF(N67&gt;=0.9,"Compliant",IF(N67&gt;=0.8,"Substantially Compliant",IF(N67&gt;=0.7,"Partially Compliant","Non-Compliant")))))</f>
        <v/>
      </c>
      <c r="P67" s="20">
        <f>IF(A67="","",(IF(F67="No",1,0))+(IF(K67&gt;0,1,0))+(IF(M67&gt;0,1,0))+(IF(I67&gt;5,1,0)))</f>
        <v/>
      </c>
      <c r="Q67">
        <f>IF(A67="","","Manual Analysis Required")</f>
        <v/>
      </c>
      <c r="R67">
        <f>IF(A67="","",IF(AND(D67="Critical",P67&gt;0),"P0",IF(P67&gt;0,"P1",IF(N67&lt;0.9,"P2","P3"))))</f>
        <v/>
      </c>
      <c r="S67" s="19" t="n"/>
    </row>
    <row r="68">
      <c r="A68">
        <f>'[ISMS-IMP-A.8.9.1.xlsx]Asset_Inventory'!A68</f>
        <v/>
      </c>
      <c r="B68">
        <f>'[ISMS-IMP-A.8.9.1.xlsx]Asset_Inventory'!B68</f>
        <v/>
      </c>
      <c r="C68">
        <f>'[ISMS-IMP-A.8.9.1.xlsx]Asset_Inventory'!C68</f>
        <v/>
      </c>
      <c r="D68">
        <f>'[ISMS-IMP-A.8.9.1.xlsx]Asset_Inventory'!D68</f>
        <v/>
      </c>
      <c r="E68">
        <f>'[ISMS-IMP-A.8.9.1.xlsx]Asset_Inventory'!E68</f>
        <v/>
      </c>
      <c r="F68">
        <f>'[ISMS-IMP-A.8.9.1.xlsx]Asset_Inventory'!K68</f>
        <v/>
      </c>
      <c r="G68">
        <f>'[ISMS-IMP-A.8.9.1.xlsx]Asset_Inventory'!L68</f>
        <v/>
      </c>
      <c r="H68" s="19" t="inlineStr">
        <is>
          <t>Manual</t>
        </is>
      </c>
      <c r="I68" s="19" t="n">
        <v>0</v>
      </c>
      <c r="J68" s="19" t="inlineStr">
        <is>
          <t>Manual</t>
        </is>
      </c>
      <c r="K68" s="19" t="n">
        <v>0</v>
      </c>
      <c r="L68" s="19" t="inlineStr">
        <is>
          <t>Manual</t>
        </is>
      </c>
      <c r="M68" s="19" t="n">
        <v>0</v>
      </c>
      <c r="N68" s="9">
        <f>IF(A68="","",((IF(AND(F68="Yes",G68="Yes"),100,IF(OR(F68="Yes",G68="Yes"),50,0))*0.2)+(IF(ISNUMBER(H68),H68,0)*0.25)+(IF(AND(J68="Yes",K68=0),100,IF(J68="Yes",50,0))*0.2)+(IF(ISNUMBER(L68),L68,0)*0.25)+(IF(I68&lt;=2,100,100-(I68-2)*10)*0.1))/100)</f>
        <v/>
      </c>
      <c r="O68">
        <f>IF(A68="","",IF(AND(N68&gt;=0.95,P68=0),"Fully Compliant",IF(N68&gt;=0.9,"Compliant",IF(N68&gt;=0.8,"Substantially Compliant",IF(N68&gt;=0.7,"Partially Compliant","Non-Compliant")))))</f>
        <v/>
      </c>
      <c r="P68" s="20">
        <f>IF(A68="","",(IF(F68="No",1,0))+(IF(K68&gt;0,1,0))+(IF(M68&gt;0,1,0))+(IF(I68&gt;5,1,0)))</f>
        <v/>
      </c>
      <c r="Q68">
        <f>IF(A68="","","Manual Analysis Required")</f>
        <v/>
      </c>
      <c r="R68">
        <f>IF(A68="","",IF(AND(D68="Critical",P68&gt;0),"P0",IF(P68&gt;0,"P1",IF(N68&lt;0.9,"P2","P3"))))</f>
        <v/>
      </c>
      <c r="S68" s="19" t="n"/>
    </row>
    <row r="69">
      <c r="A69">
        <f>'[ISMS-IMP-A.8.9.1.xlsx]Asset_Inventory'!A69</f>
        <v/>
      </c>
      <c r="B69">
        <f>'[ISMS-IMP-A.8.9.1.xlsx]Asset_Inventory'!B69</f>
        <v/>
      </c>
      <c r="C69">
        <f>'[ISMS-IMP-A.8.9.1.xlsx]Asset_Inventory'!C69</f>
        <v/>
      </c>
      <c r="D69">
        <f>'[ISMS-IMP-A.8.9.1.xlsx]Asset_Inventory'!D69</f>
        <v/>
      </c>
      <c r="E69">
        <f>'[ISMS-IMP-A.8.9.1.xlsx]Asset_Inventory'!E69</f>
        <v/>
      </c>
      <c r="F69">
        <f>'[ISMS-IMP-A.8.9.1.xlsx]Asset_Inventory'!K69</f>
        <v/>
      </c>
      <c r="G69">
        <f>'[ISMS-IMP-A.8.9.1.xlsx]Asset_Inventory'!L69</f>
        <v/>
      </c>
      <c r="H69" s="19" t="inlineStr">
        <is>
          <t>Manual</t>
        </is>
      </c>
      <c r="I69" s="19" t="n">
        <v>0</v>
      </c>
      <c r="J69" s="19" t="inlineStr">
        <is>
          <t>Manual</t>
        </is>
      </c>
      <c r="K69" s="19" t="n">
        <v>0</v>
      </c>
      <c r="L69" s="19" t="inlineStr">
        <is>
          <t>Manual</t>
        </is>
      </c>
      <c r="M69" s="19" t="n">
        <v>0</v>
      </c>
      <c r="N69" s="9">
        <f>IF(A69="","",((IF(AND(F69="Yes",G69="Yes"),100,IF(OR(F69="Yes",G69="Yes"),50,0))*0.2)+(IF(ISNUMBER(H69),H69,0)*0.25)+(IF(AND(J69="Yes",K69=0),100,IF(J69="Yes",50,0))*0.2)+(IF(ISNUMBER(L69),L69,0)*0.25)+(IF(I69&lt;=2,100,100-(I69-2)*10)*0.1))/100)</f>
        <v/>
      </c>
      <c r="O69">
        <f>IF(A69="","",IF(AND(N69&gt;=0.95,P69=0),"Fully Compliant",IF(N69&gt;=0.9,"Compliant",IF(N69&gt;=0.8,"Substantially Compliant",IF(N69&gt;=0.7,"Partially Compliant","Non-Compliant")))))</f>
        <v/>
      </c>
      <c r="P69" s="20">
        <f>IF(A69="","",(IF(F69="No",1,0))+(IF(K69&gt;0,1,0))+(IF(M69&gt;0,1,0))+(IF(I69&gt;5,1,0)))</f>
        <v/>
      </c>
      <c r="Q69">
        <f>IF(A69="","","Manual Analysis Required")</f>
        <v/>
      </c>
      <c r="R69">
        <f>IF(A69="","",IF(AND(D69="Critical",P69&gt;0),"P0",IF(P69&gt;0,"P1",IF(N69&lt;0.9,"P2","P3"))))</f>
        <v/>
      </c>
      <c r="S69" s="19" t="n"/>
    </row>
    <row r="70">
      <c r="A70">
        <f>'[ISMS-IMP-A.8.9.1.xlsx]Asset_Inventory'!A70</f>
        <v/>
      </c>
      <c r="B70">
        <f>'[ISMS-IMP-A.8.9.1.xlsx]Asset_Inventory'!B70</f>
        <v/>
      </c>
      <c r="C70">
        <f>'[ISMS-IMP-A.8.9.1.xlsx]Asset_Inventory'!C70</f>
        <v/>
      </c>
      <c r="D70">
        <f>'[ISMS-IMP-A.8.9.1.xlsx]Asset_Inventory'!D70</f>
        <v/>
      </c>
      <c r="E70">
        <f>'[ISMS-IMP-A.8.9.1.xlsx]Asset_Inventory'!E70</f>
        <v/>
      </c>
      <c r="F70">
        <f>'[ISMS-IMP-A.8.9.1.xlsx]Asset_Inventory'!K70</f>
        <v/>
      </c>
      <c r="G70">
        <f>'[ISMS-IMP-A.8.9.1.xlsx]Asset_Inventory'!L70</f>
        <v/>
      </c>
      <c r="H70" s="19" t="inlineStr">
        <is>
          <t>Manual</t>
        </is>
      </c>
      <c r="I70" s="19" t="n">
        <v>0</v>
      </c>
      <c r="J70" s="19" t="inlineStr">
        <is>
          <t>Manual</t>
        </is>
      </c>
      <c r="K70" s="19" t="n">
        <v>0</v>
      </c>
      <c r="L70" s="19" t="inlineStr">
        <is>
          <t>Manual</t>
        </is>
      </c>
      <c r="M70" s="19" t="n">
        <v>0</v>
      </c>
      <c r="N70" s="9">
        <f>IF(A70="","",((IF(AND(F70="Yes",G70="Yes"),100,IF(OR(F70="Yes",G70="Yes"),50,0))*0.2)+(IF(ISNUMBER(H70),H70,0)*0.25)+(IF(AND(J70="Yes",K70=0),100,IF(J70="Yes",50,0))*0.2)+(IF(ISNUMBER(L70),L70,0)*0.25)+(IF(I70&lt;=2,100,100-(I70-2)*10)*0.1))/100)</f>
        <v/>
      </c>
      <c r="O70">
        <f>IF(A70="","",IF(AND(N70&gt;=0.95,P70=0),"Fully Compliant",IF(N70&gt;=0.9,"Compliant",IF(N70&gt;=0.8,"Substantially Compliant",IF(N70&gt;=0.7,"Partially Compliant","Non-Compliant")))))</f>
        <v/>
      </c>
      <c r="P70" s="20">
        <f>IF(A70="","",(IF(F70="No",1,0))+(IF(K70&gt;0,1,0))+(IF(M70&gt;0,1,0))+(IF(I70&gt;5,1,0)))</f>
        <v/>
      </c>
      <c r="Q70">
        <f>IF(A70="","","Manual Analysis Required")</f>
        <v/>
      </c>
      <c r="R70">
        <f>IF(A70="","",IF(AND(D70="Critical",P70&gt;0),"P0",IF(P70&gt;0,"P1",IF(N70&lt;0.9,"P2","P3"))))</f>
        <v/>
      </c>
      <c r="S70" s="19" t="n"/>
    </row>
    <row r="71">
      <c r="A71">
        <f>'[ISMS-IMP-A.8.9.1.xlsx]Asset_Inventory'!A71</f>
        <v/>
      </c>
      <c r="B71">
        <f>'[ISMS-IMP-A.8.9.1.xlsx]Asset_Inventory'!B71</f>
        <v/>
      </c>
      <c r="C71">
        <f>'[ISMS-IMP-A.8.9.1.xlsx]Asset_Inventory'!C71</f>
        <v/>
      </c>
      <c r="D71">
        <f>'[ISMS-IMP-A.8.9.1.xlsx]Asset_Inventory'!D71</f>
        <v/>
      </c>
      <c r="E71">
        <f>'[ISMS-IMP-A.8.9.1.xlsx]Asset_Inventory'!E71</f>
        <v/>
      </c>
      <c r="F71">
        <f>'[ISMS-IMP-A.8.9.1.xlsx]Asset_Inventory'!K71</f>
        <v/>
      </c>
      <c r="G71">
        <f>'[ISMS-IMP-A.8.9.1.xlsx]Asset_Inventory'!L71</f>
        <v/>
      </c>
      <c r="H71" s="19" t="inlineStr">
        <is>
          <t>Manual</t>
        </is>
      </c>
      <c r="I71" s="19" t="n">
        <v>0</v>
      </c>
      <c r="J71" s="19" t="inlineStr">
        <is>
          <t>Manual</t>
        </is>
      </c>
      <c r="K71" s="19" t="n">
        <v>0</v>
      </c>
      <c r="L71" s="19" t="inlineStr">
        <is>
          <t>Manual</t>
        </is>
      </c>
      <c r="M71" s="19" t="n">
        <v>0</v>
      </c>
      <c r="N71" s="9">
        <f>IF(A71="","",((IF(AND(F71="Yes",G71="Yes"),100,IF(OR(F71="Yes",G71="Yes"),50,0))*0.2)+(IF(ISNUMBER(H71),H71,0)*0.25)+(IF(AND(J71="Yes",K71=0),100,IF(J71="Yes",50,0))*0.2)+(IF(ISNUMBER(L71),L71,0)*0.25)+(IF(I71&lt;=2,100,100-(I71-2)*10)*0.1))/100)</f>
        <v/>
      </c>
      <c r="O71">
        <f>IF(A71="","",IF(AND(N71&gt;=0.95,P71=0),"Fully Compliant",IF(N71&gt;=0.9,"Compliant",IF(N71&gt;=0.8,"Substantially Compliant",IF(N71&gt;=0.7,"Partially Compliant","Non-Compliant")))))</f>
        <v/>
      </c>
      <c r="P71" s="20">
        <f>IF(A71="","",(IF(F71="No",1,0))+(IF(K71&gt;0,1,0))+(IF(M71&gt;0,1,0))+(IF(I71&gt;5,1,0)))</f>
        <v/>
      </c>
      <c r="Q71">
        <f>IF(A71="","","Manual Analysis Required")</f>
        <v/>
      </c>
      <c r="R71">
        <f>IF(A71="","",IF(AND(D71="Critical",P71&gt;0),"P0",IF(P71&gt;0,"P1",IF(N71&lt;0.9,"P2","P3"))))</f>
        <v/>
      </c>
      <c r="S71" s="19" t="n"/>
    </row>
    <row r="72">
      <c r="A72">
        <f>'[ISMS-IMP-A.8.9.1.xlsx]Asset_Inventory'!A72</f>
        <v/>
      </c>
      <c r="B72">
        <f>'[ISMS-IMP-A.8.9.1.xlsx]Asset_Inventory'!B72</f>
        <v/>
      </c>
      <c r="C72">
        <f>'[ISMS-IMP-A.8.9.1.xlsx]Asset_Inventory'!C72</f>
        <v/>
      </c>
      <c r="D72">
        <f>'[ISMS-IMP-A.8.9.1.xlsx]Asset_Inventory'!D72</f>
        <v/>
      </c>
      <c r="E72">
        <f>'[ISMS-IMP-A.8.9.1.xlsx]Asset_Inventory'!E72</f>
        <v/>
      </c>
      <c r="F72">
        <f>'[ISMS-IMP-A.8.9.1.xlsx]Asset_Inventory'!K72</f>
        <v/>
      </c>
      <c r="G72">
        <f>'[ISMS-IMP-A.8.9.1.xlsx]Asset_Inventory'!L72</f>
        <v/>
      </c>
      <c r="H72" s="19" t="inlineStr">
        <is>
          <t>Manual</t>
        </is>
      </c>
      <c r="I72" s="19" t="n">
        <v>0</v>
      </c>
      <c r="J72" s="19" t="inlineStr">
        <is>
          <t>Manual</t>
        </is>
      </c>
      <c r="K72" s="19" t="n">
        <v>0</v>
      </c>
      <c r="L72" s="19" t="inlineStr">
        <is>
          <t>Manual</t>
        </is>
      </c>
      <c r="M72" s="19" t="n">
        <v>0</v>
      </c>
      <c r="N72" s="9">
        <f>IF(A72="","",((IF(AND(F72="Yes",G72="Yes"),100,IF(OR(F72="Yes",G72="Yes"),50,0))*0.2)+(IF(ISNUMBER(H72),H72,0)*0.25)+(IF(AND(J72="Yes",K72=0),100,IF(J72="Yes",50,0))*0.2)+(IF(ISNUMBER(L72),L72,0)*0.25)+(IF(I72&lt;=2,100,100-(I72-2)*10)*0.1))/100)</f>
        <v/>
      </c>
      <c r="O72">
        <f>IF(A72="","",IF(AND(N72&gt;=0.95,P72=0),"Fully Compliant",IF(N72&gt;=0.9,"Compliant",IF(N72&gt;=0.8,"Substantially Compliant",IF(N72&gt;=0.7,"Partially Compliant","Non-Compliant")))))</f>
        <v/>
      </c>
      <c r="P72" s="20">
        <f>IF(A72="","",(IF(F72="No",1,0))+(IF(K72&gt;0,1,0))+(IF(M72&gt;0,1,0))+(IF(I72&gt;5,1,0)))</f>
        <v/>
      </c>
      <c r="Q72">
        <f>IF(A72="","","Manual Analysis Required")</f>
        <v/>
      </c>
      <c r="R72">
        <f>IF(A72="","",IF(AND(D72="Critical",P72&gt;0),"P0",IF(P72&gt;0,"P1",IF(N72&lt;0.9,"P2","P3"))))</f>
        <v/>
      </c>
      <c r="S72" s="19" t="n"/>
    </row>
    <row r="73">
      <c r="A73">
        <f>'[ISMS-IMP-A.8.9.1.xlsx]Asset_Inventory'!A73</f>
        <v/>
      </c>
      <c r="B73">
        <f>'[ISMS-IMP-A.8.9.1.xlsx]Asset_Inventory'!B73</f>
        <v/>
      </c>
      <c r="C73">
        <f>'[ISMS-IMP-A.8.9.1.xlsx]Asset_Inventory'!C73</f>
        <v/>
      </c>
      <c r="D73">
        <f>'[ISMS-IMP-A.8.9.1.xlsx]Asset_Inventory'!D73</f>
        <v/>
      </c>
      <c r="E73">
        <f>'[ISMS-IMP-A.8.9.1.xlsx]Asset_Inventory'!E73</f>
        <v/>
      </c>
      <c r="F73">
        <f>'[ISMS-IMP-A.8.9.1.xlsx]Asset_Inventory'!K73</f>
        <v/>
      </c>
      <c r="G73">
        <f>'[ISMS-IMP-A.8.9.1.xlsx]Asset_Inventory'!L73</f>
        <v/>
      </c>
      <c r="H73" s="19" t="inlineStr">
        <is>
          <t>Manual</t>
        </is>
      </c>
      <c r="I73" s="19" t="n">
        <v>0</v>
      </c>
      <c r="J73" s="19" t="inlineStr">
        <is>
          <t>Manual</t>
        </is>
      </c>
      <c r="K73" s="19" t="n">
        <v>0</v>
      </c>
      <c r="L73" s="19" t="inlineStr">
        <is>
          <t>Manual</t>
        </is>
      </c>
      <c r="M73" s="19" t="n">
        <v>0</v>
      </c>
      <c r="N73" s="9">
        <f>IF(A73="","",((IF(AND(F73="Yes",G73="Yes"),100,IF(OR(F73="Yes",G73="Yes"),50,0))*0.2)+(IF(ISNUMBER(H73),H73,0)*0.25)+(IF(AND(J73="Yes",K73=0),100,IF(J73="Yes",50,0))*0.2)+(IF(ISNUMBER(L73),L73,0)*0.25)+(IF(I73&lt;=2,100,100-(I73-2)*10)*0.1))/100)</f>
        <v/>
      </c>
      <c r="O73">
        <f>IF(A73="","",IF(AND(N73&gt;=0.95,P73=0),"Fully Compliant",IF(N73&gt;=0.9,"Compliant",IF(N73&gt;=0.8,"Substantially Compliant",IF(N73&gt;=0.7,"Partially Compliant","Non-Compliant")))))</f>
        <v/>
      </c>
      <c r="P73" s="20">
        <f>IF(A73="","",(IF(F73="No",1,0))+(IF(K73&gt;0,1,0))+(IF(M73&gt;0,1,0))+(IF(I73&gt;5,1,0)))</f>
        <v/>
      </c>
      <c r="Q73">
        <f>IF(A73="","","Manual Analysis Required")</f>
        <v/>
      </c>
      <c r="R73">
        <f>IF(A73="","",IF(AND(D73="Critical",P73&gt;0),"P0",IF(P73&gt;0,"P1",IF(N73&lt;0.9,"P2","P3"))))</f>
        <v/>
      </c>
      <c r="S73" s="19" t="n"/>
    </row>
    <row r="74">
      <c r="A74">
        <f>'[ISMS-IMP-A.8.9.1.xlsx]Asset_Inventory'!A74</f>
        <v/>
      </c>
      <c r="B74">
        <f>'[ISMS-IMP-A.8.9.1.xlsx]Asset_Inventory'!B74</f>
        <v/>
      </c>
      <c r="C74">
        <f>'[ISMS-IMP-A.8.9.1.xlsx]Asset_Inventory'!C74</f>
        <v/>
      </c>
      <c r="D74">
        <f>'[ISMS-IMP-A.8.9.1.xlsx]Asset_Inventory'!D74</f>
        <v/>
      </c>
      <c r="E74">
        <f>'[ISMS-IMP-A.8.9.1.xlsx]Asset_Inventory'!E74</f>
        <v/>
      </c>
      <c r="F74">
        <f>'[ISMS-IMP-A.8.9.1.xlsx]Asset_Inventory'!K74</f>
        <v/>
      </c>
      <c r="G74">
        <f>'[ISMS-IMP-A.8.9.1.xlsx]Asset_Inventory'!L74</f>
        <v/>
      </c>
      <c r="H74" s="19" t="inlineStr">
        <is>
          <t>Manual</t>
        </is>
      </c>
      <c r="I74" s="19" t="n">
        <v>0</v>
      </c>
      <c r="J74" s="19" t="inlineStr">
        <is>
          <t>Manual</t>
        </is>
      </c>
      <c r="K74" s="19" t="n">
        <v>0</v>
      </c>
      <c r="L74" s="19" t="inlineStr">
        <is>
          <t>Manual</t>
        </is>
      </c>
      <c r="M74" s="19" t="n">
        <v>0</v>
      </c>
      <c r="N74" s="9">
        <f>IF(A74="","",((IF(AND(F74="Yes",G74="Yes"),100,IF(OR(F74="Yes",G74="Yes"),50,0))*0.2)+(IF(ISNUMBER(H74),H74,0)*0.25)+(IF(AND(J74="Yes",K74=0),100,IF(J74="Yes",50,0))*0.2)+(IF(ISNUMBER(L74),L74,0)*0.25)+(IF(I74&lt;=2,100,100-(I74-2)*10)*0.1))/100)</f>
        <v/>
      </c>
      <c r="O74">
        <f>IF(A74="","",IF(AND(N74&gt;=0.95,P74=0),"Fully Compliant",IF(N74&gt;=0.9,"Compliant",IF(N74&gt;=0.8,"Substantially Compliant",IF(N74&gt;=0.7,"Partially Compliant","Non-Compliant")))))</f>
        <v/>
      </c>
      <c r="P74" s="20">
        <f>IF(A74="","",(IF(F74="No",1,0))+(IF(K74&gt;0,1,0))+(IF(M74&gt;0,1,0))+(IF(I74&gt;5,1,0)))</f>
        <v/>
      </c>
      <c r="Q74">
        <f>IF(A74="","","Manual Analysis Required")</f>
        <v/>
      </c>
      <c r="R74">
        <f>IF(A74="","",IF(AND(D74="Critical",P74&gt;0),"P0",IF(P74&gt;0,"P1",IF(N74&lt;0.9,"P2","P3"))))</f>
        <v/>
      </c>
      <c r="S74" s="19" t="n"/>
    </row>
    <row r="75">
      <c r="A75">
        <f>'[ISMS-IMP-A.8.9.1.xlsx]Asset_Inventory'!A75</f>
        <v/>
      </c>
      <c r="B75">
        <f>'[ISMS-IMP-A.8.9.1.xlsx]Asset_Inventory'!B75</f>
        <v/>
      </c>
      <c r="C75">
        <f>'[ISMS-IMP-A.8.9.1.xlsx]Asset_Inventory'!C75</f>
        <v/>
      </c>
      <c r="D75">
        <f>'[ISMS-IMP-A.8.9.1.xlsx]Asset_Inventory'!D75</f>
        <v/>
      </c>
      <c r="E75">
        <f>'[ISMS-IMP-A.8.9.1.xlsx]Asset_Inventory'!E75</f>
        <v/>
      </c>
      <c r="F75">
        <f>'[ISMS-IMP-A.8.9.1.xlsx]Asset_Inventory'!K75</f>
        <v/>
      </c>
      <c r="G75">
        <f>'[ISMS-IMP-A.8.9.1.xlsx]Asset_Inventory'!L75</f>
        <v/>
      </c>
      <c r="H75" s="19" t="inlineStr">
        <is>
          <t>Manual</t>
        </is>
      </c>
      <c r="I75" s="19" t="n">
        <v>0</v>
      </c>
      <c r="J75" s="19" t="inlineStr">
        <is>
          <t>Manual</t>
        </is>
      </c>
      <c r="K75" s="19" t="n">
        <v>0</v>
      </c>
      <c r="L75" s="19" t="inlineStr">
        <is>
          <t>Manual</t>
        </is>
      </c>
      <c r="M75" s="19" t="n">
        <v>0</v>
      </c>
      <c r="N75" s="9">
        <f>IF(A75="","",((IF(AND(F75="Yes",G75="Yes"),100,IF(OR(F75="Yes",G75="Yes"),50,0))*0.2)+(IF(ISNUMBER(H75),H75,0)*0.25)+(IF(AND(J75="Yes",K75=0),100,IF(J75="Yes",50,0))*0.2)+(IF(ISNUMBER(L75),L75,0)*0.25)+(IF(I75&lt;=2,100,100-(I75-2)*10)*0.1))/100)</f>
        <v/>
      </c>
      <c r="O75">
        <f>IF(A75="","",IF(AND(N75&gt;=0.95,P75=0),"Fully Compliant",IF(N75&gt;=0.9,"Compliant",IF(N75&gt;=0.8,"Substantially Compliant",IF(N75&gt;=0.7,"Partially Compliant","Non-Compliant")))))</f>
        <v/>
      </c>
      <c r="P75" s="20">
        <f>IF(A75="","",(IF(F75="No",1,0))+(IF(K75&gt;0,1,0))+(IF(M75&gt;0,1,0))+(IF(I75&gt;5,1,0)))</f>
        <v/>
      </c>
      <c r="Q75">
        <f>IF(A75="","","Manual Analysis Required")</f>
        <v/>
      </c>
      <c r="R75">
        <f>IF(A75="","",IF(AND(D75="Critical",P75&gt;0),"P0",IF(P75&gt;0,"P1",IF(N75&lt;0.9,"P2","P3"))))</f>
        <v/>
      </c>
      <c r="S75" s="19" t="n"/>
    </row>
    <row r="76">
      <c r="A76">
        <f>'[ISMS-IMP-A.8.9.1.xlsx]Asset_Inventory'!A76</f>
        <v/>
      </c>
      <c r="B76">
        <f>'[ISMS-IMP-A.8.9.1.xlsx]Asset_Inventory'!B76</f>
        <v/>
      </c>
      <c r="C76">
        <f>'[ISMS-IMP-A.8.9.1.xlsx]Asset_Inventory'!C76</f>
        <v/>
      </c>
      <c r="D76">
        <f>'[ISMS-IMP-A.8.9.1.xlsx]Asset_Inventory'!D76</f>
        <v/>
      </c>
      <c r="E76">
        <f>'[ISMS-IMP-A.8.9.1.xlsx]Asset_Inventory'!E76</f>
        <v/>
      </c>
      <c r="F76">
        <f>'[ISMS-IMP-A.8.9.1.xlsx]Asset_Inventory'!K76</f>
        <v/>
      </c>
      <c r="G76">
        <f>'[ISMS-IMP-A.8.9.1.xlsx]Asset_Inventory'!L76</f>
        <v/>
      </c>
      <c r="H76" s="19" t="inlineStr">
        <is>
          <t>Manual</t>
        </is>
      </c>
      <c r="I76" s="19" t="n">
        <v>0</v>
      </c>
      <c r="J76" s="19" t="inlineStr">
        <is>
          <t>Manual</t>
        </is>
      </c>
      <c r="K76" s="19" t="n">
        <v>0</v>
      </c>
      <c r="L76" s="19" t="inlineStr">
        <is>
          <t>Manual</t>
        </is>
      </c>
      <c r="M76" s="19" t="n">
        <v>0</v>
      </c>
      <c r="N76" s="9">
        <f>IF(A76="","",((IF(AND(F76="Yes",G76="Yes"),100,IF(OR(F76="Yes",G76="Yes"),50,0))*0.2)+(IF(ISNUMBER(H76),H76,0)*0.25)+(IF(AND(J76="Yes",K76=0),100,IF(J76="Yes",50,0))*0.2)+(IF(ISNUMBER(L76),L76,0)*0.25)+(IF(I76&lt;=2,100,100-(I76-2)*10)*0.1))/100)</f>
        <v/>
      </c>
      <c r="O76">
        <f>IF(A76="","",IF(AND(N76&gt;=0.95,P76=0),"Fully Compliant",IF(N76&gt;=0.9,"Compliant",IF(N76&gt;=0.8,"Substantially Compliant",IF(N76&gt;=0.7,"Partially Compliant","Non-Compliant")))))</f>
        <v/>
      </c>
      <c r="P76" s="20">
        <f>IF(A76="","",(IF(F76="No",1,0))+(IF(K76&gt;0,1,0))+(IF(M76&gt;0,1,0))+(IF(I76&gt;5,1,0)))</f>
        <v/>
      </c>
      <c r="Q76">
        <f>IF(A76="","","Manual Analysis Required")</f>
        <v/>
      </c>
      <c r="R76">
        <f>IF(A76="","",IF(AND(D76="Critical",P76&gt;0),"P0",IF(P76&gt;0,"P1",IF(N76&lt;0.9,"P2","P3"))))</f>
        <v/>
      </c>
      <c r="S76" s="19" t="n"/>
    </row>
    <row r="77">
      <c r="A77">
        <f>'[ISMS-IMP-A.8.9.1.xlsx]Asset_Inventory'!A77</f>
        <v/>
      </c>
      <c r="B77">
        <f>'[ISMS-IMP-A.8.9.1.xlsx]Asset_Inventory'!B77</f>
        <v/>
      </c>
      <c r="C77">
        <f>'[ISMS-IMP-A.8.9.1.xlsx]Asset_Inventory'!C77</f>
        <v/>
      </c>
      <c r="D77">
        <f>'[ISMS-IMP-A.8.9.1.xlsx]Asset_Inventory'!D77</f>
        <v/>
      </c>
      <c r="E77">
        <f>'[ISMS-IMP-A.8.9.1.xlsx]Asset_Inventory'!E77</f>
        <v/>
      </c>
      <c r="F77">
        <f>'[ISMS-IMP-A.8.9.1.xlsx]Asset_Inventory'!K77</f>
        <v/>
      </c>
      <c r="G77">
        <f>'[ISMS-IMP-A.8.9.1.xlsx]Asset_Inventory'!L77</f>
        <v/>
      </c>
      <c r="H77" s="19" t="inlineStr">
        <is>
          <t>Manual</t>
        </is>
      </c>
      <c r="I77" s="19" t="n">
        <v>0</v>
      </c>
      <c r="J77" s="19" t="inlineStr">
        <is>
          <t>Manual</t>
        </is>
      </c>
      <c r="K77" s="19" t="n">
        <v>0</v>
      </c>
      <c r="L77" s="19" t="inlineStr">
        <is>
          <t>Manual</t>
        </is>
      </c>
      <c r="M77" s="19" t="n">
        <v>0</v>
      </c>
      <c r="N77" s="9">
        <f>IF(A77="","",((IF(AND(F77="Yes",G77="Yes"),100,IF(OR(F77="Yes",G77="Yes"),50,0))*0.2)+(IF(ISNUMBER(H77),H77,0)*0.25)+(IF(AND(J77="Yes",K77=0),100,IF(J77="Yes",50,0))*0.2)+(IF(ISNUMBER(L77),L77,0)*0.25)+(IF(I77&lt;=2,100,100-(I77-2)*10)*0.1))/100)</f>
        <v/>
      </c>
      <c r="O77">
        <f>IF(A77="","",IF(AND(N77&gt;=0.95,P77=0),"Fully Compliant",IF(N77&gt;=0.9,"Compliant",IF(N77&gt;=0.8,"Substantially Compliant",IF(N77&gt;=0.7,"Partially Compliant","Non-Compliant")))))</f>
        <v/>
      </c>
      <c r="P77" s="20">
        <f>IF(A77="","",(IF(F77="No",1,0))+(IF(K77&gt;0,1,0))+(IF(M77&gt;0,1,0))+(IF(I77&gt;5,1,0)))</f>
        <v/>
      </c>
      <c r="Q77">
        <f>IF(A77="","","Manual Analysis Required")</f>
        <v/>
      </c>
      <c r="R77">
        <f>IF(A77="","",IF(AND(D77="Critical",P77&gt;0),"P0",IF(P77&gt;0,"P1",IF(N77&lt;0.9,"P2","P3"))))</f>
        <v/>
      </c>
      <c r="S77" s="19" t="n"/>
    </row>
    <row r="78">
      <c r="A78">
        <f>'[ISMS-IMP-A.8.9.1.xlsx]Asset_Inventory'!A78</f>
        <v/>
      </c>
      <c r="B78">
        <f>'[ISMS-IMP-A.8.9.1.xlsx]Asset_Inventory'!B78</f>
        <v/>
      </c>
      <c r="C78">
        <f>'[ISMS-IMP-A.8.9.1.xlsx]Asset_Inventory'!C78</f>
        <v/>
      </c>
      <c r="D78">
        <f>'[ISMS-IMP-A.8.9.1.xlsx]Asset_Inventory'!D78</f>
        <v/>
      </c>
      <c r="E78">
        <f>'[ISMS-IMP-A.8.9.1.xlsx]Asset_Inventory'!E78</f>
        <v/>
      </c>
      <c r="F78">
        <f>'[ISMS-IMP-A.8.9.1.xlsx]Asset_Inventory'!K78</f>
        <v/>
      </c>
      <c r="G78">
        <f>'[ISMS-IMP-A.8.9.1.xlsx]Asset_Inventory'!L78</f>
        <v/>
      </c>
      <c r="H78" s="19" t="inlineStr">
        <is>
          <t>Manual</t>
        </is>
      </c>
      <c r="I78" s="19" t="n">
        <v>0</v>
      </c>
      <c r="J78" s="19" t="inlineStr">
        <is>
          <t>Manual</t>
        </is>
      </c>
      <c r="K78" s="19" t="n">
        <v>0</v>
      </c>
      <c r="L78" s="19" t="inlineStr">
        <is>
          <t>Manual</t>
        </is>
      </c>
      <c r="M78" s="19" t="n">
        <v>0</v>
      </c>
      <c r="N78" s="9">
        <f>IF(A78="","",((IF(AND(F78="Yes",G78="Yes"),100,IF(OR(F78="Yes",G78="Yes"),50,0))*0.2)+(IF(ISNUMBER(H78),H78,0)*0.25)+(IF(AND(J78="Yes",K78=0),100,IF(J78="Yes",50,0))*0.2)+(IF(ISNUMBER(L78),L78,0)*0.25)+(IF(I78&lt;=2,100,100-(I78-2)*10)*0.1))/100)</f>
        <v/>
      </c>
      <c r="O78">
        <f>IF(A78="","",IF(AND(N78&gt;=0.95,P78=0),"Fully Compliant",IF(N78&gt;=0.9,"Compliant",IF(N78&gt;=0.8,"Substantially Compliant",IF(N78&gt;=0.7,"Partially Compliant","Non-Compliant")))))</f>
        <v/>
      </c>
      <c r="P78" s="20">
        <f>IF(A78="","",(IF(F78="No",1,0))+(IF(K78&gt;0,1,0))+(IF(M78&gt;0,1,0))+(IF(I78&gt;5,1,0)))</f>
        <v/>
      </c>
      <c r="Q78">
        <f>IF(A78="","","Manual Analysis Required")</f>
        <v/>
      </c>
      <c r="R78">
        <f>IF(A78="","",IF(AND(D78="Critical",P78&gt;0),"P0",IF(P78&gt;0,"P1",IF(N78&lt;0.9,"P2","P3"))))</f>
        <v/>
      </c>
      <c r="S78" s="19" t="n"/>
    </row>
    <row r="79">
      <c r="A79">
        <f>'[ISMS-IMP-A.8.9.1.xlsx]Asset_Inventory'!A79</f>
        <v/>
      </c>
      <c r="B79">
        <f>'[ISMS-IMP-A.8.9.1.xlsx]Asset_Inventory'!B79</f>
        <v/>
      </c>
      <c r="C79">
        <f>'[ISMS-IMP-A.8.9.1.xlsx]Asset_Inventory'!C79</f>
        <v/>
      </c>
      <c r="D79">
        <f>'[ISMS-IMP-A.8.9.1.xlsx]Asset_Inventory'!D79</f>
        <v/>
      </c>
      <c r="E79">
        <f>'[ISMS-IMP-A.8.9.1.xlsx]Asset_Inventory'!E79</f>
        <v/>
      </c>
      <c r="F79">
        <f>'[ISMS-IMP-A.8.9.1.xlsx]Asset_Inventory'!K79</f>
        <v/>
      </c>
      <c r="G79">
        <f>'[ISMS-IMP-A.8.9.1.xlsx]Asset_Inventory'!L79</f>
        <v/>
      </c>
      <c r="H79" s="19" t="inlineStr">
        <is>
          <t>Manual</t>
        </is>
      </c>
      <c r="I79" s="19" t="n">
        <v>0</v>
      </c>
      <c r="J79" s="19" t="inlineStr">
        <is>
          <t>Manual</t>
        </is>
      </c>
      <c r="K79" s="19" t="n">
        <v>0</v>
      </c>
      <c r="L79" s="19" t="inlineStr">
        <is>
          <t>Manual</t>
        </is>
      </c>
      <c r="M79" s="19" t="n">
        <v>0</v>
      </c>
      <c r="N79" s="9">
        <f>IF(A79="","",((IF(AND(F79="Yes",G79="Yes"),100,IF(OR(F79="Yes",G79="Yes"),50,0))*0.2)+(IF(ISNUMBER(H79),H79,0)*0.25)+(IF(AND(J79="Yes",K79=0),100,IF(J79="Yes",50,0))*0.2)+(IF(ISNUMBER(L79),L79,0)*0.25)+(IF(I79&lt;=2,100,100-(I79-2)*10)*0.1))/100)</f>
        <v/>
      </c>
      <c r="O79">
        <f>IF(A79="","",IF(AND(N79&gt;=0.95,P79=0),"Fully Compliant",IF(N79&gt;=0.9,"Compliant",IF(N79&gt;=0.8,"Substantially Compliant",IF(N79&gt;=0.7,"Partially Compliant","Non-Compliant")))))</f>
        <v/>
      </c>
      <c r="P79" s="20">
        <f>IF(A79="","",(IF(F79="No",1,0))+(IF(K79&gt;0,1,0))+(IF(M79&gt;0,1,0))+(IF(I79&gt;5,1,0)))</f>
        <v/>
      </c>
      <c r="Q79">
        <f>IF(A79="","","Manual Analysis Required")</f>
        <v/>
      </c>
      <c r="R79">
        <f>IF(A79="","",IF(AND(D79="Critical",P79&gt;0),"P0",IF(P79&gt;0,"P1",IF(N79&lt;0.9,"P2","P3"))))</f>
        <v/>
      </c>
      <c r="S79" s="19" t="n"/>
    </row>
    <row r="80">
      <c r="A80">
        <f>'[ISMS-IMP-A.8.9.1.xlsx]Asset_Inventory'!A80</f>
        <v/>
      </c>
      <c r="B80">
        <f>'[ISMS-IMP-A.8.9.1.xlsx]Asset_Inventory'!B80</f>
        <v/>
      </c>
      <c r="C80">
        <f>'[ISMS-IMP-A.8.9.1.xlsx]Asset_Inventory'!C80</f>
        <v/>
      </c>
      <c r="D80">
        <f>'[ISMS-IMP-A.8.9.1.xlsx]Asset_Inventory'!D80</f>
        <v/>
      </c>
      <c r="E80">
        <f>'[ISMS-IMP-A.8.9.1.xlsx]Asset_Inventory'!E80</f>
        <v/>
      </c>
      <c r="F80">
        <f>'[ISMS-IMP-A.8.9.1.xlsx]Asset_Inventory'!K80</f>
        <v/>
      </c>
      <c r="G80">
        <f>'[ISMS-IMP-A.8.9.1.xlsx]Asset_Inventory'!L80</f>
        <v/>
      </c>
      <c r="H80" s="19" t="inlineStr">
        <is>
          <t>Manual</t>
        </is>
      </c>
      <c r="I80" s="19" t="n">
        <v>0</v>
      </c>
      <c r="J80" s="19" t="inlineStr">
        <is>
          <t>Manual</t>
        </is>
      </c>
      <c r="K80" s="19" t="n">
        <v>0</v>
      </c>
      <c r="L80" s="19" t="inlineStr">
        <is>
          <t>Manual</t>
        </is>
      </c>
      <c r="M80" s="19" t="n">
        <v>0</v>
      </c>
      <c r="N80" s="9">
        <f>IF(A80="","",((IF(AND(F80="Yes",G80="Yes"),100,IF(OR(F80="Yes",G80="Yes"),50,0))*0.2)+(IF(ISNUMBER(H80),H80,0)*0.25)+(IF(AND(J80="Yes",K80=0),100,IF(J80="Yes",50,0))*0.2)+(IF(ISNUMBER(L80),L80,0)*0.25)+(IF(I80&lt;=2,100,100-(I80-2)*10)*0.1))/100)</f>
        <v/>
      </c>
      <c r="O80">
        <f>IF(A80="","",IF(AND(N80&gt;=0.95,P80=0),"Fully Compliant",IF(N80&gt;=0.9,"Compliant",IF(N80&gt;=0.8,"Substantially Compliant",IF(N80&gt;=0.7,"Partially Compliant","Non-Compliant")))))</f>
        <v/>
      </c>
      <c r="P80" s="20">
        <f>IF(A80="","",(IF(F80="No",1,0))+(IF(K80&gt;0,1,0))+(IF(M80&gt;0,1,0))+(IF(I80&gt;5,1,0)))</f>
        <v/>
      </c>
      <c r="Q80">
        <f>IF(A80="","","Manual Analysis Required")</f>
        <v/>
      </c>
      <c r="R80">
        <f>IF(A80="","",IF(AND(D80="Critical",P80&gt;0),"P0",IF(P80&gt;0,"P1",IF(N80&lt;0.9,"P2","P3"))))</f>
        <v/>
      </c>
      <c r="S80" s="19" t="n"/>
    </row>
    <row r="81">
      <c r="A81">
        <f>'[ISMS-IMP-A.8.9.1.xlsx]Asset_Inventory'!A81</f>
        <v/>
      </c>
      <c r="B81">
        <f>'[ISMS-IMP-A.8.9.1.xlsx]Asset_Inventory'!B81</f>
        <v/>
      </c>
      <c r="C81">
        <f>'[ISMS-IMP-A.8.9.1.xlsx]Asset_Inventory'!C81</f>
        <v/>
      </c>
      <c r="D81">
        <f>'[ISMS-IMP-A.8.9.1.xlsx]Asset_Inventory'!D81</f>
        <v/>
      </c>
      <c r="E81">
        <f>'[ISMS-IMP-A.8.9.1.xlsx]Asset_Inventory'!E81</f>
        <v/>
      </c>
      <c r="F81">
        <f>'[ISMS-IMP-A.8.9.1.xlsx]Asset_Inventory'!K81</f>
        <v/>
      </c>
      <c r="G81">
        <f>'[ISMS-IMP-A.8.9.1.xlsx]Asset_Inventory'!L81</f>
        <v/>
      </c>
      <c r="H81" s="19" t="inlineStr">
        <is>
          <t>Manual</t>
        </is>
      </c>
      <c r="I81" s="19" t="n">
        <v>0</v>
      </c>
      <c r="J81" s="19" t="inlineStr">
        <is>
          <t>Manual</t>
        </is>
      </c>
      <c r="K81" s="19" t="n">
        <v>0</v>
      </c>
      <c r="L81" s="19" t="inlineStr">
        <is>
          <t>Manual</t>
        </is>
      </c>
      <c r="M81" s="19" t="n">
        <v>0</v>
      </c>
      <c r="N81" s="9">
        <f>IF(A81="","",((IF(AND(F81="Yes",G81="Yes"),100,IF(OR(F81="Yes",G81="Yes"),50,0))*0.2)+(IF(ISNUMBER(H81),H81,0)*0.25)+(IF(AND(J81="Yes",K81=0),100,IF(J81="Yes",50,0))*0.2)+(IF(ISNUMBER(L81),L81,0)*0.25)+(IF(I81&lt;=2,100,100-(I81-2)*10)*0.1))/100)</f>
        <v/>
      </c>
      <c r="O81">
        <f>IF(A81="","",IF(AND(N81&gt;=0.95,P81=0),"Fully Compliant",IF(N81&gt;=0.9,"Compliant",IF(N81&gt;=0.8,"Substantially Compliant",IF(N81&gt;=0.7,"Partially Compliant","Non-Compliant")))))</f>
        <v/>
      </c>
      <c r="P81" s="20">
        <f>IF(A81="","",(IF(F81="No",1,0))+(IF(K81&gt;0,1,0))+(IF(M81&gt;0,1,0))+(IF(I81&gt;5,1,0)))</f>
        <v/>
      </c>
      <c r="Q81">
        <f>IF(A81="","","Manual Analysis Required")</f>
        <v/>
      </c>
      <c r="R81">
        <f>IF(A81="","",IF(AND(D81="Critical",P81&gt;0),"P0",IF(P81&gt;0,"P1",IF(N81&lt;0.9,"P2","P3"))))</f>
        <v/>
      </c>
      <c r="S81" s="19" t="n"/>
    </row>
    <row r="82">
      <c r="A82">
        <f>'[ISMS-IMP-A.8.9.1.xlsx]Asset_Inventory'!A82</f>
        <v/>
      </c>
      <c r="B82">
        <f>'[ISMS-IMP-A.8.9.1.xlsx]Asset_Inventory'!B82</f>
        <v/>
      </c>
      <c r="C82">
        <f>'[ISMS-IMP-A.8.9.1.xlsx]Asset_Inventory'!C82</f>
        <v/>
      </c>
      <c r="D82">
        <f>'[ISMS-IMP-A.8.9.1.xlsx]Asset_Inventory'!D82</f>
        <v/>
      </c>
      <c r="E82">
        <f>'[ISMS-IMP-A.8.9.1.xlsx]Asset_Inventory'!E82</f>
        <v/>
      </c>
      <c r="F82">
        <f>'[ISMS-IMP-A.8.9.1.xlsx]Asset_Inventory'!K82</f>
        <v/>
      </c>
      <c r="G82">
        <f>'[ISMS-IMP-A.8.9.1.xlsx]Asset_Inventory'!L82</f>
        <v/>
      </c>
      <c r="H82" s="19" t="inlineStr">
        <is>
          <t>Manual</t>
        </is>
      </c>
      <c r="I82" s="19" t="n">
        <v>0</v>
      </c>
      <c r="J82" s="19" t="inlineStr">
        <is>
          <t>Manual</t>
        </is>
      </c>
      <c r="K82" s="19" t="n">
        <v>0</v>
      </c>
      <c r="L82" s="19" t="inlineStr">
        <is>
          <t>Manual</t>
        </is>
      </c>
      <c r="M82" s="19" t="n">
        <v>0</v>
      </c>
      <c r="N82" s="9">
        <f>IF(A82="","",((IF(AND(F82="Yes",G82="Yes"),100,IF(OR(F82="Yes",G82="Yes"),50,0))*0.2)+(IF(ISNUMBER(H82),H82,0)*0.25)+(IF(AND(J82="Yes",K82=0),100,IF(J82="Yes",50,0))*0.2)+(IF(ISNUMBER(L82),L82,0)*0.25)+(IF(I82&lt;=2,100,100-(I82-2)*10)*0.1))/100)</f>
        <v/>
      </c>
      <c r="O82">
        <f>IF(A82="","",IF(AND(N82&gt;=0.95,P82=0),"Fully Compliant",IF(N82&gt;=0.9,"Compliant",IF(N82&gt;=0.8,"Substantially Compliant",IF(N82&gt;=0.7,"Partially Compliant","Non-Compliant")))))</f>
        <v/>
      </c>
      <c r="P82" s="20">
        <f>IF(A82="","",(IF(F82="No",1,0))+(IF(K82&gt;0,1,0))+(IF(M82&gt;0,1,0))+(IF(I82&gt;5,1,0)))</f>
        <v/>
      </c>
      <c r="Q82">
        <f>IF(A82="","","Manual Analysis Required")</f>
        <v/>
      </c>
      <c r="R82">
        <f>IF(A82="","",IF(AND(D82="Critical",P82&gt;0),"P0",IF(P82&gt;0,"P1",IF(N82&lt;0.9,"P2","P3"))))</f>
        <v/>
      </c>
      <c r="S82" s="19" t="n"/>
    </row>
    <row r="83">
      <c r="A83">
        <f>'[ISMS-IMP-A.8.9.1.xlsx]Asset_Inventory'!A83</f>
        <v/>
      </c>
      <c r="B83">
        <f>'[ISMS-IMP-A.8.9.1.xlsx]Asset_Inventory'!B83</f>
        <v/>
      </c>
      <c r="C83">
        <f>'[ISMS-IMP-A.8.9.1.xlsx]Asset_Inventory'!C83</f>
        <v/>
      </c>
      <c r="D83">
        <f>'[ISMS-IMP-A.8.9.1.xlsx]Asset_Inventory'!D83</f>
        <v/>
      </c>
      <c r="E83">
        <f>'[ISMS-IMP-A.8.9.1.xlsx]Asset_Inventory'!E83</f>
        <v/>
      </c>
      <c r="F83">
        <f>'[ISMS-IMP-A.8.9.1.xlsx]Asset_Inventory'!K83</f>
        <v/>
      </c>
      <c r="G83">
        <f>'[ISMS-IMP-A.8.9.1.xlsx]Asset_Inventory'!L83</f>
        <v/>
      </c>
      <c r="H83" s="19" t="inlineStr">
        <is>
          <t>Manual</t>
        </is>
      </c>
      <c r="I83" s="19" t="n">
        <v>0</v>
      </c>
      <c r="J83" s="19" t="inlineStr">
        <is>
          <t>Manual</t>
        </is>
      </c>
      <c r="K83" s="19" t="n">
        <v>0</v>
      </c>
      <c r="L83" s="19" t="inlineStr">
        <is>
          <t>Manual</t>
        </is>
      </c>
      <c r="M83" s="19" t="n">
        <v>0</v>
      </c>
      <c r="N83" s="9">
        <f>IF(A83="","",((IF(AND(F83="Yes",G83="Yes"),100,IF(OR(F83="Yes",G83="Yes"),50,0))*0.2)+(IF(ISNUMBER(H83),H83,0)*0.25)+(IF(AND(J83="Yes",K83=0),100,IF(J83="Yes",50,0))*0.2)+(IF(ISNUMBER(L83),L83,0)*0.25)+(IF(I83&lt;=2,100,100-(I83-2)*10)*0.1))/100)</f>
        <v/>
      </c>
      <c r="O83">
        <f>IF(A83="","",IF(AND(N83&gt;=0.95,P83=0),"Fully Compliant",IF(N83&gt;=0.9,"Compliant",IF(N83&gt;=0.8,"Substantially Compliant",IF(N83&gt;=0.7,"Partially Compliant","Non-Compliant")))))</f>
        <v/>
      </c>
      <c r="P83" s="20">
        <f>IF(A83="","",(IF(F83="No",1,0))+(IF(K83&gt;0,1,0))+(IF(M83&gt;0,1,0))+(IF(I83&gt;5,1,0)))</f>
        <v/>
      </c>
      <c r="Q83">
        <f>IF(A83="","","Manual Analysis Required")</f>
        <v/>
      </c>
      <c r="R83">
        <f>IF(A83="","",IF(AND(D83="Critical",P83&gt;0),"P0",IF(P83&gt;0,"P1",IF(N83&lt;0.9,"P2","P3"))))</f>
        <v/>
      </c>
      <c r="S83" s="19" t="n"/>
    </row>
    <row r="84">
      <c r="A84">
        <f>'[ISMS-IMP-A.8.9.1.xlsx]Asset_Inventory'!A84</f>
        <v/>
      </c>
      <c r="B84">
        <f>'[ISMS-IMP-A.8.9.1.xlsx]Asset_Inventory'!B84</f>
        <v/>
      </c>
      <c r="C84">
        <f>'[ISMS-IMP-A.8.9.1.xlsx]Asset_Inventory'!C84</f>
        <v/>
      </c>
      <c r="D84">
        <f>'[ISMS-IMP-A.8.9.1.xlsx]Asset_Inventory'!D84</f>
        <v/>
      </c>
      <c r="E84">
        <f>'[ISMS-IMP-A.8.9.1.xlsx]Asset_Inventory'!E84</f>
        <v/>
      </c>
      <c r="F84">
        <f>'[ISMS-IMP-A.8.9.1.xlsx]Asset_Inventory'!K84</f>
        <v/>
      </c>
      <c r="G84">
        <f>'[ISMS-IMP-A.8.9.1.xlsx]Asset_Inventory'!L84</f>
        <v/>
      </c>
      <c r="H84" s="19" t="inlineStr">
        <is>
          <t>Manual</t>
        </is>
      </c>
      <c r="I84" s="19" t="n">
        <v>0</v>
      </c>
      <c r="J84" s="19" t="inlineStr">
        <is>
          <t>Manual</t>
        </is>
      </c>
      <c r="K84" s="19" t="n">
        <v>0</v>
      </c>
      <c r="L84" s="19" t="inlineStr">
        <is>
          <t>Manual</t>
        </is>
      </c>
      <c r="M84" s="19" t="n">
        <v>0</v>
      </c>
      <c r="N84" s="9">
        <f>IF(A84="","",((IF(AND(F84="Yes",G84="Yes"),100,IF(OR(F84="Yes",G84="Yes"),50,0))*0.2)+(IF(ISNUMBER(H84),H84,0)*0.25)+(IF(AND(J84="Yes",K84=0),100,IF(J84="Yes",50,0))*0.2)+(IF(ISNUMBER(L84),L84,0)*0.25)+(IF(I84&lt;=2,100,100-(I84-2)*10)*0.1))/100)</f>
        <v/>
      </c>
      <c r="O84">
        <f>IF(A84="","",IF(AND(N84&gt;=0.95,P84=0),"Fully Compliant",IF(N84&gt;=0.9,"Compliant",IF(N84&gt;=0.8,"Substantially Compliant",IF(N84&gt;=0.7,"Partially Compliant","Non-Compliant")))))</f>
        <v/>
      </c>
      <c r="P84" s="20">
        <f>IF(A84="","",(IF(F84="No",1,0))+(IF(K84&gt;0,1,0))+(IF(M84&gt;0,1,0))+(IF(I84&gt;5,1,0)))</f>
        <v/>
      </c>
      <c r="Q84">
        <f>IF(A84="","","Manual Analysis Required")</f>
        <v/>
      </c>
      <c r="R84">
        <f>IF(A84="","",IF(AND(D84="Critical",P84&gt;0),"P0",IF(P84&gt;0,"P1",IF(N84&lt;0.9,"P2","P3"))))</f>
        <v/>
      </c>
      <c r="S84" s="19" t="n"/>
    </row>
    <row r="85">
      <c r="A85">
        <f>'[ISMS-IMP-A.8.9.1.xlsx]Asset_Inventory'!A85</f>
        <v/>
      </c>
      <c r="B85">
        <f>'[ISMS-IMP-A.8.9.1.xlsx]Asset_Inventory'!B85</f>
        <v/>
      </c>
      <c r="C85">
        <f>'[ISMS-IMP-A.8.9.1.xlsx]Asset_Inventory'!C85</f>
        <v/>
      </c>
      <c r="D85">
        <f>'[ISMS-IMP-A.8.9.1.xlsx]Asset_Inventory'!D85</f>
        <v/>
      </c>
      <c r="E85">
        <f>'[ISMS-IMP-A.8.9.1.xlsx]Asset_Inventory'!E85</f>
        <v/>
      </c>
      <c r="F85">
        <f>'[ISMS-IMP-A.8.9.1.xlsx]Asset_Inventory'!K85</f>
        <v/>
      </c>
      <c r="G85">
        <f>'[ISMS-IMP-A.8.9.1.xlsx]Asset_Inventory'!L85</f>
        <v/>
      </c>
      <c r="H85" s="19" t="inlineStr">
        <is>
          <t>Manual</t>
        </is>
      </c>
      <c r="I85" s="19" t="n">
        <v>0</v>
      </c>
      <c r="J85" s="19" t="inlineStr">
        <is>
          <t>Manual</t>
        </is>
      </c>
      <c r="K85" s="19" t="n">
        <v>0</v>
      </c>
      <c r="L85" s="19" t="inlineStr">
        <is>
          <t>Manual</t>
        </is>
      </c>
      <c r="M85" s="19" t="n">
        <v>0</v>
      </c>
      <c r="N85" s="9">
        <f>IF(A85="","",((IF(AND(F85="Yes",G85="Yes"),100,IF(OR(F85="Yes",G85="Yes"),50,0))*0.2)+(IF(ISNUMBER(H85),H85,0)*0.25)+(IF(AND(J85="Yes",K85=0),100,IF(J85="Yes",50,0))*0.2)+(IF(ISNUMBER(L85),L85,0)*0.25)+(IF(I85&lt;=2,100,100-(I85-2)*10)*0.1))/100)</f>
        <v/>
      </c>
      <c r="O85">
        <f>IF(A85="","",IF(AND(N85&gt;=0.95,P85=0),"Fully Compliant",IF(N85&gt;=0.9,"Compliant",IF(N85&gt;=0.8,"Substantially Compliant",IF(N85&gt;=0.7,"Partially Compliant","Non-Compliant")))))</f>
        <v/>
      </c>
      <c r="P85" s="20">
        <f>IF(A85="","",(IF(F85="No",1,0))+(IF(K85&gt;0,1,0))+(IF(M85&gt;0,1,0))+(IF(I85&gt;5,1,0)))</f>
        <v/>
      </c>
      <c r="Q85">
        <f>IF(A85="","","Manual Analysis Required")</f>
        <v/>
      </c>
      <c r="R85">
        <f>IF(A85="","",IF(AND(D85="Critical",P85&gt;0),"P0",IF(P85&gt;0,"P1",IF(N85&lt;0.9,"P2","P3"))))</f>
        <v/>
      </c>
      <c r="S85" s="19" t="n"/>
    </row>
    <row r="86">
      <c r="A86">
        <f>'[ISMS-IMP-A.8.9.1.xlsx]Asset_Inventory'!A86</f>
        <v/>
      </c>
      <c r="B86">
        <f>'[ISMS-IMP-A.8.9.1.xlsx]Asset_Inventory'!B86</f>
        <v/>
      </c>
      <c r="C86">
        <f>'[ISMS-IMP-A.8.9.1.xlsx]Asset_Inventory'!C86</f>
        <v/>
      </c>
      <c r="D86">
        <f>'[ISMS-IMP-A.8.9.1.xlsx]Asset_Inventory'!D86</f>
        <v/>
      </c>
      <c r="E86">
        <f>'[ISMS-IMP-A.8.9.1.xlsx]Asset_Inventory'!E86</f>
        <v/>
      </c>
      <c r="F86">
        <f>'[ISMS-IMP-A.8.9.1.xlsx]Asset_Inventory'!K86</f>
        <v/>
      </c>
      <c r="G86">
        <f>'[ISMS-IMP-A.8.9.1.xlsx]Asset_Inventory'!L86</f>
        <v/>
      </c>
      <c r="H86" s="19" t="inlineStr">
        <is>
          <t>Manual</t>
        </is>
      </c>
      <c r="I86" s="19" t="n">
        <v>0</v>
      </c>
      <c r="J86" s="19" t="inlineStr">
        <is>
          <t>Manual</t>
        </is>
      </c>
      <c r="K86" s="19" t="n">
        <v>0</v>
      </c>
      <c r="L86" s="19" t="inlineStr">
        <is>
          <t>Manual</t>
        </is>
      </c>
      <c r="M86" s="19" t="n">
        <v>0</v>
      </c>
      <c r="N86" s="9">
        <f>IF(A86="","",((IF(AND(F86="Yes",G86="Yes"),100,IF(OR(F86="Yes",G86="Yes"),50,0))*0.2)+(IF(ISNUMBER(H86),H86,0)*0.25)+(IF(AND(J86="Yes",K86=0),100,IF(J86="Yes",50,0))*0.2)+(IF(ISNUMBER(L86),L86,0)*0.25)+(IF(I86&lt;=2,100,100-(I86-2)*10)*0.1))/100)</f>
        <v/>
      </c>
      <c r="O86">
        <f>IF(A86="","",IF(AND(N86&gt;=0.95,P86=0),"Fully Compliant",IF(N86&gt;=0.9,"Compliant",IF(N86&gt;=0.8,"Substantially Compliant",IF(N86&gt;=0.7,"Partially Compliant","Non-Compliant")))))</f>
        <v/>
      </c>
      <c r="P86" s="20">
        <f>IF(A86="","",(IF(F86="No",1,0))+(IF(K86&gt;0,1,0))+(IF(M86&gt;0,1,0))+(IF(I86&gt;5,1,0)))</f>
        <v/>
      </c>
      <c r="Q86">
        <f>IF(A86="","","Manual Analysis Required")</f>
        <v/>
      </c>
      <c r="R86">
        <f>IF(A86="","",IF(AND(D86="Critical",P86&gt;0),"P0",IF(P86&gt;0,"P1",IF(N86&lt;0.9,"P2","P3"))))</f>
        <v/>
      </c>
      <c r="S86" s="19" t="n"/>
    </row>
    <row r="87">
      <c r="A87">
        <f>'[ISMS-IMP-A.8.9.1.xlsx]Asset_Inventory'!A87</f>
        <v/>
      </c>
      <c r="B87">
        <f>'[ISMS-IMP-A.8.9.1.xlsx]Asset_Inventory'!B87</f>
        <v/>
      </c>
      <c r="C87">
        <f>'[ISMS-IMP-A.8.9.1.xlsx]Asset_Inventory'!C87</f>
        <v/>
      </c>
      <c r="D87">
        <f>'[ISMS-IMP-A.8.9.1.xlsx]Asset_Inventory'!D87</f>
        <v/>
      </c>
      <c r="E87">
        <f>'[ISMS-IMP-A.8.9.1.xlsx]Asset_Inventory'!E87</f>
        <v/>
      </c>
      <c r="F87">
        <f>'[ISMS-IMP-A.8.9.1.xlsx]Asset_Inventory'!K87</f>
        <v/>
      </c>
      <c r="G87">
        <f>'[ISMS-IMP-A.8.9.1.xlsx]Asset_Inventory'!L87</f>
        <v/>
      </c>
      <c r="H87" s="19" t="inlineStr">
        <is>
          <t>Manual</t>
        </is>
      </c>
      <c r="I87" s="19" t="n">
        <v>0</v>
      </c>
      <c r="J87" s="19" t="inlineStr">
        <is>
          <t>Manual</t>
        </is>
      </c>
      <c r="K87" s="19" t="n">
        <v>0</v>
      </c>
      <c r="L87" s="19" t="inlineStr">
        <is>
          <t>Manual</t>
        </is>
      </c>
      <c r="M87" s="19" t="n">
        <v>0</v>
      </c>
      <c r="N87" s="9">
        <f>IF(A87="","",((IF(AND(F87="Yes",G87="Yes"),100,IF(OR(F87="Yes",G87="Yes"),50,0))*0.2)+(IF(ISNUMBER(H87),H87,0)*0.25)+(IF(AND(J87="Yes",K87=0),100,IF(J87="Yes",50,0))*0.2)+(IF(ISNUMBER(L87),L87,0)*0.25)+(IF(I87&lt;=2,100,100-(I87-2)*10)*0.1))/100)</f>
        <v/>
      </c>
      <c r="O87">
        <f>IF(A87="","",IF(AND(N87&gt;=0.95,P87=0),"Fully Compliant",IF(N87&gt;=0.9,"Compliant",IF(N87&gt;=0.8,"Substantially Compliant",IF(N87&gt;=0.7,"Partially Compliant","Non-Compliant")))))</f>
        <v/>
      </c>
      <c r="P87" s="20">
        <f>IF(A87="","",(IF(F87="No",1,0))+(IF(K87&gt;0,1,0))+(IF(M87&gt;0,1,0))+(IF(I87&gt;5,1,0)))</f>
        <v/>
      </c>
      <c r="Q87">
        <f>IF(A87="","","Manual Analysis Required")</f>
        <v/>
      </c>
      <c r="R87">
        <f>IF(A87="","",IF(AND(D87="Critical",P87&gt;0),"P0",IF(P87&gt;0,"P1",IF(N87&lt;0.9,"P2","P3"))))</f>
        <v/>
      </c>
      <c r="S87" s="19" t="n"/>
    </row>
    <row r="88">
      <c r="A88">
        <f>'[ISMS-IMP-A.8.9.1.xlsx]Asset_Inventory'!A88</f>
        <v/>
      </c>
      <c r="B88">
        <f>'[ISMS-IMP-A.8.9.1.xlsx]Asset_Inventory'!B88</f>
        <v/>
      </c>
      <c r="C88">
        <f>'[ISMS-IMP-A.8.9.1.xlsx]Asset_Inventory'!C88</f>
        <v/>
      </c>
      <c r="D88">
        <f>'[ISMS-IMP-A.8.9.1.xlsx]Asset_Inventory'!D88</f>
        <v/>
      </c>
      <c r="E88">
        <f>'[ISMS-IMP-A.8.9.1.xlsx]Asset_Inventory'!E88</f>
        <v/>
      </c>
      <c r="F88">
        <f>'[ISMS-IMP-A.8.9.1.xlsx]Asset_Inventory'!K88</f>
        <v/>
      </c>
      <c r="G88">
        <f>'[ISMS-IMP-A.8.9.1.xlsx]Asset_Inventory'!L88</f>
        <v/>
      </c>
      <c r="H88" s="19" t="inlineStr">
        <is>
          <t>Manual</t>
        </is>
      </c>
      <c r="I88" s="19" t="n">
        <v>0</v>
      </c>
      <c r="J88" s="19" t="inlineStr">
        <is>
          <t>Manual</t>
        </is>
      </c>
      <c r="K88" s="19" t="n">
        <v>0</v>
      </c>
      <c r="L88" s="19" t="inlineStr">
        <is>
          <t>Manual</t>
        </is>
      </c>
      <c r="M88" s="19" t="n">
        <v>0</v>
      </c>
      <c r="N88" s="9">
        <f>IF(A88="","",((IF(AND(F88="Yes",G88="Yes"),100,IF(OR(F88="Yes",G88="Yes"),50,0))*0.2)+(IF(ISNUMBER(H88),H88,0)*0.25)+(IF(AND(J88="Yes",K88=0),100,IF(J88="Yes",50,0))*0.2)+(IF(ISNUMBER(L88),L88,0)*0.25)+(IF(I88&lt;=2,100,100-(I88-2)*10)*0.1))/100)</f>
        <v/>
      </c>
      <c r="O88">
        <f>IF(A88="","",IF(AND(N88&gt;=0.95,P88=0),"Fully Compliant",IF(N88&gt;=0.9,"Compliant",IF(N88&gt;=0.8,"Substantially Compliant",IF(N88&gt;=0.7,"Partially Compliant","Non-Compliant")))))</f>
        <v/>
      </c>
      <c r="P88" s="20">
        <f>IF(A88="","",(IF(F88="No",1,0))+(IF(K88&gt;0,1,0))+(IF(M88&gt;0,1,0))+(IF(I88&gt;5,1,0)))</f>
        <v/>
      </c>
      <c r="Q88">
        <f>IF(A88="","","Manual Analysis Required")</f>
        <v/>
      </c>
      <c r="R88">
        <f>IF(A88="","",IF(AND(D88="Critical",P88&gt;0),"P0",IF(P88&gt;0,"P1",IF(N88&lt;0.9,"P2","P3"))))</f>
        <v/>
      </c>
      <c r="S88" s="19" t="n"/>
    </row>
    <row r="89">
      <c r="A89">
        <f>'[ISMS-IMP-A.8.9.1.xlsx]Asset_Inventory'!A89</f>
        <v/>
      </c>
      <c r="B89">
        <f>'[ISMS-IMP-A.8.9.1.xlsx]Asset_Inventory'!B89</f>
        <v/>
      </c>
      <c r="C89">
        <f>'[ISMS-IMP-A.8.9.1.xlsx]Asset_Inventory'!C89</f>
        <v/>
      </c>
      <c r="D89">
        <f>'[ISMS-IMP-A.8.9.1.xlsx]Asset_Inventory'!D89</f>
        <v/>
      </c>
      <c r="E89">
        <f>'[ISMS-IMP-A.8.9.1.xlsx]Asset_Inventory'!E89</f>
        <v/>
      </c>
      <c r="F89">
        <f>'[ISMS-IMP-A.8.9.1.xlsx]Asset_Inventory'!K89</f>
        <v/>
      </c>
      <c r="G89">
        <f>'[ISMS-IMP-A.8.9.1.xlsx]Asset_Inventory'!L89</f>
        <v/>
      </c>
      <c r="H89" s="19" t="inlineStr">
        <is>
          <t>Manual</t>
        </is>
      </c>
      <c r="I89" s="19" t="n">
        <v>0</v>
      </c>
      <c r="J89" s="19" t="inlineStr">
        <is>
          <t>Manual</t>
        </is>
      </c>
      <c r="K89" s="19" t="n">
        <v>0</v>
      </c>
      <c r="L89" s="19" t="inlineStr">
        <is>
          <t>Manual</t>
        </is>
      </c>
      <c r="M89" s="19" t="n">
        <v>0</v>
      </c>
      <c r="N89" s="9">
        <f>IF(A89="","",((IF(AND(F89="Yes",G89="Yes"),100,IF(OR(F89="Yes",G89="Yes"),50,0))*0.2)+(IF(ISNUMBER(H89),H89,0)*0.25)+(IF(AND(J89="Yes",K89=0),100,IF(J89="Yes",50,0))*0.2)+(IF(ISNUMBER(L89),L89,0)*0.25)+(IF(I89&lt;=2,100,100-(I89-2)*10)*0.1))/100)</f>
        <v/>
      </c>
      <c r="O89">
        <f>IF(A89="","",IF(AND(N89&gt;=0.95,P89=0),"Fully Compliant",IF(N89&gt;=0.9,"Compliant",IF(N89&gt;=0.8,"Substantially Compliant",IF(N89&gt;=0.7,"Partially Compliant","Non-Compliant")))))</f>
        <v/>
      </c>
      <c r="P89" s="20">
        <f>IF(A89="","",(IF(F89="No",1,0))+(IF(K89&gt;0,1,0))+(IF(M89&gt;0,1,0))+(IF(I89&gt;5,1,0)))</f>
        <v/>
      </c>
      <c r="Q89">
        <f>IF(A89="","","Manual Analysis Required")</f>
        <v/>
      </c>
      <c r="R89">
        <f>IF(A89="","",IF(AND(D89="Critical",P89&gt;0),"P0",IF(P89&gt;0,"P1",IF(N89&lt;0.9,"P2","P3"))))</f>
        <v/>
      </c>
      <c r="S89" s="19" t="n"/>
    </row>
    <row r="90">
      <c r="A90">
        <f>'[ISMS-IMP-A.8.9.1.xlsx]Asset_Inventory'!A90</f>
        <v/>
      </c>
      <c r="B90">
        <f>'[ISMS-IMP-A.8.9.1.xlsx]Asset_Inventory'!B90</f>
        <v/>
      </c>
      <c r="C90">
        <f>'[ISMS-IMP-A.8.9.1.xlsx]Asset_Inventory'!C90</f>
        <v/>
      </c>
      <c r="D90">
        <f>'[ISMS-IMP-A.8.9.1.xlsx]Asset_Inventory'!D90</f>
        <v/>
      </c>
      <c r="E90">
        <f>'[ISMS-IMP-A.8.9.1.xlsx]Asset_Inventory'!E90</f>
        <v/>
      </c>
      <c r="F90">
        <f>'[ISMS-IMP-A.8.9.1.xlsx]Asset_Inventory'!K90</f>
        <v/>
      </c>
      <c r="G90">
        <f>'[ISMS-IMP-A.8.9.1.xlsx]Asset_Inventory'!L90</f>
        <v/>
      </c>
      <c r="H90" s="19" t="inlineStr">
        <is>
          <t>Manual</t>
        </is>
      </c>
      <c r="I90" s="19" t="n">
        <v>0</v>
      </c>
      <c r="J90" s="19" t="inlineStr">
        <is>
          <t>Manual</t>
        </is>
      </c>
      <c r="K90" s="19" t="n">
        <v>0</v>
      </c>
      <c r="L90" s="19" t="inlineStr">
        <is>
          <t>Manual</t>
        </is>
      </c>
      <c r="M90" s="19" t="n">
        <v>0</v>
      </c>
      <c r="N90" s="9">
        <f>IF(A90="","",((IF(AND(F90="Yes",G90="Yes"),100,IF(OR(F90="Yes",G90="Yes"),50,0))*0.2)+(IF(ISNUMBER(H90),H90,0)*0.25)+(IF(AND(J90="Yes",K90=0),100,IF(J90="Yes",50,0))*0.2)+(IF(ISNUMBER(L90),L90,0)*0.25)+(IF(I90&lt;=2,100,100-(I90-2)*10)*0.1))/100)</f>
        <v/>
      </c>
      <c r="O90">
        <f>IF(A90="","",IF(AND(N90&gt;=0.95,P90=0),"Fully Compliant",IF(N90&gt;=0.9,"Compliant",IF(N90&gt;=0.8,"Substantially Compliant",IF(N90&gt;=0.7,"Partially Compliant","Non-Compliant")))))</f>
        <v/>
      </c>
      <c r="P90" s="20">
        <f>IF(A90="","",(IF(F90="No",1,0))+(IF(K90&gt;0,1,0))+(IF(M90&gt;0,1,0))+(IF(I90&gt;5,1,0)))</f>
        <v/>
      </c>
      <c r="Q90">
        <f>IF(A90="","","Manual Analysis Required")</f>
        <v/>
      </c>
      <c r="R90">
        <f>IF(A90="","",IF(AND(D90="Critical",P90&gt;0),"P0",IF(P90&gt;0,"P1",IF(N90&lt;0.9,"P2","P3"))))</f>
        <v/>
      </c>
      <c r="S90" s="19" t="n"/>
    </row>
    <row r="91">
      <c r="A91">
        <f>'[ISMS-IMP-A.8.9.1.xlsx]Asset_Inventory'!A91</f>
        <v/>
      </c>
      <c r="B91">
        <f>'[ISMS-IMP-A.8.9.1.xlsx]Asset_Inventory'!B91</f>
        <v/>
      </c>
      <c r="C91">
        <f>'[ISMS-IMP-A.8.9.1.xlsx]Asset_Inventory'!C91</f>
        <v/>
      </c>
      <c r="D91">
        <f>'[ISMS-IMP-A.8.9.1.xlsx]Asset_Inventory'!D91</f>
        <v/>
      </c>
      <c r="E91">
        <f>'[ISMS-IMP-A.8.9.1.xlsx]Asset_Inventory'!E91</f>
        <v/>
      </c>
      <c r="F91">
        <f>'[ISMS-IMP-A.8.9.1.xlsx]Asset_Inventory'!K91</f>
        <v/>
      </c>
      <c r="G91">
        <f>'[ISMS-IMP-A.8.9.1.xlsx]Asset_Inventory'!L91</f>
        <v/>
      </c>
      <c r="H91" s="19" t="inlineStr">
        <is>
          <t>Manual</t>
        </is>
      </c>
      <c r="I91" s="19" t="n">
        <v>0</v>
      </c>
      <c r="J91" s="19" t="inlineStr">
        <is>
          <t>Manual</t>
        </is>
      </c>
      <c r="K91" s="19" t="n">
        <v>0</v>
      </c>
      <c r="L91" s="19" t="inlineStr">
        <is>
          <t>Manual</t>
        </is>
      </c>
      <c r="M91" s="19" t="n">
        <v>0</v>
      </c>
      <c r="N91" s="9">
        <f>IF(A91="","",((IF(AND(F91="Yes",G91="Yes"),100,IF(OR(F91="Yes",G91="Yes"),50,0))*0.2)+(IF(ISNUMBER(H91),H91,0)*0.25)+(IF(AND(J91="Yes",K91=0),100,IF(J91="Yes",50,0))*0.2)+(IF(ISNUMBER(L91),L91,0)*0.25)+(IF(I91&lt;=2,100,100-(I91-2)*10)*0.1))/100)</f>
        <v/>
      </c>
      <c r="O91">
        <f>IF(A91="","",IF(AND(N91&gt;=0.95,P91=0),"Fully Compliant",IF(N91&gt;=0.9,"Compliant",IF(N91&gt;=0.8,"Substantially Compliant",IF(N91&gt;=0.7,"Partially Compliant","Non-Compliant")))))</f>
        <v/>
      </c>
      <c r="P91" s="20">
        <f>IF(A91="","",(IF(F91="No",1,0))+(IF(K91&gt;0,1,0))+(IF(M91&gt;0,1,0))+(IF(I91&gt;5,1,0)))</f>
        <v/>
      </c>
      <c r="Q91">
        <f>IF(A91="","","Manual Analysis Required")</f>
        <v/>
      </c>
      <c r="R91">
        <f>IF(A91="","",IF(AND(D91="Critical",P91&gt;0),"P0",IF(P91&gt;0,"P1",IF(N91&lt;0.9,"P2","P3"))))</f>
        <v/>
      </c>
      <c r="S91" s="19" t="n"/>
    </row>
    <row r="92">
      <c r="A92">
        <f>'[ISMS-IMP-A.8.9.1.xlsx]Asset_Inventory'!A92</f>
        <v/>
      </c>
      <c r="B92">
        <f>'[ISMS-IMP-A.8.9.1.xlsx]Asset_Inventory'!B92</f>
        <v/>
      </c>
      <c r="C92">
        <f>'[ISMS-IMP-A.8.9.1.xlsx]Asset_Inventory'!C92</f>
        <v/>
      </c>
      <c r="D92">
        <f>'[ISMS-IMP-A.8.9.1.xlsx]Asset_Inventory'!D92</f>
        <v/>
      </c>
      <c r="E92">
        <f>'[ISMS-IMP-A.8.9.1.xlsx]Asset_Inventory'!E92</f>
        <v/>
      </c>
      <c r="F92">
        <f>'[ISMS-IMP-A.8.9.1.xlsx]Asset_Inventory'!K92</f>
        <v/>
      </c>
      <c r="G92">
        <f>'[ISMS-IMP-A.8.9.1.xlsx]Asset_Inventory'!L92</f>
        <v/>
      </c>
      <c r="H92" s="19" t="inlineStr">
        <is>
          <t>Manual</t>
        </is>
      </c>
      <c r="I92" s="19" t="n">
        <v>0</v>
      </c>
      <c r="J92" s="19" t="inlineStr">
        <is>
          <t>Manual</t>
        </is>
      </c>
      <c r="K92" s="19" t="n">
        <v>0</v>
      </c>
      <c r="L92" s="19" t="inlineStr">
        <is>
          <t>Manual</t>
        </is>
      </c>
      <c r="M92" s="19" t="n">
        <v>0</v>
      </c>
      <c r="N92" s="9">
        <f>IF(A92="","",((IF(AND(F92="Yes",G92="Yes"),100,IF(OR(F92="Yes",G92="Yes"),50,0))*0.2)+(IF(ISNUMBER(H92),H92,0)*0.25)+(IF(AND(J92="Yes",K92=0),100,IF(J92="Yes",50,0))*0.2)+(IF(ISNUMBER(L92),L92,0)*0.25)+(IF(I92&lt;=2,100,100-(I92-2)*10)*0.1))/100)</f>
        <v/>
      </c>
      <c r="O92">
        <f>IF(A92="","",IF(AND(N92&gt;=0.95,P92=0),"Fully Compliant",IF(N92&gt;=0.9,"Compliant",IF(N92&gt;=0.8,"Substantially Compliant",IF(N92&gt;=0.7,"Partially Compliant","Non-Compliant")))))</f>
        <v/>
      </c>
      <c r="P92" s="20">
        <f>IF(A92="","",(IF(F92="No",1,0))+(IF(K92&gt;0,1,0))+(IF(M92&gt;0,1,0))+(IF(I92&gt;5,1,0)))</f>
        <v/>
      </c>
      <c r="Q92">
        <f>IF(A92="","","Manual Analysis Required")</f>
        <v/>
      </c>
      <c r="R92">
        <f>IF(A92="","",IF(AND(D92="Critical",P92&gt;0),"P0",IF(P92&gt;0,"P1",IF(N92&lt;0.9,"P2","P3"))))</f>
        <v/>
      </c>
      <c r="S92" s="19" t="n"/>
    </row>
    <row r="93">
      <c r="A93">
        <f>'[ISMS-IMP-A.8.9.1.xlsx]Asset_Inventory'!A93</f>
        <v/>
      </c>
      <c r="B93">
        <f>'[ISMS-IMP-A.8.9.1.xlsx]Asset_Inventory'!B93</f>
        <v/>
      </c>
      <c r="C93">
        <f>'[ISMS-IMP-A.8.9.1.xlsx]Asset_Inventory'!C93</f>
        <v/>
      </c>
      <c r="D93">
        <f>'[ISMS-IMP-A.8.9.1.xlsx]Asset_Inventory'!D93</f>
        <v/>
      </c>
      <c r="E93">
        <f>'[ISMS-IMP-A.8.9.1.xlsx]Asset_Inventory'!E93</f>
        <v/>
      </c>
      <c r="F93">
        <f>'[ISMS-IMP-A.8.9.1.xlsx]Asset_Inventory'!K93</f>
        <v/>
      </c>
      <c r="G93">
        <f>'[ISMS-IMP-A.8.9.1.xlsx]Asset_Inventory'!L93</f>
        <v/>
      </c>
      <c r="H93" s="19" t="inlineStr">
        <is>
          <t>Manual</t>
        </is>
      </c>
      <c r="I93" s="19" t="n">
        <v>0</v>
      </c>
      <c r="J93" s="19" t="inlineStr">
        <is>
          <t>Manual</t>
        </is>
      </c>
      <c r="K93" s="19" t="n">
        <v>0</v>
      </c>
      <c r="L93" s="19" t="inlineStr">
        <is>
          <t>Manual</t>
        </is>
      </c>
      <c r="M93" s="19" t="n">
        <v>0</v>
      </c>
      <c r="N93" s="9">
        <f>IF(A93="","",((IF(AND(F93="Yes",G93="Yes"),100,IF(OR(F93="Yes",G93="Yes"),50,0))*0.2)+(IF(ISNUMBER(H93),H93,0)*0.25)+(IF(AND(J93="Yes",K93=0),100,IF(J93="Yes",50,0))*0.2)+(IF(ISNUMBER(L93),L93,0)*0.25)+(IF(I93&lt;=2,100,100-(I93-2)*10)*0.1))/100)</f>
        <v/>
      </c>
      <c r="O93">
        <f>IF(A93="","",IF(AND(N93&gt;=0.95,P93=0),"Fully Compliant",IF(N93&gt;=0.9,"Compliant",IF(N93&gt;=0.8,"Substantially Compliant",IF(N93&gt;=0.7,"Partially Compliant","Non-Compliant")))))</f>
        <v/>
      </c>
      <c r="P93" s="20">
        <f>IF(A93="","",(IF(F93="No",1,0))+(IF(K93&gt;0,1,0))+(IF(M93&gt;0,1,0))+(IF(I93&gt;5,1,0)))</f>
        <v/>
      </c>
      <c r="Q93">
        <f>IF(A93="","","Manual Analysis Required")</f>
        <v/>
      </c>
      <c r="R93">
        <f>IF(A93="","",IF(AND(D93="Critical",P93&gt;0),"P0",IF(P93&gt;0,"P1",IF(N93&lt;0.9,"P2","P3"))))</f>
        <v/>
      </c>
      <c r="S93" s="19" t="n"/>
    </row>
    <row r="94">
      <c r="A94">
        <f>'[ISMS-IMP-A.8.9.1.xlsx]Asset_Inventory'!A94</f>
        <v/>
      </c>
      <c r="B94">
        <f>'[ISMS-IMP-A.8.9.1.xlsx]Asset_Inventory'!B94</f>
        <v/>
      </c>
      <c r="C94">
        <f>'[ISMS-IMP-A.8.9.1.xlsx]Asset_Inventory'!C94</f>
        <v/>
      </c>
      <c r="D94">
        <f>'[ISMS-IMP-A.8.9.1.xlsx]Asset_Inventory'!D94</f>
        <v/>
      </c>
      <c r="E94">
        <f>'[ISMS-IMP-A.8.9.1.xlsx]Asset_Inventory'!E94</f>
        <v/>
      </c>
      <c r="F94">
        <f>'[ISMS-IMP-A.8.9.1.xlsx]Asset_Inventory'!K94</f>
        <v/>
      </c>
      <c r="G94">
        <f>'[ISMS-IMP-A.8.9.1.xlsx]Asset_Inventory'!L94</f>
        <v/>
      </c>
      <c r="H94" s="19" t="inlineStr">
        <is>
          <t>Manual</t>
        </is>
      </c>
      <c r="I94" s="19" t="n">
        <v>0</v>
      </c>
      <c r="J94" s="19" t="inlineStr">
        <is>
          <t>Manual</t>
        </is>
      </c>
      <c r="K94" s="19" t="n">
        <v>0</v>
      </c>
      <c r="L94" s="19" t="inlineStr">
        <is>
          <t>Manual</t>
        </is>
      </c>
      <c r="M94" s="19" t="n">
        <v>0</v>
      </c>
      <c r="N94" s="9">
        <f>IF(A94="","",((IF(AND(F94="Yes",G94="Yes"),100,IF(OR(F94="Yes",G94="Yes"),50,0))*0.2)+(IF(ISNUMBER(H94),H94,0)*0.25)+(IF(AND(J94="Yes",K94=0),100,IF(J94="Yes",50,0))*0.2)+(IF(ISNUMBER(L94),L94,0)*0.25)+(IF(I94&lt;=2,100,100-(I94-2)*10)*0.1))/100)</f>
        <v/>
      </c>
      <c r="O94">
        <f>IF(A94="","",IF(AND(N94&gt;=0.95,P94=0),"Fully Compliant",IF(N94&gt;=0.9,"Compliant",IF(N94&gt;=0.8,"Substantially Compliant",IF(N94&gt;=0.7,"Partially Compliant","Non-Compliant")))))</f>
        <v/>
      </c>
      <c r="P94" s="20">
        <f>IF(A94="","",(IF(F94="No",1,0))+(IF(K94&gt;0,1,0))+(IF(M94&gt;0,1,0))+(IF(I94&gt;5,1,0)))</f>
        <v/>
      </c>
      <c r="Q94">
        <f>IF(A94="","","Manual Analysis Required")</f>
        <v/>
      </c>
      <c r="R94">
        <f>IF(A94="","",IF(AND(D94="Critical",P94&gt;0),"P0",IF(P94&gt;0,"P1",IF(N94&lt;0.9,"P2","P3"))))</f>
        <v/>
      </c>
      <c r="S94" s="19" t="n"/>
    </row>
    <row r="95">
      <c r="A95">
        <f>'[ISMS-IMP-A.8.9.1.xlsx]Asset_Inventory'!A95</f>
        <v/>
      </c>
      <c r="B95">
        <f>'[ISMS-IMP-A.8.9.1.xlsx]Asset_Inventory'!B95</f>
        <v/>
      </c>
      <c r="C95">
        <f>'[ISMS-IMP-A.8.9.1.xlsx]Asset_Inventory'!C95</f>
        <v/>
      </c>
      <c r="D95">
        <f>'[ISMS-IMP-A.8.9.1.xlsx]Asset_Inventory'!D95</f>
        <v/>
      </c>
      <c r="E95">
        <f>'[ISMS-IMP-A.8.9.1.xlsx]Asset_Inventory'!E95</f>
        <v/>
      </c>
      <c r="F95">
        <f>'[ISMS-IMP-A.8.9.1.xlsx]Asset_Inventory'!K95</f>
        <v/>
      </c>
      <c r="G95">
        <f>'[ISMS-IMP-A.8.9.1.xlsx]Asset_Inventory'!L95</f>
        <v/>
      </c>
      <c r="H95" s="19" t="inlineStr">
        <is>
          <t>Manual</t>
        </is>
      </c>
      <c r="I95" s="19" t="n">
        <v>0</v>
      </c>
      <c r="J95" s="19" t="inlineStr">
        <is>
          <t>Manual</t>
        </is>
      </c>
      <c r="K95" s="19" t="n">
        <v>0</v>
      </c>
      <c r="L95" s="19" t="inlineStr">
        <is>
          <t>Manual</t>
        </is>
      </c>
      <c r="M95" s="19" t="n">
        <v>0</v>
      </c>
      <c r="N95" s="9">
        <f>IF(A95="","",((IF(AND(F95="Yes",G95="Yes"),100,IF(OR(F95="Yes",G95="Yes"),50,0))*0.2)+(IF(ISNUMBER(H95),H95,0)*0.25)+(IF(AND(J95="Yes",K95=0),100,IF(J95="Yes",50,0))*0.2)+(IF(ISNUMBER(L95),L95,0)*0.25)+(IF(I95&lt;=2,100,100-(I95-2)*10)*0.1))/100)</f>
        <v/>
      </c>
      <c r="O95">
        <f>IF(A95="","",IF(AND(N95&gt;=0.95,P95=0),"Fully Compliant",IF(N95&gt;=0.9,"Compliant",IF(N95&gt;=0.8,"Substantially Compliant",IF(N95&gt;=0.7,"Partially Compliant","Non-Compliant")))))</f>
        <v/>
      </c>
      <c r="P95" s="20">
        <f>IF(A95="","",(IF(F95="No",1,0))+(IF(K95&gt;0,1,0))+(IF(M95&gt;0,1,0))+(IF(I95&gt;5,1,0)))</f>
        <v/>
      </c>
      <c r="Q95">
        <f>IF(A95="","","Manual Analysis Required")</f>
        <v/>
      </c>
      <c r="R95">
        <f>IF(A95="","",IF(AND(D95="Critical",P95&gt;0),"P0",IF(P95&gt;0,"P1",IF(N95&lt;0.9,"P2","P3"))))</f>
        <v/>
      </c>
      <c r="S95" s="19" t="n"/>
    </row>
    <row r="96">
      <c r="A96">
        <f>'[ISMS-IMP-A.8.9.1.xlsx]Asset_Inventory'!A96</f>
        <v/>
      </c>
      <c r="B96">
        <f>'[ISMS-IMP-A.8.9.1.xlsx]Asset_Inventory'!B96</f>
        <v/>
      </c>
      <c r="C96">
        <f>'[ISMS-IMP-A.8.9.1.xlsx]Asset_Inventory'!C96</f>
        <v/>
      </c>
      <c r="D96">
        <f>'[ISMS-IMP-A.8.9.1.xlsx]Asset_Inventory'!D96</f>
        <v/>
      </c>
      <c r="E96">
        <f>'[ISMS-IMP-A.8.9.1.xlsx]Asset_Inventory'!E96</f>
        <v/>
      </c>
      <c r="F96">
        <f>'[ISMS-IMP-A.8.9.1.xlsx]Asset_Inventory'!K96</f>
        <v/>
      </c>
      <c r="G96">
        <f>'[ISMS-IMP-A.8.9.1.xlsx]Asset_Inventory'!L96</f>
        <v/>
      </c>
      <c r="H96" s="19" t="inlineStr">
        <is>
          <t>Manual</t>
        </is>
      </c>
      <c r="I96" s="19" t="n">
        <v>0</v>
      </c>
      <c r="J96" s="19" t="inlineStr">
        <is>
          <t>Manual</t>
        </is>
      </c>
      <c r="K96" s="19" t="n">
        <v>0</v>
      </c>
      <c r="L96" s="19" t="inlineStr">
        <is>
          <t>Manual</t>
        </is>
      </c>
      <c r="M96" s="19" t="n">
        <v>0</v>
      </c>
      <c r="N96" s="9">
        <f>IF(A96="","",((IF(AND(F96="Yes",G96="Yes"),100,IF(OR(F96="Yes",G96="Yes"),50,0))*0.2)+(IF(ISNUMBER(H96),H96,0)*0.25)+(IF(AND(J96="Yes",K96=0),100,IF(J96="Yes",50,0))*0.2)+(IF(ISNUMBER(L96),L96,0)*0.25)+(IF(I96&lt;=2,100,100-(I96-2)*10)*0.1))/100)</f>
        <v/>
      </c>
      <c r="O96">
        <f>IF(A96="","",IF(AND(N96&gt;=0.95,P96=0),"Fully Compliant",IF(N96&gt;=0.9,"Compliant",IF(N96&gt;=0.8,"Substantially Compliant",IF(N96&gt;=0.7,"Partially Compliant","Non-Compliant")))))</f>
        <v/>
      </c>
      <c r="P96" s="20">
        <f>IF(A96="","",(IF(F96="No",1,0))+(IF(K96&gt;0,1,0))+(IF(M96&gt;0,1,0))+(IF(I96&gt;5,1,0)))</f>
        <v/>
      </c>
      <c r="Q96">
        <f>IF(A96="","","Manual Analysis Required")</f>
        <v/>
      </c>
      <c r="R96">
        <f>IF(A96="","",IF(AND(D96="Critical",P96&gt;0),"P0",IF(P96&gt;0,"P1",IF(N96&lt;0.9,"P2","P3"))))</f>
        <v/>
      </c>
      <c r="S96" s="19" t="n"/>
    </row>
    <row r="97">
      <c r="A97">
        <f>'[ISMS-IMP-A.8.9.1.xlsx]Asset_Inventory'!A97</f>
        <v/>
      </c>
      <c r="B97">
        <f>'[ISMS-IMP-A.8.9.1.xlsx]Asset_Inventory'!B97</f>
        <v/>
      </c>
      <c r="C97">
        <f>'[ISMS-IMP-A.8.9.1.xlsx]Asset_Inventory'!C97</f>
        <v/>
      </c>
      <c r="D97">
        <f>'[ISMS-IMP-A.8.9.1.xlsx]Asset_Inventory'!D97</f>
        <v/>
      </c>
      <c r="E97">
        <f>'[ISMS-IMP-A.8.9.1.xlsx]Asset_Inventory'!E97</f>
        <v/>
      </c>
      <c r="F97">
        <f>'[ISMS-IMP-A.8.9.1.xlsx]Asset_Inventory'!K97</f>
        <v/>
      </c>
      <c r="G97">
        <f>'[ISMS-IMP-A.8.9.1.xlsx]Asset_Inventory'!L97</f>
        <v/>
      </c>
      <c r="H97" s="19" t="inlineStr">
        <is>
          <t>Manual</t>
        </is>
      </c>
      <c r="I97" s="19" t="n">
        <v>0</v>
      </c>
      <c r="J97" s="19" t="inlineStr">
        <is>
          <t>Manual</t>
        </is>
      </c>
      <c r="K97" s="19" t="n">
        <v>0</v>
      </c>
      <c r="L97" s="19" t="inlineStr">
        <is>
          <t>Manual</t>
        </is>
      </c>
      <c r="M97" s="19" t="n">
        <v>0</v>
      </c>
      <c r="N97" s="9">
        <f>IF(A97="","",((IF(AND(F97="Yes",G97="Yes"),100,IF(OR(F97="Yes",G97="Yes"),50,0))*0.2)+(IF(ISNUMBER(H97),H97,0)*0.25)+(IF(AND(J97="Yes",K97=0),100,IF(J97="Yes",50,0))*0.2)+(IF(ISNUMBER(L97),L97,0)*0.25)+(IF(I97&lt;=2,100,100-(I97-2)*10)*0.1))/100)</f>
        <v/>
      </c>
      <c r="O97">
        <f>IF(A97="","",IF(AND(N97&gt;=0.95,P97=0),"Fully Compliant",IF(N97&gt;=0.9,"Compliant",IF(N97&gt;=0.8,"Substantially Compliant",IF(N97&gt;=0.7,"Partially Compliant","Non-Compliant")))))</f>
        <v/>
      </c>
      <c r="P97" s="20">
        <f>IF(A97="","",(IF(F97="No",1,0))+(IF(K97&gt;0,1,0))+(IF(M97&gt;0,1,0))+(IF(I97&gt;5,1,0)))</f>
        <v/>
      </c>
      <c r="Q97">
        <f>IF(A97="","","Manual Analysis Required")</f>
        <v/>
      </c>
      <c r="R97">
        <f>IF(A97="","",IF(AND(D97="Critical",P97&gt;0),"P0",IF(P97&gt;0,"P1",IF(N97&lt;0.9,"P2","P3"))))</f>
        <v/>
      </c>
      <c r="S97" s="19" t="n"/>
    </row>
    <row r="98">
      <c r="A98">
        <f>'[ISMS-IMP-A.8.9.1.xlsx]Asset_Inventory'!A98</f>
        <v/>
      </c>
      <c r="B98">
        <f>'[ISMS-IMP-A.8.9.1.xlsx]Asset_Inventory'!B98</f>
        <v/>
      </c>
      <c r="C98">
        <f>'[ISMS-IMP-A.8.9.1.xlsx]Asset_Inventory'!C98</f>
        <v/>
      </c>
      <c r="D98">
        <f>'[ISMS-IMP-A.8.9.1.xlsx]Asset_Inventory'!D98</f>
        <v/>
      </c>
      <c r="E98">
        <f>'[ISMS-IMP-A.8.9.1.xlsx]Asset_Inventory'!E98</f>
        <v/>
      </c>
      <c r="F98">
        <f>'[ISMS-IMP-A.8.9.1.xlsx]Asset_Inventory'!K98</f>
        <v/>
      </c>
      <c r="G98">
        <f>'[ISMS-IMP-A.8.9.1.xlsx]Asset_Inventory'!L98</f>
        <v/>
      </c>
      <c r="H98" s="19" t="inlineStr">
        <is>
          <t>Manual</t>
        </is>
      </c>
      <c r="I98" s="19" t="n">
        <v>0</v>
      </c>
      <c r="J98" s="19" t="inlineStr">
        <is>
          <t>Manual</t>
        </is>
      </c>
      <c r="K98" s="19" t="n">
        <v>0</v>
      </c>
      <c r="L98" s="19" t="inlineStr">
        <is>
          <t>Manual</t>
        </is>
      </c>
      <c r="M98" s="19" t="n">
        <v>0</v>
      </c>
      <c r="N98" s="9">
        <f>IF(A98="","",((IF(AND(F98="Yes",G98="Yes"),100,IF(OR(F98="Yes",G98="Yes"),50,0))*0.2)+(IF(ISNUMBER(H98),H98,0)*0.25)+(IF(AND(J98="Yes",K98=0),100,IF(J98="Yes",50,0))*0.2)+(IF(ISNUMBER(L98),L98,0)*0.25)+(IF(I98&lt;=2,100,100-(I98-2)*10)*0.1))/100)</f>
        <v/>
      </c>
      <c r="O98">
        <f>IF(A98="","",IF(AND(N98&gt;=0.95,P98=0),"Fully Compliant",IF(N98&gt;=0.9,"Compliant",IF(N98&gt;=0.8,"Substantially Compliant",IF(N98&gt;=0.7,"Partially Compliant","Non-Compliant")))))</f>
        <v/>
      </c>
      <c r="P98" s="20">
        <f>IF(A98="","",(IF(F98="No",1,0))+(IF(K98&gt;0,1,0))+(IF(M98&gt;0,1,0))+(IF(I98&gt;5,1,0)))</f>
        <v/>
      </c>
      <c r="Q98">
        <f>IF(A98="","","Manual Analysis Required")</f>
        <v/>
      </c>
      <c r="R98">
        <f>IF(A98="","",IF(AND(D98="Critical",P98&gt;0),"P0",IF(P98&gt;0,"P1",IF(N98&lt;0.9,"P2","P3"))))</f>
        <v/>
      </c>
      <c r="S98" s="19" t="n"/>
    </row>
    <row r="99">
      <c r="A99">
        <f>'[ISMS-IMP-A.8.9.1.xlsx]Asset_Inventory'!A99</f>
        <v/>
      </c>
      <c r="B99">
        <f>'[ISMS-IMP-A.8.9.1.xlsx]Asset_Inventory'!B99</f>
        <v/>
      </c>
      <c r="C99">
        <f>'[ISMS-IMP-A.8.9.1.xlsx]Asset_Inventory'!C99</f>
        <v/>
      </c>
      <c r="D99">
        <f>'[ISMS-IMP-A.8.9.1.xlsx]Asset_Inventory'!D99</f>
        <v/>
      </c>
      <c r="E99">
        <f>'[ISMS-IMP-A.8.9.1.xlsx]Asset_Inventory'!E99</f>
        <v/>
      </c>
      <c r="F99">
        <f>'[ISMS-IMP-A.8.9.1.xlsx]Asset_Inventory'!K99</f>
        <v/>
      </c>
      <c r="G99">
        <f>'[ISMS-IMP-A.8.9.1.xlsx]Asset_Inventory'!L99</f>
        <v/>
      </c>
      <c r="H99" s="19" t="inlineStr">
        <is>
          <t>Manual</t>
        </is>
      </c>
      <c r="I99" s="19" t="n">
        <v>0</v>
      </c>
      <c r="J99" s="19" t="inlineStr">
        <is>
          <t>Manual</t>
        </is>
      </c>
      <c r="K99" s="19" t="n">
        <v>0</v>
      </c>
      <c r="L99" s="19" t="inlineStr">
        <is>
          <t>Manual</t>
        </is>
      </c>
      <c r="M99" s="19" t="n">
        <v>0</v>
      </c>
      <c r="N99" s="9">
        <f>IF(A99="","",((IF(AND(F99="Yes",G99="Yes"),100,IF(OR(F99="Yes",G99="Yes"),50,0))*0.2)+(IF(ISNUMBER(H99),H99,0)*0.25)+(IF(AND(J99="Yes",K99=0),100,IF(J99="Yes",50,0))*0.2)+(IF(ISNUMBER(L99),L99,0)*0.25)+(IF(I99&lt;=2,100,100-(I99-2)*10)*0.1))/100)</f>
        <v/>
      </c>
      <c r="O99">
        <f>IF(A99="","",IF(AND(N99&gt;=0.95,P99=0),"Fully Compliant",IF(N99&gt;=0.9,"Compliant",IF(N99&gt;=0.8,"Substantially Compliant",IF(N99&gt;=0.7,"Partially Compliant","Non-Compliant")))))</f>
        <v/>
      </c>
      <c r="P99" s="20">
        <f>IF(A99="","",(IF(F99="No",1,0))+(IF(K99&gt;0,1,0))+(IF(M99&gt;0,1,0))+(IF(I99&gt;5,1,0)))</f>
        <v/>
      </c>
      <c r="Q99">
        <f>IF(A99="","","Manual Analysis Required")</f>
        <v/>
      </c>
      <c r="R99">
        <f>IF(A99="","",IF(AND(D99="Critical",P99&gt;0),"P0",IF(P99&gt;0,"P1",IF(N99&lt;0.9,"P2","P3"))))</f>
        <v/>
      </c>
      <c r="S99" s="19" t="n"/>
    </row>
    <row r="100">
      <c r="A100">
        <f>'[ISMS-IMP-A.8.9.1.xlsx]Asset_Inventory'!A100</f>
        <v/>
      </c>
      <c r="B100">
        <f>'[ISMS-IMP-A.8.9.1.xlsx]Asset_Inventory'!B100</f>
        <v/>
      </c>
      <c r="C100">
        <f>'[ISMS-IMP-A.8.9.1.xlsx]Asset_Inventory'!C100</f>
        <v/>
      </c>
      <c r="D100">
        <f>'[ISMS-IMP-A.8.9.1.xlsx]Asset_Inventory'!D100</f>
        <v/>
      </c>
      <c r="E100">
        <f>'[ISMS-IMP-A.8.9.1.xlsx]Asset_Inventory'!E100</f>
        <v/>
      </c>
      <c r="F100">
        <f>'[ISMS-IMP-A.8.9.1.xlsx]Asset_Inventory'!K100</f>
        <v/>
      </c>
      <c r="G100">
        <f>'[ISMS-IMP-A.8.9.1.xlsx]Asset_Inventory'!L100</f>
        <v/>
      </c>
      <c r="H100" s="19" t="inlineStr">
        <is>
          <t>Manual</t>
        </is>
      </c>
      <c r="I100" s="19" t="n">
        <v>0</v>
      </c>
      <c r="J100" s="19" t="inlineStr">
        <is>
          <t>Manual</t>
        </is>
      </c>
      <c r="K100" s="19" t="n">
        <v>0</v>
      </c>
      <c r="L100" s="19" t="inlineStr">
        <is>
          <t>Manual</t>
        </is>
      </c>
      <c r="M100" s="19" t="n">
        <v>0</v>
      </c>
      <c r="N100" s="9">
        <f>IF(A100="","",((IF(AND(F100="Yes",G100="Yes"),100,IF(OR(F100="Yes",G100="Yes"),50,0))*0.2)+(IF(ISNUMBER(H100),H100,0)*0.25)+(IF(AND(J100="Yes",K100=0),100,IF(J100="Yes",50,0))*0.2)+(IF(ISNUMBER(L100),L100,0)*0.25)+(IF(I100&lt;=2,100,100-(I100-2)*10)*0.1))/100)</f>
        <v/>
      </c>
      <c r="O100">
        <f>IF(A100="","",IF(AND(N100&gt;=0.95,P100=0),"Fully Compliant",IF(N100&gt;=0.9,"Compliant",IF(N100&gt;=0.8,"Substantially Compliant",IF(N100&gt;=0.7,"Partially Compliant","Non-Compliant")))))</f>
        <v/>
      </c>
      <c r="P100" s="20">
        <f>IF(A100="","",(IF(F100="No",1,0))+(IF(K100&gt;0,1,0))+(IF(M100&gt;0,1,0))+(IF(I100&gt;5,1,0)))</f>
        <v/>
      </c>
      <c r="Q100">
        <f>IF(A100="","","Manual Analysis Required")</f>
        <v/>
      </c>
      <c r="R100">
        <f>IF(A100="","",IF(AND(D100="Critical",P100&gt;0),"P0",IF(P100&gt;0,"P1",IF(N100&lt;0.9,"P2","P3"))))</f>
        <v/>
      </c>
      <c r="S100" s="19" t="n"/>
    </row>
    <row r="101">
      <c r="A101">
        <f>'[ISMS-IMP-A.8.9.1.xlsx]Asset_Inventory'!A101</f>
        <v/>
      </c>
      <c r="B101">
        <f>'[ISMS-IMP-A.8.9.1.xlsx]Asset_Inventory'!B101</f>
        <v/>
      </c>
      <c r="C101">
        <f>'[ISMS-IMP-A.8.9.1.xlsx]Asset_Inventory'!C101</f>
        <v/>
      </c>
      <c r="D101">
        <f>'[ISMS-IMP-A.8.9.1.xlsx]Asset_Inventory'!D101</f>
        <v/>
      </c>
      <c r="E101">
        <f>'[ISMS-IMP-A.8.9.1.xlsx]Asset_Inventory'!E101</f>
        <v/>
      </c>
      <c r="F101">
        <f>'[ISMS-IMP-A.8.9.1.xlsx]Asset_Inventory'!K101</f>
        <v/>
      </c>
      <c r="G101">
        <f>'[ISMS-IMP-A.8.9.1.xlsx]Asset_Inventory'!L101</f>
        <v/>
      </c>
      <c r="H101" s="19" t="inlineStr">
        <is>
          <t>Manual</t>
        </is>
      </c>
      <c r="I101" s="19" t="n">
        <v>0</v>
      </c>
      <c r="J101" s="19" t="inlineStr">
        <is>
          <t>Manual</t>
        </is>
      </c>
      <c r="K101" s="19" t="n">
        <v>0</v>
      </c>
      <c r="L101" s="19" t="inlineStr">
        <is>
          <t>Manual</t>
        </is>
      </c>
      <c r="M101" s="19" t="n">
        <v>0</v>
      </c>
      <c r="N101" s="9">
        <f>IF(A101="","",((IF(AND(F101="Yes",G101="Yes"),100,IF(OR(F101="Yes",G101="Yes"),50,0))*0.2)+(IF(ISNUMBER(H101),H101,0)*0.25)+(IF(AND(J101="Yes",K101=0),100,IF(J101="Yes",50,0))*0.2)+(IF(ISNUMBER(L101),L101,0)*0.25)+(IF(I101&lt;=2,100,100-(I101-2)*10)*0.1))/100)</f>
        <v/>
      </c>
      <c r="O101">
        <f>IF(A101="","",IF(AND(N101&gt;=0.95,P101=0),"Fully Compliant",IF(N101&gt;=0.9,"Compliant",IF(N101&gt;=0.8,"Substantially Compliant",IF(N101&gt;=0.7,"Partially Compliant","Non-Compliant")))))</f>
        <v/>
      </c>
      <c r="P101" s="20">
        <f>IF(A101="","",(IF(F101="No",1,0))+(IF(K101&gt;0,1,0))+(IF(M101&gt;0,1,0))+(IF(I101&gt;5,1,0)))</f>
        <v/>
      </c>
      <c r="Q101">
        <f>IF(A101="","","Manual Analysis Required")</f>
        <v/>
      </c>
      <c r="R101">
        <f>IF(A101="","",IF(AND(D101="Critical",P101&gt;0),"P0",IF(P101&gt;0,"P1",IF(N101&lt;0.9,"P2","P3"))))</f>
        <v/>
      </c>
      <c r="S101" s="19" t="n"/>
    </row>
  </sheetData>
  <conditionalFormatting sqref="O2:O101">
    <cfRule type="cellIs" priority="1" operator="equal" dxfId="4">
      <formula>"Fully Compliant"</formula>
    </cfRule>
    <cfRule type="cellIs" priority="2" operator="equal" dxfId="0">
      <formula>"Compliant"</formula>
    </cfRule>
    <cfRule type="cellIs" priority="3" operator="equal" dxfId="5">
      <formula>"Substantially Compliant"</formula>
    </cfRule>
    <cfRule type="cellIs" priority="4" operator="equal" dxfId="6">
      <formula>"Partially Compliant"</formula>
    </cfRule>
    <cfRule type="cellIs" priority="5" operator="equal" dxfId="7">
      <formula>"Non-Compliant"</formula>
    </cfRule>
  </conditionalFormatting>
  <conditionalFormatting sqref="P2:P101">
    <cfRule type="cellIs" priority="6" operator="greaterThan" dxfId="3">
      <formula>0</formula>
    </cfRule>
  </conditionalFormatting>
  <conditionalFormatting sqref="R2:R101">
    <cfRule type="cellIs" priority="7" operator="equal" dxfId="3">
      <formula>"P0"</formula>
    </cfRule>
    <cfRule type="cellIs" priority="8" operator="equal" dxfId="6">
      <formula>"P1"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25" customWidth="1" min="5" max="5"/>
    <col width="12" customWidth="1" min="6" max="6"/>
    <col width="20" customWidth="1" min="7" max="7"/>
    <col width="50" customWidth="1" min="8" max="8"/>
    <col width="16" customWidth="1" min="9" max="9"/>
    <col width="40" customWidth="1" min="10" max="10"/>
    <col width="20" customWidth="1" min="11" max="11"/>
    <col width="12" customWidth="1" min="12" max="12"/>
    <col width="25" customWidth="1" min="13" max="13"/>
    <col width="30" customWidth="1" min="14" max="14"/>
    <col width="15" customWidth="1" min="15" max="15"/>
    <col width="12" customWidth="1" min="16" max="16"/>
    <col width="18" customWidth="1" min="17" max="17"/>
    <col width="12" customWidth="1" min="18" max="18"/>
    <col width="14" customWidth="1" min="19" max="19"/>
    <col width="40" customWidth="1" min="20" max="20"/>
  </cols>
  <sheetData>
    <row r="1">
      <c r="A1" s="6" t="inlineStr">
        <is>
          <t>Gap_ID</t>
        </is>
      </c>
      <c r="B1" s="6" t="inlineStr">
        <is>
          <t>Priority_Rank</t>
        </is>
      </c>
      <c r="C1" s="6" t="inlineStr">
        <is>
          <t>Source_Domain</t>
        </is>
      </c>
      <c r="D1" s="6" t="inlineStr">
        <is>
          <t>Asset_ID</t>
        </is>
      </c>
      <c r="E1" s="6" t="inlineStr">
        <is>
          <t>Asset_Name</t>
        </is>
      </c>
      <c r="F1" s="6" t="inlineStr">
        <is>
          <t>Asset_Tier</t>
        </is>
      </c>
      <c r="G1" s="6" t="inlineStr">
        <is>
          <t>Gap_Category</t>
        </is>
      </c>
      <c r="H1" s="6" t="inlineStr">
        <is>
          <t>Gap_Description</t>
        </is>
      </c>
      <c r="I1" s="6" t="inlineStr">
        <is>
          <t>Gap_Risk_Rating</t>
        </is>
      </c>
      <c r="J1" s="6" t="inlineStr">
        <is>
          <t>Impact</t>
        </is>
      </c>
      <c r="K1" s="6" t="inlineStr">
        <is>
          <t>Exploitation_Likelihood</t>
        </is>
      </c>
      <c r="L1" s="6" t="inlineStr">
        <is>
          <t>Risk_Score</t>
        </is>
      </c>
      <c r="M1" s="6" t="inlineStr">
        <is>
          <t>Owner</t>
        </is>
      </c>
      <c r="N1" s="6" t="inlineStr">
        <is>
          <t>Strategy</t>
        </is>
      </c>
      <c r="O1" s="6" t="inlineStr">
        <is>
          <t>Target_Date</t>
        </is>
      </c>
      <c r="P1" s="6" t="inlineStr">
        <is>
          <t>Days_Until</t>
        </is>
      </c>
      <c r="Q1" s="6" t="inlineStr">
        <is>
          <t>Status</t>
        </is>
      </c>
      <c r="R1" s="6" t="inlineStr">
        <is>
          <t>Quick_Win</t>
        </is>
      </c>
      <c r="S1" s="6" t="inlineStr">
        <is>
          <t>Cross_Domain</t>
        </is>
      </c>
      <c r="T1" s="6" t="inlineStr">
        <is>
          <t>Notes</t>
        </is>
      </c>
    </row>
    <row r="2">
      <c r="A2">
        <f>IF(C2&lt;&gt;"","GAP-"&amp;TEXT(ROW()-1,"000"),"")</f>
        <v/>
      </c>
      <c r="B2" s="20">
        <f>IF(L2&lt;&gt;"",RANK(L2,L:L,0),"")</f>
        <v/>
      </c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21">
        <f>IF(C2="","",((IF(F2="Critical",5,IF(F2="High",4,IF(F2="Medium",3,2)))*10)+(IF(I2="Critical",5,IF(I2="High",4,IF(I2="Medium",3,2)))*8)+(IF(K2="Very High",5,IF(K2="High",4,IF(K2="Medium",3,IF(K2="Low",2,1))))*6)+(IF(P2&lt;0,ABS(P2)/7*2,0))))</f>
        <v/>
      </c>
      <c r="M2" s="19" t="n"/>
      <c r="N2" s="19" t="n"/>
      <c r="O2" s="19" t="n"/>
      <c r="P2" s="20">
        <f>IF(O2&lt;&gt;"",O2-TODAY(),"")</f>
        <v/>
      </c>
      <c r="Q2" s="19" t="n"/>
      <c r="R2">
        <f>IF(AND(OR(I2="Medium",I2="High",I2="Critical"),OR(N2="Configuration Change",N2="Policy Update",P2&lt;=7)),"Yes","No")</f>
        <v/>
      </c>
      <c r="S2" s="19" t="n"/>
      <c r="T2" s="19" t="n"/>
    </row>
    <row r="3">
      <c r="A3">
        <f>IF(C3&lt;&gt;"","GAP-"&amp;TEXT(ROW()-1,"000"),"")</f>
        <v/>
      </c>
      <c r="B3" s="20">
        <f>IF(L3&lt;&gt;"",RANK(L3,L:L,0),"")</f>
        <v/>
      </c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21">
        <f>IF(C3="","",((IF(F3="Critical",5,IF(F3="High",4,IF(F3="Medium",3,2)))*10)+(IF(I3="Critical",5,IF(I3="High",4,IF(I3="Medium",3,2)))*8)+(IF(K3="Very High",5,IF(K3="High",4,IF(K3="Medium",3,IF(K3="Low",2,1))))*6)+(IF(P3&lt;0,ABS(P3)/7*2,0))))</f>
        <v/>
      </c>
      <c r="M3" s="19" t="n"/>
      <c r="N3" s="19" t="n"/>
      <c r="O3" s="19" t="n"/>
      <c r="P3" s="20">
        <f>IF(O3&lt;&gt;"",O3-TODAY(),"")</f>
        <v/>
      </c>
      <c r="Q3" s="19" t="n"/>
      <c r="R3">
        <f>IF(AND(OR(I3="Medium",I3="High",I3="Critical"),OR(N3="Configuration Change",N3="Policy Update",P3&lt;=7)),"Yes","No")</f>
        <v/>
      </c>
      <c r="S3" s="19" t="n"/>
      <c r="T3" s="19" t="n"/>
    </row>
    <row r="4">
      <c r="A4">
        <f>IF(C4&lt;&gt;"","GAP-"&amp;TEXT(ROW()-1,"000"),"")</f>
        <v/>
      </c>
      <c r="B4" s="20">
        <f>IF(L4&lt;&gt;"",RANK(L4,L:L,0),"")</f>
        <v/>
      </c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21">
        <f>IF(C4="","",((IF(F4="Critical",5,IF(F4="High",4,IF(F4="Medium",3,2)))*10)+(IF(I4="Critical",5,IF(I4="High",4,IF(I4="Medium",3,2)))*8)+(IF(K4="Very High",5,IF(K4="High",4,IF(K4="Medium",3,IF(K4="Low",2,1))))*6)+(IF(P4&lt;0,ABS(P4)/7*2,0))))</f>
        <v/>
      </c>
      <c r="M4" s="19" t="n"/>
      <c r="N4" s="19" t="n"/>
      <c r="O4" s="19" t="n"/>
      <c r="P4" s="20">
        <f>IF(O4&lt;&gt;"",O4-TODAY(),"")</f>
        <v/>
      </c>
      <c r="Q4" s="19" t="n"/>
      <c r="R4">
        <f>IF(AND(OR(I4="Medium",I4="High",I4="Critical"),OR(N4="Configuration Change",N4="Policy Update",P4&lt;=7)),"Yes","No")</f>
        <v/>
      </c>
      <c r="S4" s="19" t="n"/>
      <c r="T4" s="19" t="n"/>
    </row>
    <row r="5">
      <c r="A5">
        <f>IF(C5&lt;&gt;"","GAP-"&amp;TEXT(ROW()-1,"000"),"")</f>
        <v/>
      </c>
      <c r="B5" s="20">
        <f>IF(L5&lt;&gt;"",RANK(L5,L:L,0),"")</f>
        <v/>
      </c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21">
        <f>IF(C5="","",((IF(F5="Critical",5,IF(F5="High",4,IF(F5="Medium",3,2)))*10)+(IF(I5="Critical",5,IF(I5="High",4,IF(I5="Medium",3,2)))*8)+(IF(K5="Very High",5,IF(K5="High",4,IF(K5="Medium",3,IF(K5="Low",2,1))))*6)+(IF(P5&lt;0,ABS(P5)/7*2,0))))</f>
        <v/>
      </c>
      <c r="M5" s="19" t="n"/>
      <c r="N5" s="19" t="n"/>
      <c r="O5" s="19" t="n"/>
      <c r="P5" s="20">
        <f>IF(O5&lt;&gt;"",O5-TODAY(),"")</f>
        <v/>
      </c>
      <c r="Q5" s="19" t="n"/>
      <c r="R5">
        <f>IF(AND(OR(I5="Medium",I5="High",I5="Critical"),OR(N5="Configuration Change",N5="Policy Update",P5&lt;=7)),"Yes","No")</f>
        <v/>
      </c>
      <c r="S5" s="19" t="n"/>
      <c r="T5" s="19" t="n"/>
    </row>
    <row r="6">
      <c r="A6">
        <f>IF(C6&lt;&gt;"","GAP-"&amp;TEXT(ROW()-1,"000"),"")</f>
        <v/>
      </c>
      <c r="B6" s="20">
        <f>IF(L6&lt;&gt;"",RANK(L6,L:L,0),"")</f>
        <v/>
      </c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21">
        <f>IF(C6="","",((IF(F6="Critical",5,IF(F6="High",4,IF(F6="Medium",3,2)))*10)+(IF(I6="Critical",5,IF(I6="High",4,IF(I6="Medium",3,2)))*8)+(IF(K6="Very High",5,IF(K6="High",4,IF(K6="Medium",3,IF(K6="Low",2,1))))*6)+(IF(P6&lt;0,ABS(P6)/7*2,0))))</f>
        <v/>
      </c>
      <c r="M6" s="19" t="n"/>
      <c r="N6" s="19" t="n"/>
      <c r="O6" s="19" t="n"/>
      <c r="P6" s="20">
        <f>IF(O6&lt;&gt;"",O6-TODAY(),"")</f>
        <v/>
      </c>
      <c r="Q6" s="19" t="n"/>
      <c r="R6">
        <f>IF(AND(OR(I6="Medium",I6="High",I6="Critical"),OR(N6="Configuration Change",N6="Policy Update",P6&lt;=7)),"Yes","No")</f>
        <v/>
      </c>
      <c r="S6" s="19" t="n"/>
      <c r="T6" s="19" t="n"/>
    </row>
    <row r="7">
      <c r="A7">
        <f>IF(C7&lt;&gt;"","GAP-"&amp;TEXT(ROW()-1,"000"),"")</f>
        <v/>
      </c>
      <c r="B7" s="20">
        <f>IF(L7&lt;&gt;"",RANK(L7,L:L,0),"")</f>
        <v/>
      </c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21">
        <f>IF(C7="","",((IF(F7="Critical",5,IF(F7="High",4,IF(F7="Medium",3,2)))*10)+(IF(I7="Critical",5,IF(I7="High",4,IF(I7="Medium",3,2)))*8)+(IF(K7="Very High",5,IF(K7="High",4,IF(K7="Medium",3,IF(K7="Low",2,1))))*6)+(IF(P7&lt;0,ABS(P7)/7*2,0))))</f>
        <v/>
      </c>
      <c r="M7" s="19" t="n"/>
      <c r="N7" s="19" t="n"/>
      <c r="O7" s="19" t="n"/>
      <c r="P7" s="20">
        <f>IF(O7&lt;&gt;"",O7-TODAY(),"")</f>
        <v/>
      </c>
      <c r="Q7" s="19" t="n"/>
      <c r="R7">
        <f>IF(AND(OR(I7="Medium",I7="High",I7="Critical"),OR(N7="Configuration Change",N7="Policy Update",P7&lt;=7)),"Yes","No")</f>
        <v/>
      </c>
      <c r="S7" s="19" t="n"/>
      <c r="T7" s="19" t="n"/>
    </row>
    <row r="8">
      <c r="A8">
        <f>IF(C8&lt;&gt;"","GAP-"&amp;TEXT(ROW()-1,"000"),"")</f>
        <v/>
      </c>
      <c r="B8" s="20">
        <f>IF(L8&lt;&gt;"",RANK(L8,L:L,0),"")</f>
        <v/>
      </c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21">
        <f>IF(C8="","",((IF(F8="Critical",5,IF(F8="High",4,IF(F8="Medium",3,2)))*10)+(IF(I8="Critical",5,IF(I8="High",4,IF(I8="Medium",3,2)))*8)+(IF(K8="Very High",5,IF(K8="High",4,IF(K8="Medium",3,IF(K8="Low",2,1))))*6)+(IF(P8&lt;0,ABS(P8)/7*2,0))))</f>
        <v/>
      </c>
      <c r="M8" s="19" t="n"/>
      <c r="N8" s="19" t="n"/>
      <c r="O8" s="19" t="n"/>
      <c r="P8" s="20">
        <f>IF(O8&lt;&gt;"",O8-TODAY(),"")</f>
        <v/>
      </c>
      <c r="Q8" s="19" t="n"/>
      <c r="R8">
        <f>IF(AND(OR(I8="Medium",I8="High",I8="Critical"),OR(N8="Configuration Change",N8="Policy Update",P8&lt;=7)),"Yes","No")</f>
        <v/>
      </c>
      <c r="S8" s="19" t="n"/>
      <c r="T8" s="19" t="n"/>
    </row>
    <row r="9">
      <c r="A9">
        <f>IF(C9&lt;&gt;"","GAP-"&amp;TEXT(ROW()-1,"000"),"")</f>
        <v/>
      </c>
      <c r="B9" s="20">
        <f>IF(L9&lt;&gt;"",RANK(L9,L:L,0),"")</f>
        <v/>
      </c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21">
        <f>IF(C9="","",((IF(F9="Critical",5,IF(F9="High",4,IF(F9="Medium",3,2)))*10)+(IF(I9="Critical",5,IF(I9="High",4,IF(I9="Medium",3,2)))*8)+(IF(K9="Very High",5,IF(K9="High",4,IF(K9="Medium",3,IF(K9="Low",2,1))))*6)+(IF(P9&lt;0,ABS(P9)/7*2,0))))</f>
        <v/>
      </c>
      <c r="M9" s="19" t="n"/>
      <c r="N9" s="19" t="n"/>
      <c r="O9" s="19" t="n"/>
      <c r="P9" s="20">
        <f>IF(O9&lt;&gt;"",O9-TODAY(),"")</f>
        <v/>
      </c>
      <c r="Q9" s="19" t="n"/>
      <c r="R9">
        <f>IF(AND(OR(I9="Medium",I9="High",I9="Critical"),OR(N9="Configuration Change",N9="Policy Update",P9&lt;=7)),"Yes","No")</f>
        <v/>
      </c>
      <c r="S9" s="19" t="n"/>
      <c r="T9" s="19" t="n"/>
    </row>
    <row r="10">
      <c r="A10">
        <f>IF(C10&lt;&gt;"","GAP-"&amp;TEXT(ROW()-1,"000"),"")</f>
        <v/>
      </c>
      <c r="B10" s="20">
        <f>IF(L10&lt;&gt;"",RANK(L10,L:L,0),"")</f>
        <v/>
      </c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21">
        <f>IF(C10="","",((IF(F10="Critical",5,IF(F10="High",4,IF(F10="Medium",3,2)))*10)+(IF(I10="Critical",5,IF(I10="High",4,IF(I10="Medium",3,2)))*8)+(IF(K10="Very High",5,IF(K10="High",4,IF(K10="Medium",3,IF(K10="Low",2,1))))*6)+(IF(P10&lt;0,ABS(P10)/7*2,0))))</f>
        <v/>
      </c>
      <c r="M10" s="19" t="n"/>
      <c r="N10" s="19" t="n"/>
      <c r="O10" s="19" t="n"/>
      <c r="P10" s="20">
        <f>IF(O10&lt;&gt;"",O10-TODAY(),"")</f>
        <v/>
      </c>
      <c r="Q10" s="19" t="n"/>
      <c r="R10">
        <f>IF(AND(OR(I10="Medium",I10="High",I10="Critical"),OR(N10="Configuration Change",N10="Policy Update",P10&lt;=7)),"Yes","No")</f>
        <v/>
      </c>
      <c r="S10" s="19" t="n"/>
      <c r="T10" s="19" t="n"/>
    </row>
    <row r="11">
      <c r="A11">
        <f>IF(C11&lt;&gt;"","GAP-"&amp;TEXT(ROW()-1,"000"),"")</f>
        <v/>
      </c>
      <c r="B11" s="20">
        <f>IF(L11&lt;&gt;"",RANK(L11,L:L,0),"")</f>
        <v/>
      </c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21">
        <f>IF(C11="","",((IF(F11="Critical",5,IF(F11="High",4,IF(F11="Medium",3,2)))*10)+(IF(I11="Critical",5,IF(I11="High",4,IF(I11="Medium",3,2)))*8)+(IF(K11="Very High",5,IF(K11="High",4,IF(K11="Medium",3,IF(K11="Low",2,1))))*6)+(IF(P11&lt;0,ABS(P11)/7*2,0))))</f>
        <v/>
      </c>
      <c r="M11" s="19" t="n"/>
      <c r="N11" s="19" t="n"/>
      <c r="O11" s="19" t="n"/>
      <c r="P11" s="20">
        <f>IF(O11&lt;&gt;"",O11-TODAY(),"")</f>
        <v/>
      </c>
      <c r="Q11" s="19" t="n"/>
      <c r="R11">
        <f>IF(AND(OR(I11="Medium",I11="High",I11="Critical"),OR(N11="Configuration Change",N11="Policy Update",P11&lt;=7)),"Yes","No")</f>
        <v/>
      </c>
      <c r="S11" s="19" t="n"/>
      <c r="T11" s="19" t="n"/>
    </row>
    <row r="12">
      <c r="A12">
        <f>IF(C12&lt;&gt;"","GAP-"&amp;TEXT(ROW()-1,"000"),"")</f>
        <v/>
      </c>
      <c r="B12" s="20">
        <f>IF(L12&lt;&gt;"",RANK(L12,L:L,0),"")</f>
        <v/>
      </c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21">
        <f>IF(C12="","",((IF(F12="Critical",5,IF(F12="High",4,IF(F12="Medium",3,2)))*10)+(IF(I12="Critical",5,IF(I12="High",4,IF(I12="Medium",3,2)))*8)+(IF(K12="Very High",5,IF(K12="High",4,IF(K12="Medium",3,IF(K12="Low",2,1))))*6)+(IF(P12&lt;0,ABS(P12)/7*2,0))))</f>
        <v/>
      </c>
      <c r="M12" s="19" t="n"/>
      <c r="N12" s="19" t="n"/>
      <c r="O12" s="19" t="n"/>
      <c r="P12" s="20">
        <f>IF(O12&lt;&gt;"",O12-TODAY(),"")</f>
        <v/>
      </c>
      <c r="Q12" s="19" t="n"/>
      <c r="R12">
        <f>IF(AND(OR(I12="Medium",I12="High",I12="Critical"),OR(N12="Configuration Change",N12="Policy Update",P12&lt;=7)),"Yes","No")</f>
        <v/>
      </c>
      <c r="S12" s="19" t="n"/>
      <c r="T12" s="19" t="n"/>
    </row>
    <row r="13">
      <c r="A13">
        <f>IF(C13&lt;&gt;"","GAP-"&amp;TEXT(ROW()-1,"000"),"")</f>
        <v/>
      </c>
      <c r="B13" s="20">
        <f>IF(L13&lt;&gt;"",RANK(L13,L:L,0),"")</f>
        <v/>
      </c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21">
        <f>IF(C13="","",((IF(F13="Critical",5,IF(F13="High",4,IF(F13="Medium",3,2)))*10)+(IF(I13="Critical",5,IF(I13="High",4,IF(I13="Medium",3,2)))*8)+(IF(K13="Very High",5,IF(K13="High",4,IF(K13="Medium",3,IF(K13="Low",2,1))))*6)+(IF(P13&lt;0,ABS(P13)/7*2,0))))</f>
        <v/>
      </c>
      <c r="M13" s="19" t="n"/>
      <c r="N13" s="19" t="n"/>
      <c r="O13" s="19" t="n"/>
      <c r="P13" s="20">
        <f>IF(O13&lt;&gt;"",O13-TODAY(),"")</f>
        <v/>
      </c>
      <c r="Q13" s="19" t="n"/>
      <c r="R13">
        <f>IF(AND(OR(I13="Medium",I13="High",I13="Critical"),OR(N13="Configuration Change",N13="Policy Update",P13&lt;=7)),"Yes","No")</f>
        <v/>
      </c>
      <c r="S13" s="19" t="n"/>
      <c r="T13" s="19" t="n"/>
    </row>
    <row r="14">
      <c r="A14">
        <f>IF(C14&lt;&gt;"","GAP-"&amp;TEXT(ROW()-1,"000"),"")</f>
        <v/>
      </c>
      <c r="B14" s="20">
        <f>IF(L14&lt;&gt;"",RANK(L14,L:L,0),"")</f>
        <v/>
      </c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21">
        <f>IF(C14="","",((IF(F14="Critical",5,IF(F14="High",4,IF(F14="Medium",3,2)))*10)+(IF(I14="Critical",5,IF(I14="High",4,IF(I14="Medium",3,2)))*8)+(IF(K14="Very High",5,IF(K14="High",4,IF(K14="Medium",3,IF(K14="Low",2,1))))*6)+(IF(P14&lt;0,ABS(P14)/7*2,0))))</f>
        <v/>
      </c>
      <c r="M14" s="19" t="n"/>
      <c r="N14" s="19" t="n"/>
      <c r="O14" s="19" t="n"/>
      <c r="P14" s="20">
        <f>IF(O14&lt;&gt;"",O14-TODAY(),"")</f>
        <v/>
      </c>
      <c r="Q14" s="19" t="n"/>
      <c r="R14">
        <f>IF(AND(OR(I14="Medium",I14="High",I14="Critical"),OR(N14="Configuration Change",N14="Policy Update",P14&lt;=7)),"Yes","No")</f>
        <v/>
      </c>
      <c r="S14" s="19" t="n"/>
      <c r="T14" s="19" t="n"/>
    </row>
    <row r="15">
      <c r="A15">
        <f>IF(C15&lt;&gt;"","GAP-"&amp;TEXT(ROW()-1,"000"),"")</f>
        <v/>
      </c>
      <c r="B15" s="20">
        <f>IF(L15&lt;&gt;"",RANK(L15,L:L,0),"")</f>
        <v/>
      </c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21">
        <f>IF(C15="","",((IF(F15="Critical",5,IF(F15="High",4,IF(F15="Medium",3,2)))*10)+(IF(I15="Critical",5,IF(I15="High",4,IF(I15="Medium",3,2)))*8)+(IF(K15="Very High",5,IF(K15="High",4,IF(K15="Medium",3,IF(K15="Low",2,1))))*6)+(IF(P15&lt;0,ABS(P15)/7*2,0))))</f>
        <v/>
      </c>
      <c r="M15" s="19" t="n"/>
      <c r="N15" s="19" t="n"/>
      <c r="O15" s="19" t="n"/>
      <c r="P15" s="20">
        <f>IF(O15&lt;&gt;"",O15-TODAY(),"")</f>
        <v/>
      </c>
      <c r="Q15" s="19" t="n"/>
      <c r="R15">
        <f>IF(AND(OR(I15="Medium",I15="High",I15="Critical"),OR(N15="Configuration Change",N15="Policy Update",P15&lt;=7)),"Yes","No")</f>
        <v/>
      </c>
      <c r="S15" s="19" t="n"/>
      <c r="T15" s="19" t="n"/>
    </row>
    <row r="16">
      <c r="A16">
        <f>IF(C16&lt;&gt;"","GAP-"&amp;TEXT(ROW()-1,"000"),"")</f>
        <v/>
      </c>
      <c r="B16" s="20">
        <f>IF(L16&lt;&gt;"",RANK(L16,L:L,0),"")</f>
        <v/>
      </c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21">
        <f>IF(C16="","",((IF(F16="Critical",5,IF(F16="High",4,IF(F16="Medium",3,2)))*10)+(IF(I16="Critical",5,IF(I16="High",4,IF(I16="Medium",3,2)))*8)+(IF(K16="Very High",5,IF(K16="High",4,IF(K16="Medium",3,IF(K16="Low",2,1))))*6)+(IF(P16&lt;0,ABS(P16)/7*2,0))))</f>
        <v/>
      </c>
      <c r="M16" s="19" t="n"/>
      <c r="N16" s="19" t="n"/>
      <c r="O16" s="19" t="n"/>
      <c r="P16" s="20">
        <f>IF(O16&lt;&gt;"",O16-TODAY(),"")</f>
        <v/>
      </c>
      <c r="Q16" s="19" t="n"/>
      <c r="R16">
        <f>IF(AND(OR(I16="Medium",I16="High",I16="Critical"),OR(N16="Configuration Change",N16="Policy Update",P16&lt;=7)),"Yes","No")</f>
        <v/>
      </c>
      <c r="S16" s="19" t="n"/>
      <c r="T16" s="19" t="n"/>
    </row>
    <row r="17">
      <c r="A17">
        <f>IF(C17&lt;&gt;"","GAP-"&amp;TEXT(ROW()-1,"000"),"")</f>
        <v/>
      </c>
      <c r="B17" s="20">
        <f>IF(L17&lt;&gt;"",RANK(L17,L:L,0),"")</f>
        <v/>
      </c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21">
        <f>IF(C17="","",((IF(F17="Critical",5,IF(F17="High",4,IF(F17="Medium",3,2)))*10)+(IF(I17="Critical",5,IF(I17="High",4,IF(I17="Medium",3,2)))*8)+(IF(K17="Very High",5,IF(K17="High",4,IF(K17="Medium",3,IF(K17="Low",2,1))))*6)+(IF(P17&lt;0,ABS(P17)/7*2,0))))</f>
        <v/>
      </c>
      <c r="M17" s="19" t="n"/>
      <c r="N17" s="19" t="n"/>
      <c r="O17" s="19" t="n"/>
      <c r="P17" s="20">
        <f>IF(O17&lt;&gt;"",O17-TODAY(),"")</f>
        <v/>
      </c>
      <c r="Q17" s="19" t="n"/>
      <c r="R17">
        <f>IF(AND(OR(I17="Medium",I17="High",I17="Critical"),OR(N17="Configuration Change",N17="Policy Update",P17&lt;=7)),"Yes","No")</f>
        <v/>
      </c>
      <c r="S17" s="19" t="n"/>
      <c r="T17" s="19" t="n"/>
    </row>
    <row r="18">
      <c r="A18">
        <f>IF(C18&lt;&gt;"","GAP-"&amp;TEXT(ROW()-1,"000"),"")</f>
        <v/>
      </c>
      <c r="B18" s="20">
        <f>IF(L18&lt;&gt;"",RANK(L18,L:L,0),"")</f>
        <v/>
      </c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21">
        <f>IF(C18="","",((IF(F18="Critical",5,IF(F18="High",4,IF(F18="Medium",3,2)))*10)+(IF(I18="Critical",5,IF(I18="High",4,IF(I18="Medium",3,2)))*8)+(IF(K18="Very High",5,IF(K18="High",4,IF(K18="Medium",3,IF(K18="Low",2,1))))*6)+(IF(P18&lt;0,ABS(P18)/7*2,0))))</f>
        <v/>
      </c>
      <c r="M18" s="19" t="n"/>
      <c r="N18" s="19" t="n"/>
      <c r="O18" s="19" t="n"/>
      <c r="P18" s="20">
        <f>IF(O18&lt;&gt;"",O18-TODAY(),"")</f>
        <v/>
      </c>
      <c r="Q18" s="19" t="n"/>
      <c r="R18">
        <f>IF(AND(OR(I18="Medium",I18="High",I18="Critical"),OR(N18="Configuration Change",N18="Policy Update",P18&lt;=7)),"Yes","No")</f>
        <v/>
      </c>
      <c r="S18" s="19" t="n"/>
      <c r="T18" s="19" t="n"/>
    </row>
    <row r="19">
      <c r="A19">
        <f>IF(C19&lt;&gt;"","GAP-"&amp;TEXT(ROW()-1,"000"),"")</f>
        <v/>
      </c>
      <c r="B19" s="20">
        <f>IF(L19&lt;&gt;"",RANK(L19,L:L,0),"")</f>
        <v/>
      </c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21">
        <f>IF(C19="","",((IF(F19="Critical",5,IF(F19="High",4,IF(F19="Medium",3,2)))*10)+(IF(I19="Critical",5,IF(I19="High",4,IF(I19="Medium",3,2)))*8)+(IF(K19="Very High",5,IF(K19="High",4,IF(K19="Medium",3,IF(K19="Low",2,1))))*6)+(IF(P19&lt;0,ABS(P19)/7*2,0))))</f>
        <v/>
      </c>
      <c r="M19" s="19" t="n"/>
      <c r="N19" s="19" t="n"/>
      <c r="O19" s="19" t="n"/>
      <c r="P19" s="20">
        <f>IF(O19&lt;&gt;"",O19-TODAY(),"")</f>
        <v/>
      </c>
      <c r="Q19" s="19" t="n"/>
      <c r="R19">
        <f>IF(AND(OR(I19="Medium",I19="High",I19="Critical"),OR(N19="Configuration Change",N19="Policy Update",P19&lt;=7)),"Yes","No")</f>
        <v/>
      </c>
      <c r="S19" s="19" t="n"/>
      <c r="T19" s="19" t="n"/>
    </row>
    <row r="20">
      <c r="A20">
        <f>IF(C20&lt;&gt;"","GAP-"&amp;TEXT(ROW()-1,"000"),"")</f>
        <v/>
      </c>
      <c r="B20" s="20">
        <f>IF(L20&lt;&gt;"",RANK(L20,L:L,0),"")</f>
        <v/>
      </c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21">
        <f>IF(C20="","",((IF(F20="Critical",5,IF(F20="High",4,IF(F20="Medium",3,2)))*10)+(IF(I20="Critical",5,IF(I20="High",4,IF(I20="Medium",3,2)))*8)+(IF(K20="Very High",5,IF(K20="High",4,IF(K20="Medium",3,IF(K20="Low",2,1))))*6)+(IF(P20&lt;0,ABS(P20)/7*2,0))))</f>
        <v/>
      </c>
      <c r="M20" s="19" t="n"/>
      <c r="N20" s="19" t="n"/>
      <c r="O20" s="19" t="n"/>
      <c r="P20" s="20">
        <f>IF(O20&lt;&gt;"",O20-TODAY(),"")</f>
        <v/>
      </c>
      <c r="Q20" s="19" t="n"/>
      <c r="R20">
        <f>IF(AND(OR(I20="Medium",I20="High",I20="Critical"),OR(N20="Configuration Change",N20="Policy Update",P20&lt;=7)),"Yes","No")</f>
        <v/>
      </c>
      <c r="S20" s="19" t="n"/>
      <c r="T20" s="19" t="n"/>
    </row>
    <row r="21">
      <c r="A21">
        <f>IF(C21&lt;&gt;"","GAP-"&amp;TEXT(ROW()-1,"000"),"")</f>
        <v/>
      </c>
      <c r="B21" s="20">
        <f>IF(L21&lt;&gt;"",RANK(L21,L:L,0),"")</f>
        <v/>
      </c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21">
        <f>IF(C21="","",((IF(F21="Critical",5,IF(F21="High",4,IF(F21="Medium",3,2)))*10)+(IF(I21="Critical",5,IF(I21="High",4,IF(I21="Medium",3,2)))*8)+(IF(K21="Very High",5,IF(K21="High",4,IF(K21="Medium",3,IF(K21="Low",2,1))))*6)+(IF(P21&lt;0,ABS(P21)/7*2,0))))</f>
        <v/>
      </c>
      <c r="M21" s="19" t="n"/>
      <c r="N21" s="19" t="n"/>
      <c r="O21" s="19" t="n"/>
      <c r="P21" s="20">
        <f>IF(O21&lt;&gt;"",O21-TODAY(),"")</f>
        <v/>
      </c>
      <c r="Q21" s="19" t="n"/>
      <c r="R21">
        <f>IF(AND(OR(I21="Medium",I21="High",I21="Critical"),OR(N21="Configuration Change",N21="Policy Update",P21&lt;=7)),"Yes","No")</f>
        <v/>
      </c>
      <c r="S21" s="19" t="n"/>
      <c r="T21" s="19" t="n"/>
    </row>
    <row r="22">
      <c r="A22">
        <f>IF(C22&lt;&gt;"","GAP-"&amp;TEXT(ROW()-1,"000"),"")</f>
        <v/>
      </c>
      <c r="B22" s="20">
        <f>IF(L22&lt;&gt;"",RANK(L22,L:L,0),"")</f>
        <v/>
      </c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21">
        <f>IF(C22="","",((IF(F22="Critical",5,IF(F22="High",4,IF(F22="Medium",3,2)))*10)+(IF(I22="Critical",5,IF(I22="High",4,IF(I22="Medium",3,2)))*8)+(IF(K22="Very High",5,IF(K22="High",4,IF(K22="Medium",3,IF(K22="Low",2,1))))*6)+(IF(P22&lt;0,ABS(P22)/7*2,0))))</f>
        <v/>
      </c>
      <c r="M22" s="19" t="n"/>
      <c r="N22" s="19" t="n"/>
      <c r="O22" s="19" t="n"/>
      <c r="P22" s="20">
        <f>IF(O22&lt;&gt;"",O22-TODAY(),"")</f>
        <v/>
      </c>
      <c r="Q22" s="19" t="n"/>
      <c r="R22">
        <f>IF(AND(OR(I22="Medium",I22="High",I22="Critical"),OR(N22="Configuration Change",N22="Policy Update",P22&lt;=7)),"Yes","No")</f>
        <v/>
      </c>
      <c r="S22" s="19" t="n"/>
      <c r="T22" s="19" t="n"/>
    </row>
    <row r="23">
      <c r="A23">
        <f>IF(C23&lt;&gt;"","GAP-"&amp;TEXT(ROW()-1,"000"),"")</f>
        <v/>
      </c>
      <c r="B23" s="20">
        <f>IF(L23&lt;&gt;"",RANK(L23,L:L,0),"")</f>
        <v/>
      </c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21">
        <f>IF(C23="","",((IF(F23="Critical",5,IF(F23="High",4,IF(F23="Medium",3,2)))*10)+(IF(I23="Critical",5,IF(I23="High",4,IF(I23="Medium",3,2)))*8)+(IF(K23="Very High",5,IF(K23="High",4,IF(K23="Medium",3,IF(K23="Low",2,1))))*6)+(IF(P23&lt;0,ABS(P23)/7*2,0))))</f>
        <v/>
      </c>
      <c r="M23" s="19" t="n"/>
      <c r="N23" s="19" t="n"/>
      <c r="O23" s="19" t="n"/>
      <c r="P23" s="20">
        <f>IF(O23&lt;&gt;"",O23-TODAY(),"")</f>
        <v/>
      </c>
      <c r="Q23" s="19" t="n"/>
      <c r="R23">
        <f>IF(AND(OR(I23="Medium",I23="High",I23="Critical"),OR(N23="Configuration Change",N23="Policy Update",P23&lt;=7)),"Yes","No")</f>
        <v/>
      </c>
      <c r="S23" s="19" t="n"/>
      <c r="T23" s="19" t="n"/>
    </row>
    <row r="24">
      <c r="A24">
        <f>IF(C24&lt;&gt;"","GAP-"&amp;TEXT(ROW()-1,"000"),"")</f>
        <v/>
      </c>
      <c r="B24" s="20">
        <f>IF(L24&lt;&gt;"",RANK(L24,L:L,0),"")</f>
        <v/>
      </c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21">
        <f>IF(C24="","",((IF(F24="Critical",5,IF(F24="High",4,IF(F24="Medium",3,2)))*10)+(IF(I24="Critical",5,IF(I24="High",4,IF(I24="Medium",3,2)))*8)+(IF(K24="Very High",5,IF(K24="High",4,IF(K24="Medium",3,IF(K24="Low",2,1))))*6)+(IF(P24&lt;0,ABS(P24)/7*2,0))))</f>
        <v/>
      </c>
      <c r="M24" s="19" t="n"/>
      <c r="N24" s="19" t="n"/>
      <c r="O24" s="19" t="n"/>
      <c r="P24" s="20">
        <f>IF(O24&lt;&gt;"",O24-TODAY(),"")</f>
        <v/>
      </c>
      <c r="Q24" s="19" t="n"/>
      <c r="R24">
        <f>IF(AND(OR(I24="Medium",I24="High",I24="Critical"),OR(N24="Configuration Change",N24="Policy Update",P24&lt;=7)),"Yes","No")</f>
        <v/>
      </c>
      <c r="S24" s="19" t="n"/>
      <c r="T24" s="19" t="n"/>
    </row>
    <row r="25">
      <c r="A25">
        <f>IF(C25&lt;&gt;"","GAP-"&amp;TEXT(ROW()-1,"000"),"")</f>
        <v/>
      </c>
      <c r="B25" s="20">
        <f>IF(L25&lt;&gt;"",RANK(L25,L:L,0),"")</f>
        <v/>
      </c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21">
        <f>IF(C25="","",((IF(F25="Critical",5,IF(F25="High",4,IF(F25="Medium",3,2)))*10)+(IF(I25="Critical",5,IF(I25="High",4,IF(I25="Medium",3,2)))*8)+(IF(K25="Very High",5,IF(K25="High",4,IF(K25="Medium",3,IF(K25="Low",2,1))))*6)+(IF(P25&lt;0,ABS(P25)/7*2,0))))</f>
        <v/>
      </c>
      <c r="M25" s="19" t="n"/>
      <c r="N25" s="19" t="n"/>
      <c r="O25" s="19" t="n"/>
      <c r="P25" s="20">
        <f>IF(O25&lt;&gt;"",O25-TODAY(),"")</f>
        <v/>
      </c>
      <c r="Q25" s="19" t="n"/>
      <c r="R25">
        <f>IF(AND(OR(I25="Medium",I25="High",I25="Critical"),OR(N25="Configuration Change",N25="Policy Update",P25&lt;=7)),"Yes","No")</f>
        <v/>
      </c>
      <c r="S25" s="19" t="n"/>
      <c r="T25" s="19" t="n"/>
    </row>
    <row r="26">
      <c r="A26">
        <f>IF(C26&lt;&gt;"","GAP-"&amp;TEXT(ROW()-1,"000"),"")</f>
        <v/>
      </c>
      <c r="B26" s="20">
        <f>IF(L26&lt;&gt;"",RANK(L26,L:L,0),"")</f>
        <v/>
      </c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21">
        <f>IF(C26="","",((IF(F26="Critical",5,IF(F26="High",4,IF(F26="Medium",3,2)))*10)+(IF(I26="Critical",5,IF(I26="High",4,IF(I26="Medium",3,2)))*8)+(IF(K26="Very High",5,IF(K26="High",4,IF(K26="Medium",3,IF(K26="Low",2,1))))*6)+(IF(P26&lt;0,ABS(P26)/7*2,0))))</f>
        <v/>
      </c>
      <c r="M26" s="19" t="n"/>
      <c r="N26" s="19" t="n"/>
      <c r="O26" s="19" t="n"/>
      <c r="P26" s="20">
        <f>IF(O26&lt;&gt;"",O26-TODAY(),"")</f>
        <v/>
      </c>
      <c r="Q26" s="19" t="n"/>
      <c r="R26">
        <f>IF(AND(OR(I26="Medium",I26="High",I26="Critical"),OR(N26="Configuration Change",N26="Policy Update",P26&lt;=7)),"Yes","No")</f>
        <v/>
      </c>
      <c r="S26" s="19" t="n"/>
      <c r="T26" s="19" t="n"/>
    </row>
    <row r="27">
      <c r="A27">
        <f>IF(C27&lt;&gt;"","GAP-"&amp;TEXT(ROW()-1,"000"),"")</f>
        <v/>
      </c>
      <c r="B27" s="20">
        <f>IF(L27&lt;&gt;"",RANK(L27,L:L,0),"")</f>
        <v/>
      </c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21">
        <f>IF(C27="","",((IF(F27="Critical",5,IF(F27="High",4,IF(F27="Medium",3,2)))*10)+(IF(I27="Critical",5,IF(I27="High",4,IF(I27="Medium",3,2)))*8)+(IF(K27="Very High",5,IF(K27="High",4,IF(K27="Medium",3,IF(K27="Low",2,1))))*6)+(IF(P27&lt;0,ABS(P27)/7*2,0))))</f>
        <v/>
      </c>
      <c r="M27" s="19" t="n"/>
      <c r="N27" s="19" t="n"/>
      <c r="O27" s="19" t="n"/>
      <c r="P27" s="20">
        <f>IF(O27&lt;&gt;"",O27-TODAY(),"")</f>
        <v/>
      </c>
      <c r="Q27" s="19" t="n"/>
      <c r="R27">
        <f>IF(AND(OR(I27="Medium",I27="High",I27="Critical"),OR(N27="Configuration Change",N27="Policy Update",P27&lt;=7)),"Yes","No")</f>
        <v/>
      </c>
      <c r="S27" s="19" t="n"/>
      <c r="T27" s="19" t="n"/>
    </row>
    <row r="28">
      <c r="A28">
        <f>IF(C28&lt;&gt;"","GAP-"&amp;TEXT(ROW()-1,"000"),"")</f>
        <v/>
      </c>
      <c r="B28" s="20">
        <f>IF(L28&lt;&gt;"",RANK(L28,L:L,0),"")</f>
        <v/>
      </c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21">
        <f>IF(C28="","",((IF(F28="Critical",5,IF(F28="High",4,IF(F28="Medium",3,2)))*10)+(IF(I28="Critical",5,IF(I28="High",4,IF(I28="Medium",3,2)))*8)+(IF(K28="Very High",5,IF(K28="High",4,IF(K28="Medium",3,IF(K28="Low",2,1))))*6)+(IF(P28&lt;0,ABS(P28)/7*2,0))))</f>
        <v/>
      </c>
      <c r="M28" s="19" t="n"/>
      <c r="N28" s="19" t="n"/>
      <c r="O28" s="19" t="n"/>
      <c r="P28" s="20">
        <f>IF(O28&lt;&gt;"",O28-TODAY(),"")</f>
        <v/>
      </c>
      <c r="Q28" s="19" t="n"/>
      <c r="R28">
        <f>IF(AND(OR(I28="Medium",I28="High",I28="Critical"),OR(N28="Configuration Change",N28="Policy Update",P28&lt;=7)),"Yes","No")</f>
        <v/>
      </c>
      <c r="S28" s="19" t="n"/>
      <c r="T28" s="19" t="n"/>
    </row>
    <row r="29">
      <c r="A29">
        <f>IF(C29&lt;&gt;"","GAP-"&amp;TEXT(ROW()-1,"000"),"")</f>
        <v/>
      </c>
      <c r="B29" s="20">
        <f>IF(L29&lt;&gt;"",RANK(L29,L:L,0),"")</f>
        <v/>
      </c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21">
        <f>IF(C29="","",((IF(F29="Critical",5,IF(F29="High",4,IF(F29="Medium",3,2)))*10)+(IF(I29="Critical",5,IF(I29="High",4,IF(I29="Medium",3,2)))*8)+(IF(K29="Very High",5,IF(K29="High",4,IF(K29="Medium",3,IF(K29="Low",2,1))))*6)+(IF(P29&lt;0,ABS(P29)/7*2,0))))</f>
        <v/>
      </c>
      <c r="M29" s="19" t="n"/>
      <c r="N29" s="19" t="n"/>
      <c r="O29" s="19" t="n"/>
      <c r="P29" s="20">
        <f>IF(O29&lt;&gt;"",O29-TODAY(),"")</f>
        <v/>
      </c>
      <c r="Q29" s="19" t="n"/>
      <c r="R29">
        <f>IF(AND(OR(I29="Medium",I29="High",I29="Critical"),OR(N29="Configuration Change",N29="Policy Update",P29&lt;=7)),"Yes","No")</f>
        <v/>
      </c>
      <c r="S29" s="19" t="n"/>
      <c r="T29" s="19" t="n"/>
    </row>
    <row r="30">
      <c r="A30">
        <f>IF(C30&lt;&gt;"","GAP-"&amp;TEXT(ROW()-1,"000"),"")</f>
        <v/>
      </c>
      <c r="B30" s="20">
        <f>IF(L30&lt;&gt;"",RANK(L30,L:L,0),"")</f>
        <v/>
      </c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21">
        <f>IF(C30="","",((IF(F30="Critical",5,IF(F30="High",4,IF(F30="Medium",3,2)))*10)+(IF(I30="Critical",5,IF(I30="High",4,IF(I30="Medium",3,2)))*8)+(IF(K30="Very High",5,IF(K30="High",4,IF(K30="Medium",3,IF(K30="Low",2,1))))*6)+(IF(P30&lt;0,ABS(P30)/7*2,0))))</f>
        <v/>
      </c>
      <c r="M30" s="19" t="n"/>
      <c r="N30" s="19" t="n"/>
      <c r="O30" s="19" t="n"/>
      <c r="P30" s="20">
        <f>IF(O30&lt;&gt;"",O30-TODAY(),"")</f>
        <v/>
      </c>
      <c r="Q30" s="19" t="n"/>
      <c r="R30">
        <f>IF(AND(OR(I30="Medium",I30="High",I30="Critical"),OR(N30="Configuration Change",N30="Policy Update",P30&lt;=7)),"Yes","No")</f>
        <v/>
      </c>
      <c r="S30" s="19" t="n"/>
      <c r="T30" s="19" t="n"/>
    </row>
    <row r="31">
      <c r="A31">
        <f>IF(C31&lt;&gt;"","GAP-"&amp;TEXT(ROW()-1,"000"),"")</f>
        <v/>
      </c>
      <c r="B31" s="20">
        <f>IF(L31&lt;&gt;"",RANK(L31,L:L,0),"")</f>
        <v/>
      </c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21">
        <f>IF(C31="","",((IF(F31="Critical",5,IF(F31="High",4,IF(F31="Medium",3,2)))*10)+(IF(I31="Critical",5,IF(I31="High",4,IF(I31="Medium",3,2)))*8)+(IF(K31="Very High",5,IF(K31="High",4,IF(K31="Medium",3,IF(K31="Low",2,1))))*6)+(IF(P31&lt;0,ABS(P31)/7*2,0))))</f>
        <v/>
      </c>
      <c r="M31" s="19" t="n"/>
      <c r="N31" s="19" t="n"/>
      <c r="O31" s="19" t="n"/>
      <c r="P31" s="20">
        <f>IF(O31&lt;&gt;"",O31-TODAY(),"")</f>
        <v/>
      </c>
      <c r="Q31" s="19" t="n"/>
      <c r="R31">
        <f>IF(AND(OR(I31="Medium",I31="High",I31="Critical"),OR(N31="Configuration Change",N31="Policy Update",P31&lt;=7)),"Yes","No")</f>
        <v/>
      </c>
      <c r="S31" s="19" t="n"/>
      <c r="T31" s="19" t="n"/>
    </row>
    <row r="32">
      <c r="A32">
        <f>IF(C32&lt;&gt;"","GAP-"&amp;TEXT(ROW()-1,"000"),"")</f>
        <v/>
      </c>
      <c r="B32" s="20">
        <f>IF(L32&lt;&gt;"",RANK(L32,L:L,0),"")</f>
        <v/>
      </c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21">
        <f>IF(C32="","",((IF(F32="Critical",5,IF(F32="High",4,IF(F32="Medium",3,2)))*10)+(IF(I32="Critical",5,IF(I32="High",4,IF(I32="Medium",3,2)))*8)+(IF(K32="Very High",5,IF(K32="High",4,IF(K32="Medium",3,IF(K32="Low",2,1))))*6)+(IF(P32&lt;0,ABS(P32)/7*2,0))))</f>
        <v/>
      </c>
      <c r="M32" s="19" t="n"/>
      <c r="N32" s="19" t="n"/>
      <c r="O32" s="19" t="n"/>
      <c r="P32" s="20">
        <f>IF(O32&lt;&gt;"",O32-TODAY(),"")</f>
        <v/>
      </c>
      <c r="Q32" s="19" t="n"/>
      <c r="R32">
        <f>IF(AND(OR(I32="Medium",I32="High",I32="Critical"),OR(N32="Configuration Change",N32="Policy Update",P32&lt;=7)),"Yes","No")</f>
        <v/>
      </c>
      <c r="S32" s="19" t="n"/>
      <c r="T32" s="19" t="n"/>
    </row>
    <row r="33">
      <c r="A33">
        <f>IF(C33&lt;&gt;"","GAP-"&amp;TEXT(ROW()-1,"000"),"")</f>
        <v/>
      </c>
      <c r="B33" s="20">
        <f>IF(L33&lt;&gt;"",RANK(L33,L:L,0),"")</f>
        <v/>
      </c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21">
        <f>IF(C33="","",((IF(F33="Critical",5,IF(F33="High",4,IF(F33="Medium",3,2)))*10)+(IF(I33="Critical",5,IF(I33="High",4,IF(I33="Medium",3,2)))*8)+(IF(K33="Very High",5,IF(K33="High",4,IF(K33="Medium",3,IF(K33="Low",2,1))))*6)+(IF(P33&lt;0,ABS(P33)/7*2,0))))</f>
        <v/>
      </c>
      <c r="M33" s="19" t="n"/>
      <c r="N33" s="19" t="n"/>
      <c r="O33" s="19" t="n"/>
      <c r="P33" s="20">
        <f>IF(O33&lt;&gt;"",O33-TODAY(),"")</f>
        <v/>
      </c>
      <c r="Q33" s="19" t="n"/>
      <c r="R33">
        <f>IF(AND(OR(I33="Medium",I33="High",I33="Critical"),OR(N33="Configuration Change",N33="Policy Update",P33&lt;=7)),"Yes","No")</f>
        <v/>
      </c>
      <c r="S33" s="19" t="n"/>
      <c r="T33" s="19" t="n"/>
    </row>
    <row r="34">
      <c r="A34">
        <f>IF(C34&lt;&gt;"","GAP-"&amp;TEXT(ROW()-1,"000"),"")</f>
        <v/>
      </c>
      <c r="B34" s="20">
        <f>IF(L34&lt;&gt;"",RANK(L34,L:L,0),"")</f>
        <v/>
      </c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21">
        <f>IF(C34="","",((IF(F34="Critical",5,IF(F34="High",4,IF(F34="Medium",3,2)))*10)+(IF(I34="Critical",5,IF(I34="High",4,IF(I34="Medium",3,2)))*8)+(IF(K34="Very High",5,IF(K34="High",4,IF(K34="Medium",3,IF(K34="Low",2,1))))*6)+(IF(P34&lt;0,ABS(P34)/7*2,0))))</f>
        <v/>
      </c>
      <c r="M34" s="19" t="n"/>
      <c r="N34" s="19" t="n"/>
      <c r="O34" s="19" t="n"/>
      <c r="P34" s="20">
        <f>IF(O34&lt;&gt;"",O34-TODAY(),"")</f>
        <v/>
      </c>
      <c r="Q34" s="19" t="n"/>
      <c r="R34">
        <f>IF(AND(OR(I34="Medium",I34="High",I34="Critical"),OR(N34="Configuration Change",N34="Policy Update",P34&lt;=7)),"Yes","No")</f>
        <v/>
      </c>
      <c r="S34" s="19" t="n"/>
      <c r="T34" s="19" t="n"/>
    </row>
    <row r="35">
      <c r="A35">
        <f>IF(C35&lt;&gt;"","GAP-"&amp;TEXT(ROW()-1,"000"),"")</f>
        <v/>
      </c>
      <c r="B35" s="20">
        <f>IF(L35&lt;&gt;"",RANK(L35,L:L,0),"")</f>
        <v/>
      </c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21">
        <f>IF(C35="","",((IF(F35="Critical",5,IF(F35="High",4,IF(F35="Medium",3,2)))*10)+(IF(I35="Critical",5,IF(I35="High",4,IF(I35="Medium",3,2)))*8)+(IF(K35="Very High",5,IF(K35="High",4,IF(K35="Medium",3,IF(K35="Low",2,1))))*6)+(IF(P35&lt;0,ABS(P35)/7*2,0))))</f>
        <v/>
      </c>
      <c r="M35" s="19" t="n"/>
      <c r="N35" s="19" t="n"/>
      <c r="O35" s="19" t="n"/>
      <c r="P35" s="20">
        <f>IF(O35&lt;&gt;"",O35-TODAY(),"")</f>
        <v/>
      </c>
      <c r="Q35" s="19" t="n"/>
      <c r="R35">
        <f>IF(AND(OR(I35="Medium",I35="High",I35="Critical"),OR(N35="Configuration Change",N35="Policy Update",P35&lt;=7)),"Yes","No")</f>
        <v/>
      </c>
      <c r="S35" s="19" t="n"/>
      <c r="T35" s="19" t="n"/>
    </row>
    <row r="36">
      <c r="A36">
        <f>IF(C36&lt;&gt;"","GAP-"&amp;TEXT(ROW()-1,"000"),"")</f>
        <v/>
      </c>
      <c r="B36" s="20">
        <f>IF(L36&lt;&gt;"",RANK(L36,L:L,0),"")</f>
        <v/>
      </c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21">
        <f>IF(C36="","",((IF(F36="Critical",5,IF(F36="High",4,IF(F36="Medium",3,2)))*10)+(IF(I36="Critical",5,IF(I36="High",4,IF(I36="Medium",3,2)))*8)+(IF(K36="Very High",5,IF(K36="High",4,IF(K36="Medium",3,IF(K36="Low",2,1))))*6)+(IF(P36&lt;0,ABS(P36)/7*2,0))))</f>
        <v/>
      </c>
      <c r="M36" s="19" t="n"/>
      <c r="N36" s="19" t="n"/>
      <c r="O36" s="19" t="n"/>
      <c r="P36" s="20">
        <f>IF(O36&lt;&gt;"",O36-TODAY(),"")</f>
        <v/>
      </c>
      <c r="Q36" s="19" t="n"/>
      <c r="R36">
        <f>IF(AND(OR(I36="Medium",I36="High",I36="Critical"),OR(N36="Configuration Change",N36="Policy Update",P36&lt;=7)),"Yes","No")</f>
        <v/>
      </c>
      <c r="S36" s="19" t="n"/>
      <c r="T36" s="19" t="n"/>
    </row>
    <row r="37">
      <c r="A37">
        <f>IF(C37&lt;&gt;"","GAP-"&amp;TEXT(ROW()-1,"000"),"")</f>
        <v/>
      </c>
      <c r="B37" s="20">
        <f>IF(L37&lt;&gt;"",RANK(L37,L:L,0),"")</f>
        <v/>
      </c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21">
        <f>IF(C37="","",((IF(F37="Critical",5,IF(F37="High",4,IF(F37="Medium",3,2)))*10)+(IF(I37="Critical",5,IF(I37="High",4,IF(I37="Medium",3,2)))*8)+(IF(K37="Very High",5,IF(K37="High",4,IF(K37="Medium",3,IF(K37="Low",2,1))))*6)+(IF(P37&lt;0,ABS(P37)/7*2,0))))</f>
        <v/>
      </c>
      <c r="M37" s="19" t="n"/>
      <c r="N37" s="19" t="n"/>
      <c r="O37" s="19" t="n"/>
      <c r="P37" s="20">
        <f>IF(O37&lt;&gt;"",O37-TODAY(),"")</f>
        <v/>
      </c>
      <c r="Q37" s="19" t="n"/>
      <c r="R37">
        <f>IF(AND(OR(I37="Medium",I37="High",I37="Critical"),OR(N37="Configuration Change",N37="Policy Update",P37&lt;=7)),"Yes","No")</f>
        <v/>
      </c>
      <c r="S37" s="19" t="n"/>
      <c r="T37" s="19" t="n"/>
    </row>
    <row r="38">
      <c r="A38">
        <f>IF(C38&lt;&gt;"","GAP-"&amp;TEXT(ROW()-1,"000"),"")</f>
        <v/>
      </c>
      <c r="B38" s="20">
        <f>IF(L38&lt;&gt;"",RANK(L38,L:L,0),"")</f>
        <v/>
      </c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21">
        <f>IF(C38="","",((IF(F38="Critical",5,IF(F38="High",4,IF(F38="Medium",3,2)))*10)+(IF(I38="Critical",5,IF(I38="High",4,IF(I38="Medium",3,2)))*8)+(IF(K38="Very High",5,IF(K38="High",4,IF(K38="Medium",3,IF(K38="Low",2,1))))*6)+(IF(P38&lt;0,ABS(P38)/7*2,0))))</f>
        <v/>
      </c>
      <c r="M38" s="19" t="n"/>
      <c r="N38" s="19" t="n"/>
      <c r="O38" s="19" t="n"/>
      <c r="P38" s="20">
        <f>IF(O38&lt;&gt;"",O38-TODAY(),"")</f>
        <v/>
      </c>
      <c r="Q38" s="19" t="n"/>
      <c r="R38">
        <f>IF(AND(OR(I38="Medium",I38="High",I38="Critical"),OR(N38="Configuration Change",N38="Policy Update",P38&lt;=7)),"Yes","No")</f>
        <v/>
      </c>
      <c r="S38" s="19" t="n"/>
      <c r="T38" s="19" t="n"/>
    </row>
    <row r="39">
      <c r="A39">
        <f>IF(C39&lt;&gt;"","GAP-"&amp;TEXT(ROW()-1,"000"),"")</f>
        <v/>
      </c>
      <c r="B39" s="20">
        <f>IF(L39&lt;&gt;"",RANK(L39,L:L,0),"")</f>
        <v/>
      </c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21">
        <f>IF(C39="","",((IF(F39="Critical",5,IF(F39="High",4,IF(F39="Medium",3,2)))*10)+(IF(I39="Critical",5,IF(I39="High",4,IF(I39="Medium",3,2)))*8)+(IF(K39="Very High",5,IF(K39="High",4,IF(K39="Medium",3,IF(K39="Low",2,1))))*6)+(IF(P39&lt;0,ABS(P39)/7*2,0))))</f>
        <v/>
      </c>
      <c r="M39" s="19" t="n"/>
      <c r="N39" s="19" t="n"/>
      <c r="O39" s="19" t="n"/>
      <c r="P39" s="20">
        <f>IF(O39&lt;&gt;"",O39-TODAY(),"")</f>
        <v/>
      </c>
      <c r="Q39" s="19" t="n"/>
      <c r="R39">
        <f>IF(AND(OR(I39="Medium",I39="High",I39="Critical"),OR(N39="Configuration Change",N39="Policy Update",P39&lt;=7)),"Yes","No")</f>
        <v/>
      </c>
      <c r="S39" s="19" t="n"/>
      <c r="T39" s="19" t="n"/>
    </row>
    <row r="40">
      <c r="A40">
        <f>IF(C40&lt;&gt;"","GAP-"&amp;TEXT(ROW()-1,"000"),"")</f>
        <v/>
      </c>
      <c r="B40" s="20">
        <f>IF(L40&lt;&gt;"",RANK(L40,L:L,0),"")</f>
        <v/>
      </c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21">
        <f>IF(C40="","",((IF(F40="Critical",5,IF(F40="High",4,IF(F40="Medium",3,2)))*10)+(IF(I40="Critical",5,IF(I40="High",4,IF(I40="Medium",3,2)))*8)+(IF(K40="Very High",5,IF(K40="High",4,IF(K40="Medium",3,IF(K40="Low",2,1))))*6)+(IF(P40&lt;0,ABS(P40)/7*2,0))))</f>
        <v/>
      </c>
      <c r="M40" s="19" t="n"/>
      <c r="N40" s="19" t="n"/>
      <c r="O40" s="19" t="n"/>
      <c r="P40" s="20">
        <f>IF(O40&lt;&gt;"",O40-TODAY(),"")</f>
        <v/>
      </c>
      <c r="Q40" s="19" t="n"/>
      <c r="R40">
        <f>IF(AND(OR(I40="Medium",I40="High",I40="Critical"),OR(N40="Configuration Change",N40="Policy Update",P40&lt;=7)),"Yes","No")</f>
        <v/>
      </c>
      <c r="S40" s="19" t="n"/>
      <c r="T40" s="19" t="n"/>
    </row>
    <row r="41">
      <c r="A41">
        <f>IF(C41&lt;&gt;"","GAP-"&amp;TEXT(ROW()-1,"000"),"")</f>
        <v/>
      </c>
      <c r="B41" s="20">
        <f>IF(L41&lt;&gt;"",RANK(L41,L:L,0),"")</f>
        <v/>
      </c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21">
        <f>IF(C41="","",((IF(F41="Critical",5,IF(F41="High",4,IF(F41="Medium",3,2)))*10)+(IF(I41="Critical",5,IF(I41="High",4,IF(I41="Medium",3,2)))*8)+(IF(K41="Very High",5,IF(K41="High",4,IF(K41="Medium",3,IF(K41="Low",2,1))))*6)+(IF(P41&lt;0,ABS(P41)/7*2,0))))</f>
        <v/>
      </c>
      <c r="M41" s="19" t="n"/>
      <c r="N41" s="19" t="n"/>
      <c r="O41" s="19" t="n"/>
      <c r="P41" s="20">
        <f>IF(O41&lt;&gt;"",O41-TODAY(),"")</f>
        <v/>
      </c>
      <c r="Q41" s="19" t="n"/>
      <c r="R41">
        <f>IF(AND(OR(I41="Medium",I41="High",I41="Critical"),OR(N41="Configuration Change",N41="Policy Update",P41&lt;=7)),"Yes","No")</f>
        <v/>
      </c>
      <c r="S41" s="19" t="n"/>
      <c r="T41" s="19" t="n"/>
    </row>
    <row r="42">
      <c r="A42">
        <f>IF(C42&lt;&gt;"","GAP-"&amp;TEXT(ROW()-1,"000"),"")</f>
        <v/>
      </c>
      <c r="B42" s="20">
        <f>IF(L42&lt;&gt;"",RANK(L42,L:L,0),"")</f>
        <v/>
      </c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21">
        <f>IF(C42="","",((IF(F42="Critical",5,IF(F42="High",4,IF(F42="Medium",3,2)))*10)+(IF(I42="Critical",5,IF(I42="High",4,IF(I42="Medium",3,2)))*8)+(IF(K42="Very High",5,IF(K42="High",4,IF(K42="Medium",3,IF(K42="Low",2,1))))*6)+(IF(P42&lt;0,ABS(P42)/7*2,0))))</f>
        <v/>
      </c>
      <c r="M42" s="19" t="n"/>
      <c r="N42" s="19" t="n"/>
      <c r="O42" s="19" t="n"/>
      <c r="P42" s="20">
        <f>IF(O42&lt;&gt;"",O42-TODAY(),"")</f>
        <v/>
      </c>
      <c r="Q42" s="19" t="n"/>
      <c r="R42">
        <f>IF(AND(OR(I42="Medium",I42="High",I42="Critical"),OR(N42="Configuration Change",N42="Policy Update",P42&lt;=7)),"Yes","No")</f>
        <v/>
      </c>
      <c r="S42" s="19" t="n"/>
      <c r="T42" s="19" t="n"/>
    </row>
    <row r="43">
      <c r="A43">
        <f>IF(C43&lt;&gt;"","GAP-"&amp;TEXT(ROW()-1,"000"),"")</f>
        <v/>
      </c>
      <c r="B43" s="20">
        <f>IF(L43&lt;&gt;"",RANK(L43,L:L,0),"")</f>
        <v/>
      </c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21">
        <f>IF(C43="","",((IF(F43="Critical",5,IF(F43="High",4,IF(F43="Medium",3,2)))*10)+(IF(I43="Critical",5,IF(I43="High",4,IF(I43="Medium",3,2)))*8)+(IF(K43="Very High",5,IF(K43="High",4,IF(K43="Medium",3,IF(K43="Low",2,1))))*6)+(IF(P43&lt;0,ABS(P43)/7*2,0))))</f>
        <v/>
      </c>
      <c r="M43" s="19" t="n"/>
      <c r="N43" s="19" t="n"/>
      <c r="O43" s="19" t="n"/>
      <c r="P43" s="20">
        <f>IF(O43&lt;&gt;"",O43-TODAY(),"")</f>
        <v/>
      </c>
      <c r="Q43" s="19" t="n"/>
      <c r="R43">
        <f>IF(AND(OR(I43="Medium",I43="High",I43="Critical"),OR(N43="Configuration Change",N43="Policy Update",P43&lt;=7)),"Yes","No")</f>
        <v/>
      </c>
      <c r="S43" s="19" t="n"/>
      <c r="T43" s="19" t="n"/>
    </row>
    <row r="44">
      <c r="A44">
        <f>IF(C44&lt;&gt;"","GAP-"&amp;TEXT(ROW()-1,"000"),"")</f>
        <v/>
      </c>
      <c r="B44" s="20">
        <f>IF(L44&lt;&gt;"",RANK(L44,L:L,0),"")</f>
        <v/>
      </c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21">
        <f>IF(C44="","",((IF(F44="Critical",5,IF(F44="High",4,IF(F44="Medium",3,2)))*10)+(IF(I44="Critical",5,IF(I44="High",4,IF(I44="Medium",3,2)))*8)+(IF(K44="Very High",5,IF(K44="High",4,IF(K44="Medium",3,IF(K44="Low",2,1))))*6)+(IF(P44&lt;0,ABS(P44)/7*2,0))))</f>
        <v/>
      </c>
      <c r="M44" s="19" t="n"/>
      <c r="N44" s="19" t="n"/>
      <c r="O44" s="19" t="n"/>
      <c r="P44" s="20">
        <f>IF(O44&lt;&gt;"",O44-TODAY(),"")</f>
        <v/>
      </c>
      <c r="Q44" s="19" t="n"/>
      <c r="R44">
        <f>IF(AND(OR(I44="Medium",I44="High",I44="Critical"),OR(N44="Configuration Change",N44="Policy Update",P44&lt;=7)),"Yes","No")</f>
        <v/>
      </c>
      <c r="S44" s="19" t="n"/>
      <c r="T44" s="19" t="n"/>
    </row>
    <row r="45">
      <c r="A45">
        <f>IF(C45&lt;&gt;"","GAP-"&amp;TEXT(ROW()-1,"000"),"")</f>
        <v/>
      </c>
      <c r="B45" s="20">
        <f>IF(L45&lt;&gt;"",RANK(L45,L:L,0),"")</f>
        <v/>
      </c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21">
        <f>IF(C45="","",((IF(F45="Critical",5,IF(F45="High",4,IF(F45="Medium",3,2)))*10)+(IF(I45="Critical",5,IF(I45="High",4,IF(I45="Medium",3,2)))*8)+(IF(K45="Very High",5,IF(K45="High",4,IF(K45="Medium",3,IF(K45="Low",2,1))))*6)+(IF(P45&lt;0,ABS(P45)/7*2,0))))</f>
        <v/>
      </c>
      <c r="M45" s="19" t="n"/>
      <c r="N45" s="19" t="n"/>
      <c r="O45" s="19" t="n"/>
      <c r="P45" s="20">
        <f>IF(O45&lt;&gt;"",O45-TODAY(),"")</f>
        <v/>
      </c>
      <c r="Q45" s="19" t="n"/>
      <c r="R45">
        <f>IF(AND(OR(I45="Medium",I45="High",I45="Critical"),OR(N45="Configuration Change",N45="Policy Update",P45&lt;=7)),"Yes","No")</f>
        <v/>
      </c>
      <c r="S45" s="19" t="n"/>
      <c r="T45" s="19" t="n"/>
    </row>
    <row r="46">
      <c r="A46">
        <f>IF(C46&lt;&gt;"","GAP-"&amp;TEXT(ROW()-1,"000"),"")</f>
        <v/>
      </c>
      <c r="B46" s="20">
        <f>IF(L46&lt;&gt;"",RANK(L46,L:L,0),"")</f>
        <v/>
      </c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21">
        <f>IF(C46="","",((IF(F46="Critical",5,IF(F46="High",4,IF(F46="Medium",3,2)))*10)+(IF(I46="Critical",5,IF(I46="High",4,IF(I46="Medium",3,2)))*8)+(IF(K46="Very High",5,IF(K46="High",4,IF(K46="Medium",3,IF(K46="Low",2,1))))*6)+(IF(P46&lt;0,ABS(P46)/7*2,0))))</f>
        <v/>
      </c>
      <c r="M46" s="19" t="n"/>
      <c r="N46" s="19" t="n"/>
      <c r="O46" s="19" t="n"/>
      <c r="P46" s="20">
        <f>IF(O46&lt;&gt;"",O46-TODAY(),"")</f>
        <v/>
      </c>
      <c r="Q46" s="19" t="n"/>
      <c r="R46">
        <f>IF(AND(OR(I46="Medium",I46="High",I46="Critical"),OR(N46="Configuration Change",N46="Policy Update",P46&lt;=7)),"Yes","No")</f>
        <v/>
      </c>
      <c r="S46" s="19" t="n"/>
      <c r="T46" s="19" t="n"/>
    </row>
    <row r="47">
      <c r="A47">
        <f>IF(C47&lt;&gt;"","GAP-"&amp;TEXT(ROW()-1,"000"),"")</f>
        <v/>
      </c>
      <c r="B47" s="20">
        <f>IF(L47&lt;&gt;"",RANK(L47,L:L,0),"")</f>
        <v/>
      </c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21">
        <f>IF(C47="","",((IF(F47="Critical",5,IF(F47="High",4,IF(F47="Medium",3,2)))*10)+(IF(I47="Critical",5,IF(I47="High",4,IF(I47="Medium",3,2)))*8)+(IF(K47="Very High",5,IF(K47="High",4,IF(K47="Medium",3,IF(K47="Low",2,1))))*6)+(IF(P47&lt;0,ABS(P47)/7*2,0))))</f>
        <v/>
      </c>
      <c r="M47" s="19" t="n"/>
      <c r="N47" s="19" t="n"/>
      <c r="O47" s="19" t="n"/>
      <c r="P47" s="20">
        <f>IF(O47&lt;&gt;"",O47-TODAY(),"")</f>
        <v/>
      </c>
      <c r="Q47" s="19" t="n"/>
      <c r="R47">
        <f>IF(AND(OR(I47="Medium",I47="High",I47="Critical"),OR(N47="Configuration Change",N47="Policy Update",P47&lt;=7)),"Yes","No")</f>
        <v/>
      </c>
      <c r="S47" s="19" t="n"/>
      <c r="T47" s="19" t="n"/>
    </row>
    <row r="48">
      <c r="A48">
        <f>IF(C48&lt;&gt;"","GAP-"&amp;TEXT(ROW()-1,"000"),"")</f>
        <v/>
      </c>
      <c r="B48" s="20">
        <f>IF(L48&lt;&gt;"",RANK(L48,L:L,0),"")</f>
        <v/>
      </c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21">
        <f>IF(C48="","",((IF(F48="Critical",5,IF(F48="High",4,IF(F48="Medium",3,2)))*10)+(IF(I48="Critical",5,IF(I48="High",4,IF(I48="Medium",3,2)))*8)+(IF(K48="Very High",5,IF(K48="High",4,IF(K48="Medium",3,IF(K48="Low",2,1))))*6)+(IF(P48&lt;0,ABS(P48)/7*2,0))))</f>
        <v/>
      </c>
      <c r="M48" s="19" t="n"/>
      <c r="N48" s="19" t="n"/>
      <c r="O48" s="19" t="n"/>
      <c r="P48" s="20">
        <f>IF(O48&lt;&gt;"",O48-TODAY(),"")</f>
        <v/>
      </c>
      <c r="Q48" s="19" t="n"/>
      <c r="R48">
        <f>IF(AND(OR(I48="Medium",I48="High",I48="Critical"),OR(N48="Configuration Change",N48="Policy Update",P48&lt;=7)),"Yes","No")</f>
        <v/>
      </c>
      <c r="S48" s="19" t="n"/>
      <c r="T48" s="19" t="n"/>
    </row>
    <row r="49">
      <c r="A49">
        <f>IF(C49&lt;&gt;"","GAP-"&amp;TEXT(ROW()-1,"000"),"")</f>
        <v/>
      </c>
      <c r="B49" s="20">
        <f>IF(L49&lt;&gt;"",RANK(L49,L:L,0),"")</f>
        <v/>
      </c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21">
        <f>IF(C49="","",((IF(F49="Critical",5,IF(F49="High",4,IF(F49="Medium",3,2)))*10)+(IF(I49="Critical",5,IF(I49="High",4,IF(I49="Medium",3,2)))*8)+(IF(K49="Very High",5,IF(K49="High",4,IF(K49="Medium",3,IF(K49="Low",2,1))))*6)+(IF(P49&lt;0,ABS(P49)/7*2,0))))</f>
        <v/>
      </c>
      <c r="M49" s="19" t="n"/>
      <c r="N49" s="19" t="n"/>
      <c r="O49" s="19" t="n"/>
      <c r="P49" s="20">
        <f>IF(O49&lt;&gt;"",O49-TODAY(),"")</f>
        <v/>
      </c>
      <c r="Q49" s="19" t="n"/>
      <c r="R49">
        <f>IF(AND(OR(I49="Medium",I49="High",I49="Critical"),OR(N49="Configuration Change",N49="Policy Update",P49&lt;=7)),"Yes","No")</f>
        <v/>
      </c>
      <c r="S49" s="19" t="n"/>
      <c r="T49" s="19" t="n"/>
    </row>
    <row r="50">
      <c r="A50">
        <f>IF(C50&lt;&gt;"","GAP-"&amp;TEXT(ROW()-1,"000"),"")</f>
        <v/>
      </c>
      <c r="B50" s="20">
        <f>IF(L50&lt;&gt;"",RANK(L50,L:L,0),"")</f>
        <v/>
      </c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21">
        <f>IF(C50="","",((IF(F50="Critical",5,IF(F50="High",4,IF(F50="Medium",3,2)))*10)+(IF(I50="Critical",5,IF(I50="High",4,IF(I50="Medium",3,2)))*8)+(IF(K50="Very High",5,IF(K50="High",4,IF(K50="Medium",3,IF(K50="Low",2,1))))*6)+(IF(P50&lt;0,ABS(P50)/7*2,0))))</f>
        <v/>
      </c>
      <c r="M50" s="19" t="n"/>
      <c r="N50" s="19" t="n"/>
      <c r="O50" s="19" t="n"/>
      <c r="P50" s="20">
        <f>IF(O50&lt;&gt;"",O50-TODAY(),"")</f>
        <v/>
      </c>
      <c r="Q50" s="19" t="n"/>
      <c r="R50">
        <f>IF(AND(OR(I50="Medium",I50="High",I50="Critical"),OR(N50="Configuration Change",N50="Policy Update",P50&lt;=7)),"Yes","No")</f>
        <v/>
      </c>
      <c r="S50" s="19" t="n"/>
      <c r="T50" s="19" t="n"/>
    </row>
    <row r="51">
      <c r="A51">
        <f>IF(C51&lt;&gt;"","GAP-"&amp;TEXT(ROW()-1,"000"),"")</f>
        <v/>
      </c>
      <c r="B51" s="20">
        <f>IF(L51&lt;&gt;"",RANK(L51,L:L,0),"")</f>
        <v/>
      </c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21">
        <f>IF(C51="","",((IF(F51="Critical",5,IF(F51="High",4,IF(F51="Medium",3,2)))*10)+(IF(I51="Critical",5,IF(I51="High",4,IF(I51="Medium",3,2)))*8)+(IF(K51="Very High",5,IF(K51="High",4,IF(K51="Medium",3,IF(K51="Low",2,1))))*6)+(IF(P51&lt;0,ABS(P51)/7*2,0))))</f>
        <v/>
      </c>
      <c r="M51" s="19" t="n"/>
      <c r="N51" s="19" t="n"/>
      <c r="O51" s="19" t="n"/>
      <c r="P51" s="20">
        <f>IF(O51&lt;&gt;"",O51-TODAY(),"")</f>
        <v/>
      </c>
      <c r="Q51" s="19" t="n"/>
      <c r="R51">
        <f>IF(AND(OR(I51="Medium",I51="High",I51="Critical"),OR(N51="Configuration Change",N51="Policy Update",P51&lt;=7)),"Yes","No")</f>
        <v/>
      </c>
      <c r="S51" s="19" t="n"/>
      <c r="T51" s="19" t="n"/>
    </row>
    <row r="52">
      <c r="A52">
        <f>IF(C52&lt;&gt;"","GAP-"&amp;TEXT(ROW()-1,"000"),"")</f>
        <v/>
      </c>
      <c r="B52" s="20">
        <f>IF(L52&lt;&gt;"",RANK(L52,L:L,0),"")</f>
        <v/>
      </c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21">
        <f>IF(C52="","",((IF(F52="Critical",5,IF(F52="High",4,IF(F52="Medium",3,2)))*10)+(IF(I52="Critical",5,IF(I52="High",4,IF(I52="Medium",3,2)))*8)+(IF(K52="Very High",5,IF(K52="High",4,IF(K52="Medium",3,IF(K52="Low",2,1))))*6)+(IF(P52&lt;0,ABS(P52)/7*2,0))))</f>
        <v/>
      </c>
      <c r="M52" s="19" t="n"/>
      <c r="N52" s="19" t="n"/>
      <c r="O52" s="19" t="n"/>
      <c r="P52" s="20">
        <f>IF(O52&lt;&gt;"",O52-TODAY(),"")</f>
        <v/>
      </c>
      <c r="Q52" s="19" t="n"/>
      <c r="R52">
        <f>IF(AND(OR(I52="Medium",I52="High",I52="Critical"),OR(N52="Configuration Change",N52="Policy Update",P52&lt;=7)),"Yes","No")</f>
        <v/>
      </c>
      <c r="S52" s="19" t="n"/>
      <c r="T52" s="19" t="n"/>
    </row>
    <row r="53">
      <c r="A53">
        <f>IF(C53&lt;&gt;"","GAP-"&amp;TEXT(ROW()-1,"000"),"")</f>
        <v/>
      </c>
      <c r="B53" s="20">
        <f>IF(L53&lt;&gt;"",RANK(L53,L:L,0),"")</f>
        <v/>
      </c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21">
        <f>IF(C53="","",((IF(F53="Critical",5,IF(F53="High",4,IF(F53="Medium",3,2)))*10)+(IF(I53="Critical",5,IF(I53="High",4,IF(I53="Medium",3,2)))*8)+(IF(K53="Very High",5,IF(K53="High",4,IF(K53="Medium",3,IF(K53="Low",2,1))))*6)+(IF(P53&lt;0,ABS(P53)/7*2,0))))</f>
        <v/>
      </c>
      <c r="M53" s="19" t="n"/>
      <c r="N53" s="19" t="n"/>
      <c r="O53" s="19" t="n"/>
      <c r="P53" s="20">
        <f>IF(O53&lt;&gt;"",O53-TODAY(),"")</f>
        <v/>
      </c>
      <c r="Q53" s="19" t="n"/>
      <c r="R53">
        <f>IF(AND(OR(I53="Medium",I53="High",I53="Critical"),OR(N53="Configuration Change",N53="Policy Update",P53&lt;=7)),"Yes","No")</f>
        <v/>
      </c>
      <c r="S53" s="19" t="n"/>
      <c r="T53" s="19" t="n"/>
    </row>
    <row r="54">
      <c r="A54">
        <f>IF(C54&lt;&gt;"","GAP-"&amp;TEXT(ROW()-1,"000"),"")</f>
        <v/>
      </c>
      <c r="B54" s="20">
        <f>IF(L54&lt;&gt;"",RANK(L54,L:L,0),"")</f>
        <v/>
      </c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21">
        <f>IF(C54="","",((IF(F54="Critical",5,IF(F54="High",4,IF(F54="Medium",3,2)))*10)+(IF(I54="Critical",5,IF(I54="High",4,IF(I54="Medium",3,2)))*8)+(IF(K54="Very High",5,IF(K54="High",4,IF(K54="Medium",3,IF(K54="Low",2,1))))*6)+(IF(P54&lt;0,ABS(P54)/7*2,0))))</f>
        <v/>
      </c>
      <c r="M54" s="19" t="n"/>
      <c r="N54" s="19" t="n"/>
      <c r="O54" s="19" t="n"/>
      <c r="P54" s="20">
        <f>IF(O54&lt;&gt;"",O54-TODAY(),"")</f>
        <v/>
      </c>
      <c r="Q54" s="19" t="n"/>
      <c r="R54">
        <f>IF(AND(OR(I54="Medium",I54="High",I54="Critical"),OR(N54="Configuration Change",N54="Policy Update",P54&lt;=7)),"Yes","No")</f>
        <v/>
      </c>
      <c r="S54" s="19" t="n"/>
      <c r="T54" s="19" t="n"/>
    </row>
    <row r="55">
      <c r="A55">
        <f>IF(C55&lt;&gt;"","GAP-"&amp;TEXT(ROW()-1,"000"),"")</f>
        <v/>
      </c>
      <c r="B55" s="20">
        <f>IF(L55&lt;&gt;"",RANK(L55,L:L,0),"")</f>
        <v/>
      </c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21">
        <f>IF(C55="","",((IF(F55="Critical",5,IF(F55="High",4,IF(F55="Medium",3,2)))*10)+(IF(I55="Critical",5,IF(I55="High",4,IF(I55="Medium",3,2)))*8)+(IF(K55="Very High",5,IF(K55="High",4,IF(K55="Medium",3,IF(K55="Low",2,1))))*6)+(IF(P55&lt;0,ABS(P55)/7*2,0))))</f>
        <v/>
      </c>
      <c r="M55" s="19" t="n"/>
      <c r="N55" s="19" t="n"/>
      <c r="O55" s="19" t="n"/>
      <c r="P55" s="20">
        <f>IF(O55&lt;&gt;"",O55-TODAY(),"")</f>
        <v/>
      </c>
      <c r="Q55" s="19" t="n"/>
      <c r="R55">
        <f>IF(AND(OR(I55="Medium",I55="High",I55="Critical"),OR(N55="Configuration Change",N55="Policy Update",P55&lt;=7)),"Yes","No")</f>
        <v/>
      </c>
      <c r="S55" s="19" t="n"/>
      <c r="T55" s="19" t="n"/>
    </row>
    <row r="56">
      <c r="A56">
        <f>IF(C56&lt;&gt;"","GAP-"&amp;TEXT(ROW()-1,"000"),"")</f>
        <v/>
      </c>
      <c r="B56" s="20">
        <f>IF(L56&lt;&gt;"",RANK(L56,L:L,0),"")</f>
        <v/>
      </c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21">
        <f>IF(C56="","",((IF(F56="Critical",5,IF(F56="High",4,IF(F56="Medium",3,2)))*10)+(IF(I56="Critical",5,IF(I56="High",4,IF(I56="Medium",3,2)))*8)+(IF(K56="Very High",5,IF(K56="High",4,IF(K56="Medium",3,IF(K56="Low",2,1))))*6)+(IF(P56&lt;0,ABS(P56)/7*2,0))))</f>
        <v/>
      </c>
      <c r="M56" s="19" t="n"/>
      <c r="N56" s="19" t="n"/>
      <c r="O56" s="19" t="n"/>
      <c r="P56" s="20">
        <f>IF(O56&lt;&gt;"",O56-TODAY(),"")</f>
        <v/>
      </c>
      <c r="Q56" s="19" t="n"/>
      <c r="R56">
        <f>IF(AND(OR(I56="Medium",I56="High",I56="Critical"),OR(N56="Configuration Change",N56="Policy Update",P56&lt;=7)),"Yes","No")</f>
        <v/>
      </c>
      <c r="S56" s="19" t="n"/>
      <c r="T56" s="19" t="n"/>
    </row>
    <row r="57">
      <c r="A57">
        <f>IF(C57&lt;&gt;"","GAP-"&amp;TEXT(ROW()-1,"000"),"")</f>
        <v/>
      </c>
      <c r="B57" s="20">
        <f>IF(L57&lt;&gt;"",RANK(L57,L:L,0),"")</f>
        <v/>
      </c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21">
        <f>IF(C57="","",((IF(F57="Critical",5,IF(F57="High",4,IF(F57="Medium",3,2)))*10)+(IF(I57="Critical",5,IF(I57="High",4,IF(I57="Medium",3,2)))*8)+(IF(K57="Very High",5,IF(K57="High",4,IF(K57="Medium",3,IF(K57="Low",2,1))))*6)+(IF(P57&lt;0,ABS(P57)/7*2,0))))</f>
        <v/>
      </c>
      <c r="M57" s="19" t="n"/>
      <c r="N57" s="19" t="n"/>
      <c r="O57" s="19" t="n"/>
      <c r="P57" s="20">
        <f>IF(O57&lt;&gt;"",O57-TODAY(),"")</f>
        <v/>
      </c>
      <c r="Q57" s="19" t="n"/>
      <c r="R57">
        <f>IF(AND(OR(I57="Medium",I57="High",I57="Critical"),OR(N57="Configuration Change",N57="Policy Update",P57&lt;=7)),"Yes","No")</f>
        <v/>
      </c>
      <c r="S57" s="19" t="n"/>
      <c r="T57" s="19" t="n"/>
    </row>
    <row r="58">
      <c r="A58">
        <f>IF(C58&lt;&gt;"","GAP-"&amp;TEXT(ROW()-1,"000"),"")</f>
        <v/>
      </c>
      <c r="B58" s="20">
        <f>IF(L58&lt;&gt;"",RANK(L58,L:L,0),"")</f>
        <v/>
      </c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21">
        <f>IF(C58="","",((IF(F58="Critical",5,IF(F58="High",4,IF(F58="Medium",3,2)))*10)+(IF(I58="Critical",5,IF(I58="High",4,IF(I58="Medium",3,2)))*8)+(IF(K58="Very High",5,IF(K58="High",4,IF(K58="Medium",3,IF(K58="Low",2,1))))*6)+(IF(P58&lt;0,ABS(P58)/7*2,0))))</f>
        <v/>
      </c>
      <c r="M58" s="19" t="n"/>
      <c r="N58" s="19" t="n"/>
      <c r="O58" s="19" t="n"/>
      <c r="P58" s="20">
        <f>IF(O58&lt;&gt;"",O58-TODAY(),"")</f>
        <v/>
      </c>
      <c r="Q58" s="19" t="n"/>
      <c r="R58">
        <f>IF(AND(OR(I58="Medium",I58="High",I58="Critical"),OR(N58="Configuration Change",N58="Policy Update",P58&lt;=7)),"Yes","No")</f>
        <v/>
      </c>
      <c r="S58" s="19" t="n"/>
      <c r="T58" s="19" t="n"/>
    </row>
    <row r="59">
      <c r="A59">
        <f>IF(C59&lt;&gt;"","GAP-"&amp;TEXT(ROW()-1,"000"),"")</f>
        <v/>
      </c>
      <c r="B59" s="20">
        <f>IF(L59&lt;&gt;"",RANK(L59,L:L,0),"")</f>
        <v/>
      </c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21">
        <f>IF(C59="","",((IF(F59="Critical",5,IF(F59="High",4,IF(F59="Medium",3,2)))*10)+(IF(I59="Critical",5,IF(I59="High",4,IF(I59="Medium",3,2)))*8)+(IF(K59="Very High",5,IF(K59="High",4,IF(K59="Medium",3,IF(K59="Low",2,1))))*6)+(IF(P59&lt;0,ABS(P59)/7*2,0))))</f>
        <v/>
      </c>
      <c r="M59" s="19" t="n"/>
      <c r="N59" s="19" t="n"/>
      <c r="O59" s="19" t="n"/>
      <c r="P59" s="20">
        <f>IF(O59&lt;&gt;"",O59-TODAY(),"")</f>
        <v/>
      </c>
      <c r="Q59" s="19" t="n"/>
      <c r="R59">
        <f>IF(AND(OR(I59="Medium",I59="High",I59="Critical"),OR(N59="Configuration Change",N59="Policy Update",P59&lt;=7)),"Yes","No")</f>
        <v/>
      </c>
      <c r="S59" s="19" t="n"/>
      <c r="T59" s="19" t="n"/>
    </row>
    <row r="60">
      <c r="A60">
        <f>IF(C60&lt;&gt;"","GAP-"&amp;TEXT(ROW()-1,"000"),"")</f>
        <v/>
      </c>
      <c r="B60" s="20">
        <f>IF(L60&lt;&gt;"",RANK(L60,L:L,0),"")</f>
        <v/>
      </c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21">
        <f>IF(C60="","",((IF(F60="Critical",5,IF(F60="High",4,IF(F60="Medium",3,2)))*10)+(IF(I60="Critical",5,IF(I60="High",4,IF(I60="Medium",3,2)))*8)+(IF(K60="Very High",5,IF(K60="High",4,IF(K60="Medium",3,IF(K60="Low",2,1))))*6)+(IF(P60&lt;0,ABS(P60)/7*2,0))))</f>
        <v/>
      </c>
      <c r="M60" s="19" t="n"/>
      <c r="N60" s="19" t="n"/>
      <c r="O60" s="19" t="n"/>
      <c r="P60" s="20">
        <f>IF(O60&lt;&gt;"",O60-TODAY(),"")</f>
        <v/>
      </c>
      <c r="Q60" s="19" t="n"/>
      <c r="R60">
        <f>IF(AND(OR(I60="Medium",I60="High",I60="Critical"),OR(N60="Configuration Change",N60="Policy Update",P60&lt;=7)),"Yes","No")</f>
        <v/>
      </c>
      <c r="S60" s="19" t="n"/>
      <c r="T60" s="19" t="n"/>
    </row>
    <row r="61">
      <c r="A61">
        <f>IF(C61&lt;&gt;"","GAP-"&amp;TEXT(ROW()-1,"000"),"")</f>
        <v/>
      </c>
      <c r="B61" s="20">
        <f>IF(L61&lt;&gt;"",RANK(L61,L:L,0),"")</f>
        <v/>
      </c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21">
        <f>IF(C61="","",((IF(F61="Critical",5,IF(F61="High",4,IF(F61="Medium",3,2)))*10)+(IF(I61="Critical",5,IF(I61="High",4,IF(I61="Medium",3,2)))*8)+(IF(K61="Very High",5,IF(K61="High",4,IF(K61="Medium",3,IF(K61="Low",2,1))))*6)+(IF(P61&lt;0,ABS(P61)/7*2,0))))</f>
        <v/>
      </c>
      <c r="M61" s="19" t="n"/>
      <c r="N61" s="19" t="n"/>
      <c r="O61" s="19" t="n"/>
      <c r="P61" s="20">
        <f>IF(O61&lt;&gt;"",O61-TODAY(),"")</f>
        <v/>
      </c>
      <c r="Q61" s="19" t="n"/>
      <c r="R61">
        <f>IF(AND(OR(I61="Medium",I61="High",I61="Critical"),OR(N61="Configuration Change",N61="Policy Update",P61&lt;=7)),"Yes","No")</f>
        <v/>
      </c>
      <c r="S61" s="19" t="n"/>
      <c r="T61" s="19" t="n"/>
    </row>
    <row r="62">
      <c r="A62">
        <f>IF(C62&lt;&gt;"","GAP-"&amp;TEXT(ROW()-1,"000"),"")</f>
        <v/>
      </c>
      <c r="B62" s="20">
        <f>IF(L62&lt;&gt;"",RANK(L62,L:L,0),"")</f>
        <v/>
      </c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21">
        <f>IF(C62="","",((IF(F62="Critical",5,IF(F62="High",4,IF(F62="Medium",3,2)))*10)+(IF(I62="Critical",5,IF(I62="High",4,IF(I62="Medium",3,2)))*8)+(IF(K62="Very High",5,IF(K62="High",4,IF(K62="Medium",3,IF(K62="Low",2,1))))*6)+(IF(P62&lt;0,ABS(P62)/7*2,0))))</f>
        <v/>
      </c>
      <c r="M62" s="19" t="n"/>
      <c r="N62" s="19" t="n"/>
      <c r="O62" s="19" t="n"/>
      <c r="P62" s="20">
        <f>IF(O62&lt;&gt;"",O62-TODAY(),"")</f>
        <v/>
      </c>
      <c r="Q62" s="19" t="n"/>
      <c r="R62">
        <f>IF(AND(OR(I62="Medium",I62="High",I62="Critical"),OR(N62="Configuration Change",N62="Policy Update",P62&lt;=7)),"Yes","No")</f>
        <v/>
      </c>
      <c r="S62" s="19" t="n"/>
      <c r="T62" s="19" t="n"/>
    </row>
    <row r="63">
      <c r="A63">
        <f>IF(C63&lt;&gt;"","GAP-"&amp;TEXT(ROW()-1,"000"),"")</f>
        <v/>
      </c>
      <c r="B63" s="20">
        <f>IF(L63&lt;&gt;"",RANK(L63,L:L,0),"")</f>
        <v/>
      </c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21">
        <f>IF(C63="","",((IF(F63="Critical",5,IF(F63="High",4,IF(F63="Medium",3,2)))*10)+(IF(I63="Critical",5,IF(I63="High",4,IF(I63="Medium",3,2)))*8)+(IF(K63="Very High",5,IF(K63="High",4,IF(K63="Medium",3,IF(K63="Low",2,1))))*6)+(IF(P63&lt;0,ABS(P63)/7*2,0))))</f>
        <v/>
      </c>
      <c r="M63" s="19" t="n"/>
      <c r="N63" s="19" t="n"/>
      <c r="O63" s="19" t="n"/>
      <c r="P63" s="20">
        <f>IF(O63&lt;&gt;"",O63-TODAY(),"")</f>
        <v/>
      </c>
      <c r="Q63" s="19" t="n"/>
      <c r="R63">
        <f>IF(AND(OR(I63="Medium",I63="High",I63="Critical"),OR(N63="Configuration Change",N63="Policy Update",P63&lt;=7)),"Yes","No")</f>
        <v/>
      </c>
      <c r="S63" s="19" t="n"/>
      <c r="T63" s="19" t="n"/>
    </row>
    <row r="64">
      <c r="A64">
        <f>IF(C64&lt;&gt;"","GAP-"&amp;TEXT(ROW()-1,"000"),"")</f>
        <v/>
      </c>
      <c r="B64" s="20">
        <f>IF(L64&lt;&gt;"",RANK(L64,L:L,0),"")</f>
        <v/>
      </c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21">
        <f>IF(C64="","",((IF(F64="Critical",5,IF(F64="High",4,IF(F64="Medium",3,2)))*10)+(IF(I64="Critical",5,IF(I64="High",4,IF(I64="Medium",3,2)))*8)+(IF(K64="Very High",5,IF(K64="High",4,IF(K64="Medium",3,IF(K64="Low",2,1))))*6)+(IF(P64&lt;0,ABS(P64)/7*2,0))))</f>
        <v/>
      </c>
      <c r="M64" s="19" t="n"/>
      <c r="N64" s="19" t="n"/>
      <c r="O64" s="19" t="n"/>
      <c r="P64" s="20">
        <f>IF(O64&lt;&gt;"",O64-TODAY(),"")</f>
        <v/>
      </c>
      <c r="Q64" s="19" t="n"/>
      <c r="R64">
        <f>IF(AND(OR(I64="Medium",I64="High",I64="Critical"),OR(N64="Configuration Change",N64="Policy Update",P64&lt;=7)),"Yes","No")</f>
        <v/>
      </c>
      <c r="S64" s="19" t="n"/>
      <c r="T64" s="19" t="n"/>
    </row>
    <row r="65">
      <c r="A65">
        <f>IF(C65&lt;&gt;"","GAP-"&amp;TEXT(ROW()-1,"000"),"")</f>
        <v/>
      </c>
      <c r="B65" s="20">
        <f>IF(L65&lt;&gt;"",RANK(L65,L:L,0),"")</f>
        <v/>
      </c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21">
        <f>IF(C65="","",((IF(F65="Critical",5,IF(F65="High",4,IF(F65="Medium",3,2)))*10)+(IF(I65="Critical",5,IF(I65="High",4,IF(I65="Medium",3,2)))*8)+(IF(K65="Very High",5,IF(K65="High",4,IF(K65="Medium",3,IF(K65="Low",2,1))))*6)+(IF(P65&lt;0,ABS(P65)/7*2,0))))</f>
        <v/>
      </c>
      <c r="M65" s="19" t="n"/>
      <c r="N65" s="19" t="n"/>
      <c r="O65" s="19" t="n"/>
      <c r="P65" s="20">
        <f>IF(O65&lt;&gt;"",O65-TODAY(),"")</f>
        <v/>
      </c>
      <c r="Q65" s="19" t="n"/>
      <c r="R65">
        <f>IF(AND(OR(I65="Medium",I65="High",I65="Critical"),OR(N65="Configuration Change",N65="Policy Update",P65&lt;=7)),"Yes","No")</f>
        <v/>
      </c>
      <c r="S65" s="19" t="n"/>
      <c r="T65" s="19" t="n"/>
    </row>
    <row r="66">
      <c r="A66">
        <f>IF(C66&lt;&gt;"","GAP-"&amp;TEXT(ROW()-1,"000"),"")</f>
        <v/>
      </c>
      <c r="B66" s="20">
        <f>IF(L66&lt;&gt;"",RANK(L66,L:L,0),"")</f>
        <v/>
      </c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21">
        <f>IF(C66="","",((IF(F66="Critical",5,IF(F66="High",4,IF(F66="Medium",3,2)))*10)+(IF(I66="Critical",5,IF(I66="High",4,IF(I66="Medium",3,2)))*8)+(IF(K66="Very High",5,IF(K66="High",4,IF(K66="Medium",3,IF(K66="Low",2,1))))*6)+(IF(P66&lt;0,ABS(P66)/7*2,0))))</f>
        <v/>
      </c>
      <c r="M66" s="19" t="n"/>
      <c r="N66" s="19" t="n"/>
      <c r="O66" s="19" t="n"/>
      <c r="P66" s="20">
        <f>IF(O66&lt;&gt;"",O66-TODAY(),"")</f>
        <v/>
      </c>
      <c r="Q66" s="19" t="n"/>
      <c r="R66">
        <f>IF(AND(OR(I66="Medium",I66="High",I66="Critical"),OR(N66="Configuration Change",N66="Policy Update",P66&lt;=7)),"Yes","No")</f>
        <v/>
      </c>
      <c r="S66" s="19" t="n"/>
      <c r="T66" s="19" t="n"/>
    </row>
    <row r="67">
      <c r="A67">
        <f>IF(C67&lt;&gt;"","GAP-"&amp;TEXT(ROW()-1,"000"),"")</f>
        <v/>
      </c>
      <c r="B67" s="20">
        <f>IF(L67&lt;&gt;"",RANK(L67,L:L,0),"")</f>
        <v/>
      </c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21">
        <f>IF(C67="","",((IF(F67="Critical",5,IF(F67="High",4,IF(F67="Medium",3,2)))*10)+(IF(I67="Critical",5,IF(I67="High",4,IF(I67="Medium",3,2)))*8)+(IF(K67="Very High",5,IF(K67="High",4,IF(K67="Medium",3,IF(K67="Low",2,1))))*6)+(IF(P67&lt;0,ABS(P67)/7*2,0))))</f>
        <v/>
      </c>
      <c r="M67" s="19" t="n"/>
      <c r="N67" s="19" t="n"/>
      <c r="O67" s="19" t="n"/>
      <c r="P67" s="20">
        <f>IF(O67&lt;&gt;"",O67-TODAY(),"")</f>
        <v/>
      </c>
      <c r="Q67" s="19" t="n"/>
      <c r="R67">
        <f>IF(AND(OR(I67="Medium",I67="High",I67="Critical"),OR(N67="Configuration Change",N67="Policy Update",P67&lt;=7)),"Yes","No")</f>
        <v/>
      </c>
      <c r="S67" s="19" t="n"/>
      <c r="T67" s="19" t="n"/>
    </row>
    <row r="68">
      <c r="A68">
        <f>IF(C68&lt;&gt;"","GAP-"&amp;TEXT(ROW()-1,"000"),"")</f>
        <v/>
      </c>
      <c r="B68" s="20">
        <f>IF(L68&lt;&gt;"",RANK(L68,L:L,0),"")</f>
        <v/>
      </c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21">
        <f>IF(C68="","",((IF(F68="Critical",5,IF(F68="High",4,IF(F68="Medium",3,2)))*10)+(IF(I68="Critical",5,IF(I68="High",4,IF(I68="Medium",3,2)))*8)+(IF(K68="Very High",5,IF(K68="High",4,IF(K68="Medium",3,IF(K68="Low",2,1))))*6)+(IF(P68&lt;0,ABS(P68)/7*2,0))))</f>
        <v/>
      </c>
      <c r="M68" s="19" t="n"/>
      <c r="N68" s="19" t="n"/>
      <c r="O68" s="19" t="n"/>
      <c r="P68" s="20">
        <f>IF(O68&lt;&gt;"",O68-TODAY(),"")</f>
        <v/>
      </c>
      <c r="Q68" s="19" t="n"/>
      <c r="R68">
        <f>IF(AND(OR(I68="Medium",I68="High",I68="Critical"),OR(N68="Configuration Change",N68="Policy Update",P68&lt;=7)),"Yes","No")</f>
        <v/>
      </c>
      <c r="S68" s="19" t="n"/>
      <c r="T68" s="19" t="n"/>
    </row>
    <row r="69">
      <c r="A69">
        <f>IF(C69&lt;&gt;"","GAP-"&amp;TEXT(ROW()-1,"000"),"")</f>
        <v/>
      </c>
      <c r="B69" s="20">
        <f>IF(L69&lt;&gt;"",RANK(L69,L:L,0),"")</f>
        <v/>
      </c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21">
        <f>IF(C69="","",((IF(F69="Critical",5,IF(F69="High",4,IF(F69="Medium",3,2)))*10)+(IF(I69="Critical",5,IF(I69="High",4,IF(I69="Medium",3,2)))*8)+(IF(K69="Very High",5,IF(K69="High",4,IF(K69="Medium",3,IF(K69="Low",2,1))))*6)+(IF(P69&lt;0,ABS(P69)/7*2,0))))</f>
        <v/>
      </c>
      <c r="M69" s="19" t="n"/>
      <c r="N69" s="19" t="n"/>
      <c r="O69" s="19" t="n"/>
      <c r="P69" s="20">
        <f>IF(O69&lt;&gt;"",O69-TODAY(),"")</f>
        <v/>
      </c>
      <c r="Q69" s="19" t="n"/>
      <c r="R69">
        <f>IF(AND(OR(I69="Medium",I69="High",I69="Critical"),OR(N69="Configuration Change",N69="Policy Update",P69&lt;=7)),"Yes","No")</f>
        <v/>
      </c>
      <c r="S69" s="19" t="n"/>
      <c r="T69" s="19" t="n"/>
    </row>
    <row r="70">
      <c r="A70">
        <f>IF(C70&lt;&gt;"","GAP-"&amp;TEXT(ROW()-1,"000"),"")</f>
        <v/>
      </c>
      <c r="B70" s="20">
        <f>IF(L70&lt;&gt;"",RANK(L70,L:L,0),"")</f>
        <v/>
      </c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21">
        <f>IF(C70="","",((IF(F70="Critical",5,IF(F70="High",4,IF(F70="Medium",3,2)))*10)+(IF(I70="Critical",5,IF(I70="High",4,IF(I70="Medium",3,2)))*8)+(IF(K70="Very High",5,IF(K70="High",4,IF(K70="Medium",3,IF(K70="Low",2,1))))*6)+(IF(P70&lt;0,ABS(P70)/7*2,0))))</f>
        <v/>
      </c>
      <c r="M70" s="19" t="n"/>
      <c r="N70" s="19" t="n"/>
      <c r="O70" s="19" t="n"/>
      <c r="P70" s="20">
        <f>IF(O70&lt;&gt;"",O70-TODAY(),"")</f>
        <v/>
      </c>
      <c r="Q70" s="19" t="n"/>
      <c r="R70">
        <f>IF(AND(OR(I70="Medium",I70="High",I70="Critical"),OR(N70="Configuration Change",N70="Policy Update",P70&lt;=7)),"Yes","No")</f>
        <v/>
      </c>
      <c r="S70" s="19" t="n"/>
      <c r="T70" s="19" t="n"/>
    </row>
    <row r="71">
      <c r="A71">
        <f>IF(C71&lt;&gt;"","GAP-"&amp;TEXT(ROW()-1,"000"),"")</f>
        <v/>
      </c>
      <c r="B71" s="20">
        <f>IF(L71&lt;&gt;"",RANK(L71,L:L,0),"")</f>
        <v/>
      </c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21">
        <f>IF(C71="","",((IF(F71="Critical",5,IF(F71="High",4,IF(F71="Medium",3,2)))*10)+(IF(I71="Critical",5,IF(I71="High",4,IF(I71="Medium",3,2)))*8)+(IF(K71="Very High",5,IF(K71="High",4,IF(K71="Medium",3,IF(K71="Low",2,1))))*6)+(IF(P71&lt;0,ABS(P71)/7*2,0))))</f>
        <v/>
      </c>
      <c r="M71" s="19" t="n"/>
      <c r="N71" s="19" t="n"/>
      <c r="O71" s="19" t="n"/>
      <c r="P71" s="20">
        <f>IF(O71&lt;&gt;"",O71-TODAY(),"")</f>
        <v/>
      </c>
      <c r="Q71" s="19" t="n"/>
      <c r="R71">
        <f>IF(AND(OR(I71="Medium",I71="High",I71="Critical"),OR(N71="Configuration Change",N71="Policy Update",P71&lt;=7)),"Yes","No")</f>
        <v/>
      </c>
      <c r="S71" s="19" t="n"/>
      <c r="T71" s="19" t="n"/>
    </row>
    <row r="72">
      <c r="A72">
        <f>IF(C72&lt;&gt;"","GAP-"&amp;TEXT(ROW()-1,"000"),"")</f>
        <v/>
      </c>
      <c r="B72" s="20">
        <f>IF(L72&lt;&gt;"",RANK(L72,L:L,0),"")</f>
        <v/>
      </c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21">
        <f>IF(C72="","",((IF(F72="Critical",5,IF(F72="High",4,IF(F72="Medium",3,2)))*10)+(IF(I72="Critical",5,IF(I72="High",4,IF(I72="Medium",3,2)))*8)+(IF(K72="Very High",5,IF(K72="High",4,IF(K72="Medium",3,IF(K72="Low",2,1))))*6)+(IF(P72&lt;0,ABS(P72)/7*2,0))))</f>
        <v/>
      </c>
      <c r="M72" s="19" t="n"/>
      <c r="N72" s="19" t="n"/>
      <c r="O72" s="19" t="n"/>
      <c r="P72" s="20">
        <f>IF(O72&lt;&gt;"",O72-TODAY(),"")</f>
        <v/>
      </c>
      <c r="Q72" s="19" t="n"/>
      <c r="R72">
        <f>IF(AND(OR(I72="Medium",I72="High",I72="Critical"),OR(N72="Configuration Change",N72="Policy Update",P72&lt;=7)),"Yes","No")</f>
        <v/>
      </c>
      <c r="S72" s="19" t="n"/>
      <c r="T72" s="19" t="n"/>
    </row>
    <row r="73">
      <c r="A73">
        <f>IF(C73&lt;&gt;"","GAP-"&amp;TEXT(ROW()-1,"000"),"")</f>
        <v/>
      </c>
      <c r="B73" s="20">
        <f>IF(L73&lt;&gt;"",RANK(L73,L:L,0),"")</f>
        <v/>
      </c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21">
        <f>IF(C73="","",((IF(F73="Critical",5,IF(F73="High",4,IF(F73="Medium",3,2)))*10)+(IF(I73="Critical",5,IF(I73="High",4,IF(I73="Medium",3,2)))*8)+(IF(K73="Very High",5,IF(K73="High",4,IF(K73="Medium",3,IF(K73="Low",2,1))))*6)+(IF(P73&lt;0,ABS(P73)/7*2,0))))</f>
        <v/>
      </c>
      <c r="M73" s="19" t="n"/>
      <c r="N73" s="19" t="n"/>
      <c r="O73" s="19" t="n"/>
      <c r="P73" s="20">
        <f>IF(O73&lt;&gt;"",O73-TODAY(),"")</f>
        <v/>
      </c>
      <c r="Q73" s="19" t="n"/>
      <c r="R73">
        <f>IF(AND(OR(I73="Medium",I73="High",I73="Critical"),OR(N73="Configuration Change",N73="Policy Update",P73&lt;=7)),"Yes","No")</f>
        <v/>
      </c>
      <c r="S73" s="19" t="n"/>
      <c r="T73" s="19" t="n"/>
    </row>
    <row r="74">
      <c r="A74">
        <f>IF(C74&lt;&gt;"","GAP-"&amp;TEXT(ROW()-1,"000"),"")</f>
        <v/>
      </c>
      <c r="B74" s="20">
        <f>IF(L74&lt;&gt;"",RANK(L74,L:L,0),"")</f>
        <v/>
      </c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21">
        <f>IF(C74="","",((IF(F74="Critical",5,IF(F74="High",4,IF(F74="Medium",3,2)))*10)+(IF(I74="Critical",5,IF(I74="High",4,IF(I74="Medium",3,2)))*8)+(IF(K74="Very High",5,IF(K74="High",4,IF(K74="Medium",3,IF(K74="Low",2,1))))*6)+(IF(P74&lt;0,ABS(P74)/7*2,0))))</f>
        <v/>
      </c>
      <c r="M74" s="19" t="n"/>
      <c r="N74" s="19" t="n"/>
      <c r="O74" s="19" t="n"/>
      <c r="P74" s="20">
        <f>IF(O74&lt;&gt;"",O74-TODAY(),"")</f>
        <v/>
      </c>
      <c r="Q74" s="19" t="n"/>
      <c r="R74">
        <f>IF(AND(OR(I74="Medium",I74="High",I74="Critical"),OR(N74="Configuration Change",N74="Policy Update",P74&lt;=7)),"Yes","No")</f>
        <v/>
      </c>
      <c r="S74" s="19" t="n"/>
      <c r="T74" s="19" t="n"/>
    </row>
    <row r="75">
      <c r="A75">
        <f>IF(C75&lt;&gt;"","GAP-"&amp;TEXT(ROW()-1,"000"),"")</f>
        <v/>
      </c>
      <c r="B75" s="20">
        <f>IF(L75&lt;&gt;"",RANK(L75,L:L,0),"")</f>
        <v/>
      </c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21">
        <f>IF(C75="","",((IF(F75="Critical",5,IF(F75="High",4,IF(F75="Medium",3,2)))*10)+(IF(I75="Critical",5,IF(I75="High",4,IF(I75="Medium",3,2)))*8)+(IF(K75="Very High",5,IF(K75="High",4,IF(K75="Medium",3,IF(K75="Low",2,1))))*6)+(IF(P75&lt;0,ABS(P75)/7*2,0))))</f>
        <v/>
      </c>
      <c r="M75" s="19" t="n"/>
      <c r="N75" s="19" t="n"/>
      <c r="O75" s="19" t="n"/>
      <c r="P75" s="20">
        <f>IF(O75&lt;&gt;"",O75-TODAY(),"")</f>
        <v/>
      </c>
      <c r="Q75" s="19" t="n"/>
      <c r="R75">
        <f>IF(AND(OR(I75="Medium",I75="High",I75="Critical"),OR(N75="Configuration Change",N75="Policy Update",P75&lt;=7)),"Yes","No")</f>
        <v/>
      </c>
      <c r="S75" s="19" t="n"/>
      <c r="T75" s="19" t="n"/>
    </row>
    <row r="76">
      <c r="A76">
        <f>IF(C76&lt;&gt;"","GAP-"&amp;TEXT(ROW()-1,"000"),"")</f>
        <v/>
      </c>
      <c r="B76" s="20">
        <f>IF(L76&lt;&gt;"",RANK(L76,L:L,0),"")</f>
        <v/>
      </c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21">
        <f>IF(C76="","",((IF(F76="Critical",5,IF(F76="High",4,IF(F76="Medium",3,2)))*10)+(IF(I76="Critical",5,IF(I76="High",4,IF(I76="Medium",3,2)))*8)+(IF(K76="Very High",5,IF(K76="High",4,IF(K76="Medium",3,IF(K76="Low",2,1))))*6)+(IF(P76&lt;0,ABS(P76)/7*2,0))))</f>
        <v/>
      </c>
      <c r="M76" s="19" t="n"/>
      <c r="N76" s="19" t="n"/>
      <c r="O76" s="19" t="n"/>
      <c r="P76" s="20">
        <f>IF(O76&lt;&gt;"",O76-TODAY(),"")</f>
        <v/>
      </c>
      <c r="Q76" s="19" t="n"/>
      <c r="R76">
        <f>IF(AND(OR(I76="Medium",I76="High",I76="Critical"),OR(N76="Configuration Change",N76="Policy Update",P76&lt;=7)),"Yes","No")</f>
        <v/>
      </c>
      <c r="S76" s="19" t="n"/>
      <c r="T76" s="19" t="n"/>
    </row>
    <row r="77">
      <c r="A77">
        <f>IF(C77&lt;&gt;"","GAP-"&amp;TEXT(ROW()-1,"000"),"")</f>
        <v/>
      </c>
      <c r="B77" s="20">
        <f>IF(L77&lt;&gt;"",RANK(L77,L:L,0),"")</f>
        <v/>
      </c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21">
        <f>IF(C77="","",((IF(F77="Critical",5,IF(F77="High",4,IF(F77="Medium",3,2)))*10)+(IF(I77="Critical",5,IF(I77="High",4,IF(I77="Medium",3,2)))*8)+(IF(K77="Very High",5,IF(K77="High",4,IF(K77="Medium",3,IF(K77="Low",2,1))))*6)+(IF(P77&lt;0,ABS(P77)/7*2,0))))</f>
        <v/>
      </c>
      <c r="M77" s="19" t="n"/>
      <c r="N77" s="19" t="n"/>
      <c r="O77" s="19" t="n"/>
      <c r="P77" s="20">
        <f>IF(O77&lt;&gt;"",O77-TODAY(),"")</f>
        <v/>
      </c>
      <c r="Q77" s="19" t="n"/>
      <c r="R77">
        <f>IF(AND(OR(I77="Medium",I77="High",I77="Critical"),OR(N77="Configuration Change",N77="Policy Update",P77&lt;=7)),"Yes","No")</f>
        <v/>
      </c>
      <c r="S77" s="19" t="n"/>
      <c r="T77" s="19" t="n"/>
    </row>
    <row r="78">
      <c r="A78">
        <f>IF(C78&lt;&gt;"","GAP-"&amp;TEXT(ROW()-1,"000"),"")</f>
        <v/>
      </c>
      <c r="B78" s="20">
        <f>IF(L78&lt;&gt;"",RANK(L78,L:L,0),"")</f>
        <v/>
      </c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21">
        <f>IF(C78="","",((IF(F78="Critical",5,IF(F78="High",4,IF(F78="Medium",3,2)))*10)+(IF(I78="Critical",5,IF(I78="High",4,IF(I78="Medium",3,2)))*8)+(IF(K78="Very High",5,IF(K78="High",4,IF(K78="Medium",3,IF(K78="Low",2,1))))*6)+(IF(P78&lt;0,ABS(P78)/7*2,0))))</f>
        <v/>
      </c>
      <c r="M78" s="19" t="n"/>
      <c r="N78" s="19" t="n"/>
      <c r="O78" s="19" t="n"/>
      <c r="P78" s="20">
        <f>IF(O78&lt;&gt;"",O78-TODAY(),"")</f>
        <v/>
      </c>
      <c r="Q78" s="19" t="n"/>
      <c r="R78">
        <f>IF(AND(OR(I78="Medium",I78="High",I78="Critical"),OR(N78="Configuration Change",N78="Policy Update",P78&lt;=7)),"Yes","No")</f>
        <v/>
      </c>
      <c r="S78" s="19" t="n"/>
      <c r="T78" s="19" t="n"/>
    </row>
    <row r="79">
      <c r="A79">
        <f>IF(C79&lt;&gt;"","GAP-"&amp;TEXT(ROW()-1,"000"),"")</f>
        <v/>
      </c>
      <c r="B79" s="20">
        <f>IF(L79&lt;&gt;"",RANK(L79,L:L,0),"")</f>
        <v/>
      </c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21">
        <f>IF(C79="","",((IF(F79="Critical",5,IF(F79="High",4,IF(F79="Medium",3,2)))*10)+(IF(I79="Critical",5,IF(I79="High",4,IF(I79="Medium",3,2)))*8)+(IF(K79="Very High",5,IF(K79="High",4,IF(K79="Medium",3,IF(K79="Low",2,1))))*6)+(IF(P79&lt;0,ABS(P79)/7*2,0))))</f>
        <v/>
      </c>
      <c r="M79" s="19" t="n"/>
      <c r="N79" s="19" t="n"/>
      <c r="O79" s="19" t="n"/>
      <c r="P79" s="20">
        <f>IF(O79&lt;&gt;"",O79-TODAY(),"")</f>
        <v/>
      </c>
      <c r="Q79" s="19" t="n"/>
      <c r="R79">
        <f>IF(AND(OR(I79="Medium",I79="High",I79="Critical"),OR(N79="Configuration Change",N79="Policy Update",P79&lt;=7)),"Yes","No")</f>
        <v/>
      </c>
      <c r="S79" s="19" t="n"/>
      <c r="T79" s="19" t="n"/>
    </row>
    <row r="80">
      <c r="A80">
        <f>IF(C80&lt;&gt;"","GAP-"&amp;TEXT(ROW()-1,"000"),"")</f>
        <v/>
      </c>
      <c r="B80" s="20">
        <f>IF(L80&lt;&gt;"",RANK(L80,L:L,0),"")</f>
        <v/>
      </c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21">
        <f>IF(C80="","",((IF(F80="Critical",5,IF(F80="High",4,IF(F80="Medium",3,2)))*10)+(IF(I80="Critical",5,IF(I80="High",4,IF(I80="Medium",3,2)))*8)+(IF(K80="Very High",5,IF(K80="High",4,IF(K80="Medium",3,IF(K80="Low",2,1))))*6)+(IF(P80&lt;0,ABS(P80)/7*2,0))))</f>
        <v/>
      </c>
      <c r="M80" s="19" t="n"/>
      <c r="N80" s="19" t="n"/>
      <c r="O80" s="19" t="n"/>
      <c r="P80" s="20">
        <f>IF(O80&lt;&gt;"",O80-TODAY(),"")</f>
        <v/>
      </c>
      <c r="Q80" s="19" t="n"/>
      <c r="R80">
        <f>IF(AND(OR(I80="Medium",I80="High",I80="Critical"),OR(N80="Configuration Change",N80="Policy Update",P80&lt;=7)),"Yes","No")</f>
        <v/>
      </c>
      <c r="S80" s="19" t="n"/>
      <c r="T80" s="19" t="n"/>
    </row>
    <row r="81">
      <c r="A81">
        <f>IF(C81&lt;&gt;"","GAP-"&amp;TEXT(ROW()-1,"000"),"")</f>
        <v/>
      </c>
      <c r="B81" s="20">
        <f>IF(L81&lt;&gt;"",RANK(L81,L:L,0),"")</f>
        <v/>
      </c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21">
        <f>IF(C81="","",((IF(F81="Critical",5,IF(F81="High",4,IF(F81="Medium",3,2)))*10)+(IF(I81="Critical",5,IF(I81="High",4,IF(I81="Medium",3,2)))*8)+(IF(K81="Very High",5,IF(K81="High",4,IF(K81="Medium",3,IF(K81="Low",2,1))))*6)+(IF(P81&lt;0,ABS(P81)/7*2,0))))</f>
        <v/>
      </c>
      <c r="M81" s="19" t="n"/>
      <c r="N81" s="19" t="n"/>
      <c r="O81" s="19" t="n"/>
      <c r="P81" s="20">
        <f>IF(O81&lt;&gt;"",O81-TODAY(),"")</f>
        <v/>
      </c>
      <c r="Q81" s="19" t="n"/>
      <c r="R81">
        <f>IF(AND(OR(I81="Medium",I81="High",I81="Critical"),OR(N81="Configuration Change",N81="Policy Update",P81&lt;=7)),"Yes","No")</f>
        <v/>
      </c>
      <c r="S81" s="19" t="n"/>
      <c r="T81" s="19" t="n"/>
    </row>
    <row r="82">
      <c r="A82">
        <f>IF(C82&lt;&gt;"","GAP-"&amp;TEXT(ROW()-1,"000"),"")</f>
        <v/>
      </c>
      <c r="B82" s="20">
        <f>IF(L82&lt;&gt;"",RANK(L82,L:L,0),"")</f>
        <v/>
      </c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21">
        <f>IF(C82="","",((IF(F82="Critical",5,IF(F82="High",4,IF(F82="Medium",3,2)))*10)+(IF(I82="Critical",5,IF(I82="High",4,IF(I82="Medium",3,2)))*8)+(IF(K82="Very High",5,IF(K82="High",4,IF(K82="Medium",3,IF(K82="Low",2,1))))*6)+(IF(P82&lt;0,ABS(P82)/7*2,0))))</f>
        <v/>
      </c>
      <c r="M82" s="19" t="n"/>
      <c r="N82" s="19" t="n"/>
      <c r="O82" s="19" t="n"/>
      <c r="P82" s="20">
        <f>IF(O82&lt;&gt;"",O82-TODAY(),"")</f>
        <v/>
      </c>
      <c r="Q82" s="19" t="n"/>
      <c r="R82">
        <f>IF(AND(OR(I82="Medium",I82="High",I82="Critical"),OR(N82="Configuration Change",N82="Policy Update",P82&lt;=7)),"Yes","No")</f>
        <v/>
      </c>
      <c r="S82" s="19" t="n"/>
      <c r="T82" s="19" t="n"/>
    </row>
    <row r="83">
      <c r="A83">
        <f>IF(C83&lt;&gt;"","GAP-"&amp;TEXT(ROW()-1,"000"),"")</f>
        <v/>
      </c>
      <c r="B83" s="20">
        <f>IF(L83&lt;&gt;"",RANK(L83,L:L,0),"")</f>
        <v/>
      </c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21">
        <f>IF(C83="","",((IF(F83="Critical",5,IF(F83="High",4,IF(F83="Medium",3,2)))*10)+(IF(I83="Critical",5,IF(I83="High",4,IF(I83="Medium",3,2)))*8)+(IF(K83="Very High",5,IF(K83="High",4,IF(K83="Medium",3,IF(K83="Low",2,1))))*6)+(IF(P83&lt;0,ABS(P83)/7*2,0))))</f>
        <v/>
      </c>
      <c r="M83" s="19" t="n"/>
      <c r="N83" s="19" t="n"/>
      <c r="O83" s="19" t="n"/>
      <c r="P83" s="20">
        <f>IF(O83&lt;&gt;"",O83-TODAY(),"")</f>
        <v/>
      </c>
      <c r="Q83" s="19" t="n"/>
      <c r="R83">
        <f>IF(AND(OR(I83="Medium",I83="High",I83="Critical"),OR(N83="Configuration Change",N83="Policy Update",P83&lt;=7)),"Yes","No")</f>
        <v/>
      </c>
      <c r="S83" s="19" t="n"/>
      <c r="T83" s="19" t="n"/>
    </row>
    <row r="84">
      <c r="A84">
        <f>IF(C84&lt;&gt;"","GAP-"&amp;TEXT(ROW()-1,"000"),"")</f>
        <v/>
      </c>
      <c r="B84" s="20">
        <f>IF(L84&lt;&gt;"",RANK(L84,L:L,0),"")</f>
        <v/>
      </c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21">
        <f>IF(C84="","",((IF(F84="Critical",5,IF(F84="High",4,IF(F84="Medium",3,2)))*10)+(IF(I84="Critical",5,IF(I84="High",4,IF(I84="Medium",3,2)))*8)+(IF(K84="Very High",5,IF(K84="High",4,IF(K84="Medium",3,IF(K84="Low",2,1))))*6)+(IF(P84&lt;0,ABS(P84)/7*2,0))))</f>
        <v/>
      </c>
      <c r="M84" s="19" t="n"/>
      <c r="N84" s="19" t="n"/>
      <c r="O84" s="19" t="n"/>
      <c r="P84" s="20">
        <f>IF(O84&lt;&gt;"",O84-TODAY(),"")</f>
        <v/>
      </c>
      <c r="Q84" s="19" t="n"/>
      <c r="R84">
        <f>IF(AND(OR(I84="Medium",I84="High",I84="Critical"),OR(N84="Configuration Change",N84="Policy Update",P84&lt;=7)),"Yes","No")</f>
        <v/>
      </c>
      <c r="S84" s="19" t="n"/>
      <c r="T84" s="19" t="n"/>
    </row>
    <row r="85">
      <c r="A85">
        <f>IF(C85&lt;&gt;"","GAP-"&amp;TEXT(ROW()-1,"000"),"")</f>
        <v/>
      </c>
      <c r="B85" s="20">
        <f>IF(L85&lt;&gt;"",RANK(L85,L:L,0),"")</f>
        <v/>
      </c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21">
        <f>IF(C85="","",((IF(F85="Critical",5,IF(F85="High",4,IF(F85="Medium",3,2)))*10)+(IF(I85="Critical",5,IF(I85="High",4,IF(I85="Medium",3,2)))*8)+(IF(K85="Very High",5,IF(K85="High",4,IF(K85="Medium",3,IF(K85="Low",2,1))))*6)+(IF(P85&lt;0,ABS(P85)/7*2,0))))</f>
        <v/>
      </c>
      <c r="M85" s="19" t="n"/>
      <c r="N85" s="19" t="n"/>
      <c r="O85" s="19" t="n"/>
      <c r="P85" s="20">
        <f>IF(O85&lt;&gt;"",O85-TODAY(),"")</f>
        <v/>
      </c>
      <c r="Q85" s="19" t="n"/>
      <c r="R85">
        <f>IF(AND(OR(I85="Medium",I85="High",I85="Critical"),OR(N85="Configuration Change",N85="Policy Update",P85&lt;=7)),"Yes","No")</f>
        <v/>
      </c>
      <c r="S85" s="19" t="n"/>
      <c r="T85" s="19" t="n"/>
    </row>
    <row r="86">
      <c r="A86">
        <f>IF(C86&lt;&gt;"","GAP-"&amp;TEXT(ROW()-1,"000"),"")</f>
        <v/>
      </c>
      <c r="B86" s="20">
        <f>IF(L86&lt;&gt;"",RANK(L86,L:L,0),"")</f>
        <v/>
      </c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21">
        <f>IF(C86="","",((IF(F86="Critical",5,IF(F86="High",4,IF(F86="Medium",3,2)))*10)+(IF(I86="Critical",5,IF(I86="High",4,IF(I86="Medium",3,2)))*8)+(IF(K86="Very High",5,IF(K86="High",4,IF(K86="Medium",3,IF(K86="Low",2,1))))*6)+(IF(P86&lt;0,ABS(P86)/7*2,0))))</f>
        <v/>
      </c>
      <c r="M86" s="19" t="n"/>
      <c r="N86" s="19" t="n"/>
      <c r="O86" s="19" t="n"/>
      <c r="P86" s="20">
        <f>IF(O86&lt;&gt;"",O86-TODAY(),"")</f>
        <v/>
      </c>
      <c r="Q86" s="19" t="n"/>
      <c r="R86">
        <f>IF(AND(OR(I86="Medium",I86="High",I86="Critical"),OR(N86="Configuration Change",N86="Policy Update",P86&lt;=7)),"Yes","No")</f>
        <v/>
      </c>
      <c r="S86" s="19" t="n"/>
      <c r="T86" s="19" t="n"/>
    </row>
    <row r="87">
      <c r="A87">
        <f>IF(C87&lt;&gt;"","GAP-"&amp;TEXT(ROW()-1,"000"),"")</f>
        <v/>
      </c>
      <c r="B87" s="20">
        <f>IF(L87&lt;&gt;"",RANK(L87,L:L,0),"")</f>
        <v/>
      </c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21">
        <f>IF(C87="","",((IF(F87="Critical",5,IF(F87="High",4,IF(F87="Medium",3,2)))*10)+(IF(I87="Critical",5,IF(I87="High",4,IF(I87="Medium",3,2)))*8)+(IF(K87="Very High",5,IF(K87="High",4,IF(K87="Medium",3,IF(K87="Low",2,1))))*6)+(IF(P87&lt;0,ABS(P87)/7*2,0))))</f>
        <v/>
      </c>
      <c r="M87" s="19" t="n"/>
      <c r="N87" s="19" t="n"/>
      <c r="O87" s="19" t="n"/>
      <c r="P87" s="20">
        <f>IF(O87&lt;&gt;"",O87-TODAY(),"")</f>
        <v/>
      </c>
      <c r="Q87" s="19" t="n"/>
      <c r="R87">
        <f>IF(AND(OR(I87="Medium",I87="High",I87="Critical"),OR(N87="Configuration Change",N87="Policy Update",P87&lt;=7)),"Yes","No")</f>
        <v/>
      </c>
      <c r="S87" s="19" t="n"/>
      <c r="T87" s="19" t="n"/>
    </row>
    <row r="88">
      <c r="A88">
        <f>IF(C88&lt;&gt;"","GAP-"&amp;TEXT(ROW()-1,"000"),"")</f>
        <v/>
      </c>
      <c r="B88" s="20">
        <f>IF(L88&lt;&gt;"",RANK(L88,L:L,0),"")</f>
        <v/>
      </c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21">
        <f>IF(C88="","",((IF(F88="Critical",5,IF(F88="High",4,IF(F88="Medium",3,2)))*10)+(IF(I88="Critical",5,IF(I88="High",4,IF(I88="Medium",3,2)))*8)+(IF(K88="Very High",5,IF(K88="High",4,IF(K88="Medium",3,IF(K88="Low",2,1))))*6)+(IF(P88&lt;0,ABS(P88)/7*2,0))))</f>
        <v/>
      </c>
      <c r="M88" s="19" t="n"/>
      <c r="N88" s="19" t="n"/>
      <c r="O88" s="19" t="n"/>
      <c r="P88" s="20">
        <f>IF(O88&lt;&gt;"",O88-TODAY(),"")</f>
        <v/>
      </c>
      <c r="Q88" s="19" t="n"/>
      <c r="R88">
        <f>IF(AND(OR(I88="Medium",I88="High",I88="Critical"),OR(N88="Configuration Change",N88="Policy Update",P88&lt;=7)),"Yes","No")</f>
        <v/>
      </c>
      <c r="S88" s="19" t="n"/>
      <c r="T88" s="19" t="n"/>
    </row>
    <row r="89">
      <c r="A89">
        <f>IF(C89&lt;&gt;"","GAP-"&amp;TEXT(ROW()-1,"000"),"")</f>
        <v/>
      </c>
      <c r="B89" s="20">
        <f>IF(L89&lt;&gt;"",RANK(L89,L:L,0),"")</f>
        <v/>
      </c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21">
        <f>IF(C89="","",((IF(F89="Critical",5,IF(F89="High",4,IF(F89="Medium",3,2)))*10)+(IF(I89="Critical",5,IF(I89="High",4,IF(I89="Medium",3,2)))*8)+(IF(K89="Very High",5,IF(K89="High",4,IF(K89="Medium",3,IF(K89="Low",2,1))))*6)+(IF(P89&lt;0,ABS(P89)/7*2,0))))</f>
        <v/>
      </c>
      <c r="M89" s="19" t="n"/>
      <c r="N89" s="19" t="n"/>
      <c r="O89" s="19" t="n"/>
      <c r="P89" s="20">
        <f>IF(O89&lt;&gt;"",O89-TODAY(),"")</f>
        <v/>
      </c>
      <c r="Q89" s="19" t="n"/>
      <c r="R89">
        <f>IF(AND(OR(I89="Medium",I89="High",I89="Critical"),OR(N89="Configuration Change",N89="Policy Update",P89&lt;=7)),"Yes","No")</f>
        <v/>
      </c>
      <c r="S89" s="19" t="n"/>
      <c r="T89" s="19" t="n"/>
    </row>
    <row r="90">
      <c r="A90">
        <f>IF(C90&lt;&gt;"","GAP-"&amp;TEXT(ROW()-1,"000"),"")</f>
        <v/>
      </c>
      <c r="B90" s="20">
        <f>IF(L90&lt;&gt;"",RANK(L90,L:L,0),"")</f>
        <v/>
      </c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21">
        <f>IF(C90="","",((IF(F90="Critical",5,IF(F90="High",4,IF(F90="Medium",3,2)))*10)+(IF(I90="Critical",5,IF(I90="High",4,IF(I90="Medium",3,2)))*8)+(IF(K90="Very High",5,IF(K90="High",4,IF(K90="Medium",3,IF(K90="Low",2,1))))*6)+(IF(P90&lt;0,ABS(P90)/7*2,0))))</f>
        <v/>
      </c>
      <c r="M90" s="19" t="n"/>
      <c r="N90" s="19" t="n"/>
      <c r="O90" s="19" t="n"/>
      <c r="P90" s="20">
        <f>IF(O90&lt;&gt;"",O90-TODAY(),"")</f>
        <v/>
      </c>
      <c r="Q90" s="19" t="n"/>
      <c r="R90">
        <f>IF(AND(OR(I90="Medium",I90="High",I90="Critical"),OR(N90="Configuration Change",N90="Policy Update",P90&lt;=7)),"Yes","No")</f>
        <v/>
      </c>
      <c r="S90" s="19" t="n"/>
      <c r="T90" s="19" t="n"/>
    </row>
    <row r="91">
      <c r="A91">
        <f>IF(C91&lt;&gt;"","GAP-"&amp;TEXT(ROW()-1,"000"),"")</f>
        <v/>
      </c>
      <c r="B91" s="20">
        <f>IF(L91&lt;&gt;"",RANK(L91,L:L,0),"")</f>
        <v/>
      </c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21">
        <f>IF(C91="","",((IF(F91="Critical",5,IF(F91="High",4,IF(F91="Medium",3,2)))*10)+(IF(I91="Critical",5,IF(I91="High",4,IF(I91="Medium",3,2)))*8)+(IF(K91="Very High",5,IF(K91="High",4,IF(K91="Medium",3,IF(K91="Low",2,1))))*6)+(IF(P91&lt;0,ABS(P91)/7*2,0))))</f>
        <v/>
      </c>
      <c r="M91" s="19" t="n"/>
      <c r="N91" s="19" t="n"/>
      <c r="O91" s="19" t="n"/>
      <c r="P91" s="20">
        <f>IF(O91&lt;&gt;"",O91-TODAY(),"")</f>
        <v/>
      </c>
      <c r="Q91" s="19" t="n"/>
      <c r="R91">
        <f>IF(AND(OR(I91="Medium",I91="High",I91="Critical"),OR(N91="Configuration Change",N91="Policy Update",P91&lt;=7)),"Yes","No")</f>
        <v/>
      </c>
      <c r="S91" s="19" t="n"/>
      <c r="T91" s="19" t="n"/>
    </row>
    <row r="92">
      <c r="A92">
        <f>IF(C92&lt;&gt;"","GAP-"&amp;TEXT(ROW()-1,"000"),"")</f>
        <v/>
      </c>
      <c r="B92" s="20">
        <f>IF(L92&lt;&gt;"",RANK(L92,L:L,0),"")</f>
        <v/>
      </c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21">
        <f>IF(C92="","",((IF(F92="Critical",5,IF(F92="High",4,IF(F92="Medium",3,2)))*10)+(IF(I92="Critical",5,IF(I92="High",4,IF(I92="Medium",3,2)))*8)+(IF(K92="Very High",5,IF(K92="High",4,IF(K92="Medium",3,IF(K92="Low",2,1))))*6)+(IF(P92&lt;0,ABS(P92)/7*2,0))))</f>
        <v/>
      </c>
      <c r="M92" s="19" t="n"/>
      <c r="N92" s="19" t="n"/>
      <c r="O92" s="19" t="n"/>
      <c r="P92" s="20">
        <f>IF(O92&lt;&gt;"",O92-TODAY(),"")</f>
        <v/>
      </c>
      <c r="Q92" s="19" t="n"/>
      <c r="R92">
        <f>IF(AND(OR(I92="Medium",I92="High",I92="Critical"),OR(N92="Configuration Change",N92="Policy Update",P92&lt;=7)),"Yes","No")</f>
        <v/>
      </c>
      <c r="S92" s="19" t="n"/>
      <c r="T92" s="19" t="n"/>
    </row>
    <row r="93">
      <c r="A93">
        <f>IF(C93&lt;&gt;"","GAP-"&amp;TEXT(ROW()-1,"000"),"")</f>
        <v/>
      </c>
      <c r="B93" s="20">
        <f>IF(L93&lt;&gt;"",RANK(L93,L:L,0),"")</f>
        <v/>
      </c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21">
        <f>IF(C93="","",((IF(F93="Critical",5,IF(F93="High",4,IF(F93="Medium",3,2)))*10)+(IF(I93="Critical",5,IF(I93="High",4,IF(I93="Medium",3,2)))*8)+(IF(K93="Very High",5,IF(K93="High",4,IF(K93="Medium",3,IF(K93="Low",2,1))))*6)+(IF(P93&lt;0,ABS(P93)/7*2,0))))</f>
        <v/>
      </c>
      <c r="M93" s="19" t="n"/>
      <c r="N93" s="19" t="n"/>
      <c r="O93" s="19" t="n"/>
      <c r="P93" s="20">
        <f>IF(O93&lt;&gt;"",O93-TODAY(),"")</f>
        <v/>
      </c>
      <c r="Q93" s="19" t="n"/>
      <c r="R93">
        <f>IF(AND(OR(I93="Medium",I93="High",I93="Critical"),OR(N93="Configuration Change",N93="Policy Update",P93&lt;=7)),"Yes","No")</f>
        <v/>
      </c>
      <c r="S93" s="19" t="n"/>
      <c r="T93" s="19" t="n"/>
    </row>
    <row r="94">
      <c r="A94">
        <f>IF(C94&lt;&gt;"","GAP-"&amp;TEXT(ROW()-1,"000"),"")</f>
        <v/>
      </c>
      <c r="B94" s="20">
        <f>IF(L94&lt;&gt;"",RANK(L94,L:L,0),"")</f>
        <v/>
      </c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21">
        <f>IF(C94="","",((IF(F94="Critical",5,IF(F94="High",4,IF(F94="Medium",3,2)))*10)+(IF(I94="Critical",5,IF(I94="High",4,IF(I94="Medium",3,2)))*8)+(IF(K94="Very High",5,IF(K94="High",4,IF(K94="Medium",3,IF(K94="Low",2,1))))*6)+(IF(P94&lt;0,ABS(P94)/7*2,0))))</f>
        <v/>
      </c>
      <c r="M94" s="19" t="n"/>
      <c r="N94" s="19" t="n"/>
      <c r="O94" s="19" t="n"/>
      <c r="P94" s="20">
        <f>IF(O94&lt;&gt;"",O94-TODAY(),"")</f>
        <v/>
      </c>
      <c r="Q94" s="19" t="n"/>
      <c r="R94">
        <f>IF(AND(OR(I94="Medium",I94="High",I94="Critical"),OR(N94="Configuration Change",N94="Policy Update",P94&lt;=7)),"Yes","No")</f>
        <v/>
      </c>
      <c r="S94" s="19" t="n"/>
      <c r="T94" s="19" t="n"/>
    </row>
    <row r="95">
      <c r="A95">
        <f>IF(C95&lt;&gt;"","GAP-"&amp;TEXT(ROW()-1,"000"),"")</f>
        <v/>
      </c>
      <c r="B95" s="20">
        <f>IF(L95&lt;&gt;"",RANK(L95,L:L,0),"")</f>
        <v/>
      </c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21">
        <f>IF(C95="","",((IF(F95="Critical",5,IF(F95="High",4,IF(F95="Medium",3,2)))*10)+(IF(I95="Critical",5,IF(I95="High",4,IF(I95="Medium",3,2)))*8)+(IF(K95="Very High",5,IF(K95="High",4,IF(K95="Medium",3,IF(K95="Low",2,1))))*6)+(IF(P95&lt;0,ABS(P95)/7*2,0))))</f>
        <v/>
      </c>
      <c r="M95" s="19" t="n"/>
      <c r="N95" s="19" t="n"/>
      <c r="O95" s="19" t="n"/>
      <c r="P95" s="20">
        <f>IF(O95&lt;&gt;"",O95-TODAY(),"")</f>
        <v/>
      </c>
      <c r="Q95" s="19" t="n"/>
      <c r="R95">
        <f>IF(AND(OR(I95="Medium",I95="High",I95="Critical"),OR(N95="Configuration Change",N95="Policy Update",P95&lt;=7)),"Yes","No")</f>
        <v/>
      </c>
      <c r="S95" s="19" t="n"/>
      <c r="T95" s="19" t="n"/>
    </row>
    <row r="96">
      <c r="A96">
        <f>IF(C96&lt;&gt;"","GAP-"&amp;TEXT(ROW()-1,"000"),"")</f>
        <v/>
      </c>
      <c r="B96" s="20">
        <f>IF(L96&lt;&gt;"",RANK(L96,L:L,0),"")</f>
        <v/>
      </c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21">
        <f>IF(C96="","",((IF(F96="Critical",5,IF(F96="High",4,IF(F96="Medium",3,2)))*10)+(IF(I96="Critical",5,IF(I96="High",4,IF(I96="Medium",3,2)))*8)+(IF(K96="Very High",5,IF(K96="High",4,IF(K96="Medium",3,IF(K96="Low",2,1))))*6)+(IF(P96&lt;0,ABS(P96)/7*2,0))))</f>
        <v/>
      </c>
      <c r="M96" s="19" t="n"/>
      <c r="N96" s="19" t="n"/>
      <c r="O96" s="19" t="n"/>
      <c r="P96" s="20">
        <f>IF(O96&lt;&gt;"",O96-TODAY(),"")</f>
        <v/>
      </c>
      <c r="Q96" s="19" t="n"/>
      <c r="R96">
        <f>IF(AND(OR(I96="Medium",I96="High",I96="Critical"),OR(N96="Configuration Change",N96="Policy Update",P96&lt;=7)),"Yes","No")</f>
        <v/>
      </c>
      <c r="S96" s="19" t="n"/>
      <c r="T96" s="19" t="n"/>
    </row>
    <row r="97">
      <c r="A97">
        <f>IF(C97&lt;&gt;"","GAP-"&amp;TEXT(ROW()-1,"000"),"")</f>
        <v/>
      </c>
      <c r="B97" s="20">
        <f>IF(L97&lt;&gt;"",RANK(L97,L:L,0),"")</f>
        <v/>
      </c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21">
        <f>IF(C97="","",((IF(F97="Critical",5,IF(F97="High",4,IF(F97="Medium",3,2)))*10)+(IF(I97="Critical",5,IF(I97="High",4,IF(I97="Medium",3,2)))*8)+(IF(K97="Very High",5,IF(K97="High",4,IF(K97="Medium",3,IF(K97="Low",2,1))))*6)+(IF(P97&lt;0,ABS(P97)/7*2,0))))</f>
        <v/>
      </c>
      <c r="M97" s="19" t="n"/>
      <c r="N97" s="19" t="n"/>
      <c r="O97" s="19" t="n"/>
      <c r="P97" s="20">
        <f>IF(O97&lt;&gt;"",O97-TODAY(),"")</f>
        <v/>
      </c>
      <c r="Q97" s="19" t="n"/>
      <c r="R97">
        <f>IF(AND(OR(I97="Medium",I97="High",I97="Critical"),OR(N97="Configuration Change",N97="Policy Update",P97&lt;=7)),"Yes","No")</f>
        <v/>
      </c>
      <c r="S97" s="19" t="n"/>
      <c r="T97" s="19" t="n"/>
    </row>
    <row r="98">
      <c r="A98">
        <f>IF(C98&lt;&gt;"","GAP-"&amp;TEXT(ROW()-1,"000"),"")</f>
        <v/>
      </c>
      <c r="B98" s="20">
        <f>IF(L98&lt;&gt;"",RANK(L98,L:L,0),"")</f>
        <v/>
      </c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21">
        <f>IF(C98="","",((IF(F98="Critical",5,IF(F98="High",4,IF(F98="Medium",3,2)))*10)+(IF(I98="Critical",5,IF(I98="High",4,IF(I98="Medium",3,2)))*8)+(IF(K98="Very High",5,IF(K98="High",4,IF(K98="Medium",3,IF(K98="Low",2,1))))*6)+(IF(P98&lt;0,ABS(P98)/7*2,0))))</f>
        <v/>
      </c>
      <c r="M98" s="19" t="n"/>
      <c r="N98" s="19" t="n"/>
      <c r="O98" s="19" t="n"/>
      <c r="P98" s="20">
        <f>IF(O98&lt;&gt;"",O98-TODAY(),"")</f>
        <v/>
      </c>
      <c r="Q98" s="19" t="n"/>
      <c r="R98">
        <f>IF(AND(OR(I98="Medium",I98="High",I98="Critical"),OR(N98="Configuration Change",N98="Policy Update",P98&lt;=7)),"Yes","No")</f>
        <v/>
      </c>
      <c r="S98" s="19" t="n"/>
      <c r="T98" s="19" t="n"/>
    </row>
    <row r="99">
      <c r="A99">
        <f>IF(C99&lt;&gt;"","GAP-"&amp;TEXT(ROW()-1,"000"),"")</f>
        <v/>
      </c>
      <c r="B99" s="20">
        <f>IF(L99&lt;&gt;"",RANK(L99,L:L,0),"")</f>
        <v/>
      </c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21">
        <f>IF(C99="","",((IF(F99="Critical",5,IF(F99="High",4,IF(F99="Medium",3,2)))*10)+(IF(I99="Critical",5,IF(I99="High",4,IF(I99="Medium",3,2)))*8)+(IF(K99="Very High",5,IF(K99="High",4,IF(K99="Medium",3,IF(K99="Low",2,1))))*6)+(IF(P99&lt;0,ABS(P99)/7*2,0))))</f>
        <v/>
      </c>
      <c r="M99" s="19" t="n"/>
      <c r="N99" s="19" t="n"/>
      <c r="O99" s="19" t="n"/>
      <c r="P99" s="20">
        <f>IF(O99&lt;&gt;"",O99-TODAY(),"")</f>
        <v/>
      </c>
      <c r="Q99" s="19" t="n"/>
      <c r="R99">
        <f>IF(AND(OR(I99="Medium",I99="High",I99="Critical"),OR(N99="Configuration Change",N99="Policy Update",P99&lt;=7)),"Yes","No")</f>
        <v/>
      </c>
      <c r="S99" s="19" t="n"/>
      <c r="T99" s="19" t="n"/>
    </row>
    <row r="100">
      <c r="A100">
        <f>IF(C100&lt;&gt;"","GAP-"&amp;TEXT(ROW()-1,"000"),"")</f>
        <v/>
      </c>
      <c r="B100" s="20">
        <f>IF(L100&lt;&gt;"",RANK(L100,L:L,0),"")</f>
        <v/>
      </c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21">
        <f>IF(C100="","",((IF(F100="Critical",5,IF(F100="High",4,IF(F100="Medium",3,2)))*10)+(IF(I100="Critical",5,IF(I100="High",4,IF(I100="Medium",3,2)))*8)+(IF(K100="Very High",5,IF(K100="High",4,IF(K100="Medium",3,IF(K100="Low",2,1))))*6)+(IF(P100&lt;0,ABS(P100)/7*2,0))))</f>
        <v/>
      </c>
      <c r="M100" s="19" t="n"/>
      <c r="N100" s="19" t="n"/>
      <c r="O100" s="19" t="n"/>
      <c r="P100" s="20">
        <f>IF(O100&lt;&gt;"",O100-TODAY(),"")</f>
        <v/>
      </c>
      <c r="Q100" s="19" t="n"/>
      <c r="R100">
        <f>IF(AND(OR(I100="Medium",I100="High",I100="Critical"),OR(N100="Configuration Change",N100="Policy Update",P100&lt;=7)),"Yes","No")</f>
        <v/>
      </c>
      <c r="S100" s="19" t="n"/>
      <c r="T100" s="19" t="n"/>
    </row>
    <row r="101">
      <c r="A101">
        <f>IF(C101&lt;&gt;"","GAP-"&amp;TEXT(ROW()-1,"000"),"")</f>
        <v/>
      </c>
      <c r="B101" s="20">
        <f>IF(L101&lt;&gt;"",RANK(L101,L:L,0),"")</f>
        <v/>
      </c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21">
        <f>IF(C101="","",((IF(F101="Critical",5,IF(F101="High",4,IF(F101="Medium",3,2)))*10)+(IF(I101="Critical",5,IF(I101="High",4,IF(I101="Medium",3,2)))*8)+(IF(K101="Very High",5,IF(K101="High",4,IF(K101="Medium",3,IF(K101="Low",2,1))))*6)+(IF(P101&lt;0,ABS(P101)/7*2,0))))</f>
        <v/>
      </c>
      <c r="M101" s="19" t="n"/>
      <c r="N101" s="19" t="n"/>
      <c r="O101" s="19" t="n"/>
      <c r="P101" s="20">
        <f>IF(O101&lt;&gt;"",O101-TODAY(),"")</f>
        <v/>
      </c>
      <c r="Q101" s="19" t="n"/>
      <c r="R101">
        <f>IF(AND(OR(I101="Medium",I101="High",I101="Critical"),OR(N101="Configuration Change",N101="Policy Update",P101&lt;=7)),"Yes","No")</f>
        <v/>
      </c>
      <c r="S101" s="19" t="n"/>
      <c r="T101" s="19" t="n"/>
    </row>
    <row r="102">
      <c r="A102">
        <f>IF(C102&lt;&gt;"","GAP-"&amp;TEXT(ROW()-1,"000"),"")</f>
        <v/>
      </c>
      <c r="B102" s="20">
        <f>IF(L102&lt;&gt;"",RANK(L102,L:L,0),"")</f>
        <v/>
      </c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21">
        <f>IF(C102="","",((IF(F102="Critical",5,IF(F102="High",4,IF(F102="Medium",3,2)))*10)+(IF(I102="Critical",5,IF(I102="High",4,IF(I102="Medium",3,2)))*8)+(IF(K102="Very High",5,IF(K102="High",4,IF(K102="Medium",3,IF(K102="Low",2,1))))*6)+(IF(P102&lt;0,ABS(P102)/7*2,0))))</f>
        <v/>
      </c>
      <c r="M102" s="19" t="n"/>
      <c r="N102" s="19" t="n"/>
      <c r="O102" s="19" t="n"/>
      <c r="P102" s="20">
        <f>IF(O102&lt;&gt;"",O102-TODAY(),"")</f>
        <v/>
      </c>
      <c r="Q102" s="19" t="n"/>
      <c r="R102">
        <f>IF(AND(OR(I102="Medium",I102="High",I102="Critical"),OR(N102="Configuration Change",N102="Policy Update",P102&lt;=7)),"Yes","No")</f>
        <v/>
      </c>
      <c r="S102" s="19" t="n"/>
      <c r="T102" s="19" t="n"/>
    </row>
    <row r="103">
      <c r="A103">
        <f>IF(C103&lt;&gt;"","GAP-"&amp;TEXT(ROW()-1,"000"),"")</f>
        <v/>
      </c>
      <c r="B103" s="20">
        <f>IF(L103&lt;&gt;"",RANK(L103,L:L,0),"")</f>
        <v/>
      </c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21">
        <f>IF(C103="","",((IF(F103="Critical",5,IF(F103="High",4,IF(F103="Medium",3,2)))*10)+(IF(I103="Critical",5,IF(I103="High",4,IF(I103="Medium",3,2)))*8)+(IF(K103="Very High",5,IF(K103="High",4,IF(K103="Medium",3,IF(K103="Low",2,1))))*6)+(IF(P103&lt;0,ABS(P103)/7*2,0))))</f>
        <v/>
      </c>
      <c r="M103" s="19" t="n"/>
      <c r="N103" s="19" t="n"/>
      <c r="O103" s="19" t="n"/>
      <c r="P103" s="20">
        <f>IF(O103&lt;&gt;"",O103-TODAY(),"")</f>
        <v/>
      </c>
      <c r="Q103" s="19" t="n"/>
      <c r="R103">
        <f>IF(AND(OR(I103="Medium",I103="High",I103="Critical"),OR(N103="Configuration Change",N103="Policy Update",P103&lt;=7)),"Yes","No")</f>
        <v/>
      </c>
      <c r="S103" s="19" t="n"/>
      <c r="T103" s="19" t="n"/>
    </row>
    <row r="104">
      <c r="A104">
        <f>IF(C104&lt;&gt;"","GAP-"&amp;TEXT(ROW()-1,"000"),"")</f>
        <v/>
      </c>
      <c r="B104" s="20">
        <f>IF(L104&lt;&gt;"",RANK(L104,L:L,0),"")</f>
        <v/>
      </c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21">
        <f>IF(C104="","",((IF(F104="Critical",5,IF(F104="High",4,IF(F104="Medium",3,2)))*10)+(IF(I104="Critical",5,IF(I104="High",4,IF(I104="Medium",3,2)))*8)+(IF(K104="Very High",5,IF(K104="High",4,IF(K104="Medium",3,IF(K104="Low",2,1))))*6)+(IF(P104&lt;0,ABS(P104)/7*2,0))))</f>
        <v/>
      </c>
      <c r="M104" s="19" t="n"/>
      <c r="N104" s="19" t="n"/>
      <c r="O104" s="19" t="n"/>
      <c r="P104" s="20">
        <f>IF(O104&lt;&gt;"",O104-TODAY(),"")</f>
        <v/>
      </c>
      <c r="Q104" s="19" t="n"/>
      <c r="R104">
        <f>IF(AND(OR(I104="Medium",I104="High",I104="Critical"),OR(N104="Configuration Change",N104="Policy Update",P104&lt;=7)),"Yes","No")</f>
        <v/>
      </c>
      <c r="S104" s="19" t="n"/>
      <c r="T104" s="19" t="n"/>
    </row>
    <row r="105">
      <c r="A105">
        <f>IF(C105&lt;&gt;"","GAP-"&amp;TEXT(ROW()-1,"000"),"")</f>
        <v/>
      </c>
      <c r="B105" s="20">
        <f>IF(L105&lt;&gt;"",RANK(L105,L:L,0),"")</f>
        <v/>
      </c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21">
        <f>IF(C105="","",((IF(F105="Critical",5,IF(F105="High",4,IF(F105="Medium",3,2)))*10)+(IF(I105="Critical",5,IF(I105="High",4,IF(I105="Medium",3,2)))*8)+(IF(K105="Very High",5,IF(K105="High",4,IF(K105="Medium",3,IF(K105="Low",2,1))))*6)+(IF(P105&lt;0,ABS(P105)/7*2,0))))</f>
        <v/>
      </c>
      <c r="M105" s="19" t="n"/>
      <c r="N105" s="19" t="n"/>
      <c r="O105" s="19" t="n"/>
      <c r="P105" s="20">
        <f>IF(O105&lt;&gt;"",O105-TODAY(),"")</f>
        <v/>
      </c>
      <c r="Q105" s="19" t="n"/>
      <c r="R105">
        <f>IF(AND(OR(I105="Medium",I105="High",I105="Critical"),OR(N105="Configuration Change",N105="Policy Update",P105&lt;=7)),"Yes","No")</f>
        <v/>
      </c>
      <c r="S105" s="19" t="n"/>
      <c r="T105" s="19" t="n"/>
    </row>
    <row r="106">
      <c r="A106">
        <f>IF(C106&lt;&gt;"","GAP-"&amp;TEXT(ROW()-1,"000"),"")</f>
        <v/>
      </c>
      <c r="B106" s="20">
        <f>IF(L106&lt;&gt;"",RANK(L106,L:L,0),"")</f>
        <v/>
      </c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21">
        <f>IF(C106="","",((IF(F106="Critical",5,IF(F106="High",4,IF(F106="Medium",3,2)))*10)+(IF(I106="Critical",5,IF(I106="High",4,IF(I106="Medium",3,2)))*8)+(IF(K106="Very High",5,IF(K106="High",4,IF(K106="Medium",3,IF(K106="Low",2,1))))*6)+(IF(P106&lt;0,ABS(P106)/7*2,0))))</f>
        <v/>
      </c>
      <c r="M106" s="19" t="n"/>
      <c r="N106" s="19" t="n"/>
      <c r="O106" s="19" t="n"/>
      <c r="P106" s="20">
        <f>IF(O106&lt;&gt;"",O106-TODAY(),"")</f>
        <v/>
      </c>
      <c r="Q106" s="19" t="n"/>
      <c r="R106">
        <f>IF(AND(OR(I106="Medium",I106="High",I106="Critical"),OR(N106="Configuration Change",N106="Policy Update",P106&lt;=7)),"Yes","No")</f>
        <v/>
      </c>
      <c r="S106" s="19" t="n"/>
      <c r="T106" s="19" t="n"/>
    </row>
    <row r="107">
      <c r="A107">
        <f>IF(C107&lt;&gt;"","GAP-"&amp;TEXT(ROW()-1,"000"),"")</f>
        <v/>
      </c>
      <c r="B107" s="20">
        <f>IF(L107&lt;&gt;"",RANK(L107,L:L,0),"")</f>
        <v/>
      </c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21">
        <f>IF(C107="","",((IF(F107="Critical",5,IF(F107="High",4,IF(F107="Medium",3,2)))*10)+(IF(I107="Critical",5,IF(I107="High",4,IF(I107="Medium",3,2)))*8)+(IF(K107="Very High",5,IF(K107="High",4,IF(K107="Medium",3,IF(K107="Low",2,1))))*6)+(IF(P107&lt;0,ABS(P107)/7*2,0))))</f>
        <v/>
      </c>
      <c r="M107" s="19" t="n"/>
      <c r="N107" s="19" t="n"/>
      <c r="O107" s="19" t="n"/>
      <c r="P107" s="20">
        <f>IF(O107&lt;&gt;"",O107-TODAY(),"")</f>
        <v/>
      </c>
      <c r="Q107" s="19" t="n"/>
      <c r="R107">
        <f>IF(AND(OR(I107="Medium",I107="High",I107="Critical"),OR(N107="Configuration Change",N107="Policy Update",P107&lt;=7)),"Yes","No")</f>
        <v/>
      </c>
      <c r="S107" s="19" t="n"/>
      <c r="T107" s="19" t="n"/>
    </row>
    <row r="108">
      <c r="A108">
        <f>IF(C108&lt;&gt;"","GAP-"&amp;TEXT(ROW()-1,"000"),"")</f>
        <v/>
      </c>
      <c r="B108" s="20">
        <f>IF(L108&lt;&gt;"",RANK(L108,L:L,0),"")</f>
        <v/>
      </c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21">
        <f>IF(C108="","",((IF(F108="Critical",5,IF(F108="High",4,IF(F108="Medium",3,2)))*10)+(IF(I108="Critical",5,IF(I108="High",4,IF(I108="Medium",3,2)))*8)+(IF(K108="Very High",5,IF(K108="High",4,IF(K108="Medium",3,IF(K108="Low",2,1))))*6)+(IF(P108&lt;0,ABS(P108)/7*2,0))))</f>
        <v/>
      </c>
      <c r="M108" s="19" t="n"/>
      <c r="N108" s="19" t="n"/>
      <c r="O108" s="19" t="n"/>
      <c r="P108" s="20">
        <f>IF(O108&lt;&gt;"",O108-TODAY(),"")</f>
        <v/>
      </c>
      <c r="Q108" s="19" t="n"/>
      <c r="R108">
        <f>IF(AND(OR(I108="Medium",I108="High",I108="Critical"),OR(N108="Configuration Change",N108="Policy Update",P108&lt;=7)),"Yes","No")</f>
        <v/>
      </c>
      <c r="S108" s="19" t="n"/>
      <c r="T108" s="19" t="n"/>
    </row>
    <row r="109">
      <c r="A109">
        <f>IF(C109&lt;&gt;"","GAP-"&amp;TEXT(ROW()-1,"000"),"")</f>
        <v/>
      </c>
      <c r="B109" s="20">
        <f>IF(L109&lt;&gt;"",RANK(L109,L:L,0),"")</f>
        <v/>
      </c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21">
        <f>IF(C109="","",((IF(F109="Critical",5,IF(F109="High",4,IF(F109="Medium",3,2)))*10)+(IF(I109="Critical",5,IF(I109="High",4,IF(I109="Medium",3,2)))*8)+(IF(K109="Very High",5,IF(K109="High",4,IF(K109="Medium",3,IF(K109="Low",2,1))))*6)+(IF(P109&lt;0,ABS(P109)/7*2,0))))</f>
        <v/>
      </c>
      <c r="M109" s="19" t="n"/>
      <c r="N109" s="19" t="n"/>
      <c r="O109" s="19" t="n"/>
      <c r="P109" s="20">
        <f>IF(O109&lt;&gt;"",O109-TODAY(),"")</f>
        <v/>
      </c>
      <c r="Q109" s="19" t="n"/>
      <c r="R109">
        <f>IF(AND(OR(I109="Medium",I109="High",I109="Critical"),OR(N109="Configuration Change",N109="Policy Update",P109&lt;=7)),"Yes","No")</f>
        <v/>
      </c>
      <c r="S109" s="19" t="n"/>
      <c r="T109" s="19" t="n"/>
    </row>
    <row r="110">
      <c r="A110">
        <f>IF(C110&lt;&gt;"","GAP-"&amp;TEXT(ROW()-1,"000"),"")</f>
        <v/>
      </c>
      <c r="B110" s="20">
        <f>IF(L110&lt;&gt;"",RANK(L110,L:L,0),"")</f>
        <v/>
      </c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21">
        <f>IF(C110="","",((IF(F110="Critical",5,IF(F110="High",4,IF(F110="Medium",3,2)))*10)+(IF(I110="Critical",5,IF(I110="High",4,IF(I110="Medium",3,2)))*8)+(IF(K110="Very High",5,IF(K110="High",4,IF(K110="Medium",3,IF(K110="Low",2,1))))*6)+(IF(P110&lt;0,ABS(P110)/7*2,0))))</f>
        <v/>
      </c>
      <c r="M110" s="19" t="n"/>
      <c r="N110" s="19" t="n"/>
      <c r="O110" s="19" t="n"/>
      <c r="P110" s="20">
        <f>IF(O110&lt;&gt;"",O110-TODAY(),"")</f>
        <v/>
      </c>
      <c r="Q110" s="19" t="n"/>
      <c r="R110">
        <f>IF(AND(OR(I110="Medium",I110="High",I110="Critical"),OR(N110="Configuration Change",N110="Policy Update",P110&lt;=7)),"Yes","No")</f>
        <v/>
      </c>
      <c r="S110" s="19" t="n"/>
      <c r="T110" s="19" t="n"/>
    </row>
    <row r="111">
      <c r="A111">
        <f>IF(C111&lt;&gt;"","GAP-"&amp;TEXT(ROW()-1,"000"),"")</f>
        <v/>
      </c>
      <c r="B111" s="20">
        <f>IF(L111&lt;&gt;"",RANK(L111,L:L,0),"")</f>
        <v/>
      </c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21">
        <f>IF(C111="","",((IF(F111="Critical",5,IF(F111="High",4,IF(F111="Medium",3,2)))*10)+(IF(I111="Critical",5,IF(I111="High",4,IF(I111="Medium",3,2)))*8)+(IF(K111="Very High",5,IF(K111="High",4,IF(K111="Medium",3,IF(K111="Low",2,1))))*6)+(IF(P111&lt;0,ABS(P111)/7*2,0))))</f>
        <v/>
      </c>
      <c r="M111" s="19" t="n"/>
      <c r="N111" s="19" t="n"/>
      <c r="O111" s="19" t="n"/>
      <c r="P111" s="20">
        <f>IF(O111&lt;&gt;"",O111-TODAY(),"")</f>
        <v/>
      </c>
      <c r="Q111" s="19" t="n"/>
      <c r="R111">
        <f>IF(AND(OR(I111="Medium",I111="High",I111="Critical"),OR(N111="Configuration Change",N111="Policy Update",P111&lt;=7)),"Yes","No")</f>
        <v/>
      </c>
      <c r="S111" s="19" t="n"/>
      <c r="T111" s="19" t="n"/>
    </row>
    <row r="112">
      <c r="A112">
        <f>IF(C112&lt;&gt;"","GAP-"&amp;TEXT(ROW()-1,"000"),"")</f>
        <v/>
      </c>
      <c r="B112" s="20">
        <f>IF(L112&lt;&gt;"",RANK(L112,L:L,0),"")</f>
        <v/>
      </c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21">
        <f>IF(C112="","",((IF(F112="Critical",5,IF(F112="High",4,IF(F112="Medium",3,2)))*10)+(IF(I112="Critical",5,IF(I112="High",4,IF(I112="Medium",3,2)))*8)+(IF(K112="Very High",5,IF(K112="High",4,IF(K112="Medium",3,IF(K112="Low",2,1))))*6)+(IF(P112&lt;0,ABS(P112)/7*2,0))))</f>
        <v/>
      </c>
      <c r="M112" s="19" t="n"/>
      <c r="N112" s="19" t="n"/>
      <c r="O112" s="19" t="n"/>
      <c r="P112" s="20">
        <f>IF(O112&lt;&gt;"",O112-TODAY(),"")</f>
        <v/>
      </c>
      <c r="Q112" s="19" t="n"/>
      <c r="R112">
        <f>IF(AND(OR(I112="Medium",I112="High",I112="Critical"),OR(N112="Configuration Change",N112="Policy Update",P112&lt;=7)),"Yes","No")</f>
        <v/>
      </c>
      <c r="S112" s="19" t="n"/>
      <c r="T112" s="19" t="n"/>
    </row>
    <row r="113">
      <c r="A113">
        <f>IF(C113&lt;&gt;"","GAP-"&amp;TEXT(ROW()-1,"000"),"")</f>
        <v/>
      </c>
      <c r="B113" s="20">
        <f>IF(L113&lt;&gt;"",RANK(L113,L:L,0),"")</f>
        <v/>
      </c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21">
        <f>IF(C113="","",((IF(F113="Critical",5,IF(F113="High",4,IF(F113="Medium",3,2)))*10)+(IF(I113="Critical",5,IF(I113="High",4,IF(I113="Medium",3,2)))*8)+(IF(K113="Very High",5,IF(K113="High",4,IF(K113="Medium",3,IF(K113="Low",2,1))))*6)+(IF(P113&lt;0,ABS(P113)/7*2,0))))</f>
        <v/>
      </c>
      <c r="M113" s="19" t="n"/>
      <c r="N113" s="19" t="n"/>
      <c r="O113" s="19" t="n"/>
      <c r="P113" s="20">
        <f>IF(O113&lt;&gt;"",O113-TODAY(),"")</f>
        <v/>
      </c>
      <c r="Q113" s="19" t="n"/>
      <c r="R113">
        <f>IF(AND(OR(I113="Medium",I113="High",I113="Critical"),OR(N113="Configuration Change",N113="Policy Update",P113&lt;=7)),"Yes","No")</f>
        <v/>
      </c>
      <c r="S113" s="19" t="n"/>
      <c r="T113" s="19" t="n"/>
    </row>
    <row r="114">
      <c r="A114">
        <f>IF(C114&lt;&gt;"","GAP-"&amp;TEXT(ROW()-1,"000"),"")</f>
        <v/>
      </c>
      <c r="B114" s="20">
        <f>IF(L114&lt;&gt;"",RANK(L114,L:L,0),"")</f>
        <v/>
      </c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21">
        <f>IF(C114="","",((IF(F114="Critical",5,IF(F114="High",4,IF(F114="Medium",3,2)))*10)+(IF(I114="Critical",5,IF(I114="High",4,IF(I114="Medium",3,2)))*8)+(IF(K114="Very High",5,IF(K114="High",4,IF(K114="Medium",3,IF(K114="Low",2,1))))*6)+(IF(P114&lt;0,ABS(P114)/7*2,0))))</f>
        <v/>
      </c>
      <c r="M114" s="19" t="n"/>
      <c r="N114" s="19" t="n"/>
      <c r="O114" s="19" t="n"/>
      <c r="P114" s="20">
        <f>IF(O114&lt;&gt;"",O114-TODAY(),"")</f>
        <v/>
      </c>
      <c r="Q114" s="19" t="n"/>
      <c r="R114">
        <f>IF(AND(OR(I114="Medium",I114="High",I114="Critical"),OR(N114="Configuration Change",N114="Policy Update",P114&lt;=7)),"Yes","No")</f>
        <v/>
      </c>
      <c r="S114" s="19" t="n"/>
      <c r="T114" s="19" t="n"/>
    </row>
    <row r="115">
      <c r="A115">
        <f>IF(C115&lt;&gt;"","GAP-"&amp;TEXT(ROW()-1,"000"),"")</f>
        <v/>
      </c>
      <c r="B115" s="20">
        <f>IF(L115&lt;&gt;"",RANK(L115,L:L,0),"")</f>
        <v/>
      </c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21">
        <f>IF(C115="","",((IF(F115="Critical",5,IF(F115="High",4,IF(F115="Medium",3,2)))*10)+(IF(I115="Critical",5,IF(I115="High",4,IF(I115="Medium",3,2)))*8)+(IF(K115="Very High",5,IF(K115="High",4,IF(K115="Medium",3,IF(K115="Low",2,1))))*6)+(IF(P115&lt;0,ABS(P115)/7*2,0))))</f>
        <v/>
      </c>
      <c r="M115" s="19" t="n"/>
      <c r="N115" s="19" t="n"/>
      <c r="O115" s="19" t="n"/>
      <c r="P115" s="20">
        <f>IF(O115&lt;&gt;"",O115-TODAY(),"")</f>
        <v/>
      </c>
      <c r="Q115" s="19" t="n"/>
      <c r="R115">
        <f>IF(AND(OR(I115="Medium",I115="High",I115="Critical"),OR(N115="Configuration Change",N115="Policy Update",P115&lt;=7)),"Yes","No")</f>
        <v/>
      </c>
      <c r="S115" s="19" t="n"/>
      <c r="T115" s="19" t="n"/>
    </row>
    <row r="116">
      <c r="A116">
        <f>IF(C116&lt;&gt;"","GAP-"&amp;TEXT(ROW()-1,"000"),"")</f>
        <v/>
      </c>
      <c r="B116" s="20">
        <f>IF(L116&lt;&gt;"",RANK(L116,L:L,0),"")</f>
        <v/>
      </c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21">
        <f>IF(C116="","",((IF(F116="Critical",5,IF(F116="High",4,IF(F116="Medium",3,2)))*10)+(IF(I116="Critical",5,IF(I116="High",4,IF(I116="Medium",3,2)))*8)+(IF(K116="Very High",5,IF(K116="High",4,IF(K116="Medium",3,IF(K116="Low",2,1))))*6)+(IF(P116&lt;0,ABS(P116)/7*2,0))))</f>
        <v/>
      </c>
      <c r="M116" s="19" t="n"/>
      <c r="N116" s="19" t="n"/>
      <c r="O116" s="19" t="n"/>
      <c r="P116" s="20">
        <f>IF(O116&lt;&gt;"",O116-TODAY(),"")</f>
        <v/>
      </c>
      <c r="Q116" s="19" t="n"/>
      <c r="R116">
        <f>IF(AND(OR(I116="Medium",I116="High",I116="Critical"),OR(N116="Configuration Change",N116="Policy Update",P116&lt;=7)),"Yes","No")</f>
        <v/>
      </c>
      <c r="S116" s="19" t="n"/>
      <c r="T116" s="19" t="n"/>
    </row>
    <row r="117">
      <c r="A117">
        <f>IF(C117&lt;&gt;"","GAP-"&amp;TEXT(ROW()-1,"000"),"")</f>
        <v/>
      </c>
      <c r="B117" s="20">
        <f>IF(L117&lt;&gt;"",RANK(L117,L:L,0),"")</f>
        <v/>
      </c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21">
        <f>IF(C117="","",((IF(F117="Critical",5,IF(F117="High",4,IF(F117="Medium",3,2)))*10)+(IF(I117="Critical",5,IF(I117="High",4,IF(I117="Medium",3,2)))*8)+(IF(K117="Very High",5,IF(K117="High",4,IF(K117="Medium",3,IF(K117="Low",2,1))))*6)+(IF(P117&lt;0,ABS(P117)/7*2,0))))</f>
        <v/>
      </c>
      <c r="M117" s="19" t="n"/>
      <c r="N117" s="19" t="n"/>
      <c r="O117" s="19" t="n"/>
      <c r="P117" s="20">
        <f>IF(O117&lt;&gt;"",O117-TODAY(),"")</f>
        <v/>
      </c>
      <c r="Q117" s="19" t="n"/>
      <c r="R117">
        <f>IF(AND(OR(I117="Medium",I117="High",I117="Critical"),OR(N117="Configuration Change",N117="Policy Update",P117&lt;=7)),"Yes","No")</f>
        <v/>
      </c>
      <c r="S117" s="19" t="n"/>
      <c r="T117" s="19" t="n"/>
    </row>
    <row r="118">
      <c r="A118">
        <f>IF(C118&lt;&gt;"","GAP-"&amp;TEXT(ROW()-1,"000"),"")</f>
        <v/>
      </c>
      <c r="B118" s="20">
        <f>IF(L118&lt;&gt;"",RANK(L118,L:L,0),"")</f>
        <v/>
      </c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21">
        <f>IF(C118="","",((IF(F118="Critical",5,IF(F118="High",4,IF(F118="Medium",3,2)))*10)+(IF(I118="Critical",5,IF(I118="High",4,IF(I118="Medium",3,2)))*8)+(IF(K118="Very High",5,IF(K118="High",4,IF(K118="Medium",3,IF(K118="Low",2,1))))*6)+(IF(P118&lt;0,ABS(P118)/7*2,0))))</f>
        <v/>
      </c>
      <c r="M118" s="19" t="n"/>
      <c r="N118" s="19" t="n"/>
      <c r="O118" s="19" t="n"/>
      <c r="P118" s="20">
        <f>IF(O118&lt;&gt;"",O118-TODAY(),"")</f>
        <v/>
      </c>
      <c r="Q118" s="19" t="n"/>
      <c r="R118">
        <f>IF(AND(OR(I118="Medium",I118="High",I118="Critical"),OR(N118="Configuration Change",N118="Policy Update",P118&lt;=7)),"Yes","No")</f>
        <v/>
      </c>
      <c r="S118" s="19" t="n"/>
      <c r="T118" s="19" t="n"/>
    </row>
    <row r="119">
      <c r="A119">
        <f>IF(C119&lt;&gt;"","GAP-"&amp;TEXT(ROW()-1,"000"),"")</f>
        <v/>
      </c>
      <c r="B119" s="20">
        <f>IF(L119&lt;&gt;"",RANK(L119,L:L,0),"")</f>
        <v/>
      </c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21">
        <f>IF(C119="","",((IF(F119="Critical",5,IF(F119="High",4,IF(F119="Medium",3,2)))*10)+(IF(I119="Critical",5,IF(I119="High",4,IF(I119="Medium",3,2)))*8)+(IF(K119="Very High",5,IF(K119="High",4,IF(K119="Medium",3,IF(K119="Low",2,1))))*6)+(IF(P119&lt;0,ABS(P119)/7*2,0))))</f>
        <v/>
      </c>
      <c r="M119" s="19" t="n"/>
      <c r="N119" s="19" t="n"/>
      <c r="O119" s="19" t="n"/>
      <c r="P119" s="20">
        <f>IF(O119&lt;&gt;"",O119-TODAY(),"")</f>
        <v/>
      </c>
      <c r="Q119" s="19" t="n"/>
      <c r="R119">
        <f>IF(AND(OR(I119="Medium",I119="High",I119="Critical"),OR(N119="Configuration Change",N119="Policy Update",P119&lt;=7)),"Yes","No")</f>
        <v/>
      </c>
      <c r="S119" s="19" t="n"/>
      <c r="T119" s="19" t="n"/>
    </row>
    <row r="120">
      <c r="A120">
        <f>IF(C120&lt;&gt;"","GAP-"&amp;TEXT(ROW()-1,"000"),"")</f>
        <v/>
      </c>
      <c r="B120" s="20">
        <f>IF(L120&lt;&gt;"",RANK(L120,L:L,0),"")</f>
        <v/>
      </c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21">
        <f>IF(C120="","",((IF(F120="Critical",5,IF(F120="High",4,IF(F120="Medium",3,2)))*10)+(IF(I120="Critical",5,IF(I120="High",4,IF(I120="Medium",3,2)))*8)+(IF(K120="Very High",5,IF(K120="High",4,IF(K120="Medium",3,IF(K120="Low",2,1))))*6)+(IF(P120&lt;0,ABS(P120)/7*2,0))))</f>
        <v/>
      </c>
      <c r="M120" s="19" t="n"/>
      <c r="N120" s="19" t="n"/>
      <c r="O120" s="19" t="n"/>
      <c r="P120" s="20">
        <f>IF(O120&lt;&gt;"",O120-TODAY(),"")</f>
        <v/>
      </c>
      <c r="Q120" s="19" t="n"/>
      <c r="R120">
        <f>IF(AND(OR(I120="Medium",I120="High",I120="Critical"),OR(N120="Configuration Change",N120="Policy Update",P120&lt;=7)),"Yes","No")</f>
        <v/>
      </c>
      <c r="S120" s="19" t="n"/>
      <c r="T120" s="19" t="n"/>
    </row>
    <row r="121">
      <c r="A121">
        <f>IF(C121&lt;&gt;"","GAP-"&amp;TEXT(ROW()-1,"000"),"")</f>
        <v/>
      </c>
      <c r="B121" s="20">
        <f>IF(L121&lt;&gt;"",RANK(L121,L:L,0),"")</f>
        <v/>
      </c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21">
        <f>IF(C121="","",((IF(F121="Critical",5,IF(F121="High",4,IF(F121="Medium",3,2)))*10)+(IF(I121="Critical",5,IF(I121="High",4,IF(I121="Medium",3,2)))*8)+(IF(K121="Very High",5,IF(K121="High",4,IF(K121="Medium",3,IF(K121="Low",2,1))))*6)+(IF(P121&lt;0,ABS(P121)/7*2,0))))</f>
        <v/>
      </c>
      <c r="M121" s="19" t="n"/>
      <c r="N121" s="19" t="n"/>
      <c r="O121" s="19" t="n"/>
      <c r="P121" s="20">
        <f>IF(O121&lt;&gt;"",O121-TODAY(),"")</f>
        <v/>
      </c>
      <c r="Q121" s="19" t="n"/>
      <c r="R121">
        <f>IF(AND(OR(I121="Medium",I121="High",I121="Critical"),OR(N121="Configuration Change",N121="Policy Update",P121&lt;=7)),"Yes","No")</f>
        <v/>
      </c>
      <c r="S121" s="19" t="n"/>
      <c r="T121" s="19" t="n"/>
    </row>
    <row r="122">
      <c r="A122">
        <f>IF(C122&lt;&gt;"","GAP-"&amp;TEXT(ROW()-1,"000"),"")</f>
        <v/>
      </c>
      <c r="B122" s="20">
        <f>IF(L122&lt;&gt;"",RANK(L122,L:L,0),"")</f>
        <v/>
      </c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21">
        <f>IF(C122="","",((IF(F122="Critical",5,IF(F122="High",4,IF(F122="Medium",3,2)))*10)+(IF(I122="Critical",5,IF(I122="High",4,IF(I122="Medium",3,2)))*8)+(IF(K122="Very High",5,IF(K122="High",4,IF(K122="Medium",3,IF(K122="Low",2,1))))*6)+(IF(P122&lt;0,ABS(P122)/7*2,0))))</f>
        <v/>
      </c>
      <c r="M122" s="19" t="n"/>
      <c r="N122" s="19" t="n"/>
      <c r="O122" s="19" t="n"/>
      <c r="P122" s="20">
        <f>IF(O122&lt;&gt;"",O122-TODAY(),"")</f>
        <v/>
      </c>
      <c r="Q122" s="19" t="n"/>
      <c r="R122">
        <f>IF(AND(OR(I122="Medium",I122="High",I122="Critical"),OR(N122="Configuration Change",N122="Policy Update",P122&lt;=7)),"Yes","No")</f>
        <v/>
      </c>
      <c r="S122" s="19" t="n"/>
      <c r="T122" s="19" t="n"/>
    </row>
    <row r="123">
      <c r="A123">
        <f>IF(C123&lt;&gt;"","GAP-"&amp;TEXT(ROW()-1,"000"),"")</f>
        <v/>
      </c>
      <c r="B123" s="20">
        <f>IF(L123&lt;&gt;"",RANK(L123,L:L,0),"")</f>
        <v/>
      </c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21">
        <f>IF(C123="","",((IF(F123="Critical",5,IF(F123="High",4,IF(F123="Medium",3,2)))*10)+(IF(I123="Critical",5,IF(I123="High",4,IF(I123="Medium",3,2)))*8)+(IF(K123="Very High",5,IF(K123="High",4,IF(K123="Medium",3,IF(K123="Low",2,1))))*6)+(IF(P123&lt;0,ABS(P123)/7*2,0))))</f>
        <v/>
      </c>
      <c r="M123" s="19" t="n"/>
      <c r="N123" s="19" t="n"/>
      <c r="O123" s="19" t="n"/>
      <c r="P123" s="20">
        <f>IF(O123&lt;&gt;"",O123-TODAY(),"")</f>
        <v/>
      </c>
      <c r="Q123" s="19" t="n"/>
      <c r="R123">
        <f>IF(AND(OR(I123="Medium",I123="High",I123="Critical"),OR(N123="Configuration Change",N123="Policy Update",P123&lt;=7)),"Yes","No")</f>
        <v/>
      </c>
      <c r="S123" s="19" t="n"/>
      <c r="T123" s="19" t="n"/>
    </row>
    <row r="124">
      <c r="A124">
        <f>IF(C124&lt;&gt;"","GAP-"&amp;TEXT(ROW()-1,"000"),"")</f>
        <v/>
      </c>
      <c r="B124" s="20">
        <f>IF(L124&lt;&gt;"",RANK(L124,L:L,0),"")</f>
        <v/>
      </c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21">
        <f>IF(C124="","",((IF(F124="Critical",5,IF(F124="High",4,IF(F124="Medium",3,2)))*10)+(IF(I124="Critical",5,IF(I124="High",4,IF(I124="Medium",3,2)))*8)+(IF(K124="Very High",5,IF(K124="High",4,IF(K124="Medium",3,IF(K124="Low",2,1))))*6)+(IF(P124&lt;0,ABS(P124)/7*2,0))))</f>
        <v/>
      </c>
      <c r="M124" s="19" t="n"/>
      <c r="N124" s="19" t="n"/>
      <c r="O124" s="19" t="n"/>
      <c r="P124" s="20">
        <f>IF(O124&lt;&gt;"",O124-TODAY(),"")</f>
        <v/>
      </c>
      <c r="Q124" s="19" t="n"/>
      <c r="R124">
        <f>IF(AND(OR(I124="Medium",I124="High",I124="Critical"),OR(N124="Configuration Change",N124="Policy Update",P124&lt;=7)),"Yes","No")</f>
        <v/>
      </c>
      <c r="S124" s="19" t="n"/>
      <c r="T124" s="19" t="n"/>
    </row>
    <row r="125">
      <c r="A125">
        <f>IF(C125&lt;&gt;"","GAP-"&amp;TEXT(ROW()-1,"000"),"")</f>
        <v/>
      </c>
      <c r="B125" s="20">
        <f>IF(L125&lt;&gt;"",RANK(L125,L:L,0),"")</f>
        <v/>
      </c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21">
        <f>IF(C125="","",((IF(F125="Critical",5,IF(F125="High",4,IF(F125="Medium",3,2)))*10)+(IF(I125="Critical",5,IF(I125="High",4,IF(I125="Medium",3,2)))*8)+(IF(K125="Very High",5,IF(K125="High",4,IF(K125="Medium",3,IF(K125="Low",2,1))))*6)+(IF(P125&lt;0,ABS(P125)/7*2,0))))</f>
        <v/>
      </c>
      <c r="M125" s="19" t="n"/>
      <c r="N125" s="19" t="n"/>
      <c r="O125" s="19" t="n"/>
      <c r="P125" s="20">
        <f>IF(O125&lt;&gt;"",O125-TODAY(),"")</f>
        <v/>
      </c>
      <c r="Q125" s="19" t="n"/>
      <c r="R125">
        <f>IF(AND(OR(I125="Medium",I125="High",I125="Critical"),OR(N125="Configuration Change",N125="Policy Update",P125&lt;=7)),"Yes","No")</f>
        <v/>
      </c>
      <c r="S125" s="19" t="n"/>
      <c r="T125" s="19" t="n"/>
    </row>
    <row r="126">
      <c r="A126">
        <f>IF(C126&lt;&gt;"","GAP-"&amp;TEXT(ROW()-1,"000"),"")</f>
        <v/>
      </c>
      <c r="B126" s="20">
        <f>IF(L126&lt;&gt;"",RANK(L126,L:L,0),"")</f>
        <v/>
      </c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21">
        <f>IF(C126="","",((IF(F126="Critical",5,IF(F126="High",4,IF(F126="Medium",3,2)))*10)+(IF(I126="Critical",5,IF(I126="High",4,IF(I126="Medium",3,2)))*8)+(IF(K126="Very High",5,IF(K126="High",4,IF(K126="Medium",3,IF(K126="Low",2,1))))*6)+(IF(P126&lt;0,ABS(P126)/7*2,0))))</f>
        <v/>
      </c>
      <c r="M126" s="19" t="n"/>
      <c r="N126" s="19" t="n"/>
      <c r="O126" s="19" t="n"/>
      <c r="P126" s="20">
        <f>IF(O126&lt;&gt;"",O126-TODAY(),"")</f>
        <v/>
      </c>
      <c r="Q126" s="19" t="n"/>
      <c r="R126">
        <f>IF(AND(OR(I126="Medium",I126="High",I126="Critical"),OR(N126="Configuration Change",N126="Policy Update",P126&lt;=7)),"Yes","No")</f>
        <v/>
      </c>
      <c r="S126" s="19" t="n"/>
      <c r="T126" s="19" t="n"/>
    </row>
    <row r="127">
      <c r="A127">
        <f>IF(C127&lt;&gt;"","GAP-"&amp;TEXT(ROW()-1,"000"),"")</f>
        <v/>
      </c>
      <c r="B127" s="20">
        <f>IF(L127&lt;&gt;"",RANK(L127,L:L,0),"")</f>
        <v/>
      </c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21">
        <f>IF(C127="","",((IF(F127="Critical",5,IF(F127="High",4,IF(F127="Medium",3,2)))*10)+(IF(I127="Critical",5,IF(I127="High",4,IF(I127="Medium",3,2)))*8)+(IF(K127="Very High",5,IF(K127="High",4,IF(K127="Medium",3,IF(K127="Low",2,1))))*6)+(IF(P127&lt;0,ABS(P127)/7*2,0))))</f>
        <v/>
      </c>
      <c r="M127" s="19" t="n"/>
      <c r="N127" s="19" t="n"/>
      <c r="O127" s="19" t="n"/>
      <c r="P127" s="20">
        <f>IF(O127&lt;&gt;"",O127-TODAY(),"")</f>
        <v/>
      </c>
      <c r="Q127" s="19" t="n"/>
      <c r="R127">
        <f>IF(AND(OR(I127="Medium",I127="High",I127="Critical"),OR(N127="Configuration Change",N127="Policy Update",P127&lt;=7)),"Yes","No")</f>
        <v/>
      </c>
      <c r="S127" s="19" t="n"/>
      <c r="T127" s="19" t="n"/>
    </row>
    <row r="128">
      <c r="A128">
        <f>IF(C128&lt;&gt;"","GAP-"&amp;TEXT(ROW()-1,"000"),"")</f>
        <v/>
      </c>
      <c r="B128" s="20">
        <f>IF(L128&lt;&gt;"",RANK(L128,L:L,0),"")</f>
        <v/>
      </c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21">
        <f>IF(C128="","",((IF(F128="Critical",5,IF(F128="High",4,IF(F128="Medium",3,2)))*10)+(IF(I128="Critical",5,IF(I128="High",4,IF(I128="Medium",3,2)))*8)+(IF(K128="Very High",5,IF(K128="High",4,IF(K128="Medium",3,IF(K128="Low",2,1))))*6)+(IF(P128&lt;0,ABS(P128)/7*2,0))))</f>
        <v/>
      </c>
      <c r="M128" s="19" t="n"/>
      <c r="N128" s="19" t="n"/>
      <c r="O128" s="19" t="n"/>
      <c r="P128" s="20">
        <f>IF(O128&lt;&gt;"",O128-TODAY(),"")</f>
        <v/>
      </c>
      <c r="Q128" s="19" t="n"/>
      <c r="R128">
        <f>IF(AND(OR(I128="Medium",I128="High",I128="Critical"),OR(N128="Configuration Change",N128="Policy Update",P128&lt;=7)),"Yes","No")</f>
        <v/>
      </c>
      <c r="S128" s="19" t="n"/>
      <c r="T128" s="19" t="n"/>
    </row>
    <row r="129">
      <c r="A129">
        <f>IF(C129&lt;&gt;"","GAP-"&amp;TEXT(ROW()-1,"000"),"")</f>
        <v/>
      </c>
      <c r="B129" s="20">
        <f>IF(L129&lt;&gt;"",RANK(L129,L:L,0),"")</f>
        <v/>
      </c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21">
        <f>IF(C129="","",((IF(F129="Critical",5,IF(F129="High",4,IF(F129="Medium",3,2)))*10)+(IF(I129="Critical",5,IF(I129="High",4,IF(I129="Medium",3,2)))*8)+(IF(K129="Very High",5,IF(K129="High",4,IF(K129="Medium",3,IF(K129="Low",2,1))))*6)+(IF(P129&lt;0,ABS(P129)/7*2,0))))</f>
        <v/>
      </c>
      <c r="M129" s="19" t="n"/>
      <c r="N129" s="19" t="n"/>
      <c r="O129" s="19" t="n"/>
      <c r="P129" s="20">
        <f>IF(O129&lt;&gt;"",O129-TODAY(),"")</f>
        <v/>
      </c>
      <c r="Q129" s="19" t="n"/>
      <c r="R129">
        <f>IF(AND(OR(I129="Medium",I129="High",I129="Critical"),OR(N129="Configuration Change",N129="Policy Update",P129&lt;=7)),"Yes","No")</f>
        <v/>
      </c>
      <c r="S129" s="19" t="n"/>
      <c r="T129" s="19" t="n"/>
    </row>
    <row r="130">
      <c r="A130">
        <f>IF(C130&lt;&gt;"","GAP-"&amp;TEXT(ROW()-1,"000"),"")</f>
        <v/>
      </c>
      <c r="B130" s="20">
        <f>IF(L130&lt;&gt;"",RANK(L130,L:L,0),"")</f>
        <v/>
      </c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21">
        <f>IF(C130="","",((IF(F130="Critical",5,IF(F130="High",4,IF(F130="Medium",3,2)))*10)+(IF(I130="Critical",5,IF(I130="High",4,IF(I130="Medium",3,2)))*8)+(IF(K130="Very High",5,IF(K130="High",4,IF(K130="Medium",3,IF(K130="Low",2,1))))*6)+(IF(P130&lt;0,ABS(P130)/7*2,0))))</f>
        <v/>
      </c>
      <c r="M130" s="19" t="n"/>
      <c r="N130" s="19" t="n"/>
      <c r="O130" s="19" t="n"/>
      <c r="P130" s="20">
        <f>IF(O130&lt;&gt;"",O130-TODAY(),"")</f>
        <v/>
      </c>
      <c r="Q130" s="19" t="n"/>
      <c r="R130">
        <f>IF(AND(OR(I130="Medium",I130="High",I130="Critical"),OR(N130="Configuration Change",N130="Policy Update",P130&lt;=7)),"Yes","No")</f>
        <v/>
      </c>
      <c r="S130" s="19" t="n"/>
      <c r="T130" s="19" t="n"/>
    </row>
    <row r="131">
      <c r="A131">
        <f>IF(C131&lt;&gt;"","GAP-"&amp;TEXT(ROW()-1,"000"),"")</f>
        <v/>
      </c>
      <c r="B131" s="20">
        <f>IF(L131&lt;&gt;"",RANK(L131,L:L,0),"")</f>
        <v/>
      </c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21">
        <f>IF(C131="","",((IF(F131="Critical",5,IF(F131="High",4,IF(F131="Medium",3,2)))*10)+(IF(I131="Critical",5,IF(I131="High",4,IF(I131="Medium",3,2)))*8)+(IF(K131="Very High",5,IF(K131="High",4,IF(K131="Medium",3,IF(K131="Low",2,1))))*6)+(IF(P131&lt;0,ABS(P131)/7*2,0))))</f>
        <v/>
      </c>
      <c r="M131" s="19" t="n"/>
      <c r="N131" s="19" t="n"/>
      <c r="O131" s="19" t="n"/>
      <c r="P131" s="20">
        <f>IF(O131&lt;&gt;"",O131-TODAY(),"")</f>
        <v/>
      </c>
      <c r="Q131" s="19" t="n"/>
      <c r="R131">
        <f>IF(AND(OR(I131="Medium",I131="High",I131="Critical"),OR(N131="Configuration Change",N131="Policy Update",P131&lt;=7)),"Yes","No")</f>
        <v/>
      </c>
      <c r="S131" s="19" t="n"/>
      <c r="T131" s="19" t="n"/>
    </row>
    <row r="132">
      <c r="A132">
        <f>IF(C132&lt;&gt;"","GAP-"&amp;TEXT(ROW()-1,"000"),"")</f>
        <v/>
      </c>
      <c r="B132" s="20">
        <f>IF(L132&lt;&gt;"",RANK(L132,L:L,0),"")</f>
        <v/>
      </c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21">
        <f>IF(C132="","",((IF(F132="Critical",5,IF(F132="High",4,IF(F132="Medium",3,2)))*10)+(IF(I132="Critical",5,IF(I132="High",4,IF(I132="Medium",3,2)))*8)+(IF(K132="Very High",5,IF(K132="High",4,IF(K132="Medium",3,IF(K132="Low",2,1))))*6)+(IF(P132&lt;0,ABS(P132)/7*2,0))))</f>
        <v/>
      </c>
      <c r="M132" s="19" t="n"/>
      <c r="N132" s="19" t="n"/>
      <c r="O132" s="19" t="n"/>
      <c r="P132" s="20">
        <f>IF(O132&lt;&gt;"",O132-TODAY(),"")</f>
        <v/>
      </c>
      <c r="Q132" s="19" t="n"/>
      <c r="R132">
        <f>IF(AND(OR(I132="Medium",I132="High",I132="Critical"),OR(N132="Configuration Change",N132="Policy Update",P132&lt;=7)),"Yes","No")</f>
        <v/>
      </c>
      <c r="S132" s="19" t="n"/>
      <c r="T132" s="19" t="n"/>
    </row>
    <row r="133">
      <c r="A133">
        <f>IF(C133&lt;&gt;"","GAP-"&amp;TEXT(ROW()-1,"000"),"")</f>
        <v/>
      </c>
      <c r="B133" s="20">
        <f>IF(L133&lt;&gt;"",RANK(L133,L:L,0),"")</f>
        <v/>
      </c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21">
        <f>IF(C133="","",((IF(F133="Critical",5,IF(F133="High",4,IF(F133="Medium",3,2)))*10)+(IF(I133="Critical",5,IF(I133="High",4,IF(I133="Medium",3,2)))*8)+(IF(K133="Very High",5,IF(K133="High",4,IF(K133="Medium",3,IF(K133="Low",2,1))))*6)+(IF(P133&lt;0,ABS(P133)/7*2,0))))</f>
        <v/>
      </c>
      <c r="M133" s="19" t="n"/>
      <c r="N133" s="19" t="n"/>
      <c r="O133" s="19" t="n"/>
      <c r="P133" s="20">
        <f>IF(O133&lt;&gt;"",O133-TODAY(),"")</f>
        <v/>
      </c>
      <c r="Q133" s="19" t="n"/>
      <c r="R133">
        <f>IF(AND(OR(I133="Medium",I133="High",I133="Critical"),OR(N133="Configuration Change",N133="Policy Update",P133&lt;=7)),"Yes","No")</f>
        <v/>
      </c>
      <c r="S133" s="19" t="n"/>
      <c r="T133" s="19" t="n"/>
    </row>
    <row r="134">
      <c r="A134">
        <f>IF(C134&lt;&gt;"","GAP-"&amp;TEXT(ROW()-1,"000"),"")</f>
        <v/>
      </c>
      <c r="B134" s="20">
        <f>IF(L134&lt;&gt;"",RANK(L134,L:L,0),"")</f>
        <v/>
      </c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21">
        <f>IF(C134="","",((IF(F134="Critical",5,IF(F134="High",4,IF(F134="Medium",3,2)))*10)+(IF(I134="Critical",5,IF(I134="High",4,IF(I134="Medium",3,2)))*8)+(IF(K134="Very High",5,IF(K134="High",4,IF(K134="Medium",3,IF(K134="Low",2,1))))*6)+(IF(P134&lt;0,ABS(P134)/7*2,0))))</f>
        <v/>
      </c>
      <c r="M134" s="19" t="n"/>
      <c r="N134" s="19" t="n"/>
      <c r="O134" s="19" t="n"/>
      <c r="P134" s="20">
        <f>IF(O134&lt;&gt;"",O134-TODAY(),"")</f>
        <v/>
      </c>
      <c r="Q134" s="19" t="n"/>
      <c r="R134">
        <f>IF(AND(OR(I134="Medium",I134="High",I134="Critical"),OR(N134="Configuration Change",N134="Policy Update",P134&lt;=7)),"Yes","No")</f>
        <v/>
      </c>
      <c r="S134" s="19" t="n"/>
      <c r="T134" s="19" t="n"/>
    </row>
    <row r="135">
      <c r="A135">
        <f>IF(C135&lt;&gt;"","GAP-"&amp;TEXT(ROW()-1,"000"),"")</f>
        <v/>
      </c>
      <c r="B135" s="20">
        <f>IF(L135&lt;&gt;"",RANK(L135,L:L,0),"")</f>
        <v/>
      </c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21">
        <f>IF(C135="","",((IF(F135="Critical",5,IF(F135="High",4,IF(F135="Medium",3,2)))*10)+(IF(I135="Critical",5,IF(I135="High",4,IF(I135="Medium",3,2)))*8)+(IF(K135="Very High",5,IF(K135="High",4,IF(K135="Medium",3,IF(K135="Low",2,1))))*6)+(IF(P135&lt;0,ABS(P135)/7*2,0))))</f>
        <v/>
      </c>
      <c r="M135" s="19" t="n"/>
      <c r="N135" s="19" t="n"/>
      <c r="O135" s="19" t="n"/>
      <c r="P135" s="20">
        <f>IF(O135&lt;&gt;"",O135-TODAY(),"")</f>
        <v/>
      </c>
      <c r="Q135" s="19" t="n"/>
      <c r="R135">
        <f>IF(AND(OR(I135="Medium",I135="High",I135="Critical"),OR(N135="Configuration Change",N135="Policy Update",P135&lt;=7)),"Yes","No")</f>
        <v/>
      </c>
      <c r="S135" s="19" t="n"/>
      <c r="T135" s="19" t="n"/>
    </row>
    <row r="136">
      <c r="A136">
        <f>IF(C136&lt;&gt;"","GAP-"&amp;TEXT(ROW()-1,"000"),"")</f>
        <v/>
      </c>
      <c r="B136" s="20">
        <f>IF(L136&lt;&gt;"",RANK(L136,L:L,0),"")</f>
        <v/>
      </c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21">
        <f>IF(C136="","",((IF(F136="Critical",5,IF(F136="High",4,IF(F136="Medium",3,2)))*10)+(IF(I136="Critical",5,IF(I136="High",4,IF(I136="Medium",3,2)))*8)+(IF(K136="Very High",5,IF(K136="High",4,IF(K136="Medium",3,IF(K136="Low",2,1))))*6)+(IF(P136&lt;0,ABS(P136)/7*2,0))))</f>
        <v/>
      </c>
      <c r="M136" s="19" t="n"/>
      <c r="N136" s="19" t="n"/>
      <c r="O136" s="19" t="n"/>
      <c r="P136" s="20">
        <f>IF(O136&lt;&gt;"",O136-TODAY(),"")</f>
        <v/>
      </c>
      <c r="Q136" s="19" t="n"/>
      <c r="R136">
        <f>IF(AND(OR(I136="Medium",I136="High",I136="Critical"),OR(N136="Configuration Change",N136="Policy Update",P136&lt;=7)),"Yes","No")</f>
        <v/>
      </c>
      <c r="S136" s="19" t="n"/>
      <c r="T136" s="19" t="n"/>
    </row>
    <row r="137">
      <c r="A137">
        <f>IF(C137&lt;&gt;"","GAP-"&amp;TEXT(ROW()-1,"000"),"")</f>
        <v/>
      </c>
      <c r="B137" s="20">
        <f>IF(L137&lt;&gt;"",RANK(L137,L:L,0),"")</f>
        <v/>
      </c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21">
        <f>IF(C137="","",((IF(F137="Critical",5,IF(F137="High",4,IF(F137="Medium",3,2)))*10)+(IF(I137="Critical",5,IF(I137="High",4,IF(I137="Medium",3,2)))*8)+(IF(K137="Very High",5,IF(K137="High",4,IF(K137="Medium",3,IF(K137="Low",2,1))))*6)+(IF(P137&lt;0,ABS(P137)/7*2,0))))</f>
        <v/>
      </c>
      <c r="M137" s="19" t="n"/>
      <c r="N137" s="19" t="n"/>
      <c r="O137" s="19" t="n"/>
      <c r="P137" s="20">
        <f>IF(O137&lt;&gt;"",O137-TODAY(),"")</f>
        <v/>
      </c>
      <c r="Q137" s="19" t="n"/>
      <c r="R137">
        <f>IF(AND(OR(I137="Medium",I137="High",I137="Critical"),OR(N137="Configuration Change",N137="Policy Update",P137&lt;=7)),"Yes","No")</f>
        <v/>
      </c>
      <c r="S137" s="19" t="n"/>
      <c r="T137" s="19" t="n"/>
    </row>
    <row r="138">
      <c r="A138">
        <f>IF(C138&lt;&gt;"","GAP-"&amp;TEXT(ROW()-1,"000"),"")</f>
        <v/>
      </c>
      <c r="B138" s="20">
        <f>IF(L138&lt;&gt;"",RANK(L138,L:L,0),"")</f>
        <v/>
      </c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21">
        <f>IF(C138="","",((IF(F138="Critical",5,IF(F138="High",4,IF(F138="Medium",3,2)))*10)+(IF(I138="Critical",5,IF(I138="High",4,IF(I138="Medium",3,2)))*8)+(IF(K138="Very High",5,IF(K138="High",4,IF(K138="Medium",3,IF(K138="Low",2,1))))*6)+(IF(P138&lt;0,ABS(P138)/7*2,0))))</f>
        <v/>
      </c>
      <c r="M138" s="19" t="n"/>
      <c r="N138" s="19" t="n"/>
      <c r="O138" s="19" t="n"/>
      <c r="P138" s="20">
        <f>IF(O138&lt;&gt;"",O138-TODAY(),"")</f>
        <v/>
      </c>
      <c r="Q138" s="19" t="n"/>
      <c r="R138">
        <f>IF(AND(OR(I138="Medium",I138="High",I138="Critical"),OR(N138="Configuration Change",N138="Policy Update",P138&lt;=7)),"Yes","No")</f>
        <v/>
      </c>
      <c r="S138" s="19" t="n"/>
      <c r="T138" s="19" t="n"/>
    </row>
    <row r="139">
      <c r="A139">
        <f>IF(C139&lt;&gt;"","GAP-"&amp;TEXT(ROW()-1,"000"),"")</f>
        <v/>
      </c>
      <c r="B139" s="20">
        <f>IF(L139&lt;&gt;"",RANK(L139,L:L,0),"")</f>
        <v/>
      </c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21">
        <f>IF(C139="","",((IF(F139="Critical",5,IF(F139="High",4,IF(F139="Medium",3,2)))*10)+(IF(I139="Critical",5,IF(I139="High",4,IF(I139="Medium",3,2)))*8)+(IF(K139="Very High",5,IF(K139="High",4,IF(K139="Medium",3,IF(K139="Low",2,1))))*6)+(IF(P139&lt;0,ABS(P139)/7*2,0))))</f>
        <v/>
      </c>
      <c r="M139" s="19" t="n"/>
      <c r="N139" s="19" t="n"/>
      <c r="O139" s="19" t="n"/>
      <c r="P139" s="20">
        <f>IF(O139&lt;&gt;"",O139-TODAY(),"")</f>
        <v/>
      </c>
      <c r="Q139" s="19" t="n"/>
      <c r="R139">
        <f>IF(AND(OR(I139="Medium",I139="High",I139="Critical"),OR(N139="Configuration Change",N139="Policy Update",P139&lt;=7)),"Yes","No")</f>
        <v/>
      </c>
      <c r="S139" s="19" t="n"/>
      <c r="T139" s="19" t="n"/>
    </row>
    <row r="140">
      <c r="A140">
        <f>IF(C140&lt;&gt;"","GAP-"&amp;TEXT(ROW()-1,"000"),"")</f>
        <v/>
      </c>
      <c r="B140" s="20">
        <f>IF(L140&lt;&gt;"",RANK(L140,L:L,0),"")</f>
        <v/>
      </c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21">
        <f>IF(C140="","",((IF(F140="Critical",5,IF(F140="High",4,IF(F140="Medium",3,2)))*10)+(IF(I140="Critical",5,IF(I140="High",4,IF(I140="Medium",3,2)))*8)+(IF(K140="Very High",5,IF(K140="High",4,IF(K140="Medium",3,IF(K140="Low",2,1))))*6)+(IF(P140&lt;0,ABS(P140)/7*2,0))))</f>
        <v/>
      </c>
      <c r="M140" s="19" t="n"/>
      <c r="N140" s="19" t="n"/>
      <c r="O140" s="19" t="n"/>
      <c r="P140" s="20">
        <f>IF(O140&lt;&gt;"",O140-TODAY(),"")</f>
        <v/>
      </c>
      <c r="Q140" s="19" t="n"/>
      <c r="R140">
        <f>IF(AND(OR(I140="Medium",I140="High",I140="Critical"),OR(N140="Configuration Change",N140="Policy Update",P140&lt;=7)),"Yes","No")</f>
        <v/>
      </c>
      <c r="S140" s="19" t="n"/>
      <c r="T140" s="19" t="n"/>
    </row>
    <row r="141">
      <c r="A141">
        <f>IF(C141&lt;&gt;"","GAP-"&amp;TEXT(ROW()-1,"000"),"")</f>
        <v/>
      </c>
      <c r="B141" s="20">
        <f>IF(L141&lt;&gt;"",RANK(L141,L:L,0),"")</f>
        <v/>
      </c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21">
        <f>IF(C141="","",((IF(F141="Critical",5,IF(F141="High",4,IF(F141="Medium",3,2)))*10)+(IF(I141="Critical",5,IF(I141="High",4,IF(I141="Medium",3,2)))*8)+(IF(K141="Very High",5,IF(K141="High",4,IF(K141="Medium",3,IF(K141="Low",2,1))))*6)+(IF(P141&lt;0,ABS(P141)/7*2,0))))</f>
        <v/>
      </c>
      <c r="M141" s="19" t="n"/>
      <c r="N141" s="19" t="n"/>
      <c r="O141" s="19" t="n"/>
      <c r="P141" s="20">
        <f>IF(O141&lt;&gt;"",O141-TODAY(),"")</f>
        <v/>
      </c>
      <c r="Q141" s="19" t="n"/>
      <c r="R141">
        <f>IF(AND(OR(I141="Medium",I141="High",I141="Critical"),OR(N141="Configuration Change",N141="Policy Update",P141&lt;=7)),"Yes","No")</f>
        <v/>
      </c>
      <c r="S141" s="19" t="n"/>
      <c r="T141" s="19" t="n"/>
    </row>
    <row r="142">
      <c r="A142">
        <f>IF(C142&lt;&gt;"","GAP-"&amp;TEXT(ROW()-1,"000"),"")</f>
        <v/>
      </c>
      <c r="B142" s="20">
        <f>IF(L142&lt;&gt;"",RANK(L142,L:L,0),"")</f>
        <v/>
      </c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21">
        <f>IF(C142="","",((IF(F142="Critical",5,IF(F142="High",4,IF(F142="Medium",3,2)))*10)+(IF(I142="Critical",5,IF(I142="High",4,IF(I142="Medium",3,2)))*8)+(IF(K142="Very High",5,IF(K142="High",4,IF(K142="Medium",3,IF(K142="Low",2,1))))*6)+(IF(P142&lt;0,ABS(P142)/7*2,0))))</f>
        <v/>
      </c>
      <c r="M142" s="19" t="n"/>
      <c r="N142" s="19" t="n"/>
      <c r="O142" s="19" t="n"/>
      <c r="P142" s="20">
        <f>IF(O142&lt;&gt;"",O142-TODAY(),"")</f>
        <v/>
      </c>
      <c r="Q142" s="19" t="n"/>
      <c r="R142">
        <f>IF(AND(OR(I142="Medium",I142="High",I142="Critical"),OR(N142="Configuration Change",N142="Policy Update",P142&lt;=7)),"Yes","No")</f>
        <v/>
      </c>
      <c r="S142" s="19" t="n"/>
      <c r="T142" s="19" t="n"/>
    </row>
    <row r="143">
      <c r="A143">
        <f>IF(C143&lt;&gt;"","GAP-"&amp;TEXT(ROW()-1,"000"),"")</f>
        <v/>
      </c>
      <c r="B143" s="20">
        <f>IF(L143&lt;&gt;"",RANK(L143,L:L,0),"")</f>
        <v/>
      </c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21">
        <f>IF(C143="","",((IF(F143="Critical",5,IF(F143="High",4,IF(F143="Medium",3,2)))*10)+(IF(I143="Critical",5,IF(I143="High",4,IF(I143="Medium",3,2)))*8)+(IF(K143="Very High",5,IF(K143="High",4,IF(K143="Medium",3,IF(K143="Low",2,1))))*6)+(IF(P143&lt;0,ABS(P143)/7*2,0))))</f>
        <v/>
      </c>
      <c r="M143" s="19" t="n"/>
      <c r="N143" s="19" t="n"/>
      <c r="O143" s="19" t="n"/>
      <c r="P143" s="20">
        <f>IF(O143&lt;&gt;"",O143-TODAY(),"")</f>
        <v/>
      </c>
      <c r="Q143" s="19" t="n"/>
      <c r="R143">
        <f>IF(AND(OR(I143="Medium",I143="High",I143="Critical"),OR(N143="Configuration Change",N143="Policy Update",P143&lt;=7)),"Yes","No")</f>
        <v/>
      </c>
      <c r="S143" s="19" t="n"/>
      <c r="T143" s="19" t="n"/>
    </row>
    <row r="144">
      <c r="A144">
        <f>IF(C144&lt;&gt;"","GAP-"&amp;TEXT(ROW()-1,"000"),"")</f>
        <v/>
      </c>
      <c r="B144" s="20">
        <f>IF(L144&lt;&gt;"",RANK(L144,L:L,0),"")</f>
        <v/>
      </c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21">
        <f>IF(C144="","",((IF(F144="Critical",5,IF(F144="High",4,IF(F144="Medium",3,2)))*10)+(IF(I144="Critical",5,IF(I144="High",4,IF(I144="Medium",3,2)))*8)+(IF(K144="Very High",5,IF(K144="High",4,IF(K144="Medium",3,IF(K144="Low",2,1))))*6)+(IF(P144&lt;0,ABS(P144)/7*2,0))))</f>
        <v/>
      </c>
      <c r="M144" s="19" t="n"/>
      <c r="N144" s="19" t="n"/>
      <c r="O144" s="19" t="n"/>
      <c r="P144" s="20">
        <f>IF(O144&lt;&gt;"",O144-TODAY(),"")</f>
        <v/>
      </c>
      <c r="Q144" s="19" t="n"/>
      <c r="R144">
        <f>IF(AND(OR(I144="Medium",I144="High",I144="Critical"),OR(N144="Configuration Change",N144="Policy Update",P144&lt;=7)),"Yes","No")</f>
        <v/>
      </c>
      <c r="S144" s="19" t="n"/>
      <c r="T144" s="19" t="n"/>
    </row>
    <row r="145">
      <c r="A145">
        <f>IF(C145&lt;&gt;"","GAP-"&amp;TEXT(ROW()-1,"000"),"")</f>
        <v/>
      </c>
      <c r="B145" s="20">
        <f>IF(L145&lt;&gt;"",RANK(L145,L:L,0),"")</f>
        <v/>
      </c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21">
        <f>IF(C145="","",((IF(F145="Critical",5,IF(F145="High",4,IF(F145="Medium",3,2)))*10)+(IF(I145="Critical",5,IF(I145="High",4,IF(I145="Medium",3,2)))*8)+(IF(K145="Very High",5,IF(K145="High",4,IF(K145="Medium",3,IF(K145="Low",2,1))))*6)+(IF(P145&lt;0,ABS(P145)/7*2,0))))</f>
        <v/>
      </c>
      <c r="M145" s="19" t="n"/>
      <c r="N145" s="19" t="n"/>
      <c r="O145" s="19" t="n"/>
      <c r="P145" s="20">
        <f>IF(O145&lt;&gt;"",O145-TODAY(),"")</f>
        <v/>
      </c>
      <c r="Q145" s="19" t="n"/>
      <c r="R145">
        <f>IF(AND(OR(I145="Medium",I145="High",I145="Critical"),OR(N145="Configuration Change",N145="Policy Update",P145&lt;=7)),"Yes","No")</f>
        <v/>
      </c>
      <c r="S145" s="19" t="n"/>
      <c r="T145" s="19" t="n"/>
    </row>
    <row r="146">
      <c r="A146">
        <f>IF(C146&lt;&gt;"","GAP-"&amp;TEXT(ROW()-1,"000"),"")</f>
        <v/>
      </c>
      <c r="B146" s="20">
        <f>IF(L146&lt;&gt;"",RANK(L146,L:L,0),"")</f>
        <v/>
      </c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21">
        <f>IF(C146="","",((IF(F146="Critical",5,IF(F146="High",4,IF(F146="Medium",3,2)))*10)+(IF(I146="Critical",5,IF(I146="High",4,IF(I146="Medium",3,2)))*8)+(IF(K146="Very High",5,IF(K146="High",4,IF(K146="Medium",3,IF(K146="Low",2,1))))*6)+(IF(P146&lt;0,ABS(P146)/7*2,0))))</f>
        <v/>
      </c>
      <c r="M146" s="19" t="n"/>
      <c r="N146" s="19" t="n"/>
      <c r="O146" s="19" t="n"/>
      <c r="P146" s="20">
        <f>IF(O146&lt;&gt;"",O146-TODAY(),"")</f>
        <v/>
      </c>
      <c r="Q146" s="19" t="n"/>
      <c r="R146">
        <f>IF(AND(OR(I146="Medium",I146="High",I146="Critical"),OR(N146="Configuration Change",N146="Policy Update",P146&lt;=7)),"Yes","No")</f>
        <v/>
      </c>
      <c r="S146" s="19" t="n"/>
      <c r="T146" s="19" t="n"/>
    </row>
    <row r="147">
      <c r="A147">
        <f>IF(C147&lt;&gt;"","GAP-"&amp;TEXT(ROW()-1,"000"),"")</f>
        <v/>
      </c>
      <c r="B147" s="20">
        <f>IF(L147&lt;&gt;"",RANK(L147,L:L,0),"")</f>
        <v/>
      </c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21">
        <f>IF(C147="","",((IF(F147="Critical",5,IF(F147="High",4,IF(F147="Medium",3,2)))*10)+(IF(I147="Critical",5,IF(I147="High",4,IF(I147="Medium",3,2)))*8)+(IF(K147="Very High",5,IF(K147="High",4,IF(K147="Medium",3,IF(K147="Low",2,1))))*6)+(IF(P147&lt;0,ABS(P147)/7*2,0))))</f>
        <v/>
      </c>
      <c r="M147" s="19" t="n"/>
      <c r="N147" s="19" t="n"/>
      <c r="O147" s="19" t="n"/>
      <c r="P147" s="20">
        <f>IF(O147&lt;&gt;"",O147-TODAY(),"")</f>
        <v/>
      </c>
      <c r="Q147" s="19" t="n"/>
      <c r="R147">
        <f>IF(AND(OR(I147="Medium",I147="High",I147="Critical"),OR(N147="Configuration Change",N147="Policy Update",P147&lt;=7)),"Yes","No")</f>
        <v/>
      </c>
      <c r="S147" s="19" t="n"/>
      <c r="T147" s="19" t="n"/>
    </row>
    <row r="148">
      <c r="A148">
        <f>IF(C148&lt;&gt;"","GAP-"&amp;TEXT(ROW()-1,"000"),"")</f>
        <v/>
      </c>
      <c r="B148" s="20">
        <f>IF(L148&lt;&gt;"",RANK(L148,L:L,0),"")</f>
        <v/>
      </c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21">
        <f>IF(C148="","",((IF(F148="Critical",5,IF(F148="High",4,IF(F148="Medium",3,2)))*10)+(IF(I148="Critical",5,IF(I148="High",4,IF(I148="Medium",3,2)))*8)+(IF(K148="Very High",5,IF(K148="High",4,IF(K148="Medium",3,IF(K148="Low",2,1))))*6)+(IF(P148&lt;0,ABS(P148)/7*2,0))))</f>
        <v/>
      </c>
      <c r="M148" s="19" t="n"/>
      <c r="N148" s="19" t="n"/>
      <c r="O148" s="19" t="n"/>
      <c r="P148" s="20">
        <f>IF(O148&lt;&gt;"",O148-TODAY(),"")</f>
        <v/>
      </c>
      <c r="Q148" s="19" t="n"/>
      <c r="R148">
        <f>IF(AND(OR(I148="Medium",I148="High",I148="Critical"),OR(N148="Configuration Change",N148="Policy Update",P148&lt;=7)),"Yes","No")</f>
        <v/>
      </c>
      <c r="S148" s="19" t="n"/>
      <c r="T148" s="19" t="n"/>
    </row>
    <row r="149">
      <c r="A149">
        <f>IF(C149&lt;&gt;"","GAP-"&amp;TEXT(ROW()-1,"000"),"")</f>
        <v/>
      </c>
      <c r="B149" s="20">
        <f>IF(L149&lt;&gt;"",RANK(L149,L:L,0),"")</f>
        <v/>
      </c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21">
        <f>IF(C149="","",((IF(F149="Critical",5,IF(F149="High",4,IF(F149="Medium",3,2)))*10)+(IF(I149="Critical",5,IF(I149="High",4,IF(I149="Medium",3,2)))*8)+(IF(K149="Very High",5,IF(K149="High",4,IF(K149="Medium",3,IF(K149="Low",2,1))))*6)+(IF(P149&lt;0,ABS(P149)/7*2,0))))</f>
        <v/>
      </c>
      <c r="M149" s="19" t="n"/>
      <c r="N149" s="19" t="n"/>
      <c r="O149" s="19" t="n"/>
      <c r="P149" s="20">
        <f>IF(O149&lt;&gt;"",O149-TODAY(),"")</f>
        <v/>
      </c>
      <c r="Q149" s="19" t="n"/>
      <c r="R149">
        <f>IF(AND(OR(I149="Medium",I149="High",I149="Critical"),OR(N149="Configuration Change",N149="Policy Update",P149&lt;=7)),"Yes","No")</f>
        <v/>
      </c>
      <c r="S149" s="19" t="n"/>
      <c r="T149" s="19" t="n"/>
    </row>
    <row r="150">
      <c r="A150">
        <f>IF(C150&lt;&gt;"","GAP-"&amp;TEXT(ROW()-1,"000"),"")</f>
        <v/>
      </c>
      <c r="B150" s="20">
        <f>IF(L150&lt;&gt;"",RANK(L150,L:L,0),"")</f>
        <v/>
      </c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21">
        <f>IF(C150="","",((IF(F150="Critical",5,IF(F150="High",4,IF(F150="Medium",3,2)))*10)+(IF(I150="Critical",5,IF(I150="High",4,IF(I150="Medium",3,2)))*8)+(IF(K150="Very High",5,IF(K150="High",4,IF(K150="Medium",3,IF(K150="Low",2,1))))*6)+(IF(P150&lt;0,ABS(P150)/7*2,0))))</f>
        <v/>
      </c>
      <c r="M150" s="19" t="n"/>
      <c r="N150" s="19" t="n"/>
      <c r="O150" s="19" t="n"/>
      <c r="P150" s="20">
        <f>IF(O150&lt;&gt;"",O150-TODAY(),"")</f>
        <v/>
      </c>
      <c r="Q150" s="19" t="n"/>
      <c r="R150">
        <f>IF(AND(OR(I150="Medium",I150="High",I150="Critical"),OR(N150="Configuration Change",N150="Policy Update",P150&lt;=7)),"Yes","No")</f>
        <v/>
      </c>
      <c r="S150" s="19" t="n"/>
      <c r="T150" s="19" t="n"/>
    </row>
    <row r="151">
      <c r="A151">
        <f>IF(C151&lt;&gt;"","GAP-"&amp;TEXT(ROW()-1,"000"),"")</f>
        <v/>
      </c>
      <c r="B151" s="20">
        <f>IF(L151&lt;&gt;"",RANK(L151,L:L,0),"")</f>
        <v/>
      </c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21">
        <f>IF(C151="","",((IF(F151="Critical",5,IF(F151="High",4,IF(F151="Medium",3,2)))*10)+(IF(I151="Critical",5,IF(I151="High",4,IF(I151="Medium",3,2)))*8)+(IF(K151="Very High",5,IF(K151="High",4,IF(K151="Medium",3,IF(K151="Low",2,1))))*6)+(IF(P151&lt;0,ABS(P151)/7*2,0))))</f>
        <v/>
      </c>
      <c r="M151" s="19" t="n"/>
      <c r="N151" s="19" t="n"/>
      <c r="O151" s="19" t="n"/>
      <c r="P151" s="20">
        <f>IF(O151&lt;&gt;"",O151-TODAY(),"")</f>
        <v/>
      </c>
      <c r="Q151" s="19" t="n"/>
      <c r="R151">
        <f>IF(AND(OR(I151="Medium",I151="High",I151="Critical"),OR(N151="Configuration Change",N151="Policy Update",P151&lt;=7)),"Yes","No")</f>
        <v/>
      </c>
      <c r="S151" s="19" t="n"/>
      <c r="T151" s="19" t="n"/>
    </row>
  </sheetData>
  <conditionalFormatting sqref="B2:B151">
    <cfRule type="cellIs" priority="1" operator="between" dxfId="3">
      <formula>1</formula>
      <formula>10</formula>
    </cfRule>
    <cfRule type="cellIs" priority="2" operator="between" dxfId="6">
      <formula>11</formula>
      <formula>30</formula>
    </cfRule>
  </conditionalFormatting>
  <conditionalFormatting sqref="A2:T151">
    <cfRule type="expression" priority="3" dxfId="8">
      <formula>$R2="Yes"</formula>
    </cfRule>
  </conditionalFormatting>
  <conditionalFormatting sqref="P2:P151">
    <cfRule type="cellIs" priority="4" operator="lessThan" dxfId="3">
      <formula>0</formula>
    </cfRule>
  </conditionalFormatting>
  <conditionalFormatting sqref="Q2:Q151">
    <cfRule type="cellIs" priority="5" operator="equal" dxfId="9">
      <formula>"Blocked"</formula>
    </cfRule>
  </conditionalFormatting>
  <conditionalFormatting sqref="S2:S151">
    <cfRule type="cellIs" priority="6" operator="equal" dxfId="10">
      <formula>"Yes"</formula>
    </cfRule>
  </conditionalFormatting>
  <dataValidations count="7">
    <dataValidation sqref="C2:C151" showDropDown="0" showInputMessage="0" showErrorMessage="0" allowBlank="1" type="list">
      <formula1>"Baseline Configuration,Change Control,Configuration Monitoring,Security Hardening,Process Maturity"</formula1>
    </dataValidation>
    <dataValidation sqref="G2:G151" showDropDown="0" showInputMessage="0" showErrorMessage="0" allowBlank="1" type="list">
      <formula1>"Baseline Not Documented,Baseline Out of Date,Change Control Non-Compliance,Unauthorized Change,Configuration Drift,Monitoring Gap,Hardening Control Missing,Exception Without Justification,Process Deficiency"</formula1>
    </dataValidation>
    <dataValidation sqref="I2:I151" showDropDown="0" showInputMessage="0" showErrorMessage="0" allowBlank="1" type="list">
      <formula1>"Critical,High,Medium,Low"</formula1>
    </dataValidation>
    <dataValidation sqref="K2:K151" showDropDown="0" showInputMessage="0" showErrorMessage="0" allowBlank="1" type="list">
      <formula1>"Very High,High,Medium,Low,Very Low"</formula1>
    </dataValidation>
    <dataValidation sqref="Q2:Q151" showDropDown="0" showInputMessage="0" showErrorMessage="0" allowBlank="1" type="list">
      <formula1>"Identified,Planning,In Progress,Blocked,Completed,Closed"</formula1>
    </dataValidation>
    <dataValidation sqref="R2:R151" showDropDown="0" showInputMessage="0" showErrorMessage="0" allowBlank="1" type="list">
      <formula1>"Yes,No"</formula1>
    </dataValidation>
    <dataValidation sqref="S2:S15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Configuration Management Compliance Trend Analysis</t>
        </is>
      </c>
    </row>
    <row r="3">
      <c r="A3" s="3" t="inlineStr">
        <is>
          <t>ASSESSMENT HISTORY</t>
        </is>
      </c>
    </row>
    <row r="4">
      <c r="A4" s="15" t="inlineStr">
        <is>
          <t>Cycle</t>
        </is>
      </c>
      <c r="B4" s="15" t="inlineStr">
        <is>
          <t>Date</t>
        </is>
      </c>
      <c r="C4" s="15" t="inlineStr">
        <is>
          <t>Baseline %</t>
        </is>
      </c>
      <c r="D4" s="15" t="inlineStr">
        <is>
          <t>Change %</t>
        </is>
      </c>
      <c r="E4" s="15" t="inlineStr">
        <is>
          <t>Monitor %</t>
        </is>
      </c>
      <c r="F4" s="15" t="inlineStr">
        <is>
          <t>Harden %</t>
        </is>
      </c>
      <c r="G4" s="15" t="inlineStr">
        <is>
          <t>Process %</t>
        </is>
      </c>
      <c r="H4" s="15" t="inlineStr">
        <is>
          <t>Overall %</t>
        </is>
      </c>
    </row>
    <row r="5">
      <c r="A5" s="14" t="n">
        <v>1</v>
      </c>
      <c r="B5" s="22" t="n"/>
      <c r="C5" s="23" t="n"/>
      <c r="D5" s="23" t="n"/>
      <c r="E5" s="23" t="n"/>
      <c r="F5" s="23" t="n"/>
      <c r="G5" s="23" t="n"/>
      <c r="H5" s="23" t="n"/>
    </row>
    <row r="6">
      <c r="A6" s="14" t="n">
        <v>2</v>
      </c>
      <c r="B6" s="22" t="n"/>
      <c r="C6" s="23" t="n"/>
      <c r="D6" s="23" t="n"/>
      <c r="E6" s="23" t="n"/>
      <c r="F6" s="23" t="n"/>
      <c r="G6" s="23" t="n"/>
      <c r="H6" s="23" t="n"/>
    </row>
    <row r="7">
      <c r="A7" s="14" t="n">
        <v>3</v>
      </c>
      <c r="B7" s="22" t="n"/>
      <c r="C7" s="23" t="n"/>
      <c r="D7" s="23" t="n"/>
      <c r="E7" s="23" t="n"/>
      <c r="F7" s="23" t="n"/>
      <c r="G7" s="23" t="n"/>
      <c r="H7" s="23" t="n"/>
    </row>
    <row r="8">
      <c r="A8" s="14" t="n">
        <v>4</v>
      </c>
      <c r="B8" s="22" t="n"/>
      <c r="C8" s="23" t="n"/>
      <c r="D8" s="23" t="n"/>
      <c r="E8" s="23" t="n"/>
      <c r="F8" s="23" t="n"/>
      <c r="G8" s="23" t="n"/>
      <c r="H8" s="23" t="n"/>
    </row>
    <row r="9">
      <c r="A9" s="14" t="n">
        <v>5</v>
      </c>
      <c r="B9" s="22" t="n"/>
      <c r="C9" s="23" t="n"/>
      <c r="D9" s="23" t="n"/>
      <c r="E9" s="23" t="n"/>
      <c r="F9" s="23" t="n"/>
      <c r="G9" s="23" t="n"/>
      <c r="H9" s="23" t="n"/>
    </row>
    <row r="10">
      <c r="A10" s="14" t="n">
        <v>6</v>
      </c>
      <c r="B10" s="22" t="n"/>
      <c r="C10" s="23" t="n"/>
      <c r="D10" s="23" t="n"/>
      <c r="E10" s="23" t="n"/>
      <c r="F10" s="23" t="n"/>
      <c r="G10" s="23" t="n"/>
      <c r="H10" s="23" t="n"/>
    </row>
    <row r="11">
      <c r="A11" s="14" t="n">
        <v>7</v>
      </c>
      <c r="B11" s="22" t="n"/>
      <c r="C11" s="23" t="n"/>
      <c r="D11" s="23" t="n"/>
      <c r="E11" s="23" t="n"/>
      <c r="F11" s="23" t="n"/>
      <c r="G11" s="23" t="n"/>
      <c r="H11" s="23" t="n"/>
    </row>
    <row r="12">
      <c r="A12" s="14" t="n">
        <v>8</v>
      </c>
      <c r="B12" s="22" t="n"/>
      <c r="C12" s="23" t="n"/>
      <c r="D12" s="23" t="n"/>
      <c r="E12" s="23" t="n"/>
      <c r="F12" s="23" t="n"/>
      <c r="G12" s="23" t="n"/>
      <c r="H12" s="23" t="n"/>
    </row>
    <row r="13">
      <c r="A13" s="14" t="n">
        <v>9</v>
      </c>
      <c r="B13" s="22" t="n"/>
      <c r="C13" s="23" t="n"/>
      <c r="D13" s="23" t="n"/>
      <c r="E13" s="23" t="n"/>
      <c r="F13" s="23" t="n"/>
      <c r="G13" s="23" t="n"/>
      <c r="H13" s="23" t="n"/>
    </row>
    <row r="14">
      <c r="A14" s="14" t="n">
        <v>10</v>
      </c>
      <c r="B14" s="22" t="n"/>
      <c r="C14" s="23" t="n"/>
      <c r="D14" s="23" t="n"/>
      <c r="E14" s="23" t="n"/>
      <c r="F14" s="23" t="n"/>
      <c r="G14" s="23" t="n"/>
      <c r="H14" s="23" t="n"/>
    </row>
    <row r="15">
      <c r="A15" s="14" t="n">
        <v>11</v>
      </c>
      <c r="B15" s="22" t="n"/>
      <c r="C15" s="23" t="n"/>
      <c r="D15" s="23" t="n"/>
      <c r="E15" s="23" t="n"/>
      <c r="F15" s="23" t="n"/>
      <c r="G15" s="23" t="n"/>
      <c r="H15" s="23" t="n"/>
    </row>
    <row r="16">
      <c r="A16" s="14" t="n">
        <v>12</v>
      </c>
      <c r="B16" s="22" t="n"/>
      <c r="C16" s="23" t="n"/>
      <c r="D16" s="23" t="n"/>
      <c r="E16" s="23" t="n"/>
      <c r="F16" s="23" t="n"/>
      <c r="G16" s="23" t="n"/>
      <c r="H16" s="23" t="n"/>
    </row>
    <row r="17">
      <c r="A17" s="14" t="n">
        <v>13</v>
      </c>
      <c r="B17" s="22" t="n"/>
      <c r="C17" s="23" t="n"/>
      <c r="D17" s="23" t="n"/>
      <c r="E17" s="23" t="n"/>
      <c r="F17" s="23" t="n"/>
      <c r="G17" s="23" t="n"/>
      <c r="H17" s="23" t="n"/>
    </row>
    <row r="18">
      <c r="A18" s="14" t="n">
        <v>14</v>
      </c>
      <c r="B18" s="22" t="n"/>
      <c r="C18" s="23" t="n"/>
      <c r="D18" s="23" t="n"/>
      <c r="E18" s="23" t="n"/>
      <c r="F18" s="23" t="n"/>
      <c r="G18" s="23" t="n"/>
      <c r="H18" s="23" t="n"/>
    </row>
    <row r="19">
      <c r="A19" s="14" t="n">
        <v>15</v>
      </c>
      <c r="B19" s="22" t="n"/>
      <c r="C19" s="23" t="n"/>
      <c r="D19" s="23" t="n"/>
      <c r="E19" s="23" t="n"/>
      <c r="F19" s="23" t="n"/>
      <c r="G19" s="23" t="n"/>
      <c r="H19" s="23" t="n"/>
    </row>
    <row r="20">
      <c r="A20" s="14" t="n">
        <v>16</v>
      </c>
      <c r="B20" s="22" t="n"/>
      <c r="C20" s="23" t="n"/>
      <c r="D20" s="23" t="n"/>
      <c r="E20" s="23" t="n"/>
      <c r="F20" s="23" t="n"/>
      <c r="G20" s="23" t="n"/>
      <c r="H20" s="23" t="n"/>
    </row>
    <row r="21">
      <c r="A21" s="14" t="n">
        <v>17</v>
      </c>
      <c r="B21" s="22" t="n"/>
      <c r="C21" s="23" t="n"/>
      <c r="D21" s="23" t="n"/>
      <c r="E21" s="23" t="n"/>
      <c r="F21" s="23" t="n"/>
      <c r="G21" s="23" t="n"/>
      <c r="H21" s="23" t="n"/>
    </row>
    <row r="22">
      <c r="A22" s="14" t="n">
        <v>18</v>
      </c>
      <c r="B22" s="22" t="n"/>
      <c r="C22" s="23" t="n"/>
      <c r="D22" s="23" t="n"/>
      <c r="E22" s="23" t="n"/>
      <c r="F22" s="23" t="n"/>
      <c r="G22" s="23" t="n"/>
      <c r="H22" s="23" t="n"/>
    </row>
    <row r="23">
      <c r="A23" s="14" t="n">
        <v>19</v>
      </c>
      <c r="B23" s="22" t="n"/>
      <c r="C23" s="23" t="n"/>
      <c r="D23" s="23" t="n"/>
      <c r="E23" s="23" t="n"/>
      <c r="F23" s="23" t="n"/>
      <c r="G23" s="23" t="n"/>
      <c r="H23" s="23" t="n"/>
    </row>
    <row r="24">
      <c r="A24" s="14" t="n">
        <v>20</v>
      </c>
      <c r="B24" s="22" t="n"/>
      <c r="C24" s="23" t="n"/>
      <c r="D24" s="23" t="n"/>
      <c r="E24" s="23" t="n"/>
      <c r="F24" s="23" t="n"/>
      <c r="G24" s="23" t="n"/>
      <c r="H24" s="23" t="n"/>
    </row>
    <row r="26">
      <c r="A26" s="3" t="inlineStr">
        <is>
          <t>TREND INDICATORS</t>
        </is>
      </c>
    </row>
    <row r="27">
      <c r="A27" s="15" t="inlineStr">
        <is>
          <t>Domain</t>
        </is>
      </c>
      <c r="B27" s="15" t="inlineStr">
        <is>
          <t>Current %</t>
        </is>
      </c>
      <c r="C27" s="15" t="inlineStr">
        <is>
          <t>Previous %</t>
        </is>
      </c>
      <c r="D27" s="15" t="inlineStr">
        <is>
          <t>Change</t>
        </is>
      </c>
      <c r="E27" s="15" t="inlineStr">
        <is>
          <t>Trend</t>
        </is>
      </c>
      <c r="F27" s="15" t="inlineStr">
        <is>
          <t>Status</t>
        </is>
      </c>
    </row>
    <row r="28">
      <c r="A28" t="inlineStr">
        <is>
          <t>Baseline Configuration</t>
        </is>
      </c>
      <c r="B28" s="9">
        <f>INDEX(C:C,MATCH(MAX(B:B),B:B,0))</f>
        <v/>
      </c>
      <c r="C28" s="9">
        <f>INDEX(C:C,MATCH(MAX(B:B),B:B,0)-1)</f>
        <v/>
      </c>
      <c r="D28" s="24">
        <f>IF(C28&lt;&gt;"",B28-C28,"")</f>
        <v/>
      </c>
      <c r="E28">
        <f>IF(D28="","",IF(D28&gt;0.02,"↑ Improving",IF(D28&lt;-0.02,"↓ Declining","→ Stable")))</f>
        <v/>
      </c>
      <c r="F28">
        <f>IF(B28="","",IF(AND(B28&gt;=0.9,OR(E28="↑ Improving",E28="→ Stable")),"Green",IF(OR(B28&lt;0.8,D28&lt;-0.05),"Red","Yellow")))</f>
        <v/>
      </c>
    </row>
    <row r="29">
      <c r="A29" t="inlineStr">
        <is>
          <t>Change Control</t>
        </is>
      </c>
      <c r="B29" s="9">
        <f>INDEX(D:D,MATCH(MAX(B:B),B:B,0))</f>
        <v/>
      </c>
      <c r="C29" s="9">
        <f>INDEX(D:D,MATCH(MAX(B:B),B:B,0)-1)</f>
        <v/>
      </c>
      <c r="D29" s="24">
        <f>IF(C29&lt;&gt;"",B29-C29,"")</f>
        <v/>
      </c>
      <c r="E29">
        <f>IF(D29="","",IF(D29&gt;0.02,"↑ Improving",IF(D29&lt;-0.02,"↓ Declining","→ Stable")))</f>
        <v/>
      </c>
      <c r="F29">
        <f>IF(B29="","",IF(AND(B29&gt;=0.9,OR(E29="↑ Improving",E29="→ Stable")),"Green",IF(OR(B29&lt;0.8,D29&lt;-0.05),"Red","Yellow")))</f>
        <v/>
      </c>
    </row>
    <row r="30">
      <c r="A30" t="inlineStr">
        <is>
          <t>Configuration Monitoring</t>
        </is>
      </c>
      <c r="B30" s="9">
        <f>INDEX(E:E,MATCH(MAX(B:B),B:B,0))</f>
        <v/>
      </c>
      <c r="C30" s="9">
        <f>INDEX(E:E,MATCH(MAX(B:B),B:B,0)-1)</f>
        <v/>
      </c>
      <c r="D30" s="24">
        <f>IF(C30&lt;&gt;"",B30-C30,"")</f>
        <v/>
      </c>
      <c r="E30">
        <f>IF(D30="","",IF(D30&gt;0.02,"↑ Improving",IF(D30&lt;-0.02,"↓ Declining","→ Stable")))</f>
        <v/>
      </c>
      <c r="F30">
        <f>IF(B30="","",IF(AND(B30&gt;=0.9,OR(E30="↑ Improving",E30="→ Stable")),"Green",IF(OR(B30&lt;0.8,D30&lt;-0.05),"Red","Yellow")))</f>
        <v/>
      </c>
    </row>
    <row r="31">
      <c r="A31" t="inlineStr">
        <is>
          <t>Security Hardening</t>
        </is>
      </c>
      <c r="B31" s="9">
        <f>INDEX(F:F,MATCH(MAX(B:B),B:B,0))</f>
        <v/>
      </c>
      <c r="C31" s="9">
        <f>INDEX(F:F,MATCH(MAX(B:B),B:B,0)-1)</f>
        <v/>
      </c>
      <c r="D31" s="24">
        <f>IF(C31&lt;&gt;"",B31-C31,"")</f>
        <v/>
      </c>
      <c r="E31">
        <f>IF(D31="","",IF(D31&gt;0.02,"↑ Improving",IF(D31&lt;-0.02,"↓ Declining","→ Stable")))</f>
        <v/>
      </c>
      <c r="F31">
        <f>IF(B31="","",IF(AND(B31&gt;=0.9,OR(E31="↑ Improving",E31="→ Stable")),"Green",IF(OR(B31&lt;0.8,D31&lt;-0.05),"Red","Yellow")))</f>
        <v/>
      </c>
    </row>
    <row r="32">
      <c r="A32" t="inlineStr">
        <is>
          <t>Process Maturity</t>
        </is>
      </c>
      <c r="B32" s="9">
        <f>INDEX(G:G,MATCH(MAX(B:B),B:B,0))</f>
        <v/>
      </c>
      <c r="C32" s="9">
        <f>INDEX(G:G,MATCH(MAX(B:B),B:B,0)-1)</f>
        <v/>
      </c>
      <c r="D32" s="24">
        <f>IF(C32&lt;&gt;"",B32-C32,"")</f>
        <v/>
      </c>
      <c r="E32">
        <f>IF(D32="","",IF(D32&gt;0.02,"↑ Improving",IF(D32&lt;-0.02,"↓ Declining","→ Stable")))</f>
        <v/>
      </c>
      <c r="F32">
        <f>IF(B32="","",IF(AND(B32&gt;=0.9,OR(E32="↑ Improving",E32="→ Stable")),"Green",IF(OR(B32&lt;0.8,D32&lt;-0.05),"Red","Yellow")))</f>
        <v/>
      </c>
    </row>
    <row r="33">
      <c r="A33" s="5" t="inlineStr">
        <is>
          <t>OVERALL COMPLIANCE</t>
        </is>
      </c>
      <c r="B33" s="9">
        <f>INDEX(H:H,MATCH(MAX(B:B),B:B,0))</f>
        <v/>
      </c>
      <c r="C33" s="9">
        <f>INDEX(H:H,MATCH(MAX(B:B),B:B,0)-1)</f>
        <v/>
      </c>
      <c r="D33" s="24">
        <f>IF(C33&lt;&gt;"",B33-C33,"")</f>
        <v/>
      </c>
      <c r="E33">
        <f>IF(D33="","",IF(D33&gt;0.02,"↑ Improving",IF(D33&lt;-0.02,"↓ Declining","→ Stable")))</f>
        <v/>
      </c>
      <c r="F33">
        <f>IF(B33="","",IF(AND(B33&gt;=0.9,OR(E33="↑ Improving",E33="→ Stable")),"Green",IF(OR(B33&lt;0.8,D33&lt;-0.05),"Red","Yellow")))</f>
        <v/>
      </c>
    </row>
    <row r="35">
      <c r="A35" s="3" t="inlineStr">
        <is>
          <t>GAP TREND ANALYSIS</t>
        </is>
      </c>
    </row>
    <row r="36">
      <c r="A36" s="15" t="inlineStr">
        <is>
          <t>Cycle</t>
        </is>
      </c>
      <c r="B36" s="15" t="inlineStr">
        <is>
          <t>Total Gaps</t>
        </is>
      </c>
      <c r="C36" s="15" t="inlineStr">
        <is>
          <t>Critical</t>
        </is>
      </c>
      <c r="D36" s="15" t="inlineStr">
        <is>
          <t>High</t>
        </is>
      </c>
      <c r="E36" s="15" t="inlineStr">
        <is>
          <t>Closed</t>
        </is>
      </c>
      <c r="F36" s="15" t="inlineStr">
        <is>
          <t>Opened</t>
        </is>
      </c>
      <c r="G36" s="15" t="inlineStr">
        <is>
          <t>Net Change</t>
        </is>
      </c>
    </row>
    <row r="37">
      <c r="A37" s="14" t="n">
        <v>1</v>
      </c>
    </row>
    <row r="38">
      <c r="A38" s="14" t="n">
        <v>2</v>
      </c>
      <c r="G38" s="25">
        <f>IF(AND(E38&lt;&gt;"",F38&lt;&gt;""),E38-F38,"")</f>
        <v/>
      </c>
    </row>
    <row r="39">
      <c r="A39" s="14" t="n">
        <v>3</v>
      </c>
      <c r="G39" s="25">
        <f>IF(AND(E39&lt;&gt;"",F39&lt;&gt;""),E39-F39,"")</f>
        <v/>
      </c>
    </row>
    <row r="40">
      <c r="A40" s="14" t="n">
        <v>4</v>
      </c>
      <c r="G40" s="25">
        <f>IF(AND(E40&lt;&gt;"",F40&lt;&gt;""),E40-F40,"")</f>
        <v/>
      </c>
    </row>
    <row r="41">
      <c r="A41" s="14" t="n">
        <v>5</v>
      </c>
      <c r="G41" s="25">
        <f>IF(AND(E41&lt;&gt;"",F41&lt;&gt;""),E41-F41,"")</f>
        <v/>
      </c>
    </row>
    <row r="42">
      <c r="A42" s="14" t="n">
        <v>6</v>
      </c>
      <c r="G42" s="25">
        <f>IF(AND(E42&lt;&gt;"",F42&lt;&gt;""),E42-F42,"")</f>
        <v/>
      </c>
    </row>
    <row r="43">
      <c r="A43" s="14" t="n">
        <v>7</v>
      </c>
      <c r="G43" s="25">
        <f>IF(AND(E43&lt;&gt;"",F43&lt;&gt;""),E43-F43,"")</f>
        <v/>
      </c>
    </row>
    <row r="44">
      <c r="A44" s="14" t="n">
        <v>8</v>
      </c>
      <c r="G44" s="25">
        <f>IF(AND(E44&lt;&gt;"",F44&lt;&gt;""),E44-F44,"")</f>
        <v/>
      </c>
    </row>
    <row r="45">
      <c r="A45" s="14" t="n">
        <v>9</v>
      </c>
      <c r="G45" s="25">
        <f>IF(AND(E45&lt;&gt;"",F45&lt;&gt;""),E45-F45,"")</f>
        <v/>
      </c>
    </row>
    <row r="46">
      <c r="A46" s="14" t="n">
        <v>10</v>
      </c>
      <c r="G46" s="25">
        <f>IF(AND(E46&lt;&gt;"",F46&lt;&gt;""),E46-F46,"")</f>
        <v/>
      </c>
    </row>
    <row r="48">
      <c r="A48" s="26" t="inlineStr">
        <is>
          <t>FIRST ASSESSMENT GUIDANCE</t>
        </is>
      </c>
    </row>
    <row r="49">
      <c r="A49" s="27" t="inlineStr">
        <is>
          <t>This is your baseline assessment. Trend analysis requires 3+ assessment cycles.</t>
        </is>
      </c>
    </row>
    <row r="50">
      <c r="A50" s="27" t="inlineStr"/>
    </row>
    <row r="51">
      <c r="A51" s="27" t="inlineStr">
        <is>
          <t>Next Steps:</t>
        </is>
      </c>
    </row>
    <row r="52">
      <c r="A52" s="27" t="inlineStr">
        <is>
          <t>1. Schedule next assessment (recommend quarterly)</t>
        </is>
      </c>
    </row>
    <row r="53">
      <c r="A53" s="27" t="inlineStr">
        <is>
          <t>2. After 2nd assessment: Compare Current vs. Baseline</t>
        </is>
      </c>
    </row>
    <row r="54">
      <c r="A54" s="27" t="inlineStr">
        <is>
          <t>3. After 3rd assessment: Begin trend analysis</t>
        </is>
      </c>
    </row>
    <row r="55">
      <c r="A55" s="27" t="inlineStr">
        <is>
          <t>4. After 4th assessment: Predictive analysis becomes available</t>
        </is>
      </c>
    </row>
    <row r="56">
      <c r="A56" s="27" t="inlineStr"/>
    </row>
    <row r="57">
      <c r="A57" s="27" t="inlineStr">
        <is>
          <t>Maintain consistency in assessment methodology across cycles.</t>
        </is>
      </c>
    </row>
    <row r="59">
      <c r="A59" s="5" t="inlineStr">
        <is>
          <t>Current Assessment Baseline:</t>
        </is>
      </c>
    </row>
    <row r="60">
      <c r="A60" t="inlineStr">
        <is>
          <t>Overall Compliance:</t>
        </is>
      </c>
      <c r="B60" s="28">
        <f>Overall_Compliance_Dashboard!B6</f>
        <v/>
      </c>
    </row>
    <row r="61">
      <c r="A61" t="inlineStr">
        <is>
          <t>Total Critical Gaps:</t>
        </is>
      </c>
      <c r="B61" s="20">
        <f>SUM(Overall_Compliance_Dashboard!F12:F16)</f>
        <v/>
      </c>
    </row>
    <row r="62">
      <c r="A62" t="inlineStr">
        <is>
          <t>Target Next Cycle:</t>
        </is>
      </c>
      <c r="B62" t="inlineStr">
        <is>
          <t>Improve by ≥5 percentage points OR close ≥50% of gaps</t>
        </is>
      </c>
    </row>
  </sheetData>
  <mergeCells count="15">
    <mergeCell ref="A50:H50"/>
    <mergeCell ref="A56:H56"/>
    <mergeCell ref="A48:H48"/>
    <mergeCell ref="A26:H26"/>
    <mergeCell ref="A3:H3"/>
    <mergeCell ref="A53:H53"/>
    <mergeCell ref="A55:H55"/>
    <mergeCell ref="A35:H35"/>
    <mergeCell ref="A57:H57"/>
    <mergeCell ref="A54:H54"/>
    <mergeCell ref="A51:H51"/>
    <mergeCell ref="A52:H52"/>
    <mergeCell ref="B62:H62"/>
    <mergeCell ref="A49:H49"/>
    <mergeCell ref="A1:H1"/>
  </mergeCells>
  <conditionalFormatting sqref="F28:F33">
    <cfRule type="cellIs" priority="1" operator="equal" dxfId="0">
      <formula>"Green"</formula>
    </cfRule>
    <cfRule type="cellIs" priority="2" operator="equal" dxfId="1">
      <formula>"Red"</formula>
    </cfRule>
    <cfRule type="cellIs" priority="3" operator="equal" dxfId="5">
      <formula>"Yellow"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8" customWidth="1" min="4" max="4"/>
    <col width="25" customWidth="1" min="5" max="5"/>
    <col width="50" customWidth="1" min="6" max="6"/>
    <col width="25" customWidth="1" min="7" max="7"/>
    <col width="15" customWidth="1" min="8" max="8"/>
    <col width="40" customWidth="1" min="9" max="9"/>
    <col width="15" customWidth="1" min="10" max="10"/>
    <col width="18" customWidth="1" min="11" max="11"/>
    <col width="20" customWidth="1" min="12" max="12"/>
    <col width="40" customWidth="1" min="13" max="13"/>
  </cols>
  <sheetData>
    <row r="1">
      <c r="A1" s="6" t="inlineStr">
        <is>
          <t>Evidence_ID</t>
        </is>
      </c>
      <c r="B1" s="6" t="inlineStr">
        <is>
          <t>Source_Domain</t>
        </is>
      </c>
      <c r="C1" s="6" t="inlineStr">
        <is>
          <t>Source_Document</t>
        </is>
      </c>
      <c r="D1" s="6" t="inlineStr">
        <is>
          <t>Source_Evidence_ID</t>
        </is>
      </c>
      <c r="E1" s="6" t="inlineStr">
        <is>
          <t>Evidence_Type</t>
        </is>
      </c>
      <c r="F1" s="6" t="inlineStr">
        <is>
          <t>Evidence_Description</t>
        </is>
      </c>
      <c r="G1" s="6" t="inlineStr">
        <is>
          <t>Related_Control_Area</t>
        </is>
      </c>
      <c r="H1" s="6" t="inlineStr">
        <is>
          <t>Collection_Date</t>
        </is>
      </c>
      <c r="I1" s="6" t="inlineStr">
        <is>
          <t>Evidence_Location</t>
        </is>
      </c>
      <c r="J1" s="6" t="inlineStr">
        <is>
          <t>Evidence_Status</t>
        </is>
      </c>
      <c r="K1" s="6" t="inlineStr">
        <is>
          <t>Verification_Status</t>
        </is>
      </c>
      <c r="L1" s="6" t="inlineStr">
        <is>
          <t>Audit_Reference</t>
        </is>
      </c>
      <c r="M1" s="6" t="inlineStr">
        <is>
          <t>Notes</t>
        </is>
      </c>
    </row>
    <row r="2">
      <c r="A2">
        <f>IF(B2&lt;&gt;"","EVD-"&amp;TEXT(ROW()-1,"000"),"")</f>
        <v/>
      </c>
      <c r="B2" s="19" t="n"/>
      <c r="C2" s="19" t="n"/>
      <c r="D2" s="19" t="n"/>
      <c r="E2" s="19" t="n"/>
      <c r="F2" s="19" t="n"/>
      <c r="G2" s="19" t="n"/>
      <c r="H2" s="22" t="n"/>
      <c r="I2" s="19" t="n"/>
      <c r="J2" s="19" t="inlineStr">
        <is>
          <t>Active</t>
        </is>
      </c>
      <c r="K2" s="19" t="inlineStr">
        <is>
          <t>Pending</t>
        </is>
      </c>
      <c r="L2" s="19" t="n"/>
      <c r="M2" s="19" t="n"/>
    </row>
    <row r="3">
      <c r="A3">
        <f>IF(B3&lt;&gt;"","EVD-"&amp;TEXT(ROW()-1,"000"),"")</f>
        <v/>
      </c>
      <c r="B3" s="19" t="n"/>
      <c r="C3" s="19" t="n"/>
      <c r="D3" s="19" t="n"/>
      <c r="E3" s="19" t="n"/>
      <c r="F3" s="19" t="n"/>
      <c r="G3" s="19" t="n"/>
      <c r="H3" s="22" t="n"/>
      <c r="I3" s="19" t="n"/>
      <c r="J3" s="19" t="inlineStr">
        <is>
          <t>Active</t>
        </is>
      </c>
      <c r="K3" s="19" t="inlineStr">
        <is>
          <t>Pending</t>
        </is>
      </c>
      <c r="L3" s="19" t="n"/>
      <c r="M3" s="19" t="n"/>
    </row>
    <row r="4">
      <c r="A4">
        <f>IF(B4&lt;&gt;"","EVD-"&amp;TEXT(ROW()-1,"000"),"")</f>
        <v/>
      </c>
      <c r="B4" s="19" t="n"/>
      <c r="C4" s="19" t="n"/>
      <c r="D4" s="19" t="n"/>
      <c r="E4" s="19" t="n"/>
      <c r="F4" s="19" t="n"/>
      <c r="G4" s="19" t="n"/>
      <c r="H4" s="22" t="n"/>
      <c r="I4" s="19" t="n"/>
      <c r="J4" s="19" t="inlineStr">
        <is>
          <t>Active</t>
        </is>
      </c>
      <c r="K4" s="19" t="inlineStr">
        <is>
          <t>Pending</t>
        </is>
      </c>
      <c r="L4" s="19" t="n"/>
      <c r="M4" s="19" t="n"/>
    </row>
    <row r="5">
      <c r="A5">
        <f>IF(B5&lt;&gt;"","EVD-"&amp;TEXT(ROW()-1,"000"),"")</f>
        <v/>
      </c>
      <c r="B5" s="19" t="n"/>
      <c r="C5" s="19" t="n"/>
      <c r="D5" s="19" t="n"/>
      <c r="E5" s="19" t="n"/>
      <c r="F5" s="19" t="n"/>
      <c r="G5" s="19" t="n"/>
      <c r="H5" s="22" t="n"/>
      <c r="I5" s="19" t="n"/>
      <c r="J5" s="19" t="inlineStr">
        <is>
          <t>Active</t>
        </is>
      </c>
      <c r="K5" s="19" t="inlineStr">
        <is>
          <t>Pending</t>
        </is>
      </c>
      <c r="L5" s="19" t="n"/>
      <c r="M5" s="19" t="n"/>
    </row>
    <row r="6">
      <c r="A6">
        <f>IF(B6&lt;&gt;"","EVD-"&amp;TEXT(ROW()-1,"000"),"")</f>
        <v/>
      </c>
      <c r="B6" s="19" t="n"/>
      <c r="C6" s="19" t="n"/>
      <c r="D6" s="19" t="n"/>
      <c r="E6" s="19" t="n"/>
      <c r="F6" s="19" t="n"/>
      <c r="G6" s="19" t="n"/>
      <c r="H6" s="22" t="n"/>
      <c r="I6" s="19" t="n"/>
      <c r="J6" s="19" t="inlineStr">
        <is>
          <t>Active</t>
        </is>
      </c>
      <c r="K6" s="19" t="inlineStr">
        <is>
          <t>Pending</t>
        </is>
      </c>
      <c r="L6" s="19" t="n"/>
      <c r="M6" s="19" t="n"/>
    </row>
    <row r="7">
      <c r="A7">
        <f>IF(B7&lt;&gt;"","EVD-"&amp;TEXT(ROW()-1,"000"),"")</f>
        <v/>
      </c>
      <c r="B7" s="19" t="n"/>
      <c r="C7" s="19" t="n"/>
      <c r="D7" s="19" t="n"/>
      <c r="E7" s="19" t="n"/>
      <c r="F7" s="19" t="n"/>
      <c r="G7" s="19" t="n"/>
      <c r="H7" s="22" t="n"/>
      <c r="I7" s="19" t="n"/>
      <c r="J7" s="19" t="inlineStr">
        <is>
          <t>Active</t>
        </is>
      </c>
      <c r="K7" s="19" t="inlineStr">
        <is>
          <t>Pending</t>
        </is>
      </c>
      <c r="L7" s="19" t="n"/>
      <c r="M7" s="19" t="n"/>
    </row>
    <row r="8">
      <c r="A8">
        <f>IF(B8&lt;&gt;"","EVD-"&amp;TEXT(ROW()-1,"000"),"")</f>
        <v/>
      </c>
      <c r="B8" s="19" t="n"/>
      <c r="C8" s="19" t="n"/>
      <c r="D8" s="19" t="n"/>
      <c r="E8" s="19" t="n"/>
      <c r="F8" s="19" t="n"/>
      <c r="G8" s="19" t="n"/>
      <c r="H8" s="22" t="n"/>
      <c r="I8" s="19" t="n"/>
      <c r="J8" s="19" t="inlineStr">
        <is>
          <t>Active</t>
        </is>
      </c>
      <c r="K8" s="19" t="inlineStr">
        <is>
          <t>Pending</t>
        </is>
      </c>
      <c r="L8" s="19" t="n"/>
      <c r="M8" s="19" t="n"/>
    </row>
    <row r="9">
      <c r="A9">
        <f>IF(B9&lt;&gt;"","EVD-"&amp;TEXT(ROW()-1,"000"),"")</f>
        <v/>
      </c>
      <c r="B9" s="19" t="n"/>
      <c r="C9" s="19" t="n"/>
      <c r="D9" s="19" t="n"/>
      <c r="E9" s="19" t="n"/>
      <c r="F9" s="19" t="n"/>
      <c r="G9" s="19" t="n"/>
      <c r="H9" s="22" t="n"/>
      <c r="I9" s="19" t="n"/>
      <c r="J9" s="19" t="inlineStr">
        <is>
          <t>Active</t>
        </is>
      </c>
      <c r="K9" s="19" t="inlineStr">
        <is>
          <t>Pending</t>
        </is>
      </c>
      <c r="L9" s="19" t="n"/>
      <c r="M9" s="19" t="n"/>
    </row>
    <row r="10">
      <c r="A10">
        <f>IF(B10&lt;&gt;"","EVD-"&amp;TEXT(ROW()-1,"000"),"")</f>
        <v/>
      </c>
      <c r="B10" s="19" t="n"/>
      <c r="C10" s="19" t="n"/>
      <c r="D10" s="19" t="n"/>
      <c r="E10" s="19" t="n"/>
      <c r="F10" s="19" t="n"/>
      <c r="G10" s="19" t="n"/>
      <c r="H10" s="22" t="n"/>
      <c r="I10" s="19" t="n"/>
      <c r="J10" s="19" t="inlineStr">
        <is>
          <t>Active</t>
        </is>
      </c>
      <c r="K10" s="19" t="inlineStr">
        <is>
          <t>Pending</t>
        </is>
      </c>
      <c r="L10" s="19" t="n"/>
      <c r="M10" s="19" t="n"/>
    </row>
    <row r="11">
      <c r="A11">
        <f>IF(B11&lt;&gt;"","EVD-"&amp;TEXT(ROW()-1,"000"),"")</f>
        <v/>
      </c>
      <c r="B11" s="19" t="n"/>
      <c r="C11" s="19" t="n"/>
      <c r="D11" s="19" t="n"/>
      <c r="E11" s="19" t="n"/>
      <c r="F11" s="19" t="n"/>
      <c r="G11" s="19" t="n"/>
      <c r="H11" s="22" t="n"/>
      <c r="I11" s="19" t="n"/>
      <c r="J11" s="19" t="inlineStr">
        <is>
          <t>Active</t>
        </is>
      </c>
      <c r="K11" s="19" t="inlineStr">
        <is>
          <t>Pending</t>
        </is>
      </c>
      <c r="L11" s="19" t="n"/>
      <c r="M11" s="19" t="n"/>
    </row>
    <row r="12">
      <c r="A12">
        <f>IF(B12&lt;&gt;"","EVD-"&amp;TEXT(ROW()-1,"000"),"")</f>
        <v/>
      </c>
      <c r="B12" s="19" t="n"/>
      <c r="C12" s="19" t="n"/>
      <c r="D12" s="19" t="n"/>
      <c r="E12" s="19" t="n"/>
      <c r="F12" s="19" t="n"/>
      <c r="G12" s="19" t="n"/>
      <c r="H12" s="22" t="n"/>
      <c r="I12" s="19" t="n"/>
      <c r="J12" s="19" t="inlineStr">
        <is>
          <t>Active</t>
        </is>
      </c>
      <c r="K12" s="19" t="inlineStr">
        <is>
          <t>Pending</t>
        </is>
      </c>
      <c r="L12" s="19" t="n"/>
      <c r="M12" s="19" t="n"/>
    </row>
    <row r="13">
      <c r="A13">
        <f>IF(B13&lt;&gt;"","EVD-"&amp;TEXT(ROW()-1,"000"),"")</f>
        <v/>
      </c>
      <c r="B13" s="19" t="n"/>
      <c r="C13" s="19" t="n"/>
      <c r="D13" s="19" t="n"/>
      <c r="E13" s="19" t="n"/>
      <c r="F13" s="19" t="n"/>
      <c r="G13" s="19" t="n"/>
      <c r="H13" s="22" t="n"/>
      <c r="I13" s="19" t="n"/>
      <c r="J13" s="19" t="inlineStr">
        <is>
          <t>Active</t>
        </is>
      </c>
      <c r="K13" s="19" t="inlineStr">
        <is>
          <t>Pending</t>
        </is>
      </c>
      <c r="L13" s="19" t="n"/>
      <c r="M13" s="19" t="n"/>
    </row>
    <row r="14">
      <c r="A14">
        <f>IF(B14&lt;&gt;"","EVD-"&amp;TEXT(ROW()-1,"000"),"")</f>
        <v/>
      </c>
      <c r="B14" s="19" t="n"/>
      <c r="C14" s="19" t="n"/>
      <c r="D14" s="19" t="n"/>
      <c r="E14" s="19" t="n"/>
      <c r="F14" s="19" t="n"/>
      <c r="G14" s="19" t="n"/>
      <c r="H14" s="22" t="n"/>
      <c r="I14" s="19" t="n"/>
      <c r="J14" s="19" t="inlineStr">
        <is>
          <t>Active</t>
        </is>
      </c>
      <c r="K14" s="19" t="inlineStr">
        <is>
          <t>Pending</t>
        </is>
      </c>
      <c r="L14" s="19" t="n"/>
      <c r="M14" s="19" t="n"/>
    </row>
    <row r="15">
      <c r="A15">
        <f>IF(B15&lt;&gt;"","EVD-"&amp;TEXT(ROW()-1,"000"),"")</f>
        <v/>
      </c>
      <c r="B15" s="19" t="n"/>
      <c r="C15" s="19" t="n"/>
      <c r="D15" s="19" t="n"/>
      <c r="E15" s="19" t="n"/>
      <c r="F15" s="19" t="n"/>
      <c r="G15" s="19" t="n"/>
      <c r="H15" s="22" t="n"/>
      <c r="I15" s="19" t="n"/>
      <c r="J15" s="19" t="inlineStr">
        <is>
          <t>Active</t>
        </is>
      </c>
      <c r="K15" s="19" t="inlineStr">
        <is>
          <t>Pending</t>
        </is>
      </c>
      <c r="L15" s="19" t="n"/>
      <c r="M15" s="19" t="n"/>
    </row>
    <row r="16">
      <c r="A16">
        <f>IF(B16&lt;&gt;"","EVD-"&amp;TEXT(ROW()-1,"000"),"")</f>
        <v/>
      </c>
      <c r="B16" s="19" t="n"/>
      <c r="C16" s="19" t="n"/>
      <c r="D16" s="19" t="n"/>
      <c r="E16" s="19" t="n"/>
      <c r="F16" s="19" t="n"/>
      <c r="G16" s="19" t="n"/>
      <c r="H16" s="22" t="n"/>
      <c r="I16" s="19" t="n"/>
      <c r="J16" s="19" t="inlineStr">
        <is>
          <t>Active</t>
        </is>
      </c>
      <c r="K16" s="19" t="inlineStr">
        <is>
          <t>Pending</t>
        </is>
      </c>
      <c r="L16" s="19" t="n"/>
      <c r="M16" s="19" t="n"/>
    </row>
    <row r="17">
      <c r="A17">
        <f>IF(B17&lt;&gt;"","EVD-"&amp;TEXT(ROW()-1,"000"),"")</f>
        <v/>
      </c>
      <c r="B17" s="19" t="n"/>
      <c r="C17" s="19" t="n"/>
      <c r="D17" s="19" t="n"/>
      <c r="E17" s="19" t="n"/>
      <c r="F17" s="19" t="n"/>
      <c r="G17" s="19" t="n"/>
      <c r="H17" s="22" t="n"/>
      <c r="I17" s="19" t="n"/>
      <c r="J17" s="19" t="inlineStr">
        <is>
          <t>Active</t>
        </is>
      </c>
      <c r="K17" s="19" t="inlineStr">
        <is>
          <t>Pending</t>
        </is>
      </c>
      <c r="L17" s="19" t="n"/>
      <c r="M17" s="19" t="n"/>
    </row>
    <row r="18">
      <c r="A18">
        <f>IF(B18&lt;&gt;"","EVD-"&amp;TEXT(ROW()-1,"000"),"")</f>
        <v/>
      </c>
      <c r="B18" s="19" t="n"/>
      <c r="C18" s="19" t="n"/>
      <c r="D18" s="19" t="n"/>
      <c r="E18" s="19" t="n"/>
      <c r="F18" s="19" t="n"/>
      <c r="G18" s="19" t="n"/>
      <c r="H18" s="22" t="n"/>
      <c r="I18" s="19" t="n"/>
      <c r="J18" s="19" t="inlineStr">
        <is>
          <t>Active</t>
        </is>
      </c>
      <c r="K18" s="19" t="inlineStr">
        <is>
          <t>Pending</t>
        </is>
      </c>
      <c r="L18" s="19" t="n"/>
      <c r="M18" s="19" t="n"/>
    </row>
    <row r="19">
      <c r="A19">
        <f>IF(B19&lt;&gt;"","EVD-"&amp;TEXT(ROW()-1,"000"),"")</f>
        <v/>
      </c>
      <c r="B19" s="19" t="n"/>
      <c r="C19" s="19" t="n"/>
      <c r="D19" s="19" t="n"/>
      <c r="E19" s="19" t="n"/>
      <c r="F19" s="19" t="n"/>
      <c r="G19" s="19" t="n"/>
      <c r="H19" s="22" t="n"/>
      <c r="I19" s="19" t="n"/>
      <c r="J19" s="19" t="inlineStr">
        <is>
          <t>Active</t>
        </is>
      </c>
      <c r="K19" s="19" t="inlineStr">
        <is>
          <t>Pending</t>
        </is>
      </c>
      <c r="L19" s="19" t="n"/>
      <c r="M19" s="19" t="n"/>
    </row>
    <row r="20">
      <c r="A20">
        <f>IF(B20&lt;&gt;"","EVD-"&amp;TEXT(ROW()-1,"000"),"")</f>
        <v/>
      </c>
      <c r="B20" s="19" t="n"/>
      <c r="C20" s="19" t="n"/>
      <c r="D20" s="19" t="n"/>
      <c r="E20" s="19" t="n"/>
      <c r="F20" s="19" t="n"/>
      <c r="G20" s="19" t="n"/>
      <c r="H20" s="22" t="n"/>
      <c r="I20" s="19" t="n"/>
      <c r="J20" s="19" t="inlineStr">
        <is>
          <t>Active</t>
        </is>
      </c>
      <c r="K20" s="19" t="inlineStr">
        <is>
          <t>Pending</t>
        </is>
      </c>
      <c r="L20" s="19" t="n"/>
      <c r="M20" s="19" t="n"/>
    </row>
    <row r="21">
      <c r="A21">
        <f>IF(B21&lt;&gt;"","EVD-"&amp;TEXT(ROW()-1,"000"),"")</f>
        <v/>
      </c>
      <c r="B21" s="19" t="n"/>
      <c r="C21" s="19" t="n"/>
      <c r="D21" s="19" t="n"/>
      <c r="E21" s="19" t="n"/>
      <c r="F21" s="19" t="n"/>
      <c r="G21" s="19" t="n"/>
      <c r="H21" s="22" t="n"/>
      <c r="I21" s="19" t="n"/>
      <c r="J21" s="19" t="inlineStr">
        <is>
          <t>Active</t>
        </is>
      </c>
      <c r="K21" s="19" t="inlineStr">
        <is>
          <t>Pending</t>
        </is>
      </c>
      <c r="L21" s="19" t="n"/>
      <c r="M21" s="19" t="n"/>
    </row>
    <row r="22">
      <c r="A22">
        <f>IF(B22&lt;&gt;"","EVD-"&amp;TEXT(ROW()-1,"000"),"")</f>
        <v/>
      </c>
      <c r="B22" s="19" t="n"/>
      <c r="C22" s="19" t="n"/>
      <c r="D22" s="19" t="n"/>
      <c r="E22" s="19" t="n"/>
      <c r="F22" s="19" t="n"/>
      <c r="G22" s="19" t="n"/>
      <c r="H22" s="22" t="n"/>
      <c r="I22" s="19" t="n"/>
      <c r="J22" s="19" t="inlineStr">
        <is>
          <t>Active</t>
        </is>
      </c>
      <c r="K22" s="19" t="inlineStr">
        <is>
          <t>Pending</t>
        </is>
      </c>
      <c r="L22" s="19" t="n"/>
      <c r="M22" s="19" t="n"/>
    </row>
    <row r="23">
      <c r="A23">
        <f>IF(B23&lt;&gt;"","EVD-"&amp;TEXT(ROW()-1,"000"),"")</f>
        <v/>
      </c>
      <c r="B23" s="19" t="n"/>
      <c r="C23" s="19" t="n"/>
      <c r="D23" s="19" t="n"/>
      <c r="E23" s="19" t="n"/>
      <c r="F23" s="19" t="n"/>
      <c r="G23" s="19" t="n"/>
      <c r="H23" s="22" t="n"/>
      <c r="I23" s="19" t="n"/>
      <c r="J23" s="19" t="inlineStr">
        <is>
          <t>Active</t>
        </is>
      </c>
      <c r="K23" s="19" t="inlineStr">
        <is>
          <t>Pending</t>
        </is>
      </c>
      <c r="L23" s="19" t="n"/>
      <c r="M23" s="19" t="n"/>
    </row>
    <row r="24">
      <c r="A24">
        <f>IF(B24&lt;&gt;"","EVD-"&amp;TEXT(ROW()-1,"000"),"")</f>
        <v/>
      </c>
      <c r="B24" s="19" t="n"/>
      <c r="C24" s="19" t="n"/>
      <c r="D24" s="19" t="n"/>
      <c r="E24" s="19" t="n"/>
      <c r="F24" s="19" t="n"/>
      <c r="G24" s="19" t="n"/>
      <c r="H24" s="22" t="n"/>
      <c r="I24" s="19" t="n"/>
      <c r="J24" s="19" t="inlineStr">
        <is>
          <t>Active</t>
        </is>
      </c>
      <c r="K24" s="19" t="inlineStr">
        <is>
          <t>Pending</t>
        </is>
      </c>
      <c r="L24" s="19" t="n"/>
      <c r="M24" s="19" t="n"/>
    </row>
    <row r="25">
      <c r="A25">
        <f>IF(B25&lt;&gt;"","EVD-"&amp;TEXT(ROW()-1,"000"),"")</f>
        <v/>
      </c>
      <c r="B25" s="19" t="n"/>
      <c r="C25" s="19" t="n"/>
      <c r="D25" s="19" t="n"/>
      <c r="E25" s="19" t="n"/>
      <c r="F25" s="19" t="n"/>
      <c r="G25" s="19" t="n"/>
      <c r="H25" s="22" t="n"/>
      <c r="I25" s="19" t="n"/>
      <c r="J25" s="19" t="inlineStr">
        <is>
          <t>Active</t>
        </is>
      </c>
      <c r="K25" s="19" t="inlineStr">
        <is>
          <t>Pending</t>
        </is>
      </c>
      <c r="L25" s="19" t="n"/>
      <c r="M25" s="19" t="n"/>
    </row>
    <row r="26">
      <c r="A26">
        <f>IF(B26&lt;&gt;"","EVD-"&amp;TEXT(ROW()-1,"000"),"")</f>
        <v/>
      </c>
      <c r="B26" s="19" t="n"/>
      <c r="C26" s="19" t="n"/>
      <c r="D26" s="19" t="n"/>
      <c r="E26" s="19" t="n"/>
      <c r="F26" s="19" t="n"/>
      <c r="G26" s="19" t="n"/>
      <c r="H26" s="22" t="n"/>
      <c r="I26" s="19" t="n"/>
      <c r="J26" s="19" t="inlineStr">
        <is>
          <t>Active</t>
        </is>
      </c>
      <c r="K26" s="19" t="inlineStr">
        <is>
          <t>Pending</t>
        </is>
      </c>
      <c r="L26" s="19" t="n"/>
      <c r="M26" s="19" t="n"/>
    </row>
    <row r="27">
      <c r="A27">
        <f>IF(B27&lt;&gt;"","EVD-"&amp;TEXT(ROW()-1,"000"),"")</f>
        <v/>
      </c>
      <c r="B27" s="19" t="n"/>
      <c r="C27" s="19" t="n"/>
      <c r="D27" s="19" t="n"/>
      <c r="E27" s="19" t="n"/>
      <c r="F27" s="19" t="n"/>
      <c r="G27" s="19" t="n"/>
      <c r="H27" s="22" t="n"/>
      <c r="I27" s="19" t="n"/>
      <c r="J27" s="19" t="inlineStr">
        <is>
          <t>Active</t>
        </is>
      </c>
      <c r="K27" s="19" t="inlineStr">
        <is>
          <t>Pending</t>
        </is>
      </c>
      <c r="L27" s="19" t="n"/>
      <c r="M27" s="19" t="n"/>
    </row>
    <row r="28">
      <c r="A28">
        <f>IF(B28&lt;&gt;"","EVD-"&amp;TEXT(ROW()-1,"000"),"")</f>
        <v/>
      </c>
      <c r="B28" s="19" t="n"/>
      <c r="C28" s="19" t="n"/>
      <c r="D28" s="19" t="n"/>
      <c r="E28" s="19" t="n"/>
      <c r="F28" s="19" t="n"/>
      <c r="G28" s="19" t="n"/>
      <c r="H28" s="22" t="n"/>
      <c r="I28" s="19" t="n"/>
      <c r="J28" s="19" t="inlineStr">
        <is>
          <t>Active</t>
        </is>
      </c>
      <c r="K28" s="19" t="inlineStr">
        <is>
          <t>Pending</t>
        </is>
      </c>
      <c r="L28" s="19" t="n"/>
      <c r="M28" s="19" t="n"/>
    </row>
    <row r="29">
      <c r="A29">
        <f>IF(B29&lt;&gt;"","EVD-"&amp;TEXT(ROW()-1,"000"),"")</f>
        <v/>
      </c>
      <c r="B29" s="19" t="n"/>
      <c r="C29" s="19" t="n"/>
      <c r="D29" s="19" t="n"/>
      <c r="E29" s="19" t="n"/>
      <c r="F29" s="19" t="n"/>
      <c r="G29" s="19" t="n"/>
      <c r="H29" s="22" t="n"/>
      <c r="I29" s="19" t="n"/>
      <c r="J29" s="19" t="inlineStr">
        <is>
          <t>Active</t>
        </is>
      </c>
      <c r="K29" s="19" t="inlineStr">
        <is>
          <t>Pending</t>
        </is>
      </c>
      <c r="L29" s="19" t="n"/>
      <c r="M29" s="19" t="n"/>
    </row>
    <row r="30">
      <c r="A30">
        <f>IF(B30&lt;&gt;"","EVD-"&amp;TEXT(ROW()-1,"000"),"")</f>
        <v/>
      </c>
      <c r="B30" s="19" t="n"/>
      <c r="C30" s="19" t="n"/>
      <c r="D30" s="19" t="n"/>
      <c r="E30" s="19" t="n"/>
      <c r="F30" s="19" t="n"/>
      <c r="G30" s="19" t="n"/>
      <c r="H30" s="22" t="n"/>
      <c r="I30" s="19" t="n"/>
      <c r="J30" s="19" t="inlineStr">
        <is>
          <t>Active</t>
        </is>
      </c>
      <c r="K30" s="19" t="inlineStr">
        <is>
          <t>Pending</t>
        </is>
      </c>
      <c r="L30" s="19" t="n"/>
      <c r="M30" s="19" t="n"/>
    </row>
    <row r="31">
      <c r="A31">
        <f>IF(B31&lt;&gt;"","EVD-"&amp;TEXT(ROW()-1,"000"),"")</f>
        <v/>
      </c>
      <c r="B31" s="19" t="n"/>
      <c r="C31" s="19" t="n"/>
      <c r="D31" s="19" t="n"/>
      <c r="E31" s="19" t="n"/>
      <c r="F31" s="19" t="n"/>
      <c r="G31" s="19" t="n"/>
      <c r="H31" s="22" t="n"/>
      <c r="I31" s="19" t="n"/>
      <c r="J31" s="19" t="inlineStr">
        <is>
          <t>Active</t>
        </is>
      </c>
      <c r="K31" s="19" t="inlineStr">
        <is>
          <t>Pending</t>
        </is>
      </c>
      <c r="L31" s="19" t="n"/>
      <c r="M31" s="19" t="n"/>
    </row>
    <row r="32">
      <c r="A32">
        <f>IF(B32&lt;&gt;"","EVD-"&amp;TEXT(ROW()-1,"000"),"")</f>
        <v/>
      </c>
      <c r="B32" s="19" t="n"/>
      <c r="C32" s="19" t="n"/>
      <c r="D32" s="19" t="n"/>
      <c r="E32" s="19" t="n"/>
      <c r="F32" s="19" t="n"/>
      <c r="G32" s="19" t="n"/>
      <c r="H32" s="22" t="n"/>
      <c r="I32" s="19" t="n"/>
      <c r="J32" s="19" t="inlineStr">
        <is>
          <t>Active</t>
        </is>
      </c>
      <c r="K32" s="19" t="inlineStr">
        <is>
          <t>Pending</t>
        </is>
      </c>
      <c r="L32" s="19" t="n"/>
      <c r="M32" s="19" t="n"/>
    </row>
    <row r="33">
      <c r="A33">
        <f>IF(B33&lt;&gt;"","EVD-"&amp;TEXT(ROW()-1,"000"),"")</f>
        <v/>
      </c>
      <c r="B33" s="19" t="n"/>
      <c r="C33" s="19" t="n"/>
      <c r="D33" s="19" t="n"/>
      <c r="E33" s="19" t="n"/>
      <c r="F33" s="19" t="n"/>
      <c r="G33" s="19" t="n"/>
      <c r="H33" s="22" t="n"/>
      <c r="I33" s="19" t="n"/>
      <c r="J33" s="19" t="inlineStr">
        <is>
          <t>Active</t>
        </is>
      </c>
      <c r="K33" s="19" t="inlineStr">
        <is>
          <t>Pending</t>
        </is>
      </c>
      <c r="L33" s="19" t="n"/>
      <c r="M33" s="19" t="n"/>
    </row>
    <row r="34">
      <c r="A34">
        <f>IF(B34&lt;&gt;"","EVD-"&amp;TEXT(ROW()-1,"000"),"")</f>
        <v/>
      </c>
      <c r="B34" s="19" t="n"/>
      <c r="C34" s="19" t="n"/>
      <c r="D34" s="19" t="n"/>
      <c r="E34" s="19" t="n"/>
      <c r="F34" s="19" t="n"/>
      <c r="G34" s="19" t="n"/>
      <c r="H34" s="22" t="n"/>
      <c r="I34" s="19" t="n"/>
      <c r="J34" s="19" t="inlineStr">
        <is>
          <t>Active</t>
        </is>
      </c>
      <c r="K34" s="19" t="inlineStr">
        <is>
          <t>Pending</t>
        </is>
      </c>
      <c r="L34" s="19" t="n"/>
      <c r="M34" s="19" t="n"/>
    </row>
    <row r="35">
      <c r="A35">
        <f>IF(B35&lt;&gt;"","EVD-"&amp;TEXT(ROW()-1,"000"),"")</f>
        <v/>
      </c>
      <c r="B35" s="19" t="n"/>
      <c r="C35" s="19" t="n"/>
      <c r="D35" s="19" t="n"/>
      <c r="E35" s="19" t="n"/>
      <c r="F35" s="19" t="n"/>
      <c r="G35" s="19" t="n"/>
      <c r="H35" s="22" t="n"/>
      <c r="I35" s="19" t="n"/>
      <c r="J35" s="19" t="inlineStr">
        <is>
          <t>Active</t>
        </is>
      </c>
      <c r="K35" s="19" t="inlineStr">
        <is>
          <t>Pending</t>
        </is>
      </c>
      <c r="L35" s="19" t="n"/>
      <c r="M35" s="19" t="n"/>
    </row>
    <row r="36">
      <c r="A36">
        <f>IF(B36&lt;&gt;"","EVD-"&amp;TEXT(ROW()-1,"000"),"")</f>
        <v/>
      </c>
      <c r="B36" s="19" t="n"/>
      <c r="C36" s="19" t="n"/>
      <c r="D36" s="19" t="n"/>
      <c r="E36" s="19" t="n"/>
      <c r="F36" s="19" t="n"/>
      <c r="G36" s="19" t="n"/>
      <c r="H36" s="22" t="n"/>
      <c r="I36" s="19" t="n"/>
      <c r="J36" s="19" t="inlineStr">
        <is>
          <t>Active</t>
        </is>
      </c>
      <c r="K36" s="19" t="inlineStr">
        <is>
          <t>Pending</t>
        </is>
      </c>
      <c r="L36" s="19" t="n"/>
      <c r="M36" s="19" t="n"/>
    </row>
    <row r="37">
      <c r="A37">
        <f>IF(B37&lt;&gt;"","EVD-"&amp;TEXT(ROW()-1,"000"),"")</f>
        <v/>
      </c>
      <c r="B37" s="19" t="n"/>
      <c r="C37" s="19" t="n"/>
      <c r="D37" s="19" t="n"/>
      <c r="E37" s="19" t="n"/>
      <c r="F37" s="19" t="n"/>
      <c r="G37" s="19" t="n"/>
      <c r="H37" s="22" t="n"/>
      <c r="I37" s="19" t="n"/>
      <c r="J37" s="19" t="inlineStr">
        <is>
          <t>Active</t>
        </is>
      </c>
      <c r="K37" s="19" t="inlineStr">
        <is>
          <t>Pending</t>
        </is>
      </c>
      <c r="L37" s="19" t="n"/>
      <c r="M37" s="19" t="n"/>
    </row>
    <row r="38">
      <c r="A38">
        <f>IF(B38&lt;&gt;"","EVD-"&amp;TEXT(ROW()-1,"000"),"")</f>
        <v/>
      </c>
      <c r="B38" s="19" t="n"/>
      <c r="C38" s="19" t="n"/>
      <c r="D38" s="19" t="n"/>
      <c r="E38" s="19" t="n"/>
      <c r="F38" s="19" t="n"/>
      <c r="G38" s="19" t="n"/>
      <c r="H38" s="22" t="n"/>
      <c r="I38" s="19" t="n"/>
      <c r="J38" s="19" t="inlineStr">
        <is>
          <t>Active</t>
        </is>
      </c>
      <c r="K38" s="19" t="inlineStr">
        <is>
          <t>Pending</t>
        </is>
      </c>
      <c r="L38" s="19" t="n"/>
      <c r="M38" s="19" t="n"/>
    </row>
    <row r="39">
      <c r="A39">
        <f>IF(B39&lt;&gt;"","EVD-"&amp;TEXT(ROW()-1,"000"),"")</f>
        <v/>
      </c>
      <c r="B39" s="19" t="n"/>
      <c r="C39" s="19" t="n"/>
      <c r="D39" s="19" t="n"/>
      <c r="E39" s="19" t="n"/>
      <c r="F39" s="19" t="n"/>
      <c r="G39" s="19" t="n"/>
      <c r="H39" s="22" t="n"/>
      <c r="I39" s="19" t="n"/>
      <c r="J39" s="19" t="inlineStr">
        <is>
          <t>Active</t>
        </is>
      </c>
      <c r="K39" s="19" t="inlineStr">
        <is>
          <t>Pending</t>
        </is>
      </c>
      <c r="L39" s="19" t="n"/>
      <c r="M39" s="19" t="n"/>
    </row>
    <row r="40">
      <c r="A40">
        <f>IF(B40&lt;&gt;"","EVD-"&amp;TEXT(ROW()-1,"000"),"")</f>
        <v/>
      </c>
      <c r="B40" s="19" t="n"/>
      <c r="C40" s="19" t="n"/>
      <c r="D40" s="19" t="n"/>
      <c r="E40" s="19" t="n"/>
      <c r="F40" s="19" t="n"/>
      <c r="G40" s="19" t="n"/>
      <c r="H40" s="22" t="n"/>
      <c r="I40" s="19" t="n"/>
      <c r="J40" s="19" t="inlineStr">
        <is>
          <t>Active</t>
        </is>
      </c>
      <c r="K40" s="19" t="inlineStr">
        <is>
          <t>Pending</t>
        </is>
      </c>
      <c r="L40" s="19" t="n"/>
      <c r="M40" s="19" t="n"/>
    </row>
    <row r="41">
      <c r="A41">
        <f>IF(B41&lt;&gt;"","EVD-"&amp;TEXT(ROW()-1,"000"),"")</f>
        <v/>
      </c>
      <c r="B41" s="19" t="n"/>
      <c r="C41" s="19" t="n"/>
      <c r="D41" s="19" t="n"/>
      <c r="E41" s="19" t="n"/>
      <c r="F41" s="19" t="n"/>
      <c r="G41" s="19" t="n"/>
      <c r="H41" s="22" t="n"/>
      <c r="I41" s="19" t="n"/>
      <c r="J41" s="19" t="inlineStr">
        <is>
          <t>Active</t>
        </is>
      </c>
      <c r="K41" s="19" t="inlineStr">
        <is>
          <t>Pending</t>
        </is>
      </c>
      <c r="L41" s="19" t="n"/>
      <c r="M41" s="19" t="n"/>
    </row>
    <row r="42">
      <c r="A42">
        <f>IF(B42&lt;&gt;"","EVD-"&amp;TEXT(ROW()-1,"000"),"")</f>
        <v/>
      </c>
      <c r="B42" s="19" t="n"/>
      <c r="C42" s="19" t="n"/>
      <c r="D42" s="19" t="n"/>
      <c r="E42" s="19" t="n"/>
      <c r="F42" s="19" t="n"/>
      <c r="G42" s="19" t="n"/>
      <c r="H42" s="22" t="n"/>
      <c r="I42" s="19" t="n"/>
      <c r="J42" s="19" t="inlineStr">
        <is>
          <t>Active</t>
        </is>
      </c>
      <c r="K42" s="19" t="inlineStr">
        <is>
          <t>Pending</t>
        </is>
      </c>
      <c r="L42" s="19" t="n"/>
      <c r="M42" s="19" t="n"/>
    </row>
    <row r="43">
      <c r="A43">
        <f>IF(B43&lt;&gt;"","EVD-"&amp;TEXT(ROW()-1,"000"),"")</f>
        <v/>
      </c>
      <c r="B43" s="19" t="n"/>
      <c r="C43" s="19" t="n"/>
      <c r="D43" s="19" t="n"/>
      <c r="E43" s="19" t="n"/>
      <c r="F43" s="19" t="n"/>
      <c r="G43" s="19" t="n"/>
      <c r="H43" s="22" t="n"/>
      <c r="I43" s="19" t="n"/>
      <c r="J43" s="19" t="inlineStr">
        <is>
          <t>Active</t>
        </is>
      </c>
      <c r="K43" s="19" t="inlineStr">
        <is>
          <t>Pending</t>
        </is>
      </c>
      <c r="L43" s="19" t="n"/>
      <c r="M43" s="19" t="n"/>
    </row>
    <row r="44">
      <c r="A44">
        <f>IF(B44&lt;&gt;"","EVD-"&amp;TEXT(ROW()-1,"000"),"")</f>
        <v/>
      </c>
      <c r="B44" s="19" t="n"/>
      <c r="C44" s="19" t="n"/>
      <c r="D44" s="19" t="n"/>
      <c r="E44" s="19" t="n"/>
      <c r="F44" s="19" t="n"/>
      <c r="G44" s="19" t="n"/>
      <c r="H44" s="22" t="n"/>
      <c r="I44" s="19" t="n"/>
      <c r="J44" s="19" t="inlineStr">
        <is>
          <t>Active</t>
        </is>
      </c>
      <c r="K44" s="19" t="inlineStr">
        <is>
          <t>Pending</t>
        </is>
      </c>
      <c r="L44" s="19" t="n"/>
      <c r="M44" s="19" t="n"/>
    </row>
    <row r="45">
      <c r="A45">
        <f>IF(B45&lt;&gt;"","EVD-"&amp;TEXT(ROW()-1,"000"),"")</f>
        <v/>
      </c>
      <c r="B45" s="19" t="n"/>
      <c r="C45" s="19" t="n"/>
      <c r="D45" s="19" t="n"/>
      <c r="E45" s="19" t="n"/>
      <c r="F45" s="19" t="n"/>
      <c r="G45" s="19" t="n"/>
      <c r="H45" s="22" t="n"/>
      <c r="I45" s="19" t="n"/>
      <c r="J45" s="19" t="inlineStr">
        <is>
          <t>Active</t>
        </is>
      </c>
      <c r="K45" s="19" t="inlineStr">
        <is>
          <t>Pending</t>
        </is>
      </c>
      <c r="L45" s="19" t="n"/>
      <c r="M45" s="19" t="n"/>
    </row>
    <row r="46">
      <c r="A46">
        <f>IF(B46&lt;&gt;"","EVD-"&amp;TEXT(ROW()-1,"000"),"")</f>
        <v/>
      </c>
      <c r="B46" s="19" t="n"/>
      <c r="C46" s="19" t="n"/>
      <c r="D46" s="19" t="n"/>
      <c r="E46" s="19" t="n"/>
      <c r="F46" s="19" t="n"/>
      <c r="G46" s="19" t="n"/>
      <c r="H46" s="22" t="n"/>
      <c r="I46" s="19" t="n"/>
      <c r="J46" s="19" t="inlineStr">
        <is>
          <t>Active</t>
        </is>
      </c>
      <c r="K46" s="19" t="inlineStr">
        <is>
          <t>Pending</t>
        </is>
      </c>
      <c r="L46" s="19" t="n"/>
      <c r="M46" s="19" t="n"/>
    </row>
    <row r="47">
      <c r="A47">
        <f>IF(B47&lt;&gt;"","EVD-"&amp;TEXT(ROW()-1,"000"),"")</f>
        <v/>
      </c>
      <c r="B47" s="19" t="n"/>
      <c r="C47" s="19" t="n"/>
      <c r="D47" s="19" t="n"/>
      <c r="E47" s="19" t="n"/>
      <c r="F47" s="19" t="n"/>
      <c r="G47" s="19" t="n"/>
      <c r="H47" s="22" t="n"/>
      <c r="I47" s="19" t="n"/>
      <c r="J47" s="19" t="inlineStr">
        <is>
          <t>Active</t>
        </is>
      </c>
      <c r="K47" s="19" t="inlineStr">
        <is>
          <t>Pending</t>
        </is>
      </c>
      <c r="L47" s="19" t="n"/>
      <c r="M47" s="19" t="n"/>
    </row>
    <row r="48">
      <c r="A48">
        <f>IF(B48&lt;&gt;"","EVD-"&amp;TEXT(ROW()-1,"000"),"")</f>
        <v/>
      </c>
      <c r="B48" s="19" t="n"/>
      <c r="C48" s="19" t="n"/>
      <c r="D48" s="19" t="n"/>
      <c r="E48" s="19" t="n"/>
      <c r="F48" s="19" t="n"/>
      <c r="G48" s="19" t="n"/>
      <c r="H48" s="22" t="n"/>
      <c r="I48" s="19" t="n"/>
      <c r="J48" s="19" t="inlineStr">
        <is>
          <t>Active</t>
        </is>
      </c>
      <c r="K48" s="19" t="inlineStr">
        <is>
          <t>Pending</t>
        </is>
      </c>
      <c r="L48" s="19" t="n"/>
      <c r="M48" s="19" t="n"/>
    </row>
    <row r="49">
      <c r="A49">
        <f>IF(B49&lt;&gt;"","EVD-"&amp;TEXT(ROW()-1,"000"),"")</f>
        <v/>
      </c>
      <c r="B49" s="19" t="n"/>
      <c r="C49" s="19" t="n"/>
      <c r="D49" s="19" t="n"/>
      <c r="E49" s="19" t="n"/>
      <c r="F49" s="19" t="n"/>
      <c r="G49" s="19" t="n"/>
      <c r="H49" s="22" t="n"/>
      <c r="I49" s="19" t="n"/>
      <c r="J49" s="19" t="inlineStr">
        <is>
          <t>Active</t>
        </is>
      </c>
      <c r="K49" s="19" t="inlineStr">
        <is>
          <t>Pending</t>
        </is>
      </c>
      <c r="L49" s="19" t="n"/>
      <c r="M49" s="19" t="n"/>
    </row>
    <row r="50">
      <c r="A50">
        <f>IF(B50&lt;&gt;"","EVD-"&amp;TEXT(ROW()-1,"000"),"")</f>
        <v/>
      </c>
      <c r="B50" s="19" t="n"/>
      <c r="C50" s="19" t="n"/>
      <c r="D50" s="19" t="n"/>
      <c r="E50" s="19" t="n"/>
      <c r="F50" s="19" t="n"/>
      <c r="G50" s="19" t="n"/>
      <c r="H50" s="22" t="n"/>
      <c r="I50" s="19" t="n"/>
      <c r="J50" s="19" t="inlineStr">
        <is>
          <t>Active</t>
        </is>
      </c>
      <c r="K50" s="19" t="inlineStr">
        <is>
          <t>Pending</t>
        </is>
      </c>
      <c r="L50" s="19" t="n"/>
      <c r="M50" s="19" t="n"/>
    </row>
    <row r="51">
      <c r="A51">
        <f>IF(B51&lt;&gt;"","EVD-"&amp;TEXT(ROW()-1,"000"),"")</f>
        <v/>
      </c>
      <c r="B51" s="19" t="n"/>
      <c r="C51" s="19" t="n"/>
      <c r="D51" s="19" t="n"/>
      <c r="E51" s="19" t="n"/>
      <c r="F51" s="19" t="n"/>
      <c r="G51" s="19" t="n"/>
      <c r="H51" s="22" t="n"/>
      <c r="I51" s="19" t="n"/>
      <c r="J51" s="19" t="inlineStr">
        <is>
          <t>Active</t>
        </is>
      </c>
      <c r="K51" s="19" t="inlineStr">
        <is>
          <t>Pending</t>
        </is>
      </c>
      <c r="L51" s="19" t="n"/>
      <c r="M51" s="19" t="n"/>
    </row>
    <row r="52">
      <c r="A52">
        <f>IF(B52&lt;&gt;"","EVD-"&amp;TEXT(ROW()-1,"000"),"")</f>
        <v/>
      </c>
      <c r="B52" s="19" t="n"/>
      <c r="C52" s="19" t="n"/>
      <c r="D52" s="19" t="n"/>
      <c r="E52" s="19" t="n"/>
      <c r="F52" s="19" t="n"/>
      <c r="G52" s="19" t="n"/>
      <c r="H52" s="22" t="n"/>
      <c r="I52" s="19" t="n"/>
      <c r="J52" s="19" t="inlineStr">
        <is>
          <t>Active</t>
        </is>
      </c>
      <c r="K52" s="19" t="inlineStr">
        <is>
          <t>Pending</t>
        </is>
      </c>
      <c r="L52" s="19" t="n"/>
      <c r="M52" s="19" t="n"/>
    </row>
    <row r="53">
      <c r="A53">
        <f>IF(B53&lt;&gt;"","EVD-"&amp;TEXT(ROW()-1,"000"),"")</f>
        <v/>
      </c>
      <c r="B53" s="19" t="n"/>
      <c r="C53" s="19" t="n"/>
      <c r="D53" s="19" t="n"/>
      <c r="E53" s="19" t="n"/>
      <c r="F53" s="19" t="n"/>
      <c r="G53" s="19" t="n"/>
      <c r="H53" s="22" t="n"/>
      <c r="I53" s="19" t="n"/>
      <c r="J53" s="19" t="inlineStr">
        <is>
          <t>Active</t>
        </is>
      </c>
      <c r="K53" s="19" t="inlineStr">
        <is>
          <t>Pending</t>
        </is>
      </c>
      <c r="L53" s="19" t="n"/>
      <c r="M53" s="19" t="n"/>
    </row>
    <row r="54">
      <c r="A54">
        <f>IF(B54&lt;&gt;"","EVD-"&amp;TEXT(ROW()-1,"000"),"")</f>
        <v/>
      </c>
      <c r="B54" s="19" t="n"/>
      <c r="C54" s="19" t="n"/>
      <c r="D54" s="19" t="n"/>
      <c r="E54" s="19" t="n"/>
      <c r="F54" s="19" t="n"/>
      <c r="G54" s="19" t="n"/>
      <c r="H54" s="22" t="n"/>
      <c r="I54" s="19" t="n"/>
      <c r="J54" s="19" t="inlineStr">
        <is>
          <t>Active</t>
        </is>
      </c>
      <c r="K54" s="19" t="inlineStr">
        <is>
          <t>Pending</t>
        </is>
      </c>
      <c r="L54" s="19" t="n"/>
      <c r="M54" s="19" t="n"/>
    </row>
    <row r="55">
      <c r="A55">
        <f>IF(B55&lt;&gt;"","EVD-"&amp;TEXT(ROW()-1,"000"),"")</f>
        <v/>
      </c>
      <c r="B55" s="19" t="n"/>
      <c r="C55" s="19" t="n"/>
      <c r="D55" s="19" t="n"/>
      <c r="E55" s="19" t="n"/>
      <c r="F55" s="19" t="n"/>
      <c r="G55" s="19" t="n"/>
      <c r="H55" s="22" t="n"/>
      <c r="I55" s="19" t="n"/>
      <c r="J55" s="19" t="inlineStr">
        <is>
          <t>Active</t>
        </is>
      </c>
      <c r="K55" s="19" t="inlineStr">
        <is>
          <t>Pending</t>
        </is>
      </c>
      <c r="L55" s="19" t="n"/>
      <c r="M55" s="19" t="n"/>
    </row>
    <row r="56">
      <c r="A56">
        <f>IF(B56&lt;&gt;"","EVD-"&amp;TEXT(ROW()-1,"000"),"")</f>
        <v/>
      </c>
      <c r="B56" s="19" t="n"/>
      <c r="C56" s="19" t="n"/>
      <c r="D56" s="19" t="n"/>
      <c r="E56" s="19" t="n"/>
      <c r="F56" s="19" t="n"/>
      <c r="G56" s="19" t="n"/>
      <c r="H56" s="22" t="n"/>
      <c r="I56" s="19" t="n"/>
      <c r="J56" s="19" t="inlineStr">
        <is>
          <t>Active</t>
        </is>
      </c>
      <c r="K56" s="19" t="inlineStr">
        <is>
          <t>Pending</t>
        </is>
      </c>
      <c r="L56" s="19" t="n"/>
      <c r="M56" s="19" t="n"/>
    </row>
    <row r="57">
      <c r="A57">
        <f>IF(B57&lt;&gt;"","EVD-"&amp;TEXT(ROW()-1,"000"),"")</f>
        <v/>
      </c>
      <c r="B57" s="19" t="n"/>
      <c r="C57" s="19" t="n"/>
      <c r="D57" s="19" t="n"/>
      <c r="E57" s="19" t="n"/>
      <c r="F57" s="19" t="n"/>
      <c r="G57" s="19" t="n"/>
      <c r="H57" s="22" t="n"/>
      <c r="I57" s="19" t="n"/>
      <c r="J57" s="19" t="inlineStr">
        <is>
          <t>Active</t>
        </is>
      </c>
      <c r="K57" s="19" t="inlineStr">
        <is>
          <t>Pending</t>
        </is>
      </c>
      <c r="L57" s="19" t="n"/>
      <c r="M57" s="19" t="n"/>
    </row>
    <row r="58">
      <c r="A58">
        <f>IF(B58&lt;&gt;"","EVD-"&amp;TEXT(ROW()-1,"000"),"")</f>
        <v/>
      </c>
      <c r="B58" s="19" t="n"/>
      <c r="C58" s="19" t="n"/>
      <c r="D58" s="19" t="n"/>
      <c r="E58" s="19" t="n"/>
      <c r="F58" s="19" t="n"/>
      <c r="G58" s="19" t="n"/>
      <c r="H58" s="22" t="n"/>
      <c r="I58" s="19" t="n"/>
      <c r="J58" s="19" t="inlineStr">
        <is>
          <t>Active</t>
        </is>
      </c>
      <c r="K58" s="19" t="inlineStr">
        <is>
          <t>Pending</t>
        </is>
      </c>
      <c r="L58" s="19" t="n"/>
      <c r="M58" s="19" t="n"/>
    </row>
    <row r="59">
      <c r="A59">
        <f>IF(B59&lt;&gt;"","EVD-"&amp;TEXT(ROW()-1,"000"),"")</f>
        <v/>
      </c>
      <c r="B59" s="19" t="n"/>
      <c r="C59" s="19" t="n"/>
      <c r="D59" s="19" t="n"/>
      <c r="E59" s="19" t="n"/>
      <c r="F59" s="19" t="n"/>
      <c r="G59" s="19" t="n"/>
      <c r="H59" s="22" t="n"/>
      <c r="I59" s="19" t="n"/>
      <c r="J59" s="19" t="inlineStr">
        <is>
          <t>Active</t>
        </is>
      </c>
      <c r="K59" s="19" t="inlineStr">
        <is>
          <t>Pending</t>
        </is>
      </c>
      <c r="L59" s="19" t="n"/>
      <c r="M59" s="19" t="n"/>
    </row>
    <row r="60">
      <c r="A60">
        <f>IF(B60&lt;&gt;"","EVD-"&amp;TEXT(ROW()-1,"000"),"")</f>
        <v/>
      </c>
      <c r="B60" s="19" t="n"/>
      <c r="C60" s="19" t="n"/>
      <c r="D60" s="19" t="n"/>
      <c r="E60" s="19" t="n"/>
      <c r="F60" s="19" t="n"/>
      <c r="G60" s="19" t="n"/>
      <c r="H60" s="22" t="n"/>
      <c r="I60" s="19" t="n"/>
      <c r="J60" s="19" t="inlineStr">
        <is>
          <t>Active</t>
        </is>
      </c>
      <c r="K60" s="19" t="inlineStr">
        <is>
          <t>Pending</t>
        </is>
      </c>
      <c r="L60" s="19" t="n"/>
      <c r="M60" s="19" t="n"/>
    </row>
    <row r="61">
      <c r="A61">
        <f>IF(B61&lt;&gt;"","EVD-"&amp;TEXT(ROW()-1,"000"),"")</f>
        <v/>
      </c>
      <c r="B61" s="19" t="n"/>
      <c r="C61" s="19" t="n"/>
      <c r="D61" s="19" t="n"/>
      <c r="E61" s="19" t="n"/>
      <c r="F61" s="19" t="n"/>
      <c r="G61" s="19" t="n"/>
      <c r="H61" s="22" t="n"/>
      <c r="I61" s="19" t="n"/>
      <c r="J61" s="19" t="inlineStr">
        <is>
          <t>Active</t>
        </is>
      </c>
      <c r="K61" s="19" t="inlineStr">
        <is>
          <t>Pending</t>
        </is>
      </c>
      <c r="L61" s="19" t="n"/>
      <c r="M61" s="19" t="n"/>
    </row>
    <row r="62">
      <c r="A62">
        <f>IF(B62&lt;&gt;"","EVD-"&amp;TEXT(ROW()-1,"000"),"")</f>
        <v/>
      </c>
      <c r="B62" s="19" t="n"/>
      <c r="C62" s="19" t="n"/>
      <c r="D62" s="19" t="n"/>
      <c r="E62" s="19" t="n"/>
      <c r="F62" s="19" t="n"/>
      <c r="G62" s="19" t="n"/>
      <c r="H62" s="22" t="n"/>
      <c r="I62" s="19" t="n"/>
      <c r="J62" s="19" t="inlineStr">
        <is>
          <t>Active</t>
        </is>
      </c>
      <c r="K62" s="19" t="inlineStr">
        <is>
          <t>Pending</t>
        </is>
      </c>
      <c r="L62" s="19" t="n"/>
      <c r="M62" s="19" t="n"/>
    </row>
    <row r="63">
      <c r="A63">
        <f>IF(B63&lt;&gt;"","EVD-"&amp;TEXT(ROW()-1,"000"),"")</f>
        <v/>
      </c>
      <c r="B63" s="19" t="n"/>
      <c r="C63" s="19" t="n"/>
      <c r="D63" s="19" t="n"/>
      <c r="E63" s="19" t="n"/>
      <c r="F63" s="19" t="n"/>
      <c r="G63" s="19" t="n"/>
      <c r="H63" s="22" t="n"/>
      <c r="I63" s="19" t="n"/>
      <c r="J63" s="19" t="inlineStr">
        <is>
          <t>Active</t>
        </is>
      </c>
      <c r="K63" s="19" t="inlineStr">
        <is>
          <t>Pending</t>
        </is>
      </c>
      <c r="L63" s="19" t="n"/>
      <c r="M63" s="19" t="n"/>
    </row>
    <row r="64">
      <c r="A64">
        <f>IF(B64&lt;&gt;"","EVD-"&amp;TEXT(ROW()-1,"000"),"")</f>
        <v/>
      </c>
      <c r="B64" s="19" t="n"/>
      <c r="C64" s="19" t="n"/>
      <c r="D64" s="19" t="n"/>
      <c r="E64" s="19" t="n"/>
      <c r="F64" s="19" t="n"/>
      <c r="G64" s="19" t="n"/>
      <c r="H64" s="22" t="n"/>
      <c r="I64" s="19" t="n"/>
      <c r="J64" s="19" t="inlineStr">
        <is>
          <t>Active</t>
        </is>
      </c>
      <c r="K64" s="19" t="inlineStr">
        <is>
          <t>Pending</t>
        </is>
      </c>
      <c r="L64" s="19" t="n"/>
      <c r="M64" s="19" t="n"/>
    </row>
    <row r="65">
      <c r="A65">
        <f>IF(B65&lt;&gt;"","EVD-"&amp;TEXT(ROW()-1,"000"),"")</f>
        <v/>
      </c>
      <c r="B65" s="19" t="n"/>
      <c r="C65" s="19" t="n"/>
      <c r="D65" s="19" t="n"/>
      <c r="E65" s="19" t="n"/>
      <c r="F65" s="19" t="n"/>
      <c r="G65" s="19" t="n"/>
      <c r="H65" s="22" t="n"/>
      <c r="I65" s="19" t="n"/>
      <c r="J65" s="19" t="inlineStr">
        <is>
          <t>Active</t>
        </is>
      </c>
      <c r="K65" s="19" t="inlineStr">
        <is>
          <t>Pending</t>
        </is>
      </c>
      <c r="L65" s="19" t="n"/>
      <c r="M65" s="19" t="n"/>
    </row>
    <row r="66">
      <c r="A66">
        <f>IF(B66&lt;&gt;"","EVD-"&amp;TEXT(ROW()-1,"000"),"")</f>
        <v/>
      </c>
      <c r="B66" s="19" t="n"/>
      <c r="C66" s="19" t="n"/>
      <c r="D66" s="19" t="n"/>
      <c r="E66" s="19" t="n"/>
      <c r="F66" s="19" t="n"/>
      <c r="G66" s="19" t="n"/>
      <c r="H66" s="22" t="n"/>
      <c r="I66" s="19" t="n"/>
      <c r="J66" s="19" t="inlineStr">
        <is>
          <t>Active</t>
        </is>
      </c>
      <c r="K66" s="19" t="inlineStr">
        <is>
          <t>Pending</t>
        </is>
      </c>
      <c r="L66" s="19" t="n"/>
      <c r="M66" s="19" t="n"/>
    </row>
    <row r="67">
      <c r="A67">
        <f>IF(B67&lt;&gt;"","EVD-"&amp;TEXT(ROW()-1,"000"),"")</f>
        <v/>
      </c>
      <c r="B67" s="19" t="n"/>
      <c r="C67" s="19" t="n"/>
      <c r="D67" s="19" t="n"/>
      <c r="E67" s="19" t="n"/>
      <c r="F67" s="19" t="n"/>
      <c r="G67" s="19" t="n"/>
      <c r="H67" s="22" t="n"/>
      <c r="I67" s="19" t="n"/>
      <c r="J67" s="19" t="inlineStr">
        <is>
          <t>Active</t>
        </is>
      </c>
      <c r="K67" s="19" t="inlineStr">
        <is>
          <t>Pending</t>
        </is>
      </c>
      <c r="L67" s="19" t="n"/>
      <c r="M67" s="19" t="n"/>
    </row>
    <row r="68">
      <c r="A68">
        <f>IF(B68&lt;&gt;"","EVD-"&amp;TEXT(ROW()-1,"000"),"")</f>
        <v/>
      </c>
      <c r="B68" s="19" t="n"/>
      <c r="C68" s="19" t="n"/>
      <c r="D68" s="19" t="n"/>
      <c r="E68" s="19" t="n"/>
      <c r="F68" s="19" t="n"/>
      <c r="G68" s="19" t="n"/>
      <c r="H68" s="22" t="n"/>
      <c r="I68" s="19" t="n"/>
      <c r="J68" s="19" t="inlineStr">
        <is>
          <t>Active</t>
        </is>
      </c>
      <c r="K68" s="19" t="inlineStr">
        <is>
          <t>Pending</t>
        </is>
      </c>
      <c r="L68" s="19" t="n"/>
      <c r="M68" s="19" t="n"/>
    </row>
    <row r="69">
      <c r="A69">
        <f>IF(B69&lt;&gt;"","EVD-"&amp;TEXT(ROW()-1,"000"),"")</f>
        <v/>
      </c>
      <c r="B69" s="19" t="n"/>
      <c r="C69" s="19" t="n"/>
      <c r="D69" s="19" t="n"/>
      <c r="E69" s="19" t="n"/>
      <c r="F69" s="19" t="n"/>
      <c r="G69" s="19" t="n"/>
      <c r="H69" s="22" t="n"/>
      <c r="I69" s="19" t="n"/>
      <c r="J69" s="19" t="inlineStr">
        <is>
          <t>Active</t>
        </is>
      </c>
      <c r="K69" s="19" t="inlineStr">
        <is>
          <t>Pending</t>
        </is>
      </c>
      <c r="L69" s="19" t="n"/>
      <c r="M69" s="19" t="n"/>
    </row>
    <row r="70">
      <c r="A70">
        <f>IF(B70&lt;&gt;"","EVD-"&amp;TEXT(ROW()-1,"000"),"")</f>
        <v/>
      </c>
      <c r="B70" s="19" t="n"/>
      <c r="C70" s="19" t="n"/>
      <c r="D70" s="19" t="n"/>
      <c r="E70" s="19" t="n"/>
      <c r="F70" s="19" t="n"/>
      <c r="G70" s="19" t="n"/>
      <c r="H70" s="22" t="n"/>
      <c r="I70" s="19" t="n"/>
      <c r="J70" s="19" t="inlineStr">
        <is>
          <t>Active</t>
        </is>
      </c>
      <c r="K70" s="19" t="inlineStr">
        <is>
          <t>Pending</t>
        </is>
      </c>
      <c r="L70" s="19" t="n"/>
      <c r="M70" s="19" t="n"/>
    </row>
    <row r="71">
      <c r="A71">
        <f>IF(B71&lt;&gt;"","EVD-"&amp;TEXT(ROW()-1,"000"),"")</f>
        <v/>
      </c>
      <c r="B71" s="19" t="n"/>
      <c r="C71" s="19" t="n"/>
      <c r="D71" s="19" t="n"/>
      <c r="E71" s="19" t="n"/>
      <c r="F71" s="19" t="n"/>
      <c r="G71" s="19" t="n"/>
      <c r="H71" s="22" t="n"/>
      <c r="I71" s="19" t="n"/>
      <c r="J71" s="19" t="inlineStr">
        <is>
          <t>Active</t>
        </is>
      </c>
      <c r="K71" s="19" t="inlineStr">
        <is>
          <t>Pending</t>
        </is>
      </c>
      <c r="L71" s="19" t="n"/>
      <c r="M71" s="19" t="n"/>
    </row>
    <row r="72">
      <c r="A72">
        <f>IF(B72&lt;&gt;"","EVD-"&amp;TEXT(ROW()-1,"000"),"")</f>
        <v/>
      </c>
      <c r="B72" s="19" t="n"/>
      <c r="C72" s="19" t="n"/>
      <c r="D72" s="19" t="n"/>
      <c r="E72" s="19" t="n"/>
      <c r="F72" s="19" t="n"/>
      <c r="G72" s="19" t="n"/>
      <c r="H72" s="22" t="n"/>
      <c r="I72" s="19" t="n"/>
      <c r="J72" s="19" t="inlineStr">
        <is>
          <t>Active</t>
        </is>
      </c>
      <c r="K72" s="19" t="inlineStr">
        <is>
          <t>Pending</t>
        </is>
      </c>
      <c r="L72" s="19" t="n"/>
      <c r="M72" s="19" t="n"/>
    </row>
    <row r="73">
      <c r="A73">
        <f>IF(B73&lt;&gt;"","EVD-"&amp;TEXT(ROW()-1,"000"),"")</f>
        <v/>
      </c>
      <c r="B73" s="19" t="n"/>
      <c r="C73" s="19" t="n"/>
      <c r="D73" s="19" t="n"/>
      <c r="E73" s="19" t="n"/>
      <c r="F73" s="19" t="n"/>
      <c r="G73" s="19" t="n"/>
      <c r="H73" s="22" t="n"/>
      <c r="I73" s="19" t="n"/>
      <c r="J73" s="19" t="inlineStr">
        <is>
          <t>Active</t>
        </is>
      </c>
      <c r="K73" s="19" t="inlineStr">
        <is>
          <t>Pending</t>
        </is>
      </c>
      <c r="L73" s="19" t="n"/>
      <c r="M73" s="19" t="n"/>
    </row>
    <row r="74">
      <c r="A74">
        <f>IF(B74&lt;&gt;"","EVD-"&amp;TEXT(ROW()-1,"000"),"")</f>
        <v/>
      </c>
      <c r="B74" s="19" t="n"/>
      <c r="C74" s="19" t="n"/>
      <c r="D74" s="19" t="n"/>
      <c r="E74" s="19" t="n"/>
      <c r="F74" s="19" t="n"/>
      <c r="G74" s="19" t="n"/>
      <c r="H74" s="22" t="n"/>
      <c r="I74" s="19" t="n"/>
      <c r="J74" s="19" t="inlineStr">
        <is>
          <t>Active</t>
        </is>
      </c>
      <c r="K74" s="19" t="inlineStr">
        <is>
          <t>Pending</t>
        </is>
      </c>
      <c r="L74" s="19" t="n"/>
      <c r="M74" s="19" t="n"/>
    </row>
    <row r="75">
      <c r="A75">
        <f>IF(B75&lt;&gt;"","EVD-"&amp;TEXT(ROW()-1,"000"),"")</f>
        <v/>
      </c>
      <c r="B75" s="19" t="n"/>
      <c r="C75" s="19" t="n"/>
      <c r="D75" s="19" t="n"/>
      <c r="E75" s="19" t="n"/>
      <c r="F75" s="19" t="n"/>
      <c r="G75" s="19" t="n"/>
      <c r="H75" s="22" t="n"/>
      <c r="I75" s="19" t="n"/>
      <c r="J75" s="19" t="inlineStr">
        <is>
          <t>Active</t>
        </is>
      </c>
      <c r="K75" s="19" t="inlineStr">
        <is>
          <t>Pending</t>
        </is>
      </c>
      <c r="L75" s="19" t="n"/>
      <c r="M75" s="19" t="n"/>
    </row>
    <row r="76">
      <c r="A76">
        <f>IF(B76&lt;&gt;"","EVD-"&amp;TEXT(ROW()-1,"000"),"")</f>
        <v/>
      </c>
      <c r="B76" s="19" t="n"/>
      <c r="C76" s="19" t="n"/>
      <c r="D76" s="19" t="n"/>
      <c r="E76" s="19" t="n"/>
      <c r="F76" s="19" t="n"/>
      <c r="G76" s="19" t="n"/>
      <c r="H76" s="22" t="n"/>
      <c r="I76" s="19" t="n"/>
      <c r="J76" s="19" t="inlineStr">
        <is>
          <t>Active</t>
        </is>
      </c>
      <c r="K76" s="19" t="inlineStr">
        <is>
          <t>Pending</t>
        </is>
      </c>
      <c r="L76" s="19" t="n"/>
      <c r="M76" s="19" t="n"/>
    </row>
    <row r="77">
      <c r="A77">
        <f>IF(B77&lt;&gt;"","EVD-"&amp;TEXT(ROW()-1,"000"),"")</f>
        <v/>
      </c>
      <c r="B77" s="19" t="n"/>
      <c r="C77" s="19" t="n"/>
      <c r="D77" s="19" t="n"/>
      <c r="E77" s="19" t="n"/>
      <c r="F77" s="19" t="n"/>
      <c r="G77" s="19" t="n"/>
      <c r="H77" s="22" t="n"/>
      <c r="I77" s="19" t="n"/>
      <c r="J77" s="19" t="inlineStr">
        <is>
          <t>Active</t>
        </is>
      </c>
      <c r="K77" s="19" t="inlineStr">
        <is>
          <t>Pending</t>
        </is>
      </c>
      <c r="L77" s="19" t="n"/>
      <c r="M77" s="19" t="n"/>
    </row>
    <row r="78">
      <c r="A78">
        <f>IF(B78&lt;&gt;"","EVD-"&amp;TEXT(ROW()-1,"000"),"")</f>
        <v/>
      </c>
      <c r="B78" s="19" t="n"/>
      <c r="C78" s="19" t="n"/>
      <c r="D78" s="19" t="n"/>
      <c r="E78" s="19" t="n"/>
      <c r="F78" s="19" t="n"/>
      <c r="G78" s="19" t="n"/>
      <c r="H78" s="22" t="n"/>
      <c r="I78" s="19" t="n"/>
      <c r="J78" s="19" t="inlineStr">
        <is>
          <t>Active</t>
        </is>
      </c>
      <c r="K78" s="19" t="inlineStr">
        <is>
          <t>Pending</t>
        </is>
      </c>
      <c r="L78" s="19" t="n"/>
      <c r="M78" s="19" t="n"/>
    </row>
    <row r="79">
      <c r="A79">
        <f>IF(B79&lt;&gt;"","EVD-"&amp;TEXT(ROW()-1,"000"),"")</f>
        <v/>
      </c>
      <c r="B79" s="19" t="n"/>
      <c r="C79" s="19" t="n"/>
      <c r="D79" s="19" t="n"/>
      <c r="E79" s="19" t="n"/>
      <c r="F79" s="19" t="n"/>
      <c r="G79" s="19" t="n"/>
      <c r="H79" s="22" t="n"/>
      <c r="I79" s="19" t="n"/>
      <c r="J79" s="19" t="inlineStr">
        <is>
          <t>Active</t>
        </is>
      </c>
      <c r="K79" s="19" t="inlineStr">
        <is>
          <t>Pending</t>
        </is>
      </c>
      <c r="L79" s="19" t="n"/>
      <c r="M79" s="19" t="n"/>
    </row>
    <row r="80">
      <c r="A80">
        <f>IF(B80&lt;&gt;"","EVD-"&amp;TEXT(ROW()-1,"000"),"")</f>
        <v/>
      </c>
      <c r="B80" s="19" t="n"/>
      <c r="C80" s="19" t="n"/>
      <c r="D80" s="19" t="n"/>
      <c r="E80" s="19" t="n"/>
      <c r="F80" s="19" t="n"/>
      <c r="G80" s="19" t="n"/>
      <c r="H80" s="22" t="n"/>
      <c r="I80" s="19" t="n"/>
      <c r="J80" s="19" t="inlineStr">
        <is>
          <t>Active</t>
        </is>
      </c>
      <c r="K80" s="19" t="inlineStr">
        <is>
          <t>Pending</t>
        </is>
      </c>
      <c r="L80" s="19" t="n"/>
      <c r="M80" s="19" t="n"/>
    </row>
    <row r="81">
      <c r="A81">
        <f>IF(B81&lt;&gt;"","EVD-"&amp;TEXT(ROW()-1,"000"),"")</f>
        <v/>
      </c>
      <c r="B81" s="19" t="n"/>
      <c r="C81" s="19" t="n"/>
      <c r="D81" s="19" t="n"/>
      <c r="E81" s="19" t="n"/>
      <c r="F81" s="19" t="n"/>
      <c r="G81" s="19" t="n"/>
      <c r="H81" s="22" t="n"/>
      <c r="I81" s="19" t="n"/>
      <c r="J81" s="19" t="inlineStr">
        <is>
          <t>Active</t>
        </is>
      </c>
      <c r="K81" s="19" t="inlineStr">
        <is>
          <t>Pending</t>
        </is>
      </c>
      <c r="L81" s="19" t="n"/>
      <c r="M81" s="19" t="n"/>
    </row>
    <row r="82">
      <c r="A82">
        <f>IF(B82&lt;&gt;"","EVD-"&amp;TEXT(ROW()-1,"000"),"")</f>
        <v/>
      </c>
      <c r="B82" s="19" t="n"/>
      <c r="C82" s="19" t="n"/>
      <c r="D82" s="19" t="n"/>
      <c r="E82" s="19" t="n"/>
      <c r="F82" s="19" t="n"/>
      <c r="G82" s="19" t="n"/>
      <c r="H82" s="22" t="n"/>
      <c r="I82" s="19" t="n"/>
      <c r="J82" s="19" t="inlineStr">
        <is>
          <t>Active</t>
        </is>
      </c>
      <c r="K82" s="19" t="inlineStr">
        <is>
          <t>Pending</t>
        </is>
      </c>
      <c r="L82" s="19" t="n"/>
      <c r="M82" s="19" t="n"/>
    </row>
    <row r="83">
      <c r="A83">
        <f>IF(B83&lt;&gt;"","EVD-"&amp;TEXT(ROW()-1,"000"),"")</f>
        <v/>
      </c>
      <c r="B83" s="19" t="n"/>
      <c r="C83" s="19" t="n"/>
      <c r="D83" s="19" t="n"/>
      <c r="E83" s="19" t="n"/>
      <c r="F83" s="19" t="n"/>
      <c r="G83" s="19" t="n"/>
      <c r="H83" s="22" t="n"/>
      <c r="I83" s="19" t="n"/>
      <c r="J83" s="19" t="inlineStr">
        <is>
          <t>Active</t>
        </is>
      </c>
      <c r="K83" s="19" t="inlineStr">
        <is>
          <t>Pending</t>
        </is>
      </c>
      <c r="L83" s="19" t="n"/>
      <c r="M83" s="19" t="n"/>
    </row>
    <row r="84">
      <c r="A84">
        <f>IF(B84&lt;&gt;"","EVD-"&amp;TEXT(ROW()-1,"000"),"")</f>
        <v/>
      </c>
      <c r="B84" s="19" t="n"/>
      <c r="C84" s="19" t="n"/>
      <c r="D84" s="19" t="n"/>
      <c r="E84" s="19" t="n"/>
      <c r="F84" s="19" t="n"/>
      <c r="G84" s="19" t="n"/>
      <c r="H84" s="22" t="n"/>
      <c r="I84" s="19" t="n"/>
      <c r="J84" s="19" t="inlineStr">
        <is>
          <t>Active</t>
        </is>
      </c>
      <c r="K84" s="19" t="inlineStr">
        <is>
          <t>Pending</t>
        </is>
      </c>
      <c r="L84" s="19" t="n"/>
      <c r="M84" s="19" t="n"/>
    </row>
    <row r="85">
      <c r="A85">
        <f>IF(B85&lt;&gt;"","EVD-"&amp;TEXT(ROW()-1,"000"),"")</f>
        <v/>
      </c>
      <c r="B85" s="19" t="n"/>
      <c r="C85" s="19" t="n"/>
      <c r="D85" s="19" t="n"/>
      <c r="E85" s="19" t="n"/>
      <c r="F85" s="19" t="n"/>
      <c r="G85" s="19" t="n"/>
      <c r="H85" s="22" t="n"/>
      <c r="I85" s="19" t="n"/>
      <c r="J85" s="19" t="inlineStr">
        <is>
          <t>Active</t>
        </is>
      </c>
      <c r="K85" s="19" t="inlineStr">
        <is>
          <t>Pending</t>
        </is>
      </c>
      <c r="L85" s="19" t="n"/>
      <c r="M85" s="19" t="n"/>
    </row>
    <row r="86">
      <c r="A86">
        <f>IF(B86&lt;&gt;"","EVD-"&amp;TEXT(ROW()-1,"000"),"")</f>
        <v/>
      </c>
      <c r="B86" s="19" t="n"/>
      <c r="C86" s="19" t="n"/>
      <c r="D86" s="19" t="n"/>
      <c r="E86" s="19" t="n"/>
      <c r="F86" s="19" t="n"/>
      <c r="G86" s="19" t="n"/>
      <c r="H86" s="22" t="n"/>
      <c r="I86" s="19" t="n"/>
      <c r="J86" s="19" t="inlineStr">
        <is>
          <t>Active</t>
        </is>
      </c>
      <c r="K86" s="19" t="inlineStr">
        <is>
          <t>Pending</t>
        </is>
      </c>
      <c r="L86" s="19" t="n"/>
      <c r="M86" s="19" t="n"/>
    </row>
    <row r="87">
      <c r="A87">
        <f>IF(B87&lt;&gt;"","EVD-"&amp;TEXT(ROW()-1,"000"),"")</f>
        <v/>
      </c>
      <c r="B87" s="19" t="n"/>
      <c r="C87" s="19" t="n"/>
      <c r="D87" s="19" t="n"/>
      <c r="E87" s="19" t="n"/>
      <c r="F87" s="19" t="n"/>
      <c r="G87" s="19" t="n"/>
      <c r="H87" s="22" t="n"/>
      <c r="I87" s="19" t="n"/>
      <c r="J87" s="19" t="inlineStr">
        <is>
          <t>Active</t>
        </is>
      </c>
      <c r="K87" s="19" t="inlineStr">
        <is>
          <t>Pending</t>
        </is>
      </c>
      <c r="L87" s="19" t="n"/>
      <c r="M87" s="19" t="n"/>
    </row>
    <row r="88">
      <c r="A88">
        <f>IF(B88&lt;&gt;"","EVD-"&amp;TEXT(ROW()-1,"000"),"")</f>
        <v/>
      </c>
      <c r="B88" s="19" t="n"/>
      <c r="C88" s="19" t="n"/>
      <c r="D88" s="19" t="n"/>
      <c r="E88" s="19" t="n"/>
      <c r="F88" s="19" t="n"/>
      <c r="G88" s="19" t="n"/>
      <c r="H88" s="22" t="n"/>
      <c r="I88" s="19" t="n"/>
      <c r="J88" s="19" t="inlineStr">
        <is>
          <t>Active</t>
        </is>
      </c>
      <c r="K88" s="19" t="inlineStr">
        <is>
          <t>Pending</t>
        </is>
      </c>
      <c r="L88" s="19" t="n"/>
      <c r="M88" s="19" t="n"/>
    </row>
    <row r="89">
      <c r="A89">
        <f>IF(B89&lt;&gt;"","EVD-"&amp;TEXT(ROW()-1,"000"),"")</f>
        <v/>
      </c>
      <c r="B89" s="19" t="n"/>
      <c r="C89" s="19" t="n"/>
      <c r="D89" s="19" t="n"/>
      <c r="E89" s="19" t="n"/>
      <c r="F89" s="19" t="n"/>
      <c r="G89" s="19" t="n"/>
      <c r="H89" s="22" t="n"/>
      <c r="I89" s="19" t="n"/>
      <c r="J89" s="19" t="inlineStr">
        <is>
          <t>Active</t>
        </is>
      </c>
      <c r="K89" s="19" t="inlineStr">
        <is>
          <t>Pending</t>
        </is>
      </c>
      <c r="L89" s="19" t="n"/>
      <c r="M89" s="19" t="n"/>
    </row>
    <row r="90">
      <c r="A90">
        <f>IF(B90&lt;&gt;"","EVD-"&amp;TEXT(ROW()-1,"000"),"")</f>
        <v/>
      </c>
      <c r="B90" s="19" t="n"/>
      <c r="C90" s="19" t="n"/>
      <c r="D90" s="19" t="n"/>
      <c r="E90" s="19" t="n"/>
      <c r="F90" s="19" t="n"/>
      <c r="G90" s="19" t="n"/>
      <c r="H90" s="22" t="n"/>
      <c r="I90" s="19" t="n"/>
      <c r="J90" s="19" t="inlineStr">
        <is>
          <t>Active</t>
        </is>
      </c>
      <c r="K90" s="19" t="inlineStr">
        <is>
          <t>Pending</t>
        </is>
      </c>
      <c r="L90" s="19" t="n"/>
      <c r="M90" s="19" t="n"/>
    </row>
    <row r="91">
      <c r="A91">
        <f>IF(B91&lt;&gt;"","EVD-"&amp;TEXT(ROW()-1,"000"),"")</f>
        <v/>
      </c>
      <c r="B91" s="19" t="n"/>
      <c r="C91" s="19" t="n"/>
      <c r="D91" s="19" t="n"/>
      <c r="E91" s="19" t="n"/>
      <c r="F91" s="19" t="n"/>
      <c r="G91" s="19" t="n"/>
      <c r="H91" s="22" t="n"/>
      <c r="I91" s="19" t="n"/>
      <c r="J91" s="19" t="inlineStr">
        <is>
          <t>Active</t>
        </is>
      </c>
      <c r="K91" s="19" t="inlineStr">
        <is>
          <t>Pending</t>
        </is>
      </c>
      <c r="L91" s="19" t="n"/>
      <c r="M91" s="19" t="n"/>
    </row>
    <row r="92">
      <c r="A92">
        <f>IF(B92&lt;&gt;"","EVD-"&amp;TEXT(ROW()-1,"000"),"")</f>
        <v/>
      </c>
      <c r="B92" s="19" t="n"/>
      <c r="C92" s="19" t="n"/>
      <c r="D92" s="19" t="n"/>
      <c r="E92" s="19" t="n"/>
      <c r="F92" s="19" t="n"/>
      <c r="G92" s="19" t="n"/>
      <c r="H92" s="22" t="n"/>
      <c r="I92" s="19" t="n"/>
      <c r="J92" s="19" t="inlineStr">
        <is>
          <t>Active</t>
        </is>
      </c>
      <c r="K92" s="19" t="inlineStr">
        <is>
          <t>Pending</t>
        </is>
      </c>
      <c r="L92" s="19" t="n"/>
      <c r="M92" s="19" t="n"/>
    </row>
    <row r="93">
      <c r="A93">
        <f>IF(B93&lt;&gt;"","EVD-"&amp;TEXT(ROW()-1,"000"),"")</f>
        <v/>
      </c>
      <c r="B93" s="19" t="n"/>
      <c r="C93" s="19" t="n"/>
      <c r="D93" s="19" t="n"/>
      <c r="E93" s="19" t="n"/>
      <c r="F93" s="19" t="n"/>
      <c r="G93" s="19" t="n"/>
      <c r="H93" s="22" t="n"/>
      <c r="I93" s="19" t="n"/>
      <c r="J93" s="19" t="inlineStr">
        <is>
          <t>Active</t>
        </is>
      </c>
      <c r="K93" s="19" t="inlineStr">
        <is>
          <t>Pending</t>
        </is>
      </c>
      <c r="L93" s="19" t="n"/>
      <c r="M93" s="19" t="n"/>
    </row>
    <row r="94">
      <c r="A94">
        <f>IF(B94&lt;&gt;"","EVD-"&amp;TEXT(ROW()-1,"000"),"")</f>
        <v/>
      </c>
      <c r="B94" s="19" t="n"/>
      <c r="C94" s="19" t="n"/>
      <c r="D94" s="19" t="n"/>
      <c r="E94" s="19" t="n"/>
      <c r="F94" s="19" t="n"/>
      <c r="G94" s="19" t="n"/>
      <c r="H94" s="22" t="n"/>
      <c r="I94" s="19" t="n"/>
      <c r="J94" s="19" t="inlineStr">
        <is>
          <t>Active</t>
        </is>
      </c>
      <c r="K94" s="19" t="inlineStr">
        <is>
          <t>Pending</t>
        </is>
      </c>
      <c r="L94" s="19" t="n"/>
      <c r="M94" s="19" t="n"/>
    </row>
    <row r="95">
      <c r="A95">
        <f>IF(B95&lt;&gt;"","EVD-"&amp;TEXT(ROW()-1,"000"),"")</f>
        <v/>
      </c>
      <c r="B95" s="19" t="n"/>
      <c r="C95" s="19" t="n"/>
      <c r="D95" s="19" t="n"/>
      <c r="E95" s="19" t="n"/>
      <c r="F95" s="19" t="n"/>
      <c r="G95" s="19" t="n"/>
      <c r="H95" s="22" t="n"/>
      <c r="I95" s="19" t="n"/>
      <c r="J95" s="19" t="inlineStr">
        <is>
          <t>Active</t>
        </is>
      </c>
      <c r="K95" s="19" t="inlineStr">
        <is>
          <t>Pending</t>
        </is>
      </c>
      <c r="L95" s="19" t="n"/>
      <c r="M95" s="19" t="n"/>
    </row>
    <row r="96">
      <c r="A96">
        <f>IF(B96&lt;&gt;"","EVD-"&amp;TEXT(ROW()-1,"000"),"")</f>
        <v/>
      </c>
      <c r="B96" s="19" t="n"/>
      <c r="C96" s="19" t="n"/>
      <c r="D96" s="19" t="n"/>
      <c r="E96" s="19" t="n"/>
      <c r="F96" s="19" t="n"/>
      <c r="G96" s="19" t="n"/>
      <c r="H96" s="22" t="n"/>
      <c r="I96" s="19" t="n"/>
      <c r="J96" s="19" t="inlineStr">
        <is>
          <t>Active</t>
        </is>
      </c>
      <c r="K96" s="19" t="inlineStr">
        <is>
          <t>Pending</t>
        </is>
      </c>
      <c r="L96" s="19" t="n"/>
      <c r="M96" s="19" t="n"/>
    </row>
    <row r="97">
      <c r="A97">
        <f>IF(B97&lt;&gt;"","EVD-"&amp;TEXT(ROW()-1,"000"),"")</f>
        <v/>
      </c>
      <c r="B97" s="19" t="n"/>
      <c r="C97" s="19" t="n"/>
      <c r="D97" s="19" t="n"/>
      <c r="E97" s="19" t="n"/>
      <c r="F97" s="19" t="n"/>
      <c r="G97" s="19" t="n"/>
      <c r="H97" s="22" t="n"/>
      <c r="I97" s="19" t="n"/>
      <c r="J97" s="19" t="inlineStr">
        <is>
          <t>Active</t>
        </is>
      </c>
      <c r="K97" s="19" t="inlineStr">
        <is>
          <t>Pending</t>
        </is>
      </c>
      <c r="L97" s="19" t="n"/>
      <c r="M97" s="19" t="n"/>
    </row>
    <row r="98">
      <c r="A98">
        <f>IF(B98&lt;&gt;"","EVD-"&amp;TEXT(ROW()-1,"000"),"")</f>
        <v/>
      </c>
      <c r="B98" s="19" t="n"/>
      <c r="C98" s="19" t="n"/>
      <c r="D98" s="19" t="n"/>
      <c r="E98" s="19" t="n"/>
      <c r="F98" s="19" t="n"/>
      <c r="G98" s="19" t="n"/>
      <c r="H98" s="22" t="n"/>
      <c r="I98" s="19" t="n"/>
      <c r="J98" s="19" t="inlineStr">
        <is>
          <t>Active</t>
        </is>
      </c>
      <c r="K98" s="19" t="inlineStr">
        <is>
          <t>Pending</t>
        </is>
      </c>
      <c r="L98" s="19" t="n"/>
      <c r="M98" s="19" t="n"/>
    </row>
    <row r="99">
      <c r="A99">
        <f>IF(B99&lt;&gt;"","EVD-"&amp;TEXT(ROW()-1,"000"),"")</f>
        <v/>
      </c>
      <c r="B99" s="19" t="n"/>
      <c r="C99" s="19" t="n"/>
      <c r="D99" s="19" t="n"/>
      <c r="E99" s="19" t="n"/>
      <c r="F99" s="19" t="n"/>
      <c r="G99" s="19" t="n"/>
      <c r="H99" s="22" t="n"/>
      <c r="I99" s="19" t="n"/>
      <c r="J99" s="19" t="inlineStr">
        <is>
          <t>Active</t>
        </is>
      </c>
      <c r="K99" s="19" t="inlineStr">
        <is>
          <t>Pending</t>
        </is>
      </c>
      <c r="L99" s="19" t="n"/>
      <c r="M99" s="19" t="n"/>
    </row>
    <row r="100">
      <c r="A100">
        <f>IF(B100&lt;&gt;"","EVD-"&amp;TEXT(ROW()-1,"000"),"")</f>
        <v/>
      </c>
      <c r="B100" s="19" t="n"/>
      <c r="C100" s="19" t="n"/>
      <c r="D100" s="19" t="n"/>
      <c r="E100" s="19" t="n"/>
      <c r="F100" s="19" t="n"/>
      <c r="G100" s="19" t="n"/>
      <c r="H100" s="22" t="n"/>
      <c r="I100" s="19" t="n"/>
      <c r="J100" s="19" t="inlineStr">
        <is>
          <t>Active</t>
        </is>
      </c>
      <c r="K100" s="19" t="inlineStr">
        <is>
          <t>Pending</t>
        </is>
      </c>
      <c r="L100" s="19" t="n"/>
      <c r="M100" s="19" t="n"/>
    </row>
    <row r="101">
      <c r="A101">
        <f>IF(B101&lt;&gt;"","EVD-"&amp;TEXT(ROW()-1,"000"),"")</f>
        <v/>
      </c>
      <c r="B101" s="19" t="n"/>
      <c r="C101" s="19" t="n"/>
      <c r="D101" s="19" t="n"/>
      <c r="E101" s="19" t="n"/>
      <c r="F101" s="19" t="n"/>
      <c r="G101" s="19" t="n"/>
      <c r="H101" s="22" t="n"/>
      <c r="I101" s="19" t="n"/>
      <c r="J101" s="19" t="inlineStr">
        <is>
          <t>Active</t>
        </is>
      </c>
      <c r="K101" s="19" t="inlineStr">
        <is>
          <t>Pending</t>
        </is>
      </c>
      <c r="L101" s="19" t="n"/>
      <c r="M101" s="19" t="n"/>
    </row>
  </sheetData>
  <conditionalFormatting sqref="J2:J101">
    <cfRule type="cellIs" priority="1" operator="equal" dxfId="1">
      <formula>"Expired"</formula>
    </cfRule>
    <cfRule type="cellIs" priority="2" operator="equal" dxfId="9">
      <formula>"Superseded"</formula>
    </cfRule>
  </conditionalFormatting>
  <conditionalFormatting sqref="K2:K101">
    <cfRule type="cellIs" priority="3" operator="equal" dxfId="0">
      <formula>"Verified"</formula>
    </cfRule>
    <cfRule type="cellIs" priority="4" operator="equal" dxfId="1">
      <formula>"Failed"</formula>
    </cfRule>
    <cfRule type="cellIs" priority="5" operator="equal" dxfId="5">
      <formula>"Pending"</formula>
    </cfRule>
  </conditionalFormatting>
  <dataValidations count="4">
    <dataValidation sqref="B2:B101" showDropDown="0" showInputMessage="0" showErrorMessage="0" allowBlank="1" type="list">
      <formula1>"Baseline Configuration,Change Control,Configuration Monitoring,Security Hardening,Dashboard/Overall"</formula1>
    </dataValidation>
    <dataValidation sqref="E2:E101" showDropDown="0" showInputMessage="0" showErrorMessage="0" allowBlank="1" type="list">
      <formula1>"Baseline Documentation,Configuration Export,Change Record,Approval Documentation,Monitoring Report,Alert Configuration,Drift Detection Log,Hardening Assessment Report,Exception Approval,Risk Assessment,Process Documentation,Training Records,Audit Report,Management Review"</formula1>
    </dataValidation>
    <dataValidation sqref="J2:J101" showDropDown="0" showInputMessage="0" showErrorMessage="0" allowBlank="1" type="list">
      <formula1>"Active,Expired,Superseded"</formula1>
    </dataValidation>
    <dataValidation sqref="K2:K101" showDropDown="0" showInputMessage="0" showErrorMessage="0" allowBlank="1" type="list">
      <formula1>"Verified,Pending,Failed"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35" customWidth="1" min="4" max="4"/>
  </cols>
  <sheetData>
    <row r="1">
      <c r="A1" s="1" t="inlineStr">
        <is>
          <t>Configuration Management Compliance</t>
        </is>
      </c>
    </row>
    <row r="2">
      <c r="A2" s="2" t="inlineStr">
        <is>
          <t>Approval &amp; Sign-Off</t>
        </is>
      </c>
    </row>
    <row r="4">
      <c r="A4" s="3" t="inlineStr">
        <is>
          <t>DASHBOARD SUMMARY</t>
        </is>
      </c>
    </row>
    <row r="5">
      <c r="A5" s="5" t="inlineStr">
        <is>
          <t>Assessment Period</t>
        </is>
      </c>
      <c r="B5" t="inlineStr">
        <is>
          <t>08.02.2026</t>
        </is>
      </c>
    </row>
    <row r="6">
      <c r="A6" s="5" t="inlineStr">
        <is>
          <t>Overall Compliance</t>
        </is>
      </c>
      <c r="B6" s="9">
        <f>Overall_Compliance_Dashboard!B6</f>
        <v/>
      </c>
    </row>
    <row r="7">
      <c r="A7" s="5" t="inlineStr">
        <is>
          <t>Compliance Status</t>
        </is>
      </c>
      <c r="B7">
        <f>Overall_Compliance_Dashboard!B7</f>
        <v/>
      </c>
    </row>
    <row r="8">
      <c r="A8" s="5" t="inlineStr">
        <is>
          <t>Total Critical Gaps</t>
        </is>
      </c>
      <c r="B8">
        <f>SUM(Overall_Compliance_Dashboard!F12:F16)</f>
        <v/>
      </c>
    </row>
    <row r="9">
      <c r="A9" s="5" t="inlineStr">
        <is>
          <t>Domains Compliant</t>
        </is>
      </c>
      <c r="B9">
        <f>Overall_Compliance_Dashboard!B19&amp;"/5"</f>
        <v/>
      </c>
    </row>
    <row r="11">
      <c r="A11" s="3" t="inlineStr">
        <is>
          <t>EXECUTIVE SUMMARY</t>
        </is>
      </c>
    </row>
    <row r="12">
      <c r="A12" s="5" t="inlineStr">
        <is>
          <t>Summary:</t>
        </is>
      </c>
    </row>
    <row r="13" ht="100" customHeight="1">
      <c r="A13" s="29" t="inlineStr">
        <is>
          <t>[Provide narrative summary including:
• Overall compliance status and trajectory
• Key achievements since last review
• Critical gaps requiring attention
• Resource requirements
• Recommended actions]</t>
        </is>
      </c>
    </row>
    <row r="15">
      <c r="A15" s="3" t="inlineStr">
        <is>
          <t>APPROVAL SIGN-OFF</t>
        </is>
      </c>
    </row>
    <row r="16">
      <c r="A16" s="30" t="inlineStr">
        <is>
          <t>Tier 1 - Operational Review</t>
        </is>
      </c>
      <c r="B16" s="19" t="n"/>
      <c r="C16" s="19" t="n"/>
      <c r="D16" s="19" t="n"/>
    </row>
    <row r="17">
      <c r="A17" s="31" t="inlineStr">
        <is>
          <t>Role</t>
        </is>
      </c>
      <c r="B17" s="31" t="inlineStr">
        <is>
          <t>Name</t>
        </is>
      </c>
      <c r="C17" s="31" t="inlineStr">
        <is>
          <t>Date</t>
        </is>
      </c>
      <c r="D17" s="31" t="inlineStr">
        <is>
          <t>Comments</t>
        </is>
      </c>
    </row>
    <row r="18">
      <c r="A18" t="inlineStr">
        <is>
          <t>Dashboard Owner</t>
        </is>
      </c>
      <c r="B18" t="inlineStr">
        <is>
          <t>[ISMS Manager]</t>
        </is>
      </c>
      <c r="C18" s="32" t="n"/>
      <c r="D18" t="inlineStr"/>
    </row>
    <row r="19">
      <c r="A19" t="inlineStr">
        <is>
          <t>ISMS Manager</t>
        </is>
      </c>
      <c r="B19" t="inlineStr">
        <is>
          <t>[Name]</t>
        </is>
      </c>
      <c r="C19" s="32" t="n"/>
      <c r="D19" t="inlineStr"/>
    </row>
    <row r="21">
      <c r="A21" s="5" t="inlineStr">
        <is>
          <t>Tier 2 - Management Review</t>
        </is>
      </c>
    </row>
    <row r="22">
      <c r="A22" s="31" t="inlineStr">
        <is>
          <t>Role</t>
        </is>
      </c>
      <c r="B22" s="33" t="inlineStr">
        <is>
          <t>Name</t>
        </is>
      </c>
      <c r="C22" s="33" t="inlineStr">
        <is>
          <t>Date</t>
        </is>
      </c>
      <c r="D22" s="33" t="inlineStr">
        <is>
          <t>Comments</t>
        </is>
      </c>
    </row>
    <row r="23">
      <c r="A23" t="inlineStr">
        <is>
          <t>IT Manager</t>
        </is>
      </c>
      <c r="B23" s="19" t="inlineStr">
        <is>
          <t>[Name]</t>
        </is>
      </c>
      <c r="C23" s="22" t="n"/>
      <c r="D23" s="19" t="inlineStr"/>
    </row>
    <row r="24">
      <c r="A24" t="inlineStr">
        <is>
          <t>Security Manager</t>
        </is>
      </c>
      <c r="B24" t="inlineStr">
        <is>
          <t>[Name]</t>
        </is>
      </c>
      <c r="C24" s="32" t="n"/>
      <c r="D24" t="inlineStr"/>
    </row>
    <row r="26">
      <c r="A26" s="5" t="inlineStr">
        <is>
          <t>Tier 3 - Executive Acceptance</t>
        </is>
      </c>
    </row>
    <row r="27">
      <c r="A27" s="31" t="inlineStr">
        <is>
          <t>Role</t>
        </is>
      </c>
      <c r="B27" s="33" t="inlineStr">
        <is>
          <t>Name</t>
        </is>
      </c>
      <c r="C27" s="33" t="inlineStr">
        <is>
          <t>Date</t>
        </is>
      </c>
      <c r="D27" s="33" t="inlineStr">
        <is>
          <t>Comments</t>
        </is>
      </c>
    </row>
    <row r="28">
      <c r="A28" t="inlineStr">
        <is>
          <t>CISO / CIO</t>
        </is>
      </c>
      <c r="B28" s="19" t="inlineStr">
        <is>
          <t>[Name]</t>
        </is>
      </c>
      <c r="C28" s="22" t="n"/>
      <c r="D28" s="19" t="inlineStr"/>
    </row>
    <row r="32">
      <c r="B32" s="19" t="n"/>
      <c r="C32" s="19" t="n"/>
      <c r="D32" s="19" t="n"/>
    </row>
  </sheetData>
  <mergeCells count="9">
    <mergeCell ref="A1:D1"/>
    <mergeCell ref="A4:D4"/>
    <mergeCell ref="A26:D26"/>
    <mergeCell ref="A21:D21"/>
    <mergeCell ref="A15:D15"/>
    <mergeCell ref="A2:D2"/>
    <mergeCell ref="A11:D11"/>
    <mergeCell ref="A16:D16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2026-02-08T10:50:13Z</dcterms:created>
  <dcterms:modified xmlns:dcterms="http://purl.org/dc/terms/" xmlns:xsi="http://www.w3.org/2001/XMLSchema-instance" xsi:type="dcterms:W3CDTF">2026-02-08T10:50:13Z</dcterms:modified>
</cp:coreProperties>
</file>