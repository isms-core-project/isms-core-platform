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_Tables" sheetId="2" state="hidden" r:id="rId2"/>
    <sheet xmlns:r="http://schemas.openxmlformats.org/officeDocument/2006/relationships" name="Asset_Inventory" sheetId="3" state="visible" r:id="rId3"/>
    <sheet xmlns:r="http://schemas.openxmlformats.org/officeDocument/2006/relationships" name="Baseline_Repository" sheetId="4" state="visible" r:id="rId4"/>
    <sheet xmlns:r="http://schemas.openxmlformats.org/officeDocument/2006/relationships" name="Baseline_Coverage_Matrix" sheetId="5" state="visible" r:id="rId5"/>
    <sheet xmlns:r="http://schemas.openxmlformats.org/officeDocument/2006/relationships" name="Approval_Tracking" sheetId="6" state="visible" r:id="rId6"/>
    <sheet xmlns:r="http://schemas.openxmlformats.org/officeDocument/2006/relationships" name="Documentation_Assessment" sheetId="7" state="visible" r:id="rId7"/>
    <sheet xmlns:r="http://schemas.openxmlformats.org/officeDocument/2006/relationships" name="Version_Control" sheetId="8" state="visible" r:id="rId8"/>
    <sheet xmlns:r="http://schemas.openxmlformats.org/officeDocument/2006/relationships" name="Deviation_Register" sheetId="9" state="visible" r:id="rId9"/>
    <sheet xmlns:r="http://schemas.openxmlformats.org/officeDocument/2006/relationships" name="Metrics_Summary" sheetId="10" state="visible" r:id="rId10"/>
    <sheet xmlns:r="http://schemas.openxmlformats.org/officeDocument/2006/relationships" name="Evidence_Register" sheetId="11" state="visible" r:id="rId11"/>
    <sheet xmlns:r="http://schemas.openxmlformats.org/officeDocument/2006/relationships" name="Approval_Sign_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6"/>
    </font>
    <font>
      <b val="1"/>
    </font>
    <font>
      <name val="Calibri"/>
      <sz val="11"/>
    </font>
    <font>
      <name val="Calibri"/>
      <b val="1"/>
      <color rgb="00FFFFFF"/>
      <sz val="12"/>
    </font>
    <font>
      <name val="Calibri"/>
      <color rgb="00666666"/>
      <sz val="11"/>
    </font>
    <font>
      <name val="Calibri"/>
      <b val="1"/>
      <color rgb="00FFFFFF"/>
      <sz val="14"/>
    </font>
    <font>
      <name val="Calibri"/>
      <i val="1"/>
      <sz val="11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i val="1"/>
      <sz val="10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/>
    </xf>
    <xf numFmtId="0" fontId="8" fillId="6" borderId="1" applyAlignment="1" pivotButton="0" quotePrefix="0" xfId="0">
      <alignment horizontal="left" vertical="top"/>
    </xf>
    <xf numFmtId="164" fontId="8" fillId="6" borderId="1" applyAlignment="1" pivotButton="0" quotePrefix="0" xfId="0">
      <alignment horizontal="left" vertical="top"/>
    </xf>
    <xf numFmtId="164" fontId="5" fillId="4" borderId="1" applyAlignment="1" pivotButton="0" quotePrefix="0" xfId="0">
      <alignment horizontal="left" vertical="center"/>
    </xf>
    <xf numFmtId="0" fontId="4" fillId="0" borderId="0" pivotButton="0" quotePrefix="0" xfId="0"/>
    <xf numFmtId="1" fontId="8" fillId="6" borderId="1" applyAlignment="1" pivotButton="0" quotePrefix="0" xfId="0">
      <alignment horizontal="left" vertical="top"/>
    </xf>
    <xf numFmtId="0" fontId="4" fillId="6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" fillId="6" borderId="0" pivotButton="0" quotePrefix="0" xfId="0"/>
    <xf numFmtId="0" fontId="11" fillId="7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9D9D9"/>
          <bgColor rgb="00D9D9D9"/>
        </patternFill>
      </fill>
    </dxf>
    <dxf>
      <font>
        <b val="1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</dxf>
    <dxf>
      <font>
        <b val="1"/>
        <color rgb="009C6500"/>
      </font>
    </dxf>
    <dxf>
      <font>
        <b val="1"/>
        <color rgb="009C0006"/>
      </font>
    </dxf>
    <dxf>
      <font>
        <color rgb="00006100"/>
      </font>
    </dxf>
    <dxf>
      <font>
        <color rgb="009C6500"/>
      </font>
    </dxf>
    <dxf>
      <font>
        <color rgb="009C0006"/>
      </font>
    </dxf>
    <dxf>
      <font>
        <color rgb="00C65911"/>
      </font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selection activeCell="A1" sqref="A1"/>
    </sheetView>
  </sheetViews>
  <sheetFormatPr baseColWidth="8" defaultRowHeight="15"/>
  <cols>
    <col width="100" customWidth="1" min="1" max="1"/>
    <col width="40" customWidth="1" min="2" max="2"/>
  </cols>
  <sheetData>
    <row r="1" ht="40" customHeight="1">
      <c r="A1" s="1" t="inlineStr">
        <is>
          <t>ISMS-IMP-A.8.9.1  -  Baseline Configuration Assessment
ISO/IEC 27001:2022 - Control A.8.9: Configuration Management</t>
        </is>
      </c>
    </row>
    <row r="2"/>
    <row r="3">
      <c r="A3" s="2" t="inlineStr">
        <is>
          <t>Document ID:</t>
        </is>
      </c>
      <c r="B3" t="inlineStr">
        <is>
          <t>ISMS-IMP-A.8.9.1</t>
        </is>
      </c>
    </row>
    <row r="4">
      <c r="A4" s="2" t="inlineStr">
        <is>
          <t>Assessment:</t>
        </is>
      </c>
      <c r="B4" t="inlineStr">
        <is>
          <t>Baseline Configuration Assessment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08.02.2026 12:26</t>
        </is>
      </c>
    </row>
    <row r="8">
      <c r="A8" s="3" t="inlineStr"/>
    </row>
    <row r="9" ht="20" customHeight="1">
      <c r="A9" s="4" t="inlineStr">
        <is>
          <t>ASSESSMENT OVERVIEW</t>
        </is>
      </c>
    </row>
    <row r="10">
      <c r="A10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11">
      <c r="A11" s="3" t="inlineStr"/>
    </row>
    <row r="12">
      <c r="A12" s="3" t="inlineStr">
        <is>
          <t>Purpose:</t>
        </is>
      </c>
    </row>
    <row r="13">
      <c r="A13" s="3" t="inlineStr">
        <is>
          <t>This workbook assesses the establishment, documentation, approval, and maintenance of configuration baselines across [Organization]'s information assets. This assessment provides evidence of compliance with ISO 27001:2022 Control A.8.9 baseline configuration requirements.</t>
        </is>
      </c>
    </row>
    <row r="14">
      <c r="A14" s="3" t="inlineStr"/>
    </row>
    <row r="15">
      <c r="A15" s="3" t="inlineStr">
        <is>
          <t>Assessment Scope:</t>
        </is>
      </c>
    </row>
    <row r="16">
      <c r="A16" s="3" t="inlineStr">
        <is>
          <t>• All information assets requiring baseline configuration management</t>
        </is>
      </c>
    </row>
    <row r="17">
      <c r="A17" s="3" t="inlineStr">
        <is>
          <t>• 43 asset types across 6 major categories (Infrastructure, Endpoint, Network, Applications, Cloud, IoT/OT)</t>
        </is>
      </c>
    </row>
    <row r="18">
      <c r="A18" s="3" t="inlineStr">
        <is>
          <t>• Baseline documentation quality, approval status, and version control</t>
        </is>
      </c>
    </row>
    <row r="19">
      <c r="A19" s="3" t="inlineStr">
        <is>
          <t>• Configuration deviations and exceptions</t>
        </is>
      </c>
    </row>
    <row r="20">
      <c r="A20" s="3" t="inlineStr"/>
    </row>
    <row r="21" ht="20" customHeight="1">
      <c r="A21" s="4" t="inlineStr">
        <is>
          <t>WHO SHOULD COMPLETE THIS ASSESSMENT</t>
        </is>
      </c>
    </row>
    <row r="22">
      <c r="A22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3">
      <c r="A23" s="3" t="inlineStr"/>
    </row>
    <row r="24">
      <c r="A24" s="3" t="inlineStr">
        <is>
          <t>Preparer (System Administrators, Asset Owners):</t>
        </is>
      </c>
    </row>
    <row r="25">
      <c r="A25" s="3" t="inlineStr">
        <is>
          <t>• Complete Asset_Inventory sheet for all assigned assets</t>
        </is>
      </c>
    </row>
    <row r="26">
      <c r="A26" s="3" t="inlineStr">
        <is>
          <t>• Document baseline status and references</t>
        </is>
      </c>
    </row>
    <row r="27">
      <c r="A27" s="3" t="inlineStr">
        <is>
          <t>• Collect supporting evidence</t>
        </is>
      </c>
    </row>
    <row r="28">
      <c r="A28" s="3" t="inlineStr">
        <is>
          <t>• Complete Evidence_Register</t>
        </is>
      </c>
    </row>
    <row r="29">
      <c r="A29" s="3" t="inlineStr">
        <is>
          <t>• Timeline: 2-3 weeks</t>
        </is>
      </c>
    </row>
    <row r="30">
      <c r="A30" s="3" t="inlineStr"/>
    </row>
    <row r="31">
      <c r="A31" s="3" t="inlineStr">
        <is>
          <t>Reviewer (Configuration Manager, Team Leads):</t>
        </is>
      </c>
    </row>
    <row r="32">
      <c r="A32" s="3" t="inlineStr">
        <is>
          <t>• Verify completeness of Asset_Inventory</t>
        </is>
      </c>
    </row>
    <row r="33">
      <c r="A33" s="3" t="inlineStr">
        <is>
          <t>• Complete Documentation_Assessment (quality scoring)</t>
        </is>
      </c>
    </row>
    <row r="34">
      <c r="A34" s="3" t="inlineStr">
        <is>
          <t>• Review Approval_Tracking and Deviation_Register</t>
        </is>
      </c>
    </row>
    <row r="35">
      <c r="A35" s="3" t="inlineStr">
        <is>
          <t>• Identify remediation priorities</t>
        </is>
      </c>
    </row>
    <row r="36">
      <c r="A36" s="3" t="inlineStr">
        <is>
          <t>• Timeline: 1 week</t>
        </is>
      </c>
    </row>
    <row r="37">
      <c r="A37" s="3" t="inlineStr"/>
    </row>
    <row r="38">
      <c r="A38" s="3" t="inlineStr">
        <is>
          <t>Approver (IT Manager, CISO):</t>
        </is>
      </c>
    </row>
    <row r="39">
      <c r="A39" s="3" t="inlineStr">
        <is>
          <t>• Review Metrics_Summary for overall compliance</t>
        </is>
      </c>
    </row>
    <row r="40">
      <c r="A40" s="3" t="inlineStr">
        <is>
          <t>• Assess remediation plans for identified gaps</t>
        </is>
      </c>
    </row>
    <row r="41">
      <c r="A41" s="3" t="inlineStr">
        <is>
          <t>• Approve assessment or request revisions</t>
        </is>
      </c>
    </row>
    <row r="42">
      <c r="A42" s="3" t="inlineStr">
        <is>
          <t>• Timeline: 3-5 business days</t>
        </is>
      </c>
    </row>
    <row r="43">
      <c r="A43" s="3" t="inlineStr"/>
    </row>
    <row r="44" ht="20" customHeight="1">
      <c r="A44" s="4" t="inlineStr">
        <is>
          <t>COMPLETION INSTRUCTIONS</t>
        </is>
      </c>
    </row>
    <row r="45">
      <c r="A45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6">
      <c r="A46" s="3" t="inlineStr"/>
    </row>
    <row r="47">
      <c r="A47" s="3" t="inlineStr">
        <is>
          <t>Step 1 - Asset Inventory (Days 1-5):</t>
        </is>
      </c>
    </row>
    <row r="48">
      <c r="A48" s="3" t="inlineStr">
        <is>
          <t>1. Export asset list from CMDB if available, or compile manually</t>
        </is>
      </c>
    </row>
    <row r="49">
      <c r="A49" s="3" t="inlineStr">
        <is>
          <t>2. Open Asset_Inventory sheet</t>
        </is>
      </c>
    </row>
    <row r="50">
      <c r="A50" s="3" t="inlineStr">
        <is>
          <t>3. For each asset, complete columns A-C (ID, Name, Type), E-G (Criticality, Owner, Location)</t>
        </is>
      </c>
    </row>
    <row r="51">
      <c r="A51" s="3" t="inlineStr">
        <is>
          <t>4. Determine Baseline Status: Defined, In Progress, Not Started, or N/A</t>
        </is>
      </c>
    </row>
    <row r="52">
      <c r="A52" s="3" t="inlineStr">
        <is>
          <t>5. If baseline exists, provide reference in column I</t>
        </is>
      </c>
    </row>
    <row r="53">
      <c r="A53" s="3" t="inlineStr">
        <is>
          <t>6. Update Last Reviewed Date if applicable</t>
        </is>
      </c>
    </row>
    <row r="54">
      <c r="A54" s="3" t="inlineStr"/>
    </row>
    <row r="55">
      <c r="A55" s="3" t="inlineStr">
        <is>
          <t>Step 2 - Baseline Documentation (Days 6-10):</t>
        </is>
      </c>
    </row>
    <row r="56">
      <c r="A56" s="3" t="inlineStr">
        <is>
          <t>1. Open Baseline_Repository sheet</t>
        </is>
      </c>
    </row>
    <row r="57">
      <c r="A57" s="3" t="inlineStr">
        <is>
          <t>2. Document each distinct configuration baseline</t>
        </is>
      </c>
    </row>
    <row r="58">
      <c r="A58" s="3" t="inlineStr">
        <is>
          <t>3. Provide baseline version, approval status, documentation location</t>
        </is>
      </c>
    </row>
    <row r="59">
      <c r="A59" s="3" t="inlineStr">
        <is>
          <t>4. Ensure Baseline IDs match references in Asset_Inventory</t>
        </is>
      </c>
    </row>
    <row r="60">
      <c r="A60" s="3" t="inlineStr"/>
    </row>
    <row r="61">
      <c r="A61" s="3" t="inlineStr">
        <is>
          <t>Step 3 - Tracking and Quality (Days 11-14):</t>
        </is>
      </c>
    </row>
    <row r="62">
      <c r="A62" s="3" t="inlineStr">
        <is>
          <t>1. Complete Approval_Tracking for baselines in approval workflow</t>
        </is>
      </c>
    </row>
    <row r="63">
      <c r="A63" s="3" t="inlineStr">
        <is>
          <t>2. Configuration Manager completes Documentation_Assessment</t>
        </is>
      </c>
    </row>
    <row r="64">
      <c r="A64" s="3" t="inlineStr">
        <is>
          <t>3. Update Version_Control with baseline version history</t>
        </is>
      </c>
    </row>
    <row r="65">
      <c r="A65" s="3" t="inlineStr">
        <is>
          <t>4. Document deviations in Deviation_Register</t>
        </is>
      </c>
    </row>
    <row r="66">
      <c r="A66" s="3" t="inlineStr"/>
    </row>
    <row r="67">
      <c r="A67" s="3" t="inlineStr">
        <is>
          <t>Step 4 - Evidence Collection (Days 15-18):</t>
        </is>
      </c>
    </row>
    <row r="68">
      <c r="A68" s="3" t="inlineStr">
        <is>
          <t>1. Compile all supporting evidence (screenshots, config files, approvals)</t>
        </is>
      </c>
    </row>
    <row r="69">
      <c r="A69" s="3" t="inlineStr">
        <is>
          <t>2. Document each piece of evidence in Evidence_Register</t>
        </is>
      </c>
    </row>
    <row r="70">
      <c r="A70" s="3" t="inlineStr">
        <is>
          <t>3. Ensure evidence is accessible for audit verification</t>
        </is>
      </c>
    </row>
    <row r="71">
      <c r="A71" s="3" t="inlineStr"/>
    </row>
    <row r="72">
      <c r="A72" s="3" t="inlineStr">
        <is>
          <t>Step 5 - Review and Approval (Days 19-21):</t>
        </is>
      </c>
    </row>
    <row r="73">
      <c r="A73" s="3" t="inlineStr">
        <is>
          <t>1. Review Metrics_Summary - identify gaps</t>
        </is>
      </c>
    </row>
    <row r="74">
      <c r="A74" s="3" t="inlineStr">
        <is>
          <t>2. Preparer completes Approval_Sign_Off (Section B)</t>
        </is>
      </c>
    </row>
    <row r="75">
      <c r="A75" s="3" t="inlineStr">
        <is>
          <t>3. Reviewer verifies and completes Section C</t>
        </is>
      </c>
    </row>
    <row r="76">
      <c r="A76" s="3" t="inlineStr">
        <is>
          <t>4. Approver reviews and completes Section D</t>
        </is>
      </c>
    </row>
    <row r="77">
      <c r="A77" s="3" t="inlineStr"/>
    </row>
    <row r="78" ht="20" customHeight="1">
      <c r="A78" s="4" t="inlineStr">
        <is>
          <t>WORKBOOK STRUCTURE</t>
        </is>
      </c>
    </row>
    <row r="79">
      <c r="A79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80">
      <c r="A80" s="3" t="inlineStr"/>
    </row>
    <row r="81">
      <c r="A81" s="3" t="inlineStr">
        <is>
          <t>This workbook contains 11 sheets:</t>
        </is>
      </c>
    </row>
    <row r="82">
      <c r="A82" s="3" t="inlineStr"/>
    </row>
    <row r="83">
      <c r="A83" s="3" t="inlineStr">
        <is>
          <t>1.  Instructions - This sheet (usage guidance)</t>
        </is>
      </c>
    </row>
    <row r="84">
      <c r="A84" s="3" t="inlineStr">
        <is>
          <t>2.  Asset_Inventory - All assets requiring baseline management (100 rows)</t>
        </is>
      </c>
    </row>
    <row r="85">
      <c r="A85" s="3" t="inlineStr">
        <is>
          <t>3.  Baseline_Repository - Documented configuration baselines (50 rows)</t>
        </is>
      </c>
    </row>
    <row r="86">
      <c r="A86" s="3" t="inlineStr">
        <is>
          <t>4.  Baseline_Coverage_Matrix - Coverage analysis by asset type (43 rows, auto-calculated)</t>
        </is>
      </c>
    </row>
    <row r="87">
      <c r="A87" s="3" t="inlineStr">
        <is>
          <t>5.  Approval_Tracking - Baseline approval workflow status (50 rows)</t>
        </is>
      </c>
    </row>
    <row r="88">
      <c r="A88" s="3" t="inlineStr">
        <is>
          <t>6.  Documentation_Assessment - Quality evaluation of baseline docs (30 rows)</t>
        </is>
      </c>
    </row>
    <row r="89">
      <c r="A89" s="3" t="inlineStr">
        <is>
          <t>7.  Version_Control - Baseline version history (50 rows)</t>
        </is>
      </c>
    </row>
    <row r="90">
      <c r="A90" s="3" t="inlineStr">
        <is>
          <t>8.  Deviation_Register - Authorized deviations from baselines (50 rows)</t>
        </is>
      </c>
    </row>
    <row r="91">
      <c r="A91" s="3" t="inlineStr">
        <is>
          <t>9.  Metrics_Summary - Auto-calculated compliance metrics (dashboard)</t>
        </is>
      </c>
    </row>
    <row r="92">
      <c r="A92" s="3" t="inlineStr">
        <is>
          <t>10. Evidence_Register - Supporting evidence documentation (100 rows)</t>
        </is>
      </c>
    </row>
    <row r="93">
      <c r="A93" s="3" t="inlineStr">
        <is>
          <t>11. Approval_Sign_Off - Three-tier approval signatures</t>
        </is>
      </c>
    </row>
    <row r="94">
      <c r="A94" s="3" t="inlineStr"/>
    </row>
    <row r="95" ht="20" customHeight="1">
      <c r="A95" s="4" t="inlineStr">
        <is>
          <t>LEGEND - STATUS VALUES AND COLOR CODING</t>
        </is>
      </c>
    </row>
    <row r="96">
      <c r="A96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97">
      <c r="A97" s="3" t="inlineStr"/>
    </row>
    <row r="98">
      <c r="A98" s="3" t="inlineStr">
        <is>
          <t>Baseline Status:</t>
        </is>
      </c>
    </row>
    <row r="99">
      <c r="A99" s="3" t="inlineStr">
        <is>
          <t xml:space="preserve">  🟢 Defined (Green) - Baseline is defined, documented, and approved</t>
        </is>
      </c>
    </row>
    <row r="100">
      <c r="A100" s="3" t="inlineStr">
        <is>
          <t xml:space="preserve">  🟡 In Progress (Yellow) - Baseline definition is underway</t>
        </is>
      </c>
    </row>
    <row r="101">
      <c r="A101" s="3" t="inlineStr">
        <is>
          <t xml:space="preserve">  🔴 Not Started (Red) - Baseline has not been initiated</t>
        </is>
      </c>
    </row>
    <row r="102">
      <c r="A102" s="3" t="inlineStr">
        <is>
          <t xml:space="preserve">  ⚪ N/A (Gray) - Baseline not applicable (with justification)</t>
        </is>
      </c>
    </row>
    <row r="103">
      <c r="A103" s="3" t="inlineStr"/>
    </row>
    <row r="104">
      <c r="A104" s="3" t="inlineStr">
        <is>
          <t>Approval Status:</t>
        </is>
      </c>
    </row>
    <row r="105">
      <c r="A105" s="3" t="inlineStr">
        <is>
          <t xml:space="preserve">  🟢 Approved (Green) - Baseline is formally approved</t>
        </is>
      </c>
    </row>
    <row r="106">
      <c r="A106" s="3" t="inlineStr">
        <is>
          <t xml:space="preserve">  🟡 Under Review (Yellow) - Currently in approval process</t>
        </is>
      </c>
    </row>
    <row r="107">
      <c r="A107" s="3" t="inlineStr">
        <is>
          <t xml:space="preserve">  🔴 Rejected (Red) - Baseline was rejected, needs rework</t>
        </is>
      </c>
    </row>
    <row r="108">
      <c r="A108" s="3" t="inlineStr">
        <is>
          <t xml:space="preserve">  🟠 Revisions Requested (Orange) - Changes required before approval</t>
        </is>
      </c>
    </row>
    <row r="109">
      <c r="A109" s="3" t="inlineStr"/>
    </row>
    <row r="110">
      <c r="A110" s="3" t="inlineStr">
        <is>
          <t>Documentation Quality:</t>
        </is>
      </c>
    </row>
    <row r="111">
      <c r="A111" s="3" t="inlineStr">
        <is>
          <t xml:space="preserve">  Excellent (≥90 score) - Comprehensive, accurate, maintainable, accessible</t>
        </is>
      </c>
    </row>
    <row r="112">
      <c r="A112" s="3" t="inlineStr">
        <is>
          <t xml:space="preserve">  Good (75-89 score) - Adequate quality with minor gaps</t>
        </is>
      </c>
    </row>
    <row r="113">
      <c r="A113" s="3" t="inlineStr">
        <is>
          <t xml:space="preserve">  Fair (50-74 score) - Acceptable but improvement needed</t>
        </is>
      </c>
    </row>
    <row r="114">
      <c r="A114" s="3" t="inlineStr">
        <is>
          <t xml:space="preserve">  Poor (&lt;50 score) - Significant quality issues, requires remediation</t>
        </is>
      </c>
    </row>
    <row r="115">
      <c r="A115" s="3" t="inlineStr"/>
    </row>
    <row r="116">
      <c r="A116" s="3" t="inlineStr">
        <is>
          <t>Compliance Status:</t>
        </is>
      </c>
    </row>
    <row r="117">
      <c r="A117" s="3" t="inlineStr">
        <is>
          <t xml:space="preserve">  🟢 Compliant - Meets or exceeds target coverage</t>
        </is>
      </c>
    </row>
    <row r="118">
      <c r="A118" s="3" t="inlineStr">
        <is>
          <t xml:space="preserve">  🟡 Partial - Below target but within acceptable range</t>
        </is>
      </c>
    </row>
    <row r="119">
      <c r="A119" s="3" t="inlineStr">
        <is>
          <t xml:space="preserve">  🔴 Non-Compliant - Significantly below target, action required</t>
        </is>
      </c>
    </row>
    <row r="120">
      <c r="A120" s="3" t="inlineStr"/>
    </row>
    <row r="121" ht="20" customHeight="1">
      <c r="A121" s="4" t="inlineStr">
        <is>
          <t>IMPORTANT NOTES</t>
        </is>
      </c>
    </row>
    <row r="122">
      <c r="A122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123">
      <c r="A123" s="3" t="inlineStr"/>
    </row>
    <row r="124">
      <c r="A124" s="3" t="inlineStr">
        <is>
          <t>• Protected cells (gray background) contain formulas - do not edit</t>
        </is>
      </c>
    </row>
    <row r="125">
      <c r="A125" s="3" t="inlineStr">
        <is>
          <t>• Use dropdowns for standardized entries - do not type free text where dropdown exists</t>
        </is>
      </c>
    </row>
    <row r="126">
      <c r="A126" s="3" t="inlineStr">
        <is>
          <t>• All date fields use DD.MM.YYYY format</t>
        </is>
      </c>
    </row>
    <row r="127">
      <c r="A127" s="3" t="inlineStr">
        <is>
          <t>• Baseline_Coverage_Matrix and Metrics_Summary update automatically</t>
        </is>
      </c>
    </row>
    <row r="128">
      <c r="A128" s="3" t="inlineStr">
        <is>
          <t>• Evidence_Register is critical for audit verification</t>
        </is>
      </c>
    </row>
    <row r="129">
      <c r="A129" s="3" t="inlineStr">
        <is>
          <t>• Complete Approval_Sign_Off only when entire assessment is finalized</t>
        </is>
      </c>
    </row>
    <row r="130">
      <c r="A130" s="3" t="inlineStr"/>
    </row>
    <row r="131" ht="20" customHeight="1">
      <c r="A131" s="4" t="inlineStr">
        <is>
          <t>COMPLIANCE TARGETS</t>
        </is>
      </c>
    </row>
    <row r="132">
      <c r="A132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133">
      <c r="A133" s="3" t="inlineStr"/>
    </row>
    <row r="134">
      <c r="A134" s="3" t="inlineStr">
        <is>
          <t>Critical Assets: ≥95% baseline coverage</t>
        </is>
      </c>
    </row>
    <row r="135">
      <c r="A135" s="3" t="inlineStr">
        <is>
          <t>High Assets: ≥90% baseline coverage</t>
        </is>
      </c>
    </row>
    <row r="136">
      <c r="A136" s="3" t="inlineStr">
        <is>
          <t>Medium Assets: ≥80% baseline coverage</t>
        </is>
      </c>
    </row>
    <row r="137">
      <c r="A137" s="3" t="inlineStr">
        <is>
          <t>Low Assets: ≥60% baseline coverage</t>
        </is>
      </c>
    </row>
    <row r="138">
      <c r="A138" s="3" t="inlineStr">
        <is>
          <t>Overall: ≥85% baseline coverage</t>
        </is>
      </c>
    </row>
    <row r="139">
      <c r="A139" s="3" t="inlineStr"/>
    </row>
    <row r="140">
      <c r="A140" s="3" t="inlineStr">
        <is>
          <t>Documentation Quality: ≥75% of baselines should have 'Good' or 'Excellent' rating</t>
        </is>
      </c>
    </row>
    <row r="141">
      <c r="A141" s="3" t="inlineStr">
        <is>
          <t>Approval SLA: &lt;14 days from submission to approval decision</t>
        </is>
      </c>
    </row>
    <row r="142">
      <c r="A142" s="3" t="inlineStr">
        <is>
          <t>High/Critical Risk Deviations: &lt;5 active</t>
        </is>
      </c>
    </row>
    <row r="143">
      <c r="A143" s="3" t="inlineStr"/>
    </row>
    <row r="144" ht="20" customHeight="1">
      <c r="A144" s="4" t="inlineStr">
        <is>
          <t>SUPPORT AND QUESTIONS</t>
        </is>
      </c>
    </row>
    <row r="145">
      <c r="A145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146">
      <c r="A146" s="3" t="inlineStr"/>
    </row>
    <row r="147">
      <c r="A147" s="3" t="inlineStr">
        <is>
          <t>Configuration Manager: [contact information]</t>
        </is>
      </c>
    </row>
    <row r="148">
      <c r="A148" s="3" t="inlineStr">
        <is>
          <t>ISMS Team: [contact information]</t>
        </is>
      </c>
    </row>
    <row r="149">
      <c r="A149" s="3" t="inlineStr"/>
    </row>
    <row r="150">
      <c r="A150" s="3" t="inlineStr">
        <is>
          <t>For technical issues with this workbook, contact: [IT support]</t>
        </is>
      </c>
    </row>
    <row r="151">
      <c r="A151" s="3" t="inlineStr">
        <is>
          <t>For questions about Control A.8.9 requirements, reference: ISMS-POL-A.8.9</t>
        </is>
      </c>
    </row>
    <row r="152">
      <c r="A152" s="3" t="inlineStr"/>
    </row>
    <row r="153">
      <c r="A153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154">
      <c r="A154" s="3" t="inlineStr">
        <is>
          <t>Generated: 08.02.2026 | Version: 1.0 | Document ID: ISMS-IMP-A.8.9.1</t>
        </is>
      </c>
    </row>
  </sheetData>
  <mergeCells count="1"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Asset Type</t>
        </is>
      </c>
      <c r="B1" s="6" t="inlineStr">
        <is>
          <t>Category</t>
        </is>
      </c>
    </row>
    <row r="2">
      <c r="A2" t="inlineStr">
        <is>
          <t>Physical Server</t>
        </is>
      </c>
      <c r="B2" t="inlineStr">
        <is>
          <t>Infrastructure</t>
        </is>
      </c>
    </row>
    <row r="3">
      <c r="A3" t="inlineStr">
        <is>
          <t>Virtual Machine (VM)</t>
        </is>
      </c>
      <c r="B3" t="inlineStr">
        <is>
          <t>Infrastructure</t>
        </is>
      </c>
    </row>
    <row r="4">
      <c r="A4" t="inlineStr">
        <is>
          <t>Hypervisor</t>
        </is>
      </c>
      <c r="B4" t="inlineStr">
        <is>
          <t>Infrastructure</t>
        </is>
      </c>
    </row>
    <row r="5">
      <c r="A5" t="inlineStr">
        <is>
          <t>Network Switch</t>
        </is>
      </c>
      <c r="B5" t="inlineStr">
        <is>
          <t>Infrastructure</t>
        </is>
      </c>
    </row>
    <row r="6">
      <c r="A6" t="inlineStr">
        <is>
          <t>Network Router</t>
        </is>
      </c>
      <c r="B6" t="inlineStr">
        <is>
          <t>Infrastructure</t>
        </is>
      </c>
    </row>
    <row r="7">
      <c r="A7" t="inlineStr">
        <is>
          <t>Firewall</t>
        </is>
      </c>
      <c r="B7" t="inlineStr">
        <is>
          <t>Infrastructure</t>
        </is>
      </c>
    </row>
    <row r="8">
      <c r="A8" t="inlineStr">
        <is>
          <t>Load Balancer</t>
        </is>
      </c>
      <c r="B8" t="inlineStr">
        <is>
          <t>Infrastructure</t>
        </is>
      </c>
    </row>
    <row r="9">
      <c r="A9" t="inlineStr">
        <is>
          <t>Storage Array (SAN/NAS)</t>
        </is>
      </c>
      <c r="B9" t="inlineStr">
        <is>
          <t>Infrastructure</t>
        </is>
      </c>
    </row>
    <row r="10">
      <c r="A10" t="inlineStr">
        <is>
          <t>Backup Appliance</t>
        </is>
      </c>
      <c r="B10" t="inlineStr">
        <is>
          <t>Infrastructure</t>
        </is>
      </c>
    </row>
    <row r="11">
      <c r="A11" t="inlineStr">
        <is>
          <t>UPS/Power Distribution</t>
        </is>
      </c>
      <c r="B11" t="inlineStr">
        <is>
          <t>Infrastructure</t>
        </is>
      </c>
    </row>
    <row r="12">
      <c r="A12" t="inlineStr">
        <is>
          <t>Environmental Control (HVAC)</t>
        </is>
      </c>
      <c r="B12" t="inlineStr">
        <is>
          <t>Infrastructure</t>
        </is>
      </c>
    </row>
    <row r="13">
      <c r="A13" t="inlineStr">
        <is>
          <t>Physical Security System</t>
        </is>
      </c>
      <c r="B13" t="inlineStr">
        <is>
          <t>Infrastructure</t>
        </is>
      </c>
    </row>
    <row r="14">
      <c r="A14" t="inlineStr">
        <is>
          <t>Desktop Computer</t>
        </is>
      </c>
      <c r="B14" t="inlineStr">
        <is>
          <t>Endpoint</t>
        </is>
      </c>
    </row>
    <row r="15">
      <c r="A15" t="inlineStr">
        <is>
          <t>Laptop Computer</t>
        </is>
      </c>
      <c r="B15" t="inlineStr">
        <is>
          <t>Endpoint</t>
        </is>
      </c>
    </row>
    <row r="16">
      <c r="A16" t="inlineStr">
        <is>
          <t>Mobile Phone</t>
        </is>
      </c>
      <c r="B16" t="inlineStr">
        <is>
          <t>Endpoint</t>
        </is>
      </c>
    </row>
    <row r="17">
      <c r="A17" t="inlineStr">
        <is>
          <t>Tablet</t>
        </is>
      </c>
      <c r="B17" t="inlineStr">
        <is>
          <t>Endpoint</t>
        </is>
      </c>
    </row>
    <row r="18">
      <c r="A18" t="inlineStr">
        <is>
          <t>Thin Client</t>
        </is>
      </c>
      <c r="B18" t="inlineStr">
        <is>
          <t>Endpoint</t>
        </is>
      </c>
    </row>
    <row r="19">
      <c r="A19" t="inlineStr">
        <is>
          <t>Kiosk/Point-of-Sale</t>
        </is>
      </c>
      <c r="B19" t="inlineStr">
        <is>
          <t>Endpoint</t>
        </is>
      </c>
    </row>
    <row r="20">
      <c r="A20" t="inlineStr">
        <is>
          <t>DNS Server</t>
        </is>
      </c>
      <c r="B20" t="inlineStr">
        <is>
          <t>Network Services</t>
        </is>
      </c>
    </row>
    <row r="21">
      <c r="A21" t="inlineStr">
        <is>
          <t>DHCP Server</t>
        </is>
      </c>
      <c r="B21" t="inlineStr">
        <is>
          <t>Network Services</t>
        </is>
      </c>
    </row>
    <row r="22">
      <c r="A22" t="inlineStr">
        <is>
          <t>NTP Server</t>
        </is>
      </c>
      <c r="B22" t="inlineStr">
        <is>
          <t>Network Services</t>
        </is>
      </c>
    </row>
    <row r="23">
      <c r="A23" t="inlineStr">
        <is>
          <t>Proxy Server</t>
        </is>
      </c>
      <c r="B23" t="inlineStr">
        <is>
          <t>Network Services</t>
        </is>
      </c>
    </row>
    <row r="24">
      <c r="A24" t="inlineStr">
        <is>
          <t>VPN Gateway</t>
        </is>
      </c>
      <c r="B24" t="inlineStr">
        <is>
          <t>Network Services</t>
        </is>
      </c>
    </row>
    <row r="25">
      <c r="A25" t="inlineStr">
        <is>
          <t>Wireless Access Point</t>
        </is>
      </c>
      <c r="B25" t="inlineStr">
        <is>
          <t>Network Services</t>
        </is>
      </c>
    </row>
    <row r="26">
      <c r="A26" t="inlineStr">
        <is>
          <t>Network Management System</t>
        </is>
      </c>
      <c r="B26" t="inlineStr">
        <is>
          <t>Network Services</t>
        </is>
      </c>
    </row>
    <row r="27">
      <c r="A27" t="inlineStr">
        <is>
          <t>Enterprise Application</t>
        </is>
      </c>
      <c r="B27" t="inlineStr">
        <is>
          <t>Applications</t>
        </is>
      </c>
    </row>
    <row r="28">
      <c r="A28" t="inlineStr">
        <is>
          <t>Web Application</t>
        </is>
      </c>
      <c r="B28" t="inlineStr">
        <is>
          <t>Applications</t>
        </is>
      </c>
    </row>
    <row r="29">
      <c r="A29" t="inlineStr">
        <is>
          <t>Database System</t>
        </is>
      </c>
      <c r="B29" t="inlineStr">
        <is>
          <t>Applications</t>
        </is>
      </c>
    </row>
    <row r="30">
      <c r="A30" t="inlineStr">
        <is>
          <t>Middleware</t>
        </is>
      </c>
      <c r="B30" t="inlineStr">
        <is>
          <t>Applications</t>
        </is>
      </c>
    </row>
    <row r="31">
      <c r="A31" t="inlineStr">
        <is>
          <t>API/Web Service</t>
        </is>
      </c>
      <c r="B31" t="inlineStr">
        <is>
          <t>Applications</t>
        </is>
      </c>
    </row>
    <row r="32">
      <c r="A32" t="inlineStr">
        <is>
          <t>Custom Developed Application</t>
        </is>
      </c>
      <c r="B32" t="inlineStr">
        <is>
          <t>Applications</t>
        </is>
      </c>
    </row>
    <row r="33">
      <c r="A33" t="inlineStr">
        <is>
          <t>Commercial Off-the-Shelf (COTS)</t>
        </is>
      </c>
      <c r="B33" t="inlineStr">
        <is>
          <t>Applications</t>
        </is>
      </c>
    </row>
    <row r="34">
      <c r="A34" t="inlineStr">
        <is>
          <t>Open Source Software</t>
        </is>
      </c>
      <c r="B34" t="inlineStr">
        <is>
          <t>Applications</t>
        </is>
      </c>
    </row>
    <row r="35">
      <c r="A35" t="inlineStr">
        <is>
          <t>IaaS Resource (VM, Storage)</t>
        </is>
      </c>
      <c r="B35" t="inlineStr">
        <is>
          <t>Cloud</t>
        </is>
      </c>
    </row>
    <row r="36">
      <c r="A36" t="inlineStr">
        <is>
          <t>PaaS Service</t>
        </is>
      </c>
      <c r="B36" t="inlineStr">
        <is>
          <t>Cloud</t>
        </is>
      </c>
    </row>
    <row r="37">
      <c r="A37" t="inlineStr">
        <is>
          <t>SaaS Application</t>
        </is>
      </c>
      <c r="B37" t="inlineStr">
        <is>
          <t>Cloud</t>
        </is>
      </c>
    </row>
    <row r="38">
      <c r="A38" t="inlineStr">
        <is>
          <t>Cloud-Native Application</t>
        </is>
      </c>
      <c r="B38" t="inlineStr">
        <is>
          <t>Cloud</t>
        </is>
      </c>
    </row>
    <row r="39">
      <c r="A39" t="inlineStr">
        <is>
          <t>Serverless Function</t>
        </is>
      </c>
      <c r="B39" t="inlineStr">
        <is>
          <t>Cloud</t>
        </is>
      </c>
    </row>
    <row r="40">
      <c r="A40" t="inlineStr">
        <is>
          <t>IoT Device</t>
        </is>
      </c>
      <c r="B40" t="inlineStr">
        <is>
          <t>IoT/OT</t>
        </is>
      </c>
    </row>
    <row r="41">
      <c r="A41" t="inlineStr">
        <is>
          <t>Industrial Control System (ICS)</t>
        </is>
      </c>
      <c r="B41" t="inlineStr">
        <is>
          <t>IoT/OT</t>
        </is>
      </c>
    </row>
    <row r="42">
      <c r="A42" t="inlineStr">
        <is>
          <t>SCADA System</t>
        </is>
      </c>
      <c r="B42" t="inlineStr">
        <is>
          <t>IoT/OT</t>
        </is>
      </c>
    </row>
    <row r="43">
      <c r="A43" t="inlineStr">
        <is>
          <t>Building Management System (BMS)</t>
        </is>
      </c>
      <c r="B43" t="inlineStr">
        <is>
          <t>IoT/OT</t>
        </is>
      </c>
    </row>
    <row r="44">
      <c r="A44" t="inlineStr">
        <is>
          <t>Medical Device</t>
        </is>
      </c>
      <c r="B44" t="inlineStr">
        <is>
          <t>IoT/OT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20" customWidth="1" min="4" max="4"/>
    <col width="12" customWidth="1" min="5" max="5"/>
    <col width="20" customWidth="1" min="6" max="6"/>
    <col width="25" customWidth="1" min="7" max="7"/>
    <col width="15" customWidth="1" min="8" max="8"/>
    <col width="25" customWidth="1" min="9" max="9"/>
    <col width="15" customWidth="1" min="10" max="10"/>
    <col width="15" customWidth="1" min="11" max="11"/>
    <col width="15" customWidth="1" min="12" max="12"/>
    <col width="40" customWidth="1" min="13" max="13"/>
  </cols>
  <sheetData>
    <row r="1" ht="30" customHeight="1">
      <c r="A1" s="7" t="inlineStr">
        <is>
          <t>Asset Inventory - Baseline Configuration Assessment</t>
        </is>
      </c>
    </row>
    <row r="2" ht="30" customHeight="1">
      <c r="A2" s="6" t="inlineStr">
        <is>
          <t>Asset ID</t>
        </is>
      </c>
      <c r="B2" s="6" t="inlineStr">
        <is>
          <t>Asset Name</t>
        </is>
      </c>
      <c r="C2" s="6" t="inlineStr">
        <is>
          <t>Asset Type</t>
        </is>
      </c>
      <c r="D2" s="6" t="inlineStr">
        <is>
          <t>Asset Category</t>
        </is>
      </c>
      <c r="E2" s="6" t="inlineStr">
        <is>
          <t>Criticality</t>
        </is>
      </c>
      <c r="F2" s="6" t="inlineStr">
        <is>
          <t>Owner</t>
        </is>
      </c>
      <c r="G2" s="6" t="inlineStr">
        <is>
          <t>Location</t>
        </is>
      </c>
      <c r="H2" s="6" t="inlineStr">
        <is>
          <t>Baseline Status</t>
        </is>
      </c>
      <c r="I2" s="6" t="inlineStr">
        <is>
          <t>Baseline Reference</t>
        </is>
      </c>
      <c r="J2" s="6" t="inlineStr">
        <is>
          <t>Last Reviewed Date</t>
        </is>
      </c>
      <c r="K2" s="6" t="inlineStr">
        <is>
          <t>Next Review Due</t>
        </is>
      </c>
      <c r="L2" s="6" t="inlineStr">
        <is>
          <t>Compliance Status</t>
        </is>
      </c>
      <c r="M2" s="6" t="inlineStr">
        <is>
          <t>Notes</t>
        </is>
      </c>
    </row>
    <row r="3">
      <c r="A3" s="8" t="n"/>
      <c r="B3" s="8" t="n"/>
      <c r="C3" s="8" t="n"/>
      <c r="D3" s="9">
        <f>IF(C3="","",IFERROR(VLOOKUP(C3,Lookup_Tables!$A$2:$B$44,2,FALSE),"Unknown"))</f>
        <v/>
      </c>
      <c r="E3" s="8" t="n"/>
      <c r="F3" s="8" t="n"/>
      <c r="G3" s="8" t="n"/>
      <c r="H3" s="8" t="n"/>
      <c r="I3" s="8" t="n"/>
      <c r="J3" s="8" t="n"/>
      <c r="K3" s="9">
        <f>IF(J3="","",IF(E3="Critical",J3+90,IF(E3="High",J3+90,IF(E3="Medium",J3+180,J3+180))))</f>
        <v/>
      </c>
      <c r="L3" s="9">
        <f>IF(H3="✅ Defined","✅ Compliant",IF(H3="➖ N/A","➖ Excluded","❌ Non-Compliant"))</f>
        <v/>
      </c>
      <c r="M3" s="8" t="n"/>
    </row>
    <row r="4">
      <c r="A4" s="8" t="n"/>
      <c r="B4" s="8" t="n"/>
      <c r="C4" s="8" t="n"/>
      <c r="D4" s="9">
        <f>IF(C4="","",IFERROR(VLOOKUP(C4,Lookup_Tables!$A$2:$B$44,2,FALSE),"Unknown"))</f>
        <v/>
      </c>
      <c r="E4" s="8" t="n"/>
      <c r="F4" s="8" t="n"/>
      <c r="G4" s="8" t="n"/>
      <c r="H4" s="8" t="n"/>
      <c r="I4" s="8" t="n"/>
      <c r="J4" s="8" t="n"/>
      <c r="K4" s="9">
        <f>IF(J4="","",IF(E4="Critical",J4+90,IF(E4="High",J4+90,IF(E4="Medium",J4+180,J4+180))))</f>
        <v/>
      </c>
      <c r="L4" s="9">
        <f>IF(H4="✅ Defined","✅ Compliant",IF(H4="➖ N/A","➖ Excluded","❌ Non-Compliant"))</f>
        <v/>
      </c>
      <c r="M4" s="8" t="n"/>
    </row>
    <row r="5">
      <c r="A5" s="8" t="n"/>
      <c r="B5" s="8" t="n"/>
      <c r="C5" s="8" t="n"/>
      <c r="D5" s="9">
        <f>IF(C5="","",IFERROR(VLOOKUP(C5,Lookup_Tables!$A$2:$B$44,2,FALSE),"Unknown"))</f>
        <v/>
      </c>
      <c r="E5" s="8" t="n"/>
      <c r="F5" s="8" t="n"/>
      <c r="G5" s="8" t="n"/>
      <c r="H5" s="8" t="n"/>
      <c r="I5" s="8" t="n"/>
      <c r="J5" s="8" t="n"/>
      <c r="K5" s="9">
        <f>IF(J5="","",IF(E5="Critical",J5+90,IF(E5="High",J5+90,IF(E5="Medium",J5+180,J5+180))))</f>
        <v/>
      </c>
      <c r="L5" s="9">
        <f>IF(H5="✅ Defined","✅ Compliant",IF(H5="➖ N/A","➖ Excluded","❌ Non-Compliant"))</f>
        <v/>
      </c>
      <c r="M5" s="8" t="n"/>
    </row>
    <row r="6">
      <c r="A6" s="8" t="n"/>
      <c r="B6" s="8" t="n"/>
      <c r="C6" s="8" t="n"/>
      <c r="D6" s="9">
        <f>IF(C6="","",IFERROR(VLOOKUP(C6,Lookup_Tables!$A$2:$B$44,2,FALSE),"Unknown"))</f>
        <v/>
      </c>
      <c r="E6" s="8" t="n"/>
      <c r="F6" s="8" t="n"/>
      <c r="G6" s="8" t="n"/>
      <c r="H6" s="8" t="n"/>
      <c r="I6" s="8" t="n"/>
      <c r="J6" s="8" t="n"/>
      <c r="K6" s="9">
        <f>IF(J6="","",IF(E6="Critical",J6+90,IF(E6="High",J6+90,IF(E6="Medium",J6+180,J6+180))))</f>
        <v/>
      </c>
      <c r="L6" s="9">
        <f>IF(H6="✅ Defined","✅ Compliant",IF(H6="➖ N/A","➖ Excluded","❌ Non-Compliant"))</f>
        <v/>
      </c>
      <c r="M6" s="8" t="n"/>
    </row>
    <row r="7">
      <c r="A7" s="8" t="n"/>
      <c r="B7" s="8" t="n"/>
      <c r="C7" s="8" t="n"/>
      <c r="D7" s="9">
        <f>IF(C7="","",IFERROR(VLOOKUP(C7,Lookup_Tables!$A$2:$B$44,2,FALSE),"Unknown"))</f>
        <v/>
      </c>
      <c r="E7" s="8" t="n"/>
      <c r="F7" s="8" t="n"/>
      <c r="G7" s="8" t="n"/>
      <c r="H7" s="8" t="n"/>
      <c r="I7" s="8" t="n"/>
      <c r="J7" s="8" t="n"/>
      <c r="K7" s="9">
        <f>IF(J7="","",IF(E7="Critical",J7+90,IF(E7="High",J7+90,IF(E7="Medium",J7+180,J7+180))))</f>
        <v/>
      </c>
      <c r="L7" s="9">
        <f>IF(H7="✅ Defined","✅ Compliant",IF(H7="➖ N/A","➖ Excluded","❌ Non-Compliant"))</f>
        <v/>
      </c>
      <c r="M7" s="8" t="n"/>
    </row>
    <row r="8">
      <c r="A8" s="8" t="n"/>
      <c r="B8" s="8" t="n"/>
      <c r="C8" s="8" t="n"/>
      <c r="D8" s="9">
        <f>IF(C8="","",IFERROR(VLOOKUP(C8,Lookup_Tables!$A$2:$B$44,2,FALSE),"Unknown"))</f>
        <v/>
      </c>
      <c r="E8" s="8" t="n"/>
      <c r="F8" s="8" t="n"/>
      <c r="G8" s="8" t="n"/>
      <c r="H8" s="8" t="n"/>
      <c r="I8" s="8" t="n"/>
      <c r="J8" s="8" t="n"/>
      <c r="K8" s="9">
        <f>IF(J8="","",IF(E8="Critical",J8+90,IF(E8="High",J8+90,IF(E8="Medium",J8+180,J8+180))))</f>
        <v/>
      </c>
      <c r="L8" s="9">
        <f>IF(H8="✅ Defined","✅ Compliant",IF(H8="➖ N/A","➖ Excluded","❌ Non-Compliant"))</f>
        <v/>
      </c>
      <c r="M8" s="8" t="n"/>
    </row>
    <row r="9">
      <c r="A9" s="8" t="n"/>
      <c r="B9" s="8" t="n"/>
      <c r="C9" s="8" t="n"/>
      <c r="D9" s="9">
        <f>IF(C9="","",IFERROR(VLOOKUP(C9,Lookup_Tables!$A$2:$B$44,2,FALSE),"Unknown"))</f>
        <v/>
      </c>
      <c r="E9" s="8" t="n"/>
      <c r="F9" s="8" t="n"/>
      <c r="G9" s="8" t="n"/>
      <c r="H9" s="8" t="n"/>
      <c r="I9" s="8" t="n"/>
      <c r="J9" s="8" t="n"/>
      <c r="K9" s="9">
        <f>IF(J9="","",IF(E9="Critical",J9+90,IF(E9="High",J9+90,IF(E9="Medium",J9+180,J9+180))))</f>
        <v/>
      </c>
      <c r="L9" s="9">
        <f>IF(H9="✅ Defined","✅ Compliant",IF(H9="➖ N/A","➖ Excluded","❌ Non-Compliant"))</f>
        <v/>
      </c>
      <c r="M9" s="8" t="n"/>
    </row>
    <row r="10">
      <c r="A10" s="8" t="n"/>
      <c r="B10" s="8" t="n"/>
      <c r="C10" s="8" t="n"/>
      <c r="D10" s="9">
        <f>IF(C10="","",IFERROR(VLOOKUP(C10,Lookup_Tables!$A$2:$B$44,2,FALSE),"Unknown"))</f>
        <v/>
      </c>
      <c r="E10" s="8" t="n"/>
      <c r="F10" s="8" t="n"/>
      <c r="G10" s="8" t="n"/>
      <c r="H10" s="8" t="n"/>
      <c r="I10" s="8" t="n"/>
      <c r="J10" s="8" t="n"/>
      <c r="K10" s="9">
        <f>IF(J10="","",IF(E10="Critical",J10+90,IF(E10="High",J10+90,IF(E10="Medium",J10+180,J10+180))))</f>
        <v/>
      </c>
      <c r="L10" s="9">
        <f>IF(H10="✅ Defined","✅ Compliant",IF(H10="➖ N/A","➖ Excluded","❌ Non-Compliant"))</f>
        <v/>
      </c>
      <c r="M10" s="8" t="n"/>
    </row>
    <row r="11">
      <c r="A11" s="8" t="n"/>
      <c r="B11" s="8" t="n"/>
      <c r="C11" s="8" t="n"/>
      <c r="D11" s="9">
        <f>IF(C11="","",IFERROR(VLOOKUP(C11,Lookup_Tables!$A$2:$B$44,2,FALSE),"Unknown"))</f>
        <v/>
      </c>
      <c r="E11" s="8" t="n"/>
      <c r="F11" s="8" t="n"/>
      <c r="G11" s="8" t="n"/>
      <c r="H11" s="8" t="n"/>
      <c r="I11" s="8" t="n"/>
      <c r="J11" s="8" t="n"/>
      <c r="K11" s="9">
        <f>IF(J11="","",IF(E11="Critical",J11+90,IF(E11="High",J11+90,IF(E11="Medium",J11+180,J11+180))))</f>
        <v/>
      </c>
      <c r="L11" s="9">
        <f>IF(H11="✅ Defined","✅ Compliant",IF(H11="➖ N/A","➖ Excluded","❌ Non-Compliant"))</f>
        <v/>
      </c>
      <c r="M11" s="8" t="n"/>
    </row>
    <row r="12">
      <c r="A12" s="8" t="n"/>
      <c r="B12" s="8" t="n"/>
      <c r="C12" s="8" t="n"/>
      <c r="D12" s="9">
        <f>IF(C12="","",IFERROR(VLOOKUP(C12,Lookup_Tables!$A$2:$B$44,2,FALSE),"Unknown"))</f>
        <v/>
      </c>
      <c r="E12" s="8" t="n"/>
      <c r="F12" s="8" t="n"/>
      <c r="G12" s="8" t="n"/>
      <c r="H12" s="8" t="n"/>
      <c r="I12" s="8" t="n"/>
      <c r="J12" s="8" t="n"/>
      <c r="K12" s="9">
        <f>IF(J12="","",IF(E12="Critical",J12+90,IF(E12="High",J12+90,IF(E12="Medium",J12+180,J12+180))))</f>
        <v/>
      </c>
      <c r="L12" s="9">
        <f>IF(H12="✅ Defined","✅ Compliant",IF(H12="➖ N/A","➖ Excluded","❌ Non-Compliant"))</f>
        <v/>
      </c>
      <c r="M12" s="8" t="n"/>
    </row>
    <row r="13">
      <c r="A13" s="8" t="n"/>
      <c r="B13" s="8" t="n"/>
      <c r="C13" s="8" t="n"/>
      <c r="D13" s="9">
        <f>IF(C13="","",IFERROR(VLOOKUP(C13,Lookup_Tables!$A$2:$B$44,2,FALSE),"Unknown"))</f>
        <v/>
      </c>
      <c r="E13" s="8" t="n"/>
      <c r="F13" s="8" t="n"/>
      <c r="G13" s="8" t="n"/>
      <c r="H13" s="8" t="n"/>
      <c r="I13" s="8" t="n"/>
      <c r="J13" s="8" t="n"/>
      <c r="K13" s="9">
        <f>IF(J13="","",IF(E13="Critical",J13+90,IF(E13="High",J13+90,IF(E13="Medium",J13+180,J13+180))))</f>
        <v/>
      </c>
      <c r="L13" s="9">
        <f>IF(H13="✅ Defined","✅ Compliant",IF(H13="➖ N/A","➖ Excluded","❌ Non-Compliant"))</f>
        <v/>
      </c>
      <c r="M13" s="8" t="n"/>
    </row>
    <row r="14">
      <c r="A14" s="8" t="n"/>
      <c r="B14" s="8" t="n"/>
      <c r="C14" s="8" t="n"/>
      <c r="D14" s="9">
        <f>IF(C14="","",IFERROR(VLOOKUP(C14,Lookup_Tables!$A$2:$B$44,2,FALSE),"Unknown"))</f>
        <v/>
      </c>
      <c r="E14" s="8" t="n"/>
      <c r="F14" s="8" t="n"/>
      <c r="G14" s="8" t="n"/>
      <c r="H14" s="8" t="n"/>
      <c r="I14" s="8" t="n"/>
      <c r="J14" s="8" t="n"/>
      <c r="K14" s="9">
        <f>IF(J14="","",IF(E14="Critical",J14+90,IF(E14="High",J14+90,IF(E14="Medium",J14+180,J14+180))))</f>
        <v/>
      </c>
      <c r="L14" s="9">
        <f>IF(H14="✅ Defined","✅ Compliant",IF(H14="➖ N/A","➖ Excluded","❌ Non-Compliant"))</f>
        <v/>
      </c>
      <c r="M14" s="8" t="n"/>
    </row>
    <row r="15">
      <c r="A15" s="8" t="n"/>
      <c r="B15" s="8" t="n"/>
      <c r="C15" s="8" t="n"/>
      <c r="D15" s="9">
        <f>IF(C15="","",IFERROR(VLOOKUP(C15,Lookup_Tables!$A$2:$B$44,2,FALSE),"Unknown"))</f>
        <v/>
      </c>
      <c r="E15" s="8" t="n"/>
      <c r="F15" s="8" t="n"/>
      <c r="G15" s="8" t="n"/>
      <c r="H15" s="8" t="n"/>
      <c r="I15" s="8" t="n"/>
      <c r="J15" s="8" t="n"/>
      <c r="K15" s="9">
        <f>IF(J15="","",IF(E15="Critical",J15+90,IF(E15="High",J15+90,IF(E15="Medium",J15+180,J15+180))))</f>
        <v/>
      </c>
      <c r="L15" s="9">
        <f>IF(H15="✅ Defined","✅ Compliant",IF(H15="➖ N/A","➖ Excluded","❌ Non-Compliant"))</f>
        <v/>
      </c>
      <c r="M15" s="8" t="n"/>
    </row>
    <row r="16">
      <c r="A16" s="8" t="n"/>
      <c r="B16" s="8" t="n"/>
      <c r="C16" s="8" t="n"/>
      <c r="D16" s="9">
        <f>IF(C16="","",IFERROR(VLOOKUP(C16,Lookup_Tables!$A$2:$B$44,2,FALSE),"Unknown"))</f>
        <v/>
      </c>
      <c r="E16" s="8" t="n"/>
      <c r="F16" s="8" t="n"/>
      <c r="G16" s="8" t="n"/>
      <c r="H16" s="8" t="n"/>
      <c r="I16" s="8" t="n"/>
      <c r="J16" s="8" t="n"/>
      <c r="K16" s="9">
        <f>IF(J16="","",IF(E16="Critical",J16+90,IF(E16="High",J16+90,IF(E16="Medium",J16+180,J16+180))))</f>
        <v/>
      </c>
      <c r="L16" s="9">
        <f>IF(H16="✅ Defined","✅ Compliant",IF(H16="➖ N/A","➖ Excluded","❌ Non-Compliant"))</f>
        <v/>
      </c>
      <c r="M16" s="8" t="n"/>
    </row>
    <row r="17">
      <c r="A17" s="8" t="n"/>
      <c r="B17" s="8" t="n"/>
      <c r="C17" s="8" t="n"/>
      <c r="D17" s="9">
        <f>IF(C17="","",IFERROR(VLOOKUP(C17,Lookup_Tables!$A$2:$B$44,2,FALSE),"Unknown"))</f>
        <v/>
      </c>
      <c r="E17" s="8" t="n"/>
      <c r="F17" s="8" t="n"/>
      <c r="G17" s="8" t="n"/>
      <c r="H17" s="8" t="n"/>
      <c r="I17" s="8" t="n"/>
      <c r="J17" s="8" t="n"/>
      <c r="K17" s="9">
        <f>IF(J17="","",IF(E17="Critical",J17+90,IF(E17="High",J17+90,IF(E17="Medium",J17+180,J17+180))))</f>
        <v/>
      </c>
      <c r="L17" s="9">
        <f>IF(H17="✅ Defined","✅ Compliant",IF(H17="➖ N/A","➖ Excluded","❌ Non-Compliant"))</f>
        <v/>
      </c>
      <c r="M17" s="8" t="n"/>
    </row>
    <row r="18">
      <c r="A18" s="8" t="n"/>
      <c r="B18" s="8" t="n"/>
      <c r="C18" s="8" t="n"/>
      <c r="D18" s="9">
        <f>IF(C18="","",IFERROR(VLOOKUP(C18,Lookup_Tables!$A$2:$B$44,2,FALSE),"Unknown"))</f>
        <v/>
      </c>
      <c r="E18" s="8" t="n"/>
      <c r="F18" s="8" t="n"/>
      <c r="G18" s="8" t="n"/>
      <c r="H18" s="8" t="n"/>
      <c r="I18" s="8" t="n"/>
      <c r="J18" s="8" t="n"/>
      <c r="K18" s="9">
        <f>IF(J18="","",IF(E18="Critical",J18+90,IF(E18="High",J18+90,IF(E18="Medium",J18+180,J18+180))))</f>
        <v/>
      </c>
      <c r="L18" s="9">
        <f>IF(H18="✅ Defined","✅ Compliant",IF(H18="➖ N/A","➖ Excluded","❌ Non-Compliant"))</f>
        <v/>
      </c>
      <c r="M18" s="8" t="n"/>
    </row>
    <row r="19">
      <c r="A19" s="8" t="n"/>
      <c r="B19" s="8" t="n"/>
      <c r="C19" s="8" t="n"/>
      <c r="D19" s="9">
        <f>IF(C19="","",IFERROR(VLOOKUP(C19,Lookup_Tables!$A$2:$B$44,2,FALSE),"Unknown"))</f>
        <v/>
      </c>
      <c r="E19" s="8" t="n"/>
      <c r="F19" s="8" t="n"/>
      <c r="G19" s="8" t="n"/>
      <c r="H19" s="8" t="n"/>
      <c r="I19" s="8" t="n"/>
      <c r="J19" s="8" t="n"/>
      <c r="K19" s="9">
        <f>IF(J19="","",IF(E19="Critical",J19+90,IF(E19="High",J19+90,IF(E19="Medium",J19+180,J19+180))))</f>
        <v/>
      </c>
      <c r="L19" s="9">
        <f>IF(H19="✅ Defined","✅ Compliant",IF(H19="➖ N/A","➖ Excluded","❌ Non-Compliant"))</f>
        <v/>
      </c>
      <c r="M19" s="8" t="n"/>
    </row>
    <row r="20">
      <c r="A20" s="8" t="n"/>
      <c r="B20" s="8" t="n"/>
      <c r="C20" s="8" t="n"/>
      <c r="D20" s="9">
        <f>IF(C20="","",IFERROR(VLOOKUP(C20,Lookup_Tables!$A$2:$B$44,2,FALSE),"Unknown"))</f>
        <v/>
      </c>
      <c r="E20" s="8" t="n"/>
      <c r="F20" s="8" t="n"/>
      <c r="G20" s="8" t="n"/>
      <c r="H20" s="8" t="n"/>
      <c r="I20" s="8" t="n"/>
      <c r="J20" s="8" t="n"/>
      <c r="K20" s="9">
        <f>IF(J20="","",IF(E20="Critical",J20+90,IF(E20="High",J20+90,IF(E20="Medium",J20+180,J20+180))))</f>
        <v/>
      </c>
      <c r="L20" s="9">
        <f>IF(H20="✅ Defined","✅ Compliant",IF(H20="➖ N/A","➖ Excluded","❌ Non-Compliant"))</f>
        <v/>
      </c>
      <c r="M20" s="8" t="n"/>
    </row>
    <row r="21">
      <c r="A21" s="8" t="n"/>
      <c r="B21" s="8" t="n"/>
      <c r="C21" s="8" t="n"/>
      <c r="D21" s="9">
        <f>IF(C21="","",IFERROR(VLOOKUP(C21,Lookup_Tables!$A$2:$B$44,2,FALSE),"Unknown"))</f>
        <v/>
      </c>
      <c r="E21" s="8" t="n"/>
      <c r="F21" s="8" t="n"/>
      <c r="G21" s="8" t="n"/>
      <c r="H21" s="8" t="n"/>
      <c r="I21" s="8" t="n"/>
      <c r="J21" s="8" t="n"/>
      <c r="K21" s="9">
        <f>IF(J21="","",IF(E21="Critical",J21+90,IF(E21="High",J21+90,IF(E21="Medium",J21+180,J21+180))))</f>
        <v/>
      </c>
      <c r="L21" s="9">
        <f>IF(H21="✅ Defined","✅ Compliant",IF(H21="➖ N/A","➖ Excluded","❌ Non-Compliant"))</f>
        <v/>
      </c>
      <c r="M21" s="8" t="n"/>
    </row>
    <row r="22">
      <c r="A22" s="8" t="n"/>
      <c r="B22" s="8" t="n"/>
      <c r="C22" s="8" t="n"/>
      <c r="D22" s="9">
        <f>IF(C22="","",IFERROR(VLOOKUP(C22,Lookup_Tables!$A$2:$B$44,2,FALSE),"Unknown"))</f>
        <v/>
      </c>
      <c r="E22" s="8" t="n"/>
      <c r="F22" s="8" t="n"/>
      <c r="G22" s="8" t="n"/>
      <c r="H22" s="8" t="n"/>
      <c r="I22" s="8" t="n"/>
      <c r="J22" s="8" t="n"/>
      <c r="K22" s="9">
        <f>IF(J22="","",IF(E22="Critical",J22+90,IF(E22="High",J22+90,IF(E22="Medium",J22+180,J22+180))))</f>
        <v/>
      </c>
      <c r="L22" s="9">
        <f>IF(H22="✅ Defined","✅ Compliant",IF(H22="➖ N/A","➖ Excluded","❌ Non-Compliant"))</f>
        <v/>
      </c>
      <c r="M22" s="8" t="n"/>
    </row>
    <row r="23">
      <c r="A23" s="8" t="n"/>
      <c r="B23" s="8" t="n"/>
      <c r="C23" s="8" t="n"/>
      <c r="D23" s="9">
        <f>IF(C23="","",IFERROR(VLOOKUP(C23,Lookup_Tables!$A$2:$B$44,2,FALSE),"Unknown"))</f>
        <v/>
      </c>
      <c r="E23" s="8" t="n"/>
      <c r="F23" s="8" t="n"/>
      <c r="G23" s="8" t="n"/>
      <c r="H23" s="8" t="n"/>
      <c r="I23" s="8" t="n"/>
      <c r="J23" s="8" t="n"/>
      <c r="K23" s="9">
        <f>IF(J23="","",IF(E23="Critical",J23+90,IF(E23="High",J23+90,IF(E23="Medium",J23+180,J23+180))))</f>
        <v/>
      </c>
      <c r="L23" s="9">
        <f>IF(H23="✅ Defined","✅ Compliant",IF(H23="➖ N/A","➖ Excluded","❌ Non-Compliant"))</f>
        <v/>
      </c>
      <c r="M23" s="8" t="n"/>
    </row>
    <row r="24">
      <c r="A24" s="8" t="n"/>
      <c r="B24" s="8" t="n"/>
      <c r="C24" s="8" t="n"/>
      <c r="D24" s="9">
        <f>IF(C24="","",IFERROR(VLOOKUP(C24,Lookup_Tables!$A$2:$B$44,2,FALSE),"Unknown"))</f>
        <v/>
      </c>
      <c r="E24" s="8" t="n"/>
      <c r="F24" s="8" t="n"/>
      <c r="G24" s="8" t="n"/>
      <c r="H24" s="8" t="n"/>
      <c r="I24" s="8" t="n"/>
      <c r="J24" s="8" t="n"/>
      <c r="K24" s="9">
        <f>IF(J24="","",IF(E24="Critical",J24+90,IF(E24="High",J24+90,IF(E24="Medium",J24+180,J24+180))))</f>
        <v/>
      </c>
      <c r="L24" s="9">
        <f>IF(H24="✅ Defined","✅ Compliant",IF(H24="➖ N/A","➖ Excluded","❌ Non-Compliant"))</f>
        <v/>
      </c>
      <c r="M24" s="8" t="n"/>
    </row>
    <row r="25">
      <c r="A25" s="8" t="n"/>
      <c r="B25" s="8" t="n"/>
      <c r="C25" s="8" t="n"/>
      <c r="D25" s="9">
        <f>IF(C25="","",IFERROR(VLOOKUP(C25,Lookup_Tables!$A$2:$B$44,2,FALSE),"Unknown"))</f>
        <v/>
      </c>
      <c r="E25" s="8" t="n"/>
      <c r="F25" s="8" t="n"/>
      <c r="G25" s="8" t="n"/>
      <c r="H25" s="8" t="n"/>
      <c r="I25" s="8" t="n"/>
      <c r="J25" s="8" t="n"/>
      <c r="K25" s="9">
        <f>IF(J25="","",IF(E25="Critical",J25+90,IF(E25="High",J25+90,IF(E25="Medium",J25+180,J25+180))))</f>
        <v/>
      </c>
      <c r="L25" s="9">
        <f>IF(H25="✅ Defined","✅ Compliant",IF(H25="➖ N/A","➖ Excluded","❌ Non-Compliant"))</f>
        <v/>
      </c>
      <c r="M25" s="8" t="n"/>
    </row>
    <row r="26">
      <c r="A26" s="8" t="n"/>
      <c r="B26" s="8" t="n"/>
      <c r="C26" s="8" t="n"/>
      <c r="D26" s="9">
        <f>IF(C26="","",IFERROR(VLOOKUP(C26,Lookup_Tables!$A$2:$B$44,2,FALSE),"Unknown"))</f>
        <v/>
      </c>
      <c r="E26" s="8" t="n"/>
      <c r="F26" s="8" t="n"/>
      <c r="G26" s="8" t="n"/>
      <c r="H26" s="8" t="n"/>
      <c r="I26" s="8" t="n"/>
      <c r="J26" s="8" t="n"/>
      <c r="K26" s="9">
        <f>IF(J26="","",IF(E26="Critical",J26+90,IF(E26="High",J26+90,IF(E26="Medium",J26+180,J26+180))))</f>
        <v/>
      </c>
      <c r="L26" s="9">
        <f>IF(H26="✅ Defined","✅ Compliant",IF(H26="➖ N/A","➖ Excluded","❌ Non-Compliant"))</f>
        <v/>
      </c>
      <c r="M26" s="8" t="n"/>
    </row>
    <row r="27">
      <c r="A27" s="8" t="n"/>
      <c r="B27" s="8" t="n"/>
      <c r="C27" s="8" t="n"/>
      <c r="D27" s="9">
        <f>IF(C27="","",IFERROR(VLOOKUP(C27,Lookup_Tables!$A$2:$B$44,2,FALSE),"Unknown"))</f>
        <v/>
      </c>
      <c r="E27" s="8" t="n"/>
      <c r="F27" s="8" t="n"/>
      <c r="G27" s="8" t="n"/>
      <c r="H27" s="8" t="n"/>
      <c r="I27" s="8" t="n"/>
      <c r="J27" s="8" t="n"/>
      <c r="K27" s="9">
        <f>IF(J27="","",IF(E27="Critical",J27+90,IF(E27="High",J27+90,IF(E27="Medium",J27+180,J27+180))))</f>
        <v/>
      </c>
      <c r="L27" s="9">
        <f>IF(H27="✅ Defined","✅ Compliant",IF(H27="➖ N/A","➖ Excluded","❌ Non-Compliant"))</f>
        <v/>
      </c>
      <c r="M27" s="8" t="n"/>
    </row>
    <row r="28">
      <c r="A28" s="8" t="n"/>
      <c r="B28" s="8" t="n"/>
      <c r="C28" s="8" t="n"/>
      <c r="D28" s="9">
        <f>IF(C28="","",IFERROR(VLOOKUP(C28,Lookup_Tables!$A$2:$B$44,2,FALSE),"Unknown"))</f>
        <v/>
      </c>
      <c r="E28" s="8" t="n"/>
      <c r="F28" s="8" t="n"/>
      <c r="G28" s="8" t="n"/>
      <c r="H28" s="8" t="n"/>
      <c r="I28" s="8" t="n"/>
      <c r="J28" s="8" t="n"/>
      <c r="K28" s="9">
        <f>IF(J28="","",IF(E28="Critical",J28+90,IF(E28="High",J28+90,IF(E28="Medium",J28+180,J28+180))))</f>
        <v/>
      </c>
      <c r="L28" s="9">
        <f>IF(H28="✅ Defined","✅ Compliant",IF(H28="➖ N/A","➖ Excluded","❌ Non-Compliant"))</f>
        <v/>
      </c>
      <c r="M28" s="8" t="n"/>
    </row>
    <row r="29">
      <c r="A29" s="8" t="n"/>
      <c r="B29" s="8" t="n"/>
      <c r="C29" s="8" t="n"/>
      <c r="D29" s="9">
        <f>IF(C29="","",IFERROR(VLOOKUP(C29,Lookup_Tables!$A$2:$B$44,2,FALSE),"Unknown"))</f>
        <v/>
      </c>
      <c r="E29" s="8" t="n"/>
      <c r="F29" s="8" t="n"/>
      <c r="G29" s="8" t="n"/>
      <c r="H29" s="8" t="n"/>
      <c r="I29" s="8" t="n"/>
      <c r="J29" s="8" t="n"/>
      <c r="K29" s="9">
        <f>IF(J29="","",IF(E29="Critical",J29+90,IF(E29="High",J29+90,IF(E29="Medium",J29+180,J29+180))))</f>
        <v/>
      </c>
      <c r="L29" s="9">
        <f>IF(H29="✅ Defined","✅ Compliant",IF(H29="➖ N/A","➖ Excluded","❌ Non-Compliant"))</f>
        <v/>
      </c>
      <c r="M29" s="8" t="n"/>
    </row>
    <row r="30">
      <c r="A30" s="8" t="n"/>
      <c r="B30" s="8" t="n"/>
      <c r="C30" s="8" t="n"/>
      <c r="D30" s="9">
        <f>IF(C30="","",IFERROR(VLOOKUP(C30,Lookup_Tables!$A$2:$B$44,2,FALSE),"Unknown"))</f>
        <v/>
      </c>
      <c r="E30" s="8" t="n"/>
      <c r="F30" s="8" t="n"/>
      <c r="G30" s="8" t="n"/>
      <c r="H30" s="8" t="n"/>
      <c r="I30" s="8" t="n"/>
      <c r="J30" s="8" t="n"/>
      <c r="K30" s="9">
        <f>IF(J30="","",IF(E30="Critical",J30+90,IF(E30="High",J30+90,IF(E30="Medium",J30+180,J30+180))))</f>
        <v/>
      </c>
      <c r="L30" s="9">
        <f>IF(H30="✅ Defined","✅ Compliant",IF(H30="➖ N/A","➖ Excluded","❌ Non-Compliant"))</f>
        <v/>
      </c>
      <c r="M30" s="8" t="n"/>
    </row>
    <row r="31">
      <c r="A31" s="8" t="n"/>
      <c r="B31" s="8" t="n"/>
      <c r="C31" s="8" t="n"/>
      <c r="D31" s="9">
        <f>IF(C31="","",IFERROR(VLOOKUP(C31,Lookup_Tables!$A$2:$B$44,2,FALSE),"Unknown"))</f>
        <v/>
      </c>
      <c r="E31" s="8" t="n"/>
      <c r="F31" s="8" t="n"/>
      <c r="G31" s="8" t="n"/>
      <c r="H31" s="8" t="n"/>
      <c r="I31" s="8" t="n"/>
      <c r="J31" s="8" t="n"/>
      <c r="K31" s="9">
        <f>IF(J31="","",IF(E31="Critical",J31+90,IF(E31="High",J31+90,IF(E31="Medium",J31+180,J31+180))))</f>
        <v/>
      </c>
      <c r="L31" s="9">
        <f>IF(H31="✅ Defined","✅ Compliant",IF(H31="➖ N/A","➖ Excluded","❌ Non-Compliant"))</f>
        <v/>
      </c>
      <c r="M31" s="8" t="n"/>
    </row>
    <row r="32">
      <c r="A32" s="8" t="n"/>
      <c r="B32" s="8" t="n"/>
      <c r="C32" s="8" t="n"/>
      <c r="D32" s="9">
        <f>IF(C32="","",IFERROR(VLOOKUP(C32,Lookup_Tables!$A$2:$B$44,2,FALSE),"Unknown"))</f>
        <v/>
      </c>
      <c r="E32" s="8" t="n"/>
      <c r="F32" s="8" t="n"/>
      <c r="G32" s="8" t="n"/>
      <c r="H32" s="8" t="n"/>
      <c r="I32" s="8" t="n"/>
      <c r="J32" s="8" t="n"/>
      <c r="K32" s="9">
        <f>IF(J32="","",IF(E32="Critical",J32+90,IF(E32="High",J32+90,IF(E32="Medium",J32+180,J32+180))))</f>
        <v/>
      </c>
      <c r="L32" s="9">
        <f>IF(H32="✅ Defined","✅ Compliant",IF(H32="➖ N/A","➖ Excluded","❌ Non-Compliant"))</f>
        <v/>
      </c>
      <c r="M32" s="8" t="n"/>
    </row>
    <row r="33">
      <c r="A33" s="8" t="n"/>
      <c r="B33" s="8" t="n"/>
      <c r="C33" s="8" t="n"/>
      <c r="D33" s="9">
        <f>IF(C33="","",IFERROR(VLOOKUP(C33,Lookup_Tables!$A$2:$B$44,2,FALSE),"Unknown"))</f>
        <v/>
      </c>
      <c r="E33" s="8" t="n"/>
      <c r="F33" s="8" t="n"/>
      <c r="G33" s="8" t="n"/>
      <c r="H33" s="8" t="n"/>
      <c r="I33" s="8" t="n"/>
      <c r="J33" s="8" t="n"/>
      <c r="K33" s="9">
        <f>IF(J33="","",IF(E33="Critical",J33+90,IF(E33="High",J33+90,IF(E33="Medium",J33+180,J33+180))))</f>
        <v/>
      </c>
      <c r="L33" s="9">
        <f>IF(H33="✅ Defined","✅ Compliant",IF(H33="➖ N/A","➖ Excluded","❌ Non-Compliant"))</f>
        <v/>
      </c>
      <c r="M33" s="8" t="n"/>
    </row>
    <row r="34">
      <c r="A34" s="8" t="n"/>
      <c r="B34" s="8" t="n"/>
      <c r="C34" s="8" t="n"/>
      <c r="D34" s="9">
        <f>IF(C34="","",IFERROR(VLOOKUP(C34,Lookup_Tables!$A$2:$B$44,2,FALSE),"Unknown"))</f>
        <v/>
      </c>
      <c r="E34" s="8" t="n"/>
      <c r="F34" s="8" t="n"/>
      <c r="G34" s="8" t="n"/>
      <c r="H34" s="8" t="n"/>
      <c r="I34" s="8" t="n"/>
      <c r="J34" s="8" t="n"/>
      <c r="K34" s="9">
        <f>IF(J34="","",IF(E34="Critical",J34+90,IF(E34="High",J34+90,IF(E34="Medium",J34+180,J34+180))))</f>
        <v/>
      </c>
      <c r="L34" s="9">
        <f>IF(H34="✅ Defined","✅ Compliant",IF(H34="➖ N/A","➖ Excluded","❌ Non-Compliant"))</f>
        <v/>
      </c>
      <c r="M34" s="8" t="n"/>
    </row>
    <row r="35">
      <c r="A35" s="8" t="n"/>
      <c r="B35" s="8" t="n"/>
      <c r="C35" s="8" t="n"/>
      <c r="D35" s="9">
        <f>IF(C35="","",IFERROR(VLOOKUP(C35,Lookup_Tables!$A$2:$B$44,2,FALSE),"Unknown"))</f>
        <v/>
      </c>
      <c r="E35" s="8" t="n"/>
      <c r="F35" s="8" t="n"/>
      <c r="G35" s="8" t="n"/>
      <c r="H35" s="8" t="n"/>
      <c r="I35" s="8" t="n"/>
      <c r="J35" s="8" t="n"/>
      <c r="K35" s="9">
        <f>IF(J35="","",IF(E35="Critical",J35+90,IF(E35="High",J35+90,IF(E35="Medium",J35+180,J35+180))))</f>
        <v/>
      </c>
      <c r="L35" s="9">
        <f>IF(H35="✅ Defined","✅ Compliant",IF(H35="➖ N/A","➖ Excluded","❌ Non-Compliant"))</f>
        <v/>
      </c>
      <c r="M35" s="8" t="n"/>
    </row>
    <row r="36">
      <c r="A36" s="8" t="n"/>
      <c r="B36" s="8" t="n"/>
      <c r="C36" s="8" t="n"/>
      <c r="D36" s="9">
        <f>IF(C36="","",IFERROR(VLOOKUP(C36,Lookup_Tables!$A$2:$B$44,2,FALSE),"Unknown"))</f>
        <v/>
      </c>
      <c r="E36" s="8" t="n"/>
      <c r="F36" s="8" t="n"/>
      <c r="G36" s="8" t="n"/>
      <c r="H36" s="8" t="n"/>
      <c r="I36" s="8" t="n"/>
      <c r="J36" s="8" t="n"/>
      <c r="K36" s="9">
        <f>IF(J36="","",IF(E36="Critical",J36+90,IF(E36="High",J36+90,IF(E36="Medium",J36+180,J36+180))))</f>
        <v/>
      </c>
      <c r="L36" s="9">
        <f>IF(H36="✅ Defined","✅ Compliant",IF(H36="➖ N/A","➖ Excluded","❌ Non-Compliant"))</f>
        <v/>
      </c>
      <c r="M36" s="8" t="n"/>
    </row>
    <row r="37">
      <c r="A37" s="8" t="n"/>
      <c r="B37" s="8" t="n"/>
      <c r="C37" s="8" t="n"/>
      <c r="D37" s="9">
        <f>IF(C37="","",IFERROR(VLOOKUP(C37,Lookup_Tables!$A$2:$B$44,2,FALSE),"Unknown"))</f>
        <v/>
      </c>
      <c r="E37" s="8" t="n"/>
      <c r="F37" s="8" t="n"/>
      <c r="G37" s="8" t="n"/>
      <c r="H37" s="8" t="n"/>
      <c r="I37" s="8" t="n"/>
      <c r="J37" s="8" t="n"/>
      <c r="K37" s="9">
        <f>IF(J37="","",IF(E37="Critical",J37+90,IF(E37="High",J37+90,IF(E37="Medium",J37+180,J37+180))))</f>
        <v/>
      </c>
      <c r="L37" s="9">
        <f>IF(H37="✅ Defined","✅ Compliant",IF(H37="➖ N/A","➖ Excluded","❌ Non-Compliant"))</f>
        <v/>
      </c>
      <c r="M37" s="8" t="n"/>
    </row>
    <row r="38">
      <c r="A38" s="8" t="n"/>
      <c r="B38" s="8" t="n"/>
      <c r="C38" s="8" t="n"/>
      <c r="D38" s="9">
        <f>IF(C38="","",IFERROR(VLOOKUP(C38,Lookup_Tables!$A$2:$B$44,2,FALSE),"Unknown"))</f>
        <v/>
      </c>
      <c r="E38" s="8" t="n"/>
      <c r="F38" s="8" t="n"/>
      <c r="G38" s="8" t="n"/>
      <c r="H38" s="8" t="n"/>
      <c r="I38" s="8" t="n"/>
      <c r="J38" s="8" t="n"/>
      <c r="K38" s="9">
        <f>IF(J38="","",IF(E38="Critical",J38+90,IF(E38="High",J38+90,IF(E38="Medium",J38+180,J38+180))))</f>
        <v/>
      </c>
      <c r="L38" s="9">
        <f>IF(H38="✅ Defined","✅ Compliant",IF(H38="➖ N/A","➖ Excluded","❌ Non-Compliant"))</f>
        <v/>
      </c>
      <c r="M38" s="8" t="n"/>
    </row>
    <row r="39">
      <c r="A39" s="8" t="n"/>
      <c r="B39" s="8" t="n"/>
      <c r="C39" s="8" t="n"/>
      <c r="D39" s="9">
        <f>IF(C39="","",IFERROR(VLOOKUP(C39,Lookup_Tables!$A$2:$B$44,2,FALSE),"Unknown"))</f>
        <v/>
      </c>
      <c r="E39" s="8" t="n"/>
      <c r="F39" s="8" t="n"/>
      <c r="G39" s="8" t="n"/>
      <c r="H39" s="8" t="n"/>
      <c r="I39" s="8" t="n"/>
      <c r="J39" s="8" t="n"/>
      <c r="K39" s="9">
        <f>IF(J39="","",IF(E39="Critical",J39+90,IF(E39="High",J39+90,IF(E39="Medium",J39+180,J39+180))))</f>
        <v/>
      </c>
      <c r="L39" s="9">
        <f>IF(H39="✅ Defined","✅ Compliant",IF(H39="➖ N/A","➖ Excluded","❌ Non-Compliant"))</f>
        <v/>
      </c>
      <c r="M39" s="8" t="n"/>
    </row>
    <row r="40">
      <c r="A40" s="8" t="n"/>
      <c r="B40" s="8" t="n"/>
      <c r="C40" s="8" t="n"/>
      <c r="D40" s="9">
        <f>IF(C40="","",IFERROR(VLOOKUP(C40,Lookup_Tables!$A$2:$B$44,2,FALSE),"Unknown"))</f>
        <v/>
      </c>
      <c r="E40" s="8" t="n"/>
      <c r="F40" s="8" t="n"/>
      <c r="G40" s="8" t="n"/>
      <c r="H40" s="8" t="n"/>
      <c r="I40" s="8" t="n"/>
      <c r="J40" s="8" t="n"/>
      <c r="K40" s="9">
        <f>IF(J40="","",IF(E40="Critical",J40+90,IF(E40="High",J40+90,IF(E40="Medium",J40+180,J40+180))))</f>
        <v/>
      </c>
      <c r="L40" s="9">
        <f>IF(H40="✅ Defined","✅ Compliant",IF(H40="➖ N/A","➖ Excluded","❌ Non-Compliant"))</f>
        <v/>
      </c>
      <c r="M40" s="8" t="n"/>
    </row>
    <row r="41">
      <c r="A41" s="8" t="n"/>
      <c r="B41" s="8" t="n"/>
      <c r="C41" s="8" t="n"/>
      <c r="D41" s="9">
        <f>IF(C41="","",IFERROR(VLOOKUP(C41,Lookup_Tables!$A$2:$B$44,2,FALSE),"Unknown"))</f>
        <v/>
      </c>
      <c r="E41" s="8" t="n"/>
      <c r="F41" s="8" t="n"/>
      <c r="G41" s="8" t="n"/>
      <c r="H41" s="8" t="n"/>
      <c r="I41" s="8" t="n"/>
      <c r="J41" s="8" t="n"/>
      <c r="K41" s="9">
        <f>IF(J41="","",IF(E41="Critical",J41+90,IF(E41="High",J41+90,IF(E41="Medium",J41+180,J41+180))))</f>
        <v/>
      </c>
      <c r="L41" s="9">
        <f>IF(H41="✅ Defined","✅ Compliant",IF(H41="➖ N/A","➖ Excluded","❌ Non-Compliant"))</f>
        <v/>
      </c>
      <c r="M41" s="8" t="n"/>
    </row>
    <row r="42">
      <c r="A42" s="8" t="n"/>
      <c r="B42" s="8" t="n"/>
      <c r="C42" s="8" t="n"/>
      <c r="D42" s="9">
        <f>IF(C42="","",IFERROR(VLOOKUP(C42,Lookup_Tables!$A$2:$B$44,2,FALSE),"Unknown"))</f>
        <v/>
      </c>
      <c r="E42" s="8" t="n"/>
      <c r="F42" s="8" t="n"/>
      <c r="G42" s="8" t="n"/>
      <c r="H42" s="8" t="n"/>
      <c r="I42" s="8" t="n"/>
      <c r="J42" s="8" t="n"/>
      <c r="K42" s="9">
        <f>IF(J42="","",IF(E42="Critical",J42+90,IF(E42="High",J42+90,IF(E42="Medium",J42+180,J42+180))))</f>
        <v/>
      </c>
      <c r="L42" s="9">
        <f>IF(H42="✅ Defined","✅ Compliant",IF(H42="➖ N/A","➖ Excluded","❌ Non-Compliant"))</f>
        <v/>
      </c>
      <c r="M42" s="8" t="n"/>
    </row>
    <row r="43">
      <c r="A43" s="8" t="n"/>
      <c r="B43" s="8" t="n"/>
      <c r="C43" s="8" t="n"/>
      <c r="D43" s="9">
        <f>IF(C43="","",IFERROR(VLOOKUP(C43,Lookup_Tables!$A$2:$B$44,2,FALSE),"Unknown"))</f>
        <v/>
      </c>
      <c r="E43" s="8" t="n"/>
      <c r="F43" s="8" t="n"/>
      <c r="G43" s="8" t="n"/>
      <c r="H43" s="8" t="n"/>
      <c r="I43" s="8" t="n"/>
      <c r="J43" s="8" t="n"/>
      <c r="K43" s="9">
        <f>IF(J43="","",IF(E43="Critical",J43+90,IF(E43="High",J43+90,IF(E43="Medium",J43+180,J43+180))))</f>
        <v/>
      </c>
      <c r="L43" s="9">
        <f>IF(H43="✅ Defined","✅ Compliant",IF(H43="➖ N/A","➖ Excluded","❌ Non-Compliant"))</f>
        <v/>
      </c>
      <c r="M43" s="8" t="n"/>
    </row>
    <row r="44">
      <c r="A44" s="8" t="n"/>
      <c r="B44" s="8" t="n"/>
      <c r="C44" s="8" t="n"/>
      <c r="D44" s="9">
        <f>IF(C44="","",IFERROR(VLOOKUP(C44,Lookup_Tables!$A$2:$B$44,2,FALSE),"Unknown"))</f>
        <v/>
      </c>
      <c r="E44" s="8" t="n"/>
      <c r="F44" s="8" t="n"/>
      <c r="G44" s="8" t="n"/>
      <c r="H44" s="8" t="n"/>
      <c r="I44" s="8" t="n"/>
      <c r="J44" s="8" t="n"/>
      <c r="K44" s="9">
        <f>IF(J44="","",IF(E44="Critical",J44+90,IF(E44="High",J44+90,IF(E44="Medium",J44+180,J44+180))))</f>
        <v/>
      </c>
      <c r="L44" s="9">
        <f>IF(H44="✅ Defined","✅ Compliant",IF(H44="➖ N/A","➖ Excluded","❌ Non-Compliant"))</f>
        <v/>
      </c>
      <c r="M44" s="8" t="n"/>
    </row>
    <row r="45">
      <c r="A45" s="8" t="n"/>
      <c r="B45" s="8" t="n"/>
      <c r="C45" s="8" t="n"/>
      <c r="D45" s="9">
        <f>IF(C45="","",IFERROR(VLOOKUP(C45,Lookup_Tables!$A$2:$B$44,2,FALSE),"Unknown"))</f>
        <v/>
      </c>
      <c r="E45" s="8" t="n"/>
      <c r="F45" s="8" t="n"/>
      <c r="G45" s="8" t="n"/>
      <c r="H45" s="8" t="n"/>
      <c r="I45" s="8" t="n"/>
      <c r="J45" s="8" t="n"/>
      <c r="K45" s="9">
        <f>IF(J45="","",IF(E45="Critical",J45+90,IF(E45="High",J45+90,IF(E45="Medium",J45+180,J45+180))))</f>
        <v/>
      </c>
      <c r="L45" s="9">
        <f>IF(H45="✅ Defined","✅ Compliant",IF(H45="➖ N/A","➖ Excluded","❌ Non-Compliant"))</f>
        <v/>
      </c>
      <c r="M45" s="8" t="n"/>
    </row>
    <row r="46">
      <c r="A46" s="8" t="n"/>
      <c r="B46" s="8" t="n"/>
      <c r="C46" s="8" t="n"/>
      <c r="D46" s="9">
        <f>IF(C46="","",IFERROR(VLOOKUP(C46,Lookup_Tables!$A$2:$B$44,2,FALSE),"Unknown"))</f>
        <v/>
      </c>
      <c r="E46" s="8" t="n"/>
      <c r="F46" s="8" t="n"/>
      <c r="G46" s="8" t="n"/>
      <c r="H46" s="8" t="n"/>
      <c r="I46" s="8" t="n"/>
      <c r="J46" s="8" t="n"/>
      <c r="K46" s="9">
        <f>IF(J46="","",IF(E46="Critical",J46+90,IF(E46="High",J46+90,IF(E46="Medium",J46+180,J46+180))))</f>
        <v/>
      </c>
      <c r="L46" s="9">
        <f>IF(H46="✅ Defined","✅ Compliant",IF(H46="➖ N/A","➖ Excluded","❌ Non-Compliant"))</f>
        <v/>
      </c>
      <c r="M46" s="8" t="n"/>
    </row>
    <row r="47">
      <c r="A47" s="8" t="n"/>
      <c r="B47" s="8" t="n"/>
      <c r="C47" s="8" t="n"/>
      <c r="D47" s="9">
        <f>IF(C47="","",IFERROR(VLOOKUP(C47,Lookup_Tables!$A$2:$B$44,2,FALSE),"Unknown"))</f>
        <v/>
      </c>
      <c r="E47" s="8" t="n"/>
      <c r="F47" s="8" t="n"/>
      <c r="G47" s="8" t="n"/>
      <c r="H47" s="8" t="n"/>
      <c r="I47" s="8" t="n"/>
      <c r="J47" s="8" t="n"/>
      <c r="K47" s="9">
        <f>IF(J47="","",IF(E47="Critical",J47+90,IF(E47="High",J47+90,IF(E47="Medium",J47+180,J47+180))))</f>
        <v/>
      </c>
      <c r="L47" s="9">
        <f>IF(H47="✅ Defined","✅ Compliant",IF(H47="➖ N/A","➖ Excluded","❌ Non-Compliant"))</f>
        <v/>
      </c>
      <c r="M47" s="8" t="n"/>
    </row>
    <row r="48">
      <c r="A48" s="8" t="n"/>
      <c r="B48" s="8" t="n"/>
      <c r="C48" s="8" t="n"/>
      <c r="D48" s="9">
        <f>IF(C48="","",IFERROR(VLOOKUP(C48,Lookup_Tables!$A$2:$B$44,2,FALSE),"Unknown"))</f>
        <v/>
      </c>
      <c r="E48" s="8" t="n"/>
      <c r="F48" s="8" t="n"/>
      <c r="G48" s="8" t="n"/>
      <c r="H48" s="8" t="n"/>
      <c r="I48" s="8" t="n"/>
      <c r="J48" s="8" t="n"/>
      <c r="K48" s="9">
        <f>IF(J48="","",IF(E48="Critical",J48+90,IF(E48="High",J48+90,IF(E48="Medium",J48+180,J48+180))))</f>
        <v/>
      </c>
      <c r="L48" s="9">
        <f>IF(H48="✅ Defined","✅ Compliant",IF(H48="➖ N/A","➖ Excluded","❌ Non-Compliant"))</f>
        <v/>
      </c>
      <c r="M48" s="8" t="n"/>
    </row>
    <row r="49">
      <c r="A49" s="8" t="n"/>
      <c r="B49" s="8" t="n"/>
      <c r="C49" s="8" t="n"/>
      <c r="D49" s="9">
        <f>IF(C49="","",IFERROR(VLOOKUP(C49,Lookup_Tables!$A$2:$B$44,2,FALSE),"Unknown"))</f>
        <v/>
      </c>
      <c r="E49" s="8" t="n"/>
      <c r="F49" s="8" t="n"/>
      <c r="G49" s="8" t="n"/>
      <c r="H49" s="8" t="n"/>
      <c r="I49" s="8" t="n"/>
      <c r="J49" s="8" t="n"/>
      <c r="K49" s="9">
        <f>IF(J49="","",IF(E49="Critical",J49+90,IF(E49="High",J49+90,IF(E49="Medium",J49+180,J49+180))))</f>
        <v/>
      </c>
      <c r="L49" s="9">
        <f>IF(H49="✅ Defined","✅ Compliant",IF(H49="➖ N/A","➖ Excluded","❌ Non-Compliant"))</f>
        <v/>
      </c>
      <c r="M49" s="8" t="n"/>
    </row>
    <row r="50">
      <c r="A50" s="8" t="n"/>
      <c r="B50" s="8" t="n"/>
      <c r="C50" s="8" t="n"/>
      <c r="D50" s="9">
        <f>IF(C50="","",IFERROR(VLOOKUP(C50,Lookup_Tables!$A$2:$B$44,2,FALSE),"Unknown"))</f>
        <v/>
      </c>
      <c r="E50" s="8" t="n"/>
      <c r="F50" s="8" t="n"/>
      <c r="G50" s="8" t="n"/>
      <c r="H50" s="8" t="n"/>
      <c r="I50" s="8" t="n"/>
      <c r="J50" s="8" t="n"/>
      <c r="K50" s="9">
        <f>IF(J50="","",IF(E50="Critical",J50+90,IF(E50="High",J50+90,IF(E50="Medium",J50+180,J50+180))))</f>
        <v/>
      </c>
      <c r="L50" s="9">
        <f>IF(H50="✅ Defined","✅ Compliant",IF(H50="➖ N/A","➖ Excluded","❌ Non-Compliant"))</f>
        <v/>
      </c>
      <c r="M50" s="8" t="n"/>
    </row>
    <row r="51">
      <c r="A51" s="8" t="n"/>
      <c r="B51" s="8" t="n"/>
      <c r="C51" s="8" t="n"/>
      <c r="D51" s="9">
        <f>IF(C51="","",IFERROR(VLOOKUP(C51,Lookup_Tables!$A$2:$B$44,2,FALSE),"Unknown"))</f>
        <v/>
      </c>
      <c r="E51" s="8" t="n"/>
      <c r="F51" s="8" t="n"/>
      <c r="G51" s="8" t="n"/>
      <c r="H51" s="8" t="n"/>
      <c r="I51" s="8" t="n"/>
      <c r="J51" s="8" t="n"/>
      <c r="K51" s="9">
        <f>IF(J51="","",IF(E51="Critical",J51+90,IF(E51="High",J51+90,IF(E51="Medium",J51+180,J51+180))))</f>
        <v/>
      </c>
      <c r="L51" s="9">
        <f>IF(H51="✅ Defined","✅ Compliant",IF(H51="➖ N/A","➖ Excluded","❌ Non-Compliant"))</f>
        <v/>
      </c>
      <c r="M51" s="8" t="n"/>
    </row>
    <row r="52">
      <c r="A52" s="8" t="n"/>
      <c r="B52" s="8" t="n"/>
      <c r="C52" s="8" t="n"/>
      <c r="D52" s="9">
        <f>IF(C52="","",IFERROR(VLOOKUP(C52,Lookup_Tables!$A$2:$B$44,2,FALSE),"Unknown"))</f>
        <v/>
      </c>
      <c r="E52" s="8" t="n"/>
      <c r="F52" s="8" t="n"/>
      <c r="G52" s="8" t="n"/>
      <c r="H52" s="8" t="n"/>
      <c r="I52" s="8" t="n"/>
      <c r="J52" s="8" t="n"/>
      <c r="K52" s="9">
        <f>IF(J52="","",IF(E52="Critical",J52+90,IF(E52="High",J52+90,IF(E52="Medium",J52+180,J52+180))))</f>
        <v/>
      </c>
      <c r="L52" s="9">
        <f>IF(H52="✅ Defined","✅ Compliant",IF(H52="➖ N/A","➖ Excluded","❌ Non-Compliant"))</f>
        <v/>
      </c>
      <c r="M52" s="8" t="n"/>
    </row>
    <row r="53">
      <c r="A53" s="8" t="n"/>
      <c r="B53" s="8" t="n"/>
      <c r="C53" s="8" t="n"/>
      <c r="D53" s="9">
        <f>IF(C53="","",IFERROR(VLOOKUP(C53,Lookup_Tables!$A$2:$B$44,2,FALSE),"Unknown"))</f>
        <v/>
      </c>
      <c r="E53" s="8" t="n"/>
      <c r="F53" s="8" t="n"/>
      <c r="G53" s="8" t="n"/>
      <c r="H53" s="8" t="n"/>
      <c r="I53" s="8" t="n"/>
      <c r="J53" s="8" t="n"/>
      <c r="K53" s="9">
        <f>IF(J53="","",IF(E53="Critical",J53+90,IF(E53="High",J53+90,IF(E53="Medium",J53+180,J53+180))))</f>
        <v/>
      </c>
      <c r="L53" s="9">
        <f>IF(H53="✅ Defined","✅ Compliant",IF(H53="➖ N/A","➖ Excluded","❌ Non-Compliant"))</f>
        <v/>
      </c>
      <c r="M53" s="8" t="n"/>
    </row>
    <row r="54">
      <c r="A54" s="8" t="n"/>
      <c r="B54" s="8" t="n"/>
      <c r="C54" s="8" t="n"/>
      <c r="D54" s="9">
        <f>IF(C54="","",IFERROR(VLOOKUP(C54,Lookup_Tables!$A$2:$B$44,2,FALSE),"Unknown"))</f>
        <v/>
      </c>
      <c r="E54" s="8" t="n"/>
      <c r="F54" s="8" t="n"/>
      <c r="G54" s="8" t="n"/>
      <c r="H54" s="8" t="n"/>
      <c r="I54" s="8" t="n"/>
      <c r="J54" s="8" t="n"/>
      <c r="K54" s="9">
        <f>IF(J54="","",IF(E54="Critical",J54+90,IF(E54="High",J54+90,IF(E54="Medium",J54+180,J54+180))))</f>
        <v/>
      </c>
      <c r="L54" s="9">
        <f>IF(H54="✅ Defined","✅ Compliant",IF(H54="➖ N/A","➖ Excluded","❌ Non-Compliant"))</f>
        <v/>
      </c>
      <c r="M54" s="8" t="n"/>
    </row>
    <row r="55">
      <c r="A55" s="8" t="n"/>
      <c r="B55" s="8" t="n"/>
      <c r="C55" s="8" t="n"/>
      <c r="D55" s="9">
        <f>IF(C55="","",IFERROR(VLOOKUP(C55,Lookup_Tables!$A$2:$B$44,2,FALSE),"Unknown"))</f>
        <v/>
      </c>
      <c r="E55" s="8" t="n"/>
      <c r="F55" s="8" t="n"/>
      <c r="G55" s="8" t="n"/>
      <c r="H55" s="8" t="n"/>
      <c r="I55" s="8" t="n"/>
      <c r="J55" s="8" t="n"/>
      <c r="K55" s="9">
        <f>IF(J55="","",IF(E55="Critical",J55+90,IF(E55="High",J55+90,IF(E55="Medium",J55+180,J55+180))))</f>
        <v/>
      </c>
      <c r="L55" s="9">
        <f>IF(H55="✅ Defined","✅ Compliant",IF(H55="➖ N/A","➖ Excluded","❌ Non-Compliant"))</f>
        <v/>
      </c>
      <c r="M55" s="8" t="n"/>
    </row>
    <row r="56">
      <c r="A56" s="8" t="n"/>
      <c r="B56" s="8" t="n"/>
      <c r="C56" s="8" t="n"/>
      <c r="D56" s="9">
        <f>IF(C56="","",IFERROR(VLOOKUP(C56,Lookup_Tables!$A$2:$B$44,2,FALSE),"Unknown"))</f>
        <v/>
      </c>
      <c r="E56" s="8" t="n"/>
      <c r="F56" s="8" t="n"/>
      <c r="G56" s="8" t="n"/>
      <c r="H56" s="8" t="n"/>
      <c r="I56" s="8" t="n"/>
      <c r="J56" s="8" t="n"/>
      <c r="K56" s="9">
        <f>IF(J56="","",IF(E56="Critical",J56+90,IF(E56="High",J56+90,IF(E56="Medium",J56+180,J56+180))))</f>
        <v/>
      </c>
      <c r="L56" s="9">
        <f>IF(H56="✅ Defined","✅ Compliant",IF(H56="➖ N/A","➖ Excluded","❌ Non-Compliant"))</f>
        <v/>
      </c>
      <c r="M56" s="8" t="n"/>
    </row>
    <row r="57">
      <c r="A57" s="8" t="n"/>
      <c r="B57" s="8" t="n"/>
      <c r="C57" s="8" t="n"/>
      <c r="D57" s="9">
        <f>IF(C57="","",IFERROR(VLOOKUP(C57,Lookup_Tables!$A$2:$B$44,2,FALSE),"Unknown"))</f>
        <v/>
      </c>
      <c r="E57" s="8" t="n"/>
      <c r="F57" s="8" t="n"/>
      <c r="G57" s="8" t="n"/>
      <c r="H57" s="8" t="n"/>
      <c r="I57" s="8" t="n"/>
      <c r="J57" s="8" t="n"/>
      <c r="K57" s="9">
        <f>IF(J57="","",IF(E57="Critical",J57+90,IF(E57="High",J57+90,IF(E57="Medium",J57+180,J57+180))))</f>
        <v/>
      </c>
      <c r="L57" s="9">
        <f>IF(H57="✅ Defined","✅ Compliant",IF(H57="➖ N/A","➖ Excluded","❌ Non-Compliant"))</f>
        <v/>
      </c>
      <c r="M57" s="8" t="n"/>
    </row>
    <row r="58">
      <c r="A58" s="8" t="n"/>
      <c r="B58" s="8" t="n"/>
      <c r="C58" s="8" t="n"/>
      <c r="D58" s="9">
        <f>IF(C58="","",IFERROR(VLOOKUP(C58,Lookup_Tables!$A$2:$B$44,2,FALSE),"Unknown"))</f>
        <v/>
      </c>
      <c r="E58" s="8" t="n"/>
      <c r="F58" s="8" t="n"/>
      <c r="G58" s="8" t="n"/>
      <c r="H58" s="8" t="n"/>
      <c r="I58" s="8" t="n"/>
      <c r="J58" s="8" t="n"/>
      <c r="K58" s="9">
        <f>IF(J58="","",IF(E58="Critical",J58+90,IF(E58="High",J58+90,IF(E58="Medium",J58+180,J58+180))))</f>
        <v/>
      </c>
      <c r="L58" s="9">
        <f>IF(H58="✅ Defined","✅ Compliant",IF(H58="➖ N/A","➖ Excluded","❌ Non-Compliant"))</f>
        <v/>
      </c>
      <c r="M58" s="8" t="n"/>
    </row>
    <row r="59">
      <c r="A59" s="8" t="n"/>
      <c r="B59" s="8" t="n"/>
      <c r="C59" s="8" t="n"/>
      <c r="D59" s="9">
        <f>IF(C59="","",IFERROR(VLOOKUP(C59,Lookup_Tables!$A$2:$B$44,2,FALSE),"Unknown"))</f>
        <v/>
      </c>
      <c r="E59" s="8" t="n"/>
      <c r="F59" s="8" t="n"/>
      <c r="G59" s="8" t="n"/>
      <c r="H59" s="8" t="n"/>
      <c r="I59" s="8" t="n"/>
      <c r="J59" s="8" t="n"/>
      <c r="K59" s="9">
        <f>IF(J59="","",IF(E59="Critical",J59+90,IF(E59="High",J59+90,IF(E59="Medium",J59+180,J59+180))))</f>
        <v/>
      </c>
      <c r="L59" s="9">
        <f>IF(H59="✅ Defined","✅ Compliant",IF(H59="➖ N/A","➖ Excluded","❌ Non-Compliant"))</f>
        <v/>
      </c>
      <c r="M59" s="8" t="n"/>
    </row>
    <row r="60">
      <c r="A60" s="8" t="n"/>
      <c r="B60" s="8" t="n"/>
      <c r="C60" s="8" t="n"/>
      <c r="D60" s="9">
        <f>IF(C60="","",IFERROR(VLOOKUP(C60,Lookup_Tables!$A$2:$B$44,2,FALSE),"Unknown"))</f>
        <v/>
      </c>
      <c r="E60" s="8" t="n"/>
      <c r="F60" s="8" t="n"/>
      <c r="G60" s="8" t="n"/>
      <c r="H60" s="8" t="n"/>
      <c r="I60" s="8" t="n"/>
      <c r="J60" s="8" t="n"/>
      <c r="K60" s="9">
        <f>IF(J60="","",IF(E60="Critical",J60+90,IF(E60="High",J60+90,IF(E60="Medium",J60+180,J60+180))))</f>
        <v/>
      </c>
      <c r="L60" s="9">
        <f>IF(H60="✅ Defined","✅ Compliant",IF(H60="➖ N/A","➖ Excluded","❌ Non-Compliant"))</f>
        <v/>
      </c>
      <c r="M60" s="8" t="n"/>
    </row>
    <row r="61">
      <c r="A61" s="8" t="n"/>
      <c r="B61" s="8" t="n"/>
      <c r="C61" s="8" t="n"/>
      <c r="D61" s="9">
        <f>IF(C61="","",IFERROR(VLOOKUP(C61,Lookup_Tables!$A$2:$B$44,2,FALSE),"Unknown"))</f>
        <v/>
      </c>
      <c r="E61" s="8" t="n"/>
      <c r="F61" s="8" t="n"/>
      <c r="G61" s="8" t="n"/>
      <c r="H61" s="8" t="n"/>
      <c r="I61" s="8" t="n"/>
      <c r="J61" s="8" t="n"/>
      <c r="K61" s="9">
        <f>IF(J61="","",IF(E61="Critical",J61+90,IF(E61="High",J61+90,IF(E61="Medium",J61+180,J61+180))))</f>
        <v/>
      </c>
      <c r="L61" s="9">
        <f>IF(H61="✅ Defined","✅ Compliant",IF(H61="➖ N/A","➖ Excluded","❌ Non-Compliant"))</f>
        <v/>
      </c>
      <c r="M61" s="8" t="n"/>
    </row>
    <row r="62">
      <c r="A62" s="8" t="n"/>
      <c r="B62" s="8" t="n"/>
      <c r="C62" s="8" t="n"/>
      <c r="D62" s="9">
        <f>IF(C62="","",IFERROR(VLOOKUP(C62,Lookup_Tables!$A$2:$B$44,2,FALSE),"Unknown"))</f>
        <v/>
      </c>
      <c r="E62" s="8" t="n"/>
      <c r="F62" s="8" t="n"/>
      <c r="G62" s="8" t="n"/>
      <c r="H62" s="8" t="n"/>
      <c r="I62" s="8" t="n"/>
      <c r="J62" s="8" t="n"/>
      <c r="K62" s="9">
        <f>IF(J62="","",IF(E62="Critical",J62+90,IF(E62="High",J62+90,IF(E62="Medium",J62+180,J62+180))))</f>
        <v/>
      </c>
      <c r="L62" s="9">
        <f>IF(H62="✅ Defined","✅ Compliant",IF(H62="➖ N/A","➖ Excluded","❌ Non-Compliant"))</f>
        <v/>
      </c>
      <c r="M62" s="8" t="n"/>
    </row>
    <row r="63">
      <c r="A63" s="8" t="n"/>
      <c r="B63" s="8" t="n"/>
      <c r="C63" s="8" t="n"/>
      <c r="D63" s="9">
        <f>IF(C63="","",IFERROR(VLOOKUP(C63,Lookup_Tables!$A$2:$B$44,2,FALSE),"Unknown"))</f>
        <v/>
      </c>
      <c r="E63" s="8" t="n"/>
      <c r="F63" s="8" t="n"/>
      <c r="G63" s="8" t="n"/>
      <c r="H63" s="8" t="n"/>
      <c r="I63" s="8" t="n"/>
      <c r="J63" s="8" t="n"/>
      <c r="K63" s="9">
        <f>IF(J63="","",IF(E63="Critical",J63+90,IF(E63="High",J63+90,IF(E63="Medium",J63+180,J63+180))))</f>
        <v/>
      </c>
      <c r="L63" s="9">
        <f>IF(H63="✅ Defined","✅ Compliant",IF(H63="➖ N/A","➖ Excluded","❌ Non-Compliant"))</f>
        <v/>
      </c>
      <c r="M63" s="8" t="n"/>
    </row>
    <row r="64">
      <c r="A64" s="8" t="n"/>
      <c r="B64" s="8" t="n"/>
      <c r="C64" s="8" t="n"/>
      <c r="D64" s="9">
        <f>IF(C64="","",IFERROR(VLOOKUP(C64,Lookup_Tables!$A$2:$B$44,2,FALSE),"Unknown"))</f>
        <v/>
      </c>
      <c r="E64" s="8" t="n"/>
      <c r="F64" s="8" t="n"/>
      <c r="G64" s="8" t="n"/>
      <c r="H64" s="8" t="n"/>
      <c r="I64" s="8" t="n"/>
      <c r="J64" s="8" t="n"/>
      <c r="K64" s="9">
        <f>IF(J64="","",IF(E64="Critical",J64+90,IF(E64="High",J64+90,IF(E64="Medium",J64+180,J64+180))))</f>
        <v/>
      </c>
      <c r="L64" s="9">
        <f>IF(H64="✅ Defined","✅ Compliant",IF(H64="➖ N/A","➖ Excluded","❌ Non-Compliant"))</f>
        <v/>
      </c>
      <c r="M64" s="8" t="n"/>
    </row>
    <row r="65">
      <c r="A65" s="8" t="n"/>
      <c r="B65" s="8" t="n"/>
      <c r="C65" s="8" t="n"/>
      <c r="D65" s="9">
        <f>IF(C65="","",IFERROR(VLOOKUP(C65,Lookup_Tables!$A$2:$B$44,2,FALSE),"Unknown"))</f>
        <v/>
      </c>
      <c r="E65" s="8" t="n"/>
      <c r="F65" s="8" t="n"/>
      <c r="G65" s="8" t="n"/>
      <c r="H65" s="8" t="n"/>
      <c r="I65" s="8" t="n"/>
      <c r="J65" s="8" t="n"/>
      <c r="K65" s="9">
        <f>IF(J65="","",IF(E65="Critical",J65+90,IF(E65="High",J65+90,IF(E65="Medium",J65+180,J65+180))))</f>
        <v/>
      </c>
      <c r="L65" s="9">
        <f>IF(H65="✅ Defined","✅ Compliant",IF(H65="➖ N/A","➖ Excluded","❌ Non-Compliant"))</f>
        <v/>
      </c>
      <c r="M65" s="8" t="n"/>
    </row>
    <row r="66">
      <c r="A66" s="8" t="n"/>
      <c r="B66" s="8" t="n"/>
      <c r="C66" s="8" t="n"/>
      <c r="D66" s="9">
        <f>IF(C66="","",IFERROR(VLOOKUP(C66,Lookup_Tables!$A$2:$B$44,2,FALSE),"Unknown"))</f>
        <v/>
      </c>
      <c r="E66" s="8" t="n"/>
      <c r="F66" s="8" t="n"/>
      <c r="G66" s="8" t="n"/>
      <c r="H66" s="8" t="n"/>
      <c r="I66" s="8" t="n"/>
      <c r="J66" s="8" t="n"/>
      <c r="K66" s="9">
        <f>IF(J66="","",IF(E66="Critical",J66+90,IF(E66="High",J66+90,IF(E66="Medium",J66+180,J66+180))))</f>
        <v/>
      </c>
      <c r="L66" s="9">
        <f>IF(H66="✅ Defined","✅ Compliant",IF(H66="➖ N/A","➖ Excluded","❌ Non-Compliant"))</f>
        <v/>
      </c>
      <c r="M66" s="8" t="n"/>
    </row>
    <row r="67">
      <c r="A67" s="8" t="n"/>
      <c r="B67" s="8" t="n"/>
      <c r="C67" s="8" t="n"/>
      <c r="D67" s="9">
        <f>IF(C67="","",IFERROR(VLOOKUP(C67,Lookup_Tables!$A$2:$B$44,2,FALSE),"Unknown"))</f>
        <v/>
      </c>
      <c r="E67" s="8" t="n"/>
      <c r="F67" s="8" t="n"/>
      <c r="G67" s="8" t="n"/>
      <c r="H67" s="8" t="n"/>
      <c r="I67" s="8" t="n"/>
      <c r="J67" s="8" t="n"/>
      <c r="K67" s="9">
        <f>IF(J67="","",IF(E67="Critical",J67+90,IF(E67="High",J67+90,IF(E67="Medium",J67+180,J67+180))))</f>
        <v/>
      </c>
      <c r="L67" s="9">
        <f>IF(H67="✅ Defined","✅ Compliant",IF(H67="➖ N/A","➖ Excluded","❌ Non-Compliant"))</f>
        <v/>
      </c>
      <c r="M67" s="8" t="n"/>
    </row>
    <row r="68">
      <c r="A68" s="8" t="n"/>
      <c r="B68" s="8" t="n"/>
      <c r="C68" s="8" t="n"/>
      <c r="D68" s="9">
        <f>IF(C68="","",IFERROR(VLOOKUP(C68,Lookup_Tables!$A$2:$B$44,2,FALSE),"Unknown"))</f>
        <v/>
      </c>
      <c r="E68" s="8" t="n"/>
      <c r="F68" s="8" t="n"/>
      <c r="G68" s="8" t="n"/>
      <c r="H68" s="8" t="n"/>
      <c r="I68" s="8" t="n"/>
      <c r="J68" s="8" t="n"/>
      <c r="K68" s="9">
        <f>IF(J68="","",IF(E68="Critical",J68+90,IF(E68="High",J68+90,IF(E68="Medium",J68+180,J68+180))))</f>
        <v/>
      </c>
      <c r="L68" s="9">
        <f>IF(H68="✅ Defined","✅ Compliant",IF(H68="➖ N/A","➖ Excluded","❌ Non-Compliant"))</f>
        <v/>
      </c>
      <c r="M68" s="8" t="n"/>
    </row>
    <row r="69">
      <c r="A69" s="8" t="n"/>
      <c r="B69" s="8" t="n"/>
      <c r="C69" s="8" t="n"/>
      <c r="D69" s="9">
        <f>IF(C69="","",IFERROR(VLOOKUP(C69,Lookup_Tables!$A$2:$B$44,2,FALSE),"Unknown"))</f>
        <v/>
      </c>
      <c r="E69" s="8" t="n"/>
      <c r="F69" s="8" t="n"/>
      <c r="G69" s="8" t="n"/>
      <c r="H69" s="8" t="n"/>
      <c r="I69" s="8" t="n"/>
      <c r="J69" s="8" t="n"/>
      <c r="K69" s="9">
        <f>IF(J69="","",IF(E69="Critical",J69+90,IF(E69="High",J69+90,IF(E69="Medium",J69+180,J69+180))))</f>
        <v/>
      </c>
      <c r="L69" s="9">
        <f>IF(H69="✅ Defined","✅ Compliant",IF(H69="➖ N/A","➖ Excluded","❌ Non-Compliant"))</f>
        <v/>
      </c>
      <c r="M69" s="8" t="n"/>
    </row>
    <row r="70">
      <c r="A70" s="8" t="n"/>
      <c r="B70" s="8" t="n"/>
      <c r="C70" s="8" t="n"/>
      <c r="D70" s="9">
        <f>IF(C70="","",IFERROR(VLOOKUP(C70,Lookup_Tables!$A$2:$B$44,2,FALSE),"Unknown"))</f>
        <v/>
      </c>
      <c r="E70" s="8" t="n"/>
      <c r="F70" s="8" t="n"/>
      <c r="G70" s="8" t="n"/>
      <c r="H70" s="8" t="n"/>
      <c r="I70" s="8" t="n"/>
      <c r="J70" s="8" t="n"/>
      <c r="K70" s="9">
        <f>IF(J70="","",IF(E70="Critical",J70+90,IF(E70="High",J70+90,IF(E70="Medium",J70+180,J70+180))))</f>
        <v/>
      </c>
      <c r="L70" s="9">
        <f>IF(H70="✅ Defined","✅ Compliant",IF(H70="➖ N/A","➖ Excluded","❌ Non-Compliant"))</f>
        <v/>
      </c>
      <c r="M70" s="8" t="n"/>
    </row>
    <row r="71">
      <c r="A71" s="8" t="n"/>
      <c r="B71" s="8" t="n"/>
      <c r="C71" s="8" t="n"/>
      <c r="D71" s="9">
        <f>IF(C71="","",IFERROR(VLOOKUP(C71,Lookup_Tables!$A$2:$B$44,2,FALSE),"Unknown"))</f>
        <v/>
      </c>
      <c r="E71" s="8" t="n"/>
      <c r="F71" s="8" t="n"/>
      <c r="G71" s="8" t="n"/>
      <c r="H71" s="8" t="n"/>
      <c r="I71" s="8" t="n"/>
      <c r="J71" s="8" t="n"/>
      <c r="K71" s="9">
        <f>IF(J71="","",IF(E71="Critical",J71+90,IF(E71="High",J71+90,IF(E71="Medium",J71+180,J71+180))))</f>
        <v/>
      </c>
      <c r="L71" s="9">
        <f>IF(H71="✅ Defined","✅ Compliant",IF(H71="➖ N/A","➖ Excluded","❌ Non-Compliant"))</f>
        <v/>
      </c>
      <c r="M71" s="8" t="n"/>
    </row>
    <row r="72">
      <c r="A72" s="8" t="n"/>
      <c r="B72" s="8" t="n"/>
      <c r="C72" s="8" t="n"/>
      <c r="D72" s="9">
        <f>IF(C72="","",IFERROR(VLOOKUP(C72,Lookup_Tables!$A$2:$B$44,2,FALSE),"Unknown"))</f>
        <v/>
      </c>
      <c r="E72" s="8" t="n"/>
      <c r="F72" s="8" t="n"/>
      <c r="G72" s="8" t="n"/>
      <c r="H72" s="8" t="n"/>
      <c r="I72" s="8" t="n"/>
      <c r="J72" s="8" t="n"/>
      <c r="K72" s="9">
        <f>IF(J72="","",IF(E72="Critical",J72+90,IF(E72="High",J72+90,IF(E72="Medium",J72+180,J72+180))))</f>
        <v/>
      </c>
      <c r="L72" s="9">
        <f>IF(H72="✅ Defined","✅ Compliant",IF(H72="➖ N/A","➖ Excluded","❌ Non-Compliant"))</f>
        <v/>
      </c>
      <c r="M72" s="8" t="n"/>
    </row>
    <row r="73">
      <c r="A73" s="8" t="n"/>
      <c r="B73" s="8" t="n"/>
      <c r="C73" s="8" t="n"/>
      <c r="D73" s="9">
        <f>IF(C73="","",IFERROR(VLOOKUP(C73,Lookup_Tables!$A$2:$B$44,2,FALSE),"Unknown"))</f>
        <v/>
      </c>
      <c r="E73" s="8" t="n"/>
      <c r="F73" s="8" t="n"/>
      <c r="G73" s="8" t="n"/>
      <c r="H73" s="8" t="n"/>
      <c r="I73" s="8" t="n"/>
      <c r="J73" s="8" t="n"/>
      <c r="K73" s="9">
        <f>IF(J73="","",IF(E73="Critical",J73+90,IF(E73="High",J73+90,IF(E73="Medium",J73+180,J73+180))))</f>
        <v/>
      </c>
      <c r="L73" s="9">
        <f>IF(H73="✅ Defined","✅ Compliant",IF(H73="➖ N/A","➖ Excluded","❌ Non-Compliant"))</f>
        <v/>
      </c>
      <c r="M73" s="8" t="n"/>
    </row>
    <row r="74">
      <c r="A74" s="8" t="n"/>
      <c r="B74" s="8" t="n"/>
      <c r="C74" s="8" t="n"/>
      <c r="D74" s="9">
        <f>IF(C74="","",IFERROR(VLOOKUP(C74,Lookup_Tables!$A$2:$B$44,2,FALSE),"Unknown"))</f>
        <v/>
      </c>
      <c r="E74" s="8" t="n"/>
      <c r="F74" s="8" t="n"/>
      <c r="G74" s="8" t="n"/>
      <c r="H74" s="8" t="n"/>
      <c r="I74" s="8" t="n"/>
      <c r="J74" s="8" t="n"/>
      <c r="K74" s="9">
        <f>IF(J74="","",IF(E74="Critical",J74+90,IF(E74="High",J74+90,IF(E74="Medium",J74+180,J74+180))))</f>
        <v/>
      </c>
      <c r="L74" s="9">
        <f>IF(H74="✅ Defined","✅ Compliant",IF(H74="➖ N/A","➖ Excluded","❌ Non-Compliant"))</f>
        <v/>
      </c>
      <c r="M74" s="8" t="n"/>
    </row>
    <row r="75">
      <c r="A75" s="8" t="n"/>
      <c r="B75" s="8" t="n"/>
      <c r="C75" s="8" t="n"/>
      <c r="D75" s="9">
        <f>IF(C75="","",IFERROR(VLOOKUP(C75,Lookup_Tables!$A$2:$B$44,2,FALSE),"Unknown"))</f>
        <v/>
      </c>
      <c r="E75" s="8" t="n"/>
      <c r="F75" s="8" t="n"/>
      <c r="G75" s="8" t="n"/>
      <c r="H75" s="8" t="n"/>
      <c r="I75" s="8" t="n"/>
      <c r="J75" s="8" t="n"/>
      <c r="K75" s="9">
        <f>IF(J75="","",IF(E75="Critical",J75+90,IF(E75="High",J75+90,IF(E75="Medium",J75+180,J75+180))))</f>
        <v/>
      </c>
      <c r="L75" s="9">
        <f>IF(H75="✅ Defined","✅ Compliant",IF(H75="➖ N/A","➖ Excluded","❌ Non-Compliant"))</f>
        <v/>
      </c>
      <c r="M75" s="8" t="n"/>
    </row>
    <row r="76">
      <c r="A76" s="8" t="n"/>
      <c r="B76" s="8" t="n"/>
      <c r="C76" s="8" t="n"/>
      <c r="D76" s="9">
        <f>IF(C76="","",IFERROR(VLOOKUP(C76,Lookup_Tables!$A$2:$B$44,2,FALSE),"Unknown"))</f>
        <v/>
      </c>
      <c r="E76" s="8" t="n"/>
      <c r="F76" s="8" t="n"/>
      <c r="G76" s="8" t="n"/>
      <c r="H76" s="8" t="n"/>
      <c r="I76" s="8" t="n"/>
      <c r="J76" s="8" t="n"/>
      <c r="K76" s="9">
        <f>IF(J76="","",IF(E76="Critical",J76+90,IF(E76="High",J76+90,IF(E76="Medium",J76+180,J76+180))))</f>
        <v/>
      </c>
      <c r="L76" s="9">
        <f>IF(H76="✅ Defined","✅ Compliant",IF(H76="➖ N/A","➖ Excluded","❌ Non-Compliant"))</f>
        <v/>
      </c>
      <c r="M76" s="8" t="n"/>
    </row>
    <row r="77">
      <c r="A77" s="8" t="n"/>
      <c r="B77" s="8" t="n"/>
      <c r="C77" s="8" t="n"/>
      <c r="D77" s="9">
        <f>IF(C77="","",IFERROR(VLOOKUP(C77,Lookup_Tables!$A$2:$B$44,2,FALSE),"Unknown"))</f>
        <v/>
      </c>
      <c r="E77" s="8" t="n"/>
      <c r="F77" s="8" t="n"/>
      <c r="G77" s="8" t="n"/>
      <c r="H77" s="8" t="n"/>
      <c r="I77" s="8" t="n"/>
      <c r="J77" s="8" t="n"/>
      <c r="K77" s="9">
        <f>IF(J77="","",IF(E77="Critical",J77+90,IF(E77="High",J77+90,IF(E77="Medium",J77+180,J77+180))))</f>
        <v/>
      </c>
      <c r="L77" s="9">
        <f>IF(H77="✅ Defined","✅ Compliant",IF(H77="➖ N/A","➖ Excluded","❌ Non-Compliant"))</f>
        <v/>
      </c>
      <c r="M77" s="8" t="n"/>
    </row>
    <row r="78">
      <c r="A78" s="8" t="n"/>
      <c r="B78" s="8" t="n"/>
      <c r="C78" s="8" t="n"/>
      <c r="D78" s="9">
        <f>IF(C78="","",IFERROR(VLOOKUP(C78,Lookup_Tables!$A$2:$B$44,2,FALSE),"Unknown"))</f>
        <v/>
      </c>
      <c r="E78" s="8" t="n"/>
      <c r="F78" s="8" t="n"/>
      <c r="G78" s="8" t="n"/>
      <c r="H78" s="8" t="n"/>
      <c r="I78" s="8" t="n"/>
      <c r="J78" s="8" t="n"/>
      <c r="K78" s="9">
        <f>IF(J78="","",IF(E78="Critical",J78+90,IF(E78="High",J78+90,IF(E78="Medium",J78+180,J78+180))))</f>
        <v/>
      </c>
      <c r="L78" s="9">
        <f>IF(H78="✅ Defined","✅ Compliant",IF(H78="➖ N/A","➖ Excluded","❌ Non-Compliant"))</f>
        <v/>
      </c>
      <c r="M78" s="8" t="n"/>
    </row>
    <row r="79">
      <c r="A79" s="8" t="n"/>
      <c r="B79" s="8" t="n"/>
      <c r="C79" s="8" t="n"/>
      <c r="D79" s="9">
        <f>IF(C79="","",IFERROR(VLOOKUP(C79,Lookup_Tables!$A$2:$B$44,2,FALSE),"Unknown"))</f>
        <v/>
      </c>
      <c r="E79" s="8" t="n"/>
      <c r="F79" s="8" t="n"/>
      <c r="G79" s="8" t="n"/>
      <c r="H79" s="8" t="n"/>
      <c r="I79" s="8" t="n"/>
      <c r="J79" s="8" t="n"/>
      <c r="K79" s="9">
        <f>IF(J79="","",IF(E79="Critical",J79+90,IF(E79="High",J79+90,IF(E79="Medium",J79+180,J79+180))))</f>
        <v/>
      </c>
      <c r="L79" s="9">
        <f>IF(H79="✅ Defined","✅ Compliant",IF(H79="➖ N/A","➖ Excluded","❌ Non-Compliant"))</f>
        <v/>
      </c>
      <c r="M79" s="8" t="n"/>
    </row>
    <row r="80">
      <c r="A80" s="8" t="n"/>
      <c r="B80" s="8" t="n"/>
      <c r="C80" s="8" t="n"/>
      <c r="D80" s="9">
        <f>IF(C80="","",IFERROR(VLOOKUP(C80,Lookup_Tables!$A$2:$B$44,2,FALSE),"Unknown"))</f>
        <v/>
      </c>
      <c r="E80" s="8" t="n"/>
      <c r="F80" s="8" t="n"/>
      <c r="G80" s="8" t="n"/>
      <c r="H80" s="8" t="n"/>
      <c r="I80" s="8" t="n"/>
      <c r="J80" s="8" t="n"/>
      <c r="K80" s="9">
        <f>IF(J80="","",IF(E80="Critical",J80+90,IF(E80="High",J80+90,IF(E80="Medium",J80+180,J80+180))))</f>
        <v/>
      </c>
      <c r="L80" s="9">
        <f>IF(H80="✅ Defined","✅ Compliant",IF(H80="➖ N/A","➖ Excluded","❌ Non-Compliant"))</f>
        <v/>
      </c>
      <c r="M80" s="8" t="n"/>
    </row>
    <row r="81">
      <c r="A81" s="8" t="n"/>
      <c r="B81" s="8" t="n"/>
      <c r="C81" s="8" t="n"/>
      <c r="D81" s="9">
        <f>IF(C81="","",IFERROR(VLOOKUP(C81,Lookup_Tables!$A$2:$B$44,2,FALSE),"Unknown"))</f>
        <v/>
      </c>
      <c r="E81" s="8" t="n"/>
      <c r="F81" s="8" t="n"/>
      <c r="G81" s="8" t="n"/>
      <c r="H81" s="8" t="n"/>
      <c r="I81" s="8" t="n"/>
      <c r="J81" s="8" t="n"/>
      <c r="K81" s="9">
        <f>IF(J81="","",IF(E81="Critical",J81+90,IF(E81="High",J81+90,IF(E81="Medium",J81+180,J81+180))))</f>
        <v/>
      </c>
      <c r="L81" s="9">
        <f>IF(H81="✅ Defined","✅ Compliant",IF(H81="➖ N/A","➖ Excluded","❌ Non-Compliant"))</f>
        <v/>
      </c>
      <c r="M81" s="8" t="n"/>
    </row>
    <row r="82">
      <c r="A82" s="8" t="n"/>
      <c r="B82" s="8" t="n"/>
      <c r="C82" s="8" t="n"/>
      <c r="D82" s="9">
        <f>IF(C82="","",IFERROR(VLOOKUP(C82,Lookup_Tables!$A$2:$B$44,2,FALSE),"Unknown"))</f>
        <v/>
      </c>
      <c r="E82" s="8" t="n"/>
      <c r="F82" s="8" t="n"/>
      <c r="G82" s="8" t="n"/>
      <c r="H82" s="8" t="n"/>
      <c r="I82" s="8" t="n"/>
      <c r="J82" s="8" t="n"/>
      <c r="K82" s="9">
        <f>IF(J82="","",IF(E82="Critical",J82+90,IF(E82="High",J82+90,IF(E82="Medium",J82+180,J82+180))))</f>
        <v/>
      </c>
      <c r="L82" s="9">
        <f>IF(H82="✅ Defined","✅ Compliant",IF(H82="➖ N/A","➖ Excluded","❌ Non-Compliant"))</f>
        <v/>
      </c>
      <c r="M82" s="8" t="n"/>
    </row>
    <row r="83">
      <c r="A83" s="8" t="n"/>
      <c r="B83" s="8" t="n"/>
      <c r="C83" s="8" t="n"/>
      <c r="D83" s="9">
        <f>IF(C83="","",IFERROR(VLOOKUP(C83,Lookup_Tables!$A$2:$B$44,2,FALSE),"Unknown"))</f>
        <v/>
      </c>
      <c r="E83" s="8" t="n"/>
      <c r="F83" s="8" t="n"/>
      <c r="G83" s="8" t="n"/>
      <c r="H83" s="8" t="n"/>
      <c r="I83" s="8" t="n"/>
      <c r="J83" s="8" t="n"/>
      <c r="K83" s="9">
        <f>IF(J83="","",IF(E83="Critical",J83+90,IF(E83="High",J83+90,IF(E83="Medium",J83+180,J83+180))))</f>
        <v/>
      </c>
      <c r="L83" s="9">
        <f>IF(H83="✅ Defined","✅ Compliant",IF(H83="➖ N/A","➖ Excluded","❌ Non-Compliant"))</f>
        <v/>
      </c>
      <c r="M83" s="8" t="n"/>
    </row>
    <row r="84">
      <c r="A84" s="8" t="n"/>
      <c r="B84" s="8" t="n"/>
      <c r="C84" s="8" t="n"/>
      <c r="D84" s="9">
        <f>IF(C84="","",IFERROR(VLOOKUP(C84,Lookup_Tables!$A$2:$B$44,2,FALSE),"Unknown"))</f>
        <v/>
      </c>
      <c r="E84" s="8" t="n"/>
      <c r="F84" s="8" t="n"/>
      <c r="G84" s="8" t="n"/>
      <c r="H84" s="8" t="n"/>
      <c r="I84" s="8" t="n"/>
      <c r="J84" s="8" t="n"/>
      <c r="K84" s="9">
        <f>IF(J84="","",IF(E84="Critical",J84+90,IF(E84="High",J84+90,IF(E84="Medium",J84+180,J84+180))))</f>
        <v/>
      </c>
      <c r="L84" s="9">
        <f>IF(H84="✅ Defined","✅ Compliant",IF(H84="➖ N/A","➖ Excluded","❌ Non-Compliant"))</f>
        <v/>
      </c>
      <c r="M84" s="8" t="n"/>
    </row>
    <row r="85">
      <c r="A85" s="8" t="n"/>
      <c r="B85" s="8" t="n"/>
      <c r="C85" s="8" t="n"/>
      <c r="D85" s="9">
        <f>IF(C85="","",IFERROR(VLOOKUP(C85,Lookup_Tables!$A$2:$B$44,2,FALSE),"Unknown"))</f>
        <v/>
      </c>
      <c r="E85" s="8" t="n"/>
      <c r="F85" s="8" t="n"/>
      <c r="G85" s="8" t="n"/>
      <c r="H85" s="8" t="n"/>
      <c r="I85" s="8" t="n"/>
      <c r="J85" s="8" t="n"/>
      <c r="K85" s="9">
        <f>IF(J85="","",IF(E85="Critical",J85+90,IF(E85="High",J85+90,IF(E85="Medium",J85+180,J85+180))))</f>
        <v/>
      </c>
      <c r="L85" s="9">
        <f>IF(H85="✅ Defined","✅ Compliant",IF(H85="➖ N/A","➖ Excluded","❌ Non-Compliant"))</f>
        <v/>
      </c>
      <c r="M85" s="8" t="n"/>
    </row>
    <row r="86">
      <c r="A86" s="8" t="n"/>
      <c r="B86" s="8" t="n"/>
      <c r="C86" s="8" t="n"/>
      <c r="D86" s="9">
        <f>IF(C86="","",IFERROR(VLOOKUP(C86,Lookup_Tables!$A$2:$B$44,2,FALSE),"Unknown"))</f>
        <v/>
      </c>
      <c r="E86" s="8" t="n"/>
      <c r="F86" s="8" t="n"/>
      <c r="G86" s="8" t="n"/>
      <c r="H86" s="8" t="n"/>
      <c r="I86" s="8" t="n"/>
      <c r="J86" s="8" t="n"/>
      <c r="K86" s="9">
        <f>IF(J86="","",IF(E86="Critical",J86+90,IF(E86="High",J86+90,IF(E86="Medium",J86+180,J86+180))))</f>
        <v/>
      </c>
      <c r="L86" s="9">
        <f>IF(H86="✅ Defined","✅ Compliant",IF(H86="➖ N/A","➖ Excluded","❌ Non-Compliant"))</f>
        <v/>
      </c>
      <c r="M86" s="8" t="n"/>
    </row>
    <row r="87">
      <c r="A87" s="8" t="n"/>
      <c r="B87" s="8" t="n"/>
      <c r="C87" s="8" t="n"/>
      <c r="D87" s="9">
        <f>IF(C87="","",IFERROR(VLOOKUP(C87,Lookup_Tables!$A$2:$B$44,2,FALSE),"Unknown"))</f>
        <v/>
      </c>
      <c r="E87" s="8" t="n"/>
      <c r="F87" s="8" t="n"/>
      <c r="G87" s="8" t="n"/>
      <c r="H87" s="8" t="n"/>
      <c r="I87" s="8" t="n"/>
      <c r="J87" s="8" t="n"/>
      <c r="K87" s="9">
        <f>IF(J87="","",IF(E87="Critical",J87+90,IF(E87="High",J87+90,IF(E87="Medium",J87+180,J87+180))))</f>
        <v/>
      </c>
      <c r="L87" s="9">
        <f>IF(H87="✅ Defined","✅ Compliant",IF(H87="➖ N/A","➖ Excluded","❌ Non-Compliant"))</f>
        <v/>
      </c>
      <c r="M87" s="8" t="n"/>
    </row>
    <row r="88">
      <c r="A88" s="8" t="n"/>
      <c r="B88" s="8" t="n"/>
      <c r="C88" s="8" t="n"/>
      <c r="D88" s="9">
        <f>IF(C88="","",IFERROR(VLOOKUP(C88,Lookup_Tables!$A$2:$B$44,2,FALSE),"Unknown"))</f>
        <v/>
      </c>
      <c r="E88" s="8" t="n"/>
      <c r="F88" s="8" t="n"/>
      <c r="G88" s="8" t="n"/>
      <c r="H88" s="8" t="n"/>
      <c r="I88" s="8" t="n"/>
      <c r="J88" s="8" t="n"/>
      <c r="K88" s="9">
        <f>IF(J88="","",IF(E88="Critical",J88+90,IF(E88="High",J88+90,IF(E88="Medium",J88+180,J88+180))))</f>
        <v/>
      </c>
      <c r="L88" s="9">
        <f>IF(H88="✅ Defined","✅ Compliant",IF(H88="➖ N/A","➖ Excluded","❌ Non-Compliant"))</f>
        <v/>
      </c>
      <c r="M88" s="8" t="n"/>
    </row>
    <row r="89">
      <c r="A89" s="8" t="n"/>
      <c r="B89" s="8" t="n"/>
      <c r="C89" s="8" t="n"/>
      <c r="D89" s="9">
        <f>IF(C89="","",IFERROR(VLOOKUP(C89,Lookup_Tables!$A$2:$B$44,2,FALSE),"Unknown"))</f>
        <v/>
      </c>
      <c r="E89" s="8" t="n"/>
      <c r="F89" s="8" t="n"/>
      <c r="G89" s="8" t="n"/>
      <c r="H89" s="8" t="n"/>
      <c r="I89" s="8" t="n"/>
      <c r="J89" s="8" t="n"/>
      <c r="K89" s="9">
        <f>IF(J89="","",IF(E89="Critical",J89+90,IF(E89="High",J89+90,IF(E89="Medium",J89+180,J89+180))))</f>
        <v/>
      </c>
      <c r="L89" s="9">
        <f>IF(H89="✅ Defined","✅ Compliant",IF(H89="➖ N/A","➖ Excluded","❌ Non-Compliant"))</f>
        <v/>
      </c>
      <c r="M89" s="8" t="n"/>
    </row>
    <row r="90">
      <c r="A90" s="8" t="n"/>
      <c r="B90" s="8" t="n"/>
      <c r="C90" s="8" t="n"/>
      <c r="D90" s="9">
        <f>IF(C90="","",IFERROR(VLOOKUP(C90,Lookup_Tables!$A$2:$B$44,2,FALSE),"Unknown"))</f>
        <v/>
      </c>
      <c r="E90" s="8" t="n"/>
      <c r="F90" s="8" t="n"/>
      <c r="G90" s="8" t="n"/>
      <c r="H90" s="8" t="n"/>
      <c r="I90" s="8" t="n"/>
      <c r="J90" s="8" t="n"/>
      <c r="K90" s="9">
        <f>IF(J90="","",IF(E90="Critical",J90+90,IF(E90="High",J90+90,IF(E90="Medium",J90+180,J90+180))))</f>
        <v/>
      </c>
      <c r="L90" s="9">
        <f>IF(H90="✅ Defined","✅ Compliant",IF(H90="➖ N/A","➖ Excluded","❌ Non-Compliant"))</f>
        <v/>
      </c>
      <c r="M90" s="8" t="n"/>
    </row>
    <row r="91">
      <c r="A91" s="8" t="n"/>
      <c r="B91" s="8" t="n"/>
      <c r="C91" s="8" t="n"/>
      <c r="D91" s="9">
        <f>IF(C91="","",IFERROR(VLOOKUP(C91,Lookup_Tables!$A$2:$B$44,2,FALSE),"Unknown"))</f>
        <v/>
      </c>
      <c r="E91" s="8" t="n"/>
      <c r="F91" s="8" t="n"/>
      <c r="G91" s="8" t="n"/>
      <c r="H91" s="8" t="n"/>
      <c r="I91" s="8" t="n"/>
      <c r="J91" s="8" t="n"/>
      <c r="K91" s="9">
        <f>IF(J91="","",IF(E91="Critical",J91+90,IF(E91="High",J91+90,IF(E91="Medium",J91+180,J91+180))))</f>
        <v/>
      </c>
      <c r="L91" s="9">
        <f>IF(H91="✅ Defined","✅ Compliant",IF(H91="➖ N/A","➖ Excluded","❌ Non-Compliant"))</f>
        <v/>
      </c>
      <c r="M91" s="8" t="n"/>
    </row>
    <row r="92">
      <c r="A92" s="8" t="n"/>
      <c r="B92" s="8" t="n"/>
      <c r="C92" s="8" t="n"/>
      <c r="D92" s="9">
        <f>IF(C92="","",IFERROR(VLOOKUP(C92,Lookup_Tables!$A$2:$B$44,2,FALSE),"Unknown"))</f>
        <v/>
      </c>
      <c r="E92" s="8" t="n"/>
      <c r="F92" s="8" t="n"/>
      <c r="G92" s="8" t="n"/>
      <c r="H92" s="8" t="n"/>
      <c r="I92" s="8" t="n"/>
      <c r="J92" s="8" t="n"/>
      <c r="K92" s="9">
        <f>IF(J92="","",IF(E92="Critical",J92+90,IF(E92="High",J92+90,IF(E92="Medium",J92+180,J92+180))))</f>
        <v/>
      </c>
      <c r="L92" s="9">
        <f>IF(H92="✅ Defined","✅ Compliant",IF(H92="➖ N/A","➖ Excluded","❌ Non-Compliant"))</f>
        <v/>
      </c>
      <c r="M92" s="8" t="n"/>
    </row>
    <row r="93">
      <c r="A93" s="8" t="n"/>
      <c r="B93" s="8" t="n"/>
      <c r="C93" s="8" t="n"/>
      <c r="D93" s="9">
        <f>IF(C93="","",IFERROR(VLOOKUP(C93,Lookup_Tables!$A$2:$B$44,2,FALSE),"Unknown"))</f>
        <v/>
      </c>
      <c r="E93" s="8" t="n"/>
      <c r="F93" s="8" t="n"/>
      <c r="G93" s="8" t="n"/>
      <c r="H93" s="8" t="n"/>
      <c r="I93" s="8" t="n"/>
      <c r="J93" s="8" t="n"/>
      <c r="K93" s="9">
        <f>IF(J93="","",IF(E93="Critical",J93+90,IF(E93="High",J93+90,IF(E93="Medium",J93+180,J93+180))))</f>
        <v/>
      </c>
      <c r="L93" s="9">
        <f>IF(H93="✅ Defined","✅ Compliant",IF(H93="➖ N/A","➖ Excluded","❌ Non-Compliant"))</f>
        <v/>
      </c>
      <c r="M93" s="8" t="n"/>
    </row>
    <row r="94">
      <c r="A94" s="8" t="n"/>
      <c r="B94" s="8" t="n"/>
      <c r="C94" s="8" t="n"/>
      <c r="D94" s="9">
        <f>IF(C94="","",IFERROR(VLOOKUP(C94,Lookup_Tables!$A$2:$B$44,2,FALSE),"Unknown"))</f>
        <v/>
      </c>
      <c r="E94" s="8" t="n"/>
      <c r="F94" s="8" t="n"/>
      <c r="G94" s="8" t="n"/>
      <c r="H94" s="8" t="n"/>
      <c r="I94" s="8" t="n"/>
      <c r="J94" s="8" t="n"/>
      <c r="K94" s="9">
        <f>IF(J94="","",IF(E94="Critical",J94+90,IF(E94="High",J94+90,IF(E94="Medium",J94+180,J94+180))))</f>
        <v/>
      </c>
      <c r="L94" s="9">
        <f>IF(H94="✅ Defined","✅ Compliant",IF(H94="➖ N/A","➖ Excluded","❌ Non-Compliant"))</f>
        <v/>
      </c>
      <c r="M94" s="8" t="n"/>
    </row>
    <row r="95">
      <c r="A95" s="8" t="n"/>
      <c r="B95" s="8" t="n"/>
      <c r="C95" s="8" t="n"/>
      <c r="D95" s="9">
        <f>IF(C95="","",IFERROR(VLOOKUP(C95,Lookup_Tables!$A$2:$B$44,2,FALSE),"Unknown"))</f>
        <v/>
      </c>
      <c r="E95" s="8" t="n"/>
      <c r="F95" s="8" t="n"/>
      <c r="G95" s="8" t="n"/>
      <c r="H95" s="8" t="n"/>
      <c r="I95" s="8" t="n"/>
      <c r="J95" s="8" t="n"/>
      <c r="K95" s="9">
        <f>IF(J95="","",IF(E95="Critical",J95+90,IF(E95="High",J95+90,IF(E95="Medium",J95+180,J95+180))))</f>
        <v/>
      </c>
      <c r="L95" s="9">
        <f>IF(H95="✅ Defined","✅ Compliant",IF(H95="➖ N/A","➖ Excluded","❌ Non-Compliant"))</f>
        <v/>
      </c>
      <c r="M95" s="8" t="n"/>
    </row>
    <row r="96">
      <c r="A96" s="8" t="n"/>
      <c r="B96" s="8" t="n"/>
      <c r="C96" s="8" t="n"/>
      <c r="D96" s="9">
        <f>IF(C96="","",IFERROR(VLOOKUP(C96,Lookup_Tables!$A$2:$B$44,2,FALSE),"Unknown"))</f>
        <v/>
      </c>
      <c r="E96" s="8" t="n"/>
      <c r="F96" s="8" t="n"/>
      <c r="G96" s="8" t="n"/>
      <c r="H96" s="8" t="n"/>
      <c r="I96" s="8" t="n"/>
      <c r="J96" s="8" t="n"/>
      <c r="K96" s="9">
        <f>IF(J96="","",IF(E96="Critical",J96+90,IF(E96="High",J96+90,IF(E96="Medium",J96+180,J96+180))))</f>
        <v/>
      </c>
      <c r="L96" s="9">
        <f>IF(H96="✅ Defined","✅ Compliant",IF(H96="➖ N/A","➖ Excluded","❌ Non-Compliant"))</f>
        <v/>
      </c>
      <c r="M96" s="8" t="n"/>
    </row>
    <row r="97">
      <c r="A97" s="8" t="n"/>
      <c r="B97" s="8" t="n"/>
      <c r="C97" s="8" t="n"/>
      <c r="D97" s="9">
        <f>IF(C97="","",IFERROR(VLOOKUP(C97,Lookup_Tables!$A$2:$B$44,2,FALSE),"Unknown"))</f>
        <v/>
      </c>
      <c r="E97" s="8" t="n"/>
      <c r="F97" s="8" t="n"/>
      <c r="G97" s="8" t="n"/>
      <c r="H97" s="8" t="n"/>
      <c r="I97" s="8" t="n"/>
      <c r="J97" s="8" t="n"/>
      <c r="K97" s="9">
        <f>IF(J97="","",IF(E97="Critical",J97+90,IF(E97="High",J97+90,IF(E97="Medium",J97+180,J97+180))))</f>
        <v/>
      </c>
      <c r="L97" s="9">
        <f>IF(H97="✅ Defined","✅ Compliant",IF(H97="➖ N/A","➖ Excluded","❌ Non-Compliant"))</f>
        <v/>
      </c>
      <c r="M97" s="8" t="n"/>
    </row>
    <row r="98">
      <c r="A98" s="8" t="n"/>
      <c r="B98" s="8" t="n"/>
      <c r="C98" s="8" t="n"/>
      <c r="D98" s="9">
        <f>IF(C98="","",IFERROR(VLOOKUP(C98,Lookup_Tables!$A$2:$B$44,2,FALSE),"Unknown"))</f>
        <v/>
      </c>
      <c r="E98" s="8" t="n"/>
      <c r="F98" s="8" t="n"/>
      <c r="G98" s="8" t="n"/>
      <c r="H98" s="8" t="n"/>
      <c r="I98" s="8" t="n"/>
      <c r="J98" s="8" t="n"/>
      <c r="K98" s="9">
        <f>IF(J98="","",IF(E98="Critical",J98+90,IF(E98="High",J98+90,IF(E98="Medium",J98+180,J98+180))))</f>
        <v/>
      </c>
      <c r="L98" s="9">
        <f>IF(H98="✅ Defined","✅ Compliant",IF(H98="➖ N/A","➖ Excluded","❌ Non-Compliant"))</f>
        <v/>
      </c>
      <c r="M98" s="8" t="n"/>
    </row>
    <row r="99">
      <c r="A99" s="8" t="n"/>
      <c r="B99" s="8" t="n"/>
      <c r="C99" s="8" t="n"/>
      <c r="D99" s="9">
        <f>IF(C99="","",IFERROR(VLOOKUP(C99,Lookup_Tables!$A$2:$B$44,2,FALSE),"Unknown"))</f>
        <v/>
      </c>
      <c r="E99" s="8" t="n"/>
      <c r="F99" s="8" t="n"/>
      <c r="G99" s="8" t="n"/>
      <c r="H99" s="8" t="n"/>
      <c r="I99" s="8" t="n"/>
      <c r="J99" s="8" t="n"/>
      <c r="K99" s="9">
        <f>IF(J99="","",IF(E99="Critical",J99+90,IF(E99="High",J99+90,IF(E99="Medium",J99+180,J99+180))))</f>
        <v/>
      </c>
      <c r="L99" s="9">
        <f>IF(H99="✅ Defined","✅ Compliant",IF(H99="➖ N/A","➖ Excluded","❌ Non-Compliant"))</f>
        <v/>
      </c>
      <c r="M99" s="8" t="n"/>
    </row>
    <row r="100">
      <c r="A100" s="8" t="n"/>
      <c r="B100" s="8" t="n"/>
      <c r="C100" s="8" t="n"/>
      <c r="D100" s="9">
        <f>IF(C100="","",IFERROR(VLOOKUP(C100,Lookup_Tables!$A$2:$B$44,2,FALSE),"Unknown"))</f>
        <v/>
      </c>
      <c r="E100" s="8" t="n"/>
      <c r="F100" s="8" t="n"/>
      <c r="G100" s="8" t="n"/>
      <c r="H100" s="8" t="n"/>
      <c r="I100" s="8" t="n"/>
      <c r="J100" s="8" t="n"/>
      <c r="K100" s="9">
        <f>IF(J100="","",IF(E100="Critical",J100+90,IF(E100="High",J100+90,IF(E100="Medium",J100+180,J100+180))))</f>
        <v/>
      </c>
      <c r="L100" s="9">
        <f>IF(H100="✅ Defined","✅ Compliant",IF(H100="➖ N/A","➖ Excluded","❌ Non-Compliant"))</f>
        <v/>
      </c>
      <c r="M100" s="8" t="n"/>
    </row>
    <row r="101">
      <c r="A101" s="8" t="n"/>
      <c r="B101" s="8" t="n"/>
      <c r="C101" s="8" t="n"/>
      <c r="D101" s="9">
        <f>IF(C101="","",IFERROR(VLOOKUP(C101,Lookup_Tables!$A$2:$B$44,2,FALSE),"Unknown"))</f>
        <v/>
      </c>
      <c r="E101" s="8" t="n"/>
      <c r="F101" s="8" t="n"/>
      <c r="G101" s="8" t="n"/>
      <c r="H101" s="8" t="n"/>
      <c r="I101" s="8" t="n"/>
      <c r="J101" s="8" t="n"/>
      <c r="K101" s="9">
        <f>IF(J101="","",IF(E101="Critical",J101+90,IF(E101="High",J101+90,IF(E101="Medium",J101+180,J101+180))))</f>
        <v/>
      </c>
      <c r="L101" s="9">
        <f>IF(H101="✅ Defined","✅ Compliant",IF(H101="➖ N/A","➖ Excluded","❌ Non-Compliant"))</f>
        <v/>
      </c>
      <c r="M101" s="8" t="n"/>
    </row>
    <row r="102">
      <c r="A102" s="8" t="n"/>
      <c r="B102" s="8" t="n"/>
      <c r="C102" s="8" t="n"/>
      <c r="D102" s="9">
        <f>IF(C102="","",IFERROR(VLOOKUP(C102,Lookup_Tables!$A$2:$B$44,2,FALSE),"Unknown"))</f>
        <v/>
      </c>
      <c r="E102" s="8" t="n"/>
      <c r="F102" s="8" t="n"/>
      <c r="G102" s="8" t="n"/>
      <c r="H102" s="8" t="n"/>
      <c r="I102" s="8" t="n"/>
      <c r="J102" s="8" t="n"/>
      <c r="K102" s="9">
        <f>IF(J102="","",IF(E102="Critical",J102+90,IF(E102="High",J102+90,IF(E102="Medium",J102+180,J102+180))))</f>
        <v/>
      </c>
      <c r="L102" s="9">
        <f>IF(H102="✅ Defined","✅ Compliant",IF(H102="➖ N/A","➖ Excluded","❌ Non-Compliant"))</f>
        <v/>
      </c>
      <c r="M102" s="8" t="n"/>
    </row>
  </sheetData>
  <mergeCells count="1">
    <mergeCell ref="A1:M1"/>
  </mergeCells>
  <conditionalFormatting sqref="H3:H102">
    <cfRule type="cellIs" priority="1" operator="equal" dxfId="0">
      <formula>"Defined"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"N/A"</formula>
    </cfRule>
  </conditionalFormatting>
  <conditionalFormatting sqref="L3:L102">
    <cfRule type="cellIs" priority="5" operator="containsText" dxfId="4">
      <formula>"Compliant"</formula>
    </cfRule>
    <cfRule type="cellIs" priority="6" operator="containsText" dxfId="5">
      <formula>"Non-Compliant"</formula>
    </cfRule>
  </conditionalFormatting>
  <dataValidations count="3">
    <dataValidation sqref="C3:C102" showDropDown="0" showInputMessage="0" showErrorMessage="0" allowBlank="0" errorTitle="Invalid Asset Type" error="Please select a valid asset type" type="list">
      <formula1>=Lookup_Tables!$A$2:$A$44</formula1>
    </dataValidation>
    <dataValidation sqref="E3:E102" showDropDown="0" showInputMessage="0" showErrorMessage="0" allowBlank="0" errorTitle="Invalid Entry" error="Invalid entry" promptTitle="Selection Required" prompt="Please select from the dropdown" type="list">
      <formula1>"🔴 Critical,🟡 High,🟢 Medium,⭕ Low"</formula1>
    </dataValidation>
    <dataValidation sqref="H3:H102" showDropDown="0" showInputMessage="0" showErrorMessage="0" allowBlank="0" errorTitle="Invalid Entry" error="Invalid entry" promptTitle="Selection Required" prompt="Please select from the dropdown" type="list">
      <formula1>"✅ Defined,⏳ In Progress,🔴 Not Started,➖ 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30" customWidth="1" min="4" max="4"/>
    <col width="50" customWidth="1" min="5" max="5"/>
    <col width="18" customWidth="1" min="6" max="6"/>
    <col width="20" customWidth="1" min="7" max="7"/>
    <col width="15" customWidth="1" min="8" max="8"/>
    <col width="15" customWidth="1" min="9" max="9"/>
    <col width="40" customWidth="1" min="10" max="10"/>
    <col width="12" customWidth="1" min="11" max="11"/>
    <col width="12" customWidth="1" min="12" max="12"/>
    <col width="40" customWidth="1" min="13" max="13"/>
  </cols>
  <sheetData>
    <row r="1" ht="30" customHeight="1">
      <c r="A1" s="7" t="inlineStr">
        <is>
          <t>Baseline Repository</t>
        </is>
      </c>
    </row>
    <row r="2" ht="30" customHeight="1">
      <c r="A2" s="6" t="inlineStr">
        <is>
          <t>Baseline ID</t>
        </is>
      </c>
      <c r="B2" s="6" t="inlineStr">
        <is>
          <t>Baseline Name</t>
        </is>
      </c>
      <c r="C2" s="6" t="inlineStr">
        <is>
          <t>Baseline Version</t>
        </is>
      </c>
      <c r="D2" s="6" t="inlineStr">
        <is>
          <t>Applicable Asset Types</t>
        </is>
      </c>
      <c r="E2" s="6" t="inlineStr">
        <is>
          <t>Description</t>
        </is>
      </c>
      <c r="F2" s="6" t="inlineStr">
        <is>
          <t>Approval Status</t>
        </is>
      </c>
      <c r="G2" s="6" t="inlineStr">
        <is>
          <t>Approved By</t>
        </is>
      </c>
      <c r="H2" s="6" t="inlineStr">
        <is>
          <t>Approval Date</t>
        </is>
      </c>
      <c r="I2" s="6" t="inlineStr">
        <is>
          <t>Last Updated</t>
        </is>
      </c>
      <c r="J2" s="6" t="inlineStr">
        <is>
          <t>Documentation Location</t>
        </is>
      </c>
      <c r="K2" s="6" t="inlineStr">
        <is>
          <t>Config Elements Count</t>
        </is>
      </c>
      <c r="L2" s="6" t="inlineStr">
        <is>
          <t>Applied to Assets Count</t>
        </is>
      </c>
      <c r="M2" s="6" t="inlineStr">
        <is>
          <t>Notes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9">
        <f>COUNTIF(Asset_Inventory!$I$3:$I$102,A3)</f>
        <v/>
      </c>
      <c r="M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9">
        <f>COUNTIF(Asset_Inventory!$I$3:$I$102,A4)</f>
        <v/>
      </c>
      <c r="M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9">
        <f>COUNTIF(Asset_Inventory!$I$3:$I$102,A5)</f>
        <v/>
      </c>
      <c r="M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9">
        <f>COUNTIF(Asset_Inventory!$I$3:$I$102,A6)</f>
        <v/>
      </c>
      <c r="M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9">
        <f>COUNTIF(Asset_Inventory!$I$3:$I$102,A7)</f>
        <v/>
      </c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9">
        <f>COUNTIF(Asset_Inventory!$I$3:$I$102,A8)</f>
        <v/>
      </c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9">
        <f>COUNTIF(Asset_Inventory!$I$3:$I$102,A9)</f>
        <v/>
      </c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>
        <f>COUNTIF(Asset_Inventory!$I$3:$I$102,A10)</f>
        <v/>
      </c>
      <c r="M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9">
        <f>COUNTIF(Asset_Inventory!$I$3:$I$102,A11)</f>
        <v/>
      </c>
      <c r="M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9">
        <f>COUNTIF(Asset_Inventory!$I$3:$I$102,A12)</f>
        <v/>
      </c>
      <c r="M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9">
        <f>COUNTIF(Asset_Inventory!$I$3:$I$102,A13)</f>
        <v/>
      </c>
      <c r="M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9">
        <f>COUNTIF(Asset_Inventory!$I$3:$I$102,A14)</f>
        <v/>
      </c>
      <c r="M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9">
        <f>COUNTIF(Asset_Inventory!$I$3:$I$102,A15)</f>
        <v/>
      </c>
      <c r="M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9">
        <f>COUNTIF(Asset_Inventory!$I$3:$I$102,A16)</f>
        <v/>
      </c>
      <c r="M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9">
        <f>COUNTIF(Asset_Inventory!$I$3:$I$102,A17)</f>
        <v/>
      </c>
      <c r="M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9">
        <f>COUNTIF(Asset_Inventory!$I$3:$I$102,A18)</f>
        <v/>
      </c>
      <c r="M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9">
        <f>COUNTIF(Asset_Inventory!$I$3:$I$102,A19)</f>
        <v/>
      </c>
      <c r="M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>
        <f>COUNTIF(Asset_Inventory!$I$3:$I$102,A20)</f>
        <v/>
      </c>
      <c r="M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9">
        <f>COUNTIF(Asset_Inventory!$I$3:$I$102,A21)</f>
        <v/>
      </c>
      <c r="M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9">
        <f>COUNTIF(Asset_Inventory!$I$3:$I$102,A22)</f>
        <v/>
      </c>
      <c r="M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9">
        <f>COUNTIF(Asset_Inventory!$I$3:$I$102,A23)</f>
        <v/>
      </c>
      <c r="M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9">
        <f>COUNTIF(Asset_Inventory!$I$3:$I$102,A24)</f>
        <v/>
      </c>
      <c r="M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9">
        <f>COUNTIF(Asset_Inventory!$I$3:$I$102,A25)</f>
        <v/>
      </c>
      <c r="M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9">
        <f>COUNTIF(Asset_Inventory!$I$3:$I$102,A26)</f>
        <v/>
      </c>
      <c r="M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9">
        <f>COUNTIF(Asset_Inventory!$I$3:$I$102,A27)</f>
        <v/>
      </c>
      <c r="M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9">
        <f>COUNTIF(Asset_Inventory!$I$3:$I$102,A28)</f>
        <v/>
      </c>
      <c r="M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9">
        <f>COUNTIF(Asset_Inventory!$I$3:$I$102,A29)</f>
        <v/>
      </c>
      <c r="M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9">
        <f>COUNTIF(Asset_Inventory!$I$3:$I$102,A30)</f>
        <v/>
      </c>
      <c r="M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9">
        <f>COUNTIF(Asset_Inventory!$I$3:$I$102,A31)</f>
        <v/>
      </c>
      <c r="M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9">
        <f>COUNTIF(Asset_Inventory!$I$3:$I$102,A32)</f>
        <v/>
      </c>
      <c r="M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9">
        <f>COUNTIF(Asset_Inventory!$I$3:$I$102,A33)</f>
        <v/>
      </c>
      <c r="M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9">
        <f>COUNTIF(Asset_Inventory!$I$3:$I$102,A34)</f>
        <v/>
      </c>
      <c r="M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9">
        <f>COUNTIF(Asset_Inventory!$I$3:$I$102,A35)</f>
        <v/>
      </c>
      <c r="M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9">
        <f>COUNTIF(Asset_Inventory!$I$3:$I$102,A36)</f>
        <v/>
      </c>
      <c r="M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9">
        <f>COUNTIF(Asset_Inventory!$I$3:$I$102,A37)</f>
        <v/>
      </c>
      <c r="M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9">
        <f>COUNTIF(Asset_Inventory!$I$3:$I$102,A38)</f>
        <v/>
      </c>
      <c r="M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9">
        <f>COUNTIF(Asset_Inventory!$I$3:$I$102,A39)</f>
        <v/>
      </c>
      <c r="M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9">
        <f>COUNTIF(Asset_Inventory!$I$3:$I$102,A40)</f>
        <v/>
      </c>
      <c r="M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9">
        <f>COUNTIF(Asset_Inventory!$I$3:$I$102,A41)</f>
        <v/>
      </c>
      <c r="M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9">
        <f>COUNTIF(Asset_Inventory!$I$3:$I$102,A42)</f>
        <v/>
      </c>
      <c r="M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9">
        <f>COUNTIF(Asset_Inventory!$I$3:$I$102,A43)</f>
        <v/>
      </c>
      <c r="M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9">
        <f>COUNTIF(Asset_Inventory!$I$3:$I$102,A44)</f>
        <v/>
      </c>
      <c r="M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9">
        <f>COUNTIF(Asset_Inventory!$I$3:$I$102,A45)</f>
        <v/>
      </c>
      <c r="M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9">
        <f>COUNTIF(Asset_Inventory!$I$3:$I$102,A46)</f>
        <v/>
      </c>
      <c r="M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9">
        <f>COUNTIF(Asset_Inventory!$I$3:$I$102,A47)</f>
        <v/>
      </c>
      <c r="M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9">
        <f>COUNTIF(Asset_Inventory!$I$3:$I$102,A48)</f>
        <v/>
      </c>
      <c r="M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9">
        <f>COUNTIF(Asset_Inventory!$I$3:$I$102,A49)</f>
        <v/>
      </c>
      <c r="M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9">
        <f>COUNTIF(Asset_Inventory!$I$3:$I$102,A50)</f>
        <v/>
      </c>
      <c r="M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9">
        <f>COUNTIF(Asset_Inventory!$I$3:$I$102,A51)</f>
        <v/>
      </c>
      <c r="M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9">
        <f>COUNTIF(Asset_Inventory!$I$3:$I$102,A52)</f>
        <v/>
      </c>
      <c r="M52" s="8" t="n"/>
    </row>
  </sheetData>
  <mergeCells count="1">
    <mergeCell ref="A1:M1"/>
  </mergeCells>
  <conditionalFormatting sqref="F3:F52">
    <cfRule type="cellIs" priority="1" operator="equal" dxfId="0">
      <formula>"Approved"</formula>
    </cfRule>
    <cfRule type="cellIs" priority="2" operator="equal" dxfId="1">
      <formula>"Pending Review"</formula>
    </cfRule>
    <cfRule type="cellIs" priority="3" operator="equal" dxfId="2">
      <formula>"Rejected"</formula>
    </cfRule>
  </conditionalFormatting>
  <dataValidations count="1">
    <dataValidation sqref="F3:F52" showDropDown="0" showInputMessage="0" showErrorMessage="0" allowBlank="0" errorTitle="Invalid Entry" error="Invalid entry" promptTitle="Selection Required" prompt="Please select from the dropdown" type="list">
      <formula1>"✅ Approved,🔍 Pending Review,❌ Rejected,📝 Draft"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40" customWidth="1" min="12" max="12"/>
  </cols>
  <sheetData>
    <row r="1" ht="30" customHeight="1">
      <c r="A1" s="7" t="inlineStr">
        <is>
          <t>Baseline Coverage Matrix by Asset Type</t>
        </is>
      </c>
    </row>
    <row r="2" ht="30" customHeight="1">
      <c r="A2" s="6" t="inlineStr">
        <is>
          <t>Asset Type</t>
        </is>
      </c>
      <c r="B2" s="6" t="inlineStr">
        <is>
          <t>Asset Category</t>
        </is>
      </c>
      <c r="C2" s="6" t="inlineStr">
        <is>
          <t>Total Assets</t>
        </is>
      </c>
      <c r="D2" s="6" t="inlineStr">
        <is>
          <t>Assets with Baselines</t>
        </is>
      </c>
      <c r="E2" s="6" t="inlineStr">
        <is>
          <t>Assets In Progress</t>
        </is>
      </c>
      <c r="F2" s="6" t="inlineStr">
        <is>
          <t>Assets Not Started</t>
        </is>
      </c>
      <c r="G2" s="6" t="inlineStr">
        <is>
          <t>Assets N/A</t>
        </is>
      </c>
      <c r="H2" s="6" t="inlineStr">
        <is>
          <t>Coverage %</t>
        </is>
      </c>
      <c r="I2" s="6" t="inlineStr">
        <is>
          <t>Critical Assets Count</t>
        </is>
      </c>
      <c r="J2" s="6" t="inlineStr">
        <is>
          <t>Critical Coverage %</t>
        </is>
      </c>
      <c r="K2" s="6" t="inlineStr">
        <is>
          <t>Status</t>
        </is>
      </c>
      <c r="L2" s="6" t="inlineStr">
        <is>
          <t>Gap Analysis</t>
        </is>
      </c>
    </row>
    <row r="3">
      <c r="A3" s="9" t="inlineStr">
        <is>
          <t>Physical Server</t>
        </is>
      </c>
      <c r="B3" s="9" t="inlineStr">
        <is>
          <t>Infrastructure</t>
        </is>
      </c>
      <c r="C3" s="9">
        <f>COUNTIF(Asset_Inventory!$C$3:$C$102,A3)</f>
        <v/>
      </c>
      <c r="D3" s="9">
        <f>COUNTIFS(Asset_Inventory!$C$3:$C$102,A3,Asset_Inventory!$H$3:$H$102,"✅ Defined")</f>
        <v/>
      </c>
      <c r="E3" s="9">
        <f>COUNTIFS(Asset_Inventory!$C$3:$C$102,A3,Asset_Inventory!$H$3:$H$102,"⏳ In Progress")</f>
        <v/>
      </c>
      <c r="F3" s="9">
        <f>COUNTIFS(Asset_Inventory!$C$3:$C$102,A3,Asset_Inventory!$H$3:$H$102,"🔴 Not Started")</f>
        <v/>
      </c>
      <c r="G3" s="9">
        <f>COUNTIFS(Asset_Inventory!$C$3:$C$102,A3,Asset_Inventory!$H$3:$H$102,"➖ N/A")</f>
        <v/>
      </c>
      <c r="H3" s="10">
        <f>IF((C3-G3)=0,0,D3/(C3-G3)*100)</f>
        <v/>
      </c>
      <c r="I3" s="9">
        <f>COUNTIFS(Asset_Inventory!$C$3:$C$102,A3,Asset_Inventory!$E$3:$E$102,"🔴 Critical")</f>
        <v/>
      </c>
      <c r="J3" s="10">
        <f>IF(I3=0,0,COUNTIFS(Asset_Inventory!$C$3:$C$102,A3,Asset_Inventory!$E$3:$E$102,"🔴 Critical",Asset_Inventory!$H$3:$H$102,"✅ Defined")/I3*100)</f>
        <v/>
      </c>
      <c r="K3" s="9">
        <f>IF(H3&gt;=90,"✅ Compliant",IF(H3&gt;=60,"⚠️ Partial","❌ Non-Compliant"))</f>
        <v/>
      </c>
      <c r="L3" s="9">
        <f>IF(ISNUMBER(SEARCH("Compliant",K3)),"✅ Coverage target met",IF(F3&gt;0,F3&amp;" assets need baselines started","⏳ Review in-progress baselines"))</f>
        <v/>
      </c>
    </row>
    <row r="4">
      <c r="A4" s="9" t="inlineStr">
        <is>
          <t>Virtual Machine (VM)</t>
        </is>
      </c>
      <c r="B4" s="9" t="inlineStr">
        <is>
          <t>Infrastructure</t>
        </is>
      </c>
      <c r="C4" s="9">
        <f>COUNTIF(Asset_Inventory!$C$3:$C$102,A4)</f>
        <v/>
      </c>
      <c r="D4" s="9">
        <f>COUNTIFS(Asset_Inventory!$C$3:$C$102,A4,Asset_Inventory!$H$3:$H$102,"✅ Defined")</f>
        <v/>
      </c>
      <c r="E4" s="9">
        <f>COUNTIFS(Asset_Inventory!$C$3:$C$102,A4,Asset_Inventory!$H$3:$H$102,"⏳ In Progress")</f>
        <v/>
      </c>
      <c r="F4" s="9">
        <f>COUNTIFS(Asset_Inventory!$C$3:$C$102,A4,Asset_Inventory!$H$3:$H$102,"🔴 Not Started")</f>
        <v/>
      </c>
      <c r="G4" s="9">
        <f>COUNTIFS(Asset_Inventory!$C$3:$C$102,A4,Asset_Inventory!$H$3:$H$102,"➖ N/A")</f>
        <v/>
      </c>
      <c r="H4" s="10">
        <f>IF((C4-G4)=0,0,D4/(C4-G4)*100)</f>
        <v/>
      </c>
      <c r="I4" s="9">
        <f>COUNTIFS(Asset_Inventory!$C$3:$C$102,A4,Asset_Inventory!$E$3:$E$102,"🔴 Critical")</f>
        <v/>
      </c>
      <c r="J4" s="10">
        <f>IF(I4=0,0,COUNTIFS(Asset_Inventory!$C$3:$C$102,A4,Asset_Inventory!$E$3:$E$102,"🔴 Critical",Asset_Inventory!$H$3:$H$102,"✅ Defined")/I4*100)</f>
        <v/>
      </c>
      <c r="K4" s="9">
        <f>IF(H4&gt;=90,"✅ Compliant",IF(H4&gt;=60,"⚠️ Partial","❌ Non-Compliant"))</f>
        <v/>
      </c>
      <c r="L4" s="9">
        <f>IF(ISNUMBER(SEARCH("Compliant",K4)),"✅ Coverage target met",IF(F4&gt;0,F4&amp;" assets need baselines started","⏳ Review in-progress baselines"))</f>
        <v/>
      </c>
    </row>
    <row r="5">
      <c r="A5" s="9" t="inlineStr">
        <is>
          <t>Hypervisor</t>
        </is>
      </c>
      <c r="B5" s="9" t="inlineStr">
        <is>
          <t>Infrastructure</t>
        </is>
      </c>
      <c r="C5" s="9">
        <f>COUNTIF(Asset_Inventory!$C$3:$C$102,A5)</f>
        <v/>
      </c>
      <c r="D5" s="9">
        <f>COUNTIFS(Asset_Inventory!$C$3:$C$102,A5,Asset_Inventory!$H$3:$H$102,"✅ Defined")</f>
        <v/>
      </c>
      <c r="E5" s="9">
        <f>COUNTIFS(Asset_Inventory!$C$3:$C$102,A5,Asset_Inventory!$H$3:$H$102,"⏳ In Progress")</f>
        <v/>
      </c>
      <c r="F5" s="9">
        <f>COUNTIFS(Asset_Inventory!$C$3:$C$102,A5,Asset_Inventory!$H$3:$H$102,"🔴 Not Started")</f>
        <v/>
      </c>
      <c r="G5" s="9">
        <f>COUNTIFS(Asset_Inventory!$C$3:$C$102,A5,Asset_Inventory!$H$3:$H$102,"➖ N/A")</f>
        <v/>
      </c>
      <c r="H5" s="10">
        <f>IF((C5-G5)=0,0,D5/(C5-G5)*100)</f>
        <v/>
      </c>
      <c r="I5" s="9">
        <f>COUNTIFS(Asset_Inventory!$C$3:$C$102,A5,Asset_Inventory!$E$3:$E$102,"🔴 Critical")</f>
        <v/>
      </c>
      <c r="J5" s="10">
        <f>IF(I5=0,0,COUNTIFS(Asset_Inventory!$C$3:$C$102,A5,Asset_Inventory!$E$3:$E$102,"🔴 Critical",Asset_Inventory!$H$3:$H$102,"✅ Defined")/I5*100)</f>
        <v/>
      </c>
      <c r="K5" s="9">
        <f>IF(H5&gt;=90,"✅ Compliant",IF(H5&gt;=60,"⚠️ Partial","❌ Non-Compliant"))</f>
        <v/>
      </c>
      <c r="L5" s="9">
        <f>IF(ISNUMBER(SEARCH("Compliant",K5)),"✅ Coverage target met",IF(F5&gt;0,F5&amp;" assets need baselines started","⏳ Review in-progress baselines"))</f>
        <v/>
      </c>
    </row>
    <row r="6">
      <c r="A6" s="9" t="inlineStr">
        <is>
          <t>Network Switch</t>
        </is>
      </c>
      <c r="B6" s="9" t="inlineStr">
        <is>
          <t>Infrastructure</t>
        </is>
      </c>
      <c r="C6" s="9">
        <f>COUNTIF(Asset_Inventory!$C$3:$C$102,A6)</f>
        <v/>
      </c>
      <c r="D6" s="9">
        <f>COUNTIFS(Asset_Inventory!$C$3:$C$102,A6,Asset_Inventory!$H$3:$H$102,"✅ Defined")</f>
        <v/>
      </c>
      <c r="E6" s="9">
        <f>COUNTIFS(Asset_Inventory!$C$3:$C$102,A6,Asset_Inventory!$H$3:$H$102,"⏳ In Progress")</f>
        <v/>
      </c>
      <c r="F6" s="9">
        <f>COUNTIFS(Asset_Inventory!$C$3:$C$102,A6,Asset_Inventory!$H$3:$H$102,"🔴 Not Started")</f>
        <v/>
      </c>
      <c r="G6" s="9">
        <f>COUNTIFS(Asset_Inventory!$C$3:$C$102,A6,Asset_Inventory!$H$3:$H$102,"➖ N/A")</f>
        <v/>
      </c>
      <c r="H6" s="10">
        <f>IF((C6-G6)=0,0,D6/(C6-G6)*100)</f>
        <v/>
      </c>
      <c r="I6" s="9">
        <f>COUNTIFS(Asset_Inventory!$C$3:$C$102,A6,Asset_Inventory!$E$3:$E$102,"🔴 Critical")</f>
        <v/>
      </c>
      <c r="J6" s="10">
        <f>IF(I6=0,0,COUNTIFS(Asset_Inventory!$C$3:$C$102,A6,Asset_Inventory!$E$3:$E$102,"🔴 Critical",Asset_Inventory!$H$3:$H$102,"✅ Defined")/I6*100)</f>
        <v/>
      </c>
      <c r="K6" s="9">
        <f>IF(H6&gt;=90,"✅ Compliant",IF(H6&gt;=60,"⚠️ Partial","❌ Non-Compliant"))</f>
        <v/>
      </c>
      <c r="L6" s="9">
        <f>IF(ISNUMBER(SEARCH("Compliant",K6)),"✅ Coverage target met",IF(F6&gt;0,F6&amp;" assets need baselines started","⏳ Review in-progress baselines"))</f>
        <v/>
      </c>
    </row>
    <row r="7">
      <c r="A7" s="9" t="inlineStr">
        <is>
          <t>Network Router</t>
        </is>
      </c>
      <c r="B7" s="9" t="inlineStr">
        <is>
          <t>Infrastructure</t>
        </is>
      </c>
      <c r="C7" s="9">
        <f>COUNTIF(Asset_Inventory!$C$3:$C$102,A7)</f>
        <v/>
      </c>
      <c r="D7" s="9">
        <f>COUNTIFS(Asset_Inventory!$C$3:$C$102,A7,Asset_Inventory!$H$3:$H$102,"✅ Defined")</f>
        <v/>
      </c>
      <c r="E7" s="9">
        <f>COUNTIFS(Asset_Inventory!$C$3:$C$102,A7,Asset_Inventory!$H$3:$H$102,"⏳ In Progress")</f>
        <v/>
      </c>
      <c r="F7" s="9">
        <f>COUNTIFS(Asset_Inventory!$C$3:$C$102,A7,Asset_Inventory!$H$3:$H$102,"🔴 Not Started")</f>
        <v/>
      </c>
      <c r="G7" s="9">
        <f>COUNTIFS(Asset_Inventory!$C$3:$C$102,A7,Asset_Inventory!$H$3:$H$102,"➖ N/A")</f>
        <v/>
      </c>
      <c r="H7" s="10">
        <f>IF((C7-G7)=0,0,D7/(C7-G7)*100)</f>
        <v/>
      </c>
      <c r="I7" s="9">
        <f>COUNTIFS(Asset_Inventory!$C$3:$C$102,A7,Asset_Inventory!$E$3:$E$102,"🔴 Critical")</f>
        <v/>
      </c>
      <c r="J7" s="10">
        <f>IF(I7=0,0,COUNTIFS(Asset_Inventory!$C$3:$C$102,A7,Asset_Inventory!$E$3:$E$102,"🔴 Critical",Asset_Inventory!$H$3:$H$102,"✅ Defined")/I7*100)</f>
        <v/>
      </c>
      <c r="K7" s="9">
        <f>IF(H7&gt;=90,"✅ Compliant",IF(H7&gt;=60,"⚠️ Partial","❌ Non-Compliant"))</f>
        <v/>
      </c>
      <c r="L7" s="9">
        <f>IF(ISNUMBER(SEARCH("Compliant",K7)),"✅ Coverage target met",IF(F7&gt;0,F7&amp;" assets need baselines started","⏳ Review in-progress baselines"))</f>
        <v/>
      </c>
    </row>
    <row r="8">
      <c r="A8" s="9" t="inlineStr">
        <is>
          <t>Firewall</t>
        </is>
      </c>
      <c r="B8" s="9" t="inlineStr">
        <is>
          <t>Infrastructure</t>
        </is>
      </c>
      <c r="C8" s="9">
        <f>COUNTIF(Asset_Inventory!$C$3:$C$102,A8)</f>
        <v/>
      </c>
      <c r="D8" s="9">
        <f>COUNTIFS(Asset_Inventory!$C$3:$C$102,A8,Asset_Inventory!$H$3:$H$102,"✅ Defined")</f>
        <v/>
      </c>
      <c r="E8" s="9">
        <f>COUNTIFS(Asset_Inventory!$C$3:$C$102,A8,Asset_Inventory!$H$3:$H$102,"⏳ In Progress")</f>
        <v/>
      </c>
      <c r="F8" s="9">
        <f>COUNTIFS(Asset_Inventory!$C$3:$C$102,A8,Asset_Inventory!$H$3:$H$102,"🔴 Not Started")</f>
        <v/>
      </c>
      <c r="G8" s="9">
        <f>COUNTIFS(Asset_Inventory!$C$3:$C$102,A8,Asset_Inventory!$H$3:$H$102,"➖ N/A")</f>
        <v/>
      </c>
      <c r="H8" s="10">
        <f>IF((C8-G8)=0,0,D8/(C8-G8)*100)</f>
        <v/>
      </c>
      <c r="I8" s="9">
        <f>COUNTIFS(Asset_Inventory!$C$3:$C$102,A8,Asset_Inventory!$E$3:$E$102,"🔴 Critical")</f>
        <v/>
      </c>
      <c r="J8" s="10">
        <f>IF(I8=0,0,COUNTIFS(Asset_Inventory!$C$3:$C$102,A8,Asset_Inventory!$E$3:$E$102,"🔴 Critical",Asset_Inventory!$H$3:$H$102,"✅ Defined")/I8*100)</f>
        <v/>
      </c>
      <c r="K8" s="9">
        <f>IF(H8&gt;=90,"✅ Compliant",IF(H8&gt;=60,"⚠️ Partial","❌ Non-Compliant"))</f>
        <v/>
      </c>
      <c r="L8" s="9">
        <f>IF(ISNUMBER(SEARCH("Compliant",K8)),"✅ Coverage target met",IF(F8&gt;0,F8&amp;" assets need baselines started","⏳ Review in-progress baselines"))</f>
        <v/>
      </c>
    </row>
    <row r="9">
      <c r="A9" s="9" t="inlineStr">
        <is>
          <t>Load Balancer</t>
        </is>
      </c>
      <c r="B9" s="9" t="inlineStr">
        <is>
          <t>Infrastructure</t>
        </is>
      </c>
      <c r="C9" s="9">
        <f>COUNTIF(Asset_Inventory!$C$3:$C$102,A9)</f>
        <v/>
      </c>
      <c r="D9" s="9">
        <f>COUNTIFS(Asset_Inventory!$C$3:$C$102,A9,Asset_Inventory!$H$3:$H$102,"✅ Defined")</f>
        <v/>
      </c>
      <c r="E9" s="9">
        <f>COUNTIFS(Asset_Inventory!$C$3:$C$102,A9,Asset_Inventory!$H$3:$H$102,"⏳ In Progress")</f>
        <v/>
      </c>
      <c r="F9" s="9">
        <f>COUNTIFS(Asset_Inventory!$C$3:$C$102,A9,Asset_Inventory!$H$3:$H$102,"🔴 Not Started")</f>
        <v/>
      </c>
      <c r="G9" s="9">
        <f>COUNTIFS(Asset_Inventory!$C$3:$C$102,A9,Asset_Inventory!$H$3:$H$102,"➖ N/A")</f>
        <v/>
      </c>
      <c r="H9" s="10">
        <f>IF((C9-G9)=0,0,D9/(C9-G9)*100)</f>
        <v/>
      </c>
      <c r="I9" s="9">
        <f>COUNTIFS(Asset_Inventory!$C$3:$C$102,A9,Asset_Inventory!$E$3:$E$102,"🔴 Critical")</f>
        <v/>
      </c>
      <c r="J9" s="10">
        <f>IF(I9=0,0,COUNTIFS(Asset_Inventory!$C$3:$C$102,A9,Asset_Inventory!$E$3:$E$102,"🔴 Critical",Asset_Inventory!$H$3:$H$102,"✅ Defined")/I9*100)</f>
        <v/>
      </c>
      <c r="K9" s="9">
        <f>IF(H9&gt;=90,"✅ Compliant",IF(H9&gt;=60,"⚠️ Partial","❌ Non-Compliant"))</f>
        <v/>
      </c>
      <c r="L9" s="9">
        <f>IF(ISNUMBER(SEARCH("Compliant",K9)),"✅ Coverage target met",IF(F9&gt;0,F9&amp;" assets need baselines started","⏳ Review in-progress baselines"))</f>
        <v/>
      </c>
    </row>
    <row r="10">
      <c r="A10" s="9" t="inlineStr">
        <is>
          <t>Storage Array (SAN/NAS)</t>
        </is>
      </c>
      <c r="B10" s="9" t="inlineStr">
        <is>
          <t>Infrastructure</t>
        </is>
      </c>
      <c r="C10" s="9">
        <f>COUNTIF(Asset_Inventory!$C$3:$C$102,A10)</f>
        <v/>
      </c>
      <c r="D10" s="9">
        <f>COUNTIFS(Asset_Inventory!$C$3:$C$102,A10,Asset_Inventory!$H$3:$H$102,"✅ Defined")</f>
        <v/>
      </c>
      <c r="E10" s="9">
        <f>COUNTIFS(Asset_Inventory!$C$3:$C$102,A10,Asset_Inventory!$H$3:$H$102,"⏳ In Progress")</f>
        <v/>
      </c>
      <c r="F10" s="9">
        <f>COUNTIFS(Asset_Inventory!$C$3:$C$102,A10,Asset_Inventory!$H$3:$H$102,"🔴 Not Started")</f>
        <v/>
      </c>
      <c r="G10" s="9">
        <f>COUNTIFS(Asset_Inventory!$C$3:$C$102,A10,Asset_Inventory!$H$3:$H$102,"➖ N/A")</f>
        <v/>
      </c>
      <c r="H10" s="10">
        <f>IF((C10-G10)=0,0,D10/(C10-G10)*100)</f>
        <v/>
      </c>
      <c r="I10" s="9">
        <f>COUNTIFS(Asset_Inventory!$C$3:$C$102,A10,Asset_Inventory!$E$3:$E$102,"🔴 Critical")</f>
        <v/>
      </c>
      <c r="J10" s="10">
        <f>IF(I10=0,0,COUNTIFS(Asset_Inventory!$C$3:$C$102,A10,Asset_Inventory!$E$3:$E$102,"🔴 Critical",Asset_Inventory!$H$3:$H$102,"✅ Defined")/I10*100)</f>
        <v/>
      </c>
      <c r="K10" s="9">
        <f>IF(H10&gt;=90,"✅ Compliant",IF(H10&gt;=60,"⚠️ Partial","❌ Non-Compliant"))</f>
        <v/>
      </c>
      <c r="L10" s="9">
        <f>IF(ISNUMBER(SEARCH("Compliant",K10)),"✅ Coverage target met",IF(F10&gt;0,F10&amp;" assets need baselines started","⏳ Review in-progress baselines"))</f>
        <v/>
      </c>
    </row>
    <row r="11">
      <c r="A11" s="9" t="inlineStr">
        <is>
          <t>Backup Appliance</t>
        </is>
      </c>
      <c r="B11" s="9" t="inlineStr">
        <is>
          <t>Infrastructure</t>
        </is>
      </c>
      <c r="C11" s="9">
        <f>COUNTIF(Asset_Inventory!$C$3:$C$102,A11)</f>
        <v/>
      </c>
      <c r="D11" s="9">
        <f>COUNTIFS(Asset_Inventory!$C$3:$C$102,A11,Asset_Inventory!$H$3:$H$102,"✅ Defined")</f>
        <v/>
      </c>
      <c r="E11" s="9">
        <f>COUNTIFS(Asset_Inventory!$C$3:$C$102,A11,Asset_Inventory!$H$3:$H$102,"⏳ In Progress")</f>
        <v/>
      </c>
      <c r="F11" s="9">
        <f>COUNTIFS(Asset_Inventory!$C$3:$C$102,A11,Asset_Inventory!$H$3:$H$102,"🔴 Not Started")</f>
        <v/>
      </c>
      <c r="G11" s="9">
        <f>COUNTIFS(Asset_Inventory!$C$3:$C$102,A11,Asset_Inventory!$H$3:$H$102,"➖ N/A")</f>
        <v/>
      </c>
      <c r="H11" s="10">
        <f>IF((C11-G11)=0,0,D11/(C11-G11)*100)</f>
        <v/>
      </c>
      <c r="I11" s="9">
        <f>COUNTIFS(Asset_Inventory!$C$3:$C$102,A11,Asset_Inventory!$E$3:$E$102,"🔴 Critical")</f>
        <v/>
      </c>
      <c r="J11" s="10">
        <f>IF(I11=0,0,COUNTIFS(Asset_Inventory!$C$3:$C$102,A11,Asset_Inventory!$E$3:$E$102,"🔴 Critical",Asset_Inventory!$H$3:$H$102,"✅ Defined")/I11*100)</f>
        <v/>
      </c>
      <c r="K11" s="9">
        <f>IF(H11&gt;=90,"✅ Compliant",IF(H11&gt;=60,"⚠️ Partial","❌ Non-Compliant"))</f>
        <v/>
      </c>
      <c r="L11" s="9">
        <f>IF(ISNUMBER(SEARCH("Compliant",K11)),"✅ Coverage target met",IF(F11&gt;0,F11&amp;" assets need baselines started","⏳ Review in-progress baselines"))</f>
        <v/>
      </c>
    </row>
    <row r="12">
      <c r="A12" s="9" t="inlineStr">
        <is>
          <t>UPS/Power Distribution</t>
        </is>
      </c>
      <c r="B12" s="9" t="inlineStr">
        <is>
          <t>Infrastructure</t>
        </is>
      </c>
      <c r="C12" s="9">
        <f>COUNTIF(Asset_Inventory!$C$3:$C$102,A12)</f>
        <v/>
      </c>
      <c r="D12" s="9">
        <f>COUNTIFS(Asset_Inventory!$C$3:$C$102,A12,Asset_Inventory!$H$3:$H$102,"✅ Defined")</f>
        <v/>
      </c>
      <c r="E12" s="9">
        <f>COUNTIFS(Asset_Inventory!$C$3:$C$102,A12,Asset_Inventory!$H$3:$H$102,"⏳ In Progress")</f>
        <v/>
      </c>
      <c r="F12" s="9">
        <f>COUNTIFS(Asset_Inventory!$C$3:$C$102,A12,Asset_Inventory!$H$3:$H$102,"🔴 Not Started")</f>
        <v/>
      </c>
      <c r="G12" s="9">
        <f>COUNTIFS(Asset_Inventory!$C$3:$C$102,A12,Asset_Inventory!$H$3:$H$102,"➖ N/A")</f>
        <v/>
      </c>
      <c r="H12" s="10">
        <f>IF((C12-G12)=0,0,D12/(C12-G12)*100)</f>
        <v/>
      </c>
      <c r="I12" s="9">
        <f>COUNTIFS(Asset_Inventory!$C$3:$C$102,A12,Asset_Inventory!$E$3:$E$102,"🔴 Critical")</f>
        <v/>
      </c>
      <c r="J12" s="10">
        <f>IF(I12=0,0,COUNTIFS(Asset_Inventory!$C$3:$C$102,A12,Asset_Inventory!$E$3:$E$102,"🔴 Critical",Asset_Inventory!$H$3:$H$102,"✅ Defined")/I12*100)</f>
        <v/>
      </c>
      <c r="K12" s="9">
        <f>IF(H12&gt;=90,"✅ Compliant",IF(H12&gt;=60,"⚠️ Partial","❌ Non-Compliant"))</f>
        <v/>
      </c>
      <c r="L12" s="9">
        <f>IF(ISNUMBER(SEARCH("Compliant",K12)),"✅ Coverage target met",IF(F12&gt;0,F12&amp;" assets need baselines started","⏳ Review in-progress baselines"))</f>
        <v/>
      </c>
    </row>
    <row r="13">
      <c r="A13" s="9" t="inlineStr">
        <is>
          <t>Environmental Control (HVAC)</t>
        </is>
      </c>
      <c r="B13" s="9" t="inlineStr">
        <is>
          <t>Infrastructure</t>
        </is>
      </c>
      <c r="C13" s="9">
        <f>COUNTIF(Asset_Inventory!$C$3:$C$102,A13)</f>
        <v/>
      </c>
      <c r="D13" s="9">
        <f>COUNTIFS(Asset_Inventory!$C$3:$C$102,A13,Asset_Inventory!$H$3:$H$102,"✅ Defined")</f>
        <v/>
      </c>
      <c r="E13" s="9">
        <f>COUNTIFS(Asset_Inventory!$C$3:$C$102,A13,Asset_Inventory!$H$3:$H$102,"⏳ In Progress")</f>
        <v/>
      </c>
      <c r="F13" s="9">
        <f>COUNTIFS(Asset_Inventory!$C$3:$C$102,A13,Asset_Inventory!$H$3:$H$102,"🔴 Not Started")</f>
        <v/>
      </c>
      <c r="G13" s="9">
        <f>COUNTIFS(Asset_Inventory!$C$3:$C$102,A13,Asset_Inventory!$H$3:$H$102,"➖ N/A")</f>
        <v/>
      </c>
      <c r="H13" s="10">
        <f>IF((C13-G13)=0,0,D13/(C13-G13)*100)</f>
        <v/>
      </c>
      <c r="I13" s="9">
        <f>COUNTIFS(Asset_Inventory!$C$3:$C$102,A13,Asset_Inventory!$E$3:$E$102,"🔴 Critical")</f>
        <v/>
      </c>
      <c r="J13" s="10">
        <f>IF(I13=0,0,COUNTIFS(Asset_Inventory!$C$3:$C$102,A13,Asset_Inventory!$E$3:$E$102,"🔴 Critical",Asset_Inventory!$H$3:$H$102,"✅ Defined")/I13*100)</f>
        <v/>
      </c>
      <c r="K13" s="9">
        <f>IF(H13&gt;=90,"✅ Compliant",IF(H13&gt;=60,"⚠️ Partial","❌ Non-Compliant"))</f>
        <v/>
      </c>
      <c r="L13" s="9">
        <f>IF(ISNUMBER(SEARCH("Compliant",K13)),"✅ Coverage target met",IF(F13&gt;0,F13&amp;" assets need baselines started","⏳ Review in-progress baselines"))</f>
        <v/>
      </c>
    </row>
    <row r="14">
      <c r="A14" s="9" t="inlineStr">
        <is>
          <t>Physical Security System</t>
        </is>
      </c>
      <c r="B14" s="9" t="inlineStr">
        <is>
          <t>Infrastructure</t>
        </is>
      </c>
      <c r="C14" s="9">
        <f>COUNTIF(Asset_Inventory!$C$3:$C$102,A14)</f>
        <v/>
      </c>
      <c r="D14" s="9">
        <f>COUNTIFS(Asset_Inventory!$C$3:$C$102,A14,Asset_Inventory!$H$3:$H$102,"✅ Defined")</f>
        <v/>
      </c>
      <c r="E14" s="9">
        <f>COUNTIFS(Asset_Inventory!$C$3:$C$102,A14,Asset_Inventory!$H$3:$H$102,"⏳ In Progress")</f>
        <v/>
      </c>
      <c r="F14" s="9">
        <f>COUNTIFS(Asset_Inventory!$C$3:$C$102,A14,Asset_Inventory!$H$3:$H$102,"🔴 Not Started")</f>
        <v/>
      </c>
      <c r="G14" s="9">
        <f>COUNTIFS(Asset_Inventory!$C$3:$C$102,A14,Asset_Inventory!$H$3:$H$102,"➖ N/A")</f>
        <v/>
      </c>
      <c r="H14" s="10">
        <f>IF((C14-G14)=0,0,D14/(C14-G14)*100)</f>
        <v/>
      </c>
      <c r="I14" s="9">
        <f>COUNTIFS(Asset_Inventory!$C$3:$C$102,A14,Asset_Inventory!$E$3:$E$102,"🔴 Critical")</f>
        <v/>
      </c>
      <c r="J14" s="10">
        <f>IF(I14=0,0,COUNTIFS(Asset_Inventory!$C$3:$C$102,A14,Asset_Inventory!$E$3:$E$102,"🔴 Critical",Asset_Inventory!$H$3:$H$102,"✅ Defined")/I14*100)</f>
        <v/>
      </c>
      <c r="K14" s="9">
        <f>IF(H14&gt;=90,"✅ Compliant",IF(H14&gt;=60,"⚠️ Partial","❌ Non-Compliant"))</f>
        <v/>
      </c>
      <c r="L14" s="9">
        <f>IF(ISNUMBER(SEARCH("Compliant",K14)),"✅ Coverage target met",IF(F14&gt;0,F14&amp;" assets need baselines started","⏳ Review in-progress baselines"))</f>
        <v/>
      </c>
    </row>
    <row r="15">
      <c r="A15" s="9" t="inlineStr">
        <is>
          <t>Desktop Computer</t>
        </is>
      </c>
      <c r="B15" s="9" t="inlineStr">
        <is>
          <t>Endpoint</t>
        </is>
      </c>
      <c r="C15" s="9">
        <f>COUNTIF(Asset_Inventory!$C$3:$C$102,A15)</f>
        <v/>
      </c>
      <c r="D15" s="9">
        <f>COUNTIFS(Asset_Inventory!$C$3:$C$102,A15,Asset_Inventory!$H$3:$H$102,"✅ Defined")</f>
        <v/>
      </c>
      <c r="E15" s="9">
        <f>COUNTIFS(Asset_Inventory!$C$3:$C$102,A15,Asset_Inventory!$H$3:$H$102,"⏳ In Progress")</f>
        <v/>
      </c>
      <c r="F15" s="9">
        <f>COUNTIFS(Asset_Inventory!$C$3:$C$102,A15,Asset_Inventory!$H$3:$H$102,"🔴 Not Started")</f>
        <v/>
      </c>
      <c r="G15" s="9">
        <f>COUNTIFS(Asset_Inventory!$C$3:$C$102,A15,Asset_Inventory!$H$3:$H$102,"➖ N/A")</f>
        <v/>
      </c>
      <c r="H15" s="10">
        <f>IF((C15-G15)=0,0,D15/(C15-G15)*100)</f>
        <v/>
      </c>
      <c r="I15" s="9">
        <f>COUNTIFS(Asset_Inventory!$C$3:$C$102,A15,Asset_Inventory!$E$3:$E$102,"🔴 Critical")</f>
        <v/>
      </c>
      <c r="J15" s="10">
        <f>IF(I15=0,0,COUNTIFS(Asset_Inventory!$C$3:$C$102,A15,Asset_Inventory!$E$3:$E$102,"🔴 Critical",Asset_Inventory!$H$3:$H$102,"✅ Defined")/I15*100)</f>
        <v/>
      </c>
      <c r="K15" s="9">
        <f>IF(H15&gt;=90,"✅ Compliant",IF(H15&gt;=60,"⚠️ Partial","❌ Non-Compliant"))</f>
        <v/>
      </c>
      <c r="L15" s="9">
        <f>IF(ISNUMBER(SEARCH("Compliant",K15)),"✅ Coverage target met",IF(F15&gt;0,F15&amp;" assets need baselines started","⏳ Review in-progress baselines"))</f>
        <v/>
      </c>
    </row>
    <row r="16">
      <c r="A16" s="9" t="inlineStr">
        <is>
          <t>Laptop Computer</t>
        </is>
      </c>
      <c r="B16" s="9" t="inlineStr">
        <is>
          <t>Endpoint</t>
        </is>
      </c>
      <c r="C16" s="9">
        <f>COUNTIF(Asset_Inventory!$C$3:$C$102,A16)</f>
        <v/>
      </c>
      <c r="D16" s="9">
        <f>COUNTIFS(Asset_Inventory!$C$3:$C$102,A16,Asset_Inventory!$H$3:$H$102,"✅ Defined")</f>
        <v/>
      </c>
      <c r="E16" s="9">
        <f>COUNTIFS(Asset_Inventory!$C$3:$C$102,A16,Asset_Inventory!$H$3:$H$102,"⏳ In Progress")</f>
        <v/>
      </c>
      <c r="F16" s="9">
        <f>COUNTIFS(Asset_Inventory!$C$3:$C$102,A16,Asset_Inventory!$H$3:$H$102,"🔴 Not Started")</f>
        <v/>
      </c>
      <c r="G16" s="9">
        <f>COUNTIFS(Asset_Inventory!$C$3:$C$102,A16,Asset_Inventory!$H$3:$H$102,"➖ N/A")</f>
        <v/>
      </c>
      <c r="H16" s="10">
        <f>IF((C16-G16)=0,0,D16/(C16-G16)*100)</f>
        <v/>
      </c>
      <c r="I16" s="9">
        <f>COUNTIFS(Asset_Inventory!$C$3:$C$102,A16,Asset_Inventory!$E$3:$E$102,"🔴 Critical")</f>
        <v/>
      </c>
      <c r="J16" s="10">
        <f>IF(I16=0,0,COUNTIFS(Asset_Inventory!$C$3:$C$102,A16,Asset_Inventory!$E$3:$E$102,"🔴 Critical",Asset_Inventory!$H$3:$H$102,"✅ Defined")/I16*100)</f>
        <v/>
      </c>
      <c r="K16" s="9">
        <f>IF(H16&gt;=90,"✅ Compliant",IF(H16&gt;=60,"⚠️ Partial","❌ Non-Compliant"))</f>
        <v/>
      </c>
      <c r="L16" s="9">
        <f>IF(ISNUMBER(SEARCH("Compliant",K16)),"✅ Coverage target met",IF(F16&gt;0,F16&amp;" assets need baselines started","⏳ Review in-progress baselines"))</f>
        <v/>
      </c>
    </row>
    <row r="17">
      <c r="A17" s="9" t="inlineStr">
        <is>
          <t>Mobile Phone</t>
        </is>
      </c>
      <c r="B17" s="9" t="inlineStr">
        <is>
          <t>Endpoint</t>
        </is>
      </c>
      <c r="C17" s="9">
        <f>COUNTIF(Asset_Inventory!$C$3:$C$102,A17)</f>
        <v/>
      </c>
      <c r="D17" s="9">
        <f>COUNTIFS(Asset_Inventory!$C$3:$C$102,A17,Asset_Inventory!$H$3:$H$102,"✅ Defined")</f>
        <v/>
      </c>
      <c r="E17" s="9">
        <f>COUNTIFS(Asset_Inventory!$C$3:$C$102,A17,Asset_Inventory!$H$3:$H$102,"⏳ In Progress")</f>
        <v/>
      </c>
      <c r="F17" s="9">
        <f>COUNTIFS(Asset_Inventory!$C$3:$C$102,A17,Asset_Inventory!$H$3:$H$102,"🔴 Not Started")</f>
        <v/>
      </c>
      <c r="G17" s="9">
        <f>COUNTIFS(Asset_Inventory!$C$3:$C$102,A17,Asset_Inventory!$H$3:$H$102,"➖ N/A")</f>
        <v/>
      </c>
      <c r="H17" s="10">
        <f>IF((C17-G17)=0,0,D17/(C17-G17)*100)</f>
        <v/>
      </c>
      <c r="I17" s="9">
        <f>COUNTIFS(Asset_Inventory!$C$3:$C$102,A17,Asset_Inventory!$E$3:$E$102,"🔴 Critical")</f>
        <v/>
      </c>
      <c r="J17" s="10">
        <f>IF(I17=0,0,COUNTIFS(Asset_Inventory!$C$3:$C$102,A17,Asset_Inventory!$E$3:$E$102,"🔴 Critical",Asset_Inventory!$H$3:$H$102,"✅ Defined")/I17*100)</f>
        <v/>
      </c>
      <c r="K17" s="9">
        <f>IF(H17&gt;=90,"✅ Compliant",IF(H17&gt;=60,"⚠️ Partial","❌ Non-Compliant"))</f>
        <v/>
      </c>
      <c r="L17" s="9">
        <f>IF(ISNUMBER(SEARCH("Compliant",K17)),"✅ Coverage target met",IF(F17&gt;0,F17&amp;" assets need baselines started","⏳ Review in-progress baselines"))</f>
        <v/>
      </c>
    </row>
    <row r="18">
      <c r="A18" s="9" t="inlineStr">
        <is>
          <t>Tablet</t>
        </is>
      </c>
      <c r="B18" s="9" t="inlineStr">
        <is>
          <t>Endpoint</t>
        </is>
      </c>
      <c r="C18" s="9">
        <f>COUNTIF(Asset_Inventory!$C$3:$C$102,A18)</f>
        <v/>
      </c>
      <c r="D18" s="9">
        <f>COUNTIFS(Asset_Inventory!$C$3:$C$102,A18,Asset_Inventory!$H$3:$H$102,"✅ Defined")</f>
        <v/>
      </c>
      <c r="E18" s="9">
        <f>COUNTIFS(Asset_Inventory!$C$3:$C$102,A18,Asset_Inventory!$H$3:$H$102,"⏳ In Progress")</f>
        <v/>
      </c>
      <c r="F18" s="9">
        <f>COUNTIFS(Asset_Inventory!$C$3:$C$102,A18,Asset_Inventory!$H$3:$H$102,"🔴 Not Started")</f>
        <v/>
      </c>
      <c r="G18" s="9">
        <f>COUNTIFS(Asset_Inventory!$C$3:$C$102,A18,Asset_Inventory!$H$3:$H$102,"➖ N/A")</f>
        <v/>
      </c>
      <c r="H18" s="10">
        <f>IF((C18-G18)=0,0,D18/(C18-G18)*100)</f>
        <v/>
      </c>
      <c r="I18" s="9">
        <f>COUNTIFS(Asset_Inventory!$C$3:$C$102,A18,Asset_Inventory!$E$3:$E$102,"🔴 Critical")</f>
        <v/>
      </c>
      <c r="J18" s="10">
        <f>IF(I18=0,0,COUNTIFS(Asset_Inventory!$C$3:$C$102,A18,Asset_Inventory!$E$3:$E$102,"🔴 Critical",Asset_Inventory!$H$3:$H$102,"✅ Defined")/I18*100)</f>
        <v/>
      </c>
      <c r="K18" s="9">
        <f>IF(H18&gt;=90,"✅ Compliant",IF(H18&gt;=60,"⚠️ Partial","❌ Non-Compliant"))</f>
        <v/>
      </c>
      <c r="L18" s="9">
        <f>IF(ISNUMBER(SEARCH("Compliant",K18)),"✅ Coverage target met",IF(F18&gt;0,F18&amp;" assets need baselines started","⏳ Review in-progress baselines"))</f>
        <v/>
      </c>
    </row>
    <row r="19">
      <c r="A19" s="9" t="inlineStr">
        <is>
          <t>Thin Client</t>
        </is>
      </c>
      <c r="B19" s="9" t="inlineStr">
        <is>
          <t>Endpoint</t>
        </is>
      </c>
      <c r="C19" s="9">
        <f>COUNTIF(Asset_Inventory!$C$3:$C$102,A19)</f>
        <v/>
      </c>
      <c r="D19" s="9">
        <f>COUNTIFS(Asset_Inventory!$C$3:$C$102,A19,Asset_Inventory!$H$3:$H$102,"✅ Defined")</f>
        <v/>
      </c>
      <c r="E19" s="9">
        <f>COUNTIFS(Asset_Inventory!$C$3:$C$102,A19,Asset_Inventory!$H$3:$H$102,"⏳ In Progress")</f>
        <v/>
      </c>
      <c r="F19" s="9">
        <f>COUNTIFS(Asset_Inventory!$C$3:$C$102,A19,Asset_Inventory!$H$3:$H$102,"🔴 Not Started")</f>
        <v/>
      </c>
      <c r="G19" s="9">
        <f>COUNTIFS(Asset_Inventory!$C$3:$C$102,A19,Asset_Inventory!$H$3:$H$102,"➖ N/A")</f>
        <v/>
      </c>
      <c r="H19" s="10">
        <f>IF((C19-G19)=0,0,D19/(C19-G19)*100)</f>
        <v/>
      </c>
      <c r="I19" s="9">
        <f>COUNTIFS(Asset_Inventory!$C$3:$C$102,A19,Asset_Inventory!$E$3:$E$102,"🔴 Critical")</f>
        <v/>
      </c>
      <c r="J19" s="10">
        <f>IF(I19=0,0,COUNTIFS(Asset_Inventory!$C$3:$C$102,A19,Asset_Inventory!$E$3:$E$102,"🔴 Critical",Asset_Inventory!$H$3:$H$102,"✅ Defined")/I19*100)</f>
        <v/>
      </c>
      <c r="K19" s="9">
        <f>IF(H19&gt;=90,"✅ Compliant",IF(H19&gt;=60,"⚠️ Partial","❌ Non-Compliant"))</f>
        <v/>
      </c>
      <c r="L19" s="9">
        <f>IF(ISNUMBER(SEARCH("Compliant",K19)),"✅ Coverage target met",IF(F19&gt;0,F19&amp;" assets need baselines started","⏳ Review in-progress baselines"))</f>
        <v/>
      </c>
    </row>
    <row r="20">
      <c r="A20" s="9" t="inlineStr">
        <is>
          <t>Kiosk/Point-of-Sale</t>
        </is>
      </c>
      <c r="B20" s="9" t="inlineStr">
        <is>
          <t>Endpoint</t>
        </is>
      </c>
      <c r="C20" s="9">
        <f>COUNTIF(Asset_Inventory!$C$3:$C$102,A20)</f>
        <v/>
      </c>
      <c r="D20" s="9">
        <f>COUNTIFS(Asset_Inventory!$C$3:$C$102,A20,Asset_Inventory!$H$3:$H$102,"✅ Defined")</f>
        <v/>
      </c>
      <c r="E20" s="9">
        <f>COUNTIFS(Asset_Inventory!$C$3:$C$102,A20,Asset_Inventory!$H$3:$H$102,"⏳ In Progress")</f>
        <v/>
      </c>
      <c r="F20" s="9">
        <f>COUNTIFS(Asset_Inventory!$C$3:$C$102,A20,Asset_Inventory!$H$3:$H$102,"🔴 Not Started")</f>
        <v/>
      </c>
      <c r="G20" s="9">
        <f>COUNTIFS(Asset_Inventory!$C$3:$C$102,A20,Asset_Inventory!$H$3:$H$102,"➖ N/A")</f>
        <v/>
      </c>
      <c r="H20" s="10">
        <f>IF((C20-G20)=0,0,D20/(C20-G20)*100)</f>
        <v/>
      </c>
      <c r="I20" s="9">
        <f>COUNTIFS(Asset_Inventory!$C$3:$C$102,A20,Asset_Inventory!$E$3:$E$102,"🔴 Critical")</f>
        <v/>
      </c>
      <c r="J20" s="10">
        <f>IF(I20=0,0,COUNTIFS(Asset_Inventory!$C$3:$C$102,A20,Asset_Inventory!$E$3:$E$102,"🔴 Critical",Asset_Inventory!$H$3:$H$102,"✅ Defined")/I20*100)</f>
        <v/>
      </c>
      <c r="K20" s="9">
        <f>IF(H20&gt;=90,"✅ Compliant",IF(H20&gt;=60,"⚠️ Partial","❌ Non-Compliant"))</f>
        <v/>
      </c>
      <c r="L20" s="9">
        <f>IF(ISNUMBER(SEARCH("Compliant",K20)),"✅ Coverage target met",IF(F20&gt;0,F20&amp;" assets need baselines started","⏳ Review in-progress baselines"))</f>
        <v/>
      </c>
    </row>
    <row r="21">
      <c r="A21" s="9" t="inlineStr">
        <is>
          <t>DNS Server</t>
        </is>
      </c>
      <c r="B21" s="9" t="inlineStr">
        <is>
          <t>Network Services</t>
        </is>
      </c>
      <c r="C21" s="9">
        <f>COUNTIF(Asset_Inventory!$C$3:$C$102,A21)</f>
        <v/>
      </c>
      <c r="D21" s="9">
        <f>COUNTIFS(Asset_Inventory!$C$3:$C$102,A21,Asset_Inventory!$H$3:$H$102,"✅ Defined")</f>
        <v/>
      </c>
      <c r="E21" s="9">
        <f>COUNTIFS(Asset_Inventory!$C$3:$C$102,A21,Asset_Inventory!$H$3:$H$102,"⏳ In Progress")</f>
        <v/>
      </c>
      <c r="F21" s="9">
        <f>COUNTIFS(Asset_Inventory!$C$3:$C$102,A21,Asset_Inventory!$H$3:$H$102,"🔴 Not Started")</f>
        <v/>
      </c>
      <c r="G21" s="9">
        <f>COUNTIFS(Asset_Inventory!$C$3:$C$102,A21,Asset_Inventory!$H$3:$H$102,"➖ N/A")</f>
        <v/>
      </c>
      <c r="H21" s="10">
        <f>IF((C21-G21)=0,0,D21/(C21-G21)*100)</f>
        <v/>
      </c>
      <c r="I21" s="9">
        <f>COUNTIFS(Asset_Inventory!$C$3:$C$102,A21,Asset_Inventory!$E$3:$E$102,"🔴 Critical")</f>
        <v/>
      </c>
      <c r="J21" s="10">
        <f>IF(I21=0,0,COUNTIFS(Asset_Inventory!$C$3:$C$102,A21,Asset_Inventory!$E$3:$E$102,"🔴 Critical",Asset_Inventory!$H$3:$H$102,"✅ Defined")/I21*100)</f>
        <v/>
      </c>
      <c r="K21" s="9">
        <f>IF(H21&gt;=90,"✅ Compliant",IF(H21&gt;=60,"⚠️ Partial","❌ Non-Compliant"))</f>
        <v/>
      </c>
      <c r="L21" s="9">
        <f>IF(ISNUMBER(SEARCH("Compliant",K21)),"✅ Coverage target met",IF(F21&gt;0,F21&amp;" assets need baselines started","⏳ Review in-progress baselines"))</f>
        <v/>
      </c>
    </row>
    <row r="22">
      <c r="A22" s="9" t="inlineStr">
        <is>
          <t>DHCP Server</t>
        </is>
      </c>
      <c r="B22" s="9" t="inlineStr">
        <is>
          <t>Network Services</t>
        </is>
      </c>
      <c r="C22" s="9">
        <f>COUNTIF(Asset_Inventory!$C$3:$C$102,A22)</f>
        <v/>
      </c>
      <c r="D22" s="9">
        <f>COUNTIFS(Asset_Inventory!$C$3:$C$102,A22,Asset_Inventory!$H$3:$H$102,"✅ Defined")</f>
        <v/>
      </c>
      <c r="E22" s="9">
        <f>COUNTIFS(Asset_Inventory!$C$3:$C$102,A22,Asset_Inventory!$H$3:$H$102,"⏳ In Progress")</f>
        <v/>
      </c>
      <c r="F22" s="9">
        <f>COUNTIFS(Asset_Inventory!$C$3:$C$102,A22,Asset_Inventory!$H$3:$H$102,"🔴 Not Started")</f>
        <v/>
      </c>
      <c r="G22" s="9">
        <f>COUNTIFS(Asset_Inventory!$C$3:$C$102,A22,Asset_Inventory!$H$3:$H$102,"➖ N/A")</f>
        <v/>
      </c>
      <c r="H22" s="10">
        <f>IF((C22-G22)=0,0,D22/(C22-G22)*100)</f>
        <v/>
      </c>
      <c r="I22" s="9">
        <f>COUNTIFS(Asset_Inventory!$C$3:$C$102,A22,Asset_Inventory!$E$3:$E$102,"🔴 Critical")</f>
        <v/>
      </c>
      <c r="J22" s="10">
        <f>IF(I22=0,0,COUNTIFS(Asset_Inventory!$C$3:$C$102,A22,Asset_Inventory!$E$3:$E$102,"🔴 Critical",Asset_Inventory!$H$3:$H$102,"✅ Defined")/I22*100)</f>
        <v/>
      </c>
      <c r="K22" s="9">
        <f>IF(H22&gt;=90,"✅ Compliant",IF(H22&gt;=60,"⚠️ Partial","❌ Non-Compliant"))</f>
        <v/>
      </c>
      <c r="L22" s="9">
        <f>IF(ISNUMBER(SEARCH("Compliant",K22)),"✅ Coverage target met",IF(F22&gt;0,F22&amp;" assets need baselines started","⏳ Review in-progress baselines"))</f>
        <v/>
      </c>
    </row>
    <row r="23">
      <c r="A23" s="9" t="inlineStr">
        <is>
          <t>NTP Server</t>
        </is>
      </c>
      <c r="B23" s="9" t="inlineStr">
        <is>
          <t>Network Services</t>
        </is>
      </c>
      <c r="C23" s="9">
        <f>COUNTIF(Asset_Inventory!$C$3:$C$102,A23)</f>
        <v/>
      </c>
      <c r="D23" s="9">
        <f>COUNTIFS(Asset_Inventory!$C$3:$C$102,A23,Asset_Inventory!$H$3:$H$102,"✅ Defined")</f>
        <v/>
      </c>
      <c r="E23" s="9">
        <f>COUNTIFS(Asset_Inventory!$C$3:$C$102,A23,Asset_Inventory!$H$3:$H$102,"⏳ In Progress")</f>
        <v/>
      </c>
      <c r="F23" s="9">
        <f>COUNTIFS(Asset_Inventory!$C$3:$C$102,A23,Asset_Inventory!$H$3:$H$102,"🔴 Not Started")</f>
        <v/>
      </c>
      <c r="G23" s="9">
        <f>COUNTIFS(Asset_Inventory!$C$3:$C$102,A23,Asset_Inventory!$H$3:$H$102,"➖ N/A")</f>
        <v/>
      </c>
      <c r="H23" s="10">
        <f>IF((C23-G23)=0,0,D23/(C23-G23)*100)</f>
        <v/>
      </c>
      <c r="I23" s="9">
        <f>COUNTIFS(Asset_Inventory!$C$3:$C$102,A23,Asset_Inventory!$E$3:$E$102,"🔴 Critical")</f>
        <v/>
      </c>
      <c r="J23" s="10">
        <f>IF(I23=0,0,COUNTIFS(Asset_Inventory!$C$3:$C$102,A23,Asset_Inventory!$E$3:$E$102,"🔴 Critical",Asset_Inventory!$H$3:$H$102,"✅ Defined")/I23*100)</f>
        <v/>
      </c>
      <c r="K23" s="9">
        <f>IF(H23&gt;=90,"✅ Compliant",IF(H23&gt;=60,"⚠️ Partial","❌ Non-Compliant"))</f>
        <v/>
      </c>
      <c r="L23" s="9">
        <f>IF(ISNUMBER(SEARCH("Compliant",K23)),"✅ Coverage target met",IF(F23&gt;0,F23&amp;" assets need baselines started","⏳ Review in-progress baselines"))</f>
        <v/>
      </c>
    </row>
    <row r="24">
      <c r="A24" s="9" t="inlineStr">
        <is>
          <t>Proxy Server</t>
        </is>
      </c>
      <c r="B24" s="9" t="inlineStr">
        <is>
          <t>Network Services</t>
        </is>
      </c>
      <c r="C24" s="9">
        <f>COUNTIF(Asset_Inventory!$C$3:$C$102,A24)</f>
        <v/>
      </c>
      <c r="D24" s="9">
        <f>COUNTIFS(Asset_Inventory!$C$3:$C$102,A24,Asset_Inventory!$H$3:$H$102,"✅ Defined")</f>
        <v/>
      </c>
      <c r="E24" s="9">
        <f>COUNTIFS(Asset_Inventory!$C$3:$C$102,A24,Asset_Inventory!$H$3:$H$102,"⏳ In Progress")</f>
        <v/>
      </c>
      <c r="F24" s="9">
        <f>COUNTIFS(Asset_Inventory!$C$3:$C$102,A24,Asset_Inventory!$H$3:$H$102,"🔴 Not Started")</f>
        <v/>
      </c>
      <c r="G24" s="9">
        <f>COUNTIFS(Asset_Inventory!$C$3:$C$102,A24,Asset_Inventory!$H$3:$H$102,"➖ N/A")</f>
        <v/>
      </c>
      <c r="H24" s="10">
        <f>IF((C24-G24)=0,0,D24/(C24-G24)*100)</f>
        <v/>
      </c>
      <c r="I24" s="9">
        <f>COUNTIFS(Asset_Inventory!$C$3:$C$102,A24,Asset_Inventory!$E$3:$E$102,"🔴 Critical")</f>
        <v/>
      </c>
      <c r="J24" s="10">
        <f>IF(I24=0,0,COUNTIFS(Asset_Inventory!$C$3:$C$102,A24,Asset_Inventory!$E$3:$E$102,"🔴 Critical",Asset_Inventory!$H$3:$H$102,"✅ Defined")/I24*100)</f>
        <v/>
      </c>
      <c r="K24" s="9">
        <f>IF(H24&gt;=90,"✅ Compliant",IF(H24&gt;=60,"⚠️ Partial","❌ Non-Compliant"))</f>
        <v/>
      </c>
      <c r="L24" s="9">
        <f>IF(ISNUMBER(SEARCH("Compliant",K24)),"✅ Coverage target met",IF(F24&gt;0,F24&amp;" assets need baselines started","⏳ Review in-progress baselines"))</f>
        <v/>
      </c>
    </row>
    <row r="25">
      <c r="A25" s="9" t="inlineStr">
        <is>
          <t>VPN Gateway</t>
        </is>
      </c>
      <c r="B25" s="9" t="inlineStr">
        <is>
          <t>Network Services</t>
        </is>
      </c>
      <c r="C25" s="9">
        <f>COUNTIF(Asset_Inventory!$C$3:$C$102,A25)</f>
        <v/>
      </c>
      <c r="D25" s="9">
        <f>COUNTIFS(Asset_Inventory!$C$3:$C$102,A25,Asset_Inventory!$H$3:$H$102,"✅ Defined")</f>
        <v/>
      </c>
      <c r="E25" s="9">
        <f>COUNTIFS(Asset_Inventory!$C$3:$C$102,A25,Asset_Inventory!$H$3:$H$102,"⏳ In Progress")</f>
        <v/>
      </c>
      <c r="F25" s="9">
        <f>COUNTIFS(Asset_Inventory!$C$3:$C$102,A25,Asset_Inventory!$H$3:$H$102,"🔴 Not Started")</f>
        <v/>
      </c>
      <c r="G25" s="9">
        <f>COUNTIFS(Asset_Inventory!$C$3:$C$102,A25,Asset_Inventory!$H$3:$H$102,"➖ N/A")</f>
        <v/>
      </c>
      <c r="H25" s="10">
        <f>IF((C25-G25)=0,0,D25/(C25-G25)*100)</f>
        <v/>
      </c>
      <c r="I25" s="9">
        <f>COUNTIFS(Asset_Inventory!$C$3:$C$102,A25,Asset_Inventory!$E$3:$E$102,"🔴 Critical")</f>
        <v/>
      </c>
      <c r="J25" s="10">
        <f>IF(I25=0,0,COUNTIFS(Asset_Inventory!$C$3:$C$102,A25,Asset_Inventory!$E$3:$E$102,"🔴 Critical",Asset_Inventory!$H$3:$H$102,"✅ Defined")/I25*100)</f>
        <v/>
      </c>
      <c r="K25" s="9">
        <f>IF(H25&gt;=90,"✅ Compliant",IF(H25&gt;=60,"⚠️ Partial","❌ Non-Compliant"))</f>
        <v/>
      </c>
      <c r="L25" s="9">
        <f>IF(ISNUMBER(SEARCH("Compliant",K25)),"✅ Coverage target met",IF(F25&gt;0,F25&amp;" assets need baselines started","⏳ Review in-progress baselines"))</f>
        <v/>
      </c>
    </row>
    <row r="26">
      <c r="A26" s="9" t="inlineStr">
        <is>
          <t>Wireless Access Point</t>
        </is>
      </c>
      <c r="B26" s="9" t="inlineStr">
        <is>
          <t>Network Services</t>
        </is>
      </c>
      <c r="C26" s="9">
        <f>COUNTIF(Asset_Inventory!$C$3:$C$102,A26)</f>
        <v/>
      </c>
      <c r="D26" s="9">
        <f>COUNTIFS(Asset_Inventory!$C$3:$C$102,A26,Asset_Inventory!$H$3:$H$102,"✅ Defined")</f>
        <v/>
      </c>
      <c r="E26" s="9">
        <f>COUNTIFS(Asset_Inventory!$C$3:$C$102,A26,Asset_Inventory!$H$3:$H$102,"⏳ In Progress")</f>
        <v/>
      </c>
      <c r="F26" s="9">
        <f>COUNTIFS(Asset_Inventory!$C$3:$C$102,A26,Asset_Inventory!$H$3:$H$102,"🔴 Not Started")</f>
        <v/>
      </c>
      <c r="G26" s="9">
        <f>COUNTIFS(Asset_Inventory!$C$3:$C$102,A26,Asset_Inventory!$H$3:$H$102,"➖ N/A")</f>
        <v/>
      </c>
      <c r="H26" s="10">
        <f>IF((C26-G26)=0,0,D26/(C26-G26)*100)</f>
        <v/>
      </c>
      <c r="I26" s="9">
        <f>COUNTIFS(Asset_Inventory!$C$3:$C$102,A26,Asset_Inventory!$E$3:$E$102,"🔴 Critical")</f>
        <v/>
      </c>
      <c r="J26" s="10">
        <f>IF(I26=0,0,COUNTIFS(Asset_Inventory!$C$3:$C$102,A26,Asset_Inventory!$E$3:$E$102,"🔴 Critical",Asset_Inventory!$H$3:$H$102,"✅ Defined")/I26*100)</f>
        <v/>
      </c>
      <c r="K26" s="9">
        <f>IF(H26&gt;=90,"✅ Compliant",IF(H26&gt;=60,"⚠️ Partial","❌ Non-Compliant"))</f>
        <v/>
      </c>
      <c r="L26" s="9">
        <f>IF(ISNUMBER(SEARCH("Compliant",K26)),"✅ Coverage target met",IF(F26&gt;0,F26&amp;" assets need baselines started","⏳ Review in-progress baselines"))</f>
        <v/>
      </c>
    </row>
    <row r="27">
      <c r="A27" s="9" t="inlineStr">
        <is>
          <t>Network Management System</t>
        </is>
      </c>
      <c r="B27" s="9" t="inlineStr">
        <is>
          <t>Network Services</t>
        </is>
      </c>
      <c r="C27" s="9">
        <f>COUNTIF(Asset_Inventory!$C$3:$C$102,A27)</f>
        <v/>
      </c>
      <c r="D27" s="9">
        <f>COUNTIFS(Asset_Inventory!$C$3:$C$102,A27,Asset_Inventory!$H$3:$H$102,"✅ Defined")</f>
        <v/>
      </c>
      <c r="E27" s="9">
        <f>COUNTIFS(Asset_Inventory!$C$3:$C$102,A27,Asset_Inventory!$H$3:$H$102,"⏳ In Progress")</f>
        <v/>
      </c>
      <c r="F27" s="9">
        <f>COUNTIFS(Asset_Inventory!$C$3:$C$102,A27,Asset_Inventory!$H$3:$H$102,"🔴 Not Started")</f>
        <v/>
      </c>
      <c r="G27" s="9">
        <f>COUNTIFS(Asset_Inventory!$C$3:$C$102,A27,Asset_Inventory!$H$3:$H$102,"➖ N/A")</f>
        <v/>
      </c>
      <c r="H27" s="10">
        <f>IF((C27-G27)=0,0,D27/(C27-G27)*100)</f>
        <v/>
      </c>
      <c r="I27" s="9">
        <f>COUNTIFS(Asset_Inventory!$C$3:$C$102,A27,Asset_Inventory!$E$3:$E$102,"🔴 Critical")</f>
        <v/>
      </c>
      <c r="J27" s="10">
        <f>IF(I27=0,0,COUNTIFS(Asset_Inventory!$C$3:$C$102,A27,Asset_Inventory!$E$3:$E$102,"🔴 Critical",Asset_Inventory!$H$3:$H$102,"✅ Defined")/I27*100)</f>
        <v/>
      </c>
      <c r="K27" s="9">
        <f>IF(H27&gt;=90,"✅ Compliant",IF(H27&gt;=60,"⚠️ Partial","❌ Non-Compliant"))</f>
        <v/>
      </c>
      <c r="L27" s="9">
        <f>IF(ISNUMBER(SEARCH("Compliant",K27)),"✅ Coverage target met",IF(F27&gt;0,F27&amp;" assets need baselines started","⏳ Review in-progress baselines"))</f>
        <v/>
      </c>
    </row>
    <row r="28">
      <c r="A28" s="9" t="inlineStr">
        <is>
          <t>Enterprise Application</t>
        </is>
      </c>
      <c r="B28" s="9" t="inlineStr">
        <is>
          <t>Applications</t>
        </is>
      </c>
      <c r="C28" s="9">
        <f>COUNTIF(Asset_Inventory!$C$3:$C$102,A28)</f>
        <v/>
      </c>
      <c r="D28" s="9">
        <f>COUNTIFS(Asset_Inventory!$C$3:$C$102,A28,Asset_Inventory!$H$3:$H$102,"✅ Defined")</f>
        <v/>
      </c>
      <c r="E28" s="9">
        <f>COUNTIFS(Asset_Inventory!$C$3:$C$102,A28,Asset_Inventory!$H$3:$H$102,"⏳ In Progress")</f>
        <v/>
      </c>
      <c r="F28" s="9">
        <f>COUNTIFS(Asset_Inventory!$C$3:$C$102,A28,Asset_Inventory!$H$3:$H$102,"🔴 Not Started")</f>
        <v/>
      </c>
      <c r="G28" s="9">
        <f>COUNTIFS(Asset_Inventory!$C$3:$C$102,A28,Asset_Inventory!$H$3:$H$102,"➖ N/A")</f>
        <v/>
      </c>
      <c r="H28" s="10">
        <f>IF((C28-G28)=0,0,D28/(C28-G28)*100)</f>
        <v/>
      </c>
      <c r="I28" s="9">
        <f>COUNTIFS(Asset_Inventory!$C$3:$C$102,A28,Asset_Inventory!$E$3:$E$102,"🔴 Critical")</f>
        <v/>
      </c>
      <c r="J28" s="10">
        <f>IF(I28=0,0,COUNTIFS(Asset_Inventory!$C$3:$C$102,A28,Asset_Inventory!$E$3:$E$102,"🔴 Critical",Asset_Inventory!$H$3:$H$102,"✅ Defined")/I28*100)</f>
        <v/>
      </c>
      <c r="K28" s="9">
        <f>IF(H28&gt;=90,"✅ Compliant",IF(H28&gt;=60,"⚠️ Partial","❌ Non-Compliant"))</f>
        <v/>
      </c>
      <c r="L28" s="9">
        <f>IF(ISNUMBER(SEARCH("Compliant",K28)),"✅ Coverage target met",IF(F28&gt;0,F28&amp;" assets need baselines started","⏳ Review in-progress baselines"))</f>
        <v/>
      </c>
    </row>
    <row r="29">
      <c r="A29" s="9" t="inlineStr">
        <is>
          <t>Web Application</t>
        </is>
      </c>
      <c r="B29" s="9" t="inlineStr">
        <is>
          <t>Applications</t>
        </is>
      </c>
      <c r="C29" s="9">
        <f>COUNTIF(Asset_Inventory!$C$3:$C$102,A29)</f>
        <v/>
      </c>
      <c r="D29" s="9">
        <f>COUNTIFS(Asset_Inventory!$C$3:$C$102,A29,Asset_Inventory!$H$3:$H$102,"✅ Defined")</f>
        <v/>
      </c>
      <c r="E29" s="9">
        <f>COUNTIFS(Asset_Inventory!$C$3:$C$102,A29,Asset_Inventory!$H$3:$H$102,"⏳ In Progress")</f>
        <v/>
      </c>
      <c r="F29" s="9">
        <f>COUNTIFS(Asset_Inventory!$C$3:$C$102,A29,Asset_Inventory!$H$3:$H$102,"🔴 Not Started")</f>
        <v/>
      </c>
      <c r="G29" s="9">
        <f>COUNTIFS(Asset_Inventory!$C$3:$C$102,A29,Asset_Inventory!$H$3:$H$102,"➖ N/A")</f>
        <v/>
      </c>
      <c r="H29" s="10">
        <f>IF((C29-G29)=0,0,D29/(C29-G29)*100)</f>
        <v/>
      </c>
      <c r="I29" s="9">
        <f>COUNTIFS(Asset_Inventory!$C$3:$C$102,A29,Asset_Inventory!$E$3:$E$102,"🔴 Critical")</f>
        <v/>
      </c>
      <c r="J29" s="10">
        <f>IF(I29=0,0,COUNTIFS(Asset_Inventory!$C$3:$C$102,A29,Asset_Inventory!$E$3:$E$102,"🔴 Critical",Asset_Inventory!$H$3:$H$102,"✅ Defined")/I29*100)</f>
        <v/>
      </c>
      <c r="K29" s="9">
        <f>IF(H29&gt;=90,"✅ Compliant",IF(H29&gt;=60,"⚠️ Partial","❌ Non-Compliant"))</f>
        <v/>
      </c>
      <c r="L29" s="9">
        <f>IF(ISNUMBER(SEARCH("Compliant",K29)),"✅ Coverage target met",IF(F29&gt;0,F29&amp;" assets need baselines started","⏳ Review in-progress baselines"))</f>
        <v/>
      </c>
    </row>
    <row r="30">
      <c r="A30" s="9" t="inlineStr">
        <is>
          <t>Database System</t>
        </is>
      </c>
      <c r="B30" s="9" t="inlineStr">
        <is>
          <t>Applications</t>
        </is>
      </c>
      <c r="C30" s="9">
        <f>COUNTIF(Asset_Inventory!$C$3:$C$102,A30)</f>
        <v/>
      </c>
      <c r="D30" s="9">
        <f>COUNTIFS(Asset_Inventory!$C$3:$C$102,A30,Asset_Inventory!$H$3:$H$102,"✅ Defined")</f>
        <v/>
      </c>
      <c r="E30" s="9">
        <f>COUNTIFS(Asset_Inventory!$C$3:$C$102,A30,Asset_Inventory!$H$3:$H$102,"⏳ In Progress")</f>
        <v/>
      </c>
      <c r="F30" s="9">
        <f>COUNTIFS(Asset_Inventory!$C$3:$C$102,A30,Asset_Inventory!$H$3:$H$102,"🔴 Not Started")</f>
        <v/>
      </c>
      <c r="G30" s="9">
        <f>COUNTIFS(Asset_Inventory!$C$3:$C$102,A30,Asset_Inventory!$H$3:$H$102,"➖ N/A")</f>
        <v/>
      </c>
      <c r="H30" s="10">
        <f>IF((C30-G30)=0,0,D30/(C30-G30)*100)</f>
        <v/>
      </c>
      <c r="I30" s="9">
        <f>COUNTIFS(Asset_Inventory!$C$3:$C$102,A30,Asset_Inventory!$E$3:$E$102,"🔴 Critical")</f>
        <v/>
      </c>
      <c r="J30" s="10">
        <f>IF(I30=0,0,COUNTIFS(Asset_Inventory!$C$3:$C$102,A30,Asset_Inventory!$E$3:$E$102,"🔴 Critical",Asset_Inventory!$H$3:$H$102,"✅ Defined")/I30*100)</f>
        <v/>
      </c>
      <c r="K30" s="9">
        <f>IF(H30&gt;=90,"✅ Compliant",IF(H30&gt;=60,"⚠️ Partial","❌ Non-Compliant"))</f>
        <v/>
      </c>
      <c r="L30" s="9">
        <f>IF(ISNUMBER(SEARCH("Compliant",K30)),"✅ Coverage target met",IF(F30&gt;0,F30&amp;" assets need baselines started","⏳ Review in-progress baselines"))</f>
        <v/>
      </c>
    </row>
    <row r="31">
      <c r="A31" s="9" t="inlineStr">
        <is>
          <t>Middleware</t>
        </is>
      </c>
      <c r="B31" s="9" t="inlineStr">
        <is>
          <t>Applications</t>
        </is>
      </c>
      <c r="C31" s="9">
        <f>COUNTIF(Asset_Inventory!$C$3:$C$102,A31)</f>
        <v/>
      </c>
      <c r="D31" s="9">
        <f>COUNTIFS(Asset_Inventory!$C$3:$C$102,A31,Asset_Inventory!$H$3:$H$102,"✅ Defined")</f>
        <v/>
      </c>
      <c r="E31" s="9">
        <f>COUNTIFS(Asset_Inventory!$C$3:$C$102,A31,Asset_Inventory!$H$3:$H$102,"⏳ In Progress")</f>
        <v/>
      </c>
      <c r="F31" s="9">
        <f>COUNTIFS(Asset_Inventory!$C$3:$C$102,A31,Asset_Inventory!$H$3:$H$102,"🔴 Not Started")</f>
        <v/>
      </c>
      <c r="G31" s="9">
        <f>COUNTIFS(Asset_Inventory!$C$3:$C$102,A31,Asset_Inventory!$H$3:$H$102,"➖ N/A")</f>
        <v/>
      </c>
      <c r="H31" s="10">
        <f>IF((C31-G31)=0,0,D31/(C31-G31)*100)</f>
        <v/>
      </c>
      <c r="I31" s="9">
        <f>COUNTIFS(Asset_Inventory!$C$3:$C$102,A31,Asset_Inventory!$E$3:$E$102,"🔴 Critical")</f>
        <v/>
      </c>
      <c r="J31" s="10">
        <f>IF(I31=0,0,COUNTIFS(Asset_Inventory!$C$3:$C$102,A31,Asset_Inventory!$E$3:$E$102,"🔴 Critical",Asset_Inventory!$H$3:$H$102,"✅ Defined")/I31*100)</f>
        <v/>
      </c>
      <c r="K31" s="9">
        <f>IF(H31&gt;=90,"✅ Compliant",IF(H31&gt;=60,"⚠️ Partial","❌ Non-Compliant"))</f>
        <v/>
      </c>
      <c r="L31" s="9">
        <f>IF(ISNUMBER(SEARCH("Compliant",K31)),"✅ Coverage target met",IF(F31&gt;0,F31&amp;" assets need baselines started","⏳ Review in-progress baselines"))</f>
        <v/>
      </c>
    </row>
    <row r="32">
      <c r="A32" s="9" t="inlineStr">
        <is>
          <t>API/Web Service</t>
        </is>
      </c>
      <c r="B32" s="9" t="inlineStr">
        <is>
          <t>Applications</t>
        </is>
      </c>
      <c r="C32" s="9">
        <f>COUNTIF(Asset_Inventory!$C$3:$C$102,A32)</f>
        <v/>
      </c>
      <c r="D32" s="9">
        <f>COUNTIFS(Asset_Inventory!$C$3:$C$102,A32,Asset_Inventory!$H$3:$H$102,"✅ Defined")</f>
        <v/>
      </c>
      <c r="E32" s="9">
        <f>COUNTIFS(Asset_Inventory!$C$3:$C$102,A32,Asset_Inventory!$H$3:$H$102,"⏳ In Progress")</f>
        <v/>
      </c>
      <c r="F32" s="9">
        <f>COUNTIFS(Asset_Inventory!$C$3:$C$102,A32,Asset_Inventory!$H$3:$H$102,"🔴 Not Started")</f>
        <v/>
      </c>
      <c r="G32" s="9">
        <f>COUNTIFS(Asset_Inventory!$C$3:$C$102,A32,Asset_Inventory!$H$3:$H$102,"➖ N/A")</f>
        <v/>
      </c>
      <c r="H32" s="10">
        <f>IF((C32-G32)=0,0,D32/(C32-G32)*100)</f>
        <v/>
      </c>
      <c r="I32" s="9">
        <f>COUNTIFS(Asset_Inventory!$C$3:$C$102,A32,Asset_Inventory!$E$3:$E$102,"🔴 Critical")</f>
        <v/>
      </c>
      <c r="J32" s="10">
        <f>IF(I32=0,0,COUNTIFS(Asset_Inventory!$C$3:$C$102,A32,Asset_Inventory!$E$3:$E$102,"🔴 Critical",Asset_Inventory!$H$3:$H$102,"✅ Defined")/I32*100)</f>
        <v/>
      </c>
      <c r="K32" s="9">
        <f>IF(H32&gt;=90,"✅ Compliant",IF(H32&gt;=60,"⚠️ Partial","❌ Non-Compliant"))</f>
        <v/>
      </c>
      <c r="L32" s="9">
        <f>IF(ISNUMBER(SEARCH("Compliant",K32)),"✅ Coverage target met",IF(F32&gt;0,F32&amp;" assets need baselines started","⏳ Review in-progress baselines"))</f>
        <v/>
      </c>
    </row>
    <row r="33">
      <c r="A33" s="9" t="inlineStr">
        <is>
          <t>Custom Developed Application</t>
        </is>
      </c>
      <c r="B33" s="9" t="inlineStr">
        <is>
          <t>Applications</t>
        </is>
      </c>
      <c r="C33" s="9">
        <f>COUNTIF(Asset_Inventory!$C$3:$C$102,A33)</f>
        <v/>
      </c>
      <c r="D33" s="9">
        <f>COUNTIFS(Asset_Inventory!$C$3:$C$102,A33,Asset_Inventory!$H$3:$H$102,"✅ Defined")</f>
        <v/>
      </c>
      <c r="E33" s="9">
        <f>COUNTIFS(Asset_Inventory!$C$3:$C$102,A33,Asset_Inventory!$H$3:$H$102,"⏳ In Progress")</f>
        <v/>
      </c>
      <c r="F33" s="9">
        <f>COUNTIFS(Asset_Inventory!$C$3:$C$102,A33,Asset_Inventory!$H$3:$H$102,"🔴 Not Started")</f>
        <v/>
      </c>
      <c r="G33" s="9">
        <f>COUNTIFS(Asset_Inventory!$C$3:$C$102,A33,Asset_Inventory!$H$3:$H$102,"➖ N/A")</f>
        <v/>
      </c>
      <c r="H33" s="10">
        <f>IF((C33-G33)=0,0,D33/(C33-G33)*100)</f>
        <v/>
      </c>
      <c r="I33" s="9">
        <f>COUNTIFS(Asset_Inventory!$C$3:$C$102,A33,Asset_Inventory!$E$3:$E$102,"🔴 Critical")</f>
        <v/>
      </c>
      <c r="J33" s="10">
        <f>IF(I33=0,0,COUNTIFS(Asset_Inventory!$C$3:$C$102,A33,Asset_Inventory!$E$3:$E$102,"🔴 Critical",Asset_Inventory!$H$3:$H$102,"✅ Defined")/I33*100)</f>
        <v/>
      </c>
      <c r="K33" s="9">
        <f>IF(H33&gt;=90,"✅ Compliant",IF(H33&gt;=60,"⚠️ Partial","❌ Non-Compliant"))</f>
        <v/>
      </c>
      <c r="L33" s="9">
        <f>IF(ISNUMBER(SEARCH("Compliant",K33)),"✅ Coverage target met",IF(F33&gt;0,F33&amp;" assets need baselines started","⏳ Review in-progress baselines"))</f>
        <v/>
      </c>
    </row>
    <row r="34">
      <c r="A34" s="9" t="inlineStr">
        <is>
          <t>Commercial Off-the-Shelf (COTS)</t>
        </is>
      </c>
      <c r="B34" s="9" t="inlineStr">
        <is>
          <t>Applications</t>
        </is>
      </c>
      <c r="C34" s="9">
        <f>COUNTIF(Asset_Inventory!$C$3:$C$102,A34)</f>
        <v/>
      </c>
      <c r="D34" s="9">
        <f>COUNTIFS(Asset_Inventory!$C$3:$C$102,A34,Asset_Inventory!$H$3:$H$102,"✅ Defined")</f>
        <v/>
      </c>
      <c r="E34" s="9">
        <f>COUNTIFS(Asset_Inventory!$C$3:$C$102,A34,Asset_Inventory!$H$3:$H$102,"⏳ In Progress")</f>
        <v/>
      </c>
      <c r="F34" s="9">
        <f>COUNTIFS(Asset_Inventory!$C$3:$C$102,A34,Asset_Inventory!$H$3:$H$102,"🔴 Not Started")</f>
        <v/>
      </c>
      <c r="G34" s="9">
        <f>COUNTIFS(Asset_Inventory!$C$3:$C$102,A34,Asset_Inventory!$H$3:$H$102,"➖ N/A")</f>
        <v/>
      </c>
      <c r="H34" s="10">
        <f>IF((C34-G34)=0,0,D34/(C34-G34)*100)</f>
        <v/>
      </c>
      <c r="I34" s="9">
        <f>COUNTIFS(Asset_Inventory!$C$3:$C$102,A34,Asset_Inventory!$E$3:$E$102,"🔴 Critical")</f>
        <v/>
      </c>
      <c r="J34" s="10">
        <f>IF(I34=0,0,COUNTIFS(Asset_Inventory!$C$3:$C$102,A34,Asset_Inventory!$E$3:$E$102,"🔴 Critical",Asset_Inventory!$H$3:$H$102,"✅ Defined")/I34*100)</f>
        <v/>
      </c>
      <c r="K34" s="9">
        <f>IF(H34&gt;=90,"✅ Compliant",IF(H34&gt;=60,"⚠️ Partial","❌ Non-Compliant"))</f>
        <v/>
      </c>
      <c r="L34" s="9">
        <f>IF(ISNUMBER(SEARCH("Compliant",K34)),"✅ Coverage target met",IF(F34&gt;0,F34&amp;" assets need baselines started","⏳ Review in-progress baselines"))</f>
        <v/>
      </c>
    </row>
    <row r="35">
      <c r="A35" s="9" t="inlineStr">
        <is>
          <t>Open Source Software</t>
        </is>
      </c>
      <c r="B35" s="9" t="inlineStr">
        <is>
          <t>Applications</t>
        </is>
      </c>
      <c r="C35" s="9">
        <f>COUNTIF(Asset_Inventory!$C$3:$C$102,A35)</f>
        <v/>
      </c>
      <c r="D35" s="9">
        <f>COUNTIFS(Asset_Inventory!$C$3:$C$102,A35,Asset_Inventory!$H$3:$H$102,"✅ Defined")</f>
        <v/>
      </c>
      <c r="E35" s="9">
        <f>COUNTIFS(Asset_Inventory!$C$3:$C$102,A35,Asset_Inventory!$H$3:$H$102,"⏳ In Progress")</f>
        <v/>
      </c>
      <c r="F35" s="9">
        <f>COUNTIFS(Asset_Inventory!$C$3:$C$102,A35,Asset_Inventory!$H$3:$H$102,"🔴 Not Started")</f>
        <v/>
      </c>
      <c r="G35" s="9">
        <f>COUNTIFS(Asset_Inventory!$C$3:$C$102,A35,Asset_Inventory!$H$3:$H$102,"➖ N/A")</f>
        <v/>
      </c>
      <c r="H35" s="10">
        <f>IF((C35-G35)=0,0,D35/(C35-G35)*100)</f>
        <v/>
      </c>
      <c r="I35" s="9">
        <f>COUNTIFS(Asset_Inventory!$C$3:$C$102,A35,Asset_Inventory!$E$3:$E$102,"🔴 Critical")</f>
        <v/>
      </c>
      <c r="J35" s="10">
        <f>IF(I35=0,0,COUNTIFS(Asset_Inventory!$C$3:$C$102,A35,Asset_Inventory!$E$3:$E$102,"🔴 Critical",Asset_Inventory!$H$3:$H$102,"✅ Defined")/I35*100)</f>
        <v/>
      </c>
      <c r="K35" s="9">
        <f>IF(H35&gt;=90,"✅ Compliant",IF(H35&gt;=60,"⚠️ Partial","❌ Non-Compliant"))</f>
        <v/>
      </c>
      <c r="L35" s="9">
        <f>IF(ISNUMBER(SEARCH("Compliant",K35)),"✅ Coverage target met",IF(F35&gt;0,F35&amp;" assets need baselines started","⏳ Review in-progress baselines"))</f>
        <v/>
      </c>
    </row>
    <row r="36">
      <c r="A36" s="9" t="inlineStr">
        <is>
          <t>IaaS Resource (VM, Storage)</t>
        </is>
      </c>
      <c r="B36" s="9" t="inlineStr">
        <is>
          <t>Cloud</t>
        </is>
      </c>
      <c r="C36" s="9">
        <f>COUNTIF(Asset_Inventory!$C$3:$C$102,A36)</f>
        <v/>
      </c>
      <c r="D36" s="9">
        <f>COUNTIFS(Asset_Inventory!$C$3:$C$102,A36,Asset_Inventory!$H$3:$H$102,"✅ Defined")</f>
        <v/>
      </c>
      <c r="E36" s="9">
        <f>COUNTIFS(Asset_Inventory!$C$3:$C$102,A36,Asset_Inventory!$H$3:$H$102,"⏳ In Progress")</f>
        <v/>
      </c>
      <c r="F36" s="9">
        <f>COUNTIFS(Asset_Inventory!$C$3:$C$102,A36,Asset_Inventory!$H$3:$H$102,"🔴 Not Started")</f>
        <v/>
      </c>
      <c r="G36" s="9">
        <f>COUNTIFS(Asset_Inventory!$C$3:$C$102,A36,Asset_Inventory!$H$3:$H$102,"➖ N/A")</f>
        <v/>
      </c>
      <c r="H36" s="10">
        <f>IF((C36-G36)=0,0,D36/(C36-G36)*100)</f>
        <v/>
      </c>
      <c r="I36" s="9">
        <f>COUNTIFS(Asset_Inventory!$C$3:$C$102,A36,Asset_Inventory!$E$3:$E$102,"🔴 Critical")</f>
        <v/>
      </c>
      <c r="J36" s="10">
        <f>IF(I36=0,0,COUNTIFS(Asset_Inventory!$C$3:$C$102,A36,Asset_Inventory!$E$3:$E$102,"🔴 Critical",Asset_Inventory!$H$3:$H$102,"✅ Defined")/I36*100)</f>
        <v/>
      </c>
      <c r="K36" s="9">
        <f>IF(H36&gt;=90,"✅ Compliant",IF(H36&gt;=60,"⚠️ Partial","❌ Non-Compliant"))</f>
        <v/>
      </c>
      <c r="L36" s="9">
        <f>IF(ISNUMBER(SEARCH("Compliant",K36)),"✅ Coverage target met",IF(F36&gt;0,F36&amp;" assets need baselines started","⏳ Review in-progress baselines"))</f>
        <v/>
      </c>
    </row>
    <row r="37">
      <c r="A37" s="9" t="inlineStr">
        <is>
          <t>PaaS Service</t>
        </is>
      </c>
      <c r="B37" s="9" t="inlineStr">
        <is>
          <t>Cloud</t>
        </is>
      </c>
      <c r="C37" s="9">
        <f>COUNTIF(Asset_Inventory!$C$3:$C$102,A37)</f>
        <v/>
      </c>
      <c r="D37" s="9">
        <f>COUNTIFS(Asset_Inventory!$C$3:$C$102,A37,Asset_Inventory!$H$3:$H$102,"✅ Defined")</f>
        <v/>
      </c>
      <c r="E37" s="9">
        <f>COUNTIFS(Asset_Inventory!$C$3:$C$102,A37,Asset_Inventory!$H$3:$H$102,"⏳ In Progress")</f>
        <v/>
      </c>
      <c r="F37" s="9">
        <f>COUNTIFS(Asset_Inventory!$C$3:$C$102,A37,Asset_Inventory!$H$3:$H$102,"🔴 Not Started")</f>
        <v/>
      </c>
      <c r="G37" s="9">
        <f>COUNTIFS(Asset_Inventory!$C$3:$C$102,A37,Asset_Inventory!$H$3:$H$102,"➖ N/A")</f>
        <v/>
      </c>
      <c r="H37" s="10">
        <f>IF((C37-G37)=0,0,D37/(C37-G37)*100)</f>
        <v/>
      </c>
      <c r="I37" s="9">
        <f>COUNTIFS(Asset_Inventory!$C$3:$C$102,A37,Asset_Inventory!$E$3:$E$102,"🔴 Critical")</f>
        <v/>
      </c>
      <c r="J37" s="10">
        <f>IF(I37=0,0,COUNTIFS(Asset_Inventory!$C$3:$C$102,A37,Asset_Inventory!$E$3:$E$102,"🔴 Critical",Asset_Inventory!$H$3:$H$102,"✅ Defined")/I37*100)</f>
        <v/>
      </c>
      <c r="K37" s="9">
        <f>IF(H37&gt;=90,"✅ Compliant",IF(H37&gt;=60,"⚠️ Partial","❌ Non-Compliant"))</f>
        <v/>
      </c>
      <c r="L37" s="9">
        <f>IF(ISNUMBER(SEARCH("Compliant",K37)),"✅ Coverage target met",IF(F37&gt;0,F37&amp;" assets need baselines started","⏳ Review in-progress baselines"))</f>
        <v/>
      </c>
    </row>
    <row r="38">
      <c r="A38" s="9" t="inlineStr">
        <is>
          <t>SaaS Application</t>
        </is>
      </c>
      <c r="B38" s="9" t="inlineStr">
        <is>
          <t>Cloud</t>
        </is>
      </c>
      <c r="C38" s="9">
        <f>COUNTIF(Asset_Inventory!$C$3:$C$102,A38)</f>
        <v/>
      </c>
      <c r="D38" s="9">
        <f>COUNTIFS(Asset_Inventory!$C$3:$C$102,A38,Asset_Inventory!$H$3:$H$102,"✅ Defined")</f>
        <v/>
      </c>
      <c r="E38" s="9">
        <f>COUNTIFS(Asset_Inventory!$C$3:$C$102,A38,Asset_Inventory!$H$3:$H$102,"⏳ In Progress")</f>
        <v/>
      </c>
      <c r="F38" s="9">
        <f>COUNTIFS(Asset_Inventory!$C$3:$C$102,A38,Asset_Inventory!$H$3:$H$102,"🔴 Not Started")</f>
        <v/>
      </c>
      <c r="G38" s="9">
        <f>COUNTIFS(Asset_Inventory!$C$3:$C$102,A38,Asset_Inventory!$H$3:$H$102,"➖ N/A")</f>
        <v/>
      </c>
      <c r="H38" s="10">
        <f>IF((C38-G38)=0,0,D38/(C38-G38)*100)</f>
        <v/>
      </c>
      <c r="I38" s="9">
        <f>COUNTIFS(Asset_Inventory!$C$3:$C$102,A38,Asset_Inventory!$E$3:$E$102,"🔴 Critical")</f>
        <v/>
      </c>
      <c r="J38" s="10">
        <f>IF(I38=0,0,COUNTIFS(Asset_Inventory!$C$3:$C$102,A38,Asset_Inventory!$E$3:$E$102,"🔴 Critical",Asset_Inventory!$H$3:$H$102,"✅ Defined")/I38*100)</f>
        <v/>
      </c>
      <c r="K38" s="9">
        <f>IF(H38&gt;=90,"✅ Compliant",IF(H38&gt;=60,"⚠️ Partial","❌ Non-Compliant"))</f>
        <v/>
      </c>
      <c r="L38" s="9">
        <f>IF(ISNUMBER(SEARCH("Compliant",K38)),"✅ Coverage target met",IF(F38&gt;0,F38&amp;" assets need baselines started","⏳ Review in-progress baselines"))</f>
        <v/>
      </c>
    </row>
    <row r="39">
      <c r="A39" s="9" t="inlineStr">
        <is>
          <t>Cloud-Native Application</t>
        </is>
      </c>
      <c r="B39" s="9" t="inlineStr">
        <is>
          <t>Cloud</t>
        </is>
      </c>
      <c r="C39" s="9">
        <f>COUNTIF(Asset_Inventory!$C$3:$C$102,A39)</f>
        <v/>
      </c>
      <c r="D39" s="9">
        <f>COUNTIFS(Asset_Inventory!$C$3:$C$102,A39,Asset_Inventory!$H$3:$H$102,"✅ Defined")</f>
        <v/>
      </c>
      <c r="E39" s="9">
        <f>COUNTIFS(Asset_Inventory!$C$3:$C$102,A39,Asset_Inventory!$H$3:$H$102,"⏳ In Progress")</f>
        <v/>
      </c>
      <c r="F39" s="9">
        <f>COUNTIFS(Asset_Inventory!$C$3:$C$102,A39,Asset_Inventory!$H$3:$H$102,"🔴 Not Started")</f>
        <v/>
      </c>
      <c r="G39" s="9">
        <f>COUNTIFS(Asset_Inventory!$C$3:$C$102,A39,Asset_Inventory!$H$3:$H$102,"➖ N/A")</f>
        <v/>
      </c>
      <c r="H39" s="10">
        <f>IF((C39-G39)=0,0,D39/(C39-G39)*100)</f>
        <v/>
      </c>
      <c r="I39" s="9">
        <f>COUNTIFS(Asset_Inventory!$C$3:$C$102,A39,Asset_Inventory!$E$3:$E$102,"🔴 Critical")</f>
        <v/>
      </c>
      <c r="J39" s="10">
        <f>IF(I39=0,0,COUNTIFS(Asset_Inventory!$C$3:$C$102,A39,Asset_Inventory!$E$3:$E$102,"🔴 Critical",Asset_Inventory!$H$3:$H$102,"✅ Defined")/I39*100)</f>
        <v/>
      </c>
      <c r="K39" s="9">
        <f>IF(H39&gt;=90,"✅ Compliant",IF(H39&gt;=60,"⚠️ Partial","❌ Non-Compliant"))</f>
        <v/>
      </c>
      <c r="L39" s="9">
        <f>IF(ISNUMBER(SEARCH("Compliant",K39)),"✅ Coverage target met",IF(F39&gt;0,F39&amp;" assets need baselines started","⏳ Review in-progress baselines"))</f>
        <v/>
      </c>
    </row>
    <row r="40">
      <c r="A40" s="9" t="inlineStr">
        <is>
          <t>Serverless Function</t>
        </is>
      </c>
      <c r="B40" s="9" t="inlineStr">
        <is>
          <t>Cloud</t>
        </is>
      </c>
      <c r="C40" s="9">
        <f>COUNTIF(Asset_Inventory!$C$3:$C$102,A40)</f>
        <v/>
      </c>
      <c r="D40" s="9">
        <f>COUNTIFS(Asset_Inventory!$C$3:$C$102,A40,Asset_Inventory!$H$3:$H$102,"✅ Defined")</f>
        <v/>
      </c>
      <c r="E40" s="9">
        <f>COUNTIFS(Asset_Inventory!$C$3:$C$102,A40,Asset_Inventory!$H$3:$H$102,"⏳ In Progress")</f>
        <v/>
      </c>
      <c r="F40" s="9">
        <f>COUNTIFS(Asset_Inventory!$C$3:$C$102,A40,Asset_Inventory!$H$3:$H$102,"🔴 Not Started")</f>
        <v/>
      </c>
      <c r="G40" s="9">
        <f>COUNTIFS(Asset_Inventory!$C$3:$C$102,A40,Asset_Inventory!$H$3:$H$102,"➖ N/A")</f>
        <v/>
      </c>
      <c r="H40" s="10">
        <f>IF((C40-G40)=0,0,D40/(C40-G40)*100)</f>
        <v/>
      </c>
      <c r="I40" s="9">
        <f>COUNTIFS(Asset_Inventory!$C$3:$C$102,A40,Asset_Inventory!$E$3:$E$102,"🔴 Critical")</f>
        <v/>
      </c>
      <c r="J40" s="10">
        <f>IF(I40=0,0,COUNTIFS(Asset_Inventory!$C$3:$C$102,A40,Asset_Inventory!$E$3:$E$102,"🔴 Critical",Asset_Inventory!$H$3:$H$102,"✅ Defined")/I40*100)</f>
        <v/>
      </c>
      <c r="K40" s="9">
        <f>IF(H40&gt;=90,"✅ Compliant",IF(H40&gt;=60,"⚠️ Partial","❌ Non-Compliant"))</f>
        <v/>
      </c>
      <c r="L40" s="9">
        <f>IF(ISNUMBER(SEARCH("Compliant",K40)),"✅ Coverage target met",IF(F40&gt;0,F40&amp;" assets need baselines started","⏳ Review in-progress baselines"))</f>
        <v/>
      </c>
    </row>
    <row r="41">
      <c r="A41" s="9" t="inlineStr">
        <is>
          <t>IoT Device</t>
        </is>
      </c>
      <c r="B41" s="9" t="inlineStr">
        <is>
          <t>IoT/OT</t>
        </is>
      </c>
      <c r="C41" s="9">
        <f>COUNTIF(Asset_Inventory!$C$3:$C$102,A41)</f>
        <v/>
      </c>
      <c r="D41" s="9">
        <f>COUNTIFS(Asset_Inventory!$C$3:$C$102,A41,Asset_Inventory!$H$3:$H$102,"✅ Defined")</f>
        <v/>
      </c>
      <c r="E41" s="9">
        <f>COUNTIFS(Asset_Inventory!$C$3:$C$102,A41,Asset_Inventory!$H$3:$H$102,"⏳ In Progress")</f>
        <v/>
      </c>
      <c r="F41" s="9">
        <f>COUNTIFS(Asset_Inventory!$C$3:$C$102,A41,Asset_Inventory!$H$3:$H$102,"🔴 Not Started")</f>
        <v/>
      </c>
      <c r="G41" s="9">
        <f>COUNTIFS(Asset_Inventory!$C$3:$C$102,A41,Asset_Inventory!$H$3:$H$102,"➖ N/A")</f>
        <v/>
      </c>
      <c r="H41" s="10">
        <f>IF((C41-G41)=0,0,D41/(C41-G41)*100)</f>
        <v/>
      </c>
      <c r="I41" s="9">
        <f>COUNTIFS(Asset_Inventory!$C$3:$C$102,A41,Asset_Inventory!$E$3:$E$102,"🔴 Critical")</f>
        <v/>
      </c>
      <c r="J41" s="10">
        <f>IF(I41=0,0,COUNTIFS(Asset_Inventory!$C$3:$C$102,A41,Asset_Inventory!$E$3:$E$102,"🔴 Critical",Asset_Inventory!$H$3:$H$102,"✅ Defined")/I41*100)</f>
        <v/>
      </c>
      <c r="K41" s="9">
        <f>IF(H41&gt;=90,"✅ Compliant",IF(H41&gt;=60,"⚠️ Partial","❌ Non-Compliant"))</f>
        <v/>
      </c>
      <c r="L41" s="9">
        <f>IF(ISNUMBER(SEARCH("Compliant",K41)),"✅ Coverage target met",IF(F41&gt;0,F41&amp;" assets need baselines started","⏳ Review in-progress baselines"))</f>
        <v/>
      </c>
    </row>
    <row r="42">
      <c r="A42" s="9" t="inlineStr">
        <is>
          <t>Industrial Control System (ICS)</t>
        </is>
      </c>
      <c r="B42" s="9" t="inlineStr">
        <is>
          <t>IoT/OT</t>
        </is>
      </c>
      <c r="C42" s="9">
        <f>COUNTIF(Asset_Inventory!$C$3:$C$102,A42)</f>
        <v/>
      </c>
      <c r="D42" s="9">
        <f>COUNTIFS(Asset_Inventory!$C$3:$C$102,A42,Asset_Inventory!$H$3:$H$102,"✅ Defined")</f>
        <v/>
      </c>
      <c r="E42" s="9">
        <f>COUNTIFS(Asset_Inventory!$C$3:$C$102,A42,Asset_Inventory!$H$3:$H$102,"⏳ In Progress")</f>
        <v/>
      </c>
      <c r="F42" s="9">
        <f>COUNTIFS(Asset_Inventory!$C$3:$C$102,A42,Asset_Inventory!$H$3:$H$102,"🔴 Not Started")</f>
        <v/>
      </c>
      <c r="G42" s="9">
        <f>COUNTIFS(Asset_Inventory!$C$3:$C$102,A42,Asset_Inventory!$H$3:$H$102,"➖ N/A")</f>
        <v/>
      </c>
      <c r="H42" s="10">
        <f>IF((C42-G42)=0,0,D42/(C42-G42)*100)</f>
        <v/>
      </c>
      <c r="I42" s="9">
        <f>COUNTIFS(Asset_Inventory!$C$3:$C$102,A42,Asset_Inventory!$E$3:$E$102,"🔴 Critical")</f>
        <v/>
      </c>
      <c r="J42" s="10">
        <f>IF(I42=0,0,COUNTIFS(Asset_Inventory!$C$3:$C$102,A42,Asset_Inventory!$E$3:$E$102,"🔴 Critical",Asset_Inventory!$H$3:$H$102,"✅ Defined")/I42*100)</f>
        <v/>
      </c>
      <c r="K42" s="9">
        <f>IF(H42&gt;=90,"✅ Compliant",IF(H42&gt;=60,"⚠️ Partial","❌ Non-Compliant"))</f>
        <v/>
      </c>
      <c r="L42" s="9">
        <f>IF(ISNUMBER(SEARCH("Compliant",K42)),"✅ Coverage target met",IF(F42&gt;0,F42&amp;" assets need baselines started","⏳ Review in-progress baselines"))</f>
        <v/>
      </c>
    </row>
    <row r="43">
      <c r="A43" s="9" t="inlineStr">
        <is>
          <t>SCADA System</t>
        </is>
      </c>
      <c r="B43" s="9" t="inlineStr">
        <is>
          <t>IoT/OT</t>
        </is>
      </c>
      <c r="C43" s="9">
        <f>COUNTIF(Asset_Inventory!$C$3:$C$102,A43)</f>
        <v/>
      </c>
      <c r="D43" s="9">
        <f>COUNTIFS(Asset_Inventory!$C$3:$C$102,A43,Asset_Inventory!$H$3:$H$102,"✅ Defined")</f>
        <v/>
      </c>
      <c r="E43" s="9">
        <f>COUNTIFS(Asset_Inventory!$C$3:$C$102,A43,Asset_Inventory!$H$3:$H$102,"⏳ In Progress")</f>
        <v/>
      </c>
      <c r="F43" s="9">
        <f>COUNTIFS(Asset_Inventory!$C$3:$C$102,A43,Asset_Inventory!$H$3:$H$102,"🔴 Not Started")</f>
        <v/>
      </c>
      <c r="G43" s="9">
        <f>COUNTIFS(Asset_Inventory!$C$3:$C$102,A43,Asset_Inventory!$H$3:$H$102,"➖ N/A")</f>
        <v/>
      </c>
      <c r="H43" s="10">
        <f>IF((C43-G43)=0,0,D43/(C43-G43)*100)</f>
        <v/>
      </c>
      <c r="I43" s="9">
        <f>COUNTIFS(Asset_Inventory!$C$3:$C$102,A43,Asset_Inventory!$E$3:$E$102,"🔴 Critical")</f>
        <v/>
      </c>
      <c r="J43" s="10">
        <f>IF(I43=0,0,COUNTIFS(Asset_Inventory!$C$3:$C$102,A43,Asset_Inventory!$E$3:$E$102,"🔴 Critical",Asset_Inventory!$H$3:$H$102,"✅ Defined")/I43*100)</f>
        <v/>
      </c>
      <c r="K43" s="9">
        <f>IF(H43&gt;=90,"✅ Compliant",IF(H43&gt;=60,"⚠️ Partial","❌ Non-Compliant"))</f>
        <v/>
      </c>
      <c r="L43" s="9">
        <f>IF(ISNUMBER(SEARCH("Compliant",K43)),"✅ Coverage target met",IF(F43&gt;0,F43&amp;" assets need baselines started","⏳ Review in-progress baselines"))</f>
        <v/>
      </c>
    </row>
    <row r="44">
      <c r="A44" s="9" t="inlineStr">
        <is>
          <t>Building Management System (BMS)</t>
        </is>
      </c>
      <c r="B44" s="9" t="inlineStr">
        <is>
          <t>IoT/OT</t>
        </is>
      </c>
      <c r="C44" s="9">
        <f>COUNTIF(Asset_Inventory!$C$3:$C$102,A44)</f>
        <v/>
      </c>
      <c r="D44" s="9">
        <f>COUNTIFS(Asset_Inventory!$C$3:$C$102,A44,Asset_Inventory!$H$3:$H$102,"✅ Defined")</f>
        <v/>
      </c>
      <c r="E44" s="9">
        <f>COUNTIFS(Asset_Inventory!$C$3:$C$102,A44,Asset_Inventory!$H$3:$H$102,"⏳ In Progress")</f>
        <v/>
      </c>
      <c r="F44" s="9">
        <f>COUNTIFS(Asset_Inventory!$C$3:$C$102,A44,Asset_Inventory!$H$3:$H$102,"🔴 Not Started")</f>
        <v/>
      </c>
      <c r="G44" s="9">
        <f>COUNTIFS(Asset_Inventory!$C$3:$C$102,A44,Asset_Inventory!$H$3:$H$102,"➖ N/A")</f>
        <v/>
      </c>
      <c r="H44" s="10">
        <f>IF((C44-G44)=0,0,D44/(C44-G44)*100)</f>
        <v/>
      </c>
      <c r="I44" s="9">
        <f>COUNTIFS(Asset_Inventory!$C$3:$C$102,A44,Asset_Inventory!$E$3:$E$102,"🔴 Critical")</f>
        <v/>
      </c>
      <c r="J44" s="10">
        <f>IF(I44=0,0,COUNTIFS(Asset_Inventory!$C$3:$C$102,A44,Asset_Inventory!$E$3:$E$102,"🔴 Critical",Asset_Inventory!$H$3:$H$102,"✅ Defined")/I44*100)</f>
        <v/>
      </c>
      <c r="K44" s="9">
        <f>IF(H44&gt;=90,"✅ Compliant",IF(H44&gt;=60,"⚠️ Partial","❌ Non-Compliant"))</f>
        <v/>
      </c>
      <c r="L44" s="9">
        <f>IF(ISNUMBER(SEARCH("Compliant",K44)),"✅ Coverage target met",IF(F44&gt;0,F44&amp;" assets need baselines started","⏳ Review in-progress baselines"))</f>
        <v/>
      </c>
    </row>
    <row r="45">
      <c r="A45" s="9" t="inlineStr">
        <is>
          <t>Medical Device</t>
        </is>
      </c>
      <c r="B45" s="9" t="inlineStr">
        <is>
          <t>IoT/OT</t>
        </is>
      </c>
      <c r="C45" s="9">
        <f>COUNTIF(Asset_Inventory!$C$3:$C$102,A45)</f>
        <v/>
      </c>
      <c r="D45" s="9">
        <f>COUNTIFS(Asset_Inventory!$C$3:$C$102,A45,Asset_Inventory!$H$3:$H$102,"✅ Defined")</f>
        <v/>
      </c>
      <c r="E45" s="9">
        <f>COUNTIFS(Asset_Inventory!$C$3:$C$102,A45,Asset_Inventory!$H$3:$H$102,"⏳ In Progress")</f>
        <v/>
      </c>
      <c r="F45" s="9">
        <f>COUNTIFS(Asset_Inventory!$C$3:$C$102,A45,Asset_Inventory!$H$3:$H$102,"🔴 Not Started")</f>
        <v/>
      </c>
      <c r="G45" s="9">
        <f>COUNTIFS(Asset_Inventory!$C$3:$C$102,A45,Asset_Inventory!$H$3:$H$102,"➖ N/A")</f>
        <v/>
      </c>
      <c r="H45" s="10">
        <f>IF((C45-G45)=0,0,D45/(C45-G45)*100)</f>
        <v/>
      </c>
      <c r="I45" s="9">
        <f>COUNTIFS(Asset_Inventory!$C$3:$C$102,A45,Asset_Inventory!$E$3:$E$102,"🔴 Critical")</f>
        <v/>
      </c>
      <c r="J45" s="10">
        <f>IF(I45=0,0,COUNTIFS(Asset_Inventory!$C$3:$C$102,A45,Asset_Inventory!$E$3:$E$102,"🔴 Critical",Asset_Inventory!$H$3:$H$102,"✅ Defined")/I45*100)</f>
        <v/>
      </c>
      <c r="K45" s="9">
        <f>IF(H45&gt;=90,"✅ Compliant",IF(H45&gt;=60,"⚠️ Partial","❌ Non-Compliant"))</f>
        <v/>
      </c>
      <c r="L45" s="9">
        <f>IF(ISNUMBER(SEARCH("Compliant",K45)),"✅ Coverage target met",IF(F45&gt;0,F45&amp;" assets need baselines started","⏳ Review in-progress baselines"))</f>
        <v/>
      </c>
    </row>
    <row r="46">
      <c r="A46" s="4" t="inlineStr">
        <is>
          <t>TOTAL / OVERALL</t>
        </is>
      </c>
      <c r="C46" s="4">
        <f>SUM(C3:C45)</f>
        <v/>
      </c>
      <c r="D46" s="4">
        <f>SUM(D3:D45)</f>
        <v/>
      </c>
      <c r="E46" s="4">
        <f>SUM(E3:E45)</f>
        <v/>
      </c>
      <c r="F46" s="4">
        <f>SUM(F3:F45)</f>
        <v/>
      </c>
      <c r="G46" s="4">
        <f>SUM(G3:G45)</f>
        <v/>
      </c>
      <c r="H46" s="11">
        <f>IF((C46-G46)=0,0,D46/(C46-G46)*100)</f>
        <v/>
      </c>
      <c r="I46" s="4">
        <f>SUM(I3:I45)</f>
        <v/>
      </c>
      <c r="J46" s="11">
        <f>IF(I46=0,0,COUNTIFS(Asset_Inventory!$E$3:$E$102,"🔴 Critical",Asset_Inventory!$H$3:$H$102,"✅ Defined")/I46*100)</f>
        <v/>
      </c>
      <c r="K46" s="4">
        <f>IF(H46&gt;=85,"✅ Compliant",IF(H46&gt;=70,"⚠️ Partial","❌ Non-Compliant"))</f>
        <v/>
      </c>
    </row>
  </sheetData>
  <mergeCells count="1">
    <mergeCell ref="A1:L1"/>
  </mergeCells>
  <conditionalFormatting sqref="H3:H46">
    <cfRule type="cellIs" priority="1" operator="greaterThanOrEqual" dxfId="0">
      <formula>90</formula>
    </cfRule>
    <cfRule type="cellIs" priority="2" operator="between" dxfId="1">
      <formula>60</formula>
      <formula>89.9</formula>
    </cfRule>
    <cfRule type="cellIs" priority="3" operator="lessThan" dxfId="2">
      <formula>60</formula>
    </cfRule>
  </conditionalFormatting>
  <conditionalFormatting sqref="J3:J46">
    <cfRule type="cellIs" priority="4" operator="greaterThanOrEqual" dxfId="0">
      <formula>95</formula>
    </cfRule>
    <cfRule type="cellIs" priority="5" operator="between" dxfId="1">
      <formula>80</formula>
      <formula>94.9</formula>
    </cfRule>
    <cfRule type="cellIs" priority="6" operator="lessThan" dxfId="2">
      <formula>80</formula>
    </cfRule>
  </conditionalFormatting>
  <conditionalFormatting sqref="K3:K46">
    <cfRule type="cellIs" priority="7" operator="containsText" dxfId="6">
      <formula>"Compliant"</formula>
    </cfRule>
    <cfRule type="cellIs" priority="8" operator="containsText" dxfId="7">
      <formula>"Partial"</formula>
    </cfRule>
    <cfRule type="cellIs" priority="9" operator="containsText" dxfId="8">
      <formula>"Non-Compliant"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20" customWidth="1" min="4" max="4"/>
    <col width="20" customWidth="1" min="5" max="5"/>
    <col width="15" customWidth="1" min="6" max="6"/>
    <col width="25" customWidth="1" min="7" max="7"/>
    <col width="30" customWidth="1" min="8" max="8"/>
    <col width="40" customWidth="1" min="9" max="9"/>
    <col width="15" customWidth="1" min="10" max="10"/>
    <col width="12" customWidth="1" min="11" max="11"/>
    <col width="15" customWidth="1" min="12" max="12"/>
    <col width="30" customWidth="1" min="13" max="13"/>
    <col width="40" customWidth="1" min="14" max="14"/>
  </cols>
  <sheetData>
    <row r="1" ht="30" customHeight="1">
      <c r="A1" s="7" t="inlineStr">
        <is>
          <t>Baseline Approval Tracking</t>
        </is>
      </c>
    </row>
    <row r="2" ht="30" customHeight="1">
      <c r="A2" s="6" t="inlineStr">
        <is>
          <t>Baseline ID</t>
        </is>
      </c>
      <c r="B2" s="6" t="inlineStr">
        <is>
          <t>Baseline Name</t>
        </is>
      </c>
      <c r="C2" s="6" t="inlineStr">
        <is>
          <t>Submission Date</t>
        </is>
      </c>
      <c r="D2" s="6" t="inlineStr">
        <is>
          <t>Approver Name</t>
        </is>
      </c>
      <c r="E2" s="6" t="inlineStr">
        <is>
          <t>Approval Status</t>
        </is>
      </c>
      <c r="F2" s="6" t="inlineStr">
        <is>
          <t>Approval Date</t>
        </is>
      </c>
      <c r="G2" s="6" t="inlineStr">
        <is>
          <t>Approval Method</t>
        </is>
      </c>
      <c r="H2" s="6" t="inlineStr">
        <is>
          <t>Approval Reference</t>
        </is>
      </c>
      <c r="I2" s="6" t="inlineStr">
        <is>
          <t>Business Justification</t>
        </is>
      </c>
      <c r="J2" s="6" t="inlineStr">
        <is>
          <t>Risk Assessment</t>
        </is>
      </c>
      <c r="K2" s="6" t="inlineStr">
        <is>
          <t>Days Pending</t>
        </is>
      </c>
      <c r="L2" s="6" t="inlineStr">
        <is>
          <t>SLA Status</t>
        </is>
      </c>
      <c r="M2" s="6" t="inlineStr">
        <is>
          <t>Next Action</t>
        </is>
      </c>
      <c r="N2" s="6" t="inlineStr">
        <is>
          <t>Notes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9">
        <f>IF(C3="","",IF(F3="",TODAY()-C3,F3-C3))</f>
        <v/>
      </c>
      <c r="L3" s="9">
        <f>IF(K3="","",IF(K3&lt;=14,"Within SLA",IF(K3&lt;=21,"Approaching SLA","SLA Breach")))</f>
        <v/>
      </c>
      <c r="M3" s="8" t="n"/>
      <c r="N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9">
        <f>IF(C4="","",IF(F4="",TODAY()-C4,F4-C4))</f>
        <v/>
      </c>
      <c r="L4" s="9">
        <f>IF(K4="","",IF(K4&lt;=14,"Within SLA",IF(K4&lt;=21,"Approaching SLA","SLA Breach")))</f>
        <v/>
      </c>
      <c r="M4" s="8" t="n"/>
      <c r="N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9">
        <f>IF(C5="","",IF(F5="",TODAY()-C5,F5-C5))</f>
        <v/>
      </c>
      <c r="L5" s="9">
        <f>IF(K5="","",IF(K5&lt;=14,"Within SLA",IF(K5&lt;=21,"Approaching SLA","SLA Breach")))</f>
        <v/>
      </c>
      <c r="M5" s="8" t="n"/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9">
        <f>IF(C6="","",IF(F6="",TODAY()-C6,F6-C6))</f>
        <v/>
      </c>
      <c r="L6" s="9">
        <f>IF(K6="","",IF(K6&lt;=14,"Within SLA",IF(K6&lt;=21,"Approaching SLA","SLA Breach")))</f>
        <v/>
      </c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9">
        <f>IF(C7="","",IF(F7="",TODAY()-C7,F7-C7))</f>
        <v/>
      </c>
      <c r="L7" s="9">
        <f>IF(K7="","",IF(K7&lt;=14,"Within SLA",IF(K7&lt;=21,"Approaching SLA","SLA Breach")))</f>
        <v/>
      </c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9">
        <f>IF(C8="","",IF(F8="",TODAY()-C8,F8-C8))</f>
        <v/>
      </c>
      <c r="L8" s="9">
        <f>IF(K8="","",IF(K8&lt;=14,"Within SLA",IF(K8&lt;=21,"Approaching SLA","SLA Breach")))</f>
        <v/>
      </c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9">
        <f>IF(C9="","",IF(F9="",TODAY()-C9,F9-C9))</f>
        <v/>
      </c>
      <c r="L9" s="9">
        <f>IF(K9="","",IF(K9&lt;=14,"Within SLA",IF(K9&lt;=21,"Approaching SLA","SLA Breach")))</f>
        <v/>
      </c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9">
        <f>IF(C10="","",IF(F10="",TODAY()-C10,F10-C10))</f>
        <v/>
      </c>
      <c r="L10" s="9">
        <f>IF(K10="","",IF(K10&lt;=14,"Within SLA",IF(K10&lt;=21,"Approaching SLA","SLA Breach")))</f>
        <v/>
      </c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9">
        <f>IF(C11="","",IF(F11="",TODAY()-C11,F11-C11))</f>
        <v/>
      </c>
      <c r="L11" s="9">
        <f>IF(K11="","",IF(K11&lt;=14,"Within SLA",IF(K11&lt;=21,"Approaching SLA","SLA Breach")))</f>
        <v/>
      </c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9">
        <f>IF(C12="","",IF(F12="",TODAY()-C12,F12-C12))</f>
        <v/>
      </c>
      <c r="L12" s="9">
        <f>IF(K12="","",IF(K12&lt;=14,"Within SLA",IF(K12&lt;=21,"Approaching SLA","SLA Breach")))</f>
        <v/>
      </c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9">
        <f>IF(C13="","",IF(F13="",TODAY()-C13,F13-C13))</f>
        <v/>
      </c>
      <c r="L13" s="9">
        <f>IF(K13="","",IF(K13&lt;=14,"Within SLA",IF(K13&lt;=21,"Approaching SLA","SLA Breach")))</f>
        <v/>
      </c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9">
        <f>IF(C14="","",IF(F14="",TODAY()-C14,F14-C14))</f>
        <v/>
      </c>
      <c r="L14" s="9">
        <f>IF(K14="","",IF(K14&lt;=14,"Within SLA",IF(K14&lt;=21,"Approaching SLA","SLA Breach")))</f>
        <v/>
      </c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>
        <f>IF(C15="","",IF(F15="",TODAY()-C15,F15-C15))</f>
        <v/>
      </c>
      <c r="L15" s="9">
        <f>IF(K15="","",IF(K15&lt;=14,"Within SLA",IF(K15&lt;=21,"Approaching SLA","SLA Breach")))</f>
        <v/>
      </c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9">
        <f>IF(C16="","",IF(F16="",TODAY()-C16,F16-C16))</f>
        <v/>
      </c>
      <c r="L16" s="9">
        <f>IF(K16="","",IF(K16&lt;=14,"Within SLA",IF(K16&lt;=21,"Approaching SLA","SLA Breach")))</f>
        <v/>
      </c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9">
        <f>IF(C17="","",IF(F17="",TODAY()-C17,F17-C17))</f>
        <v/>
      </c>
      <c r="L17" s="9">
        <f>IF(K17="","",IF(K17&lt;=14,"Within SLA",IF(K17&lt;=21,"Approaching SLA","SLA Breach")))</f>
        <v/>
      </c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9">
        <f>IF(C18="","",IF(F18="",TODAY()-C18,F18-C18))</f>
        <v/>
      </c>
      <c r="L18" s="9">
        <f>IF(K18="","",IF(K18&lt;=14,"Within SLA",IF(K18&lt;=21,"Approaching SLA","SLA Breach")))</f>
        <v/>
      </c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9">
        <f>IF(C19="","",IF(F19="",TODAY()-C19,F19-C19))</f>
        <v/>
      </c>
      <c r="L19" s="9">
        <f>IF(K19="","",IF(K19&lt;=14,"Within SLA",IF(K19&lt;=21,"Approaching SLA","SLA Breach")))</f>
        <v/>
      </c>
      <c r="M19" s="8" t="n"/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9">
        <f>IF(C20="","",IF(F20="",TODAY()-C20,F20-C20))</f>
        <v/>
      </c>
      <c r="L20" s="9">
        <f>IF(K20="","",IF(K20&lt;=14,"Within SLA",IF(K20&lt;=21,"Approaching SLA","SLA Breach")))</f>
        <v/>
      </c>
      <c r="M20" s="8" t="n"/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9">
        <f>IF(C21="","",IF(F21="",TODAY()-C21,F21-C21))</f>
        <v/>
      </c>
      <c r="L21" s="9">
        <f>IF(K21="","",IF(K21&lt;=14,"Within SLA",IF(K21&lt;=21,"Approaching SLA","SLA Breach")))</f>
        <v/>
      </c>
      <c r="M21" s="8" t="n"/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9">
        <f>IF(C22="","",IF(F22="",TODAY()-C22,F22-C22))</f>
        <v/>
      </c>
      <c r="L22" s="9">
        <f>IF(K22="","",IF(K22&lt;=14,"Within SLA",IF(K22&lt;=21,"Approaching SLA","SLA Breach")))</f>
        <v/>
      </c>
      <c r="M22" s="8" t="n"/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9">
        <f>IF(C23="","",IF(F23="",TODAY()-C23,F23-C23))</f>
        <v/>
      </c>
      <c r="L23" s="9">
        <f>IF(K23="","",IF(K23&lt;=14,"Within SLA",IF(K23&lt;=21,"Approaching SLA","SLA Breach")))</f>
        <v/>
      </c>
      <c r="M23" s="8" t="n"/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9">
        <f>IF(C24="","",IF(F24="",TODAY()-C24,F24-C24))</f>
        <v/>
      </c>
      <c r="L24" s="9">
        <f>IF(K24="","",IF(K24&lt;=14,"Within SLA",IF(K24&lt;=21,"Approaching SLA","SLA Breach")))</f>
        <v/>
      </c>
      <c r="M24" s="8" t="n"/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9">
        <f>IF(C25="","",IF(F25="",TODAY()-C25,F25-C25))</f>
        <v/>
      </c>
      <c r="L25" s="9">
        <f>IF(K25="","",IF(K25&lt;=14,"Within SLA",IF(K25&lt;=21,"Approaching SLA","SLA Breach")))</f>
        <v/>
      </c>
      <c r="M25" s="8" t="n"/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9">
        <f>IF(C26="","",IF(F26="",TODAY()-C26,F26-C26))</f>
        <v/>
      </c>
      <c r="L26" s="9">
        <f>IF(K26="","",IF(K26&lt;=14,"Within SLA",IF(K26&lt;=21,"Approaching SLA","SLA Breach")))</f>
        <v/>
      </c>
      <c r="M26" s="8" t="n"/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9">
        <f>IF(C27="","",IF(F27="",TODAY()-C27,F27-C27))</f>
        <v/>
      </c>
      <c r="L27" s="9">
        <f>IF(K27="","",IF(K27&lt;=14,"Within SLA",IF(K27&lt;=21,"Approaching SLA","SLA Breach")))</f>
        <v/>
      </c>
      <c r="M27" s="8" t="n"/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9">
        <f>IF(C28="","",IF(F28="",TODAY()-C28,F28-C28))</f>
        <v/>
      </c>
      <c r="L28" s="9">
        <f>IF(K28="","",IF(K28&lt;=14,"Within SLA",IF(K28&lt;=21,"Approaching SLA","SLA Breach")))</f>
        <v/>
      </c>
      <c r="M28" s="8" t="n"/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9">
        <f>IF(C29="","",IF(F29="",TODAY()-C29,F29-C29))</f>
        <v/>
      </c>
      <c r="L29" s="9">
        <f>IF(K29="","",IF(K29&lt;=14,"Within SLA",IF(K29&lt;=21,"Approaching SLA","SLA Breach")))</f>
        <v/>
      </c>
      <c r="M29" s="8" t="n"/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9">
        <f>IF(C30="","",IF(F30="",TODAY()-C30,F30-C30))</f>
        <v/>
      </c>
      <c r="L30" s="9">
        <f>IF(K30="","",IF(K30&lt;=14,"Within SLA",IF(K30&lt;=21,"Approaching SLA","SLA Breach")))</f>
        <v/>
      </c>
      <c r="M30" s="8" t="n"/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9">
        <f>IF(C31="","",IF(F31="",TODAY()-C31,F31-C31))</f>
        <v/>
      </c>
      <c r="L31" s="9">
        <f>IF(K31="","",IF(K31&lt;=14,"Within SLA",IF(K31&lt;=21,"Approaching SLA","SLA Breach")))</f>
        <v/>
      </c>
      <c r="M31" s="8" t="n"/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9">
        <f>IF(C32="","",IF(F32="",TODAY()-C32,F32-C32))</f>
        <v/>
      </c>
      <c r="L32" s="9">
        <f>IF(K32="","",IF(K32&lt;=14,"Within SLA",IF(K32&lt;=21,"Approaching SLA","SLA Breach")))</f>
        <v/>
      </c>
      <c r="M32" s="8" t="n"/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9">
        <f>IF(C33="","",IF(F33="",TODAY()-C33,F33-C33))</f>
        <v/>
      </c>
      <c r="L33" s="9">
        <f>IF(K33="","",IF(K33&lt;=14,"Within SLA",IF(K33&lt;=21,"Approaching SLA","SLA Breach")))</f>
        <v/>
      </c>
      <c r="M33" s="8" t="n"/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9">
        <f>IF(C34="","",IF(F34="",TODAY()-C34,F34-C34))</f>
        <v/>
      </c>
      <c r="L34" s="9">
        <f>IF(K34="","",IF(K34&lt;=14,"Within SLA",IF(K34&lt;=21,"Approaching SLA","SLA Breach")))</f>
        <v/>
      </c>
      <c r="M34" s="8" t="n"/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9">
        <f>IF(C35="","",IF(F35="",TODAY()-C35,F35-C35))</f>
        <v/>
      </c>
      <c r="L35" s="9">
        <f>IF(K35="","",IF(K35&lt;=14,"Within SLA",IF(K35&lt;=21,"Approaching SLA","SLA Breach")))</f>
        <v/>
      </c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9">
        <f>IF(C36="","",IF(F36="",TODAY()-C36,F36-C36))</f>
        <v/>
      </c>
      <c r="L36" s="9">
        <f>IF(K36="","",IF(K36&lt;=14,"Within SLA",IF(K36&lt;=21,"Approaching SLA","SLA Breach")))</f>
        <v/>
      </c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9">
        <f>IF(C37="","",IF(F37="",TODAY()-C37,F37-C37))</f>
        <v/>
      </c>
      <c r="L37" s="9">
        <f>IF(K37="","",IF(K37&lt;=14,"Within SLA",IF(K37&lt;=21,"Approaching SLA","SLA Breach")))</f>
        <v/>
      </c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9">
        <f>IF(C38="","",IF(F38="",TODAY()-C38,F38-C38))</f>
        <v/>
      </c>
      <c r="L38" s="9">
        <f>IF(K38="","",IF(K38&lt;=14,"Within SLA",IF(K38&lt;=21,"Approaching SLA","SLA Breach")))</f>
        <v/>
      </c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9">
        <f>IF(C39="","",IF(F39="",TODAY()-C39,F39-C39))</f>
        <v/>
      </c>
      <c r="L39" s="9">
        <f>IF(K39="","",IF(K39&lt;=14,"Within SLA",IF(K39&lt;=21,"Approaching SLA","SLA Breach")))</f>
        <v/>
      </c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9">
        <f>IF(C40="","",IF(F40="",TODAY()-C40,F40-C40))</f>
        <v/>
      </c>
      <c r="L40" s="9">
        <f>IF(K40="","",IF(K40&lt;=14,"Within SLA",IF(K40&lt;=21,"Approaching SLA","SLA Breach")))</f>
        <v/>
      </c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9">
        <f>IF(C41="","",IF(F41="",TODAY()-C41,F41-C41))</f>
        <v/>
      </c>
      <c r="L41" s="9">
        <f>IF(K41="","",IF(K41&lt;=14,"Within SLA",IF(K41&lt;=21,"Approaching SLA","SLA Breach")))</f>
        <v/>
      </c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9">
        <f>IF(C42="","",IF(F42="",TODAY()-C42,F42-C42))</f>
        <v/>
      </c>
      <c r="L42" s="9">
        <f>IF(K42="","",IF(K42&lt;=14,"Within SLA",IF(K42&lt;=21,"Approaching SLA","SLA Breach")))</f>
        <v/>
      </c>
      <c r="M42" s="8" t="n"/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9">
        <f>IF(C43="","",IF(F43="",TODAY()-C43,F43-C43))</f>
        <v/>
      </c>
      <c r="L43" s="9">
        <f>IF(K43="","",IF(K43&lt;=14,"Within SLA",IF(K43&lt;=21,"Approaching SLA","SLA Breach")))</f>
        <v/>
      </c>
      <c r="M43" s="8" t="n"/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9">
        <f>IF(C44="","",IF(F44="",TODAY()-C44,F44-C44))</f>
        <v/>
      </c>
      <c r="L44" s="9">
        <f>IF(K44="","",IF(K44&lt;=14,"Within SLA",IF(K44&lt;=21,"Approaching SLA","SLA Breach")))</f>
        <v/>
      </c>
      <c r="M44" s="8" t="n"/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9">
        <f>IF(C45="","",IF(F45="",TODAY()-C45,F45-C45))</f>
        <v/>
      </c>
      <c r="L45" s="9">
        <f>IF(K45="","",IF(K45&lt;=14,"Within SLA",IF(K45&lt;=21,"Approaching SLA","SLA Breach")))</f>
        <v/>
      </c>
      <c r="M45" s="8" t="n"/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9">
        <f>IF(C46="","",IF(F46="",TODAY()-C46,F46-C46))</f>
        <v/>
      </c>
      <c r="L46" s="9">
        <f>IF(K46="","",IF(K46&lt;=14,"Within SLA",IF(K46&lt;=21,"Approaching SLA","SLA Breach")))</f>
        <v/>
      </c>
      <c r="M46" s="8" t="n"/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9">
        <f>IF(C47="","",IF(F47="",TODAY()-C47,F47-C47))</f>
        <v/>
      </c>
      <c r="L47" s="9">
        <f>IF(K47="","",IF(K47&lt;=14,"Within SLA",IF(K47&lt;=21,"Approaching SLA","SLA Breach")))</f>
        <v/>
      </c>
      <c r="M47" s="8" t="n"/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9">
        <f>IF(C48="","",IF(F48="",TODAY()-C48,F48-C48))</f>
        <v/>
      </c>
      <c r="L48" s="9">
        <f>IF(K48="","",IF(K48&lt;=14,"Within SLA",IF(K48&lt;=21,"Approaching SLA","SLA Breach")))</f>
        <v/>
      </c>
      <c r="M48" s="8" t="n"/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9">
        <f>IF(C49="","",IF(F49="",TODAY()-C49,F49-C49))</f>
        <v/>
      </c>
      <c r="L49" s="9">
        <f>IF(K49="","",IF(K49&lt;=14,"Within SLA",IF(K49&lt;=21,"Approaching SLA","SLA Breach")))</f>
        <v/>
      </c>
      <c r="M49" s="8" t="n"/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9">
        <f>IF(C50="","",IF(F50="",TODAY()-C50,F50-C50))</f>
        <v/>
      </c>
      <c r="L50" s="9">
        <f>IF(K50="","",IF(K50&lt;=14,"Within SLA",IF(K50&lt;=21,"Approaching SLA","SLA Breach")))</f>
        <v/>
      </c>
      <c r="M50" s="8" t="n"/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9">
        <f>IF(C51="","",IF(F51="",TODAY()-C51,F51-C51))</f>
        <v/>
      </c>
      <c r="L51" s="9">
        <f>IF(K51="","",IF(K51&lt;=14,"Within SLA",IF(K51&lt;=21,"Approaching SLA","SLA Breach")))</f>
        <v/>
      </c>
      <c r="M51" s="8" t="n"/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9">
        <f>IF(C52="","",IF(F52="",TODAY()-C52,F52-C52))</f>
        <v/>
      </c>
      <c r="L52" s="9">
        <f>IF(K52="","",IF(K52&lt;=14,"Within SLA",IF(K52&lt;=21,"Approaching SLA","SLA Breach")))</f>
        <v/>
      </c>
      <c r="M52" s="8" t="n"/>
      <c r="N52" s="8" t="n"/>
    </row>
  </sheetData>
  <mergeCells count="1">
    <mergeCell ref="A1:N1"/>
  </mergeCells>
  <conditionalFormatting sqref="E3:E52">
    <cfRule type="cellIs" priority="1" operator="equal" dxfId="0">
      <formula>"Approved"</formula>
    </cfRule>
    <cfRule type="cellIs" priority="2" operator="equal" dxfId="1">
      <formula>"Under Review"</formula>
    </cfRule>
    <cfRule type="cellIs" priority="3" operator="equal" dxfId="2">
      <formula>"Rejected"</formula>
    </cfRule>
  </conditionalFormatting>
  <conditionalFormatting sqref="L3:L52">
    <cfRule type="cellIs" priority="4" operator="equal" dxfId="9">
      <formula>"Within SLA"</formula>
    </cfRule>
    <cfRule type="cellIs" priority="5" operator="equal" dxfId="7">
      <formula>"Approaching SLA"</formula>
    </cfRule>
    <cfRule type="cellIs" priority="6" operator="equal" dxfId="8">
      <formula>"SLA Breach"</formula>
    </cfRule>
  </conditionalFormatting>
  <conditionalFormatting sqref="K3:K52">
    <cfRule type="cellIs" priority="7" operator="greaterThan" dxfId="2">
      <formula>21</formula>
    </cfRule>
  </conditionalFormatting>
  <dataValidations count="3">
    <dataValidation sqref="E3:E52" showDropDown="0" showInputMessage="0" showErrorMessage="0" allowBlank="0" errorTitle="Invalid Entry" error="Invalid entry" promptTitle="Selection Required" prompt="Please select from the dropdown" type="list">
      <formula1>"📝 Pending Submission,📤 Submitted,🔍 Under Review,✅ Approved,❌ Rejected,ὌB Revisions Requested"</formula1>
    </dataValidation>
    <dataValidation sqref="G3:G52" showDropDown="0" showInputMessage="0" showErrorMessage="0" allowBlank="1" errorTitle="Invalid Entry" error="Invalid entry" promptTitle="Selection Required" prompt="Please select from the dropdown" type="list">
      <formula1>"Change Advisory Board,Email Approval,Manager Sign-Off,Governance Committee,Automated Process"</formula1>
    </dataValidation>
    <dataValidation sqref="J3:J52" showDropDown="0" showInputMessage="0" showErrorMessage="0" allowBlank="1" errorTitle="Invalid Entry" error="Invalid entry" promptTitle="Selection Required" prompt="Please select from the dropdown" type="list">
      <formula1>"⭕ Low,🟢 Medium,🟡 High"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8" customWidth="1" min="5" max="5"/>
    <col width="12" customWidth="1" min="6" max="6"/>
    <col width="18" customWidth="1" min="7" max="7"/>
    <col width="12" customWidth="1" min="8" max="8"/>
    <col width="18" customWidth="1" min="9" max="9"/>
    <col width="12" customWidth="1" min="10" max="10"/>
    <col width="15" customWidth="1" min="11" max="11"/>
    <col width="15" customWidth="1" min="12" max="12"/>
    <col width="40" customWidth="1" min="13" max="13"/>
    <col width="15" customWidth="1" min="14" max="14"/>
    <col width="15" customWidth="1" min="15" max="15"/>
  </cols>
  <sheetData>
    <row r="1" ht="30" customHeight="1">
      <c r="A1" s="7" t="inlineStr">
        <is>
          <t>Baseline Documentation Quality Assessment</t>
        </is>
      </c>
    </row>
    <row r="2" ht="30" customHeight="1">
      <c r="A2" s="6" t="inlineStr">
        <is>
          <t>Baseline ID</t>
        </is>
      </c>
      <c r="B2" s="6" t="inlineStr">
        <is>
          <t>Baseline Name</t>
        </is>
      </c>
      <c r="C2" s="6" t="inlineStr">
        <is>
          <t>Documentation Completeness</t>
        </is>
      </c>
      <c r="D2" s="6" t="inlineStr">
        <is>
          <t>Completeness Score</t>
        </is>
      </c>
      <c r="E2" s="6" t="inlineStr">
        <is>
          <t>Documentation Accuracy</t>
        </is>
      </c>
      <c r="F2" s="6" t="inlineStr">
        <is>
          <t>Accuracy Score</t>
        </is>
      </c>
      <c r="G2" s="6" t="inlineStr">
        <is>
          <t>Maintainability</t>
        </is>
      </c>
      <c r="H2" s="6" t="inlineStr">
        <is>
          <t>Maintainability Score</t>
        </is>
      </c>
      <c r="I2" s="6" t="inlineStr">
        <is>
          <t>Accessibility</t>
        </is>
      </c>
      <c r="J2" s="6" t="inlineStr">
        <is>
          <t>Accessibility Score</t>
        </is>
      </c>
      <c r="K2" s="6" t="inlineStr">
        <is>
          <t>Overall Quality Score</t>
        </is>
      </c>
      <c r="L2" s="6" t="inlineStr">
        <is>
          <t>Quality Rating</t>
        </is>
      </c>
      <c r="M2" s="6" t="inlineStr">
        <is>
          <t>Gaps Identified</t>
        </is>
      </c>
      <c r="N2" s="6" t="inlineStr">
        <is>
          <t>Remediation Priority</t>
        </is>
      </c>
      <c r="O2" s="6" t="inlineStr">
        <is>
          <t>Target Completion Date</t>
        </is>
      </c>
    </row>
    <row r="3">
      <c r="A3" s="8" t="n"/>
      <c r="B3" s="8" t="n"/>
      <c r="C3" s="8" t="n"/>
      <c r="D3" s="9">
        <f>IF(C3="Comprehensive",100,IF(C3="Adequate",75,IF(C3="Insufficient",40,IF(C3="Missing",0,""))))</f>
        <v/>
      </c>
      <c r="E3" s="8" t="n"/>
      <c r="F3" s="9">
        <f>IF(E3="Verified Accurate",100,IF(E3="Mostly Accurate",75,IF(E3="Contains Errors",40,IF(E3="Not Verified",0,""))))</f>
        <v/>
      </c>
      <c r="G3" s="8" t="n"/>
      <c r="H3" s="9">
        <f>IF(G3="Easy to Update",100,IF(G3="Moderate Effort",75,IF(G3="Difficult",40,IF(G3="Not Maintainable",0,""))))</f>
        <v/>
      </c>
      <c r="I3" s="8" t="n"/>
      <c r="J3" s="9">
        <f>IF(I3="Highly Accessible",100,IF(I3="Accessible",75,IF(I3="Limited Access",40,IF(I3="Not Accessible",0,""))))</f>
        <v/>
      </c>
      <c r="K3" s="10">
        <f>IF(AND(D3="",F3="",H3="",J3=""),"",(D3+F3+H3+J3)/4)</f>
        <v/>
      </c>
      <c r="L3" s="9">
        <f>IF(K3="","",IF(K3&gt;=90,"Excellent",IF(K3&gt;=75,"Good",IF(K3&gt;=50,"Fair","Poor"))))</f>
        <v/>
      </c>
      <c r="M3" s="8" t="n"/>
      <c r="N3" s="8" t="n"/>
      <c r="O3" s="8" t="n"/>
    </row>
    <row r="4">
      <c r="A4" s="8" t="n"/>
      <c r="B4" s="8" t="n"/>
      <c r="C4" s="8" t="n"/>
      <c r="D4" s="9">
        <f>IF(C4="Comprehensive",100,IF(C4="Adequate",75,IF(C4="Insufficient",40,IF(C4="Missing",0,""))))</f>
        <v/>
      </c>
      <c r="E4" s="8" t="n"/>
      <c r="F4" s="9">
        <f>IF(E4="Verified Accurate",100,IF(E4="Mostly Accurate",75,IF(E4="Contains Errors",40,IF(E4="Not Verified",0,""))))</f>
        <v/>
      </c>
      <c r="G4" s="8" t="n"/>
      <c r="H4" s="9">
        <f>IF(G4="Easy to Update",100,IF(G4="Moderate Effort",75,IF(G4="Difficult",40,IF(G4="Not Maintainable",0,""))))</f>
        <v/>
      </c>
      <c r="I4" s="8" t="n"/>
      <c r="J4" s="9">
        <f>IF(I4="Highly Accessible",100,IF(I4="Accessible",75,IF(I4="Limited Access",40,IF(I4="Not Accessible",0,""))))</f>
        <v/>
      </c>
      <c r="K4" s="10">
        <f>IF(AND(D4="",F4="",H4="",J4=""),"",(D4+F4+H4+J4)/4)</f>
        <v/>
      </c>
      <c r="L4" s="9">
        <f>IF(K4="","",IF(K4&gt;=90,"Excellent",IF(K4&gt;=75,"Good",IF(K4&gt;=50,"Fair","Poor"))))</f>
        <v/>
      </c>
      <c r="M4" s="8" t="n"/>
      <c r="N4" s="8" t="n"/>
      <c r="O4" s="8" t="n"/>
    </row>
    <row r="5">
      <c r="A5" s="8" t="n"/>
      <c r="B5" s="8" t="n"/>
      <c r="C5" s="8" t="n"/>
      <c r="D5" s="9">
        <f>IF(C5="Comprehensive",100,IF(C5="Adequate",75,IF(C5="Insufficient",40,IF(C5="Missing",0,""))))</f>
        <v/>
      </c>
      <c r="E5" s="8" t="n"/>
      <c r="F5" s="9">
        <f>IF(E5="Verified Accurate",100,IF(E5="Mostly Accurate",75,IF(E5="Contains Errors",40,IF(E5="Not Verified",0,""))))</f>
        <v/>
      </c>
      <c r="G5" s="8" t="n"/>
      <c r="H5" s="9">
        <f>IF(G5="Easy to Update",100,IF(G5="Moderate Effort",75,IF(G5="Difficult",40,IF(G5="Not Maintainable",0,""))))</f>
        <v/>
      </c>
      <c r="I5" s="8" t="n"/>
      <c r="J5" s="9">
        <f>IF(I5="Highly Accessible",100,IF(I5="Accessible",75,IF(I5="Limited Access",40,IF(I5="Not Accessible",0,""))))</f>
        <v/>
      </c>
      <c r="K5" s="10">
        <f>IF(AND(D5="",F5="",H5="",J5=""),"",(D5+F5+H5+J5)/4)</f>
        <v/>
      </c>
      <c r="L5" s="9">
        <f>IF(K5="","",IF(K5&gt;=90,"Excellent",IF(K5&gt;=75,"Good",IF(K5&gt;=50,"Fair","Poor"))))</f>
        <v/>
      </c>
      <c r="M5" s="8" t="n"/>
      <c r="N5" s="8" t="n"/>
      <c r="O5" s="8" t="n"/>
    </row>
    <row r="6">
      <c r="A6" s="8" t="n"/>
      <c r="B6" s="8" t="n"/>
      <c r="C6" s="8" t="n"/>
      <c r="D6" s="9">
        <f>IF(C6="Comprehensive",100,IF(C6="Adequate",75,IF(C6="Insufficient",40,IF(C6="Missing",0,""))))</f>
        <v/>
      </c>
      <c r="E6" s="8" t="n"/>
      <c r="F6" s="9">
        <f>IF(E6="Verified Accurate",100,IF(E6="Mostly Accurate",75,IF(E6="Contains Errors",40,IF(E6="Not Verified",0,""))))</f>
        <v/>
      </c>
      <c r="G6" s="8" t="n"/>
      <c r="H6" s="9">
        <f>IF(G6="Easy to Update",100,IF(G6="Moderate Effort",75,IF(G6="Difficult",40,IF(G6="Not Maintainable",0,""))))</f>
        <v/>
      </c>
      <c r="I6" s="8" t="n"/>
      <c r="J6" s="9">
        <f>IF(I6="Highly Accessible",100,IF(I6="Accessible",75,IF(I6="Limited Access",40,IF(I6="Not Accessible",0,""))))</f>
        <v/>
      </c>
      <c r="K6" s="10">
        <f>IF(AND(D6="",F6="",H6="",J6=""),"",(D6+F6+H6+J6)/4)</f>
        <v/>
      </c>
      <c r="L6" s="9">
        <f>IF(K6="","",IF(K6&gt;=90,"Excellent",IF(K6&gt;=75,"Good",IF(K6&gt;=50,"Fair","Poor"))))</f>
        <v/>
      </c>
      <c r="M6" s="8" t="n"/>
      <c r="N6" s="8" t="n"/>
      <c r="O6" s="8" t="n"/>
    </row>
    <row r="7">
      <c r="A7" s="8" t="n"/>
      <c r="B7" s="8" t="n"/>
      <c r="C7" s="8" t="n"/>
      <c r="D7" s="9">
        <f>IF(C7="Comprehensive",100,IF(C7="Adequate",75,IF(C7="Insufficient",40,IF(C7="Missing",0,""))))</f>
        <v/>
      </c>
      <c r="E7" s="8" t="n"/>
      <c r="F7" s="9">
        <f>IF(E7="Verified Accurate",100,IF(E7="Mostly Accurate",75,IF(E7="Contains Errors",40,IF(E7="Not Verified",0,""))))</f>
        <v/>
      </c>
      <c r="G7" s="8" t="n"/>
      <c r="H7" s="9">
        <f>IF(G7="Easy to Update",100,IF(G7="Moderate Effort",75,IF(G7="Difficult",40,IF(G7="Not Maintainable",0,""))))</f>
        <v/>
      </c>
      <c r="I7" s="8" t="n"/>
      <c r="J7" s="9">
        <f>IF(I7="Highly Accessible",100,IF(I7="Accessible",75,IF(I7="Limited Access",40,IF(I7="Not Accessible",0,""))))</f>
        <v/>
      </c>
      <c r="K7" s="10">
        <f>IF(AND(D7="",F7="",H7="",J7=""),"",(D7+F7+H7+J7)/4)</f>
        <v/>
      </c>
      <c r="L7" s="9">
        <f>IF(K7="","",IF(K7&gt;=90,"Excellent",IF(K7&gt;=75,"Good",IF(K7&gt;=50,"Fair","Poor"))))</f>
        <v/>
      </c>
      <c r="M7" s="8" t="n"/>
      <c r="N7" s="8" t="n"/>
      <c r="O7" s="8" t="n"/>
    </row>
    <row r="8">
      <c r="A8" s="8" t="n"/>
      <c r="B8" s="8" t="n"/>
      <c r="C8" s="8" t="n"/>
      <c r="D8" s="9">
        <f>IF(C8="Comprehensive",100,IF(C8="Adequate",75,IF(C8="Insufficient",40,IF(C8="Missing",0,""))))</f>
        <v/>
      </c>
      <c r="E8" s="8" t="n"/>
      <c r="F8" s="9">
        <f>IF(E8="Verified Accurate",100,IF(E8="Mostly Accurate",75,IF(E8="Contains Errors",40,IF(E8="Not Verified",0,""))))</f>
        <v/>
      </c>
      <c r="G8" s="8" t="n"/>
      <c r="H8" s="9">
        <f>IF(G8="Easy to Update",100,IF(G8="Moderate Effort",75,IF(G8="Difficult",40,IF(G8="Not Maintainable",0,""))))</f>
        <v/>
      </c>
      <c r="I8" s="8" t="n"/>
      <c r="J8" s="9">
        <f>IF(I8="Highly Accessible",100,IF(I8="Accessible",75,IF(I8="Limited Access",40,IF(I8="Not Accessible",0,""))))</f>
        <v/>
      </c>
      <c r="K8" s="10">
        <f>IF(AND(D8="",F8="",H8="",J8=""),"",(D8+F8+H8+J8)/4)</f>
        <v/>
      </c>
      <c r="L8" s="9">
        <f>IF(K8="","",IF(K8&gt;=90,"Excellent",IF(K8&gt;=75,"Good",IF(K8&gt;=50,"Fair","Poor"))))</f>
        <v/>
      </c>
      <c r="M8" s="8" t="n"/>
      <c r="N8" s="8" t="n"/>
      <c r="O8" s="8" t="n"/>
    </row>
    <row r="9">
      <c r="A9" s="8" t="n"/>
      <c r="B9" s="8" t="n"/>
      <c r="C9" s="8" t="n"/>
      <c r="D9" s="9">
        <f>IF(C9="Comprehensive",100,IF(C9="Adequate",75,IF(C9="Insufficient",40,IF(C9="Missing",0,""))))</f>
        <v/>
      </c>
      <c r="E9" s="8" t="n"/>
      <c r="F9" s="9">
        <f>IF(E9="Verified Accurate",100,IF(E9="Mostly Accurate",75,IF(E9="Contains Errors",40,IF(E9="Not Verified",0,""))))</f>
        <v/>
      </c>
      <c r="G9" s="8" t="n"/>
      <c r="H9" s="9">
        <f>IF(G9="Easy to Update",100,IF(G9="Moderate Effort",75,IF(G9="Difficult",40,IF(G9="Not Maintainable",0,""))))</f>
        <v/>
      </c>
      <c r="I9" s="8" t="n"/>
      <c r="J9" s="9">
        <f>IF(I9="Highly Accessible",100,IF(I9="Accessible",75,IF(I9="Limited Access",40,IF(I9="Not Accessible",0,""))))</f>
        <v/>
      </c>
      <c r="K9" s="10">
        <f>IF(AND(D9="",F9="",H9="",J9=""),"",(D9+F9+H9+J9)/4)</f>
        <v/>
      </c>
      <c r="L9" s="9">
        <f>IF(K9="","",IF(K9&gt;=90,"Excellent",IF(K9&gt;=75,"Good",IF(K9&gt;=50,"Fair","Poor"))))</f>
        <v/>
      </c>
      <c r="M9" s="8" t="n"/>
      <c r="N9" s="8" t="n"/>
      <c r="O9" s="8" t="n"/>
    </row>
    <row r="10">
      <c r="A10" s="8" t="n"/>
      <c r="B10" s="8" t="n"/>
      <c r="C10" s="8" t="n"/>
      <c r="D10" s="9">
        <f>IF(C10="Comprehensive",100,IF(C10="Adequate",75,IF(C10="Insufficient",40,IF(C10="Missing",0,""))))</f>
        <v/>
      </c>
      <c r="E10" s="8" t="n"/>
      <c r="F10" s="9">
        <f>IF(E10="Verified Accurate",100,IF(E10="Mostly Accurate",75,IF(E10="Contains Errors",40,IF(E10="Not Verified",0,""))))</f>
        <v/>
      </c>
      <c r="G10" s="8" t="n"/>
      <c r="H10" s="9">
        <f>IF(G10="Easy to Update",100,IF(G10="Moderate Effort",75,IF(G10="Difficult",40,IF(G10="Not Maintainable",0,""))))</f>
        <v/>
      </c>
      <c r="I10" s="8" t="n"/>
      <c r="J10" s="9">
        <f>IF(I10="Highly Accessible",100,IF(I10="Accessible",75,IF(I10="Limited Access",40,IF(I10="Not Accessible",0,""))))</f>
        <v/>
      </c>
      <c r="K10" s="10">
        <f>IF(AND(D10="",F10="",H10="",J10=""),"",(D10+F10+H10+J10)/4)</f>
        <v/>
      </c>
      <c r="L10" s="9">
        <f>IF(K10="","",IF(K10&gt;=90,"Excellent",IF(K10&gt;=75,"Good",IF(K10&gt;=50,"Fair","Poor"))))</f>
        <v/>
      </c>
      <c r="M10" s="8" t="n"/>
      <c r="N10" s="8" t="n"/>
      <c r="O10" s="8" t="n"/>
    </row>
    <row r="11">
      <c r="A11" s="8" t="n"/>
      <c r="B11" s="8" t="n"/>
      <c r="C11" s="8" t="n"/>
      <c r="D11" s="9">
        <f>IF(C11="Comprehensive",100,IF(C11="Adequate",75,IF(C11="Insufficient",40,IF(C11="Missing",0,""))))</f>
        <v/>
      </c>
      <c r="E11" s="8" t="n"/>
      <c r="F11" s="9">
        <f>IF(E11="Verified Accurate",100,IF(E11="Mostly Accurate",75,IF(E11="Contains Errors",40,IF(E11="Not Verified",0,""))))</f>
        <v/>
      </c>
      <c r="G11" s="8" t="n"/>
      <c r="H11" s="9">
        <f>IF(G11="Easy to Update",100,IF(G11="Moderate Effort",75,IF(G11="Difficult",40,IF(G11="Not Maintainable",0,""))))</f>
        <v/>
      </c>
      <c r="I11" s="8" t="n"/>
      <c r="J11" s="9">
        <f>IF(I11="Highly Accessible",100,IF(I11="Accessible",75,IF(I11="Limited Access",40,IF(I11="Not Accessible",0,""))))</f>
        <v/>
      </c>
      <c r="K11" s="10">
        <f>IF(AND(D11="",F11="",H11="",J11=""),"",(D11+F11+H11+J11)/4)</f>
        <v/>
      </c>
      <c r="L11" s="9">
        <f>IF(K11="","",IF(K11&gt;=90,"Excellent",IF(K11&gt;=75,"Good",IF(K11&gt;=50,"Fair","Poor"))))</f>
        <v/>
      </c>
      <c r="M11" s="8" t="n"/>
      <c r="N11" s="8" t="n"/>
      <c r="O11" s="8" t="n"/>
    </row>
    <row r="12">
      <c r="A12" s="8" t="n"/>
      <c r="B12" s="8" t="n"/>
      <c r="C12" s="8" t="n"/>
      <c r="D12" s="9">
        <f>IF(C12="Comprehensive",100,IF(C12="Adequate",75,IF(C12="Insufficient",40,IF(C12="Missing",0,""))))</f>
        <v/>
      </c>
      <c r="E12" s="8" t="n"/>
      <c r="F12" s="9">
        <f>IF(E12="Verified Accurate",100,IF(E12="Mostly Accurate",75,IF(E12="Contains Errors",40,IF(E12="Not Verified",0,""))))</f>
        <v/>
      </c>
      <c r="G12" s="8" t="n"/>
      <c r="H12" s="9">
        <f>IF(G12="Easy to Update",100,IF(G12="Moderate Effort",75,IF(G12="Difficult",40,IF(G12="Not Maintainable",0,""))))</f>
        <v/>
      </c>
      <c r="I12" s="8" t="n"/>
      <c r="J12" s="9">
        <f>IF(I12="Highly Accessible",100,IF(I12="Accessible",75,IF(I12="Limited Access",40,IF(I12="Not Accessible",0,""))))</f>
        <v/>
      </c>
      <c r="K12" s="10">
        <f>IF(AND(D12="",F12="",H12="",J12=""),"",(D12+F12+H12+J12)/4)</f>
        <v/>
      </c>
      <c r="L12" s="9">
        <f>IF(K12="","",IF(K12&gt;=90,"Excellent",IF(K12&gt;=75,"Good",IF(K12&gt;=50,"Fair","Poor"))))</f>
        <v/>
      </c>
      <c r="M12" s="8" t="n"/>
      <c r="N12" s="8" t="n"/>
      <c r="O12" s="8" t="n"/>
    </row>
    <row r="13">
      <c r="A13" s="8" t="n"/>
      <c r="B13" s="8" t="n"/>
      <c r="C13" s="8" t="n"/>
      <c r="D13" s="9">
        <f>IF(C13="Comprehensive",100,IF(C13="Adequate",75,IF(C13="Insufficient",40,IF(C13="Missing",0,""))))</f>
        <v/>
      </c>
      <c r="E13" s="8" t="n"/>
      <c r="F13" s="9">
        <f>IF(E13="Verified Accurate",100,IF(E13="Mostly Accurate",75,IF(E13="Contains Errors",40,IF(E13="Not Verified",0,""))))</f>
        <v/>
      </c>
      <c r="G13" s="8" t="n"/>
      <c r="H13" s="9">
        <f>IF(G13="Easy to Update",100,IF(G13="Moderate Effort",75,IF(G13="Difficult",40,IF(G13="Not Maintainable",0,""))))</f>
        <v/>
      </c>
      <c r="I13" s="8" t="n"/>
      <c r="J13" s="9">
        <f>IF(I13="Highly Accessible",100,IF(I13="Accessible",75,IF(I13="Limited Access",40,IF(I13="Not Accessible",0,""))))</f>
        <v/>
      </c>
      <c r="K13" s="10">
        <f>IF(AND(D13="",F13="",H13="",J13=""),"",(D13+F13+H13+J13)/4)</f>
        <v/>
      </c>
      <c r="L13" s="9">
        <f>IF(K13="","",IF(K13&gt;=90,"Excellent",IF(K13&gt;=75,"Good",IF(K13&gt;=50,"Fair","Poor"))))</f>
        <v/>
      </c>
      <c r="M13" s="8" t="n"/>
      <c r="N13" s="8" t="n"/>
      <c r="O13" s="8" t="n"/>
    </row>
    <row r="14">
      <c r="A14" s="8" t="n"/>
      <c r="B14" s="8" t="n"/>
      <c r="C14" s="8" t="n"/>
      <c r="D14" s="9">
        <f>IF(C14="Comprehensive",100,IF(C14="Adequate",75,IF(C14="Insufficient",40,IF(C14="Missing",0,""))))</f>
        <v/>
      </c>
      <c r="E14" s="8" t="n"/>
      <c r="F14" s="9">
        <f>IF(E14="Verified Accurate",100,IF(E14="Mostly Accurate",75,IF(E14="Contains Errors",40,IF(E14="Not Verified",0,""))))</f>
        <v/>
      </c>
      <c r="G14" s="8" t="n"/>
      <c r="H14" s="9">
        <f>IF(G14="Easy to Update",100,IF(G14="Moderate Effort",75,IF(G14="Difficult",40,IF(G14="Not Maintainable",0,""))))</f>
        <v/>
      </c>
      <c r="I14" s="8" t="n"/>
      <c r="J14" s="9">
        <f>IF(I14="Highly Accessible",100,IF(I14="Accessible",75,IF(I14="Limited Access",40,IF(I14="Not Accessible",0,""))))</f>
        <v/>
      </c>
      <c r="K14" s="10">
        <f>IF(AND(D14="",F14="",H14="",J14=""),"",(D14+F14+H14+J14)/4)</f>
        <v/>
      </c>
      <c r="L14" s="9">
        <f>IF(K14="","",IF(K14&gt;=90,"Excellent",IF(K14&gt;=75,"Good",IF(K14&gt;=50,"Fair","Poor"))))</f>
        <v/>
      </c>
      <c r="M14" s="8" t="n"/>
      <c r="N14" s="8" t="n"/>
      <c r="O14" s="8" t="n"/>
    </row>
    <row r="15">
      <c r="A15" s="8" t="n"/>
      <c r="B15" s="8" t="n"/>
      <c r="C15" s="8" t="n"/>
      <c r="D15" s="9">
        <f>IF(C15="Comprehensive",100,IF(C15="Adequate",75,IF(C15="Insufficient",40,IF(C15="Missing",0,""))))</f>
        <v/>
      </c>
      <c r="E15" s="8" t="n"/>
      <c r="F15" s="9">
        <f>IF(E15="Verified Accurate",100,IF(E15="Mostly Accurate",75,IF(E15="Contains Errors",40,IF(E15="Not Verified",0,""))))</f>
        <v/>
      </c>
      <c r="G15" s="8" t="n"/>
      <c r="H15" s="9">
        <f>IF(G15="Easy to Update",100,IF(G15="Moderate Effort",75,IF(G15="Difficult",40,IF(G15="Not Maintainable",0,""))))</f>
        <v/>
      </c>
      <c r="I15" s="8" t="n"/>
      <c r="J15" s="9">
        <f>IF(I15="Highly Accessible",100,IF(I15="Accessible",75,IF(I15="Limited Access",40,IF(I15="Not Accessible",0,""))))</f>
        <v/>
      </c>
      <c r="K15" s="10">
        <f>IF(AND(D15="",F15="",H15="",J15=""),"",(D15+F15+H15+J15)/4)</f>
        <v/>
      </c>
      <c r="L15" s="9">
        <f>IF(K15="","",IF(K15&gt;=90,"Excellent",IF(K15&gt;=75,"Good",IF(K15&gt;=50,"Fair","Poor"))))</f>
        <v/>
      </c>
      <c r="M15" s="8" t="n"/>
      <c r="N15" s="8" t="n"/>
      <c r="O15" s="8" t="n"/>
    </row>
    <row r="16">
      <c r="A16" s="8" t="n"/>
      <c r="B16" s="8" t="n"/>
      <c r="C16" s="8" t="n"/>
      <c r="D16" s="9">
        <f>IF(C16="Comprehensive",100,IF(C16="Adequate",75,IF(C16="Insufficient",40,IF(C16="Missing",0,""))))</f>
        <v/>
      </c>
      <c r="E16" s="8" t="n"/>
      <c r="F16" s="9">
        <f>IF(E16="Verified Accurate",100,IF(E16="Mostly Accurate",75,IF(E16="Contains Errors",40,IF(E16="Not Verified",0,""))))</f>
        <v/>
      </c>
      <c r="G16" s="8" t="n"/>
      <c r="H16" s="9">
        <f>IF(G16="Easy to Update",100,IF(G16="Moderate Effort",75,IF(G16="Difficult",40,IF(G16="Not Maintainable",0,""))))</f>
        <v/>
      </c>
      <c r="I16" s="8" t="n"/>
      <c r="J16" s="9">
        <f>IF(I16="Highly Accessible",100,IF(I16="Accessible",75,IF(I16="Limited Access",40,IF(I16="Not Accessible",0,""))))</f>
        <v/>
      </c>
      <c r="K16" s="10">
        <f>IF(AND(D16="",F16="",H16="",J16=""),"",(D16+F16+H16+J16)/4)</f>
        <v/>
      </c>
      <c r="L16" s="9">
        <f>IF(K16="","",IF(K16&gt;=90,"Excellent",IF(K16&gt;=75,"Good",IF(K16&gt;=50,"Fair","Poor"))))</f>
        <v/>
      </c>
      <c r="M16" s="8" t="n"/>
      <c r="N16" s="8" t="n"/>
      <c r="O16" s="8" t="n"/>
    </row>
    <row r="17">
      <c r="A17" s="8" t="n"/>
      <c r="B17" s="8" t="n"/>
      <c r="C17" s="8" t="n"/>
      <c r="D17" s="9">
        <f>IF(C17="Comprehensive",100,IF(C17="Adequate",75,IF(C17="Insufficient",40,IF(C17="Missing",0,""))))</f>
        <v/>
      </c>
      <c r="E17" s="8" t="n"/>
      <c r="F17" s="9">
        <f>IF(E17="Verified Accurate",100,IF(E17="Mostly Accurate",75,IF(E17="Contains Errors",40,IF(E17="Not Verified",0,""))))</f>
        <v/>
      </c>
      <c r="G17" s="8" t="n"/>
      <c r="H17" s="9">
        <f>IF(G17="Easy to Update",100,IF(G17="Moderate Effort",75,IF(G17="Difficult",40,IF(G17="Not Maintainable",0,""))))</f>
        <v/>
      </c>
      <c r="I17" s="8" t="n"/>
      <c r="J17" s="9">
        <f>IF(I17="Highly Accessible",100,IF(I17="Accessible",75,IF(I17="Limited Access",40,IF(I17="Not Accessible",0,""))))</f>
        <v/>
      </c>
      <c r="K17" s="10">
        <f>IF(AND(D17="",F17="",H17="",J17=""),"",(D17+F17+H17+J17)/4)</f>
        <v/>
      </c>
      <c r="L17" s="9">
        <f>IF(K17="","",IF(K17&gt;=90,"Excellent",IF(K17&gt;=75,"Good",IF(K17&gt;=50,"Fair","Poor"))))</f>
        <v/>
      </c>
      <c r="M17" s="8" t="n"/>
      <c r="N17" s="8" t="n"/>
      <c r="O17" s="8" t="n"/>
    </row>
    <row r="18">
      <c r="A18" s="8" t="n"/>
      <c r="B18" s="8" t="n"/>
      <c r="C18" s="8" t="n"/>
      <c r="D18" s="9">
        <f>IF(C18="Comprehensive",100,IF(C18="Adequate",75,IF(C18="Insufficient",40,IF(C18="Missing",0,""))))</f>
        <v/>
      </c>
      <c r="E18" s="8" t="n"/>
      <c r="F18" s="9">
        <f>IF(E18="Verified Accurate",100,IF(E18="Mostly Accurate",75,IF(E18="Contains Errors",40,IF(E18="Not Verified",0,""))))</f>
        <v/>
      </c>
      <c r="G18" s="8" t="n"/>
      <c r="H18" s="9">
        <f>IF(G18="Easy to Update",100,IF(G18="Moderate Effort",75,IF(G18="Difficult",40,IF(G18="Not Maintainable",0,""))))</f>
        <v/>
      </c>
      <c r="I18" s="8" t="n"/>
      <c r="J18" s="9">
        <f>IF(I18="Highly Accessible",100,IF(I18="Accessible",75,IF(I18="Limited Access",40,IF(I18="Not Accessible",0,""))))</f>
        <v/>
      </c>
      <c r="K18" s="10">
        <f>IF(AND(D18="",F18="",H18="",J18=""),"",(D18+F18+H18+J18)/4)</f>
        <v/>
      </c>
      <c r="L18" s="9">
        <f>IF(K18="","",IF(K18&gt;=90,"Excellent",IF(K18&gt;=75,"Good",IF(K18&gt;=50,"Fair","Poor"))))</f>
        <v/>
      </c>
      <c r="M18" s="8" t="n"/>
      <c r="N18" s="8" t="n"/>
      <c r="O18" s="8" t="n"/>
    </row>
    <row r="19">
      <c r="A19" s="8" t="n"/>
      <c r="B19" s="8" t="n"/>
      <c r="C19" s="8" t="n"/>
      <c r="D19" s="9">
        <f>IF(C19="Comprehensive",100,IF(C19="Adequate",75,IF(C19="Insufficient",40,IF(C19="Missing",0,""))))</f>
        <v/>
      </c>
      <c r="E19" s="8" t="n"/>
      <c r="F19" s="9">
        <f>IF(E19="Verified Accurate",100,IF(E19="Mostly Accurate",75,IF(E19="Contains Errors",40,IF(E19="Not Verified",0,""))))</f>
        <v/>
      </c>
      <c r="G19" s="8" t="n"/>
      <c r="H19" s="9">
        <f>IF(G19="Easy to Update",100,IF(G19="Moderate Effort",75,IF(G19="Difficult",40,IF(G19="Not Maintainable",0,""))))</f>
        <v/>
      </c>
      <c r="I19" s="8" t="n"/>
      <c r="J19" s="9">
        <f>IF(I19="Highly Accessible",100,IF(I19="Accessible",75,IF(I19="Limited Access",40,IF(I19="Not Accessible",0,""))))</f>
        <v/>
      </c>
      <c r="K19" s="10">
        <f>IF(AND(D19="",F19="",H19="",J19=""),"",(D19+F19+H19+J19)/4)</f>
        <v/>
      </c>
      <c r="L19" s="9">
        <f>IF(K19="","",IF(K19&gt;=90,"Excellent",IF(K19&gt;=75,"Good",IF(K19&gt;=50,"Fair","Poor"))))</f>
        <v/>
      </c>
      <c r="M19" s="8" t="n"/>
      <c r="N19" s="8" t="n"/>
      <c r="O19" s="8" t="n"/>
    </row>
    <row r="20">
      <c r="A20" s="8" t="n"/>
      <c r="B20" s="8" t="n"/>
      <c r="C20" s="8" t="n"/>
      <c r="D20" s="9">
        <f>IF(C20="Comprehensive",100,IF(C20="Adequate",75,IF(C20="Insufficient",40,IF(C20="Missing",0,""))))</f>
        <v/>
      </c>
      <c r="E20" s="8" t="n"/>
      <c r="F20" s="9">
        <f>IF(E20="Verified Accurate",100,IF(E20="Mostly Accurate",75,IF(E20="Contains Errors",40,IF(E20="Not Verified",0,""))))</f>
        <v/>
      </c>
      <c r="G20" s="8" t="n"/>
      <c r="H20" s="9">
        <f>IF(G20="Easy to Update",100,IF(G20="Moderate Effort",75,IF(G20="Difficult",40,IF(G20="Not Maintainable",0,""))))</f>
        <v/>
      </c>
      <c r="I20" s="8" t="n"/>
      <c r="J20" s="9">
        <f>IF(I20="Highly Accessible",100,IF(I20="Accessible",75,IF(I20="Limited Access",40,IF(I20="Not Accessible",0,""))))</f>
        <v/>
      </c>
      <c r="K20" s="10">
        <f>IF(AND(D20="",F20="",H20="",J20=""),"",(D20+F20+H20+J20)/4)</f>
        <v/>
      </c>
      <c r="L20" s="9">
        <f>IF(K20="","",IF(K20&gt;=90,"Excellent",IF(K20&gt;=75,"Good",IF(K20&gt;=50,"Fair","Poor"))))</f>
        <v/>
      </c>
      <c r="M20" s="8" t="n"/>
      <c r="N20" s="8" t="n"/>
      <c r="O20" s="8" t="n"/>
    </row>
    <row r="21">
      <c r="A21" s="8" t="n"/>
      <c r="B21" s="8" t="n"/>
      <c r="C21" s="8" t="n"/>
      <c r="D21" s="9">
        <f>IF(C21="Comprehensive",100,IF(C21="Adequate",75,IF(C21="Insufficient",40,IF(C21="Missing",0,""))))</f>
        <v/>
      </c>
      <c r="E21" s="8" t="n"/>
      <c r="F21" s="9">
        <f>IF(E21="Verified Accurate",100,IF(E21="Mostly Accurate",75,IF(E21="Contains Errors",40,IF(E21="Not Verified",0,""))))</f>
        <v/>
      </c>
      <c r="G21" s="8" t="n"/>
      <c r="H21" s="9">
        <f>IF(G21="Easy to Update",100,IF(G21="Moderate Effort",75,IF(G21="Difficult",40,IF(G21="Not Maintainable",0,""))))</f>
        <v/>
      </c>
      <c r="I21" s="8" t="n"/>
      <c r="J21" s="9">
        <f>IF(I21="Highly Accessible",100,IF(I21="Accessible",75,IF(I21="Limited Access",40,IF(I21="Not Accessible",0,""))))</f>
        <v/>
      </c>
      <c r="K21" s="10">
        <f>IF(AND(D21="",F21="",H21="",J21=""),"",(D21+F21+H21+J21)/4)</f>
        <v/>
      </c>
      <c r="L21" s="9">
        <f>IF(K21="","",IF(K21&gt;=90,"Excellent",IF(K21&gt;=75,"Good",IF(K21&gt;=50,"Fair","Poor"))))</f>
        <v/>
      </c>
      <c r="M21" s="8" t="n"/>
      <c r="N21" s="8" t="n"/>
      <c r="O21" s="8" t="n"/>
    </row>
    <row r="22">
      <c r="A22" s="8" t="n"/>
      <c r="B22" s="8" t="n"/>
      <c r="C22" s="8" t="n"/>
      <c r="D22" s="9">
        <f>IF(C22="Comprehensive",100,IF(C22="Adequate",75,IF(C22="Insufficient",40,IF(C22="Missing",0,""))))</f>
        <v/>
      </c>
      <c r="E22" s="8" t="n"/>
      <c r="F22" s="9">
        <f>IF(E22="Verified Accurate",100,IF(E22="Mostly Accurate",75,IF(E22="Contains Errors",40,IF(E22="Not Verified",0,""))))</f>
        <v/>
      </c>
      <c r="G22" s="8" t="n"/>
      <c r="H22" s="9">
        <f>IF(G22="Easy to Update",100,IF(G22="Moderate Effort",75,IF(G22="Difficult",40,IF(G22="Not Maintainable",0,""))))</f>
        <v/>
      </c>
      <c r="I22" s="8" t="n"/>
      <c r="J22" s="9">
        <f>IF(I22="Highly Accessible",100,IF(I22="Accessible",75,IF(I22="Limited Access",40,IF(I22="Not Accessible",0,""))))</f>
        <v/>
      </c>
      <c r="K22" s="10">
        <f>IF(AND(D22="",F22="",H22="",J22=""),"",(D22+F22+H22+J22)/4)</f>
        <v/>
      </c>
      <c r="L22" s="9">
        <f>IF(K22="","",IF(K22&gt;=90,"Excellent",IF(K22&gt;=75,"Good",IF(K22&gt;=50,"Fair","Poor"))))</f>
        <v/>
      </c>
      <c r="M22" s="8" t="n"/>
      <c r="N22" s="8" t="n"/>
      <c r="O22" s="8" t="n"/>
    </row>
    <row r="23">
      <c r="A23" s="8" t="n"/>
      <c r="B23" s="8" t="n"/>
      <c r="C23" s="8" t="n"/>
      <c r="D23" s="9">
        <f>IF(C23="Comprehensive",100,IF(C23="Adequate",75,IF(C23="Insufficient",40,IF(C23="Missing",0,""))))</f>
        <v/>
      </c>
      <c r="E23" s="8" t="n"/>
      <c r="F23" s="9">
        <f>IF(E23="Verified Accurate",100,IF(E23="Mostly Accurate",75,IF(E23="Contains Errors",40,IF(E23="Not Verified",0,""))))</f>
        <v/>
      </c>
      <c r="G23" s="8" t="n"/>
      <c r="H23" s="9">
        <f>IF(G23="Easy to Update",100,IF(G23="Moderate Effort",75,IF(G23="Difficult",40,IF(G23="Not Maintainable",0,""))))</f>
        <v/>
      </c>
      <c r="I23" s="8" t="n"/>
      <c r="J23" s="9">
        <f>IF(I23="Highly Accessible",100,IF(I23="Accessible",75,IF(I23="Limited Access",40,IF(I23="Not Accessible",0,""))))</f>
        <v/>
      </c>
      <c r="K23" s="10">
        <f>IF(AND(D23="",F23="",H23="",J23=""),"",(D23+F23+H23+J23)/4)</f>
        <v/>
      </c>
      <c r="L23" s="9">
        <f>IF(K23="","",IF(K23&gt;=90,"Excellent",IF(K23&gt;=75,"Good",IF(K23&gt;=50,"Fair","Poor"))))</f>
        <v/>
      </c>
      <c r="M23" s="8" t="n"/>
      <c r="N23" s="8" t="n"/>
      <c r="O23" s="8" t="n"/>
    </row>
    <row r="24">
      <c r="A24" s="8" t="n"/>
      <c r="B24" s="8" t="n"/>
      <c r="C24" s="8" t="n"/>
      <c r="D24" s="9">
        <f>IF(C24="Comprehensive",100,IF(C24="Adequate",75,IF(C24="Insufficient",40,IF(C24="Missing",0,""))))</f>
        <v/>
      </c>
      <c r="E24" s="8" t="n"/>
      <c r="F24" s="9">
        <f>IF(E24="Verified Accurate",100,IF(E24="Mostly Accurate",75,IF(E24="Contains Errors",40,IF(E24="Not Verified",0,""))))</f>
        <v/>
      </c>
      <c r="G24" s="8" t="n"/>
      <c r="H24" s="9">
        <f>IF(G24="Easy to Update",100,IF(G24="Moderate Effort",75,IF(G24="Difficult",40,IF(G24="Not Maintainable",0,""))))</f>
        <v/>
      </c>
      <c r="I24" s="8" t="n"/>
      <c r="J24" s="9">
        <f>IF(I24="Highly Accessible",100,IF(I24="Accessible",75,IF(I24="Limited Access",40,IF(I24="Not Accessible",0,""))))</f>
        <v/>
      </c>
      <c r="K24" s="10">
        <f>IF(AND(D24="",F24="",H24="",J24=""),"",(D24+F24+H24+J24)/4)</f>
        <v/>
      </c>
      <c r="L24" s="9">
        <f>IF(K24="","",IF(K24&gt;=90,"Excellent",IF(K24&gt;=75,"Good",IF(K24&gt;=50,"Fair","Poor"))))</f>
        <v/>
      </c>
      <c r="M24" s="8" t="n"/>
      <c r="N24" s="8" t="n"/>
      <c r="O24" s="8" t="n"/>
    </row>
    <row r="25">
      <c r="A25" s="8" t="n"/>
      <c r="B25" s="8" t="n"/>
      <c r="C25" s="8" t="n"/>
      <c r="D25" s="9">
        <f>IF(C25="Comprehensive",100,IF(C25="Adequate",75,IF(C25="Insufficient",40,IF(C25="Missing",0,""))))</f>
        <v/>
      </c>
      <c r="E25" s="8" t="n"/>
      <c r="F25" s="9">
        <f>IF(E25="Verified Accurate",100,IF(E25="Mostly Accurate",75,IF(E25="Contains Errors",40,IF(E25="Not Verified",0,""))))</f>
        <v/>
      </c>
      <c r="G25" s="8" t="n"/>
      <c r="H25" s="9">
        <f>IF(G25="Easy to Update",100,IF(G25="Moderate Effort",75,IF(G25="Difficult",40,IF(G25="Not Maintainable",0,""))))</f>
        <v/>
      </c>
      <c r="I25" s="8" t="n"/>
      <c r="J25" s="9">
        <f>IF(I25="Highly Accessible",100,IF(I25="Accessible",75,IF(I25="Limited Access",40,IF(I25="Not Accessible",0,""))))</f>
        <v/>
      </c>
      <c r="K25" s="10">
        <f>IF(AND(D25="",F25="",H25="",J25=""),"",(D25+F25+H25+J25)/4)</f>
        <v/>
      </c>
      <c r="L25" s="9">
        <f>IF(K25="","",IF(K25&gt;=90,"Excellent",IF(K25&gt;=75,"Good",IF(K25&gt;=50,"Fair","Poor"))))</f>
        <v/>
      </c>
      <c r="M25" s="8" t="n"/>
      <c r="N25" s="8" t="n"/>
      <c r="O25" s="8" t="n"/>
    </row>
    <row r="26">
      <c r="A26" s="8" t="n"/>
      <c r="B26" s="8" t="n"/>
      <c r="C26" s="8" t="n"/>
      <c r="D26" s="9">
        <f>IF(C26="Comprehensive",100,IF(C26="Adequate",75,IF(C26="Insufficient",40,IF(C26="Missing",0,""))))</f>
        <v/>
      </c>
      <c r="E26" s="8" t="n"/>
      <c r="F26" s="9">
        <f>IF(E26="Verified Accurate",100,IF(E26="Mostly Accurate",75,IF(E26="Contains Errors",40,IF(E26="Not Verified",0,""))))</f>
        <v/>
      </c>
      <c r="G26" s="8" t="n"/>
      <c r="H26" s="9">
        <f>IF(G26="Easy to Update",100,IF(G26="Moderate Effort",75,IF(G26="Difficult",40,IF(G26="Not Maintainable",0,""))))</f>
        <v/>
      </c>
      <c r="I26" s="8" t="n"/>
      <c r="J26" s="9">
        <f>IF(I26="Highly Accessible",100,IF(I26="Accessible",75,IF(I26="Limited Access",40,IF(I26="Not Accessible",0,""))))</f>
        <v/>
      </c>
      <c r="K26" s="10">
        <f>IF(AND(D26="",F26="",H26="",J26=""),"",(D26+F26+H26+J26)/4)</f>
        <v/>
      </c>
      <c r="L26" s="9">
        <f>IF(K26="","",IF(K26&gt;=90,"Excellent",IF(K26&gt;=75,"Good",IF(K26&gt;=50,"Fair","Poor"))))</f>
        <v/>
      </c>
      <c r="M26" s="8" t="n"/>
      <c r="N26" s="8" t="n"/>
      <c r="O26" s="8" t="n"/>
    </row>
    <row r="27">
      <c r="A27" s="8" t="n"/>
      <c r="B27" s="8" t="n"/>
      <c r="C27" s="8" t="n"/>
      <c r="D27" s="9">
        <f>IF(C27="Comprehensive",100,IF(C27="Adequate",75,IF(C27="Insufficient",40,IF(C27="Missing",0,""))))</f>
        <v/>
      </c>
      <c r="E27" s="8" t="n"/>
      <c r="F27" s="9">
        <f>IF(E27="Verified Accurate",100,IF(E27="Mostly Accurate",75,IF(E27="Contains Errors",40,IF(E27="Not Verified",0,""))))</f>
        <v/>
      </c>
      <c r="G27" s="8" t="n"/>
      <c r="H27" s="9">
        <f>IF(G27="Easy to Update",100,IF(G27="Moderate Effort",75,IF(G27="Difficult",40,IF(G27="Not Maintainable",0,""))))</f>
        <v/>
      </c>
      <c r="I27" s="8" t="n"/>
      <c r="J27" s="9">
        <f>IF(I27="Highly Accessible",100,IF(I27="Accessible",75,IF(I27="Limited Access",40,IF(I27="Not Accessible",0,""))))</f>
        <v/>
      </c>
      <c r="K27" s="10">
        <f>IF(AND(D27="",F27="",H27="",J27=""),"",(D27+F27+H27+J27)/4)</f>
        <v/>
      </c>
      <c r="L27" s="9">
        <f>IF(K27="","",IF(K27&gt;=90,"Excellent",IF(K27&gt;=75,"Good",IF(K27&gt;=50,"Fair","Poor"))))</f>
        <v/>
      </c>
      <c r="M27" s="8" t="n"/>
      <c r="N27" s="8" t="n"/>
      <c r="O27" s="8" t="n"/>
    </row>
    <row r="28">
      <c r="A28" s="8" t="n"/>
      <c r="B28" s="8" t="n"/>
      <c r="C28" s="8" t="n"/>
      <c r="D28" s="9">
        <f>IF(C28="Comprehensive",100,IF(C28="Adequate",75,IF(C28="Insufficient",40,IF(C28="Missing",0,""))))</f>
        <v/>
      </c>
      <c r="E28" s="8" t="n"/>
      <c r="F28" s="9">
        <f>IF(E28="Verified Accurate",100,IF(E28="Mostly Accurate",75,IF(E28="Contains Errors",40,IF(E28="Not Verified",0,""))))</f>
        <v/>
      </c>
      <c r="G28" s="8" t="n"/>
      <c r="H28" s="9">
        <f>IF(G28="Easy to Update",100,IF(G28="Moderate Effort",75,IF(G28="Difficult",40,IF(G28="Not Maintainable",0,""))))</f>
        <v/>
      </c>
      <c r="I28" s="8" t="n"/>
      <c r="J28" s="9">
        <f>IF(I28="Highly Accessible",100,IF(I28="Accessible",75,IF(I28="Limited Access",40,IF(I28="Not Accessible",0,""))))</f>
        <v/>
      </c>
      <c r="K28" s="10">
        <f>IF(AND(D28="",F28="",H28="",J28=""),"",(D28+F28+H28+J28)/4)</f>
        <v/>
      </c>
      <c r="L28" s="9">
        <f>IF(K28="","",IF(K28&gt;=90,"Excellent",IF(K28&gt;=75,"Good",IF(K28&gt;=50,"Fair","Poor"))))</f>
        <v/>
      </c>
      <c r="M28" s="8" t="n"/>
      <c r="N28" s="8" t="n"/>
      <c r="O28" s="8" t="n"/>
    </row>
    <row r="29">
      <c r="A29" s="8" t="n"/>
      <c r="B29" s="8" t="n"/>
      <c r="C29" s="8" t="n"/>
      <c r="D29" s="9">
        <f>IF(C29="Comprehensive",100,IF(C29="Adequate",75,IF(C29="Insufficient",40,IF(C29="Missing",0,""))))</f>
        <v/>
      </c>
      <c r="E29" s="8" t="n"/>
      <c r="F29" s="9">
        <f>IF(E29="Verified Accurate",100,IF(E29="Mostly Accurate",75,IF(E29="Contains Errors",40,IF(E29="Not Verified",0,""))))</f>
        <v/>
      </c>
      <c r="G29" s="8" t="n"/>
      <c r="H29" s="9">
        <f>IF(G29="Easy to Update",100,IF(G29="Moderate Effort",75,IF(G29="Difficult",40,IF(G29="Not Maintainable",0,""))))</f>
        <v/>
      </c>
      <c r="I29" s="8" t="n"/>
      <c r="J29" s="9">
        <f>IF(I29="Highly Accessible",100,IF(I29="Accessible",75,IF(I29="Limited Access",40,IF(I29="Not Accessible",0,""))))</f>
        <v/>
      </c>
      <c r="K29" s="10">
        <f>IF(AND(D29="",F29="",H29="",J29=""),"",(D29+F29+H29+J29)/4)</f>
        <v/>
      </c>
      <c r="L29" s="9">
        <f>IF(K29="","",IF(K29&gt;=90,"Excellent",IF(K29&gt;=75,"Good",IF(K29&gt;=50,"Fair","Poor"))))</f>
        <v/>
      </c>
      <c r="M29" s="8" t="n"/>
      <c r="N29" s="8" t="n"/>
      <c r="O29" s="8" t="n"/>
    </row>
    <row r="30">
      <c r="A30" s="8" t="n"/>
      <c r="B30" s="8" t="n"/>
      <c r="C30" s="8" t="n"/>
      <c r="D30" s="9">
        <f>IF(C30="Comprehensive",100,IF(C30="Adequate",75,IF(C30="Insufficient",40,IF(C30="Missing",0,""))))</f>
        <v/>
      </c>
      <c r="E30" s="8" t="n"/>
      <c r="F30" s="9">
        <f>IF(E30="Verified Accurate",100,IF(E30="Mostly Accurate",75,IF(E30="Contains Errors",40,IF(E30="Not Verified",0,""))))</f>
        <v/>
      </c>
      <c r="G30" s="8" t="n"/>
      <c r="H30" s="9">
        <f>IF(G30="Easy to Update",100,IF(G30="Moderate Effort",75,IF(G30="Difficult",40,IF(G30="Not Maintainable",0,""))))</f>
        <v/>
      </c>
      <c r="I30" s="8" t="n"/>
      <c r="J30" s="9">
        <f>IF(I30="Highly Accessible",100,IF(I30="Accessible",75,IF(I30="Limited Access",40,IF(I30="Not Accessible",0,""))))</f>
        <v/>
      </c>
      <c r="K30" s="10">
        <f>IF(AND(D30="",F30="",H30="",J30=""),"",(D30+F30+H30+J30)/4)</f>
        <v/>
      </c>
      <c r="L30" s="9">
        <f>IF(K30="","",IF(K30&gt;=90,"Excellent",IF(K30&gt;=75,"Good",IF(K30&gt;=50,"Fair","Poor"))))</f>
        <v/>
      </c>
      <c r="M30" s="8" t="n"/>
      <c r="N30" s="8" t="n"/>
      <c r="O30" s="8" t="n"/>
    </row>
    <row r="31">
      <c r="A31" s="8" t="n"/>
      <c r="B31" s="8" t="n"/>
      <c r="C31" s="8" t="n"/>
      <c r="D31" s="9">
        <f>IF(C31="Comprehensive",100,IF(C31="Adequate",75,IF(C31="Insufficient",40,IF(C31="Missing",0,""))))</f>
        <v/>
      </c>
      <c r="E31" s="8" t="n"/>
      <c r="F31" s="9">
        <f>IF(E31="Verified Accurate",100,IF(E31="Mostly Accurate",75,IF(E31="Contains Errors",40,IF(E31="Not Verified",0,""))))</f>
        <v/>
      </c>
      <c r="G31" s="8" t="n"/>
      <c r="H31" s="9">
        <f>IF(G31="Easy to Update",100,IF(G31="Moderate Effort",75,IF(G31="Difficult",40,IF(G31="Not Maintainable",0,""))))</f>
        <v/>
      </c>
      <c r="I31" s="8" t="n"/>
      <c r="J31" s="9">
        <f>IF(I31="Highly Accessible",100,IF(I31="Accessible",75,IF(I31="Limited Access",40,IF(I31="Not Accessible",0,""))))</f>
        <v/>
      </c>
      <c r="K31" s="10">
        <f>IF(AND(D31="",F31="",H31="",J31=""),"",(D31+F31+H31+J31)/4)</f>
        <v/>
      </c>
      <c r="L31" s="9">
        <f>IF(K31="","",IF(K31&gt;=90,"Excellent",IF(K31&gt;=75,"Good",IF(K31&gt;=50,"Fair","Poor"))))</f>
        <v/>
      </c>
      <c r="M31" s="8" t="n"/>
      <c r="N31" s="8" t="n"/>
      <c r="O31" s="8" t="n"/>
    </row>
    <row r="32">
      <c r="A32" s="8" t="n"/>
      <c r="B32" s="8" t="n"/>
      <c r="C32" s="8" t="n"/>
      <c r="D32" s="9">
        <f>IF(C32="Comprehensive",100,IF(C32="Adequate",75,IF(C32="Insufficient",40,IF(C32="Missing",0,""))))</f>
        <v/>
      </c>
      <c r="E32" s="8" t="n"/>
      <c r="F32" s="9">
        <f>IF(E32="Verified Accurate",100,IF(E32="Mostly Accurate",75,IF(E32="Contains Errors",40,IF(E32="Not Verified",0,""))))</f>
        <v/>
      </c>
      <c r="G32" s="8" t="n"/>
      <c r="H32" s="9">
        <f>IF(G32="Easy to Update",100,IF(G32="Moderate Effort",75,IF(G32="Difficult",40,IF(G32="Not Maintainable",0,""))))</f>
        <v/>
      </c>
      <c r="I32" s="8" t="n"/>
      <c r="J32" s="9">
        <f>IF(I32="Highly Accessible",100,IF(I32="Accessible",75,IF(I32="Limited Access",40,IF(I32="Not Accessible",0,""))))</f>
        <v/>
      </c>
      <c r="K32" s="10">
        <f>IF(AND(D32="",F32="",H32="",J32=""),"",(D32+F32+H32+J32)/4)</f>
        <v/>
      </c>
      <c r="L32" s="9">
        <f>IF(K32="","",IF(K32&gt;=90,"Excellent",IF(K32&gt;=75,"Good",IF(K32&gt;=50,"Fair","Poor"))))</f>
        <v/>
      </c>
      <c r="M32" s="8" t="n"/>
      <c r="N32" s="8" t="n"/>
      <c r="O32" s="8" t="n"/>
    </row>
  </sheetData>
  <mergeCells count="1">
    <mergeCell ref="A1:O1"/>
  </mergeCells>
  <conditionalFormatting sqref="K3:K32">
    <cfRule type="cellIs" priority="1" operator="greaterThanOrEqual" dxfId="0">
      <formula>90</formula>
    </cfRule>
    <cfRule type="cellIs" priority="2" operator="between" dxfId="0">
      <formula>75</formula>
      <formula>89.9</formula>
    </cfRule>
    <cfRule type="cellIs" priority="3" operator="between" dxfId="1">
      <formula>50</formula>
      <formula>74.9</formula>
    </cfRule>
    <cfRule type="cellIs" priority="4" operator="lessThan" dxfId="2">
      <formula>50</formula>
    </cfRule>
  </conditionalFormatting>
  <conditionalFormatting sqref="L3:L32">
    <cfRule type="cellIs" priority="5" operator="equal" dxfId="6">
      <formula>"Excellent"</formula>
    </cfRule>
    <cfRule type="cellIs" priority="6" operator="equal" dxfId="9">
      <formula>"Good"</formula>
    </cfRule>
    <cfRule type="cellIs" priority="7" operator="equal" dxfId="10">
      <formula>"Fair"</formula>
    </cfRule>
    <cfRule type="cellIs" priority="8" operator="equal" dxfId="8">
      <formula>"Poor"</formula>
    </cfRule>
  </conditionalFormatting>
  <dataValidations count="5">
    <dataValidation sqref="C3:C32" showDropDown="0" showInputMessage="0" showErrorMessage="0" allowBlank="0" errorTitle="Invalid Entry" error="Invalid entry" promptTitle="Selection Required" prompt="Please select from the dropdown" type="list">
      <formula1>"Comprehensive,Adequate,Insufficient,Missing"</formula1>
    </dataValidation>
    <dataValidation sqref="E3:E32" showDropDown="0" showInputMessage="0" showErrorMessage="0" allowBlank="0" errorTitle="Invalid Entry" error="Invalid entry" promptTitle="Selection Required" prompt="Please select from the dropdown" type="list">
      <formula1>"Verified Accurate,Mostly Accurate,Contains Errors,Not Verified"</formula1>
    </dataValidation>
    <dataValidation sqref="G3:G32" showDropDown="0" showInputMessage="0" showErrorMessage="0" allowBlank="0" errorTitle="Invalid Entry" error="Invalid entry" promptTitle="Selection Required" prompt="Please select from the dropdown" type="list">
      <formula1>"Easy to Update,Moderate Effort,Difficult,Not Maintainable"</formula1>
    </dataValidation>
    <dataValidation sqref="I3:I32" showDropDown="0" showInputMessage="0" showErrorMessage="0" allowBlank="0" errorTitle="Invalid Entry" error="Invalid entry" promptTitle="Selection Required" prompt="Please select from the dropdown" type="list">
      <formula1>"Highly Accessible,Accessible,Limited Access,Not Accessible"</formula1>
    </dataValidation>
    <dataValidation sqref="N3:N32" showDropDown="0" showInputMessage="0" showErrorMessage="0" allowBlank="1" errorTitle="Invalid Entry" error="Invalid entry" promptTitle="Selection Required" prompt="Please select from the dropdown" type="list">
      <formula1>"🔴 Critical,🟡 High,🟢 Medium,⭕ 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  <col width="40" customWidth="1" min="7" max="7"/>
    <col width="25" customWidth="1" min="8" max="8"/>
    <col width="20" customWidth="1" min="9" max="9"/>
    <col width="20" customWidth="1" min="10" max="10"/>
    <col width="15" customWidth="1" min="11" max="11"/>
    <col width="12" customWidth="1" min="12" max="12"/>
    <col width="12" customWidth="1" min="13" max="13"/>
    <col width="40" customWidth="1" min="14" max="14"/>
  </cols>
  <sheetData>
    <row r="1" ht="30" customHeight="1">
      <c r="A1" s="7" t="inlineStr">
        <is>
          <t>Baseline Version Control History</t>
        </is>
      </c>
    </row>
    <row r="2" ht="30" customHeight="1">
      <c r="A2" s="6" t="inlineStr">
        <is>
          <t>Baseline ID</t>
        </is>
      </c>
      <c r="B2" s="6" t="inlineStr">
        <is>
          <t>Baseline Name</t>
        </is>
      </c>
      <c r="C2" s="6" t="inlineStr">
        <is>
          <t>Version Number</t>
        </is>
      </c>
      <c r="D2" s="6" t="inlineStr">
        <is>
          <t>Version Date</t>
        </is>
      </c>
      <c r="E2" s="6" t="inlineStr">
        <is>
          <t>Previous Version</t>
        </is>
      </c>
      <c r="F2" s="6" t="inlineStr">
        <is>
          <t>Change Type</t>
        </is>
      </c>
      <c r="G2" s="6" t="inlineStr">
        <is>
          <t>Change Summary</t>
        </is>
      </c>
      <c r="H2" s="6" t="inlineStr">
        <is>
          <t>Change Request Reference</t>
        </is>
      </c>
      <c r="I2" s="6" t="inlineStr">
        <is>
          <t>Changed By</t>
        </is>
      </c>
      <c r="J2" s="6" t="inlineStr">
        <is>
          <t>Approved By</t>
        </is>
      </c>
      <c r="K2" s="6" t="inlineStr">
        <is>
          <t>Superseded Date</t>
        </is>
      </c>
      <c r="L2" s="6" t="inlineStr">
        <is>
          <t>Status</t>
        </is>
      </c>
      <c r="M2" s="6" t="inlineStr">
        <is>
          <t>Assets Affected Count</t>
        </is>
      </c>
      <c r="N2" s="6" t="inlineStr">
        <is>
          <t>Documentation Location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9">
        <f>IF(K3="","Current","Superseded")</f>
        <v/>
      </c>
      <c r="M3" s="8" t="n"/>
      <c r="N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9">
        <f>IF(K4="","Current","Superseded")</f>
        <v/>
      </c>
      <c r="M4" s="8" t="n"/>
      <c r="N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9">
        <f>IF(K5="","Current","Superseded")</f>
        <v/>
      </c>
      <c r="M5" s="8" t="n"/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9">
        <f>IF(K6="","Current","Superseded")</f>
        <v/>
      </c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9">
        <f>IF(K7="","Current","Superseded")</f>
        <v/>
      </c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9">
        <f>IF(K8="","Current","Superseded")</f>
        <v/>
      </c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9">
        <f>IF(K9="","Current","Superseded")</f>
        <v/>
      </c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>
        <f>IF(K10="","Current","Superseded")</f>
        <v/>
      </c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9">
        <f>IF(K11="","Current","Superseded")</f>
        <v/>
      </c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9">
        <f>IF(K12="","Current","Superseded")</f>
        <v/>
      </c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9">
        <f>IF(K13="","Current","Superseded")</f>
        <v/>
      </c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9">
        <f>IF(K14="","Current","Superseded")</f>
        <v/>
      </c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9">
        <f>IF(K15="","Current","Superseded")</f>
        <v/>
      </c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9">
        <f>IF(K16="","Current","Superseded")</f>
        <v/>
      </c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9">
        <f>IF(K17="","Current","Superseded")</f>
        <v/>
      </c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9">
        <f>IF(K18="","Current","Superseded")</f>
        <v/>
      </c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9">
        <f>IF(K19="","Current","Superseded")</f>
        <v/>
      </c>
      <c r="M19" s="8" t="n"/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>
        <f>IF(K20="","Current","Superseded")</f>
        <v/>
      </c>
      <c r="M20" s="8" t="n"/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9">
        <f>IF(K21="","Current","Superseded")</f>
        <v/>
      </c>
      <c r="M21" s="8" t="n"/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9">
        <f>IF(K22="","Current","Superseded")</f>
        <v/>
      </c>
      <c r="M22" s="8" t="n"/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9">
        <f>IF(K23="","Current","Superseded")</f>
        <v/>
      </c>
      <c r="M23" s="8" t="n"/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9">
        <f>IF(K24="","Current","Superseded")</f>
        <v/>
      </c>
      <c r="M24" s="8" t="n"/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9">
        <f>IF(K25="","Current","Superseded")</f>
        <v/>
      </c>
      <c r="M25" s="8" t="n"/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9">
        <f>IF(K26="","Current","Superseded")</f>
        <v/>
      </c>
      <c r="M26" s="8" t="n"/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9">
        <f>IF(K27="","Current","Superseded")</f>
        <v/>
      </c>
      <c r="M27" s="8" t="n"/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9">
        <f>IF(K28="","Current","Superseded")</f>
        <v/>
      </c>
      <c r="M28" s="8" t="n"/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9">
        <f>IF(K29="","Current","Superseded")</f>
        <v/>
      </c>
      <c r="M29" s="8" t="n"/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9">
        <f>IF(K30="","Current","Superseded")</f>
        <v/>
      </c>
      <c r="M30" s="8" t="n"/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9">
        <f>IF(K31="","Current","Superseded")</f>
        <v/>
      </c>
      <c r="M31" s="8" t="n"/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9">
        <f>IF(K32="","Current","Superseded")</f>
        <v/>
      </c>
      <c r="M32" s="8" t="n"/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9">
        <f>IF(K33="","Current","Superseded")</f>
        <v/>
      </c>
      <c r="M33" s="8" t="n"/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9">
        <f>IF(K34="","Current","Superseded")</f>
        <v/>
      </c>
      <c r="M34" s="8" t="n"/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9">
        <f>IF(K35="","Current","Superseded")</f>
        <v/>
      </c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9">
        <f>IF(K36="","Current","Superseded")</f>
        <v/>
      </c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9">
        <f>IF(K37="","Current","Superseded")</f>
        <v/>
      </c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9">
        <f>IF(K38="","Current","Superseded")</f>
        <v/>
      </c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9">
        <f>IF(K39="","Current","Superseded")</f>
        <v/>
      </c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9">
        <f>IF(K40="","Current","Superseded")</f>
        <v/>
      </c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9">
        <f>IF(K41="","Current","Superseded")</f>
        <v/>
      </c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9">
        <f>IF(K42="","Current","Superseded")</f>
        <v/>
      </c>
      <c r="M42" s="8" t="n"/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9">
        <f>IF(K43="","Current","Superseded")</f>
        <v/>
      </c>
      <c r="M43" s="8" t="n"/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9">
        <f>IF(K44="","Current","Superseded")</f>
        <v/>
      </c>
      <c r="M44" s="8" t="n"/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9">
        <f>IF(K45="","Current","Superseded")</f>
        <v/>
      </c>
      <c r="M45" s="8" t="n"/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9">
        <f>IF(K46="","Current","Superseded")</f>
        <v/>
      </c>
      <c r="M46" s="8" t="n"/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9">
        <f>IF(K47="","Current","Superseded")</f>
        <v/>
      </c>
      <c r="M47" s="8" t="n"/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9">
        <f>IF(K48="","Current","Superseded")</f>
        <v/>
      </c>
      <c r="M48" s="8" t="n"/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9">
        <f>IF(K49="","Current","Superseded")</f>
        <v/>
      </c>
      <c r="M49" s="8" t="n"/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9">
        <f>IF(K50="","Current","Superseded")</f>
        <v/>
      </c>
      <c r="M50" s="8" t="n"/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9">
        <f>IF(K51="","Current","Superseded")</f>
        <v/>
      </c>
      <c r="M51" s="8" t="n"/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9">
        <f>IF(K52="","Current","Superseded")</f>
        <v/>
      </c>
      <c r="M52" s="8" t="n"/>
      <c r="N52" s="8" t="n"/>
    </row>
  </sheetData>
  <mergeCells count="1">
    <mergeCell ref="A1:N1"/>
  </mergeCells>
  <conditionalFormatting sqref="L3:L52">
    <cfRule type="cellIs" priority="1" operator="equal" dxfId="4">
      <formula>"Current"</formula>
    </cfRule>
    <cfRule type="cellIs" priority="2" operator="equal" dxfId="3">
      <formula>"Superseded"</formula>
    </cfRule>
  </conditionalFormatting>
  <conditionalFormatting sqref="F3:F52">
    <cfRule type="cellIs" priority="3" operator="equal" dxfId="11">
      <formula>"Emergency Change"</formula>
    </cfRule>
    <cfRule type="cellIs" priority="4" operator="equal" dxfId="12">
      <formula>"Security Patch"</formula>
    </cfRule>
  </conditionalFormatting>
  <dataValidations count="1">
    <dataValidation sqref="F3:F52" showDropDown="0" showInputMessage="0" showErrorMessage="0" allowBlank="0" errorTitle="Invalid Entry" error="Invalid entry" promptTitle="Selection Required" prompt="Please select from the dropdown" type="list">
      <formula1>"Initial Release,Minor Update,Major Update,Security Patch,Emergency Change,Rollback"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20" customWidth="1" min="4" max="4"/>
    <col width="25" customWidth="1" min="5" max="5"/>
    <col width="30" customWidth="1" min="6" max="6"/>
    <col width="25" customWidth="1" min="7" max="7"/>
    <col width="25" customWidth="1" min="8" max="8"/>
    <col width="40" customWidth="1" min="9" max="9"/>
    <col width="12" customWidth="1" min="10" max="10"/>
    <col width="35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35" customWidth="1" min="18" max="18"/>
  </cols>
  <sheetData>
    <row r="1" ht="30" customHeight="1">
      <c r="A1" s="7" t="inlineStr">
        <is>
          <t>Configuration Baseline Deviation Register</t>
        </is>
      </c>
    </row>
    <row r="2" ht="30" customHeight="1">
      <c r="A2" s="6" t="inlineStr">
        <is>
          <t>Deviation ID</t>
        </is>
      </c>
      <c r="B2" s="6" t="inlineStr">
        <is>
          <t>Asset ID</t>
        </is>
      </c>
      <c r="C2" s="6" t="inlineStr">
        <is>
          <t>Asset Name</t>
        </is>
      </c>
      <c r="D2" s="6" t="inlineStr">
        <is>
          <t>Baseline ID</t>
        </is>
      </c>
      <c r="E2" s="6" t="inlineStr">
        <is>
          <t>Deviation Type</t>
        </is>
      </c>
      <c r="F2" s="6" t="inlineStr">
        <is>
          <t>Configuration Element</t>
        </is>
      </c>
      <c r="G2" s="6" t="inlineStr">
        <is>
          <t>Standard Value</t>
        </is>
      </c>
      <c r="H2" s="6" t="inlineStr">
        <is>
          <t>Actual Value</t>
        </is>
      </c>
      <c r="I2" s="6" t="inlineStr">
        <is>
          <t>Business Justification</t>
        </is>
      </c>
      <c r="J2" s="6" t="inlineStr">
        <is>
          <t>Risk Assessment</t>
        </is>
      </c>
      <c r="K2" s="6" t="inlineStr">
        <is>
          <t>Compensating Controls</t>
        </is>
      </c>
      <c r="L2" s="6" t="inlineStr">
        <is>
          <t>Approved By</t>
        </is>
      </c>
      <c r="M2" s="6" t="inlineStr">
        <is>
          <t>Approval Date</t>
        </is>
      </c>
      <c r="N2" s="6" t="inlineStr">
        <is>
          <t>Review Frequency</t>
        </is>
      </c>
      <c r="O2" s="6" t="inlineStr">
        <is>
          <t>Next Review Date</t>
        </is>
      </c>
      <c r="P2" s="6" t="inlineStr">
        <is>
          <t>Deviation Status</t>
        </is>
      </c>
      <c r="Q2" s="6" t="inlineStr">
        <is>
          <t>Expiration Date</t>
        </is>
      </c>
      <c r="R2" s="6" t="inlineStr">
        <is>
          <t>Notes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9">
        <f>IF(M3="","",IF(N3="Monthly",M3+30,IF(N3="Quarterly",M3+90,IF(N3="Semi-Annual",M3+180,IF(N3="Annual",M3+365,"")))))</f>
        <v/>
      </c>
      <c r="P3" s="8" t="n"/>
      <c r="Q3" s="8" t="n"/>
      <c r="R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9">
        <f>IF(M4="","",IF(N4="Monthly",M4+30,IF(N4="Quarterly",M4+90,IF(N4="Semi-Annual",M4+180,IF(N4="Annual",M4+365,"")))))</f>
        <v/>
      </c>
      <c r="P4" s="8" t="n"/>
      <c r="Q4" s="8" t="n"/>
      <c r="R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9">
        <f>IF(M5="","",IF(N5="Monthly",M5+30,IF(N5="Quarterly",M5+90,IF(N5="Semi-Annual",M5+180,IF(N5="Annual",M5+365,"")))))</f>
        <v/>
      </c>
      <c r="P5" s="8" t="n"/>
      <c r="Q5" s="8" t="n"/>
      <c r="R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9">
        <f>IF(M6="","",IF(N6="Monthly",M6+30,IF(N6="Quarterly",M6+90,IF(N6="Semi-Annual",M6+180,IF(N6="Annual",M6+365,"")))))</f>
        <v/>
      </c>
      <c r="P6" s="8" t="n"/>
      <c r="Q6" s="8" t="n"/>
      <c r="R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9">
        <f>IF(M7="","",IF(N7="Monthly",M7+30,IF(N7="Quarterly",M7+90,IF(N7="Semi-Annual",M7+180,IF(N7="Annual",M7+365,"")))))</f>
        <v/>
      </c>
      <c r="P7" s="8" t="n"/>
      <c r="Q7" s="8" t="n"/>
      <c r="R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9">
        <f>IF(M8="","",IF(N8="Monthly",M8+30,IF(N8="Quarterly",M8+90,IF(N8="Semi-Annual",M8+180,IF(N8="Annual",M8+365,"")))))</f>
        <v/>
      </c>
      <c r="P8" s="8" t="n"/>
      <c r="Q8" s="8" t="n"/>
      <c r="R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9">
        <f>IF(M9="","",IF(N9="Monthly",M9+30,IF(N9="Quarterly",M9+90,IF(N9="Semi-Annual",M9+180,IF(N9="Annual",M9+365,"")))))</f>
        <v/>
      </c>
      <c r="P9" s="8" t="n"/>
      <c r="Q9" s="8" t="n"/>
      <c r="R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9">
        <f>IF(M10="","",IF(N10="Monthly",M10+30,IF(N10="Quarterly",M10+90,IF(N10="Semi-Annual",M10+180,IF(N10="Annual",M10+365,"")))))</f>
        <v/>
      </c>
      <c r="P10" s="8" t="n"/>
      <c r="Q10" s="8" t="n"/>
      <c r="R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9">
        <f>IF(M11="","",IF(N11="Monthly",M11+30,IF(N11="Quarterly",M11+90,IF(N11="Semi-Annual",M11+180,IF(N11="Annual",M11+365,"")))))</f>
        <v/>
      </c>
      <c r="P11" s="8" t="n"/>
      <c r="Q11" s="8" t="n"/>
      <c r="R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9">
        <f>IF(M12="","",IF(N12="Monthly",M12+30,IF(N12="Quarterly",M12+90,IF(N12="Semi-Annual",M12+180,IF(N12="Annual",M12+365,"")))))</f>
        <v/>
      </c>
      <c r="P12" s="8" t="n"/>
      <c r="Q12" s="8" t="n"/>
      <c r="R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9">
        <f>IF(M13="","",IF(N13="Monthly",M13+30,IF(N13="Quarterly",M13+90,IF(N13="Semi-Annual",M13+180,IF(N13="Annual",M13+365,"")))))</f>
        <v/>
      </c>
      <c r="P13" s="8" t="n"/>
      <c r="Q13" s="8" t="n"/>
      <c r="R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9">
        <f>IF(M14="","",IF(N14="Monthly",M14+30,IF(N14="Quarterly",M14+90,IF(N14="Semi-Annual",M14+180,IF(N14="Annual",M14+365,"")))))</f>
        <v/>
      </c>
      <c r="P14" s="8" t="n"/>
      <c r="Q14" s="8" t="n"/>
      <c r="R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9">
        <f>IF(M15="","",IF(N15="Monthly",M15+30,IF(N15="Quarterly",M15+90,IF(N15="Semi-Annual",M15+180,IF(N15="Annual",M15+365,"")))))</f>
        <v/>
      </c>
      <c r="P15" s="8" t="n"/>
      <c r="Q15" s="8" t="n"/>
      <c r="R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9">
        <f>IF(M16="","",IF(N16="Monthly",M16+30,IF(N16="Quarterly",M16+90,IF(N16="Semi-Annual",M16+180,IF(N16="Annual",M16+365,"")))))</f>
        <v/>
      </c>
      <c r="P16" s="8" t="n"/>
      <c r="Q16" s="8" t="n"/>
      <c r="R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9">
        <f>IF(M17="","",IF(N17="Monthly",M17+30,IF(N17="Quarterly",M17+90,IF(N17="Semi-Annual",M17+180,IF(N17="Annual",M17+365,"")))))</f>
        <v/>
      </c>
      <c r="P17" s="8" t="n"/>
      <c r="Q17" s="8" t="n"/>
      <c r="R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9">
        <f>IF(M18="","",IF(N18="Monthly",M18+30,IF(N18="Quarterly",M18+90,IF(N18="Semi-Annual",M18+180,IF(N18="Annual",M18+365,"")))))</f>
        <v/>
      </c>
      <c r="P18" s="8" t="n"/>
      <c r="Q18" s="8" t="n"/>
      <c r="R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9">
        <f>IF(M19="","",IF(N19="Monthly",M19+30,IF(N19="Quarterly",M19+90,IF(N19="Semi-Annual",M19+180,IF(N19="Annual",M19+365,"")))))</f>
        <v/>
      </c>
      <c r="P19" s="8" t="n"/>
      <c r="Q19" s="8" t="n"/>
      <c r="R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9">
        <f>IF(M20="","",IF(N20="Monthly",M20+30,IF(N20="Quarterly",M20+90,IF(N20="Semi-Annual",M20+180,IF(N20="Annual",M20+365,"")))))</f>
        <v/>
      </c>
      <c r="P20" s="8" t="n"/>
      <c r="Q20" s="8" t="n"/>
      <c r="R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9">
        <f>IF(M21="","",IF(N21="Monthly",M21+30,IF(N21="Quarterly",M21+90,IF(N21="Semi-Annual",M21+180,IF(N21="Annual",M21+365,"")))))</f>
        <v/>
      </c>
      <c r="P21" s="8" t="n"/>
      <c r="Q21" s="8" t="n"/>
      <c r="R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9">
        <f>IF(M22="","",IF(N22="Monthly",M22+30,IF(N22="Quarterly",M22+90,IF(N22="Semi-Annual",M22+180,IF(N22="Annual",M22+365,"")))))</f>
        <v/>
      </c>
      <c r="P22" s="8" t="n"/>
      <c r="Q22" s="8" t="n"/>
      <c r="R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9">
        <f>IF(M23="","",IF(N23="Monthly",M23+30,IF(N23="Quarterly",M23+90,IF(N23="Semi-Annual",M23+180,IF(N23="Annual",M23+365,"")))))</f>
        <v/>
      </c>
      <c r="P23" s="8" t="n"/>
      <c r="Q23" s="8" t="n"/>
      <c r="R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9">
        <f>IF(M24="","",IF(N24="Monthly",M24+30,IF(N24="Quarterly",M24+90,IF(N24="Semi-Annual",M24+180,IF(N24="Annual",M24+365,"")))))</f>
        <v/>
      </c>
      <c r="P24" s="8" t="n"/>
      <c r="Q24" s="8" t="n"/>
      <c r="R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9">
        <f>IF(M25="","",IF(N25="Monthly",M25+30,IF(N25="Quarterly",M25+90,IF(N25="Semi-Annual",M25+180,IF(N25="Annual",M25+365,"")))))</f>
        <v/>
      </c>
      <c r="P25" s="8" t="n"/>
      <c r="Q25" s="8" t="n"/>
      <c r="R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9">
        <f>IF(M26="","",IF(N26="Monthly",M26+30,IF(N26="Quarterly",M26+90,IF(N26="Semi-Annual",M26+180,IF(N26="Annual",M26+365,"")))))</f>
        <v/>
      </c>
      <c r="P26" s="8" t="n"/>
      <c r="Q26" s="8" t="n"/>
      <c r="R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9">
        <f>IF(M27="","",IF(N27="Monthly",M27+30,IF(N27="Quarterly",M27+90,IF(N27="Semi-Annual",M27+180,IF(N27="Annual",M27+365,"")))))</f>
        <v/>
      </c>
      <c r="P27" s="8" t="n"/>
      <c r="Q27" s="8" t="n"/>
      <c r="R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9">
        <f>IF(M28="","",IF(N28="Monthly",M28+30,IF(N28="Quarterly",M28+90,IF(N28="Semi-Annual",M28+180,IF(N28="Annual",M28+365,"")))))</f>
        <v/>
      </c>
      <c r="P28" s="8" t="n"/>
      <c r="Q28" s="8" t="n"/>
      <c r="R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9">
        <f>IF(M29="","",IF(N29="Monthly",M29+30,IF(N29="Quarterly",M29+90,IF(N29="Semi-Annual",M29+180,IF(N29="Annual",M29+365,"")))))</f>
        <v/>
      </c>
      <c r="P29" s="8" t="n"/>
      <c r="Q29" s="8" t="n"/>
      <c r="R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9">
        <f>IF(M30="","",IF(N30="Monthly",M30+30,IF(N30="Quarterly",M30+90,IF(N30="Semi-Annual",M30+180,IF(N30="Annual",M30+365,"")))))</f>
        <v/>
      </c>
      <c r="P30" s="8" t="n"/>
      <c r="Q30" s="8" t="n"/>
      <c r="R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9">
        <f>IF(M31="","",IF(N31="Monthly",M31+30,IF(N31="Quarterly",M31+90,IF(N31="Semi-Annual",M31+180,IF(N31="Annual",M31+365,"")))))</f>
        <v/>
      </c>
      <c r="P31" s="8" t="n"/>
      <c r="Q31" s="8" t="n"/>
      <c r="R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9">
        <f>IF(M32="","",IF(N32="Monthly",M32+30,IF(N32="Quarterly",M32+90,IF(N32="Semi-Annual",M32+180,IF(N32="Annual",M32+365,"")))))</f>
        <v/>
      </c>
      <c r="P32" s="8" t="n"/>
      <c r="Q32" s="8" t="n"/>
      <c r="R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9">
        <f>IF(M33="","",IF(N33="Monthly",M33+30,IF(N33="Quarterly",M33+90,IF(N33="Semi-Annual",M33+180,IF(N33="Annual",M33+365,"")))))</f>
        <v/>
      </c>
      <c r="P33" s="8" t="n"/>
      <c r="Q33" s="8" t="n"/>
      <c r="R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9">
        <f>IF(M34="","",IF(N34="Monthly",M34+30,IF(N34="Quarterly",M34+90,IF(N34="Semi-Annual",M34+180,IF(N34="Annual",M34+365,"")))))</f>
        <v/>
      </c>
      <c r="P34" s="8" t="n"/>
      <c r="Q34" s="8" t="n"/>
      <c r="R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9">
        <f>IF(M35="","",IF(N35="Monthly",M35+30,IF(N35="Quarterly",M35+90,IF(N35="Semi-Annual",M35+180,IF(N35="Annual",M35+365,"")))))</f>
        <v/>
      </c>
      <c r="P35" s="8" t="n"/>
      <c r="Q35" s="8" t="n"/>
      <c r="R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9">
        <f>IF(M36="","",IF(N36="Monthly",M36+30,IF(N36="Quarterly",M36+90,IF(N36="Semi-Annual",M36+180,IF(N36="Annual",M36+365,"")))))</f>
        <v/>
      </c>
      <c r="P36" s="8" t="n"/>
      <c r="Q36" s="8" t="n"/>
      <c r="R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9">
        <f>IF(M37="","",IF(N37="Monthly",M37+30,IF(N37="Quarterly",M37+90,IF(N37="Semi-Annual",M37+180,IF(N37="Annual",M37+365,"")))))</f>
        <v/>
      </c>
      <c r="P37" s="8" t="n"/>
      <c r="Q37" s="8" t="n"/>
      <c r="R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9">
        <f>IF(M38="","",IF(N38="Monthly",M38+30,IF(N38="Quarterly",M38+90,IF(N38="Semi-Annual",M38+180,IF(N38="Annual",M38+365,"")))))</f>
        <v/>
      </c>
      <c r="P38" s="8" t="n"/>
      <c r="Q38" s="8" t="n"/>
      <c r="R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9">
        <f>IF(M39="","",IF(N39="Monthly",M39+30,IF(N39="Quarterly",M39+90,IF(N39="Semi-Annual",M39+180,IF(N39="Annual",M39+365,"")))))</f>
        <v/>
      </c>
      <c r="P39" s="8" t="n"/>
      <c r="Q39" s="8" t="n"/>
      <c r="R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9">
        <f>IF(M40="","",IF(N40="Monthly",M40+30,IF(N40="Quarterly",M40+90,IF(N40="Semi-Annual",M40+180,IF(N40="Annual",M40+365,"")))))</f>
        <v/>
      </c>
      <c r="P40" s="8" t="n"/>
      <c r="Q40" s="8" t="n"/>
      <c r="R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9">
        <f>IF(M41="","",IF(N41="Monthly",M41+30,IF(N41="Quarterly",M41+90,IF(N41="Semi-Annual",M41+180,IF(N41="Annual",M41+365,"")))))</f>
        <v/>
      </c>
      <c r="P41" s="8" t="n"/>
      <c r="Q41" s="8" t="n"/>
      <c r="R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9">
        <f>IF(M42="","",IF(N42="Monthly",M42+30,IF(N42="Quarterly",M42+90,IF(N42="Semi-Annual",M42+180,IF(N42="Annual",M42+365,"")))))</f>
        <v/>
      </c>
      <c r="P42" s="8" t="n"/>
      <c r="Q42" s="8" t="n"/>
      <c r="R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9">
        <f>IF(M43="","",IF(N43="Monthly",M43+30,IF(N43="Quarterly",M43+90,IF(N43="Semi-Annual",M43+180,IF(N43="Annual",M43+365,"")))))</f>
        <v/>
      </c>
      <c r="P43" s="8" t="n"/>
      <c r="Q43" s="8" t="n"/>
      <c r="R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9">
        <f>IF(M44="","",IF(N44="Monthly",M44+30,IF(N44="Quarterly",M44+90,IF(N44="Semi-Annual",M44+180,IF(N44="Annual",M44+365,"")))))</f>
        <v/>
      </c>
      <c r="P44" s="8" t="n"/>
      <c r="Q44" s="8" t="n"/>
      <c r="R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9">
        <f>IF(M45="","",IF(N45="Monthly",M45+30,IF(N45="Quarterly",M45+90,IF(N45="Semi-Annual",M45+180,IF(N45="Annual",M45+365,"")))))</f>
        <v/>
      </c>
      <c r="P45" s="8" t="n"/>
      <c r="Q45" s="8" t="n"/>
      <c r="R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9">
        <f>IF(M46="","",IF(N46="Monthly",M46+30,IF(N46="Quarterly",M46+90,IF(N46="Semi-Annual",M46+180,IF(N46="Annual",M46+365,"")))))</f>
        <v/>
      </c>
      <c r="P46" s="8" t="n"/>
      <c r="Q46" s="8" t="n"/>
      <c r="R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9">
        <f>IF(M47="","",IF(N47="Monthly",M47+30,IF(N47="Quarterly",M47+90,IF(N47="Semi-Annual",M47+180,IF(N47="Annual",M47+365,"")))))</f>
        <v/>
      </c>
      <c r="P47" s="8" t="n"/>
      <c r="Q47" s="8" t="n"/>
      <c r="R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9">
        <f>IF(M48="","",IF(N48="Monthly",M48+30,IF(N48="Quarterly",M48+90,IF(N48="Semi-Annual",M48+180,IF(N48="Annual",M48+365,"")))))</f>
        <v/>
      </c>
      <c r="P48" s="8" t="n"/>
      <c r="Q48" s="8" t="n"/>
      <c r="R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9">
        <f>IF(M49="","",IF(N49="Monthly",M49+30,IF(N49="Quarterly",M49+90,IF(N49="Semi-Annual",M49+180,IF(N49="Annual",M49+365,"")))))</f>
        <v/>
      </c>
      <c r="P49" s="8" t="n"/>
      <c r="Q49" s="8" t="n"/>
      <c r="R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9">
        <f>IF(M50="","",IF(N50="Monthly",M50+30,IF(N50="Quarterly",M50+90,IF(N50="Semi-Annual",M50+180,IF(N50="Annual",M50+365,"")))))</f>
        <v/>
      </c>
      <c r="P50" s="8" t="n"/>
      <c r="Q50" s="8" t="n"/>
      <c r="R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9">
        <f>IF(M51="","",IF(N51="Monthly",M51+30,IF(N51="Quarterly",M51+90,IF(N51="Semi-Annual",M51+180,IF(N51="Annual",M51+365,"")))))</f>
        <v/>
      </c>
      <c r="P51" s="8" t="n"/>
      <c r="Q51" s="8" t="n"/>
      <c r="R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9">
        <f>IF(M52="","",IF(N52="Monthly",M52+30,IF(N52="Quarterly",M52+90,IF(N52="Semi-Annual",M52+180,IF(N52="Annual",M52+365,"")))))</f>
        <v/>
      </c>
      <c r="P52" s="8" t="n"/>
      <c r="Q52" s="8" t="n"/>
      <c r="R52" s="8" t="n"/>
    </row>
  </sheetData>
  <mergeCells count="1">
    <mergeCell ref="A1:R1"/>
  </mergeCells>
  <conditionalFormatting sqref="J3:J52">
    <cfRule type="cellIs" priority="1" operator="equal" dxfId="13">
      <formula>"Critical"</formula>
    </cfRule>
    <cfRule type="cellIs" priority="2" operator="equal" dxfId="2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conditionalFormatting sqref="P3:P52">
    <cfRule type="cellIs" priority="5" operator="equal" dxfId="0">
      <formula>"Active"</formula>
    </cfRule>
    <cfRule type="cellIs" priority="6" operator="equal" dxfId="5">
      <formula>"Expired"</formula>
    </cfRule>
    <cfRule type="cellIs" priority="7" operator="equal" dxfId="1">
      <formula>"Under Review"</formula>
    </cfRule>
  </conditionalFormatting>
  <dataValidations count="4">
    <dataValidation sqref="E3:E52" showDropDown="0" showInputMessage="0" showErrorMessage="0" allowBlank="0" errorTitle="Invalid Entry" error="Invalid entry" promptTitle="Selection Required" prompt="Please select from the dropdown" type="list">
      <formula1>"Configuration Exception,Exclusion from Baseline,Temporary Deviation,Permanent Exception"</formula1>
    </dataValidation>
    <dataValidation sqref="J3:J52" showDropDown="0" showInputMessage="0" showErrorMessage="0" allowBlank="0" errorTitle="Invalid Entry" error="Invalid entry" promptTitle="Selection Required" prompt="Please select from the dropdown" type="list">
      <formula1>"⭕ Low,🟢 Medium,🟡 High,🔴 Critical"</formula1>
    </dataValidation>
    <dataValidation sqref="N3:N52" showDropDown="0" showInputMessage="0" showErrorMessage="0" allowBlank="0" errorTitle="Invalid Entry" error="Invalid entry" promptTitle="Selection Required" prompt="Please select from the dropdown" type="list">
      <formula1>"Monthly,Quarterly,Semi-Annual,Annual"</formula1>
    </dataValidation>
    <dataValidation sqref="P3:P52" showDropDown="0" showInputMessage="0" showErrorMessage="0" allowBlank="0" errorTitle="Invalid Entry" error="Invalid entry" promptTitle="Selection Required" prompt="Please select from the dropdown" type="list">
      <formula1>"✅ Active,🔍 Under Review,⏰ Expired,❌ Revoked,➖ No Longer Needed"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</cols>
  <sheetData>
    <row r="1" ht="35" customHeight="1">
      <c r="A1" s="7" t="inlineStr">
        <is>
          <t>Baseline Configuration Assessment - Metrics Summary</t>
        </is>
      </c>
    </row>
    <row r="3" ht="25" customHeight="1">
      <c r="A3" s="4" t="inlineStr">
        <is>
          <t>OVERALL COMPLIANCE METRICS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Target</t>
        </is>
      </c>
      <c r="D4" s="6" t="inlineStr">
        <is>
          <t>Status</t>
        </is>
      </c>
    </row>
    <row r="5">
      <c r="A5" s="12" t="inlineStr">
        <is>
          <t>Total Assets in Scope</t>
        </is>
      </c>
      <c r="B5" s="13">
        <f>COUNTA(Asset_Inventory!A3:A102)-COUNTBLANK(Asset_Inventory!A3:A102)</f>
        <v/>
      </c>
      <c r="C5" s="14" t="inlineStr">
        <is>
          <t>N/A</t>
        </is>
      </c>
    </row>
    <row r="6">
      <c r="A6" s="12" t="inlineStr">
        <is>
          <t>Assets with Defined Baselines</t>
        </is>
      </c>
      <c r="B6" s="13">
        <f>COUNTIF(Asset_Inventory!H3:H102,"Defined")</f>
        <v/>
      </c>
      <c r="C6" s="14" t="inlineStr">
        <is>
          <t>N/A</t>
        </is>
      </c>
    </row>
    <row r="7">
      <c r="A7" s="12" t="inlineStr">
        <is>
          <t>Overall Baseline Coverage %</t>
        </is>
      </c>
      <c r="B7" s="10">
        <f>IF(B5=0,0,B6/B5*100)</f>
        <v/>
      </c>
      <c r="C7" s="14" t="inlineStr">
        <is>
          <t>≥85%</t>
        </is>
      </c>
      <c r="D7" s="9">
        <f>IF(B7&gt;=85,"✓ Compliant",IF(B7&gt;=70,"⚠ Partial","✗ Non-Compliant"))</f>
        <v/>
      </c>
    </row>
    <row r="8">
      <c r="A8" s="12" t="inlineStr">
        <is>
          <t>Critical Asset Count</t>
        </is>
      </c>
      <c r="B8" s="13">
        <f>COUNTIF(Asset_Inventory!E3:E102,"Critical")</f>
        <v/>
      </c>
      <c r="C8" s="14" t="inlineStr">
        <is>
          <t>N/A</t>
        </is>
      </c>
    </row>
    <row r="9">
      <c r="A9" s="12" t="inlineStr">
        <is>
          <t>Critical Assets with Baselines</t>
        </is>
      </c>
      <c r="B9" s="13">
        <f>COUNTIFS(Asset_Inventory!E3:E102,"Critical",Asset_Inventory!H3:H102,"Defined")</f>
        <v/>
      </c>
      <c r="C9" s="14" t="inlineStr">
        <is>
          <t>N/A</t>
        </is>
      </c>
    </row>
    <row r="10">
      <c r="A10" s="12" t="inlineStr">
        <is>
          <t>Critical Asset Coverage %</t>
        </is>
      </c>
      <c r="B10" s="10">
        <f>IF(B8=0,0,B9/B8*100)</f>
        <v/>
      </c>
      <c r="C10" s="14" t="inlineStr">
        <is>
          <t>≥95%</t>
        </is>
      </c>
      <c r="D10" s="9">
        <f>IF(B10&gt;=95,"✓ Compliant",IF(B10&gt;=90,"⚠ Partial","✗ Non-Compliant"))</f>
        <v/>
      </c>
    </row>
    <row r="11">
      <c r="A11" s="12" t="inlineStr">
        <is>
          <t>High Asset Count</t>
        </is>
      </c>
      <c r="B11" s="13">
        <f>COUNTIF(Asset_Inventory!E3:E102,"High")</f>
        <v/>
      </c>
      <c r="C11" s="14" t="inlineStr">
        <is>
          <t>N/A</t>
        </is>
      </c>
    </row>
    <row r="12">
      <c r="A12" s="12" t="inlineStr">
        <is>
          <t>High Assets with Baselines</t>
        </is>
      </c>
      <c r="B12" s="13">
        <f>COUNTIFS(Asset_Inventory!E3:E102,"High",Asset_Inventory!H3:H102,"Defined")</f>
        <v/>
      </c>
      <c r="C12" s="14" t="inlineStr">
        <is>
          <t>N/A</t>
        </is>
      </c>
    </row>
    <row r="13">
      <c r="A13" s="12" t="inlineStr">
        <is>
          <t>High Asset Coverage %</t>
        </is>
      </c>
      <c r="B13" s="10">
        <f>IF(B11=0,0,B12/B11*100)</f>
        <v/>
      </c>
      <c r="C13" s="14" t="inlineStr">
        <is>
          <t>≥90%</t>
        </is>
      </c>
      <c r="D13" s="9">
        <f>IF(B13&gt;=90,"✓ Compliant",IF(B13&gt;=85,"⚠ Partial","✗ Non-Compliant"))</f>
        <v/>
      </c>
    </row>
    <row r="14">
      <c r="A14" s="12" t="inlineStr">
        <is>
          <t>Baselines Pending Approval</t>
        </is>
      </c>
      <c r="B14" s="13">
        <f>COUNTIF(Approval_Tracking!E3:E52,"Submitted")+COUNTIF(Approval_Tracking!E3:E52,"Under Review")</f>
        <v/>
      </c>
      <c r="C14" s="14" t="inlineStr">
        <is>
          <t>0</t>
        </is>
      </c>
      <c r="D14" s="9">
        <f>IF(B14=0,"✓ None Pending","⚠ "&amp;B14&amp;" Pending")</f>
        <v/>
      </c>
    </row>
    <row r="15">
      <c r="A15" s="12" t="inlineStr">
        <is>
          <t>Baselines with Excellent Documentation</t>
        </is>
      </c>
      <c r="B15" s="13">
        <f>COUNTIF(Documentation_Assessment!L3:L32,"Excellent")</f>
        <v/>
      </c>
      <c r="C15" s="14" t="inlineStr">
        <is>
          <t>Maximize</t>
        </is>
      </c>
      <c r="D15" s="9">
        <f>B15&amp;" baselines"</f>
        <v/>
      </c>
    </row>
    <row r="16">
      <c r="A16" s="12" t="inlineStr">
        <is>
          <t>Baselines with Poor Documentation</t>
        </is>
      </c>
      <c r="B16" s="13">
        <f>COUNTIF(Documentation_Assessment!L3:L32,"Poor")</f>
        <v/>
      </c>
      <c r="C16" s="14" t="inlineStr">
        <is>
          <t>0</t>
        </is>
      </c>
      <c r="D16" s="9">
        <f>IF(B16=0,"✓ None","✗ "&amp;B16&amp;" Need Remediation")</f>
        <v/>
      </c>
    </row>
    <row r="17">
      <c r="A17" s="12" t="inlineStr">
        <is>
          <t>Active High/Critical Risk Deviations</t>
        </is>
      </c>
      <c r="B17" s="13">
        <f>COUNTIFS(Deviation_Register!J3:J52,"High",Deviation_Register!P3:P52,"Active")+COUNTIFS(Deviation_Register!J3:J52,"Critical",Deviation_Register!P3:P52,"Active")</f>
        <v/>
      </c>
      <c r="C17" s="14" t="inlineStr">
        <is>
          <t>&lt;5</t>
        </is>
      </c>
      <c r="D17" s="9">
        <f>IF(B17&lt;5,"✓ Within Target","✗ "&amp;B17&amp;" High-Risk")</f>
        <v/>
      </c>
    </row>
    <row r="19" ht="25" customHeight="1">
      <c r="A19" s="4" t="inlineStr">
        <is>
          <t>COVERAGE BY ASSET CATEGORY</t>
        </is>
      </c>
    </row>
    <row r="20">
      <c r="A20" s="6" t="inlineStr">
        <is>
          <t>Category</t>
        </is>
      </c>
      <c r="B20" s="6" t="inlineStr">
        <is>
          <t>Total Assets</t>
        </is>
      </c>
      <c r="C20" s="6" t="inlineStr">
        <is>
          <t>With Baselines</t>
        </is>
      </c>
      <c r="D20" s="6" t="inlineStr">
        <is>
          <t>Coverage %</t>
        </is>
      </c>
    </row>
    <row r="21">
      <c r="A21" s="12" t="inlineStr">
        <is>
          <t>Infrastructure</t>
        </is>
      </c>
      <c r="B21" s="9">
        <f>COUNTIF(Asset_Inventory!$D$3:$D$102,"Infrastructure")</f>
        <v/>
      </c>
      <c r="C21" s="9">
        <f>COUNTIFS(Asset_Inventory!$D$3:$D$102,"Infrastructure",Asset_Inventory!$H$3:$H$102,"Defined")</f>
        <v/>
      </c>
      <c r="D21" s="10">
        <f>IF(B21=0,0,C21/B21*100)</f>
        <v/>
      </c>
    </row>
    <row r="22">
      <c r="A22" s="12" t="inlineStr">
        <is>
          <t>Endpoint</t>
        </is>
      </c>
      <c r="B22" s="9">
        <f>COUNTIF(Asset_Inventory!$D$3:$D$102,"Endpoint")</f>
        <v/>
      </c>
      <c r="C22" s="9">
        <f>COUNTIFS(Asset_Inventory!$D$3:$D$102,"Endpoint",Asset_Inventory!$H$3:$H$102,"Defined")</f>
        <v/>
      </c>
      <c r="D22" s="10">
        <f>IF(B22=0,0,C22/B22*100)</f>
        <v/>
      </c>
    </row>
    <row r="23">
      <c r="A23" s="12" t="inlineStr">
        <is>
          <t>Network Services</t>
        </is>
      </c>
      <c r="B23" s="9">
        <f>COUNTIF(Asset_Inventory!$D$3:$D$102,"Network Services")</f>
        <v/>
      </c>
      <c r="C23" s="9">
        <f>COUNTIFS(Asset_Inventory!$D$3:$D$102,"Network Services",Asset_Inventory!$H$3:$H$102,"Defined")</f>
        <v/>
      </c>
      <c r="D23" s="10">
        <f>IF(B23=0,0,C23/B23*100)</f>
        <v/>
      </c>
    </row>
    <row r="24">
      <c r="A24" s="12" t="inlineStr">
        <is>
          <t>Applications</t>
        </is>
      </c>
      <c r="B24" s="9">
        <f>COUNTIF(Asset_Inventory!$D$3:$D$102,"Applications")</f>
        <v/>
      </c>
      <c r="C24" s="9">
        <f>COUNTIFS(Asset_Inventory!$D$3:$D$102,"Applications",Asset_Inventory!$H$3:$H$102,"Defined")</f>
        <v/>
      </c>
      <c r="D24" s="10">
        <f>IF(B24=0,0,C24/B24*100)</f>
        <v/>
      </c>
    </row>
    <row r="25">
      <c r="A25" s="12" t="inlineStr">
        <is>
          <t>Cloud</t>
        </is>
      </c>
      <c r="B25" s="9">
        <f>COUNTIF(Asset_Inventory!$D$3:$D$102,"Cloud")</f>
        <v/>
      </c>
      <c r="C25" s="9">
        <f>COUNTIFS(Asset_Inventory!$D$3:$D$102,"Cloud",Asset_Inventory!$H$3:$H$102,"Defined")</f>
        <v/>
      </c>
      <c r="D25" s="10">
        <f>IF(B25=0,0,C25/B25*100)</f>
        <v/>
      </c>
    </row>
    <row r="26">
      <c r="A26" s="12" t="inlineStr">
        <is>
          <t>IoT/OT</t>
        </is>
      </c>
      <c r="B26" s="9">
        <f>COUNTIF(Asset_Inventory!$D$3:$D$102,"IoT/OT")</f>
        <v/>
      </c>
      <c r="C26" s="9">
        <f>COUNTIFS(Asset_Inventory!$D$3:$D$102,"IoT/OT",Asset_Inventory!$H$3:$H$102,"Defined")</f>
        <v/>
      </c>
      <c r="D26" s="10">
        <f>IF(B26=0,0,C26/B26*100)</f>
        <v/>
      </c>
    </row>
    <row r="28" ht="25" customHeight="1">
      <c r="A28" s="4" t="inlineStr">
        <is>
          <t>APPROVAL PROCESS HEALTH</t>
        </is>
      </c>
    </row>
    <row r="29">
      <c r="A29" s="6" t="inlineStr">
        <is>
          <t>Metric</t>
        </is>
      </c>
      <c r="B29" s="6" t="inlineStr">
        <is>
          <t>Value</t>
        </is>
      </c>
      <c r="C29" s="6" t="inlineStr">
        <is>
          <t>Target</t>
        </is>
      </c>
      <c r="D29" s="6" t="inlineStr">
        <is>
          <t>Status</t>
        </is>
      </c>
    </row>
    <row r="30">
      <c r="A30" s="12" t="inlineStr">
        <is>
          <t>Average Approval Time (Days)</t>
        </is>
      </c>
      <c r="B30" s="10">
        <f>IFERROR(AVERAGE(Approval_Tracking!K3:K52),0)</f>
        <v/>
      </c>
      <c r="C30" s="14" t="inlineStr">
        <is>
          <t>&lt;14 days</t>
        </is>
      </c>
      <c r="D30" s="9">
        <f>IF(B30&lt;=14,"✓ Within SLA","✗ Exceeds SLA")</f>
        <v/>
      </c>
    </row>
    <row r="31">
      <c r="A31" s="12" t="inlineStr">
        <is>
          <t>Baselines Exceeding SLA (&gt;21 days)</t>
        </is>
      </c>
      <c r="B31" s="9">
        <f>COUNTIF(Approval_Tracking!L3:L52,"SLA Breach")</f>
        <v/>
      </c>
      <c r="C31" s="14" t="inlineStr">
        <is>
          <t>0</t>
        </is>
      </c>
      <c r="D31" s="9">
        <f>IF(B31=0,"✓ None","✗ "&amp;B31&amp;" Breaches")</f>
        <v/>
      </c>
    </row>
    <row r="32">
      <c r="A32" s="12" t="inlineStr">
        <is>
          <t>Total Approved Baselines</t>
        </is>
      </c>
      <c r="B32" s="9">
        <f>COUNTIF(Approval_Tracking!E3:E52,"Approved")</f>
        <v/>
      </c>
      <c r="C32" s="14" t="inlineStr">
        <is>
          <t>N/A</t>
        </is>
      </c>
    </row>
    <row r="33">
      <c r="A33" s="12" t="inlineStr">
        <is>
          <t>Total Rejected Baselines</t>
        </is>
      </c>
      <c r="B33" s="9">
        <f>COUNTIF(Approval_Tracking!E3:E52,"Rejected")</f>
        <v/>
      </c>
      <c r="C33" s="14" t="inlineStr">
        <is>
          <t>N/A</t>
        </is>
      </c>
    </row>
    <row r="34">
      <c r="A34" s="12" t="inlineStr">
        <is>
          <t>Approval Success Rate %</t>
        </is>
      </c>
      <c r="B34" s="10">
        <f>IF((B32+B33)=0,0,B32/(B32+B33)*100)</f>
        <v/>
      </c>
      <c r="C34" s="14" t="inlineStr">
        <is>
          <t>&gt;90%</t>
        </is>
      </c>
      <c r="D34" s="9">
        <f>IF(B34&gt;=90,"✓ Good",IF(B34&gt;=80,"⚠ Fair","✗ Poor"))</f>
        <v/>
      </c>
    </row>
    <row r="37">
      <c r="A37" s="15" t="inlineStr">
        <is>
          <t>NOTE: All metrics on this sheet are auto-calculated from data in other sheets. Do not edit.</t>
        </is>
      </c>
    </row>
    <row r="38">
      <c r="A38" s="16" t="inlineStr">
        <is>
          <t>Generated: 08.02.2026 12:26 | Status indicators: ✓ = Compliant, ⚠ = Partial/Warning, ✗ = Non-Compliant</t>
        </is>
      </c>
    </row>
  </sheetData>
  <mergeCells count="6">
    <mergeCell ref="A1:D1"/>
    <mergeCell ref="A37:D37"/>
    <mergeCell ref="A3:D3"/>
    <mergeCell ref="A38:D38"/>
    <mergeCell ref="A19:D19"/>
    <mergeCell ref="A28:D28"/>
  </mergeCells>
  <conditionalFormatting sqref="D21:D26">
    <cfRule type="cellIs" priority="1" operator="greaterThanOrEqual" dxfId="0">
      <formula>85</formula>
    </cfRule>
    <cfRule type="cellIs" priority="2" operator="between" dxfId="1">
      <formula>70</formula>
      <formula>84.9</formula>
    </cfRule>
    <cfRule type="cellIs" priority="3" operator="lessThan" dxfId="2">
      <formula>70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20" customWidth="1" min="4" max="4"/>
    <col width="20" customWidth="1" min="5" max="5"/>
    <col width="15" customWidth="1" min="6" max="6"/>
    <col width="40" customWidth="1" min="7" max="7"/>
    <col width="20" customWidth="1" min="8" max="8"/>
    <col width="15" customWidth="1" min="9" max="9"/>
    <col width="15" customWidth="1" min="10" max="10"/>
    <col width="15" customWidth="1" min="11" max="11"/>
    <col width="18" customWidth="1" min="12" max="12"/>
    <col width="25" customWidth="1" min="13" max="13"/>
    <col width="35" customWidth="1" min="14" max="14"/>
  </cols>
  <sheetData>
    <row r="1" ht="30" customHeight="1">
      <c r="A1" s="7" t="inlineStr">
        <is>
          <t>Evidence Register - Baseline Configuration Assessment</t>
        </is>
      </c>
    </row>
    <row r="2" ht="30" customHeight="1">
      <c r="A2" s="6" t="inlineStr">
        <is>
          <t>Evidence ID</t>
        </is>
      </c>
      <c r="B2" s="6" t="inlineStr">
        <is>
          <t>Evidence Type</t>
        </is>
      </c>
      <c r="C2" s="6" t="inlineStr">
        <is>
          <t>Evidence Description</t>
        </is>
      </c>
      <c r="D2" s="6" t="inlineStr">
        <is>
          <t>Related Asset(s)</t>
        </is>
      </c>
      <c r="E2" s="6" t="inlineStr">
        <is>
          <t>Related Baseline(s)</t>
        </is>
      </c>
      <c r="F2" s="6" t="inlineStr">
        <is>
          <t>Evidence Date</t>
        </is>
      </c>
      <c r="G2" s="6" t="inlineStr">
        <is>
          <t>Evidence Location</t>
        </is>
      </c>
      <c r="H2" s="6" t="inlineStr">
        <is>
          <t>Evidence Owner</t>
        </is>
      </c>
      <c r="I2" s="6" t="inlineStr">
        <is>
          <t>Evidence Classification</t>
        </is>
      </c>
      <c r="J2" s="6" t="inlineStr">
        <is>
          <t>Retention Period</t>
        </is>
      </c>
      <c r="K2" s="6" t="inlineStr">
        <is>
          <t>Last Verified Date</t>
        </is>
      </c>
      <c r="L2" s="6" t="inlineStr">
        <is>
          <t>Verification Status</t>
        </is>
      </c>
      <c r="M2" s="6" t="inlineStr">
        <is>
          <t>Linked Control Requirement</t>
        </is>
      </c>
      <c r="N2" s="6" t="inlineStr">
        <is>
          <t>Notes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</sheetData>
  <mergeCells count="1">
    <mergeCell ref="A1:N1"/>
  </mergeCells>
  <conditionalFormatting sqref="L3:L102">
    <cfRule type="cellIs" priority="1" operator="equal" dxfId="0">
      <formula>"Verified"</formula>
    </cfRule>
    <cfRule type="cellIs" priority="2" operator="equal" dxfId="1">
      <formula>"Needs Verification"</formula>
    </cfRule>
    <cfRule type="cellIs" priority="3" operator="equal" dxfId="5">
      <formula>"Missing"</formula>
    </cfRule>
  </conditionalFormatting>
  <conditionalFormatting sqref="I3:I102">
    <cfRule type="cellIs" priority="4" operator="equal" dxfId="11">
      <formula>"Restricted"</formula>
    </cfRule>
    <cfRule type="cellIs" priority="5" operator="equal" dxfId="12">
      <formula>"Confidential"</formula>
    </cfRule>
  </conditionalFormatting>
  <dataValidations count="4">
    <dataValidation sqref="B3:B102" showDropDown="0" showInputMessage="0" showErrorMessage="0" allowBlank="0" errorTitle="Invalid Entry" error="Invalid entry" promptTitle="Selection Required" prompt="Please select from the dropdown" type="list">
      <formula1>"Screenshot,Configuration File,Scan Report,Approval Record,Meeting Minutes,Email,Document,System Export,Video Recording,Audit Log,Other"</formula1>
    </dataValidation>
    <dataValidation sqref="I3:I102" showDropDown="0" showInputMessage="0" showErrorMessage="0" allowBlank="0" errorTitle="Invalid Entry" error="Invalid entry" promptTitle="Selection Required" prompt="Please select from the dropdown" type="list">
      <formula1>"Public,Internal,Confidential,Restricted"</formula1>
    </dataValidation>
    <dataValidation sqref="J3:J102" showDropDown="0" showInputMessage="0" showErrorMessage="0" allowBlank="0" errorTitle="Invalid Entry" error="Invalid entry" promptTitle="Selection Required" prompt="Please select from the dropdown" type="list">
      <formula1>"1 Year,3 Years,5 Years,7 Years,Indefinite"</formula1>
    </dataValidation>
    <dataValidation sqref="L3:L102" showDropDown="0" showInputMessage="0" showErrorMessage="0" allowBlank="0" errorTitle="Invalid Entry" error="Invalid entry" promptTitle="Selection Required" prompt="Please select from the dropdown" type="list">
      <formula1>"✅ Verified,🔍 Needs Verification,❌ Missing,⏰ Outdated"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 ht="35" customHeight="1">
      <c r="A1" s="7" t="inlineStr">
        <is>
          <t>Assessment Approval Sign-Off</t>
        </is>
      </c>
    </row>
    <row r="3" ht="25" customHeight="1">
      <c r="A3" s="4" t="inlineStr">
        <is>
          <t>DOCUMENT INFORMATION</t>
        </is>
      </c>
    </row>
    <row r="4">
      <c r="A4" s="17" t="inlineStr">
        <is>
          <t>Assessment Title</t>
        </is>
      </c>
      <c r="B4" s="12" t="inlineStr">
        <is>
          <t>Baseline Configuration Assessment - Control A.8.9</t>
        </is>
      </c>
    </row>
    <row r="5">
      <c r="A5" s="17" t="inlineStr">
        <is>
          <t>Assessment Period</t>
        </is>
      </c>
      <c r="B5" s="12" t="inlineStr">
        <is>
          <t>[Start Date DD.MM.YYYY] to [End Date DD.MM.YYYY]</t>
        </is>
      </c>
    </row>
    <row r="6">
      <c r="A6" s="17" t="inlineStr">
        <is>
          <t>Document ID</t>
        </is>
      </c>
      <c r="B6" s="12" t="inlineStr">
        <is>
          <t>ISMS-IMP-A.8.9.1</t>
        </is>
      </c>
    </row>
    <row r="7">
      <c r="A7" s="17" t="inlineStr">
        <is>
          <t>Version</t>
        </is>
      </c>
      <c r="B7" s="12" t="inlineStr">
        <is>
          <t>1.0</t>
        </is>
      </c>
    </row>
    <row r="8">
      <c r="A8" s="17" t="inlineStr">
        <is>
          <t>Assessment Date</t>
        </is>
      </c>
      <c r="B8" s="12" t="inlineStr">
        <is>
          <t>08.02.2026</t>
        </is>
      </c>
    </row>
    <row r="9"/>
    <row r="10" ht="25" customHeight="1">
      <c r="A10" s="4" t="inlineStr">
        <is>
          <t>PREPARER SIGN-OFF</t>
        </is>
      </c>
    </row>
    <row r="11">
      <c r="A11" s="17" t="inlineStr">
        <is>
          <t>Preparer Name</t>
        </is>
      </c>
      <c r="B11" s="12" t="inlineStr"/>
    </row>
    <row r="12">
      <c r="A12" s="17" t="inlineStr">
        <is>
          <t>Preparer Role</t>
        </is>
      </c>
      <c r="B12" s="12" t="inlineStr"/>
    </row>
    <row r="13">
      <c r="A13" s="17" t="inlineStr">
        <is>
          <t>Preparer Signature</t>
        </is>
      </c>
      <c r="B13" s="12" t="inlineStr"/>
    </row>
    <row r="14">
      <c r="A14" s="17" t="inlineStr">
        <is>
          <t>Date Prepared</t>
        </is>
      </c>
      <c r="B14" s="12" t="inlineStr"/>
    </row>
    <row r="15" ht="40" customHeight="1">
      <c r="A15" s="17" t="inlineStr">
        <is>
          <t>Completeness Attestation</t>
        </is>
      </c>
      <c r="B15" s="18" t="inlineStr">
        <is>
          <t>I attest that the information in this assessment has been compiled accurately to the best of my knowledge and all required evidence has been collected.</t>
        </is>
      </c>
    </row>
    <row r="16"/>
    <row r="17" ht="25" customHeight="1">
      <c r="A17" s="4" t="inlineStr">
        <is>
          <t>REVIEWER SIGN-OFF</t>
        </is>
      </c>
    </row>
    <row r="18">
      <c r="A18" s="17" t="inlineStr">
        <is>
          <t>Reviewer Name</t>
        </is>
      </c>
      <c r="B18" s="12" t="inlineStr"/>
    </row>
    <row r="19">
      <c r="A19" s="17" t="inlineStr">
        <is>
          <t>Reviewer Role</t>
        </is>
      </c>
      <c r="B19" s="12" t="inlineStr"/>
    </row>
    <row r="20">
      <c r="A20" s="17" t="inlineStr">
        <is>
          <t>Reviewer Signature</t>
        </is>
      </c>
      <c r="B20" s="12" t="inlineStr"/>
    </row>
    <row r="21">
      <c r="A21" s="17" t="inlineStr">
        <is>
          <t>Date Reviewed</t>
        </is>
      </c>
      <c r="B21" s="12" t="inlineStr"/>
    </row>
    <row r="22" ht="30" customHeight="1">
      <c r="A22" s="17" t="inlineStr">
        <is>
          <t>Review Findings</t>
        </is>
      </c>
      <c r="B22" s="19" t="inlineStr"/>
    </row>
    <row r="23" ht="30" customHeight="1">
      <c r="A23" s="17" t="inlineStr">
        <is>
          <t>Gaps Identified</t>
        </is>
      </c>
      <c r="B23" s="19" t="inlineStr"/>
    </row>
    <row r="24" ht="40" customHeight="1">
      <c r="A24" s="17" t="inlineStr">
        <is>
          <t>Review Attestation</t>
        </is>
      </c>
      <c r="B24" s="18" t="inlineStr">
        <is>
          <t>I have reviewed this assessment and verify that it accurately represents [Organization]'s baseline configuration status. Identified gaps have been documented for remediation.</t>
        </is>
      </c>
    </row>
    <row r="25"/>
    <row r="26" ht="25" customHeight="1">
      <c r="A26" s="4" t="inlineStr">
        <is>
          <t>APPROVER SIGN-OFF</t>
        </is>
      </c>
    </row>
    <row r="27">
      <c r="A27" s="17" t="inlineStr">
        <is>
          <t>Approver Name</t>
        </is>
      </c>
      <c r="B27" s="12" t="inlineStr"/>
    </row>
    <row r="28">
      <c r="A28" s="17" t="inlineStr">
        <is>
          <t>Approver Role</t>
        </is>
      </c>
      <c r="B28" s="12" t="inlineStr"/>
    </row>
    <row r="29">
      <c r="A29" s="17" t="inlineStr">
        <is>
          <t>Approver Signature</t>
        </is>
      </c>
      <c r="B29" s="12" t="inlineStr"/>
    </row>
    <row r="30">
      <c r="A30" s="17" t="inlineStr">
        <is>
          <t>Date Approved</t>
        </is>
      </c>
      <c r="B30" s="12" t="inlineStr"/>
    </row>
    <row r="31">
      <c r="A31" s="17" t="inlineStr">
        <is>
          <t>Approval Decision</t>
        </is>
      </c>
      <c r="B31" s="12" t="inlineStr"/>
    </row>
    <row r="32" ht="30" customHeight="1">
      <c r="A32" s="17" t="inlineStr">
        <is>
          <t>Conditions/Comments</t>
        </is>
      </c>
      <c r="B32" s="19" t="inlineStr"/>
    </row>
    <row r="33">
      <c r="A33" s="17" t="inlineStr">
        <is>
          <t>Next Assessment Due</t>
        </is>
      </c>
      <c r="B33" s="12" t="inlineStr"/>
    </row>
    <row r="34" ht="40" customHeight="1">
      <c r="A34" s="17" t="inlineStr">
        <is>
          <t>Approver Attestation</t>
        </is>
      </c>
      <c r="B34" s="18" t="inlineStr">
        <is>
          <t>I approve this baseline configuration assessment and authorize any documented remediation activities to proceed. This assessment will be used for compliance reporting and audit purposes.</t>
        </is>
      </c>
    </row>
  </sheetData>
  <mergeCells count="5">
    <mergeCell ref="A26:B26"/>
    <mergeCell ref="A10:B10"/>
    <mergeCell ref="A1:B1"/>
    <mergeCell ref="A17:B17"/>
    <mergeCell ref="A3:B3"/>
  </mergeCells>
  <conditionalFormatting sqref="B31">
    <cfRule type="cellIs" priority="1" operator="equal" dxfId="0">
      <formula>"Approved"</formula>
    </cfRule>
    <cfRule type="cellIs" priority="2" operator="equal" dxfId="1">
      <formula>"Approved with Conditions"</formula>
    </cfRule>
    <cfRule type="cellIs" priority="3" operator="equal" dxfId="2">
      <formula>"Not Approved - Revisions Required"</formula>
    </cfRule>
  </conditionalFormatting>
  <dataValidations count="1">
    <dataValidation sqref="B31" showDropDown="0" showInputMessage="0" showErrorMessage="0" allowBlank="1" errorTitle="Invalid Entry" error="Invalid entry" promptTitle="Selection Required" prompt="Please select from the dropdown" type="list">
      <formula1>"Approved,Approved with Conditions,Not Approved - Revisions 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[Organization] ISMS Implementation Team</dc:creator>
  <dc:title xmlns:dc="http://purl.org/dc/elements/1.1/">Baseline Configuration Assessment</dc:title>
  <dc:description xmlns:dc="http://purl.org/dc/elements/1.1/">Assessment workbook for ISO 27001:2022 Control A.8.9 Baseline Configuration requirements</dc:description>
  <dc:subject xmlns:dc="http://purl.org/dc/elements/1.1/">ISMS Control A.8.9 - Baseline Configuration Assessment</dc:subject>
  <dcterms:created xmlns:dcterms="http://purl.org/dc/terms/" xmlns:xsi="http://www.w3.org/2001/XMLSchema-instance" xsi:type="dcterms:W3CDTF">2026-02-08T12:26:39Z</dcterms:created>
  <dcterms:modified xmlns:dcterms="http://purl.org/dc/terms/" xmlns:xsi="http://www.w3.org/2001/XMLSchema-instance" xsi:type="dcterms:W3CDTF">2026-02-08T11:26:39Z</dcterms:modified>
</cp:coreProperties>
</file>