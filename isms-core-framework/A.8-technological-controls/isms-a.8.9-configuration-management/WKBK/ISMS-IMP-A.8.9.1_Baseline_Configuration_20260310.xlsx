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Asset Inventory" sheetId="3" state="visible" r:id="rId3"/>
    <sheet xmlns:r="http://schemas.openxmlformats.org/officeDocument/2006/relationships" name="Baseline Repository" sheetId="4" state="visible" r:id="rId4"/>
    <sheet xmlns:r="http://schemas.openxmlformats.org/officeDocument/2006/relationships" name="Baseline Coverage Matrix" sheetId="5" state="visible" r:id="rId5"/>
    <sheet xmlns:r="http://schemas.openxmlformats.org/officeDocument/2006/relationships" name="Evidence Register" sheetId="6" state="visible" r:id="rId6"/>
    <sheet xmlns:r="http://schemas.openxmlformats.org/officeDocument/2006/relationships" name="Documentation Assessment" sheetId="7" state="visible" r:id="rId7"/>
    <sheet xmlns:r="http://schemas.openxmlformats.org/officeDocument/2006/relationships" name="Version Control" sheetId="8" state="visible" r:id="rId8"/>
    <sheet xmlns:r="http://schemas.openxmlformats.org/officeDocument/2006/relationships" name="Deviation Register" sheetId="9" state="visible" r:id="rId9"/>
    <sheet xmlns:r="http://schemas.openxmlformats.org/officeDocument/2006/relationships" name="Metrics Summary"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 xmlns:r="http://schemas.openxmlformats.org/officeDocument/2006/relationships" name="Approval Sign-Off1"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sz val="11"/>
    </font>
    <font>
      <name val="Calibri"/>
      <i val="1"/>
      <sz val="11"/>
    </font>
    <font>
      <b val="1"/>
    </font>
    <font>
      <name val="Calibri"/>
      <b val="1"/>
      <color rgb="00FFFFFF"/>
      <sz val="12"/>
    </font>
    <font>
      <i val="1"/>
    </font>
    <font>
      <name val="Calibri"/>
      <b val="1"/>
      <color rgb="00FFFFFF"/>
      <sz val="11"/>
    </font>
    <font>
      <color rgb="00808080"/>
    </font>
    <font>
      <name val="Calibri"/>
      <i val="1"/>
      <color rgb="00666666"/>
      <sz val="10"/>
    </font>
    <font>
      <name val="Calibri"/>
      <i val="1"/>
      <color rgb="00999999"/>
      <sz val="9"/>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7" fillId="11" borderId="1" applyAlignment="1" pivotButton="0" quotePrefix="0" xfId="0">
      <alignment horizontal="left" vertical="top"/>
    </xf>
    <xf numFmtId="0" fontId="9" fillId="12" borderId="1" applyAlignment="1" pivotButton="0" quotePrefix="0" xfId="0">
      <alignment horizontal="left" vertical="center"/>
    </xf>
    <xf numFmtId="164" fontId="9" fillId="12" borderId="1" applyAlignment="1" pivotButton="0" quotePrefix="0" xfId="0">
      <alignment horizontal="left" vertic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0" borderId="0" pivotButton="0" quotePrefix="0" xfId="0"/>
    <xf numFmtId="0" fontId="0" fillId="10" borderId="1" applyAlignment="1" pivotButton="0" quotePrefix="0" xfId="0">
      <alignment horizontal="left" vertical="center" wrapText="1"/>
    </xf>
    <xf numFmtId="0" fontId="6" fillId="0" borderId="0" pivotButton="0" quotePrefix="0" xfId="0"/>
    <xf numFmtId="1" fontId="7" fillId="11" borderId="1" applyAlignment="1" pivotButton="0" quotePrefix="0" xfId="0">
      <alignment horizontal="left" vertical="top"/>
    </xf>
    <xf numFmtId="0" fontId="6" fillId="11"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12" borderId="0" applyAlignment="1" pivotButton="0" quotePrefix="0" xfId="0">
      <alignment horizontal="center" vertical="center"/>
    </xf>
    <xf numFmtId="0" fontId="18" fillId="9" borderId="1" applyAlignment="1" pivotButton="0" quotePrefix="0" xfId="0">
      <alignment horizontal="center" vertical="center"/>
    </xf>
    <xf numFmtId="0" fontId="19" fillId="0" borderId="1" applyAlignment="1" pivotButton="0" quotePrefix="0" xfId="0">
      <alignment horizontal="left" vertical="center"/>
    </xf>
    <xf numFmtId="0" fontId="20" fillId="0" borderId="1" applyAlignment="1" pivotButton="0" quotePrefix="0" xfId="0">
      <alignment horizontal="center" vertical="center"/>
    </xf>
    <xf numFmtId="165" fontId="20" fillId="0" borderId="1" applyAlignment="1" pivotButton="0" quotePrefix="0" xfId="0">
      <alignment horizontal="center" vertical="center"/>
    </xf>
    <xf numFmtId="0" fontId="18" fillId="9" borderId="1" applyAlignment="1" pivotButton="0" quotePrefix="0" xfId="0">
      <alignment horizontal="left" vertical="center"/>
    </xf>
    <xf numFmtId="165" fontId="18" fillId="9" borderId="1" applyAlignment="1" pivotButton="0" quotePrefix="0" xfId="0">
      <alignment horizontal="center" vertical="center"/>
    </xf>
    <xf numFmtId="0" fontId="0" fillId="0" borderId="4" pivotButton="0" quotePrefix="0" xfId="0"/>
    <xf numFmtId="0" fontId="0" fillId="0" borderId="5" pivotButton="0" quotePrefix="0" xfId="0"/>
    <xf numFmtId="0" fontId="19" fillId="0" borderId="1" applyAlignment="1" pivotButton="0" quotePrefix="0" xfId="0">
      <alignment horizontal="center" vertical="center"/>
    </xf>
    <xf numFmtId="0" fontId="21" fillId="0" borderId="1" applyAlignment="1" pivotButton="0" quotePrefix="0" xfId="0">
      <alignment horizontal="left" vertical="top" wrapText="1"/>
    </xf>
    <xf numFmtId="165" fontId="19" fillId="0" borderId="1" applyAlignment="1" pivotButton="0" quotePrefix="0" xfId="0">
      <alignment horizontal="center" vertical="center"/>
    </xf>
    <xf numFmtId="0" fontId="17" fillId="13" borderId="0" applyAlignment="1" pivotButton="0" quotePrefix="0" xfId="0">
      <alignment horizontal="left" vertical="center"/>
    </xf>
    <xf numFmtId="0" fontId="19" fillId="10" borderId="1" applyAlignment="1" pivotButton="0" quotePrefix="0" xfId="0">
      <alignment horizontal="left" vertical="center"/>
    </xf>
    <xf numFmtId="0" fontId="19" fillId="10" borderId="1" applyAlignment="1" pivotButton="0" quotePrefix="0" xfId="0">
      <alignment horizontal="center" vertical="center"/>
    </xf>
    <xf numFmtId="0" fontId="21" fillId="10" borderId="1" applyAlignment="1" pivotButton="0" quotePrefix="0" xfId="0">
      <alignment horizontal="left" vertical="top" wrapText="1"/>
    </xf>
    <xf numFmtId="0" fontId="0" fillId="10" borderId="1" pivotButton="0" quotePrefix="0" xfId="0"/>
    <xf numFmtId="0" fontId="18" fillId="0" borderId="1" applyAlignment="1" pivotButton="0" quotePrefix="0" xfId="0">
      <alignment horizontal="left" vertical="center"/>
    </xf>
    <xf numFmtId="0" fontId="18" fillId="0" borderId="1" applyAlignment="1" pivotButton="0" quotePrefix="0" xfId="0">
      <alignment horizontal="center" vertical="center"/>
    </xf>
    <xf numFmtId="0" fontId="1" fillId="8" borderId="1" applyAlignment="1" pivotButton="0" quotePrefix="0" xfId="0">
      <alignment horizontal="center" vertical="center"/>
    </xf>
    <xf numFmtId="0" fontId="17" fillId="12" borderId="1" pivotButton="0" quotePrefix="0" xfId="0"/>
    <xf numFmtId="0" fontId="8" fillId="0" borderId="0" pivotButton="0" quotePrefix="0" xfId="0"/>
    <xf numFmtId="0" fontId="17" fillId="8" borderId="1" pivotButton="0" quotePrefix="0" xfId="0"/>
  </cellXfs>
  <cellStyles count="1">
    <cellStyle name="Normal" xfId="0" builtinId="0" hidden="0"/>
  </cellStyles>
  <dxfs count="1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6500"/>
      </font>
    </dxf>
    <dxf>
      <font>
        <b val="1"/>
        <color rgb="009C0006"/>
      </font>
    </dxf>
    <dxf>
      <font>
        <color rgb="00006100"/>
      </font>
    </dxf>
    <dxf>
      <font>
        <color rgb="009C6500"/>
      </font>
    </dxf>
    <dxf>
      <font>
        <color rgb="009C0006"/>
      </font>
    </dxf>
    <dxf>
      <font>
        <color rgb="00C65911"/>
      </font>
    </dxf>
    <dxf>
      <font>
        <b val="1"/>
        <color rgb="00FFFFFF"/>
      </font>
      <fill>
        <patternFill patternType="solid">
          <fgColor rgb="00C00000"/>
          <b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ISMS-IMP-A.8.9.1  -  Baseline Configuration
ISO/IEC 27001:2022 - Control A.8.9: Configuration Management</t>
        </is>
      </c>
    </row>
    <row r="3">
      <c r="A3" s="2" t="inlineStr">
        <is>
          <t>Document Information</t>
        </is>
      </c>
    </row>
    <row r="4">
      <c r="A4" s="3" t="inlineStr">
        <is>
          <t>Document ID</t>
        </is>
      </c>
      <c r="B4" t="inlineStr">
        <is>
          <t>ISMS-IMP-A.8.9.1</t>
        </is>
      </c>
    </row>
    <row r="5">
      <c r="A5" s="3" t="inlineStr">
        <is>
          <t>Workbook Title</t>
        </is>
      </c>
      <c r="B5" t="inlineStr">
        <is>
          <t>Baseline Configuration</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40" customWidth="1" min="1" max="1"/>
    <col width="20" customWidth="1" min="2" max="2"/>
  </cols>
  <sheetData>
    <row r="1">
      <c r="A1" s="11" t="inlineStr">
        <is>
          <t>Asset Type</t>
        </is>
      </c>
      <c r="B1" s="11" t="inlineStr">
        <is>
          <t>Category</t>
        </is>
      </c>
    </row>
    <row r="2">
      <c r="A2" t="inlineStr">
        <is>
          <t>Physical Server</t>
        </is>
      </c>
      <c r="B2" t="inlineStr">
        <is>
          <t>Infrastructure</t>
        </is>
      </c>
    </row>
    <row r="3">
      <c r="A3" t="inlineStr">
        <is>
          <t>Virtual Machine (VM)</t>
        </is>
      </c>
      <c r="B3" t="inlineStr">
        <is>
          <t>Infrastructure</t>
        </is>
      </c>
    </row>
    <row r="4">
      <c r="A4" t="inlineStr">
        <is>
          <t>Hypervisor</t>
        </is>
      </c>
      <c r="B4" t="inlineStr">
        <is>
          <t>Infrastructure</t>
        </is>
      </c>
    </row>
    <row r="5">
      <c r="A5" t="inlineStr">
        <is>
          <t>Network Switch</t>
        </is>
      </c>
      <c r="B5" t="inlineStr">
        <is>
          <t>Infrastructure</t>
        </is>
      </c>
    </row>
    <row r="6">
      <c r="A6" t="inlineStr">
        <is>
          <t>Network 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 (SAN/NAS)</t>
        </is>
      </c>
      <c r="B9" t="inlineStr">
        <is>
          <t>Infrastructure</t>
        </is>
      </c>
    </row>
    <row r="10">
      <c r="A10" t="inlineStr">
        <is>
          <t>Backup Appliance</t>
        </is>
      </c>
      <c r="B10" t="inlineStr">
        <is>
          <t>Infrastructure</t>
        </is>
      </c>
    </row>
    <row r="11">
      <c r="A11" t="inlineStr">
        <is>
          <t>UPS/Power Distribution</t>
        </is>
      </c>
      <c r="B11" t="inlineStr">
        <is>
          <t>Infrastructure</t>
        </is>
      </c>
    </row>
    <row r="12">
      <c r="A12" t="inlineStr">
        <is>
          <t>Environmental Control (HVAC)</t>
        </is>
      </c>
      <c r="B12" t="inlineStr">
        <is>
          <t>Infrastructure</t>
        </is>
      </c>
    </row>
    <row r="13">
      <c r="A13" t="inlineStr">
        <is>
          <t>Physical Security System</t>
        </is>
      </c>
      <c r="B13" t="inlineStr">
        <is>
          <t>Infrastructure</t>
        </is>
      </c>
    </row>
    <row r="14">
      <c r="A14" t="inlineStr">
        <is>
          <t>Desktop Computer</t>
        </is>
      </c>
      <c r="B14" t="inlineStr">
        <is>
          <t>Endpoint</t>
        </is>
      </c>
    </row>
    <row r="15">
      <c r="A15" t="inlineStr">
        <is>
          <t>Laptop Computer</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Kiosk/Point-of-Sale</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System</t>
        </is>
      </c>
      <c r="B29" t="inlineStr">
        <is>
          <t>Applications</t>
        </is>
      </c>
    </row>
    <row r="30">
      <c r="A30" t="inlineStr">
        <is>
          <t>Middleware</t>
        </is>
      </c>
      <c r="B30" t="inlineStr">
        <is>
          <t>Applications</t>
        </is>
      </c>
    </row>
    <row r="31">
      <c r="A31" t="inlineStr">
        <is>
          <t>API/Web Service</t>
        </is>
      </c>
      <c r="B31" t="inlineStr">
        <is>
          <t>Applications</t>
        </is>
      </c>
    </row>
    <row r="32">
      <c r="A32" t="inlineStr">
        <is>
          <t>Custom Developed Application</t>
        </is>
      </c>
      <c r="B32" t="inlineStr">
        <is>
          <t>Applications</t>
        </is>
      </c>
    </row>
    <row r="33">
      <c r="A33" t="inlineStr">
        <is>
          <t>Commercial Off-the-Shelf (COTS)</t>
        </is>
      </c>
      <c r="B33" t="inlineStr">
        <is>
          <t>Applications</t>
        </is>
      </c>
    </row>
    <row r="34">
      <c r="A34" t="inlineStr">
        <is>
          <t>Open Source Software</t>
        </is>
      </c>
      <c r="B34" t="inlineStr">
        <is>
          <t>Applications</t>
        </is>
      </c>
    </row>
    <row r="35">
      <c r="A35" t="inlineStr">
        <is>
          <t>IaaS Resource (VM, Storage)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 (ICS)</t>
        </is>
      </c>
      <c r="B41" t="inlineStr">
        <is>
          <t>IoT/OT</t>
        </is>
      </c>
    </row>
    <row r="42">
      <c r="A42" t="inlineStr">
        <is>
          <t>SCADA System</t>
        </is>
      </c>
      <c r="B42" t="inlineStr">
        <is>
          <t>IoT/OT</t>
        </is>
      </c>
    </row>
    <row r="43">
      <c r="A43" t="inlineStr">
        <is>
          <t>Building Management System (BMS)</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35" customWidth="1" min="3" max="3"/>
    <col width="20" customWidth="1" min="4" max="4"/>
    <col width="12" customWidth="1" min="5" max="5"/>
    <col width="20" customWidth="1" min="6" max="6"/>
    <col width="25" customWidth="1" min="7" max="7"/>
    <col width="15" customWidth="1" min="8" max="8"/>
    <col width="25" customWidth="1" min="9" max="9"/>
    <col width="15" customWidth="1" min="10" max="10"/>
    <col width="15" customWidth="1" min="11" max="11"/>
    <col width="15" customWidth="1" min="12" max="12"/>
    <col width="40" customWidth="1" min="13" max="13"/>
  </cols>
  <sheetData>
    <row r="1" ht="35" customHeight="1">
      <c r="A1" s="11" t="inlineStr">
        <is>
          <t>ASSET INVENTORY - BASELINE CONFIGURATION ASSESSMENT</t>
        </is>
      </c>
    </row>
    <row r="2">
      <c r="A2" s="12" t="inlineStr">
        <is>
          <t>Asset ID</t>
        </is>
      </c>
      <c r="B2" s="12" t="inlineStr">
        <is>
          <t>Asset Name</t>
        </is>
      </c>
      <c r="C2" s="12" t="inlineStr">
        <is>
          <t>Asset Type</t>
        </is>
      </c>
      <c r="D2" s="12" t="inlineStr">
        <is>
          <t>Asset Category</t>
        </is>
      </c>
      <c r="E2" s="12" t="inlineStr">
        <is>
          <t>Criticality</t>
        </is>
      </c>
      <c r="F2" s="12" t="inlineStr">
        <is>
          <t>Owner</t>
        </is>
      </c>
      <c r="G2" s="12" t="inlineStr">
        <is>
          <t>Location</t>
        </is>
      </c>
      <c r="H2" s="12" t="inlineStr">
        <is>
          <t>Baseline Status</t>
        </is>
      </c>
      <c r="I2" s="12" t="inlineStr">
        <is>
          <t>Baseline Reference</t>
        </is>
      </c>
      <c r="J2" s="12" t="inlineStr">
        <is>
          <t>Last Reviewed Date</t>
        </is>
      </c>
      <c r="K2" s="12" t="inlineStr">
        <is>
          <t>Next Review Due</t>
        </is>
      </c>
      <c r="L2" s="12" t="inlineStr">
        <is>
          <t>Compliance Status</t>
        </is>
      </c>
      <c r="M2" s="12" t="inlineStr">
        <is>
          <t>Notes</t>
        </is>
      </c>
    </row>
    <row r="3">
      <c r="A3" s="13" t="n"/>
      <c r="B3" s="13" t="n"/>
      <c r="C3" s="13" t="n"/>
      <c r="D3" s="14">
        <f>IF(C3="","",IFERROR(VLOOKUP(C3,'Lookup Tables'!$A$2:$B$44,2,FALSE),"Unknown"))</f>
        <v/>
      </c>
      <c r="E3" s="13" t="n"/>
      <c r="F3" s="13" t="n"/>
      <c r="G3" s="13" t="n"/>
      <c r="H3" s="13" t="n"/>
      <c r="I3" s="13" t="n"/>
      <c r="J3" s="13" t="n"/>
      <c r="K3" s="14">
        <f>IF(J3="","",IF(E3="Critical",J3+90,IF(E3="High",J3+90,IF(E3="Medium",J3+180,J3+180))))</f>
        <v/>
      </c>
      <c r="L3" s="14">
        <f>IF(H3="✅ Defined","✅ Compliant",IF(H3="➖ N/A","➖ Excluded","❌ Non-Compliant"))</f>
        <v/>
      </c>
      <c r="M3" s="13" t="n"/>
    </row>
    <row r="4">
      <c r="A4" s="13" t="n"/>
      <c r="B4" s="13" t="n"/>
      <c r="C4" s="13" t="n"/>
      <c r="D4" s="14">
        <f>IF(C4="","",IFERROR(VLOOKUP(C4,'Lookup Tables'!$A$2:$B$44,2,FALSE),"Unknown"))</f>
        <v/>
      </c>
      <c r="E4" s="13" t="n"/>
      <c r="F4" s="13" t="n"/>
      <c r="G4" s="13" t="n"/>
      <c r="H4" s="13" t="n"/>
      <c r="I4" s="13" t="n"/>
      <c r="J4" s="13" t="n"/>
      <c r="K4" s="14">
        <f>IF(J4="","",IF(E4="Critical",J4+90,IF(E4="High",J4+90,IF(E4="Medium",J4+180,J4+180))))</f>
        <v/>
      </c>
      <c r="L4" s="14">
        <f>IF(H4="✅ Defined","✅ Compliant",IF(H4="➖ N/A","➖ Excluded","❌ Non-Compliant"))</f>
        <v/>
      </c>
      <c r="M4" s="13" t="n"/>
    </row>
    <row r="5">
      <c r="A5" s="13" t="n"/>
      <c r="B5" s="13" t="n"/>
      <c r="C5" s="13" t="n"/>
      <c r="D5" s="14">
        <f>IF(C5="","",IFERROR(VLOOKUP(C5,'Lookup Tables'!$A$2:$B$44,2,FALSE),"Unknown"))</f>
        <v/>
      </c>
      <c r="E5" s="13" t="n"/>
      <c r="F5" s="13" t="n"/>
      <c r="G5" s="13" t="n"/>
      <c r="H5" s="13" t="n"/>
      <c r="I5" s="13" t="n"/>
      <c r="J5" s="13" t="n"/>
      <c r="K5" s="14">
        <f>IF(J5="","",IF(E5="Critical",J5+90,IF(E5="High",J5+90,IF(E5="Medium",J5+180,J5+180))))</f>
        <v/>
      </c>
      <c r="L5" s="14">
        <f>IF(H5="✅ Defined","✅ Compliant",IF(H5="➖ N/A","➖ Excluded","❌ Non-Compliant"))</f>
        <v/>
      </c>
      <c r="M5" s="13" t="n"/>
    </row>
    <row r="6">
      <c r="A6" s="13" t="n"/>
      <c r="B6" s="13" t="n"/>
      <c r="C6" s="13" t="n"/>
      <c r="D6" s="14">
        <f>IF(C6="","",IFERROR(VLOOKUP(C6,'Lookup Tables'!$A$2:$B$44,2,FALSE),"Unknown"))</f>
        <v/>
      </c>
      <c r="E6" s="13" t="n"/>
      <c r="F6" s="13" t="n"/>
      <c r="G6" s="13" t="n"/>
      <c r="H6" s="13" t="n"/>
      <c r="I6" s="13" t="n"/>
      <c r="J6" s="13" t="n"/>
      <c r="K6" s="14">
        <f>IF(J6="","",IF(E6="Critical",J6+90,IF(E6="High",J6+90,IF(E6="Medium",J6+180,J6+180))))</f>
        <v/>
      </c>
      <c r="L6" s="14">
        <f>IF(H6="✅ Defined","✅ Compliant",IF(H6="➖ N/A","➖ Excluded","❌ Non-Compliant"))</f>
        <v/>
      </c>
      <c r="M6" s="13" t="n"/>
    </row>
    <row r="7">
      <c r="A7" s="13" t="n"/>
      <c r="B7" s="13" t="n"/>
      <c r="C7" s="13" t="n"/>
      <c r="D7" s="14">
        <f>IF(C7="","",IFERROR(VLOOKUP(C7,'Lookup Tables'!$A$2:$B$44,2,FALSE),"Unknown"))</f>
        <v/>
      </c>
      <c r="E7" s="13" t="n"/>
      <c r="F7" s="13" t="n"/>
      <c r="G7" s="13" t="n"/>
      <c r="H7" s="13" t="n"/>
      <c r="I7" s="13" t="n"/>
      <c r="J7" s="13" t="n"/>
      <c r="K7" s="14">
        <f>IF(J7="","",IF(E7="Critical",J7+90,IF(E7="High",J7+90,IF(E7="Medium",J7+180,J7+180))))</f>
        <v/>
      </c>
      <c r="L7" s="14">
        <f>IF(H7="✅ Defined","✅ Compliant",IF(H7="➖ N/A","➖ Excluded","❌ Non-Compliant"))</f>
        <v/>
      </c>
      <c r="M7" s="13" t="n"/>
    </row>
    <row r="8">
      <c r="A8" s="13" t="n"/>
      <c r="B8" s="13" t="n"/>
      <c r="C8" s="13" t="n"/>
      <c r="D8" s="14">
        <f>IF(C8="","",IFERROR(VLOOKUP(C8,'Lookup Tables'!$A$2:$B$44,2,FALSE),"Unknown"))</f>
        <v/>
      </c>
      <c r="E8" s="13" t="n"/>
      <c r="F8" s="13" t="n"/>
      <c r="G8" s="13" t="n"/>
      <c r="H8" s="13" t="n"/>
      <c r="I8" s="13" t="n"/>
      <c r="J8" s="13" t="n"/>
      <c r="K8" s="14">
        <f>IF(J8="","",IF(E8="Critical",J8+90,IF(E8="High",J8+90,IF(E8="Medium",J8+180,J8+180))))</f>
        <v/>
      </c>
      <c r="L8" s="14">
        <f>IF(H8="✅ Defined","✅ Compliant",IF(H8="➖ N/A","➖ Excluded","❌ Non-Compliant"))</f>
        <v/>
      </c>
      <c r="M8" s="13" t="n"/>
    </row>
    <row r="9">
      <c r="A9" s="13" t="n"/>
      <c r="B9" s="13" t="n"/>
      <c r="C9" s="13" t="n"/>
      <c r="D9" s="14">
        <f>IF(C9="","",IFERROR(VLOOKUP(C9,'Lookup Tables'!$A$2:$B$44,2,FALSE),"Unknown"))</f>
        <v/>
      </c>
      <c r="E9" s="13" t="n"/>
      <c r="F9" s="13" t="n"/>
      <c r="G9" s="13" t="n"/>
      <c r="H9" s="13" t="n"/>
      <c r="I9" s="13" t="n"/>
      <c r="J9" s="13" t="n"/>
      <c r="K9" s="14">
        <f>IF(J9="","",IF(E9="Critical",J9+90,IF(E9="High",J9+90,IF(E9="Medium",J9+180,J9+180))))</f>
        <v/>
      </c>
      <c r="L9" s="14">
        <f>IF(H9="✅ Defined","✅ Compliant",IF(H9="➖ N/A","➖ Excluded","❌ Non-Compliant"))</f>
        <v/>
      </c>
      <c r="M9" s="13" t="n"/>
    </row>
    <row r="10">
      <c r="A10" s="13" t="n"/>
      <c r="B10" s="13" t="n"/>
      <c r="C10" s="13" t="n"/>
      <c r="D10" s="14">
        <f>IF(C10="","",IFERROR(VLOOKUP(C10,'Lookup Tables'!$A$2:$B$44,2,FALSE),"Unknown"))</f>
        <v/>
      </c>
      <c r="E10" s="13" t="n"/>
      <c r="F10" s="13" t="n"/>
      <c r="G10" s="13" t="n"/>
      <c r="H10" s="13" t="n"/>
      <c r="I10" s="13" t="n"/>
      <c r="J10" s="13" t="n"/>
      <c r="K10" s="14">
        <f>IF(J10="","",IF(E10="Critical",J10+90,IF(E10="High",J10+90,IF(E10="Medium",J10+180,J10+180))))</f>
        <v/>
      </c>
      <c r="L10" s="14">
        <f>IF(H10="✅ Defined","✅ Compliant",IF(H10="➖ N/A","➖ Excluded","❌ Non-Compliant"))</f>
        <v/>
      </c>
      <c r="M10" s="13" t="n"/>
    </row>
    <row r="11">
      <c r="A11" s="13" t="n"/>
      <c r="B11" s="13" t="n"/>
      <c r="C11" s="13" t="n"/>
      <c r="D11" s="14">
        <f>IF(C11="","",IFERROR(VLOOKUP(C11,'Lookup Tables'!$A$2:$B$44,2,FALSE),"Unknown"))</f>
        <v/>
      </c>
      <c r="E11" s="13" t="n"/>
      <c r="F11" s="13" t="n"/>
      <c r="G11" s="13" t="n"/>
      <c r="H11" s="13" t="n"/>
      <c r="I11" s="13" t="n"/>
      <c r="J11" s="13" t="n"/>
      <c r="K11" s="14">
        <f>IF(J11="","",IF(E11="Critical",J11+90,IF(E11="High",J11+90,IF(E11="Medium",J11+180,J11+180))))</f>
        <v/>
      </c>
      <c r="L11" s="14">
        <f>IF(H11="✅ Defined","✅ Compliant",IF(H11="➖ N/A","➖ Excluded","❌ Non-Compliant"))</f>
        <v/>
      </c>
      <c r="M11" s="13" t="n"/>
    </row>
    <row r="12">
      <c r="A12" s="13" t="n"/>
      <c r="B12" s="13" t="n"/>
      <c r="C12" s="13" t="n"/>
      <c r="D12" s="14">
        <f>IF(C12="","",IFERROR(VLOOKUP(C12,'Lookup Tables'!$A$2:$B$44,2,FALSE),"Unknown"))</f>
        <v/>
      </c>
      <c r="E12" s="13" t="n"/>
      <c r="F12" s="13" t="n"/>
      <c r="G12" s="13" t="n"/>
      <c r="H12" s="13" t="n"/>
      <c r="I12" s="13" t="n"/>
      <c r="J12" s="13" t="n"/>
      <c r="K12" s="14">
        <f>IF(J12="","",IF(E12="Critical",J12+90,IF(E12="High",J12+90,IF(E12="Medium",J12+180,J12+180))))</f>
        <v/>
      </c>
      <c r="L12" s="14">
        <f>IF(H12="✅ Defined","✅ Compliant",IF(H12="➖ N/A","➖ Excluded","❌ Non-Compliant"))</f>
        <v/>
      </c>
      <c r="M12" s="13" t="n"/>
    </row>
    <row r="13">
      <c r="A13" s="13" t="n"/>
      <c r="B13" s="13" t="n"/>
      <c r="C13" s="13" t="n"/>
      <c r="D13" s="14">
        <f>IF(C13="","",IFERROR(VLOOKUP(C13,'Lookup Tables'!$A$2:$B$44,2,FALSE),"Unknown"))</f>
        <v/>
      </c>
      <c r="E13" s="13" t="n"/>
      <c r="F13" s="13" t="n"/>
      <c r="G13" s="13" t="n"/>
      <c r="H13" s="13" t="n"/>
      <c r="I13" s="13" t="n"/>
      <c r="J13" s="13" t="n"/>
      <c r="K13" s="14">
        <f>IF(J13="","",IF(E13="Critical",J13+90,IF(E13="High",J13+90,IF(E13="Medium",J13+180,J13+180))))</f>
        <v/>
      </c>
      <c r="L13" s="14">
        <f>IF(H13="✅ Defined","✅ Compliant",IF(H13="➖ N/A","➖ Excluded","❌ Non-Compliant"))</f>
        <v/>
      </c>
      <c r="M13" s="13" t="n"/>
    </row>
    <row r="14">
      <c r="A14" s="13" t="n"/>
      <c r="B14" s="13" t="n"/>
      <c r="C14" s="13" t="n"/>
      <c r="D14" s="14">
        <f>IF(C14="","",IFERROR(VLOOKUP(C14,'Lookup Tables'!$A$2:$B$44,2,FALSE),"Unknown"))</f>
        <v/>
      </c>
      <c r="E14" s="13" t="n"/>
      <c r="F14" s="13" t="n"/>
      <c r="G14" s="13" t="n"/>
      <c r="H14" s="13" t="n"/>
      <c r="I14" s="13" t="n"/>
      <c r="J14" s="13" t="n"/>
      <c r="K14" s="14">
        <f>IF(J14="","",IF(E14="Critical",J14+90,IF(E14="High",J14+90,IF(E14="Medium",J14+180,J14+180))))</f>
        <v/>
      </c>
      <c r="L14" s="14">
        <f>IF(H14="✅ Defined","✅ Compliant",IF(H14="➖ N/A","➖ Excluded","❌ Non-Compliant"))</f>
        <v/>
      </c>
      <c r="M14" s="13" t="n"/>
    </row>
    <row r="15">
      <c r="A15" s="13" t="n"/>
      <c r="B15" s="13" t="n"/>
      <c r="C15" s="13" t="n"/>
      <c r="D15" s="14">
        <f>IF(C15="","",IFERROR(VLOOKUP(C15,'Lookup Tables'!$A$2:$B$44,2,FALSE),"Unknown"))</f>
        <v/>
      </c>
      <c r="E15" s="13" t="n"/>
      <c r="F15" s="13" t="n"/>
      <c r="G15" s="13" t="n"/>
      <c r="H15" s="13" t="n"/>
      <c r="I15" s="13" t="n"/>
      <c r="J15" s="13" t="n"/>
      <c r="K15" s="14">
        <f>IF(J15="","",IF(E15="Critical",J15+90,IF(E15="High",J15+90,IF(E15="Medium",J15+180,J15+180))))</f>
        <v/>
      </c>
      <c r="L15" s="14">
        <f>IF(H15="✅ Defined","✅ Compliant",IF(H15="➖ N/A","➖ Excluded","❌ Non-Compliant"))</f>
        <v/>
      </c>
      <c r="M15" s="13" t="n"/>
    </row>
    <row r="16">
      <c r="A16" s="13" t="n"/>
      <c r="B16" s="13" t="n"/>
      <c r="C16" s="13" t="n"/>
      <c r="D16" s="14">
        <f>IF(C16="","",IFERROR(VLOOKUP(C16,'Lookup Tables'!$A$2:$B$44,2,FALSE),"Unknown"))</f>
        <v/>
      </c>
      <c r="E16" s="13" t="n"/>
      <c r="F16" s="13" t="n"/>
      <c r="G16" s="13" t="n"/>
      <c r="H16" s="13" t="n"/>
      <c r="I16" s="13" t="n"/>
      <c r="J16" s="13" t="n"/>
      <c r="K16" s="14">
        <f>IF(J16="","",IF(E16="Critical",J16+90,IF(E16="High",J16+90,IF(E16="Medium",J16+180,J16+180))))</f>
        <v/>
      </c>
      <c r="L16" s="14">
        <f>IF(H16="✅ Defined","✅ Compliant",IF(H16="➖ N/A","➖ Excluded","❌ Non-Compliant"))</f>
        <v/>
      </c>
      <c r="M16" s="13" t="n"/>
    </row>
    <row r="17">
      <c r="A17" s="13" t="n"/>
      <c r="B17" s="13" t="n"/>
      <c r="C17" s="13" t="n"/>
      <c r="D17" s="14">
        <f>IF(C17="","",IFERROR(VLOOKUP(C17,'Lookup Tables'!$A$2:$B$44,2,FALSE),"Unknown"))</f>
        <v/>
      </c>
      <c r="E17" s="13" t="n"/>
      <c r="F17" s="13" t="n"/>
      <c r="G17" s="13" t="n"/>
      <c r="H17" s="13" t="n"/>
      <c r="I17" s="13" t="n"/>
      <c r="J17" s="13" t="n"/>
      <c r="K17" s="14">
        <f>IF(J17="","",IF(E17="Critical",J17+90,IF(E17="High",J17+90,IF(E17="Medium",J17+180,J17+180))))</f>
        <v/>
      </c>
      <c r="L17" s="14">
        <f>IF(H17="✅ Defined","✅ Compliant",IF(H17="➖ N/A","➖ Excluded","❌ Non-Compliant"))</f>
        <v/>
      </c>
      <c r="M17" s="13" t="n"/>
    </row>
    <row r="18">
      <c r="A18" s="13" t="n"/>
      <c r="B18" s="13" t="n"/>
      <c r="C18" s="13" t="n"/>
      <c r="D18" s="14">
        <f>IF(C18="","",IFERROR(VLOOKUP(C18,'Lookup Tables'!$A$2:$B$44,2,FALSE),"Unknown"))</f>
        <v/>
      </c>
      <c r="E18" s="13" t="n"/>
      <c r="F18" s="13" t="n"/>
      <c r="G18" s="13" t="n"/>
      <c r="H18" s="13" t="n"/>
      <c r="I18" s="13" t="n"/>
      <c r="J18" s="13" t="n"/>
      <c r="K18" s="14">
        <f>IF(J18="","",IF(E18="Critical",J18+90,IF(E18="High",J18+90,IF(E18="Medium",J18+180,J18+180))))</f>
        <v/>
      </c>
      <c r="L18" s="14">
        <f>IF(H18="✅ Defined","✅ Compliant",IF(H18="➖ N/A","➖ Excluded","❌ Non-Compliant"))</f>
        <v/>
      </c>
      <c r="M18" s="13" t="n"/>
    </row>
    <row r="19">
      <c r="A19" s="13" t="n"/>
      <c r="B19" s="13" t="n"/>
      <c r="C19" s="13" t="n"/>
      <c r="D19" s="14">
        <f>IF(C19="","",IFERROR(VLOOKUP(C19,'Lookup Tables'!$A$2:$B$44,2,FALSE),"Unknown"))</f>
        <v/>
      </c>
      <c r="E19" s="13" t="n"/>
      <c r="F19" s="13" t="n"/>
      <c r="G19" s="13" t="n"/>
      <c r="H19" s="13" t="n"/>
      <c r="I19" s="13" t="n"/>
      <c r="J19" s="13" t="n"/>
      <c r="K19" s="14">
        <f>IF(J19="","",IF(E19="Critical",J19+90,IF(E19="High",J19+90,IF(E19="Medium",J19+180,J19+180))))</f>
        <v/>
      </c>
      <c r="L19" s="14">
        <f>IF(H19="✅ Defined","✅ Compliant",IF(H19="➖ N/A","➖ Excluded","❌ Non-Compliant"))</f>
        <v/>
      </c>
      <c r="M19" s="13" t="n"/>
    </row>
    <row r="20">
      <c r="A20" s="13" t="n"/>
      <c r="B20" s="13" t="n"/>
      <c r="C20" s="13" t="n"/>
      <c r="D20" s="14">
        <f>IF(C20="","",IFERROR(VLOOKUP(C20,'Lookup Tables'!$A$2:$B$44,2,FALSE),"Unknown"))</f>
        <v/>
      </c>
      <c r="E20" s="13" t="n"/>
      <c r="F20" s="13" t="n"/>
      <c r="G20" s="13" t="n"/>
      <c r="H20" s="13" t="n"/>
      <c r="I20" s="13" t="n"/>
      <c r="J20" s="13" t="n"/>
      <c r="K20" s="14">
        <f>IF(J20="","",IF(E20="Critical",J20+90,IF(E20="High",J20+90,IF(E20="Medium",J20+180,J20+180))))</f>
        <v/>
      </c>
      <c r="L20" s="14">
        <f>IF(H20="✅ Defined","✅ Compliant",IF(H20="➖ N/A","➖ Excluded","❌ Non-Compliant"))</f>
        <v/>
      </c>
      <c r="M20" s="13" t="n"/>
    </row>
    <row r="21">
      <c r="A21" s="13" t="n"/>
      <c r="B21" s="13" t="n"/>
      <c r="C21" s="13" t="n"/>
      <c r="D21" s="14">
        <f>IF(C21="","",IFERROR(VLOOKUP(C21,'Lookup Tables'!$A$2:$B$44,2,FALSE),"Unknown"))</f>
        <v/>
      </c>
      <c r="E21" s="13" t="n"/>
      <c r="F21" s="13" t="n"/>
      <c r="G21" s="13" t="n"/>
      <c r="H21" s="13" t="n"/>
      <c r="I21" s="13" t="n"/>
      <c r="J21" s="13" t="n"/>
      <c r="K21" s="14">
        <f>IF(J21="","",IF(E21="Critical",J21+90,IF(E21="High",J21+90,IF(E21="Medium",J21+180,J21+180))))</f>
        <v/>
      </c>
      <c r="L21" s="14">
        <f>IF(H21="✅ Defined","✅ Compliant",IF(H21="➖ N/A","➖ Excluded","❌ Non-Compliant"))</f>
        <v/>
      </c>
      <c r="M21" s="13" t="n"/>
    </row>
    <row r="22">
      <c r="A22" s="13" t="n"/>
      <c r="B22" s="13" t="n"/>
      <c r="C22" s="13" t="n"/>
      <c r="D22" s="14">
        <f>IF(C22="","",IFERROR(VLOOKUP(C22,'Lookup Tables'!$A$2:$B$44,2,FALSE),"Unknown"))</f>
        <v/>
      </c>
      <c r="E22" s="13" t="n"/>
      <c r="F22" s="13" t="n"/>
      <c r="G22" s="13" t="n"/>
      <c r="H22" s="13" t="n"/>
      <c r="I22" s="13" t="n"/>
      <c r="J22" s="13" t="n"/>
      <c r="K22" s="14">
        <f>IF(J22="","",IF(E22="Critical",J22+90,IF(E22="High",J22+90,IF(E22="Medium",J22+180,J22+180))))</f>
        <v/>
      </c>
      <c r="L22" s="14">
        <f>IF(H22="✅ Defined","✅ Compliant",IF(H22="➖ N/A","➖ Excluded","❌ Non-Compliant"))</f>
        <v/>
      </c>
      <c r="M22" s="13" t="n"/>
    </row>
    <row r="23">
      <c r="A23" s="13" t="n"/>
      <c r="B23" s="13" t="n"/>
      <c r="C23" s="13" t="n"/>
      <c r="D23" s="14">
        <f>IF(C23="","",IFERROR(VLOOKUP(C23,'Lookup Tables'!$A$2:$B$44,2,FALSE),"Unknown"))</f>
        <v/>
      </c>
      <c r="E23" s="13" t="n"/>
      <c r="F23" s="13" t="n"/>
      <c r="G23" s="13" t="n"/>
      <c r="H23" s="13" t="n"/>
      <c r="I23" s="13" t="n"/>
      <c r="J23" s="13" t="n"/>
      <c r="K23" s="14">
        <f>IF(J23="","",IF(E23="Critical",J23+90,IF(E23="High",J23+90,IF(E23="Medium",J23+180,J23+180))))</f>
        <v/>
      </c>
      <c r="L23" s="14">
        <f>IF(H23="✅ Defined","✅ Compliant",IF(H23="➖ N/A","➖ Excluded","❌ Non-Compliant"))</f>
        <v/>
      </c>
      <c r="M23" s="13" t="n"/>
    </row>
    <row r="24">
      <c r="A24" s="13" t="n"/>
      <c r="B24" s="13" t="n"/>
      <c r="C24" s="13" t="n"/>
      <c r="D24" s="14">
        <f>IF(C24="","",IFERROR(VLOOKUP(C24,'Lookup Tables'!$A$2:$B$44,2,FALSE),"Unknown"))</f>
        <v/>
      </c>
      <c r="E24" s="13" t="n"/>
      <c r="F24" s="13" t="n"/>
      <c r="G24" s="13" t="n"/>
      <c r="H24" s="13" t="n"/>
      <c r="I24" s="13" t="n"/>
      <c r="J24" s="13" t="n"/>
      <c r="K24" s="14">
        <f>IF(J24="","",IF(E24="Critical",J24+90,IF(E24="High",J24+90,IF(E24="Medium",J24+180,J24+180))))</f>
        <v/>
      </c>
      <c r="L24" s="14">
        <f>IF(H24="✅ Defined","✅ Compliant",IF(H24="➖ N/A","➖ Excluded","❌ Non-Compliant"))</f>
        <v/>
      </c>
      <c r="M24" s="13" t="n"/>
    </row>
    <row r="25">
      <c r="A25" s="13" t="n"/>
      <c r="B25" s="13" t="n"/>
      <c r="C25" s="13" t="n"/>
      <c r="D25" s="14">
        <f>IF(C25="","",IFERROR(VLOOKUP(C25,'Lookup Tables'!$A$2:$B$44,2,FALSE),"Unknown"))</f>
        <v/>
      </c>
      <c r="E25" s="13" t="n"/>
      <c r="F25" s="13" t="n"/>
      <c r="G25" s="13" t="n"/>
      <c r="H25" s="13" t="n"/>
      <c r="I25" s="13" t="n"/>
      <c r="J25" s="13" t="n"/>
      <c r="K25" s="14">
        <f>IF(J25="","",IF(E25="Critical",J25+90,IF(E25="High",J25+90,IF(E25="Medium",J25+180,J25+180))))</f>
        <v/>
      </c>
      <c r="L25" s="14">
        <f>IF(H25="✅ Defined","✅ Compliant",IF(H25="➖ N/A","➖ Excluded","❌ Non-Compliant"))</f>
        <v/>
      </c>
      <c r="M25" s="13" t="n"/>
    </row>
    <row r="26">
      <c r="A26" s="13" t="n"/>
      <c r="B26" s="13" t="n"/>
      <c r="C26" s="13" t="n"/>
      <c r="D26" s="14">
        <f>IF(C26="","",IFERROR(VLOOKUP(C26,'Lookup Tables'!$A$2:$B$44,2,FALSE),"Unknown"))</f>
        <v/>
      </c>
      <c r="E26" s="13" t="n"/>
      <c r="F26" s="13" t="n"/>
      <c r="G26" s="13" t="n"/>
      <c r="H26" s="13" t="n"/>
      <c r="I26" s="13" t="n"/>
      <c r="J26" s="13" t="n"/>
      <c r="K26" s="14">
        <f>IF(J26="","",IF(E26="Critical",J26+90,IF(E26="High",J26+90,IF(E26="Medium",J26+180,J26+180))))</f>
        <v/>
      </c>
      <c r="L26" s="14">
        <f>IF(H26="✅ Defined","✅ Compliant",IF(H26="➖ N/A","➖ Excluded","❌ Non-Compliant"))</f>
        <v/>
      </c>
      <c r="M26" s="13" t="n"/>
    </row>
    <row r="27">
      <c r="A27" s="13" t="n"/>
      <c r="B27" s="13" t="n"/>
      <c r="C27" s="13" t="n"/>
      <c r="D27" s="14">
        <f>IF(C27="","",IFERROR(VLOOKUP(C27,'Lookup Tables'!$A$2:$B$44,2,FALSE),"Unknown"))</f>
        <v/>
      </c>
      <c r="E27" s="13" t="n"/>
      <c r="F27" s="13" t="n"/>
      <c r="G27" s="13" t="n"/>
      <c r="H27" s="13" t="n"/>
      <c r="I27" s="13" t="n"/>
      <c r="J27" s="13" t="n"/>
      <c r="K27" s="14">
        <f>IF(J27="","",IF(E27="Critical",J27+90,IF(E27="High",J27+90,IF(E27="Medium",J27+180,J27+180))))</f>
        <v/>
      </c>
      <c r="L27" s="14">
        <f>IF(H27="✅ Defined","✅ Compliant",IF(H27="➖ N/A","➖ Excluded","❌ Non-Compliant"))</f>
        <v/>
      </c>
      <c r="M27" s="13" t="n"/>
    </row>
    <row r="28">
      <c r="A28" s="13" t="n"/>
      <c r="B28" s="13" t="n"/>
      <c r="C28" s="13" t="n"/>
      <c r="D28" s="14">
        <f>IF(C28="","",IFERROR(VLOOKUP(C28,'Lookup Tables'!$A$2:$B$44,2,FALSE),"Unknown"))</f>
        <v/>
      </c>
      <c r="E28" s="13" t="n"/>
      <c r="F28" s="13" t="n"/>
      <c r="G28" s="13" t="n"/>
      <c r="H28" s="13" t="n"/>
      <c r="I28" s="13" t="n"/>
      <c r="J28" s="13" t="n"/>
      <c r="K28" s="14">
        <f>IF(J28="","",IF(E28="Critical",J28+90,IF(E28="High",J28+90,IF(E28="Medium",J28+180,J28+180))))</f>
        <v/>
      </c>
      <c r="L28" s="14">
        <f>IF(H28="✅ Defined","✅ Compliant",IF(H28="➖ N/A","➖ Excluded","❌ Non-Compliant"))</f>
        <v/>
      </c>
      <c r="M28" s="13" t="n"/>
    </row>
    <row r="29">
      <c r="A29" s="13" t="n"/>
      <c r="B29" s="13" t="n"/>
      <c r="C29" s="13" t="n"/>
      <c r="D29" s="14">
        <f>IF(C29="","",IFERROR(VLOOKUP(C29,'Lookup Tables'!$A$2:$B$44,2,FALSE),"Unknown"))</f>
        <v/>
      </c>
      <c r="E29" s="13" t="n"/>
      <c r="F29" s="13" t="n"/>
      <c r="G29" s="13" t="n"/>
      <c r="H29" s="13" t="n"/>
      <c r="I29" s="13" t="n"/>
      <c r="J29" s="13" t="n"/>
      <c r="K29" s="14">
        <f>IF(J29="","",IF(E29="Critical",J29+90,IF(E29="High",J29+90,IF(E29="Medium",J29+180,J29+180))))</f>
        <v/>
      </c>
      <c r="L29" s="14">
        <f>IF(H29="✅ Defined","✅ Compliant",IF(H29="➖ N/A","➖ Excluded","❌ Non-Compliant"))</f>
        <v/>
      </c>
      <c r="M29" s="13" t="n"/>
    </row>
    <row r="30">
      <c r="A30" s="13" t="n"/>
      <c r="B30" s="13" t="n"/>
      <c r="C30" s="13" t="n"/>
      <c r="D30" s="14">
        <f>IF(C30="","",IFERROR(VLOOKUP(C30,'Lookup Tables'!$A$2:$B$44,2,FALSE),"Unknown"))</f>
        <v/>
      </c>
      <c r="E30" s="13" t="n"/>
      <c r="F30" s="13" t="n"/>
      <c r="G30" s="13" t="n"/>
      <c r="H30" s="13" t="n"/>
      <c r="I30" s="13" t="n"/>
      <c r="J30" s="13" t="n"/>
      <c r="K30" s="14">
        <f>IF(J30="","",IF(E30="Critical",J30+90,IF(E30="High",J30+90,IF(E30="Medium",J30+180,J30+180))))</f>
        <v/>
      </c>
      <c r="L30" s="14">
        <f>IF(H30="✅ Defined","✅ Compliant",IF(H30="➖ N/A","➖ Excluded","❌ Non-Compliant"))</f>
        <v/>
      </c>
      <c r="M30" s="13" t="n"/>
    </row>
    <row r="31">
      <c r="A31" s="13" t="n"/>
      <c r="B31" s="13" t="n"/>
      <c r="C31" s="13" t="n"/>
      <c r="D31" s="14">
        <f>IF(C31="","",IFERROR(VLOOKUP(C31,'Lookup Tables'!$A$2:$B$44,2,FALSE),"Unknown"))</f>
        <v/>
      </c>
      <c r="E31" s="13" t="n"/>
      <c r="F31" s="13" t="n"/>
      <c r="G31" s="13" t="n"/>
      <c r="H31" s="13" t="n"/>
      <c r="I31" s="13" t="n"/>
      <c r="J31" s="13" t="n"/>
      <c r="K31" s="14">
        <f>IF(J31="","",IF(E31="Critical",J31+90,IF(E31="High",J31+90,IF(E31="Medium",J31+180,J31+180))))</f>
        <v/>
      </c>
      <c r="L31" s="14">
        <f>IF(H31="✅ Defined","✅ Compliant",IF(H31="➖ N/A","➖ Excluded","❌ Non-Compliant"))</f>
        <v/>
      </c>
      <c r="M31" s="13" t="n"/>
    </row>
    <row r="32">
      <c r="A32" s="13" t="n"/>
      <c r="B32" s="13" t="n"/>
      <c r="C32" s="13" t="n"/>
      <c r="D32" s="14">
        <f>IF(C32="","",IFERROR(VLOOKUP(C32,'Lookup Tables'!$A$2:$B$44,2,FALSE),"Unknown"))</f>
        <v/>
      </c>
      <c r="E32" s="13" t="n"/>
      <c r="F32" s="13" t="n"/>
      <c r="G32" s="13" t="n"/>
      <c r="H32" s="13" t="n"/>
      <c r="I32" s="13" t="n"/>
      <c r="J32" s="13" t="n"/>
      <c r="K32" s="14">
        <f>IF(J32="","",IF(E32="Critical",J32+90,IF(E32="High",J32+90,IF(E32="Medium",J32+180,J32+180))))</f>
        <v/>
      </c>
      <c r="L32" s="14">
        <f>IF(H32="✅ Defined","✅ Compliant",IF(H32="➖ N/A","➖ Excluded","❌ Non-Compliant"))</f>
        <v/>
      </c>
      <c r="M32" s="13" t="n"/>
    </row>
    <row r="33">
      <c r="A33" s="13" t="n"/>
      <c r="B33" s="13" t="n"/>
      <c r="C33" s="13" t="n"/>
      <c r="D33" s="14">
        <f>IF(C33="","",IFERROR(VLOOKUP(C33,'Lookup Tables'!$A$2:$B$44,2,FALSE),"Unknown"))</f>
        <v/>
      </c>
      <c r="E33" s="13" t="n"/>
      <c r="F33" s="13" t="n"/>
      <c r="G33" s="13" t="n"/>
      <c r="H33" s="13" t="n"/>
      <c r="I33" s="13" t="n"/>
      <c r="J33" s="13" t="n"/>
      <c r="K33" s="14">
        <f>IF(J33="","",IF(E33="Critical",J33+90,IF(E33="High",J33+90,IF(E33="Medium",J33+180,J33+180))))</f>
        <v/>
      </c>
      <c r="L33" s="14">
        <f>IF(H33="✅ Defined","✅ Compliant",IF(H33="➖ N/A","➖ Excluded","❌ Non-Compliant"))</f>
        <v/>
      </c>
      <c r="M33" s="13" t="n"/>
    </row>
    <row r="34">
      <c r="A34" s="13" t="n"/>
      <c r="B34" s="13" t="n"/>
      <c r="C34" s="13" t="n"/>
      <c r="D34" s="14">
        <f>IF(C34="","",IFERROR(VLOOKUP(C34,'Lookup Tables'!$A$2:$B$44,2,FALSE),"Unknown"))</f>
        <v/>
      </c>
      <c r="E34" s="13" t="n"/>
      <c r="F34" s="13" t="n"/>
      <c r="G34" s="13" t="n"/>
      <c r="H34" s="13" t="n"/>
      <c r="I34" s="13" t="n"/>
      <c r="J34" s="13" t="n"/>
      <c r="K34" s="14">
        <f>IF(J34="","",IF(E34="Critical",J34+90,IF(E34="High",J34+90,IF(E34="Medium",J34+180,J34+180))))</f>
        <v/>
      </c>
      <c r="L34" s="14">
        <f>IF(H34="✅ Defined","✅ Compliant",IF(H34="➖ N/A","➖ Excluded","❌ Non-Compliant"))</f>
        <v/>
      </c>
      <c r="M34" s="13" t="n"/>
    </row>
    <row r="35">
      <c r="A35" s="13" t="n"/>
      <c r="B35" s="13" t="n"/>
      <c r="C35" s="13" t="n"/>
      <c r="D35" s="14">
        <f>IF(C35="","",IFERROR(VLOOKUP(C35,'Lookup Tables'!$A$2:$B$44,2,FALSE),"Unknown"))</f>
        <v/>
      </c>
      <c r="E35" s="13" t="n"/>
      <c r="F35" s="13" t="n"/>
      <c r="G35" s="13" t="n"/>
      <c r="H35" s="13" t="n"/>
      <c r="I35" s="13" t="n"/>
      <c r="J35" s="13" t="n"/>
      <c r="K35" s="14">
        <f>IF(J35="","",IF(E35="Critical",J35+90,IF(E35="High",J35+90,IF(E35="Medium",J35+180,J35+180))))</f>
        <v/>
      </c>
      <c r="L35" s="14">
        <f>IF(H35="✅ Defined","✅ Compliant",IF(H35="➖ N/A","➖ Excluded","❌ Non-Compliant"))</f>
        <v/>
      </c>
      <c r="M35" s="13" t="n"/>
    </row>
    <row r="36">
      <c r="A36" s="13" t="n"/>
      <c r="B36" s="13" t="n"/>
      <c r="C36" s="13" t="n"/>
      <c r="D36" s="14">
        <f>IF(C36="","",IFERROR(VLOOKUP(C36,'Lookup Tables'!$A$2:$B$44,2,FALSE),"Unknown"))</f>
        <v/>
      </c>
      <c r="E36" s="13" t="n"/>
      <c r="F36" s="13" t="n"/>
      <c r="G36" s="13" t="n"/>
      <c r="H36" s="13" t="n"/>
      <c r="I36" s="13" t="n"/>
      <c r="J36" s="13" t="n"/>
      <c r="K36" s="14">
        <f>IF(J36="","",IF(E36="Critical",J36+90,IF(E36="High",J36+90,IF(E36="Medium",J36+180,J36+180))))</f>
        <v/>
      </c>
      <c r="L36" s="14">
        <f>IF(H36="✅ Defined","✅ Compliant",IF(H36="➖ N/A","➖ Excluded","❌ Non-Compliant"))</f>
        <v/>
      </c>
      <c r="M36" s="13" t="n"/>
    </row>
    <row r="37">
      <c r="A37" s="13" t="n"/>
      <c r="B37" s="13" t="n"/>
      <c r="C37" s="13" t="n"/>
      <c r="D37" s="14">
        <f>IF(C37="","",IFERROR(VLOOKUP(C37,'Lookup Tables'!$A$2:$B$44,2,FALSE),"Unknown"))</f>
        <v/>
      </c>
      <c r="E37" s="13" t="n"/>
      <c r="F37" s="13" t="n"/>
      <c r="G37" s="13" t="n"/>
      <c r="H37" s="13" t="n"/>
      <c r="I37" s="13" t="n"/>
      <c r="J37" s="13" t="n"/>
      <c r="K37" s="14">
        <f>IF(J37="","",IF(E37="Critical",J37+90,IF(E37="High",J37+90,IF(E37="Medium",J37+180,J37+180))))</f>
        <v/>
      </c>
      <c r="L37" s="14">
        <f>IF(H37="✅ Defined","✅ Compliant",IF(H37="➖ N/A","➖ Excluded","❌ Non-Compliant"))</f>
        <v/>
      </c>
      <c r="M37" s="13" t="n"/>
    </row>
    <row r="38">
      <c r="A38" s="13" t="n"/>
      <c r="B38" s="13" t="n"/>
      <c r="C38" s="13" t="n"/>
      <c r="D38" s="14">
        <f>IF(C38="","",IFERROR(VLOOKUP(C38,'Lookup Tables'!$A$2:$B$44,2,FALSE),"Unknown"))</f>
        <v/>
      </c>
      <c r="E38" s="13" t="n"/>
      <c r="F38" s="13" t="n"/>
      <c r="G38" s="13" t="n"/>
      <c r="H38" s="13" t="n"/>
      <c r="I38" s="13" t="n"/>
      <c r="J38" s="13" t="n"/>
      <c r="K38" s="14">
        <f>IF(J38="","",IF(E38="Critical",J38+90,IF(E38="High",J38+90,IF(E38="Medium",J38+180,J38+180))))</f>
        <v/>
      </c>
      <c r="L38" s="14">
        <f>IF(H38="✅ Defined","✅ Compliant",IF(H38="➖ N/A","➖ Excluded","❌ Non-Compliant"))</f>
        <v/>
      </c>
      <c r="M38" s="13" t="n"/>
    </row>
    <row r="39">
      <c r="A39" s="13" t="n"/>
      <c r="B39" s="13" t="n"/>
      <c r="C39" s="13" t="n"/>
      <c r="D39" s="14">
        <f>IF(C39="","",IFERROR(VLOOKUP(C39,'Lookup Tables'!$A$2:$B$44,2,FALSE),"Unknown"))</f>
        <v/>
      </c>
      <c r="E39" s="13" t="n"/>
      <c r="F39" s="13" t="n"/>
      <c r="G39" s="13" t="n"/>
      <c r="H39" s="13" t="n"/>
      <c r="I39" s="13" t="n"/>
      <c r="J39" s="13" t="n"/>
      <c r="K39" s="14">
        <f>IF(J39="","",IF(E39="Critical",J39+90,IF(E39="High",J39+90,IF(E39="Medium",J39+180,J39+180))))</f>
        <v/>
      </c>
      <c r="L39" s="14">
        <f>IF(H39="✅ Defined","✅ Compliant",IF(H39="➖ N/A","➖ Excluded","❌ Non-Compliant"))</f>
        <v/>
      </c>
      <c r="M39" s="13" t="n"/>
    </row>
    <row r="40">
      <c r="A40" s="13" t="n"/>
      <c r="B40" s="13" t="n"/>
      <c r="C40" s="13" t="n"/>
      <c r="D40" s="14">
        <f>IF(C40="","",IFERROR(VLOOKUP(C40,'Lookup Tables'!$A$2:$B$44,2,FALSE),"Unknown"))</f>
        <v/>
      </c>
      <c r="E40" s="13" t="n"/>
      <c r="F40" s="13" t="n"/>
      <c r="G40" s="13" t="n"/>
      <c r="H40" s="13" t="n"/>
      <c r="I40" s="13" t="n"/>
      <c r="J40" s="13" t="n"/>
      <c r="K40" s="14">
        <f>IF(J40="","",IF(E40="Critical",J40+90,IF(E40="High",J40+90,IF(E40="Medium",J40+180,J40+180))))</f>
        <v/>
      </c>
      <c r="L40" s="14">
        <f>IF(H40="✅ Defined","✅ Compliant",IF(H40="➖ N/A","➖ Excluded","❌ Non-Compliant"))</f>
        <v/>
      </c>
      <c r="M40" s="13" t="n"/>
    </row>
    <row r="41">
      <c r="A41" s="13" t="n"/>
      <c r="B41" s="13" t="n"/>
      <c r="C41" s="13" t="n"/>
      <c r="D41" s="14">
        <f>IF(C41="","",IFERROR(VLOOKUP(C41,'Lookup Tables'!$A$2:$B$44,2,FALSE),"Unknown"))</f>
        <v/>
      </c>
      <c r="E41" s="13" t="n"/>
      <c r="F41" s="13" t="n"/>
      <c r="G41" s="13" t="n"/>
      <c r="H41" s="13" t="n"/>
      <c r="I41" s="13" t="n"/>
      <c r="J41" s="13" t="n"/>
      <c r="K41" s="14">
        <f>IF(J41="","",IF(E41="Critical",J41+90,IF(E41="High",J41+90,IF(E41="Medium",J41+180,J41+180))))</f>
        <v/>
      </c>
      <c r="L41" s="14">
        <f>IF(H41="✅ Defined","✅ Compliant",IF(H41="➖ N/A","➖ Excluded","❌ Non-Compliant"))</f>
        <v/>
      </c>
      <c r="M41" s="13" t="n"/>
    </row>
    <row r="42">
      <c r="A42" s="13" t="n"/>
      <c r="B42" s="13" t="n"/>
      <c r="C42" s="13" t="n"/>
      <c r="D42" s="14">
        <f>IF(C42="","",IFERROR(VLOOKUP(C42,'Lookup Tables'!$A$2:$B$44,2,FALSE),"Unknown"))</f>
        <v/>
      </c>
      <c r="E42" s="13" t="n"/>
      <c r="F42" s="13" t="n"/>
      <c r="G42" s="13" t="n"/>
      <c r="H42" s="13" t="n"/>
      <c r="I42" s="13" t="n"/>
      <c r="J42" s="13" t="n"/>
      <c r="K42" s="14">
        <f>IF(J42="","",IF(E42="Critical",J42+90,IF(E42="High",J42+90,IF(E42="Medium",J42+180,J42+180))))</f>
        <v/>
      </c>
      <c r="L42" s="14">
        <f>IF(H42="✅ Defined","✅ Compliant",IF(H42="➖ N/A","➖ Excluded","❌ Non-Compliant"))</f>
        <v/>
      </c>
      <c r="M42" s="13" t="n"/>
    </row>
    <row r="43">
      <c r="A43" s="13" t="n"/>
      <c r="B43" s="13" t="n"/>
      <c r="C43" s="13" t="n"/>
      <c r="D43" s="14">
        <f>IF(C43="","",IFERROR(VLOOKUP(C43,'Lookup Tables'!$A$2:$B$44,2,FALSE),"Unknown"))</f>
        <v/>
      </c>
      <c r="E43" s="13" t="n"/>
      <c r="F43" s="13" t="n"/>
      <c r="G43" s="13" t="n"/>
      <c r="H43" s="13" t="n"/>
      <c r="I43" s="13" t="n"/>
      <c r="J43" s="13" t="n"/>
      <c r="K43" s="14">
        <f>IF(J43="","",IF(E43="Critical",J43+90,IF(E43="High",J43+90,IF(E43="Medium",J43+180,J43+180))))</f>
        <v/>
      </c>
      <c r="L43" s="14">
        <f>IF(H43="✅ Defined","✅ Compliant",IF(H43="➖ N/A","➖ Excluded","❌ Non-Compliant"))</f>
        <v/>
      </c>
      <c r="M43" s="13" t="n"/>
    </row>
    <row r="44">
      <c r="A44" s="13" t="n"/>
      <c r="B44" s="13" t="n"/>
      <c r="C44" s="13" t="n"/>
      <c r="D44" s="14">
        <f>IF(C44="","",IFERROR(VLOOKUP(C44,'Lookup Tables'!$A$2:$B$44,2,FALSE),"Unknown"))</f>
        <v/>
      </c>
      <c r="E44" s="13" t="n"/>
      <c r="F44" s="13" t="n"/>
      <c r="G44" s="13" t="n"/>
      <c r="H44" s="13" t="n"/>
      <c r="I44" s="13" t="n"/>
      <c r="J44" s="13" t="n"/>
      <c r="K44" s="14">
        <f>IF(J44="","",IF(E44="Critical",J44+90,IF(E44="High",J44+90,IF(E44="Medium",J44+180,J44+180))))</f>
        <v/>
      </c>
      <c r="L44" s="14">
        <f>IF(H44="✅ Defined","✅ Compliant",IF(H44="➖ N/A","➖ Excluded","❌ Non-Compliant"))</f>
        <v/>
      </c>
      <c r="M44" s="13" t="n"/>
    </row>
    <row r="45">
      <c r="A45" s="13" t="n"/>
      <c r="B45" s="13" t="n"/>
      <c r="C45" s="13" t="n"/>
      <c r="D45" s="14">
        <f>IF(C45="","",IFERROR(VLOOKUP(C45,'Lookup Tables'!$A$2:$B$44,2,FALSE),"Unknown"))</f>
        <v/>
      </c>
      <c r="E45" s="13" t="n"/>
      <c r="F45" s="13" t="n"/>
      <c r="G45" s="13" t="n"/>
      <c r="H45" s="13" t="n"/>
      <c r="I45" s="13" t="n"/>
      <c r="J45" s="13" t="n"/>
      <c r="K45" s="14">
        <f>IF(J45="","",IF(E45="Critical",J45+90,IF(E45="High",J45+90,IF(E45="Medium",J45+180,J45+180))))</f>
        <v/>
      </c>
      <c r="L45" s="14">
        <f>IF(H45="✅ Defined","✅ Compliant",IF(H45="➖ N/A","➖ Excluded","❌ Non-Compliant"))</f>
        <v/>
      </c>
      <c r="M45" s="13" t="n"/>
    </row>
    <row r="46">
      <c r="A46" s="13" t="n"/>
      <c r="B46" s="13" t="n"/>
      <c r="C46" s="13" t="n"/>
      <c r="D46" s="14">
        <f>IF(C46="","",IFERROR(VLOOKUP(C46,'Lookup Tables'!$A$2:$B$44,2,FALSE),"Unknown"))</f>
        <v/>
      </c>
      <c r="E46" s="13" t="n"/>
      <c r="F46" s="13" t="n"/>
      <c r="G46" s="13" t="n"/>
      <c r="H46" s="13" t="n"/>
      <c r="I46" s="13" t="n"/>
      <c r="J46" s="13" t="n"/>
      <c r="K46" s="14">
        <f>IF(J46="","",IF(E46="Critical",J46+90,IF(E46="High",J46+90,IF(E46="Medium",J46+180,J46+180))))</f>
        <v/>
      </c>
      <c r="L46" s="14">
        <f>IF(H46="✅ Defined","✅ Compliant",IF(H46="➖ N/A","➖ Excluded","❌ Non-Compliant"))</f>
        <v/>
      </c>
      <c r="M46" s="13" t="n"/>
    </row>
    <row r="47">
      <c r="A47" s="13" t="n"/>
      <c r="B47" s="13" t="n"/>
      <c r="C47" s="13" t="n"/>
      <c r="D47" s="14">
        <f>IF(C47="","",IFERROR(VLOOKUP(C47,'Lookup Tables'!$A$2:$B$44,2,FALSE),"Unknown"))</f>
        <v/>
      </c>
      <c r="E47" s="13" t="n"/>
      <c r="F47" s="13" t="n"/>
      <c r="G47" s="13" t="n"/>
      <c r="H47" s="13" t="n"/>
      <c r="I47" s="13" t="n"/>
      <c r="J47" s="13" t="n"/>
      <c r="K47" s="14">
        <f>IF(J47="","",IF(E47="Critical",J47+90,IF(E47="High",J47+90,IF(E47="Medium",J47+180,J47+180))))</f>
        <v/>
      </c>
      <c r="L47" s="14">
        <f>IF(H47="✅ Defined","✅ Compliant",IF(H47="➖ N/A","➖ Excluded","❌ Non-Compliant"))</f>
        <v/>
      </c>
      <c r="M47" s="13" t="n"/>
    </row>
    <row r="48">
      <c r="A48" s="13" t="n"/>
      <c r="B48" s="13" t="n"/>
      <c r="C48" s="13" t="n"/>
      <c r="D48" s="14">
        <f>IF(C48="","",IFERROR(VLOOKUP(C48,'Lookup Tables'!$A$2:$B$44,2,FALSE),"Unknown"))</f>
        <v/>
      </c>
      <c r="E48" s="13" t="n"/>
      <c r="F48" s="13" t="n"/>
      <c r="G48" s="13" t="n"/>
      <c r="H48" s="13" t="n"/>
      <c r="I48" s="13" t="n"/>
      <c r="J48" s="13" t="n"/>
      <c r="K48" s="14">
        <f>IF(J48="","",IF(E48="Critical",J48+90,IF(E48="High",J48+90,IF(E48="Medium",J48+180,J48+180))))</f>
        <v/>
      </c>
      <c r="L48" s="14">
        <f>IF(H48="✅ Defined","✅ Compliant",IF(H48="➖ N/A","➖ Excluded","❌ Non-Compliant"))</f>
        <v/>
      </c>
      <c r="M48" s="13" t="n"/>
    </row>
    <row r="49">
      <c r="A49" s="13" t="n"/>
      <c r="B49" s="13" t="n"/>
      <c r="C49" s="13" t="n"/>
      <c r="D49" s="14">
        <f>IF(C49="","",IFERROR(VLOOKUP(C49,'Lookup Tables'!$A$2:$B$44,2,FALSE),"Unknown"))</f>
        <v/>
      </c>
      <c r="E49" s="13" t="n"/>
      <c r="F49" s="13" t="n"/>
      <c r="G49" s="13" t="n"/>
      <c r="H49" s="13" t="n"/>
      <c r="I49" s="13" t="n"/>
      <c r="J49" s="13" t="n"/>
      <c r="K49" s="14">
        <f>IF(J49="","",IF(E49="Critical",J49+90,IF(E49="High",J49+90,IF(E49="Medium",J49+180,J49+180))))</f>
        <v/>
      </c>
      <c r="L49" s="14">
        <f>IF(H49="✅ Defined","✅ Compliant",IF(H49="➖ N/A","➖ Excluded","❌ Non-Compliant"))</f>
        <v/>
      </c>
      <c r="M49" s="13" t="n"/>
    </row>
    <row r="50">
      <c r="A50" s="13" t="n"/>
      <c r="B50" s="13" t="n"/>
      <c r="C50" s="13" t="n"/>
      <c r="D50" s="14">
        <f>IF(C50="","",IFERROR(VLOOKUP(C50,'Lookup Tables'!$A$2:$B$44,2,FALSE),"Unknown"))</f>
        <v/>
      </c>
      <c r="E50" s="13" t="n"/>
      <c r="F50" s="13" t="n"/>
      <c r="G50" s="13" t="n"/>
      <c r="H50" s="13" t="n"/>
      <c r="I50" s="13" t="n"/>
      <c r="J50" s="13" t="n"/>
      <c r="K50" s="14">
        <f>IF(J50="","",IF(E50="Critical",J50+90,IF(E50="High",J50+90,IF(E50="Medium",J50+180,J50+180))))</f>
        <v/>
      </c>
      <c r="L50" s="14">
        <f>IF(H50="✅ Defined","✅ Compliant",IF(H50="➖ N/A","➖ Excluded","❌ Non-Compliant"))</f>
        <v/>
      </c>
      <c r="M50" s="13" t="n"/>
    </row>
    <row r="51">
      <c r="A51" s="13" t="n"/>
      <c r="B51" s="13" t="n"/>
      <c r="C51" s="13" t="n"/>
      <c r="D51" s="14">
        <f>IF(C51="","",IFERROR(VLOOKUP(C51,'Lookup Tables'!$A$2:$B$44,2,FALSE),"Unknown"))</f>
        <v/>
      </c>
      <c r="E51" s="13" t="n"/>
      <c r="F51" s="13" t="n"/>
      <c r="G51" s="13" t="n"/>
      <c r="H51" s="13" t="n"/>
      <c r="I51" s="13" t="n"/>
      <c r="J51" s="13" t="n"/>
      <c r="K51" s="14">
        <f>IF(J51="","",IF(E51="Critical",J51+90,IF(E51="High",J51+90,IF(E51="Medium",J51+180,J51+180))))</f>
        <v/>
      </c>
      <c r="L51" s="14">
        <f>IF(H51="✅ Defined","✅ Compliant",IF(H51="➖ N/A","➖ Excluded","❌ Non-Compliant"))</f>
        <v/>
      </c>
      <c r="M51" s="13" t="n"/>
    </row>
    <row r="52">
      <c r="A52" s="13" t="n"/>
      <c r="B52" s="13" t="n"/>
      <c r="C52" s="13" t="n"/>
      <c r="D52" s="14">
        <f>IF(C52="","",IFERROR(VLOOKUP(C52,'Lookup Tables'!$A$2:$B$44,2,FALSE),"Unknown"))</f>
        <v/>
      </c>
      <c r="E52" s="13" t="n"/>
      <c r="F52" s="13" t="n"/>
      <c r="G52" s="13" t="n"/>
      <c r="H52" s="13" t="n"/>
      <c r="I52" s="13" t="n"/>
      <c r="J52" s="13" t="n"/>
      <c r="K52" s="14">
        <f>IF(J52="","",IF(E52="Critical",J52+90,IF(E52="High",J52+90,IF(E52="Medium",J52+180,J52+180))))</f>
        <v/>
      </c>
      <c r="L52" s="14">
        <f>IF(H52="✅ Defined","✅ Compliant",IF(H52="➖ N/A","➖ Excluded","❌ Non-Compliant"))</f>
        <v/>
      </c>
      <c r="M52" s="13" t="n"/>
    </row>
    <row r="53">
      <c r="A53" s="13" t="n"/>
      <c r="B53" s="13" t="n"/>
      <c r="C53" s="13" t="n"/>
      <c r="D53" s="14">
        <f>IF(C53="","",IFERROR(VLOOKUP(C53,'Lookup Tables'!$A$2:$B$44,2,FALSE),"Unknown"))</f>
        <v/>
      </c>
      <c r="E53" s="13" t="n"/>
      <c r="F53" s="13" t="n"/>
      <c r="G53" s="13" t="n"/>
      <c r="H53" s="13" t="n"/>
      <c r="I53" s="13" t="n"/>
      <c r="J53" s="13" t="n"/>
      <c r="K53" s="14">
        <f>IF(J53="","",IF(E53="Critical",J53+90,IF(E53="High",J53+90,IF(E53="Medium",J53+180,J53+180))))</f>
        <v/>
      </c>
      <c r="L53" s="14">
        <f>IF(H53="✅ Defined","✅ Compliant",IF(H53="➖ N/A","➖ Excluded","❌ Non-Compliant"))</f>
        <v/>
      </c>
      <c r="M53" s="13" t="n"/>
    </row>
  </sheetData>
  <mergeCells count="1">
    <mergeCell ref="A1:M1"/>
  </mergeCells>
  <conditionalFormatting sqref="H3:H53">
    <cfRule type="cellIs" priority="1" operator="equal" dxfId="0">
      <formula>"Defined"</formula>
    </cfRule>
    <cfRule type="cellIs" priority="2" operator="equal" dxfId="1">
      <formula>"In Progress"</formula>
    </cfRule>
    <cfRule type="cellIs" priority="3" operator="equal" dxfId="2">
      <formula>"Not Started"</formula>
    </cfRule>
    <cfRule type="cellIs" priority="4" operator="equal" dxfId="3">
      <formula>"N/A"</formula>
    </cfRule>
  </conditionalFormatting>
  <conditionalFormatting sqref="L3:L53">
    <cfRule type="cellIs" priority="5" operator="equal" dxfId="4">
      <formula>"✅ Compliant"</formula>
    </cfRule>
    <cfRule type="cellIs" priority="6" operator="equal" dxfId="5">
      <formula>"❌ Non-Compliant"</formula>
    </cfRule>
  </conditionalFormatting>
  <dataValidations count="3">
    <dataValidation sqref="C3:C53" showDropDown="0" showInputMessage="0" showErrorMessage="0" allowBlank="0" errorTitle="Invalid Asset Type" error="Please select a valid asset type" type="list">
      <formula1>='Lookup Tables'!$A$2:$A$44</formula1>
    </dataValidation>
    <dataValidation sqref="E3:E53" showDropDown="0" showInputMessage="0" showErrorMessage="0" allowBlank="0" errorTitle="Invalid Entry" error="Invalid entry" promptTitle="Selection Required" prompt="Please select from the dropdown" type="list">
      <formula1>"Critical,High,Medium,Low"</formula1>
    </dataValidation>
    <dataValidation sqref="H3:H53" showDropDown="0" showInputMessage="0" showErrorMessage="0" allowBlank="0" errorTitle="Invalid Entry" error="Invalid entry" promptTitle="Selection Required" prompt="Please select from the dropdown" type="list">
      <formula1>"✅ Defined,⏳ In Progress,❌ Not Started,➖ 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5" customWidth="1" min="2" max="2"/>
    <col width="12" customWidth="1" min="3" max="3"/>
    <col width="30" customWidth="1" min="4" max="4"/>
    <col width="50" customWidth="1" min="5" max="5"/>
    <col width="18" customWidth="1" min="6" max="6"/>
    <col width="20" customWidth="1" min="7" max="7"/>
    <col width="15" customWidth="1" min="8" max="8"/>
    <col width="15" customWidth="1" min="9" max="9"/>
    <col width="40" customWidth="1" min="10" max="10"/>
    <col width="12" customWidth="1" min="11" max="11"/>
    <col width="12" customWidth="1" min="12" max="12"/>
    <col width="40" customWidth="1" min="13" max="13"/>
  </cols>
  <sheetData>
    <row r="1" ht="35" customHeight="1">
      <c r="A1" s="11" t="inlineStr">
        <is>
          <t>BASELINE REPOSITORY</t>
        </is>
      </c>
    </row>
    <row r="2">
      <c r="A2" s="12" t="inlineStr">
        <is>
          <t>Baseline ID</t>
        </is>
      </c>
      <c r="B2" s="12" t="inlineStr">
        <is>
          <t>Baseline Name</t>
        </is>
      </c>
      <c r="C2" s="12" t="inlineStr">
        <is>
          <t>Baseline Version</t>
        </is>
      </c>
      <c r="D2" s="12" t="inlineStr">
        <is>
          <t>Applicable Asset Types</t>
        </is>
      </c>
      <c r="E2" s="12" t="inlineStr">
        <is>
          <t>Description</t>
        </is>
      </c>
      <c r="F2" s="12" t="inlineStr">
        <is>
          <t>Approval Status</t>
        </is>
      </c>
      <c r="G2" s="12" t="inlineStr">
        <is>
          <t>Approved By</t>
        </is>
      </c>
      <c r="H2" s="12" t="inlineStr">
        <is>
          <t>Approval Date</t>
        </is>
      </c>
      <c r="I2" s="12" t="inlineStr">
        <is>
          <t>Last Updated</t>
        </is>
      </c>
      <c r="J2" s="12" t="inlineStr">
        <is>
          <t>Documentation Location</t>
        </is>
      </c>
      <c r="K2" s="12" t="inlineStr">
        <is>
          <t>Config Elements Count</t>
        </is>
      </c>
      <c r="L2" s="12" t="inlineStr">
        <is>
          <t>Applied to Assets Count</t>
        </is>
      </c>
      <c r="M2" s="12" t="inlineStr">
        <is>
          <t>Notes</t>
        </is>
      </c>
    </row>
    <row r="4">
      <c r="A4" s="14" t="inlineStr">
        <is>
          <t>BL-001</t>
        </is>
      </c>
      <c r="B4" s="14" t="inlineStr">
        <is>
          <t>Windows Server 2022 CIS Baseline</t>
        </is>
      </c>
      <c r="C4" s="14" t="inlineStr">
        <is>
          <t>v2.0</t>
        </is>
      </c>
      <c r="D4" s="14" t="inlineStr">
        <is>
          <t>Physical Server, Virtual Machine</t>
        </is>
      </c>
      <c r="E4" s="14" t="inlineStr">
        <is>
          <t>CIS Benchmark Level 1 for Windows Server 2022 — covers 200+ security controls</t>
        </is>
      </c>
      <c r="F4" s="14" t="inlineStr">
        <is>
          <t>✅ Approved</t>
        </is>
      </c>
      <c r="G4" s="14" t="inlineStr">
        <is>
          <t>Jane Smith (CISO)</t>
        </is>
      </c>
      <c r="H4" s="14" t="inlineStr">
        <is>
          <t>01.01.2026</t>
        </is>
      </c>
      <c r="I4" s="14" t="inlineStr">
        <is>
          <t>15.01.2026</t>
        </is>
      </c>
      <c r="J4" s="14" t="inlineStr">
        <is>
          <t>/baseline/windows-server-2022-cis-v2.0.xlsx</t>
        </is>
      </c>
      <c r="K4" s="14" t="n">
        <v>47</v>
      </c>
      <c r="L4" s="14" t="inlineStr"/>
      <c r="M4" s="14" t="inlineStr">
        <is>
          <t>Reviewed by Security Architecture team</t>
        </is>
      </c>
    </row>
    <row r="5">
      <c r="A5" s="13" t="n"/>
      <c r="B5" s="13" t="n"/>
      <c r="C5" s="13" t="n"/>
      <c r="D5" s="13" t="n"/>
      <c r="E5" s="13" t="n"/>
      <c r="F5" s="13" t="n"/>
      <c r="G5" s="13" t="n"/>
      <c r="H5" s="13" t="n"/>
      <c r="I5" s="13" t="n"/>
      <c r="J5" s="13" t="n"/>
      <c r="K5" s="13" t="n"/>
      <c r="L5" s="14">
        <f>COUNTIF('Asset Inventory'!$I$4:$I$103,A5)</f>
        <v/>
      </c>
      <c r="M5" s="13" t="n"/>
    </row>
    <row r="6">
      <c r="A6" s="13" t="n"/>
      <c r="B6" s="13" t="n"/>
      <c r="C6" s="13" t="n"/>
      <c r="D6" s="13" t="n"/>
      <c r="E6" s="13" t="n"/>
      <c r="F6" s="13" t="n"/>
      <c r="G6" s="13" t="n"/>
      <c r="H6" s="13" t="n"/>
      <c r="I6" s="13" t="n"/>
      <c r="J6" s="13" t="n"/>
      <c r="K6" s="13" t="n"/>
      <c r="L6" s="14">
        <f>COUNTIF('Asset Inventory'!$I$4:$I$103,A6)</f>
        <v/>
      </c>
      <c r="M6" s="13" t="n"/>
    </row>
    <row r="7">
      <c r="A7" s="13" t="n"/>
      <c r="B7" s="13" t="n"/>
      <c r="C7" s="13" t="n"/>
      <c r="D7" s="13" t="n"/>
      <c r="E7" s="13" t="n"/>
      <c r="F7" s="13" t="n"/>
      <c r="G7" s="13" t="n"/>
      <c r="H7" s="13" t="n"/>
      <c r="I7" s="13" t="n"/>
      <c r="J7" s="13" t="n"/>
      <c r="K7" s="13" t="n"/>
      <c r="L7" s="14">
        <f>COUNTIF('Asset Inventory'!$I$4:$I$103,A7)</f>
        <v/>
      </c>
      <c r="M7" s="13" t="n"/>
    </row>
    <row r="8">
      <c r="A8" s="13" t="n"/>
      <c r="B8" s="13" t="n"/>
      <c r="C8" s="13" t="n"/>
      <c r="D8" s="13" t="n"/>
      <c r="E8" s="13" t="n"/>
      <c r="F8" s="13" t="n"/>
      <c r="G8" s="13" t="n"/>
      <c r="H8" s="13" t="n"/>
      <c r="I8" s="13" t="n"/>
      <c r="J8" s="13" t="n"/>
      <c r="K8" s="13" t="n"/>
      <c r="L8" s="14">
        <f>COUNTIF('Asset Inventory'!$I$4:$I$103,A8)</f>
        <v/>
      </c>
      <c r="M8" s="13" t="n"/>
    </row>
    <row r="9">
      <c r="A9" s="13" t="n"/>
      <c r="B9" s="13" t="n"/>
      <c r="C9" s="13" t="n"/>
      <c r="D9" s="13" t="n"/>
      <c r="E9" s="13" t="n"/>
      <c r="F9" s="13" t="n"/>
      <c r="G9" s="13" t="n"/>
      <c r="H9" s="13" t="n"/>
      <c r="I9" s="13" t="n"/>
      <c r="J9" s="13" t="n"/>
      <c r="K9" s="13" t="n"/>
      <c r="L9" s="14">
        <f>COUNTIF('Asset Inventory'!$I$4:$I$103,A9)</f>
        <v/>
      </c>
      <c r="M9" s="13" t="n"/>
    </row>
    <row r="10">
      <c r="A10" s="13" t="n"/>
      <c r="B10" s="13" t="n"/>
      <c r="C10" s="13" t="n"/>
      <c r="D10" s="13" t="n"/>
      <c r="E10" s="13" t="n"/>
      <c r="F10" s="13" t="n"/>
      <c r="G10" s="13" t="n"/>
      <c r="H10" s="13" t="n"/>
      <c r="I10" s="13" t="n"/>
      <c r="J10" s="13" t="n"/>
      <c r="K10" s="13" t="n"/>
      <c r="L10" s="14">
        <f>COUNTIF('Asset Inventory'!$I$4:$I$103,A10)</f>
        <v/>
      </c>
      <c r="M10" s="13" t="n"/>
    </row>
    <row r="11">
      <c r="A11" s="13" t="n"/>
      <c r="B11" s="13" t="n"/>
      <c r="C11" s="13" t="n"/>
      <c r="D11" s="13" t="n"/>
      <c r="E11" s="13" t="n"/>
      <c r="F11" s="13" t="n"/>
      <c r="G11" s="13" t="n"/>
      <c r="H11" s="13" t="n"/>
      <c r="I11" s="13" t="n"/>
      <c r="J11" s="13" t="n"/>
      <c r="K11" s="13" t="n"/>
      <c r="L11" s="14">
        <f>COUNTIF('Asset Inventory'!$I$4:$I$103,A11)</f>
        <v/>
      </c>
      <c r="M11" s="13" t="n"/>
    </row>
    <row r="12">
      <c r="A12" s="13" t="n"/>
      <c r="B12" s="13" t="n"/>
      <c r="C12" s="13" t="n"/>
      <c r="D12" s="13" t="n"/>
      <c r="E12" s="13" t="n"/>
      <c r="F12" s="13" t="n"/>
      <c r="G12" s="13" t="n"/>
      <c r="H12" s="13" t="n"/>
      <c r="I12" s="13" t="n"/>
      <c r="J12" s="13" t="n"/>
      <c r="K12" s="13" t="n"/>
      <c r="L12" s="14">
        <f>COUNTIF('Asset Inventory'!$I$4:$I$103,A12)</f>
        <v/>
      </c>
      <c r="M12" s="13" t="n"/>
    </row>
    <row r="13">
      <c r="A13" s="13" t="n"/>
      <c r="B13" s="13" t="n"/>
      <c r="C13" s="13" t="n"/>
      <c r="D13" s="13" t="n"/>
      <c r="E13" s="13" t="n"/>
      <c r="F13" s="13" t="n"/>
      <c r="G13" s="13" t="n"/>
      <c r="H13" s="13" t="n"/>
      <c r="I13" s="13" t="n"/>
      <c r="J13" s="13" t="n"/>
      <c r="K13" s="13" t="n"/>
      <c r="L13" s="14">
        <f>COUNTIF('Asset Inventory'!$I$4:$I$103,A13)</f>
        <v/>
      </c>
      <c r="M13" s="13" t="n"/>
    </row>
    <row r="14">
      <c r="A14" s="13" t="n"/>
      <c r="B14" s="13" t="n"/>
      <c r="C14" s="13" t="n"/>
      <c r="D14" s="13" t="n"/>
      <c r="E14" s="13" t="n"/>
      <c r="F14" s="13" t="n"/>
      <c r="G14" s="13" t="n"/>
      <c r="H14" s="13" t="n"/>
      <c r="I14" s="13" t="n"/>
      <c r="J14" s="13" t="n"/>
      <c r="K14" s="13" t="n"/>
      <c r="L14" s="14">
        <f>COUNTIF('Asset Inventory'!$I$4:$I$103,A14)</f>
        <v/>
      </c>
      <c r="M14" s="13" t="n"/>
    </row>
    <row r="15">
      <c r="A15" s="13" t="n"/>
      <c r="B15" s="13" t="n"/>
      <c r="C15" s="13" t="n"/>
      <c r="D15" s="13" t="n"/>
      <c r="E15" s="13" t="n"/>
      <c r="F15" s="13" t="n"/>
      <c r="G15" s="13" t="n"/>
      <c r="H15" s="13" t="n"/>
      <c r="I15" s="13" t="n"/>
      <c r="J15" s="13" t="n"/>
      <c r="K15" s="13" t="n"/>
      <c r="L15" s="14">
        <f>COUNTIF('Asset Inventory'!$I$4:$I$103,A15)</f>
        <v/>
      </c>
      <c r="M15" s="13" t="n"/>
    </row>
    <row r="16">
      <c r="A16" s="13" t="n"/>
      <c r="B16" s="13" t="n"/>
      <c r="C16" s="13" t="n"/>
      <c r="D16" s="13" t="n"/>
      <c r="E16" s="13" t="n"/>
      <c r="F16" s="13" t="n"/>
      <c r="G16" s="13" t="n"/>
      <c r="H16" s="13" t="n"/>
      <c r="I16" s="13" t="n"/>
      <c r="J16" s="13" t="n"/>
      <c r="K16" s="13" t="n"/>
      <c r="L16" s="14">
        <f>COUNTIF('Asset Inventory'!$I$4:$I$103,A16)</f>
        <v/>
      </c>
      <c r="M16" s="13" t="n"/>
    </row>
    <row r="17">
      <c r="A17" s="13" t="n"/>
      <c r="B17" s="13" t="n"/>
      <c r="C17" s="13" t="n"/>
      <c r="D17" s="13" t="n"/>
      <c r="E17" s="13" t="n"/>
      <c r="F17" s="13" t="n"/>
      <c r="G17" s="13" t="n"/>
      <c r="H17" s="13" t="n"/>
      <c r="I17" s="13" t="n"/>
      <c r="J17" s="13" t="n"/>
      <c r="K17" s="13" t="n"/>
      <c r="L17" s="14">
        <f>COUNTIF('Asset Inventory'!$I$4:$I$103,A17)</f>
        <v/>
      </c>
      <c r="M17" s="13" t="n"/>
    </row>
    <row r="18">
      <c r="A18" s="13" t="n"/>
      <c r="B18" s="13" t="n"/>
      <c r="C18" s="13" t="n"/>
      <c r="D18" s="13" t="n"/>
      <c r="E18" s="13" t="n"/>
      <c r="F18" s="13" t="n"/>
      <c r="G18" s="13" t="n"/>
      <c r="H18" s="13" t="n"/>
      <c r="I18" s="13" t="n"/>
      <c r="J18" s="13" t="n"/>
      <c r="K18" s="13" t="n"/>
      <c r="L18" s="14">
        <f>COUNTIF('Asset Inventory'!$I$4:$I$103,A18)</f>
        <v/>
      </c>
      <c r="M18" s="13" t="n"/>
    </row>
    <row r="19">
      <c r="A19" s="13" t="n"/>
      <c r="B19" s="13" t="n"/>
      <c r="C19" s="13" t="n"/>
      <c r="D19" s="13" t="n"/>
      <c r="E19" s="13" t="n"/>
      <c r="F19" s="13" t="n"/>
      <c r="G19" s="13" t="n"/>
      <c r="H19" s="13" t="n"/>
      <c r="I19" s="13" t="n"/>
      <c r="J19" s="13" t="n"/>
      <c r="K19" s="13" t="n"/>
      <c r="L19" s="14">
        <f>COUNTIF('Asset Inventory'!$I$4:$I$103,A19)</f>
        <v/>
      </c>
      <c r="M19" s="13" t="n"/>
    </row>
    <row r="20">
      <c r="A20" s="13" t="n"/>
      <c r="B20" s="13" t="n"/>
      <c r="C20" s="13" t="n"/>
      <c r="D20" s="13" t="n"/>
      <c r="E20" s="13" t="n"/>
      <c r="F20" s="13" t="n"/>
      <c r="G20" s="13" t="n"/>
      <c r="H20" s="13" t="n"/>
      <c r="I20" s="13" t="n"/>
      <c r="J20" s="13" t="n"/>
      <c r="K20" s="13" t="n"/>
      <c r="L20" s="14">
        <f>COUNTIF('Asset Inventory'!$I$4:$I$103,A20)</f>
        <v/>
      </c>
      <c r="M20" s="13" t="n"/>
    </row>
    <row r="21">
      <c r="A21" s="13" t="n"/>
      <c r="B21" s="13" t="n"/>
      <c r="C21" s="13" t="n"/>
      <c r="D21" s="13" t="n"/>
      <c r="E21" s="13" t="n"/>
      <c r="F21" s="13" t="n"/>
      <c r="G21" s="13" t="n"/>
      <c r="H21" s="13" t="n"/>
      <c r="I21" s="13" t="n"/>
      <c r="J21" s="13" t="n"/>
      <c r="K21" s="13" t="n"/>
      <c r="L21" s="14">
        <f>COUNTIF('Asset Inventory'!$I$4:$I$103,A21)</f>
        <v/>
      </c>
      <c r="M21" s="13" t="n"/>
    </row>
    <row r="22">
      <c r="A22" s="13" t="n"/>
      <c r="B22" s="13" t="n"/>
      <c r="C22" s="13" t="n"/>
      <c r="D22" s="13" t="n"/>
      <c r="E22" s="13" t="n"/>
      <c r="F22" s="13" t="n"/>
      <c r="G22" s="13" t="n"/>
      <c r="H22" s="13" t="n"/>
      <c r="I22" s="13" t="n"/>
      <c r="J22" s="13" t="n"/>
      <c r="K22" s="13" t="n"/>
      <c r="L22" s="14">
        <f>COUNTIF('Asset Inventory'!$I$4:$I$103,A22)</f>
        <v/>
      </c>
      <c r="M22" s="13" t="n"/>
    </row>
    <row r="23">
      <c r="A23" s="13" t="n"/>
      <c r="B23" s="13" t="n"/>
      <c r="C23" s="13" t="n"/>
      <c r="D23" s="13" t="n"/>
      <c r="E23" s="13" t="n"/>
      <c r="F23" s="13" t="n"/>
      <c r="G23" s="13" t="n"/>
      <c r="H23" s="13" t="n"/>
      <c r="I23" s="13" t="n"/>
      <c r="J23" s="13" t="n"/>
      <c r="K23" s="13" t="n"/>
      <c r="L23" s="14">
        <f>COUNTIF('Asset Inventory'!$I$4:$I$103,A23)</f>
        <v/>
      </c>
      <c r="M23" s="13" t="n"/>
    </row>
    <row r="24">
      <c r="A24" s="13" t="n"/>
      <c r="B24" s="13" t="n"/>
      <c r="C24" s="13" t="n"/>
      <c r="D24" s="13" t="n"/>
      <c r="E24" s="13" t="n"/>
      <c r="F24" s="13" t="n"/>
      <c r="G24" s="13" t="n"/>
      <c r="H24" s="13" t="n"/>
      <c r="I24" s="13" t="n"/>
      <c r="J24" s="13" t="n"/>
      <c r="K24" s="13" t="n"/>
      <c r="L24" s="14">
        <f>COUNTIF('Asset Inventory'!$I$4:$I$103,A24)</f>
        <v/>
      </c>
      <c r="M24" s="13" t="n"/>
    </row>
    <row r="25">
      <c r="A25" s="13" t="n"/>
      <c r="B25" s="13" t="n"/>
      <c r="C25" s="13" t="n"/>
      <c r="D25" s="13" t="n"/>
      <c r="E25" s="13" t="n"/>
      <c r="F25" s="13" t="n"/>
      <c r="G25" s="13" t="n"/>
      <c r="H25" s="13" t="n"/>
      <c r="I25" s="13" t="n"/>
      <c r="J25" s="13" t="n"/>
      <c r="K25" s="13" t="n"/>
      <c r="L25" s="14">
        <f>COUNTIF('Asset Inventory'!$I$4:$I$103,A25)</f>
        <v/>
      </c>
      <c r="M25" s="13" t="n"/>
    </row>
    <row r="26">
      <c r="A26" s="13" t="n"/>
      <c r="B26" s="13" t="n"/>
      <c r="C26" s="13" t="n"/>
      <c r="D26" s="13" t="n"/>
      <c r="E26" s="13" t="n"/>
      <c r="F26" s="13" t="n"/>
      <c r="G26" s="13" t="n"/>
      <c r="H26" s="13" t="n"/>
      <c r="I26" s="13" t="n"/>
      <c r="J26" s="13" t="n"/>
      <c r="K26" s="13" t="n"/>
      <c r="L26" s="14">
        <f>COUNTIF('Asset Inventory'!$I$4:$I$103,A26)</f>
        <v/>
      </c>
      <c r="M26" s="13" t="n"/>
    </row>
    <row r="27">
      <c r="A27" s="13" t="n"/>
      <c r="B27" s="13" t="n"/>
      <c r="C27" s="13" t="n"/>
      <c r="D27" s="13" t="n"/>
      <c r="E27" s="13" t="n"/>
      <c r="F27" s="13" t="n"/>
      <c r="G27" s="13" t="n"/>
      <c r="H27" s="13" t="n"/>
      <c r="I27" s="13" t="n"/>
      <c r="J27" s="13" t="n"/>
      <c r="K27" s="13" t="n"/>
      <c r="L27" s="14">
        <f>COUNTIF('Asset Inventory'!$I$4:$I$103,A27)</f>
        <v/>
      </c>
      <c r="M27" s="13" t="n"/>
    </row>
    <row r="28">
      <c r="A28" s="13" t="n"/>
      <c r="B28" s="13" t="n"/>
      <c r="C28" s="13" t="n"/>
      <c r="D28" s="13" t="n"/>
      <c r="E28" s="13" t="n"/>
      <c r="F28" s="13" t="n"/>
      <c r="G28" s="13" t="n"/>
      <c r="H28" s="13" t="n"/>
      <c r="I28" s="13" t="n"/>
      <c r="J28" s="13" t="n"/>
      <c r="K28" s="13" t="n"/>
      <c r="L28" s="14">
        <f>COUNTIF('Asset Inventory'!$I$4:$I$103,A28)</f>
        <v/>
      </c>
      <c r="M28" s="13" t="n"/>
    </row>
    <row r="29">
      <c r="A29" s="13" t="n"/>
      <c r="B29" s="13" t="n"/>
      <c r="C29" s="13" t="n"/>
      <c r="D29" s="13" t="n"/>
      <c r="E29" s="13" t="n"/>
      <c r="F29" s="13" t="n"/>
      <c r="G29" s="13" t="n"/>
      <c r="H29" s="13" t="n"/>
      <c r="I29" s="13" t="n"/>
      <c r="J29" s="13" t="n"/>
      <c r="K29" s="13" t="n"/>
      <c r="L29" s="14">
        <f>COUNTIF('Asset Inventory'!$I$4:$I$103,A29)</f>
        <v/>
      </c>
      <c r="M29" s="13" t="n"/>
    </row>
    <row r="30">
      <c r="A30" s="13" t="n"/>
      <c r="B30" s="13" t="n"/>
      <c r="C30" s="13" t="n"/>
      <c r="D30" s="13" t="n"/>
      <c r="E30" s="13" t="n"/>
      <c r="F30" s="13" t="n"/>
      <c r="G30" s="13" t="n"/>
      <c r="H30" s="13" t="n"/>
      <c r="I30" s="13" t="n"/>
      <c r="J30" s="13" t="n"/>
      <c r="K30" s="13" t="n"/>
      <c r="L30" s="14">
        <f>COUNTIF('Asset Inventory'!$I$4:$I$103,A30)</f>
        <v/>
      </c>
      <c r="M30" s="13" t="n"/>
    </row>
    <row r="31">
      <c r="A31" s="13" t="n"/>
      <c r="B31" s="13" t="n"/>
      <c r="C31" s="13" t="n"/>
      <c r="D31" s="13" t="n"/>
      <c r="E31" s="13" t="n"/>
      <c r="F31" s="13" t="n"/>
      <c r="G31" s="13" t="n"/>
      <c r="H31" s="13" t="n"/>
      <c r="I31" s="13" t="n"/>
      <c r="J31" s="13" t="n"/>
      <c r="K31" s="13" t="n"/>
      <c r="L31" s="14">
        <f>COUNTIF('Asset Inventory'!$I$4:$I$103,A31)</f>
        <v/>
      </c>
      <c r="M31" s="13" t="n"/>
    </row>
    <row r="32">
      <c r="A32" s="13" t="n"/>
      <c r="B32" s="13" t="n"/>
      <c r="C32" s="13" t="n"/>
      <c r="D32" s="13" t="n"/>
      <c r="E32" s="13" t="n"/>
      <c r="F32" s="13" t="n"/>
      <c r="G32" s="13" t="n"/>
      <c r="H32" s="13" t="n"/>
      <c r="I32" s="13" t="n"/>
      <c r="J32" s="13" t="n"/>
      <c r="K32" s="13" t="n"/>
      <c r="L32" s="14">
        <f>COUNTIF('Asset Inventory'!$I$4:$I$103,A32)</f>
        <v/>
      </c>
      <c r="M32" s="13" t="n"/>
    </row>
    <row r="33">
      <c r="A33" s="13" t="n"/>
      <c r="B33" s="13" t="n"/>
      <c r="C33" s="13" t="n"/>
      <c r="D33" s="13" t="n"/>
      <c r="E33" s="13" t="n"/>
      <c r="F33" s="13" t="n"/>
      <c r="G33" s="13" t="n"/>
      <c r="H33" s="13" t="n"/>
      <c r="I33" s="13" t="n"/>
      <c r="J33" s="13" t="n"/>
      <c r="K33" s="13" t="n"/>
      <c r="L33" s="14">
        <f>COUNTIF('Asset Inventory'!$I$4:$I$103,A33)</f>
        <v/>
      </c>
      <c r="M33" s="13" t="n"/>
    </row>
    <row r="34">
      <c r="A34" s="13" t="n"/>
      <c r="B34" s="13" t="n"/>
      <c r="C34" s="13" t="n"/>
      <c r="D34" s="13" t="n"/>
      <c r="E34" s="13" t="n"/>
      <c r="F34" s="13" t="n"/>
      <c r="G34" s="13" t="n"/>
      <c r="H34" s="13" t="n"/>
      <c r="I34" s="13" t="n"/>
      <c r="J34" s="13" t="n"/>
      <c r="K34" s="13" t="n"/>
      <c r="L34" s="14">
        <f>COUNTIF('Asset Inventory'!$I$4:$I$103,A34)</f>
        <v/>
      </c>
      <c r="M34" s="13" t="n"/>
    </row>
    <row r="35">
      <c r="A35" s="13" t="n"/>
      <c r="B35" s="13" t="n"/>
      <c r="C35" s="13" t="n"/>
      <c r="D35" s="13" t="n"/>
      <c r="E35" s="13" t="n"/>
      <c r="F35" s="13" t="n"/>
      <c r="G35" s="13" t="n"/>
      <c r="H35" s="13" t="n"/>
      <c r="I35" s="13" t="n"/>
      <c r="J35" s="13" t="n"/>
      <c r="K35" s="13" t="n"/>
      <c r="L35" s="14">
        <f>COUNTIF('Asset Inventory'!$I$4:$I$103,A35)</f>
        <v/>
      </c>
      <c r="M35" s="13" t="n"/>
    </row>
    <row r="36">
      <c r="A36" s="13" t="n"/>
      <c r="B36" s="13" t="n"/>
      <c r="C36" s="13" t="n"/>
      <c r="D36" s="13" t="n"/>
      <c r="E36" s="13" t="n"/>
      <c r="F36" s="13" t="n"/>
      <c r="G36" s="13" t="n"/>
      <c r="H36" s="13" t="n"/>
      <c r="I36" s="13" t="n"/>
      <c r="J36" s="13" t="n"/>
      <c r="K36" s="13" t="n"/>
      <c r="L36" s="14">
        <f>COUNTIF('Asset Inventory'!$I$4:$I$103,A36)</f>
        <v/>
      </c>
      <c r="M36" s="13" t="n"/>
    </row>
    <row r="37">
      <c r="A37" s="13" t="n"/>
      <c r="B37" s="13" t="n"/>
      <c r="C37" s="13" t="n"/>
      <c r="D37" s="13" t="n"/>
      <c r="E37" s="13" t="n"/>
      <c r="F37" s="13" t="n"/>
      <c r="G37" s="13" t="n"/>
      <c r="H37" s="13" t="n"/>
      <c r="I37" s="13" t="n"/>
      <c r="J37" s="13" t="n"/>
      <c r="K37" s="13" t="n"/>
      <c r="L37" s="14">
        <f>COUNTIF('Asset Inventory'!$I$4:$I$103,A37)</f>
        <v/>
      </c>
      <c r="M37" s="13" t="n"/>
    </row>
    <row r="38">
      <c r="A38" s="13" t="n"/>
      <c r="B38" s="13" t="n"/>
      <c r="C38" s="13" t="n"/>
      <c r="D38" s="13" t="n"/>
      <c r="E38" s="13" t="n"/>
      <c r="F38" s="13" t="n"/>
      <c r="G38" s="13" t="n"/>
      <c r="H38" s="13" t="n"/>
      <c r="I38" s="13" t="n"/>
      <c r="J38" s="13" t="n"/>
      <c r="K38" s="13" t="n"/>
      <c r="L38" s="14">
        <f>COUNTIF('Asset Inventory'!$I$4:$I$103,A38)</f>
        <v/>
      </c>
      <c r="M38" s="13" t="n"/>
    </row>
    <row r="39">
      <c r="A39" s="13" t="n"/>
      <c r="B39" s="13" t="n"/>
      <c r="C39" s="13" t="n"/>
      <c r="D39" s="13" t="n"/>
      <c r="E39" s="13" t="n"/>
      <c r="F39" s="13" t="n"/>
      <c r="G39" s="13" t="n"/>
      <c r="H39" s="13" t="n"/>
      <c r="I39" s="13" t="n"/>
      <c r="J39" s="13" t="n"/>
      <c r="K39" s="13" t="n"/>
      <c r="L39" s="14">
        <f>COUNTIF('Asset Inventory'!$I$4:$I$103,A39)</f>
        <v/>
      </c>
      <c r="M39" s="13" t="n"/>
    </row>
    <row r="40">
      <c r="A40" s="13" t="n"/>
      <c r="B40" s="13" t="n"/>
      <c r="C40" s="13" t="n"/>
      <c r="D40" s="13" t="n"/>
      <c r="E40" s="13" t="n"/>
      <c r="F40" s="13" t="n"/>
      <c r="G40" s="13" t="n"/>
      <c r="H40" s="13" t="n"/>
      <c r="I40" s="13" t="n"/>
      <c r="J40" s="13" t="n"/>
      <c r="K40" s="13" t="n"/>
      <c r="L40" s="14">
        <f>COUNTIF('Asset Inventory'!$I$4:$I$103,A40)</f>
        <v/>
      </c>
      <c r="M40" s="13" t="n"/>
    </row>
    <row r="41">
      <c r="A41" s="13" t="n"/>
      <c r="B41" s="13" t="n"/>
      <c r="C41" s="13" t="n"/>
      <c r="D41" s="13" t="n"/>
      <c r="E41" s="13" t="n"/>
      <c r="F41" s="13" t="n"/>
      <c r="G41" s="13" t="n"/>
      <c r="H41" s="13" t="n"/>
      <c r="I41" s="13" t="n"/>
      <c r="J41" s="13" t="n"/>
      <c r="K41" s="13" t="n"/>
      <c r="L41" s="14">
        <f>COUNTIF('Asset Inventory'!$I$4:$I$103,A41)</f>
        <v/>
      </c>
      <c r="M41" s="13" t="n"/>
    </row>
    <row r="42">
      <c r="A42" s="13" t="n"/>
      <c r="B42" s="13" t="n"/>
      <c r="C42" s="13" t="n"/>
      <c r="D42" s="13" t="n"/>
      <c r="E42" s="13" t="n"/>
      <c r="F42" s="13" t="n"/>
      <c r="G42" s="13" t="n"/>
      <c r="H42" s="13" t="n"/>
      <c r="I42" s="13" t="n"/>
      <c r="J42" s="13" t="n"/>
      <c r="K42" s="13" t="n"/>
      <c r="L42" s="14">
        <f>COUNTIF('Asset Inventory'!$I$4:$I$103,A42)</f>
        <v/>
      </c>
      <c r="M42" s="13" t="n"/>
    </row>
    <row r="43">
      <c r="A43" s="13" t="n"/>
      <c r="B43" s="13" t="n"/>
      <c r="C43" s="13" t="n"/>
      <c r="D43" s="13" t="n"/>
      <c r="E43" s="13" t="n"/>
      <c r="F43" s="13" t="n"/>
      <c r="G43" s="13" t="n"/>
      <c r="H43" s="13" t="n"/>
      <c r="I43" s="13" t="n"/>
      <c r="J43" s="13" t="n"/>
      <c r="K43" s="13" t="n"/>
      <c r="L43" s="14">
        <f>COUNTIF('Asset Inventory'!$I$4:$I$103,A43)</f>
        <v/>
      </c>
      <c r="M43" s="13" t="n"/>
    </row>
    <row r="44">
      <c r="A44" s="13" t="n"/>
      <c r="B44" s="13" t="n"/>
      <c r="C44" s="13" t="n"/>
      <c r="D44" s="13" t="n"/>
      <c r="E44" s="13" t="n"/>
      <c r="F44" s="13" t="n"/>
      <c r="G44" s="13" t="n"/>
      <c r="H44" s="13" t="n"/>
      <c r="I44" s="13" t="n"/>
      <c r="J44" s="13" t="n"/>
      <c r="K44" s="13" t="n"/>
      <c r="L44" s="14">
        <f>COUNTIF('Asset Inventory'!$I$4:$I$103,A44)</f>
        <v/>
      </c>
      <c r="M44" s="13" t="n"/>
    </row>
    <row r="45">
      <c r="A45" s="13" t="n"/>
      <c r="B45" s="13" t="n"/>
      <c r="C45" s="13" t="n"/>
      <c r="D45" s="13" t="n"/>
      <c r="E45" s="13" t="n"/>
      <c r="F45" s="13" t="n"/>
      <c r="G45" s="13" t="n"/>
      <c r="H45" s="13" t="n"/>
      <c r="I45" s="13" t="n"/>
      <c r="J45" s="13" t="n"/>
      <c r="K45" s="13" t="n"/>
      <c r="L45" s="14">
        <f>COUNTIF('Asset Inventory'!$I$4:$I$103,A45)</f>
        <v/>
      </c>
      <c r="M45" s="13" t="n"/>
    </row>
    <row r="46">
      <c r="A46" s="13" t="n"/>
      <c r="B46" s="13" t="n"/>
      <c r="C46" s="13" t="n"/>
      <c r="D46" s="13" t="n"/>
      <c r="E46" s="13" t="n"/>
      <c r="F46" s="13" t="n"/>
      <c r="G46" s="13" t="n"/>
      <c r="H46" s="13" t="n"/>
      <c r="I46" s="13" t="n"/>
      <c r="J46" s="13" t="n"/>
      <c r="K46" s="13" t="n"/>
      <c r="L46" s="14">
        <f>COUNTIF('Asset Inventory'!$I$4:$I$103,A46)</f>
        <v/>
      </c>
      <c r="M46" s="13" t="n"/>
    </row>
    <row r="47">
      <c r="A47" s="13" t="n"/>
      <c r="B47" s="13" t="n"/>
      <c r="C47" s="13" t="n"/>
      <c r="D47" s="13" t="n"/>
      <c r="E47" s="13" t="n"/>
      <c r="F47" s="13" t="n"/>
      <c r="G47" s="13" t="n"/>
      <c r="H47" s="13" t="n"/>
      <c r="I47" s="13" t="n"/>
      <c r="J47" s="13" t="n"/>
      <c r="K47" s="13" t="n"/>
      <c r="L47" s="14">
        <f>COUNTIF('Asset Inventory'!$I$4:$I$103,A47)</f>
        <v/>
      </c>
      <c r="M47" s="13" t="n"/>
    </row>
    <row r="48">
      <c r="A48" s="13" t="n"/>
      <c r="B48" s="13" t="n"/>
      <c r="C48" s="13" t="n"/>
      <c r="D48" s="13" t="n"/>
      <c r="E48" s="13" t="n"/>
      <c r="F48" s="13" t="n"/>
      <c r="G48" s="13" t="n"/>
      <c r="H48" s="13" t="n"/>
      <c r="I48" s="13" t="n"/>
      <c r="J48" s="13" t="n"/>
      <c r="K48" s="13" t="n"/>
      <c r="L48" s="14">
        <f>COUNTIF('Asset Inventory'!$I$4:$I$103,A48)</f>
        <v/>
      </c>
      <c r="M48" s="13" t="n"/>
    </row>
    <row r="49">
      <c r="A49" s="13" t="n"/>
      <c r="B49" s="13" t="n"/>
      <c r="C49" s="13" t="n"/>
      <c r="D49" s="13" t="n"/>
      <c r="E49" s="13" t="n"/>
      <c r="F49" s="13" t="n"/>
      <c r="G49" s="13" t="n"/>
      <c r="H49" s="13" t="n"/>
      <c r="I49" s="13" t="n"/>
      <c r="J49" s="13" t="n"/>
      <c r="K49" s="13" t="n"/>
      <c r="L49" s="14">
        <f>COUNTIF('Asset Inventory'!$I$4:$I$103,A49)</f>
        <v/>
      </c>
      <c r="M49" s="13" t="n"/>
    </row>
    <row r="50">
      <c r="A50" s="13" t="n"/>
      <c r="B50" s="13" t="n"/>
      <c r="C50" s="13" t="n"/>
      <c r="D50" s="13" t="n"/>
      <c r="E50" s="13" t="n"/>
      <c r="F50" s="13" t="n"/>
      <c r="G50" s="13" t="n"/>
      <c r="H50" s="13" t="n"/>
      <c r="I50" s="13" t="n"/>
      <c r="J50" s="13" t="n"/>
      <c r="K50" s="13" t="n"/>
      <c r="L50" s="14">
        <f>COUNTIF('Asset Inventory'!$I$4:$I$103,A50)</f>
        <v/>
      </c>
      <c r="M50" s="13" t="n"/>
    </row>
    <row r="51">
      <c r="A51" s="13" t="n"/>
      <c r="B51" s="13" t="n"/>
      <c r="C51" s="13" t="n"/>
      <c r="D51" s="13" t="n"/>
      <c r="E51" s="13" t="n"/>
      <c r="F51" s="13" t="n"/>
      <c r="G51" s="13" t="n"/>
      <c r="H51" s="13" t="n"/>
      <c r="I51" s="13" t="n"/>
      <c r="J51" s="13" t="n"/>
      <c r="K51" s="13" t="n"/>
      <c r="L51" s="14">
        <f>COUNTIF('Asset Inventory'!$I$4:$I$103,A51)</f>
        <v/>
      </c>
      <c r="M51" s="13" t="n"/>
    </row>
    <row r="52">
      <c r="A52" s="13" t="n"/>
      <c r="B52" s="13" t="n"/>
      <c r="C52" s="13" t="n"/>
      <c r="D52" s="13" t="n"/>
      <c r="E52" s="13" t="n"/>
      <c r="F52" s="13" t="n"/>
      <c r="G52" s="13" t="n"/>
      <c r="H52" s="13" t="n"/>
      <c r="I52" s="13" t="n"/>
      <c r="J52" s="13" t="n"/>
      <c r="K52" s="13" t="n"/>
      <c r="L52" s="14">
        <f>COUNTIF('Asset Inventory'!$I$4:$I$103,A52)</f>
        <v/>
      </c>
      <c r="M52" s="13" t="n"/>
    </row>
    <row r="53">
      <c r="A53" s="13" t="n"/>
      <c r="B53" s="13" t="n"/>
      <c r="C53" s="13" t="n"/>
      <c r="D53" s="13" t="n"/>
      <c r="E53" s="13" t="n"/>
      <c r="F53" s="13" t="n"/>
      <c r="G53" s="13" t="n"/>
      <c r="H53" s="13" t="n"/>
      <c r="I53" s="13" t="n"/>
      <c r="J53" s="13" t="n"/>
      <c r="K53" s="13" t="n"/>
      <c r="L53" s="14">
        <f>COUNTIF('Asset Inventory'!$I$4:$I$103,A53)</f>
        <v/>
      </c>
      <c r="M53" s="13" t="n"/>
    </row>
    <row r="54">
      <c r="A54" s="13" t="n"/>
      <c r="B54" s="13" t="n"/>
      <c r="C54" s="13" t="n"/>
      <c r="D54" s="13" t="n"/>
      <c r="E54" s="13" t="n"/>
      <c r="F54" s="13" t="n"/>
      <c r="G54" s="13" t="n"/>
      <c r="H54" s="13" t="n"/>
      <c r="I54" s="13" t="n"/>
      <c r="J54" s="13" t="n"/>
      <c r="K54" s="13" t="n"/>
      <c r="L54" s="14">
        <f>COUNTIF('Asset Inventory'!$I$4:$I$103,A54)</f>
        <v/>
      </c>
      <c r="M54" s="13" t="n"/>
    </row>
  </sheetData>
  <mergeCells count="1">
    <mergeCell ref="A1:M1"/>
  </mergeCells>
  <conditionalFormatting sqref="F4:F54">
    <cfRule type="cellIs" priority="1" operator="equal" dxfId="0">
      <formula>"Approved"</formula>
    </cfRule>
    <cfRule type="cellIs" priority="2" operator="equal" dxfId="1">
      <formula>"Pending Review"</formula>
    </cfRule>
    <cfRule type="cellIs" priority="3" operator="equal" dxfId="2">
      <formula>"Rejected"</formula>
    </cfRule>
  </conditionalFormatting>
  <dataValidations count="1">
    <dataValidation sqref="F4:F54" showDropDown="0" showInputMessage="0" showErrorMessage="0" allowBlank="0" errorTitle="Invalid Entry" error="Invalid entry" promptTitle="Selection Required" prompt="Please select from the dropdown" type="list">
      <formula1>"✅ Approved,⏳ Pending Review,❌ Rejected,Draft"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20" customWidth="1" min="2" max="2"/>
    <col width="12" customWidth="1" min="3" max="3"/>
    <col width="15" customWidth="1" min="4" max="4"/>
    <col width="15" customWidth="1" min="5" max="5"/>
    <col width="15" customWidth="1" min="6" max="6"/>
    <col width="12" customWidth="1" min="7" max="7"/>
    <col width="12" customWidth="1" min="8" max="8"/>
    <col width="12" customWidth="1" min="9" max="9"/>
    <col width="15" customWidth="1" min="10" max="10"/>
    <col width="15" customWidth="1" min="11" max="11"/>
    <col width="40" customWidth="1" min="12" max="12"/>
  </cols>
  <sheetData>
    <row r="1" ht="35" customHeight="1">
      <c r="A1" s="11" t="inlineStr">
        <is>
          <t>BASELINE COVERAGE MATRIX BY ASSET TYPE</t>
        </is>
      </c>
    </row>
    <row r="2">
      <c r="A2" s="12" t="inlineStr">
        <is>
          <t>Asset Type</t>
        </is>
      </c>
      <c r="B2" s="12" t="inlineStr">
        <is>
          <t>Asset Category</t>
        </is>
      </c>
      <c r="C2" s="12" t="inlineStr">
        <is>
          <t>Total Assets</t>
        </is>
      </c>
      <c r="D2" s="12" t="inlineStr">
        <is>
          <t>Assets with Baselines</t>
        </is>
      </c>
      <c r="E2" s="12" t="inlineStr">
        <is>
          <t>Assets In Progress</t>
        </is>
      </c>
      <c r="F2" s="12" t="inlineStr">
        <is>
          <t>Assets Not Started</t>
        </is>
      </c>
      <c r="G2" s="12" t="inlineStr">
        <is>
          <t>Assets N/A</t>
        </is>
      </c>
      <c r="H2" s="12" t="inlineStr">
        <is>
          <t>Coverage %</t>
        </is>
      </c>
      <c r="I2" s="12" t="inlineStr">
        <is>
          <t>Critical Assets Count</t>
        </is>
      </c>
      <c r="J2" s="12" t="inlineStr">
        <is>
          <t>Critical Coverage %</t>
        </is>
      </c>
      <c r="K2" s="12" t="inlineStr">
        <is>
          <t>Status</t>
        </is>
      </c>
      <c r="L2" s="12" t="inlineStr">
        <is>
          <t>Gap Analysis</t>
        </is>
      </c>
    </row>
    <row r="3">
      <c r="A3" s="14" t="inlineStr">
        <is>
          <t>Physical Server</t>
        </is>
      </c>
      <c r="B3" s="14" t="inlineStr">
        <is>
          <t>Infrastructure</t>
        </is>
      </c>
      <c r="C3" s="14">
        <f>COUNTIF('Asset Inventory'!$C$3:$C$102,A3)</f>
        <v/>
      </c>
      <c r="D3" s="14">
        <f>COUNTIFS('Asset Inventory'!$C$3:$C$102,A3,'Asset Inventory'!$H$3:$H$102,"✅ Defined")</f>
        <v/>
      </c>
      <c r="E3" s="14">
        <f>COUNTIFS('Asset Inventory'!$C$3:$C$102,A3,'Asset Inventory'!$H$3:$H$102,"⏳ In Progress")</f>
        <v/>
      </c>
      <c r="F3" s="14">
        <f>COUNTIFS('Asset Inventory'!$C$3:$C$102,A3,'Asset Inventory'!$H$3:$H$102,"❌ Not Started")</f>
        <v/>
      </c>
      <c r="G3" s="14">
        <f>COUNTIFS('Asset Inventory'!$C$3:$C$102,A3,'Asset Inventory'!$H$3:$H$102,"➖ N/A")</f>
        <v/>
      </c>
      <c r="H3" s="15">
        <f>IF((C3-G3)=0,0,D3/(C3-G3)*100)</f>
        <v/>
      </c>
      <c r="I3" s="14">
        <f>COUNTIFS('Asset Inventory'!$C$3:$C$102,A3,'Asset Inventory'!$E$3:$E$102,"Critical")</f>
        <v/>
      </c>
      <c r="J3" s="15">
        <f>IF(I3=0,0,COUNTIFS('Asset Inventory'!$C$3:$C$102,A3,'Asset Inventory'!$E$3:$E$102,"Critical",'Asset Inventory'!$H$3:$H$102,"✅ Defined")/I3*100)</f>
        <v/>
      </c>
      <c r="K3" s="14">
        <f>IF(H3&gt;=90,"✅ Compliant",IF(H3&gt;=60,"⚠️ Partial","❌ Non-Compliant"))</f>
        <v/>
      </c>
      <c r="L3" s="14">
        <f>IF(ISNUMBER(SEARCH("Compliant",K3)),"✅ Coverage target met",IF(F3&gt;0,F3&amp;" assets need baselines started","⏳ Review in-progress baselines"))</f>
        <v/>
      </c>
    </row>
    <row r="4">
      <c r="A4" s="14" t="inlineStr">
        <is>
          <t>Virtual Machine (VM)</t>
        </is>
      </c>
      <c r="B4" s="14" t="inlineStr">
        <is>
          <t>Infrastructure</t>
        </is>
      </c>
      <c r="C4" s="14">
        <f>COUNTIF('Asset Inventory'!$C$3:$C$102,A4)</f>
        <v/>
      </c>
      <c r="D4" s="14">
        <f>COUNTIFS('Asset Inventory'!$C$3:$C$102,A4,'Asset Inventory'!$H$3:$H$102,"✅ Defined")</f>
        <v/>
      </c>
      <c r="E4" s="14">
        <f>COUNTIFS('Asset Inventory'!$C$3:$C$102,A4,'Asset Inventory'!$H$3:$H$102,"⏳ In Progress")</f>
        <v/>
      </c>
      <c r="F4" s="14">
        <f>COUNTIFS('Asset Inventory'!$C$3:$C$102,A4,'Asset Inventory'!$H$3:$H$102,"❌ Not Started")</f>
        <v/>
      </c>
      <c r="G4" s="14">
        <f>COUNTIFS('Asset Inventory'!$C$3:$C$102,A4,'Asset Inventory'!$H$3:$H$102,"➖ N/A")</f>
        <v/>
      </c>
      <c r="H4" s="15">
        <f>IF((C4-G4)=0,0,D4/(C4-G4)*100)</f>
        <v/>
      </c>
      <c r="I4" s="14">
        <f>COUNTIFS('Asset Inventory'!$C$3:$C$102,A4,'Asset Inventory'!$E$3:$E$102,"Critical")</f>
        <v/>
      </c>
      <c r="J4" s="15">
        <f>IF(I4=0,0,COUNTIFS('Asset Inventory'!$C$3:$C$102,A4,'Asset Inventory'!$E$3:$E$102,"Critical",'Asset Inventory'!$H$3:$H$102,"✅ Defined")/I4*100)</f>
        <v/>
      </c>
      <c r="K4" s="14">
        <f>IF(H4&gt;=90,"✅ Compliant",IF(H4&gt;=60,"⚠️ Partial","❌ Non-Compliant"))</f>
        <v/>
      </c>
      <c r="L4" s="14">
        <f>IF(ISNUMBER(SEARCH("Compliant",K4)),"✅ Coverage target met",IF(F4&gt;0,F4&amp;" assets need baselines started","⏳ Review in-progress baselines"))</f>
        <v/>
      </c>
    </row>
    <row r="5">
      <c r="A5" s="14" t="inlineStr">
        <is>
          <t>Hypervisor</t>
        </is>
      </c>
      <c r="B5" s="14" t="inlineStr">
        <is>
          <t>Infrastructure</t>
        </is>
      </c>
      <c r="C5" s="14">
        <f>COUNTIF('Asset Inventory'!$C$3:$C$102,A5)</f>
        <v/>
      </c>
      <c r="D5" s="14">
        <f>COUNTIFS('Asset Inventory'!$C$3:$C$102,A5,'Asset Inventory'!$H$3:$H$102,"✅ Defined")</f>
        <v/>
      </c>
      <c r="E5" s="14">
        <f>COUNTIFS('Asset Inventory'!$C$3:$C$102,A5,'Asset Inventory'!$H$3:$H$102,"⏳ In Progress")</f>
        <v/>
      </c>
      <c r="F5" s="14">
        <f>COUNTIFS('Asset Inventory'!$C$3:$C$102,A5,'Asset Inventory'!$H$3:$H$102,"❌ Not Started")</f>
        <v/>
      </c>
      <c r="G5" s="14">
        <f>COUNTIFS('Asset Inventory'!$C$3:$C$102,A5,'Asset Inventory'!$H$3:$H$102,"➖ N/A")</f>
        <v/>
      </c>
      <c r="H5" s="15">
        <f>IF((C5-G5)=0,0,D5/(C5-G5)*100)</f>
        <v/>
      </c>
      <c r="I5" s="14">
        <f>COUNTIFS('Asset Inventory'!$C$3:$C$102,A5,'Asset Inventory'!$E$3:$E$102,"Critical")</f>
        <v/>
      </c>
      <c r="J5" s="15">
        <f>IF(I5=0,0,COUNTIFS('Asset Inventory'!$C$3:$C$102,A5,'Asset Inventory'!$E$3:$E$102,"Critical",'Asset Inventory'!$H$3:$H$102,"✅ Defined")/I5*100)</f>
        <v/>
      </c>
      <c r="K5" s="14">
        <f>IF(H5&gt;=90,"✅ Compliant",IF(H5&gt;=60,"⚠️ Partial","❌ Non-Compliant"))</f>
        <v/>
      </c>
      <c r="L5" s="14">
        <f>IF(ISNUMBER(SEARCH("Compliant",K5)),"✅ Coverage target met",IF(F5&gt;0,F5&amp;" assets need baselines started","⏳ Review in-progress baselines"))</f>
        <v/>
      </c>
    </row>
    <row r="6">
      <c r="A6" s="14" t="inlineStr">
        <is>
          <t>Network Switch</t>
        </is>
      </c>
      <c r="B6" s="14" t="inlineStr">
        <is>
          <t>Infrastructure</t>
        </is>
      </c>
      <c r="C6" s="14">
        <f>COUNTIF('Asset Inventory'!$C$3:$C$102,A6)</f>
        <v/>
      </c>
      <c r="D6" s="14">
        <f>COUNTIFS('Asset Inventory'!$C$3:$C$102,A6,'Asset Inventory'!$H$3:$H$102,"✅ Defined")</f>
        <v/>
      </c>
      <c r="E6" s="14">
        <f>COUNTIFS('Asset Inventory'!$C$3:$C$102,A6,'Asset Inventory'!$H$3:$H$102,"⏳ In Progress")</f>
        <v/>
      </c>
      <c r="F6" s="14">
        <f>COUNTIFS('Asset Inventory'!$C$3:$C$102,A6,'Asset Inventory'!$H$3:$H$102,"❌ Not Started")</f>
        <v/>
      </c>
      <c r="G6" s="14">
        <f>COUNTIFS('Asset Inventory'!$C$3:$C$102,A6,'Asset Inventory'!$H$3:$H$102,"➖ N/A")</f>
        <v/>
      </c>
      <c r="H6" s="15">
        <f>IF((C6-G6)=0,0,D6/(C6-G6)*100)</f>
        <v/>
      </c>
      <c r="I6" s="14">
        <f>COUNTIFS('Asset Inventory'!$C$3:$C$102,A6,'Asset Inventory'!$E$3:$E$102,"Critical")</f>
        <v/>
      </c>
      <c r="J6" s="15">
        <f>IF(I6=0,0,COUNTIFS('Asset Inventory'!$C$3:$C$102,A6,'Asset Inventory'!$E$3:$E$102,"Critical",'Asset Inventory'!$H$3:$H$102,"✅ Defined")/I6*100)</f>
        <v/>
      </c>
      <c r="K6" s="14">
        <f>IF(H6&gt;=90,"✅ Compliant",IF(H6&gt;=60,"⚠️ Partial","❌ Non-Compliant"))</f>
        <v/>
      </c>
      <c r="L6" s="14">
        <f>IF(ISNUMBER(SEARCH("Compliant",K6)),"✅ Coverage target met",IF(F6&gt;0,F6&amp;" assets need baselines started","⏳ Review in-progress baselines"))</f>
        <v/>
      </c>
    </row>
    <row r="7">
      <c r="A7" s="14" t="inlineStr">
        <is>
          <t>Network Router</t>
        </is>
      </c>
      <c r="B7" s="14" t="inlineStr">
        <is>
          <t>Infrastructure</t>
        </is>
      </c>
      <c r="C7" s="14">
        <f>COUNTIF('Asset Inventory'!$C$3:$C$102,A7)</f>
        <v/>
      </c>
      <c r="D7" s="14">
        <f>COUNTIFS('Asset Inventory'!$C$3:$C$102,A7,'Asset Inventory'!$H$3:$H$102,"✅ Defined")</f>
        <v/>
      </c>
      <c r="E7" s="14">
        <f>COUNTIFS('Asset Inventory'!$C$3:$C$102,A7,'Asset Inventory'!$H$3:$H$102,"⏳ In Progress")</f>
        <v/>
      </c>
      <c r="F7" s="14">
        <f>COUNTIFS('Asset Inventory'!$C$3:$C$102,A7,'Asset Inventory'!$H$3:$H$102,"❌ Not Started")</f>
        <v/>
      </c>
      <c r="G7" s="14">
        <f>COUNTIFS('Asset Inventory'!$C$3:$C$102,A7,'Asset Inventory'!$H$3:$H$102,"➖ N/A")</f>
        <v/>
      </c>
      <c r="H7" s="15">
        <f>IF((C7-G7)=0,0,D7/(C7-G7)*100)</f>
        <v/>
      </c>
      <c r="I7" s="14">
        <f>COUNTIFS('Asset Inventory'!$C$3:$C$102,A7,'Asset Inventory'!$E$3:$E$102,"Critical")</f>
        <v/>
      </c>
      <c r="J7" s="15">
        <f>IF(I7=0,0,COUNTIFS('Asset Inventory'!$C$3:$C$102,A7,'Asset Inventory'!$E$3:$E$102,"Critical",'Asset Inventory'!$H$3:$H$102,"✅ Defined")/I7*100)</f>
        <v/>
      </c>
      <c r="K7" s="14">
        <f>IF(H7&gt;=90,"✅ Compliant",IF(H7&gt;=60,"⚠️ Partial","❌ Non-Compliant"))</f>
        <v/>
      </c>
      <c r="L7" s="14">
        <f>IF(ISNUMBER(SEARCH("Compliant",K7)),"✅ Coverage target met",IF(F7&gt;0,F7&amp;" assets need baselines started","⏳ Review in-progress baselines"))</f>
        <v/>
      </c>
    </row>
    <row r="8">
      <c r="A8" s="14" t="inlineStr">
        <is>
          <t>Firewall</t>
        </is>
      </c>
      <c r="B8" s="14" t="inlineStr">
        <is>
          <t>Infrastructure</t>
        </is>
      </c>
      <c r="C8" s="14">
        <f>COUNTIF('Asset Inventory'!$C$3:$C$102,A8)</f>
        <v/>
      </c>
      <c r="D8" s="14">
        <f>COUNTIFS('Asset Inventory'!$C$3:$C$102,A8,'Asset Inventory'!$H$3:$H$102,"✅ Defined")</f>
        <v/>
      </c>
      <c r="E8" s="14">
        <f>COUNTIFS('Asset Inventory'!$C$3:$C$102,A8,'Asset Inventory'!$H$3:$H$102,"⏳ In Progress")</f>
        <v/>
      </c>
      <c r="F8" s="14">
        <f>COUNTIFS('Asset Inventory'!$C$3:$C$102,A8,'Asset Inventory'!$H$3:$H$102,"❌ Not Started")</f>
        <v/>
      </c>
      <c r="G8" s="14">
        <f>COUNTIFS('Asset Inventory'!$C$3:$C$102,A8,'Asset Inventory'!$H$3:$H$102,"➖ N/A")</f>
        <v/>
      </c>
      <c r="H8" s="15">
        <f>IF((C8-G8)=0,0,D8/(C8-G8)*100)</f>
        <v/>
      </c>
      <c r="I8" s="14">
        <f>COUNTIFS('Asset Inventory'!$C$3:$C$102,A8,'Asset Inventory'!$E$3:$E$102,"Critical")</f>
        <v/>
      </c>
      <c r="J8" s="15">
        <f>IF(I8=0,0,COUNTIFS('Asset Inventory'!$C$3:$C$102,A8,'Asset Inventory'!$E$3:$E$102,"Critical",'Asset Inventory'!$H$3:$H$102,"✅ Defined")/I8*100)</f>
        <v/>
      </c>
      <c r="K8" s="14">
        <f>IF(H8&gt;=90,"✅ Compliant",IF(H8&gt;=60,"⚠️ Partial","❌ Non-Compliant"))</f>
        <v/>
      </c>
      <c r="L8" s="14">
        <f>IF(ISNUMBER(SEARCH("Compliant",K8)),"✅ Coverage target met",IF(F8&gt;0,F8&amp;" assets need baselines started","⏳ Review in-progress baselines"))</f>
        <v/>
      </c>
    </row>
    <row r="9">
      <c r="A9" s="14" t="inlineStr">
        <is>
          <t>Load Balancer</t>
        </is>
      </c>
      <c r="B9" s="14" t="inlineStr">
        <is>
          <t>Infrastructure</t>
        </is>
      </c>
      <c r="C9" s="14">
        <f>COUNTIF('Asset Inventory'!$C$3:$C$102,A9)</f>
        <v/>
      </c>
      <c r="D9" s="14">
        <f>COUNTIFS('Asset Inventory'!$C$3:$C$102,A9,'Asset Inventory'!$H$3:$H$102,"✅ Defined")</f>
        <v/>
      </c>
      <c r="E9" s="14">
        <f>COUNTIFS('Asset Inventory'!$C$3:$C$102,A9,'Asset Inventory'!$H$3:$H$102,"⏳ In Progress")</f>
        <v/>
      </c>
      <c r="F9" s="14">
        <f>COUNTIFS('Asset Inventory'!$C$3:$C$102,A9,'Asset Inventory'!$H$3:$H$102,"❌ Not Started")</f>
        <v/>
      </c>
      <c r="G9" s="14">
        <f>COUNTIFS('Asset Inventory'!$C$3:$C$102,A9,'Asset Inventory'!$H$3:$H$102,"➖ N/A")</f>
        <v/>
      </c>
      <c r="H9" s="15">
        <f>IF((C9-G9)=0,0,D9/(C9-G9)*100)</f>
        <v/>
      </c>
      <c r="I9" s="14">
        <f>COUNTIFS('Asset Inventory'!$C$3:$C$102,A9,'Asset Inventory'!$E$3:$E$102,"Critical")</f>
        <v/>
      </c>
      <c r="J9" s="15">
        <f>IF(I9=0,0,COUNTIFS('Asset Inventory'!$C$3:$C$102,A9,'Asset Inventory'!$E$3:$E$102,"Critical",'Asset Inventory'!$H$3:$H$102,"✅ Defined")/I9*100)</f>
        <v/>
      </c>
      <c r="K9" s="14">
        <f>IF(H9&gt;=90,"✅ Compliant",IF(H9&gt;=60,"⚠️ Partial","❌ Non-Compliant"))</f>
        <v/>
      </c>
      <c r="L9" s="14">
        <f>IF(ISNUMBER(SEARCH("Compliant",K9)),"✅ Coverage target met",IF(F9&gt;0,F9&amp;" assets need baselines started","⏳ Review in-progress baselines"))</f>
        <v/>
      </c>
    </row>
    <row r="10">
      <c r="A10" s="14" t="inlineStr">
        <is>
          <t>Storage Array (SAN/NAS)</t>
        </is>
      </c>
      <c r="B10" s="14" t="inlineStr">
        <is>
          <t>Infrastructure</t>
        </is>
      </c>
      <c r="C10" s="14">
        <f>COUNTIF('Asset Inventory'!$C$3:$C$102,A10)</f>
        <v/>
      </c>
      <c r="D10" s="14">
        <f>COUNTIFS('Asset Inventory'!$C$3:$C$102,A10,'Asset Inventory'!$H$3:$H$102,"✅ Defined")</f>
        <v/>
      </c>
      <c r="E10" s="14">
        <f>COUNTIFS('Asset Inventory'!$C$3:$C$102,A10,'Asset Inventory'!$H$3:$H$102,"⏳ In Progress")</f>
        <v/>
      </c>
      <c r="F10" s="14">
        <f>COUNTIFS('Asset Inventory'!$C$3:$C$102,A10,'Asset Inventory'!$H$3:$H$102,"❌ Not Started")</f>
        <v/>
      </c>
      <c r="G10" s="14">
        <f>COUNTIFS('Asset Inventory'!$C$3:$C$102,A10,'Asset Inventory'!$H$3:$H$102,"➖ N/A")</f>
        <v/>
      </c>
      <c r="H10" s="15">
        <f>IF((C10-G10)=0,0,D10/(C10-G10)*100)</f>
        <v/>
      </c>
      <c r="I10" s="14">
        <f>COUNTIFS('Asset Inventory'!$C$3:$C$102,A10,'Asset Inventory'!$E$3:$E$102,"Critical")</f>
        <v/>
      </c>
      <c r="J10" s="15">
        <f>IF(I10=0,0,COUNTIFS('Asset Inventory'!$C$3:$C$102,A10,'Asset Inventory'!$E$3:$E$102,"Critical",'Asset Inventory'!$H$3:$H$102,"✅ Defined")/I10*100)</f>
        <v/>
      </c>
      <c r="K10" s="14">
        <f>IF(H10&gt;=90,"✅ Compliant",IF(H10&gt;=60,"⚠️ Partial","❌ Non-Compliant"))</f>
        <v/>
      </c>
      <c r="L10" s="14">
        <f>IF(ISNUMBER(SEARCH("Compliant",K10)),"✅ Coverage target met",IF(F10&gt;0,F10&amp;" assets need baselines started","⏳ Review in-progress baselines"))</f>
        <v/>
      </c>
    </row>
    <row r="11">
      <c r="A11" s="14" t="inlineStr">
        <is>
          <t>Backup Appliance</t>
        </is>
      </c>
      <c r="B11" s="14" t="inlineStr">
        <is>
          <t>Infrastructure</t>
        </is>
      </c>
      <c r="C11" s="14">
        <f>COUNTIF('Asset Inventory'!$C$3:$C$102,A11)</f>
        <v/>
      </c>
      <c r="D11" s="14">
        <f>COUNTIFS('Asset Inventory'!$C$3:$C$102,A11,'Asset Inventory'!$H$3:$H$102,"✅ Defined")</f>
        <v/>
      </c>
      <c r="E11" s="14">
        <f>COUNTIFS('Asset Inventory'!$C$3:$C$102,A11,'Asset Inventory'!$H$3:$H$102,"⏳ In Progress")</f>
        <v/>
      </c>
      <c r="F11" s="14">
        <f>COUNTIFS('Asset Inventory'!$C$3:$C$102,A11,'Asset Inventory'!$H$3:$H$102,"❌ Not Started")</f>
        <v/>
      </c>
      <c r="G11" s="14">
        <f>COUNTIFS('Asset Inventory'!$C$3:$C$102,A11,'Asset Inventory'!$H$3:$H$102,"➖ N/A")</f>
        <v/>
      </c>
      <c r="H11" s="15">
        <f>IF((C11-G11)=0,0,D11/(C11-G11)*100)</f>
        <v/>
      </c>
      <c r="I11" s="14">
        <f>COUNTIFS('Asset Inventory'!$C$3:$C$102,A11,'Asset Inventory'!$E$3:$E$102,"Critical")</f>
        <v/>
      </c>
      <c r="J11" s="15">
        <f>IF(I11=0,0,COUNTIFS('Asset Inventory'!$C$3:$C$102,A11,'Asset Inventory'!$E$3:$E$102,"Critical",'Asset Inventory'!$H$3:$H$102,"✅ Defined")/I11*100)</f>
        <v/>
      </c>
      <c r="K11" s="14">
        <f>IF(H11&gt;=90,"✅ Compliant",IF(H11&gt;=60,"⚠️ Partial","❌ Non-Compliant"))</f>
        <v/>
      </c>
      <c r="L11" s="14">
        <f>IF(ISNUMBER(SEARCH("Compliant",K11)),"✅ Coverage target met",IF(F11&gt;0,F11&amp;" assets need baselines started","⏳ Review in-progress baselines"))</f>
        <v/>
      </c>
    </row>
    <row r="12">
      <c r="A12" s="14" t="inlineStr">
        <is>
          <t>UPS/Power Distribution</t>
        </is>
      </c>
      <c r="B12" s="14" t="inlineStr">
        <is>
          <t>Infrastructure</t>
        </is>
      </c>
      <c r="C12" s="14">
        <f>COUNTIF('Asset Inventory'!$C$3:$C$102,A12)</f>
        <v/>
      </c>
      <c r="D12" s="14">
        <f>COUNTIFS('Asset Inventory'!$C$3:$C$102,A12,'Asset Inventory'!$H$3:$H$102,"✅ Defined")</f>
        <v/>
      </c>
      <c r="E12" s="14">
        <f>COUNTIFS('Asset Inventory'!$C$3:$C$102,A12,'Asset Inventory'!$H$3:$H$102,"⏳ In Progress")</f>
        <v/>
      </c>
      <c r="F12" s="14">
        <f>COUNTIFS('Asset Inventory'!$C$3:$C$102,A12,'Asset Inventory'!$H$3:$H$102,"❌ Not Started")</f>
        <v/>
      </c>
      <c r="G12" s="14">
        <f>COUNTIFS('Asset Inventory'!$C$3:$C$102,A12,'Asset Inventory'!$H$3:$H$102,"➖ N/A")</f>
        <v/>
      </c>
      <c r="H12" s="15">
        <f>IF((C12-G12)=0,0,D12/(C12-G12)*100)</f>
        <v/>
      </c>
      <c r="I12" s="14">
        <f>COUNTIFS('Asset Inventory'!$C$3:$C$102,A12,'Asset Inventory'!$E$3:$E$102,"Critical")</f>
        <v/>
      </c>
      <c r="J12" s="15">
        <f>IF(I12=0,0,COUNTIFS('Asset Inventory'!$C$3:$C$102,A12,'Asset Inventory'!$E$3:$E$102,"Critical",'Asset Inventory'!$H$3:$H$102,"✅ Defined")/I12*100)</f>
        <v/>
      </c>
      <c r="K12" s="14">
        <f>IF(H12&gt;=90,"✅ Compliant",IF(H12&gt;=60,"⚠️ Partial","❌ Non-Compliant"))</f>
        <v/>
      </c>
      <c r="L12" s="14">
        <f>IF(ISNUMBER(SEARCH("Compliant",K12)),"✅ Coverage target met",IF(F12&gt;0,F12&amp;" assets need baselines started","⏳ Review in-progress baselines"))</f>
        <v/>
      </c>
    </row>
    <row r="13">
      <c r="A13" s="14" t="inlineStr">
        <is>
          <t>Environmental Control (HVAC)</t>
        </is>
      </c>
      <c r="B13" s="14" t="inlineStr">
        <is>
          <t>Infrastructure</t>
        </is>
      </c>
      <c r="C13" s="14">
        <f>COUNTIF('Asset Inventory'!$C$3:$C$102,A13)</f>
        <v/>
      </c>
      <c r="D13" s="14">
        <f>COUNTIFS('Asset Inventory'!$C$3:$C$102,A13,'Asset Inventory'!$H$3:$H$102,"✅ Defined")</f>
        <v/>
      </c>
      <c r="E13" s="14">
        <f>COUNTIFS('Asset Inventory'!$C$3:$C$102,A13,'Asset Inventory'!$H$3:$H$102,"⏳ In Progress")</f>
        <v/>
      </c>
      <c r="F13" s="14">
        <f>COUNTIFS('Asset Inventory'!$C$3:$C$102,A13,'Asset Inventory'!$H$3:$H$102,"❌ Not Started")</f>
        <v/>
      </c>
      <c r="G13" s="14">
        <f>COUNTIFS('Asset Inventory'!$C$3:$C$102,A13,'Asset Inventory'!$H$3:$H$102,"➖ N/A")</f>
        <v/>
      </c>
      <c r="H13" s="15">
        <f>IF((C13-G13)=0,0,D13/(C13-G13)*100)</f>
        <v/>
      </c>
      <c r="I13" s="14">
        <f>COUNTIFS('Asset Inventory'!$C$3:$C$102,A13,'Asset Inventory'!$E$3:$E$102,"Critical")</f>
        <v/>
      </c>
      <c r="J13" s="15">
        <f>IF(I13=0,0,COUNTIFS('Asset Inventory'!$C$3:$C$102,A13,'Asset Inventory'!$E$3:$E$102,"Critical",'Asset Inventory'!$H$3:$H$102,"✅ Defined")/I13*100)</f>
        <v/>
      </c>
      <c r="K13" s="14">
        <f>IF(H13&gt;=90,"✅ Compliant",IF(H13&gt;=60,"⚠️ Partial","❌ Non-Compliant"))</f>
        <v/>
      </c>
      <c r="L13" s="14">
        <f>IF(ISNUMBER(SEARCH("Compliant",K13)),"✅ Coverage target met",IF(F13&gt;0,F13&amp;" assets need baselines started","⏳ Review in-progress baselines"))</f>
        <v/>
      </c>
    </row>
    <row r="14">
      <c r="A14" s="14" t="inlineStr">
        <is>
          <t>Physical Security System</t>
        </is>
      </c>
      <c r="B14" s="14" t="inlineStr">
        <is>
          <t>Infrastructure</t>
        </is>
      </c>
      <c r="C14" s="14">
        <f>COUNTIF('Asset Inventory'!$C$3:$C$102,A14)</f>
        <v/>
      </c>
      <c r="D14" s="14">
        <f>COUNTIFS('Asset Inventory'!$C$3:$C$102,A14,'Asset Inventory'!$H$3:$H$102,"✅ Defined")</f>
        <v/>
      </c>
      <c r="E14" s="14">
        <f>COUNTIFS('Asset Inventory'!$C$3:$C$102,A14,'Asset Inventory'!$H$3:$H$102,"⏳ In Progress")</f>
        <v/>
      </c>
      <c r="F14" s="14">
        <f>COUNTIFS('Asset Inventory'!$C$3:$C$102,A14,'Asset Inventory'!$H$3:$H$102,"❌ Not Started")</f>
        <v/>
      </c>
      <c r="G14" s="14">
        <f>COUNTIFS('Asset Inventory'!$C$3:$C$102,A14,'Asset Inventory'!$H$3:$H$102,"➖ N/A")</f>
        <v/>
      </c>
      <c r="H14" s="15">
        <f>IF((C14-G14)=0,0,D14/(C14-G14)*100)</f>
        <v/>
      </c>
      <c r="I14" s="14">
        <f>COUNTIFS('Asset Inventory'!$C$3:$C$102,A14,'Asset Inventory'!$E$3:$E$102,"Critical")</f>
        <v/>
      </c>
      <c r="J14" s="15">
        <f>IF(I14=0,0,COUNTIFS('Asset Inventory'!$C$3:$C$102,A14,'Asset Inventory'!$E$3:$E$102,"Critical",'Asset Inventory'!$H$3:$H$102,"✅ Defined")/I14*100)</f>
        <v/>
      </c>
      <c r="K14" s="14">
        <f>IF(H14&gt;=90,"✅ Compliant",IF(H14&gt;=60,"⚠️ Partial","❌ Non-Compliant"))</f>
        <v/>
      </c>
      <c r="L14" s="14">
        <f>IF(ISNUMBER(SEARCH("Compliant",K14)),"✅ Coverage target met",IF(F14&gt;0,F14&amp;" assets need baselines started","⏳ Review in-progress baselines"))</f>
        <v/>
      </c>
    </row>
    <row r="15">
      <c r="A15" s="14" t="inlineStr">
        <is>
          <t>Desktop Computer</t>
        </is>
      </c>
      <c r="B15" s="14" t="inlineStr">
        <is>
          <t>Endpoint</t>
        </is>
      </c>
      <c r="C15" s="14">
        <f>COUNTIF('Asset Inventory'!$C$3:$C$102,A15)</f>
        <v/>
      </c>
      <c r="D15" s="14">
        <f>COUNTIFS('Asset Inventory'!$C$3:$C$102,A15,'Asset Inventory'!$H$3:$H$102,"✅ Defined")</f>
        <v/>
      </c>
      <c r="E15" s="14">
        <f>COUNTIFS('Asset Inventory'!$C$3:$C$102,A15,'Asset Inventory'!$H$3:$H$102,"⏳ In Progress")</f>
        <v/>
      </c>
      <c r="F15" s="14">
        <f>COUNTIFS('Asset Inventory'!$C$3:$C$102,A15,'Asset Inventory'!$H$3:$H$102,"❌ Not Started")</f>
        <v/>
      </c>
      <c r="G15" s="14">
        <f>COUNTIFS('Asset Inventory'!$C$3:$C$102,A15,'Asset Inventory'!$H$3:$H$102,"➖ N/A")</f>
        <v/>
      </c>
      <c r="H15" s="15">
        <f>IF((C15-G15)=0,0,D15/(C15-G15)*100)</f>
        <v/>
      </c>
      <c r="I15" s="14">
        <f>COUNTIFS('Asset Inventory'!$C$3:$C$102,A15,'Asset Inventory'!$E$3:$E$102,"Critical")</f>
        <v/>
      </c>
      <c r="J15" s="15">
        <f>IF(I15=0,0,COUNTIFS('Asset Inventory'!$C$3:$C$102,A15,'Asset Inventory'!$E$3:$E$102,"Critical",'Asset Inventory'!$H$3:$H$102,"✅ Defined")/I15*100)</f>
        <v/>
      </c>
      <c r="K15" s="14">
        <f>IF(H15&gt;=90,"✅ Compliant",IF(H15&gt;=60,"⚠️ Partial","❌ Non-Compliant"))</f>
        <v/>
      </c>
      <c r="L15" s="14">
        <f>IF(ISNUMBER(SEARCH("Compliant",K15)),"✅ Coverage target met",IF(F15&gt;0,F15&amp;" assets need baselines started","⏳ Review in-progress baselines"))</f>
        <v/>
      </c>
    </row>
    <row r="16">
      <c r="A16" s="14" t="inlineStr">
        <is>
          <t>Laptop Computer</t>
        </is>
      </c>
      <c r="B16" s="14" t="inlineStr">
        <is>
          <t>Endpoint</t>
        </is>
      </c>
      <c r="C16" s="14">
        <f>COUNTIF('Asset Inventory'!$C$3:$C$102,A16)</f>
        <v/>
      </c>
      <c r="D16" s="14">
        <f>COUNTIFS('Asset Inventory'!$C$3:$C$102,A16,'Asset Inventory'!$H$3:$H$102,"✅ Defined")</f>
        <v/>
      </c>
      <c r="E16" s="14">
        <f>COUNTIFS('Asset Inventory'!$C$3:$C$102,A16,'Asset Inventory'!$H$3:$H$102,"⏳ In Progress")</f>
        <v/>
      </c>
      <c r="F16" s="14">
        <f>COUNTIFS('Asset Inventory'!$C$3:$C$102,A16,'Asset Inventory'!$H$3:$H$102,"❌ Not Started")</f>
        <v/>
      </c>
      <c r="G16" s="14">
        <f>COUNTIFS('Asset Inventory'!$C$3:$C$102,A16,'Asset Inventory'!$H$3:$H$102,"➖ N/A")</f>
        <v/>
      </c>
      <c r="H16" s="15">
        <f>IF((C16-G16)=0,0,D16/(C16-G16)*100)</f>
        <v/>
      </c>
      <c r="I16" s="14">
        <f>COUNTIFS('Asset Inventory'!$C$3:$C$102,A16,'Asset Inventory'!$E$3:$E$102,"Critical")</f>
        <v/>
      </c>
      <c r="J16" s="15">
        <f>IF(I16=0,0,COUNTIFS('Asset Inventory'!$C$3:$C$102,A16,'Asset Inventory'!$E$3:$E$102,"Critical",'Asset Inventory'!$H$3:$H$102,"✅ Defined")/I16*100)</f>
        <v/>
      </c>
      <c r="K16" s="14">
        <f>IF(H16&gt;=90,"✅ Compliant",IF(H16&gt;=60,"⚠️ Partial","❌ Non-Compliant"))</f>
        <v/>
      </c>
      <c r="L16" s="14">
        <f>IF(ISNUMBER(SEARCH("Compliant",K16)),"✅ Coverage target met",IF(F16&gt;0,F16&amp;" assets need baselines started","⏳ Review in-progress baselines"))</f>
        <v/>
      </c>
    </row>
    <row r="17">
      <c r="A17" s="14" t="inlineStr">
        <is>
          <t>Mobile Phone</t>
        </is>
      </c>
      <c r="B17" s="14" t="inlineStr">
        <is>
          <t>Endpoint</t>
        </is>
      </c>
      <c r="C17" s="14">
        <f>COUNTIF('Asset Inventory'!$C$3:$C$102,A17)</f>
        <v/>
      </c>
      <c r="D17" s="14">
        <f>COUNTIFS('Asset Inventory'!$C$3:$C$102,A17,'Asset Inventory'!$H$3:$H$102,"✅ Defined")</f>
        <v/>
      </c>
      <c r="E17" s="14">
        <f>COUNTIFS('Asset Inventory'!$C$3:$C$102,A17,'Asset Inventory'!$H$3:$H$102,"⏳ In Progress")</f>
        <v/>
      </c>
      <c r="F17" s="14">
        <f>COUNTIFS('Asset Inventory'!$C$3:$C$102,A17,'Asset Inventory'!$H$3:$H$102,"❌ Not Started")</f>
        <v/>
      </c>
      <c r="G17" s="14">
        <f>COUNTIFS('Asset Inventory'!$C$3:$C$102,A17,'Asset Inventory'!$H$3:$H$102,"➖ N/A")</f>
        <v/>
      </c>
      <c r="H17" s="15">
        <f>IF((C17-G17)=0,0,D17/(C17-G17)*100)</f>
        <v/>
      </c>
      <c r="I17" s="14">
        <f>COUNTIFS('Asset Inventory'!$C$3:$C$102,A17,'Asset Inventory'!$E$3:$E$102,"Critical")</f>
        <v/>
      </c>
      <c r="J17" s="15">
        <f>IF(I17=0,0,COUNTIFS('Asset Inventory'!$C$3:$C$102,A17,'Asset Inventory'!$E$3:$E$102,"Critical",'Asset Inventory'!$H$3:$H$102,"✅ Defined")/I17*100)</f>
        <v/>
      </c>
      <c r="K17" s="14">
        <f>IF(H17&gt;=90,"✅ Compliant",IF(H17&gt;=60,"⚠️ Partial","❌ Non-Compliant"))</f>
        <v/>
      </c>
      <c r="L17" s="14">
        <f>IF(ISNUMBER(SEARCH("Compliant",K17)),"✅ Coverage target met",IF(F17&gt;0,F17&amp;" assets need baselines started","⏳ Review in-progress baselines"))</f>
        <v/>
      </c>
    </row>
    <row r="18">
      <c r="A18" s="14" t="inlineStr">
        <is>
          <t>Tablet</t>
        </is>
      </c>
      <c r="B18" s="14" t="inlineStr">
        <is>
          <t>Endpoint</t>
        </is>
      </c>
      <c r="C18" s="14">
        <f>COUNTIF('Asset Inventory'!$C$3:$C$102,A18)</f>
        <v/>
      </c>
      <c r="D18" s="14">
        <f>COUNTIFS('Asset Inventory'!$C$3:$C$102,A18,'Asset Inventory'!$H$3:$H$102,"✅ Defined")</f>
        <v/>
      </c>
      <c r="E18" s="14">
        <f>COUNTIFS('Asset Inventory'!$C$3:$C$102,A18,'Asset Inventory'!$H$3:$H$102,"⏳ In Progress")</f>
        <v/>
      </c>
      <c r="F18" s="14">
        <f>COUNTIFS('Asset Inventory'!$C$3:$C$102,A18,'Asset Inventory'!$H$3:$H$102,"❌ Not Started")</f>
        <v/>
      </c>
      <c r="G18" s="14">
        <f>COUNTIFS('Asset Inventory'!$C$3:$C$102,A18,'Asset Inventory'!$H$3:$H$102,"➖ N/A")</f>
        <v/>
      </c>
      <c r="H18" s="15">
        <f>IF((C18-G18)=0,0,D18/(C18-G18)*100)</f>
        <v/>
      </c>
      <c r="I18" s="14">
        <f>COUNTIFS('Asset Inventory'!$C$3:$C$102,A18,'Asset Inventory'!$E$3:$E$102,"Critical")</f>
        <v/>
      </c>
      <c r="J18" s="15">
        <f>IF(I18=0,0,COUNTIFS('Asset Inventory'!$C$3:$C$102,A18,'Asset Inventory'!$E$3:$E$102,"Critical",'Asset Inventory'!$H$3:$H$102,"✅ Defined")/I18*100)</f>
        <v/>
      </c>
      <c r="K18" s="14">
        <f>IF(H18&gt;=90,"✅ Compliant",IF(H18&gt;=60,"⚠️ Partial","❌ Non-Compliant"))</f>
        <v/>
      </c>
      <c r="L18" s="14">
        <f>IF(ISNUMBER(SEARCH("Compliant",K18)),"✅ Coverage target met",IF(F18&gt;0,F18&amp;" assets need baselines started","⏳ Review in-progress baselines"))</f>
        <v/>
      </c>
    </row>
    <row r="19">
      <c r="A19" s="14" t="inlineStr">
        <is>
          <t>Thin Client</t>
        </is>
      </c>
      <c r="B19" s="14" t="inlineStr">
        <is>
          <t>Endpoint</t>
        </is>
      </c>
      <c r="C19" s="14">
        <f>COUNTIF('Asset Inventory'!$C$3:$C$102,A19)</f>
        <v/>
      </c>
      <c r="D19" s="14">
        <f>COUNTIFS('Asset Inventory'!$C$3:$C$102,A19,'Asset Inventory'!$H$3:$H$102,"✅ Defined")</f>
        <v/>
      </c>
      <c r="E19" s="14">
        <f>COUNTIFS('Asset Inventory'!$C$3:$C$102,A19,'Asset Inventory'!$H$3:$H$102,"⏳ In Progress")</f>
        <v/>
      </c>
      <c r="F19" s="14">
        <f>COUNTIFS('Asset Inventory'!$C$3:$C$102,A19,'Asset Inventory'!$H$3:$H$102,"❌ Not Started")</f>
        <v/>
      </c>
      <c r="G19" s="14">
        <f>COUNTIFS('Asset Inventory'!$C$3:$C$102,A19,'Asset Inventory'!$H$3:$H$102,"➖ N/A")</f>
        <v/>
      </c>
      <c r="H19" s="15">
        <f>IF((C19-G19)=0,0,D19/(C19-G19)*100)</f>
        <v/>
      </c>
      <c r="I19" s="14">
        <f>COUNTIFS('Asset Inventory'!$C$3:$C$102,A19,'Asset Inventory'!$E$3:$E$102,"Critical")</f>
        <v/>
      </c>
      <c r="J19" s="15">
        <f>IF(I19=0,0,COUNTIFS('Asset Inventory'!$C$3:$C$102,A19,'Asset Inventory'!$E$3:$E$102,"Critical",'Asset Inventory'!$H$3:$H$102,"✅ Defined")/I19*100)</f>
        <v/>
      </c>
      <c r="K19" s="14">
        <f>IF(H19&gt;=90,"✅ Compliant",IF(H19&gt;=60,"⚠️ Partial","❌ Non-Compliant"))</f>
        <v/>
      </c>
      <c r="L19" s="14">
        <f>IF(ISNUMBER(SEARCH("Compliant",K19)),"✅ Coverage target met",IF(F19&gt;0,F19&amp;" assets need baselines started","⏳ Review in-progress baselines"))</f>
        <v/>
      </c>
    </row>
    <row r="20">
      <c r="A20" s="14" t="inlineStr">
        <is>
          <t>Kiosk/Point-of-Sale</t>
        </is>
      </c>
      <c r="B20" s="14" t="inlineStr">
        <is>
          <t>Endpoint</t>
        </is>
      </c>
      <c r="C20" s="14">
        <f>COUNTIF('Asset Inventory'!$C$3:$C$102,A20)</f>
        <v/>
      </c>
      <c r="D20" s="14">
        <f>COUNTIFS('Asset Inventory'!$C$3:$C$102,A20,'Asset Inventory'!$H$3:$H$102,"✅ Defined")</f>
        <v/>
      </c>
      <c r="E20" s="14">
        <f>COUNTIFS('Asset Inventory'!$C$3:$C$102,A20,'Asset Inventory'!$H$3:$H$102,"⏳ In Progress")</f>
        <v/>
      </c>
      <c r="F20" s="14">
        <f>COUNTIFS('Asset Inventory'!$C$3:$C$102,A20,'Asset Inventory'!$H$3:$H$102,"❌ Not Started")</f>
        <v/>
      </c>
      <c r="G20" s="14">
        <f>COUNTIFS('Asset Inventory'!$C$3:$C$102,A20,'Asset Inventory'!$H$3:$H$102,"➖ N/A")</f>
        <v/>
      </c>
      <c r="H20" s="15">
        <f>IF((C20-G20)=0,0,D20/(C20-G20)*100)</f>
        <v/>
      </c>
      <c r="I20" s="14">
        <f>COUNTIFS('Asset Inventory'!$C$3:$C$102,A20,'Asset Inventory'!$E$3:$E$102,"Critical")</f>
        <v/>
      </c>
      <c r="J20" s="15">
        <f>IF(I20=0,0,COUNTIFS('Asset Inventory'!$C$3:$C$102,A20,'Asset Inventory'!$E$3:$E$102,"Critical",'Asset Inventory'!$H$3:$H$102,"✅ Defined")/I20*100)</f>
        <v/>
      </c>
      <c r="K20" s="14">
        <f>IF(H20&gt;=90,"✅ Compliant",IF(H20&gt;=60,"⚠️ Partial","❌ Non-Compliant"))</f>
        <v/>
      </c>
      <c r="L20" s="14">
        <f>IF(ISNUMBER(SEARCH("Compliant",K20)),"✅ Coverage target met",IF(F20&gt;0,F20&amp;" assets need baselines started","⏳ Review in-progress baselines"))</f>
        <v/>
      </c>
    </row>
    <row r="21">
      <c r="A21" s="14" t="inlineStr">
        <is>
          <t>DNS Server</t>
        </is>
      </c>
      <c r="B21" s="14" t="inlineStr">
        <is>
          <t>Network Services</t>
        </is>
      </c>
      <c r="C21" s="14">
        <f>COUNTIF('Asset Inventory'!$C$3:$C$102,A21)</f>
        <v/>
      </c>
      <c r="D21" s="14">
        <f>COUNTIFS('Asset Inventory'!$C$3:$C$102,A21,'Asset Inventory'!$H$3:$H$102,"✅ Defined")</f>
        <v/>
      </c>
      <c r="E21" s="14">
        <f>COUNTIFS('Asset Inventory'!$C$3:$C$102,A21,'Asset Inventory'!$H$3:$H$102,"⏳ In Progress")</f>
        <v/>
      </c>
      <c r="F21" s="14">
        <f>COUNTIFS('Asset Inventory'!$C$3:$C$102,A21,'Asset Inventory'!$H$3:$H$102,"❌ Not Started")</f>
        <v/>
      </c>
      <c r="G21" s="14">
        <f>COUNTIFS('Asset Inventory'!$C$3:$C$102,A21,'Asset Inventory'!$H$3:$H$102,"➖ N/A")</f>
        <v/>
      </c>
      <c r="H21" s="15">
        <f>IF((C21-G21)=0,0,D21/(C21-G21)*100)</f>
        <v/>
      </c>
      <c r="I21" s="14">
        <f>COUNTIFS('Asset Inventory'!$C$3:$C$102,A21,'Asset Inventory'!$E$3:$E$102,"Critical")</f>
        <v/>
      </c>
      <c r="J21" s="15">
        <f>IF(I21=0,0,COUNTIFS('Asset Inventory'!$C$3:$C$102,A21,'Asset Inventory'!$E$3:$E$102,"Critical",'Asset Inventory'!$H$3:$H$102,"✅ Defined")/I21*100)</f>
        <v/>
      </c>
      <c r="K21" s="14">
        <f>IF(H21&gt;=90,"✅ Compliant",IF(H21&gt;=60,"⚠️ Partial","❌ Non-Compliant"))</f>
        <v/>
      </c>
      <c r="L21" s="14">
        <f>IF(ISNUMBER(SEARCH("Compliant",K21)),"✅ Coverage target met",IF(F21&gt;0,F21&amp;" assets need baselines started","⏳ Review in-progress baselines"))</f>
        <v/>
      </c>
    </row>
    <row r="22">
      <c r="A22" s="14" t="inlineStr">
        <is>
          <t>DHCP Server</t>
        </is>
      </c>
      <c r="B22" s="14" t="inlineStr">
        <is>
          <t>Network Services</t>
        </is>
      </c>
      <c r="C22" s="14">
        <f>COUNTIF('Asset Inventory'!$C$3:$C$102,A22)</f>
        <v/>
      </c>
      <c r="D22" s="14">
        <f>COUNTIFS('Asset Inventory'!$C$3:$C$102,A22,'Asset Inventory'!$H$3:$H$102,"✅ Defined")</f>
        <v/>
      </c>
      <c r="E22" s="14">
        <f>COUNTIFS('Asset Inventory'!$C$3:$C$102,A22,'Asset Inventory'!$H$3:$H$102,"⏳ In Progress")</f>
        <v/>
      </c>
      <c r="F22" s="14">
        <f>COUNTIFS('Asset Inventory'!$C$3:$C$102,A22,'Asset Inventory'!$H$3:$H$102,"❌ Not Started")</f>
        <v/>
      </c>
      <c r="G22" s="14">
        <f>COUNTIFS('Asset Inventory'!$C$3:$C$102,A22,'Asset Inventory'!$H$3:$H$102,"➖ N/A")</f>
        <v/>
      </c>
      <c r="H22" s="15">
        <f>IF((C22-G22)=0,0,D22/(C22-G22)*100)</f>
        <v/>
      </c>
      <c r="I22" s="14">
        <f>COUNTIFS('Asset Inventory'!$C$3:$C$102,A22,'Asset Inventory'!$E$3:$E$102,"Critical")</f>
        <v/>
      </c>
      <c r="J22" s="15">
        <f>IF(I22=0,0,COUNTIFS('Asset Inventory'!$C$3:$C$102,A22,'Asset Inventory'!$E$3:$E$102,"Critical",'Asset Inventory'!$H$3:$H$102,"✅ Defined")/I22*100)</f>
        <v/>
      </c>
      <c r="K22" s="14">
        <f>IF(H22&gt;=90,"✅ Compliant",IF(H22&gt;=60,"⚠️ Partial","❌ Non-Compliant"))</f>
        <v/>
      </c>
      <c r="L22" s="14">
        <f>IF(ISNUMBER(SEARCH("Compliant",K22)),"✅ Coverage target met",IF(F22&gt;0,F22&amp;" assets need baselines started","⏳ Review in-progress baselines"))</f>
        <v/>
      </c>
    </row>
    <row r="23">
      <c r="A23" s="14" t="inlineStr">
        <is>
          <t>NTP Server</t>
        </is>
      </c>
      <c r="B23" s="14" t="inlineStr">
        <is>
          <t>Network Services</t>
        </is>
      </c>
      <c r="C23" s="14">
        <f>COUNTIF('Asset Inventory'!$C$3:$C$102,A23)</f>
        <v/>
      </c>
      <c r="D23" s="14">
        <f>COUNTIFS('Asset Inventory'!$C$3:$C$102,A23,'Asset Inventory'!$H$3:$H$102,"✅ Defined")</f>
        <v/>
      </c>
      <c r="E23" s="14">
        <f>COUNTIFS('Asset Inventory'!$C$3:$C$102,A23,'Asset Inventory'!$H$3:$H$102,"⏳ In Progress")</f>
        <v/>
      </c>
      <c r="F23" s="14">
        <f>COUNTIFS('Asset Inventory'!$C$3:$C$102,A23,'Asset Inventory'!$H$3:$H$102,"❌ Not Started")</f>
        <v/>
      </c>
      <c r="G23" s="14">
        <f>COUNTIFS('Asset Inventory'!$C$3:$C$102,A23,'Asset Inventory'!$H$3:$H$102,"➖ N/A")</f>
        <v/>
      </c>
      <c r="H23" s="15">
        <f>IF((C23-G23)=0,0,D23/(C23-G23)*100)</f>
        <v/>
      </c>
      <c r="I23" s="14">
        <f>COUNTIFS('Asset Inventory'!$C$3:$C$102,A23,'Asset Inventory'!$E$3:$E$102,"Critical")</f>
        <v/>
      </c>
      <c r="J23" s="15">
        <f>IF(I23=0,0,COUNTIFS('Asset Inventory'!$C$3:$C$102,A23,'Asset Inventory'!$E$3:$E$102,"Critical",'Asset Inventory'!$H$3:$H$102,"✅ Defined")/I23*100)</f>
        <v/>
      </c>
      <c r="K23" s="14">
        <f>IF(H23&gt;=90,"✅ Compliant",IF(H23&gt;=60,"⚠️ Partial","❌ Non-Compliant"))</f>
        <v/>
      </c>
      <c r="L23" s="14">
        <f>IF(ISNUMBER(SEARCH("Compliant",K23)),"✅ Coverage target met",IF(F23&gt;0,F23&amp;" assets need baselines started","⏳ Review in-progress baselines"))</f>
        <v/>
      </c>
    </row>
    <row r="24">
      <c r="A24" s="14" t="inlineStr">
        <is>
          <t>Proxy Server</t>
        </is>
      </c>
      <c r="B24" s="14" t="inlineStr">
        <is>
          <t>Network Services</t>
        </is>
      </c>
      <c r="C24" s="14">
        <f>COUNTIF('Asset Inventory'!$C$3:$C$102,A24)</f>
        <v/>
      </c>
      <c r="D24" s="14">
        <f>COUNTIFS('Asset Inventory'!$C$3:$C$102,A24,'Asset Inventory'!$H$3:$H$102,"✅ Defined")</f>
        <v/>
      </c>
      <c r="E24" s="14">
        <f>COUNTIFS('Asset Inventory'!$C$3:$C$102,A24,'Asset Inventory'!$H$3:$H$102,"⏳ In Progress")</f>
        <v/>
      </c>
      <c r="F24" s="14">
        <f>COUNTIFS('Asset Inventory'!$C$3:$C$102,A24,'Asset Inventory'!$H$3:$H$102,"❌ Not Started")</f>
        <v/>
      </c>
      <c r="G24" s="14">
        <f>COUNTIFS('Asset Inventory'!$C$3:$C$102,A24,'Asset Inventory'!$H$3:$H$102,"➖ N/A")</f>
        <v/>
      </c>
      <c r="H24" s="15">
        <f>IF((C24-G24)=0,0,D24/(C24-G24)*100)</f>
        <v/>
      </c>
      <c r="I24" s="14">
        <f>COUNTIFS('Asset Inventory'!$C$3:$C$102,A24,'Asset Inventory'!$E$3:$E$102,"Critical")</f>
        <v/>
      </c>
      <c r="J24" s="15">
        <f>IF(I24=0,0,COUNTIFS('Asset Inventory'!$C$3:$C$102,A24,'Asset Inventory'!$E$3:$E$102,"Critical",'Asset Inventory'!$H$3:$H$102,"✅ Defined")/I24*100)</f>
        <v/>
      </c>
      <c r="K24" s="14">
        <f>IF(H24&gt;=90,"✅ Compliant",IF(H24&gt;=60,"⚠️ Partial","❌ Non-Compliant"))</f>
        <v/>
      </c>
      <c r="L24" s="14">
        <f>IF(ISNUMBER(SEARCH("Compliant",K24)),"✅ Coverage target met",IF(F24&gt;0,F24&amp;" assets need baselines started","⏳ Review in-progress baselines"))</f>
        <v/>
      </c>
    </row>
    <row r="25">
      <c r="A25" s="14" t="inlineStr">
        <is>
          <t>VPN Gateway</t>
        </is>
      </c>
      <c r="B25" s="14" t="inlineStr">
        <is>
          <t>Network Services</t>
        </is>
      </c>
      <c r="C25" s="14">
        <f>COUNTIF('Asset Inventory'!$C$3:$C$102,A25)</f>
        <v/>
      </c>
      <c r="D25" s="14">
        <f>COUNTIFS('Asset Inventory'!$C$3:$C$102,A25,'Asset Inventory'!$H$3:$H$102,"✅ Defined")</f>
        <v/>
      </c>
      <c r="E25" s="14">
        <f>COUNTIFS('Asset Inventory'!$C$3:$C$102,A25,'Asset Inventory'!$H$3:$H$102,"⏳ In Progress")</f>
        <v/>
      </c>
      <c r="F25" s="14">
        <f>COUNTIFS('Asset Inventory'!$C$3:$C$102,A25,'Asset Inventory'!$H$3:$H$102,"❌ Not Started")</f>
        <v/>
      </c>
      <c r="G25" s="14">
        <f>COUNTIFS('Asset Inventory'!$C$3:$C$102,A25,'Asset Inventory'!$H$3:$H$102,"➖ N/A")</f>
        <v/>
      </c>
      <c r="H25" s="15">
        <f>IF((C25-G25)=0,0,D25/(C25-G25)*100)</f>
        <v/>
      </c>
      <c r="I25" s="14">
        <f>COUNTIFS('Asset Inventory'!$C$3:$C$102,A25,'Asset Inventory'!$E$3:$E$102,"Critical")</f>
        <v/>
      </c>
      <c r="J25" s="15">
        <f>IF(I25=0,0,COUNTIFS('Asset Inventory'!$C$3:$C$102,A25,'Asset Inventory'!$E$3:$E$102,"Critical",'Asset Inventory'!$H$3:$H$102,"✅ Defined")/I25*100)</f>
        <v/>
      </c>
      <c r="K25" s="14">
        <f>IF(H25&gt;=90,"✅ Compliant",IF(H25&gt;=60,"⚠️ Partial","❌ Non-Compliant"))</f>
        <v/>
      </c>
      <c r="L25" s="14">
        <f>IF(ISNUMBER(SEARCH("Compliant",K25)),"✅ Coverage target met",IF(F25&gt;0,F25&amp;" assets need baselines started","⏳ Review in-progress baselines"))</f>
        <v/>
      </c>
    </row>
    <row r="26">
      <c r="A26" s="14" t="inlineStr">
        <is>
          <t>Wireless Access Point</t>
        </is>
      </c>
      <c r="B26" s="14" t="inlineStr">
        <is>
          <t>Network Services</t>
        </is>
      </c>
      <c r="C26" s="14">
        <f>COUNTIF('Asset Inventory'!$C$3:$C$102,A26)</f>
        <v/>
      </c>
      <c r="D26" s="14">
        <f>COUNTIFS('Asset Inventory'!$C$3:$C$102,A26,'Asset Inventory'!$H$3:$H$102,"✅ Defined")</f>
        <v/>
      </c>
      <c r="E26" s="14">
        <f>COUNTIFS('Asset Inventory'!$C$3:$C$102,A26,'Asset Inventory'!$H$3:$H$102,"⏳ In Progress")</f>
        <v/>
      </c>
      <c r="F26" s="14">
        <f>COUNTIFS('Asset Inventory'!$C$3:$C$102,A26,'Asset Inventory'!$H$3:$H$102,"❌ Not Started")</f>
        <v/>
      </c>
      <c r="G26" s="14">
        <f>COUNTIFS('Asset Inventory'!$C$3:$C$102,A26,'Asset Inventory'!$H$3:$H$102,"➖ N/A")</f>
        <v/>
      </c>
      <c r="H26" s="15">
        <f>IF((C26-G26)=0,0,D26/(C26-G26)*100)</f>
        <v/>
      </c>
      <c r="I26" s="14">
        <f>COUNTIFS('Asset Inventory'!$C$3:$C$102,A26,'Asset Inventory'!$E$3:$E$102,"Critical")</f>
        <v/>
      </c>
      <c r="J26" s="15">
        <f>IF(I26=0,0,COUNTIFS('Asset Inventory'!$C$3:$C$102,A26,'Asset Inventory'!$E$3:$E$102,"Critical",'Asset Inventory'!$H$3:$H$102,"✅ Defined")/I26*100)</f>
        <v/>
      </c>
      <c r="K26" s="14">
        <f>IF(H26&gt;=90,"✅ Compliant",IF(H26&gt;=60,"⚠️ Partial","❌ Non-Compliant"))</f>
        <v/>
      </c>
      <c r="L26" s="14">
        <f>IF(ISNUMBER(SEARCH("Compliant",K26)),"✅ Coverage target met",IF(F26&gt;0,F26&amp;" assets need baselines started","⏳ Review in-progress baselines"))</f>
        <v/>
      </c>
    </row>
    <row r="27">
      <c r="A27" s="14" t="inlineStr">
        <is>
          <t>Network Management System</t>
        </is>
      </c>
      <c r="B27" s="14" t="inlineStr">
        <is>
          <t>Network Services</t>
        </is>
      </c>
      <c r="C27" s="14">
        <f>COUNTIF('Asset Inventory'!$C$3:$C$102,A27)</f>
        <v/>
      </c>
      <c r="D27" s="14">
        <f>COUNTIFS('Asset Inventory'!$C$3:$C$102,A27,'Asset Inventory'!$H$3:$H$102,"✅ Defined")</f>
        <v/>
      </c>
      <c r="E27" s="14">
        <f>COUNTIFS('Asset Inventory'!$C$3:$C$102,A27,'Asset Inventory'!$H$3:$H$102,"⏳ In Progress")</f>
        <v/>
      </c>
      <c r="F27" s="14">
        <f>COUNTIFS('Asset Inventory'!$C$3:$C$102,A27,'Asset Inventory'!$H$3:$H$102,"❌ Not Started")</f>
        <v/>
      </c>
      <c r="G27" s="14">
        <f>COUNTIFS('Asset Inventory'!$C$3:$C$102,A27,'Asset Inventory'!$H$3:$H$102,"➖ N/A")</f>
        <v/>
      </c>
      <c r="H27" s="15">
        <f>IF((C27-G27)=0,0,D27/(C27-G27)*100)</f>
        <v/>
      </c>
      <c r="I27" s="14">
        <f>COUNTIFS('Asset Inventory'!$C$3:$C$102,A27,'Asset Inventory'!$E$3:$E$102,"Critical")</f>
        <v/>
      </c>
      <c r="J27" s="15">
        <f>IF(I27=0,0,COUNTIFS('Asset Inventory'!$C$3:$C$102,A27,'Asset Inventory'!$E$3:$E$102,"Critical",'Asset Inventory'!$H$3:$H$102,"✅ Defined")/I27*100)</f>
        <v/>
      </c>
      <c r="K27" s="14">
        <f>IF(H27&gt;=90,"✅ Compliant",IF(H27&gt;=60,"⚠️ Partial","❌ Non-Compliant"))</f>
        <v/>
      </c>
      <c r="L27" s="14">
        <f>IF(ISNUMBER(SEARCH("Compliant",K27)),"✅ Coverage target met",IF(F27&gt;0,F27&amp;" assets need baselines started","⏳ Review in-progress baselines"))</f>
        <v/>
      </c>
    </row>
    <row r="28">
      <c r="A28" s="14" t="inlineStr">
        <is>
          <t>Enterprise Application</t>
        </is>
      </c>
      <c r="B28" s="14" t="inlineStr">
        <is>
          <t>Applications</t>
        </is>
      </c>
      <c r="C28" s="14">
        <f>COUNTIF('Asset Inventory'!$C$3:$C$102,A28)</f>
        <v/>
      </c>
      <c r="D28" s="14">
        <f>COUNTIFS('Asset Inventory'!$C$3:$C$102,A28,'Asset Inventory'!$H$3:$H$102,"✅ Defined")</f>
        <v/>
      </c>
      <c r="E28" s="14">
        <f>COUNTIFS('Asset Inventory'!$C$3:$C$102,A28,'Asset Inventory'!$H$3:$H$102,"⏳ In Progress")</f>
        <v/>
      </c>
      <c r="F28" s="14">
        <f>COUNTIFS('Asset Inventory'!$C$3:$C$102,A28,'Asset Inventory'!$H$3:$H$102,"❌ Not Started")</f>
        <v/>
      </c>
      <c r="G28" s="14">
        <f>COUNTIFS('Asset Inventory'!$C$3:$C$102,A28,'Asset Inventory'!$H$3:$H$102,"➖ N/A")</f>
        <v/>
      </c>
      <c r="H28" s="15">
        <f>IF((C28-G28)=0,0,D28/(C28-G28)*100)</f>
        <v/>
      </c>
      <c r="I28" s="14">
        <f>COUNTIFS('Asset Inventory'!$C$3:$C$102,A28,'Asset Inventory'!$E$3:$E$102,"Critical")</f>
        <v/>
      </c>
      <c r="J28" s="15">
        <f>IF(I28=0,0,COUNTIFS('Asset Inventory'!$C$3:$C$102,A28,'Asset Inventory'!$E$3:$E$102,"Critical",'Asset Inventory'!$H$3:$H$102,"✅ Defined")/I28*100)</f>
        <v/>
      </c>
      <c r="K28" s="14">
        <f>IF(H28&gt;=90,"✅ Compliant",IF(H28&gt;=60,"⚠️ Partial","❌ Non-Compliant"))</f>
        <v/>
      </c>
      <c r="L28" s="14">
        <f>IF(ISNUMBER(SEARCH("Compliant",K28)),"✅ Coverage target met",IF(F28&gt;0,F28&amp;" assets need baselines started","⏳ Review in-progress baselines"))</f>
        <v/>
      </c>
    </row>
    <row r="29">
      <c r="A29" s="14" t="inlineStr">
        <is>
          <t>Web Application</t>
        </is>
      </c>
      <c r="B29" s="14" t="inlineStr">
        <is>
          <t>Applications</t>
        </is>
      </c>
      <c r="C29" s="14">
        <f>COUNTIF('Asset Inventory'!$C$3:$C$102,A29)</f>
        <v/>
      </c>
      <c r="D29" s="14">
        <f>COUNTIFS('Asset Inventory'!$C$3:$C$102,A29,'Asset Inventory'!$H$3:$H$102,"✅ Defined")</f>
        <v/>
      </c>
      <c r="E29" s="14">
        <f>COUNTIFS('Asset Inventory'!$C$3:$C$102,A29,'Asset Inventory'!$H$3:$H$102,"⏳ In Progress")</f>
        <v/>
      </c>
      <c r="F29" s="14">
        <f>COUNTIFS('Asset Inventory'!$C$3:$C$102,A29,'Asset Inventory'!$H$3:$H$102,"❌ Not Started")</f>
        <v/>
      </c>
      <c r="G29" s="14">
        <f>COUNTIFS('Asset Inventory'!$C$3:$C$102,A29,'Asset Inventory'!$H$3:$H$102,"➖ N/A")</f>
        <v/>
      </c>
      <c r="H29" s="15">
        <f>IF((C29-G29)=0,0,D29/(C29-G29)*100)</f>
        <v/>
      </c>
      <c r="I29" s="14">
        <f>COUNTIFS('Asset Inventory'!$C$3:$C$102,A29,'Asset Inventory'!$E$3:$E$102,"Critical")</f>
        <v/>
      </c>
      <c r="J29" s="15">
        <f>IF(I29=0,0,COUNTIFS('Asset Inventory'!$C$3:$C$102,A29,'Asset Inventory'!$E$3:$E$102,"Critical",'Asset Inventory'!$H$3:$H$102,"✅ Defined")/I29*100)</f>
        <v/>
      </c>
      <c r="K29" s="14">
        <f>IF(H29&gt;=90,"✅ Compliant",IF(H29&gt;=60,"⚠️ Partial","❌ Non-Compliant"))</f>
        <v/>
      </c>
      <c r="L29" s="14">
        <f>IF(ISNUMBER(SEARCH("Compliant",K29)),"✅ Coverage target met",IF(F29&gt;0,F29&amp;" assets need baselines started","⏳ Review in-progress baselines"))</f>
        <v/>
      </c>
    </row>
    <row r="30">
      <c r="A30" s="14" t="inlineStr">
        <is>
          <t>Database System</t>
        </is>
      </c>
      <c r="B30" s="14" t="inlineStr">
        <is>
          <t>Applications</t>
        </is>
      </c>
      <c r="C30" s="14">
        <f>COUNTIF('Asset Inventory'!$C$3:$C$102,A30)</f>
        <v/>
      </c>
      <c r="D30" s="14">
        <f>COUNTIFS('Asset Inventory'!$C$3:$C$102,A30,'Asset Inventory'!$H$3:$H$102,"✅ Defined")</f>
        <v/>
      </c>
      <c r="E30" s="14">
        <f>COUNTIFS('Asset Inventory'!$C$3:$C$102,A30,'Asset Inventory'!$H$3:$H$102,"⏳ In Progress")</f>
        <v/>
      </c>
      <c r="F30" s="14">
        <f>COUNTIFS('Asset Inventory'!$C$3:$C$102,A30,'Asset Inventory'!$H$3:$H$102,"❌ Not Started")</f>
        <v/>
      </c>
      <c r="G30" s="14">
        <f>COUNTIFS('Asset Inventory'!$C$3:$C$102,A30,'Asset Inventory'!$H$3:$H$102,"➖ N/A")</f>
        <v/>
      </c>
      <c r="H30" s="15">
        <f>IF((C30-G30)=0,0,D30/(C30-G30)*100)</f>
        <v/>
      </c>
      <c r="I30" s="14">
        <f>COUNTIFS('Asset Inventory'!$C$3:$C$102,A30,'Asset Inventory'!$E$3:$E$102,"Critical")</f>
        <v/>
      </c>
      <c r="J30" s="15">
        <f>IF(I30=0,0,COUNTIFS('Asset Inventory'!$C$3:$C$102,A30,'Asset Inventory'!$E$3:$E$102,"Critical",'Asset Inventory'!$H$3:$H$102,"✅ Defined")/I30*100)</f>
        <v/>
      </c>
      <c r="K30" s="14">
        <f>IF(H30&gt;=90,"✅ Compliant",IF(H30&gt;=60,"⚠️ Partial","❌ Non-Compliant"))</f>
        <v/>
      </c>
      <c r="L30" s="14">
        <f>IF(ISNUMBER(SEARCH("Compliant",K30)),"✅ Coverage target met",IF(F30&gt;0,F30&amp;" assets need baselines started","⏳ Review in-progress baselines"))</f>
        <v/>
      </c>
    </row>
    <row r="31">
      <c r="A31" s="14" t="inlineStr">
        <is>
          <t>Middleware</t>
        </is>
      </c>
      <c r="B31" s="14" t="inlineStr">
        <is>
          <t>Applications</t>
        </is>
      </c>
      <c r="C31" s="14">
        <f>COUNTIF('Asset Inventory'!$C$3:$C$102,A31)</f>
        <v/>
      </c>
      <c r="D31" s="14">
        <f>COUNTIFS('Asset Inventory'!$C$3:$C$102,A31,'Asset Inventory'!$H$3:$H$102,"✅ Defined")</f>
        <v/>
      </c>
      <c r="E31" s="14">
        <f>COUNTIFS('Asset Inventory'!$C$3:$C$102,A31,'Asset Inventory'!$H$3:$H$102,"⏳ In Progress")</f>
        <v/>
      </c>
      <c r="F31" s="14">
        <f>COUNTIFS('Asset Inventory'!$C$3:$C$102,A31,'Asset Inventory'!$H$3:$H$102,"❌ Not Started")</f>
        <v/>
      </c>
      <c r="G31" s="14">
        <f>COUNTIFS('Asset Inventory'!$C$3:$C$102,A31,'Asset Inventory'!$H$3:$H$102,"➖ N/A")</f>
        <v/>
      </c>
      <c r="H31" s="15">
        <f>IF((C31-G31)=0,0,D31/(C31-G31)*100)</f>
        <v/>
      </c>
      <c r="I31" s="14">
        <f>COUNTIFS('Asset Inventory'!$C$3:$C$102,A31,'Asset Inventory'!$E$3:$E$102,"Critical")</f>
        <v/>
      </c>
      <c r="J31" s="15">
        <f>IF(I31=0,0,COUNTIFS('Asset Inventory'!$C$3:$C$102,A31,'Asset Inventory'!$E$3:$E$102,"Critical",'Asset Inventory'!$H$3:$H$102,"✅ Defined")/I31*100)</f>
        <v/>
      </c>
      <c r="K31" s="14">
        <f>IF(H31&gt;=90,"✅ Compliant",IF(H31&gt;=60,"⚠️ Partial","❌ Non-Compliant"))</f>
        <v/>
      </c>
      <c r="L31" s="14">
        <f>IF(ISNUMBER(SEARCH("Compliant",K31)),"✅ Coverage target met",IF(F31&gt;0,F31&amp;" assets need baselines started","⏳ Review in-progress baselines"))</f>
        <v/>
      </c>
    </row>
    <row r="32">
      <c r="A32" s="14" t="inlineStr">
        <is>
          <t>API/Web Service</t>
        </is>
      </c>
      <c r="B32" s="14" t="inlineStr">
        <is>
          <t>Applications</t>
        </is>
      </c>
      <c r="C32" s="14">
        <f>COUNTIF('Asset Inventory'!$C$3:$C$102,A32)</f>
        <v/>
      </c>
      <c r="D32" s="14">
        <f>COUNTIFS('Asset Inventory'!$C$3:$C$102,A32,'Asset Inventory'!$H$3:$H$102,"✅ Defined")</f>
        <v/>
      </c>
      <c r="E32" s="14">
        <f>COUNTIFS('Asset Inventory'!$C$3:$C$102,A32,'Asset Inventory'!$H$3:$H$102,"⏳ In Progress")</f>
        <v/>
      </c>
      <c r="F32" s="14">
        <f>COUNTIFS('Asset Inventory'!$C$3:$C$102,A32,'Asset Inventory'!$H$3:$H$102,"❌ Not Started")</f>
        <v/>
      </c>
      <c r="G32" s="14">
        <f>COUNTIFS('Asset Inventory'!$C$3:$C$102,A32,'Asset Inventory'!$H$3:$H$102,"➖ N/A")</f>
        <v/>
      </c>
      <c r="H32" s="15">
        <f>IF((C32-G32)=0,0,D32/(C32-G32)*100)</f>
        <v/>
      </c>
      <c r="I32" s="14">
        <f>COUNTIFS('Asset Inventory'!$C$3:$C$102,A32,'Asset Inventory'!$E$3:$E$102,"Critical")</f>
        <v/>
      </c>
      <c r="J32" s="15">
        <f>IF(I32=0,0,COUNTIFS('Asset Inventory'!$C$3:$C$102,A32,'Asset Inventory'!$E$3:$E$102,"Critical",'Asset Inventory'!$H$3:$H$102,"✅ Defined")/I32*100)</f>
        <v/>
      </c>
      <c r="K32" s="14">
        <f>IF(H32&gt;=90,"✅ Compliant",IF(H32&gt;=60,"⚠️ Partial","❌ Non-Compliant"))</f>
        <v/>
      </c>
      <c r="L32" s="14">
        <f>IF(ISNUMBER(SEARCH("Compliant",K32)),"✅ Coverage target met",IF(F32&gt;0,F32&amp;" assets need baselines started","⏳ Review in-progress baselines"))</f>
        <v/>
      </c>
    </row>
    <row r="33">
      <c r="A33" s="14" t="inlineStr">
        <is>
          <t>Custom Developed Application</t>
        </is>
      </c>
      <c r="B33" s="14" t="inlineStr">
        <is>
          <t>Applications</t>
        </is>
      </c>
      <c r="C33" s="14">
        <f>COUNTIF('Asset Inventory'!$C$3:$C$102,A33)</f>
        <v/>
      </c>
      <c r="D33" s="14">
        <f>COUNTIFS('Asset Inventory'!$C$3:$C$102,A33,'Asset Inventory'!$H$3:$H$102,"✅ Defined")</f>
        <v/>
      </c>
      <c r="E33" s="14">
        <f>COUNTIFS('Asset Inventory'!$C$3:$C$102,A33,'Asset Inventory'!$H$3:$H$102,"⏳ In Progress")</f>
        <v/>
      </c>
      <c r="F33" s="14">
        <f>COUNTIFS('Asset Inventory'!$C$3:$C$102,A33,'Asset Inventory'!$H$3:$H$102,"❌ Not Started")</f>
        <v/>
      </c>
      <c r="G33" s="14">
        <f>COUNTIFS('Asset Inventory'!$C$3:$C$102,A33,'Asset Inventory'!$H$3:$H$102,"➖ N/A")</f>
        <v/>
      </c>
      <c r="H33" s="15">
        <f>IF((C33-G33)=0,0,D33/(C33-G33)*100)</f>
        <v/>
      </c>
      <c r="I33" s="14">
        <f>COUNTIFS('Asset Inventory'!$C$3:$C$102,A33,'Asset Inventory'!$E$3:$E$102,"Critical")</f>
        <v/>
      </c>
      <c r="J33" s="15">
        <f>IF(I33=0,0,COUNTIFS('Asset Inventory'!$C$3:$C$102,A33,'Asset Inventory'!$E$3:$E$102,"Critical",'Asset Inventory'!$H$3:$H$102,"✅ Defined")/I33*100)</f>
        <v/>
      </c>
      <c r="K33" s="14">
        <f>IF(H33&gt;=90,"✅ Compliant",IF(H33&gt;=60,"⚠️ Partial","❌ Non-Compliant"))</f>
        <v/>
      </c>
      <c r="L33" s="14">
        <f>IF(ISNUMBER(SEARCH("Compliant",K33)),"✅ Coverage target met",IF(F33&gt;0,F33&amp;" assets need baselines started","⏳ Review in-progress baselines"))</f>
        <v/>
      </c>
    </row>
    <row r="34">
      <c r="A34" s="14" t="inlineStr">
        <is>
          <t>Commercial Off-the-Shelf (COTS)</t>
        </is>
      </c>
      <c r="B34" s="14" t="inlineStr">
        <is>
          <t>Applications</t>
        </is>
      </c>
      <c r="C34" s="14">
        <f>COUNTIF('Asset Inventory'!$C$3:$C$102,A34)</f>
        <v/>
      </c>
      <c r="D34" s="14">
        <f>COUNTIFS('Asset Inventory'!$C$3:$C$102,A34,'Asset Inventory'!$H$3:$H$102,"✅ Defined")</f>
        <v/>
      </c>
      <c r="E34" s="14">
        <f>COUNTIFS('Asset Inventory'!$C$3:$C$102,A34,'Asset Inventory'!$H$3:$H$102,"⏳ In Progress")</f>
        <v/>
      </c>
      <c r="F34" s="14">
        <f>COUNTIFS('Asset Inventory'!$C$3:$C$102,A34,'Asset Inventory'!$H$3:$H$102,"❌ Not Started")</f>
        <v/>
      </c>
      <c r="G34" s="14">
        <f>COUNTIFS('Asset Inventory'!$C$3:$C$102,A34,'Asset Inventory'!$H$3:$H$102,"➖ N/A")</f>
        <v/>
      </c>
      <c r="H34" s="15">
        <f>IF((C34-G34)=0,0,D34/(C34-G34)*100)</f>
        <v/>
      </c>
      <c r="I34" s="14">
        <f>COUNTIFS('Asset Inventory'!$C$3:$C$102,A34,'Asset Inventory'!$E$3:$E$102,"Critical")</f>
        <v/>
      </c>
      <c r="J34" s="15">
        <f>IF(I34=0,0,COUNTIFS('Asset Inventory'!$C$3:$C$102,A34,'Asset Inventory'!$E$3:$E$102,"Critical",'Asset Inventory'!$H$3:$H$102,"✅ Defined")/I34*100)</f>
        <v/>
      </c>
      <c r="K34" s="14">
        <f>IF(H34&gt;=90,"✅ Compliant",IF(H34&gt;=60,"⚠️ Partial","❌ Non-Compliant"))</f>
        <v/>
      </c>
      <c r="L34" s="14">
        <f>IF(ISNUMBER(SEARCH("Compliant",K34)),"✅ Coverage target met",IF(F34&gt;0,F34&amp;" assets need baselines started","⏳ Review in-progress baselines"))</f>
        <v/>
      </c>
    </row>
    <row r="35">
      <c r="A35" s="14" t="inlineStr">
        <is>
          <t>Open Source Software</t>
        </is>
      </c>
      <c r="B35" s="14" t="inlineStr">
        <is>
          <t>Applications</t>
        </is>
      </c>
      <c r="C35" s="14">
        <f>COUNTIF('Asset Inventory'!$C$3:$C$102,A35)</f>
        <v/>
      </c>
      <c r="D35" s="14">
        <f>COUNTIFS('Asset Inventory'!$C$3:$C$102,A35,'Asset Inventory'!$H$3:$H$102,"✅ Defined")</f>
        <v/>
      </c>
      <c r="E35" s="14">
        <f>COUNTIFS('Asset Inventory'!$C$3:$C$102,A35,'Asset Inventory'!$H$3:$H$102,"⏳ In Progress")</f>
        <v/>
      </c>
      <c r="F35" s="14">
        <f>COUNTIFS('Asset Inventory'!$C$3:$C$102,A35,'Asset Inventory'!$H$3:$H$102,"❌ Not Started")</f>
        <v/>
      </c>
      <c r="G35" s="14">
        <f>COUNTIFS('Asset Inventory'!$C$3:$C$102,A35,'Asset Inventory'!$H$3:$H$102,"➖ N/A")</f>
        <v/>
      </c>
      <c r="H35" s="15">
        <f>IF((C35-G35)=0,0,D35/(C35-G35)*100)</f>
        <v/>
      </c>
      <c r="I35" s="14">
        <f>COUNTIFS('Asset Inventory'!$C$3:$C$102,A35,'Asset Inventory'!$E$3:$E$102,"Critical")</f>
        <v/>
      </c>
      <c r="J35" s="15">
        <f>IF(I35=0,0,COUNTIFS('Asset Inventory'!$C$3:$C$102,A35,'Asset Inventory'!$E$3:$E$102,"Critical",'Asset Inventory'!$H$3:$H$102,"✅ Defined")/I35*100)</f>
        <v/>
      </c>
      <c r="K35" s="14">
        <f>IF(H35&gt;=90,"✅ Compliant",IF(H35&gt;=60,"⚠️ Partial","❌ Non-Compliant"))</f>
        <v/>
      </c>
      <c r="L35" s="14">
        <f>IF(ISNUMBER(SEARCH("Compliant",K35)),"✅ Coverage target met",IF(F35&gt;0,F35&amp;" assets need baselines started","⏳ Review in-progress baselines"))</f>
        <v/>
      </c>
    </row>
    <row r="36">
      <c r="A36" s="14" t="inlineStr">
        <is>
          <t>IaaS Resource (VM, Storage)</t>
        </is>
      </c>
      <c r="B36" s="14" t="inlineStr">
        <is>
          <t>Cloud</t>
        </is>
      </c>
      <c r="C36" s="14">
        <f>COUNTIF('Asset Inventory'!$C$3:$C$102,A36)</f>
        <v/>
      </c>
      <c r="D36" s="14">
        <f>COUNTIFS('Asset Inventory'!$C$3:$C$102,A36,'Asset Inventory'!$H$3:$H$102,"✅ Defined")</f>
        <v/>
      </c>
      <c r="E36" s="14">
        <f>COUNTIFS('Asset Inventory'!$C$3:$C$102,A36,'Asset Inventory'!$H$3:$H$102,"⏳ In Progress")</f>
        <v/>
      </c>
      <c r="F36" s="14">
        <f>COUNTIFS('Asset Inventory'!$C$3:$C$102,A36,'Asset Inventory'!$H$3:$H$102,"❌ Not Started")</f>
        <v/>
      </c>
      <c r="G36" s="14">
        <f>COUNTIFS('Asset Inventory'!$C$3:$C$102,A36,'Asset Inventory'!$H$3:$H$102,"➖ N/A")</f>
        <v/>
      </c>
      <c r="H36" s="15">
        <f>IF((C36-G36)=0,0,D36/(C36-G36)*100)</f>
        <v/>
      </c>
      <c r="I36" s="14">
        <f>COUNTIFS('Asset Inventory'!$C$3:$C$102,A36,'Asset Inventory'!$E$3:$E$102,"Critical")</f>
        <v/>
      </c>
      <c r="J36" s="15">
        <f>IF(I36=0,0,COUNTIFS('Asset Inventory'!$C$3:$C$102,A36,'Asset Inventory'!$E$3:$E$102,"Critical",'Asset Inventory'!$H$3:$H$102,"✅ Defined")/I36*100)</f>
        <v/>
      </c>
      <c r="K36" s="14">
        <f>IF(H36&gt;=90,"✅ Compliant",IF(H36&gt;=60,"⚠️ Partial","❌ Non-Compliant"))</f>
        <v/>
      </c>
      <c r="L36" s="14">
        <f>IF(ISNUMBER(SEARCH("Compliant",K36)),"✅ Coverage target met",IF(F36&gt;0,F36&amp;" assets need baselines started","⏳ Review in-progress baselines"))</f>
        <v/>
      </c>
    </row>
    <row r="37">
      <c r="A37" s="14" t="inlineStr">
        <is>
          <t>PaaS Service</t>
        </is>
      </c>
      <c r="B37" s="14" t="inlineStr">
        <is>
          <t>Cloud</t>
        </is>
      </c>
      <c r="C37" s="14">
        <f>COUNTIF('Asset Inventory'!$C$3:$C$102,A37)</f>
        <v/>
      </c>
      <c r="D37" s="14">
        <f>COUNTIFS('Asset Inventory'!$C$3:$C$102,A37,'Asset Inventory'!$H$3:$H$102,"✅ Defined")</f>
        <v/>
      </c>
      <c r="E37" s="14">
        <f>COUNTIFS('Asset Inventory'!$C$3:$C$102,A37,'Asset Inventory'!$H$3:$H$102,"⏳ In Progress")</f>
        <v/>
      </c>
      <c r="F37" s="14">
        <f>COUNTIFS('Asset Inventory'!$C$3:$C$102,A37,'Asset Inventory'!$H$3:$H$102,"❌ Not Started")</f>
        <v/>
      </c>
      <c r="G37" s="14">
        <f>COUNTIFS('Asset Inventory'!$C$3:$C$102,A37,'Asset Inventory'!$H$3:$H$102,"➖ N/A")</f>
        <v/>
      </c>
      <c r="H37" s="15">
        <f>IF((C37-G37)=0,0,D37/(C37-G37)*100)</f>
        <v/>
      </c>
      <c r="I37" s="14">
        <f>COUNTIFS('Asset Inventory'!$C$3:$C$102,A37,'Asset Inventory'!$E$3:$E$102,"Critical")</f>
        <v/>
      </c>
      <c r="J37" s="15">
        <f>IF(I37=0,0,COUNTIFS('Asset Inventory'!$C$3:$C$102,A37,'Asset Inventory'!$E$3:$E$102,"Critical",'Asset Inventory'!$H$3:$H$102,"✅ Defined")/I37*100)</f>
        <v/>
      </c>
      <c r="K37" s="14">
        <f>IF(H37&gt;=90,"✅ Compliant",IF(H37&gt;=60,"⚠️ Partial","❌ Non-Compliant"))</f>
        <v/>
      </c>
      <c r="L37" s="14">
        <f>IF(ISNUMBER(SEARCH("Compliant",K37)),"✅ Coverage target met",IF(F37&gt;0,F37&amp;" assets need baselines started","⏳ Review in-progress baselines"))</f>
        <v/>
      </c>
    </row>
    <row r="38">
      <c r="A38" s="14" t="inlineStr">
        <is>
          <t>SaaS Application</t>
        </is>
      </c>
      <c r="B38" s="14" t="inlineStr">
        <is>
          <t>Cloud</t>
        </is>
      </c>
      <c r="C38" s="14">
        <f>COUNTIF('Asset Inventory'!$C$3:$C$102,A38)</f>
        <v/>
      </c>
      <c r="D38" s="14">
        <f>COUNTIFS('Asset Inventory'!$C$3:$C$102,A38,'Asset Inventory'!$H$3:$H$102,"✅ Defined")</f>
        <v/>
      </c>
      <c r="E38" s="14">
        <f>COUNTIFS('Asset Inventory'!$C$3:$C$102,A38,'Asset Inventory'!$H$3:$H$102,"⏳ In Progress")</f>
        <v/>
      </c>
      <c r="F38" s="14">
        <f>COUNTIFS('Asset Inventory'!$C$3:$C$102,A38,'Asset Inventory'!$H$3:$H$102,"❌ Not Started")</f>
        <v/>
      </c>
      <c r="G38" s="14">
        <f>COUNTIFS('Asset Inventory'!$C$3:$C$102,A38,'Asset Inventory'!$H$3:$H$102,"➖ N/A")</f>
        <v/>
      </c>
      <c r="H38" s="15">
        <f>IF((C38-G38)=0,0,D38/(C38-G38)*100)</f>
        <v/>
      </c>
      <c r="I38" s="14">
        <f>COUNTIFS('Asset Inventory'!$C$3:$C$102,A38,'Asset Inventory'!$E$3:$E$102,"Critical")</f>
        <v/>
      </c>
      <c r="J38" s="15">
        <f>IF(I38=0,0,COUNTIFS('Asset Inventory'!$C$3:$C$102,A38,'Asset Inventory'!$E$3:$E$102,"Critical",'Asset Inventory'!$H$3:$H$102,"✅ Defined")/I38*100)</f>
        <v/>
      </c>
      <c r="K38" s="14">
        <f>IF(H38&gt;=90,"✅ Compliant",IF(H38&gt;=60,"⚠️ Partial","❌ Non-Compliant"))</f>
        <v/>
      </c>
      <c r="L38" s="14">
        <f>IF(ISNUMBER(SEARCH("Compliant",K38)),"✅ Coverage target met",IF(F38&gt;0,F38&amp;" assets need baselines started","⏳ Review in-progress baselines"))</f>
        <v/>
      </c>
    </row>
    <row r="39">
      <c r="A39" s="14" t="inlineStr">
        <is>
          <t>Cloud-Native Application</t>
        </is>
      </c>
      <c r="B39" s="14" t="inlineStr">
        <is>
          <t>Cloud</t>
        </is>
      </c>
      <c r="C39" s="14">
        <f>COUNTIF('Asset Inventory'!$C$3:$C$102,A39)</f>
        <v/>
      </c>
      <c r="D39" s="14">
        <f>COUNTIFS('Asset Inventory'!$C$3:$C$102,A39,'Asset Inventory'!$H$3:$H$102,"✅ Defined")</f>
        <v/>
      </c>
      <c r="E39" s="14">
        <f>COUNTIFS('Asset Inventory'!$C$3:$C$102,A39,'Asset Inventory'!$H$3:$H$102,"⏳ In Progress")</f>
        <v/>
      </c>
      <c r="F39" s="14">
        <f>COUNTIFS('Asset Inventory'!$C$3:$C$102,A39,'Asset Inventory'!$H$3:$H$102,"❌ Not Started")</f>
        <v/>
      </c>
      <c r="G39" s="14">
        <f>COUNTIFS('Asset Inventory'!$C$3:$C$102,A39,'Asset Inventory'!$H$3:$H$102,"➖ N/A")</f>
        <v/>
      </c>
      <c r="H39" s="15">
        <f>IF((C39-G39)=0,0,D39/(C39-G39)*100)</f>
        <v/>
      </c>
      <c r="I39" s="14">
        <f>COUNTIFS('Asset Inventory'!$C$3:$C$102,A39,'Asset Inventory'!$E$3:$E$102,"Critical")</f>
        <v/>
      </c>
      <c r="J39" s="15">
        <f>IF(I39=0,0,COUNTIFS('Asset Inventory'!$C$3:$C$102,A39,'Asset Inventory'!$E$3:$E$102,"Critical",'Asset Inventory'!$H$3:$H$102,"✅ Defined")/I39*100)</f>
        <v/>
      </c>
      <c r="K39" s="14">
        <f>IF(H39&gt;=90,"✅ Compliant",IF(H39&gt;=60,"⚠️ Partial","❌ Non-Compliant"))</f>
        <v/>
      </c>
      <c r="L39" s="14">
        <f>IF(ISNUMBER(SEARCH("Compliant",K39)),"✅ Coverage target met",IF(F39&gt;0,F39&amp;" assets need baselines started","⏳ Review in-progress baselines"))</f>
        <v/>
      </c>
    </row>
    <row r="40">
      <c r="A40" s="14" t="inlineStr">
        <is>
          <t>Serverless Function</t>
        </is>
      </c>
      <c r="B40" s="14" t="inlineStr">
        <is>
          <t>Cloud</t>
        </is>
      </c>
      <c r="C40" s="14">
        <f>COUNTIF('Asset Inventory'!$C$3:$C$102,A40)</f>
        <v/>
      </c>
      <c r="D40" s="14">
        <f>COUNTIFS('Asset Inventory'!$C$3:$C$102,A40,'Asset Inventory'!$H$3:$H$102,"✅ Defined")</f>
        <v/>
      </c>
      <c r="E40" s="14">
        <f>COUNTIFS('Asset Inventory'!$C$3:$C$102,A40,'Asset Inventory'!$H$3:$H$102,"⏳ In Progress")</f>
        <v/>
      </c>
      <c r="F40" s="14">
        <f>COUNTIFS('Asset Inventory'!$C$3:$C$102,A40,'Asset Inventory'!$H$3:$H$102,"❌ Not Started")</f>
        <v/>
      </c>
      <c r="G40" s="14">
        <f>COUNTIFS('Asset Inventory'!$C$3:$C$102,A40,'Asset Inventory'!$H$3:$H$102,"➖ N/A")</f>
        <v/>
      </c>
      <c r="H40" s="15">
        <f>IF((C40-G40)=0,0,D40/(C40-G40)*100)</f>
        <v/>
      </c>
      <c r="I40" s="14">
        <f>COUNTIFS('Asset Inventory'!$C$3:$C$102,A40,'Asset Inventory'!$E$3:$E$102,"Critical")</f>
        <v/>
      </c>
      <c r="J40" s="15">
        <f>IF(I40=0,0,COUNTIFS('Asset Inventory'!$C$3:$C$102,A40,'Asset Inventory'!$E$3:$E$102,"Critical",'Asset Inventory'!$H$3:$H$102,"✅ Defined")/I40*100)</f>
        <v/>
      </c>
      <c r="K40" s="14">
        <f>IF(H40&gt;=90,"✅ Compliant",IF(H40&gt;=60,"⚠️ Partial","❌ Non-Compliant"))</f>
        <v/>
      </c>
      <c r="L40" s="14">
        <f>IF(ISNUMBER(SEARCH("Compliant",K40)),"✅ Coverage target met",IF(F40&gt;0,F40&amp;" assets need baselines started","⏳ Review in-progress baselines"))</f>
        <v/>
      </c>
    </row>
    <row r="41">
      <c r="A41" s="14" t="inlineStr">
        <is>
          <t>IoT Device</t>
        </is>
      </c>
      <c r="B41" s="14" t="inlineStr">
        <is>
          <t>IoT/OT</t>
        </is>
      </c>
      <c r="C41" s="14">
        <f>COUNTIF('Asset Inventory'!$C$3:$C$102,A41)</f>
        <v/>
      </c>
      <c r="D41" s="14">
        <f>COUNTIFS('Asset Inventory'!$C$3:$C$102,A41,'Asset Inventory'!$H$3:$H$102,"✅ Defined")</f>
        <v/>
      </c>
      <c r="E41" s="14">
        <f>COUNTIFS('Asset Inventory'!$C$3:$C$102,A41,'Asset Inventory'!$H$3:$H$102,"⏳ In Progress")</f>
        <v/>
      </c>
      <c r="F41" s="14">
        <f>COUNTIFS('Asset Inventory'!$C$3:$C$102,A41,'Asset Inventory'!$H$3:$H$102,"❌ Not Started")</f>
        <v/>
      </c>
      <c r="G41" s="14">
        <f>COUNTIFS('Asset Inventory'!$C$3:$C$102,A41,'Asset Inventory'!$H$3:$H$102,"➖ N/A")</f>
        <v/>
      </c>
      <c r="H41" s="15">
        <f>IF((C41-G41)=0,0,D41/(C41-G41)*100)</f>
        <v/>
      </c>
      <c r="I41" s="14">
        <f>COUNTIFS('Asset Inventory'!$C$3:$C$102,A41,'Asset Inventory'!$E$3:$E$102,"Critical")</f>
        <v/>
      </c>
      <c r="J41" s="15">
        <f>IF(I41=0,0,COUNTIFS('Asset Inventory'!$C$3:$C$102,A41,'Asset Inventory'!$E$3:$E$102,"Critical",'Asset Inventory'!$H$3:$H$102,"✅ Defined")/I41*100)</f>
        <v/>
      </c>
      <c r="K41" s="14">
        <f>IF(H41&gt;=90,"✅ Compliant",IF(H41&gt;=60,"⚠️ Partial","❌ Non-Compliant"))</f>
        <v/>
      </c>
      <c r="L41" s="14">
        <f>IF(ISNUMBER(SEARCH("Compliant",K41)),"✅ Coverage target met",IF(F41&gt;0,F41&amp;" assets need baselines started","⏳ Review in-progress baselines"))</f>
        <v/>
      </c>
    </row>
    <row r="42">
      <c r="A42" s="14" t="inlineStr">
        <is>
          <t>Industrial Control System (ICS)</t>
        </is>
      </c>
      <c r="B42" s="14" t="inlineStr">
        <is>
          <t>IoT/OT</t>
        </is>
      </c>
      <c r="C42" s="14">
        <f>COUNTIF('Asset Inventory'!$C$3:$C$102,A42)</f>
        <v/>
      </c>
      <c r="D42" s="14">
        <f>COUNTIFS('Asset Inventory'!$C$3:$C$102,A42,'Asset Inventory'!$H$3:$H$102,"✅ Defined")</f>
        <v/>
      </c>
      <c r="E42" s="14">
        <f>COUNTIFS('Asset Inventory'!$C$3:$C$102,A42,'Asset Inventory'!$H$3:$H$102,"⏳ In Progress")</f>
        <v/>
      </c>
      <c r="F42" s="14">
        <f>COUNTIFS('Asset Inventory'!$C$3:$C$102,A42,'Asset Inventory'!$H$3:$H$102,"❌ Not Started")</f>
        <v/>
      </c>
      <c r="G42" s="14">
        <f>COUNTIFS('Asset Inventory'!$C$3:$C$102,A42,'Asset Inventory'!$H$3:$H$102,"➖ N/A")</f>
        <v/>
      </c>
      <c r="H42" s="15">
        <f>IF((C42-G42)=0,0,D42/(C42-G42)*100)</f>
        <v/>
      </c>
      <c r="I42" s="14">
        <f>COUNTIFS('Asset Inventory'!$C$3:$C$102,A42,'Asset Inventory'!$E$3:$E$102,"Critical")</f>
        <v/>
      </c>
      <c r="J42" s="15">
        <f>IF(I42=0,0,COUNTIFS('Asset Inventory'!$C$3:$C$102,A42,'Asset Inventory'!$E$3:$E$102,"Critical",'Asset Inventory'!$H$3:$H$102,"✅ Defined")/I42*100)</f>
        <v/>
      </c>
      <c r="K42" s="14">
        <f>IF(H42&gt;=90,"✅ Compliant",IF(H42&gt;=60,"⚠️ Partial","❌ Non-Compliant"))</f>
        <v/>
      </c>
      <c r="L42" s="14">
        <f>IF(ISNUMBER(SEARCH("Compliant",K42)),"✅ Coverage target met",IF(F42&gt;0,F42&amp;" assets need baselines started","⏳ Review in-progress baselines"))</f>
        <v/>
      </c>
    </row>
    <row r="43">
      <c r="A43" s="14" t="inlineStr">
        <is>
          <t>SCADA System</t>
        </is>
      </c>
      <c r="B43" s="14" t="inlineStr">
        <is>
          <t>IoT/OT</t>
        </is>
      </c>
      <c r="C43" s="14">
        <f>COUNTIF('Asset Inventory'!$C$3:$C$102,A43)</f>
        <v/>
      </c>
      <c r="D43" s="14">
        <f>COUNTIFS('Asset Inventory'!$C$3:$C$102,A43,'Asset Inventory'!$H$3:$H$102,"✅ Defined")</f>
        <v/>
      </c>
      <c r="E43" s="14">
        <f>COUNTIFS('Asset Inventory'!$C$3:$C$102,A43,'Asset Inventory'!$H$3:$H$102,"⏳ In Progress")</f>
        <v/>
      </c>
      <c r="F43" s="14">
        <f>COUNTIFS('Asset Inventory'!$C$3:$C$102,A43,'Asset Inventory'!$H$3:$H$102,"❌ Not Started")</f>
        <v/>
      </c>
      <c r="G43" s="14">
        <f>COUNTIFS('Asset Inventory'!$C$3:$C$102,A43,'Asset Inventory'!$H$3:$H$102,"➖ N/A")</f>
        <v/>
      </c>
      <c r="H43" s="15">
        <f>IF((C43-G43)=0,0,D43/(C43-G43)*100)</f>
        <v/>
      </c>
      <c r="I43" s="14">
        <f>COUNTIFS('Asset Inventory'!$C$3:$C$102,A43,'Asset Inventory'!$E$3:$E$102,"Critical")</f>
        <v/>
      </c>
      <c r="J43" s="15">
        <f>IF(I43=0,0,COUNTIFS('Asset Inventory'!$C$3:$C$102,A43,'Asset Inventory'!$E$3:$E$102,"Critical",'Asset Inventory'!$H$3:$H$102,"✅ Defined")/I43*100)</f>
        <v/>
      </c>
      <c r="K43" s="14">
        <f>IF(H43&gt;=90,"✅ Compliant",IF(H43&gt;=60,"⚠️ Partial","❌ Non-Compliant"))</f>
        <v/>
      </c>
      <c r="L43" s="14">
        <f>IF(ISNUMBER(SEARCH("Compliant",K43)),"✅ Coverage target met",IF(F43&gt;0,F43&amp;" assets need baselines started","⏳ Review in-progress baselines"))</f>
        <v/>
      </c>
    </row>
    <row r="44">
      <c r="A44" s="14" t="inlineStr">
        <is>
          <t>Building Management System (BMS)</t>
        </is>
      </c>
      <c r="B44" s="14" t="inlineStr">
        <is>
          <t>IoT/OT</t>
        </is>
      </c>
      <c r="C44" s="14">
        <f>COUNTIF('Asset Inventory'!$C$3:$C$102,A44)</f>
        <v/>
      </c>
      <c r="D44" s="14">
        <f>COUNTIFS('Asset Inventory'!$C$3:$C$102,A44,'Asset Inventory'!$H$3:$H$102,"✅ Defined")</f>
        <v/>
      </c>
      <c r="E44" s="14">
        <f>COUNTIFS('Asset Inventory'!$C$3:$C$102,A44,'Asset Inventory'!$H$3:$H$102,"⏳ In Progress")</f>
        <v/>
      </c>
      <c r="F44" s="14">
        <f>COUNTIFS('Asset Inventory'!$C$3:$C$102,A44,'Asset Inventory'!$H$3:$H$102,"❌ Not Started")</f>
        <v/>
      </c>
      <c r="G44" s="14">
        <f>COUNTIFS('Asset Inventory'!$C$3:$C$102,A44,'Asset Inventory'!$H$3:$H$102,"➖ N/A")</f>
        <v/>
      </c>
      <c r="H44" s="15">
        <f>IF((C44-G44)=0,0,D44/(C44-G44)*100)</f>
        <v/>
      </c>
      <c r="I44" s="14">
        <f>COUNTIFS('Asset Inventory'!$C$3:$C$102,A44,'Asset Inventory'!$E$3:$E$102,"Critical")</f>
        <v/>
      </c>
      <c r="J44" s="15">
        <f>IF(I44=0,0,COUNTIFS('Asset Inventory'!$C$3:$C$102,A44,'Asset Inventory'!$E$3:$E$102,"Critical",'Asset Inventory'!$H$3:$H$102,"✅ Defined")/I44*100)</f>
        <v/>
      </c>
      <c r="K44" s="14">
        <f>IF(H44&gt;=90,"✅ Compliant",IF(H44&gt;=60,"⚠️ Partial","❌ Non-Compliant"))</f>
        <v/>
      </c>
      <c r="L44" s="14">
        <f>IF(ISNUMBER(SEARCH("Compliant",K44)),"✅ Coverage target met",IF(F44&gt;0,F44&amp;" assets need baselines started","⏳ Review in-progress baselines"))</f>
        <v/>
      </c>
    </row>
    <row r="45">
      <c r="A45" s="14" t="inlineStr">
        <is>
          <t>Medical Device</t>
        </is>
      </c>
      <c r="B45" s="14" t="inlineStr">
        <is>
          <t>IoT/OT</t>
        </is>
      </c>
      <c r="C45" s="14">
        <f>COUNTIF('Asset Inventory'!$C$3:$C$102,A45)</f>
        <v/>
      </c>
      <c r="D45" s="14">
        <f>COUNTIFS('Asset Inventory'!$C$3:$C$102,A45,'Asset Inventory'!$H$3:$H$102,"✅ Defined")</f>
        <v/>
      </c>
      <c r="E45" s="14">
        <f>COUNTIFS('Asset Inventory'!$C$3:$C$102,A45,'Asset Inventory'!$H$3:$H$102,"⏳ In Progress")</f>
        <v/>
      </c>
      <c r="F45" s="14">
        <f>COUNTIFS('Asset Inventory'!$C$3:$C$102,A45,'Asset Inventory'!$H$3:$H$102,"❌ Not Started")</f>
        <v/>
      </c>
      <c r="G45" s="14">
        <f>COUNTIFS('Asset Inventory'!$C$3:$C$102,A45,'Asset Inventory'!$H$3:$H$102,"➖ N/A")</f>
        <v/>
      </c>
      <c r="H45" s="15">
        <f>IF((C45-G45)=0,0,D45/(C45-G45)*100)</f>
        <v/>
      </c>
      <c r="I45" s="14">
        <f>COUNTIFS('Asset Inventory'!$C$3:$C$102,A45,'Asset Inventory'!$E$3:$E$102,"Critical")</f>
        <v/>
      </c>
      <c r="J45" s="15">
        <f>IF(I45=0,0,COUNTIFS('Asset Inventory'!$C$3:$C$102,A45,'Asset Inventory'!$E$3:$E$102,"Critical",'Asset Inventory'!$H$3:$H$102,"✅ Defined")/I45*100)</f>
        <v/>
      </c>
      <c r="K45" s="14">
        <f>IF(H45&gt;=90,"✅ Compliant",IF(H45&gt;=60,"⚠️ Partial","❌ Non-Compliant"))</f>
        <v/>
      </c>
      <c r="L45" s="14">
        <f>IF(ISNUMBER(SEARCH("Compliant",K45)),"✅ Coverage target met",IF(F45&gt;0,F45&amp;" assets need baselines started","⏳ Review in-progress baselines"))</f>
        <v/>
      </c>
    </row>
    <row r="46">
      <c r="A46" s="16" t="inlineStr">
        <is>
          <t>TOTAL / OVERALL</t>
        </is>
      </c>
      <c r="C46" s="16">
        <f>SUM(C3:C45)</f>
        <v/>
      </c>
      <c r="D46" s="16">
        <f>SUM(D3:D45)</f>
        <v/>
      </c>
      <c r="E46" s="16">
        <f>SUM(E3:E45)</f>
        <v/>
      </c>
      <c r="F46" s="16">
        <f>SUM(F3:F45)</f>
        <v/>
      </c>
      <c r="G46" s="16">
        <f>SUM(G3:G45)</f>
        <v/>
      </c>
      <c r="H46" s="17">
        <f>IF((C46-G46)=0,0,D46/(C46-G46)*100)</f>
        <v/>
      </c>
      <c r="I46" s="16">
        <f>SUM(I3:I45)</f>
        <v/>
      </c>
      <c r="J46" s="17">
        <f>IF(I46=0,0,COUNTIFS('Asset Inventory'!$E$3:$E$102,"Critical",'Asset Inventory'!$H$3:$H$102,"✅ Defined")/I46*100)</f>
        <v/>
      </c>
      <c r="K46" s="16">
        <f>IF(H46&gt;=85,"✅ Compliant",IF(H46&gt;=70,"⚠️ Partial","❌ Non-Compliant"))</f>
        <v/>
      </c>
    </row>
  </sheetData>
  <mergeCells count="1">
    <mergeCell ref="A1:L1"/>
  </mergeCells>
  <conditionalFormatting sqref="H3:H46">
    <cfRule type="cellIs" priority="1" operator="greaterThanOrEqual" dxfId="0">
      <formula>90</formula>
    </cfRule>
    <cfRule type="cellIs" priority="2" operator="between" dxfId="1">
      <formula>60</formula>
      <formula>89.9</formula>
    </cfRule>
    <cfRule type="cellIs" priority="3" operator="lessThan" dxfId="2">
      <formula>60</formula>
    </cfRule>
  </conditionalFormatting>
  <conditionalFormatting sqref="J3:J46">
    <cfRule type="cellIs" priority="4" operator="greaterThanOrEqual" dxfId="0">
      <formula>95</formula>
    </cfRule>
    <cfRule type="cellIs" priority="5" operator="between" dxfId="1">
      <formula>80</formula>
      <formula>94.9</formula>
    </cfRule>
    <cfRule type="cellIs" priority="6" operator="lessThan" dxfId="2">
      <formula>80</formula>
    </cfRule>
  </conditionalFormatting>
  <conditionalFormatting sqref="K3:K46">
    <cfRule type="cellIs" priority="7" operator="equal" dxfId="6">
      <formula>"✅ Compliant"</formula>
    </cfRule>
    <cfRule type="cellIs" priority="8" operator="equal" dxfId="7">
      <formula>"⚠️ Partial"</formula>
    </cfRule>
    <cfRule type="cellIs" priority="9" operator="equal" dxfId="8">
      <formula>"❌ Non-Compliant"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21" t="inlineStr">
        <is>
          <t>EV-002</t>
        </is>
      </c>
      <c r="B6" s="22" t="n"/>
      <c r="C6" s="22" t="n"/>
      <c r="D6" s="22" t="n"/>
      <c r="E6" s="22" t="n"/>
      <c r="F6" s="22" t="n"/>
      <c r="G6" s="22" t="n"/>
      <c r="H6" s="22" t="n"/>
    </row>
    <row r="7">
      <c r="A7" s="21" t="inlineStr">
        <is>
          <t>EV-003</t>
        </is>
      </c>
      <c r="B7" s="22" t="n"/>
      <c r="C7" s="22" t="n"/>
      <c r="D7" s="22" t="n"/>
      <c r="E7" s="22" t="n"/>
      <c r="F7" s="22" t="n"/>
      <c r="G7" s="22" t="n"/>
      <c r="H7" s="22" t="n"/>
    </row>
    <row r="8">
      <c r="A8" s="21" t="inlineStr">
        <is>
          <t>EV-004</t>
        </is>
      </c>
      <c r="B8" s="22" t="n"/>
      <c r="C8" s="22" t="n"/>
      <c r="D8" s="22" t="n"/>
      <c r="E8" s="22" t="n"/>
      <c r="F8" s="22" t="n"/>
      <c r="G8" s="22" t="n"/>
      <c r="H8" s="22" t="n"/>
    </row>
    <row r="9">
      <c r="A9" s="21" t="inlineStr">
        <is>
          <t>EV-005</t>
        </is>
      </c>
      <c r="B9" s="22" t="n"/>
      <c r="C9" s="22" t="n"/>
      <c r="D9" s="22" t="n"/>
      <c r="E9" s="22" t="n"/>
      <c r="F9" s="22" t="n"/>
      <c r="G9" s="22" t="n"/>
      <c r="H9" s="22" t="n"/>
    </row>
    <row r="10">
      <c r="A10" s="21" t="inlineStr">
        <is>
          <t>EV-006</t>
        </is>
      </c>
      <c r="B10" s="22" t="n"/>
      <c r="C10" s="22" t="n"/>
      <c r="D10" s="22" t="n"/>
      <c r="E10" s="22" t="n"/>
      <c r="F10" s="22" t="n"/>
      <c r="G10" s="22" t="n"/>
      <c r="H10" s="22" t="n"/>
    </row>
    <row r="11">
      <c r="A11" s="21" t="inlineStr">
        <is>
          <t>EV-007</t>
        </is>
      </c>
      <c r="B11" s="22" t="n"/>
      <c r="C11" s="22" t="n"/>
      <c r="D11" s="22" t="n"/>
      <c r="E11" s="22" t="n"/>
      <c r="F11" s="22" t="n"/>
      <c r="G11" s="22" t="n"/>
      <c r="H11" s="22" t="n"/>
    </row>
    <row r="12">
      <c r="A12" s="21" t="inlineStr">
        <is>
          <t>EV-008</t>
        </is>
      </c>
      <c r="B12" s="22" t="n"/>
      <c r="C12" s="22" t="n"/>
      <c r="D12" s="22" t="n"/>
      <c r="E12" s="22" t="n"/>
      <c r="F12" s="22" t="n"/>
      <c r="G12" s="22" t="n"/>
      <c r="H12" s="22" t="n"/>
    </row>
    <row r="13">
      <c r="A13" s="21" t="inlineStr">
        <is>
          <t>EV-009</t>
        </is>
      </c>
      <c r="B13" s="22" t="n"/>
      <c r="C13" s="22" t="n"/>
      <c r="D13" s="22" t="n"/>
      <c r="E13" s="22" t="n"/>
      <c r="F13" s="22" t="n"/>
      <c r="G13" s="22" t="n"/>
      <c r="H13" s="22" t="n"/>
    </row>
    <row r="14">
      <c r="A14" s="21" t="inlineStr">
        <is>
          <t>EV-010</t>
        </is>
      </c>
      <c r="B14" s="22" t="n"/>
      <c r="C14" s="22" t="n"/>
      <c r="D14" s="22" t="n"/>
      <c r="E14" s="22" t="n"/>
      <c r="F14" s="22" t="n"/>
      <c r="G14" s="22" t="n"/>
      <c r="H14" s="22" t="n"/>
    </row>
    <row r="15">
      <c r="A15" s="21" t="inlineStr">
        <is>
          <t>EV-011</t>
        </is>
      </c>
      <c r="B15" s="22" t="n"/>
      <c r="C15" s="22" t="n"/>
      <c r="D15" s="22" t="n"/>
      <c r="E15" s="22" t="n"/>
      <c r="F15" s="22" t="n"/>
      <c r="G15" s="22" t="n"/>
      <c r="H15" s="22" t="n"/>
    </row>
    <row r="16">
      <c r="A16" s="21" t="inlineStr">
        <is>
          <t>EV-012</t>
        </is>
      </c>
      <c r="B16" s="22" t="n"/>
      <c r="C16" s="22" t="n"/>
      <c r="D16" s="22" t="n"/>
      <c r="E16" s="22" t="n"/>
      <c r="F16" s="22" t="n"/>
      <c r="G16" s="22" t="n"/>
      <c r="H16" s="22" t="n"/>
    </row>
    <row r="17">
      <c r="A17" s="21" t="inlineStr">
        <is>
          <t>EV-013</t>
        </is>
      </c>
      <c r="B17" s="22" t="n"/>
      <c r="C17" s="22" t="n"/>
      <c r="D17" s="22" t="n"/>
      <c r="E17" s="22" t="n"/>
      <c r="F17" s="22" t="n"/>
      <c r="G17" s="22" t="n"/>
      <c r="H17" s="22" t="n"/>
    </row>
    <row r="18">
      <c r="A18" s="21" t="inlineStr">
        <is>
          <t>EV-014</t>
        </is>
      </c>
      <c r="B18" s="22" t="n"/>
      <c r="C18" s="22" t="n"/>
      <c r="D18" s="22" t="n"/>
      <c r="E18" s="22" t="n"/>
      <c r="F18" s="22" t="n"/>
      <c r="G18" s="22" t="n"/>
      <c r="H18" s="22" t="n"/>
    </row>
    <row r="19">
      <c r="A19" s="21" t="inlineStr">
        <is>
          <t>EV-015</t>
        </is>
      </c>
      <c r="B19" s="22" t="n"/>
      <c r="C19" s="22" t="n"/>
      <c r="D19" s="22" t="n"/>
      <c r="E19" s="22" t="n"/>
      <c r="F19" s="22" t="n"/>
      <c r="G19" s="22" t="n"/>
      <c r="H19" s="22" t="n"/>
    </row>
    <row r="20">
      <c r="A20" s="21" t="inlineStr">
        <is>
          <t>EV-016</t>
        </is>
      </c>
      <c r="B20" s="22" t="n"/>
      <c r="C20" s="22" t="n"/>
      <c r="D20" s="22" t="n"/>
      <c r="E20" s="22" t="n"/>
      <c r="F20" s="22" t="n"/>
      <c r="G20" s="22" t="n"/>
      <c r="H20" s="22" t="n"/>
    </row>
    <row r="21">
      <c r="A21" s="21" t="inlineStr">
        <is>
          <t>EV-017</t>
        </is>
      </c>
      <c r="B21" s="22" t="n"/>
      <c r="C21" s="22" t="n"/>
      <c r="D21" s="22" t="n"/>
      <c r="E21" s="22" t="n"/>
      <c r="F21" s="22" t="n"/>
      <c r="G21" s="22" t="n"/>
      <c r="H21" s="22" t="n"/>
    </row>
    <row r="22">
      <c r="A22" s="21" t="inlineStr">
        <is>
          <t>EV-018</t>
        </is>
      </c>
      <c r="B22" s="22" t="n"/>
      <c r="C22" s="22" t="n"/>
      <c r="D22" s="22" t="n"/>
      <c r="E22" s="22" t="n"/>
      <c r="F22" s="22" t="n"/>
      <c r="G22" s="22" t="n"/>
      <c r="H22" s="22" t="n"/>
    </row>
    <row r="23">
      <c r="A23" s="21" t="inlineStr">
        <is>
          <t>EV-019</t>
        </is>
      </c>
      <c r="B23" s="22" t="n"/>
      <c r="C23" s="22" t="n"/>
      <c r="D23" s="22" t="n"/>
      <c r="E23" s="22" t="n"/>
      <c r="F23" s="22" t="n"/>
      <c r="G23" s="22" t="n"/>
      <c r="H23" s="22" t="n"/>
    </row>
    <row r="24">
      <c r="A24" s="21" t="inlineStr">
        <is>
          <t>EV-020</t>
        </is>
      </c>
      <c r="B24" s="22" t="n"/>
      <c r="C24" s="22" t="n"/>
      <c r="D24" s="22" t="n"/>
      <c r="E24" s="22" t="n"/>
      <c r="F24" s="22" t="n"/>
      <c r="G24" s="22" t="n"/>
      <c r="H24" s="22" t="n"/>
    </row>
    <row r="25">
      <c r="A25" s="21" t="inlineStr">
        <is>
          <t>EV-021</t>
        </is>
      </c>
      <c r="B25" s="22" t="n"/>
      <c r="C25" s="22" t="n"/>
      <c r="D25" s="22" t="n"/>
      <c r="E25" s="22" t="n"/>
      <c r="F25" s="22" t="n"/>
      <c r="G25" s="22" t="n"/>
      <c r="H25" s="22" t="n"/>
    </row>
    <row r="26">
      <c r="A26" s="21" t="inlineStr">
        <is>
          <t>EV-022</t>
        </is>
      </c>
      <c r="B26" s="22" t="n"/>
      <c r="C26" s="22" t="n"/>
      <c r="D26" s="22" t="n"/>
      <c r="E26" s="22" t="n"/>
      <c r="F26" s="22" t="n"/>
      <c r="G26" s="22" t="n"/>
      <c r="H26" s="22" t="n"/>
    </row>
    <row r="27">
      <c r="A27" s="21" t="inlineStr">
        <is>
          <t>EV-023</t>
        </is>
      </c>
      <c r="B27" s="22" t="n"/>
      <c r="C27" s="22" t="n"/>
      <c r="D27" s="22" t="n"/>
      <c r="E27" s="22" t="n"/>
      <c r="F27" s="22" t="n"/>
      <c r="G27" s="22" t="n"/>
      <c r="H27" s="22" t="n"/>
    </row>
    <row r="28">
      <c r="A28" s="21" t="inlineStr">
        <is>
          <t>EV-024</t>
        </is>
      </c>
      <c r="B28" s="22" t="n"/>
      <c r="C28" s="22" t="n"/>
      <c r="D28" s="22" t="n"/>
      <c r="E28" s="22" t="n"/>
      <c r="F28" s="22" t="n"/>
      <c r="G28" s="22" t="n"/>
      <c r="H28" s="22" t="n"/>
    </row>
    <row r="29">
      <c r="A29" s="21" t="inlineStr">
        <is>
          <t>EV-025</t>
        </is>
      </c>
      <c r="B29" s="22" t="n"/>
      <c r="C29" s="22" t="n"/>
      <c r="D29" s="22" t="n"/>
      <c r="E29" s="22" t="n"/>
      <c r="F29" s="22" t="n"/>
      <c r="G29" s="22" t="n"/>
      <c r="H29" s="22" t="n"/>
    </row>
    <row r="30">
      <c r="A30" s="21" t="inlineStr">
        <is>
          <t>EV-026</t>
        </is>
      </c>
      <c r="B30" s="22" t="n"/>
      <c r="C30" s="22" t="n"/>
      <c r="D30" s="22" t="n"/>
      <c r="E30" s="22" t="n"/>
      <c r="F30" s="22" t="n"/>
      <c r="G30" s="22" t="n"/>
      <c r="H30" s="22" t="n"/>
    </row>
    <row r="31">
      <c r="A31" s="21" t="inlineStr">
        <is>
          <t>EV-027</t>
        </is>
      </c>
      <c r="B31" s="22" t="n"/>
      <c r="C31" s="22" t="n"/>
      <c r="D31" s="22" t="n"/>
      <c r="E31" s="22" t="n"/>
      <c r="F31" s="22" t="n"/>
      <c r="G31" s="22" t="n"/>
      <c r="H31" s="22" t="n"/>
    </row>
    <row r="32">
      <c r="A32" s="21" t="inlineStr">
        <is>
          <t>EV-028</t>
        </is>
      </c>
      <c r="B32" s="22" t="n"/>
      <c r="C32" s="22" t="n"/>
      <c r="D32" s="22" t="n"/>
      <c r="E32" s="22" t="n"/>
      <c r="F32" s="22" t="n"/>
      <c r="G32" s="22" t="n"/>
      <c r="H32" s="22" t="n"/>
    </row>
    <row r="33">
      <c r="A33" s="21" t="inlineStr">
        <is>
          <t>EV-029</t>
        </is>
      </c>
      <c r="B33" s="22" t="n"/>
      <c r="C33" s="22" t="n"/>
      <c r="D33" s="22" t="n"/>
      <c r="E33" s="22" t="n"/>
      <c r="F33" s="22" t="n"/>
      <c r="G33" s="22" t="n"/>
      <c r="H33" s="22" t="n"/>
    </row>
    <row r="34">
      <c r="A34" s="21" t="inlineStr">
        <is>
          <t>EV-030</t>
        </is>
      </c>
      <c r="B34" s="22" t="n"/>
      <c r="C34" s="22" t="n"/>
      <c r="D34" s="22" t="n"/>
      <c r="E34" s="22" t="n"/>
      <c r="F34" s="22" t="n"/>
      <c r="G34" s="22" t="n"/>
      <c r="H34" s="22" t="n"/>
    </row>
    <row r="35">
      <c r="A35" s="21" t="inlineStr">
        <is>
          <t>EV-031</t>
        </is>
      </c>
      <c r="B35" s="22" t="n"/>
      <c r="C35" s="22" t="n"/>
      <c r="D35" s="22" t="n"/>
      <c r="E35" s="22" t="n"/>
      <c r="F35" s="22" t="n"/>
      <c r="G35" s="22" t="n"/>
      <c r="H35" s="22" t="n"/>
    </row>
    <row r="36">
      <c r="A36" s="21" t="inlineStr">
        <is>
          <t>EV-032</t>
        </is>
      </c>
      <c r="B36" s="22" t="n"/>
      <c r="C36" s="22" t="n"/>
      <c r="D36" s="22" t="n"/>
      <c r="E36" s="22" t="n"/>
      <c r="F36" s="22" t="n"/>
      <c r="G36" s="22" t="n"/>
      <c r="H36" s="22" t="n"/>
    </row>
    <row r="37">
      <c r="A37" s="21" t="inlineStr">
        <is>
          <t>EV-033</t>
        </is>
      </c>
      <c r="B37" s="22" t="n"/>
      <c r="C37" s="22" t="n"/>
      <c r="D37" s="22" t="n"/>
      <c r="E37" s="22" t="n"/>
      <c r="F37" s="22" t="n"/>
      <c r="G37" s="22" t="n"/>
      <c r="H37" s="22" t="n"/>
    </row>
    <row r="38">
      <c r="A38" s="21" t="inlineStr">
        <is>
          <t>EV-034</t>
        </is>
      </c>
      <c r="B38" s="22" t="n"/>
      <c r="C38" s="22" t="n"/>
      <c r="D38" s="22" t="n"/>
      <c r="E38" s="22" t="n"/>
      <c r="F38" s="22" t="n"/>
      <c r="G38" s="22" t="n"/>
      <c r="H38" s="22" t="n"/>
    </row>
    <row r="39">
      <c r="A39" s="21" t="inlineStr">
        <is>
          <t>EV-035</t>
        </is>
      </c>
      <c r="B39" s="22" t="n"/>
      <c r="C39" s="22" t="n"/>
      <c r="D39" s="22" t="n"/>
      <c r="E39" s="22" t="n"/>
      <c r="F39" s="22" t="n"/>
      <c r="G39" s="22" t="n"/>
      <c r="H39" s="22" t="n"/>
    </row>
    <row r="40">
      <c r="A40" s="21" t="inlineStr">
        <is>
          <t>EV-036</t>
        </is>
      </c>
      <c r="B40" s="22" t="n"/>
      <c r="C40" s="22" t="n"/>
      <c r="D40" s="22" t="n"/>
      <c r="E40" s="22" t="n"/>
      <c r="F40" s="22" t="n"/>
      <c r="G40" s="22" t="n"/>
      <c r="H40" s="22" t="n"/>
    </row>
    <row r="41">
      <c r="A41" s="21" t="inlineStr">
        <is>
          <t>EV-037</t>
        </is>
      </c>
      <c r="B41" s="22" t="n"/>
      <c r="C41" s="22" t="n"/>
      <c r="D41" s="22" t="n"/>
      <c r="E41" s="22" t="n"/>
      <c r="F41" s="22" t="n"/>
      <c r="G41" s="22" t="n"/>
      <c r="H41" s="22" t="n"/>
    </row>
    <row r="42">
      <c r="A42" s="21" t="inlineStr">
        <is>
          <t>EV-038</t>
        </is>
      </c>
      <c r="B42" s="22" t="n"/>
      <c r="C42" s="22" t="n"/>
      <c r="D42" s="22" t="n"/>
      <c r="E42" s="22" t="n"/>
      <c r="F42" s="22" t="n"/>
      <c r="G42" s="22" t="n"/>
      <c r="H42" s="22" t="n"/>
    </row>
    <row r="43">
      <c r="A43" s="21" t="inlineStr">
        <is>
          <t>EV-039</t>
        </is>
      </c>
      <c r="B43" s="22" t="n"/>
      <c r="C43" s="22" t="n"/>
      <c r="D43" s="22" t="n"/>
      <c r="E43" s="22" t="n"/>
      <c r="F43" s="22" t="n"/>
      <c r="G43" s="22" t="n"/>
      <c r="H43" s="22" t="n"/>
    </row>
    <row r="44">
      <c r="A44" s="21" t="inlineStr">
        <is>
          <t>EV-040</t>
        </is>
      </c>
      <c r="B44" s="22" t="n"/>
      <c r="C44" s="22" t="n"/>
      <c r="D44" s="22" t="n"/>
      <c r="E44" s="22" t="n"/>
      <c r="F44" s="22" t="n"/>
      <c r="G44" s="22" t="n"/>
      <c r="H44" s="22" t="n"/>
    </row>
    <row r="45">
      <c r="A45" s="21" t="inlineStr">
        <is>
          <t>EV-041</t>
        </is>
      </c>
      <c r="B45" s="22" t="n"/>
      <c r="C45" s="22" t="n"/>
      <c r="D45" s="22" t="n"/>
      <c r="E45" s="22" t="n"/>
      <c r="F45" s="22" t="n"/>
      <c r="G45" s="22" t="n"/>
      <c r="H45" s="22" t="n"/>
    </row>
    <row r="46">
      <c r="A46" s="21" t="inlineStr">
        <is>
          <t>EV-042</t>
        </is>
      </c>
      <c r="B46" s="22" t="n"/>
      <c r="C46" s="22" t="n"/>
      <c r="D46" s="22" t="n"/>
      <c r="E46" s="22" t="n"/>
      <c r="F46" s="22" t="n"/>
      <c r="G46" s="22" t="n"/>
      <c r="H46" s="22" t="n"/>
    </row>
    <row r="47">
      <c r="A47" s="21" t="inlineStr">
        <is>
          <t>EV-043</t>
        </is>
      </c>
      <c r="B47" s="22" t="n"/>
      <c r="C47" s="22" t="n"/>
      <c r="D47" s="22" t="n"/>
      <c r="E47" s="22" t="n"/>
      <c r="F47" s="22" t="n"/>
      <c r="G47" s="22" t="n"/>
      <c r="H47" s="22" t="n"/>
    </row>
    <row r="48">
      <c r="A48" s="21" t="inlineStr">
        <is>
          <t>EV-044</t>
        </is>
      </c>
      <c r="B48" s="22" t="n"/>
      <c r="C48" s="22" t="n"/>
      <c r="D48" s="22" t="n"/>
      <c r="E48" s="22" t="n"/>
      <c r="F48" s="22" t="n"/>
      <c r="G48" s="22" t="n"/>
      <c r="H48" s="22" t="n"/>
    </row>
    <row r="49">
      <c r="A49" s="21" t="inlineStr">
        <is>
          <t>EV-045</t>
        </is>
      </c>
      <c r="B49" s="22" t="n"/>
      <c r="C49" s="22" t="n"/>
      <c r="D49" s="22" t="n"/>
      <c r="E49" s="22" t="n"/>
      <c r="F49" s="22" t="n"/>
      <c r="G49" s="22" t="n"/>
      <c r="H49" s="22" t="n"/>
    </row>
    <row r="50">
      <c r="A50" s="21" t="inlineStr">
        <is>
          <t>EV-046</t>
        </is>
      </c>
      <c r="B50" s="22" t="n"/>
      <c r="C50" s="22" t="n"/>
      <c r="D50" s="22" t="n"/>
      <c r="E50" s="22" t="n"/>
      <c r="F50" s="22" t="n"/>
      <c r="G50" s="22" t="n"/>
      <c r="H50" s="22" t="n"/>
    </row>
    <row r="51">
      <c r="A51" s="21" t="inlineStr">
        <is>
          <t>EV-047</t>
        </is>
      </c>
      <c r="B51" s="22" t="n"/>
      <c r="C51" s="22" t="n"/>
      <c r="D51" s="22" t="n"/>
      <c r="E51" s="22" t="n"/>
      <c r="F51" s="22" t="n"/>
      <c r="G51" s="22" t="n"/>
      <c r="H51" s="22" t="n"/>
    </row>
    <row r="52">
      <c r="A52" s="21" t="inlineStr">
        <is>
          <t>EV-048</t>
        </is>
      </c>
      <c r="B52" s="22" t="n"/>
      <c r="C52" s="22" t="n"/>
      <c r="D52" s="22" t="n"/>
      <c r="E52" s="22" t="n"/>
      <c r="F52" s="22" t="n"/>
      <c r="G52" s="22" t="n"/>
      <c r="H52" s="22" t="n"/>
    </row>
    <row r="53">
      <c r="A53" s="21" t="inlineStr">
        <is>
          <t>EV-049</t>
        </is>
      </c>
      <c r="B53" s="22" t="n"/>
      <c r="C53" s="22" t="n"/>
      <c r="D53" s="22" t="n"/>
      <c r="E53" s="22" t="n"/>
      <c r="F53" s="22" t="n"/>
      <c r="G53" s="22" t="n"/>
      <c r="H53" s="22" t="n"/>
    </row>
    <row r="54">
      <c r="A54" s="21" t="inlineStr">
        <is>
          <t>EV-050</t>
        </is>
      </c>
      <c r="B54" s="22" t="n"/>
      <c r="C54" s="22" t="n"/>
      <c r="D54" s="22" t="n"/>
      <c r="E54" s="22" t="n"/>
      <c r="F54" s="22" t="n"/>
      <c r="G54" s="22" t="n"/>
      <c r="H54" s="22" t="n"/>
    </row>
    <row r="55">
      <c r="A55" s="21" t="inlineStr">
        <is>
          <t>EV-051</t>
        </is>
      </c>
      <c r="B55" s="22" t="n"/>
      <c r="C55" s="22" t="n"/>
      <c r="D55" s="22" t="n"/>
      <c r="E55" s="22" t="n"/>
      <c r="F55" s="22" t="n"/>
      <c r="G55" s="22" t="n"/>
      <c r="H55" s="22" t="n"/>
    </row>
    <row r="56">
      <c r="A56" s="21" t="inlineStr">
        <is>
          <t>EV-052</t>
        </is>
      </c>
      <c r="B56" s="22" t="n"/>
      <c r="C56" s="22" t="n"/>
      <c r="D56" s="22" t="n"/>
      <c r="E56" s="22" t="n"/>
      <c r="F56" s="22" t="n"/>
      <c r="G56" s="22" t="n"/>
      <c r="H56" s="22" t="n"/>
    </row>
    <row r="57">
      <c r="A57" s="21" t="inlineStr">
        <is>
          <t>EV-053</t>
        </is>
      </c>
      <c r="B57" s="22" t="n"/>
      <c r="C57" s="22" t="n"/>
      <c r="D57" s="22" t="n"/>
      <c r="E57" s="22" t="n"/>
      <c r="F57" s="22" t="n"/>
      <c r="G57" s="22" t="n"/>
      <c r="H57" s="22" t="n"/>
    </row>
    <row r="58">
      <c r="A58" s="21" t="inlineStr">
        <is>
          <t>EV-054</t>
        </is>
      </c>
      <c r="B58" s="22" t="n"/>
      <c r="C58" s="22" t="n"/>
      <c r="D58" s="22" t="n"/>
      <c r="E58" s="22" t="n"/>
      <c r="F58" s="22" t="n"/>
      <c r="G58" s="22" t="n"/>
      <c r="H58" s="22" t="n"/>
    </row>
    <row r="59">
      <c r="A59" s="21" t="inlineStr">
        <is>
          <t>EV-055</t>
        </is>
      </c>
      <c r="B59" s="22" t="n"/>
      <c r="C59" s="22" t="n"/>
      <c r="D59" s="22" t="n"/>
      <c r="E59" s="22" t="n"/>
      <c r="F59" s="22" t="n"/>
      <c r="G59" s="22" t="n"/>
      <c r="H59" s="22" t="n"/>
    </row>
    <row r="60">
      <c r="A60" s="21" t="inlineStr">
        <is>
          <t>EV-056</t>
        </is>
      </c>
      <c r="B60" s="22" t="n"/>
      <c r="C60" s="22" t="n"/>
      <c r="D60" s="22" t="n"/>
      <c r="E60" s="22" t="n"/>
      <c r="F60" s="22" t="n"/>
      <c r="G60" s="22" t="n"/>
      <c r="H60" s="22" t="n"/>
    </row>
    <row r="61">
      <c r="A61" s="21" t="inlineStr">
        <is>
          <t>EV-057</t>
        </is>
      </c>
      <c r="B61" s="22" t="n"/>
      <c r="C61" s="22" t="n"/>
      <c r="D61" s="22" t="n"/>
      <c r="E61" s="22" t="n"/>
      <c r="F61" s="22" t="n"/>
      <c r="G61" s="22" t="n"/>
      <c r="H61" s="22" t="n"/>
    </row>
    <row r="62">
      <c r="A62" s="21" t="inlineStr">
        <is>
          <t>EV-058</t>
        </is>
      </c>
      <c r="B62" s="22" t="n"/>
      <c r="C62" s="22" t="n"/>
      <c r="D62" s="22" t="n"/>
      <c r="E62" s="22" t="n"/>
      <c r="F62" s="22" t="n"/>
      <c r="G62" s="22" t="n"/>
      <c r="H62" s="22" t="n"/>
    </row>
    <row r="63">
      <c r="A63" s="21" t="inlineStr">
        <is>
          <t>EV-059</t>
        </is>
      </c>
      <c r="B63" s="22" t="n"/>
      <c r="C63" s="22" t="n"/>
      <c r="D63" s="22" t="n"/>
      <c r="E63" s="22" t="n"/>
      <c r="F63" s="22" t="n"/>
      <c r="G63" s="22" t="n"/>
      <c r="H63" s="22" t="n"/>
    </row>
    <row r="64">
      <c r="A64" s="21" t="inlineStr">
        <is>
          <t>EV-060</t>
        </is>
      </c>
      <c r="B64" s="22" t="n"/>
      <c r="C64" s="22" t="n"/>
      <c r="D64" s="22" t="n"/>
      <c r="E64" s="22" t="n"/>
      <c r="F64" s="22" t="n"/>
      <c r="G64" s="22" t="n"/>
      <c r="H64" s="22" t="n"/>
    </row>
    <row r="65">
      <c r="A65" s="21" t="inlineStr">
        <is>
          <t>EV-061</t>
        </is>
      </c>
      <c r="B65" s="22" t="n"/>
      <c r="C65" s="22" t="n"/>
      <c r="D65" s="22" t="n"/>
      <c r="E65" s="22" t="n"/>
      <c r="F65" s="22" t="n"/>
      <c r="G65" s="22" t="n"/>
      <c r="H65" s="22" t="n"/>
    </row>
    <row r="66">
      <c r="A66" s="21" t="inlineStr">
        <is>
          <t>EV-062</t>
        </is>
      </c>
      <c r="B66" s="22" t="n"/>
      <c r="C66" s="22" t="n"/>
      <c r="D66" s="22" t="n"/>
      <c r="E66" s="22" t="n"/>
      <c r="F66" s="22" t="n"/>
      <c r="G66" s="22" t="n"/>
      <c r="H66" s="22" t="n"/>
    </row>
    <row r="67">
      <c r="A67" s="21" t="inlineStr">
        <is>
          <t>EV-063</t>
        </is>
      </c>
      <c r="B67" s="22" t="n"/>
      <c r="C67" s="22" t="n"/>
      <c r="D67" s="22" t="n"/>
      <c r="E67" s="22" t="n"/>
      <c r="F67" s="22" t="n"/>
      <c r="G67" s="22" t="n"/>
      <c r="H67" s="22" t="n"/>
    </row>
    <row r="68">
      <c r="A68" s="21" t="inlineStr">
        <is>
          <t>EV-064</t>
        </is>
      </c>
      <c r="B68" s="22" t="n"/>
      <c r="C68" s="22" t="n"/>
      <c r="D68" s="22" t="n"/>
      <c r="E68" s="22" t="n"/>
      <c r="F68" s="22" t="n"/>
      <c r="G68" s="22" t="n"/>
      <c r="H68" s="22" t="n"/>
    </row>
    <row r="69">
      <c r="A69" s="21" t="inlineStr">
        <is>
          <t>EV-065</t>
        </is>
      </c>
      <c r="B69" s="22" t="n"/>
      <c r="C69" s="22" t="n"/>
      <c r="D69" s="22" t="n"/>
      <c r="E69" s="22" t="n"/>
      <c r="F69" s="22" t="n"/>
      <c r="G69" s="22" t="n"/>
      <c r="H69" s="22" t="n"/>
    </row>
    <row r="70">
      <c r="A70" s="21" t="inlineStr">
        <is>
          <t>EV-066</t>
        </is>
      </c>
      <c r="B70" s="22" t="n"/>
      <c r="C70" s="22" t="n"/>
      <c r="D70" s="22" t="n"/>
      <c r="E70" s="22" t="n"/>
      <c r="F70" s="22" t="n"/>
      <c r="G70" s="22" t="n"/>
      <c r="H70" s="22" t="n"/>
    </row>
    <row r="71">
      <c r="A71" s="21" t="inlineStr">
        <is>
          <t>EV-067</t>
        </is>
      </c>
      <c r="B71" s="22" t="n"/>
      <c r="C71" s="22" t="n"/>
      <c r="D71" s="22" t="n"/>
      <c r="E71" s="22" t="n"/>
      <c r="F71" s="22" t="n"/>
      <c r="G71" s="22" t="n"/>
      <c r="H71" s="22" t="n"/>
    </row>
    <row r="72">
      <c r="A72" s="21" t="inlineStr">
        <is>
          <t>EV-068</t>
        </is>
      </c>
      <c r="B72" s="22" t="n"/>
      <c r="C72" s="22" t="n"/>
      <c r="D72" s="22" t="n"/>
      <c r="E72" s="22" t="n"/>
      <c r="F72" s="22" t="n"/>
      <c r="G72" s="22" t="n"/>
      <c r="H72" s="22" t="n"/>
    </row>
    <row r="73">
      <c r="A73" s="21" t="inlineStr">
        <is>
          <t>EV-069</t>
        </is>
      </c>
      <c r="B73" s="22" t="n"/>
      <c r="C73" s="22" t="n"/>
      <c r="D73" s="22" t="n"/>
      <c r="E73" s="22" t="n"/>
      <c r="F73" s="22" t="n"/>
      <c r="G73" s="22" t="n"/>
      <c r="H73" s="22" t="n"/>
    </row>
    <row r="74">
      <c r="A74" s="21" t="inlineStr">
        <is>
          <t>EV-070</t>
        </is>
      </c>
      <c r="B74" s="22" t="n"/>
      <c r="C74" s="22" t="n"/>
      <c r="D74" s="22" t="n"/>
      <c r="E74" s="22" t="n"/>
      <c r="F74" s="22" t="n"/>
      <c r="G74" s="22" t="n"/>
      <c r="H74" s="22" t="n"/>
    </row>
    <row r="75">
      <c r="A75" s="21" t="inlineStr">
        <is>
          <t>EV-071</t>
        </is>
      </c>
      <c r="B75" s="22" t="n"/>
      <c r="C75" s="22" t="n"/>
      <c r="D75" s="22" t="n"/>
      <c r="E75" s="22" t="n"/>
      <c r="F75" s="22" t="n"/>
      <c r="G75" s="22" t="n"/>
      <c r="H75" s="22" t="n"/>
    </row>
    <row r="76">
      <c r="A76" s="21" t="inlineStr">
        <is>
          <t>EV-072</t>
        </is>
      </c>
      <c r="B76" s="22" t="n"/>
      <c r="C76" s="22" t="n"/>
      <c r="D76" s="22" t="n"/>
      <c r="E76" s="22" t="n"/>
      <c r="F76" s="22" t="n"/>
      <c r="G76" s="22" t="n"/>
      <c r="H76" s="22" t="n"/>
    </row>
    <row r="77">
      <c r="A77" s="21" t="inlineStr">
        <is>
          <t>EV-073</t>
        </is>
      </c>
      <c r="B77" s="22" t="n"/>
      <c r="C77" s="22" t="n"/>
      <c r="D77" s="22" t="n"/>
      <c r="E77" s="22" t="n"/>
      <c r="F77" s="22" t="n"/>
      <c r="G77" s="22" t="n"/>
      <c r="H77" s="22" t="n"/>
    </row>
    <row r="78">
      <c r="A78" s="21" t="inlineStr">
        <is>
          <t>EV-074</t>
        </is>
      </c>
      <c r="B78" s="22" t="n"/>
      <c r="C78" s="22" t="n"/>
      <c r="D78" s="22" t="n"/>
      <c r="E78" s="22" t="n"/>
      <c r="F78" s="22" t="n"/>
      <c r="G78" s="22" t="n"/>
      <c r="H78" s="22" t="n"/>
    </row>
    <row r="79">
      <c r="A79" s="21" t="inlineStr">
        <is>
          <t>EV-075</t>
        </is>
      </c>
      <c r="B79" s="22" t="n"/>
      <c r="C79" s="22" t="n"/>
      <c r="D79" s="22" t="n"/>
      <c r="E79" s="22" t="n"/>
      <c r="F79" s="22" t="n"/>
      <c r="G79" s="22" t="n"/>
      <c r="H79" s="22" t="n"/>
    </row>
    <row r="80">
      <c r="A80" s="21" t="inlineStr">
        <is>
          <t>EV-076</t>
        </is>
      </c>
      <c r="B80" s="22" t="n"/>
      <c r="C80" s="22" t="n"/>
      <c r="D80" s="22" t="n"/>
      <c r="E80" s="22" t="n"/>
      <c r="F80" s="22" t="n"/>
      <c r="G80" s="22" t="n"/>
      <c r="H80" s="22" t="n"/>
    </row>
    <row r="81">
      <c r="A81" s="21" t="inlineStr">
        <is>
          <t>EV-077</t>
        </is>
      </c>
      <c r="B81" s="22" t="n"/>
      <c r="C81" s="22" t="n"/>
      <c r="D81" s="22" t="n"/>
      <c r="E81" s="22" t="n"/>
      <c r="F81" s="22" t="n"/>
      <c r="G81" s="22" t="n"/>
      <c r="H81" s="22" t="n"/>
    </row>
    <row r="82">
      <c r="A82" s="21" t="inlineStr">
        <is>
          <t>EV-078</t>
        </is>
      </c>
      <c r="B82" s="22" t="n"/>
      <c r="C82" s="22" t="n"/>
      <c r="D82" s="22" t="n"/>
      <c r="E82" s="22" t="n"/>
      <c r="F82" s="22" t="n"/>
      <c r="G82" s="22" t="n"/>
      <c r="H82" s="22" t="n"/>
    </row>
    <row r="83">
      <c r="A83" s="21" t="inlineStr">
        <is>
          <t>EV-079</t>
        </is>
      </c>
      <c r="B83" s="22" t="n"/>
      <c r="C83" s="22" t="n"/>
      <c r="D83" s="22" t="n"/>
      <c r="E83" s="22" t="n"/>
      <c r="F83" s="22" t="n"/>
      <c r="G83" s="22" t="n"/>
      <c r="H83" s="22" t="n"/>
    </row>
    <row r="84">
      <c r="A84" s="21" t="inlineStr">
        <is>
          <t>EV-080</t>
        </is>
      </c>
      <c r="B84" s="22" t="n"/>
      <c r="C84" s="22" t="n"/>
      <c r="D84" s="22" t="n"/>
      <c r="E84" s="22" t="n"/>
      <c r="F84" s="22" t="n"/>
      <c r="G84" s="22" t="n"/>
      <c r="H84" s="22" t="n"/>
    </row>
    <row r="85">
      <c r="A85" s="21" t="inlineStr">
        <is>
          <t>EV-081</t>
        </is>
      </c>
      <c r="B85" s="22" t="n"/>
      <c r="C85" s="22" t="n"/>
      <c r="D85" s="22" t="n"/>
      <c r="E85" s="22" t="n"/>
      <c r="F85" s="22" t="n"/>
      <c r="G85" s="22" t="n"/>
      <c r="H85" s="22" t="n"/>
    </row>
    <row r="86">
      <c r="A86" s="21" t="inlineStr">
        <is>
          <t>EV-082</t>
        </is>
      </c>
      <c r="B86" s="22" t="n"/>
      <c r="C86" s="22" t="n"/>
      <c r="D86" s="22" t="n"/>
      <c r="E86" s="22" t="n"/>
      <c r="F86" s="22" t="n"/>
      <c r="G86" s="22" t="n"/>
      <c r="H86" s="22" t="n"/>
    </row>
    <row r="87">
      <c r="A87" s="21" t="inlineStr">
        <is>
          <t>EV-083</t>
        </is>
      </c>
      <c r="B87" s="22" t="n"/>
      <c r="C87" s="22" t="n"/>
      <c r="D87" s="22" t="n"/>
      <c r="E87" s="22" t="n"/>
      <c r="F87" s="22" t="n"/>
      <c r="G87" s="22" t="n"/>
      <c r="H87" s="22" t="n"/>
    </row>
    <row r="88">
      <c r="A88" s="21" t="inlineStr">
        <is>
          <t>EV-084</t>
        </is>
      </c>
      <c r="B88" s="22" t="n"/>
      <c r="C88" s="22" t="n"/>
      <c r="D88" s="22" t="n"/>
      <c r="E88" s="22" t="n"/>
      <c r="F88" s="22" t="n"/>
      <c r="G88" s="22" t="n"/>
      <c r="H88" s="22" t="n"/>
    </row>
    <row r="89">
      <c r="A89" s="21" t="inlineStr">
        <is>
          <t>EV-085</t>
        </is>
      </c>
      <c r="B89" s="22" t="n"/>
      <c r="C89" s="22" t="n"/>
      <c r="D89" s="22" t="n"/>
      <c r="E89" s="22" t="n"/>
      <c r="F89" s="22" t="n"/>
      <c r="G89" s="22" t="n"/>
      <c r="H89" s="22" t="n"/>
    </row>
    <row r="90">
      <c r="A90" s="21" t="inlineStr">
        <is>
          <t>EV-086</t>
        </is>
      </c>
      <c r="B90" s="22" t="n"/>
      <c r="C90" s="22" t="n"/>
      <c r="D90" s="22" t="n"/>
      <c r="E90" s="22" t="n"/>
      <c r="F90" s="22" t="n"/>
      <c r="G90" s="22" t="n"/>
      <c r="H90" s="22" t="n"/>
    </row>
    <row r="91">
      <c r="A91" s="21" t="inlineStr">
        <is>
          <t>EV-087</t>
        </is>
      </c>
      <c r="B91" s="22" t="n"/>
      <c r="C91" s="22" t="n"/>
      <c r="D91" s="22" t="n"/>
      <c r="E91" s="22" t="n"/>
      <c r="F91" s="22" t="n"/>
      <c r="G91" s="22" t="n"/>
      <c r="H91" s="22" t="n"/>
    </row>
    <row r="92">
      <c r="A92" s="21" t="inlineStr">
        <is>
          <t>EV-088</t>
        </is>
      </c>
      <c r="B92" s="22" t="n"/>
      <c r="C92" s="22" t="n"/>
      <c r="D92" s="22" t="n"/>
      <c r="E92" s="22" t="n"/>
      <c r="F92" s="22" t="n"/>
      <c r="G92" s="22" t="n"/>
      <c r="H92" s="22" t="n"/>
    </row>
    <row r="93">
      <c r="A93" s="21" t="inlineStr">
        <is>
          <t>EV-089</t>
        </is>
      </c>
      <c r="B93" s="22" t="n"/>
      <c r="C93" s="22" t="n"/>
      <c r="D93" s="22" t="n"/>
      <c r="E93" s="22" t="n"/>
      <c r="F93" s="22" t="n"/>
      <c r="G93" s="22" t="n"/>
      <c r="H93" s="22" t="n"/>
    </row>
    <row r="94">
      <c r="A94" s="21" t="inlineStr">
        <is>
          <t>EV-090</t>
        </is>
      </c>
      <c r="B94" s="22" t="n"/>
      <c r="C94" s="22" t="n"/>
      <c r="D94" s="22" t="n"/>
      <c r="E94" s="22" t="n"/>
      <c r="F94" s="22" t="n"/>
      <c r="G94" s="22" t="n"/>
      <c r="H94" s="22" t="n"/>
    </row>
    <row r="95">
      <c r="A95" s="21" t="inlineStr">
        <is>
          <t>EV-091</t>
        </is>
      </c>
      <c r="B95" s="22" t="n"/>
      <c r="C95" s="22" t="n"/>
      <c r="D95" s="22" t="n"/>
      <c r="E95" s="22" t="n"/>
      <c r="F95" s="22" t="n"/>
      <c r="G95" s="22" t="n"/>
      <c r="H95" s="22" t="n"/>
    </row>
    <row r="96">
      <c r="A96" s="21" t="inlineStr">
        <is>
          <t>EV-092</t>
        </is>
      </c>
      <c r="B96" s="22" t="n"/>
      <c r="C96" s="22" t="n"/>
      <c r="D96" s="22" t="n"/>
      <c r="E96" s="22" t="n"/>
      <c r="F96" s="22" t="n"/>
      <c r="G96" s="22" t="n"/>
      <c r="H96" s="22" t="n"/>
    </row>
    <row r="97">
      <c r="A97" s="21" t="inlineStr">
        <is>
          <t>EV-093</t>
        </is>
      </c>
      <c r="B97" s="22" t="n"/>
      <c r="C97" s="22" t="n"/>
      <c r="D97" s="22" t="n"/>
      <c r="E97" s="22" t="n"/>
      <c r="F97" s="22" t="n"/>
      <c r="G97" s="22" t="n"/>
      <c r="H97" s="22" t="n"/>
    </row>
    <row r="98">
      <c r="A98" s="21" t="inlineStr">
        <is>
          <t>EV-094</t>
        </is>
      </c>
      <c r="B98" s="22" t="n"/>
      <c r="C98" s="22" t="n"/>
      <c r="D98" s="22" t="n"/>
      <c r="E98" s="22" t="n"/>
      <c r="F98" s="22" t="n"/>
      <c r="G98" s="22" t="n"/>
      <c r="H98" s="22" t="n"/>
    </row>
    <row r="99">
      <c r="A99" s="21" t="inlineStr">
        <is>
          <t>EV-095</t>
        </is>
      </c>
      <c r="B99" s="22" t="n"/>
      <c r="C99" s="22" t="n"/>
      <c r="D99" s="22" t="n"/>
      <c r="E99" s="22" t="n"/>
      <c r="F99" s="22" t="n"/>
      <c r="G99" s="22" t="n"/>
      <c r="H99" s="22" t="n"/>
    </row>
    <row r="100">
      <c r="A100" s="21" t="inlineStr">
        <is>
          <t>EV-096</t>
        </is>
      </c>
      <c r="B100" s="22" t="n"/>
      <c r="C100" s="22" t="n"/>
      <c r="D100" s="22" t="n"/>
      <c r="E100" s="22" t="n"/>
      <c r="F100" s="22" t="n"/>
      <c r="G100" s="22" t="n"/>
      <c r="H100" s="22" t="n"/>
    </row>
    <row r="101">
      <c r="A101" s="21" t="inlineStr">
        <is>
          <t>EV-097</t>
        </is>
      </c>
      <c r="B101" s="22" t="n"/>
      <c r="C101" s="22" t="n"/>
      <c r="D101" s="22" t="n"/>
      <c r="E101" s="22" t="n"/>
      <c r="F101" s="22" t="n"/>
      <c r="G101" s="22" t="n"/>
      <c r="H101" s="22" t="n"/>
    </row>
    <row r="102">
      <c r="A102" s="21" t="inlineStr">
        <is>
          <t>EV-098</t>
        </is>
      </c>
      <c r="B102" s="22" t="n"/>
      <c r="C102" s="22" t="n"/>
      <c r="D102" s="22" t="n"/>
      <c r="E102" s="22" t="n"/>
      <c r="F102" s="22" t="n"/>
      <c r="G102" s="22" t="n"/>
      <c r="H102" s="22" t="n"/>
    </row>
    <row r="103">
      <c r="A103" s="21" t="inlineStr">
        <is>
          <t>EV-099</t>
        </is>
      </c>
      <c r="B103" s="22" t="n"/>
      <c r="C103" s="22" t="n"/>
      <c r="D103" s="22" t="n"/>
      <c r="E103" s="22" t="n"/>
      <c r="F103" s="22" t="n"/>
      <c r="G103" s="22" t="n"/>
      <c r="H103" s="22" t="n"/>
    </row>
    <row r="104">
      <c r="A104" s="21" t="inlineStr">
        <is>
          <t>EV-100</t>
        </is>
      </c>
      <c r="B104" s="22" t="n"/>
      <c r="C104" s="22" t="n"/>
      <c r="D104" s="22" t="n"/>
      <c r="E104" s="22" t="n"/>
      <c r="F104" s="22" t="n"/>
      <c r="G104" s="22" t="n"/>
      <c r="H104"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8" customWidth="1" min="3" max="3"/>
    <col width="12" customWidth="1" min="4" max="4"/>
    <col width="18" customWidth="1" min="5" max="5"/>
    <col width="12" customWidth="1" min="6" max="6"/>
    <col width="18" customWidth="1" min="7" max="7"/>
    <col width="12" customWidth="1" min="8" max="8"/>
    <col width="18" customWidth="1" min="9" max="9"/>
    <col width="12" customWidth="1" min="10" max="10"/>
    <col width="15" customWidth="1" min="11" max="11"/>
    <col width="15" customWidth="1" min="12" max="12"/>
    <col width="40" customWidth="1" min="13" max="13"/>
    <col width="15" customWidth="1" min="14" max="14"/>
    <col width="15" customWidth="1" min="15" max="15"/>
  </cols>
  <sheetData>
    <row r="1" ht="35" customHeight="1">
      <c r="A1" s="11" t="inlineStr">
        <is>
          <t>BASELINE DOCUMENTATION QUALITY ASSESSMENT</t>
        </is>
      </c>
    </row>
    <row r="2">
      <c r="A2" s="12" t="inlineStr">
        <is>
          <t>Baseline ID</t>
        </is>
      </c>
      <c r="B2" s="12" t="inlineStr">
        <is>
          <t>Baseline Name</t>
        </is>
      </c>
      <c r="C2" s="12" t="inlineStr">
        <is>
          <t>Documentation Completeness</t>
        </is>
      </c>
      <c r="D2" s="12" t="inlineStr">
        <is>
          <t>Completeness Score</t>
        </is>
      </c>
      <c r="E2" s="12" t="inlineStr">
        <is>
          <t>Documentation Accuracy</t>
        </is>
      </c>
      <c r="F2" s="12" t="inlineStr">
        <is>
          <t>Accuracy Score</t>
        </is>
      </c>
      <c r="G2" s="12" t="inlineStr">
        <is>
          <t>Maintainability</t>
        </is>
      </c>
      <c r="H2" s="12" t="inlineStr">
        <is>
          <t>Maintainability Score</t>
        </is>
      </c>
      <c r="I2" s="12" t="inlineStr">
        <is>
          <t>Accessibility</t>
        </is>
      </c>
      <c r="J2" s="12" t="inlineStr">
        <is>
          <t>Accessibility Score</t>
        </is>
      </c>
      <c r="K2" s="12" t="inlineStr">
        <is>
          <t>Overall Quality Score</t>
        </is>
      </c>
      <c r="L2" s="12" t="inlineStr">
        <is>
          <t>Quality Rating</t>
        </is>
      </c>
      <c r="M2" s="12" t="inlineStr">
        <is>
          <t>Gaps Identified</t>
        </is>
      </c>
      <c r="N2" s="12" t="inlineStr">
        <is>
          <t>Remediation Priority</t>
        </is>
      </c>
      <c r="O2" s="12" t="inlineStr">
        <is>
          <t>Target Completion Date</t>
        </is>
      </c>
    </row>
    <row r="3">
      <c r="A3" s="13" t="n"/>
      <c r="B3" s="13" t="n"/>
      <c r="C3" s="13" t="n"/>
      <c r="D3" s="14">
        <f>IF(C3="Comprehensive",100,IF(C3="Adequate",75,IF(C3="Insufficient",40,IF(C3="Missing",0,""))))</f>
        <v/>
      </c>
      <c r="E3" s="13" t="n"/>
      <c r="F3" s="14">
        <f>IF(E3="Verified Accurate",100,IF(E3="Mostly Accurate",75,IF(E3="Contains Errors",40,IF(E3="Not Verified",0,""))))</f>
        <v/>
      </c>
      <c r="G3" s="13" t="n"/>
      <c r="H3" s="14">
        <f>IF(G3="Easy to Update",100,IF(G3="Moderate Effort",75,IF(G3="Difficult",40,IF(G3="Not Maintainable",0,""))))</f>
        <v/>
      </c>
      <c r="I3" s="13" t="n"/>
      <c r="J3" s="14">
        <f>IF(I3="Highly Accessible",100,IF(I3="Accessible",75,IF(I3="Limited Access",40,IF(I3="Not Accessible",0,""))))</f>
        <v/>
      </c>
      <c r="K3" s="15">
        <f>IF(AND(D3="",F3="",H3="",J3=""),"",(D3+F3+H3+J3)/4)</f>
        <v/>
      </c>
      <c r="L3" s="14">
        <f>IF(K3="","",IF(K3&gt;=90,"Excellent",IF(K3&gt;=75,"Good",IF(K3&gt;=50,"Fair","Poor"))))</f>
        <v/>
      </c>
      <c r="M3" s="13" t="n"/>
      <c r="N3" s="13" t="n"/>
      <c r="O3" s="13" t="n"/>
    </row>
    <row r="4">
      <c r="A4" s="13" t="n"/>
      <c r="B4" s="13" t="n"/>
      <c r="C4" s="13" t="n"/>
      <c r="D4" s="14">
        <f>IF(C4="Comprehensive",100,IF(C4="Adequate",75,IF(C4="Insufficient",40,IF(C4="Missing",0,""))))</f>
        <v/>
      </c>
      <c r="E4" s="13" t="n"/>
      <c r="F4" s="14">
        <f>IF(E4="Verified Accurate",100,IF(E4="Mostly Accurate",75,IF(E4="Contains Errors",40,IF(E4="Not Verified",0,""))))</f>
        <v/>
      </c>
      <c r="G4" s="13" t="n"/>
      <c r="H4" s="14">
        <f>IF(G4="Easy to Update",100,IF(G4="Moderate Effort",75,IF(G4="Difficult",40,IF(G4="Not Maintainable",0,""))))</f>
        <v/>
      </c>
      <c r="I4" s="13" t="n"/>
      <c r="J4" s="14">
        <f>IF(I4="Highly Accessible",100,IF(I4="Accessible",75,IF(I4="Limited Access",40,IF(I4="Not Accessible",0,""))))</f>
        <v/>
      </c>
      <c r="K4" s="15">
        <f>IF(AND(D4="",F4="",H4="",J4=""),"",(D4+F4+H4+J4)/4)</f>
        <v/>
      </c>
      <c r="L4" s="14">
        <f>IF(K4="","",IF(K4&gt;=90,"Excellent",IF(K4&gt;=75,"Good",IF(K4&gt;=50,"Fair","Poor"))))</f>
        <v/>
      </c>
      <c r="M4" s="13" t="n"/>
      <c r="N4" s="13" t="n"/>
      <c r="O4" s="13" t="n"/>
    </row>
    <row r="5">
      <c r="A5" s="13" t="n"/>
      <c r="B5" s="13" t="n"/>
      <c r="C5" s="13" t="n"/>
      <c r="D5" s="14">
        <f>IF(C5="Comprehensive",100,IF(C5="Adequate",75,IF(C5="Insufficient",40,IF(C5="Missing",0,""))))</f>
        <v/>
      </c>
      <c r="E5" s="13" t="n"/>
      <c r="F5" s="14">
        <f>IF(E5="Verified Accurate",100,IF(E5="Mostly Accurate",75,IF(E5="Contains Errors",40,IF(E5="Not Verified",0,""))))</f>
        <v/>
      </c>
      <c r="G5" s="13" t="n"/>
      <c r="H5" s="14">
        <f>IF(G5="Easy to Update",100,IF(G5="Moderate Effort",75,IF(G5="Difficult",40,IF(G5="Not Maintainable",0,""))))</f>
        <v/>
      </c>
      <c r="I5" s="13" t="n"/>
      <c r="J5" s="14">
        <f>IF(I5="Highly Accessible",100,IF(I5="Accessible",75,IF(I5="Limited Access",40,IF(I5="Not Accessible",0,""))))</f>
        <v/>
      </c>
      <c r="K5" s="15">
        <f>IF(AND(D5="",F5="",H5="",J5=""),"",(D5+F5+H5+J5)/4)</f>
        <v/>
      </c>
      <c r="L5" s="14">
        <f>IF(K5="","",IF(K5&gt;=90,"Excellent",IF(K5&gt;=75,"Good",IF(K5&gt;=50,"Fair","Poor"))))</f>
        <v/>
      </c>
      <c r="M5" s="13" t="n"/>
      <c r="N5" s="13" t="n"/>
      <c r="O5" s="13" t="n"/>
    </row>
    <row r="6">
      <c r="A6" s="13" t="n"/>
      <c r="B6" s="13" t="n"/>
      <c r="C6" s="13" t="n"/>
      <c r="D6" s="14">
        <f>IF(C6="Comprehensive",100,IF(C6="Adequate",75,IF(C6="Insufficient",40,IF(C6="Missing",0,""))))</f>
        <v/>
      </c>
      <c r="E6" s="13" t="n"/>
      <c r="F6" s="14">
        <f>IF(E6="Verified Accurate",100,IF(E6="Mostly Accurate",75,IF(E6="Contains Errors",40,IF(E6="Not Verified",0,""))))</f>
        <v/>
      </c>
      <c r="G6" s="13" t="n"/>
      <c r="H6" s="14">
        <f>IF(G6="Easy to Update",100,IF(G6="Moderate Effort",75,IF(G6="Difficult",40,IF(G6="Not Maintainable",0,""))))</f>
        <v/>
      </c>
      <c r="I6" s="13" t="n"/>
      <c r="J6" s="14">
        <f>IF(I6="Highly Accessible",100,IF(I6="Accessible",75,IF(I6="Limited Access",40,IF(I6="Not Accessible",0,""))))</f>
        <v/>
      </c>
      <c r="K6" s="15">
        <f>IF(AND(D6="",F6="",H6="",J6=""),"",(D6+F6+H6+J6)/4)</f>
        <v/>
      </c>
      <c r="L6" s="14">
        <f>IF(K6="","",IF(K6&gt;=90,"Excellent",IF(K6&gt;=75,"Good",IF(K6&gt;=50,"Fair","Poor"))))</f>
        <v/>
      </c>
      <c r="M6" s="13" t="n"/>
      <c r="N6" s="13" t="n"/>
      <c r="O6" s="13" t="n"/>
    </row>
    <row r="7">
      <c r="A7" s="13" t="n"/>
      <c r="B7" s="13" t="n"/>
      <c r="C7" s="13" t="n"/>
      <c r="D7" s="14">
        <f>IF(C7="Comprehensive",100,IF(C7="Adequate",75,IF(C7="Insufficient",40,IF(C7="Missing",0,""))))</f>
        <v/>
      </c>
      <c r="E7" s="13" t="n"/>
      <c r="F7" s="14">
        <f>IF(E7="Verified Accurate",100,IF(E7="Mostly Accurate",75,IF(E7="Contains Errors",40,IF(E7="Not Verified",0,""))))</f>
        <v/>
      </c>
      <c r="G7" s="13" t="n"/>
      <c r="H7" s="14">
        <f>IF(G7="Easy to Update",100,IF(G7="Moderate Effort",75,IF(G7="Difficult",40,IF(G7="Not Maintainable",0,""))))</f>
        <v/>
      </c>
      <c r="I7" s="13" t="n"/>
      <c r="J7" s="14">
        <f>IF(I7="Highly Accessible",100,IF(I7="Accessible",75,IF(I7="Limited Access",40,IF(I7="Not Accessible",0,""))))</f>
        <v/>
      </c>
      <c r="K7" s="15">
        <f>IF(AND(D7="",F7="",H7="",J7=""),"",(D7+F7+H7+J7)/4)</f>
        <v/>
      </c>
      <c r="L7" s="14">
        <f>IF(K7="","",IF(K7&gt;=90,"Excellent",IF(K7&gt;=75,"Good",IF(K7&gt;=50,"Fair","Poor"))))</f>
        <v/>
      </c>
      <c r="M7" s="13" t="n"/>
      <c r="N7" s="13" t="n"/>
      <c r="O7" s="13" t="n"/>
    </row>
    <row r="8">
      <c r="A8" s="13" t="n"/>
      <c r="B8" s="13" t="n"/>
      <c r="C8" s="13" t="n"/>
      <c r="D8" s="14">
        <f>IF(C8="Comprehensive",100,IF(C8="Adequate",75,IF(C8="Insufficient",40,IF(C8="Missing",0,""))))</f>
        <v/>
      </c>
      <c r="E8" s="13" t="n"/>
      <c r="F8" s="14">
        <f>IF(E8="Verified Accurate",100,IF(E8="Mostly Accurate",75,IF(E8="Contains Errors",40,IF(E8="Not Verified",0,""))))</f>
        <v/>
      </c>
      <c r="G8" s="13" t="n"/>
      <c r="H8" s="14">
        <f>IF(G8="Easy to Update",100,IF(G8="Moderate Effort",75,IF(G8="Difficult",40,IF(G8="Not Maintainable",0,""))))</f>
        <v/>
      </c>
      <c r="I8" s="13" t="n"/>
      <c r="J8" s="14">
        <f>IF(I8="Highly Accessible",100,IF(I8="Accessible",75,IF(I8="Limited Access",40,IF(I8="Not Accessible",0,""))))</f>
        <v/>
      </c>
      <c r="K8" s="15">
        <f>IF(AND(D8="",F8="",H8="",J8=""),"",(D8+F8+H8+J8)/4)</f>
        <v/>
      </c>
      <c r="L8" s="14">
        <f>IF(K8="","",IF(K8&gt;=90,"Excellent",IF(K8&gt;=75,"Good",IF(K8&gt;=50,"Fair","Poor"))))</f>
        <v/>
      </c>
      <c r="M8" s="13" t="n"/>
      <c r="N8" s="13" t="n"/>
      <c r="O8" s="13" t="n"/>
    </row>
    <row r="9">
      <c r="A9" s="13" t="n"/>
      <c r="B9" s="13" t="n"/>
      <c r="C9" s="13" t="n"/>
      <c r="D9" s="14">
        <f>IF(C9="Comprehensive",100,IF(C9="Adequate",75,IF(C9="Insufficient",40,IF(C9="Missing",0,""))))</f>
        <v/>
      </c>
      <c r="E9" s="13" t="n"/>
      <c r="F9" s="14">
        <f>IF(E9="Verified Accurate",100,IF(E9="Mostly Accurate",75,IF(E9="Contains Errors",40,IF(E9="Not Verified",0,""))))</f>
        <v/>
      </c>
      <c r="G9" s="13" t="n"/>
      <c r="H9" s="14">
        <f>IF(G9="Easy to Update",100,IF(G9="Moderate Effort",75,IF(G9="Difficult",40,IF(G9="Not Maintainable",0,""))))</f>
        <v/>
      </c>
      <c r="I9" s="13" t="n"/>
      <c r="J9" s="14">
        <f>IF(I9="Highly Accessible",100,IF(I9="Accessible",75,IF(I9="Limited Access",40,IF(I9="Not Accessible",0,""))))</f>
        <v/>
      </c>
      <c r="K9" s="15">
        <f>IF(AND(D9="",F9="",H9="",J9=""),"",(D9+F9+H9+J9)/4)</f>
        <v/>
      </c>
      <c r="L9" s="14">
        <f>IF(K9="","",IF(K9&gt;=90,"Excellent",IF(K9&gt;=75,"Good",IF(K9&gt;=50,"Fair","Poor"))))</f>
        <v/>
      </c>
      <c r="M9" s="13" t="n"/>
      <c r="N9" s="13" t="n"/>
      <c r="O9" s="13" t="n"/>
    </row>
    <row r="10">
      <c r="A10" s="13" t="n"/>
      <c r="B10" s="13" t="n"/>
      <c r="C10" s="13" t="n"/>
      <c r="D10" s="14">
        <f>IF(C10="Comprehensive",100,IF(C10="Adequate",75,IF(C10="Insufficient",40,IF(C10="Missing",0,""))))</f>
        <v/>
      </c>
      <c r="E10" s="13" t="n"/>
      <c r="F10" s="14">
        <f>IF(E10="Verified Accurate",100,IF(E10="Mostly Accurate",75,IF(E10="Contains Errors",40,IF(E10="Not Verified",0,""))))</f>
        <v/>
      </c>
      <c r="G10" s="13" t="n"/>
      <c r="H10" s="14">
        <f>IF(G10="Easy to Update",100,IF(G10="Moderate Effort",75,IF(G10="Difficult",40,IF(G10="Not Maintainable",0,""))))</f>
        <v/>
      </c>
      <c r="I10" s="13" t="n"/>
      <c r="J10" s="14">
        <f>IF(I10="Highly Accessible",100,IF(I10="Accessible",75,IF(I10="Limited Access",40,IF(I10="Not Accessible",0,""))))</f>
        <v/>
      </c>
      <c r="K10" s="15">
        <f>IF(AND(D10="",F10="",H10="",J10=""),"",(D10+F10+H10+J10)/4)</f>
        <v/>
      </c>
      <c r="L10" s="14">
        <f>IF(K10="","",IF(K10&gt;=90,"Excellent",IF(K10&gt;=75,"Good",IF(K10&gt;=50,"Fair","Poor"))))</f>
        <v/>
      </c>
      <c r="M10" s="13" t="n"/>
      <c r="N10" s="13" t="n"/>
      <c r="O10" s="13" t="n"/>
    </row>
    <row r="11">
      <c r="A11" s="13" t="n"/>
      <c r="B11" s="13" t="n"/>
      <c r="C11" s="13" t="n"/>
      <c r="D11" s="14">
        <f>IF(C11="Comprehensive",100,IF(C11="Adequate",75,IF(C11="Insufficient",40,IF(C11="Missing",0,""))))</f>
        <v/>
      </c>
      <c r="E11" s="13" t="n"/>
      <c r="F11" s="14">
        <f>IF(E11="Verified Accurate",100,IF(E11="Mostly Accurate",75,IF(E11="Contains Errors",40,IF(E11="Not Verified",0,""))))</f>
        <v/>
      </c>
      <c r="G11" s="13" t="n"/>
      <c r="H11" s="14">
        <f>IF(G11="Easy to Update",100,IF(G11="Moderate Effort",75,IF(G11="Difficult",40,IF(G11="Not Maintainable",0,""))))</f>
        <v/>
      </c>
      <c r="I11" s="13" t="n"/>
      <c r="J11" s="14">
        <f>IF(I11="Highly Accessible",100,IF(I11="Accessible",75,IF(I11="Limited Access",40,IF(I11="Not Accessible",0,""))))</f>
        <v/>
      </c>
      <c r="K11" s="15">
        <f>IF(AND(D11="",F11="",H11="",J11=""),"",(D11+F11+H11+J11)/4)</f>
        <v/>
      </c>
      <c r="L11" s="14">
        <f>IF(K11="","",IF(K11&gt;=90,"Excellent",IF(K11&gt;=75,"Good",IF(K11&gt;=50,"Fair","Poor"))))</f>
        <v/>
      </c>
      <c r="M11" s="13" t="n"/>
      <c r="N11" s="13" t="n"/>
      <c r="O11" s="13" t="n"/>
    </row>
    <row r="12">
      <c r="A12" s="13" t="n"/>
      <c r="B12" s="13" t="n"/>
      <c r="C12" s="13" t="n"/>
      <c r="D12" s="14">
        <f>IF(C12="Comprehensive",100,IF(C12="Adequate",75,IF(C12="Insufficient",40,IF(C12="Missing",0,""))))</f>
        <v/>
      </c>
      <c r="E12" s="13" t="n"/>
      <c r="F12" s="14">
        <f>IF(E12="Verified Accurate",100,IF(E12="Mostly Accurate",75,IF(E12="Contains Errors",40,IF(E12="Not Verified",0,""))))</f>
        <v/>
      </c>
      <c r="G12" s="13" t="n"/>
      <c r="H12" s="14">
        <f>IF(G12="Easy to Update",100,IF(G12="Moderate Effort",75,IF(G12="Difficult",40,IF(G12="Not Maintainable",0,""))))</f>
        <v/>
      </c>
      <c r="I12" s="13" t="n"/>
      <c r="J12" s="14">
        <f>IF(I12="Highly Accessible",100,IF(I12="Accessible",75,IF(I12="Limited Access",40,IF(I12="Not Accessible",0,""))))</f>
        <v/>
      </c>
      <c r="K12" s="15">
        <f>IF(AND(D12="",F12="",H12="",J12=""),"",(D12+F12+H12+J12)/4)</f>
        <v/>
      </c>
      <c r="L12" s="14">
        <f>IF(K12="","",IF(K12&gt;=90,"Excellent",IF(K12&gt;=75,"Good",IF(K12&gt;=50,"Fair","Poor"))))</f>
        <v/>
      </c>
      <c r="M12" s="13" t="n"/>
      <c r="N12" s="13" t="n"/>
      <c r="O12" s="13" t="n"/>
    </row>
    <row r="13">
      <c r="A13" s="13" t="n"/>
      <c r="B13" s="13" t="n"/>
      <c r="C13" s="13" t="n"/>
      <c r="D13" s="14">
        <f>IF(C13="Comprehensive",100,IF(C13="Adequate",75,IF(C13="Insufficient",40,IF(C13="Missing",0,""))))</f>
        <v/>
      </c>
      <c r="E13" s="13" t="n"/>
      <c r="F13" s="14">
        <f>IF(E13="Verified Accurate",100,IF(E13="Mostly Accurate",75,IF(E13="Contains Errors",40,IF(E13="Not Verified",0,""))))</f>
        <v/>
      </c>
      <c r="G13" s="13" t="n"/>
      <c r="H13" s="14">
        <f>IF(G13="Easy to Update",100,IF(G13="Moderate Effort",75,IF(G13="Difficult",40,IF(G13="Not Maintainable",0,""))))</f>
        <v/>
      </c>
      <c r="I13" s="13" t="n"/>
      <c r="J13" s="14">
        <f>IF(I13="Highly Accessible",100,IF(I13="Accessible",75,IF(I13="Limited Access",40,IF(I13="Not Accessible",0,""))))</f>
        <v/>
      </c>
      <c r="K13" s="15">
        <f>IF(AND(D13="",F13="",H13="",J13=""),"",(D13+F13+H13+J13)/4)</f>
        <v/>
      </c>
      <c r="L13" s="14">
        <f>IF(K13="","",IF(K13&gt;=90,"Excellent",IF(K13&gt;=75,"Good",IF(K13&gt;=50,"Fair","Poor"))))</f>
        <v/>
      </c>
      <c r="M13" s="13" t="n"/>
      <c r="N13" s="13" t="n"/>
      <c r="O13" s="13" t="n"/>
    </row>
    <row r="14">
      <c r="A14" s="13" t="n"/>
      <c r="B14" s="13" t="n"/>
      <c r="C14" s="13" t="n"/>
      <c r="D14" s="14">
        <f>IF(C14="Comprehensive",100,IF(C14="Adequate",75,IF(C14="Insufficient",40,IF(C14="Missing",0,""))))</f>
        <v/>
      </c>
      <c r="E14" s="13" t="n"/>
      <c r="F14" s="14">
        <f>IF(E14="Verified Accurate",100,IF(E14="Mostly Accurate",75,IF(E14="Contains Errors",40,IF(E14="Not Verified",0,""))))</f>
        <v/>
      </c>
      <c r="G14" s="13" t="n"/>
      <c r="H14" s="14">
        <f>IF(G14="Easy to Update",100,IF(G14="Moderate Effort",75,IF(G14="Difficult",40,IF(G14="Not Maintainable",0,""))))</f>
        <v/>
      </c>
      <c r="I14" s="13" t="n"/>
      <c r="J14" s="14">
        <f>IF(I14="Highly Accessible",100,IF(I14="Accessible",75,IF(I14="Limited Access",40,IF(I14="Not Accessible",0,""))))</f>
        <v/>
      </c>
      <c r="K14" s="15">
        <f>IF(AND(D14="",F14="",H14="",J14=""),"",(D14+F14+H14+J14)/4)</f>
        <v/>
      </c>
      <c r="L14" s="14">
        <f>IF(K14="","",IF(K14&gt;=90,"Excellent",IF(K14&gt;=75,"Good",IF(K14&gt;=50,"Fair","Poor"))))</f>
        <v/>
      </c>
      <c r="M14" s="13" t="n"/>
      <c r="N14" s="13" t="n"/>
      <c r="O14" s="13" t="n"/>
    </row>
    <row r="15">
      <c r="A15" s="13" t="n"/>
      <c r="B15" s="13" t="n"/>
      <c r="C15" s="13" t="n"/>
      <c r="D15" s="14">
        <f>IF(C15="Comprehensive",100,IF(C15="Adequate",75,IF(C15="Insufficient",40,IF(C15="Missing",0,""))))</f>
        <v/>
      </c>
      <c r="E15" s="13" t="n"/>
      <c r="F15" s="14">
        <f>IF(E15="Verified Accurate",100,IF(E15="Mostly Accurate",75,IF(E15="Contains Errors",40,IF(E15="Not Verified",0,""))))</f>
        <v/>
      </c>
      <c r="G15" s="13" t="n"/>
      <c r="H15" s="14">
        <f>IF(G15="Easy to Update",100,IF(G15="Moderate Effort",75,IF(G15="Difficult",40,IF(G15="Not Maintainable",0,""))))</f>
        <v/>
      </c>
      <c r="I15" s="13" t="n"/>
      <c r="J15" s="14">
        <f>IF(I15="Highly Accessible",100,IF(I15="Accessible",75,IF(I15="Limited Access",40,IF(I15="Not Accessible",0,""))))</f>
        <v/>
      </c>
      <c r="K15" s="15">
        <f>IF(AND(D15="",F15="",H15="",J15=""),"",(D15+F15+H15+J15)/4)</f>
        <v/>
      </c>
      <c r="L15" s="14">
        <f>IF(K15="","",IF(K15&gt;=90,"Excellent",IF(K15&gt;=75,"Good",IF(K15&gt;=50,"Fair","Poor"))))</f>
        <v/>
      </c>
      <c r="M15" s="13" t="n"/>
      <c r="N15" s="13" t="n"/>
      <c r="O15" s="13" t="n"/>
    </row>
    <row r="16">
      <c r="A16" s="13" t="n"/>
      <c r="B16" s="13" t="n"/>
      <c r="C16" s="13" t="n"/>
      <c r="D16" s="14">
        <f>IF(C16="Comprehensive",100,IF(C16="Adequate",75,IF(C16="Insufficient",40,IF(C16="Missing",0,""))))</f>
        <v/>
      </c>
      <c r="E16" s="13" t="n"/>
      <c r="F16" s="14">
        <f>IF(E16="Verified Accurate",100,IF(E16="Mostly Accurate",75,IF(E16="Contains Errors",40,IF(E16="Not Verified",0,""))))</f>
        <v/>
      </c>
      <c r="G16" s="13" t="n"/>
      <c r="H16" s="14">
        <f>IF(G16="Easy to Update",100,IF(G16="Moderate Effort",75,IF(G16="Difficult",40,IF(G16="Not Maintainable",0,""))))</f>
        <v/>
      </c>
      <c r="I16" s="13" t="n"/>
      <c r="J16" s="14">
        <f>IF(I16="Highly Accessible",100,IF(I16="Accessible",75,IF(I16="Limited Access",40,IF(I16="Not Accessible",0,""))))</f>
        <v/>
      </c>
      <c r="K16" s="15">
        <f>IF(AND(D16="",F16="",H16="",J16=""),"",(D16+F16+H16+J16)/4)</f>
        <v/>
      </c>
      <c r="L16" s="14">
        <f>IF(K16="","",IF(K16&gt;=90,"Excellent",IF(K16&gt;=75,"Good",IF(K16&gt;=50,"Fair","Poor"))))</f>
        <v/>
      </c>
      <c r="M16" s="13" t="n"/>
      <c r="N16" s="13" t="n"/>
      <c r="O16" s="13" t="n"/>
    </row>
    <row r="17">
      <c r="A17" s="13" t="n"/>
      <c r="B17" s="13" t="n"/>
      <c r="C17" s="13" t="n"/>
      <c r="D17" s="14">
        <f>IF(C17="Comprehensive",100,IF(C17="Adequate",75,IF(C17="Insufficient",40,IF(C17="Missing",0,""))))</f>
        <v/>
      </c>
      <c r="E17" s="13" t="n"/>
      <c r="F17" s="14">
        <f>IF(E17="Verified Accurate",100,IF(E17="Mostly Accurate",75,IF(E17="Contains Errors",40,IF(E17="Not Verified",0,""))))</f>
        <v/>
      </c>
      <c r="G17" s="13" t="n"/>
      <c r="H17" s="14">
        <f>IF(G17="Easy to Update",100,IF(G17="Moderate Effort",75,IF(G17="Difficult",40,IF(G17="Not Maintainable",0,""))))</f>
        <v/>
      </c>
      <c r="I17" s="13" t="n"/>
      <c r="J17" s="14">
        <f>IF(I17="Highly Accessible",100,IF(I17="Accessible",75,IF(I17="Limited Access",40,IF(I17="Not Accessible",0,""))))</f>
        <v/>
      </c>
      <c r="K17" s="15">
        <f>IF(AND(D17="",F17="",H17="",J17=""),"",(D17+F17+H17+J17)/4)</f>
        <v/>
      </c>
      <c r="L17" s="14">
        <f>IF(K17="","",IF(K17&gt;=90,"Excellent",IF(K17&gt;=75,"Good",IF(K17&gt;=50,"Fair","Poor"))))</f>
        <v/>
      </c>
      <c r="M17" s="13" t="n"/>
      <c r="N17" s="13" t="n"/>
      <c r="O17" s="13" t="n"/>
    </row>
    <row r="18">
      <c r="A18" s="13" t="n"/>
      <c r="B18" s="13" t="n"/>
      <c r="C18" s="13" t="n"/>
      <c r="D18" s="14">
        <f>IF(C18="Comprehensive",100,IF(C18="Adequate",75,IF(C18="Insufficient",40,IF(C18="Missing",0,""))))</f>
        <v/>
      </c>
      <c r="E18" s="13" t="n"/>
      <c r="F18" s="14">
        <f>IF(E18="Verified Accurate",100,IF(E18="Mostly Accurate",75,IF(E18="Contains Errors",40,IF(E18="Not Verified",0,""))))</f>
        <v/>
      </c>
      <c r="G18" s="13" t="n"/>
      <c r="H18" s="14">
        <f>IF(G18="Easy to Update",100,IF(G18="Moderate Effort",75,IF(G18="Difficult",40,IF(G18="Not Maintainable",0,""))))</f>
        <v/>
      </c>
      <c r="I18" s="13" t="n"/>
      <c r="J18" s="14">
        <f>IF(I18="Highly Accessible",100,IF(I18="Accessible",75,IF(I18="Limited Access",40,IF(I18="Not Accessible",0,""))))</f>
        <v/>
      </c>
      <c r="K18" s="15">
        <f>IF(AND(D18="",F18="",H18="",J18=""),"",(D18+F18+H18+J18)/4)</f>
        <v/>
      </c>
      <c r="L18" s="14">
        <f>IF(K18="","",IF(K18&gt;=90,"Excellent",IF(K18&gt;=75,"Good",IF(K18&gt;=50,"Fair","Poor"))))</f>
        <v/>
      </c>
      <c r="M18" s="13" t="n"/>
      <c r="N18" s="13" t="n"/>
      <c r="O18" s="13" t="n"/>
    </row>
    <row r="19">
      <c r="A19" s="13" t="n"/>
      <c r="B19" s="13" t="n"/>
      <c r="C19" s="13" t="n"/>
      <c r="D19" s="14">
        <f>IF(C19="Comprehensive",100,IF(C19="Adequate",75,IF(C19="Insufficient",40,IF(C19="Missing",0,""))))</f>
        <v/>
      </c>
      <c r="E19" s="13" t="n"/>
      <c r="F19" s="14">
        <f>IF(E19="Verified Accurate",100,IF(E19="Mostly Accurate",75,IF(E19="Contains Errors",40,IF(E19="Not Verified",0,""))))</f>
        <v/>
      </c>
      <c r="G19" s="13" t="n"/>
      <c r="H19" s="14">
        <f>IF(G19="Easy to Update",100,IF(G19="Moderate Effort",75,IF(G19="Difficult",40,IF(G19="Not Maintainable",0,""))))</f>
        <v/>
      </c>
      <c r="I19" s="13" t="n"/>
      <c r="J19" s="14">
        <f>IF(I19="Highly Accessible",100,IF(I19="Accessible",75,IF(I19="Limited Access",40,IF(I19="Not Accessible",0,""))))</f>
        <v/>
      </c>
      <c r="K19" s="15">
        <f>IF(AND(D19="",F19="",H19="",J19=""),"",(D19+F19+H19+J19)/4)</f>
        <v/>
      </c>
      <c r="L19" s="14">
        <f>IF(K19="","",IF(K19&gt;=90,"Excellent",IF(K19&gt;=75,"Good",IF(K19&gt;=50,"Fair","Poor"))))</f>
        <v/>
      </c>
      <c r="M19" s="13" t="n"/>
      <c r="N19" s="13" t="n"/>
      <c r="O19" s="13" t="n"/>
    </row>
    <row r="20">
      <c r="A20" s="13" t="n"/>
      <c r="B20" s="13" t="n"/>
      <c r="C20" s="13" t="n"/>
      <c r="D20" s="14">
        <f>IF(C20="Comprehensive",100,IF(C20="Adequate",75,IF(C20="Insufficient",40,IF(C20="Missing",0,""))))</f>
        <v/>
      </c>
      <c r="E20" s="13" t="n"/>
      <c r="F20" s="14">
        <f>IF(E20="Verified Accurate",100,IF(E20="Mostly Accurate",75,IF(E20="Contains Errors",40,IF(E20="Not Verified",0,""))))</f>
        <v/>
      </c>
      <c r="G20" s="13" t="n"/>
      <c r="H20" s="14">
        <f>IF(G20="Easy to Update",100,IF(G20="Moderate Effort",75,IF(G20="Difficult",40,IF(G20="Not Maintainable",0,""))))</f>
        <v/>
      </c>
      <c r="I20" s="13" t="n"/>
      <c r="J20" s="14">
        <f>IF(I20="Highly Accessible",100,IF(I20="Accessible",75,IF(I20="Limited Access",40,IF(I20="Not Accessible",0,""))))</f>
        <v/>
      </c>
      <c r="K20" s="15">
        <f>IF(AND(D20="",F20="",H20="",J20=""),"",(D20+F20+H20+J20)/4)</f>
        <v/>
      </c>
      <c r="L20" s="14">
        <f>IF(K20="","",IF(K20&gt;=90,"Excellent",IF(K20&gt;=75,"Good",IF(K20&gt;=50,"Fair","Poor"))))</f>
        <v/>
      </c>
      <c r="M20" s="13" t="n"/>
      <c r="N20" s="13" t="n"/>
      <c r="O20" s="13" t="n"/>
    </row>
    <row r="21">
      <c r="A21" s="13" t="n"/>
      <c r="B21" s="13" t="n"/>
      <c r="C21" s="13" t="n"/>
      <c r="D21" s="14">
        <f>IF(C21="Comprehensive",100,IF(C21="Adequate",75,IF(C21="Insufficient",40,IF(C21="Missing",0,""))))</f>
        <v/>
      </c>
      <c r="E21" s="13" t="n"/>
      <c r="F21" s="14">
        <f>IF(E21="Verified Accurate",100,IF(E21="Mostly Accurate",75,IF(E21="Contains Errors",40,IF(E21="Not Verified",0,""))))</f>
        <v/>
      </c>
      <c r="G21" s="13" t="n"/>
      <c r="H21" s="14">
        <f>IF(G21="Easy to Update",100,IF(G21="Moderate Effort",75,IF(G21="Difficult",40,IF(G21="Not Maintainable",0,""))))</f>
        <v/>
      </c>
      <c r="I21" s="13" t="n"/>
      <c r="J21" s="14">
        <f>IF(I21="Highly Accessible",100,IF(I21="Accessible",75,IF(I21="Limited Access",40,IF(I21="Not Accessible",0,""))))</f>
        <v/>
      </c>
      <c r="K21" s="15">
        <f>IF(AND(D21="",F21="",H21="",J21=""),"",(D21+F21+H21+J21)/4)</f>
        <v/>
      </c>
      <c r="L21" s="14">
        <f>IF(K21="","",IF(K21&gt;=90,"Excellent",IF(K21&gt;=75,"Good",IF(K21&gt;=50,"Fair","Poor"))))</f>
        <v/>
      </c>
      <c r="M21" s="13" t="n"/>
      <c r="N21" s="13" t="n"/>
      <c r="O21" s="13" t="n"/>
    </row>
    <row r="22">
      <c r="A22" s="13" t="n"/>
      <c r="B22" s="13" t="n"/>
      <c r="C22" s="13" t="n"/>
      <c r="D22" s="14">
        <f>IF(C22="Comprehensive",100,IF(C22="Adequate",75,IF(C22="Insufficient",40,IF(C22="Missing",0,""))))</f>
        <v/>
      </c>
      <c r="E22" s="13" t="n"/>
      <c r="F22" s="14">
        <f>IF(E22="Verified Accurate",100,IF(E22="Mostly Accurate",75,IF(E22="Contains Errors",40,IF(E22="Not Verified",0,""))))</f>
        <v/>
      </c>
      <c r="G22" s="13" t="n"/>
      <c r="H22" s="14">
        <f>IF(G22="Easy to Update",100,IF(G22="Moderate Effort",75,IF(G22="Difficult",40,IF(G22="Not Maintainable",0,""))))</f>
        <v/>
      </c>
      <c r="I22" s="13" t="n"/>
      <c r="J22" s="14">
        <f>IF(I22="Highly Accessible",100,IF(I22="Accessible",75,IF(I22="Limited Access",40,IF(I22="Not Accessible",0,""))))</f>
        <v/>
      </c>
      <c r="K22" s="15">
        <f>IF(AND(D22="",F22="",H22="",J22=""),"",(D22+F22+H22+J22)/4)</f>
        <v/>
      </c>
      <c r="L22" s="14">
        <f>IF(K22="","",IF(K22&gt;=90,"Excellent",IF(K22&gt;=75,"Good",IF(K22&gt;=50,"Fair","Poor"))))</f>
        <v/>
      </c>
      <c r="M22" s="13" t="n"/>
      <c r="N22" s="13" t="n"/>
      <c r="O22" s="13" t="n"/>
    </row>
    <row r="23">
      <c r="A23" s="13" t="n"/>
      <c r="B23" s="13" t="n"/>
      <c r="C23" s="13" t="n"/>
      <c r="D23" s="14">
        <f>IF(C23="Comprehensive",100,IF(C23="Adequate",75,IF(C23="Insufficient",40,IF(C23="Missing",0,""))))</f>
        <v/>
      </c>
      <c r="E23" s="13" t="n"/>
      <c r="F23" s="14">
        <f>IF(E23="Verified Accurate",100,IF(E23="Mostly Accurate",75,IF(E23="Contains Errors",40,IF(E23="Not Verified",0,""))))</f>
        <v/>
      </c>
      <c r="G23" s="13" t="n"/>
      <c r="H23" s="14">
        <f>IF(G23="Easy to Update",100,IF(G23="Moderate Effort",75,IF(G23="Difficult",40,IF(G23="Not Maintainable",0,""))))</f>
        <v/>
      </c>
      <c r="I23" s="13" t="n"/>
      <c r="J23" s="14">
        <f>IF(I23="Highly Accessible",100,IF(I23="Accessible",75,IF(I23="Limited Access",40,IF(I23="Not Accessible",0,""))))</f>
        <v/>
      </c>
      <c r="K23" s="15">
        <f>IF(AND(D23="",F23="",H23="",J23=""),"",(D23+F23+H23+J23)/4)</f>
        <v/>
      </c>
      <c r="L23" s="14">
        <f>IF(K23="","",IF(K23&gt;=90,"Excellent",IF(K23&gt;=75,"Good",IF(K23&gt;=50,"Fair","Poor"))))</f>
        <v/>
      </c>
      <c r="M23" s="13" t="n"/>
      <c r="N23" s="13" t="n"/>
      <c r="O23" s="13" t="n"/>
    </row>
    <row r="24">
      <c r="A24" s="13" t="n"/>
      <c r="B24" s="13" t="n"/>
      <c r="C24" s="13" t="n"/>
      <c r="D24" s="14">
        <f>IF(C24="Comprehensive",100,IF(C24="Adequate",75,IF(C24="Insufficient",40,IF(C24="Missing",0,""))))</f>
        <v/>
      </c>
      <c r="E24" s="13" t="n"/>
      <c r="F24" s="14">
        <f>IF(E24="Verified Accurate",100,IF(E24="Mostly Accurate",75,IF(E24="Contains Errors",40,IF(E24="Not Verified",0,""))))</f>
        <v/>
      </c>
      <c r="G24" s="13" t="n"/>
      <c r="H24" s="14">
        <f>IF(G24="Easy to Update",100,IF(G24="Moderate Effort",75,IF(G24="Difficult",40,IF(G24="Not Maintainable",0,""))))</f>
        <v/>
      </c>
      <c r="I24" s="13" t="n"/>
      <c r="J24" s="14">
        <f>IF(I24="Highly Accessible",100,IF(I24="Accessible",75,IF(I24="Limited Access",40,IF(I24="Not Accessible",0,""))))</f>
        <v/>
      </c>
      <c r="K24" s="15">
        <f>IF(AND(D24="",F24="",H24="",J24=""),"",(D24+F24+H24+J24)/4)</f>
        <v/>
      </c>
      <c r="L24" s="14">
        <f>IF(K24="","",IF(K24&gt;=90,"Excellent",IF(K24&gt;=75,"Good",IF(K24&gt;=50,"Fair","Poor"))))</f>
        <v/>
      </c>
      <c r="M24" s="13" t="n"/>
      <c r="N24" s="13" t="n"/>
      <c r="O24" s="13" t="n"/>
    </row>
    <row r="25">
      <c r="A25" s="13" t="n"/>
      <c r="B25" s="13" t="n"/>
      <c r="C25" s="13" t="n"/>
      <c r="D25" s="14">
        <f>IF(C25="Comprehensive",100,IF(C25="Adequate",75,IF(C25="Insufficient",40,IF(C25="Missing",0,""))))</f>
        <v/>
      </c>
      <c r="E25" s="13" t="n"/>
      <c r="F25" s="14">
        <f>IF(E25="Verified Accurate",100,IF(E25="Mostly Accurate",75,IF(E25="Contains Errors",40,IF(E25="Not Verified",0,""))))</f>
        <v/>
      </c>
      <c r="G25" s="13" t="n"/>
      <c r="H25" s="14">
        <f>IF(G25="Easy to Update",100,IF(G25="Moderate Effort",75,IF(G25="Difficult",40,IF(G25="Not Maintainable",0,""))))</f>
        <v/>
      </c>
      <c r="I25" s="13" t="n"/>
      <c r="J25" s="14">
        <f>IF(I25="Highly Accessible",100,IF(I25="Accessible",75,IF(I25="Limited Access",40,IF(I25="Not Accessible",0,""))))</f>
        <v/>
      </c>
      <c r="K25" s="15">
        <f>IF(AND(D25="",F25="",H25="",J25=""),"",(D25+F25+H25+J25)/4)</f>
        <v/>
      </c>
      <c r="L25" s="14">
        <f>IF(K25="","",IF(K25&gt;=90,"Excellent",IF(K25&gt;=75,"Good",IF(K25&gt;=50,"Fair","Poor"))))</f>
        <v/>
      </c>
      <c r="M25" s="13" t="n"/>
      <c r="N25" s="13" t="n"/>
      <c r="O25" s="13" t="n"/>
    </row>
    <row r="26">
      <c r="A26" s="13" t="n"/>
      <c r="B26" s="13" t="n"/>
      <c r="C26" s="13" t="n"/>
      <c r="D26" s="14">
        <f>IF(C26="Comprehensive",100,IF(C26="Adequate",75,IF(C26="Insufficient",40,IF(C26="Missing",0,""))))</f>
        <v/>
      </c>
      <c r="E26" s="13" t="n"/>
      <c r="F26" s="14">
        <f>IF(E26="Verified Accurate",100,IF(E26="Mostly Accurate",75,IF(E26="Contains Errors",40,IF(E26="Not Verified",0,""))))</f>
        <v/>
      </c>
      <c r="G26" s="13" t="n"/>
      <c r="H26" s="14">
        <f>IF(G26="Easy to Update",100,IF(G26="Moderate Effort",75,IF(G26="Difficult",40,IF(G26="Not Maintainable",0,""))))</f>
        <v/>
      </c>
      <c r="I26" s="13" t="n"/>
      <c r="J26" s="14">
        <f>IF(I26="Highly Accessible",100,IF(I26="Accessible",75,IF(I26="Limited Access",40,IF(I26="Not Accessible",0,""))))</f>
        <v/>
      </c>
      <c r="K26" s="15">
        <f>IF(AND(D26="",F26="",H26="",J26=""),"",(D26+F26+H26+J26)/4)</f>
        <v/>
      </c>
      <c r="L26" s="14">
        <f>IF(K26="","",IF(K26&gt;=90,"Excellent",IF(K26&gt;=75,"Good",IF(K26&gt;=50,"Fair","Poor"))))</f>
        <v/>
      </c>
      <c r="M26" s="13" t="n"/>
      <c r="N26" s="13" t="n"/>
      <c r="O26" s="13" t="n"/>
    </row>
    <row r="27">
      <c r="A27" s="13" t="n"/>
      <c r="B27" s="13" t="n"/>
      <c r="C27" s="13" t="n"/>
      <c r="D27" s="14">
        <f>IF(C27="Comprehensive",100,IF(C27="Adequate",75,IF(C27="Insufficient",40,IF(C27="Missing",0,""))))</f>
        <v/>
      </c>
      <c r="E27" s="13" t="n"/>
      <c r="F27" s="14">
        <f>IF(E27="Verified Accurate",100,IF(E27="Mostly Accurate",75,IF(E27="Contains Errors",40,IF(E27="Not Verified",0,""))))</f>
        <v/>
      </c>
      <c r="G27" s="13" t="n"/>
      <c r="H27" s="14">
        <f>IF(G27="Easy to Update",100,IF(G27="Moderate Effort",75,IF(G27="Difficult",40,IF(G27="Not Maintainable",0,""))))</f>
        <v/>
      </c>
      <c r="I27" s="13" t="n"/>
      <c r="J27" s="14">
        <f>IF(I27="Highly Accessible",100,IF(I27="Accessible",75,IF(I27="Limited Access",40,IF(I27="Not Accessible",0,""))))</f>
        <v/>
      </c>
      <c r="K27" s="15">
        <f>IF(AND(D27="",F27="",H27="",J27=""),"",(D27+F27+H27+J27)/4)</f>
        <v/>
      </c>
      <c r="L27" s="14">
        <f>IF(K27="","",IF(K27&gt;=90,"Excellent",IF(K27&gt;=75,"Good",IF(K27&gt;=50,"Fair","Poor"))))</f>
        <v/>
      </c>
      <c r="M27" s="13" t="n"/>
      <c r="N27" s="13" t="n"/>
      <c r="O27" s="13" t="n"/>
    </row>
    <row r="28">
      <c r="A28" s="13" t="n"/>
      <c r="B28" s="13" t="n"/>
      <c r="C28" s="13" t="n"/>
      <c r="D28" s="14">
        <f>IF(C28="Comprehensive",100,IF(C28="Adequate",75,IF(C28="Insufficient",40,IF(C28="Missing",0,""))))</f>
        <v/>
      </c>
      <c r="E28" s="13" t="n"/>
      <c r="F28" s="14">
        <f>IF(E28="Verified Accurate",100,IF(E28="Mostly Accurate",75,IF(E28="Contains Errors",40,IF(E28="Not Verified",0,""))))</f>
        <v/>
      </c>
      <c r="G28" s="13" t="n"/>
      <c r="H28" s="14">
        <f>IF(G28="Easy to Update",100,IF(G28="Moderate Effort",75,IF(G28="Difficult",40,IF(G28="Not Maintainable",0,""))))</f>
        <v/>
      </c>
      <c r="I28" s="13" t="n"/>
      <c r="J28" s="14">
        <f>IF(I28="Highly Accessible",100,IF(I28="Accessible",75,IF(I28="Limited Access",40,IF(I28="Not Accessible",0,""))))</f>
        <v/>
      </c>
      <c r="K28" s="15">
        <f>IF(AND(D28="",F28="",H28="",J28=""),"",(D28+F28+H28+J28)/4)</f>
        <v/>
      </c>
      <c r="L28" s="14">
        <f>IF(K28="","",IF(K28&gt;=90,"Excellent",IF(K28&gt;=75,"Good",IF(K28&gt;=50,"Fair","Poor"))))</f>
        <v/>
      </c>
      <c r="M28" s="13" t="n"/>
      <c r="N28" s="13" t="n"/>
      <c r="O28" s="13" t="n"/>
    </row>
    <row r="29">
      <c r="A29" s="13" t="n"/>
      <c r="B29" s="13" t="n"/>
      <c r="C29" s="13" t="n"/>
      <c r="D29" s="14">
        <f>IF(C29="Comprehensive",100,IF(C29="Adequate",75,IF(C29="Insufficient",40,IF(C29="Missing",0,""))))</f>
        <v/>
      </c>
      <c r="E29" s="13" t="n"/>
      <c r="F29" s="14">
        <f>IF(E29="Verified Accurate",100,IF(E29="Mostly Accurate",75,IF(E29="Contains Errors",40,IF(E29="Not Verified",0,""))))</f>
        <v/>
      </c>
      <c r="G29" s="13" t="n"/>
      <c r="H29" s="14">
        <f>IF(G29="Easy to Update",100,IF(G29="Moderate Effort",75,IF(G29="Difficult",40,IF(G29="Not Maintainable",0,""))))</f>
        <v/>
      </c>
      <c r="I29" s="13" t="n"/>
      <c r="J29" s="14">
        <f>IF(I29="Highly Accessible",100,IF(I29="Accessible",75,IF(I29="Limited Access",40,IF(I29="Not Accessible",0,""))))</f>
        <v/>
      </c>
      <c r="K29" s="15">
        <f>IF(AND(D29="",F29="",H29="",J29=""),"",(D29+F29+H29+J29)/4)</f>
        <v/>
      </c>
      <c r="L29" s="14">
        <f>IF(K29="","",IF(K29&gt;=90,"Excellent",IF(K29&gt;=75,"Good",IF(K29&gt;=50,"Fair","Poor"))))</f>
        <v/>
      </c>
      <c r="M29" s="13" t="n"/>
      <c r="N29" s="13" t="n"/>
      <c r="O29" s="13" t="n"/>
    </row>
    <row r="30">
      <c r="A30" s="13" t="n"/>
      <c r="B30" s="13" t="n"/>
      <c r="C30" s="13" t="n"/>
      <c r="D30" s="14">
        <f>IF(C30="Comprehensive",100,IF(C30="Adequate",75,IF(C30="Insufficient",40,IF(C30="Missing",0,""))))</f>
        <v/>
      </c>
      <c r="E30" s="13" t="n"/>
      <c r="F30" s="14">
        <f>IF(E30="Verified Accurate",100,IF(E30="Mostly Accurate",75,IF(E30="Contains Errors",40,IF(E30="Not Verified",0,""))))</f>
        <v/>
      </c>
      <c r="G30" s="13" t="n"/>
      <c r="H30" s="14">
        <f>IF(G30="Easy to Update",100,IF(G30="Moderate Effort",75,IF(G30="Difficult",40,IF(G30="Not Maintainable",0,""))))</f>
        <v/>
      </c>
      <c r="I30" s="13" t="n"/>
      <c r="J30" s="14">
        <f>IF(I30="Highly Accessible",100,IF(I30="Accessible",75,IF(I30="Limited Access",40,IF(I30="Not Accessible",0,""))))</f>
        <v/>
      </c>
      <c r="K30" s="15">
        <f>IF(AND(D30="",F30="",H30="",J30=""),"",(D30+F30+H30+J30)/4)</f>
        <v/>
      </c>
      <c r="L30" s="14">
        <f>IF(K30="","",IF(K30&gt;=90,"Excellent",IF(K30&gt;=75,"Good",IF(K30&gt;=50,"Fair","Poor"))))</f>
        <v/>
      </c>
      <c r="M30" s="13" t="n"/>
      <c r="N30" s="13" t="n"/>
      <c r="O30" s="13" t="n"/>
    </row>
    <row r="31">
      <c r="A31" s="13" t="n"/>
      <c r="B31" s="13" t="n"/>
      <c r="C31" s="13" t="n"/>
      <c r="D31" s="14">
        <f>IF(C31="Comprehensive",100,IF(C31="Adequate",75,IF(C31="Insufficient",40,IF(C31="Missing",0,""))))</f>
        <v/>
      </c>
      <c r="E31" s="13" t="n"/>
      <c r="F31" s="14">
        <f>IF(E31="Verified Accurate",100,IF(E31="Mostly Accurate",75,IF(E31="Contains Errors",40,IF(E31="Not Verified",0,""))))</f>
        <v/>
      </c>
      <c r="G31" s="13" t="n"/>
      <c r="H31" s="14">
        <f>IF(G31="Easy to Update",100,IF(G31="Moderate Effort",75,IF(G31="Difficult",40,IF(G31="Not Maintainable",0,""))))</f>
        <v/>
      </c>
      <c r="I31" s="13" t="n"/>
      <c r="J31" s="14">
        <f>IF(I31="Highly Accessible",100,IF(I31="Accessible",75,IF(I31="Limited Access",40,IF(I31="Not Accessible",0,""))))</f>
        <v/>
      </c>
      <c r="K31" s="15">
        <f>IF(AND(D31="",F31="",H31="",J31=""),"",(D31+F31+H31+J31)/4)</f>
        <v/>
      </c>
      <c r="L31" s="14">
        <f>IF(K31="","",IF(K31&gt;=90,"Excellent",IF(K31&gt;=75,"Good",IF(K31&gt;=50,"Fair","Poor"))))</f>
        <v/>
      </c>
      <c r="M31" s="13" t="n"/>
      <c r="N31" s="13" t="n"/>
      <c r="O31" s="13" t="n"/>
    </row>
    <row r="32">
      <c r="A32" s="13" t="n"/>
      <c r="B32" s="13" t="n"/>
      <c r="C32" s="13" t="n"/>
      <c r="D32" s="14">
        <f>IF(C32="Comprehensive",100,IF(C32="Adequate",75,IF(C32="Insufficient",40,IF(C32="Missing",0,""))))</f>
        <v/>
      </c>
      <c r="E32" s="13" t="n"/>
      <c r="F32" s="14">
        <f>IF(E32="Verified Accurate",100,IF(E32="Mostly Accurate",75,IF(E32="Contains Errors",40,IF(E32="Not Verified",0,""))))</f>
        <v/>
      </c>
      <c r="G32" s="13" t="n"/>
      <c r="H32" s="14">
        <f>IF(G32="Easy to Update",100,IF(G32="Moderate Effort",75,IF(G32="Difficult",40,IF(G32="Not Maintainable",0,""))))</f>
        <v/>
      </c>
      <c r="I32" s="13" t="n"/>
      <c r="J32" s="14">
        <f>IF(I32="Highly Accessible",100,IF(I32="Accessible",75,IF(I32="Limited Access",40,IF(I32="Not Accessible",0,""))))</f>
        <v/>
      </c>
      <c r="K32" s="15">
        <f>IF(AND(D32="",F32="",H32="",J32=""),"",(D32+F32+H32+J32)/4)</f>
        <v/>
      </c>
      <c r="L32" s="14">
        <f>IF(K32="","",IF(K32&gt;=90,"Excellent",IF(K32&gt;=75,"Good",IF(K32&gt;=50,"Fair","Poor"))))</f>
        <v/>
      </c>
      <c r="M32" s="13" t="n"/>
      <c r="N32" s="13" t="n"/>
      <c r="O32" s="13" t="n"/>
    </row>
    <row r="33">
      <c r="A33" s="13" t="n"/>
      <c r="B33" s="13" t="n"/>
      <c r="C33" s="13" t="n"/>
      <c r="D33" s="14">
        <f>IF(C33="Comprehensive",100,IF(C33="Adequate",75,IF(C33="Insufficient",40,IF(C33="Missing",0,""))))</f>
        <v/>
      </c>
      <c r="E33" s="13" t="n"/>
      <c r="F33" s="14">
        <f>IF(E33="Verified Accurate",100,IF(E33="Mostly Accurate",75,IF(E33="Contains Errors",40,IF(E33="Not Verified",0,""))))</f>
        <v/>
      </c>
      <c r="G33" s="13" t="n"/>
      <c r="H33" s="14">
        <f>IF(G33="Easy to Update",100,IF(G33="Moderate Effort",75,IF(G33="Difficult",40,IF(G33="Not Maintainable",0,""))))</f>
        <v/>
      </c>
      <c r="I33" s="13" t="n"/>
      <c r="J33" s="14">
        <f>IF(I33="Highly Accessible",100,IF(I33="Accessible",75,IF(I33="Limited Access",40,IF(I33="Not Accessible",0,""))))</f>
        <v/>
      </c>
      <c r="K33" s="15">
        <f>IF(AND(D33="",F33="",H33="",J33=""),"",(D33+F33+H33+J33)/4)</f>
        <v/>
      </c>
      <c r="L33" s="14">
        <f>IF(K33="","",IF(K33&gt;=90,"Excellent",IF(K33&gt;=75,"Good",IF(K33&gt;=50,"Fair","Poor"))))</f>
        <v/>
      </c>
      <c r="M33" s="13" t="n"/>
      <c r="N33" s="13" t="n"/>
      <c r="O33" s="13" t="n"/>
    </row>
    <row r="34">
      <c r="A34" s="13" t="n"/>
      <c r="B34" s="13" t="n"/>
      <c r="C34" s="13" t="n"/>
      <c r="D34" s="14">
        <f>IF(C34="Comprehensive",100,IF(C34="Adequate",75,IF(C34="Insufficient",40,IF(C34="Missing",0,""))))</f>
        <v/>
      </c>
      <c r="E34" s="13" t="n"/>
      <c r="F34" s="14">
        <f>IF(E34="Verified Accurate",100,IF(E34="Mostly Accurate",75,IF(E34="Contains Errors",40,IF(E34="Not Verified",0,""))))</f>
        <v/>
      </c>
      <c r="G34" s="13" t="n"/>
      <c r="H34" s="14">
        <f>IF(G34="Easy to Update",100,IF(G34="Moderate Effort",75,IF(G34="Difficult",40,IF(G34="Not Maintainable",0,""))))</f>
        <v/>
      </c>
      <c r="I34" s="13" t="n"/>
      <c r="J34" s="14">
        <f>IF(I34="Highly Accessible",100,IF(I34="Accessible",75,IF(I34="Limited Access",40,IF(I34="Not Accessible",0,""))))</f>
        <v/>
      </c>
      <c r="K34" s="15">
        <f>IF(AND(D34="",F34="",H34="",J34=""),"",(D34+F34+H34+J34)/4)</f>
        <v/>
      </c>
      <c r="L34" s="14">
        <f>IF(K34="","",IF(K34&gt;=90,"Excellent",IF(K34&gt;=75,"Good",IF(K34&gt;=50,"Fair","Poor"))))</f>
        <v/>
      </c>
      <c r="M34" s="13" t="n"/>
      <c r="N34" s="13" t="n"/>
      <c r="O34" s="13" t="n"/>
    </row>
    <row r="35">
      <c r="A35" s="13" t="n"/>
      <c r="B35" s="13" t="n"/>
      <c r="C35" s="13" t="n"/>
      <c r="D35" s="14">
        <f>IF(C35="Comprehensive",100,IF(C35="Adequate",75,IF(C35="Insufficient",40,IF(C35="Missing",0,""))))</f>
        <v/>
      </c>
      <c r="E35" s="13" t="n"/>
      <c r="F35" s="14">
        <f>IF(E35="Verified Accurate",100,IF(E35="Mostly Accurate",75,IF(E35="Contains Errors",40,IF(E35="Not Verified",0,""))))</f>
        <v/>
      </c>
      <c r="G35" s="13" t="n"/>
      <c r="H35" s="14">
        <f>IF(G35="Easy to Update",100,IF(G35="Moderate Effort",75,IF(G35="Difficult",40,IF(G35="Not Maintainable",0,""))))</f>
        <v/>
      </c>
      <c r="I35" s="13" t="n"/>
      <c r="J35" s="14">
        <f>IF(I35="Highly Accessible",100,IF(I35="Accessible",75,IF(I35="Limited Access",40,IF(I35="Not Accessible",0,""))))</f>
        <v/>
      </c>
      <c r="K35" s="15">
        <f>IF(AND(D35="",F35="",H35="",J35=""),"",(D35+F35+H35+J35)/4)</f>
        <v/>
      </c>
      <c r="L35" s="14">
        <f>IF(K35="","",IF(K35&gt;=90,"Excellent",IF(K35&gt;=75,"Good",IF(K35&gt;=50,"Fair","Poor"))))</f>
        <v/>
      </c>
      <c r="M35" s="13" t="n"/>
      <c r="N35" s="13" t="n"/>
      <c r="O35" s="13" t="n"/>
    </row>
    <row r="36">
      <c r="A36" s="13" t="n"/>
      <c r="B36" s="13" t="n"/>
      <c r="C36" s="13" t="n"/>
      <c r="D36" s="14">
        <f>IF(C36="Comprehensive",100,IF(C36="Adequate",75,IF(C36="Insufficient",40,IF(C36="Missing",0,""))))</f>
        <v/>
      </c>
      <c r="E36" s="13" t="n"/>
      <c r="F36" s="14">
        <f>IF(E36="Verified Accurate",100,IF(E36="Mostly Accurate",75,IF(E36="Contains Errors",40,IF(E36="Not Verified",0,""))))</f>
        <v/>
      </c>
      <c r="G36" s="13" t="n"/>
      <c r="H36" s="14">
        <f>IF(G36="Easy to Update",100,IF(G36="Moderate Effort",75,IF(G36="Difficult",40,IF(G36="Not Maintainable",0,""))))</f>
        <v/>
      </c>
      <c r="I36" s="13" t="n"/>
      <c r="J36" s="14">
        <f>IF(I36="Highly Accessible",100,IF(I36="Accessible",75,IF(I36="Limited Access",40,IF(I36="Not Accessible",0,""))))</f>
        <v/>
      </c>
      <c r="K36" s="15">
        <f>IF(AND(D36="",F36="",H36="",J36=""),"",(D36+F36+H36+J36)/4)</f>
        <v/>
      </c>
      <c r="L36" s="14">
        <f>IF(K36="","",IF(K36&gt;=90,"Excellent",IF(K36&gt;=75,"Good",IF(K36&gt;=50,"Fair","Poor"))))</f>
        <v/>
      </c>
      <c r="M36" s="13" t="n"/>
      <c r="N36" s="13" t="n"/>
      <c r="O36" s="13" t="n"/>
    </row>
    <row r="37">
      <c r="A37" s="13" t="n"/>
      <c r="B37" s="13" t="n"/>
      <c r="C37" s="13" t="n"/>
      <c r="D37" s="14">
        <f>IF(C37="Comprehensive",100,IF(C37="Adequate",75,IF(C37="Insufficient",40,IF(C37="Missing",0,""))))</f>
        <v/>
      </c>
      <c r="E37" s="13" t="n"/>
      <c r="F37" s="14">
        <f>IF(E37="Verified Accurate",100,IF(E37="Mostly Accurate",75,IF(E37="Contains Errors",40,IF(E37="Not Verified",0,""))))</f>
        <v/>
      </c>
      <c r="G37" s="13" t="n"/>
      <c r="H37" s="14">
        <f>IF(G37="Easy to Update",100,IF(G37="Moderate Effort",75,IF(G37="Difficult",40,IF(G37="Not Maintainable",0,""))))</f>
        <v/>
      </c>
      <c r="I37" s="13" t="n"/>
      <c r="J37" s="14">
        <f>IF(I37="Highly Accessible",100,IF(I37="Accessible",75,IF(I37="Limited Access",40,IF(I37="Not Accessible",0,""))))</f>
        <v/>
      </c>
      <c r="K37" s="15">
        <f>IF(AND(D37="",F37="",H37="",J37=""),"",(D37+F37+H37+J37)/4)</f>
        <v/>
      </c>
      <c r="L37" s="14">
        <f>IF(K37="","",IF(K37&gt;=90,"Excellent",IF(K37&gt;=75,"Good",IF(K37&gt;=50,"Fair","Poor"))))</f>
        <v/>
      </c>
      <c r="M37" s="13" t="n"/>
      <c r="N37" s="13" t="n"/>
      <c r="O37" s="13" t="n"/>
    </row>
    <row r="38">
      <c r="A38" s="13" t="n"/>
      <c r="B38" s="13" t="n"/>
      <c r="C38" s="13" t="n"/>
      <c r="D38" s="14">
        <f>IF(C38="Comprehensive",100,IF(C38="Adequate",75,IF(C38="Insufficient",40,IF(C38="Missing",0,""))))</f>
        <v/>
      </c>
      <c r="E38" s="13" t="n"/>
      <c r="F38" s="14">
        <f>IF(E38="Verified Accurate",100,IF(E38="Mostly Accurate",75,IF(E38="Contains Errors",40,IF(E38="Not Verified",0,""))))</f>
        <v/>
      </c>
      <c r="G38" s="13" t="n"/>
      <c r="H38" s="14">
        <f>IF(G38="Easy to Update",100,IF(G38="Moderate Effort",75,IF(G38="Difficult",40,IF(G38="Not Maintainable",0,""))))</f>
        <v/>
      </c>
      <c r="I38" s="13" t="n"/>
      <c r="J38" s="14">
        <f>IF(I38="Highly Accessible",100,IF(I38="Accessible",75,IF(I38="Limited Access",40,IF(I38="Not Accessible",0,""))))</f>
        <v/>
      </c>
      <c r="K38" s="15">
        <f>IF(AND(D38="",F38="",H38="",J38=""),"",(D38+F38+H38+J38)/4)</f>
        <v/>
      </c>
      <c r="L38" s="14">
        <f>IF(K38="","",IF(K38&gt;=90,"Excellent",IF(K38&gt;=75,"Good",IF(K38&gt;=50,"Fair","Poor"))))</f>
        <v/>
      </c>
      <c r="M38" s="13" t="n"/>
      <c r="N38" s="13" t="n"/>
      <c r="O38" s="13" t="n"/>
    </row>
    <row r="39">
      <c r="A39" s="13" t="n"/>
      <c r="B39" s="13" t="n"/>
      <c r="C39" s="13" t="n"/>
      <c r="D39" s="14">
        <f>IF(C39="Comprehensive",100,IF(C39="Adequate",75,IF(C39="Insufficient",40,IF(C39="Missing",0,""))))</f>
        <v/>
      </c>
      <c r="E39" s="13" t="n"/>
      <c r="F39" s="14">
        <f>IF(E39="Verified Accurate",100,IF(E39="Mostly Accurate",75,IF(E39="Contains Errors",40,IF(E39="Not Verified",0,""))))</f>
        <v/>
      </c>
      <c r="G39" s="13" t="n"/>
      <c r="H39" s="14">
        <f>IF(G39="Easy to Update",100,IF(G39="Moderate Effort",75,IF(G39="Difficult",40,IF(G39="Not Maintainable",0,""))))</f>
        <v/>
      </c>
      <c r="I39" s="13" t="n"/>
      <c r="J39" s="14">
        <f>IF(I39="Highly Accessible",100,IF(I39="Accessible",75,IF(I39="Limited Access",40,IF(I39="Not Accessible",0,""))))</f>
        <v/>
      </c>
      <c r="K39" s="15">
        <f>IF(AND(D39="",F39="",H39="",J39=""),"",(D39+F39+H39+J39)/4)</f>
        <v/>
      </c>
      <c r="L39" s="14">
        <f>IF(K39="","",IF(K39&gt;=90,"Excellent",IF(K39&gt;=75,"Good",IF(K39&gt;=50,"Fair","Poor"))))</f>
        <v/>
      </c>
      <c r="M39" s="13" t="n"/>
      <c r="N39" s="13" t="n"/>
      <c r="O39" s="13" t="n"/>
    </row>
    <row r="40">
      <c r="A40" s="13" t="n"/>
      <c r="B40" s="13" t="n"/>
      <c r="C40" s="13" t="n"/>
      <c r="D40" s="14">
        <f>IF(C40="Comprehensive",100,IF(C40="Adequate",75,IF(C40="Insufficient",40,IF(C40="Missing",0,""))))</f>
        <v/>
      </c>
      <c r="E40" s="13" t="n"/>
      <c r="F40" s="14">
        <f>IF(E40="Verified Accurate",100,IF(E40="Mostly Accurate",75,IF(E40="Contains Errors",40,IF(E40="Not Verified",0,""))))</f>
        <v/>
      </c>
      <c r="G40" s="13" t="n"/>
      <c r="H40" s="14">
        <f>IF(G40="Easy to Update",100,IF(G40="Moderate Effort",75,IF(G40="Difficult",40,IF(G40="Not Maintainable",0,""))))</f>
        <v/>
      </c>
      <c r="I40" s="13" t="n"/>
      <c r="J40" s="14">
        <f>IF(I40="Highly Accessible",100,IF(I40="Accessible",75,IF(I40="Limited Access",40,IF(I40="Not Accessible",0,""))))</f>
        <v/>
      </c>
      <c r="K40" s="15">
        <f>IF(AND(D40="",F40="",H40="",J40=""),"",(D40+F40+H40+J40)/4)</f>
        <v/>
      </c>
      <c r="L40" s="14">
        <f>IF(K40="","",IF(K40&gt;=90,"Excellent",IF(K40&gt;=75,"Good",IF(K40&gt;=50,"Fair","Poor"))))</f>
        <v/>
      </c>
      <c r="M40" s="13" t="n"/>
      <c r="N40" s="13" t="n"/>
      <c r="O40" s="13" t="n"/>
    </row>
    <row r="41">
      <c r="A41" s="13" t="n"/>
      <c r="B41" s="13" t="n"/>
      <c r="C41" s="13" t="n"/>
      <c r="D41" s="14">
        <f>IF(C41="Comprehensive",100,IF(C41="Adequate",75,IF(C41="Insufficient",40,IF(C41="Missing",0,""))))</f>
        <v/>
      </c>
      <c r="E41" s="13" t="n"/>
      <c r="F41" s="14">
        <f>IF(E41="Verified Accurate",100,IF(E41="Mostly Accurate",75,IF(E41="Contains Errors",40,IF(E41="Not Verified",0,""))))</f>
        <v/>
      </c>
      <c r="G41" s="13" t="n"/>
      <c r="H41" s="14">
        <f>IF(G41="Easy to Update",100,IF(G41="Moderate Effort",75,IF(G41="Difficult",40,IF(G41="Not Maintainable",0,""))))</f>
        <v/>
      </c>
      <c r="I41" s="13" t="n"/>
      <c r="J41" s="14">
        <f>IF(I41="Highly Accessible",100,IF(I41="Accessible",75,IF(I41="Limited Access",40,IF(I41="Not Accessible",0,""))))</f>
        <v/>
      </c>
      <c r="K41" s="15">
        <f>IF(AND(D41="",F41="",H41="",J41=""),"",(D41+F41+H41+J41)/4)</f>
        <v/>
      </c>
      <c r="L41" s="14">
        <f>IF(K41="","",IF(K41&gt;=90,"Excellent",IF(K41&gt;=75,"Good",IF(K41&gt;=50,"Fair","Poor"))))</f>
        <v/>
      </c>
      <c r="M41" s="13" t="n"/>
      <c r="N41" s="13" t="n"/>
      <c r="O41" s="13" t="n"/>
    </row>
    <row r="42">
      <c r="A42" s="13" t="n"/>
      <c r="B42" s="13" t="n"/>
      <c r="C42" s="13" t="n"/>
      <c r="D42" s="14">
        <f>IF(C42="Comprehensive",100,IF(C42="Adequate",75,IF(C42="Insufficient",40,IF(C42="Missing",0,""))))</f>
        <v/>
      </c>
      <c r="E42" s="13" t="n"/>
      <c r="F42" s="14">
        <f>IF(E42="Verified Accurate",100,IF(E42="Mostly Accurate",75,IF(E42="Contains Errors",40,IF(E42="Not Verified",0,""))))</f>
        <v/>
      </c>
      <c r="G42" s="13" t="n"/>
      <c r="H42" s="14">
        <f>IF(G42="Easy to Update",100,IF(G42="Moderate Effort",75,IF(G42="Difficult",40,IF(G42="Not Maintainable",0,""))))</f>
        <v/>
      </c>
      <c r="I42" s="13" t="n"/>
      <c r="J42" s="14">
        <f>IF(I42="Highly Accessible",100,IF(I42="Accessible",75,IF(I42="Limited Access",40,IF(I42="Not Accessible",0,""))))</f>
        <v/>
      </c>
      <c r="K42" s="15">
        <f>IF(AND(D42="",F42="",H42="",J42=""),"",(D42+F42+H42+J42)/4)</f>
        <v/>
      </c>
      <c r="L42" s="14">
        <f>IF(K42="","",IF(K42&gt;=90,"Excellent",IF(K42&gt;=75,"Good",IF(K42&gt;=50,"Fair","Poor"))))</f>
        <v/>
      </c>
      <c r="M42" s="13" t="n"/>
      <c r="N42" s="13" t="n"/>
      <c r="O42" s="13" t="n"/>
    </row>
    <row r="43">
      <c r="A43" s="13" t="n"/>
      <c r="B43" s="13" t="n"/>
      <c r="C43" s="13" t="n"/>
      <c r="D43" s="14">
        <f>IF(C43="Comprehensive",100,IF(C43="Adequate",75,IF(C43="Insufficient",40,IF(C43="Missing",0,""))))</f>
        <v/>
      </c>
      <c r="E43" s="13" t="n"/>
      <c r="F43" s="14">
        <f>IF(E43="Verified Accurate",100,IF(E43="Mostly Accurate",75,IF(E43="Contains Errors",40,IF(E43="Not Verified",0,""))))</f>
        <v/>
      </c>
      <c r="G43" s="13" t="n"/>
      <c r="H43" s="14">
        <f>IF(G43="Easy to Update",100,IF(G43="Moderate Effort",75,IF(G43="Difficult",40,IF(G43="Not Maintainable",0,""))))</f>
        <v/>
      </c>
      <c r="I43" s="13" t="n"/>
      <c r="J43" s="14">
        <f>IF(I43="Highly Accessible",100,IF(I43="Accessible",75,IF(I43="Limited Access",40,IF(I43="Not Accessible",0,""))))</f>
        <v/>
      </c>
      <c r="K43" s="15">
        <f>IF(AND(D43="",F43="",H43="",J43=""),"",(D43+F43+H43+J43)/4)</f>
        <v/>
      </c>
      <c r="L43" s="14">
        <f>IF(K43="","",IF(K43&gt;=90,"Excellent",IF(K43&gt;=75,"Good",IF(K43&gt;=50,"Fair","Poor"))))</f>
        <v/>
      </c>
      <c r="M43" s="13" t="n"/>
      <c r="N43" s="13" t="n"/>
      <c r="O43" s="13" t="n"/>
    </row>
    <row r="44">
      <c r="A44" s="13" t="n"/>
      <c r="B44" s="13" t="n"/>
      <c r="C44" s="13" t="n"/>
      <c r="D44" s="14">
        <f>IF(C44="Comprehensive",100,IF(C44="Adequate",75,IF(C44="Insufficient",40,IF(C44="Missing",0,""))))</f>
        <v/>
      </c>
      <c r="E44" s="13" t="n"/>
      <c r="F44" s="14">
        <f>IF(E44="Verified Accurate",100,IF(E44="Mostly Accurate",75,IF(E44="Contains Errors",40,IF(E44="Not Verified",0,""))))</f>
        <v/>
      </c>
      <c r="G44" s="13" t="n"/>
      <c r="H44" s="14">
        <f>IF(G44="Easy to Update",100,IF(G44="Moderate Effort",75,IF(G44="Difficult",40,IF(G44="Not Maintainable",0,""))))</f>
        <v/>
      </c>
      <c r="I44" s="13" t="n"/>
      <c r="J44" s="14">
        <f>IF(I44="Highly Accessible",100,IF(I44="Accessible",75,IF(I44="Limited Access",40,IF(I44="Not Accessible",0,""))))</f>
        <v/>
      </c>
      <c r="K44" s="15">
        <f>IF(AND(D44="",F44="",H44="",J44=""),"",(D44+F44+H44+J44)/4)</f>
        <v/>
      </c>
      <c r="L44" s="14">
        <f>IF(K44="","",IF(K44&gt;=90,"Excellent",IF(K44&gt;=75,"Good",IF(K44&gt;=50,"Fair","Poor"))))</f>
        <v/>
      </c>
      <c r="M44" s="13" t="n"/>
      <c r="N44" s="13" t="n"/>
      <c r="O44" s="13" t="n"/>
    </row>
    <row r="45">
      <c r="A45" s="13" t="n"/>
      <c r="B45" s="13" t="n"/>
      <c r="C45" s="13" t="n"/>
      <c r="D45" s="14">
        <f>IF(C45="Comprehensive",100,IF(C45="Adequate",75,IF(C45="Insufficient",40,IF(C45="Missing",0,""))))</f>
        <v/>
      </c>
      <c r="E45" s="13" t="n"/>
      <c r="F45" s="14">
        <f>IF(E45="Verified Accurate",100,IF(E45="Mostly Accurate",75,IF(E45="Contains Errors",40,IF(E45="Not Verified",0,""))))</f>
        <v/>
      </c>
      <c r="G45" s="13" t="n"/>
      <c r="H45" s="14">
        <f>IF(G45="Easy to Update",100,IF(G45="Moderate Effort",75,IF(G45="Difficult",40,IF(G45="Not Maintainable",0,""))))</f>
        <v/>
      </c>
      <c r="I45" s="13" t="n"/>
      <c r="J45" s="14">
        <f>IF(I45="Highly Accessible",100,IF(I45="Accessible",75,IF(I45="Limited Access",40,IF(I45="Not Accessible",0,""))))</f>
        <v/>
      </c>
      <c r="K45" s="15">
        <f>IF(AND(D45="",F45="",H45="",J45=""),"",(D45+F45+H45+J45)/4)</f>
        <v/>
      </c>
      <c r="L45" s="14">
        <f>IF(K45="","",IF(K45&gt;=90,"Excellent",IF(K45&gt;=75,"Good",IF(K45&gt;=50,"Fair","Poor"))))</f>
        <v/>
      </c>
      <c r="M45" s="13" t="n"/>
      <c r="N45" s="13" t="n"/>
      <c r="O45" s="13" t="n"/>
    </row>
    <row r="46">
      <c r="A46" s="13" t="n"/>
      <c r="B46" s="13" t="n"/>
      <c r="C46" s="13" t="n"/>
      <c r="D46" s="14">
        <f>IF(C46="Comprehensive",100,IF(C46="Adequate",75,IF(C46="Insufficient",40,IF(C46="Missing",0,""))))</f>
        <v/>
      </c>
      <c r="E46" s="13" t="n"/>
      <c r="F46" s="14">
        <f>IF(E46="Verified Accurate",100,IF(E46="Mostly Accurate",75,IF(E46="Contains Errors",40,IF(E46="Not Verified",0,""))))</f>
        <v/>
      </c>
      <c r="G46" s="13" t="n"/>
      <c r="H46" s="14">
        <f>IF(G46="Easy to Update",100,IF(G46="Moderate Effort",75,IF(G46="Difficult",40,IF(G46="Not Maintainable",0,""))))</f>
        <v/>
      </c>
      <c r="I46" s="13" t="n"/>
      <c r="J46" s="14">
        <f>IF(I46="Highly Accessible",100,IF(I46="Accessible",75,IF(I46="Limited Access",40,IF(I46="Not Accessible",0,""))))</f>
        <v/>
      </c>
      <c r="K46" s="15">
        <f>IF(AND(D46="",F46="",H46="",J46=""),"",(D46+F46+H46+J46)/4)</f>
        <v/>
      </c>
      <c r="L46" s="14">
        <f>IF(K46="","",IF(K46&gt;=90,"Excellent",IF(K46&gt;=75,"Good",IF(K46&gt;=50,"Fair","Poor"))))</f>
        <v/>
      </c>
      <c r="M46" s="13" t="n"/>
      <c r="N46" s="13" t="n"/>
      <c r="O46" s="13" t="n"/>
    </row>
    <row r="47">
      <c r="A47" s="13" t="n"/>
      <c r="B47" s="13" t="n"/>
      <c r="C47" s="13" t="n"/>
      <c r="D47" s="14">
        <f>IF(C47="Comprehensive",100,IF(C47="Adequate",75,IF(C47="Insufficient",40,IF(C47="Missing",0,""))))</f>
        <v/>
      </c>
      <c r="E47" s="13" t="n"/>
      <c r="F47" s="14">
        <f>IF(E47="Verified Accurate",100,IF(E47="Mostly Accurate",75,IF(E47="Contains Errors",40,IF(E47="Not Verified",0,""))))</f>
        <v/>
      </c>
      <c r="G47" s="13" t="n"/>
      <c r="H47" s="14">
        <f>IF(G47="Easy to Update",100,IF(G47="Moderate Effort",75,IF(G47="Difficult",40,IF(G47="Not Maintainable",0,""))))</f>
        <v/>
      </c>
      <c r="I47" s="13" t="n"/>
      <c r="J47" s="14">
        <f>IF(I47="Highly Accessible",100,IF(I47="Accessible",75,IF(I47="Limited Access",40,IF(I47="Not Accessible",0,""))))</f>
        <v/>
      </c>
      <c r="K47" s="15">
        <f>IF(AND(D47="",F47="",H47="",J47=""),"",(D47+F47+H47+J47)/4)</f>
        <v/>
      </c>
      <c r="L47" s="14">
        <f>IF(K47="","",IF(K47&gt;=90,"Excellent",IF(K47&gt;=75,"Good",IF(K47&gt;=50,"Fair","Poor"))))</f>
        <v/>
      </c>
      <c r="M47" s="13" t="n"/>
      <c r="N47" s="13" t="n"/>
      <c r="O47" s="13" t="n"/>
    </row>
    <row r="48">
      <c r="A48" s="13" t="n"/>
      <c r="B48" s="13" t="n"/>
      <c r="C48" s="13" t="n"/>
      <c r="D48" s="14">
        <f>IF(C48="Comprehensive",100,IF(C48="Adequate",75,IF(C48="Insufficient",40,IF(C48="Missing",0,""))))</f>
        <v/>
      </c>
      <c r="E48" s="13" t="n"/>
      <c r="F48" s="14">
        <f>IF(E48="Verified Accurate",100,IF(E48="Mostly Accurate",75,IF(E48="Contains Errors",40,IF(E48="Not Verified",0,""))))</f>
        <v/>
      </c>
      <c r="G48" s="13" t="n"/>
      <c r="H48" s="14">
        <f>IF(G48="Easy to Update",100,IF(G48="Moderate Effort",75,IF(G48="Difficult",40,IF(G48="Not Maintainable",0,""))))</f>
        <v/>
      </c>
      <c r="I48" s="13" t="n"/>
      <c r="J48" s="14">
        <f>IF(I48="Highly Accessible",100,IF(I48="Accessible",75,IF(I48="Limited Access",40,IF(I48="Not Accessible",0,""))))</f>
        <v/>
      </c>
      <c r="K48" s="15">
        <f>IF(AND(D48="",F48="",H48="",J48=""),"",(D48+F48+H48+J48)/4)</f>
        <v/>
      </c>
      <c r="L48" s="14">
        <f>IF(K48="","",IF(K48&gt;=90,"Excellent",IF(K48&gt;=75,"Good",IF(K48&gt;=50,"Fair","Poor"))))</f>
        <v/>
      </c>
      <c r="M48" s="13" t="n"/>
      <c r="N48" s="13" t="n"/>
      <c r="O48" s="13" t="n"/>
    </row>
    <row r="49">
      <c r="A49" s="13" t="n"/>
      <c r="B49" s="13" t="n"/>
      <c r="C49" s="13" t="n"/>
      <c r="D49" s="14">
        <f>IF(C49="Comprehensive",100,IF(C49="Adequate",75,IF(C49="Insufficient",40,IF(C49="Missing",0,""))))</f>
        <v/>
      </c>
      <c r="E49" s="13" t="n"/>
      <c r="F49" s="14">
        <f>IF(E49="Verified Accurate",100,IF(E49="Mostly Accurate",75,IF(E49="Contains Errors",40,IF(E49="Not Verified",0,""))))</f>
        <v/>
      </c>
      <c r="G49" s="13" t="n"/>
      <c r="H49" s="14">
        <f>IF(G49="Easy to Update",100,IF(G49="Moderate Effort",75,IF(G49="Difficult",40,IF(G49="Not Maintainable",0,""))))</f>
        <v/>
      </c>
      <c r="I49" s="13" t="n"/>
      <c r="J49" s="14">
        <f>IF(I49="Highly Accessible",100,IF(I49="Accessible",75,IF(I49="Limited Access",40,IF(I49="Not Accessible",0,""))))</f>
        <v/>
      </c>
      <c r="K49" s="15">
        <f>IF(AND(D49="",F49="",H49="",J49=""),"",(D49+F49+H49+J49)/4)</f>
        <v/>
      </c>
      <c r="L49" s="14">
        <f>IF(K49="","",IF(K49&gt;=90,"Excellent",IF(K49&gt;=75,"Good",IF(K49&gt;=50,"Fair","Poor"))))</f>
        <v/>
      </c>
      <c r="M49" s="13" t="n"/>
      <c r="N49" s="13" t="n"/>
      <c r="O49" s="13" t="n"/>
    </row>
    <row r="50">
      <c r="A50" s="13" t="n"/>
      <c r="B50" s="13" t="n"/>
      <c r="C50" s="13" t="n"/>
      <c r="D50" s="14">
        <f>IF(C50="Comprehensive",100,IF(C50="Adequate",75,IF(C50="Insufficient",40,IF(C50="Missing",0,""))))</f>
        <v/>
      </c>
      <c r="E50" s="13" t="n"/>
      <c r="F50" s="14">
        <f>IF(E50="Verified Accurate",100,IF(E50="Mostly Accurate",75,IF(E50="Contains Errors",40,IF(E50="Not Verified",0,""))))</f>
        <v/>
      </c>
      <c r="G50" s="13" t="n"/>
      <c r="H50" s="14">
        <f>IF(G50="Easy to Update",100,IF(G50="Moderate Effort",75,IF(G50="Difficult",40,IF(G50="Not Maintainable",0,""))))</f>
        <v/>
      </c>
      <c r="I50" s="13" t="n"/>
      <c r="J50" s="14">
        <f>IF(I50="Highly Accessible",100,IF(I50="Accessible",75,IF(I50="Limited Access",40,IF(I50="Not Accessible",0,""))))</f>
        <v/>
      </c>
      <c r="K50" s="15">
        <f>IF(AND(D50="",F50="",H50="",J50=""),"",(D50+F50+H50+J50)/4)</f>
        <v/>
      </c>
      <c r="L50" s="14">
        <f>IF(K50="","",IF(K50&gt;=90,"Excellent",IF(K50&gt;=75,"Good",IF(K50&gt;=50,"Fair","Poor"))))</f>
        <v/>
      </c>
      <c r="M50" s="13" t="n"/>
      <c r="N50" s="13" t="n"/>
      <c r="O50" s="13" t="n"/>
    </row>
    <row r="51">
      <c r="A51" s="13" t="n"/>
      <c r="B51" s="13" t="n"/>
      <c r="C51" s="13" t="n"/>
      <c r="D51" s="14">
        <f>IF(C51="Comprehensive",100,IF(C51="Adequate",75,IF(C51="Insufficient",40,IF(C51="Missing",0,""))))</f>
        <v/>
      </c>
      <c r="E51" s="13" t="n"/>
      <c r="F51" s="14">
        <f>IF(E51="Verified Accurate",100,IF(E51="Mostly Accurate",75,IF(E51="Contains Errors",40,IF(E51="Not Verified",0,""))))</f>
        <v/>
      </c>
      <c r="G51" s="13" t="n"/>
      <c r="H51" s="14">
        <f>IF(G51="Easy to Update",100,IF(G51="Moderate Effort",75,IF(G51="Difficult",40,IF(G51="Not Maintainable",0,""))))</f>
        <v/>
      </c>
      <c r="I51" s="13" t="n"/>
      <c r="J51" s="14">
        <f>IF(I51="Highly Accessible",100,IF(I51="Accessible",75,IF(I51="Limited Access",40,IF(I51="Not Accessible",0,""))))</f>
        <v/>
      </c>
      <c r="K51" s="15">
        <f>IF(AND(D51="",F51="",H51="",J51=""),"",(D51+F51+H51+J51)/4)</f>
        <v/>
      </c>
      <c r="L51" s="14">
        <f>IF(K51="","",IF(K51&gt;=90,"Excellent",IF(K51&gt;=75,"Good",IF(K51&gt;=50,"Fair","Poor"))))</f>
        <v/>
      </c>
      <c r="M51" s="13" t="n"/>
      <c r="N51" s="13" t="n"/>
      <c r="O51" s="13" t="n"/>
    </row>
    <row r="52">
      <c r="A52" s="13" t="n"/>
      <c r="B52" s="13" t="n"/>
      <c r="C52" s="13" t="n"/>
      <c r="D52" s="14">
        <f>IF(C52="Comprehensive",100,IF(C52="Adequate",75,IF(C52="Insufficient",40,IF(C52="Missing",0,""))))</f>
        <v/>
      </c>
      <c r="E52" s="13" t="n"/>
      <c r="F52" s="14">
        <f>IF(E52="Verified Accurate",100,IF(E52="Mostly Accurate",75,IF(E52="Contains Errors",40,IF(E52="Not Verified",0,""))))</f>
        <v/>
      </c>
      <c r="G52" s="13" t="n"/>
      <c r="H52" s="14">
        <f>IF(G52="Easy to Update",100,IF(G52="Moderate Effort",75,IF(G52="Difficult",40,IF(G52="Not Maintainable",0,""))))</f>
        <v/>
      </c>
      <c r="I52" s="13" t="n"/>
      <c r="J52" s="14">
        <f>IF(I52="Highly Accessible",100,IF(I52="Accessible",75,IF(I52="Limited Access",40,IF(I52="Not Accessible",0,""))))</f>
        <v/>
      </c>
      <c r="K52" s="15">
        <f>IF(AND(D52="",F52="",H52="",J52=""),"",(D52+F52+H52+J52)/4)</f>
        <v/>
      </c>
      <c r="L52" s="14">
        <f>IF(K52="","",IF(K52&gt;=90,"Excellent",IF(K52&gt;=75,"Good",IF(K52&gt;=50,"Fair","Poor"))))</f>
        <v/>
      </c>
      <c r="M52" s="13" t="n"/>
      <c r="N52" s="13" t="n"/>
      <c r="O52" s="13" t="n"/>
    </row>
    <row r="53">
      <c r="A53" s="13" t="n"/>
      <c r="B53" s="13" t="n"/>
      <c r="C53" s="13" t="n"/>
      <c r="D53" s="14">
        <f>IF(C53="Comprehensive",100,IF(C53="Adequate",75,IF(C53="Insufficient",40,IF(C53="Missing",0,""))))</f>
        <v/>
      </c>
      <c r="E53" s="13" t="n"/>
      <c r="F53" s="14">
        <f>IF(E53="Verified Accurate",100,IF(E53="Mostly Accurate",75,IF(E53="Contains Errors",40,IF(E53="Not Verified",0,""))))</f>
        <v/>
      </c>
      <c r="G53" s="13" t="n"/>
      <c r="H53" s="14">
        <f>IF(G53="Easy to Update",100,IF(G53="Moderate Effort",75,IF(G53="Difficult",40,IF(G53="Not Maintainable",0,""))))</f>
        <v/>
      </c>
      <c r="I53" s="13" t="n"/>
      <c r="J53" s="14">
        <f>IF(I53="Highly Accessible",100,IF(I53="Accessible",75,IF(I53="Limited Access",40,IF(I53="Not Accessible",0,""))))</f>
        <v/>
      </c>
      <c r="K53" s="15">
        <f>IF(AND(D53="",F53="",H53="",J53=""),"",(D53+F53+H53+J53)/4)</f>
        <v/>
      </c>
      <c r="L53" s="14">
        <f>IF(K53="","",IF(K53&gt;=90,"Excellent",IF(K53&gt;=75,"Good",IF(K53&gt;=50,"Fair","Poor"))))</f>
        <v/>
      </c>
      <c r="M53" s="13" t="n"/>
      <c r="N53" s="13" t="n"/>
      <c r="O53" s="13" t="n"/>
    </row>
  </sheetData>
  <mergeCells count="1">
    <mergeCell ref="A1:O1"/>
  </mergeCells>
  <conditionalFormatting sqref="K3:K53">
    <cfRule type="cellIs" priority="1" operator="greaterThanOrEqual" dxfId="0">
      <formula>90</formula>
    </cfRule>
    <cfRule type="cellIs" priority="2" operator="between" dxfId="0">
      <formula>75</formula>
      <formula>89.9</formula>
    </cfRule>
    <cfRule type="cellIs" priority="3" operator="between" dxfId="1">
      <formula>50</formula>
      <formula>74.9</formula>
    </cfRule>
    <cfRule type="cellIs" priority="4" operator="lessThan" dxfId="2">
      <formula>50</formula>
    </cfRule>
  </conditionalFormatting>
  <conditionalFormatting sqref="L3:L53">
    <cfRule type="cellIs" priority="5" operator="equal" dxfId="6">
      <formula>"Excellent"</formula>
    </cfRule>
    <cfRule type="cellIs" priority="6" operator="equal" dxfId="9">
      <formula>"Good"</formula>
    </cfRule>
    <cfRule type="cellIs" priority="7" operator="equal" dxfId="10">
      <formula>"Fair"</formula>
    </cfRule>
    <cfRule type="cellIs" priority="8" operator="equal" dxfId="8">
      <formula>"Poor"</formula>
    </cfRule>
  </conditionalFormatting>
  <dataValidations count="5">
    <dataValidation sqref="C3:C53" showDropDown="0" showInputMessage="0" showErrorMessage="0" allowBlank="0" errorTitle="Invalid Entry" error="Invalid entry" promptTitle="Selection Required" prompt="Please select from the dropdown" type="list">
      <formula1>"Comprehensive,Adequate,Insufficient,Missing"</formula1>
    </dataValidation>
    <dataValidation sqref="E3:E53" showDropDown="0" showInputMessage="0" showErrorMessage="0" allowBlank="0" errorTitle="Invalid Entry" error="Invalid entry" promptTitle="Selection Required" prompt="Please select from the dropdown" type="list">
      <formula1>"Verified Accurate,Mostly Accurate,Contains Errors,Not Verified"</formula1>
    </dataValidation>
    <dataValidation sqref="G3:G53" showDropDown="0" showInputMessage="0" showErrorMessage="0" allowBlank="0" errorTitle="Invalid Entry" error="Invalid entry" promptTitle="Selection Required" prompt="Please select from the dropdown" type="list">
      <formula1>"Easy to Update,Moderate Effort,Difficult,Not Maintainable"</formula1>
    </dataValidation>
    <dataValidation sqref="I3:I53" showDropDown="0" showInputMessage="0" showErrorMessage="0" allowBlank="0" errorTitle="Invalid Entry" error="Invalid entry" promptTitle="Selection Required" prompt="Please select from the dropdown" type="list">
      <formula1>"Highly Accessible,Accessible,Limited Access,Not Accessible"</formula1>
    </dataValidation>
    <dataValidation sqref="N3:N53" showDropDown="0" showInputMessage="0" showErrorMessage="0" allowBlank="1" errorTitle="Invalid Entry" error="Invalid entry" promptTitle="Selection Required" prompt="Please select from the dropdown"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8" customWidth="1" min="6" max="6"/>
    <col width="40" customWidth="1" min="7" max="7"/>
    <col width="25" customWidth="1" min="8" max="8"/>
    <col width="20" customWidth="1" min="9" max="9"/>
    <col width="20" customWidth="1" min="10" max="10"/>
    <col width="15" customWidth="1" min="11" max="11"/>
    <col width="12" customWidth="1" min="12" max="12"/>
    <col width="12" customWidth="1" min="13" max="13"/>
    <col width="40" customWidth="1" min="14" max="14"/>
  </cols>
  <sheetData>
    <row r="1" ht="35" customHeight="1">
      <c r="A1" s="11" t="inlineStr">
        <is>
          <t>BASELINE VERSION CONTROL HISTORY</t>
        </is>
      </c>
    </row>
    <row r="2">
      <c r="A2" s="12" t="inlineStr">
        <is>
          <t>Baseline ID</t>
        </is>
      </c>
      <c r="B2" s="12" t="inlineStr">
        <is>
          <t>Baseline Name</t>
        </is>
      </c>
      <c r="C2" s="12" t="inlineStr">
        <is>
          <t>Version Number</t>
        </is>
      </c>
      <c r="D2" s="12" t="inlineStr">
        <is>
          <t>Version Date</t>
        </is>
      </c>
      <c r="E2" s="12" t="inlineStr">
        <is>
          <t>Previous Version</t>
        </is>
      </c>
      <c r="F2" s="12" t="inlineStr">
        <is>
          <t>Change Type</t>
        </is>
      </c>
      <c r="G2" s="12" t="inlineStr">
        <is>
          <t>Change Summary</t>
        </is>
      </c>
      <c r="H2" s="12" t="inlineStr">
        <is>
          <t>Change Request Reference</t>
        </is>
      </c>
      <c r="I2" s="12" t="inlineStr">
        <is>
          <t>Changed By</t>
        </is>
      </c>
      <c r="J2" s="12" t="inlineStr">
        <is>
          <t>Approved By</t>
        </is>
      </c>
      <c r="K2" s="12" t="inlineStr">
        <is>
          <t>Superseded Date</t>
        </is>
      </c>
      <c r="L2" s="12" t="inlineStr">
        <is>
          <t>Status</t>
        </is>
      </c>
      <c r="M2" s="12" t="inlineStr">
        <is>
          <t>Assets Affected Count</t>
        </is>
      </c>
      <c r="N2" s="12" t="inlineStr">
        <is>
          <t>Documentation Location</t>
        </is>
      </c>
    </row>
    <row r="4">
      <c r="A4" s="14" t="inlineStr">
        <is>
          <t>BL-001</t>
        </is>
      </c>
      <c r="B4" s="14" t="inlineStr">
        <is>
          <t>Windows Server 2022 CIS Baseline</t>
        </is>
      </c>
      <c r="C4" s="14" t="inlineStr">
        <is>
          <t>v2.0</t>
        </is>
      </c>
      <c r="D4" s="14" t="inlineStr">
        <is>
          <t>01.01.2026</t>
        </is>
      </c>
      <c r="E4" s="14" t="inlineStr">
        <is>
          <t>v1.5</t>
        </is>
      </c>
      <c r="F4" s="14" t="inlineStr">
        <is>
          <t>Major Update</t>
        </is>
      </c>
      <c r="G4" s="14" t="inlineStr">
        <is>
          <t>Updated to CIS Benchmark v2.0 — added 12 new controls, removed 3 deprecated settings</t>
        </is>
      </c>
      <c r="H4" s="14" t="inlineStr">
        <is>
          <t>CRQ-2025-1234</t>
        </is>
      </c>
      <c r="I4" s="14" t="inlineStr">
        <is>
          <t>J. Smith (Security)</t>
        </is>
      </c>
      <c r="J4" s="14" t="inlineStr">
        <is>
          <t>A. Johnson (CISO)</t>
        </is>
      </c>
      <c r="K4" s="14" t="inlineStr"/>
      <c r="L4" s="14" t="inlineStr"/>
      <c r="M4" s="14" t="n">
        <v>47</v>
      </c>
      <c r="N4" s="14" t="inlineStr">
        <is>
          <t>/baseline/windows-server-2022-cis-v2.0.xlsx</t>
        </is>
      </c>
    </row>
    <row r="5">
      <c r="A5" s="13" t="n"/>
      <c r="B5" s="13" t="n"/>
      <c r="C5" s="13" t="n"/>
      <c r="D5" s="13" t="n"/>
      <c r="E5" s="13" t="n"/>
      <c r="F5" s="13" t="n"/>
      <c r="G5" s="13" t="n"/>
      <c r="H5" s="13" t="n"/>
      <c r="I5" s="13" t="n"/>
      <c r="J5" s="13" t="n"/>
      <c r="K5" s="13" t="n"/>
      <c r="L5" s="14">
        <f>IF(K5="","Current","Superseded")</f>
        <v/>
      </c>
      <c r="M5" s="13" t="n"/>
      <c r="N5" s="13" t="n"/>
    </row>
    <row r="6">
      <c r="A6" s="13" t="n"/>
      <c r="B6" s="13" t="n"/>
      <c r="C6" s="13" t="n"/>
      <c r="D6" s="13" t="n"/>
      <c r="E6" s="13" t="n"/>
      <c r="F6" s="13" t="n"/>
      <c r="G6" s="13" t="n"/>
      <c r="H6" s="13" t="n"/>
      <c r="I6" s="13" t="n"/>
      <c r="J6" s="13" t="n"/>
      <c r="K6" s="13" t="n"/>
      <c r="L6" s="14">
        <f>IF(K6="","Current","Superseded")</f>
        <v/>
      </c>
      <c r="M6" s="13" t="n"/>
      <c r="N6" s="13" t="n"/>
    </row>
    <row r="7">
      <c r="A7" s="13" t="n"/>
      <c r="B7" s="13" t="n"/>
      <c r="C7" s="13" t="n"/>
      <c r="D7" s="13" t="n"/>
      <c r="E7" s="13" t="n"/>
      <c r="F7" s="13" t="n"/>
      <c r="G7" s="13" t="n"/>
      <c r="H7" s="13" t="n"/>
      <c r="I7" s="13" t="n"/>
      <c r="J7" s="13" t="n"/>
      <c r="K7" s="13" t="n"/>
      <c r="L7" s="14">
        <f>IF(K7="","Current","Superseded")</f>
        <v/>
      </c>
      <c r="M7" s="13" t="n"/>
      <c r="N7" s="13" t="n"/>
    </row>
    <row r="8">
      <c r="A8" s="13" t="n"/>
      <c r="B8" s="13" t="n"/>
      <c r="C8" s="13" t="n"/>
      <c r="D8" s="13" t="n"/>
      <c r="E8" s="13" t="n"/>
      <c r="F8" s="13" t="n"/>
      <c r="G8" s="13" t="n"/>
      <c r="H8" s="13" t="n"/>
      <c r="I8" s="13" t="n"/>
      <c r="J8" s="13" t="n"/>
      <c r="K8" s="13" t="n"/>
      <c r="L8" s="14">
        <f>IF(K8="","Current","Superseded")</f>
        <v/>
      </c>
      <c r="M8" s="13" t="n"/>
      <c r="N8" s="13" t="n"/>
    </row>
    <row r="9">
      <c r="A9" s="13" t="n"/>
      <c r="B9" s="13" t="n"/>
      <c r="C9" s="13" t="n"/>
      <c r="D9" s="13" t="n"/>
      <c r="E9" s="13" t="n"/>
      <c r="F9" s="13" t="n"/>
      <c r="G9" s="13" t="n"/>
      <c r="H9" s="13" t="n"/>
      <c r="I9" s="13" t="n"/>
      <c r="J9" s="13" t="n"/>
      <c r="K9" s="13" t="n"/>
      <c r="L9" s="14">
        <f>IF(K9="","Current","Superseded")</f>
        <v/>
      </c>
      <c r="M9" s="13" t="n"/>
      <c r="N9" s="13" t="n"/>
    </row>
    <row r="10">
      <c r="A10" s="13" t="n"/>
      <c r="B10" s="13" t="n"/>
      <c r="C10" s="13" t="n"/>
      <c r="D10" s="13" t="n"/>
      <c r="E10" s="13" t="n"/>
      <c r="F10" s="13" t="n"/>
      <c r="G10" s="13" t="n"/>
      <c r="H10" s="13" t="n"/>
      <c r="I10" s="13" t="n"/>
      <c r="J10" s="13" t="n"/>
      <c r="K10" s="13" t="n"/>
      <c r="L10" s="14">
        <f>IF(K10="","Current","Superseded")</f>
        <v/>
      </c>
      <c r="M10" s="13" t="n"/>
      <c r="N10" s="13" t="n"/>
    </row>
    <row r="11">
      <c r="A11" s="13" t="n"/>
      <c r="B11" s="13" t="n"/>
      <c r="C11" s="13" t="n"/>
      <c r="D11" s="13" t="n"/>
      <c r="E11" s="13" t="n"/>
      <c r="F11" s="13" t="n"/>
      <c r="G11" s="13" t="n"/>
      <c r="H11" s="13" t="n"/>
      <c r="I11" s="13" t="n"/>
      <c r="J11" s="13" t="n"/>
      <c r="K11" s="13" t="n"/>
      <c r="L11" s="14">
        <f>IF(K11="","Current","Superseded")</f>
        <v/>
      </c>
      <c r="M11" s="13" t="n"/>
      <c r="N11" s="13" t="n"/>
    </row>
    <row r="12">
      <c r="A12" s="13" t="n"/>
      <c r="B12" s="13" t="n"/>
      <c r="C12" s="13" t="n"/>
      <c r="D12" s="13" t="n"/>
      <c r="E12" s="13" t="n"/>
      <c r="F12" s="13" t="n"/>
      <c r="G12" s="13" t="n"/>
      <c r="H12" s="13" t="n"/>
      <c r="I12" s="13" t="n"/>
      <c r="J12" s="13" t="n"/>
      <c r="K12" s="13" t="n"/>
      <c r="L12" s="14">
        <f>IF(K12="","Current","Superseded")</f>
        <v/>
      </c>
      <c r="M12" s="13" t="n"/>
      <c r="N12" s="13" t="n"/>
    </row>
    <row r="13">
      <c r="A13" s="13" t="n"/>
      <c r="B13" s="13" t="n"/>
      <c r="C13" s="13" t="n"/>
      <c r="D13" s="13" t="n"/>
      <c r="E13" s="13" t="n"/>
      <c r="F13" s="13" t="n"/>
      <c r="G13" s="13" t="n"/>
      <c r="H13" s="13" t="n"/>
      <c r="I13" s="13" t="n"/>
      <c r="J13" s="13" t="n"/>
      <c r="K13" s="13" t="n"/>
      <c r="L13" s="14">
        <f>IF(K13="","Current","Superseded")</f>
        <v/>
      </c>
      <c r="M13" s="13" t="n"/>
      <c r="N13" s="13" t="n"/>
    </row>
    <row r="14">
      <c r="A14" s="13" t="n"/>
      <c r="B14" s="13" t="n"/>
      <c r="C14" s="13" t="n"/>
      <c r="D14" s="13" t="n"/>
      <c r="E14" s="13" t="n"/>
      <c r="F14" s="13" t="n"/>
      <c r="G14" s="13" t="n"/>
      <c r="H14" s="13" t="n"/>
      <c r="I14" s="13" t="n"/>
      <c r="J14" s="13" t="n"/>
      <c r="K14" s="13" t="n"/>
      <c r="L14" s="14">
        <f>IF(K14="","Current","Superseded")</f>
        <v/>
      </c>
      <c r="M14" s="13" t="n"/>
      <c r="N14" s="13" t="n"/>
    </row>
    <row r="15">
      <c r="A15" s="13" t="n"/>
      <c r="B15" s="13" t="n"/>
      <c r="C15" s="13" t="n"/>
      <c r="D15" s="13" t="n"/>
      <c r="E15" s="13" t="n"/>
      <c r="F15" s="13" t="n"/>
      <c r="G15" s="13" t="n"/>
      <c r="H15" s="13" t="n"/>
      <c r="I15" s="13" t="n"/>
      <c r="J15" s="13" t="n"/>
      <c r="K15" s="13" t="n"/>
      <c r="L15" s="14">
        <f>IF(K15="","Current","Superseded")</f>
        <v/>
      </c>
      <c r="M15" s="13" t="n"/>
      <c r="N15" s="13" t="n"/>
    </row>
    <row r="16">
      <c r="A16" s="13" t="n"/>
      <c r="B16" s="13" t="n"/>
      <c r="C16" s="13" t="n"/>
      <c r="D16" s="13" t="n"/>
      <c r="E16" s="13" t="n"/>
      <c r="F16" s="13" t="n"/>
      <c r="G16" s="13" t="n"/>
      <c r="H16" s="13" t="n"/>
      <c r="I16" s="13" t="n"/>
      <c r="J16" s="13" t="n"/>
      <c r="K16" s="13" t="n"/>
      <c r="L16" s="14">
        <f>IF(K16="","Current","Superseded")</f>
        <v/>
      </c>
      <c r="M16" s="13" t="n"/>
      <c r="N16" s="13" t="n"/>
    </row>
    <row r="17">
      <c r="A17" s="13" t="n"/>
      <c r="B17" s="13" t="n"/>
      <c r="C17" s="13" t="n"/>
      <c r="D17" s="13" t="n"/>
      <c r="E17" s="13" t="n"/>
      <c r="F17" s="13" t="n"/>
      <c r="G17" s="13" t="n"/>
      <c r="H17" s="13" t="n"/>
      <c r="I17" s="13" t="n"/>
      <c r="J17" s="13" t="n"/>
      <c r="K17" s="13" t="n"/>
      <c r="L17" s="14">
        <f>IF(K17="","Current","Superseded")</f>
        <v/>
      </c>
      <c r="M17" s="13" t="n"/>
      <c r="N17" s="13" t="n"/>
    </row>
    <row r="18">
      <c r="A18" s="13" t="n"/>
      <c r="B18" s="13" t="n"/>
      <c r="C18" s="13" t="n"/>
      <c r="D18" s="13" t="n"/>
      <c r="E18" s="13" t="n"/>
      <c r="F18" s="13" t="n"/>
      <c r="G18" s="13" t="n"/>
      <c r="H18" s="13" t="n"/>
      <c r="I18" s="13" t="n"/>
      <c r="J18" s="13" t="n"/>
      <c r="K18" s="13" t="n"/>
      <c r="L18" s="14">
        <f>IF(K18="","Current","Superseded")</f>
        <v/>
      </c>
      <c r="M18" s="13" t="n"/>
      <c r="N18" s="13" t="n"/>
    </row>
    <row r="19">
      <c r="A19" s="13" t="n"/>
      <c r="B19" s="13" t="n"/>
      <c r="C19" s="13" t="n"/>
      <c r="D19" s="13" t="n"/>
      <c r="E19" s="13" t="n"/>
      <c r="F19" s="13" t="n"/>
      <c r="G19" s="13" t="n"/>
      <c r="H19" s="13" t="n"/>
      <c r="I19" s="13" t="n"/>
      <c r="J19" s="13" t="n"/>
      <c r="K19" s="13" t="n"/>
      <c r="L19" s="14">
        <f>IF(K19="","Current","Superseded")</f>
        <v/>
      </c>
      <c r="M19" s="13" t="n"/>
      <c r="N19" s="13" t="n"/>
    </row>
    <row r="20">
      <c r="A20" s="13" t="n"/>
      <c r="B20" s="13" t="n"/>
      <c r="C20" s="13" t="n"/>
      <c r="D20" s="13" t="n"/>
      <c r="E20" s="13" t="n"/>
      <c r="F20" s="13" t="n"/>
      <c r="G20" s="13" t="n"/>
      <c r="H20" s="13" t="n"/>
      <c r="I20" s="13" t="n"/>
      <c r="J20" s="13" t="n"/>
      <c r="K20" s="13" t="n"/>
      <c r="L20" s="14">
        <f>IF(K20="","Current","Superseded")</f>
        <v/>
      </c>
      <c r="M20" s="13" t="n"/>
      <c r="N20" s="13" t="n"/>
    </row>
    <row r="21">
      <c r="A21" s="13" t="n"/>
      <c r="B21" s="13" t="n"/>
      <c r="C21" s="13" t="n"/>
      <c r="D21" s="13" t="n"/>
      <c r="E21" s="13" t="n"/>
      <c r="F21" s="13" t="n"/>
      <c r="G21" s="13" t="n"/>
      <c r="H21" s="13" t="n"/>
      <c r="I21" s="13" t="n"/>
      <c r="J21" s="13" t="n"/>
      <c r="K21" s="13" t="n"/>
      <c r="L21" s="14">
        <f>IF(K21="","Current","Superseded")</f>
        <v/>
      </c>
      <c r="M21" s="13" t="n"/>
      <c r="N21" s="13" t="n"/>
    </row>
    <row r="22">
      <c r="A22" s="13" t="n"/>
      <c r="B22" s="13" t="n"/>
      <c r="C22" s="13" t="n"/>
      <c r="D22" s="13" t="n"/>
      <c r="E22" s="13" t="n"/>
      <c r="F22" s="13" t="n"/>
      <c r="G22" s="13" t="n"/>
      <c r="H22" s="13" t="n"/>
      <c r="I22" s="13" t="n"/>
      <c r="J22" s="13" t="n"/>
      <c r="K22" s="13" t="n"/>
      <c r="L22" s="14">
        <f>IF(K22="","Current","Superseded")</f>
        <v/>
      </c>
      <c r="M22" s="13" t="n"/>
      <c r="N22" s="13" t="n"/>
    </row>
    <row r="23">
      <c r="A23" s="13" t="n"/>
      <c r="B23" s="13" t="n"/>
      <c r="C23" s="13" t="n"/>
      <c r="D23" s="13" t="n"/>
      <c r="E23" s="13" t="n"/>
      <c r="F23" s="13" t="n"/>
      <c r="G23" s="13" t="n"/>
      <c r="H23" s="13" t="n"/>
      <c r="I23" s="13" t="n"/>
      <c r="J23" s="13" t="n"/>
      <c r="K23" s="13" t="n"/>
      <c r="L23" s="14">
        <f>IF(K23="","Current","Superseded")</f>
        <v/>
      </c>
      <c r="M23" s="13" t="n"/>
      <c r="N23" s="13" t="n"/>
    </row>
    <row r="24">
      <c r="A24" s="13" t="n"/>
      <c r="B24" s="13" t="n"/>
      <c r="C24" s="13" t="n"/>
      <c r="D24" s="13" t="n"/>
      <c r="E24" s="13" t="n"/>
      <c r="F24" s="13" t="n"/>
      <c r="G24" s="13" t="n"/>
      <c r="H24" s="13" t="n"/>
      <c r="I24" s="13" t="n"/>
      <c r="J24" s="13" t="n"/>
      <c r="K24" s="13" t="n"/>
      <c r="L24" s="14">
        <f>IF(K24="","Current","Superseded")</f>
        <v/>
      </c>
      <c r="M24" s="13" t="n"/>
      <c r="N24" s="13" t="n"/>
    </row>
    <row r="25">
      <c r="A25" s="13" t="n"/>
      <c r="B25" s="13" t="n"/>
      <c r="C25" s="13" t="n"/>
      <c r="D25" s="13" t="n"/>
      <c r="E25" s="13" t="n"/>
      <c r="F25" s="13" t="n"/>
      <c r="G25" s="13" t="n"/>
      <c r="H25" s="13" t="n"/>
      <c r="I25" s="13" t="n"/>
      <c r="J25" s="13" t="n"/>
      <c r="K25" s="13" t="n"/>
      <c r="L25" s="14">
        <f>IF(K25="","Current","Superseded")</f>
        <v/>
      </c>
      <c r="M25" s="13" t="n"/>
      <c r="N25" s="13" t="n"/>
    </row>
    <row r="26">
      <c r="A26" s="13" t="n"/>
      <c r="B26" s="13" t="n"/>
      <c r="C26" s="13" t="n"/>
      <c r="D26" s="13" t="n"/>
      <c r="E26" s="13" t="n"/>
      <c r="F26" s="13" t="n"/>
      <c r="G26" s="13" t="n"/>
      <c r="H26" s="13" t="n"/>
      <c r="I26" s="13" t="n"/>
      <c r="J26" s="13" t="n"/>
      <c r="K26" s="13" t="n"/>
      <c r="L26" s="14">
        <f>IF(K26="","Current","Superseded")</f>
        <v/>
      </c>
      <c r="M26" s="13" t="n"/>
      <c r="N26" s="13" t="n"/>
    </row>
    <row r="27">
      <c r="A27" s="13" t="n"/>
      <c r="B27" s="13" t="n"/>
      <c r="C27" s="13" t="n"/>
      <c r="D27" s="13" t="n"/>
      <c r="E27" s="13" t="n"/>
      <c r="F27" s="13" t="n"/>
      <c r="G27" s="13" t="n"/>
      <c r="H27" s="13" t="n"/>
      <c r="I27" s="13" t="n"/>
      <c r="J27" s="13" t="n"/>
      <c r="K27" s="13" t="n"/>
      <c r="L27" s="14">
        <f>IF(K27="","Current","Superseded")</f>
        <v/>
      </c>
      <c r="M27" s="13" t="n"/>
      <c r="N27" s="13" t="n"/>
    </row>
    <row r="28">
      <c r="A28" s="13" t="n"/>
      <c r="B28" s="13" t="n"/>
      <c r="C28" s="13" t="n"/>
      <c r="D28" s="13" t="n"/>
      <c r="E28" s="13" t="n"/>
      <c r="F28" s="13" t="n"/>
      <c r="G28" s="13" t="n"/>
      <c r="H28" s="13" t="n"/>
      <c r="I28" s="13" t="n"/>
      <c r="J28" s="13" t="n"/>
      <c r="K28" s="13" t="n"/>
      <c r="L28" s="14">
        <f>IF(K28="","Current","Superseded")</f>
        <v/>
      </c>
      <c r="M28" s="13" t="n"/>
      <c r="N28" s="13" t="n"/>
    </row>
    <row r="29">
      <c r="A29" s="13" t="n"/>
      <c r="B29" s="13" t="n"/>
      <c r="C29" s="13" t="n"/>
      <c r="D29" s="13" t="n"/>
      <c r="E29" s="13" t="n"/>
      <c r="F29" s="13" t="n"/>
      <c r="G29" s="13" t="n"/>
      <c r="H29" s="13" t="n"/>
      <c r="I29" s="13" t="n"/>
      <c r="J29" s="13" t="n"/>
      <c r="K29" s="13" t="n"/>
      <c r="L29" s="14">
        <f>IF(K29="","Current","Superseded")</f>
        <v/>
      </c>
      <c r="M29" s="13" t="n"/>
      <c r="N29" s="13" t="n"/>
    </row>
    <row r="30">
      <c r="A30" s="13" t="n"/>
      <c r="B30" s="13" t="n"/>
      <c r="C30" s="13" t="n"/>
      <c r="D30" s="13" t="n"/>
      <c r="E30" s="13" t="n"/>
      <c r="F30" s="13" t="n"/>
      <c r="G30" s="13" t="n"/>
      <c r="H30" s="13" t="n"/>
      <c r="I30" s="13" t="n"/>
      <c r="J30" s="13" t="n"/>
      <c r="K30" s="13" t="n"/>
      <c r="L30" s="14">
        <f>IF(K30="","Current","Superseded")</f>
        <v/>
      </c>
      <c r="M30" s="13" t="n"/>
      <c r="N30" s="13" t="n"/>
    </row>
    <row r="31">
      <c r="A31" s="13" t="n"/>
      <c r="B31" s="13" t="n"/>
      <c r="C31" s="13" t="n"/>
      <c r="D31" s="13" t="n"/>
      <c r="E31" s="13" t="n"/>
      <c r="F31" s="13" t="n"/>
      <c r="G31" s="13" t="n"/>
      <c r="H31" s="13" t="n"/>
      <c r="I31" s="13" t="n"/>
      <c r="J31" s="13" t="n"/>
      <c r="K31" s="13" t="n"/>
      <c r="L31" s="14">
        <f>IF(K31="","Current","Superseded")</f>
        <v/>
      </c>
      <c r="M31" s="13" t="n"/>
      <c r="N31" s="13" t="n"/>
    </row>
    <row r="32">
      <c r="A32" s="13" t="n"/>
      <c r="B32" s="13" t="n"/>
      <c r="C32" s="13" t="n"/>
      <c r="D32" s="13" t="n"/>
      <c r="E32" s="13" t="n"/>
      <c r="F32" s="13" t="n"/>
      <c r="G32" s="13" t="n"/>
      <c r="H32" s="13" t="n"/>
      <c r="I32" s="13" t="n"/>
      <c r="J32" s="13" t="n"/>
      <c r="K32" s="13" t="n"/>
      <c r="L32" s="14">
        <f>IF(K32="","Current","Superseded")</f>
        <v/>
      </c>
      <c r="M32" s="13" t="n"/>
      <c r="N32" s="13" t="n"/>
    </row>
    <row r="33">
      <c r="A33" s="13" t="n"/>
      <c r="B33" s="13" t="n"/>
      <c r="C33" s="13" t="n"/>
      <c r="D33" s="13" t="n"/>
      <c r="E33" s="13" t="n"/>
      <c r="F33" s="13" t="n"/>
      <c r="G33" s="13" t="n"/>
      <c r="H33" s="13" t="n"/>
      <c r="I33" s="13" t="n"/>
      <c r="J33" s="13" t="n"/>
      <c r="K33" s="13" t="n"/>
      <c r="L33" s="14">
        <f>IF(K33="","Current","Superseded")</f>
        <v/>
      </c>
      <c r="M33" s="13" t="n"/>
      <c r="N33" s="13" t="n"/>
    </row>
    <row r="34">
      <c r="A34" s="13" t="n"/>
      <c r="B34" s="13" t="n"/>
      <c r="C34" s="13" t="n"/>
      <c r="D34" s="13" t="n"/>
      <c r="E34" s="13" t="n"/>
      <c r="F34" s="13" t="n"/>
      <c r="G34" s="13" t="n"/>
      <c r="H34" s="13" t="n"/>
      <c r="I34" s="13" t="n"/>
      <c r="J34" s="13" t="n"/>
      <c r="K34" s="13" t="n"/>
      <c r="L34" s="14">
        <f>IF(K34="","Current","Superseded")</f>
        <v/>
      </c>
      <c r="M34" s="13" t="n"/>
      <c r="N34" s="13" t="n"/>
    </row>
    <row r="35">
      <c r="A35" s="13" t="n"/>
      <c r="B35" s="13" t="n"/>
      <c r="C35" s="13" t="n"/>
      <c r="D35" s="13" t="n"/>
      <c r="E35" s="13" t="n"/>
      <c r="F35" s="13" t="n"/>
      <c r="G35" s="13" t="n"/>
      <c r="H35" s="13" t="n"/>
      <c r="I35" s="13" t="n"/>
      <c r="J35" s="13" t="n"/>
      <c r="K35" s="13" t="n"/>
      <c r="L35" s="14">
        <f>IF(K35="","Current","Superseded")</f>
        <v/>
      </c>
      <c r="M35" s="13" t="n"/>
      <c r="N35" s="13" t="n"/>
    </row>
    <row r="36">
      <c r="A36" s="13" t="n"/>
      <c r="B36" s="13" t="n"/>
      <c r="C36" s="13" t="n"/>
      <c r="D36" s="13" t="n"/>
      <c r="E36" s="13" t="n"/>
      <c r="F36" s="13" t="n"/>
      <c r="G36" s="13" t="n"/>
      <c r="H36" s="13" t="n"/>
      <c r="I36" s="13" t="n"/>
      <c r="J36" s="13" t="n"/>
      <c r="K36" s="13" t="n"/>
      <c r="L36" s="14">
        <f>IF(K36="","Current","Superseded")</f>
        <v/>
      </c>
      <c r="M36" s="13" t="n"/>
      <c r="N36" s="13" t="n"/>
    </row>
    <row r="37">
      <c r="A37" s="13" t="n"/>
      <c r="B37" s="13" t="n"/>
      <c r="C37" s="13" t="n"/>
      <c r="D37" s="13" t="n"/>
      <c r="E37" s="13" t="n"/>
      <c r="F37" s="13" t="n"/>
      <c r="G37" s="13" t="n"/>
      <c r="H37" s="13" t="n"/>
      <c r="I37" s="13" t="n"/>
      <c r="J37" s="13" t="n"/>
      <c r="K37" s="13" t="n"/>
      <c r="L37" s="14">
        <f>IF(K37="","Current","Superseded")</f>
        <v/>
      </c>
      <c r="M37" s="13" t="n"/>
      <c r="N37" s="13" t="n"/>
    </row>
    <row r="38">
      <c r="A38" s="13" t="n"/>
      <c r="B38" s="13" t="n"/>
      <c r="C38" s="13" t="n"/>
      <c r="D38" s="13" t="n"/>
      <c r="E38" s="13" t="n"/>
      <c r="F38" s="13" t="n"/>
      <c r="G38" s="13" t="n"/>
      <c r="H38" s="13" t="n"/>
      <c r="I38" s="13" t="n"/>
      <c r="J38" s="13" t="n"/>
      <c r="K38" s="13" t="n"/>
      <c r="L38" s="14">
        <f>IF(K38="","Current","Superseded")</f>
        <v/>
      </c>
      <c r="M38" s="13" t="n"/>
      <c r="N38" s="13" t="n"/>
    </row>
    <row r="39">
      <c r="A39" s="13" t="n"/>
      <c r="B39" s="13" t="n"/>
      <c r="C39" s="13" t="n"/>
      <c r="D39" s="13" t="n"/>
      <c r="E39" s="13" t="n"/>
      <c r="F39" s="13" t="n"/>
      <c r="G39" s="13" t="n"/>
      <c r="H39" s="13" t="n"/>
      <c r="I39" s="13" t="n"/>
      <c r="J39" s="13" t="n"/>
      <c r="K39" s="13" t="n"/>
      <c r="L39" s="14">
        <f>IF(K39="","Current","Superseded")</f>
        <v/>
      </c>
      <c r="M39" s="13" t="n"/>
      <c r="N39" s="13" t="n"/>
    </row>
    <row r="40">
      <c r="A40" s="13" t="n"/>
      <c r="B40" s="13" t="n"/>
      <c r="C40" s="13" t="n"/>
      <c r="D40" s="13" t="n"/>
      <c r="E40" s="13" t="n"/>
      <c r="F40" s="13" t="n"/>
      <c r="G40" s="13" t="n"/>
      <c r="H40" s="13" t="n"/>
      <c r="I40" s="13" t="n"/>
      <c r="J40" s="13" t="n"/>
      <c r="K40" s="13" t="n"/>
      <c r="L40" s="14">
        <f>IF(K40="","Current","Superseded")</f>
        <v/>
      </c>
      <c r="M40" s="13" t="n"/>
      <c r="N40" s="13" t="n"/>
    </row>
    <row r="41">
      <c r="A41" s="13" t="n"/>
      <c r="B41" s="13" t="n"/>
      <c r="C41" s="13" t="n"/>
      <c r="D41" s="13" t="n"/>
      <c r="E41" s="13" t="n"/>
      <c r="F41" s="13" t="n"/>
      <c r="G41" s="13" t="n"/>
      <c r="H41" s="13" t="n"/>
      <c r="I41" s="13" t="n"/>
      <c r="J41" s="13" t="n"/>
      <c r="K41" s="13" t="n"/>
      <c r="L41" s="14">
        <f>IF(K41="","Current","Superseded")</f>
        <v/>
      </c>
      <c r="M41" s="13" t="n"/>
      <c r="N41" s="13" t="n"/>
    </row>
    <row r="42">
      <c r="A42" s="13" t="n"/>
      <c r="B42" s="13" t="n"/>
      <c r="C42" s="13" t="n"/>
      <c r="D42" s="13" t="n"/>
      <c r="E42" s="13" t="n"/>
      <c r="F42" s="13" t="n"/>
      <c r="G42" s="13" t="n"/>
      <c r="H42" s="13" t="n"/>
      <c r="I42" s="13" t="n"/>
      <c r="J42" s="13" t="n"/>
      <c r="K42" s="13" t="n"/>
      <c r="L42" s="14">
        <f>IF(K42="","Current","Superseded")</f>
        <v/>
      </c>
      <c r="M42" s="13" t="n"/>
      <c r="N42" s="13" t="n"/>
    </row>
    <row r="43">
      <c r="A43" s="13" t="n"/>
      <c r="B43" s="13" t="n"/>
      <c r="C43" s="13" t="n"/>
      <c r="D43" s="13" t="n"/>
      <c r="E43" s="13" t="n"/>
      <c r="F43" s="13" t="n"/>
      <c r="G43" s="13" t="n"/>
      <c r="H43" s="13" t="n"/>
      <c r="I43" s="13" t="n"/>
      <c r="J43" s="13" t="n"/>
      <c r="K43" s="13" t="n"/>
      <c r="L43" s="14">
        <f>IF(K43="","Current","Superseded")</f>
        <v/>
      </c>
      <c r="M43" s="13" t="n"/>
      <c r="N43" s="13" t="n"/>
    </row>
    <row r="44">
      <c r="A44" s="13" t="n"/>
      <c r="B44" s="13" t="n"/>
      <c r="C44" s="13" t="n"/>
      <c r="D44" s="13" t="n"/>
      <c r="E44" s="13" t="n"/>
      <c r="F44" s="13" t="n"/>
      <c r="G44" s="13" t="n"/>
      <c r="H44" s="13" t="n"/>
      <c r="I44" s="13" t="n"/>
      <c r="J44" s="13" t="n"/>
      <c r="K44" s="13" t="n"/>
      <c r="L44" s="14">
        <f>IF(K44="","Current","Superseded")</f>
        <v/>
      </c>
      <c r="M44" s="13" t="n"/>
      <c r="N44" s="13" t="n"/>
    </row>
    <row r="45">
      <c r="A45" s="13" t="n"/>
      <c r="B45" s="13" t="n"/>
      <c r="C45" s="13" t="n"/>
      <c r="D45" s="13" t="n"/>
      <c r="E45" s="13" t="n"/>
      <c r="F45" s="13" t="n"/>
      <c r="G45" s="13" t="n"/>
      <c r="H45" s="13" t="n"/>
      <c r="I45" s="13" t="n"/>
      <c r="J45" s="13" t="n"/>
      <c r="K45" s="13" t="n"/>
      <c r="L45" s="14">
        <f>IF(K45="","Current","Superseded")</f>
        <v/>
      </c>
      <c r="M45" s="13" t="n"/>
      <c r="N45" s="13" t="n"/>
    </row>
    <row r="46">
      <c r="A46" s="13" t="n"/>
      <c r="B46" s="13" t="n"/>
      <c r="C46" s="13" t="n"/>
      <c r="D46" s="13" t="n"/>
      <c r="E46" s="13" t="n"/>
      <c r="F46" s="13" t="n"/>
      <c r="G46" s="13" t="n"/>
      <c r="H46" s="13" t="n"/>
      <c r="I46" s="13" t="n"/>
      <c r="J46" s="13" t="n"/>
      <c r="K46" s="13" t="n"/>
      <c r="L46" s="14">
        <f>IF(K46="","Current","Superseded")</f>
        <v/>
      </c>
      <c r="M46" s="13" t="n"/>
      <c r="N46" s="13" t="n"/>
    </row>
    <row r="47">
      <c r="A47" s="13" t="n"/>
      <c r="B47" s="13" t="n"/>
      <c r="C47" s="13" t="n"/>
      <c r="D47" s="13" t="n"/>
      <c r="E47" s="13" t="n"/>
      <c r="F47" s="13" t="n"/>
      <c r="G47" s="13" t="n"/>
      <c r="H47" s="13" t="n"/>
      <c r="I47" s="13" t="n"/>
      <c r="J47" s="13" t="n"/>
      <c r="K47" s="13" t="n"/>
      <c r="L47" s="14">
        <f>IF(K47="","Current","Superseded")</f>
        <v/>
      </c>
      <c r="M47" s="13" t="n"/>
      <c r="N47" s="13" t="n"/>
    </row>
    <row r="48">
      <c r="A48" s="13" t="n"/>
      <c r="B48" s="13" t="n"/>
      <c r="C48" s="13" t="n"/>
      <c r="D48" s="13" t="n"/>
      <c r="E48" s="13" t="n"/>
      <c r="F48" s="13" t="n"/>
      <c r="G48" s="13" t="n"/>
      <c r="H48" s="13" t="n"/>
      <c r="I48" s="13" t="n"/>
      <c r="J48" s="13" t="n"/>
      <c r="K48" s="13" t="n"/>
      <c r="L48" s="14">
        <f>IF(K48="","Current","Superseded")</f>
        <v/>
      </c>
      <c r="M48" s="13" t="n"/>
      <c r="N48" s="13" t="n"/>
    </row>
    <row r="49">
      <c r="A49" s="13" t="n"/>
      <c r="B49" s="13" t="n"/>
      <c r="C49" s="13" t="n"/>
      <c r="D49" s="13" t="n"/>
      <c r="E49" s="13" t="n"/>
      <c r="F49" s="13" t="n"/>
      <c r="G49" s="13" t="n"/>
      <c r="H49" s="13" t="n"/>
      <c r="I49" s="13" t="n"/>
      <c r="J49" s="13" t="n"/>
      <c r="K49" s="13" t="n"/>
      <c r="L49" s="14">
        <f>IF(K49="","Current","Superseded")</f>
        <v/>
      </c>
      <c r="M49" s="13" t="n"/>
      <c r="N49" s="13" t="n"/>
    </row>
    <row r="50">
      <c r="A50" s="13" t="n"/>
      <c r="B50" s="13" t="n"/>
      <c r="C50" s="13" t="n"/>
      <c r="D50" s="13" t="n"/>
      <c r="E50" s="13" t="n"/>
      <c r="F50" s="13" t="n"/>
      <c r="G50" s="13" t="n"/>
      <c r="H50" s="13" t="n"/>
      <c r="I50" s="13" t="n"/>
      <c r="J50" s="13" t="n"/>
      <c r="K50" s="13" t="n"/>
      <c r="L50" s="14">
        <f>IF(K50="","Current","Superseded")</f>
        <v/>
      </c>
      <c r="M50" s="13" t="n"/>
      <c r="N50" s="13" t="n"/>
    </row>
    <row r="51">
      <c r="A51" s="13" t="n"/>
      <c r="B51" s="13" t="n"/>
      <c r="C51" s="13" t="n"/>
      <c r="D51" s="13" t="n"/>
      <c r="E51" s="13" t="n"/>
      <c r="F51" s="13" t="n"/>
      <c r="G51" s="13" t="n"/>
      <c r="H51" s="13" t="n"/>
      <c r="I51" s="13" t="n"/>
      <c r="J51" s="13" t="n"/>
      <c r="K51" s="13" t="n"/>
      <c r="L51" s="14">
        <f>IF(K51="","Current","Superseded")</f>
        <v/>
      </c>
      <c r="M51" s="13" t="n"/>
      <c r="N51" s="13" t="n"/>
    </row>
    <row r="52">
      <c r="A52" s="13" t="n"/>
      <c r="B52" s="13" t="n"/>
      <c r="C52" s="13" t="n"/>
      <c r="D52" s="13" t="n"/>
      <c r="E52" s="13" t="n"/>
      <c r="F52" s="13" t="n"/>
      <c r="G52" s="13" t="n"/>
      <c r="H52" s="13" t="n"/>
      <c r="I52" s="13" t="n"/>
      <c r="J52" s="13" t="n"/>
      <c r="K52" s="13" t="n"/>
      <c r="L52" s="14">
        <f>IF(K52="","Current","Superseded")</f>
        <v/>
      </c>
      <c r="M52" s="13" t="n"/>
      <c r="N52" s="13" t="n"/>
    </row>
    <row r="53">
      <c r="A53" s="13" t="n"/>
      <c r="B53" s="13" t="n"/>
      <c r="C53" s="13" t="n"/>
      <c r="D53" s="13" t="n"/>
      <c r="E53" s="13" t="n"/>
      <c r="F53" s="13" t="n"/>
      <c r="G53" s="13" t="n"/>
      <c r="H53" s="13" t="n"/>
      <c r="I53" s="13" t="n"/>
      <c r="J53" s="13" t="n"/>
      <c r="K53" s="13" t="n"/>
      <c r="L53" s="14">
        <f>IF(K53="","Current","Superseded")</f>
        <v/>
      </c>
      <c r="M53" s="13" t="n"/>
      <c r="N53" s="13" t="n"/>
    </row>
    <row r="54">
      <c r="A54" s="13" t="n"/>
      <c r="B54" s="13" t="n"/>
      <c r="C54" s="13" t="n"/>
      <c r="D54" s="13" t="n"/>
      <c r="E54" s="13" t="n"/>
      <c r="F54" s="13" t="n"/>
      <c r="G54" s="13" t="n"/>
      <c r="H54" s="13" t="n"/>
      <c r="I54" s="13" t="n"/>
      <c r="J54" s="13" t="n"/>
      <c r="K54" s="13" t="n"/>
      <c r="L54" s="14">
        <f>IF(K54="","Current","Superseded")</f>
        <v/>
      </c>
      <c r="M54" s="13" t="n"/>
      <c r="N54" s="13" t="n"/>
    </row>
  </sheetData>
  <mergeCells count="1">
    <mergeCell ref="A1:N1"/>
  </mergeCells>
  <conditionalFormatting sqref="L4:L54">
    <cfRule type="cellIs" priority="1" operator="equal" dxfId="4">
      <formula>"Current"</formula>
    </cfRule>
    <cfRule type="cellIs" priority="2" operator="equal" dxfId="3">
      <formula>"Superseded"</formula>
    </cfRule>
  </conditionalFormatting>
  <conditionalFormatting sqref="F4:F54">
    <cfRule type="cellIs" priority="3" operator="equal" dxfId="11">
      <formula>"Emergency Change"</formula>
    </cfRule>
    <cfRule type="cellIs" priority="4" operator="equal" dxfId="12">
      <formula>"Security Patch"</formula>
    </cfRule>
  </conditionalFormatting>
  <dataValidations count="1">
    <dataValidation sqref="F4:F54" showDropDown="0" showInputMessage="0" showErrorMessage="0" allowBlank="0" errorTitle="Invalid Entry" error="Invalid entry" promptTitle="Selection Required" prompt="Please select from the dropdown" type="list">
      <formula1>"Initial Release,Minor Update,Major Update,Security Patch,Emergency Change,Rollback"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20" customWidth="1" min="4" max="4"/>
    <col width="25" customWidth="1" min="5" max="5"/>
    <col width="30" customWidth="1" min="6" max="6"/>
    <col width="25" customWidth="1" min="7" max="7"/>
    <col width="25" customWidth="1" min="8" max="8"/>
    <col width="40" customWidth="1" min="9" max="9"/>
    <col width="12" customWidth="1" min="10" max="10"/>
    <col width="35" customWidth="1" min="11" max="11"/>
    <col width="20" customWidth="1" min="12" max="12"/>
    <col width="15" customWidth="1" min="13" max="13"/>
    <col width="15" customWidth="1" min="14" max="14"/>
    <col width="15" customWidth="1" min="15" max="15"/>
    <col width="15" customWidth="1" min="16" max="16"/>
    <col width="15" customWidth="1" min="17" max="17"/>
    <col width="35" customWidth="1" min="18" max="18"/>
  </cols>
  <sheetData>
    <row r="1" ht="35" customHeight="1">
      <c r="A1" s="11" t="inlineStr">
        <is>
          <t>CONFIGURATION BASELINE DEVIATION REGISTER</t>
        </is>
      </c>
    </row>
    <row r="2">
      <c r="A2" s="12" t="inlineStr">
        <is>
          <t>Deviation ID</t>
        </is>
      </c>
      <c r="B2" s="12" t="inlineStr">
        <is>
          <t>Asset ID</t>
        </is>
      </c>
      <c r="C2" s="12" t="inlineStr">
        <is>
          <t>Asset Name</t>
        </is>
      </c>
      <c r="D2" s="12" t="inlineStr">
        <is>
          <t>Baseline ID</t>
        </is>
      </c>
      <c r="E2" s="12" t="inlineStr">
        <is>
          <t>Deviation Type</t>
        </is>
      </c>
      <c r="F2" s="12" t="inlineStr">
        <is>
          <t>Configuration Element</t>
        </is>
      </c>
      <c r="G2" s="12" t="inlineStr">
        <is>
          <t>Standard Value</t>
        </is>
      </c>
      <c r="H2" s="12" t="inlineStr">
        <is>
          <t>Actual Value</t>
        </is>
      </c>
      <c r="I2" s="12" t="inlineStr">
        <is>
          <t>Business Justification</t>
        </is>
      </c>
      <c r="J2" s="12" t="inlineStr">
        <is>
          <t>Risk Assessment</t>
        </is>
      </c>
      <c r="K2" s="12" t="inlineStr">
        <is>
          <t>Compensating Controls</t>
        </is>
      </c>
      <c r="L2" s="12" t="inlineStr">
        <is>
          <t>Approved By</t>
        </is>
      </c>
      <c r="M2" s="12" t="inlineStr">
        <is>
          <t>Approval Date</t>
        </is>
      </c>
      <c r="N2" s="12" t="inlineStr">
        <is>
          <t>Review Frequency</t>
        </is>
      </c>
      <c r="O2" s="12" t="inlineStr">
        <is>
          <t>Next Review Date</t>
        </is>
      </c>
      <c r="P2" s="12" t="inlineStr">
        <is>
          <t>Deviation Status</t>
        </is>
      </c>
      <c r="Q2" s="12" t="inlineStr">
        <is>
          <t>Expiration Date</t>
        </is>
      </c>
      <c r="R2" s="12" t="inlineStr">
        <is>
          <t>Notes</t>
        </is>
      </c>
    </row>
    <row r="4">
      <c r="A4" s="14" t="inlineStr">
        <is>
          <t>DEV-2026-0001</t>
        </is>
      </c>
      <c r="B4" s="14" t="inlineStr">
        <is>
          <t>ASSET-005</t>
        </is>
      </c>
      <c r="C4" s="14" t="inlineStr">
        <is>
          <t>prod-db-01.company.com</t>
        </is>
      </c>
      <c r="D4" s="14" t="inlineStr">
        <is>
          <t>BL-003</t>
        </is>
      </c>
      <c r="E4" s="14" t="inlineStr">
        <is>
          <t>Security Exception</t>
        </is>
      </c>
      <c r="F4" s="14" t="inlineStr">
        <is>
          <t>remote_access_enabled</t>
        </is>
      </c>
      <c r="G4" s="14" t="inlineStr">
        <is>
          <t>Disabled</t>
        </is>
      </c>
      <c r="H4" s="14" t="inlineStr">
        <is>
          <t>Enabled</t>
        </is>
      </c>
      <c r="I4" s="14" t="inlineStr">
        <is>
          <t>Legacy application requires direct DB access; migration planned Q2 2026</t>
        </is>
      </c>
      <c r="J4" s="14" t="inlineStr">
        <is>
          <t>High</t>
        </is>
      </c>
      <c r="K4" s="14" t="inlineStr">
        <is>
          <t>Enhanced logging, IP allowlist, MFA enforced for remote connections</t>
        </is>
      </c>
      <c r="L4" s="14" t="inlineStr">
        <is>
          <t>A. Johnson (CISO)</t>
        </is>
      </c>
      <c r="M4" s="14" t="inlineStr">
        <is>
          <t>01.01.2026</t>
        </is>
      </c>
      <c r="N4" s="14" t="inlineStr">
        <is>
          <t>Quarterly</t>
        </is>
      </c>
      <c r="O4" s="14" t="inlineStr"/>
      <c r="P4" s="14" t="inlineStr">
        <is>
          <t>✅ Active</t>
        </is>
      </c>
      <c r="Q4" s="14" t="inlineStr">
        <is>
          <t>31.03.2026</t>
        </is>
      </c>
      <c r="R4" s="14" t="inlineStr">
        <is>
          <t>Review before Q2 migration</t>
        </is>
      </c>
    </row>
    <row r="5">
      <c r="A5" s="13" t="n"/>
      <c r="B5" s="13" t="n"/>
      <c r="C5" s="13" t="n"/>
      <c r="D5" s="13" t="n"/>
      <c r="E5" s="13" t="n"/>
      <c r="F5" s="13" t="n"/>
      <c r="G5" s="13" t="n"/>
      <c r="H5" s="13" t="n"/>
      <c r="I5" s="13" t="n"/>
      <c r="J5" s="13" t="n"/>
      <c r="K5" s="13" t="n"/>
      <c r="L5" s="13" t="n"/>
      <c r="M5" s="13" t="n"/>
      <c r="N5" s="13" t="n"/>
      <c r="O5" s="14">
        <f>IF(M5="","",IF(N5="Monthly",M5+30,IF(N5="Quarterly",M5+90,IF(N5="Semi-Annual",M5+180,IF(N5="Annual",M5+365,"")))))</f>
        <v/>
      </c>
      <c r="P5" s="13" t="n"/>
      <c r="Q5" s="13" t="n"/>
      <c r="R5" s="13" t="n"/>
    </row>
    <row r="6">
      <c r="A6" s="13" t="n"/>
      <c r="B6" s="13" t="n"/>
      <c r="C6" s="13" t="n"/>
      <c r="D6" s="13" t="n"/>
      <c r="E6" s="13" t="n"/>
      <c r="F6" s="13" t="n"/>
      <c r="G6" s="13" t="n"/>
      <c r="H6" s="13" t="n"/>
      <c r="I6" s="13" t="n"/>
      <c r="J6" s="13" t="n"/>
      <c r="K6" s="13" t="n"/>
      <c r="L6" s="13" t="n"/>
      <c r="M6" s="13" t="n"/>
      <c r="N6" s="13" t="n"/>
      <c r="O6" s="14">
        <f>IF(M6="","",IF(N6="Monthly",M6+30,IF(N6="Quarterly",M6+90,IF(N6="Semi-Annual",M6+180,IF(N6="Annual",M6+365,"")))))</f>
        <v/>
      </c>
      <c r="P6" s="13" t="n"/>
      <c r="Q6" s="13" t="n"/>
      <c r="R6" s="13" t="n"/>
    </row>
    <row r="7">
      <c r="A7" s="13" t="n"/>
      <c r="B7" s="13" t="n"/>
      <c r="C7" s="13" t="n"/>
      <c r="D7" s="13" t="n"/>
      <c r="E7" s="13" t="n"/>
      <c r="F7" s="13" t="n"/>
      <c r="G7" s="13" t="n"/>
      <c r="H7" s="13" t="n"/>
      <c r="I7" s="13" t="n"/>
      <c r="J7" s="13" t="n"/>
      <c r="K7" s="13" t="n"/>
      <c r="L7" s="13" t="n"/>
      <c r="M7" s="13" t="n"/>
      <c r="N7" s="13" t="n"/>
      <c r="O7" s="14">
        <f>IF(M7="","",IF(N7="Monthly",M7+30,IF(N7="Quarterly",M7+90,IF(N7="Semi-Annual",M7+180,IF(N7="Annual",M7+365,"")))))</f>
        <v/>
      </c>
      <c r="P7" s="13" t="n"/>
      <c r="Q7" s="13" t="n"/>
      <c r="R7" s="13" t="n"/>
    </row>
    <row r="8">
      <c r="A8" s="13" t="n"/>
      <c r="B8" s="13" t="n"/>
      <c r="C8" s="13" t="n"/>
      <c r="D8" s="13" t="n"/>
      <c r="E8" s="13" t="n"/>
      <c r="F8" s="13" t="n"/>
      <c r="G8" s="13" t="n"/>
      <c r="H8" s="13" t="n"/>
      <c r="I8" s="13" t="n"/>
      <c r="J8" s="13" t="n"/>
      <c r="K8" s="13" t="n"/>
      <c r="L8" s="13" t="n"/>
      <c r="M8" s="13" t="n"/>
      <c r="N8" s="13" t="n"/>
      <c r="O8" s="14">
        <f>IF(M8="","",IF(N8="Monthly",M8+30,IF(N8="Quarterly",M8+90,IF(N8="Semi-Annual",M8+180,IF(N8="Annual",M8+365,"")))))</f>
        <v/>
      </c>
      <c r="P8" s="13" t="n"/>
      <c r="Q8" s="13" t="n"/>
      <c r="R8" s="13" t="n"/>
    </row>
    <row r="9">
      <c r="A9" s="13" t="n"/>
      <c r="B9" s="13" t="n"/>
      <c r="C9" s="13" t="n"/>
      <c r="D9" s="13" t="n"/>
      <c r="E9" s="13" t="n"/>
      <c r="F9" s="13" t="n"/>
      <c r="G9" s="13" t="n"/>
      <c r="H9" s="13" t="n"/>
      <c r="I9" s="13" t="n"/>
      <c r="J9" s="13" t="n"/>
      <c r="K9" s="13" t="n"/>
      <c r="L9" s="13" t="n"/>
      <c r="M9" s="13" t="n"/>
      <c r="N9" s="13" t="n"/>
      <c r="O9" s="14">
        <f>IF(M9="","",IF(N9="Monthly",M9+30,IF(N9="Quarterly",M9+90,IF(N9="Semi-Annual",M9+180,IF(N9="Annual",M9+365,"")))))</f>
        <v/>
      </c>
      <c r="P9" s="13" t="n"/>
      <c r="Q9" s="13" t="n"/>
      <c r="R9" s="13" t="n"/>
    </row>
    <row r="10">
      <c r="A10" s="13" t="n"/>
      <c r="B10" s="13" t="n"/>
      <c r="C10" s="13" t="n"/>
      <c r="D10" s="13" t="n"/>
      <c r="E10" s="13" t="n"/>
      <c r="F10" s="13" t="n"/>
      <c r="G10" s="13" t="n"/>
      <c r="H10" s="13" t="n"/>
      <c r="I10" s="13" t="n"/>
      <c r="J10" s="13" t="n"/>
      <c r="K10" s="13" t="n"/>
      <c r="L10" s="13" t="n"/>
      <c r="M10" s="13" t="n"/>
      <c r="N10" s="13" t="n"/>
      <c r="O10" s="14">
        <f>IF(M10="","",IF(N10="Monthly",M10+30,IF(N10="Quarterly",M10+90,IF(N10="Semi-Annual",M10+180,IF(N10="Annual",M10+365,"")))))</f>
        <v/>
      </c>
      <c r="P10" s="13" t="n"/>
      <c r="Q10" s="13" t="n"/>
      <c r="R10" s="13" t="n"/>
    </row>
    <row r="11">
      <c r="A11" s="13" t="n"/>
      <c r="B11" s="13" t="n"/>
      <c r="C11" s="13" t="n"/>
      <c r="D11" s="13" t="n"/>
      <c r="E11" s="13" t="n"/>
      <c r="F11" s="13" t="n"/>
      <c r="G11" s="13" t="n"/>
      <c r="H11" s="13" t="n"/>
      <c r="I11" s="13" t="n"/>
      <c r="J11" s="13" t="n"/>
      <c r="K11" s="13" t="n"/>
      <c r="L11" s="13" t="n"/>
      <c r="M11" s="13" t="n"/>
      <c r="N11" s="13" t="n"/>
      <c r="O11" s="14">
        <f>IF(M11="","",IF(N11="Monthly",M11+30,IF(N11="Quarterly",M11+90,IF(N11="Semi-Annual",M11+180,IF(N11="Annual",M11+365,"")))))</f>
        <v/>
      </c>
      <c r="P11" s="13" t="n"/>
      <c r="Q11" s="13" t="n"/>
      <c r="R11" s="13" t="n"/>
    </row>
    <row r="12">
      <c r="A12" s="13" t="n"/>
      <c r="B12" s="13" t="n"/>
      <c r="C12" s="13" t="n"/>
      <c r="D12" s="13" t="n"/>
      <c r="E12" s="13" t="n"/>
      <c r="F12" s="13" t="n"/>
      <c r="G12" s="13" t="n"/>
      <c r="H12" s="13" t="n"/>
      <c r="I12" s="13" t="n"/>
      <c r="J12" s="13" t="n"/>
      <c r="K12" s="13" t="n"/>
      <c r="L12" s="13" t="n"/>
      <c r="M12" s="13" t="n"/>
      <c r="N12" s="13" t="n"/>
      <c r="O12" s="14">
        <f>IF(M12="","",IF(N12="Monthly",M12+30,IF(N12="Quarterly",M12+90,IF(N12="Semi-Annual",M12+180,IF(N12="Annual",M12+365,"")))))</f>
        <v/>
      </c>
      <c r="P12" s="13" t="n"/>
      <c r="Q12" s="13" t="n"/>
      <c r="R12" s="13" t="n"/>
    </row>
    <row r="13">
      <c r="A13" s="13" t="n"/>
      <c r="B13" s="13" t="n"/>
      <c r="C13" s="13" t="n"/>
      <c r="D13" s="13" t="n"/>
      <c r="E13" s="13" t="n"/>
      <c r="F13" s="13" t="n"/>
      <c r="G13" s="13" t="n"/>
      <c r="H13" s="13" t="n"/>
      <c r="I13" s="13" t="n"/>
      <c r="J13" s="13" t="n"/>
      <c r="K13" s="13" t="n"/>
      <c r="L13" s="13" t="n"/>
      <c r="M13" s="13" t="n"/>
      <c r="N13" s="13" t="n"/>
      <c r="O13" s="14">
        <f>IF(M13="","",IF(N13="Monthly",M13+30,IF(N13="Quarterly",M13+90,IF(N13="Semi-Annual",M13+180,IF(N13="Annual",M13+365,"")))))</f>
        <v/>
      </c>
      <c r="P13" s="13" t="n"/>
      <c r="Q13" s="13" t="n"/>
      <c r="R13" s="13" t="n"/>
    </row>
    <row r="14">
      <c r="A14" s="13" t="n"/>
      <c r="B14" s="13" t="n"/>
      <c r="C14" s="13" t="n"/>
      <c r="D14" s="13" t="n"/>
      <c r="E14" s="13" t="n"/>
      <c r="F14" s="13" t="n"/>
      <c r="G14" s="13" t="n"/>
      <c r="H14" s="13" t="n"/>
      <c r="I14" s="13" t="n"/>
      <c r="J14" s="13" t="n"/>
      <c r="K14" s="13" t="n"/>
      <c r="L14" s="13" t="n"/>
      <c r="M14" s="13" t="n"/>
      <c r="N14" s="13" t="n"/>
      <c r="O14" s="14">
        <f>IF(M14="","",IF(N14="Monthly",M14+30,IF(N14="Quarterly",M14+90,IF(N14="Semi-Annual",M14+180,IF(N14="Annual",M14+365,"")))))</f>
        <v/>
      </c>
      <c r="P14" s="13" t="n"/>
      <c r="Q14" s="13" t="n"/>
      <c r="R14" s="13" t="n"/>
    </row>
    <row r="15">
      <c r="A15" s="13" t="n"/>
      <c r="B15" s="13" t="n"/>
      <c r="C15" s="13" t="n"/>
      <c r="D15" s="13" t="n"/>
      <c r="E15" s="13" t="n"/>
      <c r="F15" s="13" t="n"/>
      <c r="G15" s="13" t="n"/>
      <c r="H15" s="13" t="n"/>
      <c r="I15" s="13" t="n"/>
      <c r="J15" s="13" t="n"/>
      <c r="K15" s="13" t="n"/>
      <c r="L15" s="13" t="n"/>
      <c r="M15" s="13" t="n"/>
      <c r="N15" s="13" t="n"/>
      <c r="O15" s="14">
        <f>IF(M15="","",IF(N15="Monthly",M15+30,IF(N15="Quarterly",M15+90,IF(N15="Semi-Annual",M15+180,IF(N15="Annual",M15+365,"")))))</f>
        <v/>
      </c>
      <c r="P15" s="13" t="n"/>
      <c r="Q15" s="13" t="n"/>
      <c r="R15" s="13" t="n"/>
    </row>
    <row r="16">
      <c r="A16" s="13" t="n"/>
      <c r="B16" s="13" t="n"/>
      <c r="C16" s="13" t="n"/>
      <c r="D16" s="13" t="n"/>
      <c r="E16" s="13" t="n"/>
      <c r="F16" s="13" t="n"/>
      <c r="G16" s="13" t="n"/>
      <c r="H16" s="13" t="n"/>
      <c r="I16" s="13" t="n"/>
      <c r="J16" s="13" t="n"/>
      <c r="K16" s="13" t="n"/>
      <c r="L16" s="13" t="n"/>
      <c r="M16" s="13" t="n"/>
      <c r="N16" s="13" t="n"/>
      <c r="O16" s="14">
        <f>IF(M16="","",IF(N16="Monthly",M16+30,IF(N16="Quarterly",M16+90,IF(N16="Semi-Annual",M16+180,IF(N16="Annual",M16+365,"")))))</f>
        <v/>
      </c>
      <c r="P16" s="13" t="n"/>
      <c r="Q16" s="13" t="n"/>
      <c r="R16" s="13" t="n"/>
    </row>
    <row r="17">
      <c r="A17" s="13" t="n"/>
      <c r="B17" s="13" t="n"/>
      <c r="C17" s="13" t="n"/>
      <c r="D17" s="13" t="n"/>
      <c r="E17" s="13" t="n"/>
      <c r="F17" s="13" t="n"/>
      <c r="G17" s="13" t="n"/>
      <c r="H17" s="13" t="n"/>
      <c r="I17" s="13" t="n"/>
      <c r="J17" s="13" t="n"/>
      <c r="K17" s="13" t="n"/>
      <c r="L17" s="13" t="n"/>
      <c r="M17" s="13" t="n"/>
      <c r="N17" s="13" t="n"/>
      <c r="O17" s="14">
        <f>IF(M17="","",IF(N17="Monthly",M17+30,IF(N17="Quarterly",M17+90,IF(N17="Semi-Annual",M17+180,IF(N17="Annual",M17+365,"")))))</f>
        <v/>
      </c>
      <c r="P17" s="13" t="n"/>
      <c r="Q17" s="13" t="n"/>
      <c r="R17" s="13" t="n"/>
    </row>
    <row r="18">
      <c r="A18" s="13" t="n"/>
      <c r="B18" s="13" t="n"/>
      <c r="C18" s="13" t="n"/>
      <c r="D18" s="13" t="n"/>
      <c r="E18" s="13" t="n"/>
      <c r="F18" s="13" t="n"/>
      <c r="G18" s="13" t="n"/>
      <c r="H18" s="13" t="n"/>
      <c r="I18" s="13" t="n"/>
      <c r="J18" s="13" t="n"/>
      <c r="K18" s="13" t="n"/>
      <c r="L18" s="13" t="n"/>
      <c r="M18" s="13" t="n"/>
      <c r="N18" s="13" t="n"/>
      <c r="O18" s="14">
        <f>IF(M18="","",IF(N18="Monthly",M18+30,IF(N18="Quarterly",M18+90,IF(N18="Semi-Annual",M18+180,IF(N18="Annual",M18+365,"")))))</f>
        <v/>
      </c>
      <c r="P18" s="13" t="n"/>
      <c r="Q18" s="13" t="n"/>
      <c r="R18" s="13" t="n"/>
    </row>
    <row r="19">
      <c r="A19" s="13" t="n"/>
      <c r="B19" s="13" t="n"/>
      <c r="C19" s="13" t="n"/>
      <c r="D19" s="13" t="n"/>
      <c r="E19" s="13" t="n"/>
      <c r="F19" s="13" t="n"/>
      <c r="G19" s="13" t="n"/>
      <c r="H19" s="13" t="n"/>
      <c r="I19" s="13" t="n"/>
      <c r="J19" s="13" t="n"/>
      <c r="K19" s="13" t="n"/>
      <c r="L19" s="13" t="n"/>
      <c r="M19" s="13" t="n"/>
      <c r="N19" s="13" t="n"/>
      <c r="O19" s="14">
        <f>IF(M19="","",IF(N19="Monthly",M19+30,IF(N19="Quarterly",M19+90,IF(N19="Semi-Annual",M19+180,IF(N19="Annual",M19+365,"")))))</f>
        <v/>
      </c>
      <c r="P19" s="13" t="n"/>
      <c r="Q19" s="13" t="n"/>
      <c r="R19" s="13" t="n"/>
    </row>
    <row r="20">
      <c r="A20" s="13" t="n"/>
      <c r="B20" s="13" t="n"/>
      <c r="C20" s="13" t="n"/>
      <c r="D20" s="13" t="n"/>
      <c r="E20" s="13" t="n"/>
      <c r="F20" s="13" t="n"/>
      <c r="G20" s="13" t="n"/>
      <c r="H20" s="13" t="n"/>
      <c r="I20" s="13" t="n"/>
      <c r="J20" s="13" t="n"/>
      <c r="K20" s="13" t="n"/>
      <c r="L20" s="13" t="n"/>
      <c r="M20" s="13" t="n"/>
      <c r="N20" s="13" t="n"/>
      <c r="O20" s="14">
        <f>IF(M20="","",IF(N20="Monthly",M20+30,IF(N20="Quarterly",M20+90,IF(N20="Semi-Annual",M20+180,IF(N20="Annual",M20+365,"")))))</f>
        <v/>
      </c>
      <c r="P20" s="13" t="n"/>
      <c r="Q20" s="13" t="n"/>
      <c r="R20" s="13" t="n"/>
    </row>
    <row r="21">
      <c r="A21" s="13" t="n"/>
      <c r="B21" s="13" t="n"/>
      <c r="C21" s="13" t="n"/>
      <c r="D21" s="13" t="n"/>
      <c r="E21" s="13" t="n"/>
      <c r="F21" s="13" t="n"/>
      <c r="G21" s="13" t="n"/>
      <c r="H21" s="13" t="n"/>
      <c r="I21" s="13" t="n"/>
      <c r="J21" s="13" t="n"/>
      <c r="K21" s="13" t="n"/>
      <c r="L21" s="13" t="n"/>
      <c r="M21" s="13" t="n"/>
      <c r="N21" s="13" t="n"/>
      <c r="O21" s="14">
        <f>IF(M21="","",IF(N21="Monthly",M21+30,IF(N21="Quarterly",M21+90,IF(N21="Semi-Annual",M21+180,IF(N21="Annual",M21+365,"")))))</f>
        <v/>
      </c>
      <c r="P21" s="13" t="n"/>
      <c r="Q21" s="13" t="n"/>
      <c r="R21" s="13" t="n"/>
    </row>
    <row r="22">
      <c r="A22" s="13" t="n"/>
      <c r="B22" s="13" t="n"/>
      <c r="C22" s="13" t="n"/>
      <c r="D22" s="13" t="n"/>
      <c r="E22" s="13" t="n"/>
      <c r="F22" s="13" t="n"/>
      <c r="G22" s="13" t="n"/>
      <c r="H22" s="13" t="n"/>
      <c r="I22" s="13" t="n"/>
      <c r="J22" s="13" t="n"/>
      <c r="K22" s="13" t="n"/>
      <c r="L22" s="13" t="n"/>
      <c r="M22" s="13" t="n"/>
      <c r="N22" s="13" t="n"/>
      <c r="O22" s="14">
        <f>IF(M22="","",IF(N22="Monthly",M22+30,IF(N22="Quarterly",M22+90,IF(N22="Semi-Annual",M22+180,IF(N22="Annual",M22+365,"")))))</f>
        <v/>
      </c>
      <c r="P22" s="13" t="n"/>
      <c r="Q22" s="13" t="n"/>
      <c r="R22" s="13" t="n"/>
    </row>
    <row r="23">
      <c r="A23" s="13" t="n"/>
      <c r="B23" s="13" t="n"/>
      <c r="C23" s="13" t="n"/>
      <c r="D23" s="13" t="n"/>
      <c r="E23" s="13" t="n"/>
      <c r="F23" s="13" t="n"/>
      <c r="G23" s="13" t="n"/>
      <c r="H23" s="13" t="n"/>
      <c r="I23" s="13" t="n"/>
      <c r="J23" s="13" t="n"/>
      <c r="K23" s="13" t="n"/>
      <c r="L23" s="13" t="n"/>
      <c r="M23" s="13" t="n"/>
      <c r="N23" s="13" t="n"/>
      <c r="O23" s="14">
        <f>IF(M23="","",IF(N23="Monthly",M23+30,IF(N23="Quarterly",M23+90,IF(N23="Semi-Annual",M23+180,IF(N23="Annual",M23+365,"")))))</f>
        <v/>
      </c>
      <c r="P23" s="13" t="n"/>
      <c r="Q23" s="13" t="n"/>
      <c r="R23" s="13" t="n"/>
    </row>
    <row r="24">
      <c r="A24" s="13" t="n"/>
      <c r="B24" s="13" t="n"/>
      <c r="C24" s="13" t="n"/>
      <c r="D24" s="13" t="n"/>
      <c r="E24" s="13" t="n"/>
      <c r="F24" s="13" t="n"/>
      <c r="G24" s="13" t="n"/>
      <c r="H24" s="13" t="n"/>
      <c r="I24" s="13" t="n"/>
      <c r="J24" s="13" t="n"/>
      <c r="K24" s="13" t="n"/>
      <c r="L24" s="13" t="n"/>
      <c r="M24" s="13" t="n"/>
      <c r="N24" s="13" t="n"/>
      <c r="O24" s="14">
        <f>IF(M24="","",IF(N24="Monthly",M24+30,IF(N24="Quarterly",M24+90,IF(N24="Semi-Annual",M24+180,IF(N24="Annual",M24+365,"")))))</f>
        <v/>
      </c>
      <c r="P24" s="13" t="n"/>
      <c r="Q24" s="13" t="n"/>
      <c r="R24" s="13" t="n"/>
    </row>
    <row r="25">
      <c r="A25" s="13" t="n"/>
      <c r="B25" s="13" t="n"/>
      <c r="C25" s="13" t="n"/>
      <c r="D25" s="13" t="n"/>
      <c r="E25" s="13" t="n"/>
      <c r="F25" s="13" t="n"/>
      <c r="G25" s="13" t="n"/>
      <c r="H25" s="13" t="n"/>
      <c r="I25" s="13" t="n"/>
      <c r="J25" s="13" t="n"/>
      <c r="K25" s="13" t="n"/>
      <c r="L25" s="13" t="n"/>
      <c r="M25" s="13" t="n"/>
      <c r="N25" s="13" t="n"/>
      <c r="O25" s="14">
        <f>IF(M25="","",IF(N25="Monthly",M25+30,IF(N25="Quarterly",M25+90,IF(N25="Semi-Annual",M25+180,IF(N25="Annual",M25+365,"")))))</f>
        <v/>
      </c>
      <c r="P25" s="13" t="n"/>
      <c r="Q25" s="13" t="n"/>
      <c r="R25" s="13" t="n"/>
    </row>
    <row r="26">
      <c r="A26" s="13" t="n"/>
      <c r="B26" s="13" t="n"/>
      <c r="C26" s="13" t="n"/>
      <c r="D26" s="13" t="n"/>
      <c r="E26" s="13" t="n"/>
      <c r="F26" s="13" t="n"/>
      <c r="G26" s="13" t="n"/>
      <c r="H26" s="13" t="n"/>
      <c r="I26" s="13" t="n"/>
      <c r="J26" s="13" t="n"/>
      <c r="K26" s="13" t="n"/>
      <c r="L26" s="13" t="n"/>
      <c r="M26" s="13" t="n"/>
      <c r="N26" s="13" t="n"/>
      <c r="O26" s="14">
        <f>IF(M26="","",IF(N26="Monthly",M26+30,IF(N26="Quarterly",M26+90,IF(N26="Semi-Annual",M26+180,IF(N26="Annual",M26+365,"")))))</f>
        <v/>
      </c>
      <c r="P26" s="13" t="n"/>
      <c r="Q26" s="13" t="n"/>
      <c r="R26" s="13" t="n"/>
    </row>
    <row r="27">
      <c r="A27" s="13" t="n"/>
      <c r="B27" s="13" t="n"/>
      <c r="C27" s="13" t="n"/>
      <c r="D27" s="13" t="n"/>
      <c r="E27" s="13" t="n"/>
      <c r="F27" s="13" t="n"/>
      <c r="G27" s="13" t="n"/>
      <c r="H27" s="13" t="n"/>
      <c r="I27" s="13" t="n"/>
      <c r="J27" s="13" t="n"/>
      <c r="K27" s="13" t="n"/>
      <c r="L27" s="13" t="n"/>
      <c r="M27" s="13" t="n"/>
      <c r="N27" s="13" t="n"/>
      <c r="O27" s="14">
        <f>IF(M27="","",IF(N27="Monthly",M27+30,IF(N27="Quarterly",M27+90,IF(N27="Semi-Annual",M27+180,IF(N27="Annual",M27+365,"")))))</f>
        <v/>
      </c>
      <c r="P27" s="13" t="n"/>
      <c r="Q27" s="13" t="n"/>
      <c r="R27" s="13" t="n"/>
    </row>
    <row r="28">
      <c r="A28" s="13" t="n"/>
      <c r="B28" s="13" t="n"/>
      <c r="C28" s="13" t="n"/>
      <c r="D28" s="13" t="n"/>
      <c r="E28" s="13" t="n"/>
      <c r="F28" s="13" t="n"/>
      <c r="G28" s="13" t="n"/>
      <c r="H28" s="13" t="n"/>
      <c r="I28" s="13" t="n"/>
      <c r="J28" s="13" t="n"/>
      <c r="K28" s="13" t="n"/>
      <c r="L28" s="13" t="n"/>
      <c r="M28" s="13" t="n"/>
      <c r="N28" s="13" t="n"/>
      <c r="O28" s="14">
        <f>IF(M28="","",IF(N28="Monthly",M28+30,IF(N28="Quarterly",M28+90,IF(N28="Semi-Annual",M28+180,IF(N28="Annual",M28+365,"")))))</f>
        <v/>
      </c>
      <c r="P28" s="13" t="n"/>
      <c r="Q28" s="13" t="n"/>
      <c r="R28" s="13" t="n"/>
    </row>
    <row r="29">
      <c r="A29" s="13" t="n"/>
      <c r="B29" s="13" t="n"/>
      <c r="C29" s="13" t="n"/>
      <c r="D29" s="13" t="n"/>
      <c r="E29" s="13" t="n"/>
      <c r="F29" s="13" t="n"/>
      <c r="G29" s="13" t="n"/>
      <c r="H29" s="13" t="n"/>
      <c r="I29" s="13" t="n"/>
      <c r="J29" s="13" t="n"/>
      <c r="K29" s="13" t="n"/>
      <c r="L29" s="13" t="n"/>
      <c r="M29" s="13" t="n"/>
      <c r="N29" s="13" t="n"/>
      <c r="O29" s="14">
        <f>IF(M29="","",IF(N29="Monthly",M29+30,IF(N29="Quarterly",M29+90,IF(N29="Semi-Annual",M29+180,IF(N29="Annual",M29+365,"")))))</f>
        <v/>
      </c>
      <c r="P29" s="13" t="n"/>
      <c r="Q29" s="13" t="n"/>
      <c r="R29" s="13" t="n"/>
    </row>
    <row r="30">
      <c r="A30" s="13" t="n"/>
      <c r="B30" s="13" t="n"/>
      <c r="C30" s="13" t="n"/>
      <c r="D30" s="13" t="n"/>
      <c r="E30" s="13" t="n"/>
      <c r="F30" s="13" t="n"/>
      <c r="G30" s="13" t="n"/>
      <c r="H30" s="13" t="n"/>
      <c r="I30" s="13" t="n"/>
      <c r="J30" s="13" t="n"/>
      <c r="K30" s="13" t="n"/>
      <c r="L30" s="13" t="n"/>
      <c r="M30" s="13" t="n"/>
      <c r="N30" s="13" t="n"/>
      <c r="O30" s="14">
        <f>IF(M30="","",IF(N30="Monthly",M30+30,IF(N30="Quarterly",M30+90,IF(N30="Semi-Annual",M30+180,IF(N30="Annual",M30+365,"")))))</f>
        <v/>
      </c>
      <c r="P30" s="13" t="n"/>
      <c r="Q30" s="13" t="n"/>
      <c r="R30" s="13" t="n"/>
    </row>
    <row r="31">
      <c r="A31" s="13" t="n"/>
      <c r="B31" s="13" t="n"/>
      <c r="C31" s="13" t="n"/>
      <c r="D31" s="13" t="n"/>
      <c r="E31" s="13" t="n"/>
      <c r="F31" s="13" t="n"/>
      <c r="G31" s="13" t="n"/>
      <c r="H31" s="13" t="n"/>
      <c r="I31" s="13" t="n"/>
      <c r="J31" s="13" t="n"/>
      <c r="K31" s="13" t="n"/>
      <c r="L31" s="13" t="n"/>
      <c r="M31" s="13" t="n"/>
      <c r="N31" s="13" t="n"/>
      <c r="O31" s="14">
        <f>IF(M31="","",IF(N31="Monthly",M31+30,IF(N31="Quarterly",M31+90,IF(N31="Semi-Annual",M31+180,IF(N31="Annual",M31+365,"")))))</f>
        <v/>
      </c>
      <c r="P31" s="13" t="n"/>
      <c r="Q31" s="13" t="n"/>
      <c r="R31" s="13" t="n"/>
    </row>
    <row r="32">
      <c r="A32" s="13" t="n"/>
      <c r="B32" s="13" t="n"/>
      <c r="C32" s="13" t="n"/>
      <c r="D32" s="13" t="n"/>
      <c r="E32" s="13" t="n"/>
      <c r="F32" s="13" t="n"/>
      <c r="G32" s="13" t="n"/>
      <c r="H32" s="13" t="n"/>
      <c r="I32" s="13" t="n"/>
      <c r="J32" s="13" t="n"/>
      <c r="K32" s="13" t="n"/>
      <c r="L32" s="13" t="n"/>
      <c r="M32" s="13" t="n"/>
      <c r="N32" s="13" t="n"/>
      <c r="O32" s="14">
        <f>IF(M32="","",IF(N32="Monthly",M32+30,IF(N32="Quarterly",M32+90,IF(N32="Semi-Annual",M32+180,IF(N32="Annual",M32+365,"")))))</f>
        <v/>
      </c>
      <c r="P32" s="13" t="n"/>
      <c r="Q32" s="13" t="n"/>
      <c r="R32" s="13" t="n"/>
    </row>
    <row r="33">
      <c r="A33" s="13" t="n"/>
      <c r="B33" s="13" t="n"/>
      <c r="C33" s="13" t="n"/>
      <c r="D33" s="13" t="n"/>
      <c r="E33" s="13" t="n"/>
      <c r="F33" s="13" t="n"/>
      <c r="G33" s="13" t="n"/>
      <c r="H33" s="13" t="n"/>
      <c r="I33" s="13" t="n"/>
      <c r="J33" s="13" t="n"/>
      <c r="K33" s="13" t="n"/>
      <c r="L33" s="13" t="n"/>
      <c r="M33" s="13" t="n"/>
      <c r="N33" s="13" t="n"/>
      <c r="O33" s="14">
        <f>IF(M33="","",IF(N33="Monthly",M33+30,IF(N33="Quarterly",M33+90,IF(N33="Semi-Annual",M33+180,IF(N33="Annual",M33+365,"")))))</f>
        <v/>
      </c>
      <c r="P33" s="13" t="n"/>
      <c r="Q33" s="13" t="n"/>
      <c r="R33" s="13" t="n"/>
    </row>
    <row r="34">
      <c r="A34" s="13" t="n"/>
      <c r="B34" s="13" t="n"/>
      <c r="C34" s="13" t="n"/>
      <c r="D34" s="13" t="n"/>
      <c r="E34" s="13" t="n"/>
      <c r="F34" s="13" t="n"/>
      <c r="G34" s="13" t="n"/>
      <c r="H34" s="13" t="n"/>
      <c r="I34" s="13" t="n"/>
      <c r="J34" s="13" t="n"/>
      <c r="K34" s="13" t="n"/>
      <c r="L34" s="13" t="n"/>
      <c r="M34" s="13" t="n"/>
      <c r="N34" s="13" t="n"/>
      <c r="O34" s="14">
        <f>IF(M34="","",IF(N34="Monthly",M34+30,IF(N34="Quarterly",M34+90,IF(N34="Semi-Annual",M34+180,IF(N34="Annual",M34+365,"")))))</f>
        <v/>
      </c>
      <c r="P34" s="13" t="n"/>
      <c r="Q34" s="13" t="n"/>
      <c r="R34" s="13" t="n"/>
    </row>
    <row r="35">
      <c r="A35" s="13" t="n"/>
      <c r="B35" s="13" t="n"/>
      <c r="C35" s="13" t="n"/>
      <c r="D35" s="13" t="n"/>
      <c r="E35" s="13" t="n"/>
      <c r="F35" s="13" t="n"/>
      <c r="G35" s="13" t="n"/>
      <c r="H35" s="13" t="n"/>
      <c r="I35" s="13" t="n"/>
      <c r="J35" s="13" t="n"/>
      <c r="K35" s="13" t="n"/>
      <c r="L35" s="13" t="n"/>
      <c r="M35" s="13" t="n"/>
      <c r="N35" s="13" t="n"/>
      <c r="O35" s="14">
        <f>IF(M35="","",IF(N35="Monthly",M35+30,IF(N35="Quarterly",M35+90,IF(N35="Semi-Annual",M35+180,IF(N35="Annual",M35+365,"")))))</f>
        <v/>
      </c>
      <c r="P35" s="13" t="n"/>
      <c r="Q35" s="13" t="n"/>
      <c r="R35" s="13" t="n"/>
    </row>
    <row r="36">
      <c r="A36" s="13" t="n"/>
      <c r="B36" s="13" t="n"/>
      <c r="C36" s="13" t="n"/>
      <c r="D36" s="13" t="n"/>
      <c r="E36" s="13" t="n"/>
      <c r="F36" s="13" t="n"/>
      <c r="G36" s="13" t="n"/>
      <c r="H36" s="13" t="n"/>
      <c r="I36" s="13" t="n"/>
      <c r="J36" s="13" t="n"/>
      <c r="K36" s="13" t="n"/>
      <c r="L36" s="13" t="n"/>
      <c r="M36" s="13" t="n"/>
      <c r="N36" s="13" t="n"/>
      <c r="O36" s="14">
        <f>IF(M36="","",IF(N36="Monthly",M36+30,IF(N36="Quarterly",M36+90,IF(N36="Semi-Annual",M36+180,IF(N36="Annual",M36+365,"")))))</f>
        <v/>
      </c>
      <c r="P36" s="13" t="n"/>
      <c r="Q36" s="13" t="n"/>
      <c r="R36" s="13" t="n"/>
    </row>
    <row r="37">
      <c r="A37" s="13" t="n"/>
      <c r="B37" s="13" t="n"/>
      <c r="C37" s="13" t="n"/>
      <c r="D37" s="13" t="n"/>
      <c r="E37" s="13" t="n"/>
      <c r="F37" s="13" t="n"/>
      <c r="G37" s="13" t="n"/>
      <c r="H37" s="13" t="n"/>
      <c r="I37" s="13" t="n"/>
      <c r="J37" s="13" t="n"/>
      <c r="K37" s="13" t="n"/>
      <c r="L37" s="13" t="n"/>
      <c r="M37" s="13" t="n"/>
      <c r="N37" s="13" t="n"/>
      <c r="O37" s="14">
        <f>IF(M37="","",IF(N37="Monthly",M37+30,IF(N37="Quarterly",M37+90,IF(N37="Semi-Annual",M37+180,IF(N37="Annual",M37+365,"")))))</f>
        <v/>
      </c>
      <c r="P37" s="13" t="n"/>
      <c r="Q37" s="13" t="n"/>
      <c r="R37" s="13" t="n"/>
    </row>
    <row r="38">
      <c r="A38" s="13" t="n"/>
      <c r="B38" s="13" t="n"/>
      <c r="C38" s="13" t="n"/>
      <c r="D38" s="13" t="n"/>
      <c r="E38" s="13" t="n"/>
      <c r="F38" s="13" t="n"/>
      <c r="G38" s="13" t="n"/>
      <c r="H38" s="13" t="n"/>
      <c r="I38" s="13" t="n"/>
      <c r="J38" s="13" t="n"/>
      <c r="K38" s="13" t="n"/>
      <c r="L38" s="13" t="n"/>
      <c r="M38" s="13" t="n"/>
      <c r="N38" s="13" t="n"/>
      <c r="O38" s="14">
        <f>IF(M38="","",IF(N38="Monthly",M38+30,IF(N38="Quarterly",M38+90,IF(N38="Semi-Annual",M38+180,IF(N38="Annual",M38+365,"")))))</f>
        <v/>
      </c>
      <c r="P38" s="13" t="n"/>
      <c r="Q38" s="13" t="n"/>
      <c r="R38" s="13" t="n"/>
    </row>
    <row r="39">
      <c r="A39" s="13" t="n"/>
      <c r="B39" s="13" t="n"/>
      <c r="C39" s="13" t="n"/>
      <c r="D39" s="13" t="n"/>
      <c r="E39" s="13" t="n"/>
      <c r="F39" s="13" t="n"/>
      <c r="G39" s="13" t="n"/>
      <c r="H39" s="13" t="n"/>
      <c r="I39" s="13" t="n"/>
      <c r="J39" s="13" t="n"/>
      <c r="K39" s="13" t="n"/>
      <c r="L39" s="13" t="n"/>
      <c r="M39" s="13" t="n"/>
      <c r="N39" s="13" t="n"/>
      <c r="O39" s="14">
        <f>IF(M39="","",IF(N39="Monthly",M39+30,IF(N39="Quarterly",M39+90,IF(N39="Semi-Annual",M39+180,IF(N39="Annual",M39+365,"")))))</f>
        <v/>
      </c>
      <c r="P39" s="13" t="n"/>
      <c r="Q39" s="13" t="n"/>
      <c r="R39" s="13" t="n"/>
    </row>
    <row r="40">
      <c r="A40" s="13" t="n"/>
      <c r="B40" s="13" t="n"/>
      <c r="C40" s="13" t="n"/>
      <c r="D40" s="13" t="n"/>
      <c r="E40" s="13" t="n"/>
      <c r="F40" s="13" t="n"/>
      <c r="G40" s="13" t="n"/>
      <c r="H40" s="13" t="n"/>
      <c r="I40" s="13" t="n"/>
      <c r="J40" s="13" t="n"/>
      <c r="K40" s="13" t="n"/>
      <c r="L40" s="13" t="n"/>
      <c r="M40" s="13" t="n"/>
      <c r="N40" s="13" t="n"/>
      <c r="O40" s="14">
        <f>IF(M40="","",IF(N40="Monthly",M40+30,IF(N40="Quarterly",M40+90,IF(N40="Semi-Annual",M40+180,IF(N40="Annual",M40+365,"")))))</f>
        <v/>
      </c>
      <c r="P40" s="13" t="n"/>
      <c r="Q40" s="13" t="n"/>
      <c r="R40" s="13" t="n"/>
    </row>
    <row r="41">
      <c r="A41" s="13" t="n"/>
      <c r="B41" s="13" t="n"/>
      <c r="C41" s="13" t="n"/>
      <c r="D41" s="13" t="n"/>
      <c r="E41" s="13" t="n"/>
      <c r="F41" s="13" t="n"/>
      <c r="G41" s="13" t="n"/>
      <c r="H41" s="13" t="n"/>
      <c r="I41" s="13" t="n"/>
      <c r="J41" s="13" t="n"/>
      <c r="K41" s="13" t="n"/>
      <c r="L41" s="13" t="n"/>
      <c r="M41" s="13" t="n"/>
      <c r="N41" s="13" t="n"/>
      <c r="O41" s="14">
        <f>IF(M41="","",IF(N41="Monthly",M41+30,IF(N41="Quarterly",M41+90,IF(N41="Semi-Annual",M41+180,IF(N41="Annual",M41+365,"")))))</f>
        <v/>
      </c>
      <c r="P41" s="13" t="n"/>
      <c r="Q41" s="13" t="n"/>
      <c r="R41" s="13" t="n"/>
    </row>
    <row r="42">
      <c r="A42" s="13" t="n"/>
      <c r="B42" s="13" t="n"/>
      <c r="C42" s="13" t="n"/>
      <c r="D42" s="13" t="n"/>
      <c r="E42" s="13" t="n"/>
      <c r="F42" s="13" t="n"/>
      <c r="G42" s="13" t="n"/>
      <c r="H42" s="13" t="n"/>
      <c r="I42" s="13" t="n"/>
      <c r="J42" s="13" t="n"/>
      <c r="K42" s="13" t="n"/>
      <c r="L42" s="13" t="n"/>
      <c r="M42" s="13" t="n"/>
      <c r="N42" s="13" t="n"/>
      <c r="O42" s="14">
        <f>IF(M42="","",IF(N42="Monthly",M42+30,IF(N42="Quarterly",M42+90,IF(N42="Semi-Annual",M42+180,IF(N42="Annual",M42+365,"")))))</f>
        <v/>
      </c>
      <c r="P42" s="13" t="n"/>
      <c r="Q42" s="13" t="n"/>
      <c r="R42" s="13" t="n"/>
    </row>
    <row r="43">
      <c r="A43" s="13" t="n"/>
      <c r="B43" s="13" t="n"/>
      <c r="C43" s="13" t="n"/>
      <c r="D43" s="13" t="n"/>
      <c r="E43" s="13" t="n"/>
      <c r="F43" s="13" t="n"/>
      <c r="G43" s="13" t="n"/>
      <c r="H43" s="13" t="n"/>
      <c r="I43" s="13" t="n"/>
      <c r="J43" s="13" t="n"/>
      <c r="K43" s="13" t="n"/>
      <c r="L43" s="13" t="n"/>
      <c r="M43" s="13" t="n"/>
      <c r="N43" s="13" t="n"/>
      <c r="O43" s="14">
        <f>IF(M43="","",IF(N43="Monthly",M43+30,IF(N43="Quarterly",M43+90,IF(N43="Semi-Annual",M43+180,IF(N43="Annual",M43+365,"")))))</f>
        <v/>
      </c>
      <c r="P43" s="13" t="n"/>
      <c r="Q43" s="13" t="n"/>
      <c r="R43" s="13" t="n"/>
    </row>
    <row r="44">
      <c r="A44" s="13" t="n"/>
      <c r="B44" s="13" t="n"/>
      <c r="C44" s="13" t="n"/>
      <c r="D44" s="13" t="n"/>
      <c r="E44" s="13" t="n"/>
      <c r="F44" s="13" t="n"/>
      <c r="G44" s="13" t="n"/>
      <c r="H44" s="13" t="n"/>
      <c r="I44" s="13" t="n"/>
      <c r="J44" s="13" t="n"/>
      <c r="K44" s="13" t="n"/>
      <c r="L44" s="13" t="n"/>
      <c r="M44" s="13" t="n"/>
      <c r="N44" s="13" t="n"/>
      <c r="O44" s="14">
        <f>IF(M44="","",IF(N44="Monthly",M44+30,IF(N44="Quarterly",M44+90,IF(N44="Semi-Annual",M44+180,IF(N44="Annual",M44+365,"")))))</f>
        <v/>
      </c>
      <c r="P44" s="13" t="n"/>
      <c r="Q44" s="13" t="n"/>
      <c r="R44" s="13" t="n"/>
    </row>
    <row r="45">
      <c r="A45" s="13" t="n"/>
      <c r="B45" s="13" t="n"/>
      <c r="C45" s="13" t="n"/>
      <c r="D45" s="13" t="n"/>
      <c r="E45" s="13" t="n"/>
      <c r="F45" s="13" t="n"/>
      <c r="G45" s="13" t="n"/>
      <c r="H45" s="13" t="n"/>
      <c r="I45" s="13" t="n"/>
      <c r="J45" s="13" t="n"/>
      <c r="K45" s="13" t="n"/>
      <c r="L45" s="13" t="n"/>
      <c r="M45" s="13" t="n"/>
      <c r="N45" s="13" t="n"/>
      <c r="O45" s="14">
        <f>IF(M45="","",IF(N45="Monthly",M45+30,IF(N45="Quarterly",M45+90,IF(N45="Semi-Annual",M45+180,IF(N45="Annual",M45+365,"")))))</f>
        <v/>
      </c>
      <c r="P45" s="13" t="n"/>
      <c r="Q45" s="13" t="n"/>
      <c r="R45" s="13" t="n"/>
    </row>
    <row r="46">
      <c r="A46" s="13" t="n"/>
      <c r="B46" s="13" t="n"/>
      <c r="C46" s="13" t="n"/>
      <c r="D46" s="13" t="n"/>
      <c r="E46" s="13" t="n"/>
      <c r="F46" s="13" t="n"/>
      <c r="G46" s="13" t="n"/>
      <c r="H46" s="13" t="n"/>
      <c r="I46" s="13" t="n"/>
      <c r="J46" s="13" t="n"/>
      <c r="K46" s="13" t="n"/>
      <c r="L46" s="13" t="n"/>
      <c r="M46" s="13" t="n"/>
      <c r="N46" s="13" t="n"/>
      <c r="O46" s="14">
        <f>IF(M46="","",IF(N46="Monthly",M46+30,IF(N46="Quarterly",M46+90,IF(N46="Semi-Annual",M46+180,IF(N46="Annual",M46+365,"")))))</f>
        <v/>
      </c>
      <c r="P46" s="13" t="n"/>
      <c r="Q46" s="13" t="n"/>
      <c r="R46" s="13" t="n"/>
    </row>
    <row r="47">
      <c r="A47" s="13" t="n"/>
      <c r="B47" s="13" t="n"/>
      <c r="C47" s="13" t="n"/>
      <c r="D47" s="13" t="n"/>
      <c r="E47" s="13" t="n"/>
      <c r="F47" s="13" t="n"/>
      <c r="G47" s="13" t="n"/>
      <c r="H47" s="13" t="n"/>
      <c r="I47" s="13" t="n"/>
      <c r="J47" s="13" t="n"/>
      <c r="K47" s="13" t="n"/>
      <c r="L47" s="13" t="n"/>
      <c r="M47" s="13" t="n"/>
      <c r="N47" s="13" t="n"/>
      <c r="O47" s="14">
        <f>IF(M47="","",IF(N47="Monthly",M47+30,IF(N47="Quarterly",M47+90,IF(N47="Semi-Annual",M47+180,IF(N47="Annual",M47+365,"")))))</f>
        <v/>
      </c>
      <c r="P47" s="13" t="n"/>
      <c r="Q47" s="13" t="n"/>
      <c r="R47" s="13" t="n"/>
    </row>
    <row r="48">
      <c r="A48" s="13" t="n"/>
      <c r="B48" s="13" t="n"/>
      <c r="C48" s="13" t="n"/>
      <c r="D48" s="13" t="n"/>
      <c r="E48" s="13" t="n"/>
      <c r="F48" s="13" t="n"/>
      <c r="G48" s="13" t="n"/>
      <c r="H48" s="13" t="n"/>
      <c r="I48" s="13" t="n"/>
      <c r="J48" s="13" t="n"/>
      <c r="K48" s="13" t="n"/>
      <c r="L48" s="13" t="n"/>
      <c r="M48" s="13" t="n"/>
      <c r="N48" s="13" t="n"/>
      <c r="O48" s="14">
        <f>IF(M48="","",IF(N48="Monthly",M48+30,IF(N48="Quarterly",M48+90,IF(N48="Semi-Annual",M48+180,IF(N48="Annual",M48+365,"")))))</f>
        <v/>
      </c>
      <c r="P48" s="13" t="n"/>
      <c r="Q48" s="13" t="n"/>
      <c r="R48" s="13" t="n"/>
    </row>
    <row r="49">
      <c r="A49" s="13" t="n"/>
      <c r="B49" s="13" t="n"/>
      <c r="C49" s="13" t="n"/>
      <c r="D49" s="13" t="n"/>
      <c r="E49" s="13" t="n"/>
      <c r="F49" s="13" t="n"/>
      <c r="G49" s="13" t="n"/>
      <c r="H49" s="13" t="n"/>
      <c r="I49" s="13" t="n"/>
      <c r="J49" s="13" t="n"/>
      <c r="K49" s="13" t="n"/>
      <c r="L49" s="13" t="n"/>
      <c r="M49" s="13" t="n"/>
      <c r="N49" s="13" t="n"/>
      <c r="O49" s="14">
        <f>IF(M49="","",IF(N49="Monthly",M49+30,IF(N49="Quarterly",M49+90,IF(N49="Semi-Annual",M49+180,IF(N49="Annual",M49+365,"")))))</f>
        <v/>
      </c>
      <c r="P49" s="13" t="n"/>
      <c r="Q49" s="13" t="n"/>
      <c r="R49" s="13" t="n"/>
    </row>
    <row r="50">
      <c r="A50" s="13" t="n"/>
      <c r="B50" s="13" t="n"/>
      <c r="C50" s="13" t="n"/>
      <c r="D50" s="13" t="n"/>
      <c r="E50" s="13" t="n"/>
      <c r="F50" s="13" t="n"/>
      <c r="G50" s="13" t="n"/>
      <c r="H50" s="13" t="n"/>
      <c r="I50" s="13" t="n"/>
      <c r="J50" s="13" t="n"/>
      <c r="K50" s="13" t="n"/>
      <c r="L50" s="13" t="n"/>
      <c r="M50" s="13" t="n"/>
      <c r="N50" s="13" t="n"/>
      <c r="O50" s="14">
        <f>IF(M50="","",IF(N50="Monthly",M50+30,IF(N50="Quarterly",M50+90,IF(N50="Semi-Annual",M50+180,IF(N50="Annual",M50+365,"")))))</f>
        <v/>
      </c>
      <c r="P50" s="13" t="n"/>
      <c r="Q50" s="13" t="n"/>
      <c r="R50" s="13" t="n"/>
    </row>
    <row r="51">
      <c r="A51" s="13" t="n"/>
      <c r="B51" s="13" t="n"/>
      <c r="C51" s="13" t="n"/>
      <c r="D51" s="13" t="n"/>
      <c r="E51" s="13" t="n"/>
      <c r="F51" s="13" t="n"/>
      <c r="G51" s="13" t="n"/>
      <c r="H51" s="13" t="n"/>
      <c r="I51" s="13" t="n"/>
      <c r="J51" s="13" t="n"/>
      <c r="K51" s="13" t="n"/>
      <c r="L51" s="13" t="n"/>
      <c r="M51" s="13" t="n"/>
      <c r="N51" s="13" t="n"/>
      <c r="O51" s="14">
        <f>IF(M51="","",IF(N51="Monthly",M51+30,IF(N51="Quarterly",M51+90,IF(N51="Semi-Annual",M51+180,IF(N51="Annual",M51+365,"")))))</f>
        <v/>
      </c>
      <c r="P51" s="13" t="n"/>
      <c r="Q51" s="13" t="n"/>
      <c r="R51" s="13" t="n"/>
    </row>
    <row r="52">
      <c r="A52" s="13" t="n"/>
      <c r="B52" s="13" t="n"/>
      <c r="C52" s="13" t="n"/>
      <c r="D52" s="13" t="n"/>
      <c r="E52" s="13" t="n"/>
      <c r="F52" s="13" t="n"/>
      <c r="G52" s="13" t="n"/>
      <c r="H52" s="13" t="n"/>
      <c r="I52" s="13" t="n"/>
      <c r="J52" s="13" t="n"/>
      <c r="K52" s="13" t="n"/>
      <c r="L52" s="13" t="n"/>
      <c r="M52" s="13" t="n"/>
      <c r="N52" s="13" t="n"/>
      <c r="O52" s="14">
        <f>IF(M52="","",IF(N52="Monthly",M52+30,IF(N52="Quarterly",M52+90,IF(N52="Semi-Annual",M52+180,IF(N52="Annual",M52+365,"")))))</f>
        <v/>
      </c>
      <c r="P52" s="13" t="n"/>
      <c r="Q52" s="13" t="n"/>
      <c r="R52" s="13" t="n"/>
    </row>
    <row r="53">
      <c r="A53" s="13" t="n"/>
      <c r="B53" s="13" t="n"/>
      <c r="C53" s="13" t="n"/>
      <c r="D53" s="13" t="n"/>
      <c r="E53" s="13" t="n"/>
      <c r="F53" s="13" t="n"/>
      <c r="G53" s="13" t="n"/>
      <c r="H53" s="13" t="n"/>
      <c r="I53" s="13" t="n"/>
      <c r="J53" s="13" t="n"/>
      <c r="K53" s="13" t="n"/>
      <c r="L53" s="13" t="n"/>
      <c r="M53" s="13" t="n"/>
      <c r="N53" s="13" t="n"/>
      <c r="O53" s="14">
        <f>IF(M53="","",IF(N53="Monthly",M53+30,IF(N53="Quarterly",M53+90,IF(N53="Semi-Annual",M53+180,IF(N53="Annual",M53+365,"")))))</f>
        <v/>
      </c>
      <c r="P53" s="13" t="n"/>
      <c r="Q53" s="13" t="n"/>
      <c r="R53" s="13" t="n"/>
    </row>
    <row r="54">
      <c r="A54" s="13" t="n"/>
      <c r="B54" s="13" t="n"/>
      <c r="C54" s="13" t="n"/>
      <c r="D54" s="13" t="n"/>
      <c r="E54" s="13" t="n"/>
      <c r="F54" s="13" t="n"/>
      <c r="G54" s="13" t="n"/>
      <c r="H54" s="13" t="n"/>
      <c r="I54" s="13" t="n"/>
      <c r="J54" s="13" t="n"/>
      <c r="K54" s="13" t="n"/>
      <c r="L54" s="13" t="n"/>
      <c r="M54" s="13" t="n"/>
      <c r="N54" s="13" t="n"/>
      <c r="O54" s="14">
        <f>IF(M54="","",IF(N54="Monthly",M54+30,IF(N54="Quarterly",M54+90,IF(N54="Semi-Annual",M54+180,IF(N54="Annual",M54+365,"")))))</f>
        <v/>
      </c>
      <c r="P54" s="13" t="n"/>
      <c r="Q54" s="13" t="n"/>
      <c r="R54" s="13" t="n"/>
    </row>
  </sheetData>
  <mergeCells count="1">
    <mergeCell ref="A1:R1"/>
  </mergeCells>
  <conditionalFormatting sqref="J4:J54">
    <cfRule type="cellIs" priority="1" operator="equal" dxfId="13">
      <formula>"Critical"</formula>
    </cfRule>
    <cfRule type="cellIs" priority="2" operator="equal" dxfId="2">
      <formula>"High"</formula>
    </cfRule>
    <cfRule type="cellIs" priority="3" operator="equal" dxfId="1">
      <formula>"Medium"</formula>
    </cfRule>
    <cfRule type="cellIs" priority="4" operator="equal" dxfId="0">
      <formula>"Low"</formula>
    </cfRule>
  </conditionalFormatting>
  <conditionalFormatting sqref="P4:P54">
    <cfRule type="cellIs" priority="5" operator="equal" dxfId="0">
      <formula>"Active"</formula>
    </cfRule>
    <cfRule type="cellIs" priority="6" operator="equal" dxfId="5">
      <formula>"Expired"</formula>
    </cfRule>
    <cfRule type="cellIs" priority="7" operator="equal" dxfId="1">
      <formula>"Under Review"</formula>
    </cfRule>
  </conditionalFormatting>
  <dataValidations count="4">
    <dataValidation sqref="E4:E54" showDropDown="0" showInputMessage="0" showErrorMessage="0" allowBlank="0" errorTitle="Invalid Entry" error="Invalid entry" promptTitle="Selection Required" prompt="Please select from the dropdown" type="list">
      <formula1>"Configuration Exception,Exclusion from Baseline,Temporary Deviation,Permanent Exception"</formula1>
    </dataValidation>
    <dataValidation sqref="J4:J54" showDropDown="0" showInputMessage="0" showErrorMessage="0" allowBlank="0" errorTitle="Invalid Entry" error="Invalid entry" promptTitle="Selection Required" prompt="Please select from the dropdown" type="list">
      <formula1>"Low,Medium,High,Critical"</formula1>
    </dataValidation>
    <dataValidation sqref="N4:N54" showDropDown="0" showInputMessage="0" showErrorMessage="0" allowBlank="0" errorTitle="Invalid Entry" error="Invalid entry" promptTitle="Selection Required" prompt="Please select from the dropdown" type="list">
      <formula1>"Monthly,Quarterly,Semi-Annual,Annual"</formula1>
    </dataValidation>
    <dataValidation sqref="P4:P54" showDropDown="0" showInputMessage="0" showErrorMessage="0" allowBlank="0" errorTitle="Invalid Entry" error="Invalid entry" promptTitle="Selection Required" prompt="Please select from the dropdown" type="list">
      <formula1>"✅ Active,⏳ Under Review,⏰ Expired,❌ Revoked,➖ No Longer Needed"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BASELINE CONFIGURATION ASSESSMENT - METRICS SUMMARY</t>
        </is>
      </c>
    </row>
    <row r="3">
      <c r="A3" s="16" t="inlineStr">
        <is>
          <t>OVERALL COMPLIANCE METRICS</t>
        </is>
      </c>
    </row>
    <row r="4">
      <c r="A4" s="12" t="inlineStr">
        <is>
          <t>Metric</t>
        </is>
      </c>
      <c r="B4" s="12" t="inlineStr">
        <is>
          <t>Value</t>
        </is>
      </c>
      <c r="C4" s="12" t="inlineStr">
        <is>
          <t>Target</t>
        </is>
      </c>
      <c r="D4" s="12" t="inlineStr">
        <is>
          <t>Status</t>
        </is>
      </c>
    </row>
    <row r="5">
      <c r="A5" s="23" t="inlineStr">
        <is>
          <t>Total Assets in Scope</t>
        </is>
      </c>
      <c r="B5" s="24">
        <f>COUNTA('Asset Inventory'!A3:A102)-COUNTBLANK('Asset Inventory'!A3:A102)</f>
        <v/>
      </c>
      <c r="C5" s="25" t="inlineStr">
        <is>
          <t>N/A</t>
        </is>
      </c>
    </row>
    <row r="6">
      <c r="A6" s="23" t="inlineStr">
        <is>
          <t>Assets with Defined Baselines</t>
        </is>
      </c>
      <c r="B6" s="24">
        <f>COUNTIF('Asset Inventory'!H3:H102,"*Defined")</f>
        <v/>
      </c>
      <c r="C6" s="25" t="inlineStr">
        <is>
          <t>N/A</t>
        </is>
      </c>
    </row>
    <row r="7">
      <c r="A7" s="23" t="inlineStr">
        <is>
          <t>Overall Baseline Coverage %</t>
        </is>
      </c>
      <c r="B7" s="15">
        <f>IF(B5=0,0,B6/B5*100)</f>
        <v/>
      </c>
      <c r="C7" s="25" t="inlineStr">
        <is>
          <t>≥85%</t>
        </is>
      </c>
      <c r="D7" s="14">
        <f>IF(B7&gt;=85,"✓ Compliant",IF(B7&gt;=70,"⚠ Partial","✗ Non-Compliant"))</f>
        <v/>
      </c>
    </row>
    <row r="8">
      <c r="A8" s="23" t="inlineStr">
        <is>
          <t>Critical Asset Count</t>
        </is>
      </c>
      <c r="B8" s="24">
        <f>COUNTIF('Asset Inventory'!E3:E102,"*Critical")</f>
        <v/>
      </c>
      <c r="C8" s="25" t="inlineStr">
        <is>
          <t>N/A</t>
        </is>
      </c>
    </row>
    <row r="9">
      <c r="A9" s="23" t="inlineStr">
        <is>
          <t>Critical Assets with Baselines</t>
        </is>
      </c>
      <c r="B9" s="24">
        <f>COUNTIFS('Asset Inventory'!E3:E102,"*Critical",'Asset Inventory'!H3:H102,"*Defined")</f>
        <v/>
      </c>
      <c r="C9" s="25" t="inlineStr">
        <is>
          <t>N/A</t>
        </is>
      </c>
    </row>
    <row r="10">
      <c r="A10" s="23" t="inlineStr">
        <is>
          <t>Critical Asset Coverage %</t>
        </is>
      </c>
      <c r="B10" s="15">
        <f>IF(B8=0,0,B9/B8*100)</f>
        <v/>
      </c>
      <c r="C10" s="25" t="inlineStr">
        <is>
          <t>≥95%</t>
        </is>
      </c>
      <c r="D10" s="14">
        <f>IF(B10&gt;=95,"✓ Compliant",IF(B10&gt;=90,"⚠ Partial","✗ Non-Compliant"))</f>
        <v/>
      </c>
    </row>
    <row r="11">
      <c r="A11" s="23" t="inlineStr">
        <is>
          <t>High Asset Count</t>
        </is>
      </c>
      <c r="B11" s="24">
        <f>COUNTIF('Asset Inventory'!E3:E102,"*High")</f>
        <v/>
      </c>
      <c r="C11" s="25" t="inlineStr">
        <is>
          <t>N/A</t>
        </is>
      </c>
    </row>
    <row r="12">
      <c r="A12" s="23" t="inlineStr">
        <is>
          <t>High Assets with Baselines</t>
        </is>
      </c>
      <c r="B12" s="24">
        <f>COUNTIFS('Asset Inventory'!E3:E102,"*High",'Asset Inventory'!H3:H102,"*Defined")</f>
        <v/>
      </c>
      <c r="C12" s="25" t="inlineStr">
        <is>
          <t>N/A</t>
        </is>
      </c>
    </row>
    <row r="13">
      <c r="A13" s="23" t="inlineStr">
        <is>
          <t>High Asset Coverage %</t>
        </is>
      </c>
      <c r="B13" s="15">
        <f>IF(B11=0,0,B12/B11*100)</f>
        <v/>
      </c>
      <c r="C13" s="25" t="inlineStr">
        <is>
          <t>≥90%</t>
        </is>
      </c>
      <c r="D13" s="14">
        <f>IF(B13&gt;=90,"✓ Compliant",IF(B13&gt;=85,"⚠ Partial","✗ Non-Compliant"))</f>
        <v/>
      </c>
    </row>
    <row r="14">
      <c r="A14" s="23" t="inlineStr">
        <is>
          <t>Baselines Pending Approval</t>
        </is>
      </c>
      <c r="B14" s="24">
        <f>COUNTIF('Approval Tracking'!E3:E52,"*Submitted")+COUNTIF('Approval Tracking'!E3:E52,"*Under Review")</f>
        <v/>
      </c>
      <c r="C14" s="25" t="inlineStr">
        <is>
          <t>0</t>
        </is>
      </c>
      <c r="D14" s="14">
        <f>IF(B14=0,"✓ None Pending","⚠ "&amp;B14&amp;" Pending")</f>
        <v/>
      </c>
    </row>
    <row r="15">
      <c r="A15" s="23" t="inlineStr">
        <is>
          <t>Baselines with Excellent Documentation</t>
        </is>
      </c>
      <c r="B15" s="24">
        <f>COUNTIF('Documentation Assessment'!L3:L32,"Excellent")</f>
        <v/>
      </c>
      <c r="C15" s="25" t="inlineStr">
        <is>
          <t>Maximize</t>
        </is>
      </c>
      <c r="D15" s="14">
        <f>B15&amp;" baselines"</f>
        <v/>
      </c>
    </row>
    <row r="16">
      <c r="A16" s="23" t="inlineStr">
        <is>
          <t>Baselines with Poor Documentation</t>
        </is>
      </c>
      <c r="B16" s="24">
        <f>COUNTIF('Documentation Assessment'!L3:L32,"Poor")</f>
        <v/>
      </c>
      <c r="C16" s="25" t="inlineStr">
        <is>
          <t>0</t>
        </is>
      </c>
      <c r="D16" s="14">
        <f>IF(B16=0,"✓ None","✗ "&amp;B16&amp;" Need Remediation")</f>
        <v/>
      </c>
    </row>
    <row r="17">
      <c r="A17" s="23" t="inlineStr">
        <is>
          <t>Active High/Critical Risk Deviations</t>
        </is>
      </c>
      <c r="B17" s="24">
        <f>COUNTIFS('Deviation Register'!J3:J52,"*High",'Deviation Register'!P3:P52,"*Active")+COUNTIFS('Deviation Register'!J3:J52,"*Critical",'Deviation Register'!P3:P52,"*Active")</f>
        <v/>
      </c>
      <c r="C17" s="25" t="inlineStr">
        <is>
          <t>&lt;5</t>
        </is>
      </c>
      <c r="D17" s="14">
        <f>IF(B17&lt;5,"✓ Within Target","✗ "&amp;B17&amp;" High-Risk")</f>
        <v/>
      </c>
    </row>
    <row r="19">
      <c r="A19" s="16" t="inlineStr">
        <is>
          <t>COVERAGE BY ASSET CATEGORY</t>
        </is>
      </c>
    </row>
    <row r="20">
      <c r="A20" s="12" t="inlineStr">
        <is>
          <t>Category</t>
        </is>
      </c>
      <c r="B20" s="12" t="inlineStr">
        <is>
          <t>Total Assets</t>
        </is>
      </c>
      <c r="C20" s="12" t="inlineStr">
        <is>
          <t>With Baselines</t>
        </is>
      </c>
      <c r="D20" s="12" t="inlineStr">
        <is>
          <t>Coverage %</t>
        </is>
      </c>
    </row>
    <row r="21">
      <c r="A21" s="23" t="inlineStr">
        <is>
          <t>Infrastructure</t>
        </is>
      </c>
      <c r="B21" s="14">
        <f>COUNTIF('Asset Inventory'!$D$3:$D$102,"Infrastructure")</f>
        <v/>
      </c>
      <c r="C21" s="14">
        <f>COUNTIFS('Asset Inventory'!$D$3:$D$102,"Infrastructure",'Asset Inventory'!$H$3:$H$102,"*Defined")</f>
        <v/>
      </c>
      <c r="D21" s="15">
        <f>IF(B21=0,0,C21/B21*100)</f>
        <v/>
      </c>
    </row>
    <row r="22">
      <c r="A22" s="23" t="inlineStr">
        <is>
          <t>Endpoint</t>
        </is>
      </c>
      <c r="B22" s="14">
        <f>COUNTIF('Asset Inventory'!$D$3:$D$102,"Endpoint")</f>
        <v/>
      </c>
      <c r="C22" s="14">
        <f>COUNTIFS('Asset Inventory'!$D$3:$D$102,"Endpoint",'Asset Inventory'!$H$3:$H$102,"*Defined")</f>
        <v/>
      </c>
      <c r="D22" s="15">
        <f>IF(B22=0,0,C22/B22*100)</f>
        <v/>
      </c>
    </row>
    <row r="23">
      <c r="A23" s="23" t="inlineStr">
        <is>
          <t>Network Services</t>
        </is>
      </c>
      <c r="B23" s="14">
        <f>COUNTIF('Asset Inventory'!$D$3:$D$102,"Network Services")</f>
        <v/>
      </c>
      <c r="C23" s="14">
        <f>COUNTIFS('Asset Inventory'!$D$3:$D$102,"Network Services",'Asset Inventory'!$H$3:$H$102,"*Defined")</f>
        <v/>
      </c>
      <c r="D23" s="15">
        <f>IF(B23=0,0,C23/B23*100)</f>
        <v/>
      </c>
    </row>
    <row r="24">
      <c r="A24" s="23" t="inlineStr">
        <is>
          <t>Applications</t>
        </is>
      </c>
      <c r="B24" s="14">
        <f>COUNTIF('Asset Inventory'!$D$3:$D$102,"Applications")</f>
        <v/>
      </c>
      <c r="C24" s="14">
        <f>COUNTIFS('Asset Inventory'!$D$3:$D$102,"Applications",'Asset Inventory'!$H$3:$H$102,"*Defined")</f>
        <v/>
      </c>
      <c r="D24" s="15">
        <f>IF(B24=0,0,C24/B24*100)</f>
        <v/>
      </c>
    </row>
    <row r="25">
      <c r="A25" s="23" t="inlineStr">
        <is>
          <t>Cloud</t>
        </is>
      </c>
      <c r="B25" s="14">
        <f>COUNTIF('Asset Inventory'!$D$3:$D$102,"Cloud")</f>
        <v/>
      </c>
      <c r="C25" s="14">
        <f>COUNTIFS('Asset Inventory'!$D$3:$D$102,"Cloud",'Asset Inventory'!$H$3:$H$102,"*Defined")</f>
        <v/>
      </c>
      <c r="D25" s="15">
        <f>IF(B25=0,0,C25/B25*100)</f>
        <v/>
      </c>
    </row>
    <row r="26">
      <c r="A26" s="23" t="inlineStr">
        <is>
          <t>IoT/OT</t>
        </is>
      </c>
      <c r="B26" s="14">
        <f>COUNTIF('Asset Inventory'!$D$3:$D$102,"IoT/OT")</f>
        <v/>
      </c>
      <c r="C26" s="14">
        <f>COUNTIFS('Asset Inventory'!$D$3:$D$102,"IoT/OT",'Asset Inventory'!$H$3:$H$102,"*Defined")</f>
        <v/>
      </c>
      <c r="D26" s="15">
        <f>IF(B26=0,0,C26/B26*100)</f>
        <v/>
      </c>
    </row>
    <row r="28">
      <c r="A28" s="16" t="inlineStr">
        <is>
          <t>APPROVAL PROCESS HEALTH</t>
        </is>
      </c>
    </row>
    <row r="29">
      <c r="A29" s="12" t="inlineStr">
        <is>
          <t>Metric</t>
        </is>
      </c>
      <c r="B29" s="12" t="inlineStr">
        <is>
          <t>Value</t>
        </is>
      </c>
      <c r="C29" s="12" t="inlineStr">
        <is>
          <t>Target</t>
        </is>
      </c>
      <c r="D29" s="12" t="inlineStr">
        <is>
          <t>Status</t>
        </is>
      </c>
    </row>
    <row r="30">
      <c r="A30" s="23" t="inlineStr">
        <is>
          <t>Average Approval Time (Days)</t>
        </is>
      </c>
      <c r="B30" s="15">
        <f>IFERROR(AVERAGE('Approval Tracking'!K3:K52),0)</f>
        <v/>
      </c>
      <c r="C30" s="25" t="inlineStr">
        <is>
          <t>&lt;14 days</t>
        </is>
      </c>
      <c r="D30" s="14">
        <f>IF(B30&lt;=14,"✓ Within SLA","✗ Exceeds SLA")</f>
        <v/>
      </c>
    </row>
    <row r="31">
      <c r="A31" s="23" t="inlineStr">
        <is>
          <t>Baselines Exceeding SLA (&gt;21 days)</t>
        </is>
      </c>
      <c r="B31" s="14">
        <f>COUNTIF('Approval Tracking'!L3:L52,"SLA Breach")</f>
        <v/>
      </c>
      <c r="C31" s="25" t="inlineStr">
        <is>
          <t>0</t>
        </is>
      </c>
      <c r="D31" s="14">
        <f>IF(B31=0,"✓ None","✗ "&amp;B31&amp;" Breaches")</f>
        <v/>
      </c>
    </row>
    <row r="32">
      <c r="A32" s="23" t="inlineStr">
        <is>
          <t>Total Approved Baselines</t>
        </is>
      </c>
      <c r="B32" s="14">
        <f>COUNTIF('Approval Tracking'!E3:E52,"✅ Approved")</f>
        <v/>
      </c>
      <c r="C32" s="25" t="inlineStr">
        <is>
          <t>N/A</t>
        </is>
      </c>
    </row>
    <row r="33">
      <c r="A33" s="23" t="inlineStr">
        <is>
          <t>Total Rejected Baselines</t>
        </is>
      </c>
      <c r="B33" s="14">
        <f>COUNTIF('Approval Tracking'!E3:E52,"❌ Rejected")</f>
        <v/>
      </c>
      <c r="C33" s="25" t="inlineStr">
        <is>
          <t>N/A</t>
        </is>
      </c>
    </row>
    <row r="34">
      <c r="A34" s="23" t="inlineStr">
        <is>
          <t>Approval Success Rate %</t>
        </is>
      </c>
      <c r="B34" s="15">
        <f>IF((B32+B33)=0,0,B32/(B32+B33)*100)</f>
        <v/>
      </c>
      <c r="C34" s="25" t="inlineStr">
        <is>
          <t>&gt;90%</t>
        </is>
      </c>
      <c r="D34" s="14">
        <f>IF(B34&gt;=90,"✓ Good",IF(B34&gt;=80,"⚠ Fair","✗ Poor"))</f>
        <v/>
      </c>
    </row>
    <row r="37">
      <c r="A37" s="26" t="inlineStr">
        <is>
          <t>NOTE: All metrics on this sheet are auto-calculated from data in other sheets. Do not edit.</t>
        </is>
      </c>
    </row>
    <row r="38">
      <c r="A38" s="27" t="inlineStr">
        <is>
          <t>Status indicators: ✓ = Compliant, ⚠ = Partial/Warning, ✗ = Non-Compliant</t>
        </is>
      </c>
    </row>
  </sheetData>
  <mergeCells count="6">
    <mergeCell ref="A1:D1"/>
    <mergeCell ref="A37:D37"/>
    <mergeCell ref="A3:D3"/>
    <mergeCell ref="A38:D38"/>
    <mergeCell ref="A19:D19"/>
    <mergeCell ref="A28:D28"/>
  </mergeCells>
  <conditionalFormatting sqref="D21:D26">
    <cfRule type="cellIs" priority="1" operator="greaterThanOrEqual" dxfId="0">
      <formula>85</formula>
    </cfRule>
    <cfRule type="cellIs" priority="2" operator="between" dxfId="1">
      <formula>70</formula>
      <formula>84.9</formula>
    </cfRule>
    <cfRule type="cellIs" priority="3" operator="lessThan" dxfId="2">
      <formula>70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BASELINE CONFIGURATION — SUMMARY DASHBOARD</t>
        </is>
      </c>
    </row>
    <row r="2">
      <c r="A2" s="29" t="inlineStr">
        <is>
          <t>Summary Dashboard  |  Baseline Configuration Assessment  |  Generated: 20260310</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Asset Inventory</t>
        </is>
      </c>
      <c r="B6" s="33">
        <f>COUNTA('Asset Inventory'!B4:B103)</f>
        <v/>
      </c>
      <c r="C6" s="33">
        <f>COUNTIF('Asset Inventory'!H4:H103,"✅ Defined")</f>
        <v/>
      </c>
      <c r="D6" s="33">
        <f>COUNTIF('Asset Inventory'!H4:H103,"⏳ In Progress")</f>
        <v/>
      </c>
      <c r="E6" s="33">
        <f>COUNTIF('Asset Inventory'!H4:H103,"❌ Not Started")</f>
        <v/>
      </c>
      <c r="F6" s="33">
        <f>COUNTIF('Asset Inventory'!H4:H103,"➖ N/A")</f>
        <v/>
      </c>
      <c r="G6" s="34">
        <f>IF((B6-F6)=0,0,C6/(B6-F6))</f>
        <v/>
      </c>
    </row>
    <row r="7">
      <c r="A7" s="32" t="inlineStr">
        <is>
          <t>Baseline Repository</t>
        </is>
      </c>
      <c r="B7" s="33">
        <f>COUNTA('Baseline Repository'!B5:B54)</f>
        <v/>
      </c>
      <c r="C7" s="33">
        <f>COUNTIF('Baseline Repository'!F5:F54,"✅ Approved")</f>
        <v/>
      </c>
      <c r="D7" s="33">
        <f>COUNTIF('Baseline Repository'!F5:F54,"⏳ Pending Review")</f>
        <v/>
      </c>
      <c r="E7" s="33">
        <f>COUNTIF('Baseline Repository'!F5:F54,"❌ Rejected")</f>
        <v/>
      </c>
      <c r="F7" s="33">
        <f>COUNTIF('Baseline Repository'!F5:F54,"Draft")</f>
        <v/>
      </c>
      <c r="G7" s="34">
        <f>IF((B7-F7)=0,0,C7/(B7-F7))</f>
        <v/>
      </c>
    </row>
    <row r="8">
      <c r="A8" s="32" t="inlineStr">
        <is>
          <t>Approval Tracking</t>
        </is>
      </c>
      <c r="B8" s="33">
        <f>COUNTA('Approval Tracking'!B5:B54)</f>
        <v/>
      </c>
      <c r="C8" s="33">
        <f>COUNTIF('Approval Tracking'!E5:E54,"✅ Approved")</f>
        <v/>
      </c>
      <c r="D8" s="33">
        <f>COUNTIF('Approval Tracking'!E5:E54,"⏳ Under Review")+COUNTIF('Approval Tracking'!E5:E54,"Submitted")</f>
        <v/>
      </c>
      <c r="E8" s="33">
        <f>COUNTIF('Approval Tracking'!E5:E54,"❌ Rejected")+COUNTIF('Approval Tracking'!E5:E54,"Revisions Requested")</f>
        <v/>
      </c>
      <c r="F8" s="33">
        <f>COUNTIF('Approval Tracking'!E5:E54,"Pending Submission")</f>
        <v/>
      </c>
      <c r="G8" s="34">
        <f>IF((B8-F8)=0,0,C8/(B8-F8))</f>
        <v/>
      </c>
    </row>
    <row r="9">
      <c r="A9" s="32" t="inlineStr">
        <is>
          <t>Version Control</t>
        </is>
      </c>
      <c r="B9" s="33">
        <f>COUNTA('Version Control'!B5:B54)</f>
        <v/>
      </c>
      <c r="C9" s="33">
        <f>COUNTIF('Version Control'!L5:L54,"Current")</f>
        <v/>
      </c>
      <c r="D9" s="33">
        <f>0</f>
        <v/>
      </c>
      <c r="E9" s="33">
        <f>COUNTIF('Version Control'!L5:L54,"Superseded")</f>
        <v/>
      </c>
      <c r="F9" s="33">
        <f>0</f>
        <v/>
      </c>
      <c r="G9" s="34">
        <f>IF((B9-F9)=0,0,C9/(B9-F9))</f>
        <v/>
      </c>
    </row>
    <row r="10">
      <c r="A10" s="35" t="inlineStr">
        <is>
          <t>TOTAL</t>
        </is>
      </c>
      <c r="B10" s="31">
        <f>SUM(B6:B9)</f>
        <v/>
      </c>
      <c r="C10" s="31">
        <f>SUM(C6:C9)</f>
        <v/>
      </c>
      <c r="D10" s="31">
        <f>SUM(D6:D9)</f>
        <v/>
      </c>
      <c r="E10" s="31">
        <f>SUM(E6:E9)</f>
        <v/>
      </c>
      <c r="F10" s="31">
        <f>SUM(F6:F9)</f>
        <v/>
      </c>
      <c r="G10" s="36">
        <f>IF((B10-F10)=0,0,C10/(B10-F10))</f>
        <v/>
      </c>
    </row>
    <row r="12">
      <c r="A12" s="30" t="inlineStr">
        <is>
          <t>TABLE 2 – KEY METRICS</t>
        </is>
      </c>
    </row>
    <row r="13">
      <c r="A13" s="35" t="inlineStr">
        <is>
          <t>Metric</t>
        </is>
      </c>
      <c r="B13" s="31" t="inlineStr">
        <is>
          <t>Value</t>
        </is>
      </c>
      <c r="C13" s="35" t="inlineStr">
        <is>
          <t>What This Shows</t>
        </is>
      </c>
      <c r="D13" s="37" t="n"/>
      <c r="E13" s="37" t="n"/>
      <c r="F13" s="37" t="n"/>
      <c r="G13" s="38" t="n"/>
    </row>
    <row r="14">
      <c r="A14" s="32" t="inlineStr">
        <is>
          <t>Total Assets with Defined Baselines</t>
        </is>
      </c>
      <c r="B14" s="39">
        <f>COUNTIF('Asset Inventory'!H4:H103,"✅ Defined")</f>
        <v/>
      </c>
      <c r="C14" s="40" t="inlineStr">
        <is>
          <t>Assets with fully defined and approved configuration baselines</t>
        </is>
      </c>
      <c r="D14" s="6" t="n"/>
      <c r="E14" s="6" t="n"/>
      <c r="F14" s="6" t="n"/>
      <c r="G14" s="6" t="n"/>
    </row>
    <row r="15">
      <c r="A15" s="32" t="inlineStr">
        <is>
          <t>Baseline Coverage % (Critical Assets)</t>
        </is>
      </c>
      <c r="B15" s="41">
        <f>IF(COUNTIF('Asset Inventory'!E4:E103,"Critical")=0,0,COUNTIFS('Asset Inventory'!E4:E103,"Critical",'Asset Inventory'!H4:H103,"✅ Defined")/COUNTIF('Asset Inventory'!E4:E103,"Critical"))</f>
        <v/>
      </c>
      <c r="C15" s="40" t="inlineStr">
        <is>
          <t>% of Critical-tier assets with defined baselines (target ≥95%)</t>
        </is>
      </c>
      <c r="D15" s="6" t="n"/>
      <c r="E15" s="6" t="n"/>
      <c r="F15" s="6" t="n"/>
      <c r="G15" s="6" t="n"/>
    </row>
    <row r="16">
      <c r="A16" s="32" t="inlineStr">
        <is>
          <t>Baselines Pending Approval</t>
        </is>
      </c>
      <c r="B16" s="39">
        <f>COUNTIF('Approval Tracking'!E5:E54,"⏳ Under Review")+COUNTIF('Approval Tracking'!E5:E54,"Submitted")</f>
        <v/>
      </c>
      <c r="C16" s="40" t="inlineStr">
        <is>
          <t>Baselines awaiting sign-off (target: 0 pending)</t>
        </is>
      </c>
      <c r="D16" s="6" t="n"/>
      <c r="E16" s="6" t="n"/>
      <c r="F16" s="6" t="n"/>
      <c r="G16" s="6" t="n"/>
    </row>
    <row r="17">
      <c r="A17" s="32" t="inlineStr">
        <is>
          <t>SLA Breaches (Approval &gt;21 days)</t>
        </is>
      </c>
      <c r="B17" s="39">
        <f>COUNTIF('Approval Tracking'!L5:L54,"SLA Breach")</f>
        <v/>
      </c>
      <c r="C17" s="40" t="inlineStr">
        <is>
          <t>Approvals that have exceeded the 21-day SLA threshold</t>
        </is>
      </c>
      <c r="D17" s="6" t="n"/>
      <c r="E17" s="6" t="n"/>
      <c r="F17" s="6" t="n"/>
      <c r="G17" s="6" t="n"/>
    </row>
    <row r="18">
      <c r="A18" s="32" t="inlineStr">
        <is>
          <t>Active Authorised Deviations</t>
        </is>
      </c>
      <c r="B18" s="39">
        <f>COUNTIF('Deviation Register'!P5:P54,"✅ Active")</f>
        <v/>
      </c>
      <c r="C18" s="40" t="inlineStr">
        <is>
          <t>Currently approved configuration deviations from baseline</t>
        </is>
      </c>
      <c r="D18" s="6" t="n"/>
      <c r="E18" s="6" t="n"/>
      <c r="F18" s="6" t="n"/>
      <c r="G18" s="6" t="n"/>
    </row>
    <row r="19">
      <c r="A19" s="32" t="inlineStr">
        <is>
          <t>High/Critical Risk Deviations</t>
        </is>
      </c>
      <c r="B19" s="39">
        <f>COUNTIFS('Deviation Register'!J5:J54,"High",'Deviation Register'!P5:P54,"✅ Active")+COUNTIFS('Deviation Register'!J5:J54,"Critical",'Deviation Register'!P5:P54,"✅ Active")</f>
        <v/>
      </c>
      <c r="C19" s="40" t="inlineStr">
        <is>
          <t>Active deviations with High or Critical residual risk (target: 0)</t>
        </is>
      </c>
      <c r="D19" s="6" t="n"/>
      <c r="E19" s="6" t="n"/>
      <c r="F19" s="6" t="n"/>
      <c r="G19" s="6" t="n"/>
    </row>
    <row r="21">
      <c r="A21" s="42" t="inlineStr">
        <is>
          <t>TABLE 3 – KEY FINDINGS &amp; RECOMMENDATIONS</t>
        </is>
      </c>
    </row>
    <row r="22">
      <c r="A22" s="35" t="inlineStr">
        <is>
          <t>Finding</t>
        </is>
      </c>
      <c r="B22" s="31" t="inlineStr">
        <is>
          <t>Count</t>
        </is>
      </c>
      <c r="C22" s="35" t="inlineStr">
        <is>
          <t>Recommendation</t>
        </is>
      </c>
    </row>
    <row r="23">
      <c r="A23" s="43" t="inlineStr">
        <is>
          <t>Assets Missing Baseline Definition</t>
        </is>
      </c>
      <c r="B23" s="44">
        <f>COUNTIF('Asset Inventory'!H4:H103,"❌ Not Started")</f>
        <v/>
      </c>
      <c r="C23" s="45" t="inlineStr">
        <is>
          <t>Prioritise baseline definition for all Critical and High-tier assets; use CIS Benchmarks as starting templates</t>
        </is>
      </c>
      <c r="D23" s="46" t="n"/>
      <c r="E23" s="46" t="n"/>
      <c r="F23" s="46" t="n"/>
      <c r="G23" s="46" t="n"/>
    </row>
    <row r="24">
      <c r="A24" s="43" t="inlineStr">
        <is>
          <t>Baselines Pending Approval</t>
        </is>
      </c>
      <c r="B24" s="44">
        <f>COUNTIF('Approval Tracking'!E5:E54,"⏳ Under Review")+COUNTIF('Approval Tracking'!E5:E54,"Submitted")</f>
        <v/>
      </c>
      <c r="C24" s="45" t="inlineStr">
        <is>
          <t>Escalate pending approvals to CAB; implement 14-day SLA with automated reminders</t>
        </is>
      </c>
      <c r="D24" s="46" t="n"/>
      <c r="E24" s="46" t="n"/>
      <c r="F24" s="46" t="n"/>
      <c r="G24" s="46" t="n"/>
    </row>
    <row r="25">
      <c r="A25" s="43" t="inlineStr">
        <is>
          <t>Approval SLA Breaches</t>
        </is>
      </c>
      <c r="B25" s="44">
        <f>COUNTIF('Approval Tracking'!L5:L54,"SLA Breach")</f>
        <v/>
      </c>
      <c r="C25" s="45" t="inlineStr">
        <is>
          <t>Review approval process bottlenecks; consider delegated approval authority for standard baselines</t>
        </is>
      </c>
      <c r="D25" s="46" t="n"/>
      <c r="E25" s="46" t="n"/>
      <c r="F25" s="46" t="n"/>
      <c r="G25" s="46" t="n"/>
    </row>
    <row r="26">
      <c r="A26" s="43" t="inlineStr">
        <is>
          <t>High-Risk Active Deviations</t>
        </is>
      </c>
      <c r="B26" s="44">
        <f>COUNTIFS('Deviation Register'!J5:J54,"High",'Deviation Register'!P5:P54,"✅ Active")+COUNTIFS('Deviation Register'!J5:J54,"Critical",'Deviation Register'!P5:P54,"✅ Active")</f>
        <v/>
      </c>
      <c r="C26" s="45" t="inlineStr">
        <is>
          <t>Review and remediate all High/Critical deviations; ensure compensating controls are documented and effective</t>
        </is>
      </c>
      <c r="D26" s="46" t="n"/>
      <c r="E26" s="46" t="n"/>
      <c r="F26" s="46" t="n"/>
      <c r="G26" s="46" t="n"/>
    </row>
    <row r="27">
      <c r="A27" s="47" t="inlineStr">
        <is>
          <t>TOTAL</t>
        </is>
      </c>
      <c r="B27" s="48">
        <f>SUM(B23:B26)</f>
        <v/>
      </c>
      <c r="C27" s="40" t="inlineStr">
        <is>
          <t>Total count of all key findings requiring attention</t>
        </is>
      </c>
      <c r="D27" s="6" t="n"/>
      <c r="E27" s="6" t="n"/>
      <c r="F27" s="6" t="n"/>
      <c r="G27" s="6" t="n"/>
    </row>
  </sheetData>
  <mergeCells count="18">
    <mergeCell ref="C22:G22"/>
    <mergeCell ref="A1:G1"/>
    <mergeCell ref="C24:G24"/>
    <mergeCell ref="C16:G16"/>
    <mergeCell ref="A21:G21"/>
    <mergeCell ref="C15:G15"/>
    <mergeCell ref="A12:G12"/>
    <mergeCell ref="A4:G4"/>
    <mergeCell ref="C25:G25"/>
    <mergeCell ref="C27:G27"/>
    <mergeCell ref="C19:G19"/>
    <mergeCell ref="A2:G2"/>
    <mergeCell ref="C14:G14"/>
    <mergeCell ref="C23:G23"/>
    <mergeCell ref="C13:G13"/>
    <mergeCell ref="C18:G18"/>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ISMS-IMP-A.8.9.1 — Baseline Configuration</dc:title>
  <dc:description xmlns:dc="http://purl.org/dc/elements/1.1/">ISMS Implementation Workbook — ISMS-IMP-A.8.9.1</dc:description>
  <dc:subject xmlns:dc="http://purl.org/dc/elements/1.1/">ISO/IEC 27001:2022 — Control A.8.9: Configuration Management</dc:subject>
  <dcterms:created xmlns:dcterms="http://purl.org/dc/terms/" xmlns:xsi="http://www.w3.org/2001/XMLSchema-instance" xsi:type="dcterms:W3CDTF">2026-03-10T19:49:50Z</dcterms:created>
  <dcterms:modified xmlns:dcterms="http://purl.org/dc/terms/" xmlns:xsi="http://www.w3.org/2001/XMLSchema-instance" xsi:type="dcterms:W3CDTF">2026-03-10T18:49:50Z</dcterms:modified>
</cp:coreProperties>
</file>