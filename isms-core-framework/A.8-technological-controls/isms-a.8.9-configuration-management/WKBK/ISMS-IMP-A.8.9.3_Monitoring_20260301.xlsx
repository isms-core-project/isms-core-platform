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okup Tables" sheetId="2" state="hidden" r:id="rId2"/>
    <sheet xmlns:r="http://schemas.openxmlformats.org/officeDocument/2006/relationships" name="Monitoring Coverage Register" sheetId="3" state="visible" r:id="rId3"/>
    <sheet xmlns:r="http://schemas.openxmlformats.org/officeDocument/2006/relationships" name="Drift Detection Log" sheetId="4" state="visible" r:id="rId4"/>
    <sheet xmlns:r="http://schemas.openxmlformats.org/officeDocument/2006/relationships" name="Monitoring Tool Inventory" sheetId="5" state="visible" r:id="rId5"/>
    <sheet xmlns:r="http://schemas.openxmlformats.org/officeDocument/2006/relationships" name="Drift Remediation Tracking" sheetId="6" state="visible" r:id="rId6"/>
    <sheet xmlns:r="http://schemas.openxmlformats.org/officeDocument/2006/relationships" name="False Positive Register" sheetId="7" state="visible" r:id="rId7"/>
    <sheet xmlns:r="http://schemas.openxmlformats.org/officeDocument/2006/relationships" name="Monitor Effectiveness Metrics" sheetId="8" state="visible" r:id="rId8"/>
    <sheet xmlns:r="http://schemas.openxmlformats.org/officeDocument/2006/relationships" name="Coverage Gap Analysis" sheetId="9" state="visible" r:id="rId9"/>
    <sheet xmlns:r="http://schemas.openxmlformats.org/officeDocument/2006/relationships" name="Drift Trend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i val="1"/>
      <sz val="11"/>
    </font>
    <font>
      <name val="Calibri"/>
      <sz val="11"/>
    </font>
    <font>
      <b val="1"/>
    </font>
    <font>
      <name val="Calibri"/>
      <b val="1"/>
      <color rgb="00FFFFFF"/>
      <sz val="12"/>
    </font>
    <font>
      <name val="Calibri"/>
      <i val="1"/>
      <color rgb="00666666"/>
      <sz val="10"/>
    </font>
    <font>
      <i val="1"/>
    </font>
    <font>
      <name val="Calibri"/>
      <b val="1"/>
      <color rgb="00FFFFFF"/>
      <sz val="11"/>
    </font>
    <font>
      <color rgb="00808080"/>
    </font>
    <font>
      <name val="Calibri"/>
      <i val="1"/>
      <color rgb="00003366"/>
      <sz val="10"/>
    </font>
    <font>
      <name val="Calibri"/>
      <color rgb="000000FF"/>
      <sz val="11"/>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0" fontId="8" fillId="0" borderId="0" pivotButton="0" quotePrefix="0" xfId="0"/>
    <xf numFmtId="4" fontId="8" fillId="0" borderId="0" pivotButton="0" quotePrefix="0" xfId="0"/>
    <xf numFmtId="0" fontId="9" fillId="12" borderId="1" applyAlignment="1" pivotButton="0" quotePrefix="0" xfId="0">
      <alignment horizontal="left" vertical="center"/>
    </xf>
    <xf numFmtId="0" fontId="7" fillId="0" borderId="0" pivotButton="0" quotePrefix="0" xfId="0"/>
    <xf numFmtId="0" fontId="7" fillId="10" borderId="0" pivotButton="0" quotePrefix="0" xfId="0"/>
    <xf numFmtId="164" fontId="6" fillId="10" borderId="1" applyAlignment="1" pivotButton="0" quotePrefix="0" xfId="0">
      <alignment horizontal="left" vertical="top"/>
    </xf>
    <xf numFmtId="0" fontId="10" fillId="0" borderId="0" applyAlignment="1" pivotButton="0" quotePrefix="0" xfId="0">
      <alignment horizontal="center"/>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1" borderId="0" pivotButton="0" quotePrefix="0" xfId="0"/>
    <xf numFmtId="0" fontId="0" fillId="11" borderId="1" applyAlignment="1" pivotButton="0" quotePrefix="0" xfId="0">
      <alignment horizontal="left" vertical="center" wrapText="1"/>
    </xf>
    <xf numFmtId="0" fontId="14" fillId="0" borderId="0" applyAlignment="1" pivotButton="0" quotePrefix="0" xfId="0">
      <alignment horizontal="left" vertical="center"/>
    </xf>
    <xf numFmtId="0" fontId="12" fillId="12" borderId="1" applyAlignment="1" pivotButton="0" quotePrefix="0" xfId="0">
      <alignment horizontal="center" vertical="center"/>
    </xf>
    <xf numFmtId="0" fontId="5" fillId="9"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165" fontId="15" fillId="0" borderId="1" applyAlignment="1" pivotButton="0" quotePrefix="0" xfId="0">
      <alignment horizontal="center" vertical="center"/>
    </xf>
    <xf numFmtId="0" fontId="5" fillId="9" borderId="1" applyAlignment="1" pivotButton="0" quotePrefix="0" xfId="0">
      <alignment horizontal="left" vertical="center"/>
    </xf>
    <xf numFmtId="165" fontId="5" fillId="9" borderId="1" applyAlignment="1" pivotButton="0" quotePrefix="0" xfId="0">
      <alignment horizontal="center" vertical="center"/>
    </xf>
    <xf numFmtId="0" fontId="7" fillId="0" borderId="1" applyAlignment="1" pivotButton="0" quotePrefix="0" xfId="0">
      <alignment horizontal="left" vertical="center"/>
    </xf>
    <xf numFmtId="0" fontId="7" fillId="10" borderId="1" applyAlignment="1" pivotButton="0" quotePrefix="0" xfId="0">
      <alignment horizontal="center" vertical="center"/>
    </xf>
    <xf numFmtId="0" fontId="10" fillId="0" borderId="1" applyAlignment="1" pivotButton="0" quotePrefix="0" xfId="0">
      <alignment horizontal="left" vertical="center"/>
    </xf>
    <xf numFmtId="0" fontId="12" fillId="13" borderId="1" applyAlignment="1" pivotButton="0" quotePrefix="0" xfId="0">
      <alignment horizontal="left" vertical="center"/>
    </xf>
    <xf numFmtId="0" fontId="0" fillId="0" borderId="4" pivotButton="0" quotePrefix="0" xfId="0"/>
    <xf numFmtId="0" fontId="0" fillId="0" borderId="5" pivotButton="0" quotePrefix="0" xfId="0"/>
    <xf numFmtId="0" fontId="5" fillId="0" borderId="1" applyAlignment="1" pivotButton="0" quotePrefix="0" xfId="0">
      <alignment horizontal="center" vertical="center"/>
    </xf>
    <xf numFmtId="0" fontId="7" fillId="0" borderId="1" applyAlignment="1" pivotButton="0" quotePrefix="0" xfId="0">
      <alignment horizontal="left" vertical="center" wrapText="1"/>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6" borderId="1" applyAlignment="1" pivotButton="0" quotePrefix="0" xfId="0">
      <alignment horizontal="center" vertical="center"/>
    </xf>
    <xf numFmtId="0" fontId="1" fillId="8" borderId="1" applyAlignment="1" pivotButton="0" quotePrefix="0" xfId="0">
      <alignment horizontal="center" vertical="center"/>
    </xf>
    <xf numFmtId="0" fontId="16" fillId="12" borderId="1" pivotButton="0" quotePrefix="0" xfId="0"/>
    <xf numFmtId="0" fontId="0" fillId="11" borderId="1" pivotButton="0" quotePrefix="0" xfId="0"/>
    <xf numFmtId="0" fontId="16" fillId="8" borderId="1" pivotButton="0" quotePrefix="0" xfId="0"/>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0006"/>
      </font>
    </dxf>
    <dxf>
      <font>
        <color rgb="009C0006"/>
      </font>
    </dxf>
    <dxf>
      <font>
        <color rgb="00C65911"/>
      </font>
    </dxf>
    <dxf>
      <font>
        <b val="1"/>
        <color rgb="00C659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ISMS-IMP-A.8.9.3  -  Monitoring
ISO/IEC 27001:2022 - Control A.8.9: Configuration Management</t>
        </is>
      </c>
    </row>
    <row r="3">
      <c r="A3" s="2" t="inlineStr">
        <is>
          <t>Document Information</t>
        </is>
      </c>
    </row>
    <row r="4">
      <c r="A4" s="3" t="inlineStr">
        <is>
          <t>Document ID</t>
        </is>
      </c>
      <c r="B4" t="inlineStr">
        <is>
          <t>ISMS-IMP-A.8.9.3</t>
        </is>
      </c>
    </row>
    <row r="5">
      <c r="A5" s="3" t="inlineStr">
        <is>
          <t>Workbook Title</t>
        </is>
      </c>
      <c r="B5" t="inlineStr">
        <is>
          <t>Monitoring</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sheetData>
    <row r="1">
      <c r="A1" s="11" t="inlineStr">
        <is>
          <t>Asset Type</t>
        </is>
      </c>
      <c r="B1" s="11" t="inlineStr">
        <is>
          <t>Asset Category</t>
        </is>
      </c>
    </row>
    <row r="2">
      <c r="A2" t="inlineStr">
        <is>
          <t>Physical Server</t>
        </is>
      </c>
      <c r="B2" t="inlineStr">
        <is>
          <t>Infrastructure</t>
        </is>
      </c>
    </row>
    <row r="3">
      <c r="A3" t="inlineStr">
        <is>
          <t>Virtual Machine</t>
        </is>
      </c>
      <c r="B3" t="inlineStr">
        <is>
          <t>Infrastructure</t>
        </is>
      </c>
    </row>
    <row r="4">
      <c r="A4" t="inlineStr">
        <is>
          <t>Hypervisor</t>
        </is>
      </c>
      <c r="B4" t="inlineStr">
        <is>
          <t>Infrastructure</t>
        </is>
      </c>
    </row>
    <row r="5">
      <c r="A5" t="inlineStr">
        <is>
          <t>Network Switch</t>
        </is>
      </c>
      <c r="B5" t="inlineStr">
        <is>
          <t>Infrastructure</t>
        </is>
      </c>
    </row>
    <row r="6">
      <c r="A6" t="inlineStr">
        <is>
          <t>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t>
        </is>
      </c>
      <c r="B9" t="inlineStr">
        <is>
          <t>Infrastructure</t>
        </is>
      </c>
    </row>
    <row r="10">
      <c r="A10" t="inlineStr">
        <is>
          <t>Backup Appliance</t>
        </is>
      </c>
      <c r="B10" t="inlineStr">
        <is>
          <t>Infrastructure</t>
        </is>
      </c>
    </row>
    <row r="11">
      <c r="A11" t="inlineStr">
        <is>
          <t>UPS</t>
        </is>
      </c>
      <c r="B11" t="inlineStr">
        <is>
          <t>Infrastructure</t>
        </is>
      </c>
    </row>
    <row r="12">
      <c r="A12" t="inlineStr">
        <is>
          <t>HVAC</t>
        </is>
      </c>
      <c r="B12" t="inlineStr">
        <is>
          <t>Infrastructure</t>
        </is>
      </c>
    </row>
    <row r="13">
      <c r="A13" t="inlineStr">
        <is>
          <t>Physical Security System</t>
        </is>
      </c>
      <c r="B13" t="inlineStr">
        <is>
          <t>Infrastructure</t>
        </is>
      </c>
    </row>
    <row r="14">
      <c r="A14" t="inlineStr">
        <is>
          <t>Desktop</t>
        </is>
      </c>
      <c r="B14" t="inlineStr">
        <is>
          <t>Endpoint</t>
        </is>
      </c>
    </row>
    <row r="15">
      <c r="A15" t="inlineStr">
        <is>
          <t>Laptop</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Kiosk/POS</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Server</t>
        </is>
      </c>
      <c r="B29" t="inlineStr">
        <is>
          <t>Applications</t>
        </is>
      </c>
    </row>
    <row r="30">
      <c r="A30" t="inlineStr">
        <is>
          <t>Middleware</t>
        </is>
      </c>
      <c r="B30" t="inlineStr">
        <is>
          <t>Applications</t>
        </is>
      </c>
    </row>
    <row r="31">
      <c r="A31" t="inlineStr">
        <is>
          <t>API Gateway</t>
        </is>
      </c>
      <c r="B31" t="inlineStr">
        <is>
          <t>Applications</t>
        </is>
      </c>
    </row>
    <row r="32">
      <c r="A32" t="inlineStr">
        <is>
          <t>Custom Developed Application</t>
        </is>
      </c>
      <c r="B32" t="inlineStr">
        <is>
          <t>Applications</t>
        </is>
      </c>
    </row>
    <row r="33">
      <c r="A33" t="inlineStr">
        <is>
          <t>COTS Application</t>
        </is>
      </c>
      <c r="B33" t="inlineStr">
        <is>
          <t>Applications</t>
        </is>
      </c>
    </row>
    <row r="34">
      <c r="A34" t="inlineStr">
        <is>
          <t>Open Source Application</t>
        </is>
      </c>
      <c r="B34" t="inlineStr">
        <is>
          <t>Applications</t>
        </is>
      </c>
    </row>
    <row r="35">
      <c r="A35" t="inlineStr">
        <is>
          <t>IaaS Resource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t>
        </is>
      </c>
      <c r="B41" t="inlineStr">
        <is>
          <t>IoT/OT</t>
        </is>
      </c>
    </row>
    <row r="42">
      <c r="A42" t="inlineStr">
        <is>
          <t>SCADA System</t>
        </is>
      </c>
      <c r="B42" t="inlineStr">
        <is>
          <t>IoT/OT</t>
        </is>
      </c>
    </row>
    <row r="43">
      <c r="A43" t="inlineStr">
        <is>
          <t>Building Management System</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5" customWidth="1" min="3" max="3"/>
    <col width="20" customWidth="1" min="4" max="4"/>
    <col width="15" customWidth="1" min="5" max="5"/>
    <col width="25" customWidth="1" min="6" max="6"/>
    <col width="18" customWidth="1" min="7" max="7"/>
    <col width="25" customWidth="1" min="8" max="8"/>
    <col width="30" customWidth="1" min="9" max="9"/>
    <col width="20" customWidth="1" min="10" max="10"/>
    <col width="25" customWidth="1" min="11" max="11"/>
    <col width="15" customWidth="1" min="12" max="12"/>
    <col width="35" customWidth="1" min="13" max="13"/>
    <col width="18" customWidth="1" min="14" max="14"/>
    <col width="40" customWidth="1" min="15" max="15"/>
    <col width="35" customWidth="1" min="16" max="16"/>
  </cols>
  <sheetData>
    <row r="1" ht="35" customHeight="1">
      <c r="A1" s="11" t="inlineStr">
        <is>
          <t>CONFIGURATION MONITORING COVERAGE REGISTER</t>
        </is>
      </c>
    </row>
    <row r="2">
      <c r="A2" s="12" t="inlineStr">
        <is>
          <t>Asset ID</t>
        </is>
      </c>
      <c r="B2" s="12" t="inlineStr">
        <is>
          <t>Asset Name</t>
        </is>
      </c>
      <c r="C2" s="12" t="inlineStr">
        <is>
          <t>Asset Type</t>
        </is>
      </c>
      <c r="D2" s="12" t="inlineStr">
        <is>
          <t>Asset Category</t>
        </is>
      </c>
      <c r="E2" s="12" t="inlineStr">
        <is>
          <t>Asset Criticality</t>
        </is>
      </c>
      <c r="F2" s="12" t="inlineStr">
        <is>
          <t>Monitoring Tier</t>
        </is>
      </c>
      <c r="G2" s="12" t="inlineStr">
        <is>
          <t>Monitoring Status</t>
        </is>
      </c>
      <c r="H2" s="12" t="inlineStr">
        <is>
          <t>Monitoring Method</t>
        </is>
      </c>
      <c r="I2" s="12" t="inlineStr">
        <is>
          <t>Monitoring Tool/System</t>
        </is>
      </c>
      <c r="J2" s="12" t="inlineStr">
        <is>
          <t>Check Frequency</t>
        </is>
      </c>
      <c r="K2" s="12" t="inlineStr">
        <is>
          <t>Baseline Reference</t>
        </is>
      </c>
      <c r="L2" s="12" t="inlineStr">
        <is>
          <t>Last Monitored Date</t>
        </is>
      </c>
      <c r="M2" s="12" t="inlineStr">
        <is>
          <t>Monitoring Configuration Location</t>
        </is>
      </c>
      <c r="N2" s="12" t="inlineStr">
        <is>
          <t>Coverage Compliance</t>
        </is>
      </c>
      <c r="O2" s="12" t="inlineStr">
        <is>
          <t>Gap Justification</t>
        </is>
      </c>
      <c r="P2" s="12" t="inlineStr">
        <is>
          <t>Notes</t>
        </is>
      </c>
    </row>
    <row r="4">
      <c r="A4" s="13" t="inlineStr">
        <is>
          <t>ASSET-001</t>
        </is>
      </c>
      <c r="B4" s="13" t="inlineStr">
        <is>
          <t>prod-web-01.company.com</t>
        </is>
      </c>
      <c r="C4" s="13" t="inlineStr">
        <is>
          <t>Physical Server</t>
        </is>
      </c>
      <c r="D4" s="13" t="inlineStr">
        <is>
          <t>Infrastructure</t>
        </is>
      </c>
      <c r="E4" s="13" t="inlineStr">
        <is>
          <t>Critical</t>
        </is>
      </c>
      <c r="F4" s="13" t="inlineStr">
        <is>
          <t>Tier 1 - Critical Assets</t>
        </is>
      </c>
      <c r="G4" s="13" t="inlineStr">
        <is>
          <t>✅ Monitored</t>
        </is>
      </c>
      <c r="H4" s="13" t="inlineStr">
        <is>
          <t>Automated Continuous</t>
        </is>
      </c>
      <c r="I4" s="13" t="inlineStr">
        <is>
          <t>CIS-CAT Pro Scanner</t>
        </is>
      </c>
      <c r="J4" s="13" t="inlineStr">
        <is>
          <t>Real-time (&lt;15 min)</t>
        </is>
      </c>
      <c r="K4" s="13" t="inlineStr">
        <is>
          <t>BL-001 Windows Server 2022 CIS v2.0</t>
        </is>
      </c>
      <c r="L4" s="13" t="inlineStr">
        <is>
          <t>20.01.2026</t>
        </is>
      </c>
      <c r="M4" s="13" t="inlineStr">
        <is>
          <t>/monitoring/agents/prod-web-01/config.xml</t>
        </is>
      </c>
      <c r="N4" s="13" t="inlineStr">
        <is>
          <t>Compliant</t>
        </is>
      </c>
      <c r="O4" s="13" t="inlineStr"/>
      <c r="P4" s="13" t="inlineStr">
        <is>
          <t>Tier 1 asset — requires continuous monitoring per policy</t>
        </is>
      </c>
    </row>
    <row r="5">
      <c r="A5" s="14" t="n"/>
      <c r="B5" s="14" t="n"/>
      <c r="C5" s="14" t="n"/>
      <c r="D5" s="13">
        <f>IFERROR(VLOOKUP(C5,'Lookup Tables'!$A$2:$B$44,2,FALSE),"")</f>
        <v/>
      </c>
      <c r="E5" s="14" t="n"/>
      <c r="F5" s="13">
        <f>IF(E5="Critical","Tier 1 - Critical Assets",IF(E5="High","Tier 2 - High Value Assets",IF(E5="Medium","Tier 3 - Standard Assets","Tier 4 - Low Risk Assets")))</f>
        <v/>
      </c>
      <c r="G5" s="14" t="n"/>
      <c r="H5" s="14" t="n"/>
      <c r="I5" s="14" t="n"/>
      <c r="J5" s="14" t="n"/>
      <c r="K5" s="14" t="n"/>
      <c r="L5" s="14" t="n"/>
      <c r="M5" s="14" t="n"/>
      <c r="N5" s="13">
        <f>IF(G5="Excluded","Excluded",IF(E5="Critical",IF(AND(G5="Monitored",OR(H5="Automated Continuous",H5="Hybrid")),"Compliant","Non-Compliant"),IF(E5="High",IF(G5="Monitored","Compliant",IF(G5="Partially Monitored","Partial","Non-Compliant")),IF(G5="Not Monitored","Non-Compliant","Compliant"))))</f>
        <v/>
      </c>
      <c r="O5" s="14" t="n"/>
      <c r="P5" s="14" t="n"/>
    </row>
    <row r="6">
      <c r="A6" s="14" t="n"/>
      <c r="B6" s="14" t="n"/>
      <c r="C6" s="14" t="n"/>
      <c r="D6" s="13">
        <f>IFERROR(VLOOKUP(C6,'Lookup Tables'!$A$2:$B$44,2,FALSE),"")</f>
        <v/>
      </c>
      <c r="E6" s="14" t="n"/>
      <c r="F6" s="13">
        <f>IF(E6="Critical","Tier 1 - Critical Assets",IF(E6="High","Tier 2 - High Value Assets",IF(E6="Medium","Tier 3 - Standard Assets","Tier 4 - Low Risk Assets")))</f>
        <v/>
      </c>
      <c r="G6" s="14" t="n"/>
      <c r="H6" s="14" t="n"/>
      <c r="I6" s="14" t="n"/>
      <c r="J6" s="14" t="n"/>
      <c r="K6" s="14" t="n"/>
      <c r="L6" s="14" t="n"/>
      <c r="M6" s="14" t="n"/>
      <c r="N6" s="13">
        <f>IF(G6="Excluded","Excluded",IF(E6="Critical",IF(AND(G6="Monitored",OR(H6="Automated Continuous",H6="Hybrid")),"Compliant","Non-Compliant"),IF(E6="High",IF(G6="Monitored","Compliant",IF(G6="Partially Monitored","Partial","Non-Compliant")),IF(G6="Not Monitored","Non-Compliant","Compliant"))))</f>
        <v/>
      </c>
      <c r="O6" s="14" t="n"/>
      <c r="P6" s="14" t="n"/>
    </row>
    <row r="7">
      <c r="A7" s="14" t="n"/>
      <c r="B7" s="14" t="n"/>
      <c r="C7" s="14" t="n"/>
      <c r="D7" s="13">
        <f>IFERROR(VLOOKUP(C7,'Lookup Tables'!$A$2:$B$44,2,FALSE),"")</f>
        <v/>
      </c>
      <c r="E7" s="14" t="n"/>
      <c r="F7" s="13">
        <f>IF(E7="Critical","Tier 1 - Critical Assets",IF(E7="High","Tier 2 - High Value Assets",IF(E7="Medium","Tier 3 - Standard Assets","Tier 4 - Low Risk Assets")))</f>
        <v/>
      </c>
      <c r="G7" s="14" t="n"/>
      <c r="H7" s="14" t="n"/>
      <c r="I7" s="14" t="n"/>
      <c r="J7" s="14" t="n"/>
      <c r="K7" s="14" t="n"/>
      <c r="L7" s="14" t="n"/>
      <c r="M7" s="14" t="n"/>
      <c r="N7" s="13">
        <f>IF(G7="Excluded","Excluded",IF(E7="Critical",IF(AND(G7="Monitored",OR(H7="Automated Continuous",H7="Hybrid")),"Compliant","Non-Compliant"),IF(E7="High",IF(G7="Monitored","Compliant",IF(G7="Partially Monitored","Partial","Non-Compliant")),IF(G7="Not Monitored","Non-Compliant","Compliant"))))</f>
        <v/>
      </c>
      <c r="O7" s="14" t="n"/>
      <c r="P7" s="14" t="n"/>
    </row>
    <row r="8">
      <c r="A8" s="14" t="n"/>
      <c r="B8" s="14" t="n"/>
      <c r="C8" s="14" t="n"/>
      <c r="D8" s="13">
        <f>IFERROR(VLOOKUP(C8,'Lookup Tables'!$A$2:$B$44,2,FALSE),"")</f>
        <v/>
      </c>
      <c r="E8" s="14" t="n"/>
      <c r="F8" s="13">
        <f>IF(E8="Critical","Tier 1 - Critical Assets",IF(E8="High","Tier 2 - High Value Assets",IF(E8="Medium","Tier 3 - Standard Assets","Tier 4 - Low Risk Assets")))</f>
        <v/>
      </c>
      <c r="G8" s="14" t="n"/>
      <c r="H8" s="14" t="n"/>
      <c r="I8" s="14" t="n"/>
      <c r="J8" s="14" t="n"/>
      <c r="K8" s="14" t="n"/>
      <c r="L8" s="14" t="n"/>
      <c r="M8" s="14" t="n"/>
      <c r="N8" s="13">
        <f>IF(G8="Excluded","Excluded",IF(E8="Critical",IF(AND(G8="Monitored",OR(H8="Automated Continuous",H8="Hybrid")),"Compliant","Non-Compliant"),IF(E8="High",IF(G8="Monitored","Compliant",IF(G8="Partially Monitored","Partial","Non-Compliant")),IF(G8="Not Monitored","Non-Compliant","Compliant"))))</f>
        <v/>
      </c>
      <c r="O8" s="14" t="n"/>
      <c r="P8" s="14" t="n"/>
    </row>
    <row r="9">
      <c r="A9" s="14" t="n"/>
      <c r="B9" s="14" t="n"/>
      <c r="C9" s="14" t="n"/>
      <c r="D9" s="13">
        <f>IFERROR(VLOOKUP(C9,'Lookup Tables'!$A$2:$B$44,2,FALSE),"")</f>
        <v/>
      </c>
      <c r="E9" s="14" t="n"/>
      <c r="F9" s="13">
        <f>IF(E9="Critical","Tier 1 - Critical Assets",IF(E9="High","Tier 2 - High Value Assets",IF(E9="Medium","Tier 3 - Standard Assets","Tier 4 - Low Risk Assets")))</f>
        <v/>
      </c>
      <c r="G9" s="14" t="n"/>
      <c r="H9" s="14" t="n"/>
      <c r="I9" s="14" t="n"/>
      <c r="J9" s="14" t="n"/>
      <c r="K9" s="14" t="n"/>
      <c r="L9" s="14" t="n"/>
      <c r="M9" s="14" t="n"/>
      <c r="N9" s="13">
        <f>IF(G9="Excluded","Excluded",IF(E9="Critical",IF(AND(G9="Monitored",OR(H9="Automated Continuous",H9="Hybrid")),"Compliant","Non-Compliant"),IF(E9="High",IF(G9="Monitored","Compliant",IF(G9="Partially Monitored","Partial","Non-Compliant")),IF(G9="Not Monitored","Non-Compliant","Compliant"))))</f>
        <v/>
      </c>
      <c r="O9" s="14" t="n"/>
      <c r="P9" s="14" t="n"/>
    </row>
    <row r="10">
      <c r="A10" s="14" t="n"/>
      <c r="B10" s="14" t="n"/>
      <c r="C10" s="14" t="n"/>
      <c r="D10" s="13">
        <f>IFERROR(VLOOKUP(C10,'Lookup Tables'!$A$2:$B$44,2,FALSE),"")</f>
        <v/>
      </c>
      <c r="E10" s="14" t="n"/>
      <c r="F10" s="13">
        <f>IF(E10="Critical","Tier 1 - Critical Assets",IF(E10="High","Tier 2 - High Value Assets",IF(E10="Medium","Tier 3 - Standard Assets","Tier 4 - Low Risk Assets")))</f>
        <v/>
      </c>
      <c r="G10" s="14" t="n"/>
      <c r="H10" s="14" t="n"/>
      <c r="I10" s="14" t="n"/>
      <c r="J10" s="14" t="n"/>
      <c r="K10" s="14" t="n"/>
      <c r="L10" s="14" t="n"/>
      <c r="M10" s="14" t="n"/>
      <c r="N10" s="13">
        <f>IF(G10="Excluded","Excluded",IF(E10="Critical",IF(AND(G10="Monitored",OR(H10="Automated Continuous",H10="Hybrid")),"Compliant","Non-Compliant"),IF(E10="High",IF(G10="Monitored","Compliant",IF(G10="Partially Monitored","Partial","Non-Compliant")),IF(G10="Not Monitored","Non-Compliant","Compliant"))))</f>
        <v/>
      </c>
      <c r="O10" s="14" t="n"/>
      <c r="P10" s="14" t="n"/>
    </row>
    <row r="11">
      <c r="A11" s="14" t="n"/>
      <c r="B11" s="14" t="n"/>
      <c r="C11" s="14" t="n"/>
      <c r="D11" s="13">
        <f>IFERROR(VLOOKUP(C11,'Lookup Tables'!$A$2:$B$44,2,FALSE),"")</f>
        <v/>
      </c>
      <c r="E11" s="14" t="n"/>
      <c r="F11" s="13">
        <f>IF(E11="Critical","Tier 1 - Critical Assets",IF(E11="High","Tier 2 - High Value Assets",IF(E11="Medium","Tier 3 - Standard Assets","Tier 4 - Low Risk Assets")))</f>
        <v/>
      </c>
      <c r="G11" s="14" t="n"/>
      <c r="H11" s="14" t="n"/>
      <c r="I11" s="14" t="n"/>
      <c r="J11" s="14" t="n"/>
      <c r="K11" s="14" t="n"/>
      <c r="L11" s="14" t="n"/>
      <c r="M11" s="14" t="n"/>
      <c r="N11" s="13">
        <f>IF(G11="Excluded","Excluded",IF(E11="Critical",IF(AND(G11="Monitored",OR(H11="Automated Continuous",H11="Hybrid")),"Compliant","Non-Compliant"),IF(E11="High",IF(G11="Monitored","Compliant",IF(G11="Partially Monitored","Partial","Non-Compliant")),IF(G11="Not Monitored","Non-Compliant","Compliant"))))</f>
        <v/>
      </c>
      <c r="O11" s="14" t="n"/>
      <c r="P11" s="14" t="n"/>
    </row>
    <row r="12">
      <c r="A12" s="14" t="n"/>
      <c r="B12" s="14" t="n"/>
      <c r="C12" s="14" t="n"/>
      <c r="D12" s="13">
        <f>IFERROR(VLOOKUP(C12,'Lookup Tables'!$A$2:$B$44,2,FALSE),"")</f>
        <v/>
      </c>
      <c r="E12" s="14" t="n"/>
      <c r="F12" s="13">
        <f>IF(E12="Critical","Tier 1 - Critical Assets",IF(E12="High","Tier 2 - High Value Assets",IF(E12="Medium","Tier 3 - Standard Assets","Tier 4 - Low Risk Assets")))</f>
        <v/>
      </c>
      <c r="G12" s="14" t="n"/>
      <c r="H12" s="14" t="n"/>
      <c r="I12" s="14" t="n"/>
      <c r="J12" s="14" t="n"/>
      <c r="K12" s="14" t="n"/>
      <c r="L12" s="14" t="n"/>
      <c r="M12" s="14" t="n"/>
      <c r="N12" s="13">
        <f>IF(G12="Excluded","Excluded",IF(E12="Critical",IF(AND(G12="Monitored",OR(H12="Automated Continuous",H12="Hybrid")),"Compliant","Non-Compliant"),IF(E12="High",IF(G12="Monitored","Compliant",IF(G12="Partially Monitored","Partial","Non-Compliant")),IF(G12="Not Monitored","Non-Compliant","Compliant"))))</f>
        <v/>
      </c>
      <c r="O12" s="14" t="n"/>
      <c r="P12" s="14" t="n"/>
    </row>
    <row r="13">
      <c r="A13" s="14" t="n"/>
      <c r="B13" s="14" t="n"/>
      <c r="C13" s="14" t="n"/>
      <c r="D13" s="13">
        <f>IFERROR(VLOOKUP(C13,'Lookup Tables'!$A$2:$B$44,2,FALSE),"")</f>
        <v/>
      </c>
      <c r="E13" s="14" t="n"/>
      <c r="F13" s="13">
        <f>IF(E13="Critical","Tier 1 - Critical Assets",IF(E13="High","Tier 2 - High Value Assets",IF(E13="Medium","Tier 3 - Standard Assets","Tier 4 - Low Risk Assets")))</f>
        <v/>
      </c>
      <c r="G13" s="14" t="n"/>
      <c r="H13" s="14" t="n"/>
      <c r="I13" s="14" t="n"/>
      <c r="J13" s="14" t="n"/>
      <c r="K13" s="14" t="n"/>
      <c r="L13" s="14" t="n"/>
      <c r="M13" s="14" t="n"/>
      <c r="N13" s="13">
        <f>IF(G13="Excluded","Excluded",IF(E13="Critical",IF(AND(G13="Monitored",OR(H13="Automated Continuous",H13="Hybrid")),"Compliant","Non-Compliant"),IF(E13="High",IF(G13="Monitored","Compliant",IF(G13="Partially Monitored","Partial","Non-Compliant")),IF(G13="Not Monitored","Non-Compliant","Compliant"))))</f>
        <v/>
      </c>
      <c r="O13" s="14" t="n"/>
      <c r="P13" s="14" t="n"/>
    </row>
    <row r="14">
      <c r="A14" s="14" t="n"/>
      <c r="B14" s="14" t="n"/>
      <c r="C14" s="14" t="n"/>
      <c r="D14" s="13">
        <f>IFERROR(VLOOKUP(C14,'Lookup Tables'!$A$2:$B$44,2,FALSE),"")</f>
        <v/>
      </c>
      <c r="E14" s="14" t="n"/>
      <c r="F14" s="13">
        <f>IF(E14="Critical","Tier 1 - Critical Assets",IF(E14="High","Tier 2 - High Value Assets",IF(E14="Medium","Tier 3 - Standard Assets","Tier 4 - Low Risk Assets")))</f>
        <v/>
      </c>
      <c r="G14" s="14" t="n"/>
      <c r="H14" s="14" t="n"/>
      <c r="I14" s="14" t="n"/>
      <c r="J14" s="14" t="n"/>
      <c r="K14" s="14" t="n"/>
      <c r="L14" s="14" t="n"/>
      <c r="M14" s="14" t="n"/>
      <c r="N14" s="13">
        <f>IF(G14="Excluded","Excluded",IF(E14="Critical",IF(AND(G14="Monitored",OR(H14="Automated Continuous",H14="Hybrid")),"Compliant","Non-Compliant"),IF(E14="High",IF(G14="Monitored","Compliant",IF(G14="Partially Monitored","Partial","Non-Compliant")),IF(G14="Not Monitored","Non-Compliant","Compliant"))))</f>
        <v/>
      </c>
      <c r="O14" s="14" t="n"/>
      <c r="P14" s="14" t="n"/>
    </row>
    <row r="15">
      <c r="A15" s="14" t="n"/>
      <c r="B15" s="14" t="n"/>
      <c r="C15" s="14" t="n"/>
      <c r="D15" s="13">
        <f>IFERROR(VLOOKUP(C15,'Lookup Tables'!$A$2:$B$44,2,FALSE),"")</f>
        <v/>
      </c>
      <c r="E15" s="14" t="n"/>
      <c r="F15" s="13">
        <f>IF(E15="Critical","Tier 1 - Critical Assets",IF(E15="High","Tier 2 - High Value Assets",IF(E15="Medium","Tier 3 - Standard Assets","Tier 4 - Low Risk Assets")))</f>
        <v/>
      </c>
      <c r="G15" s="14" t="n"/>
      <c r="H15" s="14" t="n"/>
      <c r="I15" s="14" t="n"/>
      <c r="J15" s="14" t="n"/>
      <c r="K15" s="14" t="n"/>
      <c r="L15" s="14" t="n"/>
      <c r="M15" s="14" t="n"/>
      <c r="N15" s="13">
        <f>IF(G15="Excluded","Excluded",IF(E15="Critical",IF(AND(G15="Monitored",OR(H15="Automated Continuous",H15="Hybrid")),"Compliant","Non-Compliant"),IF(E15="High",IF(G15="Monitored","Compliant",IF(G15="Partially Monitored","Partial","Non-Compliant")),IF(G15="Not Monitored","Non-Compliant","Compliant"))))</f>
        <v/>
      </c>
      <c r="O15" s="14" t="n"/>
      <c r="P15" s="14" t="n"/>
    </row>
    <row r="16">
      <c r="A16" s="14" t="n"/>
      <c r="B16" s="14" t="n"/>
      <c r="C16" s="14" t="n"/>
      <c r="D16" s="13">
        <f>IFERROR(VLOOKUP(C16,'Lookup Tables'!$A$2:$B$44,2,FALSE),"")</f>
        <v/>
      </c>
      <c r="E16" s="14" t="n"/>
      <c r="F16" s="13">
        <f>IF(E16="Critical","Tier 1 - Critical Assets",IF(E16="High","Tier 2 - High Value Assets",IF(E16="Medium","Tier 3 - Standard Assets","Tier 4 - Low Risk Assets")))</f>
        <v/>
      </c>
      <c r="G16" s="14" t="n"/>
      <c r="H16" s="14" t="n"/>
      <c r="I16" s="14" t="n"/>
      <c r="J16" s="14" t="n"/>
      <c r="K16" s="14" t="n"/>
      <c r="L16" s="14" t="n"/>
      <c r="M16" s="14" t="n"/>
      <c r="N16" s="13">
        <f>IF(G16="Excluded","Excluded",IF(E16="Critical",IF(AND(G16="Monitored",OR(H16="Automated Continuous",H16="Hybrid")),"Compliant","Non-Compliant"),IF(E16="High",IF(G16="Monitored","Compliant",IF(G16="Partially Monitored","Partial","Non-Compliant")),IF(G16="Not Monitored","Non-Compliant","Compliant"))))</f>
        <v/>
      </c>
      <c r="O16" s="14" t="n"/>
      <c r="P16" s="14" t="n"/>
    </row>
    <row r="17">
      <c r="A17" s="14" t="n"/>
      <c r="B17" s="14" t="n"/>
      <c r="C17" s="14" t="n"/>
      <c r="D17" s="13">
        <f>IFERROR(VLOOKUP(C17,'Lookup Tables'!$A$2:$B$44,2,FALSE),"")</f>
        <v/>
      </c>
      <c r="E17" s="14" t="n"/>
      <c r="F17" s="13">
        <f>IF(E17="Critical","Tier 1 - Critical Assets",IF(E17="High","Tier 2 - High Value Assets",IF(E17="Medium","Tier 3 - Standard Assets","Tier 4 - Low Risk Assets")))</f>
        <v/>
      </c>
      <c r="G17" s="14" t="n"/>
      <c r="H17" s="14" t="n"/>
      <c r="I17" s="14" t="n"/>
      <c r="J17" s="14" t="n"/>
      <c r="K17" s="14" t="n"/>
      <c r="L17" s="14" t="n"/>
      <c r="M17" s="14" t="n"/>
      <c r="N17" s="13">
        <f>IF(G17="Excluded","Excluded",IF(E17="Critical",IF(AND(G17="Monitored",OR(H17="Automated Continuous",H17="Hybrid")),"Compliant","Non-Compliant"),IF(E17="High",IF(G17="Monitored","Compliant",IF(G17="Partially Monitored","Partial","Non-Compliant")),IF(G17="Not Monitored","Non-Compliant","Compliant"))))</f>
        <v/>
      </c>
      <c r="O17" s="14" t="n"/>
      <c r="P17" s="14" t="n"/>
    </row>
    <row r="18">
      <c r="A18" s="14" t="n"/>
      <c r="B18" s="14" t="n"/>
      <c r="C18" s="14" t="n"/>
      <c r="D18" s="13">
        <f>IFERROR(VLOOKUP(C18,'Lookup Tables'!$A$2:$B$44,2,FALSE),"")</f>
        <v/>
      </c>
      <c r="E18" s="14" t="n"/>
      <c r="F18" s="13">
        <f>IF(E18="Critical","Tier 1 - Critical Assets",IF(E18="High","Tier 2 - High Value Assets",IF(E18="Medium","Tier 3 - Standard Assets","Tier 4 - Low Risk Assets")))</f>
        <v/>
      </c>
      <c r="G18" s="14" t="n"/>
      <c r="H18" s="14" t="n"/>
      <c r="I18" s="14" t="n"/>
      <c r="J18" s="14" t="n"/>
      <c r="K18" s="14" t="n"/>
      <c r="L18" s="14" t="n"/>
      <c r="M18" s="14" t="n"/>
      <c r="N18" s="13">
        <f>IF(G18="Excluded","Excluded",IF(E18="Critical",IF(AND(G18="Monitored",OR(H18="Automated Continuous",H18="Hybrid")),"Compliant","Non-Compliant"),IF(E18="High",IF(G18="Monitored","Compliant",IF(G18="Partially Monitored","Partial","Non-Compliant")),IF(G18="Not Monitored","Non-Compliant","Compliant"))))</f>
        <v/>
      </c>
      <c r="O18" s="14" t="n"/>
      <c r="P18" s="14" t="n"/>
    </row>
    <row r="19">
      <c r="A19" s="14" t="n"/>
      <c r="B19" s="14" t="n"/>
      <c r="C19" s="14" t="n"/>
      <c r="D19" s="13">
        <f>IFERROR(VLOOKUP(C19,'Lookup Tables'!$A$2:$B$44,2,FALSE),"")</f>
        <v/>
      </c>
      <c r="E19" s="14" t="n"/>
      <c r="F19" s="13">
        <f>IF(E19="Critical","Tier 1 - Critical Assets",IF(E19="High","Tier 2 - High Value Assets",IF(E19="Medium","Tier 3 - Standard Assets","Tier 4 - Low Risk Assets")))</f>
        <v/>
      </c>
      <c r="G19" s="14" t="n"/>
      <c r="H19" s="14" t="n"/>
      <c r="I19" s="14" t="n"/>
      <c r="J19" s="14" t="n"/>
      <c r="K19" s="14" t="n"/>
      <c r="L19" s="14" t="n"/>
      <c r="M19" s="14" t="n"/>
      <c r="N19" s="13">
        <f>IF(G19="Excluded","Excluded",IF(E19="Critical",IF(AND(G19="Monitored",OR(H19="Automated Continuous",H19="Hybrid")),"Compliant","Non-Compliant"),IF(E19="High",IF(G19="Monitored","Compliant",IF(G19="Partially Monitored","Partial","Non-Compliant")),IF(G19="Not Monitored","Non-Compliant","Compliant"))))</f>
        <v/>
      </c>
      <c r="O19" s="14" t="n"/>
      <c r="P19" s="14" t="n"/>
    </row>
    <row r="20">
      <c r="A20" s="14" t="n"/>
      <c r="B20" s="14" t="n"/>
      <c r="C20" s="14" t="n"/>
      <c r="D20" s="13">
        <f>IFERROR(VLOOKUP(C20,'Lookup Tables'!$A$2:$B$44,2,FALSE),"")</f>
        <v/>
      </c>
      <c r="E20" s="14" t="n"/>
      <c r="F20" s="13">
        <f>IF(E20="Critical","Tier 1 - Critical Assets",IF(E20="High","Tier 2 - High Value Assets",IF(E20="Medium","Tier 3 - Standard Assets","Tier 4 - Low Risk Assets")))</f>
        <v/>
      </c>
      <c r="G20" s="14" t="n"/>
      <c r="H20" s="14" t="n"/>
      <c r="I20" s="14" t="n"/>
      <c r="J20" s="14" t="n"/>
      <c r="K20" s="14" t="n"/>
      <c r="L20" s="14" t="n"/>
      <c r="M20" s="14" t="n"/>
      <c r="N20" s="13">
        <f>IF(G20="Excluded","Excluded",IF(E20="Critical",IF(AND(G20="Monitored",OR(H20="Automated Continuous",H20="Hybrid")),"Compliant","Non-Compliant"),IF(E20="High",IF(G20="Monitored","Compliant",IF(G20="Partially Monitored","Partial","Non-Compliant")),IF(G20="Not Monitored","Non-Compliant","Compliant"))))</f>
        <v/>
      </c>
      <c r="O20" s="14" t="n"/>
      <c r="P20" s="14" t="n"/>
    </row>
    <row r="21">
      <c r="A21" s="14" t="n"/>
      <c r="B21" s="14" t="n"/>
      <c r="C21" s="14" t="n"/>
      <c r="D21" s="13">
        <f>IFERROR(VLOOKUP(C21,'Lookup Tables'!$A$2:$B$44,2,FALSE),"")</f>
        <v/>
      </c>
      <c r="E21" s="14" t="n"/>
      <c r="F21" s="13">
        <f>IF(E21="Critical","Tier 1 - Critical Assets",IF(E21="High","Tier 2 - High Value Assets",IF(E21="Medium","Tier 3 - Standard Assets","Tier 4 - Low Risk Assets")))</f>
        <v/>
      </c>
      <c r="G21" s="14" t="n"/>
      <c r="H21" s="14" t="n"/>
      <c r="I21" s="14" t="n"/>
      <c r="J21" s="14" t="n"/>
      <c r="K21" s="14" t="n"/>
      <c r="L21" s="14" t="n"/>
      <c r="M21" s="14" t="n"/>
      <c r="N21" s="13">
        <f>IF(G21="Excluded","Excluded",IF(E21="Critical",IF(AND(G21="Monitored",OR(H21="Automated Continuous",H21="Hybrid")),"Compliant","Non-Compliant"),IF(E21="High",IF(G21="Monitored","Compliant",IF(G21="Partially Monitored","Partial","Non-Compliant")),IF(G21="Not Monitored","Non-Compliant","Compliant"))))</f>
        <v/>
      </c>
      <c r="O21" s="14" t="n"/>
      <c r="P21" s="14" t="n"/>
    </row>
    <row r="22">
      <c r="A22" s="14" t="n"/>
      <c r="B22" s="14" t="n"/>
      <c r="C22" s="14" t="n"/>
      <c r="D22" s="13">
        <f>IFERROR(VLOOKUP(C22,'Lookup Tables'!$A$2:$B$44,2,FALSE),"")</f>
        <v/>
      </c>
      <c r="E22" s="14" t="n"/>
      <c r="F22" s="13">
        <f>IF(E22="Critical","Tier 1 - Critical Assets",IF(E22="High","Tier 2 - High Value Assets",IF(E22="Medium","Tier 3 - Standard Assets","Tier 4 - Low Risk Assets")))</f>
        <v/>
      </c>
      <c r="G22" s="14" t="n"/>
      <c r="H22" s="14" t="n"/>
      <c r="I22" s="14" t="n"/>
      <c r="J22" s="14" t="n"/>
      <c r="K22" s="14" t="n"/>
      <c r="L22" s="14" t="n"/>
      <c r="M22" s="14" t="n"/>
      <c r="N22" s="13">
        <f>IF(G22="Excluded","Excluded",IF(E22="Critical",IF(AND(G22="Monitored",OR(H22="Automated Continuous",H22="Hybrid")),"Compliant","Non-Compliant"),IF(E22="High",IF(G22="Monitored","Compliant",IF(G22="Partially Monitored","Partial","Non-Compliant")),IF(G22="Not Monitored","Non-Compliant","Compliant"))))</f>
        <v/>
      </c>
      <c r="O22" s="14" t="n"/>
      <c r="P22" s="14" t="n"/>
    </row>
    <row r="23">
      <c r="A23" s="14" t="n"/>
      <c r="B23" s="14" t="n"/>
      <c r="C23" s="14" t="n"/>
      <c r="D23" s="13">
        <f>IFERROR(VLOOKUP(C23,'Lookup Tables'!$A$2:$B$44,2,FALSE),"")</f>
        <v/>
      </c>
      <c r="E23" s="14" t="n"/>
      <c r="F23" s="13">
        <f>IF(E23="Critical","Tier 1 - Critical Assets",IF(E23="High","Tier 2 - High Value Assets",IF(E23="Medium","Tier 3 - Standard Assets","Tier 4 - Low Risk Assets")))</f>
        <v/>
      </c>
      <c r="G23" s="14" t="n"/>
      <c r="H23" s="14" t="n"/>
      <c r="I23" s="14" t="n"/>
      <c r="J23" s="14" t="n"/>
      <c r="K23" s="14" t="n"/>
      <c r="L23" s="14" t="n"/>
      <c r="M23" s="14" t="n"/>
      <c r="N23" s="13">
        <f>IF(G23="Excluded","Excluded",IF(E23="Critical",IF(AND(G23="Monitored",OR(H23="Automated Continuous",H23="Hybrid")),"Compliant","Non-Compliant"),IF(E23="High",IF(G23="Monitored","Compliant",IF(G23="Partially Monitored","Partial","Non-Compliant")),IF(G23="Not Monitored","Non-Compliant","Compliant"))))</f>
        <v/>
      </c>
      <c r="O23" s="14" t="n"/>
      <c r="P23" s="14" t="n"/>
    </row>
    <row r="24">
      <c r="A24" s="14" t="n"/>
      <c r="B24" s="14" t="n"/>
      <c r="C24" s="14" t="n"/>
      <c r="D24" s="13">
        <f>IFERROR(VLOOKUP(C24,'Lookup Tables'!$A$2:$B$44,2,FALSE),"")</f>
        <v/>
      </c>
      <c r="E24" s="14" t="n"/>
      <c r="F24" s="13">
        <f>IF(E24="Critical","Tier 1 - Critical Assets",IF(E24="High","Tier 2 - High Value Assets",IF(E24="Medium","Tier 3 - Standard Assets","Tier 4 - Low Risk Assets")))</f>
        <v/>
      </c>
      <c r="G24" s="14" t="n"/>
      <c r="H24" s="14" t="n"/>
      <c r="I24" s="14" t="n"/>
      <c r="J24" s="14" t="n"/>
      <c r="K24" s="14" t="n"/>
      <c r="L24" s="14" t="n"/>
      <c r="M24" s="14" t="n"/>
      <c r="N24" s="13">
        <f>IF(G24="Excluded","Excluded",IF(E24="Critical",IF(AND(G24="Monitored",OR(H24="Automated Continuous",H24="Hybrid")),"Compliant","Non-Compliant"),IF(E24="High",IF(G24="Monitored","Compliant",IF(G24="Partially Monitored","Partial","Non-Compliant")),IF(G24="Not Monitored","Non-Compliant","Compliant"))))</f>
        <v/>
      </c>
      <c r="O24" s="14" t="n"/>
      <c r="P24" s="14" t="n"/>
    </row>
    <row r="25">
      <c r="A25" s="14" t="n"/>
      <c r="B25" s="14" t="n"/>
      <c r="C25" s="14" t="n"/>
      <c r="D25" s="13">
        <f>IFERROR(VLOOKUP(C25,'Lookup Tables'!$A$2:$B$44,2,FALSE),"")</f>
        <v/>
      </c>
      <c r="E25" s="14" t="n"/>
      <c r="F25" s="13">
        <f>IF(E25="Critical","Tier 1 - Critical Assets",IF(E25="High","Tier 2 - High Value Assets",IF(E25="Medium","Tier 3 - Standard Assets","Tier 4 - Low Risk Assets")))</f>
        <v/>
      </c>
      <c r="G25" s="14" t="n"/>
      <c r="H25" s="14" t="n"/>
      <c r="I25" s="14" t="n"/>
      <c r="J25" s="14" t="n"/>
      <c r="K25" s="14" t="n"/>
      <c r="L25" s="14" t="n"/>
      <c r="M25" s="14" t="n"/>
      <c r="N25" s="13">
        <f>IF(G25="Excluded","Excluded",IF(E25="Critical",IF(AND(G25="Monitored",OR(H25="Automated Continuous",H25="Hybrid")),"Compliant","Non-Compliant"),IF(E25="High",IF(G25="Monitored","Compliant",IF(G25="Partially Monitored","Partial","Non-Compliant")),IF(G25="Not Monitored","Non-Compliant","Compliant"))))</f>
        <v/>
      </c>
      <c r="O25" s="14" t="n"/>
      <c r="P25" s="14" t="n"/>
    </row>
    <row r="26">
      <c r="A26" s="14" t="n"/>
      <c r="B26" s="14" t="n"/>
      <c r="C26" s="14" t="n"/>
      <c r="D26" s="13">
        <f>IFERROR(VLOOKUP(C26,'Lookup Tables'!$A$2:$B$44,2,FALSE),"")</f>
        <v/>
      </c>
      <c r="E26" s="14" t="n"/>
      <c r="F26" s="13">
        <f>IF(E26="Critical","Tier 1 - Critical Assets",IF(E26="High","Tier 2 - High Value Assets",IF(E26="Medium","Tier 3 - Standard Assets","Tier 4 - Low Risk Assets")))</f>
        <v/>
      </c>
      <c r="G26" s="14" t="n"/>
      <c r="H26" s="14" t="n"/>
      <c r="I26" s="14" t="n"/>
      <c r="J26" s="14" t="n"/>
      <c r="K26" s="14" t="n"/>
      <c r="L26" s="14" t="n"/>
      <c r="M26" s="14" t="n"/>
      <c r="N26" s="13">
        <f>IF(G26="Excluded","Excluded",IF(E26="Critical",IF(AND(G26="Monitored",OR(H26="Automated Continuous",H26="Hybrid")),"Compliant","Non-Compliant"),IF(E26="High",IF(G26="Monitored","Compliant",IF(G26="Partially Monitored","Partial","Non-Compliant")),IF(G26="Not Monitored","Non-Compliant","Compliant"))))</f>
        <v/>
      </c>
      <c r="O26" s="14" t="n"/>
      <c r="P26" s="14" t="n"/>
    </row>
    <row r="27">
      <c r="A27" s="14" t="n"/>
      <c r="B27" s="14" t="n"/>
      <c r="C27" s="14" t="n"/>
      <c r="D27" s="13">
        <f>IFERROR(VLOOKUP(C27,'Lookup Tables'!$A$2:$B$44,2,FALSE),"")</f>
        <v/>
      </c>
      <c r="E27" s="14" t="n"/>
      <c r="F27" s="13">
        <f>IF(E27="Critical","Tier 1 - Critical Assets",IF(E27="High","Tier 2 - High Value Assets",IF(E27="Medium","Tier 3 - Standard Assets","Tier 4 - Low Risk Assets")))</f>
        <v/>
      </c>
      <c r="G27" s="14" t="n"/>
      <c r="H27" s="14" t="n"/>
      <c r="I27" s="14" t="n"/>
      <c r="J27" s="14" t="n"/>
      <c r="K27" s="14" t="n"/>
      <c r="L27" s="14" t="n"/>
      <c r="M27" s="14" t="n"/>
      <c r="N27" s="13">
        <f>IF(G27="Excluded","Excluded",IF(E27="Critical",IF(AND(G27="Monitored",OR(H27="Automated Continuous",H27="Hybrid")),"Compliant","Non-Compliant"),IF(E27="High",IF(G27="Monitored","Compliant",IF(G27="Partially Monitored","Partial","Non-Compliant")),IF(G27="Not Monitored","Non-Compliant","Compliant"))))</f>
        <v/>
      </c>
      <c r="O27" s="14" t="n"/>
      <c r="P27" s="14" t="n"/>
    </row>
    <row r="28">
      <c r="A28" s="14" t="n"/>
      <c r="B28" s="14" t="n"/>
      <c r="C28" s="14" t="n"/>
      <c r="D28" s="13">
        <f>IFERROR(VLOOKUP(C28,'Lookup Tables'!$A$2:$B$44,2,FALSE),"")</f>
        <v/>
      </c>
      <c r="E28" s="14" t="n"/>
      <c r="F28" s="13">
        <f>IF(E28="Critical","Tier 1 - Critical Assets",IF(E28="High","Tier 2 - High Value Assets",IF(E28="Medium","Tier 3 - Standard Assets","Tier 4 - Low Risk Assets")))</f>
        <v/>
      </c>
      <c r="G28" s="14" t="n"/>
      <c r="H28" s="14" t="n"/>
      <c r="I28" s="14" t="n"/>
      <c r="J28" s="14" t="n"/>
      <c r="K28" s="14" t="n"/>
      <c r="L28" s="14" t="n"/>
      <c r="M28" s="14" t="n"/>
      <c r="N28" s="13">
        <f>IF(G28="Excluded","Excluded",IF(E28="Critical",IF(AND(G28="Monitored",OR(H28="Automated Continuous",H28="Hybrid")),"Compliant","Non-Compliant"),IF(E28="High",IF(G28="Monitored","Compliant",IF(G28="Partially Monitored","Partial","Non-Compliant")),IF(G28="Not Monitored","Non-Compliant","Compliant"))))</f>
        <v/>
      </c>
      <c r="O28" s="14" t="n"/>
      <c r="P28" s="14" t="n"/>
    </row>
    <row r="29">
      <c r="A29" s="14" t="n"/>
      <c r="B29" s="14" t="n"/>
      <c r="C29" s="14" t="n"/>
      <c r="D29" s="13">
        <f>IFERROR(VLOOKUP(C29,'Lookup Tables'!$A$2:$B$44,2,FALSE),"")</f>
        <v/>
      </c>
      <c r="E29" s="14" t="n"/>
      <c r="F29" s="13">
        <f>IF(E29="Critical","Tier 1 - Critical Assets",IF(E29="High","Tier 2 - High Value Assets",IF(E29="Medium","Tier 3 - Standard Assets","Tier 4 - Low Risk Assets")))</f>
        <v/>
      </c>
      <c r="G29" s="14" t="n"/>
      <c r="H29" s="14" t="n"/>
      <c r="I29" s="14" t="n"/>
      <c r="J29" s="14" t="n"/>
      <c r="K29" s="14" t="n"/>
      <c r="L29" s="14" t="n"/>
      <c r="M29" s="14" t="n"/>
      <c r="N29" s="13">
        <f>IF(G29="Excluded","Excluded",IF(E29="Critical",IF(AND(G29="Monitored",OR(H29="Automated Continuous",H29="Hybrid")),"Compliant","Non-Compliant"),IF(E29="High",IF(G29="Monitored","Compliant",IF(G29="Partially Monitored","Partial","Non-Compliant")),IF(G29="Not Monitored","Non-Compliant","Compliant"))))</f>
        <v/>
      </c>
      <c r="O29" s="14" t="n"/>
      <c r="P29" s="14" t="n"/>
    </row>
    <row r="30">
      <c r="A30" s="14" t="n"/>
      <c r="B30" s="14" t="n"/>
      <c r="C30" s="14" t="n"/>
      <c r="D30" s="13">
        <f>IFERROR(VLOOKUP(C30,'Lookup Tables'!$A$2:$B$44,2,FALSE),"")</f>
        <v/>
      </c>
      <c r="E30" s="14" t="n"/>
      <c r="F30" s="13">
        <f>IF(E30="Critical","Tier 1 - Critical Assets",IF(E30="High","Tier 2 - High Value Assets",IF(E30="Medium","Tier 3 - Standard Assets","Tier 4 - Low Risk Assets")))</f>
        <v/>
      </c>
      <c r="G30" s="14" t="n"/>
      <c r="H30" s="14" t="n"/>
      <c r="I30" s="14" t="n"/>
      <c r="J30" s="14" t="n"/>
      <c r="K30" s="14" t="n"/>
      <c r="L30" s="14" t="n"/>
      <c r="M30" s="14" t="n"/>
      <c r="N30" s="13">
        <f>IF(G30="Excluded","Excluded",IF(E30="Critical",IF(AND(G30="Monitored",OR(H30="Automated Continuous",H30="Hybrid")),"Compliant","Non-Compliant"),IF(E30="High",IF(G30="Monitored","Compliant",IF(G30="Partially Monitored","Partial","Non-Compliant")),IF(G30="Not Monitored","Non-Compliant","Compliant"))))</f>
        <v/>
      </c>
      <c r="O30" s="14" t="n"/>
      <c r="P30" s="14" t="n"/>
    </row>
    <row r="31">
      <c r="A31" s="14" t="n"/>
      <c r="B31" s="14" t="n"/>
      <c r="C31" s="14" t="n"/>
      <c r="D31" s="13">
        <f>IFERROR(VLOOKUP(C31,'Lookup Tables'!$A$2:$B$44,2,FALSE),"")</f>
        <v/>
      </c>
      <c r="E31" s="14" t="n"/>
      <c r="F31" s="13">
        <f>IF(E31="Critical","Tier 1 - Critical Assets",IF(E31="High","Tier 2 - High Value Assets",IF(E31="Medium","Tier 3 - Standard Assets","Tier 4 - Low Risk Assets")))</f>
        <v/>
      </c>
      <c r="G31" s="14" t="n"/>
      <c r="H31" s="14" t="n"/>
      <c r="I31" s="14" t="n"/>
      <c r="J31" s="14" t="n"/>
      <c r="K31" s="14" t="n"/>
      <c r="L31" s="14" t="n"/>
      <c r="M31" s="14" t="n"/>
      <c r="N31" s="13">
        <f>IF(G31="Excluded","Excluded",IF(E31="Critical",IF(AND(G31="Monitored",OR(H31="Automated Continuous",H31="Hybrid")),"Compliant","Non-Compliant"),IF(E31="High",IF(G31="Monitored","Compliant",IF(G31="Partially Monitored","Partial","Non-Compliant")),IF(G31="Not Monitored","Non-Compliant","Compliant"))))</f>
        <v/>
      </c>
      <c r="O31" s="14" t="n"/>
      <c r="P31" s="14" t="n"/>
    </row>
    <row r="32">
      <c r="A32" s="14" t="n"/>
      <c r="B32" s="14" t="n"/>
      <c r="C32" s="14" t="n"/>
      <c r="D32" s="13">
        <f>IFERROR(VLOOKUP(C32,'Lookup Tables'!$A$2:$B$44,2,FALSE),"")</f>
        <v/>
      </c>
      <c r="E32" s="14" t="n"/>
      <c r="F32" s="13">
        <f>IF(E32="Critical","Tier 1 - Critical Assets",IF(E32="High","Tier 2 - High Value Assets",IF(E32="Medium","Tier 3 - Standard Assets","Tier 4 - Low Risk Assets")))</f>
        <v/>
      </c>
      <c r="G32" s="14" t="n"/>
      <c r="H32" s="14" t="n"/>
      <c r="I32" s="14" t="n"/>
      <c r="J32" s="14" t="n"/>
      <c r="K32" s="14" t="n"/>
      <c r="L32" s="14" t="n"/>
      <c r="M32" s="14" t="n"/>
      <c r="N32" s="13">
        <f>IF(G32="Excluded","Excluded",IF(E32="Critical",IF(AND(G32="Monitored",OR(H32="Automated Continuous",H32="Hybrid")),"Compliant","Non-Compliant"),IF(E32="High",IF(G32="Monitored","Compliant",IF(G32="Partially Monitored","Partial","Non-Compliant")),IF(G32="Not Monitored","Non-Compliant","Compliant"))))</f>
        <v/>
      </c>
      <c r="O32" s="14" t="n"/>
      <c r="P32" s="14" t="n"/>
    </row>
    <row r="33">
      <c r="A33" s="14" t="n"/>
      <c r="B33" s="14" t="n"/>
      <c r="C33" s="14" t="n"/>
      <c r="D33" s="13">
        <f>IFERROR(VLOOKUP(C33,'Lookup Tables'!$A$2:$B$44,2,FALSE),"")</f>
        <v/>
      </c>
      <c r="E33" s="14" t="n"/>
      <c r="F33" s="13">
        <f>IF(E33="Critical","Tier 1 - Critical Assets",IF(E33="High","Tier 2 - High Value Assets",IF(E33="Medium","Tier 3 - Standard Assets","Tier 4 - Low Risk Assets")))</f>
        <v/>
      </c>
      <c r="G33" s="14" t="n"/>
      <c r="H33" s="14" t="n"/>
      <c r="I33" s="14" t="n"/>
      <c r="J33" s="14" t="n"/>
      <c r="K33" s="14" t="n"/>
      <c r="L33" s="14" t="n"/>
      <c r="M33" s="14" t="n"/>
      <c r="N33" s="13">
        <f>IF(G33="Excluded","Excluded",IF(E33="Critical",IF(AND(G33="Monitored",OR(H33="Automated Continuous",H33="Hybrid")),"Compliant","Non-Compliant"),IF(E33="High",IF(G33="Monitored","Compliant",IF(G33="Partially Monitored","Partial","Non-Compliant")),IF(G33="Not Monitored","Non-Compliant","Compliant"))))</f>
        <v/>
      </c>
      <c r="O33" s="14" t="n"/>
      <c r="P33" s="14" t="n"/>
    </row>
    <row r="34">
      <c r="A34" s="14" t="n"/>
      <c r="B34" s="14" t="n"/>
      <c r="C34" s="14" t="n"/>
      <c r="D34" s="13">
        <f>IFERROR(VLOOKUP(C34,'Lookup Tables'!$A$2:$B$44,2,FALSE),"")</f>
        <v/>
      </c>
      <c r="E34" s="14" t="n"/>
      <c r="F34" s="13">
        <f>IF(E34="Critical","Tier 1 - Critical Assets",IF(E34="High","Tier 2 - High Value Assets",IF(E34="Medium","Tier 3 - Standard Assets","Tier 4 - Low Risk Assets")))</f>
        <v/>
      </c>
      <c r="G34" s="14" t="n"/>
      <c r="H34" s="14" t="n"/>
      <c r="I34" s="14" t="n"/>
      <c r="J34" s="14" t="n"/>
      <c r="K34" s="14" t="n"/>
      <c r="L34" s="14" t="n"/>
      <c r="M34" s="14" t="n"/>
      <c r="N34" s="13">
        <f>IF(G34="Excluded","Excluded",IF(E34="Critical",IF(AND(G34="Monitored",OR(H34="Automated Continuous",H34="Hybrid")),"Compliant","Non-Compliant"),IF(E34="High",IF(G34="Monitored","Compliant",IF(G34="Partially Monitored","Partial","Non-Compliant")),IF(G34="Not Monitored","Non-Compliant","Compliant"))))</f>
        <v/>
      </c>
      <c r="O34" s="14" t="n"/>
      <c r="P34" s="14" t="n"/>
    </row>
    <row r="35">
      <c r="A35" s="14" t="n"/>
      <c r="B35" s="14" t="n"/>
      <c r="C35" s="14" t="n"/>
      <c r="D35" s="13">
        <f>IFERROR(VLOOKUP(C35,'Lookup Tables'!$A$2:$B$44,2,FALSE),"")</f>
        <v/>
      </c>
      <c r="E35" s="14" t="n"/>
      <c r="F35" s="13">
        <f>IF(E35="Critical","Tier 1 - Critical Assets",IF(E35="High","Tier 2 - High Value Assets",IF(E35="Medium","Tier 3 - Standard Assets","Tier 4 - Low Risk Assets")))</f>
        <v/>
      </c>
      <c r="G35" s="14" t="n"/>
      <c r="H35" s="14" t="n"/>
      <c r="I35" s="14" t="n"/>
      <c r="J35" s="14" t="n"/>
      <c r="K35" s="14" t="n"/>
      <c r="L35" s="14" t="n"/>
      <c r="M35" s="14" t="n"/>
      <c r="N35" s="13">
        <f>IF(G35="Excluded","Excluded",IF(E35="Critical",IF(AND(G35="Monitored",OR(H35="Automated Continuous",H35="Hybrid")),"Compliant","Non-Compliant"),IF(E35="High",IF(G35="Monitored","Compliant",IF(G35="Partially Monitored","Partial","Non-Compliant")),IF(G35="Not Monitored","Non-Compliant","Compliant"))))</f>
        <v/>
      </c>
      <c r="O35" s="14" t="n"/>
      <c r="P35" s="14" t="n"/>
    </row>
    <row r="36">
      <c r="A36" s="14" t="n"/>
      <c r="B36" s="14" t="n"/>
      <c r="C36" s="14" t="n"/>
      <c r="D36" s="13">
        <f>IFERROR(VLOOKUP(C36,'Lookup Tables'!$A$2:$B$44,2,FALSE),"")</f>
        <v/>
      </c>
      <c r="E36" s="14" t="n"/>
      <c r="F36" s="13">
        <f>IF(E36="Critical","Tier 1 - Critical Assets",IF(E36="High","Tier 2 - High Value Assets",IF(E36="Medium","Tier 3 - Standard Assets","Tier 4 - Low Risk Assets")))</f>
        <v/>
      </c>
      <c r="G36" s="14" t="n"/>
      <c r="H36" s="14" t="n"/>
      <c r="I36" s="14" t="n"/>
      <c r="J36" s="14" t="n"/>
      <c r="K36" s="14" t="n"/>
      <c r="L36" s="14" t="n"/>
      <c r="M36" s="14" t="n"/>
      <c r="N36" s="13">
        <f>IF(G36="Excluded","Excluded",IF(E36="Critical",IF(AND(G36="Monitored",OR(H36="Automated Continuous",H36="Hybrid")),"Compliant","Non-Compliant"),IF(E36="High",IF(G36="Monitored","Compliant",IF(G36="Partially Monitored","Partial","Non-Compliant")),IF(G36="Not Monitored","Non-Compliant","Compliant"))))</f>
        <v/>
      </c>
      <c r="O36" s="14" t="n"/>
      <c r="P36" s="14" t="n"/>
    </row>
    <row r="37">
      <c r="A37" s="14" t="n"/>
      <c r="B37" s="14" t="n"/>
      <c r="C37" s="14" t="n"/>
      <c r="D37" s="13">
        <f>IFERROR(VLOOKUP(C37,'Lookup Tables'!$A$2:$B$44,2,FALSE),"")</f>
        <v/>
      </c>
      <c r="E37" s="14" t="n"/>
      <c r="F37" s="13">
        <f>IF(E37="Critical","Tier 1 - Critical Assets",IF(E37="High","Tier 2 - High Value Assets",IF(E37="Medium","Tier 3 - Standard Assets","Tier 4 - Low Risk Assets")))</f>
        <v/>
      </c>
      <c r="G37" s="14" t="n"/>
      <c r="H37" s="14" t="n"/>
      <c r="I37" s="14" t="n"/>
      <c r="J37" s="14" t="n"/>
      <c r="K37" s="14" t="n"/>
      <c r="L37" s="14" t="n"/>
      <c r="M37" s="14" t="n"/>
      <c r="N37" s="13">
        <f>IF(G37="Excluded","Excluded",IF(E37="Critical",IF(AND(G37="Monitored",OR(H37="Automated Continuous",H37="Hybrid")),"Compliant","Non-Compliant"),IF(E37="High",IF(G37="Monitored","Compliant",IF(G37="Partially Monitored","Partial","Non-Compliant")),IF(G37="Not Monitored","Non-Compliant","Compliant"))))</f>
        <v/>
      </c>
      <c r="O37" s="14" t="n"/>
      <c r="P37" s="14" t="n"/>
    </row>
    <row r="38">
      <c r="A38" s="14" t="n"/>
      <c r="B38" s="14" t="n"/>
      <c r="C38" s="14" t="n"/>
      <c r="D38" s="13">
        <f>IFERROR(VLOOKUP(C38,'Lookup Tables'!$A$2:$B$44,2,FALSE),"")</f>
        <v/>
      </c>
      <c r="E38" s="14" t="n"/>
      <c r="F38" s="13">
        <f>IF(E38="Critical","Tier 1 - Critical Assets",IF(E38="High","Tier 2 - High Value Assets",IF(E38="Medium","Tier 3 - Standard Assets","Tier 4 - Low Risk Assets")))</f>
        <v/>
      </c>
      <c r="G38" s="14" t="n"/>
      <c r="H38" s="14" t="n"/>
      <c r="I38" s="14" t="n"/>
      <c r="J38" s="14" t="n"/>
      <c r="K38" s="14" t="n"/>
      <c r="L38" s="14" t="n"/>
      <c r="M38" s="14" t="n"/>
      <c r="N38" s="13">
        <f>IF(G38="Excluded","Excluded",IF(E38="Critical",IF(AND(G38="Monitored",OR(H38="Automated Continuous",H38="Hybrid")),"Compliant","Non-Compliant"),IF(E38="High",IF(G38="Monitored","Compliant",IF(G38="Partially Monitored","Partial","Non-Compliant")),IF(G38="Not Monitored","Non-Compliant","Compliant"))))</f>
        <v/>
      </c>
      <c r="O38" s="14" t="n"/>
      <c r="P38" s="14" t="n"/>
    </row>
    <row r="39">
      <c r="A39" s="14" t="n"/>
      <c r="B39" s="14" t="n"/>
      <c r="C39" s="14" t="n"/>
      <c r="D39" s="13">
        <f>IFERROR(VLOOKUP(C39,'Lookup Tables'!$A$2:$B$44,2,FALSE),"")</f>
        <v/>
      </c>
      <c r="E39" s="14" t="n"/>
      <c r="F39" s="13">
        <f>IF(E39="Critical","Tier 1 - Critical Assets",IF(E39="High","Tier 2 - High Value Assets",IF(E39="Medium","Tier 3 - Standard Assets","Tier 4 - Low Risk Assets")))</f>
        <v/>
      </c>
      <c r="G39" s="14" t="n"/>
      <c r="H39" s="14" t="n"/>
      <c r="I39" s="14" t="n"/>
      <c r="J39" s="14" t="n"/>
      <c r="K39" s="14" t="n"/>
      <c r="L39" s="14" t="n"/>
      <c r="M39" s="14" t="n"/>
      <c r="N39" s="13">
        <f>IF(G39="Excluded","Excluded",IF(E39="Critical",IF(AND(G39="Monitored",OR(H39="Automated Continuous",H39="Hybrid")),"Compliant","Non-Compliant"),IF(E39="High",IF(G39="Monitored","Compliant",IF(G39="Partially Monitored","Partial","Non-Compliant")),IF(G39="Not Monitored","Non-Compliant","Compliant"))))</f>
        <v/>
      </c>
      <c r="O39" s="14" t="n"/>
      <c r="P39" s="14" t="n"/>
    </row>
    <row r="40">
      <c r="A40" s="14" t="n"/>
      <c r="B40" s="14" t="n"/>
      <c r="C40" s="14" t="n"/>
      <c r="D40" s="13">
        <f>IFERROR(VLOOKUP(C40,'Lookup Tables'!$A$2:$B$44,2,FALSE),"")</f>
        <v/>
      </c>
      <c r="E40" s="14" t="n"/>
      <c r="F40" s="13">
        <f>IF(E40="Critical","Tier 1 - Critical Assets",IF(E40="High","Tier 2 - High Value Assets",IF(E40="Medium","Tier 3 - Standard Assets","Tier 4 - Low Risk Assets")))</f>
        <v/>
      </c>
      <c r="G40" s="14" t="n"/>
      <c r="H40" s="14" t="n"/>
      <c r="I40" s="14" t="n"/>
      <c r="J40" s="14" t="n"/>
      <c r="K40" s="14" t="n"/>
      <c r="L40" s="14" t="n"/>
      <c r="M40" s="14" t="n"/>
      <c r="N40" s="13">
        <f>IF(G40="Excluded","Excluded",IF(E40="Critical",IF(AND(G40="Monitored",OR(H40="Automated Continuous",H40="Hybrid")),"Compliant","Non-Compliant"),IF(E40="High",IF(G40="Monitored","Compliant",IF(G40="Partially Monitored","Partial","Non-Compliant")),IF(G40="Not Monitored","Non-Compliant","Compliant"))))</f>
        <v/>
      </c>
      <c r="O40" s="14" t="n"/>
      <c r="P40" s="14" t="n"/>
    </row>
    <row r="41">
      <c r="A41" s="14" t="n"/>
      <c r="B41" s="14" t="n"/>
      <c r="C41" s="14" t="n"/>
      <c r="D41" s="13">
        <f>IFERROR(VLOOKUP(C41,'Lookup Tables'!$A$2:$B$44,2,FALSE),"")</f>
        <v/>
      </c>
      <c r="E41" s="14" t="n"/>
      <c r="F41" s="13">
        <f>IF(E41="Critical","Tier 1 - Critical Assets",IF(E41="High","Tier 2 - High Value Assets",IF(E41="Medium","Tier 3 - Standard Assets","Tier 4 - Low Risk Assets")))</f>
        <v/>
      </c>
      <c r="G41" s="14" t="n"/>
      <c r="H41" s="14" t="n"/>
      <c r="I41" s="14" t="n"/>
      <c r="J41" s="14" t="n"/>
      <c r="K41" s="14" t="n"/>
      <c r="L41" s="14" t="n"/>
      <c r="M41" s="14" t="n"/>
      <c r="N41" s="13">
        <f>IF(G41="Excluded","Excluded",IF(E41="Critical",IF(AND(G41="Monitored",OR(H41="Automated Continuous",H41="Hybrid")),"Compliant","Non-Compliant"),IF(E41="High",IF(G41="Monitored","Compliant",IF(G41="Partially Monitored","Partial","Non-Compliant")),IF(G41="Not Monitored","Non-Compliant","Compliant"))))</f>
        <v/>
      </c>
      <c r="O41" s="14" t="n"/>
      <c r="P41" s="14" t="n"/>
    </row>
    <row r="42">
      <c r="A42" s="14" t="n"/>
      <c r="B42" s="14" t="n"/>
      <c r="C42" s="14" t="n"/>
      <c r="D42" s="13">
        <f>IFERROR(VLOOKUP(C42,'Lookup Tables'!$A$2:$B$44,2,FALSE),"")</f>
        <v/>
      </c>
      <c r="E42" s="14" t="n"/>
      <c r="F42" s="13">
        <f>IF(E42="Critical","Tier 1 - Critical Assets",IF(E42="High","Tier 2 - High Value Assets",IF(E42="Medium","Tier 3 - Standard Assets","Tier 4 - Low Risk Assets")))</f>
        <v/>
      </c>
      <c r="G42" s="14" t="n"/>
      <c r="H42" s="14" t="n"/>
      <c r="I42" s="14" t="n"/>
      <c r="J42" s="14" t="n"/>
      <c r="K42" s="14" t="n"/>
      <c r="L42" s="14" t="n"/>
      <c r="M42" s="14" t="n"/>
      <c r="N42" s="13">
        <f>IF(G42="Excluded","Excluded",IF(E42="Critical",IF(AND(G42="Monitored",OR(H42="Automated Continuous",H42="Hybrid")),"Compliant","Non-Compliant"),IF(E42="High",IF(G42="Monitored","Compliant",IF(G42="Partially Monitored","Partial","Non-Compliant")),IF(G42="Not Monitored","Non-Compliant","Compliant"))))</f>
        <v/>
      </c>
      <c r="O42" s="14" t="n"/>
      <c r="P42" s="14" t="n"/>
    </row>
    <row r="43">
      <c r="A43" s="14" t="n"/>
      <c r="B43" s="14" t="n"/>
      <c r="C43" s="14" t="n"/>
      <c r="D43" s="13">
        <f>IFERROR(VLOOKUP(C43,'Lookup Tables'!$A$2:$B$44,2,FALSE),"")</f>
        <v/>
      </c>
      <c r="E43" s="14" t="n"/>
      <c r="F43" s="13">
        <f>IF(E43="Critical","Tier 1 - Critical Assets",IF(E43="High","Tier 2 - High Value Assets",IF(E43="Medium","Tier 3 - Standard Assets","Tier 4 - Low Risk Assets")))</f>
        <v/>
      </c>
      <c r="G43" s="14" t="n"/>
      <c r="H43" s="14" t="n"/>
      <c r="I43" s="14" t="n"/>
      <c r="J43" s="14" t="n"/>
      <c r="K43" s="14" t="n"/>
      <c r="L43" s="14" t="n"/>
      <c r="M43" s="14" t="n"/>
      <c r="N43" s="13">
        <f>IF(G43="Excluded","Excluded",IF(E43="Critical",IF(AND(G43="Monitored",OR(H43="Automated Continuous",H43="Hybrid")),"Compliant","Non-Compliant"),IF(E43="High",IF(G43="Monitored","Compliant",IF(G43="Partially Monitored","Partial","Non-Compliant")),IF(G43="Not Monitored","Non-Compliant","Compliant"))))</f>
        <v/>
      </c>
      <c r="O43" s="14" t="n"/>
      <c r="P43" s="14" t="n"/>
    </row>
    <row r="44">
      <c r="A44" s="14" t="n"/>
      <c r="B44" s="14" t="n"/>
      <c r="C44" s="14" t="n"/>
      <c r="D44" s="13">
        <f>IFERROR(VLOOKUP(C44,'Lookup Tables'!$A$2:$B$44,2,FALSE),"")</f>
        <v/>
      </c>
      <c r="E44" s="14" t="n"/>
      <c r="F44" s="13">
        <f>IF(E44="Critical","Tier 1 - Critical Assets",IF(E44="High","Tier 2 - High Value Assets",IF(E44="Medium","Tier 3 - Standard Assets","Tier 4 - Low Risk Assets")))</f>
        <v/>
      </c>
      <c r="G44" s="14" t="n"/>
      <c r="H44" s="14" t="n"/>
      <c r="I44" s="14" t="n"/>
      <c r="J44" s="14" t="n"/>
      <c r="K44" s="14" t="n"/>
      <c r="L44" s="14" t="n"/>
      <c r="M44" s="14" t="n"/>
      <c r="N44" s="13">
        <f>IF(G44="Excluded","Excluded",IF(E44="Critical",IF(AND(G44="Monitored",OR(H44="Automated Continuous",H44="Hybrid")),"Compliant","Non-Compliant"),IF(E44="High",IF(G44="Monitored","Compliant",IF(G44="Partially Monitored","Partial","Non-Compliant")),IF(G44="Not Monitored","Non-Compliant","Compliant"))))</f>
        <v/>
      </c>
      <c r="O44" s="14" t="n"/>
      <c r="P44" s="14" t="n"/>
    </row>
    <row r="45">
      <c r="A45" s="14" t="n"/>
      <c r="B45" s="14" t="n"/>
      <c r="C45" s="14" t="n"/>
      <c r="D45" s="13">
        <f>IFERROR(VLOOKUP(C45,'Lookup Tables'!$A$2:$B$44,2,FALSE),"")</f>
        <v/>
      </c>
      <c r="E45" s="14" t="n"/>
      <c r="F45" s="13">
        <f>IF(E45="Critical","Tier 1 - Critical Assets",IF(E45="High","Tier 2 - High Value Assets",IF(E45="Medium","Tier 3 - Standard Assets","Tier 4 - Low Risk Assets")))</f>
        <v/>
      </c>
      <c r="G45" s="14" t="n"/>
      <c r="H45" s="14" t="n"/>
      <c r="I45" s="14" t="n"/>
      <c r="J45" s="14" t="n"/>
      <c r="K45" s="14" t="n"/>
      <c r="L45" s="14" t="n"/>
      <c r="M45" s="14" t="n"/>
      <c r="N45" s="13">
        <f>IF(G45="Excluded","Excluded",IF(E45="Critical",IF(AND(G45="Monitored",OR(H45="Automated Continuous",H45="Hybrid")),"Compliant","Non-Compliant"),IF(E45="High",IF(G45="Monitored","Compliant",IF(G45="Partially Monitored","Partial","Non-Compliant")),IF(G45="Not Monitored","Non-Compliant","Compliant"))))</f>
        <v/>
      </c>
      <c r="O45" s="14" t="n"/>
      <c r="P45" s="14" t="n"/>
    </row>
    <row r="46">
      <c r="A46" s="14" t="n"/>
      <c r="B46" s="14" t="n"/>
      <c r="C46" s="14" t="n"/>
      <c r="D46" s="13">
        <f>IFERROR(VLOOKUP(C46,'Lookup Tables'!$A$2:$B$44,2,FALSE),"")</f>
        <v/>
      </c>
      <c r="E46" s="14" t="n"/>
      <c r="F46" s="13">
        <f>IF(E46="Critical","Tier 1 - Critical Assets",IF(E46="High","Tier 2 - High Value Assets",IF(E46="Medium","Tier 3 - Standard Assets","Tier 4 - Low Risk Assets")))</f>
        <v/>
      </c>
      <c r="G46" s="14" t="n"/>
      <c r="H46" s="14" t="n"/>
      <c r="I46" s="14" t="n"/>
      <c r="J46" s="14" t="n"/>
      <c r="K46" s="14" t="n"/>
      <c r="L46" s="14" t="n"/>
      <c r="M46" s="14" t="n"/>
      <c r="N46" s="13">
        <f>IF(G46="Excluded","Excluded",IF(E46="Critical",IF(AND(G46="Monitored",OR(H46="Automated Continuous",H46="Hybrid")),"Compliant","Non-Compliant"),IF(E46="High",IF(G46="Monitored","Compliant",IF(G46="Partially Monitored","Partial","Non-Compliant")),IF(G46="Not Monitored","Non-Compliant","Compliant"))))</f>
        <v/>
      </c>
      <c r="O46" s="14" t="n"/>
      <c r="P46" s="14" t="n"/>
    </row>
    <row r="47">
      <c r="A47" s="14" t="n"/>
      <c r="B47" s="14" t="n"/>
      <c r="C47" s="14" t="n"/>
      <c r="D47" s="13">
        <f>IFERROR(VLOOKUP(C47,'Lookup Tables'!$A$2:$B$44,2,FALSE),"")</f>
        <v/>
      </c>
      <c r="E47" s="14" t="n"/>
      <c r="F47" s="13">
        <f>IF(E47="Critical","Tier 1 - Critical Assets",IF(E47="High","Tier 2 - High Value Assets",IF(E47="Medium","Tier 3 - Standard Assets","Tier 4 - Low Risk Assets")))</f>
        <v/>
      </c>
      <c r="G47" s="14" t="n"/>
      <c r="H47" s="14" t="n"/>
      <c r="I47" s="14" t="n"/>
      <c r="J47" s="14" t="n"/>
      <c r="K47" s="14" t="n"/>
      <c r="L47" s="14" t="n"/>
      <c r="M47" s="14" t="n"/>
      <c r="N47" s="13">
        <f>IF(G47="Excluded","Excluded",IF(E47="Critical",IF(AND(G47="Monitored",OR(H47="Automated Continuous",H47="Hybrid")),"Compliant","Non-Compliant"),IF(E47="High",IF(G47="Monitored","Compliant",IF(G47="Partially Monitored","Partial","Non-Compliant")),IF(G47="Not Monitored","Non-Compliant","Compliant"))))</f>
        <v/>
      </c>
      <c r="O47" s="14" t="n"/>
      <c r="P47" s="14" t="n"/>
    </row>
    <row r="48">
      <c r="A48" s="14" t="n"/>
      <c r="B48" s="14" t="n"/>
      <c r="C48" s="14" t="n"/>
      <c r="D48" s="13">
        <f>IFERROR(VLOOKUP(C48,'Lookup Tables'!$A$2:$B$44,2,FALSE),"")</f>
        <v/>
      </c>
      <c r="E48" s="14" t="n"/>
      <c r="F48" s="13">
        <f>IF(E48="Critical","Tier 1 - Critical Assets",IF(E48="High","Tier 2 - High Value Assets",IF(E48="Medium","Tier 3 - Standard Assets","Tier 4 - Low Risk Assets")))</f>
        <v/>
      </c>
      <c r="G48" s="14" t="n"/>
      <c r="H48" s="14" t="n"/>
      <c r="I48" s="14" t="n"/>
      <c r="J48" s="14" t="n"/>
      <c r="K48" s="14" t="n"/>
      <c r="L48" s="14" t="n"/>
      <c r="M48" s="14" t="n"/>
      <c r="N48" s="13">
        <f>IF(G48="Excluded","Excluded",IF(E48="Critical",IF(AND(G48="Monitored",OR(H48="Automated Continuous",H48="Hybrid")),"Compliant","Non-Compliant"),IF(E48="High",IF(G48="Monitored","Compliant",IF(G48="Partially Monitored","Partial","Non-Compliant")),IF(G48="Not Monitored","Non-Compliant","Compliant"))))</f>
        <v/>
      </c>
      <c r="O48" s="14" t="n"/>
      <c r="P48" s="14" t="n"/>
    </row>
    <row r="49">
      <c r="A49" s="14" t="n"/>
      <c r="B49" s="14" t="n"/>
      <c r="C49" s="14" t="n"/>
      <c r="D49" s="13">
        <f>IFERROR(VLOOKUP(C49,'Lookup Tables'!$A$2:$B$44,2,FALSE),"")</f>
        <v/>
      </c>
      <c r="E49" s="14" t="n"/>
      <c r="F49" s="13">
        <f>IF(E49="Critical","Tier 1 - Critical Assets",IF(E49="High","Tier 2 - High Value Assets",IF(E49="Medium","Tier 3 - Standard Assets","Tier 4 - Low Risk Assets")))</f>
        <v/>
      </c>
      <c r="G49" s="14" t="n"/>
      <c r="H49" s="14" t="n"/>
      <c r="I49" s="14" t="n"/>
      <c r="J49" s="14" t="n"/>
      <c r="K49" s="14" t="n"/>
      <c r="L49" s="14" t="n"/>
      <c r="M49" s="14" t="n"/>
      <c r="N49" s="13">
        <f>IF(G49="Excluded","Excluded",IF(E49="Critical",IF(AND(G49="Monitored",OR(H49="Automated Continuous",H49="Hybrid")),"Compliant","Non-Compliant"),IF(E49="High",IF(G49="Monitored","Compliant",IF(G49="Partially Monitored","Partial","Non-Compliant")),IF(G49="Not Monitored","Non-Compliant","Compliant"))))</f>
        <v/>
      </c>
      <c r="O49" s="14" t="n"/>
      <c r="P49" s="14" t="n"/>
    </row>
    <row r="50">
      <c r="A50" s="14" t="n"/>
      <c r="B50" s="14" t="n"/>
      <c r="C50" s="14" t="n"/>
      <c r="D50" s="13">
        <f>IFERROR(VLOOKUP(C50,'Lookup Tables'!$A$2:$B$44,2,FALSE),"")</f>
        <v/>
      </c>
      <c r="E50" s="14" t="n"/>
      <c r="F50" s="13">
        <f>IF(E50="Critical","Tier 1 - Critical Assets",IF(E50="High","Tier 2 - High Value Assets",IF(E50="Medium","Tier 3 - Standard Assets","Tier 4 - Low Risk Assets")))</f>
        <v/>
      </c>
      <c r="G50" s="14" t="n"/>
      <c r="H50" s="14" t="n"/>
      <c r="I50" s="14" t="n"/>
      <c r="J50" s="14" t="n"/>
      <c r="K50" s="14" t="n"/>
      <c r="L50" s="14" t="n"/>
      <c r="M50" s="14" t="n"/>
      <c r="N50" s="13">
        <f>IF(G50="Excluded","Excluded",IF(E50="Critical",IF(AND(G50="Monitored",OR(H50="Automated Continuous",H50="Hybrid")),"Compliant","Non-Compliant"),IF(E50="High",IF(G50="Monitored","Compliant",IF(G50="Partially Monitored","Partial","Non-Compliant")),IF(G50="Not Monitored","Non-Compliant","Compliant"))))</f>
        <v/>
      </c>
      <c r="O50" s="14" t="n"/>
      <c r="P50" s="14" t="n"/>
    </row>
    <row r="51">
      <c r="A51" s="14" t="n"/>
      <c r="B51" s="14" t="n"/>
      <c r="C51" s="14" t="n"/>
      <c r="D51" s="13">
        <f>IFERROR(VLOOKUP(C51,'Lookup Tables'!$A$2:$B$44,2,FALSE),"")</f>
        <v/>
      </c>
      <c r="E51" s="14" t="n"/>
      <c r="F51" s="13">
        <f>IF(E51="Critical","Tier 1 - Critical Assets",IF(E51="High","Tier 2 - High Value Assets",IF(E51="Medium","Tier 3 - Standard Assets","Tier 4 - Low Risk Assets")))</f>
        <v/>
      </c>
      <c r="G51" s="14" t="n"/>
      <c r="H51" s="14" t="n"/>
      <c r="I51" s="14" t="n"/>
      <c r="J51" s="14" t="n"/>
      <c r="K51" s="14" t="n"/>
      <c r="L51" s="14" t="n"/>
      <c r="M51" s="14" t="n"/>
      <c r="N51" s="13">
        <f>IF(G51="Excluded","Excluded",IF(E51="Critical",IF(AND(G51="Monitored",OR(H51="Automated Continuous",H51="Hybrid")),"Compliant","Non-Compliant"),IF(E51="High",IF(G51="Monitored","Compliant",IF(G51="Partially Monitored","Partial","Non-Compliant")),IF(G51="Not Monitored","Non-Compliant","Compliant"))))</f>
        <v/>
      </c>
      <c r="O51" s="14" t="n"/>
      <c r="P51" s="14" t="n"/>
    </row>
    <row r="52">
      <c r="A52" s="14" t="n"/>
      <c r="B52" s="14" t="n"/>
      <c r="C52" s="14" t="n"/>
      <c r="D52" s="13">
        <f>IFERROR(VLOOKUP(C52,'Lookup Tables'!$A$2:$B$44,2,FALSE),"")</f>
        <v/>
      </c>
      <c r="E52" s="14" t="n"/>
      <c r="F52" s="13">
        <f>IF(E52="Critical","Tier 1 - Critical Assets",IF(E52="High","Tier 2 - High Value Assets",IF(E52="Medium","Tier 3 - Standard Assets","Tier 4 - Low Risk Assets")))</f>
        <v/>
      </c>
      <c r="G52" s="14" t="n"/>
      <c r="H52" s="14" t="n"/>
      <c r="I52" s="14" t="n"/>
      <c r="J52" s="14" t="n"/>
      <c r="K52" s="14" t="n"/>
      <c r="L52" s="14" t="n"/>
      <c r="M52" s="14" t="n"/>
      <c r="N52" s="13">
        <f>IF(G52="Excluded","Excluded",IF(E52="Critical",IF(AND(G52="Monitored",OR(H52="Automated Continuous",H52="Hybrid")),"Compliant","Non-Compliant"),IF(E52="High",IF(G52="Monitored","Compliant",IF(G52="Partially Monitored","Partial","Non-Compliant")),IF(G52="Not Monitored","Non-Compliant","Compliant"))))</f>
        <v/>
      </c>
      <c r="O52" s="14" t="n"/>
      <c r="P52" s="14" t="n"/>
    </row>
    <row r="53">
      <c r="A53" s="14" t="n"/>
      <c r="B53" s="14" t="n"/>
      <c r="C53" s="14" t="n"/>
      <c r="D53" s="13">
        <f>IFERROR(VLOOKUP(C53,'Lookup Tables'!$A$2:$B$44,2,FALSE),"")</f>
        <v/>
      </c>
      <c r="E53" s="14" t="n"/>
      <c r="F53" s="13">
        <f>IF(E53="Critical","Tier 1 - Critical Assets",IF(E53="High","Tier 2 - High Value Assets",IF(E53="Medium","Tier 3 - Standard Assets","Tier 4 - Low Risk Assets")))</f>
        <v/>
      </c>
      <c r="G53" s="14" t="n"/>
      <c r="H53" s="14" t="n"/>
      <c r="I53" s="14" t="n"/>
      <c r="J53" s="14" t="n"/>
      <c r="K53" s="14" t="n"/>
      <c r="L53" s="14" t="n"/>
      <c r="M53" s="14" t="n"/>
      <c r="N53" s="13">
        <f>IF(G53="Excluded","Excluded",IF(E53="Critical",IF(AND(G53="Monitored",OR(H53="Automated Continuous",H53="Hybrid")),"Compliant","Non-Compliant"),IF(E53="High",IF(G53="Monitored","Compliant",IF(G53="Partially Monitored","Partial","Non-Compliant")),IF(G53="Not Monitored","Non-Compliant","Compliant"))))</f>
        <v/>
      </c>
      <c r="O53" s="14" t="n"/>
      <c r="P53" s="14" t="n"/>
    </row>
    <row r="54">
      <c r="A54" s="14" t="n"/>
      <c r="B54" s="14" t="n"/>
      <c r="C54" s="14" t="n"/>
      <c r="D54" s="13">
        <f>IFERROR(VLOOKUP(C54,'Lookup Tables'!$A$2:$B$44,2,FALSE),"")</f>
        <v/>
      </c>
      <c r="E54" s="14" t="n"/>
      <c r="F54" s="13">
        <f>IF(E54="Critical","Tier 1 - Critical Assets",IF(E54="High","Tier 2 - High Value Assets",IF(E54="Medium","Tier 3 - Standard Assets","Tier 4 - Low Risk Assets")))</f>
        <v/>
      </c>
      <c r="G54" s="14" t="n"/>
      <c r="H54" s="14" t="n"/>
      <c r="I54" s="14" t="n"/>
      <c r="J54" s="14" t="n"/>
      <c r="K54" s="14" t="n"/>
      <c r="L54" s="14" t="n"/>
      <c r="M54" s="14" t="n"/>
      <c r="N54" s="13">
        <f>IF(G54="Excluded","Excluded",IF(E54="Critical",IF(AND(G54="Monitored",OR(H54="Automated Continuous",H54="Hybrid")),"Compliant","Non-Compliant"),IF(E54="High",IF(G54="Monitored","Compliant",IF(G54="Partially Monitored","Partial","Non-Compliant")),IF(G54="Not Monitored","Non-Compliant","Compliant"))))</f>
        <v/>
      </c>
      <c r="O54" s="14" t="n"/>
      <c r="P54" s="14" t="n"/>
    </row>
  </sheetData>
  <mergeCells count="1">
    <mergeCell ref="A1:P1"/>
  </mergeCells>
  <conditionalFormatting sqref="E4:E5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4:G54">
    <cfRule type="cellIs" priority="5" operator="equal" dxfId="3">
      <formula>"Monitored"</formula>
    </cfRule>
    <cfRule type="cellIs" priority="6" operator="equal" dxfId="1">
      <formula>"Not Monitored"</formula>
    </cfRule>
  </conditionalFormatting>
  <conditionalFormatting sqref="N4:N54">
    <cfRule type="cellIs" priority="7" operator="equal" dxfId="4">
      <formula>"Compliant"</formula>
    </cfRule>
    <cfRule type="cellIs" priority="8" operator="equal" dxfId="5">
      <formula>"Non-Compliant"</formula>
    </cfRule>
  </conditionalFormatting>
  <dataValidations count="5">
    <dataValidation sqref="C4:C54" showDropDown="0" showInputMessage="0" showErrorMessage="0" allowBlank="1" type="list">
      <formula1>'Lookup Tables'!$A$2:$A$44</formula1>
    </dataValidation>
    <dataValidation sqref="E4:E54" showDropDown="0" showInputMessage="0" showErrorMessage="0" allowBlank="0" errorTitle="Invalid Entry" error="Invalid entry" promptTitle="Selection Required" prompt="Please select from the dropdown" type="list">
      <formula1>"Critical,High,Medium,Low"</formula1>
    </dataValidation>
    <dataValidation sqref="G4:G54" showDropDown="0" showInputMessage="0" showErrorMessage="0" allowBlank="0" errorTitle="Invalid Entry" error="Invalid entry" promptTitle="Selection Required" prompt="Please select from the dropdown" type="list">
      <formula1>"✅ Monitored,⚠️ Partially Monitored,❌ Not Monitored,➖ Excluded"</formula1>
    </dataValidation>
    <dataValidation sqref="H4:H54" showDropDown="0" showInputMessage="0" showErrorMessage="0" allowBlank="0" errorTitle="Invalid Entry" error="Invalid entry" promptTitle="Selection Required" prompt="Please select from the dropdown" type="list">
      <formula1>"Automated Continuous,Scheduled Automated,Manual,Hybrid,None"</formula1>
    </dataValidation>
    <dataValidation sqref="J4:J54" showDropDown="0" showInputMessage="0" showErrorMessage="0" allowBlank="1" errorTitle="Invalid Entry" error="Invalid entry" promptTitle="Selection Required" prompt="Please select from the dropdown" type="list">
      <formula1>"Real-time (&lt;15 min),Hourly,Daily,Weekly,Monthly,Quarterly,Manual (on-demand)"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8" customWidth="1" min="3" max="3"/>
    <col width="25" customWidth="1" min="4" max="4"/>
    <col width="30" customWidth="1" min="5" max="5"/>
    <col width="25" customWidth="1" min="6" max="6"/>
    <col width="25" customWidth="1" min="7" max="7"/>
    <col width="15" customWidth="1" min="8" max="8"/>
    <col width="20" customWidth="1" min="9" max="9"/>
    <col width="25" customWidth="1" min="10" max="10"/>
    <col width="20" customWidth="1" min="11" max="11"/>
    <col width="25" customWidth="1" min="12" max="12"/>
    <col width="25" customWidth="1" min="13" max="13"/>
    <col width="35" customWidth="1" min="14" max="14"/>
    <col width="20" customWidth="1" min="15" max="15"/>
    <col width="12" customWidth="1" min="16" max="16"/>
    <col width="20" customWidth="1" min="17" max="17"/>
    <col width="15" customWidth="1" min="18" max="18"/>
    <col width="35" customWidth="1" min="19" max="19"/>
  </cols>
  <sheetData>
    <row r="1" ht="35" customHeight="1">
      <c r="A1" s="11" t="inlineStr">
        <is>
          <t>CONFIGURATION DRIFT DETECTION LOG</t>
        </is>
      </c>
    </row>
    <row r="2">
      <c r="A2" s="12" t="inlineStr">
        <is>
          <t>Drift Incident ID</t>
        </is>
      </c>
      <c r="B2" s="12" t="inlineStr">
        <is>
          <t>Detection Date/Time</t>
        </is>
      </c>
      <c r="C2" s="12" t="inlineStr">
        <is>
          <t>Asset ID</t>
        </is>
      </c>
      <c r="D2" s="12" t="inlineStr">
        <is>
          <t>Asset Name</t>
        </is>
      </c>
      <c r="E2" s="12" t="inlineStr">
        <is>
          <t>Configuration Item</t>
        </is>
      </c>
      <c r="F2" s="12" t="inlineStr">
        <is>
          <t>Expected Value</t>
        </is>
      </c>
      <c r="G2" s="12" t="inlineStr">
        <is>
          <t>Actual Value</t>
        </is>
      </c>
      <c r="H2" s="12" t="inlineStr">
        <is>
          <t>Drift Category</t>
        </is>
      </c>
      <c r="I2" s="12" t="inlineStr">
        <is>
          <t>Detection Method</t>
        </is>
      </c>
      <c r="J2" s="12" t="inlineStr">
        <is>
          <t>Detecting Tool/System</t>
        </is>
      </c>
      <c r="K2" s="12" t="inlineStr">
        <is>
          <t>Authorised Change</t>
        </is>
      </c>
      <c r="L2" s="12" t="inlineStr">
        <is>
          <t>Change ID Reference</t>
        </is>
      </c>
      <c r="M2" s="12" t="inlineStr">
        <is>
          <t>Root Cause Category</t>
        </is>
      </c>
      <c r="N2" s="12" t="inlineStr">
        <is>
          <t>Root Cause Detail</t>
        </is>
      </c>
      <c r="O2" s="12" t="inlineStr">
        <is>
          <t>Drift Status</t>
        </is>
      </c>
      <c r="P2" s="12" t="inlineStr">
        <is>
          <t>Time to Detect (Hours)</t>
        </is>
      </c>
      <c r="Q2" s="12" t="inlineStr">
        <is>
          <t>Remediation Owner</t>
        </is>
      </c>
      <c r="R2" s="12" t="inlineStr">
        <is>
          <t>Priority</t>
        </is>
      </c>
      <c r="S2" s="12" t="inlineStr">
        <is>
          <t>Notes</t>
        </is>
      </c>
    </row>
    <row r="4">
      <c r="A4" s="13" t="inlineStr">
        <is>
          <t>DRIFT-2026-0001</t>
        </is>
      </c>
      <c r="B4" s="13" t="inlineStr">
        <is>
          <t>15.01.2026 09:23</t>
        </is>
      </c>
      <c r="C4" s="13" t="inlineStr">
        <is>
          <t>SRV-PROD-001</t>
        </is>
      </c>
      <c r="D4" s="13" t="inlineStr">
        <is>
          <t>prod-web-01.company.com</t>
        </is>
      </c>
      <c r="E4" s="13" t="inlineStr">
        <is>
          <t>Password Policy / MinimumPasswordLength</t>
        </is>
      </c>
      <c r="F4" s="13" t="inlineStr">
        <is>
          <t>14 characters</t>
        </is>
      </c>
      <c r="G4" s="13" t="inlineStr">
        <is>
          <t>8 characters</t>
        </is>
      </c>
      <c r="H4" s="13" t="inlineStr">
        <is>
          <t>High</t>
        </is>
      </c>
      <c r="I4" s="13" t="inlineStr">
        <is>
          <t>Automated Continuous</t>
        </is>
      </c>
      <c r="J4" s="13" t="inlineStr">
        <is>
          <t>CIS-CAT Pro Scanner</t>
        </is>
      </c>
      <c r="K4" s="13" t="inlineStr">
        <is>
          <t>No (Unauthorised)</t>
        </is>
      </c>
      <c r="L4" s="13" t="inlineStr"/>
      <c r="M4" s="13" t="inlineStr">
        <is>
          <t>Unauthorised Manual Change</t>
        </is>
      </c>
      <c r="N4" s="13" t="inlineStr">
        <is>
          <t>Admin configured shorter password for testing — not reverted</t>
        </is>
      </c>
      <c r="O4" s="13" t="inlineStr">
        <is>
          <t>✅ Remediated</t>
        </is>
      </c>
      <c r="P4" s="13" t="inlineStr"/>
      <c r="Q4" s="13" t="inlineStr">
        <is>
          <t>J. Smith (Sec Ops)</t>
        </is>
      </c>
      <c r="R4" s="13" t="inlineStr"/>
      <c r="S4" s="13" t="inlineStr">
        <is>
          <t>Reverted within 2 hours of detection</t>
        </is>
      </c>
    </row>
    <row r="5">
      <c r="A5" s="14" t="n"/>
      <c r="B5" s="14" t="n"/>
      <c r="C5" s="14" t="n"/>
      <c r="D5" s="14" t="n"/>
      <c r="E5" s="14" t="n"/>
      <c r="F5" s="14" t="n"/>
      <c r="G5" s="14" t="n"/>
      <c r="H5" s="14" t="n"/>
      <c r="I5" s="14" t="n"/>
      <c r="J5" s="14" t="n"/>
      <c r="K5" s="14" t="n"/>
      <c r="L5" s="14" t="n"/>
      <c r="M5" s="14" t="n"/>
      <c r="N5" s="14" t="n"/>
      <c r="O5" s="14" t="n"/>
      <c r="P5" s="13">
        <f>IF(B5="","","")</f>
        <v/>
      </c>
      <c r="Q5" s="14" t="n"/>
      <c r="R5" s="13">
        <f>IF(H5="Critical","P1-Critical",IF(H5="High","P2-High",IF(H5="Medium","P3-Medium","P4-Low")))</f>
        <v/>
      </c>
      <c r="S5" s="14" t="n"/>
    </row>
    <row r="6">
      <c r="A6" s="14" t="n"/>
      <c r="B6" s="14" t="n"/>
      <c r="C6" s="14" t="n"/>
      <c r="D6" s="14" t="n"/>
      <c r="E6" s="14" t="n"/>
      <c r="F6" s="14" t="n"/>
      <c r="G6" s="14" t="n"/>
      <c r="H6" s="14" t="n"/>
      <c r="I6" s="14" t="n"/>
      <c r="J6" s="14" t="n"/>
      <c r="K6" s="14" t="n"/>
      <c r="L6" s="14" t="n"/>
      <c r="M6" s="14" t="n"/>
      <c r="N6" s="14" t="n"/>
      <c r="O6" s="14" t="n"/>
      <c r="P6" s="13">
        <f>IF(B6="","","")</f>
        <v/>
      </c>
      <c r="Q6" s="14" t="n"/>
      <c r="R6" s="13">
        <f>IF(H6="Critical","P1-Critical",IF(H6="High","P2-High",IF(H6="Medium","P3-Medium","P4-Low")))</f>
        <v/>
      </c>
      <c r="S6" s="14" t="n"/>
    </row>
    <row r="7">
      <c r="A7" s="14" t="n"/>
      <c r="B7" s="14" t="n"/>
      <c r="C7" s="14" t="n"/>
      <c r="D7" s="14" t="n"/>
      <c r="E7" s="14" t="n"/>
      <c r="F7" s="14" t="n"/>
      <c r="G7" s="14" t="n"/>
      <c r="H7" s="14" t="n"/>
      <c r="I7" s="14" t="n"/>
      <c r="J7" s="14" t="n"/>
      <c r="K7" s="14" t="n"/>
      <c r="L7" s="14" t="n"/>
      <c r="M7" s="14" t="n"/>
      <c r="N7" s="14" t="n"/>
      <c r="O7" s="14" t="n"/>
      <c r="P7" s="13">
        <f>IF(B7="","","")</f>
        <v/>
      </c>
      <c r="Q7" s="14" t="n"/>
      <c r="R7" s="13">
        <f>IF(H7="Critical","P1-Critical",IF(H7="High","P2-High",IF(H7="Medium","P3-Medium","P4-Low")))</f>
        <v/>
      </c>
      <c r="S7" s="14" t="n"/>
    </row>
    <row r="8">
      <c r="A8" s="14" t="n"/>
      <c r="B8" s="14" t="n"/>
      <c r="C8" s="14" t="n"/>
      <c r="D8" s="14" t="n"/>
      <c r="E8" s="14" t="n"/>
      <c r="F8" s="14" t="n"/>
      <c r="G8" s="14" t="n"/>
      <c r="H8" s="14" t="n"/>
      <c r="I8" s="14" t="n"/>
      <c r="J8" s="14" t="n"/>
      <c r="K8" s="14" t="n"/>
      <c r="L8" s="14" t="n"/>
      <c r="M8" s="14" t="n"/>
      <c r="N8" s="14" t="n"/>
      <c r="O8" s="14" t="n"/>
      <c r="P8" s="13">
        <f>IF(B8="","","")</f>
        <v/>
      </c>
      <c r="Q8" s="14" t="n"/>
      <c r="R8" s="13">
        <f>IF(H8="Critical","P1-Critical",IF(H8="High","P2-High",IF(H8="Medium","P3-Medium","P4-Low")))</f>
        <v/>
      </c>
      <c r="S8" s="14" t="n"/>
    </row>
    <row r="9">
      <c r="A9" s="14" t="n"/>
      <c r="B9" s="14" t="n"/>
      <c r="C9" s="14" t="n"/>
      <c r="D9" s="14" t="n"/>
      <c r="E9" s="14" t="n"/>
      <c r="F9" s="14" t="n"/>
      <c r="G9" s="14" t="n"/>
      <c r="H9" s="14" t="n"/>
      <c r="I9" s="14" t="n"/>
      <c r="J9" s="14" t="n"/>
      <c r="K9" s="14" t="n"/>
      <c r="L9" s="14" t="n"/>
      <c r="M9" s="14" t="n"/>
      <c r="N9" s="14" t="n"/>
      <c r="O9" s="14" t="n"/>
      <c r="P9" s="13">
        <f>IF(B9="","","")</f>
        <v/>
      </c>
      <c r="Q9" s="14" t="n"/>
      <c r="R9" s="13">
        <f>IF(H9="Critical","P1-Critical",IF(H9="High","P2-High",IF(H9="Medium","P3-Medium","P4-Low")))</f>
        <v/>
      </c>
      <c r="S9" s="14" t="n"/>
    </row>
    <row r="10">
      <c r="A10" s="14" t="n"/>
      <c r="B10" s="14" t="n"/>
      <c r="C10" s="14" t="n"/>
      <c r="D10" s="14" t="n"/>
      <c r="E10" s="14" t="n"/>
      <c r="F10" s="14" t="n"/>
      <c r="G10" s="14" t="n"/>
      <c r="H10" s="14" t="n"/>
      <c r="I10" s="14" t="n"/>
      <c r="J10" s="14" t="n"/>
      <c r="K10" s="14" t="n"/>
      <c r="L10" s="14" t="n"/>
      <c r="M10" s="14" t="n"/>
      <c r="N10" s="14" t="n"/>
      <c r="O10" s="14" t="n"/>
      <c r="P10" s="13">
        <f>IF(B10="","","")</f>
        <v/>
      </c>
      <c r="Q10" s="14" t="n"/>
      <c r="R10" s="13">
        <f>IF(H10="Critical","P1-Critical",IF(H10="High","P2-High",IF(H10="Medium","P3-Medium","P4-Low")))</f>
        <v/>
      </c>
      <c r="S10" s="14" t="n"/>
    </row>
    <row r="11">
      <c r="A11" s="14" t="n"/>
      <c r="B11" s="14" t="n"/>
      <c r="C11" s="14" t="n"/>
      <c r="D11" s="14" t="n"/>
      <c r="E11" s="14" t="n"/>
      <c r="F11" s="14" t="n"/>
      <c r="G11" s="14" t="n"/>
      <c r="H11" s="14" t="n"/>
      <c r="I11" s="14" t="n"/>
      <c r="J11" s="14" t="n"/>
      <c r="K11" s="14" t="n"/>
      <c r="L11" s="14" t="n"/>
      <c r="M11" s="14" t="n"/>
      <c r="N11" s="14" t="n"/>
      <c r="O11" s="14" t="n"/>
      <c r="P11" s="13">
        <f>IF(B11="","","")</f>
        <v/>
      </c>
      <c r="Q11" s="14" t="n"/>
      <c r="R11" s="13">
        <f>IF(H11="Critical","P1-Critical",IF(H11="High","P2-High",IF(H11="Medium","P3-Medium","P4-Low")))</f>
        <v/>
      </c>
      <c r="S11" s="14" t="n"/>
    </row>
    <row r="12">
      <c r="A12" s="14" t="n"/>
      <c r="B12" s="14" t="n"/>
      <c r="C12" s="14" t="n"/>
      <c r="D12" s="14" t="n"/>
      <c r="E12" s="14" t="n"/>
      <c r="F12" s="14" t="n"/>
      <c r="G12" s="14" t="n"/>
      <c r="H12" s="14" t="n"/>
      <c r="I12" s="14" t="n"/>
      <c r="J12" s="14" t="n"/>
      <c r="K12" s="14" t="n"/>
      <c r="L12" s="14" t="n"/>
      <c r="M12" s="14" t="n"/>
      <c r="N12" s="14" t="n"/>
      <c r="O12" s="14" t="n"/>
      <c r="P12" s="13">
        <f>IF(B12="","","")</f>
        <v/>
      </c>
      <c r="Q12" s="14" t="n"/>
      <c r="R12" s="13">
        <f>IF(H12="Critical","P1-Critical",IF(H12="High","P2-High",IF(H12="Medium","P3-Medium","P4-Low")))</f>
        <v/>
      </c>
      <c r="S12" s="14" t="n"/>
    </row>
    <row r="13">
      <c r="A13" s="14" t="n"/>
      <c r="B13" s="14" t="n"/>
      <c r="C13" s="14" t="n"/>
      <c r="D13" s="14" t="n"/>
      <c r="E13" s="14" t="n"/>
      <c r="F13" s="14" t="n"/>
      <c r="G13" s="14" t="n"/>
      <c r="H13" s="14" t="n"/>
      <c r="I13" s="14" t="n"/>
      <c r="J13" s="14" t="n"/>
      <c r="K13" s="14" t="n"/>
      <c r="L13" s="14" t="n"/>
      <c r="M13" s="14" t="n"/>
      <c r="N13" s="14" t="n"/>
      <c r="O13" s="14" t="n"/>
      <c r="P13" s="13">
        <f>IF(B13="","","")</f>
        <v/>
      </c>
      <c r="Q13" s="14" t="n"/>
      <c r="R13" s="13">
        <f>IF(H13="Critical","P1-Critical",IF(H13="High","P2-High",IF(H13="Medium","P3-Medium","P4-Low")))</f>
        <v/>
      </c>
      <c r="S13" s="14" t="n"/>
    </row>
    <row r="14">
      <c r="A14" s="14" t="n"/>
      <c r="B14" s="14" t="n"/>
      <c r="C14" s="14" t="n"/>
      <c r="D14" s="14" t="n"/>
      <c r="E14" s="14" t="n"/>
      <c r="F14" s="14" t="n"/>
      <c r="G14" s="14" t="n"/>
      <c r="H14" s="14" t="n"/>
      <c r="I14" s="14" t="n"/>
      <c r="J14" s="14" t="n"/>
      <c r="K14" s="14" t="n"/>
      <c r="L14" s="14" t="n"/>
      <c r="M14" s="14" t="n"/>
      <c r="N14" s="14" t="n"/>
      <c r="O14" s="14" t="n"/>
      <c r="P14" s="13">
        <f>IF(B14="","","")</f>
        <v/>
      </c>
      <c r="Q14" s="14" t="n"/>
      <c r="R14" s="13">
        <f>IF(H14="Critical","P1-Critical",IF(H14="High","P2-High",IF(H14="Medium","P3-Medium","P4-Low")))</f>
        <v/>
      </c>
      <c r="S14" s="14" t="n"/>
    </row>
    <row r="15">
      <c r="A15" s="14" t="n"/>
      <c r="B15" s="14" t="n"/>
      <c r="C15" s="14" t="n"/>
      <c r="D15" s="14" t="n"/>
      <c r="E15" s="14" t="n"/>
      <c r="F15" s="14" t="n"/>
      <c r="G15" s="14" t="n"/>
      <c r="H15" s="14" t="n"/>
      <c r="I15" s="14" t="n"/>
      <c r="J15" s="14" t="n"/>
      <c r="K15" s="14" t="n"/>
      <c r="L15" s="14" t="n"/>
      <c r="M15" s="14" t="n"/>
      <c r="N15" s="14" t="n"/>
      <c r="O15" s="14" t="n"/>
      <c r="P15" s="13">
        <f>IF(B15="","","")</f>
        <v/>
      </c>
      <c r="Q15" s="14" t="n"/>
      <c r="R15" s="13">
        <f>IF(H15="Critical","P1-Critical",IF(H15="High","P2-High",IF(H15="Medium","P3-Medium","P4-Low")))</f>
        <v/>
      </c>
      <c r="S15" s="14" t="n"/>
    </row>
    <row r="16">
      <c r="A16" s="14" t="n"/>
      <c r="B16" s="14" t="n"/>
      <c r="C16" s="14" t="n"/>
      <c r="D16" s="14" t="n"/>
      <c r="E16" s="14" t="n"/>
      <c r="F16" s="14" t="n"/>
      <c r="G16" s="14" t="n"/>
      <c r="H16" s="14" t="n"/>
      <c r="I16" s="14" t="n"/>
      <c r="J16" s="14" t="n"/>
      <c r="K16" s="14" t="n"/>
      <c r="L16" s="14" t="n"/>
      <c r="M16" s="14" t="n"/>
      <c r="N16" s="14" t="n"/>
      <c r="O16" s="14" t="n"/>
      <c r="P16" s="13">
        <f>IF(B16="","","")</f>
        <v/>
      </c>
      <c r="Q16" s="14" t="n"/>
      <c r="R16" s="13">
        <f>IF(H16="Critical","P1-Critical",IF(H16="High","P2-High",IF(H16="Medium","P3-Medium","P4-Low")))</f>
        <v/>
      </c>
      <c r="S16" s="14" t="n"/>
    </row>
    <row r="17">
      <c r="A17" s="14" t="n"/>
      <c r="B17" s="14" t="n"/>
      <c r="C17" s="14" t="n"/>
      <c r="D17" s="14" t="n"/>
      <c r="E17" s="14" t="n"/>
      <c r="F17" s="14" t="n"/>
      <c r="G17" s="14" t="n"/>
      <c r="H17" s="14" t="n"/>
      <c r="I17" s="14" t="n"/>
      <c r="J17" s="14" t="n"/>
      <c r="K17" s="14" t="n"/>
      <c r="L17" s="14" t="n"/>
      <c r="M17" s="14" t="n"/>
      <c r="N17" s="14" t="n"/>
      <c r="O17" s="14" t="n"/>
      <c r="P17" s="13">
        <f>IF(B17="","","")</f>
        <v/>
      </c>
      <c r="Q17" s="14" t="n"/>
      <c r="R17" s="13">
        <f>IF(H17="Critical","P1-Critical",IF(H17="High","P2-High",IF(H17="Medium","P3-Medium","P4-Low")))</f>
        <v/>
      </c>
      <c r="S17" s="14" t="n"/>
    </row>
    <row r="18">
      <c r="A18" s="14" t="n"/>
      <c r="B18" s="14" t="n"/>
      <c r="C18" s="14" t="n"/>
      <c r="D18" s="14" t="n"/>
      <c r="E18" s="14" t="n"/>
      <c r="F18" s="14" t="n"/>
      <c r="G18" s="14" t="n"/>
      <c r="H18" s="14" t="n"/>
      <c r="I18" s="14" t="n"/>
      <c r="J18" s="14" t="n"/>
      <c r="K18" s="14" t="n"/>
      <c r="L18" s="14" t="n"/>
      <c r="M18" s="14" t="n"/>
      <c r="N18" s="14" t="n"/>
      <c r="O18" s="14" t="n"/>
      <c r="P18" s="13">
        <f>IF(B18="","","")</f>
        <v/>
      </c>
      <c r="Q18" s="14" t="n"/>
      <c r="R18" s="13">
        <f>IF(H18="Critical","P1-Critical",IF(H18="High","P2-High",IF(H18="Medium","P3-Medium","P4-Low")))</f>
        <v/>
      </c>
      <c r="S18" s="14" t="n"/>
    </row>
    <row r="19">
      <c r="A19" s="14" t="n"/>
      <c r="B19" s="14" t="n"/>
      <c r="C19" s="14" t="n"/>
      <c r="D19" s="14" t="n"/>
      <c r="E19" s="14" t="n"/>
      <c r="F19" s="14" t="n"/>
      <c r="G19" s="14" t="n"/>
      <c r="H19" s="14" t="n"/>
      <c r="I19" s="14" t="n"/>
      <c r="J19" s="14" t="n"/>
      <c r="K19" s="14" t="n"/>
      <c r="L19" s="14" t="n"/>
      <c r="M19" s="14" t="n"/>
      <c r="N19" s="14" t="n"/>
      <c r="O19" s="14" t="n"/>
      <c r="P19" s="13">
        <f>IF(B19="","","")</f>
        <v/>
      </c>
      <c r="Q19" s="14" t="n"/>
      <c r="R19" s="13">
        <f>IF(H19="Critical","P1-Critical",IF(H19="High","P2-High",IF(H19="Medium","P3-Medium","P4-Low")))</f>
        <v/>
      </c>
      <c r="S19" s="14" t="n"/>
    </row>
    <row r="20">
      <c r="A20" s="14" t="n"/>
      <c r="B20" s="14" t="n"/>
      <c r="C20" s="14" t="n"/>
      <c r="D20" s="14" t="n"/>
      <c r="E20" s="14" t="n"/>
      <c r="F20" s="14" t="n"/>
      <c r="G20" s="14" t="n"/>
      <c r="H20" s="14" t="n"/>
      <c r="I20" s="14" t="n"/>
      <c r="J20" s="14" t="n"/>
      <c r="K20" s="14" t="n"/>
      <c r="L20" s="14" t="n"/>
      <c r="M20" s="14" t="n"/>
      <c r="N20" s="14" t="n"/>
      <c r="O20" s="14" t="n"/>
      <c r="P20" s="13">
        <f>IF(B20="","","")</f>
        <v/>
      </c>
      <c r="Q20" s="14" t="n"/>
      <c r="R20" s="13">
        <f>IF(H20="Critical","P1-Critical",IF(H20="High","P2-High",IF(H20="Medium","P3-Medium","P4-Low")))</f>
        <v/>
      </c>
      <c r="S20" s="14" t="n"/>
    </row>
    <row r="21">
      <c r="A21" s="14" t="n"/>
      <c r="B21" s="14" t="n"/>
      <c r="C21" s="14" t="n"/>
      <c r="D21" s="14" t="n"/>
      <c r="E21" s="14" t="n"/>
      <c r="F21" s="14" t="n"/>
      <c r="G21" s="14" t="n"/>
      <c r="H21" s="14" t="n"/>
      <c r="I21" s="14" t="n"/>
      <c r="J21" s="14" t="n"/>
      <c r="K21" s="14" t="n"/>
      <c r="L21" s="14" t="n"/>
      <c r="M21" s="14" t="n"/>
      <c r="N21" s="14" t="n"/>
      <c r="O21" s="14" t="n"/>
      <c r="P21" s="13">
        <f>IF(B21="","","")</f>
        <v/>
      </c>
      <c r="Q21" s="14" t="n"/>
      <c r="R21" s="13">
        <f>IF(H21="Critical","P1-Critical",IF(H21="High","P2-High",IF(H21="Medium","P3-Medium","P4-Low")))</f>
        <v/>
      </c>
      <c r="S21" s="14" t="n"/>
    </row>
    <row r="22">
      <c r="A22" s="14" t="n"/>
      <c r="B22" s="14" t="n"/>
      <c r="C22" s="14" t="n"/>
      <c r="D22" s="14" t="n"/>
      <c r="E22" s="14" t="n"/>
      <c r="F22" s="14" t="n"/>
      <c r="G22" s="14" t="n"/>
      <c r="H22" s="14" t="n"/>
      <c r="I22" s="14" t="n"/>
      <c r="J22" s="14" t="n"/>
      <c r="K22" s="14" t="n"/>
      <c r="L22" s="14" t="n"/>
      <c r="M22" s="14" t="n"/>
      <c r="N22" s="14" t="n"/>
      <c r="O22" s="14" t="n"/>
      <c r="P22" s="13">
        <f>IF(B22="","","")</f>
        <v/>
      </c>
      <c r="Q22" s="14" t="n"/>
      <c r="R22" s="13">
        <f>IF(H22="Critical","P1-Critical",IF(H22="High","P2-High",IF(H22="Medium","P3-Medium","P4-Low")))</f>
        <v/>
      </c>
      <c r="S22" s="14" t="n"/>
    </row>
    <row r="23">
      <c r="A23" s="14" t="n"/>
      <c r="B23" s="14" t="n"/>
      <c r="C23" s="14" t="n"/>
      <c r="D23" s="14" t="n"/>
      <c r="E23" s="14" t="n"/>
      <c r="F23" s="14" t="n"/>
      <c r="G23" s="14" t="n"/>
      <c r="H23" s="14" t="n"/>
      <c r="I23" s="14" t="n"/>
      <c r="J23" s="14" t="n"/>
      <c r="K23" s="14" t="n"/>
      <c r="L23" s="14" t="n"/>
      <c r="M23" s="14" t="n"/>
      <c r="N23" s="14" t="n"/>
      <c r="O23" s="14" t="n"/>
      <c r="P23" s="13">
        <f>IF(B23="","","")</f>
        <v/>
      </c>
      <c r="Q23" s="14" t="n"/>
      <c r="R23" s="13">
        <f>IF(H23="Critical","P1-Critical",IF(H23="High","P2-High",IF(H23="Medium","P3-Medium","P4-Low")))</f>
        <v/>
      </c>
      <c r="S23" s="14" t="n"/>
    </row>
    <row r="24">
      <c r="A24" s="14" t="n"/>
      <c r="B24" s="14" t="n"/>
      <c r="C24" s="14" t="n"/>
      <c r="D24" s="14" t="n"/>
      <c r="E24" s="14" t="n"/>
      <c r="F24" s="14" t="n"/>
      <c r="G24" s="14" t="n"/>
      <c r="H24" s="14" t="n"/>
      <c r="I24" s="14" t="n"/>
      <c r="J24" s="14" t="n"/>
      <c r="K24" s="14" t="n"/>
      <c r="L24" s="14" t="n"/>
      <c r="M24" s="14" t="n"/>
      <c r="N24" s="14" t="n"/>
      <c r="O24" s="14" t="n"/>
      <c r="P24" s="13">
        <f>IF(B24="","","")</f>
        <v/>
      </c>
      <c r="Q24" s="14" t="n"/>
      <c r="R24" s="13">
        <f>IF(H24="Critical","P1-Critical",IF(H24="High","P2-High",IF(H24="Medium","P3-Medium","P4-Low")))</f>
        <v/>
      </c>
      <c r="S24" s="14" t="n"/>
    </row>
    <row r="25">
      <c r="A25" s="14" t="n"/>
      <c r="B25" s="14" t="n"/>
      <c r="C25" s="14" t="n"/>
      <c r="D25" s="14" t="n"/>
      <c r="E25" s="14" t="n"/>
      <c r="F25" s="14" t="n"/>
      <c r="G25" s="14" t="n"/>
      <c r="H25" s="14" t="n"/>
      <c r="I25" s="14" t="n"/>
      <c r="J25" s="14" t="n"/>
      <c r="K25" s="14" t="n"/>
      <c r="L25" s="14" t="n"/>
      <c r="M25" s="14" t="n"/>
      <c r="N25" s="14" t="n"/>
      <c r="O25" s="14" t="n"/>
      <c r="P25" s="13">
        <f>IF(B25="","","")</f>
        <v/>
      </c>
      <c r="Q25" s="14" t="n"/>
      <c r="R25" s="13">
        <f>IF(H25="Critical","P1-Critical",IF(H25="High","P2-High",IF(H25="Medium","P3-Medium","P4-Low")))</f>
        <v/>
      </c>
      <c r="S25" s="14" t="n"/>
    </row>
    <row r="26">
      <c r="A26" s="14" t="n"/>
      <c r="B26" s="14" t="n"/>
      <c r="C26" s="14" t="n"/>
      <c r="D26" s="14" t="n"/>
      <c r="E26" s="14" t="n"/>
      <c r="F26" s="14" t="n"/>
      <c r="G26" s="14" t="n"/>
      <c r="H26" s="14" t="n"/>
      <c r="I26" s="14" t="n"/>
      <c r="J26" s="14" t="n"/>
      <c r="K26" s="14" t="n"/>
      <c r="L26" s="14" t="n"/>
      <c r="M26" s="14" t="n"/>
      <c r="N26" s="14" t="n"/>
      <c r="O26" s="14" t="n"/>
      <c r="P26" s="13">
        <f>IF(B26="","","")</f>
        <v/>
      </c>
      <c r="Q26" s="14" t="n"/>
      <c r="R26" s="13">
        <f>IF(H26="Critical","P1-Critical",IF(H26="High","P2-High",IF(H26="Medium","P3-Medium","P4-Low")))</f>
        <v/>
      </c>
      <c r="S26" s="14" t="n"/>
    </row>
    <row r="27">
      <c r="A27" s="14" t="n"/>
      <c r="B27" s="14" t="n"/>
      <c r="C27" s="14" t="n"/>
      <c r="D27" s="14" t="n"/>
      <c r="E27" s="14" t="n"/>
      <c r="F27" s="14" t="n"/>
      <c r="G27" s="14" t="n"/>
      <c r="H27" s="14" t="n"/>
      <c r="I27" s="14" t="n"/>
      <c r="J27" s="14" t="n"/>
      <c r="K27" s="14" t="n"/>
      <c r="L27" s="14" t="n"/>
      <c r="M27" s="14" t="n"/>
      <c r="N27" s="14" t="n"/>
      <c r="O27" s="14" t="n"/>
      <c r="P27" s="13">
        <f>IF(B27="","","")</f>
        <v/>
      </c>
      <c r="Q27" s="14" t="n"/>
      <c r="R27" s="13">
        <f>IF(H27="Critical","P1-Critical",IF(H27="High","P2-High",IF(H27="Medium","P3-Medium","P4-Low")))</f>
        <v/>
      </c>
      <c r="S27" s="14" t="n"/>
    </row>
    <row r="28">
      <c r="A28" s="14" t="n"/>
      <c r="B28" s="14" t="n"/>
      <c r="C28" s="14" t="n"/>
      <c r="D28" s="14" t="n"/>
      <c r="E28" s="14" t="n"/>
      <c r="F28" s="14" t="n"/>
      <c r="G28" s="14" t="n"/>
      <c r="H28" s="14" t="n"/>
      <c r="I28" s="14" t="n"/>
      <c r="J28" s="14" t="n"/>
      <c r="K28" s="14" t="n"/>
      <c r="L28" s="14" t="n"/>
      <c r="M28" s="14" t="n"/>
      <c r="N28" s="14" t="n"/>
      <c r="O28" s="14" t="n"/>
      <c r="P28" s="13">
        <f>IF(B28="","","")</f>
        <v/>
      </c>
      <c r="Q28" s="14" t="n"/>
      <c r="R28" s="13">
        <f>IF(H28="Critical","P1-Critical",IF(H28="High","P2-High",IF(H28="Medium","P3-Medium","P4-Low")))</f>
        <v/>
      </c>
      <c r="S28" s="14" t="n"/>
    </row>
    <row r="29">
      <c r="A29" s="14" t="n"/>
      <c r="B29" s="14" t="n"/>
      <c r="C29" s="14" t="n"/>
      <c r="D29" s="14" t="n"/>
      <c r="E29" s="14" t="n"/>
      <c r="F29" s="14" t="n"/>
      <c r="G29" s="14" t="n"/>
      <c r="H29" s="14" t="n"/>
      <c r="I29" s="14" t="n"/>
      <c r="J29" s="14" t="n"/>
      <c r="K29" s="14" t="n"/>
      <c r="L29" s="14" t="n"/>
      <c r="M29" s="14" t="n"/>
      <c r="N29" s="14" t="n"/>
      <c r="O29" s="14" t="n"/>
      <c r="P29" s="13">
        <f>IF(B29="","","")</f>
        <v/>
      </c>
      <c r="Q29" s="14" t="n"/>
      <c r="R29" s="13">
        <f>IF(H29="Critical","P1-Critical",IF(H29="High","P2-High",IF(H29="Medium","P3-Medium","P4-Low")))</f>
        <v/>
      </c>
      <c r="S29" s="14" t="n"/>
    </row>
    <row r="30">
      <c r="A30" s="14" t="n"/>
      <c r="B30" s="14" t="n"/>
      <c r="C30" s="14" t="n"/>
      <c r="D30" s="14" t="n"/>
      <c r="E30" s="14" t="n"/>
      <c r="F30" s="14" t="n"/>
      <c r="G30" s="14" t="n"/>
      <c r="H30" s="14" t="n"/>
      <c r="I30" s="14" t="n"/>
      <c r="J30" s="14" t="n"/>
      <c r="K30" s="14" t="n"/>
      <c r="L30" s="14" t="n"/>
      <c r="M30" s="14" t="n"/>
      <c r="N30" s="14" t="n"/>
      <c r="O30" s="14" t="n"/>
      <c r="P30" s="13">
        <f>IF(B30="","","")</f>
        <v/>
      </c>
      <c r="Q30" s="14" t="n"/>
      <c r="R30" s="13">
        <f>IF(H30="Critical","P1-Critical",IF(H30="High","P2-High",IF(H30="Medium","P3-Medium","P4-Low")))</f>
        <v/>
      </c>
      <c r="S30" s="14" t="n"/>
    </row>
    <row r="31">
      <c r="A31" s="14" t="n"/>
      <c r="B31" s="14" t="n"/>
      <c r="C31" s="14" t="n"/>
      <c r="D31" s="14" t="n"/>
      <c r="E31" s="14" t="n"/>
      <c r="F31" s="14" t="n"/>
      <c r="G31" s="14" t="n"/>
      <c r="H31" s="14" t="n"/>
      <c r="I31" s="14" t="n"/>
      <c r="J31" s="14" t="n"/>
      <c r="K31" s="14" t="n"/>
      <c r="L31" s="14" t="n"/>
      <c r="M31" s="14" t="n"/>
      <c r="N31" s="14" t="n"/>
      <c r="O31" s="14" t="n"/>
      <c r="P31" s="13">
        <f>IF(B31="","","")</f>
        <v/>
      </c>
      <c r="Q31" s="14" t="n"/>
      <c r="R31" s="13">
        <f>IF(H31="Critical","P1-Critical",IF(H31="High","P2-High",IF(H31="Medium","P3-Medium","P4-Low")))</f>
        <v/>
      </c>
      <c r="S31" s="14" t="n"/>
    </row>
    <row r="32">
      <c r="A32" s="14" t="n"/>
      <c r="B32" s="14" t="n"/>
      <c r="C32" s="14" t="n"/>
      <c r="D32" s="14" t="n"/>
      <c r="E32" s="14" t="n"/>
      <c r="F32" s="14" t="n"/>
      <c r="G32" s="14" t="n"/>
      <c r="H32" s="14" t="n"/>
      <c r="I32" s="14" t="n"/>
      <c r="J32" s="14" t="n"/>
      <c r="K32" s="14" t="n"/>
      <c r="L32" s="14" t="n"/>
      <c r="M32" s="14" t="n"/>
      <c r="N32" s="14" t="n"/>
      <c r="O32" s="14" t="n"/>
      <c r="P32" s="13">
        <f>IF(B32="","","")</f>
        <v/>
      </c>
      <c r="Q32" s="14" t="n"/>
      <c r="R32" s="13">
        <f>IF(H32="Critical","P1-Critical",IF(H32="High","P2-High",IF(H32="Medium","P3-Medium","P4-Low")))</f>
        <v/>
      </c>
      <c r="S32" s="14" t="n"/>
    </row>
    <row r="33">
      <c r="A33" s="14" t="n"/>
      <c r="B33" s="14" t="n"/>
      <c r="C33" s="14" t="n"/>
      <c r="D33" s="14" t="n"/>
      <c r="E33" s="14" t="n"/>
      <c r="F33" s="14" t="n"/>
      <c r="G33" s="14" t="n"/>
      <c r="H33" s="14" t="n"/>
      <c r="I33" s="14" t="n"/>
      <c r="J33" s="14" t="n"/>
      <c r="K33" s="14" t="n"/>
      <c r="L33" s="14" t="n"/>
      <c r="M33" s="14" t="n"/>
      <c r="N33" s="14" t="n"/>
      <c r="O33" s="14" t="n"/>
      <c r="P33" s="13">
        <f>IF(B33="","","")</f>
        <v/>
      </c>
      <c r="Q33" s="14" t="n"/>
      <c r="R33" s="13">
        <f>IF(H33="Critical","P1-Critical",IF(H33="High","P2-High",IF(H33="Medium","P3-Medium","P4-Low")))</f>
        <v/>
      </c>
      <c r="S33" s="14" t="n"/>
    </row>
    <row r="34">
      <c r="A34" s="14" t="n"/>
      <c r="B34" s="14" t="n"/>
      <c r="C34" s="14" t="n"/>
      <c r="D34" s="14" t="n"/>
      <c r="E34" s="14" t="n"/>
      <c r="F34" s="14" t="n"/>
      <c r="G34" s="14" t="n"/>
      <c r="H34" s="14" t="n"/>
      <c r="I34" s="14" t="n"/>
      <c r="J34" s="14" t="n"/>
      <c r="K34" s="14" t="n"/>
      <c r="L34" s="14" t="n"/>
      <c r="M34" s="14" t="n"/>
      <c r="N34" s="14" t="n"/>
      <c r="O34" s="14" t="n"/>
      <c r="P34" s="13">
        <f>IF(B34="","","")</f>
        <v/>
      </c>
      <c r="Q34" s="14" t="n"/>
      <c r="R34" s="13">
        <f>IF(H34="Critical","P1-Critical",IF(H34="High","P2-High",IF(H34="Medium","P3-Medium","P4-Low")))</f>
        <v/>
      </c>
      <c r="S34" s="14" t="n"/>
    </row>
    <row r="35">
      <c r="A35" s="14" t="n"/>
      <c r="B35" s="14" t="n"/>
      <c r="C35" s="14" t="n"/>
      <c r="D35" s="14" t="n"/>
      <c r="E35" s="14" t="n"/>
      <c r="F35" s="14" t="n"/>
      <c r="G35" s="14" t="n"/>
      <c r="H35" s="14" t="n"/>
      <c r="I35" s="14" t="n"/>
      <c r="J35" s="14" t="n"/>
      <c r="K35" s="14" t="n"/>
      <c r="L35" s="14" t="n"/>
      <c r="M35" s="14" t="n"/>
      <c r="N35" s="14" t="n"/>
      <c r="O35" s="14" t="n"/>
      <c r="P35" s="13">
        <f>IF(B35="","","")</f>
        <v/>
      </c>
      <c r="Q35" s="14" t="n"/>
      <c r="R35" s="13">
        <f>IF(H35="Critical","P1-Critical",IF(H35="High","P2-High",IF(H35="Medium","P3-Medium","P4-Low")))</f>
        <v/>
      </c>
      <c r="S35" s="14" t="n"/>
    </row>
    <row r="36">
      <c r="A36" s="14" t="n"/>
      <c r="B36" s="14" t="n"/>
      <c r="C36" s="14" t="n"/>
      <c r="D36" s="14" t="n"/>
      <c r="E36" s="14" t="n"/>
      <c r="F36" s="14" t="n"/>
      <c r="G36" s="14" t="n"/>
      <c r="H36" s="14" t="n"/>
      <c r="I36" s="14" t="n"/>
      <c r="J36" s="14" t="n"/>
      <c r="K36" s="14" t="n"/>
      <c r="L36" s="14" t="n"/>
      <c r="M36" s="14" t="n"/>
      <c r="N36" s="14" t="n"/>
      <c r="O36" s="14" t="n"/>
      <c r="P36" s="13">
        <f>IF(B36="","","")</f>
        <v/>
      </c>
      <c r="Q36" s="14" t="n"/>
      <c r="R36" s="13">
        <f>IF(H36="Critical","P1-Critical",IF(H36="High","P2-High",IF(H36="Medium","P3-Medium","P4-Low")))</f>
        <v/>
      </c>
      <c r="S36" s="14" t="n"/>
    </row>
    <row r="37">
      <c r="A37" s="14" t="n"/>
      <c r="B37" s="14" t="n"/>
      <c r="C37" s="14" t="n"/>
      <c r="D37" s="14" t="n"/>
      <c r="E37" s="14" t="n"/>
      <c r="F37" s="14" t="n"/>
      <c r="G37" s="14" t="n"/>
      <c r="H37" s="14" t="n"/>
      <c r="I37" s="14" t="n"/>
      <c r="J37" s="14" t="n"/>
      <c r="K37" s="14" t="n"/>
      <c r="L37" s="14" t="n"/>
      <c r="M37" s="14" t="n"/>
      <c r="N37" s="14" t="n"/>
      <c r="O37" s="14" t="n"/>
      <c r="P37" s="13">
        <f>IF(B37="","","")</f>
        <v/>
      </c>
      <c r="Q37" s="14" t="n"/>
      <c r="R37" s="13">
        <f>IF(H37="Critical","P1-Critical",IF(H37="High","P2-High",IF(H37="Medium","P3-Medium","P4-Low")))</f>
        <v/>
      </c>
      <c r="S37" s="14" t="n"/>
    </row>
    <row r="38">
      <c r="A38" s="14" t="n"/>
      <c r="B38" s="14" t="n"/>
      <c r="C38" s="14" t="n"/>
      <c r="D38" s="14" t="n"/>
      <c r="E38" s="14" t="n"/>
      <c r="F38" s="14" t="n"/>
      <c r="G38" s="14" t="n"/>
      <c r="H38" s="14" t="n"/>
      <c r="I38" s="14" t="n"/>
      <c r="J38" s="14" t="n"/>
      <c r="K38" s="14" t="n"/>
      <c r="L38" s="14" t="n"/>
      <c r="M38" s="14" t="n"/>
      <c r="N38" s="14" t="n"/>
      <c r="O38" s="14" t="n"/>
      <c r="P38" s="13">
        <f>IF(B38="","","")</f>
        <v/>
      </c>
      <c r="Q38" s="14" t="n"/>
      <c r="R38" s="13">
        <f>IF(H38="Critical","P1-Critical",IF(H38="High","P2-High",IF(H38="Medium","P3-Medium","P4-Low")))</f>
        <v/>
      </c>
      <c r="S38" s="14" t="n"/>
    </row>
    <row r="39">
      <c r="A39" s="14" t="n"/>
      <c r="B39" s="14" t="n"/>
      <c r="C39" s="14" t="n"/>
      <c r="D39" s="14" t="n"/>
      <c r="E39" s="14" t="n"/>
      <c r="F39" s="14" t="n"/>
      <c r="G39" s="14" t="n"/>
      <c r="H39" s="14" t="n"/>
      <c r="I39" s="14" t="n"/>
      <c r="J39" s="14" t="n"/>
      <c r="K39" s="14" t="n"/>
      <c r="L39" s="14" t="n"/>
      <c r="M39" s="14" t="n"/>
      <c r="N39" s="14" t="n"/>
      <c r="O39" s="14" t="n"/>
      <c r="P39" s="13">
        <f>IF(B39="","","")</f>
        <v/>
      </c>
      <c r="Q39" s="14" t="n"/>
      <c r="R39" s="13">
        <f>IF(H39="Critical","P1-Critical",IF(H39="High","P2-High",IF(H39="Medium","P3-Medium","P4-Low")))</f>
        <v/>
      </c>
      <c r="S39" s="14" t="n"/>
    </row>
    <row r="40">
      <c r="A40" s="14" t="n"/>
      <c r="B40" s="14" t="n"/>
      <c r="C40" s="14" t="n"/>
      <c r="D40" s="14" t="n"/>
      <c r="E40" s="14" t="n"/>
      <c r="F40" s="14" t="n"/>
      <c r="G40" s="14" t="n"/>
      <c r="H40" s="14" t="n"/>
      <c r="I40" s="14" t="n"/>
      <c r="J40" s="14" t="n"/>
      <c r="K40" s="14" t="n"/>
      <c r="L40" s="14" t="n"/>
      <c r="M40" s="14" t="n"/>
      <c r="N40" s="14" t="n"/>
      <c r="O40" s="14" t="n"/>
      <c r="P40" s="13">
        <f>IF(B40="","","")</f>
        <v/>
      </c>
      <c r="Q40" s="14" t="n"/>
      <c r="R40" s="13">
        <f>IF(H40="Critical","P1-Critical",IF(H40="High","P2-High",IF(H40="Medium","P3-Medium","P4-Low")))</f>
        <v/>
      </c>
      <c r="S40" s="14" t="n"/>
    </row>
    <row r="41">
      <c r="A41" s="14" t="n"/>
      <c r="B41" s="14" t="n"/>
      <c r="C41" s="14" t="n"/>
      <c r="D41" s="14" t="n"/>
      <c r="E41" s="14" t="n"/>
      <c r="F41" s="14" t="n"/>
      <c r="G41" s="14" t="n"/>
      <c r="H41" s="14" t="n"/>
      <c r="I41" s="14" t="n"/>
      <c r="J41" s="14" t="n"/>
      <c r="K41" s="14" t="n"/>
      <c r="L41" s="14" t="n"/>
      <c r="M41" s="14" t="n"/>
      <c r="N41" s="14" t="n"/>
      <c r="O41" s="14" t="n"/>
      <c r="P41" s="13">
        <f>IF(B41="","","")</f>
        <v/>
      </c>
      <c r="Q41" s="14" t="n"/>
      <c r="R41" s="13">
        <f>IF(H41="Critical","P1-Critical",IF(H41="High","P2-High",IF(H41="Medium","P3-Medium","P4-Low")))</f>
        <v/>
      </c>
      <c r="S41" s="14" t="n"/>
    </row>
    <row r="42">
      <c r="A42" s="14" t="n"/>
      <c r="B42" s="14" t="n"/>
      <c r="C42" s="14" t="n"/>
      <c r="D42" s="14" t="n"/>
      <c r="E42" s="14" t="n"/>
      <c r="F42" s="14" t="n"/>
      <c r="G42" s="14" t="n"/>
      <c r="H42" s="14" t="n"/>
      <c r="I42" s="14" t="n"/>
      <c r="J42" s="14" t="n"/>
      <c r="K42" s="14" t="n"/>
      <c r="L42" s="14" t="n"/>
      <c r="M42" s="14" t="n"/>
      <c r="N42" s="14" t="n"/>
      <c r="O42" s="14" t="n"/>
      <c r="P42" s="13">
        <f>IF(B42="","","")</f>
        <v/>
      </c>
      <c r="Q42" s="14" t="n"/>
      <c r="R42" s="13">
        <f>IF(H42="Critical","P1-Critical",IF(H42="High","P2-High",IF(H42="Medium","P3-Medium","P4-Low")))</f>
        <v/>
      </c>
      <c r="S42" s="14" t="n"/>
    </row>
    <row r="43">
      <c r="A43" s="14" t="n"/>
      <c r="B43" s="14" t="n"/>
      <c r="C43" s="14" t="n"/>
      <c r="D43" s="14" t="n"/>
      <c r="E43" s="14" t="n"/>
      <c r="F43" s="14" t="n"/>
      <c r="G43" s="14" t="n"/>
      <c r="H43" s="14" t="n"/>
      <c r="I43" s="14" t="n"/>
      <c r="J43" s="14" t="n"/>
      <c r="K43" s="14" t="n"/>
      <c r="L43" s="14" t="n"/>
      <c r="M43" s="14" t="n"/>
      <c r="N43" s="14" t="n"/>
      <c r="O43" s="14" t="n"/>
      <c r="P43" s="13">
        <f>IF(B43="","","")</f>
        <v/>
      </c>
      <c r="Q43" s="14" t="n"/>
      <c r="R43" s="13">
        <f>IF(H43="Critical","P1-Critical",IF(H43="High","P2-High",IF(H43="Medium","P3-Medium","P4-Low")))</f>
        <v/>
      </c>
      <c r="S43" s="14" t="n"/>
    </row>
    <row r="44">
      <c r="A44" s="14" t="n"/>
      <c r="B44" s="14" t="n"/>
      <c r="C44" s="14" t="n"/>
      <c r="D44" s="14" t="n"/>
      <c r="E44" s="14" t="n"/>
      <c r="F44" s="14" t="n"/>
      <c r="G44" s="14" t="n"/>
      <c r="H44" s="14" t="n"/>
      <c r="I44" s="14" t="n"/>
      <c r="J44" s="14" t="n"/>
      <c r="K44" s="14" t="n"/>
      <c r="L44" s="14" t="n"/>
      <c r="M44" s="14" t="n"/>
      <c r="N44" s="14" t="n"/>
      <c r="O44" s="14" t="n"/>
      <c r="P44" s="13">
        <f>IF(B44="","","")</f>
        <v/>
      </c>
      <c r="Q44" s="14" t="n"/>
      <c r="R44" s="13">
        <f>IF(H44="Critical","P1-Critical",IF(H44="High","P2-High",IF(H44="Medium","P3-Medium","P4-Low")))</f>
        <v/>
      </c>
      <c r="S44" s="14" t="n"/>
    </row>
    <row r="45">
      <c r="A45" s="14" t="n"/>
      <c r="B45" s="14" t="n"/>
      <c r="C45" s="14" t="n"/>
      <c r="D45" s="14" t="n"/>
      <c r="E45" s="14" t="n"/>
      <c r="F45" s="14" t="n"/>
      <c r="G45" s="14" t="n"/>
      <c r="H45" s="14" t="n"/>
      <c r="I45" s="14" t="n"/>
      <c r="J45" s="14" t="n"/>
      <c r="K45" s="14" t="n"/>
      <c r="L45" s="14" t="n"/>
      <c r="M45" s="14" t="n"/>
      <c r="N45" s="14" t="n"/>
      <c r="O45" s="14" t="n"/>
      <c r="P45" s="13">
        <f>IF(B45="","","")</f>
        <v/>
      </c>
      <c r="Q45" s="14" t="n"/>
      <c r="R45" s="13">
        <f>IF(H45="Critical","P1-Critical",IF(H45="High","P2-High",IF(H45="Medium","P3-Medium","P4-Low")))</f>
        <v/>
      </c>
      <c r="S45" s="14" t="n"/>
    </row>
    <row r="46">
      <c r="A46" s="14" t="n"/>
      <c r="B46" s="14" t="n"/>
      <c r="C46" s="14" t="n"/>
      <c r="D46" s="14" t="n"/>
      <c r="E46" s="14" t="n"/>
      <c r="F46" s="14" t="n"/>
      <c r="G46" s="14" t="n"/>
      <c r="H46" s="14" t="n"/>
      <c r="I46" s="14" t="n"/>
      <c r="J46" s="14" t="n"/>
      <c r="K46" s="14" t="n"/>
      <c r="L46" s="14" t="n"/>
      <c r="M46" s="14" t="n"/>
      <c r="N46" s="14" t="n"/>
      <c r="O46" s="14" t="n"/>
      <c r="P46" s="13">
        <f>IF(B46="","","")</f>
        <v/>
      </c>
      <c r="Q46" s="14" t="n"/>
      <c r="R46" s="13">
        <f>IF(H46="Critical","P1-Critical",IF(H46="High","P2-High",IF(H46="Medium","P3-Medium","P4-Low")))</f>
        <v/>
      </c>
      <c r="S46" s="14" t="n"/>
    </row>
    <row r="47">
      <c r="A47" s="14" t="n"/>
      <c r="B47" s="14" t="n"/>
      <c r="C47" s="14" t="n"/>
      <c r="D47" s="14" t="n"/>
      <c r="E47" s="14" t="n"/>
      <c r="F47" s="14" t="n"/>
      <c r="G47" s="14" t="n"/>
      <c r="H47" s="14" t="n"/>
      <c r="I47" s="14" t="n"/>
      <c r="J47" s="14" t="n"/>
      <c r="K47" s="14" t="n"/>
      <c r="L47" s="14" t="n"/>
      <c r="M47" s="14" t="n"/>
      <c r="N47" s="14" t="n"/>
      <c r="O47" s="14" t="n"/>
      <c r="P47" s="13">
        <f>IF(B47="","","")</f>
        <v/>
      </c>
      <c r="Q47" s="14" t="n"/>
      <c r="R47" s="13">
        <f>IF(H47="Critical","P1-Critical",IF(H47="High","P2-High",IF(H47="Medium","P3-Medium","P4-Low")))</f>
        <v/>
      </c>
      <c r="S47" s="14" t="n"/>
    </row>
    <row r="48">
      <c r="A48" s="14" t="n"/>
      <c r="B48" s="14" t="n"/>
      <c r="C48" s="14" t="n"/>
      <c r="D48" s="14" t="n"/>
      <c r="E48" s="14" t="n"/>
      <c r="F48" s="14" t="n"/>
      <c r="G48" s="14" t="n"/>
      <c r="H48" s="14" t="n"/>
      <c r="I48" s="14" t="n"/>
      <c r="J48" s="14" t="n"/>
      <c r="K48" s="14" t="n"/>
      <c r="L48" s="14" t="n"/>
      <c r="M48" s="14" t="n"/>
      <c r="N48" s="14" t="n"/>
      <c r="O48" s="14" t="n"/>
      <c r="P48" s="13">
        <f>IF(B48="","","")</f>
        <v/>
      </c>
      <c r="Q48" s="14" t="n"/>
      <c r="R48" s="13">
        <f>IF(H48="Critical","P1-Critical",IF(H48="High","P2-High",IF(H48="Medium","P3-Medium","P4-Low")))</f>
        <v/>
      </c>
      <c r="S48" s="14" t="n"/>
    </row>
    <row r="49">
      <c r="A49" s="14" t="n"/>
      <c r="B49" s="14" t="n"/>
      <c r="C49" s="14" t="n"/>
      <c r="D49" s="14" t="n"/>
      <c r="E49" s="14" t="n"/>
      <c r="F49" s="14" t="n"/>
      <c r="G49" s="14" t="n"/>
      <c r="H49" s="14" t="n"/>
      <c r="I49" s="14" t="n"/>
      <c r="J49" s="14" t="n"/>
      <c r="K49" s="14" t="n"/>
      <c r="L49" s="14" t="n"/>
      <c r="M49" s="14" t="n"/>
      <c r="N49" s="14" t="n"/>
      <c r="O49" s="14" t="n"/>
      <c r="P49" s="13">
        <f>IF(B49="","","")</f>
        <v/>
      </c>
      <c r="Q49" s="14" t="n"/>
      <c r="R49" s="13">
        <f>IF(H49="Critical","P1-Critical",IF(H49="High","P2-High",IF(H49="Medium","P3-Medium","P4-Low")))</f>
        <v/>
      </c>
      <c r="S49" s="14" t="n"/>
    </row>
    <row r="50">
      <c r="A50" s="14" t="n"/>
      <c r="B50" s="14" t="n"/>
      <c r="C50" s="14" t="n"/>
      <c r="D50" s="14" t="n"/>
      <c r="E50" s="14" t="n"/>
      <c r="F50" s="14" t="n"/>
      <c r="G50" s="14" t="n"/>
      <c r="H50" s="14" t="n"/>
      <c r="I50" s="14" t="n"/>
      <c r="J50" s="14" t="n"/>
      <c r="K50" s="14" t="n"/>
      <c r="L50" s="14" t="n"/>
      <c r="M50" s="14" t="n"/>
      <c r="N50" s="14" t="n"/>
      <c r="O50" s="14" t="n"/>
      <c r="P50" s="13">
        <f>IF(B50="","","")</f>
        <v/>
      </c>
      <c r="Q50" s="14" t="n"/>
      <c r="R50" s="13">
        <f>IF(H50="Critical","P1-Critical",IF(H50="High","P2-High",IF(H50="Medium","P3-Medium","P4-Low")))</f>
        <v/>
      </c>
      <c r="S50" s="14" t="n"/>
    </row>
    <row r="51">
      <c r="A51" s="14" t="n"/>
      <c r="B51" s="14" t="n"/>
      <c r="C51" s="14" t="n"/>
      <c r="D51" s="14" t="n"/>
      <c r="E51" s="14" t="n"/>
      <c r="F51" s="14" t="n"/>
      <c r="G51" s="14" t="n"/>
      <c r="H51" s="14" t="n"/>
      <c r="I51" s="14" t="n"/>
      <c r="J51" s="14" t="n"/>
      <c r="K51" s="14" t="n"/>
      <c r="L51" s="14" t="n"/>
      <c r="M51" s="14" t="n"/>
      <c r="N51" s="14" t="n"/>
      <c r="O51" s="14" t="n"/>
      <c r="P51" s="13">
        <f>IF(B51="","","")</f>
        <v/>
      </c>
      <c r="Q51" s="14" t="n"/>
      <c r="R51" s="13">
        <f>IF(H51="Critical","P1-Critical",IF(H51="High","P2-High",IF(H51="Medium","P3-Medium","P4-Low")))</f>
        <v/>
      </c>
      <c r="S51" s="14" t="n"/>
    </row>
    <row r="52">
      <c r="A52" s="14" t="n"/>
      <c r="B52" s="14" t="n"/>
      <c r="C52" s="14" t="n"/>
      <c r="D52" s="14" t="n"/>
      <c r="E52" s="14" t="n"/>
      <c r="F52" s="14" t="n"/>
      <c r="G52" s="14" t="n"/>
      <c r="H52" s="14" t="n"/>
      <c r="I52" s="14" t="n"/>
      <c r="J52" s="14" t="n"/>
      <c r="K52" s="14" t="n"/>
      <c r="L52" s="14" t="n"/>
      <c r="M52" s="14" t="n"/>
      <c r="N52" s="14" t="n"/>
      <c r="O52" s="14" t="n"/>
      <c r="P52" s="13">
        <f>IF(B52="","","")</f>
        <v/>
      </c>
      <c r="Q52" s="14" t="n"/>
      <c r="R52" s="13">
        <f>IF(H52="Critical","P1-Critical",IF(H52="High","P2-High",IF(H52="Medium","P3-Medium","P4-Low")))</f>
        <v/>
      </c>
      <c r="S52" s="14" t="n"/>
    </row>
    <row r="53">
      <c r="A53" s="14" t="n"/>
      <c r="B53" s="14" t="n"/>
      <c r="C53" s="14" t="n"/>
      <c r="D53" s="14" t="n"/>
      <c r="E53" s="14" t="n"/>
      <c r="F53" s="14" t="n"/>
      <c r="G53" s="14" t="n"/>
      <c r="H53" s="14" t="n"/>
      <c r="I53" s="14" t="n"/>
      <c r="J53" s="14" t="n"/>
      <c r="K53" s="14" t="n"/>
      <c r="L53" s="14" t="n"/>
      <c r="M53" s="14" t="n"/>
      <c r="N53" s="14" t="n"/>
      <c r="O53" s="14" t="n"/>
      <c r="P53" s="13">
        <f>IF(B53="","","")</f>
        <v/>
      </c>
      <c r="Q53" s="14" t="n"/>
      <c r="R53" s="13">
        <f>IF(H53="Critical","P1-Critical",IF(H53="High","P2-High",IF(H53="Medium","P3-Medium","P4-Low")))</f>
        <v/>
      </c>
      <c r="S53" s="14" t="n"/>
    </row>
    <row r="54">
      <c r="A54" s="14" t="n"/>
      <c r="B54" s="14" t="n"/>
      <c r="C54" s="14" t="n"/>
      <c r="D54" s="14" t="n"/>
      <c r="E54" s="14" t="n"/>
      <c r="F54" s="14" t="n"/>
      <c r="G54" s="14" t="n"/>
      <c r="H54" s="14" t="n"/>
      <c r="I54" s="14" t="n"/>
      <c r="J54" s="14" t="n"/>
      <c r="K54" s="14" t="n"/>
      <c r="L54" s="14" t="n"/>
      <c r="M54" s="14" t="n"/>
      <c r="N54" s="14" t="n"/>
      <c r="O54" s="14" t="n"/>
      <c r="P54" s="13">
        <f>IF(B54="","","")</f>
        <v/>
      </c>
      <c r="Q54" s="14" t="n"/>
      <c r="R54" s="13">
        <f>IF(H54="Critical","P1-Critical",IF(H54="High","P2-High",IF(H54="Medium","P3-Medium","P4-Low")))</f>
        <v/>
      </c>
      <c r="S54" s="14" t="n"/>
    </row>
  </sheetData>
  <mergeCells count="1">
    <mergeCell ref="A1:S1"/>
  </mergeCells>
  <conditionalFormatting sqref="H4:H54">
    <cfRule type="cellIs" priority="1" operator="equal" dxfId="0">
      <formula>"Critical"</formula>
    </cfRule>
    <cfRule type="cellIs" priority="2" operator="equal" dxfId="1">
      <formula>"High"</formula>
    </cfRule>
    <cfRule type="cellIs" priority="3" operator="equal" dxfId="2">
      <formula>"Medium"</formula>
    </cfRule>
  </conditionalFormatting>
  <conditionalFormatting sqref="K4:K54">
    <cfRule type="cellIs" priority="4" operator="equal" dxfId="3">
      <formula>"Yes (Change ID)"</formula>
    </cfRule>
    <cfRule type="cellIs" priority="5" operator="equal" dxfId="1">
      <formula>"No (Unauthorised)"</formula>
    </cfRule>
  </conditionalFormatting>
  <conditionalFormatting sqref="O4:O54">
    <cfRule type="cellIs" priority="6" operator="equal" dxfId="3">
      <formula>"Closed"</formula>
    </cfRule>
  </conditionalFormatting>
  <dataValidations count="5">
    <dataValidation sqref="H4:H54" showDropDown="0" showInputMessage="0" showErrorMessage="0" allowBlank="0" errorTitle="Invalid Entry" error="Invalid entry" promptTitle="Selection Required" prompt="Please select from the dropdown" type="list">
      <formula1>"Critical,High,Medium,Low,ℹ️ Informational"</formula1>
    </dataValidation>
    <dataValidation sqref="I4:I54" showDropDown="0" showInputMessage="0" showErrorMessage="0" allowBlank="0" errorTitle="Invalid Entry" error="Invalid entry" promptTitle="Selection Required" prompt="Please select from the dropdown" type="list">
      <formula1>"Automated Continuous,Scheduled Scan,Manual Check,User Report"</formula1>
    </dataValidation>
    <dataValidation sqref="K4:K54" showDropDown="0" showInputMessage="0" showErrorMessage="0" allowBlank="0" errorTitle="Invalid Entry" error="Invalid entry" promptTitle="Selection Required" prompt="Please select from the dropdown" type="list">
      <formula1>"Yes (Change ID),No (Unauthorised),Under Investigation"</formula1>
    </dataValidation>
    <dataValidation sqref="M4:M54" showDropDown="0" showInputMessage="0" showErrorMessage="0" allowBlank="1" errorTitle="Invalid Entry" error="Invalid entry" promptTitle="Selection Required" prompt="Please select from the dropdown" type="list">
      <formula1>"Unauthorised Manual Change,Tool Failure,Software Update,Baseline Not Updated,Environmental,Malicious,Other"</formula1>
    </dataValidation>
    <dataValidation sqref="O4:O54" showDropDown="0" showInputMessage="0" showErrorMessage="0" allowBlank="0" errorTitle="Invalid Entry" error="Invalid entry" promptTitle="Selection Required" prompt="Please select from the dropdown" type="list">
      <formula1>"⚠️ Detected,⏳ Under Investigation,⏳ Remediation In Progress,✅ Remediated,✔️ Closed,➖ False Positive"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20" customWidth="1" min="4" max="4"/>
    <col width="40" customWidth="1" min="5" max="5"/>
    <col width="35" customWidth="1" min="6" max="6"/>
    <col width="15" customWidth="1" min="7" max="7"/>
    <col width="18" customWidth="1" min="8" max="8"/>
    <col width="35" customWidth="1" min="9" max="9"/>
    <col width="20" customWidth="1" min="10" max="10"/>
    <col width="20" customWidth="1" min="11" max="11"/>
    <col width="15" customWidth="1" min="12" max="12"/>
    <col width="15" customWidth="1" min="13" max="13"/>
    <col width="35" customWidth="1" min="14" max="14"/>
    <col width="20" customWidth="1" min="15" max="15"/>
    <col width="35" customWidth="1" min="16" max="16"/>
  </cols>
  <sheetData>
    <row r="1" ht="35" customHeight="1">
      <c r="A1" s="11" t="inlineStr">
        <is>
          <t>MONITORING TOOL INVENTORY</t>
        </is>
      </c>
    </row>
    <row r="2">
      <c r="A2" s="12" t="inlineStr">
        <is>
          <t>Tool ID</t>
        </is>
      </c>
      <c r="B2" s="12" t="inlineStr">
        <is>
          <t>Tool Name</t>
        </is>
      </c>
      <c r="C2" s="12" t="inlineStr">
        <is>
          <t>Vendor</t>
        </is>
      </c>
      <c r="D2" s="12" t="inlineStr">
        <is>
          <t>Tool Type</t>
        </is>
      </c>
      <c r="E2" s="12" t="inlineStr">
        <is>
          <t>Monitoring Capabilities</t>
        </is>
      </c>
      <c r="F2" s="12" t="inlineStr">
        <is>
          <t>Asset Types Covered</t>
        </is>
      </c>
      <c r="G2" s="12" t="inlineStr">
        <is>
          <t>Assets Monitored Count</t>
        </is>
      </c>
      <c r="H2" s="12" t="inlineStr">
        <is>
          <t>Deployment Status</t>
        </is>
      </c>
      <c r="I2" s="12" t="inlineStr">
        <is>
          <t>Integration Points</t>
        </is>
      </c>
      <c r="J2" s="12" t="inlineStr">
        <is>
          <t>Alerting Method</t>
        </is>
      </c>
      <c r="K2" s="12" t="inlineStr">
        <is>
          <t>Licensing Model</t>
        </is>
      </c>
      <c r="L2" s="12" t="inlineStr">
        <is>
          <t>Annual Cost</t>
        </is>
      </c>
      <c r="M2" s="12" t="inlineStr">
        <is>
          <t>Last Health Check</t>
        </is>
      </c>
      <c r="N2" s="12" t="inlineStr">
        <is>
          <t>Known Limitations</t>
        </is>
      </c>
      <c r="O2" s="12" t="inlineStr">
        <is>
          <t>Tool Owner</t>
        </is>
      </c>
      <c r="P2" s="12" t="inlineStr">
        <is>
          <t>Notes</t>
        </is>
      </c>
    </row>
    <row r="4">
      <c r="A4" s="13" t="inlineStr">
        <is>
          <t>TOOL-001</t>
        </is>
      </c>
      <c r="B4" s="13" t="inlineStr">
        <is>
          <t>CIS-CAT Pro Scanner</t>
        </is>
      </c>
      <c r="C4" s="13" t="inlineStr">
        <is>
          <t>Centre for Internet Security</t>
        </is>
      </c>
      <c r="D4" s="13" t="inlineStr">
        <is>
          <t>Agentless</t>
        </is>
      </c>
      <c r="E4" s="13" t="inlineStr">
        <is>
          <t>CIS Benchmark compliance scanning, configuration drift detection</t>
        </is>
      </c>
      <c r="F4" s="13" t="inlineStr">
        <is>
          <t>Physical Server, Virtual Machine, Desktop, Laptop</t>
        </is>
      </c>
      <c r="G4" s="13" t="n">
        <v>42</v>
      </c>
      <c r="H4" s="13" t="inlineStr">
        <is>
          <t>✅ Active</t>
        </is>
      </c>
      <c r="I4" s="13" t="inlineStr">
        <is>
          <t>SIEM, Ticketing System</t>
        </is>
      </c>
      <c r="J4" s="13" t="inlineStr">
        <is>
          <t>SIEM</t>
        </is>
      </c>
      <c r="K4" s="13" t="inlineStr">
        <is>
          <t>Commercial</t>
        </is>
      </c>
      <c r="L4" s="13" t="n">
        <v>4500</v>
      </c>
      <c r="M4" s="13" t="inlineStr">
        <is>
          <t>15.01.2026</t>
        </is>
      </c>
      <c r="N4" s="13" t="inlineStr">
        <is>
          <t>No cloud-native asset support</t>
        </is>
      </c>
      <c r="O4" s="13" t="inlineStr">
        <is>
          <t>J. Smith (Sec Ops)</t>
        </is>
      </c>
      <c r="P4" s="13" t="inlineStr">
        <is>
          <t>Annual renewal due 01.06.2026</t>
        </is>
      </c>
    </row>
    <row r="5">
      <c r="A5" s="14" t="n"/>
      <c r="B5" s="14" t="n"/>
      <c r="C5" s="14" t="n"/>
      <c r="D5" s="14" t="n"/>
      <c r="E5" s="14" t="n"/>
      <c r="F5" s="14" t="n"/>
      <c r="G5" s="14" t="n"/>
      <c r="H5" s="14" t="n"/>
      <c r="I5" s="14" t="n"/>
      <c r="J5" s="14" t="n"/>
      <c r="K5" s="14" t="n"/>
      <c r="L5" s="14" t="n"/>
      <c r="M5" s="14" t="n"/>
      <c r="N5" s="14" t="n"/>
      <c r="O5" s="14" t="n"/>
      <c r="P5" s="14" t="n"/>
    </row>
    <row r="6">
      <c r="A6" s="14" t="n"/>
      <c r="B6" s="14" t="n"/>
      <c r="C6" s="14" t="n"/>
      <c r="D6" s="14" t="n"/>
      <c r="E6" s="14" t="n"/>
      <c r="F6" s="14" t="n"/>
      <c r="G6" s="14" t="n"/>
      <c r="H6" s="14" t="n"/>
      <c r="I6" s="14" t="n"/>
      <c r="J6" s="14" t="n"/>
      <c r="K6" s="14" t="n"/>
      <c r="L6" s="14" t="n"/>
      <c r="M6" s="14" t="n"/>
      <c r="N6" s="14" t="n"/>
      <c r="O6" s="14" t="n"/>
      <c r="P6" s="14" t="n"/>
    </row>
    <row r="7">
      <c r="A7" s="14" t="n"/>
      <c r="B7" s="14" t="n"/>
      <c r="C7" s="14" t="n"/>
      <c r="D7" s="14" t="n"/>
      <c r="E7" s="14" t="n"/>
      <c r="F7" s="14" t="n"/>
      <c r="G7" s="14" t="n"/>
      <c r="H7" s="14" t="n"/>
      <c r="I7" s="14" t="n"/>
      <c r="J7" s="14" t="n"/>
      <c r="K7" s="14" t="n"/>
      <c r="L7" s="14" t="n"/>
      <c r="M7" s="14" t="n"/>
      <c r="N7" s="14" t="n"/>
      <c r="O7" s="14" t="n"/>
      <c r="P7" s="14" t="n"/>
    </row>
    <row r="8">
      <c r="A8" s="14" t="n"/>
      <c r="B8" s="14" t="n"/>
      <c r="C8" s="14" t="n"/>
      <c r="D8" s="14" t="n"/>
      <c r="E8" s="14" t="n"/>
      <c r="F8" s="14" t="n"/>
      <c r="G8" s="14" t="n"/>
      <c r="H8" s="14" t="n"/>
      <c r="I8" s="14" t="n"/>
      <c r="J8" s="14" t="n"/>
      <c r="K8" s="14" t="n"/>
      <c r="L8" s="14" t="n"/>
      <c r="M8" s="14" t="n"/>
      <c r="N8" s="14" t="n"/>
      <c r="O8" s="14" t="n"/>
      <c r="P8" s="14" t="n"/>
    </row>
    <row r="9">
      <c r="A9" s="14" t="n"/>
      <c r="B9" s="14" t="n"/>
      <c r="C9" s="14" t="n"/>
      <c r="D9" s="14" t="n"/>
      <c r="E9" s="14" t="n"/>
      <c r="F9" s="14" t="n"/>
      <c r="G9" s="14" t="n"/>
      <c r="H9" s="14" t="n"/>
      <c r="I9" s="14" t="n"/>
      <c r="J9" s="14" t="n"/>
      <c r="K9" s="14" t="n"/>
      <c r="L9" s="14" t="n"/>
      <c r="M9" s="14" t="n"/>
      <c r="N9" s="14" t="n"/>
      <c r="O9" s="14" t="n"/>
      <c r="P9" s="14" t="n"/>
    </row>
    <row r="10">
      <c r="A10" s="14" t="n"/>
      <c r="B10" s="14" t="n"/>
      <c r="C10" s="14" t="n"/>
      <c r="D10" s="14" t="n"/>
      <c r="E10" s="14" t="n"/>
      <c r="F10" s="14" t="n"/>
      <c r="G10" s="14" t="n"/>
      <c r="H10" s="14" t="n"/>
      <c r="I10" s="14" t="n"/>
      <c r="J10" s="14" t="n"/>
      <c r="K10" s="14" t="n"/>
      <c r="L10" s="14" t="n"/>
      <c r="M10" s="14" t="n"/>
      <c r="N10" s="14" t="n"/>
      <c r="O10" s="14" t="n"/>
      <c r="P10" s="14" t="n"/>
    </row>
    <row r="11">
      <c r="A11" s="14" t="n"/>
      <c r="B11" s="14" t="n"/>
      <c r="C11" s="14" t="n"/>
      <c r="D11" s="14" t="n"/>
      <c r="E11" s="14" t="n"/>
      <c r="F11" s="14" t="n"/>
      <c r="G11" s="14" t="n"/>
      <c r="H11" s="14" t="n"/>
      <c r="I11" s="14" t="n"/>
      <c r="J11" s="14" t="n"/>
      <c r="K11" s="14" t="n"/>
      <c r="L11" s="14" t="n"/>
      <c r="M11" s="14" t="n"/>
      <c r="N11" s="14" t="n"/>
      <c r="O11" s="14" t="n"/>
      <c r="P11" s="14" t="n"/>
    </row>
    <row r="12">
      <c r="A12" s="14" t="n"/>
      <c r="B12" s="14" t="n"/>
      <c r="C12" s="14" t="n"/>
      <c r="D12" s="14" t="n"/>
      <c r="E12" s="14" t="n"/>
      <c r="F12" s="14" t="n"/>
      <c r="G12" s="14" t="n"/>
      <c r="H12" s="14" t="n"/>
      <c r="I12" s="14" t="n"/>
      <c r="J12" s="14" t="n"/>
      <c r="K12" s="14" t="n"/>
      <c r="L12" s="14" t="n"/>
      <c r="M12" s="14" t="n"/>
      <c r="N12" s="14" t="n"/>
      <c r="O12" s="14" t="n"/>
      <c r="P12" s="14" t="n"/>
    </row>
    <row r="13">
      <c r="A13" s="14" t="n"/>
      <c r="B13" s="14" t="n"/>
      <c r="C13" s="14" t="n"/>
      <c r="D13" s="14" t="n"/>
      <c r="E13" s="14" t="n"/>
      <c r="F13" s="14" t="n"/>
      <c r="G13" s="14" t="n"/>
      <c r="H13" s="14" t="n"/>
      <c r="I13" s="14" t="n"/>
      <c r="J13" s="14" t="n"/>
      <c r="K13" s="14" t="n"/>
      <c r="L13" s="14" t="n"/>
      <c r="M13" s="14" t="n"/>
      <c r="N13" s="14" t="n"/>
      <c r="O13" s="14" t="n"/>
      <c r="P13" s="14" t="n"/>
    </row>
    <row r="14">
      <c r="A14" s="14" t="n"/>
      <c r="B14" s="14" t="n"/>
      <c r="C14" s="14" t="n"/>
      <c r="D14" s="14" t="n"/>
      <c r="E14" s="14" t="n"/>
      <c r="F14" s="14" t="n"/>
      <c r="G14" s="14" t="n"/>
      <c r="H14" s="14" t="n"/>
      <c r="I14" s="14" t="n"/>
      <c r="J14" s="14" t="n"/>
      <c r="K14" s="14" t="n"/>
      <c r="L14" s="14" t="n"/>
      <c r="M14" s="14" t="n"/>
      <c r="N14" s="14" t="n"/>
      <c r="O14" s="14" t="n"/>
      <c r="P14" s="14" t="n"/>
    </row>
    <row r="15">
      <c r="A15" s="14" t="n"/>
      <c r="B15" s="14" t="n"/>
      <c r="C15" s="14" t="n"/>
      <c r="D15" s="14" t="n"/>
      <c r="E15" s="14" t="n"/>
      <c r="F15" s="14" t="n"/>
      <c r="G15" s="14" t="n"/>
      <c r="H15" s="14" t="n"/>
      <c r="I15" s="14" t="n"/>
      <c r="J15" s="14" t="n"/>
      <c r="K15" s="14" t="n"/>
      <c r="L15" s="14" t="n"/>
      <c r="M15" s="14" t="n"/>
      <c r="N15" s="14" t="n"/>
      <c r="O15" s="14" t="n"/>
      <c r="P15" s="14" t="n"/>
    </row>
    <row r="16">
      <c r="A16" s="14" t="n"/>
      <c r="B16" s="14" t="n"/>
      <c r="C16" s="14" t="n"/>
      <c r="D16" s="14" t="n"/>
      <c r="E16" s="14" t="n"/>
      <c r="F16" s="14" t="n"/>
      <c r="G16" s="14" t="n"/>
      <c r="H16" s="14" t="n"/>
      <c r="I16" s="14" t="n"/>
      <c r="J16" s="14" t="n"/>
      <c r="K16" s="14" t="n"/>
      <c r="L16" s="14" t="n"/>
      <c r="M16" s="14" t="n"/>
      <c r="N16" s="14" t="n"/>
      <c r="O16" s="14" t="n"/>
      <c r="P16" s="14" t="n"/>
    </row>
    <row r="17">
      <c r="A17" s="14" t="n"/>
      <c r="B17" s="14" t="n"/>
      <c r="C17" s="14" t="n"/>
      <c r="D17" s="14" t="n"/>
      <c r="E17" s="14" t="n"/>
      <c r="F17" s="14" t="n"/>
      <c r="G17" s="14" t="n"/>
      <c r="H17" s="14" t="n"/>
      <c r="I17" s="14" t="n"/>
      <c r="J17" s="14" t="n"/>
      <c r="K17" s="14" t="n"/>
      <c r="L17" s="14" t="n"/>
      <c r="M17" s="14" t="n"/>
      <c r="N17" s="14" t="n"/>
      <c r="O17" s="14" t="n"/>
      <c r="P17" s="14" t="n"/>
    </row>
    <row r="18">
      <c r="A18" s="14" t="n"/>
      <c r="B18" s="14" t="n"/>
      <c r="C18" s="14" t="n"/>
      <c r="D18" s="14" t="n"/>
      <c r="E18" s="14" t="n"/>
      <c r="F18" s="14" t="n"/>
      <c r="G18" s="14" t="n"/>
      <c r="H18" s="14" t="n"/>
      <c r="I18" s="14" t="n"/>
      <c r="J18" s="14" t="n"/>
      <c r="K18" s="14" t="n"/>
      <c r="L18" s="14" t="n"/>
      <c r="M18" s="14" t="n"/>
      <c r="N18" s="14" t="n"/>
      <c r="O18" s="14" t="n"/>
      <c r="P18" s="14" t="n"/>
    </row>
    <row r="19">
      <c r="A19" s="14" t="n"/>
      <c r="B19" s="14" t="n"/>
      <c r="C19" s="14" t="n"/>
      <c r="D19" s="14" t="n"/>
      <c r="E19" s="14" t="n"/>
      <c r="F19" s="14" t="n"/>
      <c r="G19" s="14" t="n"/>
      <c r="H19" s="14" t="n"/>
      <c r="I19" s="14" t="n"/>
      <c r="J19" s="14" t="n"/>
      <c r="K19" s="14" t="n"/>
      <c r="L19" s="14" t="n"/>
      <c r="M19" s="14" t="n"/>
      <c r="N19" s="14" t="n"/>
      <c r="O19" s="14" t="n"/>
      <c r="P19" s="14" t="n"/>
    </row>
    <row r="20">
      <c r="A20" s="14" t="n"/>
      <c r="B20" s="14" t="n"/>
      <c r="C20" s="14" t="n"/>
      <c r="D20" s="14" t="n"/>
      <c r="E20" s="14" t="n"/>
      <c r="F20" s="14" t="n"/>
      <c r="G20" s="14" t="n"/>
      <c r="H20" s="14" t="n"/>
      <c r="I20" s="14" t="n"/>
      <c r="J20" s="14" t="n"/>
      <c r="K20" s="14" t="n"/>
      <c r="L20" s="14" t="n"/>
      <c r="M20" s="14" t="n"/>
      <c r="N20" s="14" t="n"/>
      <c r="O20" s="14" t="n"/>
      <c r="P20" s="14" t="n"/>
    </row>
    <row r="21">
      <c r="A21" s="14" t="n"/>
      <c r="B21" s="14" t="n"/>
      <c r="C21" s="14" t="n"/>
      <c r="D21" s="14" t="n"/>
      <c r="E21" s="14" t="n"/>
      <c r="F21" s="14" t="n"/>
      <c r="G21" s="14" t="n"/>
      <c r="H21" s="14" t="n"/>
      <c r="I21" s="14" t="n"/>
      <c r="J21" s="14" t="n"/>
      <c r="K21" s="14" t="n"/>
      <c r="L21" s="14" t="n"/>
      <c r="M21" s="14" t="n"/>
      <c r="N21" s="14" t="n"/>
      <c r="O21" s="14" t="n"/>
      <c r="P21" s="14" t="n"/>
    </row>
    <row r="22">
      <c r="A22" s="14" t="n"/>
      <c r="B22" s="14" t="n"/>
      <c r="C22" s="14" t="n"/>
      <c r="D22" s="14" t="n"/>
      <c r="E22" s="14" t="n"/>
      <c r="F22" s="14" t="n"/>
      <c r="G22" s="14" t="n"/>
      <c r="H22" s="14" t="n"/>
      <c r="I22" s="14" t="n"/>
      <c r="J22" s="14" t="n"/>
      <c r="K22" s="14" t="n"/>
      <c r="L22" s="14" t="n"/>
      <c r="M22" s="14" t="n"/>
      <c r="N22" s="14" t="n"/>
      <c r="O22" s="14" t="n"/>
      <c r="P22" s="14" t="n"/>
    </row>
    <row r="23">
      <c r="A23" s="14" t="n"/>
      <c r="B23" s="14" t="n"/>
      <c r="C23" s="14" t="n"/>
      <c r="D23" s="14" t="n"/>
      <c r="E23" s="14" t="n"/>
      <c r="F23" s="14" t="n"/>
      <c r="G23" s="14" t="n"/>
      <c r="H23" s="14" t="n"/>
      <c r="I23" s="14" t="n"/>
      <c r="J23" s="14" t="n"/>
      <c r="K23" s="14" t="n"/>
      <c r="L23" s="14" t="n"/>
      <c r="M23" s="14" t="n"/>
      <c r="N23" s="14" t="n"/>
      <c r="O23" s="14" t="n"/>
      <c r="P23" s="14" t="n"/>
    </row>
    <row r="24">
      <c r="A24" s="14" t="n"/>
      <c r="B24" s="14" t="n"/>
      <c r="C24" s="14" t="n"/>
      <c r="D24" s="14" t="n"/>
      <c r="E24" s="14" t="n"/>
      <c r="F24" s="14" t="n"/>
      <c r="G24" s="14" t="n"/>
      <c r="H24" s="14" t="n"/>
      <c r="I24" s="14" t="n"/>
      <c r="J24" s="14" t="n"/>
      <c r="K24" s="14" t="n"/>
      <c r="L24" s="14" t="n"/>
      <c r="M24" s="14" t="n"/>
      <c r="N24" s="14" t="n"/>
      <c r="O24" s="14" t="n"/>
      <c r="P24" s="14" t="n"/>
    </row>
    <row r="25">
      <c r="A25" s="14" t="n"/>
      <c r="B25" s="14" t="n"/>
      <c r="C25" s="14" t="n"/>
      <c r="D25" s="14" t="n"/>
      <c r="E25" s="14" t="n"/>
      <c r="F25" s="14" t="n"/>
      <c r="G25" s="14" t="n"/>
      <c r="H25" s="14" t="n"/>
      <c r="I25" s="14" t="n"/>
      <c r="J25" s="14" t="n"/>
      <c r="K25" s="14" t="n"/>
      <c r="L25" s="14" t="n"/>
      <c r="M25" s="14" t="n"/>
      <c r="N25" s="14" t="n"/>
      <c r="O25" s="14" t="n"/>
      <c r="P25" s="14" t="n"/>
    </row>
    <row r="26">
      <c r="A26" s="14" t="n"/>
      <c r="B26" s="14" t="n"/>
      <c r="C26" s="14" t="n"/>
      <c r="D26" s="14" t="n"/>
      <c r="E26" s="14" t="n"/>
      <c r="F26" s="14" t="n"/>
      <c r="G26" s="14" t="n"/>
      <c r="H26" s="14" t="n"/>
      <c r="I26" s="14" t="n"/>
      <c r="J26" s="14" t="n"/>
      <c r="K26" s="14" t="n"/>
      <c r="L26" s="14" t="n"/>
      <c r="M26" s="14" t="n"/>
      <c r="N26" s="14" t="n"/>
      <c r="O26" s="14" t="n"/>
      <c r="P26" s="14" t="n"/>
    </row>
    <row r="27">
      <c r="A27" s="14" t="n"/>
      <c r="B27" s="14" t="n"/>
      <c r="C27" s="14" t="n"/>
      <c r="D27" s="14" t="n"/>
      <c r="E27" s="14" t="n"/>
      <c r="F27" s="14" t="n"/>
      <c r="G27" s="14" t="n"/>
      <c r="H27" s="14" t="n"/>
      <c r="I27" s="14" t="n"/>
      <c r="J27" s="14" t="n"/>
      <c r="K27" s="14" t="n"/>
      <c r="L27" s="14" t="n"/>
      <c r="M27" s="14" t="n"/>
      <c r="N27" s="14" t="n"/>
      <c r="O27" s="14" t="n"/>
      <c r="P27" s="14" t="n"/>
    </row>
    <row r="28">
      <c r="A28" s="14" t="n"/>
      <c r="B28" s="14" t="n"/>
      <c r="C28" s="14" t="n"/>
      <c r="D28" s="14" t="n"/>
      <c r="E28" s="14" t="n"/>
      <c r="F28" s="14" t="n"/>
      <c r="G28" s="14" t="n"/>
      <c r="H28" s="14" t="n"/>
      <c r="I28" s="14" t="n"/>
      <c r="J28" s="14" t="n"/>
      <c r="K28" s="14" t="n"/>
      <c r="L28" s="14" t="n"/>
      <c r="M28" s="14" t="n"/>
      <c r="N28" s="14" t="n"/>
      <c r="O28" s="14" t="n"/>
      <c r="P28" s="14" t="n"/>
    </row>
    <row r="29">
      <c r="A29" s="14" t="n"/>
      <c r="B29" s="14" t="n"/>
      <c r="C29" s="14" t="n"/>
      <c r="D29" s="14" t="n"/>
      <c r="E29" s="14" t="n"/>
      <c r="F29" s="14" t="n"/>
      <c r="G29" s="14" t="n"/>
      <c r="H29" s="14" t="n"/>
      <c r="I29" s="14" t="n"/>
      <c r="J29" s="14" t="n"/>
      <c r="K29" s="14" t="n"/>
      <c r="L29" s="14" t="n"/>
      <c r="M29" s="14" t="n"/>
      <c r="N29" s="14" t="n"/>
      <c r="O29" s="14" t="n"/>
      <c r="P29" s="14" t="n"/>
    </row>
    <row r="30">
      <c r="A30" s="14" t="n"/>
      <c r="B30" s="14" t="n"/>
      <c r="C30" s="14" t="n"/>
      <c r="D30" s="14" t="n"/>
      <c r="E30" s="14" t="n"/>
      <c r="F30" s="14" t="n"/>
      <c r="G30" s="14" t="n"/>
      <c r="H30" s="14" t="n"/>
      <c r="I30" s="14" t="n"/>
      <c r="J30" s="14" t="n"/>
      <c r="K30" s="14" t="n"/>
      <c r="L30" s="14" t="n"/>
      <c r="M30" s="14" t="n"/>
      <c r="N30" s="14" t="n"/>
      <c r="O30" s="14" t="n"/>
      <c r="P30" s="14" t="n"/>
    </row>
    <row r="31">
      <c r="A31" s="14" t="n"/>
      <c r="B31" s="14" t="n"/>
      <c r="C31" s="14" t="n"/>
      <c r="D31" s="14" t="n"/>
      <c r="E31" s="14" t="n"/>
      <c r="F31" s="14" t="n"/>
      <c r="G31" s="14" t="n"/>
      <c r="H31" s="14" t="n"/>
      <c r="I31" s="14" t="n"/>
      <c r="J31" s="14" t="n"/>
      <c r="K31" s="14" t="n"/>
      <c r="L31" s="14" t="n"/>
      <c r="M31" s="14" t="n"/>
      <c r="N31" s="14" t="n"/>
      <c r="O31" s="14" t="n"/>
      <c r="P31" s="14" t="n"/>
    </row>
    <row r="32">
      <c r="A32" s="14" t="n"/>
      <c r="B32" s="14" t="n"/>
      <c r="C32" s="14" t="n"/>
      <c r="D32" s="14" t="n"/>
      <c r="E32" s="14" t="n"/>
      <c r="F32" s="14" t="n"/>
      <c r="G32" s="14" t="n"/>
      <c r="H32" s="14" t="n"/>
      <c r="I32" s="14" t="n"/>
      <c r="J32" s="14" t="n"/>
      <c r="K32" s="14" t="n"/>
      <c r="L32" s="14" t="n"/>
      <c r="M32" s="14" t="n"/>
      <c r="N32" s="14" t="n"/>
      <c r="O32" s="14" t="n"/>
      <c r="P32" s="14" t="n"/>
    </row>
    <row r="33">
      <c r="A33" s="14" t="n"/>
      <c r="B33" s="14" t="n"/>
      <c r="C33" s="14" t="n"/>
      <c r="D33" s="14" t="n"/>
      <c r="E33" s="14" t="n"/>
      <c r="F33" s="14" t="n"/>
      <c r="G33" s="14" t="n"/>
      <c r="H33" s="14" t="n"/>
      <c r="I33" s="14" t="n"/>
      <c r="J33" s="14" t="n"/>
      <c r="K33" s="14" t="n"/>
      <c r="L33" s="14" t="n"/>
      <c r="M33" s="14" t="n"/>
      <c r="N33" s="14" t="n"/>
      <c r="O33" s="14" t="n"/>
      <c r="P33" s="14" t="n"/>
    </row>
    <row r="34">
      <c r="A34" s="14" t="n"/>
      <c r="B34" s="14" t="n"/>
      <c r="C34" s="14" t="n"/>
      <c r="D34" s="14" t="n"/>
      <c r="E34" s="14" t="n"/>
      <c r="F34" s="14" t="n"/>
      <c r="G34" s="14" t="n"/>
      <c r="H34" s="14" t="n"/>
      <c r="I34" s="14" t="n"/>
      <c r="J34" s="14" t="n"/>
      <c r="K34" s="14" t="n"/>
      <c r="L34" s="14" t="n"/>
      <c r="M34" s="14" t="n"/>
      <c r="N34" s="14" t="n"/>
      <c r="O34" s="14" t="n"/>
      <c r="P34" s="14" t="n"/>
    </row>
    <row r="35">
      <c r="A35" s="14" t="n"/>
      <c r="B35" s="14" t="n"/>
      <c r="C35" s="14" t="n"/>
      <c r="D35" s="14" t="n"/>
      <c r="E35" s="14" t="n"/>
      <c r="F35" s="14" t="n"/>
      <c r="G35" s="14" t="n"/>
      <c r="H35" s="14" t="n"/>
      <c r="I35" s="14" t="n"/>
      <c r="J35" s="14" t="n"/>
      <c r="K35" s="14" t="n"/>
      <c r="L35" s="14" t="n"/>
      <c r="M35" s="14" t="n"/>
      <c r="N35" s="14" t="n"/>
      <c r="O35" s="14" t="n"/>
      <c r="P35" s="14" t="n"/>
    </row>
    <row r="36">
      <c r="A36" s="14" t="n"/>
      <c r="B36" s="14" t="n"/>
      <c r="C36" s="14" t="n"/>
      <c r="D36" s="14" t="n"/>
      <c r="E36" s="14" t="n"/>
      <c r="F36" s="14" t="n"/>
      <c r="G36" s="14" t="n"/>
      <c r="H36" s="14" t="n"/>
      <c r="I36" s="14" t="n"/>
      <c r="J36" s="14" t="n"/>
      <c r="K36" s="14" t="n"/>
      <c r="L36" s="14" t="n"/>
      <c r="M36" s="14" t="n"/>
      <c r="N36" s="14" t="n"/>
      <c r="O36" s="14" t="n"/>
      <c r="P36" s="14" t="n"/>
    </row>
    <row r="37">
      <c r="A37" s="14" t="n"/>
      <c r="B37" s="14" t="n"/>
      <c r="C37" s="14" t="n"/>
      <c r="D37" s="14" t="n"/>
      <c r="E37" s="14" t="n"/>
      <c r="F37" s="14" t="n"/>
      <c r="G37" s="14" t="n"/>
      <c r="H37" s="14" t="n"/>
      <c r="I37" s="14" t="n"/>
      <c r="J37" s="14" t="n"/>
      <c r="K37" s="14" t="n"/>
      <c r="L37" s="14" t="n"/>
      <c r="M37" s="14" t="n"/>
      <c r="N37" s="14" t="n"/>
      <c r="O37" s="14" t="n"/>
      <c r="P37" s="14" t="n"/>
    </row>
    <row r="38">
      <c r="A38" s="14" t="n"/>
      <c r="B38" s="14" t="n"/>
      <c r="C38" s="14" t="n"/>
      <c r="D38" s="14" t="n"/>
      <c r="E38" s="14" t="n"/>
      <c r="F38" s="14" t="n"/>
      <c r="G38" s="14" t="n"/>
      <c r="H38" s="14" t="n"/>
      <c r="I38" s="14" t="n"/>
      <c r="J38" s="14" t="n"/>
      <c r="K38" s="14" t="n"/>
      <c r="L38" s="14" t="n"/>
      <c r="M38" s="14" t="n"/>
      <c r="N38" s="14" t="n"/>
      <c r="O38" s="14" t="n"/>
      <c r="P38" s="14" t="n"/>
    </row>
    <row r="39">
      <c r="A39" s="14" t="n"/>
      <c r="B39" s="14" t="n"/>
      <c r="C39" s="14" t="n"/>
      <c r="D39" s="14" t="n"/>
      <c r="E39" s="14" t="n"/>
      <c r="F39" s="14" t="n"/>
      <c r="G39" s="14" t="n"/>
      <c r="H39" s="14" t="n"/>
      <c r="I39" s="14" t="n"/>
      <c r="J39" s="14" t="n"/>
      <c r="K39" s="14" t="n"/>
      <c r="L39" s="14" t="n"/>
      <c r="M39" s="14" t="n"/>
      <c r="N39" s="14" t="n"/>
      <c r="O39" s="14" t="n"/>
      <c r="P39" s="14" t="n"/>
    </row>
    <row r="40">
      <c r="A40" s="14" t="n"/>
      <c r="B40" s="14" t="n"/>
      <c r="C40" s="14" t="n"/>
      <c r="D40" s="14" t="n"/>
      <c r="E40" s="14" t="n"/>
      <c r="F40" s="14" t="n"/>
      <c r="G40" s="14" t="n"/>
      <c r="H40" s="14" t="n"/>
      <c r="I40" s="14" t="n"/>
      <c r="J40" s="14" t="n"/>
      <c r="K40" s="14" t="n"/>
      <c r="L40" s="14" t="n"/>
      <c r="M40" s="14" t="n"/>
      <c r="N40" s="14" t="n"/>
      <c r="O40" s="14" t="n"/>
      <c r="P40" s="14" t="n"/>
    </row>
    <row r="41">
      <c r="A41" s="14" t="n"/>
      <c r="B41" s="14" t="n"/>
      <c r="C41" s="14" t="n"/>
      <c r="D41" s="14" t="n"/>
      <c r="E41" s="14" t="n"/>
      <c r="F41" s="14" t="n"/>
      <c r="G41" s="14" t="n"/>
      <c r="H41" s="14" t="n"/>
      <c r="I41" s="14" t="n"/>
      <c r="J41" s="14" t="n"/>
      <c r="K41" s="14" t="n"/>
      <c r="L41" s="14" t="n"/>
      <c r="M41" s="14" t="n"/>
      <c r="N41" s="14" t="n"/>
      <c r="O41" s="14" t="n"/>
      <c r="P41" s="14" t="n"/>
    </row>
    <row r="42">
      <c r="A42" s="14" t="n"/>
      <c r="B42" s="14" t="n"/>
      <c r="C42" s="14" t="n"/>
      <c r="D42" s="14" t="n"/>
      <c r="E42" s="14" t="n"/>
      <c r="F42" s="14" t="n"/>
      <c r="G42" s="14" t="n"/>
      <c r="H42" s="14" t="n"/>
      <c r="I42" s="14" t="n"/>
      <c r="J42" s="14" t="n"/>
      <c r="K42" s="14" t="n"/>
      <c r="L42" s="14" t="n"/>
      <c r="M42" s="14" t="n"/>
      <c r="N42" s="14" t="n"/>
      <c r="O42" s="14" t="n"/>
      <c r="P42" s="14" t="n"/>
    </row>
    <row r="43">
      <c r="A43" s="14" t="n"/>
      <c r="B43" s="14" t="n"/>
      <c r="C43" s="14" t="n"/>
      <c r="D43" s="14" t="n"/>
      <c r="E43" s="14" t="n"/>
      <c r="F43" s="14" t="n"/>
      <c r="G43" s="14" t="n"/>
      <c r="H43" s="14" t="n"/>
      <c r="I43" s="14" t="n"/>
      <c r="J43" s="14" t="n"/>
      <c r="K43" s="14" t="n"/>
      <c r="L43" s="14" t="n"/>
      <c r="M43" s="14" t="n"/>
      <c r="N43" s="14" t="n"/>
      <c r="O43" s="14" t="n"/>
      <c r="P43" s="14" t="n"/>
    </row>
    <row r="44">
      <c r="A44" s="14" t="n"/>
      <c r="B44" s="14" t="n"/>
      <c r="C44" s="14" t="n"/>
      <c r="D44" s="14" t="n"/>
      <c r="E44" s="14" t="n"/>
      <c r="F44" s="14" t="n"/>
      <c r="G44" s="14" t="n"/>
      <c r="H44" s="14" t="n"/>
      <c r="I44" s="14" t="n"/>
      <c r="J44" s="14" t="n"/>
      <c r="K44" s="14" t="n"/>
      <c r="L44" s="14" t="n"/>
      <c r="M44" s="14" t="n"/>
      <c r="N44" s="14" t="n"/>
      <c r="O44" s="14" t="n"/>
      <c r="P44" s="14" t="n"/>
    </row>
    <row r="45">
      <c r="A45" s="14" t="n"/>
      <c r="B45" s="14" t="n"/>
      <c r="C45" s="14" t="n"/>
      <c r="D45" s="14" t="n"/>
      <c r="E45" s="14" t="n"/>
      <c r="F45" s="14" t="n"/>
      <c r="G45" s="14" t="n"/>
      <c r="H45" s="14" t="n"/>
      <c r="I45" s="14" t="n"/>
      <c r="J45" s="14" t="n"/>
      <c r="K45" s="14" t="n"/>
      <c r="L45" s="14" t="n"/>
      <c r="M45" s="14" t="n"/>
      <c r="N45" s="14" t="n"/>
      <c r="O45" s="14" t="n"/>
      <c r="P45" s="14" t="n"/>
    </row>
    <row r="46">
      <c r="A46" s="14" t="n"/>
      <c r="B46" s="14" t="n"/>
      <c r="C46" s="14" t="n"/>
      <c r="D46" s="14" t="n"/>
      <c r="E46" s="14" t="n"/>
      <c r="F46" s="14" t="n"/>
      <c r="G46" s="14" t="n"/>
      <c r="H46" s="14" t="n"/>
      <c r="I46" s="14" t="n"/>
      <c r="J46" s="14" t="n"/>
      <c r="K46" s="14" t="n"/>
      <c r="L46" s="14" t="n"/>
      <c r="M46" s="14" t="n"/>
      <c r="N46" s="14" t="n"/>
      <c r="O46" s="14" t="n"/>
      <c r="P46" s="14" t="n"/>
    </row>
    <row r="47">
      <c r="A47" s="14" t="n"/>
      <c r="B47" s="14" t="n"/>
      <c r="C47" s="14" t="n"/>
      <c r="D47" s="14" t="n"/>
      <c r="E47" s="14" t="n"/>
      <c r="F47" s="14" t="n"/>
      <c r="G47" s="14" t="n"/>
      <c r="H47" s="14" t="n"/>
      <c r="I47" s="14" t="n"/>
      <c r="J47" s="14" t="n"/>
      <c r="K47" s="14" t="n"/>
      <c r="L47" s="14" t="n"/>
      <c r="M47" s="14" t="n"/>
      <c r="N47" s="14" t="n"/>
      <c r="O47" s="14" t="n"/>
      <c r="P47" s="14" t="n"/>
    </row>
    <row r="48">
      <c r="A48" s="14" t="n"/>
      <c r="B48" s="14" t="n"/>
      <c r="C48" s="14" t="n"/>
      <c r="D48" s="14" t="n"/>
      <c r="E48" s="14" t="n"/>
      <c r="F48" s="14" t="n"/>
      <c r="G48" s="14" t="n"/>
      <c r="H48" s="14" t="n"/>
      <c r="I48" s="14" t="n"/>
      <c r="J48" s="14" t="n"/>
      <c r="K48" s="14" t="n"/>
      <c r="L48" s="14" t="n"/>
      <c r="M48" s="14" t="n"/>
      <c r="N48" s="14" t="n"/>
      <c r="O48" s="14" t="n"/>
      <c r="P48" s="14" t="n"/>
    </row>
    <row r="49">
      <c r="A49" s="14" t="n"/>
      <c r="B49" s="14" t="n"/>
      <c r="C49" s="14" t="n"/>
      <c r="D49" s="14" t="n"/>
      <c r="E49" s="14" t="n"/>
      <c r="F49" s="14" t="n"/>
      <c r="G49" s="14" t="n"/>
      <c r="H49" s="14" t="n"/>
      <c r="I49" s="14" t="n"/>
      <c r="J49" s="14" t="n"/>
      <c r="K49" s="14" t="n"/>
      <c r="L49" s="14" t="n"/>
      <c r="M49" s="14" t="n"/>
      <c r="N49" s="14" t="n"/>
      <c r="O49" s="14" t="n"/>
      <c r="P49" s="14" t="n"/>
    </row>
    <row r="50">
      <c r="A50" s="14" t="n"/>
      <c r="B50" s="14" t="n"/>
      <c r="C50" s="14" t="n"/>
      <c r="D50" s="14" t="n"/>
      <c r="E50" s="14" t="n"/>
      <c r="F50" s="14" t="n"/>
      <c r="G50" s="14" t="n"/>
      <c r="H50" s="14" t="n"/>
      <c r="I50" s="14" t="n"/>
      <c r="J50" s="14" t="n"/>
      <c r="K50" s="14" t="n"/>
      <c r="L50" s="14" t="n"/>
      <c r="M50" s="14" t="n"/>
      <c r="N50" s="14" t="n"/>
      <c r="O50" s="14" t="n"/>
      <c r="P50" s="14" t="n"/>
    </row>
    <row r="51">
      <c r="A51" s="14" t="n"/>
      <c r="B51" s="14" t="n"/>
      <c r="C51" s="14" t="n"/>
      <c r="D51" s="14" t="n"/>
      <c r="E51" s="14" t="n"/>
      <c r="F51" s="14" t="n"/>
      <c r="G51" s="14" t="n"/>
      <c r="H51" s="14" t="n"/>
      <c r="I51" s="14" t="n"/>
      <c r="J51" s="14" t="n"/>
      <c r="K51" s="14" t="n"/>
      <c r="L51" s="14" t="n"/>
      <c r="M51" s="14" t="n"/>
      <c r="N51" s="14" t="n"/>
      <c r="O51" s="14" t="n"/>
      <c r="P51" s="14" t="n"/>
    </row>
    <row r="52">
      <c r="A52" s="14" t="n"/>
      <c r="B52" s="14" t="n"/>
      <c r="C52" s="14" t="n"/>
      <c r="D52" s="14" t="n"/>
      <c r="E52" s="14" t="n"/>
      <c r="F52" s="14" t="n"/>
      <c r="G52" s="14" t="n"/>
      <c r="H52" s="14" t="n"/>
      <c r="I52" s="14" t="n"/>
      <c r="J52" s="14" t="n"/>
      <c r="K52" s="14" t="n"/>
      <c r="L52" s="14" t="n"/>
      <c r="M52" s="14" t="n"/>
      <c r="N52" s="14" t="n"/>
      <c r="O52" s="14" t="n"/>
      <c r="P52" s="14" t="n"/>
    </row>
    <row r="53">
      <c r="A53" s="14" t="n"/>
      <c r="B53" s="14" t="n"/>
      <c r="C53" s="14" t="n"/>
      <c r="D53" s="14" t="n"/>
      <c r="E53" s="14" t="n"/>
      <c r="F53" s="14" t="n"/>
      <c r="G53" s="14" t="n"/>
      <c r="H53" s="14" t="n"/>
      <c r="I53" s="14" t="n"/>
      <c r="J53" s="14" t="n"/>
      <c r="K53" s="14" t="n"/>
      <c r="L53" s="14" t="n"/>
      <c r="M53" s="14" t="n"/>
      <c r="N53" s="14" t="n"/>
      <c r="O53" s="14" t="n"/>
      <c r="P53" s="14" t="n"/>
    </row>
    <row r="54">
      <c r="A54" s="14" t="n"/>
      <c r="B54" s="14" t="n"/>
      <c r="C54" s="14" t="n"/>
      <c r="D54" s="14" t="n"/>
      <c r="E54" s="14" t="n"/>
      <c r="F54" s="14" t="n"/>
      <c r="G54" s="14" t="n"/>
      <c r="H54" s="14" t="n"/>
      <c r="I54" s="14" t="n"/>
      <c r="J54" s="14" t="n"/>
      <c r="K54" s="14" t="n"/>
      <c r="L54" s="14" t="n"/>
      <c r="M54" s="14" t="n"/>
      <c r="N54" s="14" t="n"/>
      <c r="O54" s="14" t="n"/>
      <c r="P54" s="14" t="n"/>
    </row>
    <row r="55">
      <c r="K55" s="15" t="inlineStr">
        <is>
          <t>TOTAL:</t>
        </is>
      </c>
      <c r="L55" s="16">
        <f>SUM(L4:L54)</f>
        <v/>
      </c>
    </row>
  </sheetData>
  <mergeCells count="1">
    <mergeCell ref="A1:P1"/>
  </mergeCells>
  <conditionalFormatting sqref="H4:H54">
    <cfRule type="cellIs" priority="1" operator="equal" dxfId="4">
      <formula>"✅ Active"</formula>
    </cfRule>
    <cfRule type="cellIs" priority="2" operator="equal" dxfId="2">
      <formula>"⚠️ Degraded"</formula>
    </cfRule>
    <cfRule type="cellIs" priority="3" operator="equal" dxfId="5">
      <formula>"❌ Offline"</formula>
    </cfRule>
  </conditionalFormatting>
  <dataValidations count="4">
    <dataValidation sqref="D4:D54" showDropDown="0" showInputMessage="0" showErrorMessage="0" allowBlank="0" errorTitle="Invalid Entry" error="Invalid entry" promptTitle="Selection Required" prompt="Please select from the dropdown" type="list">
      <formula1>"Agent-Based,Agentless,Network Scanner,Script/Custom,Cloud-Native,SIEM Integration"</formula1>
    </dataValidation>
    <dataValidation sqref="H4:H54" showDropDown="0" showInputMessage="0" showErrorMessage="0" allowBlank="0" errorTitle="Invalid Entry" error="Invalid entry" promptTitle="Selection Required" prompt="Please select from the dropdown" type="list">
      <formula1>"✅ Active,⚠️ Degraded,❌ Offline,Pilot,⏸️ Decommissioned"</formula1>
    </dataValidation>
    <dataValidation sqref="J4:J54" showDropDown="0" showInputMessage="0" showErrorMessage="0" allowBlank="1" errorTitle="Invalid Entry" error="Invalid entry" promptTitle="Selection Required" prompt="Please select from the dropdown" type="list">
      <formula1>"Email,SIEM,Webhook,Dashboard Only,Ticketing System,Multiple"</formula1>
    </dataValidation>
    <dataValidation sqref="K4:K54" showDropDown="0" showInputMessage="0" showErrorMessage="0" allowBlank="1" errorTitle="Invalid Entry" error="Invalid entry" promptTitle="Selection Required" prompt="Please select from the dropdown" type="list">
      <formula1>"Commercial,Open Source,Subscription,Perpetual,In-House Developed"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5" customWidth="1" min="3" max="3"/>
    <col width="15" customWidth="1" min="4" max="4"/>
    <col width="20" customWidth="1" min="5" max="5"/>
    <col width="15" customWidth="1" min="6" max="6"/>
    <col width="25" customWidth="1" min="7" max="7"/>
    <col width="40" customWidth="1" min="8" max="8"/>
    <col width="15" customWidth="1" min="9" max="9"/>
    <col width="12" customWidth="1" min="10" max="10"/>
    <col width="25" customWidth="1" min="11" max="11"/>
    <col width="15" customWidth="1" min="12" max="12"/>
    <col width="18" customWidth="1" min="13" max="13"/>
    <col width="35" customWidth="1" min="14" max="14"/>
    <col width="25" customWidth="1" min="15" max="15"/>
    <col width="18" customWidth="1" min="16" max="16"/>
    <col width="15" customWidth="1" min="17" max="17"/>
    <col width="35" customWidth="1" min="18" max="18"/>
  </cols>
  <sheetData>
    <row r="1" ht="35" customHeight="1">
      <c r="A1" s="11" t="inlineStr">
        <is>
          <t>DRIFT REMEDIATION TRACKING</t>
        </is>
      </c>
    </row>
    <row r="2">
      <c r="A2" s="12" t="inlineStr">
        <is>
          <t>Drift Incident ID</t>
        </is>
      </c>
      <c r="B2" s="12" t="inlineStr">
        <is>
          <t>Asset Name</t>
        </is>
      </c>
      <c r="C2" s="12" t="inlineStr">
        <is>
          <t>Drift Category</t>
        </is>
      </c>
      <c r="D2" s="12" t="inlineStr">
        <is>
          <t>Detection Date</t>
        </is>
      </c>
      <c r="E2" s="12" t="inlineStr">
        <is>
          <t>Remediation Owner</t>
        </is>
      </c>
      <c r="F2" s="12" t="inlineStr">
        <is>
          <t>Remediation Started Date</t>
        </is>
      </c>
      <c r="G2" s="12" t="inlineStr">
        <is>
          <t>Remediation Action Taken</t>
        </is>
      </c>
      <c r="H2" s="12" t="inlineStr">
        <is>
          <t>Remediation Action Detail</t>
        </is>
      </c>
      <c r="I2" s="12" t="inlineStr">
        <is>
          <t>Remediation Completed Date</t>
        </is>
      </c>
      <c r="J2" s="12" t="inlineStr">
        <is>
          <t>Time to Remediate (Days)</t>
        </is>
      </c>
      <c r="K2" s="12" t="inlineStr">
        <is>
          <t>Verification Method</t>
        </is>
      </c>
      <c r="L2" s="12" t="inlineStr">
        <is>
          <t>Verification Date</t>
        </is>
      </c>
      <c r="M2" s="12" t="inlineStr">
        <is>
          <t>Verification Result</t>
        </is>
      </c>
      <c r="N2" s="12" t="inlineStr">
        <is>
          <t>Recurrence Prevention</t>
        </is>
      </c>
      <c r="O2" s="12" t="inlineStr">
        <is>
          <t>Root Cause Remediation</t>
        </is>
      </c>
      <c r="P2" s="12" t="inlineStr">
        <is>
          <t>Remediation Status</t>
        </is>
      </c>
      <c r="Q2" s="12" t="inlineStr">
        <is>
          <t>SLA Compliance</t>
        </is>
      </c>
      <c r="R2" s="12" t="inlineStr">
        <is>
          <t>Notes</t>
        </is>
      </c>
    </row>
    <row r="3">
      <c r="A3" s="14" t="n"/>
      <c r="B3" s="14" t="n"/>
      <c r="C3" s="14" t="n"/>
      <c r="D3" s="14" t="n"/>
      <c r="E3" s="14" t="n"/>
      <c r="F3" s="14" t="n"/>
      <c r="G3" s="14" t="n"/>
      <c r="H3" s="14" t="n"/>
      <c r="I3" s="14" t="n"/>
      <c r="J3" s="13">
        <f>IF(OR(D3="",I3=""),"",I3-D3)</f>
        <v/>
      </c>
      <c r="K3" s="14" t="n"/>
      <c r="L3" s="14" t="n"/>
      <c r="M3" s="14" t="n"/>
      <c r="N3" s="14" t="n"/>
      <c r="O3" s="14" t="n"/>
      <c r="P3" s="13">
        <f>IF(I3&lt;&gt;"","Complete",IF(J3="","Not Started",IF(C3="Critical",IF(J3&lt;1,"On-Time","Overdue"),IF(C3="High",IF(J3&lt;2,"On-Time",IF(J3&lt;3,"At Risk","Overdue")),IF(J3&lt;8,"On-Time","At Risk")))))</f>
        <v/>
      </c>
      <c r="Q3" s="13">
        <f>IF(P3="Complete",IF(C3="Critical",IF(J3&lt;=0.17,"Met","Missed"),IF(C3="High",IF(J3&lt;=1,"Met","Missed"),IF(C3="Medium",IF(J3&lt;=7,"Met","Missed"),"N/A"))),"In Progress")</f>
        <v/>
      </c>
      <c r="R3" s="14" t="n"/>
    </row>
    <row r="4">
      <c r="A4" s="14" t="n"/>
      <c r="B4" s="14" t="n"/>
      <c r="C4" s="14" t="n"/>
      <c r="D4" s="14" t="n"/>
      <c r="E4" s="14" t="n"/>
      <c r="F4" s="14" t="n"/>
      <c r="G4" s="14" t="n"/>
      <c r="H4" s="14" t="n"/>
      <c r="I4" s="14" t="n"/>
      <c r="J4" s="13">
        <f>IF(OR(D4="",I4=""),"",I4-D4)</f>
        <v/>
      </c>
      <c r="K4" s="14" t="n"/>
      <c r="L4" s="14" t="n"/>
      <c r="M4" s="14" t="n"/>
      <c r="N4" s="14" t="n"/>
      <c r="O4" s="14" t="n"/>
      <c r="P4" s="13">
        <f>IF(I4&lt;&gt;"","Complete",IF(J4="","Not Started",IF(C4="Critical",IF(J4&lt;1,"On-Time","Overdue"),IF(C4="High",IF(J4&lt;2,"On-Time",IF(J4&lt;3,"At Risk","Overdue")),IF(J4&lt;8,"On-Time","At Risk")))))</f>
        <v/>
      </c>
      <c r="Q4" s="13">
        <f>IF(P4="Complete",IF(C4="Critical",IF(J4&lt;=0.17,"Met","Missed"),IF(C4="High",IF(J4&lt;=1,"Met","Missed"),IF(C4="Medium",IF(J4&lt;=7,"Met","Missed"),"N/A"))),"In Progress")</f>
        <v/>
      </c>
      <c r="R4" s="14" t="n"/>
    </row>
    <row r="5">
      <c r="A5" s="14" t="n"/>
      <c r="B5" s="14" t="n"/>
      <c r="C5" s="14" t="n"/>
      <c r="D5" s="14" t="n"/>
      <c r="E5" s="14" t="n"/>
      <c r="F5" s="14" t="n"/>
      <c r="G5" s="14" t="n"/>
      <c r="H5" s="14" t="n"/>
      <c r="I5" s="14" t="n"/>
      <c r="J5" s="13">
        <f>IF(OR(D5="",I5=""),"",I5-D5)</f>
        <v/>
      </c>
      <c r="K5" s="14" t="n"/>
      <c r="L5" s="14" t="n"/>
      <c r="M5" s="14" t="n"/>
      <c r="N5" s="14" t="n"/>
      <c r="O5" s="14" t="n"/>
      <c r="P5" s="13">
        <f>IF(I5&lt;&gt;"","Complete",IF(J5="","Not Started",IF(C5="Critical",IF(J5&lt;1,"On-Time","Overdue"),IF(C5="High",IF(J5&lt;2,"On-Time",IF(J5&lt;3,"At Risk","Overdue")),IF(J5&lt;8,"On-Time","At Risk")))))</f>
        <v/>
      </c>
      <c r="Q5" s="13">
        <f>IF(P5="Complete",IF(C5="Critical",IF(J5&lt;=0.17,"Met","Missed"),IF(C5="High",IF(J5&lt;=1,"Met","Missed"),IF(C5="Medium",IF(J5&lt;=7,"Met","Missed"),"N/A"))),"In Progress")</f>
        <v/>
      </c>
      <c r="R5" s="14" t="n"/>
    </row>
    <row r="6">
      <c r="A6" s="14" t="n"/>
      <c r="B6" s="14" t="n"/>
      <c r="C6" s="14" t="n"/>
      <c r="D6" s="14" t="n"/>
      <c r="E6" s="14" t="n"/>
      <c r="F6" s="14" t="n"/>
      <c r="G6" s="14" t="n"/>
      <c r="H6" s="14" t="n"/>
      <c r="I6" s="14" t="n"/>
      <c r="J6" s="13">
        <f>IF(OR(D6="",I6=""),"",I6-D6)</f>
        <v/>
      </c>
      <c r="K6" s="14" t="n"/>
      <c r="L6" s="14" t="n"/>
      <c r="M6" s="14" t="n"/>
      <c r="N6" s="14" t="n"/>
      <c r="O6" s="14" t="n"/>
      <c r="P6" s="13">
        <f>IF(I6&lt;&gt;"","Complete",IF(J6="","Not Started",IF(C6="Critical",IF(J6&lt;1,"On-Time","Overdue"),IF(C6="High",IF(J6&lt;2,"On-Time",IF(J6&lt;3,"At Risk","Overdue")),IF(J6&lt;8,"On-Time","At Risk")))))</f>
        <v/>
      </c>
      <c r="Q6" s="13">
        <f>IF(P6="Complete",IF(C6="Critical",IF(J6&lt;=0.17,"Met","Missed"),IF(C6="High",IF(J6&lt;=1,"Met","Missed"),IF(C6="Medium",IF(J6&lt;=7,"Met","Missed"),"N/A"))),"In Progress")</f>
        <v/>
      </c>
      <c r="R6" s="14" t="n"/>
    </row>
    <row r="7">
      <c r="A7" s="14" t="n"/>
      <c r="B7" s="14" t="n"/>
      <c r="C7" s="14" t="n"/>
      <c r="D7" s="14" t="n"/>
      <c r="E7" s="14" t="n"/>
      <c r="F7" s="14" t="n"/>
      <c r="G7" s="14" t="n"/>
      <c r="H7" s="14" t="n"/>
      <c r="I7" s="14" t="n"/>
      <c r="J7" s="13">
        <f>IF(OR(D7="",I7=""),"",I7-D7)</f>
        <v/>
      </c>
      <c r="K7" s="14" t="n"/>
      <c r="L7" s="14" t="n"/>
      <c r="M7" s="14" t="n"/>
      <c r="N7" s="14" t="n"/>
      <c r="O7" s="14" t="n"/>
      <c r="P7" s="13">
        <f>IF(I7&lt;&gt;"","Complete",IF(J7="","Not Started",IF(C7="Critical",IF(J7&lt;1,"On-Time","Overdue"),IF(C7="High",IF(J7&lt;2,"On-Time",IF(J7&lt;3,"At Risk","Overdue")),IF(J7&lt;8,"On-Time","At Risk")))))</f>
        <v/>
      </c>
      <c r="Q7" s="13">
        <f>IF(P7="Complete",IF(C7="Critical",IF(J7&lt;=0.17,"Met","Missed"),IF(C7="High",IF(J7&lt;=1,"Met","Missed"),IF(C7="Medium",IF(J7&lt;=7,"Met","Missed"),"N/A"))),"In Progress")</f>
        <v/>
      </c>
      <c r="R7" s="14" t="n"/>
    </row>
    <row r="8">
      <c r="A8" s="14" t="n"/>
      <c r="B8" s="14" t="n"/>
      <c r="C8" s="14" t="n"/>
      <c r="D8" s="14" t="n"/>
      <c r="E8" s="14" t="n"/>
      <c r="F8" s="14" t="n"/>
      <c r="G8" s="14" t="n"/>
      <c r="H8" s="14" t="n"/>
      <c r="I8" s="14" t="n"/>
      <c r="J8" s="13">
        <f>IF(OR(D8="",I8=""),"",I8-D8)</f>
        <v/>
      </c>
      <c r="K8" s="14" t="n"/>
      <c r="L8" s="14" t="n"/>
      <c r="M8" s="14" t="n"/>
      <c r="N8" s="14" t="n"/>
      <c r="O8" s="14" t="n"/>
      <c r="P8" s="13">
        <f>IF(I8&lt;&gt;"","Complete",IF(J8="","Not Started",IF(C8="Critical",IF(J8&lt;1,"On-Time","Overdue"),IF(C8="High",IF(J8&lt;2,"On-Time",IF(J8&lt;3,"At Risk","Overdue")),IF(J8&lt;8,"On-Time","At Risk")))))</f>
        <v/>
      </c>
      <c r="Q8" s="13">
        <f>IF(P8="Complete",IF(C8="Critical",IF(J8&lt;=0.17,"Met","Missed"),IF(C8="High",IF(J8&lt;=1,"Met","Missed"),IF(C8="Medium",IF(J8&lt;=7,"Met","Missed"),"N/A"))),"In Progress")</f>
        <v/>
      </c>
      <c r="R8" s="14" t="n"/>
    </row>
    <row r="9">
      <c r="A9" s="14" t="n"/>
      <c r="B9" s="14" t="n"/>
      <c r="C9" s="14" t="n"/>
      <c r="D9" s="14" t="n"/>
      <c r="E9" s="14" t="n"/>
      <c r="F9" s="14" t="n"/>
      <c r="G9" s="14" t="n"/>
      <c r="H9" s="14" t="n"/>
      <c r="I9" s="14" t="n"/>
      <c r="J9" s="13">
        <f>IF(OR(D9="",I9=""),"",I9-D9)</f>
        <v/>
      </c>
      <c r="K9" s="14" t="n"/>
      <c r="L9" s="14" t="n"/>
      <c r="M9" s="14" t="n"/>
      <c r="N9" s="14" t="n"/>
      <c r="O9" s="14" t="n"/>
      <c r="P9" s="13">
        <f>IF(I9&lt;&gt;"","Complete",IF(J9="","Not Started",IF(C9="Critical",IF(J9&lt;1,"On-Time","Overdue"),IF(C9="High",IF(J9&lt;2,"On-Time",IF(J9&lt;3,"At Risk","Overdue")),IF(J9&lt;8,"On-Time","At Risk")))))</f>
        <v/>
      </c>
      <c r="Q9" s="13">
        <f>IF(P9="Complete",IF(C9="Critical",IF(J9&lt;=0.17,"Met","Missed"),IF(C9="High",IF(J9&lt;=1,"Met","Missed"),IF(C9="Medium",IF(J9&lt;=7,"Met","Missed"),"N/A"))),"In Progress")</f>
        <v/>
      </c>
      <c r="R9" s="14" t="n"/>
    </row>
    <row r="10">
      <c r="A10" s="14" t="n"/>
      <c r="B10" s="14" t="n"/>
      <c r="C10" s="14" t="n"/>
      <c r="D10" s="14" t="n"/>
      <c r="E10" s="14" t="n"/>
      <c r="F10" s="14" t="n"/>
      <c r="G10" s="14" t="n"/>
      <c r="H10" s="14" t="n"/>
      <c r="I10" s="14" t="n"/>
      <c r="J10" s="13">
        <f>IF(OR(D10="",I10=""),"",I10-D10)</f>
        <v/>
      </c>
      <c r="K10" s="14" t="n"/>
      <c r="L10" s="14" t="n"/>
      <c r="M10" s="14" t="n"/>
      <c r="N10" s="14" t="n"/>
      <c r="O10" s="14" t="n"/>
      <c r="P10" s="13">
        <f>IF(I10&lt;&gt;"","Complete",IF(J10="","Not Started",IF(C10="Critical",IF(J10&lt;1,"On-Time","Overdue"),IF(C10="High",IF(J10&lt;2,"On-Time",IF(J10&lt;3,"At Risk","Overdue")),IF(J10&lt;8,"On-Time","At Risk")))))</f>
        <v/>
      </c>
      <c r="Q10" s="13">
        <f>IF(P10="Complete",IF(C10="Critical",IF(J10&lt;=0.17,"Met","Missed"),IF(C10="High",IF(J10&lt;=1,"Met","Missed"),IF(C10="Medium",IF(J10&lt;=7,"Met","Missed"),"N/A"))),"In Progress")</f>
        <v/>
      </c>
      <c r="R10" s="14" t="n"/>
    </row>
    <row r="11">
      <c r="A11" s="14" t="n"/>
      <c r="B11" s="14" t="n"/>
      <c r="C11" s="14" t="n"/>
      <c r="D11" s="14" t="n"/>
      <c r="E11" s="14" t="n"/>
      <c r="F11" s="14" t="n"/>
      <c r="G11" s="14" t="n"/>
      <c r="H11" s="14" t="n"/>
      <c r="I11" s="14" t="n"/>
      <c r="J11" s="13">
        <f>IF(OR(D11="",I11=""),"",I11-D11)</f>
        <v/>
      </c>
      <c r="K11" s="14" t="n"/>
      <c r="L11" s="14" t="n"/>
      <c r="M11" s="14" t="n"/>
      <c r="N11" s="14" t="n"/>
      <c r="O11" s="14" t="n"/>
      <c r="P11" s="13">
        <f>IF(I11&lt;&gt;"","Complete",IF(J11="","Not Started",IF(C11="Critical",IF(J11&lt;1,"On-Time","Overdue"),IF(C11="High",IF(J11&lt;2,"On-Time",IF(J11&lt;3,"At Risk","Overdue")),IF(J11&lt;8,"On-Time","At Risk")))))</f>
        <v/>
      </c>
      <c r="Q11" s="13">
        <f>IF(P11="Complete",IF(C11="Critical",IF(J11&lt;=0.17,"Met","Missed"),IF(C11="High",IF(J11&lt;=1,"Met","Missed"),IF(C11="Medium",IF(J11&lt;=7,"Met","Missed"),"N/A"))),"In Progress")</f>
        <v/>
      </c>
      <c r="R11" s="14" t="n"/>
    </row>
    <row r="12">
      <c r="A12" s="14" t="n"/>
      <c r="B12" s="14" t="n"/>
      <c r="C12" s="14" t="n"/>
      <c r="D12" s="14" t="n"/>
      <c r="E12" s="14" t="n"/>
      <c r="F12" s="14" t="n"/>
      <c r="G12" s="14" t="n"/>
      <c r="H12" s="14" t="n"/>
      <c r="I12" s="14" t="n"/>
      <c r="J12" s="13">
        <f>IF(OR(D12="",I12=""),"",I12-D12)</f>
        <v/>
      </c>
      <c r="K12" s="14" t="n"/>
      <c r="L12" s="14" t="n"/>
      <c r="M12" s="14" t="n"/>
      <c r="N12" s="14" t="n"/>
      <c r="O12" s="14" t="n"/>
      <c r="P12" s="13">
        <f>IF(I12&lt;&gt;"","Complete",IF(J12="","Not Started",IF(C12="Critical",IF(J12&lt;1,"On-Time","Overdue"),IF(C12="High",IF(J12&lt;2,"On-Time",IF(J12&lt;3,"At Risk","Overdue")),IF(J12&lt;8,"On-Time","At Risk")))))</f>
        <v/>
      </c>
      <c r="Q12" s="13">
        <f>IF(P12="Complete",IF(C12="Critical",IF(J12&lt;=0.17,"Met","Missed"),IF(C12="High",IF(J12&lt;=1,"Met","Missed"),IF(C12="Medium",IF(J12&lt;=7,"Met","Missed"),"N/A"))),"In Progress")</f>
        <v/>
      </c>
      <c r="R12" s="14" t="n"/>
    </row>
    <row r="13">
      <c r="A13" s="14" t="n"/>
      <c r="B13" s="14" t="n"/>
      <c r="C13" s="14" t="n"/>
      <c r="D13" s="14" t="n"/>
      <c r="E13" s="14" t="n"/>
      <c r="F13" s="14" t="n"/>
      <c r="G13" s="14" t="n"/>
      <c r="H13" s="14" t="n"/>
      <c r="I13" s="14" t="n"/>
      <c r="J13" s="13">
        <f>IF(OR(D13="",I13=""),"",I13-D13)</f>
        <v/>
      </c>
      <c r="K13" s="14" t="n"/>
      <c r="L13" s="14" t="n"/>
      <c r="M13" s="14" t="n"/>
      <c r="N13" s="14" t="n"/>
      <c r="O13" s="14" t="n"/>
      <c r="P13" s="13">
        <f>IF(I13&lt;&gt;"","Complete",IF(J13="","Not Started",IF(C13="Critical",IF(J13&lt;1,"On-Time","Overdue"),IF(C13="High",IF(J13&lt;2,"On-Time",IF(J13&lt;3,"At Risk","Overdue")),IF(J13&lt;8,"On-Time","At Risk")))))</f>
        <v/>
      </c>
      <c r="Q13" s="13">
        <f>IF(P13="Complete",IF(C13="Critical",IF(J13&lt;=0.17,"Met","Missed"),IF(C13="High",IF(J13&lt;=1,"Met","Missed"),IF(C13="Medium",IF(J13&lt;=7,"Met","Missed"),"N/A"))),"In Progress")</f>
        <v/>
      </c>
      <c r="R13" s="14" t="n"/>
    </row>
    <row r="14">
      <c r="A14" s="14" t="n"/>
      <c r="B14" s="14" t="n"/>
      <c r="C14" s="14" t="n"/>
      <c r="D14" s="14" t="n"/>
      <c r="E14" s="14" t="n"/>
      <c r="F14" s="14" t="n"/>
      <c r="G14" s="14" t="n"/>
      <c r="H14" s="14" t="n"/>
      <c r="I14" s="14" t="n"/>
      <c r="J14" s="13">
        <f>IF(OR(D14="",I14=""),"",I14-D14)</f>
        <v/>
      </c>
      <c r="K14" s="14" t="n"/>
      <c r="L14" s="14" t="n"/>
      <c r="M14" s="14" t="n"/>
      <c r="N14" s="14" t="n"/>
      <c r="O14" s="14" t="n"/>
      <c r="P14" s="13">
        <f>IF(I14&lt;&gt;"","Complete",IF(J14="","Not Started",IF(C14="Critical",IF(J14&lt;1,"On-Time","Overdue"),IF(C14="High",IF(J14&lt;2,"On-Time",IF(J14&lt;3,"At Risk","Overdue")),IF(J14&lt;8,"On-Time","At Risk")))))</f>
        <v/>
      </c>
      <c r="Q14" s="13">
        <f>IF(P14="Complete",IF(C14="Critical",IF(J14&lt;=0.17,"Met","Missed"),IF(C14="High",IF(J14&lt;=1,"Met","Missed"),IF(C14="Medium",IF(J14&lt;=7,"Met","Missed"),"N/A"))),"In Progress")</f>
        <v/>
      </c>
      <c r="R14" s="14" t="n"/>
    </row>
    <row r="15">
      <c r="A15" s="14" t="n"/>
      <c r="B15" s="14" t="n"/>
      <c r="C15" s="14" t="n"/>
      <c r="D15" s="14" t="n"/>
      <c r="E15" s="14" t="n"/>
      <c r="F15" s="14" t="n"/>
      <c r="G15" s="14" t="n"/>
      <c r="H15" s="14" t="n"/>
      <c r="I15" s="14" t="n"/>
      <c r="J15" s="13">
        <f>IF(OR(D15="",I15=""),"",I15-D15)</f>
        <v/>
      </c>
      <c r="K15" s="14" t="n"/>
      <c r="L15" s="14" t="n"/>
      <c r="M15" s="14" t="n"/>
      <c r="N15" s="14" t="n"/>
      <c r="O15" s="14" t="n"/>
      <c r="P15" s="13">
        <f>IF(I15&lt;&gt;"","Complete",IF(J15="","Not Started",IF(C15="Critical",IF(J15&lt;1,"On-Time","Overdue"),IF(C15="High",IF(J15&lt;2,"On-Time",IF(J15&lt;3,"At Risk","Overdue")),IF(J15&lt;8,"On-Time","At Risk")))))</f>
        <v/>
      </c>
      <c r="Q15" s="13">
        <f>IF(P15="Complete",IF(C15="Critical",IF(J15&lt;=0.17,"Met","Missed"),IF(C15="High",IF(J15&lt;=1,"Met","Missed"),IF(C15="Medium",IF(J15&lt;=7,"Met","Missed"),"N/A"))),"In Progress")</f>
        <v/>
      </c>
      <c r="R15" s="14" t="n"/>
    </row>
    <row r="16">
      <c r="A16" s="14" t="n"/>
      <c r="B16" s="14" t="n"/>
      <c r="C16" s="14" t="n"/>
      <c r="D16" s="14" t="n"/>
      <c r="E16" s="14" t="n"/>
      <c r="F16" s="14" t="n"/>
      <c r="G16" s="14" t="n"/>
      <c r="H16" s="14" t="n"/>
      <c r="I16" s="14" t="n"/>
      <c r="J16" s="13">
        <f>IF(OR(D16="",I16=""),"",I16-D16)</f>
        <v/>
      </c>
      <c r="K16" s="14" t="n"/>
      <c r="L16" s="14" t="n"/>
      <c r="M16" s="14" t="n"/>
      <c r="N16" s="14" t="n"/>
      <c r="O16" s="14" t="n"/>
      <c r="P16" s="13">
        <f>IF(I16&lt;&gt;"","Complete",IF(J16="","Not Started",IF(C16="Critical",IF(J16&lt;1,"On-Time","Overdue"),IF(C16="High",IF(J16&lt;2,"On-Time",IF(J16&lt;3,"At Risk","Overdue")),IF(J16&lt;8,"On-Time","At Risk")))))</f>
        <v/>
      </c>
      <c r="Q16" s="13">
        <f>IF(P16="Complete",IF(C16="Critical",IF(J16&lt;=0.17,"Met","Missed"),IF(C16="High",IF(J16&lt;=1,"Met","Missed"),IF(C16="Medium",IF(J16&lt;=7,"Met","Missed"),"N/A"))),"In Progress")</f>
        <v/>
      </c>
      <c r="R16" s="14" t="n"/>
    </row>
    <row r="17">
      <c r="A17" s="14" t="n"/>
      <c r="B17" s="14" t="n"/>
      <c r="C17" s="14" t="n"/>
      <c r="D17" s="14" t="n"/>
      <c r="E17" s="14" t="n"/>
      <c r="F17" s="14" t="n"/>
      <c r="G17" s="14" t="n"/>
      <c r="H17" s="14" t="n"/>
      <c r="I17" s="14" t="n"/>
      <c r="J17" s="13">
        <f>IF(OR(D17="",I17=""),"",I17-D17)</f>
        <v/>
      </c>
      <c r="K17" s="14" t="n"/>
      <c r="L17" s="14" t="n"/>
      <c r="M17" s="14" t="n"/>
      <c r="N17" s="14" t="n"/>
      <c r="O17" s="14" t="n"/>
      <c r="P17" s="13">
        <f>IF(I17&lt;&gt;"","Complete",IF(J17="","Not Started",IF(C17="Critical",IF(J17&lt;1,"On-Time","Overdue"),IF(C17="High",IF(J17&lt;2,"On-Time",IF(J17&lt;3,"At Risk","Overdue")),IF(J17&lt;8,"On-Time","At Risk")))))</f>
        <v/>
      </c>
      <c r="Q17" s="13">
        <f>IF(P17="Complete",IF(C17="Critical",IF(J17&lt;=0.17,"Met","Missed"),IF(C17="High",IF(J17&lt;=1,"Met","Missed"),IF(C17="Medium",IF(J17&lt;=7,"Met","Missed"),"N/A"))),"In Progress")</f>
        <v/>
      </c>
      <c r="R17" s="14" t="n"/>
    </row>
    <row r="18">
      <c r="A18" s="14" t="n"/>
      <c r="B18" s="14" t="n"/>
      <c r="C18" s="14" t="n"/>
      <c r="D18" s="14" t="n"/>
      <c r="E18" s="14" t="n"/>
      <c r="F18" s="14" t="n"/>
      <c r="G18" s="14" t="n"/>
      <c r="H18" s="14" t="n"/>
      <c r="I18" s="14" t="n"/>
      <c r="J18" s="13">
        <f>IF(OR(D18="",I18=""),"",I18-D18)</f>
        <v/>
      </c>
      <c r="K18" s="14" t="n"/>
      <c r="L18" s="14" t="n"/>
      <c r="M18" s="14" t="n"/>
      <c r="N18" s="14" t="n"/>
      <c r="O18" s="14" t="n"/>
      <c r="P18" s="13">
        <f>IF(I18&lt;&gt;"","Complete",IF(J18="","Not Started",IF(C18="Critical",IF(J18&lt;1,"On-Time","Overdue"),IF(C18="High",IF(J18&lt;2,"On-Time",IF(J18&lt;3,"At Risk","Overdue")),IF(J18&lt;8,"On-Time","At Risk")))))</f>
        <v/>
      </c>
      <c r="Q18" s="13">
        <f>IF(P18="Complete",IF(C18="Critical",IF(J18&lt;=0.17,"Met","Missed"),IF(C18="High",IF(J18&lt;=1,"Met","Missed"),IF(C18="Medium",IF(J18&lt;=7,"Met","Missed"),"N/A"))),"In Progress")</f>
        <v/>
      </c>
      <c r="R18" s="14" t="n"/>
    </row>
    <row r="19">
      <c r="A19" s="14" t="n"/>
      <c r="B19" s="14" t="n"/>
      <c r="C19" s="14" t="n"/>
      <c r="D19" s="14" t="n"/>
      <c r="E19" s="14" t="n"/>
      <c r="F19" s="14" t="n"/>
      <c r="G19" s="14" t="n"/>
      <c r="H19" s="14" t="n"/>
      <c r="I19" s="14" t="n"/>
      <c r="J19" s="13">
        <f>IF(OR(D19="",I19=""),"",I19-D19)</f>
        <v/>
      </c>
      <c r="K19" s="14" t="n"/>
      <c r="L19" s="14" t="n"/>
      <c r="M19" s="14" t="n"/>
      <c r="N19" s="14" t="n"/>
      <c r="O19" s="14" t="n"/>
      <c r="P19" s="13">
        <f>IF(I19&lt;&gt;"","Complete",IF(J19="","Not Started",IF(C19="Critical",IF(J19&lt;1,"On-Time","Overdue"),IF(C19="High",IF(J19&lt;2,"On-Time",IF(J19&lt;3,"At Risk","Overdue")),IF(J19&lt;8,"On-Time","At Risk")))))</f>
        <v/>
      </c>
      <c r="Q19" s="13">
        <f>IF(P19="Complete",IF(C19="Critical",IF(J19&lt;=0.17,"Met","Missed"),IF(C19="High",IF(J19&lt;=1,"Met","Missed"),IF(C19="Medium",IF(J19&lt;=7,"Met","Missed"),"N/A"))),"In Progress")</f>
        <v/>
      </c>
      <c r="R19" s="14" t="n"/>
    </row>
    <row r="20">
      <c r="A20" s="14" t="n"/>
      <c r="B20" s="14" t="n"/>
      <c r="C20" s="14" t="n"/>
      <c r="D20" s="14" t="n"/>
      <c r="E20" s="14" t="n"/>
      <c r="F20" s="14" t="n"/>
      <c r="G20" s="14" t="n"/>
      <c r="H20" s="14" t="n"/>
      <c r="I20" s="14" t="n"/>
      <c r="J20" s="13">
        <f>IF(OR(D20="",I20=""),"",I20-D20)</f>
        <v/>
      </c>
      <c r="K20" s="14" t="n"/>
      <c r="L20" s="14" t="n"/>
      <c r="M20" s="14" t="n"/>
      <c r="N20" s="14" t="n"/>
      <c r="O20" s="14" t="n"/>
      <c r="P20" s="13">
        <f>IF(I20&lt;&gt;"","Complete",IF(J20="","Not Started",IF(C20="Critical",IF(J20&lt;1,"On-Time","Overdue"),IF(C20="High",IF(J20&lt;2,"On-Time",IF(J20&lt;3,"At Risk","Overdue")),IF(J20&lt;8,"On-Time","At Risk")))))</f>
        <v/>
      </c>
      <c r="Q20" s="13">
        <f>IF(P20="Complete",IF(C20="Critical",IF(J20&lt;=0.17,"Met","Missed"),IF(C20="High",IF(J20&lt;=1,"Met","Missed"),IF(C20="Medium",IF(J20&lt;=7,"Met","Missed"),"N/A"))),"In Progress")</f>
        <v/>
      </c>
      <c r="R20" s="14" t="n"/>
    </row>
    <row r="21">
      <c r="A21" s="14" t="n"/>
      <c r="B21" s="14" t="n"/>
      <c r="C21" s="14" t="n"/>
      <c r="D21" s="14" t="n"/>
      <c r="E21" s="14" t="n"/>
      <c r="F21" s="14" t="n"/>
      <c r="G21" s="14" t="n"/>
      <c r="H21" s="14" t="n"/>
      <c r="I21" s="14" t="n"/>
      <c r="J21" s="13">
        <f>IF(OR(D21="",I21=""),"",I21-D21)</f>
        <v/>
      </c>
      <c r="K21" s="14" t="n"/>
      <c r="L21" s="14" t="n"/>
      <c r="M21" s="14" t="n"/>
      <c r="N21" s="14" t="n"/>
      <c r="O21" s="14" t="n"/>
      <c r="P21" s="13">
        <f>IF(I21&lt;&gt;"","Complete",IF(J21="","Not Started",IF(C21="Critical",IF(J21&lt;1,"On-Time","Overdue"),IF(C21="High",IF(J21&lt;2,"On-Time",IF(J21&lt;3,"At Risk","Overdue")),IF(J21&lt;8,"On-Time","At Risk")))))</f>
        <v/>
      </c>
      <c r="Q21" s="13">
        <f>IF(P21="Complete",IF(C21="Critical",IF(J21&lt;=0.17,"Met","Missed"),IF(C21="High",IF(J21&lt;=1,"Met","Missed"),IF(C21="Medium",IF(J21&lt;=7,"Met","Missed"),"N/A"))),"In Progress")</f>
        <v/>
      </c>
      <c r="R21" s="14" t="n"/>
    </row>
    <row r="22">
      <c r="A22" s="14" t="n"/>
      <c r="B22" s="14" t="n"/>
      <c r="C22" s="14" t="n"/>
      <c r="D22" s="14" t="n"/>
      <c r="E22" s="14" t="n"/>
      <c r="F22" s="14" t="n"/>
      <c r="G22" s="14" t="n"/>
      <c r="H22" s="14" t="n"/>
      <c r="I22" s="14" t="n"/>
      <c r="J22" s="13">
        <f>IF(OR(D22="",I22=""),"",I22-D22)</f>
        <v/>
      </c>
      <c r="K22" s="14" t="n"/>
      <c r="L22" s="14" t="n"/>
      <c r="M22" s="14" t="n"/>
      <c r="N22" s="14" t="n"/>
      <c r="O22" s="14" t="n"/>
      <c r="P22" s="13">
        <f>IF(I22&lt;&gt;"","Complete",IF(J22="","Not Started",IF(C22="Critical",IF(J22&lt;1,"On-Time","Overdue"),IF(C22="High",IF(J22&lt;2,"On-Time",IF(J22&lt;3,"At Risk","Overdue")),IF(J22&lt;8,"On-Time","At Risk")))))</f>
        <v/>
      </c>
      <c r="Q22" s="13">
        <f>IF(P22="Complete",IF(C22="Critical",IF(J22&lt;=0.17,"Met","Missed"),IF(C22="High",IF(J22&lt;=1,"Met","Missed"),IF(C22="Medium",IF(J22&lt;=7,"Met","Missed"),"N/A"))),"In Progress")</f>
        <v/>
      </c>
      <c r="R22" s="14" t="n"/>
    </row>
    <row r="23">
      <c r="A23" s="14" t="n"/>
      <c r="B23" s="14" t="n"/>
      <c r="C23" s="14" t="n"/>
      <c r="D23" s="14" t="n"/>
      <c r="E23" s="14" t="n"/>
      <c r="F23" s="14" t="n"/>
      <c r="G23" s="14" t="n"/>
      <c r="H23" s="14" t="n"/>
      <c r="I23" s="14" t="n"/>
      <c r="J23" s="13">
        <f>IF(OR(D23="",I23=""),"",I23-D23)</f>
        <v/>
      </c>
      <c r="K23" s="14" t="n"/>
      <c r="L23" s="14" t="n"/>
      <c r="M23" s="14" t="n"/>
      <c r="N23" s="14" t="n"/>
      <c r="O23" s="14" t="n"/>
      <c r="P23" s="13">
        <f>IF(I23&lt;&gt;"","Complete",IF(J23="","Not Started",IF(C23="Critical",IF(J23&lt;1,"On-Time","Overdue"),IF(C23="High",IF(J23&lt;2,"On-Time",IF(J23&lt;3,"At Risk","Overdue")),IF(J23&lt;8,"On-Time","At Risk")))))</f>
        <v/>
      </c>
      <c r="Q23" s="13">
        <f>IF(P23="Complete",IF(C23="Critical",IF(J23&lt;=0.17,"Met","Missed"),IF(C23="High",IF(J23&lt;=1,"Met","Missed"),IF(C23="Medium",IF(J23&lt;=7,"Met","Missed"),"N/A"))),"In Progress")</f>
        <v/>
      </c>
      <c r="R23" s="14" t="n"/>
    </row>
    <row r="24">
      <c r="A24" s="14" t="n"/>
      <c r="B24" s="14" t="n"/>
      <c r="C24" s="14" t="n"/>
      <c r="D24" s="14" t="n"/>
      <c r="E24" s="14" t="n"/>
      <c r="F24" s="14" t="n"/>
      <c r="G24" s="14" t="n"/>
      <c r="H24" s="14" t="n"/>
      <c r="I24" s="14" t="n"/>
      <c r="J24" s="13">
        <f>IF(OR(D24="",I24=""),"",I24-D24)</f>
        <v/>
      </c>
      <c r="K24" s="14" t="n"/>
      <c r="L24" s="14" t="n"/>
      <c r="M24" s="14" t="n"/>
      <c r="N24" s="14" t="n"/>
      <c r="O24" s="14" t="n"/>
      <c r="P24" s="13">
        <f>IF(I24&lt;&gt;"","Complete",IF(J24="","Not Started",IF(C24="Critical",IF(J24&lt;1,"On-Time","Overdue"),IF(C24="High",IF(J24&lt;2,"On-Time",IF(J24&lt;3,"At Risk","Overdue")),IF(J24&lt;8,"On-Time","At Risk")))))</f>
        <v/>
      </c>
      <c r="Q24" s="13">
        <f>IF(P24="Complete",IF(C24="Critical",IF(J24&lt;=0.17,"Met","Missed"),IF(C24="High",IF(J24&lt;=1,"Met","Missed"),IF(C24="Medium",IF(J24&lt;=7,"Met","Missed"),"N/A"))),"In Progress")</f>
        <v/>
      </c>
      <c r="R24" s="14" t="n"/>
    </row>
    <row r="25">
      <c r="A25" s="14" t="n"/>
      <c r="B25" s="14" t="n"/>
      <c r="C25" s="14" t="n"/>
      <c r="D25" s="14" t="n"/>
      <c r="E25" s="14" t="n"/>
      <c r="F25" s="14" t="n"/>
      <c r="G25" s="14" t="n"/>
      <c r="H25" s="14" t="n"/>
      <c r="I25" s="14" t="n"/>
      <c r="J25" s="13">
        <f>IF(OR(D25="",I25=""),"",I25-D25)</f>
        <v/>
      </c>
      <c r="K25" s="14" t="n"/>
      <c r="L25" s="14" t="n"/>
      <c r="M25" s="14" t="n"/>
      <c r="N25" s="14" t="n"/>
      <c r="O25" s="14" t="n"/>
      <c r="P25" s="13">
        <f>IF(I25&lt;&gt;"","Complete",IF(J25="","Not Started",IF(C25="Critical",IF(J25&lt;1,"On-Time","Overdue"),IF(C25="High",IF(J25&lt;2,"On-Time",IF(J25&lt;3,"At Risk","Overdue")),IF(J25&lt;8,"On-Time","At Risk")))))</f>
        <v/>
      </c>
      <c r="Q25" s="13">
        <f>IF(P25="Complete",IF(C25="Critical",IF(J25&lt;=0.17,"Met","Missed"),IF(C25="High",IF(J25&lt;=1,"Met","Missed"),IF(C25="Medium",IF(J25&lt;=7,"Met","Missed"),"N/A"))),"In Progress")</f>
        <v/>
      </c>
      <c r="R25" s="14" t="n"/>
    </row>
    <row r="26">
      <c r="A26" s="14" t="n"/>
      <c r="B26" s="14" t="n"/>
      <c r="C26" s="14" t="n"/>
      <c r="D26" s="14" t="n"/>
      <c r="E26" s="14" t="n"/>
      <c r="F26" s="14" t="n"/>
      <c r="G26" s="14" t="n"/>
      <c r="H26" s="14" t="n"/>
      <c r="I26" s="14" t="n"/>
      <c r="J26" s="13">
        <f>IF(OR(D26="",I26=""),"",I26-D26)</f>
        <v/>
      </c>
      <c r="K26" s="14" t="n"/>
      <c r="L26" s="14" t="n"/>
      <c r="M26" s="14" t="n"/>
      <c r="N26" s="14" t="n"/>
      <c r="O26" s="14" t="n"/>
      <c r="P26" s="13">
        <f>IF(I26&lt;&gt;"","Complete",IF(J26="","Not Started",IF(C26="Critical",IF(J26&lt;1,"On-Time","Overdue"),IF(C26="High",IF(J26&lt;2,"On-Time",IF(J26&lt;3,"At Risk","Overdue")),IF(J26&lt;8,"On-Time","At Risk")))))</f>
        <v/>
      </c>
      <c r="Q26" s="13">
        <f>IF(P26="Complete",IF(C26="Critical",IF(J26&lt;=0.17,"Met","Missed"),IF(C26="High",IF(J26&lt;=1,"Met","Missed"),IF(C26="Medium",IF(J26&lt;=7,"Met","Missed"),"N/A"))),"In Progress")</f>
        <v/>
      </c>
      <c r="R26" s="14" t="n"/>
    </row>
    <row r="27">
      <c r="A27" s="14" t="n"/>
      <c r="B27" s="14" t="n"/>
      <c r="C27" s="14" t="n"/>
      <c r="D27" s="14" t="n"/>
      <c r="E27" s="14" t="n"/>
      <c r="F27" s="14" t="n"/>
      <c r="G27" s="14" t="n"/>
      <c r="H27" s="14" t="n"/>
      <c r="I27" s="14" t="n"/>
      <c r="J27" s="13">
        <f>IF(OR(D27="",I27=""),"",I27-D27)</f>
        <v/>
      </c>
      <c r="K27" s="14" t="n"/>
      <c r="L27" s="14" t="n"/>
      <c r="M27" s="14" t="n"/>
      <c r="N27" s="14" t="n"/>
      <c r="O27" s="14" t="n"/>
      <c r="P27" s="13">
        <f>IF(I27&lt;&gt;"","Complete",IF(J27="","Not Started",IF(C27="Critical",IF(J27&lt;1,"On-Time","Overdue"),IF(C27="High",IF(J27&lt;2,"On-Time",IF(J27&lt;3,"At Risk","Overdue")),IF(J27&lt;8,"On-Time","At Risk")))))</f>
        <v/>
      </c>
      <c r="Q27" s="13">
        <f>IF(P27="Complete",IF(C27="Critical",IF(J27&lt;=0.17,"Met","Missed"),IF(C27="High",IF(J27&lt;=1,"Met","Missed"),IF(C27="Medium",IF(J27&lt;=7,"Met","Missed"),"N/A"))),"In Progress")</f>
        <v/>
      </c>
      <c r="R27" s="14" t="n"/>
    </row>
    <row r="28">
      <c r="A28" s="14" t="n"/>
      <c r="B28" s="14" t="n"/>
      <c r="C28" s="14" t="n"/>
      <c r="D28" s="14" t="n"/>
      <c r="E28" s="14" t="n"/>
      <c r="F28" s="14" t="n"/>
      <c r="G28" s="14" t="n"/>
      <c r="H28" s="14" t="n"/>
      <c r="I28" s="14" t="n"/>
      <c r="J28" s="13">
        <f>IF(OR(D28="",I28=""),"",I28-D28)</f>
        <v/>
      </c>
      <c r="K28" s="14" t="n"/>
      <c r="L28" s="14" t="n"/>
      <c r="M28" s="14" t="n"/>
      <c r="N28" s="14" t="n"/>
      <c r="O28" s="14" t="n"/>
      <c r="P28" s="13">
        <f>IF(I28&lt;&gt;"","Complete",IF(J28="","Not Started",IF(C28="Critical",IF(J28&lt;1,"On-Time","Overdue"),IF(C28="High",IF(J28&lt;2,"On-Time",IF(J28&lt;3,"At Risk","Overdue")),IF(J28&lt;8,"On-Time","At Risk")))))</f>
        <v/>
      </c>
      <c r="Q28" s="13">
        <f>IF(P28="Complete",IF(C28="Critical",IF(J28&lt;=0.17,"Met","Missed"),IF(C28="High",IF(J28&lt;=1,"Met","Missed"),IF(C28="Medium",IF(J28&lt;=7,"Met","Missed"),"N/A"))),"In Progress")</f>
        <v/>
      </c>
      <c r="R28" s="14" t="n"/>
    </row>
    <row r="29">
      <c r="A29" s="14" t="n"/>
      <c r="B29" s="14" t="n"/>
      <c r="C29" s="14" t="n"/>
      <c r="D29" s="14" t="n"/>
      <c r="E29" s="14" t="n"/>
      <c r="F29" s="14" t="n"/>
      <c r="G29" s="14" t="n"/>
      <c r="H29" s="14" t="n"/>
      <c r="I29" s="14" t="n"/>
      <c r="J29" s="13">
        <f>IF(OR(D29="",I29=""),"",I29-D29)</f>
        <v/>
      </c>
      <c r="K29" s="14" t="n"/>
      <c r="L29" s="14" t="n"/>
      <c r="M29" s="14" t="n"/>
      <c r="N29" s="14" t="n"/>
      <c r="O29" s="14" t="n"/>
      <c r="P29" s="13">
        <f>IF(I29&lt;&gt;"","Complete",IF(J29="","Not Started",IF(C29="Critical",IF(J29&lt;1,"On-Time","Overdue"),IF(C29="High",IF(J29&lt;2,"On-Time",IF(J29&lt;3,"At Risk","Overdue")),IF(J29&lt;8,"On-Time","At Risk")))))</f>
        <v/>
      </c>
      <c r="Q29" s="13">
        <f>IF(P29="Complete",IF(C29="Critical",IF(J29&lt;=0.17,"Met","Missed"),IF(C29="High",IF(J29&lt;=1,"Met","Missed"),IF(C29="Medium",IF(J29&lt;=7,"Met","Missed"),"N/A"))),"In Progress")</f>
        <v/>
      </c>
      <c r="R29" s="14" t="n"/>
    </row>
    <row r="30">
      <c r="A30" s="14" t="n"/>
      <c r="B30" s="14" t="n"/>
      <c r="C30" s="14" t="n"/>
      <c r="D30" s="14" t="n"/>
      <c r="E30" s="14" t="n"/>
      <c r="F30" s="14" t="n"/>
      <c r="G30" s="14" t="n"/>
      <c r="H30" s="14" t="n"/>
      <c r="I30" s="14" t="n"/>
      <c r="J30" s="13">
        <f>IF(OR(D30="",I30=""),"",I30-D30)</f>
        <v/>
      </c>
      <c r="K30" s="14" t="n"/>
      <c r="L30" s="14" t="n"/>
      <c r="M30" s="14" t="n"/>
      <c r="N30" s="14" t="n"/>
      <c r="O30" s="14" t="n"/>
      <c r="P30" s="13">
        <f>IF(I30&lt;&gt;"","Complete",IF(J30="","Not Started",IF(C30="Critical",IF(J30&lt;1,"On-Time","Overdue"),IF(C30="High",IF(J30&lt;2,"On-Time",IF(J30&lt;3,"At Risk","Overdue")),IF(J30&lt;8,"On-Time","At Risk")))))</f>
        <v/>
      </c>
      <c r="Q30" s="13">
        <f>IF(P30="Complete",IF(C30="Critical",IF(J30&lt;=0.17,"Met","Missed"),IF(C30="High",IF(J30&lt;=1,"Met","Missed"),IF(C30="Medium",IF(J30&lt;=7,"Met","Missed"),"N/A"))),"In Progress")</f>
        <v/>
      </c>
      <c r="R30" s="14" t="n"/>
    </row>
    <row r="31">
      <c r="A31" s="14" t="n"/>
      <c r="B31" s="14" t="n"/>
      <c r="C31" s="14" t="n"/>
      <c r="D31" s="14" t="n"/>
      <c r="E31" s="14" t="n"/>
      <c r="F31" s="14" t="n"/>
      <c r="G31" s="14" t="n"/>
      <c r="H31" s="14" t="n"/>
      <c r="I31" s="14" t="n"/>
      <c r="J31" s="13">
        <f>IF(OR(D31="",I31=""),"",I31-D31)</f>
        <v/>
      </c>
      <c r="K31" s="14" t="n"/>
      <c r="L31" s="14" t="n"/>
      <c r="M31" s="14" t="n"/>
      <c r="N31" s="14" t="n"/>
      <c r="O31" s="14" t="n"/>
      <c r="P31" s="13">
        <f>IF(I31&lt;&gt;"","Complete",IF(J31="","Not Started",IF(C31="Critical",IF(J31&lt;1,"On-Time","Overdue"),IF(C31="High",IF(J31&lt;2,"On-Time",IF(J31&lt;3,"At Risk","Overdue")),IF(J31&lt;8,"On-Time","At Risk")))))</f>
        <v/>
      </c>
      <c r="Q31" s="13">
        <f>IF(P31="Complete",IF(C31="Critical",IF(J31&lt;=0.17,"Met","Missed"),IF(C31="High",IF(J31&lt;=1,"Met","Missed"),IF(C31="Medium",IF(J31&lt;=7,"Met","Missed"),"N/A"))),"In Progress")</f>
        <v/>
      </c>
      <c r="R31" s="14" t="n"/>
    </row>
    <row r="32">
      <c r="A32" s="14" t="n"/>
      <c r="B32" s="14" t="n"/>
      <c r="C32" s="14" t="n"/>
      <c r="D32" s="14" t="n"/>
      <c r="E32" s="14" t="n"/>
      <c r="F32" s="14" t="n"/>
      <c r="G32" s="14" t="n"/>
      <c r="H32" s="14" t="n"/>
      <c r="I32" s="14" t="n"/>
      <c r="J32" s="13">
        <f>IF(OR(D32="",I32=""),"",I32-D32)</f>
        <v/>
      </c>
      <c r="K32" s="14" t="n"/>
      <c r="L32" s="14" t="n"/>
      <c r="M32" s="14" t="n"/>
      <c r="N32" s="14" t="n"/>
      <c r="O32" s="14" t="n"/>
      <c r="P32" s="13">
        <f>IF(I32&lt;&gt;"","Complete",IF(J32="","Not Started",IF(C32="Critical",IF(J32&lt;1,"On-Time","Overdue"),IF(C32="High",IF(J32&lt;2,"On-Time",IF(J32&lt;3,"At Risk","Overdue")),IF(J32&lt;8,"On-Time","At Risk")))))</f>
        <v/>
      </c>
      <c r="Q32" s="13">
        <f>IF(P32="Complete",IF(C32="Critical",IF(J32&lt;=0.17,"Met","Missed"),IF(C32="High",IF(J32&lt;=1,"Met","Missed"),IF(C32="Medium",IF(J32&lt;=7,"Met","Missed"),"N/A"))),"In Progress")</f>
        <v/>
      </c>
      <c r="R32" s="14" t="n"/>
    </row>
    <row r="33">
      <c r="A33" s="14" t="n"/>
      <c r="B33" s="14" t="n"/>
      <c r="C33" s="14" t="n"/>
      <c r="D33" s="14" t="n"/>
      <c r="E33" s="14" t="n"/>
      <c r="F33" s="14" t="n"/>
      <c r="G33" s="14" t="n"/>
      <c r="H33" s="14" t="n"/>
      <c r="I33" s="14" t="n"/>
      <c r="J33" s="13">
        <f>IF(OR(D33="",I33=""),"",I33-D33)</f>
        <v/>
      </c>
      <c r="K33" s="14" t="n"/>
      <c r="L33" s="14" t="n"/>
      <c r="M33" s="14" t="n"/>
      <c r="N33" s="14" t="n"/>
      <c r="O33" s="14" t="n"/>
      <c r="P33" s="13">
        <f>IF(I33&lt;&gt;"","Complete",IF(J33="","Not Started",IF(C33="Critical",IF(J33&lt;1,"On-Time","Overdue"),IF(C33="High",IF(J33&lt;2,"On-Time",IF(J33&lt;3,"At Risk","Overdue")),IF(J33&lt;8,"On-Time","At Risk")))))</f>
        <v/>
      </c>
      <c r="Q33" s="13">
        <f>IF(P33="Complete",IF(C33="Critical",IF(J33&lt;=0.17,"Met","Missed"),IF(C33="High",IF(J33&lt;=1,"Met","Missed"),IF(C33="Medium",IF(J33&lt;=7,"Met","Missed"),"N/A"))),"In Progress")</f>
        <v/>
      </c>
      <c r="R33" s="14" t="n"/>
    </row>
    <row r="34">
      <c r="A34" s="14" t="n"/>
      <c r="B34" s="14" t="n"/>
      <c r="C34" s="14" t="n"/>
      <c r="D34" s="14" t="n"/>
      <c r="E34" s="14" t="n"/>
      <c r="F34" s="14" t="n"/>
      <c r="G34" s="14" t="n"/>
      <c r="H34" s="14" t="n"/>
      <c r="I34" s="14" t="n"/>
      <c r="J34" s="13">
        <f>IF(OR(D34="",I34=""),"",I34-D34)</f>
        <v/>
      </c>
      <c r="K34" s="14" t="n"/>
      <c r="L34" s="14" t="n"/>
      <c r="M34" s="14" t="n"/>
      <c r="N34" s="14" t="n"/>
      <c r="O34" s="14" t="n"/>
      <c r="P34" s="13">
        <f>IF(I34&lt;&gt;"","Complete",IF(J34="","Not Started",IF(C34="Critical",IF(J34&lt;1,"On-Time","Overdue"),IF(C34="High",IF(J34&lt;2,"On-Time",IF(J34&lt;3,"At Risk","Overdue")),IF(J34&lt;8,"On-Time","At Risk")))))</f>
        <v/>
      </c>
      <c r="Q34" s="13">
        <f>IF(P34="Complete",IF(C34="Critical",IF(J34&lt;=0.17,"Met","Missed"),IF(C34="High",IF(J34&lt;=1,"Met","Missed"),IF(C34="Medium",IF(J34&lt;=7,"Met","Missed"),"N/A"))),"In Progress")</f>
        <v/>
      </c>
      <c r="R34" s="14" t="n"/>
    </row>
    <row r="35">
      <c r="A35" s="14" t="n"/>
      <c r="B35" s="14" t="n"/>
      <c r="C35" s="14" t="n"/>
      <c r="D35" s="14" t="n"/>
      <c r="E35" s="14" t="n"/>
      <c r="F35" s="14" t="n"/>
      <c r="G35" s="14" t="n"/>
      <c r="H35" s="14" t="n"/>
      <c r="I35" s="14" t="n"/>
      <c r="J35" s="13">
        <f>IF(OR(D35="",I35=""),"",I35-D35)</f>
        <v/>
      </c>
      <c r="K35" s="14" t="n"/>
      <c r="L35" s="14" t="n"/>
      <c r="M35" s="14" t="n"/>
      <c r="N35" s="14" t="n"/>
      <c r="O35" s="14" t="n"/>
      <c r="P35" s="13">
        <f>IF(I35&lt;&gt;"","Complete",IF(J35="","Not Started",IF(C35="Critical",IF(J35&lt;1,"On-Time","Overdue"),IF(C35="High",IF(J35&lt;2,"On-Time",IF(J35&lt;3,"At Risk","Overdue")),IF(J35&lt;8,"On-Time","At Risk")))))</f>
        <v/>
      </c>
      <c r="Q35" s="13">
        <f>IF(P35="Complete",IF(C35="Critical",IF(J35&lt;=0.17,"Met","Missed"),IF(C35="High",IF(J35&lt;=1,"Met","Missed"),IF(C35="Medium",IF(J35&lt;=7,"Met","Missed"),"N/A"))),"In Progress")</f>
        <v/>
      </c>
      <c r="R35" s="14" t="n"/>
    </row>
    <row r="36">
      <c r="A36" s="14" t="n"/>
      <c r="B36" s="14" t="n"/>
      <c r="C36" s="14" t="n"/>
      <c r="D36" s="14" t="n"/>
      <c r="E36" s="14" t="n"/>
      <c r="F36" s="14" t="n"/>
      <c r="G36" s="14" t="n"/>
      <c r="H36" s="14" t="n"/>
      <c r="I36" s="14" t="n"/>
      <c r="J36" s="13">
        <f>IF(OR(D36="",I36=""),"",I36-D36)</f>
        <v/>
      </c>
      <c r="K36" s="14" t="n"/>
      <c r="L36" s="14" t="n"/>
      <c r="M36" s="14" t="n"/>
      <c r="N36" s="14" t="n"/>
      <c r="O36" s="14" t="n"/>
      <c r="P36" s="13">
        <f>IF(I36&lt;&gt;"","Complete",IF(J36="","Not Started",IF(C36="Critical",IF(J36&lt;1,"On-Time","Overdue"),IF(C36="High",IF(J36&lt;2,"On-Time",IF(J36&lt;3,"At Risk","Overdue")),IF(J36&lt;8,"On-Time","At Risk")))))</f>
        <v/>
      </c>
      <c r="Q36" s="13">
        <f>IF(P36="Complete",IF(C36="Critical",IF(J36&lt;=0.17,"Met","Missed"),IF(C36="High",IF(J36&lt;=1,"Met","Missed"),IF(C36="Medium",IF(J36&lt;=7,"Met","Missed"),"N/A"))),"In Progress")</f>
        <v/>
      </c>
      <c r="R36" s="14" t="n"/>
    </row>
    <row r="37">
      <c r="A37" s="14" t="n"/>
      <c r="B37" s="14" t="n"/>
      <c r="C37" s="14" t="n"/>
      <c r="D37" s="14" t="n"/>
      <c r="E37" s="14" t="n"/>
      <c r="F37" s="14" t="n"/>
      <c r="G37" s="14" t="n"/>
      <c r="H37" s="14" t="n"/>
      <c r="I37" s="14" t="n"/>
      <c r="J37" s="13">
        <f>IF(OR(D37="",I37=""),"",I37-D37)</f>
        <v/>
      </c>
      <c r="K37" s="14" t="n"/>
      <c r="L37" s="14" t="n"/>
      <c r="M37" s="14" t="n"/>
      <c r="N37" s="14" t="n"/>
      <c r="O37" s="14" t="n"/>
      <c r="P37" s="13">
        <f>IF(I37&lt;&gt;"","Complete",IF(J37="","Not Started",IF(C37="Critical",IF(J37&lt;1,"On-Time","Overdue"),IF(C37="High",IF(J37&lt;2,"On-Time",IF(J37&lt;3,"At Risk","Overdue")),IF(J37&lt;8,"On-Time","At Risk")))))</f>
        <v/>
      </c>
      <c r="Q37" s="13">
        <f>IF(P37="Complete",IF(C37="Critical",IF(J37&lt;=0.17,"Met","Missed"),IF(C37="High",IF(J37&lt;=1,"Met","Missed"),IF(C37="Medium",IF(J37&lt;=7,"Met","Missed"),"N/A"))),"In Progress")</f>
        <v/>
      </c>
      <c r="R37" s="14" t="n"/>
    </row>
    <row r="38">
      <c r="A38" s="14" t="n"/>
      <c r="B38" s="14" t="n"/>
      <c r="C38" s="14" t="n"/>
      <c r="D38" s="14" t="n"/>
      <c r="E38" s="14" t="n"/>
      <c r="F38" s="14" t="n"/>
      <c r="G38" s="14" t="n"/>
      <c r="H38" s="14" t="n"/>
      <c r="I38" s="14" t="n"/>
      <c r="J38" s="13">
        <f>IF(OR(D38="",I38=""),"",I38-D38)</f>
        <v/>
      </c>
      <c r="K38" s="14" t="n"/>
      <c r="L38" s="14" t="n"/>
      <c r="M38" s="14" t="n"/>
      <c r="N38" s="14" t="n"/>
      <c r="O38" s="14" t="n"/>
      <c r="P38" s="13">
        <f>IF(I38&lt;&gt;"","Complete",IF(J38="","Not Started",IF(C38="Critical",IF(J38&lt;1,"On-Time","Overdue"),IF(C38="High",IF(J38&lt;2,"On-Time",IF(J38&lt;3,"At Risk","Overdue")),IF(J38&lt;8,"On-Time","At Risk")))))</f>
        <v/>
      </c>
      <c r="Q38" s="13">
        <f>IF(P38="Complete",IF(C38="Critical",IF(J38&lt;=0.17,"Met","Missed"),IF(C38="High",IF(J38&lt;=1,"Met","Missed"),IF(C38="Medium",IF(J38&lt;=7,"Met","Missed"),"N/A"))),"In Progress")</f>
        <v/>
      </c>
      <c r="R38" s="14" t="n"/>
    </row>
    <row r="39">
      <c r="A39" s="14" t="n"/>
      <c r="B39" s="14" t="n"/>
      <c r="C39" s="14" t="n"/>
      <c r="D39" s="14" t="n"/>
      <c r="E39" s="14" t="n"/>
      <c r="F39" s="14" t="n"/>
      <c r="G39" s="14" t="n"/>
      <c r="H39" s="14" t="n"/>
      <c r="I39" s="14" t="n"/>
      <c r="J39" s="13">
        <f>IF(OR(D39="",I39=""),"",I39-D39)</f>
        <v/>
      </c>
      <c r="K39" s="14" t="n"/>
      <c r="L39" s="14" t="n"/>
      <c r="M39" s="14" t="n"/>
      <c r="N39" s="14" t="n"/>
      <c r="O39" s="14" t="n"/>
      <c r="P39" s="13">
        <f>IF(I39&lt;&gt;"","Complete",IF(J39="","Not Started",IF(C39="Critical",IF(J39&lt;1,"On-Time","Overdue"),IF(C39="High",IF(J39&lt;2,"On-Time",IF(J39&lt;3,"At Risk","Overdue")),IF(J39&lt;8,"On-Time","At Risk")))))</f>
        <v/>
      </c>
      <c r="Q39" s="13">
        <f>IF(P39="Complete",IF(C39="Critical",IF(J39&lt;=0.17,"Met","Missed"),IF(C39="High",IF(J39&lt;=1,"Met","Missed"),IF(C39="Medium",IF(J39&lt;=7,"Met","Missed"),"N/A"))),"In Progress")</f>
        <v/>
      </c>
      <c r="R39" s="14" t="n"/>
    </row>
    <row r="40">
      <c r="A40" s="14" t="n"/>
      <c r="B40" s="14" t="n"/>
      <c r="C40" s="14" t="n"/>
      <c r="D40" s="14" t="n"/>
      <c r="E40" s="14" t="n"/>
      <c r="F40" s="14" t="n"/>
      <c r="G40" s="14" t="n"/>
      <c r="H40" s="14" t="n"/>
      <c r="I40" s="14" t="n"/>
      <c r="J40" s="13">
        <f>IF(OR(D40="",I40=""),"",I40-D40)</f>
        <v/>
      </c>
      <c r="K40" s="14" t="n"/>
      <c r="L40" s="14" t="n"/>
      <c r="M40" s="14" t="n"/>
      <c r="N40" s="14" t="n"/>
      <c r="O40" s="14" t="n"/>
      <c r="P40" s="13">
        <f>IF(I40&lt;&gt;"","Complete",IF(J40="","Not Started",IF(C40="Critical",IF(J40&lt;1,"On-Time","Overdue"),IF(C40="High",IF(J40&lt;2,"On-Time",IF(J40&lt;3,"At Risk","Overdue")),IF(J40&lt;8,"On-Time","At Risk")))))</f>
        <v/>
      </c>
      <c r="Q40" s="13">
        <f>IF(P40="Complete",IF(C40="Critical",IF(J40&lt;=0.17,"Met","Missed"),IF(C40="High",IF(J40&lt;=1,"Met","Missed"),IF(C40="Medium",IF(J40&lt;=7,"Met","Missed"),"N/A"))),"In Progress")</f>
        <v/>
      </c>
      <c r="R40" s="14" t="n"/>
    </row>
    <row r="41">
      <c r="A41" s="14" t="n"/>
      <c r="B41" s="14" t="n"/>
      <c r="C41" s="14" t="n"/>
      <c r="D41" s="14" t="n"/>
      <c r="E41" s="14" t="n"/>
      <c r="F41" s="14" t="n"/>
      <c r="G41" s="14" t="n"/>
      <c r="H41" s="14" t="n"/>
      <c r="I41" s="14" t="n"/>
      <c r="J41" s="13">
        <f>IF(OR(D41="",I41=""),"",I41-D41)</f>
        <v/>
      </c>
      <c r="K41" s="14" t="n"/>
      <c r="L41" s="14" t="n"/>
      <c r="M41" s="14" t="n"/>
      <c r="N41" s="14" t="n"/>
      <c r="O41" s="14" t="n"/>
      <c r="P41" s="13">
        <f>IF(I41&lt;&gt;"","Complete",IF(J41="","Not Started",IF(C41="Critical",IF(J41&lt;1,"On-Time","Overdue"),IF(C41="High",IF(J41&lt;2,"On-Time",IF(J41&lt;3,"At Risk","Overdue")),IF(J41&lt;8,"On-Time","At Risk")))))</f>
        <v/>
      </c>
      <c r="Q41" s="13">
        <f>IF(P41="Complete",IF(C41="Critical",IF(J41&lt;=0.17,"Met","Missed"),IF(C41="High",IF(J41&lt;=1,"Met","Missed"),IF(C41="Medium",IF(J41&lt;=7,"Met","Missed"),"N/A"))),"In Progress")</f>
        <v/>
      </c>
      <c r="R41" s="14" t="n"/>
    </row>
    <row r="42">
      <c r="A42" s="14" t="n"/>
      <c r="B42" s="14" t="n"/>
      <c r="C42" s="14" t="n"/>
      <c r="D42" s="14" t="n"/>
      <c r="E42" s="14" t="n"/>
      <c r="F42" s="14" t="n"/>
      <c r="G42" s="14" t="n"/>
      <c r="H42" s="14" t="n"/>
      <c r="I42" s="14" t="n"/>
      <c r="J42" s="13">
        <f>IF(OR(D42="",I42=""),"",I42-D42)</f>
        <v/>
      </c>
      <c r="K42" s="14" t="n"/>
      <c r="L42" s="14" t="n"/>
      <c r="M42" s="14" t="n"/>
      <c r="N42" s="14" t="n"/>
      <c r="O42" s="14" t="n"/>
      <c r="P42" s="13">
        <f>IF(I42&lt;&gt;"","Complete",IF(J42="","Not Started",IF(C42="Critical",IF(J42&lt;1,"On-Time","Overdue"),IF(C42="High",IF(J42&lt;2,"On-Time",IF(J42&lt;3,"At Risk","Overdue")),IF(J42&lt;8,"On-Time","At Risk")))))</f>
        <v/>
      </c>
      <c r="Q42" s="13">
        <f>IF(P42="Complete",IF(C42="Critical",IF(J42&lt;=0.17,"Met","Missed"),IF(C42="High",IF(J42&lt;=1,"Met","Missed"),IF(C42="Medium",IF(J42&lt;=7,"Met","Missed"),"N/A"))),"In Progress")</f>
        <v/>
      </c>
      <c r="R42" s="14" t="n"/>
    </row>
    <row r="43">
      <c r="A43" s="14" t="n"/>
      <c r="B43" s="14" t="n"/>
      <c r="C43" s="14" t="n"/>
      <c r="D43" s="14" t="n"/>
      <c r="E43" s="14" t="n"/>
      <c r="F43" s="14" t="n"/>
      <c r="G43" s="14" t="n"/>
      <c r="H43" s="14" t="n"/>
      <c r="I43" s="14" t="n"/>
      <c r="J43" s="13">
        <f>IF(OR(D43="",I43=""),"",I43-D43)</f>
        <v/>
      </c>
      <c r="K43" s="14" t="n"/>
      <c r="L43" s="14" t="n"/>
      <c r="M43" s="14" t="n"/>
      <c r="N43" s="14" t="n"/>
      <c r="O43" s="14" t="n"/>
      <c r="P43" s="13">
        <f>IF(I43&lt;&gt;"","Complete",IF(J43="","Not Started",IF(C43="Critical",IF(J43&lt;1,"On-Time","Overdue"),IF(C43="High",IF(J43&lt;2,"On-Time",IF(J43&lt;3,"At Risk","Overdue")),IF(J43&lt;8,"On-Time","At Risk")))))</f>
        <v/>
      </c>
      <c r="Q43" s="13">
        <f>IF(P43="Complete",IF(C43="Critical",IF(J43&lt;=0.17,"Met","Missed"),IF(C43="High",IF(J43&lt;=1,"Met","Missed"),IF(C43="Medium",IF(J43&lt;=7,"Met","Missed"),"N/A"))),"In Progress")</f>
        <v/>
      </c>
      <c r="R43" s="14" t="n"/>
    </row>
    <row r="44">
      <c r="A44" s="14" t="n"/>
      <c r="B44" s="14" t="n"/>
      <c r="C44" s="14" t="n"/>
      <c r="D44" s="14" t="n"/>
      <c r="E44" s="14" t="n"/>
      <c r="F44" s="14" t="n"/>
      <c r="G44" s="14" t="n"/>
      <c r="H44" s="14" t="n"/>
      <c r="I44" s="14" t="n"/>
      <c r="J44" s="13">
        <f>IF(OR(D44="",I44=""),"",I44-D44)</f>
        <v/>
      </c>
      <c r="K44" s="14" t="n"/>
      <c r="L44" s="14" t="n"/>
      <c r="M44" s="14" t="n"/>
      <c r="N44" s="14" t="n"/>
      <c r="O44" s="14" t="n"/>
      <c r="P44" s="13">
        <f>IF(I44&lt;&gt;"","Complete",IF(J44="","Not Started",IF(C44="Critical",IF(J44&lt;1,"On-Time","Overdue"),IF(C44="High",IF(J44&lt;2,"On-Time",IF(J44&lt;3,"At Risk","Overdue")),IF(J44&lt;8,"On-Time","At Risk")))))</f>
        <v/>
      </c>
      <c r="Q44" s="13">
        <f>IF(P44="Complete",IF(C44="Critical",IF(J44&lt;=0.17,"Met","Missed"),IF(C44="High",IF(J44&lt;=1,"Met","Missed"),IF(C44="Medium",IF(J44&lt;=7,"Met","Missed"),"N/A"))),"In Progress")</f>
        <v/>
      </c>
      <c r="R44" s="14" t="n"/>
    </row>
    <row r="45">
      <c r="A45" s="14" t="n"/>
      <c r="B45" s="14" t="n"/>
      <c r="C45" s="14" t="n"/>
      <c r="D45" s="14" t="n"/>
      <c r="E45" s="14" t="n"/>
      <c r="F45" s="14" t="n"/>
      <c r="G45" s="14" t="n"/>
      <c r="H45" s="14" t="n"/>
      <c r="I45" s="14" t="n"/>
      <c r="J45" s="13">
        <f>IF(OR(D45="",I45=""),"",I45-D45)</f>
        <v/>
      </c>
      <c r="K45" s="14" t="n"/>
      <c r="L45" s="14" t="n"/>
      <c r="M45" s="14" t="n"/>
      <c r="N45" s="14" t="n"/>
      <c r="O45" s="14" t="n"/>
      <c r="P45" s="13">
        <f>IF(I45&lt;&gt;"","Complete",IF(J45="","Not Started",IF(C45="Critical",IF(J45&lt;1,"On-Time","Overdue"),IF(C45="High",IF(J45&lt;2,"On-Time",IF(J45&lt;3,"At Risk","Overdue")),IF(J45&lt;8,"On-Time","At Risk")))))</f>
        <v/>
      </c>
      <c r="Q45" s="13">
        <f>IF(P45="Complete",IF(C45="Critical",IF(J45&lt;=0.17,"Met","Missed"),IF(C45="High",IF(J45&lt;=1,"Met","Missed"),IF(C45="Medium",IF(J45&lt;=7,"Met","Missed"),"N/A"))),"In Progress")</f>
        <v/>
      </c>
      <c r="R45" s="14" t="n"/>
    </row>
    <row r="46">
      <c r="A46" s="14" t="n"/>
      <c r="B46" s="14" t="n"/>
      <c r="C46" s="14" t="n"/>
      <c r="D46" s="14" t="n"/>
      <c r="E46" s="14" t="n"/>
      <c r="F46" s="14" t="n"/>
      <c r="G46" s="14" t="n"/>
      <c r="H46" s="14" t="n"/>
      <c r="I46" s="14" t="n"/>
      <c r="J46" s="13">
        <f>IF(OR(D46="",I46=""),"",I46-D46)</f>
        <v/>
      </c>
      <c r="K46" s="14" t="n"/>
      <c r="L46" s="14" t="n"/>
      <c r="M46" s="14" t="n"/>
      <c r="N46" s="14" t="n"/>
      <c r="O46" s="14" t="n"/>
      <c r="P46" s="13">
        <f>IF(I46&lt;&gt;"","Complete",IF(J46="","Not Started",IF(C46="Critical",IF(J46&lt;1,"On-Time","Overdue"),IF(C46="High",IF(J46&lt;2,"On-Time",IF(J46&lt;3,"At Risk","Overdue")),IF(J46&lt;8,"On-Time","At Risk")))))</f>
        <v/>
      </c>
      <c r="Q46" s="13">
        <f>IF(P46="Complete",IF(C46="Critical",IF(J46&lt;=0.17,"Met","Missed"),IF(C46="High",IF(J46&lt;=1,"Met","Missed"),IF(C46="Medium",IF(J46&lt;=7,"Met","Missed"),"N/A"))),"In Progress")</f>
        <v/>
      </c>
      <c r="R46" s="14" t="n"/>
    </row>
    <row r="47">
      <c r="A47" s="14" t="n"/>
      <c r="B47" s="14" t="n"/>
      <c r="C47" s="14" t="n"/>
      <c r="D47" s="14" t="n"/>
      <c r="E47" s="14" t="n"/>
      <c r="F47" s="14" t="n"/>
      <c r="G47" s="14" t="n"/>
      <c r="H47" s="14" t="n"/>
      <c r="I47" s="14" t="n"/>
      <c r="J47" s="13">
        <f>IF(OR(D47="",I47=""),"",I47-D47)</f>
        <v/>
      </c>
      <c r="K47" s="14" t="n"/>
      <c r="L47" s="14" t="n"/>
      <c r="M47" s="14" t="n"/>
      <c r="N47" s="14" t="n"/>
      <c r="O47" s="14" t="n"/>
      <c r="P47" s="13">
        <f>IF(I47&lt;&gt;"","Complete",IF(J47="","Not Started",IF(C47="Critical",IF(J47&lt;1,"On-Time","Overdue"),IF(C47="High",IF(J47&lt;2,"On-Time",IF(J47&lt;3,"At Risk","Overdue")),IF(J47&lt;8,"On-Time","At Risk")))))</f>
        <v/>
      </c>
      <c r="Q47" s="13">
        <f>IF(P47="Complete",IF(C47="Critical",IF(J47&lt;=0.17,"Met","Missed"),IF(C47="High",IF(J47&lt;=1,"Met","Missed"),IF(C47="Medium",IF(J47&lt;=7,"Met","Missed"),"N/A"))),"In Progress")</f>
        <v/>
      </c>
      <c r="R47" s="14" t="n"/>
    </row>
    <row r="48">
      <c r="A48" s="14" t="n"/>
      <c r="B48" s="14" t="n"/>
      <c r="C48" s="14" t="n"/>
      <c r="D48" s="14" t="n"/>
      <c r="E48" s="14" t="n"/>
      <c r="F48" s="14" t="n"/>
      <c r="G48" s="14" t="n"/>
      <c r="H48" s="14" t="n"/>
      <c r="I48" s="14" t="n"/>
      <c r="J48" s="13">
        <f>IF(OR(D48="",I48=""),"",I48-D48)</f>
        <v/>
      </c>
      <c r="K48" s="14" t="n"/>
      <c r="L48" s="14" t="n"/>
      <c r="M48" s="14" t="n"/>
      <c r="N48" s="14" t="n"/>
      <c r="O48" s="14" t="n"/>
      <c r="P48" s="13">
        <f>IF(I48&lt;&gt;"","Complete",IF(J48="","Not Started",IF(C48="Critical",IF(J48&lt;1,"On-Time","Overdue"),IF(C48="High",IF(J48&lt;2,"On-Time",IF(J48&lt;3,"At Risk","Overdue")),IF(J48&lt;8,"On-Time","At Risk")))))</f>
        <v/>
      </c>
      <c r="Q48" s="13">
        <f>IF(P48="Complete",IF(C48="Critical",IF(J48&lt;=0.17,"Met","Missed"),IF(C48="High",IF(J48&lt;=1,"Met","Missed"),IF(C48="Medium",IF(J48&lt;=7,"Met","Missed"),"N/A"))),"In Progress")</f>
        <v/>
      </c>
      <c r="R48" s="14" t="n"/>
    </row>
    <row r="49">
      <c r="A49" s="14" t="n"/>
      <c r="B49" s="14" t="n"/>
      <c r="C49" s="14" t="n"/>
      <c r="D49" s="14" t="n"/>
      <c r="E49" s="14" t="n"/>
      <c r="F49" s="14" t="n"/>
      <c r="G49" s="14" t="n"/>
      <c r="H49" s="14" t="n"/>
      <c r="I49" s="14" t="n"/>
      <c r="J49" s="13">
        <f>IF(OR(D49="",I49=""),"",I49-D49)</f>
        <v/>
      </c>
      <c r="K49" s="14" t="n"/>
      <c r="L49" s="14" t="n"/>
      <c r="M49" s="14" t="n"/>
      <c r="N49" s="14" t="n"/>
      <c r="O49" s="14" t="n"/>
      <c r="P49" s="13">
        <f>IF(I49&lt;&gt;"","Complete",IF(J49="","Not Started",IF(C49="Critical",IF(J49&lt;1,"On-Time","Overdue"),IF(C49="High",IF(J49&lt;2,"On-Time",IF(J49&lt;3,"At Risk","Overdue")),IF(J49&lt;8,"On-Time","At Risk")))))</f>
        <v/>
      </c>
      <c r="Q49" s="13">
        <f>IF(P49="Complete",IF(C49="Critical",IF(J49&lt;=0.17,"Met","Missed"),IF(C49="High",IF(J49&lt;=1,"Met","Missed"),IF(C49="Medium",IF(J49&lt;=7,"Met","Missed"),"N/A"))),"In Progress")</f>
        <v/>
      </c>
      <c r="R49" s="14" t="n"/>
    </row>
    <row r="50">
      <c r="A50" s="14" t="n"/>
      <c r="B50" s="14" t="n"/>
      <c r="C50" s="14" t="n"/>
      <c r="D50" s="14" t="n"/>
      <c r="E50" s="14" t="n"/>
      <c r="F50" s="14" t="n"/>
      <c r="G50" s="14" t="n"/>
      <c r="H50" s="14" t="n"/>
      <c r="I50" s="14" t="n"/>
      <c r="J50" s="13">
        <f>IF(OR(D50="",I50=""),"",I50-D50)</f>
        <v/>
      </c>
      <c r="K50" s="14" t="n"/>
      <c r="L50" s="14" t="n"/>
      <c r="M50" s="14" t="n"/>
      <c r="N50" s="14" t="n"/>
      <c r="O50" s="14" t="n"/>
      <c r="P50" s="13">
        <f>IF(I50&lt;&gt;"","Complete",IF(J50="","Not Started",IF(C50="Critical",IF(J50&lt;1,"On-Time","Overdue"),IF(C50="High",IF(J50&lt;2,"On-Time",IF(J50&lt;3,"At Risk","Overdue")),IF(J50&lt;8,"On-Time","At Risk")))))</f>
        <v/>
      </c>
      <c r="Q50" s="13">
        <f>IF(P50="Complete",IF(C50="Critical",IF(J50&lt;=0.17,"Met","Missed"),IF(C50="High",IF(J50&lt;=1,"Met","Missed"),IF(C50="Medium",IF(J50&lt;=7,"Met","Missed"),"N/A"))),"In Progress")</f>
        <v/>
      </c>
      <c r="R50" s="14" t="n"/>
    </row>
    <row r="51">
      <c r="A51" s="14" t="n"/>
      <c r="B51" s="14" t="n"/>
      <c r="C51" s="14" t="n"/>
      <c r="D51" s="14" t="n"/>
      <c r="E51" s="14" t="n"/>
      <c r="F51" s="14" t="n"/>
      <c r="G51" s="14" t="n"/>
      <c r="H51" s="14" t="n"/>
      <c r="I51" s="14" t="n"/>
      <c r="J51" s="13">
        <f>IF(OR(D51="",I51=""),"",I51-D51)</f>
        <v/>
      </c>
      <c r="K51" s="14" t="n"/>
      <c r="L51" s="14" t="n"/>
      <c r="M51" s="14" t="n"/>
      <c r="N51" s="14" t="n"/>
      <c r="O51" s="14" t="n"/>
      <c r="P51" s="13">
        <f>IF(I51&lt;&gt;"","Complete",IF(J51="","Not Started",IF(C51="Critical",IF(J51&lt;1,"On-Time","Overdue"),IF(C51="High",IF(J51&lt;2,"On-Time",IF(J51&lt;3,"At Risk","Overdue")),IF(J51&lt;8,"On-Time","At Risk")))))</f>
        <v/>
      </c>
      <c r="Q51" s="13">
        <f>IF(P51="Complete",IF(C51="Critical",IF(J51&lt;=0.17,"Met","Missed"),IF(C51="High",IF(J51&lt;=1,"Met","Missed"),IF(C51="Medium",IF(J51&lt;=7,"Met","Missed"),"N/A"))),"In Progress")</f>
        <v/>
      </c>
      <c r="R51" s="14" t="n"/>
    </row>
    <row r="52">
      <c r="A52" s="14" t="n"/>
      <c r="B52" s="14" t="n"/>
      <c r="C52" s="14" t="n"/>
      <c r="D52" s="14" t="n"/>
      <c r="E52" s="14" t="n"/>
      <c r="F52" s="14" t="n"/>
      <c r="G52" s="14" t="n"/>
      <c r="H52" s="14" t="n"/>
      <c r="I52" s="14" t="n"/>
      <c r="J52" s="13">
        <f>IF(OR(D52="",I52=""),"",I52-D52)</f>
        <v/>
      </c>
      <c r="K52" s="14" t="n"/>
      <c r="L52" s="14" t="n"/>
      <c r="M52" s="14" t="n"/>
      <c r="N52" s="14" t="n"/>
      <c r="O52" s="14" t="n"/>
      <c r="P52" s="13">
        <f>IF(I52&lt;&gt;"","Complete",IF(J52="","Not Started",IF(C52="Critical",IF(J52&lt;1,"On-Time","Overdue"),IF(C52="High",IF(J52&lt;2,"On-Time",IF(J52&lt;3,"At Risk","Overdue")),IF(J52&lt;8,"On-Time","At Risk")))))</f>
        <v/>
      </c>
      <c r="Q52" s="13">
        <f>IF(P52="Complete",IF(C52="Critical",IF(J52&lt;=0.17,"Met","Missed"),IF(C52="High",IF(J52&lt;=1,"Met","Missed"),IF(C52="Medium",IF(J52&lt;=7,"Met","Missed"),"N/A"))),"In Progress")</f>
        <v/>
      </c>
      <c r="R52" s="14" t="n"/>
    </row>
    <row r="53">
      <c r="A53" s="14" t="n"/>
      <c r="B53" s="14" t="n"/>
      <c r="C53" s="14" t="n"/>
      <c r="D53" s="14" t="n"/>
      <c r="E53" s="14" t="n"/>
      <c r="F53" s="14" t="n"/>
      <c r="G53" s="14" t="n"/>
      <c r="H53" s="14" t="n"/>
      <c r="I53" s="14" t="n"/>
      <c r="J53" s="13">
        <f>IF(OR(D53="",I53=""),"",I53-D53)</f>
        <v/>
      </c>
      <c r="K53" s="14" t="n"/>
      <c r="L53" s="14" t="n"/>
      <c r="M53" s="14" t="n"/>
      <c r="N53" s="14" t="n"/>
      <c r="O53" s="14" t="n"/>
      <c r="P53" s="13">
        <f>IF(I53&lt;&gt;"","Complete",IF(J53="","Not Started",IF(C53="Critical",IF(J53&lt;1,"On-Time","Overdue"),IF(C53="High",IF(J53&lt;2,"On-Time",IF(J53&lt;3,"At Risk","Overdue")),IF(J53&lt;8,"On-Time","At Risk")))))</f>
        <v/>
      </c>
      <c r="Q53" s="13">
        <f>IF(P53="Complete",IF(C53="Critical",IF(J53&lt;=0.17,"Met","Missed"),IF(C53="High",IF(J53&lt;=1,"Met","Missed"),IF(C53="Medium",IF(J53&lt;=7,"Met","Missed"),"N/A"))),"In Progress")</f>
        <v/>
      </c>
      <c r="R53" s="14" t="n"/>
    </row>
  </sheetData>
  <mergeCells count="1">
    <mergeCell ref="A1:R1"/>
  </mergeCells>
  <conditionalFormatting sqref="C3:C53">
    <cfRule type="cellIs" priority="1" operator="equal" dxfId="0">
      <formula>"Critical"</formula>
    </cfRule>
  </conditionalFormatting>
  <conditionalFormatting sqref="P3:P53">
    <cfRule type="cellIs" priority="2" operator="equal" dxfId="3">
      <formula>"Complete"</formula>
    </cfRule>
    <cfRule type="cellIs" priority="3" operator="equal" dxfId="5">
      <formula>"Overdue"</formula>
    </cfRule>
  </conditionalFormatting>
  <conditionalFormatting sqref="Q3:Q53">
    <cfRule type="cellIs" priority="4" operator="equal" dxfId="6">
      <formula>"Met"</formula>
    </cfRule>
    <cfRule type="cellIs" priority="5" operator="equal" dxfId="7">
      <formula>"Missed"</formula>
    </cfRule>
  </conditionalFormatting>
  <conditionalFormatting sqref="M3:M53">
    <cfRule type="cellIs" priority="6" operator="equal" dxfId="3">
      <formula>"Passed"</formula>
    </cfRule>
    <cfRule type="cellIs" priority="7" operator="equal" dxfId="1">
      <formula>"Failed"</formula>
    </cfRule>
  </conditionalFormatting>
  <dataValidations count="5">
    <dataValidation sqref="C3:C53" showDropDown="0" showInputMessage="0" showErrorMessage="0" allowBlank="0" errorTitle="Invalid Entry" error="Invalid entry" promptTitle="Selection Required" prompt="Please select from the dropdown" type="list">
      <formula1>"Critical,High,Medium,Low,ℹ️ Informational"</formula1>
    </dataValidation>
    <dataValidation sqref="G3:G53" showDropDown="0" showInputMessage="0" showErrorMessage="0" allowBlank="0" errorTitle="Invalid Entry" error="Invalid entry" promptTitle="Selection Required" prompt="Please select from the dropdown" type="list">
      <formula1>"Reverted to Baseline,Updated Baseline,Authorised Retroactively,No Action (False Positive),Other"</formula1>
    </dataValidation>
    <dataValidation sqref="K3:K53" showDropDown="0" showInputMessage="0" showErrorMessage="0" allowBlank="1" errorTitle="Invalid Entry" error="Invalid entry" promptTitle="Selection Required" prompt="Please select from the dropdown" type="list">
      <formula1>"Automated Re-Scan,Manual Verification,Monitoring Tool Confirmation,User Validation"</formula1>
    </dataValidation>
    <dataValidation sqref="M3:M53" showDropDown="0" showInputMessage="0" showErrorMessage="0" allowBlank="1" errorTitle="Invalid Entry" error="Invalid entry" promptTitle="Selection Required" prompt="Please select from the dropdown" type="list">
      <formula1>"✅ Passed,❌ Failed,⚠️ Partially Successful,❓ Not Yet Verified"</formula1>
    </dataValidation>
    <dataValidation sqref="O3:O53" showDropDown="0" showInputMessage="0" showErrorMessage="0" allowBlank="1" errorTitle="Invalid Entry" error="Invalid entry" promptTitle="Selection Required" prompt="Please select from the dropdown" type="list">
      <formula1>"Baseline Updated,Change Control Enforced,Tool Fixed,Process Improved,Training Provided,Other"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18" customWidth="1" min="4" max="4"/>
    <col width="25" customWidth="1" min="5" max="5"/>
    <col width="40" customWidth="1" min="6" max="6"/>
    <col width="25" customWidth="1" min="7" max="7"/>
    <col width="40" customWidth="1" min="8" max="8"/>
    <col width="15" customWidth="1" min="9" max="9"/>
    <col width="20" customWidth="1" min="10" max="10"/>
    <col width="25" customWidth="1" min="11" max="11"/>
    <col width="35" customWidth="1" min="12" max="12"/>
    <col width="15" customWidth="1" min="13" max="13"/>
    <col width="20" customWidth="1" min="14" max="14"/>
    <col width="15" customWidth="1" min="15" max="15"/>
    <col width="25" customWidth="1" min="16" max="16"/>
    <col width="35" customWidth="1" min="17" max="17"/>
  </cols>
  <sheetData>
    <row r="1" ht="35" customHeight="1">
      <c r="A1" s="11" t="inlineStr">
        <is>
          <t>FALSE POSITIVE REGISTER - ALERT QUALITY TRACKING</t>
        </is>
      </c>
    </row>
    <row r="2">
      <c r="A2" s="12" t="inlineStr">
        <is>
          <t>False Positive ID</t>
        </is>
      </c>
      <c r="B2" s="12" t="inlineStr">
        <is>
          <t>Alert Date</t>
        </is>
      </c>
      <c r="C2" s="12" t="inlineStr">
        <is>
          <t>Monitoring Tool</t>
        </is>
      </c>
      <c r="D2" s="12" t="inlineStr">
        <is>
          <t>Asset ID</t>
        </is>
      </c>
      <c r="E2" s="12" t="inlineStr">
        <is>
          <t>Alert Type</t>
        </is>
      </c>
      <c r="F2" s="12" t="inlineStr">
        <is>
          <t>Alert Message</t>
        </is>
      </c>
      <c r="G2" s="12" t="inlineStr">
        <is>
          <t>False Positive Reason</t>
        </is>
      </c>
      <c r="H2" s="12" t="inlineStr">
        <is>
          <t>False Positive Detail</t>
        </is>
      </c>
      <c r="I2" s="12" t="inlineStr">
        <is>
          <t>Investigation Date</t>
        </is>
      </c>
      <c r="J2" s="12" t="inlineStr">
        <is>
          <t>Investigated By</t>
        </is>
      </c>
      <c r="K2" s="12" t="inlineStr">
        <is>
          <t>Tuning Action Taken</t>
        </is>
      </c>
      <c r="L2" s="12" t="inlineStr">
        <is>
          <t>Tuning Action Detail</t>
        </is>
      </c>
      <c r="M2" s="12" t="inlineStr">
        <is>
          <t>Tuning Completed Date</t>
        </is>
      </c>
      <c r="N2" s="12" t="inlineStr">
        <is>
          <t>Recurrence Status</t>
        </is>
      </c>
      <c r="O2" s="12" t="inlineStr">
        <is>
          <t>Last Recurrence Date</t>
        </is>
      </c>
      <c r="P2" s="12" t="inlineStr">
        <is>
          <t>False Positive Category</t>
        </is>
      </c>
      <c r="Q2" s="12" t="inlineStr">
        <is>
          <t>Notes</t>
        </is>
      </c>
    </row>
    <row r="4">
      <c r="A4" s="13" t="inlineStr">
        <is>
          <t>FP-2026-0001</t>
        </is>
      </c>
      <c r="B4" s="13" t="inlineStr">
        <is>
          <t>10.01.2026</t>
        </is>
      </c>
      <c r="C4" s="13" t="inlineStr">
        <is>
          <t>CIS-CAT Pro Scanner</t>
        </is>
      </c>
      <c r="D4" s="13" t="inlineStr">
        <is>
          <t>ASSET-003</t>
        </is>
      </c>
      <c r="E4" s="13" t="inlineStr">
        <is>
          <t>Password Policy / PasswordComplexity</t>
        </is>
      </c>
      <c r="F4" s="13" t="inlineStr">
        <is>
          <t>Complexity not enabled (expected: 1)</t>
        </is>
      </c>
      <c r="G4" s="13" t="inlineStr">
        <is>
          <t>Expected Variation</t>
        </is>
      </c>
      <c r="H4" s="13" t="inlineStr">
        <is>
          <t>Guest account excluded by policy — baseline not updated</t>
        </is>
      </c>
      <c r="I4" s="13" t="inlineStr">
        <is>
          <t>11.01.2026</t>
        </is>
      </c>
      <c r="J4" s="13" t="inlineStr">
        <is>
          <t>J. Smith (Sec Ops)</t>
        </is>
      </c>
      <c r="K4" s="13" t="inlineStr">
        <is>
          <t>Baseline Updated</t>
        </is>
      </c>
      <c r="L4" s="13" t="inlineStr">
        <is>
          <t>Updated baseline BL-001 to exclude guest account PasswordComplexity check</t>
        </is>
      </c>
      <c r="M4" s="13" t="inlineStr">
        <is>
          <t>12.01.2026</t>
        </is>
      </c>
      <c r="N4" s="13" t="inlineStr">
        <is>
          <t>Not Seen Again</t>
        </is>
      </c>
      <c r="O4" s="13" t="inlineStr"/>
      <c r="P4" s="13" t="inlineStr">
        <is>
          <t>Baseline Issue</t>
        </is>
      </c>
      <c r="Q4" s="13" t="inlineStr">
        <is>
          <t>Updated baseline distributed to all scanner profiles</t>
        </is>
      </c>
    </row>
    <row r="5">
      <c r="A5" s="14" t="n"/>
      <c r="B5" s="14" t="n"/>
      <c r="C5" s="14" t="n"/>
      <c r="D5" s="14" t="n"/>
      <c r="E5" s="14" t="n"/>
      <c r="F5" s="14" t="n"/>
      <c r="G5" s="14" t="n"/>
      <c r="H5" s="14" t="n"/>
      <c r="I5" s="14" t="n"/>
      <c r="J5" s="14" t="n"/>
      <c r="K5" s="14" t="n"/>
      <c r="L5" s="14" t="n"/>
      <c r="M5" s="14" t="n"/>
      <c r="N5" s="14" t="n"/>
      <c r="O5" s="14" t="n"/>
      <c r="P5" s="13">
        <f>IF(OR(G5="Tool Misconfiguration",G5="Tool Bug"),"Systemic (tool issue)",IF(G5="Incorrect Baseline","Baseline Issue","One-Time (environmental)"))</f>
        <v/>
      </c>
      <c r="Q5" s="14" t="n"/>
    </row>
    <row r="6">
      <c r="A6" s="14" t="n"/>
      <c r="B6" s="14" t="n"/>
      <c r="C6" s="14" t="n"/>
      <c r="D6" s="14" t="n"/>
      <c r="E6" s="14" t="n"/>
      <c r="F6" s="14" t="n"/>
      <c r="G6" s="14" t="n"/>
      <c r="H6" s="14" t="n"/>
      <c r="I6" s="14" t="n"/>
      <c r="J6" s="14" t="n"/>
      <c r="K6" s="14" t="n"/>
      <c r="L6" s="14" t="n"/>
      <c r="M6" s="14" t="n"/>
      <c r="N6" s="14" t="n"/>
      <c r="O6" s="14" t="n"/>
      <c r="P6" s="13">
        <f>IF(OR(G6="Tool Misconfiguration",G6="Tool Bug"),"Systemic (tool issue)",IF(G6="Incorrect Baseline","Baseline Issue","One-Time (environmental)"))</f>
        <v/>
      </c>
      <c r="Q6" s="14" t="n"/>
    </row>
    <row r="7">
      <c r="A7" s="14" t="n"/>
      <c r="B7" s="14" t="n"/>
      <c r="C7" s="14" t="n"/>
      <c r="D7" s="14" t="n"/>
      <c r="E7" s="14" t="n"/>
      <c r="F7" s="14" t="n"/>
      <c r="G7" s="14" t="n"/>
      <c r="H7" s="14" t="n"/>
      <c r="I7" s="14" t="n"/>
      <c r="J7" s="14" t="n"/>
      <c r="K7" s="14" t="n"/>
      <c r="L7" s="14" t="n"/>
      <c r="M7" s="14" t="n"/>
      <c r="N7" s="14" t="n"/>
      <c r="O7" s="14" t="n"/>
      <c r="P7" s="13">
        <f>IF(OR(G7="Tool Misconfiguration",G7="Tool Bug"),"Systemic (tool issue)",IF(G7="Incorrect Baseline","Baseline Issue","One-Time (environmental)"))</f>
        <v/>
      </c>
      <c r="Q7" s="14" t="n"/>
    </row>
    <row r="8">
      <c r="A8" s="14" t="n"/>
      <c r="B8" s="14" t="n"/>
      <c r="C8" s="14" t="n"/>
      <c r="D8" s="14" t="n"/>
      <c r="E8" s="14" t="n"/>
      <c r="F8" s="14" t="n"/>
      <c r="G8" s="14" t="n"/>
      <c r="H8" s="14" t="n"/>
      <c r="I8" s="14" t="n"/>
      <c r="J8" s="14" t="n"/>
      <c r="K8" s="14" t="n"/>
      <c r="L8" s="14" t="n"/>
      <c r="M8" s="14" t="n"/>
      <c r="N8" s="14" t="n"/>
      <c r="O8" s="14" t="n"/>
      <c r="P8" s="13">
        <f>IF(OR(G8="Tool Misconfiguration",G8="Tool Bug"),"Systemic (tool issue)",IF(G8="Incorrect Baseline","Baseline Issue","One-Time (environmental)"))</f>
        <v/>
      </c>
      <c r="Q8" s="14" t="n"/>
    </row>
    <row r="9">
      <c r="A9" s="14" t="n"/>
      <c r="B9" s="14" t="n"/>
      <c r="C9" s="14" t="n"/>
      <c r="D9" s="14" t="n"/>
      <c r="E9" s="14" t="n"/>
      <c r="F9" s="14" t="n"/>
      <c r="G9" s="14" t="n"/>
      <c r="H9" s="14" t="n"/>
      <c r="I9" s="14" t="n"/>
      <c r="J9" s="14" t="n"/>
      <c r="K9" s="14" t="n"/>
      <c r="L9" s="14" t="n"/>
      <c r="M9" s="14" t="n"/>
      <c r="N9" s="14" t="n"/>
      <c r="O9" s="14" t="n"/>
      <c r="P9" s="13">
        <f>IF(OR(G9="Tool Misconfiguration",G9="Tool Bug"),"Systemic (tool issue)",IF(G9="Incorrect Baseline","Baseline Issue","One-Time (environmental)"))</f>
        <v/>
      </c>
      <c r="Q9" s="14" t="n"/>
    </row>
    <row r="10">
      <c r="A10" s="14" t="n"/>
      <c r="B10" s="14" t="n"/>
      <c r="C10" s="14" t="n"/>
      <c r="D10" s="14" t="n"/>
      <c r="E10" s="14" t="n"/>
      <c r="F10" s="14" t="n"/>
      <c r="G10" s="14" t="n"/>
      <c r="H10" s="14" t="n"/>
      <c r="I10" s="14" t="n"/>
      <c r="J10" s="14" t="n"/>
      <c r="K10" s="14" t="n"/>
      <c r="L10" s="14" t="n"/>
      <c r="M10" s="14" t="n"/>
      <c r="N10" s="14" t="n"/>
      <c r="O10" s="14" t="n"/>
      <c r="P10" s="13">
        <f>IF(OR(G10="Tool Misconfiguration",G10="Tool Bug"),"Systemic (tool issue)",IF(G10="Incorrect Baseline","Baseline Issue","One-Time (environmental)"))</f>
        <v/>
      </c>
      <c r="Q10" s="14" t="n"/>
    </row>
    <row r="11">
      <c r="A11" s="14" t="n"/>
      <c r="B11" s="14" t="n"/>
      <c r="C11" s="14" t="n"/>
      <c r="D11" s="14" t="n"/>
      <c r="E11" s="14" t="n"/>
      <c r="F11" s="14" t="n"/>
      <c r="G11" s="14" t="n"/>
      <c r="H11" s="14" t="n"/>
      <c r="I11" s="14" t="n"/>
      <c r="J11" s="14" t="n"/>
      <c r="K11" s="14" t="n"/>
      <c r="L11" s="14" t="n"/>
      <c r="M11" s="14" t="n"/>
      <c r="N11" s="14" t="n"/>
      <c r="O11" s="14" t="n"/>
      <c r="P11" s="13">
        <f>IF(OR(G11="Tool Misconfiguration",G11="Tool Bug"),"Systemic (tool issue)",IF(G11="Incorrect Baseline","Baseline Issue","One-Time (environmental)"))</f>
        <v/>
      </c>
      <c r="Q11" s="14" t="n"/>
    </row>
    <row r="12">
      <c r="A12" s="14" t="n"/>
      <c r="B12" s="14" t="n"/>
      <c r="C12" s="14" t="n"/>
      <c r="D12" s="14" t="n"/>
      <c r="E12" s="14" t="n"/>
      <c r="F12" s="14" t="n"/>
      <c r="G12" s="14" t="n"/>
      <c r="H12" s="14" t="n"/>
      <c r="I12" s="14" t="n"/>
      <c r="J12" s="14" t="n"/>
      <c r="K12" s="14" t="n"/>
      <c r="L12" s="14" t="n"/>
      <c r="M12" s="14" t="n"/>
      <c r="N12" s="14" t="n"/>
      <c r="O12" s="14" t="n"/>
      <c r="P12" s="13">
        <f>IF(OR(G12="Tool Misconfiguration",G12="Tool Bug"),"Systemic (tool issue)",IF(G12="Incorrect Baseline","Baseline Issue","One-Time (environmental)"))</f>
        <v/>
      </c>
      <c r="Q12" s="14" t="n"/>
    </row>
    <row r="13">
      <c r="A13" s="14" t="n"/>
      <c r="B13" s="14" t="n"/>
      <c r="C13" s="14" t="n"/>
      <c r="D13" s="14" t="n"/>
      <c r="E13" s="14" t="n"/>
      <c r="F13" s="14" t="n"/>
      <c r="G13" s="14" t="n"/>
      <c r="H13" s="14" t="n"/>
      <c r="I13" s="14" t="n"/>
      <c r="J13" s="14" t="n"/>
      <c r="K13" s="14" t="n"/>
      <c r="L13" s="14" t="n"/>
      <c r="M13" s="14" t="n"/>
      <c r="N13" s="14" t="n"/>
      <c r="O13" s="14" t="n"/>
      <c r="P13" s="13">
        <f>IF(OR(G13="Tool Misconfiguration",G13="Tool Bug"),"Systemic (tool issue)",IF(G13="Incorrect Baseline","Baseline Issue","One-Time (environmental)"))</f>
        <v/>
      </c>
      <c r="Q13" s="14" t="n"/>
    </row>
    <row r="14">
      <c r="A14" s="14" t="n"/>
      <c r="B14" s="14" t="n"/>
      <c r="C14" s="14" t="n"/>
      <c r="D14" s="14" t="n"/>
      <c r="E14" s="14" t="n"/>
      <c r="F14" s="14" t="n"/>
      <c r="G14" s="14" t="n"/>
      <c r="H14" s="14" t="n"/>
      <c r="I14" s="14" t="n"/>
      <c r="J14" s="14" t="n"/>
      <c r="K14" s="14" t="n"/>
      <c r="L14" s="14" t="n"/>
      <c r="M14" s="14" t="n"/>
      <c r="N14" s="14" t="n"/>
      <c r="O14" s="14" t="n"/>
      <c r="P14" s="13">
        <f>IF(OR(G14="Tool Misconfiguration",G14="Tool Bug"),"Systemic (tool issue)",IF(G14="Incorrect Baseline","Baseline Issue","One-Time (environmental)"))</f>
        <v/>
      </c>
      <c r="Q14" s="14" t="n"/>
    </row>
    <row r="15">
      <c r="A15" s="14" t="n"/>
      <c r="B15" s="14" t="n"/>
      <c r="C15" s="14" t="n"/>
      <c r="D15" s="14" t="n"/>
      <c r="E15" s="14" t="n"/>
      <c r="F15" s="14" t="n"/>
      <c r="G15" s="14" t="n"/>
      <c r="H15" s="14" t="n"/>
      <c r="I15" s="14" t="n"/>
      <c r="J15" s="14" t="n"/>
      <c r="K15" s="14" t="n"/>
      <c r="L15" s="14" t="n"/>
      <c r="M15" s="14" t="n"/>
      <c r="N15" s="14" t="n"/>
      <c r="O15" s="14" t="n"/>
      <c r="P15" s="13">
        <f>IF(OR(G15="Tool Misconfiguration",G15="Tool Bug"),"Systemic (tool issue)",IF(G15="Incorrect Baseline","Baseline Issue","One-Time (environmental)"))</f>
        <v/>
      </c>
      <c r="Q15" s="14" t="n"/>
    </row>
    <row r="16">
      <c r="A16" s="14" t="n"/>
      <c r="B16" s="14" t="n"/>
      <c r="C16" s="14" t="n"/>
      <c r="D16" s="14" t="n"/>
      <c r="E16" s="14" t="n"/>
      <c r="F16" s="14" t="n"/>
      <c r="G16" s="14" t="n"/>
      <c r="H16" s="14" t="n"/>
      <c r="I16" s="14" t="n"/>
      <c r="J16" s="14" t="n"/>
      <c r="K16" s="14" t="n"/>
      <c r="L16" s="14" t="n"/>
      <c r="M16" s="14" t="n"/>
      <c r="N16" s="14" t="n"/>
      <c r="O16" s="14" t="n"/>
      <c r="P16" s="13">
        <f>IF(OR(G16="Tool Misconfiguration",G16="Tool Bug"),"Systemic (tool issue)",IF(G16="Incorrect Baseline","Baseline Issue","One-Time (environmental)"))</f>
        <v/>
      </c>
      <c r="Q16" s="14" t="n"/>
    </row>
    <row r="17">
      <c r="A17" s="14" t="n"/>
      <c r="B17" s="14" t="n"/>
      <c r="C17" s="14" t="n"/>
      <c r="D17" s="14" t="n"/>
      <c r="E17" s="14" t="n"/>
      <c r="F17" s="14" t="n"/>
      <c r="G17" s="14" t="n"/>
      <c r="H17" s="14" t="n"/>
      <c r="I17" s="14" t="n"/>
      <c r="J17" s="14" t="n"/>
      <c r="K17" s="14" t="n"/>
      <c r="L17" s="14" t="n"/>
      <c r="M17" s="14" t="n"/>
      <c r="N17" s="14" t="n"/>
      <c r="O17" s="14" t="n"/>
      <c r="P17" s="13">
        <f>IF(OR(G17="Tool Misconfiguration",G17="Tool Bug"),"Systemic (tool issue)",IF(G17="Incorrect Baseline","Baseline Issue","One-Time (environmental)"))</f>
        <v/>
      </c>
      <c r="Q17" s="14" t="n"/>
    </row>
    <row r="18">
      <c r="A18" s="14" t="n"/>
      <c r="B18" s="14" t="n"/>
      <c r="C18" s="14" t="n"/>
      <c r="D18" s="14" t="n"/>
      <c r="E18" s="14" t="n"/>
      <c r="F18" s="14" t="n"/>
      <c r="G18" s="14" t="n"/>
      <c r="H18" s="14" t="n"/>
      <c r="I18" s="14" t="n"/>
      <c r="J18" s="14" t="n"/>
      <c r="K18" s="14" t="n"/>
      <c r="L18" s="14" t="n"/>
      <c r="M18" s="14" t="n"/>
      <c r="N18" s="14" t="n"/>
      <c r="O18" s="14" t="n"/>
      <c r="P18" s="13">
        <f>IF(OR(G18="Tool Misconfiguration",G18="Tool Bug"),"Systemic (tool issue)",IF(G18="Incorrect Baseline","Baseline Issue","One-Time (environmental)"))</f>
        <v/>
      </c>
      <c r="Q18" s="14" t="n"/>
    </row>
    <row r="19">
      <c r="A19" s="14" t="n"/>
      <c r="B19" s="14" t="n"/>
      <c r="C19" s="14" t="n"/>
      <c r="D19" s="14" t="n"/>
      <c r="E19" s="14" t="n"/>
      <c r="F19" s="14" t="n"/>
      <c r="G19" s="14" t="n"/>
      <c r="H19" s="14" t="n"/>
      <c r="I19" s="14" t="n"/>
      <c r="J19" s="14" t="n"/>
      <c r="K19" s="14" t="n"/>
      <c r="L19" s="14" t="n"/>
      <c r="M19" s="14" t="n"/>
      <c r="N19" s="14" t="n"/>
      <c r="O19" s="14" t="n"/>
      <c r="P19" s="13">
        <f>IF(OR(G19="Tool Misconfiguration",G19="Tool Bug"),"Systemic (tool issue)",IF(G19="Incorrect Baseline","Baseline Issue","One-Time (environmental)"))</f>
        <v/>
      </c>
      <c r="Q19" s="14" t="n"/>
    </row>
    <row r="20">
      <c r="A20" s="14" t="n"/>
      <c r="B20" s="14" t="n"/>
      <c r="C20" s="14" t="n"/>
      <c r="D20" s="14" t="n"/>
      <c r="E20" s="14" t="n"/>
      <c r="F20" s="14" t="n"/>
      <c r="G20" s="14" t="n"/>
      <c r="H20" s="14" t="n"/>
      <c r="I20" s="14" t="n"/>
      <c r="J20" s="14" t="n"/>
      <c r="K20" s="14" t="n"/>
      <c r="L20" s="14" t="n"/>
      <c r="M20" s="14" t="n"/>
      <c r="N20" s="14" t="n"/>
      <c r="O20" s="14" t="n"/>
      <c r="P20" s="13">
        <f>IF(OR(G20="Tool Misconfiguration",G20="Tool Bug"),"Systemic (tool issue)",IF(G20="Incorrect Baseline","Baseline Issue","One-Time (environmental)"))</f>
        <v/>
      </c>
      <c r="Q20" s="14" t="n"/>
    </row>
    <row r="21">
      <c r="A21" s="14" t="n"/>
      <c r="B21" s="14" t="n"/>
      <c r="C21" s="14" t="n"/>
      <c r="D21" s="14" t="n"/>
      <c r="E21" s="14" t="n"/>
      <c r="F21" s="14" t="n"/>
      <c r="G21" s="14" t="n"/>
      <c r="H21" s="14" t="n"/>
      <c r="I21" s="14" t="n"/>
      <c r="J21" s="14" t="n"/>
      <c r="K21" s="14" t="n"/>
      <c r="L21" s="14" t="n"/>
      <c r="M21" s="14" t="n"/>
      <c r="N21" s="14" t="n"/>
      <c r="O21" s="14" t="n"/>
      <c r="P21" s="13">
        <f>IF(OR(G21="Tool Misconfiguration",G21="Tool Bug"),"Systemic (tool issue)",IF(G21="Incorrect Baseline","Baseline Issue","One-Time (environmental)"))</f>
        <v/>
      </c>
      <c r="Q21" s="14" t="n"/>
    </row>
    <row r="22">
      <c r="A22" s="14" t="n"/>
      <c r="B22" s="14" t="n"/>
      <c r="C22" s="14" t="n"/>
      <c r="D22" s="14" t="n"/>
      <c r="E22" s="14" t="n"/>
      <c r="F22" s="14" t="n"/>
      <c r="G22" s="14" t="n"/>
      <c r="H22" s="14" t="n"/>
      <c r="I22" s="14" t="n"/>
      <c r="J22" s="14" t="n"/>
      <c r="K22" s="14" t="n"/>
      <c r="L22" s="14" t="n"/>
      <c r="M22" s="14" t="n"/>
      <c r="N22" s="14" t="n"/>
      <c r="O22" s="14" t="n"/>
      <c r="P22" s="13">
        <f>IF(OR(G22="Tool Misconfiguration",G22="Tool Bug"),"Systemic (tool issue)",IF(G22="Incorrect Baseline","Baseline Issue","One-Time (environmental)"))</f>
        <v/>
      </c>
      <c r="Q22" s="14" t="n"/>
    </row>
    <row r="23">
      <c r="A23" s="14" t="n"/>
      <c r="B23" s="14" t="n"/>
      <c r="C23" s="14" t="n"/>
      <c r="D23" s="14" t="n"/>
      <c r="E23" s="14" t="n"/>
      <c r="F23" s="14" t="n"/>
      <c r="G23" s="14" t="n"/>
      <c r="H23" s="14" t="n"/>
      <c r="I23" s="14" t="n"/>
      <c r="J23" s="14" t="n"/>
      <c r="K23" s="14" t="n"/>
      <c r="L23" s="14" t="n"/>
      <c r="M23" s="14" t="n"/>
      <c r="N23" s="14" t="n"/>
      <c r="O23" s="14" t="n"/>
      <c r="P23" s="13">
        <f>IF(OR(G23="Tool Misconfiguration",G23="Tool Bug"),"Systemic (tool issue)",IF(G23="Incorrect Baseline","Baseline Issue","One-Time (environmental)"))</f>
        <v/>
      </c>
      <c r="Q23" s="14" t="n"/>
    </row>
    <row r="24">
      <c r="A24" s="14" t="n"/>
      <c r="B24" s="14" t="n"/>
      <c r="C24" s="14" t="n"/>
      <c r="D24" s="14" t="n"/>
      <c r="E24" s="14" t="n"/>
      <c r="F24" s="14" t="n"/>
      <c r="G24" s="14" t="n"/>
      <c r="H24" s="14" t="n"/>
      <c r="I24" s="14" t="n"/>
      <c r="J24" s="14" t="n"/>
      <c r="K24" s="14" t="n"/>
      <c r="L24" s="14" t="n"/>
      <c r="M24" s="14" t="n"/>
      <c r="N24" s="14" t="n"/>
      <c r="O24" s="14" t="n"/>
      <c r="P24" s="13">
        <f>IF(OR(G24="Tool Misconfiguration",G24="Tool Bug"),"Systemic (tool issue)",IF(G24="Incorrect Baseline","Baseline Issue","One-Time (environmental)"))</f>
        <v/>
      </c>
      <c r="Q24" s="14" t="n"/>
    </row>
    <row r="25">
      <c r="A25" s="14" t="n"/>
      <c r="B25" s="14" t="n"/>
      <c r="C25" s="14" t="n"/>
      <c r="D25" s="14" t="n"/>
      <c r="E25" s="14" t="n"/>
      <c r="F25" s="14" t="n"/>
      <c r="G25" s="14" t="n"/>
      <c r="H25" s="14" t="n"/>
      <c r="I25" s="14" t="n"/>
      <c r="J25" s="14" t="n"/>
      <c r="K25" s="14" t="n"/>
      <c r="L25" s="14" t="n"/>
      <c r="M25" s="14" t="n"/>
      <c r="N25" s="14" t="n"/>
      <c r="O25" s="14" t="n"/>
      <c r="P25" s="13">
        <f>IF(OR(G25="Tool Misconfiguration",G25="Tool Bug"),"Systemic (tool issue)",IF(G25="Incorrect Baseline","Baseline Issue","One-Time (environmental)"))</f>
        <v/>
      </c>
      <c r="Q25" s="14" t="n"/>
    </row>
    <row r="26">
      <c r="A26" s="14" t="n"/>
      <c r="B26" s="14" t="n"/>
      <c r="C26" s="14" t="n"/>
      <c r="D26" s="14" t="n"/>
      <c r="E26" s="14" t="n"/>
      <c r="F26" s="14" t="n"/>
      <c r="G26" s="14" t="n"/>
      <c r="H26" s="14" t="n"/>
      <c r="I26" s="14" t="n"/>
      <c r="J26" s="14" t="n"/>
      <c r="K26" s="14" t="n"/>
      <c r="L26" s="14" t="n"/>
      <c r="M26" s="14" t="n"/>
      <c r="N26" s="14" t="n"/>
      <c r="O26" s="14" t="n"/>
      <c r="P26" s="13">
        <f>IF(OR(G26="Tool Misconfiguration",G26="Tool Bug"),"Systemic (tool issue)",IF(G26="Incorrect Baseline","Baseline Issue","One-Time (environmental)"))</f>
        <v/>
      </c>
      <c r="Q26" s="14" t="n"/>
    </row>
    <row r="27">
      <c r="A27" s="14" t="n"/>
      <c r="B27" s="14" t="n"/>
      <c r="C27" s="14" t="n"/>
      <c r="D27" s="14" t="n"/>
      <c r="E27" s="14" t="n"/>
      <c r="F27" s="14" t="n"/>
      <c r="G27" s="14" t="n"/>
      <c r="H27" s="14" t="n"/>
      <c r="I27" s="14" t="n"/>
      <c r="J27" s="14" t="n"/>
      <c r="K27" s="14" t="n"/>
      <c r="L27" s="14" t="n"/>
      <c r="M27" s="14" t="n"/>
      <c r="N27" s="14" t="n"/>
      <c r="O27" s="14" t="n"/>
      <c r="P27" s="13">
        <f>IF(OR(G27="Tool Misconfiguration",G27="Tool Bug"),"Systemic (tool issue)",IF(G27="Incorrect Baseline","Baseline Issue","One-Time (environmental)"))</f>
        <v/>
      </c>
      <c r="Q27" s="14" t="n"/>
    </row>
    <row r="28">
      <c r="A28" s="14" t="n"/>
      <c r="B28" s="14" t="n"/>
      <c r="C28" s="14" t="n"/>
      <c r="D28" s="14" t="n"/>
      <c r="E28" s="14" t="n"/>
      <c r="F28" s="14" t="n"/>
      <c r="G28" s="14" t="n"/>
      <c r="H28" s="14" t="n"/>
      <c r="I28" s="14" t="n"/>
      <c r="J28" s="14" t="n"/>
      <c r="K28" s="14" t="n"/>
      <c r="L28" s="14" t="n"/>
      <c r="M28" s="14" t="n"/>
      <c r="N28" s="14" t="n"/>
      <c r="O28" s="14" t="n"/>
      <c r="P28" s="13">
        <f>IF(OR(G28="Tool Misconfiguration",G28="Tool Bug"),"Systemic (tool issue)",IF(G28="Incorrect Baseline","Baseline Issue","One-Time (environmental)"))</f>
        <v/>
      </c>
      <c r="Q28" s="14" t="n"/>
    </row>
    <row r="29">
      <c r="A29" s="14" t="n"/>
      <c r="B29" s="14" t="n"/>
      <c r="C29" s="14" t="n"/>
      <c r="D29" s="14" t="n"/>
      <c r="E29" s="14" t="n"/>
      <c r="F29" s="14" t="n"/>
      <c r="G29" s="14" t="n"/>
      <c r="H29" s="14" t="n"/>
      <c r="I29" s="14" t="n"/>
      <c r="J29" s="14" t="n"/>
      <c r="K29" s="14" t="n"/>
      <c r="L29" s="14" t="n"/>
      <c r="M29" s="14" t="n"/>
      <c r="N29" s="14" t="n"/>
      <c r="O29" s="14" t="n"/>
      <c r="P29" s="13">
        <f>IF(OR(G29="Tool Misconfiguration",G29="Tool Bug"),"Systemic (tool issue)",IF(G29="Incorrect Baseline","Baseline Issue","One-Time (environmental)"))</f>
        <v/>
      </c>
      <c r="Q29" s="14" t="n"/>
    </row>
    <row r="30">
      <c r="A30" s="14" t="n"/>
      <c r="B30" s="14" t="n"/>
      <c r="C30" s="14" t="n"/>
      <c r="D30" s="14" t="n"/>
      <c r="E30" s="14" t="n"/>
      <c r="F30" s="14" t="n"/>
      <c r="G30" s="14" t="n"/>
      <c r="H30" s="14" t="n"/>
      <c r="I30" s="14" t="n"/>
      <c r="J30" s="14" t="n"/>
      <c r="K30" s="14" t="n"/>
      <c r="L30" s="14" t="n"/>
      <c r="M30" s="14" t="n"/>
      <c r="N30" s="14" t="n"/>
      <c r="O30" s="14" t="n"/>
      <c r="P30" s="13">
        <f>IF(OR(G30="Tool Misconfiguration",G30="Tool Bug"),"Systemic (tool issue)",IF(G30="Incorrect Baseline","Baseline Issue","One-Time (environmental)"))</f>
        <v/>
      </c>
      <c r="Q30" s="14" t="n"/>
    </row>
    <row r="31">
      <c r="A31" s="14" t="n"/>
      <c r="B31" s="14" t="n"/>
      <c r="C31" s="14" t="n"/>
      <c r="D31" s="14" t="n"/>
      <c r="E31" s="14" t="n"/>
      <c r="F31" s="14" t="n"/>
      <c r="G31" s="14" t="n"/>
      <c r="H31" s="14" t="n"/>
      <c r="I31" s="14" t="n"/>
      <c r="J31" s="14" t="n"/>
      <c r="K31" s="14" t="n"/>
      <c r="L31" s="14" t="n"/>
      <c r="M31" s="14" t="n"/>
      <c r="N31" s="14" t="n"/>
      <c r="O31" s="14" t="n"/>
      <c r="P31" s="13">
        <f>IF(OR(G31="Tool Misconfiguration",G31="Tool Bug"),"Systemic (tool issue)",IF(G31="Incorrect Baseline","Baseline Issue","One-Time (environmental)"))</f>
        <v/>
      </c>
      <c r="Q31" s="14" t="n"/>
    </row>
    <row r="32">
      <c r="A32" s="14" t="n"/>
      <c r="B32" s="14" t="n"/>
      <c r="C32" s="14" t="n"/>
      <c r="D32" s="14" t="n"/>
      <c r="E32" s="14" t="n"/>
      <c r="F32" s="14" t="n"/>
      <c r="G32" s="14" t="n"/>
      <c r="H32" s="14" t="n"/>
      <c r="I32" s="14" t="n"/>
      <c r="J32" s="14" t="n"/>
      <c r="K32" s="14" t="n"/>
      <c r="L32" s="14" t="n"/>
      <c r="M32" s="14" t="n"/>
      <c r="N32" s="14" t="n"/>
      <c r="O32" s="14" t="n"/>
      <c r="P32" s="13">
        <f>IF(OR(G32="Tool Misconfiguration",G32="Tool Bug"),"Systemic (tool issue)",IF(G32="Incorrect Baseline","Baseline Issue","One-Time (environmental)"))</f>
        <v/>
      </c>
      <c r="Q32" s="14" t="n"/>
    </row>
    <row r="33">
      <c r="A33" s="14" t="n"/>
      <c r="B33" s="14" t="n"/>
      <c r="C33" s="14" t="n"/>
      <c r="D33" s="14" t="n"/>
      <c r="E33" s="14" t="n"/>
      <c r="F33" s="14" t="n"/>
      <c r="G33" s="14" t="n"/>
      <c r="H33" s="14" t="n"/>
      <c r="I33" s="14" t="n"/>
      <c r="J33" s="14" t="n"/>
      <c r="K33" s="14" t="n"/>
      <c r="L33" s="14" t="n"/>
      <c r="M33" s="14" t="n"/>
      <c r="N33" s="14" t="n"/>
      <c r="O33" s="14" t="n"/>
      <c r="P33" s="13">
        <f>IF(OR(G33="Tool Misconfiguration",G33="Tool Bug"),"Systemic (tool issue)",IF(G33="Incorrect Baseline","Baseline Issue","One-Time (environmental)"))</f>
        <v/>
      </c>
      <c r="Q33" s="14" t="n"/>
    </row>
    <row r="34">
      <c r="A34" s="14" t="n"/>
      <c r="B34" s="14" t="n"/>
      <c r="C34" s="14" t="n"/>
      <c r="D34" s="14" t="n"/>
      <c r="E34" s="14" t="n"/>
      <c r="F34" s="14" t="n"/>
      <c r="G34" s="14" t="n"/>
      <c r="H34" s="14" t="n"/>
      <c r="I34" s="14" t="n"/>
      <c r="J34" s="14" t="n"/>
      <c r="K34" s="14" t="n"/>
      <c r="L34" s="14" t="n"/>
      <c r="M34" s="14" t="n"/>
      <c r="N34" s="14" t="n"/>
      <c r="O34" s="14" t="n"/>
      <c r="P34" s="13">
        <f>IF(OR(G34="Tool Misconfiguration",G34="Tool Bug"),"Systemic (tool issue)",IF(G34="Incorrect Baseline","Baseline Issue","One-Time (environmental)"))</f>
        <v/>
      </c>
      <c r="Q34" s="14" t="n"/>
    </row>
    <row r="35">
      <c r="A35" s="14" t="n"/>
      <c r="B35" s="14" t="n"/>
      <c r="C35" s="14" t="n"/>
      <c r="D35" s="14" t="n"/>
      <c r="E35" s="14" t="n"/>
      <c r="F35" s="14" t="n"/>
      <c r="G35" s="14" t="n"/>
      <c r="H35" s="14" t="n"/>
      <c r="I35" s="14" t="n"/>
      <c r="J35" s="14" t="n"/>
      <c r="K35" s="14" t="n"/>
      <c r="L35" s="14" t="n"/>
      <c r="M35" s="14" t="n"/>
      <c r="N35" s="14" t="n"/>
      <c r="O35" s="14" t="n"/>
      <c r="P35" s="13">
        <f>IF(OR(G35="Tool Misconfiguration",G35="Tool Bug"),"Systemic (tool issue)",IF(G35="Incorrect Baseline","Baseline Issue","One-Time (environmental)"))</f>
        <v/>
      </c>
      <c r="Q35" s="14" t="n"/>
    </row>
    <row r="36">
      <c r="A36" s="14" t="n"/>
      <c r="B36" s="14" t="n"/>
      <c r="C36" s="14" t="n"/>
      <c r="D36" s="14" t="n"/>
      <c r="E36" s="14" t="n"/>
      <c r="F36" s="14" t="n"/>
      <c r="G36" s="14" t="n"/>
      <c r="H36" s="14" t="n"/>
      <c r="I36" s="14" t="n"/>
      <c r="J36" s="14" t="n"/>
      <c r="K36" s="14" t="n"/>
      <c r="L36" s="14" t="n"/>
      <c r="M36" s="14" t="n"/>
      <c r="N36" s="14" t="n"/>
      <c r="O36" s="14" t="n"/>
      <c r="P36" s="13">
        <f>IF(OR(G36="Tool Misconfiguration",G36="Tool Bug"),"Systemic (tool issue)",IF(G36="Incorrect Baseline","Baseline Issue","One-Time (environmental)"))</f>
        <v/>
      </c>
      <c r="Q36" s="14" t="n"/>
    </row>
    <row r="37">
      <c r="A37" s="14" t="n"/>
      <c r="B37" s="14" t="n"/>
      <c r="C37" s="14" t="n"/>
      <c r="D37" s="14" t="n"/>
      <c r="E37" s="14" t="n"/>
      <c r="F37" s="14" t="n"/>
      <c r="G37" s="14" t="n"/>
      <c r="H37" s="14" t="n"/>
      <c r="I37" s="14" t="n"/>
      <c r="J37" s="14" t="n"/>
      <c r="K37" s="14" t="n"/>
      <c r="L37" s="14" t="n"/>
      <c r="M37" s="14" t="n"/>
      <c r="N37" s="14" t="n"/>
      <c r="O37" s="14" t="n"/>
      <c r="P37" s="13">
        <f>IF(OR(G37="Tool Misconfiguration",G37="Tool Bug"),"Systemic (tool issue)",IF(G37="Incorrect Baseline","Baseline Issue","One-Time (environmental)"))</f>
        <v/>
      </c>
      <c r="Q37" s="14" t="n"/>
    </row>
    <row r="38">
      <c r="A38" s="14" t="n"/>
      <c r="B38" s="14" t="n"/>
      <c r="C38" s="14" t="n"/>
      <c r="D38" s="14" t="n"/>
      <c r="E38" s="14" t="n"/>
      <c r="F38" s="14" t="n"/>
      <c r="G38" s="14" t="n"/>
      <c r="H38" s="14" t="n"/>
      <c r="I38" s="14" t="n"/>
      <c r="J38" s="14" t="n"/>
      <c r="K38" s="14" t="n"/>
      <c r="L38" s="14" t="n"/>
      <c r="M38" s="14" t="n"/>
      <c r="N38" s="14" t="n"/>
      <c r="O38" s="14" t="n"/>
      <c r="P38" s="13">
        <f>IF(OR(G38="Tool Misconfiguration",G38="Tool Bug"),"Systemic (tool issue)",IF(G38="Incorrect Baseline","Baseline Issue","One-Time (environmental)"))</f>
        <v/>
      </c>
      <c r="Q38" s="14" t="n"/>
    </row>
    <row r="39">
      <c r="A39" s="14" t="n"/>
      <c r="B39" s="14" t="n"/>
      <c r="C39" s="14" t="n"/>
      <c r="D39" s="14" t="n"/>
      <c r="E39" s="14" t="n"/>
      <c r="F39" s="14" t="n"/>
      <c r="G39" s="14" t="n"/>
      <c r="H39" s="14" t="n"/>
      <c r="I39" s="14" t="n"/>
      <c r="J39" s="14" t="n"/>
      <c r="K39" s="14" t="n"/>
      <c r="L39" s="14" t="n"/>
      <c r="M39" s="14" t="n"/>
      <c r="N39" s="14" t="n"/>
      <c r="O39" s="14" t="n"/>
      <c r="P39" s="13">
        <f>IF(OR(G39="Tool Misconfiguration",G39="Tool Bug"),"Systemic (tool issue)",IF(G39="Incorrect Baseline","Baseline Issue","One-Time (environmental)"))</f>
        <v/>
      </c>
      <c r="Q39" s="14" t="n"/>
    </row>
    <row r="40">
      <c r="A40" s="14" t="n"/>
      <c r="B40" s="14" t="n"/>
      <c r="C40" s="14" t="n"/>
      <c r="D40" s="14" t="n"/>
      <c r="E40" s="14" t="n"/>
      <c r="F40" s="14" t="n"/>
      <c r="G40" s="14" t="n"/>
      <c r="H40" s="14" t="n"/>
      <c r="I40" s="14" t="n"/>
      <c r="J40" s="14" t="n"/>
      <c r="K40" s="14" t="n"/>
      <c r="L40" s="14" t="n"/>
      <c r="M40" s="14" t="n"/>
      <c r="N40" s="14" t="n"/>
      <c r="O40" s="14" t="n"/>
      <c r="P40" s="13">
        <f>IF(OR(G40="Tool Misconfiguration",G40="Tool Bug"),"Systemic (tool issue)",IF(G40="Incorrect Baseline","Baseline Issue","One-Time (environmental)"))</f>
        <v/>
      </c>
      <c r="Q40" s="14" t="n"/>
    </row>
    <row r="41">
      <c r="A41" s="14" t="n"/>
      <c r="B41" s="14" t="n"/>
      <c r="C41" s="14" t="n"/>
      <c r="D41" s="14" t="n"/>
      <c r="E41" s="14" t="n"/>
      <c r="F41" s="14" t="n"/>
      <c r="G41" s="14" t="n"/>
      <c r="H41" s="14" t="n"/>
      <c r="I41" s="14" t="n"/>
      <c r="J41" s="14" t="n"/>
      <c r="K41" s="14" t="n"/>
      <c r="L41" s="14" t="n"/>
      <c r="M41" s="14" t="n"/>
      <c r="N41" s="14" t="n"/>
      <c r="O41" s="14" t="n"/>
      <c r="P41" s="13">
        <f>IF(OR(G41="Tool Misconfiguration",G41="Tool Bug"),"Systemic (tool issue)",IF(G41="Incorrect Baseline","Baseline Issue","One-Time (environmental)"))</f>
        <v/>
      </c>
      <c r="Q41" s="14" t="n"/>
    </row>
    <row r="42">
      <c r="A42" s="14" t="n"/>
      <c r="B42" s="14" t="n"/>
      <c r="C42" s="14" t="n"/>
      <c r="D42" s="14" t="n"/>
      <c r="E42" s="14" t="n"/>
      <c r="F42" s="14" t="n"/>
      <c r="G42" s="14" t="n"/>
      <c r="H42" s="14" t="n"/>
      <c r="I42" s="14" t="n"/>
      <c r="J42" s="14" t="n"/>
      <c r="K42" s="14" t="n"/>
      <c r="L42" s="14" t="n"/>
      <c r="M42" s="14" t="n"/>
      <c r="N42" s="14" t="n"/>
      <c r="O42" s="14" t="n"/>
      <c r="P42" s="13">
        <f>IF(OR(G42="Tool Misconfiguration",G42="Tool Bug"),"Systemic (tool issue)",IF(G42="Incorrect Baseline","Baseline Issue","One-Time (environmental)"))</f>
        <v/>
      </c>
      <c r="Q42" s="14" t="n"/>
    </row>
    <row r="43">
      <c r="A43" s="14" t="n"/>
      <c r="B43" s="14" t="n"/>
      <c r="C43" s="14" t="n"/>
      <c r="D43" s="14" t="n"/>
      <c r="E43" s="14" t="n"/>
      <c r="F43" s="14" t="n"/>
      <c r="G43" s="14" t="n"/>
      <c r="H43" s="14" t="n"/>
      <c r="I43" s="14" t="n"/>
      <c r="J43" s="14" t="n"/>
      <c r="K43" s="14" t="n"/>
      <c r="L43" s="14" t="n"/>
      <c r="M43" s="14" t="n"/>
      <c r="N43" s="14" t="n"/>
      <c r="O43" s="14" t="n"/>
      <c r="P43" s="13">
        <f>IF(OR(G43="Tool Misconfiguration",G43="Tool Bug"),"Systemic (tool issue)",IF(G43="Incorrect Baseline","Baseline Issue","One-Time (environmental)"))</f>
        <v/>
      </c>
      <c r="Q43" s="14" t="n"/>
    </row>
    <row r="44">
      <c r="A44" s="14" t="n"/>
      <c r="B44" s="14" t="n"/>
      <c r="C44" s="14" t="n"/>
      <c r="D44" s="14" t="n"/>
      <c r="E44" s="14" t="n"/>
      <c r="F44" s="14" t="n"/>
      <c r="G44" s="14" t="n"/>
      <c r="H44" s="14" t="n"/>
      <c r="I44" s="14" t="n"/>
      <c r="J44" s="14" t="n"/>
      <c r="K44" s="14" t="n"/>
      <c r="L44" s="14" t="n"/>
      <c r="M44" s="14" t="n"/>
      <c r="N44" s="14" t="n"/>
      <c r="O44" s="14" t="n"/>
      <c r="P44" s="13">
        <f>IF(OR(G44="Tool Misconfiguration",G44="Tool Bug"),"Systemic (tool issue)",IF(G44="Incorrect Baseline","Baseline Issue","One-Time (environmental)"))</f>
        <v/>
      </c>
      <c r="Q44" s="14" t="n"/>
    </row>
    <row r="45">
      <c r="A45" s="14" t="n"/>
      <c r="B45" s="14" t="n"/>
      <c r="C45" s="14" t="n"/>
      <c r="D45" s="14" t="n"/>
      <c r="E45" s="14" t="n"/>
      <c r="F45" s="14" t="n"/>
      <c r="G45" s="14" t="n"/>
      <c r="H45" s="14" t="n"/>
      <c r="I45" s="14" t="n"/>
      <c r="J45" s="14" t="n"/>
      <c r="K45" s="14" t="n"/>
      <c r="L45" s="14" t="n"/>
      <c r="M45" s="14" t="n"/>
      <c r="N45" s="14" t="n"/>
      <c r="O45" s="14" t="n"/>
      <c r="P45" s="13">
        <f>IF(OR(G45="Tool Misconfiguration",G45="Tool Bug"),"Systemic (tool issue)",IF(G45="Incorrect Baseline","Baseline Issue","One-Time (environmental)"))</f>
        <v/>
      </c>
      <c r="Q45" s="14" t="n"/>
    </row>
    <row r="46">
      <c r="A46" s="14" t="n"/>
      <c r="B46" s="14" t="n"/>
      <c r="C46" s="14" t="n"/>
      <c r="D46" s="14" t="n"/>
      <c r="E46" s="14" t="n"/>
      <c r="F46" s="14" t="n"/>
      <c r="G46" s="14" t="n"/>
      <c r="H46" s="14" t="n"/>
      <c r="I46" s="14" t="n"/>
      <c r="J46" s="14" t="n"/>
      <c r="K46" s="14" t="n"/>
      <c r="L46" s="14" t="n"/>
      <c r="M46" s="14" t="n"/>
      <c r="N46" s="14" t="n"/>
      <c r="O46" s="14" t="n"/>
      <c r="P46" s="13">
        <f>IF(OR(G46="Tool Misconfiguration",G46="Tool Bug"),"Systemic (tool issue)",IF(G46="Incorrect Baseline","Baseline Issue","One-Time (environmental)"))</f>
        <v/>
      </c>
      <c r="Q46" s="14" t="n"/>
    </row>
    <row r="47">
      <c r="A47" s="14" t="n"/>
      <c r="B47" s="14" t="n"/>
      <c r="C47" s="14" t="n"/>
      <c r="D47" s="14" t="n"/>
      <c r="E47" s="14" t="n"/>
      <c r="F47" s="14" t="n"/>
      <c r="G47" s="14" t="n"/>
      <c r="H47" s="14" t="n"/>
      <c r="I47" s="14" t="n"/>
      <c r="J47" s="14" t="n"/>
      <c r="K47" s="14" t="n"/>
      <c r="L47" s="14" t="n"/>
      <c r="M47" s="14" t="n"/>
      <c r="N47" s="14" t="n"/>
      <c r="O47" s="14" t="n"/>
      <c r="P47" s="13">
        <f>IF(OR(G47="Tool Misconfiguration",G47="Tool Bug"),"Systemic (tool issue)",IF(G47="Incorrect Baseline","Baseline Issue","One-Time (environmental)"))</f>
        <v/>
      </c>
      <c r="Q47" s="14" t="n"/>
    </row>
    <row r="48">
      <c r="A48" s="14" t="n"/>
      <c r="B48" s="14" t="n"/>
      <c r="C48" s="14" t="n"/>
      <c r="D48" s="14" t="n"/>
      <c r="E48" s="14" t="n"/>
      <c r="F48" s="14" t="n"/>
      <c r="G48" s="14" t="n"/>
      <c r="H48" s="14" t="n"/>
      <c r="I48" s="14" t="n"/>
      <c r="J48" s="14" t="n"/>
      <c r="K48" s="14" t="n"/>
      <c r="L48" s="14" t="n"/>
      <c r="M48" s="14" t="n"/>
      <c r="N48" s="14" t="n"/>
      <c r="O48" s="14" t="n"/>
      <c r="P48" s="13">
        <f>IF(OR(G48="Tool Misconfiguration",G48="Tool Bug"),"Systemic (tool issue)",IF(G48="Incorrect Baseline","Baseline Issue","One-Time (environmental)"))</f>
        <v/>
      </c>
      <c r="Q48" s="14" t="n"/>
    </row>
    <row r="49">
      <c r="A49" s="14" t="n"/>
      <c r="B49" s="14" t="n"/>
      <c r="C49" s="14" t="n"/>
      <c r="D49" s="14" t="n"/>
      <c r="E49" s="14" t="n"/>
      <c r="F49" s="14" t="n"/>
      <c r="G49" s="14" t="n"/>
      <c r="H49" s="14" t="n"/>
      <c r="I49" s="14" t="n"/>
      <c r="J49" s="14" t="n"/>
      <c r="K49" s="14" t="n"/>
      <c r="L49" s="14" t="n"/>
      <c r="M49" s="14" t="n"/>
      <c r="N49" s="14" t="n"/>
      <c r="O49" s="14" t="n"/>
      <c r="P49" s="13">
        <f>IF(OR(G49="Tool Misconfiguration",G49="Tool Bug"),"Systemic (tool issue)",IF(G49="Incorrect Baseline","Baseline Issue","One-Time (environmental)"))</f>
        <v/>
      </c>
      <c r="Q49" s="14" t="n"/>
    </row>
    <row r="50">
      <c r="A50" s="14" t="n"/>
      <c r="B50" s="14" t="n"/>
      <c r="C50" s="14" t="n"/>
      <c r="D50" s="14" t="n"/>
      <c r="E50" s="14" t="n"/>
      <c r="F50" s="14" t="n"/>
      <c r="G50" s="14" t="n"/>
      <c r="H50" s="14" t="n"/>
      <c r="I50" s="14" t="n"/>
      <c r="J50" s="14" t="n"/>
      <c r="K50" s="14" t="n"/>
      <c r="L50" s="14" t="n"/>
      <c r="M50" s="14" t="n"/>
      <c r="N50" s="14" t="n"/>
      <c r="O50" s="14" t="n"/>
      <c r="P50" s="13">
        <f>IF(OR(G50="Tool Misconfiguration",G50="Tool Bug"),"Systemic (tool issue)",IF(G50="Incorrect Baseline","Baseline Issue","One-Time (environmental)"))</f>
        <v/>
      </c>
      <c r="Q50" s="14" t="n"/>
    </row>
    <row r="51">
      <c r="A51" s="14" t="n"/>
      <c r="B51" s="14" t="n"/>
      <c r="C51" s="14" t="n"/>
      <c r="D51" s="14" t="n"/>
      <c r="E51" s="14" t="n"/>
      <c r="F51" s="14" t="n"/>
      <c r="G51" s="14" t="n"/>
      <c r="H51" s="14" t="n"/>
      <c r="I51" s="14" t="n"/>
      <c r="J51" s="14" t="n"/>
      <c r="K51" s="14" t="n"/>
      <c r="L51" s="14" t="n"/>
      <c r="M51" s="14" t="n"/>
      <c r="N51" s="14" t="n"/>
      <c r="O51" s="14" t="n"/>
      <c r="P51" s="13">
        <f>IF(OR(G51="Tool Misconfiguration",G51="Tool Bug"),"Systemic (tool issue)",IF(G51="Incorrect Baseline","Baseline Issue","One-Time (environmental)"))</f>
        <v/>
      </c>
      <c r="Q51" s="14" t="n"/>
    </row>
    <row r="52">
      <c r="A52" s="14" t="n"/>
      <c r="B52" s="14" t="n"/>
      <c r="C52" s="14" t="n"/>
      <c r="D52" s="14" t="n"/>
      <c r="E52" s="14" t="n"/>
      <c r="F52" s="14" t="n"/>
      <c r="G52" s="14" t="n"/>
      <c r="H52" s="14" t="n"/>
      <c r="I52" s="14" t="n"/>
      <c r="J52" s="14" t="n"/>
      <c r="K52" s="14" t="n"/>
      <c r="L52" s="14" t="n"/>
      <c r="M52" s="14" t="n"/>
      <c r="N52" s="14" t="n"/>
      <c r="O52" s="14" t="n"/>
      <c r="P52" s="13">
        <f>IF(OR(G52="Tool Misconfiguration",G52="Tool Bug"),"Systemic (tool issue)",IF(G52="Incorrect Baseline","Baseline Issue","One-Time (environmental)"))</f>
        <v/>
      </c>
      <c r="Q52" s="14" t="n"/>
    </row>
    <row r="53">
      <c r="A53" s="14" t="n"/>
      <c r="B53" s="14" t="n"/>
      <c r="C53" s="14" t="n"/>
      <c r="D53" s="14" t="n"/>
      <c r="E53" s="14" t="n"/>
      <c r="F53" s="14" t="n"/>
      <c r="G53" s="14" t="n"/>
      <c r="H53" s="14" t="n"/>
      <c r="I53" s="14" t="n"/>
      <c r="J53" s="14" t="n"/>
      <c r="K53" s="14" t="n"/>
      <c r="L53" s="14" t="n"/>
      <c r="M53" s="14" t="n"/>
      <c r="N53" s="14" t="n"/>
      <c r="O53" s="14" t="n"/>
      <c r="P53" s="13">
        <f>IF(OR(G53="Tool Misconfiguration",G53="Tool Bug"),"Systemic (tool issue)",IF(G53="Incorrect Baseline","Baseline Issue","One-Time (environmental)"))</f>
        <v/>
      </c>
      <c r="Q53" s="14" t="n"/>
    </row>
    <row r="54">
      <c r="A54" s="14" t="n"/>
      <c r="B54" s="14" t="n"/>
      <c r="C54" s="14" t="n"/>
      <c r="D54" s="14" t="n"/>
      <c r="E54" s="14" t="n"/>
      <c r="F54" s="14" t="n"/>
      <c r="G54" s="14" t="n"/>
      <c r="H54" s="14" t="n"/>
      <c r="I54" s="14" t="n"/>
      <c r="J54" s="14" t="n"/>
      <c r="K54" s="14" t="n"/>
      <c r="L54" s="14" t="n"/>
      <c r="M54" s="14" t="n"/>
      <c r="N54" s="14" t="n"/>
      <c r="O54" s="14" t="n"/>
      <c r="P54" s="13">
        <f>IF(OR(G54="Tool Misconfiguration",G54="Tool Bug"),"Systemic (tool issue)",IF(G54="Incorrect Baseline","Baseline Issue","One-Time (environmental)"))</f>
        <v/>
      </c>
      <c r="Q54" s="14" t="n"/>
    </row>
  </sheetData>
  <mergeCells count="1">
    <mergeCell ref="A1:Q1"/>
  </mergeCells>
  <conditionalFormatting sqref="N4:N54">
    <cfRule type="cellIs" priority="1" operator="equal" dxfId="3">
      <formula>"Not Seen Again"</formula>
    </cfRule>
    <cfRule type="cellIs" priority="2" operator="equal" dxfId="1">
      <formula>"Recurring (Needs Further Tuning)"</formula>
    </cfRule>
  </conditionalFormatting>
  <conditionalFormatting sqref="P4:P54">
    <cfRule type="cellIs" priority="3" operator="equal" dxfId="8">
      <formula>"Systemic (tool issue)"</formula>
    </cfRule>
    <cfRule type="cellIs" priority="4" operator="equal" dxfId="9">
      <formula>"Baseline Issue"</formula>
    </cfRule>
  </conditionalFormatting>
  <dataValidations count="3">
    <dataValidation sqref="G4:G54" showDropDown="0" showInputMessage="0" showErrorMessage="0" allowBlank="0" errorTitle="Invalid Entry" error="Invalid entry" promptTitle="Selection Required" prompt="Please select from the dropdown" type="list">
      <formula1>"Incorrect Baseline,Tool Misconfiguration,Expected Variation,Timing Issue,Tool Bug,Other"</formula1>
    </dataValidation>
    <dataValidation sqref="K4:K54" showDropDown="0" showInputMessage="0" showErrorMessage="0" allowBlank="0" errorTitle="Invalid Entry" error="Invalid entry" promptTitle="Selection Required" prompt="Please select from the dropdown" type="list">
      <formula1>"Baseline Updated,Monitoring Rule Adjusted,Alert Threshold Changed,Exception Added,Tool Updated,No Action (Acceptable)"</formula1>
    </dataValidation>
    <dataValidation sqref="N4:N54" showDropDown="0" showInputMessage="0" showErrorMessage="0" allowBlank="0" errorTitle="Invalid Entry" error="Invalid entry" promptTitle="Selection Required" prompt="Please select from the dropdown" type="list">
      <formula1>"Not Seen Again,Recurred Once,Recurring (Needs Further Tuning),Monitoring"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MONITORING EFFECTIVENESS METRICS DASHBOARD</t>
        </is>
      </c>
    </row>
    <row r="3">
      <c r="A3" s="17" t="inlineStr">
        <is>
          <t>OVERALL MONITORING COVERAGE</t>
        </is>
      </c>
    </row>
    <row r="4">
      <c r="A4" s="12" t="inlineStr">
        <is>
          <t>Metric</t>
        </is>
      </c>
      <c r="B4" s="12" t="inlineStr">
        <is>
          <t>Value</t>
        </is>
      </c>
      <c r="C4" s="12" t="inlineStr">
        <is>
          <t>Target</t>
        </is>
      </c>
      <c r="D4" s="12" t="inlineStr">
        <is>
          <t>Status</t>
        </is>
      </c>
    </row>
    <row r="5">
      <c r="A5" s="18" t="inlineStr">
        <is>
          <t>Total Assets in Scope</t>
        </is>
      </c>
      <c r="B5" s="13">
        <f>COUNTA('Monitoring Coverage Register'!A3:A102)-COUNTBLANK('Monitoring Coverage Register'!A3:A102)</f>
        <v/>
      </c>
      <c r="C5" s="19" t="inlineStr">
        <is>
          <t>N/A</t>
        </is>
      </c>
    </row>
    <row r="6">
      <c r="A6" s="18" t="inlineStr">
        <is>
          <t>Assets Monitored</t>
        </is>
      </c>
      <c r="B6" s="13">
        <f>COUNTIF('Monitoring Coverage Register'!G3:G102,"✅ Monitored")</f>
        <v/>
      </c>
      <c r="C6" s="19" t="inlineStr">
        <is>
          <t>≥85%</t>
        </is>
      </c>
    </row>
    <row r="7">
      <c r="A7" s="18" t="inlineStr">
        <is>
          <t>Overall Monitoring Coverage %</t>
        </is>
      </c>
      <c r="B7" s="20">
        <f>IF(B5=0,0,B6/B5*100)</f>
        <v/>
      </c>
      <c r="C7" s="19" t="inlineStr">
        <is>
          <t>≥85%</t>
        </is>
      </c>
      <c r="D7" s="13">
        <f>IF(B7&gt;=85,"✓ Compliant",IF(B7&gt;=70,"⚠ Partial","✗ Non-Compliant"))</f>
        <v/>
      </c>
    </row>
    <row r="8">
      <c r="A8" s="18" t="inlineStr">
        <is>
          <t>Tier 1 (Critical) Coverage %</t>
        </is>
      </c>
      <c r="B8" s="20">
        <f>IF(COUNTIF('Monitoring Coverage Register'!F3:F102,"Tier 1*")=0,0,COUNTIFS('Monitoring Coverage Register'!F3:F102,"Tier 1*",'Monitoring Coverage Register'!G3:G102,"Monitored")/COUNTIF('Monitoring Coverage Register'!F3:F102,"Tier 1*")*100)</f>
        <v/>
      </c>
      <c r="C8" s="19" t="inlineStr">
        <is>
          <t>100%</t>
        </is>
      </c>
      <c r="D8" s="13">
        <f>IF(B8&gt;=100,"✓","✗")</f>
        <v/>
      </c>
    </row>
    <row r="9">
      <c r="A9" s="18" t="inlineStr">
        <is>
          <t>Tier 2 (High) Coverage %</t>
        </is>
      </c>
      <c r="B9" s="20">
        <f>IF(COUNTIF('Monitoring Coverage Register'!F3:F102,"Tier 2*")=0,0,COUNTIFS('Monitoring Coverage Register'!F3:F102,"Tier 2*",'Monitoring Coverage Register'!G3:G102,"Monitored")/COUNTIF('Monitoring Coverage Register'!F3:F102,"Tier 2*")*100)</f>
        <v/>
      </c>
      <c r="C9" s="19" t="inlineStr">
        <is>
          <t>≥95%</t>
        </is>
      </c>
      <c r="D9" s="13">
        <f>IF(B9&gt;=95,"✓","✗")</f>
        <v/>
      </c>
    </row>
    <row r="10">
      <c r="A10" s="18" t="inlineStr">
        <is>
          <t>Tier 3 (Standard) Coverage %</t>
        </is>
      </c>
      <c r="B10" s="20">
        <f>IF(COUNTIF('Monitoring Coverage Register'!F3:F102,"Tier 3*")=0,0,COUNTIFS('Monitoring Coverage Register'!F3:F102,"Tier 3*",'Monitoring Coverage Register'!G3:G102,"Monitored")/COUNTIF('Monitoring Coverage Register'!F3:F102,"Tier 3*")*100)</f>
        <v/>
      </c>
      <c r="C10" s="19" t="inlineStr">
        <is>
          <t>≥85%</t>
        </is>
      </c>
      <c r="D10" s="13">
        <f>IF(B10&gt;=85,"✓","✗")</f>
        <v/>
      </c>
    </row>
    <row r="11">
      <c r="A11" s="18" t="inlineStr">
        <is>
          <t>Non-Compliant Coverage</t>
        </is>
      </c>
      <c r="B11" s="13">
        <f>COUNTIF('Monitoring Coverage Register'!N3:N102,"Non-Compliant")</f>
        <v/>
      </c>
      <c r="C11" s="19" t="inlineStr">
        <is>
          <t>0</t>
        </is>
      </c>
      <c r="D11" s="13">
        <f>IF(B11=0,"✓ None","✗ "&amp;B11&amp;" Assets")</f>
        <v/>
      </c>
    </row>
    <row r="12">
      <c r="A12" s="18" t="inlineStr">
        <is>
          <t>Monitoring Tools Active</t>
        </is>
      </c>
      <c r="B12" s="13">
        <f>COUNTIF('Monitoring Tool Inventory'!H3:H32,"✅ Active")</f>
        <v/>
      </c>
      <c r="C12" s="19" t="inlineStr">
        <is>
          <t>All</t>
        </is>
      </c>
    </row>
    <row r="13">
      <c r="A13" s="18" t="inlineStr">
        <is>
          <t>Tools Offline/Degraded</t>
        </is>
      </c>
      <c r="B13" s="13">
        <f>COUNTIF('Monitoring Tool Inventory'!H3:H32,"❌ Offline")+COUNTIF('Monitoring Tool Inventory'!H3:H32,"⚠️ Degraded")</f>
        <v/>
      </c>
      <c r="C13" s="19" t="inlineStr">
        <is>
          <t>0</t>
        </is>
      </c>
      <c r="D13" s="13">
        <f>IF(B13=0,"✓ None","✗ "&amp;B13&amp;" Issues")</f>
        <v/>
      </c>
    </row>
    <row r="15">
      <c r="A15" s="17" t="inlineStr">
        <is>
          <t>DRIFT DETECTION METRICS</t>
        </is>
      </c>
    </row>
    <row r="16">
      <c r="A16" s="12" t="inlineStr">
        <is>
          <t>Metric</t>
        </is>
      </c>
      <c r="B16" s="12" t="inlineStr">
        <is>
          <t>Value</t>
        </is>
      </c>
      <c r="C16" s="12" t="inlineStr">
        <is>
          <t>Target</t>
        </is>
      </c>
      <c r="D16" s="12" t="inlineStr">
        <is>
          <t>Status</t>
        </is>
      </c>
    </row>
    <row r="17">
      <c r="A17" s="18" t="inlineStr">
        <is>
          <t>Total Drift Incidents (All Time)</t>
        </is>
      </c>
      <c r="B17" s="13">
        <f>COUNTA('Drift Detection Log'!A3:A152)-COUNTBLANK('Drift Detection Log'!A3:A152)</f>
        <v/>
      </c>
      <c r="C17" s="19" t="inlineStr">
        <is>
          <t>N/A</t>
        </is>
      </c>
    </row>
    <row r="18">
      <c r="A18" s="18" t="inlineStr">
        <is>
          <t>Critical Drift Incidents</t>
        </is>
      </c>
      <c r="B18" s="13">
        <f>COUNTIF('Drift Detection Log'!H3:H152,"Critical")</f>
        <v/>
      </c>
      <c r="C18" s="19" t="inlineStr">
        <is>
          <t>0</t>
        </is>
      </c>
      <c r="D18" s="13">
        <f>IF(B18=0,"✓ None","✗ "&amp;B18&amp;" CRITICAL")</f>
        <v/>
      </c>
    </row>
    <row r="19">
      <c r="A19" s="18" t="inlineStr">
        <is>
          <t>High Drift Incidents</t>
        </is>
      </c>
      <c r="B19" s="13">
        <f>COUNTIF('Drift Detection Log'!H3:H152,"High")</f>
        <v/>
      </c>
      <c r="C19" s="19" t="inlineStr">
        <is>
          <t>&lt;5/month</t>
        </is>
      </c>
    </row>
    <row r="20">
      <c r="A20" s="18" t="inlineStr">
        <is>
          <t>Unauthorised Changes Detected</t>
        </is>
      </c>
      <c r="B20" s="13">
        <f>COUNTIF('Drift Detection Log'!K3:K152,"No (Unauthorised)")</f>
        <v/>
      </c>
      <c r="C20" s="19" t="inlineStr">
        <is>
          <t>Detect all</t>
        </is>
      </c>
    </row>
    <row r="21">
      <c r="A21" s="18" t="inlineStr">
        <is>
          <t>False Positive Rate %</t>
        </is>
      </c>
      <c r="B21" s="20">
        <f>IF(B13=0,0,COUNTIF('Drift Detection Log'!O3:O152,"➖ False Positive")/B13*100)</f>
        <v/>
      </c>
      <c r="C21" s="19" t="inlineStr">
        <is>
          <t>&lt;10%</t>
        </is>
      </c>
      <c r="D21" s="13">
        <f>IF(B21&lt;10,"✓ Good",IF(B21&lt;20,"⚠ Warning","✗ Critical"))</f>
        <v/>
      </c>
    </row>
    <row r="23">
      <c r="A23" s="17" t="inlineStr">
        <is>
          <t>REMEDIATION PERFORMANCE</t>
        </is>
      </c>
    </row>
    <row r="24">
      <c r="A24" s="12" t="inlineStr">
        <is>
          <t>Metric</t>
        </is>
      </c>
      <c r="B24" s="12" t="inlineStr">
        <is>
          <t>Value</t>
        </is>
      </c>
      <c r="C24" s="12" t="inlineStr">
        <is>
          <t>Target</t>
        </is>
      </c>
      <c r="D24" s="12" t="inlineStr">
        <is>
          <t>Status</t>
        </is>
      </c>
    </row>
    <row r="25">
      <c r="A25" s="18" t="inlineStr">
        <is>
          <t>Open Drift Incidents</t>
        </is>
      </c>
      <c r="B25" s="13">
        <f>COUNTIFS('Drift Detection Log'!O3:O152,"&lt;&gt;Closed",'Drift Detection Log'!O3:O152,"&lt;&gt;False Positive")</f>
        <v/>
      </c>
      <c r="C25" s="19" t="inlineStr">
        <is>
          <t>Minimize</t>
        </is>
      </c>
    </row>
    <row r="26">
      <c r="A26" s="18" t="inlineStr">
        <is>
          <t>Overdue Critical Drift</t>
        </is>
      </c>
      <c r="B26" s="13">
        <f>COUNTIFS('Drift Remediation Tracking'!C3:C152,"Critical",'Drift Remediation Tracking'!P3:P152,"Overdue")</f>
        <v/>
      </c>
      <c r="C26" s="19" t="inlineStr">
        <is>
          <t>0</t>
        </is>
      </c>
      <c r="D26" s="13">
        <f>IF(B26=0,"✓ None","✗ "&amp;B26&amp;" OVERDUE")</f>
        <v/>
      </c>
    </row>
    <row r="27">
      <c r="A27" s="18" t="inlineStr">
        <is>
          <t>Mean Time to Remediate (Days)</t>
        </is>
      </c>
      <c r="B27" s="20">
        <f>IFERROR(AVERAGE('Drift Remediation Tracking'!J3:J152),0)</f>
        <v/>
      </c>
      <c r="C27" s="19" t="inlineStr">
        <is>
          <t>&lt;1 day</t>
        </is>
      </c>
    </row>
    <row r="28">
      <c r="A28" s="18" t="inlineStr">
        <is>
          <t>SLA Compliance - Critical %</t>
        </is>
      </c>
      <c r="B28" s="20">
        <f>IF(COUNTIF('Drift Remediation Tracking'!C3:C152,"Critical")=0,100,COUNTIFS('Drift Remediation Tracking'!C3:C152,"Critical",'Drift Remediation Tracking'!Q3:Q152,"Met")/COUNTIF('Drift Remediation Tracking'!C3:C152,"Critical")*100)</f>
        <v/>
      </c>
      <c r="C28" s="19" t="inlineStr">
        <is>
          <t>100%</t>
        </is>
      </c>
      <c r="D28" s="13">
        <f>IF(B28&gt;=100,"✓","✗")</f>
        <v/>
      </c>
    </row>
    <row r="29">
      <c r="A29" s="18" t="inlineStr">
        <is>
          <t>Overall Remediation Success Rate %</t>
        </is>
      </c>
      <c r="B29" s="20">
        <f>IF(COUNTA('Drift Remediation Tracking'!M3:M152)=0,0,COUNTIF('Drift Remediation Tracking'!M3:M152,"✅ Passed")/COUNTA('Drift Remediation Tracking'!M3:M152)*100)</f>
        <v/>
      </c>
      <c r="C29" s="19" t="inlineStr">
        <is>
          <t>≥98%</t>
        </is>
      </c>
      <c r="D29" s="13">
        <f>IF(B29&gt;=98,"✓ Excellent",IF(B29&gt;=90,"⚠ Good","✗ Needs Improvement"))</f>
        <v/>
      </c>
    </row>
    <row r="32">
      <c r="A32" s="21" t="inlineStr">
        <is>
          <t>NOTE: All metrics auto-calculated. Review monthly. Critical drift = absolute zero tolerance.</t>
        </is>
      </c>
    </row>
  </sheetData>
  <mergeCells count="5">
    <mergeCell ref="A1:D1"/>
    <mergeCell ref="A23:D23"/>
    <mergeCell ref="A3:D3"/>
    <mergeCell ref="A15:D15"/>
    <mergeCell ref="A32:D32"/>
  </mergeCells>
  <conditionalFormatting sqref="B7:B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5" customWidth="1" min="1" max="1"/>
    <col width="15" customWidth="1" min="2" max="2"/>
    <col width="15" customWidth="1" min="3" max="3"/>
    <col width="15" customWidth="1" min="4" max="4"/>
    <col width="20" customWidth="1" min="5" max="5"/>
  </cols>
  <sheetData>
    <row r="1" ht="35" customHeight="1">
      <c r="A1" s="11" t="inlineStr">
        <is>
          <t>MONITORING COVERAGE GAP ANALYSIS</t>
        </is>
      </c>
    </row>
    <row r="3">
      <c r="A3" s="17" t="inlineStr">
        <is>
          <t>COVERAGE BY ASSET CATEGORY</t>
        </is>
      </c>
    </row>
    <row r="4">
      <c r="A4" s="12" t="inlineStr">
        <is>
          <t>Asset Category</t>
        </is>
      </c>
      <c r="B4" s="12" t="inlineStr">
        <is>
          <t>Total Assets</t>
        </is>
      </c>
      <c r="C4" s="12" t="inlineStr">
        <is>
          <t>Monitored</t>
        </is>
      </c>
      <c r="D4" s="12" t="inlineStr">
        <is>
          <t>Coverage %</t>
        </is>
      </c>
      <c r="E4" s="12" t="inlineStr">
        <is>
          <t>Gap Priority</t>
        </is>
      </c>
    </row>
    <row r="5">
      <c r="A5" s="18" t="inlineStr">
        <is>
          <t>Infrastructure</t>
        </is>
      </c>
      <c r="B5" s="13">
        <f>COUNTIF('Monitoring Coverage Register'!$D$3:$D$102,"Infrastructure")</f>
        <v/>
      </c>
      <c r="C5" s="13">
        <f>COUNTIFS('Monitoring Coverage Register'!$D$3:$D$102,"Infrastructure",'Monitoring Coverage Register'!$G$3:$G$102,"Monitored")</f>
        <v/>
      </c>
      <c r="D5" s="20">
        <f>IF(B5=0,0,C5/B5*100)</f>
        <v/>
      </c>
      <c r="E5" s="13">
        <f>IF(D5&lt;70,"Critical Gap",IF(D5&lt;85,"High Priority","Acceptable"))</f>
        <v/>
      </c>
    </row>
    <row r="6">
      <c r="A6" s="18" t="inlineStr">
        <is>
          <t>Endpoint</t>
        </is>
      </c>
      <c r="B6" s="13">
        <f>COUNTIF('Monitoring Coverage Register'!$D$3:$D$102,"Endpoint")</f>
        <v/>
      </c>
      <c r="C6" s="13">
        <f>COUNTIFS('Monitoring Coverage Register'!$D$3:$D$102,"Endpoint",'Monitoring Coverage Register'!$G$3:$G$102,"Monitored")</f>
        <v/>
      </c>
      <c r="D6" s="20">
        <f>IF(B6=0,0,C6/B6*100)</f>
        <v/>
      </c>
      <c r="E6" s="13">
        <f>IF(D6&lt;70,"Critical Gap",IF(D6&lt;85,"High Priority","Acceptable"))</f>
        <v/>
      </c>
    </row>
    <row r="7">
      <c r="A7" s="18" t="inlineStr">
        <is>
          <t>Network Services</t>
        </is>
      </c>
      <c r="B7" s="13">
        <f>COUNTIF('Monitoring Coverage Register'!$D$3:$D$102,"Network Services")</f>
        <v/>
      </c>
      <c r="C7" s="13">
        <f>COUNTIFS('Monitoring Coverage Register'!$D$3:$D$102,"Network Services",'Monitoring Coverage Register'!$G$3:$G$102,"Monitored")</f>
        <v/>
      </c>
      <c r="D7" s="20">
        <f>IF(B7=0,0,C7/B7*100)</f>
        <v/>
      </c>
      <c r="E7" s="13">
        <f>IF(D7&lt;70,"Critical Gap",IF(D7&lt;85,"High Priority","Acceptable"))</f>
        <v/>
      </c>
    </row>
    <row r="8">
      <c r="A8" s="18" t="inlineStr">
        <is>
          <t>Applications</t>
        </is>
      </c>
      <c r="B8" s="13">
        <f>COUNTIF('Monitoring Coverage Register'!$D$3:$D$102,"Applications")</f>
        <v/>
      </c>
      <c r="C8" s="13">
        <f>COUNTIFS('Monitoring Coverage Register'!$D$3:$D$102,"Applications",'Monitoring Coverage Register'!$G$3:$G$102,"Monitored")</f>
        <v/>
      </c>
      <c r="D8" s="20">
        <f>IF(B8=0,0,C8/B8*100)</f>
        <v/>
      </c>
      <c r="E8" s="13">
        <f>IF(D8&lt;70,"Critical Gap",IF(D8&lt;85,"High Priority","Acceptable"))</f>
        <v/>
      </c>
    </row>
    <row r="9">
      <c r="A9" s="18" t="inlineStr">
        <is>
          <t>Cloud</t>
        </is>
      </c>
      <c r="B9" s="13">
        <f>COUNTIF('Monitoring Coverage Register'!$D$3:$D$102,"Cloud")</f>
        <v/>
      </c>
      <c r="C9" s="13">
        <f>COUNTIFS('Monitoring Coverage Register'!$D$3:$D$102,"Cloud",'Monitoring Coverage Register'!$G$3:$G$102,"Monitored")</f>
        <v/>
      </c>
      <c r="D9" s="20">
        <f>IF(B9=0,0,C9/B9*100)</f>
        <v/>
      </c>
      <c r="E9" s="13">
        <f>IF(D9&lt;70,"Critical Gap",IF(D9&lt;85,"High Priority","Acceptable"))</f>
        <v/>
      </c>
    </row>
    <row r="10">
      <c r="A10" s="18" t="inlineStr">
        <is>
          <t>IoT/OT</t>
        </is>
      </c>
      <c r="B10" s="13">
        <f>COUNTIF('Monitoring Coverage Register'!$D$3:$D$102,"IoT/OT")</f>
        <v/>
      </c>
      <c r="C10" s="13">
        <f>COUNTIFS('Monitoring Coverage Register'!$D$3:$D$102,"IoT/OT",'Monitoring Coverage Register'!$G$3:$G$102,"Monitored")</f>
        <v/>
      </c>
      <c r="D10" s="20">
        <f>IF(B10=0,0,C10/B10*100)</f>
        <v/>
      </c>
      <c r="E10" s="13">
        <f>IF(D10&lt;70,"Critical Gap",IF(D10&lt;85,"High Priority","Acceptable"))</f>
        <v/>
      </c>
    </row>
    <row r="12">
      <c r="A12" s="17" t="inlineStr">
        <is>
          <t>COVERAGE BY ASSET CRITICALITY</t>
        </is>
      </c>
    </row>
    <row r="13">
      <c r="A13" s="12" t="inlineStr">
        <is>
          <t>Criticality</t>
        </is>
      </c>
      <c r="B13" s="12" t="inlineStr">
        <is>
          <t>Total Assets</t>
        </is>
      </c>
      <c r="C13" s="12" t="inlineStr">
        <is>
          <t>Monitored</t>
        </is>
      </c>
      <c r="D13" s="12" t="inlineStr">
        <is>
          <t>Coverage %</t>
        </is>
      </c>
      <c r="E13" s="12" t="inlineStr">
        <is>
          <t>Status</t>
        </is>
      </c>
    </row>
    <row r="14">
      <c r="A14" s="18" t="inlineStr">
        <is>
          <t>Critical</t>
        </is>
      </c>
      <c r="B14" s="13">
        <f>COUNTIF('Monitoring Coverage Register'!$E$3:$E$102,"Critical")</f>
        <v/>
      </c>
      <c r="C14" s="13">
        <f>COUNTIFS('Monitoring Coverage Register'!$E$3:$E$102,"Critical",'Monitoring Coverage Register'!$G$3:$G$102,"Monitored")</f>
        <v/>
      </c>
      <c r="D14" s="20">
        <f>IF(B14=0,0,C14/B14*100)</f>
        <v/>
      </c>
      <c r="E14" s="13">
        <f>IF(D14&gt;=100,"✓","✗")</f>
        <v/>
      </c>
    </row>
    <row r="15">
      <c r="A15" s="18" t="inlineStr">
        <is>
          <t>High</t>
        </is>
      </c>
      <c r="B15" s="13">
        <f>COUNTIF('Monitoring Coverage Register'!$E$3:$E$102,"High")</f>
        <v/>
      </c>
      <c r="C15" s="13">
        <f>COUNTIFS('Monitoring Coverage Register'!$E$3:$E$102,"High",'Monitoring Coverage Register'!$G$3:$G$102,"Monitored")</f>
        <v/>
      </c>
      <c r="D15" s="20">
        <f>IF(B15=0,0,C15/B15*100)</f>
        <v/>
      </c>
      <c r="E15" s="13">
        <f>IF(D15&gt;=95,"✓","✗")</f>
        <v/>
      </c>
    </row>
    <row r="16">
      <c r="A16" s="18" t="inlineStr">
        <is>
          <t>Medium</t>
        </is>
      </c>
      <c r="B16" s="13">
        <f>COUNTIF('Monitoring Coverage Register'!$E$3:$E$102,"Medium")</f>
        <v/>
      </c>
      <c r="C16" s="13">
        <f>COUNTIFS('Monitoring Coverage Register'!$E$3:$E$102,"Medium",'Monitoring Coverage Register'!$G$3:$G$102,"Monitored")</f>
        <v/>
      </c>
      <c r="D16" s="20">
        <f>IF(B16=0,0,C16/B16*100)</f>
        <v/>
      </c>
      <c r="E16" s="13">
        <f>IF(D16&gt;=85,"✓","✗")</f>
        <v/>
      </c>
    </row>
    <row r="17">
      <c r="A17" s="18" t="inlineStr">
        <is>
          <t>Low</t>
        </is>
      </c>
      <c r="B17" s="13">
        <f>COUNTIF('Monitoring Coverage Register'!$E$3:$E$102,"Low")</f>
        <v/>
      </c>
      <c r="C17" s="13">
        <f>COUNTIFS('Monitoring Coverage Register'!$E$3:$E$102,"Low",'Monitoring Coverage Register'!$G$3:$G$102,"Monitored")</f>
        <v/>
      </c>
      <c r="D17" s="20">
        <f>IF(B17=0,0,C17/B17*100)</f>
        <v/>
      </c>
      <c r="E17" s="13">
        <f>IF(D17&gt;=70,"✓","✗")</f>
        <v/>
      </c>
    </row>
  </sheetData>
  <mergeCells count="3">
    <mergeCell ref="A1:E1"/>
    <mergeCell ref="A12:E12"/>
    <mergeCell ref="A3:E3"/>
  </mergeCells>
  <conditionalFormatting sqref="D5:D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conditionalFormatting sqref="E5:E10">
    <cfRule type="cellIs" priority="4" operator="equal" dxfId="7">
      <formula>"Critical Gap"</formula>
    </cfRule>
    <cfRule type="cellIs" priority="5" operator="equal" dxfId="10">
      <formula>"High Priority"</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5" customWidth="1" min="6" max="6"/>
  </cols>
  <sheetData>
    <row r="1" ht="35" customHeight="1">
      <c r="A1" s="11" t="inlineStr">
        <is>
          <t>CONFIGURATION DRIFT TREND ANALYSIS</t>
        </is>
      </c>
    </row>
    <row r="3">
      <c r="A3" s="17" t="inlineStr">
        <is>
          <t>DRIFT DISTRIBUTION BY CATEGORY</t>
        </is>
      </c>
    </row>
    <row r="4">
      <c r="A4" s="12" t="inlineStr">
        <is>
          <t>Drift Category</t>
        </is>
      </c>
      <c r="B4" s="12" t="inlineStr">
        <is>
          <t>Total</t>
        </is>
      </c>
      <c r="C4" s="12" t="inlineStr">
        <is>
          <t>Open</t>
        </is>
      </c>
      <c r="D4" s="12" t="inlineStr">
        <is>
          <t>Closed</t>
        </is>
      </c>
      <c r="E4" s="12" t="inlineStr">
        <is>
          <t>Percentage</t>
        </is>
      </c>
      <c r="F4" s="12" t="inlineStr">
        <is>
          <t>Trend</t>
        </is>
      </c>
    </row>
    <row r="5">
      <c r="A5" s="18" t="inlineStr">
        <is>
          <t>Critical</t>
        </is>
      </c>
      <c r="B5" s="13">
        <f>COUNTIF('Drift Detection Log'!$H$3:$H$152,"Critical")</f>
        <v/>
      </c>
      <c r="C5" s="13">
        <f>COUNTIFS('Drift Detection Log'!$H$3:$H$152,"Critical",'Drift Detection Log'!$O$3:$O$152,"&lt;&gt;Closed",'Drift Detection Log'!$O$3:$O$152,"&lt;&gt;False Positive")</f>
        <v/>
      </c>
      <c r="D5" s="13">
        <f>COUNTIFS('Drift Detection Log'!$H$3:$H$152,"Critical",'Drift Detection Log'!$O$3:$O$152,"Closed")</f>
        <v/>
      </c>
      <c r="E5" s="20">
        <f>IF(SUM(B$5:B$9)=0,0,B5/SUM(B$5:B$9)*100)</f>
        <v/>
      </c>
      <c r="F5" s="18" t="inlineStr">
        <is>
          <t>Monitor</t>
        </is>
      </c>
    </row>
    <row r="6">
      <c r="A6" s="18" t="inlineStr">
        <is>
          <t>High</t>
        </is>
      </c>
      <c r="B6" s="13">
        <f>COUNTIF('Drift Detection Log'!$H$3:$H$152,"High")</f>
        <v/>
      </c>
      <c r="C6" s="13">
        <f>COUNTIFS('Drift Detection Log'!$H$3:$H$152,"High",'Drift Detection Log'!$O$3:$O$152,"&lt;&gt;Closed",'Drift Detection Log'!$O$3:$O$152,"&lt;&gt;False Positive")</f>
        <v/>
      </c>
      <c r="D6" s="13">
        <f>COUNTIFS('Drift Detection Log'!$H$3:$H$152,"High",'Drift Detection Log'!$O$3:$O$152,"Closed")</f>
        <v/>
      </c>
      <c r="E6" s="20">
        <f>IF(SUM(B$5:B$9)=0,0,B6/SUM(B$5:B$9)*100)</f>
        <v/>
      </c>
      <c r="F6" s="18" t="inlineStr">
        <is>
          <t>Monitor</t>
        </is>
      </c>
    </row>
    <row r="7">
      <c r="A7" s="18" t="inlineStr">
        <is>
          <t>Medium</t>
        </is>
      </c>
      <c r="B7" s="13">
        <f>COUNTIF('Drift Detection Log'!$H$3:$H$152,"Medium")</f>
        <v/>
      </c>
      <c r="C7" s="13">
        <f>COUNTIFS('Drift Detection Log'!$H$3:$H$152,"Medium",'Drift Detection Log'!$O$3:$O$152,"&lt;&gt;Closed",'Drift Detection Log'!$O$3:$O$152,"&lt;&gt;False Positive")</f>
        <v/>
      </c>
      <c r="D7" s="13">
        <f>COUNTIFS('Drift Detection Log'!$H$3:$H$152,"Medium",'Drift Detection Log'!$O$3:$O$152,"Closed")</f>
        <v/>
      </c>
      <c r="E7" s="20">
        <f>IF(SUM(B$5:B$9)=0,0,B7/SUM(B$5:B$9)*100)</f>
        <v/>
      </c>
      <c r="F7" s="18" t="inlineStr">
        <is>
          <t>Monitor</t>
        </is>
      </c>
    </row>
    <row r="8">
      <c r="A8" s="18" t="inlineStr">
        <is>
          <t>Low</t>
        </is>
      </c>
      <c r="B8" s="13">
        <f>COUNTIF('Drift Detection Log'!$H$3:$H$152,"Low")</f>
        <v/>
      </c>
      <c r="C8" s="13">
        <f>COUNTIFS('Drift Detection Log'!$H$3:$H$152,"Low",'Drift Detection Log'!$O$3:$O$152,"&lt;&gt;Closed",'Drift Detection Log'!$O$3:$O$152,"&lt;&gt;False Positive")</f>
        <v/>
      </c>
      <c r="D8" s="13">
        <f>COUNTIFS('Drift Detection Log'!$H$3:$H$152,"Low",'Drift Detection Log'!$O$3:$O$152,"Closed")</f>
        <v/>
      </c>
      <c r="E8" s="20">
        <f>IF(SUM(B$5:B$9)=0,0,B8/SUM(B$5:B$9)*100)</f>
        <v/>
      </c>
      <c r="F8" s="18" t="inlineStr">
        <is>
          <t>Monitor</t>
        </is>
      </c>
    </row>
    <row r="9">
      <c r="A9" s="18" t="inlineStr">
        <is>
          <t>Informational</t>
        </is>
      </c>
      <c r="B9" s="13">
        <f>COUNTIF('Drift Detection Log'!$H$3:$H$152,"Informational")</f>
        <v/>
      </c>
      <c r="C9" s="13">
        <f>COUNTIFS('Drift Detection Log'!$H$3:$H$152,"Informational",'Drift Detection Log'!$O$3:$O$152,"&lt;&gt;Closed",'Drift Detection Log'!$O$3:$O$152,"&lt;&gt;False Positive")</f>
        <v/>
      </c>
      <c r="D9" s="13">
        <f>COUNTIFS('Drift Detection Log'!$H$3:$H$152,"Informational",'Drift Detection Log'!$O$3:$O$152,"Closed")</f>
        <v/>
      </c>
      <c r="E9" s="20">
        <f>IF(SUM(B$5:B$9)=0,0,B9/SUM(B$5:B$9)*100)</f>
        <v/>
      </c>
      <c r="F9" s="18" t="inlineStr">
        <is>
          <t>Monitor</t>
        </is>
      </c>
    </row>
    <row r="12">
      <c r="A12" s="21" t="inlineStr">
        <is>
          <t>NOTE: Use this data to identify drift patterns. High Critical/High drift = environmental instability.</t>
        </is>
      </c>
    </row>
  </sheetData>
  <mergeCells count="3">
    <mergeCell ref="A3:F3"/>
    <mergeCell ref="A1:F1"/>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row>
    <row r="2">
      <c r="A2" s="23" t="inlineStr">
        <is>
          <t>List all evidence files/documents referenced in this assessment (audit traceability).</t>
        </is>
      </c>
    </row>
    <row r="4">
      <c r="A4" s="24" t="inlineStr">
        <is>
          <t>Evidence ID</t>
        </is>
      </c>
      <c r="B4" s="24" t="inlineStr">
        <is>
          <t>Assessment Area</t>
        </is>
      </c>
      <c r="C4" s="24" t="inlineStr">
        <is>
          <t>Evidence Type</t>
        </is>
      </c>
      <c r="D4" s="24" t="inlineStr">
        <is>
          <t>Description</t>
        </is>
      </c>
      <c r="E4" s="24" t="inlineStr">
        <is>
          <t>Location/Path</t>
        </is>
      </c>
      <c r="F4" s="24" t="inlineStr">
        <is>
          <t>Date Collected</t>
        </is>
      </c>
      <c r="G4" s="24" t="inlineStr">
        <is>
          <t>Collected By</t>
        </is>
      </c>
      <c r="H4" s="24" t="inlineStr">
        <is>
          <t>Verification Status</t>
        </is>
      </c>
    </row>
    <row r="5">
      <c r="A5" s="25" t="inlineStr">
        <is>
          <t>EV-001</t>
        </is>
      </c>
      <c r="B5" s="26" t="n"/>
      <c r="C5" s="26" t="n"/>
      <c r="D5" s="26" t="n"/>
      <c r="E5" s="26" t="n"/>
      <c r="F5" s="26" t="n"/>
      <c r="G5" s="26" t="n"/>
      <c r="H5" s="26" t="n"/>
    </row>
    <row r="6">
      <c r="A6" s="25" t="inlineStr">
        <is>
          <t>EV-002</t>
        </is>
      </c>
      <c r="B6" s="26" t="n"/>
      <c r="C6" s="26" t="n"/>
      <c r="D6" s="26" t="n"/>
      <c r="E6" s="26" t="n"/>
      <c r="F6" s="26" t="n"/>
      <c r="G6" s="26" t="n"/>
      <c r="H6" s="26" t="n"/>
    </row>
    <row r="7">
      <c r="A7" s="25" t="inlineStr">
        <is>
          <t>EV-003</t>
        </is>
      </c>
      <c r="B7" s="26" t="n"/>
      <c r="C7" s="26" t="n"/>
      <c r="D7" s="26" t="n"/>
      <c r="E7" s="26" t="n"/>
      <c r="F7" s="26" t="n"/>
      <c r="G7" s="26" t="n"/>
      <c r="H7" s="26" t="n"/>
    </row>
    <row r="8">
      <c r="A8" s="25" t="inlineStr">
        <is>
          <t>EV-004</t>
        </is>
      </c>
      <c r="B8" s="26" t="n"/>
      <c r="C8" s="26" t="n"/>
      <c r="D8" s="26" t="n"/>
      <c r="E8" s="26" t="n"/>
      <c r="F8" s="26" t="n"/>
      <c r="G8" s="26" t="n"/>
      <c r="H8" s="26" t="n"/>
    </row>
    <row r="9">
      <c r="A9" s="25" t="inlineStr">
        <is>
          <t>EV-005</t>
        </is>
      </c>
      <c r="B9" s="26" t="n"/>
      <c r="C9" s="26" t="n"/>
      <c r="D9" s="26" t="n"/>
      <c r="E9" s="26" t="n"/>
      <c r="F9" s="26" t="n"/>
      <c r="G9" s="26" t="n"/>
      <c r="H9" s="26" t="n"/>
    </row>
    <row r="10">
      <c r="A10" s="25" t="inlineStr">
        <is>
          <t>EV-006</t>
        </is>
      </c>
      <c r="B10" s="26" t="n"/>
      <c r="C10" s="26" t="n"/>
      <c r="D10" s="26" t="n"/>
      <c r="E10" s="26" t="n"/>
      <c r="F10" s="26" t="n"/>
      <c r="G10" s="26" t="n"/>
      <c r="H10" s="26" t="n"/>
    </row>
    <row r="11">
      <c r="A11" s="25" t="inlineStr">
        <is>
          <t>EV-007</t>
        </is>
      </c>
      <c r="B11" s="26" t="n"/>
      <c r="C11" s="26" t="n"/>
      <c r="D11" s="26" t="n"/>
      <c r="E11" s="26" t="n"/>
      <c r="F11" s="26" t="n"/>
      <c r="G11" s="26" t="n"/>
      <c r="H11" s="26" t="n"/>
    </row>
    <row r="12">
      <c r="A12" s="25" t="inlineStr">
        <is>
          <t>EV-008</t>
        </is>
      </c>
      <c r="B12" s="26" t="n"/>
      <c r="C12" s="26" t="n"/>
      <c r="D12" s="26" t="n"/>
      <c r="E12" s="26" t="n"/>
      <c r="F12" s="26" t="n"/>
      <c r="G12" s="26" t="n"/>
      <c r="H12" s="26" t="n"/>
    </row>
    <row r="13">
      <c r="A13" s="25" t="inlineStr">
        <is>
          <t>EV-009</t>
        </is>
      </c>
      <c r="B13" s="26" t="n"/>
      <c r="C13" s="26" t="n"/>
      <c r="D13" s="26" t="n"/>
      <c r="E13" s="26" t="n"/>
      <c r="F13" s="26" t="n"/>
      <c r="G13" s="26" t="n"/>
      <c r="H13" s="26" t="n"/>
    </row>
    <row r="14">
      <c r="A14" s="25" t="inlineStr">
        <is>
          <t>EV-010</t>
        </is>
      </c>
      <c r="B14" s="26" t="n"/>
      <c r="C14" s="26" t="n"/>
      <c r="D14" s="26" t="n"/>
      <c r="E14" s="26" t="n"/>
      <c r="F14" s="26" t="n"/>
      <c r="G14" s="26" t="n"/>
      <c r="H14" s="26" t="n"/>
    </row>
    <row r="15">
      <c r="A15" s="25" t="inlineStr">
        <is>
          <t>EV-011</t>
        </is>
      </c>
      <c r="B15" s="26" t="n"/>
      <c r="C15" s="26" t="n"/>
      <c r="D15" s="26" t="n"/>
      <c r="E15" s="26" t="n"/>
      <c r="F15" s="26" t="n"/>
      <c r="G15" s="26" t="n"/>
      <c r="H15" s="26" t="n"/>
    </row>
    <row r="16">
      <c r="A16" s="25" t="inlineStr">
        <is>
          <t>EV-012</t>
        </is>
      </c>
      <c r="B16" s="26" t="n"/>
      <c r="C16" s="26" t="n"/>
      <c r="D16" s="26" t="n"/>
      <c r="E16" s="26" t="n"/>
      <c r="F16" s="26" t="n"/>
      <c r="G16" s="26" t="n"/>
      <c r="H16" s="26" t="n"/>
    </row>
    <row r="17">
      <c r="A17" s="25" t="inlineStr">
        <is>
          <t>EV-013</t>
        </is>
      </c>
      <c r="B17" s="26" t="n"/>
      <c r="C17" s="26" t="n"/>
      <c r="D17" s="26" t="n"/>
      <c r="E17" s="26" t="n"/>
      <c r="F17" s="26" t="n"/>
      <c r="G17" s="26" t="n"/>
      <c r="H17" s="26" t="n"/>
    </row>
    <row r="18">
      <c r="A18" s="25" t="inlineStr">
        <is>
          <t>EV-014</t>
        </is>
      </c>
      <c r="B18" s="26" t="n"/>
      <c r="C18" s="26" t="n"/>
      <c r="D18" s="26" t="n"/>
      <c r="E18" s="26" t="n"/>
      <c r="F18" s="26" t="n"/>
      <c r="G18" s="26" t="n"/>
      <c r="H18" s="26" t="n"/>
    </row>
    <row r="19">
      <c r="A19" s="25" t="inlineStr">
        <is>
          <t>EV-015</t>
        </is>
      </c>
      <c r="B19" s="26" t="n"/>
      <c r="C19" s="26" t="n"/>
      <c r="D19" s="26" t="n"/>
      <c r="E19" s="26" t="n"/>
      <c r="F19" s="26" t="n"/>
      <c r="G19" s="26" t="n"/>
      <c r="H19" s="26" t="n"/>
    </row>
    <row r="20">
      <c r="A20" s="25" t="inlineStr">
        <is>
          <t>EV-016</t>
        </is>
      </c>
      <c r="B20" s="26" t="n"/>
      <c r="C20" s="26" t="n"/>
      <c r="D20" s="26" t="n"/>
      <c r="E20" s="26" t="n"/>
      <c r="F20" s="26" t="n"/>
      <c r="G20" s="26" t="n"/>
      <c r="H20" s="26" t="n"/>
    </row>
    <row r="21">
      <c r="A21" s="25" t="inlineStr">
        <is>
          <t>EV-017</t>
        </is>
      </c>
      <c r="B21" s="26" t="n"/>
      <c r="C21" s="26" t="n"/>
      <c r="D21" s="26" t="n"/>
      <c r="E21" s="26" t="n"/>
      <c r="F21" s="26" t="n"/>
      <c r="G21" s="26" t="n"/>
      <c r="H21" s="26" t="n"/>
    </row>
    <row r="22">
      <c r="A22" s="25" t="inlineStr">
        <is>
          <t>EV-018</t>
        </is>
      </c>
      <c r="B22" s="26" t="n"/>
      <c r="C22" s="26" t="n"/>
      <c r="D22" s="26" t="n"/>
      <c r="E22" s="26" t="n"/>
      <c r="F22" s="26" t="n"/>
      <c r="G22" s="26" t="n"/>
      <c r="H22" s="26" t="n"/>
    </row>
    <row r="23">
      <c r="A23" s="25" t="inlineStr">
        <is>
          <t>EV-019</t>
        </is>
      </c>
      <c r="B23" s="26" t="n"/>
      <c r="C23" s="26" t="n"/>
      <c r="D23" s="26" t="n"/>
      <c r="E23" s="26" t="n"/>
      <c r="F23" s="26" t="n"/>
      <c r="G23" s="26" t="n"/>
      <c r="H23" s="26" t="n"/>
    </row>
    <row r="24">
      <c r="A24" s="25" t="inlineStr">
        <is>
          <t>EV-020</t>
        </is>
      </c>
      <c r="B24" s="26" t="n"/>
      <c r="C24" s="26" t="n"/>
      <c r="D24" s="26" t="n"/>
      <c r="E24" s="26" t="n"/>
      <c r="F24" s="26" t="n"/>
      <c r="G24" s="26" t="n"/>
      <c r="H24" s="26" t="n"/>
    </row>
    <row r="25">
      <c r="A25" s="25" t="inlineStr">
        <is>
          <t>EV-021</t>
        </is>
      </c>
      <c r="B25" s="26" t="n"/>
      <c r="C25" s="26" t="n"/>
      <c r="D25" s="26" t="n"/>
      <c r="E25" s="26" t="n"/>
      <c r="F25" s="26" t="n"/>
      <c r="G25" s="26" t="n"/>
      <c r="H25" s="26" t="n"/>
    </row>
    <row r="26">
      <c r="A26" s="25" t="inlineStr">
        <is>
          <t>EV-022</t>
        </is>
      </c>
      <c r="B26" s="26" t="n"/>
      <c r="C26" s="26" t="n"/>
      <c r="D26" s="26" t="n"/>
      <c r="E26" s="26" t="n"/>
      <c r="F26" s="26" t="n"/>
      <c r="G26" s="26" t="n"/>
      <c r="H26" s="26" t="n"/>
    </row>
    <row r="27">
      <c r="A27" s="25" t="inlineStr">
        <is>
          <t>EV-023</t>
        </is>
      </c>
      <c r="B27" s="26" t="n"/>
      <c r="C27" s="26" t="n"/>
      <c r="D27" s="26" t="n"/>
      <c r="E27" s="26" t="n"/>
      <c r="F27" s="26" t="n"/>
      <c r="G27" s="26" t="n"/>
      <c r="H27" s="26" t="n"/>
    </row>
    <row r="28">
      <c r="A28" s="25" t="inlineStr">
        <is>
          <t>EV-024</t>
        </is>
      </c>
      <c r="B28" s="26" t="n"/>
      <c r="C28" s="26" t="n"/>
      <c r="D28" s="26" t="n"/>
      <c r="E28" s="26" t="n"/>
      <c r="F28" s="26" t="n"/>
      <c r="G28" s="26" t="n"/>
      <c r="H28" s="26" t="n"/>
    </row>
    <row r="29">
      <c r="A29" s="25" t="inlineStr">
        <is>
          <t>EV-025</t>
        </is>
      </c>
      <c r="B29" s="26" t="n"/>
      <c r="C29" s="26" t="n"/>
      <c r="D29" s="26" t="n"/>
      <c r="E29" s="26" t="n"/>
      <c r="F29" s="26" t="n"/>
      <c r="G29" s="26" t="n"/>
      <c r="H29" s="26" t="n"/>
    </row>
    <row r="30">
      <c r="A30" s="25" t="inlineStr">
        <is>
          <t>EV-026</t>
        </is>
      </c>
      <c r="B30" s="26" t="n"/>
      <c r="C30" s="26" t="n"/>
      <c r="D30" s="26" t="n"/>
      <c r="E30" s="26" t="n"/>
      <c r="F30" s="26" t="n"/>
      <c r="G30" s="26" t="n"/>
      <c r="H30" s="26" t="n"/>
    </row>
    <row r="31">
      <c r="A31" s="25" t="inlineStr">
        <is>
          <t>EV-027</t>
        </is>
      </c>
      <c r="B31" s="26" t="n"/>
      <c r="C31" s="26" t="n"/>
      <c r="D31" s="26" t="n"/>
      <c r="E31" s="26" t="n"/>
      <c r="F31" s="26" t="n"/>
      <c r="G31" s="26" t="n"/>
      <c r="H31" s="26" t="n"/>
    </row>
    <row r="32">
      <c r="A32" s="25" t="inlineStr">
        <is>
          <t>EV-028</t>
        </is>
      </c>
      <c r="B32" s="26" t="n"/>
      <c r="C32" s="26" t="n"/>
      <c r="D32" s="26" t="n"/>
      <c r="E32" s="26" t="n"/>
      <c r="F32" s="26" t="n"/>
      <c r="G32" s="26" t="n"/>
      <c r="H32" s="26" t="n"/>
    </row>
    <row r="33">
      <c r="A33" s="25" t="inlineStr">
        <is>
          <t>EV-029</t>
        </is>
      </c>
      <c r="B33" s="26" t="n"/>
      <c r="C33" s="26" t="n"/>
      <c r="D33" s="26" t="n"/>
      <c r="E33" s="26" t="n"/>
      <c r="F33" s="26" t="n"/>
      <c r="G33" s="26" t="n"/>
      <c r="H33" s="26" t="n"/>
    </row>
    <row r="34">
      <c r="A34" s="25" t="inlineStr">
        <is>
          <t>EV-030</t>
        </is>
      </c>
      <c r="B34" s="26" t="n"/>
      <c r="C34" s="26" t="n"/>
      <c r="D34" s="26" t="n"/>
      <c r="E34" s="26" t="n"/>
      <c r="F34" s="26" t="n"/>
      <c r="G34" s="26" t="n"/>
      <c r="H34" s="26" t="n"/>
    </row>
    <row r="35">
      <c r="A35" s="25" t="inlineStr">
        <is>
          <t>EV-031</t>
        </is>
      </c>
      <c r="B35" s="26" t="n"/>
      <c r="C35" s="26" t="n"/>
      <c r="D35" s="26" t="n"/>
      <c r="E35" s="26" t="n"/>
      <c r="F35" s="26" t="n"/>
      <c r="G35" s="26" t="n"/>
      <c r="H35" s="26" t="n"/>
    </row>
    <row r="36">
      <c r="A36" s="25" t="inlineStr">
        <is>
          <t>EV-032</t>
        </is>
      </c>
      <c r="B36" s="26" t="n"/>
      <c r="C36" s="26" t="n"/>
      <c r="D36" s="26" t="n"/>
      <c r="E36" s="26" t="n"/>
      <c r="F36" s="26" t="n"/>
      <c r="G36" s="26" t="n"/>
      <c r="H36" s="26" t="n"/>
    </row>
    <row r="37">
      <c r="A37" s="25" t="inlineStr">
        <is>
          <t>EV-033</t>
        </is>
      </c>
      <c r="B37" s="26" t="n"/>
      <c r="C37" s="26" t="n"/>
      <c r="D37" s="26" t="n"/>
      <c r="E37" s="26" t="n"/>
      <c r="F37" s="26" t="n"/>
      <c r="G37" s="26" t="n"/>
      <c r="H37" s="26" t="n"/>
    </row>
    <row r="38">
      <c r="A38" s="25" t="inlineStr">
        <is>
          <t>EV-034</t>
        </is>
      </c>
      <c r="B38" s="26" t="n"/>
      <c r="C38" s="26" t="n"/>
      <c r="D38" s="26" t="n"/>
      <c r="E38" s="26" t="n"/>
      <c r="F38" s="26" t="n"/>
      <c r="G38" s="26" t="n"/>
      <c r="H38" s="26" t="n"/>
    </row>
    <row r="39">
      <c r="A39" s="25" t="inlineStr">
        <is>
          <t>EV-035</t>
        </is>
      </c>
      <c r="B39" s="26" t="n"/>
      <c r="C39" s="26" t="n"/>
      <c r="D39" s="26" t="n"/>
      <c r="E39" s="26" t="n"/>
      <c r="F39" s="26" t="n"/>
      <c r="G39" s="26" t="n"/>
      <c r="H39" s="26" t="n"/>
    </row>
    <row r="40">
      <c r="A40" s="25" t="inlineStr">
        <is>
          <t>EV-036</t>
        </is>
      </c>
      <c r="B40" s="26" t="n"/>
      <c r="C40" s="26" t="n"/>
      <c r="D40" s="26" t="n"/>
      <c r="E40" s="26" t="n"/>
      <c r="F40" s="26" t="n"/>
      <c r="G40" s="26" t="n"/>
      <c r="H40" s="26" t="n"/>
    </row>
    <row r="41">
      <c r="A41" s="25" t="inlineStr">
        <is>
          <t>EV-037</t>
        </is>
      </c>
      <c r="B41" s="26" t="n"/>
      <c r="C41" s="26" t="n"/>
      <c r="D41" s="26" t="n"/>
      <c r="E41" s="26" t="n"/>
      <c r="F41" s="26" t="n"/>
      <c r="G41" s="26" t="n"/>
      <c r="H41" s="26" t="n"/>
    </row>
    <row r="42">
      <c r="A42" s="25" t="inlineStr">
        <is>
          <t>EV-038</t>
        </is>
      </c>
      <c r="B42" s="26" t="n"/>
      <c r="C42" s="26" t="n"/>
      <c r="D42" s="26" t="n"/>
      <c r="E42" s="26" t="n"/>
      <c r="F42" s="26" t="n"/>
      <c r="G42" s="26" t="n"/>
      <c r="H42" s="26" t="n"/>
    </row>
    <row r="43">
      <c r="A43" s="25" t="inlineStr">
        <is>
          <t>EV-039</t>
        </is>
      </c>
      <c r="B43" s="26" t="n"/>
      <c r="C43" s="26" t="n"/>
      <c r="D43" s="26" t="n"/>
      <c r="E43" s="26" t="n"/>
      <c r="F43" s="26" t="n"/>
      <c r="G43" s="26" t="n"/>
      <c r="H43" s="26" t="n"/>
    </row>
    <row r="44">
      <c r="A44" s="25" t="inlineStr">
        <is>
          <t>EV-040</t>
        </is>
      </c>
      <c r="B44" s="26" t="n"/>
      <c r="C44" s="26" t="n"/>
      <c r="D44" s="26" t="n"/>
      <c r="E44" s="26" t="n"/>
      <c r="F44" s="26" t="n"/>
      <c r="G44" s="26" t="n"/>
      <c r="H44" s="26" t="n"/>
    </row>
    <row r="45">
      <c r="A45" s="25" t="inlineStr">
        <is>
          <t>EV-041</t>
        </is>
      </c>
      <c r="B45" s="26" t="n"/>
      <c r="C45" s="26" t="n"/>
      <c r="D45" s="26" t="n"/>
      <c r="E45" s="26" t="n"/>
      <c r="F45" s="26" t="n"/>
      <c r="G45" s="26" t="n"/>
      <c r="H45" s="26" t="n"/>
    </row>
    <row r="46">
      <c r="A46" s="25" t="inlineStr">
        <is>
          <t>EV-042</t>
        </is>
      </c>
      <c r="B46" s="26" t="n"/>
      <c r="C46" s="26" t="n"/>
      <c r="D46" s="26" t="n"/>
      <c r="E46" s="26" t="n"/>
      <c r="F46" s="26" t="n"/>
      <c r="G46" s="26" t="n"/>
      <c r="H46" s="26" t="n"/>
    </row>
    <row r="47">
      <c r="A47" s="25" t="inlineStr">
        <is>
          <t>EV-043</t>
        </is>
      </c>
      <c r="B47" s="26" t="n"/>
      <c r="C47" s="26" t="n"/>
      <c r="D47" s="26" t="n"/>
      <c r="E47" s="26" t="n"/>
      <c r="F47" s="26" t="n"/>
      <c r="G47" s="26" t="n"/>
      <c r="H47" s="26" t="n"/>
    </row>
    <row r="48">
      <c r="A48" s="25" t="inlineStr">
        <is>
          <t>EV-044</t>
        </is>
      </c>
      <c r="B48" s="26" t="n"/>
      <c r="C48" s="26" t="n"/>
      <c r="D48" s="26" t="n"/>
      <c r="E48" s="26" t="n"/>
      <c r="F48" s="26" t="n"/>
      <c r="G48" s="26" t="n"/>
      <c r="H48" s="26" t="n"/>
    </row>
    <row r="49">
      <c r="A49" s="25" t="inlineStr">
        <is>
          <t>EV-045</t>
        </is>
      </c>
      <c r="B49" s="26" t="n"/>
      <c r="C49" s="26" t="n"/>
      <c r="D49" s="26" t="n"/>
      <c r="E49" s="26" t="n"/>
      <c r="F49" s="26" t="n"/>
      <c r="G49" s="26" t="n"/>
      <c r="H49" s="26" t="n"/>
    </row>
    <row r="50">
      <c r="A50" s="25" t="inlineStr">
        <is>
          <t>EV-046</t>
        </is>
      </c>
      <c r="B50" s="26" t="n"/>
      <c r="C50" s="26" t="n"/>
      <c r="D50" s="26" t="n"/>
      <c r="E50" s="26" t="n"/>
      <c r="F50" s="26" t="n"/>
      <c r="G50" s="26" t="n"/>
      <c r="H50" s="26" t="n"/>
    </row>
    <row r="51">
      <c r="A51" s="25" t="inlineStr">
        <is>
          <t>EV-047</t>
        </is>
      </c>
      <c r="B51" s="26" t="n"/>
      <c r="C51" s="26" t="n"/>
      <c r="D51" s="26" t="n"/>
      <c r="E51" s="26" t="n"/>
      <c r="F51" s="26" t="n"/>
      <c r="G51" s="26" t="n"/>
      <c r="H51" s="26" t="n"/>
    </row>
    <row r="52">
      <c r="A52" s="25" t="inlineStr">
        <is>
          <t>EV-048</t>
        </is>
      </c>
      <c r="B52" s="26" t="n"/>
      <c r="C52" s="26" t="n"/>
      <c r="D52" s="26" t="n"/>
      <c r="E52" s="26" t="n"/>
      <c r="F52" s="26" t="n"/>
      <c r="G52" s="26" t="n"/>
      <c r="H52" s="26" t="n"/>
    </row>
    <row r="53">
      <c r="A53" s="25" t="inlineStr">
        <is>
          <t>EV-049</t>
        </is>
      </c>
      <c r="B53" s="26" t="n"/>
      <c r="C53" s="26" t="n"/>
      <c r="D53" s="26" t="n"/>
      <c r="E53" s="26" t="n"/>
      <c r="F53" s="26" t="n"/>
      <c r="G53" s="26" t="n"/>
      <c r="H53" s="26" t="n"/>
    </row>
    <row r="54">
      <c r="A54" s="25" t="inlineStr">
        <is>
          <t>EV-050</t>
        </is>
      </c>
      <c r="B54" s="26" t="n"/>
      <c r="C54" s="26" t="n"/>
      <c r="D54" s="26" t="n"/>
      <c r="E54" s="26" t="n"/>
      <c r="F54" s="26" t="n"/>
      <c r="G54" s="26" t="n"/>
      <c r="H54" s="26" t="n"/>
    </row>
    <row r="55">
      <c r="A55" s="25" t="inlineStr">
        <is>
          <t>EV-051</t>
        </is>
      </c>
      <c r="B55" s="26" t="n"/>
      <c r="C55" s="26" t="n"/>
      <c r="D55" s="26" t="n"/>
      <c r="E55" s="26" t="n"/>
      <c r="F55" s="26" t="n"/>
      <c r="G55" s="26" t="n"/>
      <c r="H55" s="26" t="n"/>
    </row>
    <row r="56">
      <c r="A56" s="25" t="inlineStr">
        <is>
          <t>EV-052</t>
        </is>
      </c>
      <c r="B56" s="26" t="n"/>
      <c r="C56" s="26" t="n"/>
      <c r="D56" s="26" t="n"/>
      <c r="E56" s="26" t="n"/>
      <c r="F56" s="26" t="n"/>
      <c r="G56" s="26" t="n"/>
      <c r="H56" s="26" t="n"/>
    </row>
    <row r="57">
      <c r="A57" s="25" t="inlineStr">
        <is>
          <t>EV-053</t>
        </is>
      </c>
      <c r="B57" s="26" t="n"/>
      <c r="C57" s="26" t="n"/>
      <c r="D57" s="26" t="n"/>
      <c r="E57" s="26" t="n"/>
      <c r="F57" s="26" t="n"/>
      <c r="G57" s="26" t="n"/>
      <c r="H57" s="26" t="n"/>
    </row>
    <row r="58">
      <c r="A58" s="25" t="inlineStr">
        <is>
          <t>EV-054</t>
        </is>
      </c>
      <c r="B58" s="26" t="n"/>
      <c r="C58" s="26" t="n"/>
      <c r="D58" s="26" t="n"/>
      <c r="E58" s="26" t="n"/>
      <c r="F58" s="26" t="n"/>
      <c r="G58" s="26" t="n"/>
      <c r="H58" s="26" t="n"/>
    </row>
    <row r="59">
      <c r="A59" s="25" t="inlineStr">
        <is>
          <t>EV-055</t>
        </is>
      </c>
      <c r="B59" s="26" t="n"/>
      <c r="C59" s="26" t="n"/>
      <c r="D59" s="26" t="n"/>
      <c r="E59" s="26" t="n"/>
      <c r="F59" s="26" t="n"/>
      <c r="G59" s="26" t="n"/>
      <c r="H59" s="26" t="n"/>
    </row>
    <row r="60">
      <c r="A60" s="25" t="inlineStr">
        <is>
          <t>EV-056</t>
        </is>
      </c>
      <c r="B60" s="26" t="n"/>
      <c r="C60" s="26" t="n"/>
      <c r="D60" s="26" t="n"/>
      <c r="E60" s="26" t="n"/>
      <c r="F60" s="26" t="n"/>
      <c r="G60" s="26" t="n"/>
      <c r="H60" s="26" t="n"/>
    </row>
    <row r="61">
      <c r="A61" s="25" t="inlineStr">
        <is>
          <t>EV-057</t>
        </is>
      </c>
      <c r="B61" s="26" t="n"/>
      <c r="C61" s="26" t="n"/>
      <c r="D61" s="26" t="n"/>
      <c r="E61" s="26" t="n"/>
      <c r="F61" s="26" t="n"/>
      <c r="G61" s="26" t="n"/>
      <c r="H61" s="26" t="n"/>
    </row>
    <row r="62">
      <c r="A62" s="25" t="inlineStr">
        <is>
          <t>EV-058</t>
        </is>
      </c>
      <c r="B62" s="26" t="n"/>
      <c r="C62" s="26" t="n"/>
      <c r="D62" s="26" t="n"/>
      <c r="E62" s="26" t="n"/>
      <c r="F62" s="26" t="n"/>
      <c r="G62" s="26" t="n"/>
      <c r="H62" s="26" t="n"/>
    </row>
    <row r="63">
      <c r="A63" s="25" t="inlineStr">
        <is>
          <t>EV-059</t>
        </is>
      </c>
      <c r="B63" s="26" t="n"/>
      <c r="C63" s="26" t="n"/>
      <c r="D63" s="26" t="n"/>
      <c r="E63" s="26" t="n"/>
      <c r="F63" s="26" t="n"/>
      <c r="G63" s="26" t="n"/>
      <c r="H63" s="26" t="n"/>
    </row>
    <row r="64">
      <c r="A64" s="25" t="inlineStr">
        <is>
          <t>EV-060</t>
        </is>
      </c>
      <c r="B64" s="26" t="n"/>
      <c r="C64" s="26" t="n"/>
      <c r="D64" s="26" t="n"/>
      <c r="E64" s="26" t="n"/>
      <c r="F64" s="26" t="n"/>
      <c r="G64" s="26" t="n"/>
      <c r="H64" s="26" t="n"/>
    </row>
    <row r="65">
      <c r="A65" s="25" t="inlineStr">
        <is>
          <t>EV-061</t>
        </is>
      </c>
      <c r="B65" s="26" t="n"/>
      <c r="C65" s="26" t="n"/>
      <c r="D65" s="26" t="n"/>
      <c r="E65" s="26" t="n"/>
      <c r="F65" s="26" t="n"/>
      <c r="G65" s="26" t="n"/>
      <c r="H65" s="26" t="n"/>
    </row>
    <row r="66">
      <c r="A66" s="25" t="inlineStr">
        <is>
          <t>EV-062</t>
        </is>
      </c>
      <c r="B66" s="26" t="n"/>
      <c r="C66" s="26" t="n"/>
      <c r="D66" s="26" t="n"/>
      <c r="E66" s="26" t="n"/>
      <c r="F66" s="26" t="n"/>
      <c r="G66" s="26" t="n"/>
      <c r="H66" s="26" t="n"/>
    </row>
    <row r="67">
      <c r="A67" s="25" t="inlineStr">
        <is>
          <t>EV-063</t>
        </is>
      </c>
      <c r="B67" s="26" t="n"/>
      <c r="C67" s="26" t="n"/>
      <c r="D67" s="26" t="n"/>
      <c r="E67" s="26" t="n"/>
      <c r="F67" s="26" t="n"/>
      <c r="G67" s="26" t="n"/>
      <c r="H67" s="26" t="n"/>
    </row>
    <row r="68">
      <c r="A68" s="25" t="inlineStr">
        <is>
          <t>EV-064</t>
        </is>
      </c>
      <c r="B68" s="26" t="n"/>
      <c r="C68" s="26" t="n"/>
      <c r="D68" s="26" t="n"/>
      <c r="E68" s="26" t="n"/>
      <c r="F68" s="26" t="n"/>
      <c r="G68" s="26" t="n"/>
      <c r="H68" s="26" t="n"/>
    </row>
    <row r="69">
      <c r="A69" s="25" t="inlineStr">
        <is>
          <t>EV-065</t>
        </is>
      </c>
      <c r="B69" s="26" t="n"/>
      <c r="C69" s="26" t="n"/>
      <c r="D69" s="26" t="n"/>
      <c r="E69" s="26" t="n"/>
      <c r="F69" s="26" t="n"/>
      <c r="G69" s="26" t="n"/>
      <c r="H69" s="26" t="n"/>
    </row>
    <row r="70">
      <c r="A70" s="25" t="inlineStr">
        <is>
          <t>EV-066</t>
        </is>
      </c>
      <c r="B70" s="26" t="n"/>
      <c r="C70" s="26" t="n"/>
      <c r="D70" s="26" t="n"/>
      <c r="E70" s="26" t="n"/>
      <c r="F70" s="26" t="n"/>
      <c r="G70" s="26" t="n"/>
      <c r="H70" s="26" t="n"/>
    </row>
    <row r="71">
      <c r="A71" s="25" t="inlineStr">
        <is>
          <t>EV-067</t>
        </is>
      </c>
      <c r="B71" s="26" t="n"/>
      <c r="C71" s="26" t="n"/>
      <c r="D71" s="26" t="n"/>
      <c r="E71" s="26" t="n"/>
      <c r="F71" s="26" t="n"/>
      <c r="G71" s="26" t="n"/>
      <c r="H71" s="26" t="n"/>
    </row>
    <row r="72">
      <c r="A72" s="25" t="inlineStr">
        <is>
          <t>EV-068</t>
        </is>
      </c>
      <c r="B72" s="26" t="n"/>
      <c r="C72" s="26" t="n"/>
      <c r="D72" s="26" t="n"/>
      <c r="E72" s="26" t="n"/>
      <c r="F72" s="26" t="n"/>
      <c r="G72" s="26" t="n"/>
      <c r="H72" s="26" t="n"/>
    </row>
    <row r="73">
      <c r="A73" s="25" t="inlineStr">
        <is>
          <t>EV-069</t>
        </is>
      </c>
      <c r="B73" s="26" t="n"/>
      <c r="C73" s="26" t="n"/>
      <c r="D73" s="26" t="n"/>
      <c r="E73" s="26" t="n"/>
      <c r="F73" s="26" t="n"/>
      <c r="G73" s="26" t="n"/>
      <c r="H73" s="26" t="n"/>
    </row>
    <row r="74">
      <c r="A74" s="25" t="inlineStr">
        <is>
          <t>EV-070</t>
        </is>
      </c>
      <c r="B74" s="26" t="n"/>
      <c r="C74" s="26" t="n"/>
      <c r="D74" s="26" t="n"/>
      <c r="E74" s="26" t="n"/>
      <c r="F74" s="26" t="n"/>
      <c r="G74" s="26" t="n"/>
      <c r="H74" s="26" t="n"/>
    </row>
    <row r="75">
      <c r="A75" s="25" t="inlineStr">
        <is>
          <t>EV-071</t>
        </is>
      </c>
      <c r="B75" s="26" t="n"/>
      <c r="C75" s="26" t="n"/>
      <c r="D75" s="26" t="n"/>
      <c r="E75" s="26" t="n"/>
      <c r="F75" s="26" t="n"/>
      <c r="G75" s="26" t="n"/>
      <c r="H75" s="26" t="n"/>
    </row>
    <row r="76">
      <c r="A76" s="25" t="inlineStr">
        <is>
          <t>EV-072</t>
        </is>
      </c>
      <c r="B76" s="26" t="n"/>
      <c r="C76" s="26" t="n"/>
      <c r="D76" s="26" t="n"/>
      <c r="E76" s="26" t="n"/>
      <c r="F76" s="26" t="n"/>
      <c r="G76" s="26" t="n"/>
      <c r="H76" s="26" t="n"/>
    </row>
    <row r="77">
      <c r="A77" s="25" t="inlineStr">
        <is>
          <t>EV-073</t>
        </is>
      </c>
      <c r="B77" s="26" t="n"/>
      <c r="C77" s="26" t="n"/>
      <c r="D77" s="26" t="n"/>
      <c r="E77" s="26" t="n"/>
      <c r="F77" s="26" t="n"/>
      <c r="G77" s="26" t="n"/>
      <c r="H77" s="26" t="n"/>
    </row>
    <row r="78">
      <c r="A78" s="25" t="inlineStr">
        <is>
          <t>EV-074</t>
        </is>
      </c>
      <c r="B78" s="26" t="n"/>
      <c r="C78" s="26" t="n"/>
      <c r="D78" s="26" t="n"/>
      <c r="E78" s="26" t="n"/>
      <c r="F78" s="26" t="n"/>
      <c r="G78" s="26" t="n"/>
      <c r="H78" s="26" t="n"/>
    </row>
    <row r="79">
      <c r="A79" s="25" t="inlineStr">
        <is>
          <t>EV-075</t>
        </is>
      </c>
      <c r="B79" s="26" t="n"/>
      <c r="C79" s="26" t="n"/>
      <c r="D79" s="26" t="n"/>
      <c r="E79" s="26" t="n"/>
      <c r="F79" s="26" t="n"/>
      <c r="G79" s="26" t="n"/>
      <c r="H79" s="26" t="n"/>
    </row>
    <row r="80">
      <c r="A80" s="25" t="inlineStr">
        <is>
          <t>EV-076</t>
        </is>
      </c>
      <c r="B80" s="26" t="n"/>
      <c r="C80" s="26" t="n"/>
      <c r="D80" s="26" t="n"/>
      <c r="E80" s="26" t="n"/>
      <c r="F80" s="26" t="n"/>
      <c r="G80" s="26" t="n"/>
      <c r="H80" s="26" t="n"/>
    </row>
    <row r="81">
      <c r="A81" s="25" t="inlineStr">
        <is>
          <t>EV-077</t>
        </is>
      </c>
      <c r="B81" s="26" t="n"/>
      <c r="C81" s="26" t="n"/>
      <c r="D81" s="26" t="n"/>
      <c r="E81" s="26" t="n"/>
      <c r="F81" s="26" t="n"/>
      <c r="G81" s="26" t="n"/>
      <c r="H81" s="26" t="n"/>
    </row>
    <row r="82">
      <c r="A82" s="25" t="inlineStr">
        <is>
          <t>EV-078</t>
        </is>
      </c>
      <c r="B82" s="26" t="n"/>
      <c r="C82" s="26" t="n"/>
      <c r="D82" s="26" t="n"/>
      <c r="E82" s="26" t="n"/>
      <c r="F82" s="26" t="n"/>
      <c r="G82" s="26" t="n"/>
      <c r="H82" s="26" t="n"/>
    </row>
    <row r="83">
      <c r="A83" s="25" t="inlineStr">
        <is>
          <t>EV-079</t>
        </is>
      </c>
      <c r="B83" s="26" t="n"/>
      <c r="C83" s="26" t="n"/>
      <c r="D83" s="26" t="n"/>
      <c r="E83" s="26" t="n"/>
      <c r="F83" s="26" t="n"/>
      <c r="G83" s="26" t="n"/>
      <c r="H83" s="26" t="n"/>
    </row>
    <row r="84">
      <c r="A84" s="25" t="inlineStr">
        <is>
          <t>EV-080</t>
        </is>
      </c>
      <c r="B84" s="26" t="n"/>
      <c r="C84" s="26" t="n"/>
      <c r="D84" s="26" t="n"/>
      <c r="E84" s="26" t="n"/>
      <c r="F84" s="26" t="n"/>
      <c r="G84" s="26" t="n"/>
      <c r="H84" s="26" t="n"/>
    </row>
    <row r="85">
      <c r="A85" s="25" t="inlineStr">
        <is>
          <t>EV-081</t>
        </is>
      </c>
      <c r="B85" s="26" t="n"/>
      <c r="C85" s="26" t="n"/>
      <c r="D85" s="26" t="n"/>
      <c r="E85" s="26" t="n"/>
      <c r="F85" s="26" t="n"/>
      <c r="G85" s="26" t="n"/>
      <c r="H85" s="26" t="n"/>
    </row>
    <row r="86">
      <c r="A86" s="25" t="inlineStr">
        <is>
          <t>EV-082</t>
        </is>
      </c>
      <c r="B86" s="26" t="n"/>
      <c r="C86" s="26" t="n"/>
      <c r="D86" s="26" t="n"/>
      <c r="E86" s="26" t="n"/>
      <c r="F86" s="26" t="n"/>
      <c r="G86" s="26" t="n"/>
      <c r="H86" s="26" t="n"/>
    </row>
    <row r="87">
      <c r="A87" s="25" t="inlineStr">
        <is>
          <t>EV-083</t>
        </is>
      </c>
      <c r="B87" s="26" t="n"/>
      <c r="C87" s="26" t="n"/>
      <c r="D87" s="26" t="n"/>
      <c r="E87" s="26" t="n"/>
      <c r="F87" s="26" t="n"/>
      <c r="G87" s="26" t="n"/>
      <c r="H87" s="26" t="n"/>
    </row>
    <row r="88">
      <c r="A88" s="25" t="inlineStr">
        <is>
          <t>EV-084</t>
        </is>
      </c>
      <c r="B88" s="26" t="n"/>
      <c r="C88" s="26" t="n"/>
      <c r="D88" s="26" t="n"/>
      <c r="E88" s="26" t="n"/>
      <c r="F88" s="26" t="n"/>
      <c r="G88" s="26" t="n"/>
      <c r="H88" s="26" t="n"/>
    </row>
    <row r="89">
      <c r="A89" s="25" t="inlineStr">
        <is>
          <t>EV-085</t>
        </is>
      </c>
      <c r="B89" s="26" t="n"/>
      <c r="C89" s="26" t="n"/>
      <c r="D89" s="26" t="n"/>
      <c r="E89" s="26" t="n"/>
      <c r="F89" s="26" t="n"/>
      <c r="G89" s="26" t="n"/>
      <c r="H89" s="26" t="n"/>
    </row>
    <row r="90">
      <c r="A90" s="25" t="inlineStr">
        <is>
          <t>EV-086</t>
        </is>
      </c>
      <c r="B90" s="26" t="n"/>
      <c r="C90" s="26" t="n"/>
      <c r="D90" s="26" t="n"/>
      <c r="E90" s="26" t="n"/>
      <c r="F90" s="26" t="n"/>
      <c r="G90" s="26" t="n"/>
      <c r="H90" s="26" t="n"/>
    </row>
    <row r="91">
      <c r="A91" s="25" t="inlineStr">
        <is>
          <t>EV-087</t>
        </is>
      </c>
      <c r="B91" s="26" t="n"/>
      <c r="C91" s="26" t="n"/>
      <c r="D91" s="26" t="n"/>
      <c r="E91" s="26" t="n"/>
      <c r="F91" s="26" t="n"/>
      <c r="G91" s="26" t="n"/>
      <c r="H91" s="26" t="n"/>
    </row>
    <row r="92">
      <c r="A92" s="25" t="inlineStr">
        <is>
          <t>EV-088</t>
        </is>
      </c>
      <c r="B92" s="26" t="n"/>
      <c r="C92" s="26" t="n"/>
      <c r="D92" s="26" t="n"/>
      <c r="E92" s="26" t="n"/>
      <c r="F92" s="26" t="n"/>
      <c r="G92" s="26" t="n"/>
      <c r="H92" s="26" t="n"/>
    </row>
    <row r="93">
      <c r="A93" s="25" t="inlineStr">
        <is>
          <t>EV-089</t>
        </is>
      </c>
      <c r="B93" s="26" t="n"/>
      <c r="C93" s="26" t="n"/>
      <c r="D93" s="26" t="n"/>
      <c r="E93" s="26" t="n"/>
      <c r="F93" s="26" t="n"/>
      <c r="G93" s="26" t="n"/>
      <c r="H93" s="26" t="n"/>
    </row>
    <row r="94">
      <c r="A94" s="25" t="inlineStr">
        <is>
          <t>EV-090</t>
        </is>
      </c>
      <c r="B94" s="26" t="n"/>
      <c r="C94" s="26" t="n"/>
      <c r="D94" s="26" t="n"/>
      <c r="E94" s="26" t="n"/>
      <c r="F94" s="26" t="n"/>
      <c r="G94" s="26" t="n"/>
      <c r="H94" s="26" t="n"/>
    </row>
    <row r="95">
      <c r="A95" s="25" t="inlineStr">
        <is>
          <t>EV-091</t>
        </is>
      </c>
      <c r="B95" s="26" t="n"/>
      <c r="C95" s="26" t="n"/>
      <c r="D95" s="26" t="n"/>
      <c r="E95" s="26" t="n"/>
      <c r="F95" s="26" t="n"/>
      <c r="G95" s="26" t="n"/>
      <c r="H95" s="26" t="n"/>
    </row>
    <row r="96">
      <c r="A96" s="25" t="inlineStr">
        <is>
          <t>EV-092</t>
        </is>
      </c>
      <c r="B96" s="26" t="n"/>
      <c r="C96" s="26" t="n"/>
      <c r="D96" s="26" t="n"/>
      <c r="E96" s="26" t="n"/>
      <c r="F96" s="26" t="n"/>
      <c r="G96" s="26" t="n"/>
      <c r="H96" s="26" t="n"/>
    </row>
    <row r="97">
      <c r="A97" s="25" t="inlineStr">
        <is>
          <t>EV-093</t>
        </is>
      </c>
      <c r="B97" s="26" t="n"/>
      <c r="C97" s="26" t="n"/>
      <c r="D97" s="26" t="n"/>
      <c r="E97" s="26" t="n"/>
      <c r="F97" s="26" t="n"/>
      <c r="G97" s="26" t="n"/>
      <c r="H97" s="26" t="n"/>
    </row>
    <row r="98">
      <c r="A98" s="25" t="inlineStr">
        <is>
          <t>EV-094</t>
        </is>
      </c>
      <c r="B98" s="26" t="n"/>
      <c r="C98" s="26" t="n"/>
      <c r="D98" s="26" t="n"/>
      <c r="E98" s="26" t="n"/>
      <c r="F98" s="26" t="n"/>
      <c r="G98" s="26" t="n"/>
      <c r="H98" s="26" t="n"/>
    </row>
    <row r="99">
      <c r="A99" s="25" t="inlineStr">
        <is>
          <t>EV-095</t>
        </is>
      </c>
      <c r="B99" s="26" t="n"/>
      <c r="C99" s="26" t="n"/>
      <c r="D99" s="26" t="n"/>
      <c r="E99" s="26" t="n"/>
      <c r="F99" s="26" t="n"/>
      <c r="G99" s="26" t="n"/>
      <c r="H99" s="26" t="n"/>
    </row>
    <row r="100">
      <c r="A100" s="25" t="inlineStr">
        <is>
          <t>EV-096</t>
        </is>
      </c>
      <c r="B100" s="26" t="n"/>
      <c r="C100" s="26" t="n"/>
      <c r="D100" s="26" t="n"/>
      <c r="E100" s="26" t="n"/>
      <c r="F100" s="26" t="n"/>
      <c r="G100" s="26" t="n"/>
      <c r="H100" s="26" t="n"/>
    </row>
    <row r="101">
      <c r="A101" s="25" t="inlineStr">
        <is>
          <t>EV-097</t>
        </is>
      </c>
      <c r="B101" s="26" t="n"/>
      <c r="C101" s="26" t="n"/>
      <c r="D101" s="26" t="n"/>
      <c r="E101" s="26" t="n"/>
      <c r="F101" s="26" t="n"/>
      <c r="G101" s="26" t="n"/>
      <c r="H101" s="26" t="n"/>
    </row>
    <row r="102">
      <c r="A102" s="25" t="inlineStr">
        <is>
          <t>EV-098</t>
        </is>
      </c>
      <c r="B102" s="26" t="n"/>
      <c r="C102" s="26" t="n"/>
      <c r="D102" s="26" t="n"/>
      <c r="E102" s="26" t="n"/>
      <c r="F102" s="26" t="n"/>
      <c r="G102" s="26" t="n"/>
      <c r="H102" s="26" t="n"/>
    </row>
    <row r="103">
      <c r="A103" s="25" t="inlineStr">
        <is>
          <t>EV-099</t>
        </is>
      </c>
      <c r="B103" s="26" t="n"/>
      <c r="C103" s="26" t="n"/>
      <c r="D103" s="26" t="n"/>
      <c r="E103" s="26" t="n"/>
      <c r="F103" s="26" t="n"/>
      <c r="G103" s="26" t="n"/>
      <c r="H103" s="26" t="n"/>
    </row>
    <row r="104">
      <c r="A104" s="25" t="inlineStr">
        <is>
          <t>EV-100</t>
        </is>
      </c>
      <c r="B104" s="26" t="n"/>
      <c r="C104" s="26" t="n"/>
      <c r="D104" s="26" t="n"/>
      <c r="E104" s="26" t="n"/>
      <c r="F104" s="26" t="n"/>
      <c r="G104" s="26" t="n"/>
      <c r="H104"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1" t="inlineStr">
        <is>
          <t>CONFIGURATION MONITORING — SUMMARY DASHBOARD</t>
        </is>
      </c>
    </row>
    <row r="2">
      <c r="A2" s="27" t="inlineStr">
        <is>
          <t>Executive summary of configuration monitoring coverage, drift detection, and alert quality</t>
        </is>
      </c>
    </row>
    <row r="4" ht="20" customHeight="1">
      <c r="A4" s="28" t="inlineStr">
        <is>
          <t>TABLE 1 — MONITORING COMPLIANCE ASSESSMENT BY AREA</t>
        </is>
      </c>
    </row>
    <row r="5" ht="18" customHeight="1">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Monitoring Coverage Register</t>
        </is>
      </c>
      <c r="B6" s="31">
        <f>COUNTA('Monitoring Coverage Register'!A5:A54)</f>
        <v/>
      </c>
      <c r="C6" s="31">
        <f>COUNTIF('Monitoring Coverage Register'!G5:G54,"✅ Monitored")</f>
        <v/>
      </c>
      <c r="D6" s="31">
        <f>COUNTIF('Monitoring Coverage Register'!G5:G54,"⚠️ Partially Monitored")</f>
        <v/>
      </c>
      <c r="E6" s="31">
        <f>COUNTIF('Monitoring Coverage Register'!G5:G54,"❌ Not Monitored")</f>
        <v/>
      </c>
      <c r="F6" s="31">
        <f>COUNTIF('Monitoring Coverage Register'!G5:G54,"➖ Excluded")</f>
        <v/>
      </c>
      <c r="G6" s="32">
        <f>IF((B6-F6)=0,0,C6/(B6-F6))</f>
        <v/>
      </c>
    </row>
    <row r="7">
      <c r="A7" s="30" t="inlineStr">
        <is>
          <t>Drift Detection Log</t>
        </is>
      </c>
      <c r="B7" s="31">
        <f>COUNTA('Drift Detection Log'!A5:A54)</f>
        <v/>
      </c>
      <c r="C7" s="31">
        <f>COUNTIF('Drift Detection Log'!O5:O54,"✅ Remediated")+COUNTIF('Drift Detection Log'!O5:O54,"✔️ Closed")</f>
        <v/>
      </c>
      <c r="D7" s="31">
        <f>COUNTIF('Drift Detection Log'!O5:O54,"⏳ Under Investigation")+COUNTIF('Drift Detection Log'!O5:O54,"⏳ Remediation In Progress")</f>
        <v/>
      </c>
      <c r="E7" s="31">
        <f>COUNTIF('Drift Detection Log'!O5:O54,"⚠️ Detected")</f>
        <v/>
      </c>
      <c r="F7" s="31">
        <f>COUNTIF('Drift Detection Log'!O5:O54,"➖ False Positive")</f>
        <v/>
      </c>
      <c r="G7" s="32">
        <f>IF((B7-F7)=0,0,C7/(B7-F7))</f>
        <v/>
      </c>
    </row>
    <row r="8">
      <c r="A8" s="30" t="inlineStr">
        <is>
          <t>Monitoring Tool Inventory</t>
        </is>
      </c>
      <c r="B8" s="31">
        <f>COUNTA('Monitoring Tool Inventory'!A5:A54)</f>
        <v/>
      </c>
      <c r="C8" s="31">
        <f>COUNTIF('Monitoring Tool Inventory'!H5:H54,"✅ Active")</f>
        <v/>
      </c>
      <c r="D8" s="31">
        <f>COUNTIF('Monitoring Tool Inventory'!H5:H54,"⚠️ Degraded")+COUNTIF('Monitoring Tool Inventory'!H5:H54,"Pilot")</f>
        <v/>
      </c>
      <c r="E8" s="31">
        <f>COUNTIF('Monitoring Tool Inventory'!H5:H54,"❌ Offline")</f>
        <v/>
      </c>
      <c r="F8" s="31">
        <f>COUNTIF('Monitoring Tool Inventory'!H5:H54,"⏸️ Decommissioned")</f>
        <v/>
      </c>
      <c r="G8" s="32">
        <f>IF((B8-F8)=0,0,C8/(B8-F8))</f>
        <v/>
      </c>
    </row>
    <row r="9">
      <c r="A9" s="30" t="inlineStr">
        <is>
          <t>False Positive Register</t>
        </is>
      </c>
      <c r="B9" s="31">
        <f>COUNTA('False Positive Register'!A5:A54)</f>
        <v/>
      </c>
      <c r="C9" s="31">
        <f>COUNTIF('False Positive Register'!N5:N54,"Not Seen Again")</f>
        <v/>
      </c>
      <c r="D9" s="31">
        <f>COUNTIF('False Positive Register'!N5:N54,"Monitoring")+COUNTIF('False Positive Register'!N5:N54,"Recurred Once")</f>
        <v/>
      </c>
      <c r="E9" s="31">
        <f>COUNTIF('False Positive Register'!N5:N54,"Recurring (Needs Further Tuning)")</f>
        <v/>
      </c>
      <c r="F9" s="31">
        <f>0</f>
        <v/>
      </c>
      <c r="G9" s="32">
        <f>IF((B9-F9)=0,0,C9/(B9-F9))</f>
        <v/>
      </c>
    </row>
    <row r="10">
      <c r="A10" s="33" t="inlineStr">
        <is>
          <t>TOTAL</t>
        </is>
      </c>
      <c r="B10" s="29">
        <f>SUM(B6:B9)</f>
        <v/>
      </c>
      <c r="C10" s="29">
        <f>SUM(C6:C9)</f>
        <v/>
      </c>
      <c r="D10" s="29">
        <f>SUM(D6:D9)</f>
        <v/>
      </c>
      <c r="E10" s="29">
        <f>SUM(E6:E9)</f>
        <v/>
      </c>
      <c r="F10" s="29">
        <f>SUM(F6:F9)</f>
        <v/>
      </c>
      <c r="G10" s="34">
        <f>IF((B10-F10)=0,0,C10/(B10-F10))</f>
        <v/>
      </c>
    </row>
    <row r="12">
      <c r="A12" s="28" t="inlineStr">
        <is>
          <t>TABLE 2 — KEY MONITORING PERFORMANCE INDICATORS</t>
        </is>
      </c>
    </row>
    <row r="13">
      <c r="A13" s="29" t="inlineStr">
        <is>
          <t>KPI</t>
        </is>
      </c>
      <c r="B13" s="29" t="inlineStr">
        <is>
          <t>Value</t>
        </is>
      </c>
      <c r="C13" s="29" t="inlineStr">
        <is>
          <t>Target</t>
        </is>
      </c>
      <c r="D13" s="29" t="inlineStr">
        <is>
          <t>Notes</t>
        </is>
      </c>
    </row>
    <row r="14">
      <c r="A14" s="35" t="inlineStr">
        <is>
          <t>Overall Monitoring Coverage %</t>
        </is>
      </c>
      <c r="B14" s="32">
        <f>IF(B6=0,0,C6/B6)</f>
        <v/>
      </c>
      <c r="C14" s="36" t="inlineStr">
        <is>
          <t>≥85%</t>
        </is>
      </c>
      <c r="D14" s="37" t="inlineStr">
        <is>
          <t>% of inventoried assets actively monitored</t>
        </is>
      </c>
    </row>
    <row r="15">
      <c r="A15" s="35" t="inlineStr">
        <is>
          <t>Active Monitoring Tools</t>
        </is>
      </c>
      <c r="B15" s="31">
        <f>C8</f>
        <v/>
      </c>
      <c r="C15" s="36" t="inlineStr">
        <is>
          <t>All tools active</t>
        </is>
      </c>
      <c r="D15" s="37" t="inlineStr">
        <is>
          <t>Tools in ✅ Active status</t>
        </is>
      </c>
    </row>
    <row r="16">
      <c r="A16" s="35" t="inlineStr">
        <is>
          <t>Drift Incidents Remediated %</t>
        </is>
      </c>
      <c r="B16" s="32">
        <f>IF(B7=0,0,C7/B7)</f>
        <v/>
      </c>
      <c r="C16" s="36" t="inlineStr">
        <is>
          <t>≥95%</t>
        </is>
      </c>
      <c r="D16" s="37" t="inlineStr">
        <is>
          <t>% of logged drift incidents resolved</t>
        </is>
      </c>
    </row>
    <row r="17">
      <c r="A17" s="35" t="inlineStr">
        <is>
          <t>False Positive Rate %</t>
        </is>
      </c>
      <c r="B17" s="32">
        <f>IF(B9=0,0,(C9+D9)/B9)</f>
        <v/>
      </c>
      <c r="C17" s="36" t="inlineStr">
        <is>
          <t>&lt;10%</t>
        </is>
      </c>
      <c r="D17" s="37" t="inlineStr">
        <is>
          <t>% of FP register items resolved or one-time</t>
        </is>
      </c>
    </row>
    <row r="18">
      <c r="A18" s="35" t="inlineStr">
        <is>
          <t>Unauthorised Changes Detected</t>
        </is>
      </c>
      <c r="B18" s="31">
        <f>COUNTIF('Drift Detection Log'!K5:K54,"No (Unauthorised)")</f>
        <v/>
      </c>
      <c r="C18" s="36" t="inlineStr">
        <is>
          <t>Detect all</t>
        </is>
      </c>
      <c r="D18" s="37" t="inlineStr">
        <is>
          <t>Drift incidents with no authorised change ID</t>
        </is>
      </c>
    </row>
    <row r="19">
      <c r="A19" s="35" t="inlineStr">
        <is>
          <t>Open (Unresolved) Drift Incidents</t>
        </is>
      </c>
      <c r="B19" s="31">
        <f>COUNTIF('Drift Detection Log'!O5:O54,"⚠️ Detected")+COUNTIF('Drift Detection Log'!O5:O54,"⏳ Under Investigation")+COUNTIF('Drift Detection Log'!O5:O54,"⏳ Remediation In Progress")</f>
        <v/>
      </c>
      <c r="C19" s="36" t="inlineStr">
        <is>
          <t>0</t>
        </is>
      </c>
      <c r="D19" s="37" t="inlineStr">
        <is>
          <t>Drift incidents awaiting remediation</t>
        </is>
      </c>
    </row>
    <row r="22">
      <c r="A22" s="38" t="inlineStr">
        <is>
          <t>TABLE 3 — KEY FINDINGS AND RECOMMENDED ACTIONS</t>
        </is>
      </c>
    </row>
    <row r="23">
      <c r="A23" s="29" t="inlineStr">
        <is>
          <t>#</t>
        </is>
      </c>
      <c r="B23" s="29" t="inlineStr">
        <is>
          <t>Finding</t>
        </is>
      </c>
      <c r="C23" s="29" t="inlineStr">
        <is>
          <t>Priority</t>
        </is>
      </c>
      <c r="D23" s="29" t="inlineStr">
        <is>
          <t>Recommended Action</t>
        </is>
      </c>
      <c r="E23" s="39" t="n"/>
      <c r="F23" s="39" t="n"/>
      <c r="G23" s="40" t="n"/>
    </row>
    <row r="24" ht="45" customHeight="1">
      <c r="A24" s="41" t="inlineStr">
        <is>
          <t>1</t>
        </is>
      </c>
      <c r="B24" s="42" t="inlineStr">
        <is>
          <t>Monitoring Coverage Register — assets with status not '✅ Monitored' indicate gaps in coverage requiring immediate remediation</t>
        </is>
      </c>
      <c r="C24" s="43" t="inlineStr">
        <is>
          <t>Critical</t>
        </is>
      </c>
      <c r="D24" s="42" t="inlineStr">
        <is>
          <t>Investigate and deploy monitoring agents/tools for all unmonitored Critical and High assets within 30 days</t>
        </is>
      </c>
    </row>
    <row r="25" ht="45" customHeight="1">
      <c r="A25" s="41" t="inlineStr">
        <is>
          <t>2</t>
        </is>
      </c>
      <c r="B25" s="42" t="inlineStr">
        <is>
          <t>Drift Detection Log — open drift incidents ('⚠️ Detected') indicate unresolved configuration deviations that may represent security risk</t>
        </is>
      </c>
      <c r="C25" s="44" t="inlineStr">
        <is>
          <t>High</t>
        </is>
      </c>
      <c r="D25" s="42" t="inlineStr">
        <is>
          <t>Prioritise remediation of Critical and High severity drift incidents; ensure all incidents have assigned owners and target dates</t>
        </is>
      </c>
    </row>
    <row r="26" ht="45" customHeight="1">
      <c r="A26" s="41" t="inlineStr">
        <is>
          <t>3</t>
        </is>
      </c>
      <c r="B26" s="42" t="inlineStr">
        <is>
          <t>Monitoring Tool Inventory — tools in '⚠️ Degraded' or '❌ Offline' status create monitoring blind spots in asset coverage</t>
        </is>
      </c>
      <c r="C26" s="44" t="inlineStr">
        <is>
          <t>High</t>
        </is>
      </c>
      <c r="D26" s="42" t="inlineStr">
        <is>
          <t>Restore or replace degraded/offline tools; document coverage gaps and implement compensating controls until resolved</t>
        </is>
      </c>
    </row>
    <row r="27" ht="45" customHeight="1">
      <c r="A27" s="41" t="inlineStr">
        <is>
          <t>4</t>
        </is>
      </c>
      <c r="B27" s="42" t="inlineStr">
        <is>
          <t>False Positive Register — recurring false positives ('❌ Recurring') indicate baseline or tool configuration quality issues that reduce monitoring effectiveness</t>
        </is>
      </c>
      <c r="C27" s="45" t="inlineStr">
        <is>
          <t>Medium</t>
        </is>
      </c>
      <c r="D27" s="42" t="inlineStr">
        <is>
          <t>Review and update baselines to eliminate recurring false positives; document tuning actions and monitor for recurrence</t>
        </is>
      </c>
    </row>
  </sheetData>
  <mergeCells count="17">
    <mergeCell ref="D23:G23"/>
    <mergeCell ref="D18:G18"/>
    <mergeCell ref="A1:G1"/>
    <mergeCell ref="D17:G17"/>
    <mergeCell ref="D26:G26"/>
    <mergeCell ref="D25:G25"/>
    <mergeCell ref="A22:G22"/>
    <mergeCell ref="A12:G12"/>
    <mergeCell ref="A4:G4"/>
    <mergeCell ref="D16:G16"/>
    <mergeCell ref="D24:G24"/>
    <mergeCell ref="A2:G2"/>
    <mergeCell ref="D15:G15"/>
    <mergeCell ref="D19:G19"/>
    <mergeCell ref="D13:G13"/>
    <mergeCell ref="D27:G27"/>
    <mergeCell ref="D14:G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row>
    <row r="3">
      <c r="A3" s="47" t="inlineStr">
        <is>
          <t>ASSESSMENT SUMMARY</t>
        </is>
      </c>
    </row>
    <row r="4">
      <c r="A4" s="15" t="inlineStr">
        <is>
          <t>Document:</t>
        </is>
      </c>
      <c r="B4" s="6" t="inlineStr">
        <is>
          <t>ISMS-IMP-A.8.9.3 - Configuration Monitoring Assessment</t>
        </is>
      </c>
    </row>
    <row r="5">
      <c r="A5" s="15" t="inlineStr">
        <is>
          <t>Assessment Period:</t>
        </is>
      </c>
      <c r="B5" s="48" t="inlineStr"/>
    </row>
    <row r="6">
      <c r="A6" s="15" t="inlineStr">
        <is>
          <t>Overall Compliance:</t>
        </is>
      </c>
      <c r="B6" s="6">
        <f>'Monitor Effectiveness Metrics'!B7</f>
        <v/>
      </c>
    </row>
    <row r="7">
      <c r="A7" s="15" t="inlineStr">
        <is>
          <t>Assessment Status:</t>
        </is>
      </c>
      <c r="B7" s="48" t="inlineStr"/>
    </row>
    <row r="10">
      <c r="A10" s="47" t="inlineStr">
        <is>
          <t>COMPLETED BY (ASSESSOR)</t>
        </is>
      </c>
    </row>
    <row r="11">
      <c r="A11" s="15" t="inlineStr">
        <is>
          <t>Name:</t>
        </is>
      </c>
      <c r="B11" s="48" t="n"/>
    </row>
    <row r="12">
      <c r="A12" s="15" t="inlineStr">
        <is>
          <t>Title:</t>
        </is>
      </c>
      <c r="B12" s="48" t="n"/>
    </row>
    <row r="13">
      <c r="A13" s="15" t="inlineStr">
        <is>
          <t>Date:</t>
        </is>
      </c>
      <c r="B13" s="48" t="n"/>
    </row>
    <row r="14">
      <c r="A14" s="15" t="inlineStr">
        <is>
          <t>Signature:</t>
        </is>
      </c>
      <c r="B14" s="48" t="n"/>
    </row>
    <row r="15">
      <c r="A15" s="15" t="inlineStr">
        <is>
          <t>Comments:</t>
        </is>
      </c>
      <c r="B15" s="48" t="n"/>
    </row>
    <row r="17">
      <c r="A17" s="47" t="inlineStr">
        <is>
          <t>REVIEWED BY (INFORMATION SECURITY OFFICER)</t>
        </is>
      </c>
    </row>
    <row r="18">
      <c r="A18" s="15" t="inlineStr">
        <is>
          <t>Name:</t>
        </is>
      </c>
      <c r="B18" s="48" t="n"/>
    </row>
    <row r="19">
      <c r="A19" s="15" t="inlineStr">
        <is>
          <t>Title:</t>
        </is>
      </c>
      <c r="B19" s="48" t="n"/>
    </row>
    <row r="20">
      <c r="A20" s="15" t="inlineStr">
        <is>
          <t>Date:</t>
        </is>
      </c>
      <c r="B20" s="48" t="n"/>
    </row>
    <row r="21">
      <c r="A21" s="15" t="inlineStr">
        <is>
          <t>Signature:</t>
        </is>
      </c>
      <c r="B21" s="48" t="n"/>
    </row>
    <row r="22">
      <c r="A22" s="15" t="inlineStr">
        <is>
          <t>Comments:</t>
        </is>
      </c>
      <c r="B22" s="48" t="n"/>
    </row>
    <row r="24">
      <c r="A24" s="49" t="inlineStr">
        <is>
          <t>APPROVED BY (CISO)</t>
        </is>
      </c>
    </row>
    <row r="25">
      <c r="A25" s="15" t="inlineStr">
        <is>
          <t>Name:</t>
        </is>
      </c>
      <c r="B25" s="48" t="n"/>
    </row>
    <row r="26">
      <c r="A26" s="15" t="inlineStr">
        <is>
          <t>Title:</t>
        </is>
      </c>
      <c r="B26" s="48" t="n"/>
    </row>
    <row r="27">
      <c r="A27" s="15" t="inlineStr">
        <is>
          <t>Date:</t>
        </is>
      </c>
      <c r="B27" s="48" t="n"/>
    </row>
    <row r="28">
      <c r="A28" s="15" t="inlineStr">
        <is>
          <t>Signature:</t>
        </is>
      </c>
      <c r="B28" s="48" t="n"/>
    </row>
    <row r="29">
      <c r="A29" s="15" t="inlineStr">
        <is>
          <t>Comments:</t>
        </is>
      </c>
      <c r="B29" s="48" t="n"/>
    </row>
    <row r="31">
      <c r="A31" s="15" t="inlineStr">
        <is>
          <t>FINAL DECISION:</t>
        </is>
      </c>
      <c r="B31" s="48" t="n"/>
    </row>
    <row r="34">
      <c r="A34" s="47" t="inlineStr">
        <is>
          <t>NEXT REVIEW DETAILS</t>
        </is>
      </c>
    </row>
    <row r="35">
      <c r="A35" s="15" t="inlineStr">
        <is>
          <t>Next Review Date:</t>
        </is>
      </c>
      <c r="B35" s="48" t="n"/>
    </row>
    <row r="36">
      <c r="A36" s="15" t="inlineStr">
        <is>
          <t>Review Responsible:</t>
        </is>
      </c>
      <c r="B36" s="48" t="n"/>
    </row>
    <row r="37">
      <c r="A37" s="15" t="inlineStr">
        <is>
          <t>Special Considerations:</t>
        </is>
      </c>
      <c r="B37" s="48"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ISMS-IMP-A.8.9.3 — Monitoring</dc:title>
  <dc:description xmlns:dc="http://purl.org/dc/elements/1.1/">ISMS Implementation Workbook — ISMS-IMP-A.8.9.3</dc:description>
  <dc:subject xmlns:dc="http://purl.org/dc/elements/1.1/">ISO/IEC 27001:2022 — Control A.8.9: Configuration Management</dc:subject>
  <dcterms:created xmlns:dcterms="http://purl.org/dc/terms/" xmlns:xsi="http://www.w3.org/2001/XMLSchema-instance" xsi:type="dcterms:W3CDTF">2026-03-01T11:18:35Z</dcterms:created>
  <dcterms:modified xmlns:dcterms="http://purl.org/dc/terms/" xmlns:xsi="http://www.w3.org/2001/XMLSchema-instance" xsi:type="dcterms:W3CDTF">2026-03-01T10:18:35Z</dcterms:modified>
</cp:coreProperties>
</file>