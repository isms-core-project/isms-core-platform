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Hardening Standard Register" sheetId="2" state="visible" r:id="rId2"/>
    <sheet xmlns:r="http://schemas.openxmlformats.org/officeDocument/2006/relationships" name="Asset Type Hardening Matrix" sheetId="3" state="visible" r:id="rId3"/>
    <sheet xmlns:r="http://schemas.openxmlformats.org/officeDocument/2006/relationships" name="Asset Hardening Assessment" sheetId="4" state="visible" r:id="rId4"/>
    <sheet xmlns:r="http://schemas.openxmlformats.org/officeDocument/2006/relationships" name="Control Compliance Detail" sheetId="5" state="visible" r:id="rId5"/>
    <sheet xmlns:r="http://schemas.openxmlformats.org/officeDocument/2006/relationships" name="Exception Management" sheetId="6" state="visible" r:id="rId6"/>
    <sheet xmlns:r="http://schemas.openxmlformats.org/officeDocument/2006/relationships" name="Remediation Tracking" sheetId="7" state="visible" r:id="rId7"/>
    <sheet xmlns:r="http://schemas.openxmlformats.org/officeDocument/2006/relationships" name="Gap Prioritization"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calcPr calcId="124519" fullCalcOnLoad="1"/>
</workbook>
</file>

<file path=xl/styles.xml><?xml version="1.0" encoding="utf-8"?>
<styleSheet xmlns="http://schemas.openxmlformats.org/spreadsheetml/2006/main">
  <numFmts count="3">
    <numFmt numFmtId="164" formatCode="0.0%"/>
    <numFmt numFmtId="165" formatCode="DD.MM.YYYY"/>
    <numFmt numFmtId="166" formatCode="0.0"/>
  </numFmts>
  <fonts count="16">
    <font>
      <name val="Calibri"/>
      <family val="2"/>
      <color theme="1"/>
      <sz val="11"/>
      <scheme val="minor"/>
    </font>
    <font>
      <name val="Calibri"/>
      <b val="1"/>
      <color rgb="00FFFFFF"/>
      <sz val="14"/>
    </font>
    <font>
      <name val="Calibri"/>
      <b val="1"/>
      <sz val="12"/>
    </font>
    <font>
      <name val="Calibri"/>
      <b val="1"/>
    </font>
    <font>
      <name val="Calibri"/>
      <b val="1"/>
      <sz val="10"/>
    </font>
    <font>
      <name val="Calibri"/>
      <sz val="11"/>
    </font>
    <font>
      <name val="Calibri"/>
      <b val="1"/>
      <i val="1"/>
      <sz val="11"/>
    </font>
    <font>
      <i val="1"/>
    </font>
    <font>
      <name val="Calibri"/>
      <b val="1"/>
      <color rgb="00FFFFFF"/>
      <sz val="11"/>
    </font>
    <font>
      <color rgb="00808080"/>
    </font>
    <font>
      <name val="Calibri"/>
      <i val="1"/>
      <color rgb="00003366"/>
      <sz val="10"/>
    </font>
    <font>
      <name val="Calibri"/>
      <b val="1"/>
      <sz val="11"/>
    </font>
    <font>
      <name val="Calibri"/>
      <color rgb="000000FF"/>
      <sz val="11"/>
    </font>
    <font>
      <name val="Calibri"/>
      <i val="1"/>
      <color rgb="00666666"/>
      <sz val="10"/>
    </font>
    <font>
      <b val="1"/>
      <color rgb="00FFFFFF"/>
      <sz val="11"/>
    </font>
    <font>
      <b val="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4472C4"/>
        <bgColor rgb="004472C4"/>
      </patternFill>
    </fill>
    <fill>
      <patternFill patternType="solid">
        <fgColor rgb="00F2F2F2"/>
        <bgColor rgb="00F2F2F2"/>
      </patternFill>
    </fill>
    <fill>
      <patternFill patternType="solid">
        <fgColor rgb="00FFFFCC"/>
        <bgColor rgb="00FFFFCC"/>
      </patternFill>
    </fill>
    <fill>
      <patternFill patternType="solid">
        <fgColor rgb="00D9D9D9"/>
        <bgColor rgb="00D9D9D9"/>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5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xf>
    <xf numFmtId="0" fontId="1" fillId="8" borderId="1" applyAlignment="1" pivotButton="0" quotePrefix="0" xfId="0">
      <alignment horizontal="center" vertical="center" wrapText="1"/>
    </xf>
    <xf numFmtId="0" fontId="5" fillId="0" borderId="0" pivotButton="0" quotePrefix="0" xfId="0"/>
    <xf numFmtId="9" fontId="0" fillId="0" borderId="0" pivotButton="0" quotePrefix="0" xfId="0"/>
    <xf numFmtId="0" fontId="1" fillId="9" borderId="1" applyAlignment="1" pivotButton="0" quotePrefix="0" xfId="0">
      <alignment horizontal="center" vertical="center" wrapText="1"/>
    </xf>
    <xf numFmtId="0" fontId="6" fillId="10" borderId="0" applyAlignment="1" pivotButton="0" quotePrefix="0" xfId="0">
      <alignment horizontal="left" vertical="center" wrapText="1"/>
    </xf>
    <xf numFmtId="0" fontId="5"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5" fillId="0" borderId="1" applyAlignment="1" pivotButton="0" quotePrefix="0" xfId="0">
      <alignment horizontal="center" vertical="center" wrapText="1"/>
    </xf>
    <xf numFmtId="164" fontId="0" fillId="0" borderId="0" pivotButton="0" quotePrefix="0" xfId="0"/>
    <xf numFmtId="165" fontId="0" fillId="0" borderId="0" pivotButton="0" quotePrefix="0" xfId="0"/>
    <xf numFmtId="1" fontId="0" fillId="11" borderId="0" pivotButton="0" quotePrefix="0" xfId="0"/>
    <xf numFmtId="0" fontId="0" fillId="11" borderId="0" pivotButton="0" quotePrefix="0" xfId="0"/>
    <xf numFmtId="1" fontId="0" fillId="0" borderId="0" pivotButton="0" quotePrefix="0" xfId="0"/>
    <xf numFmtId="166" fontId="0" fillId="0" borderId="0" pivotButton="0" quotePrefix="0" xfId="0"/>
    <xf numFmtId="0" fontId="7" fillId="0" borderId="0" applyAlignment="1" pivotButton="0" quotePrefix="0" xfId="0">
      <alignment horizontal="left" vertical="center"/>
    </xf>
    <xf numFmtId="0" fontId="8" fillId="8" borderId="1" applyAlignment="1" pivotButton="0" quotePrefix="0" xfId="0">
      <alignment horizontal="center" vertical="center" wrapText="1"/>
    </xf>
    <xf numFmtId="0" fontId="9" fillId="11" borderId="0" pivotButton="0" quotePrefix="0" xfId="0"/>
    <xf numFmtId="0" fontId="0" fillId="11" borderId="1" applyAlignment="1" pivotButton="0" quotePrefix="0" xfId="0">
      <alignment horizontal="left" vertical="center" wrapText="1"/>
    </xf>
    <xf numFmtId="0" fontId="1" fillId="8" borderId="1" applyAlignment="1" pivotButton="0" quotePrefix="0" xfId="0">
      <alignment horizontal="center" vertical="center"/>
    </xf>
    <xf numFmtId="0" fontId="10" fillId="0" borderId="0" applyAlignment="1" pivotButton="0" quotePrefix="0" xfId="0">
      <alignment horizontal="left" vertical="center"/>
    </xf>
    <xf numFmtId="0" fontId="8" fillId="9" borderId="1" applyAlignment="1" pivotButton="0" quotePrefix="0" xfId="0">
      <alignment horizontal="center" vertical="center"/>
    </xf>
    <xf numFmtId="0" fontId="11" fillId="12" borderId="1" applyAlignment="1" pivotButton="0" quotePrefix="0" xfId="0">
      <alignment horizontal="center" vertical="center"/>
    </xf>
    <xf numFmtId="0" fontId="12" fillId="0" borderId="1" applyAlignment="1" pivotButton="0" quotePrefix="0" xfId="0">
      <alignment horizontal="left" vertical="center"/>
    </xf>
    <xf numFmtId="0" fontId="12" fillId="0" borderId="1" applyAlignment="1" pivotButton="0" quotePrefix="0" xfId="0">
      <alignment horizontal="center" vertical="center"/>
    </xf>
    <xf numFmtId="164" fontId="12" fillId="0" borderId="1" applyAlignment="1" pivotButton="0" quotePrefix="0" xfId="0">
      <alignment horizontal="center" vertical="center"/>
    </xf>
    <xf numFmtId="0" fontId="11" fillId="12" borderId="1" applyAlignment="1" pivotButton="0" quotePrefix="0" xfId="0">
      <alignment horizontal="left" vertical="center"/>
    </xf>
    <xf numFmtId="164" fontId="11" fillId="12" borderId="1" applyAlignment="1" pivotButton="0" quotePrefix="0" xfId="0">
      <alignment horizontal="center" vertical="center"/>
    </xf>
    <xf numFmtId="0" fontId="5" fillId="0" borderId="1" applyAlignment="1" pivotButton="0" quotePrefix="0" xfId="0">
      <alignment horizontal="left" vertical="center"/>
    </xf>
    <xf numFmtId="0" fontId="5" fillId="10" borderId="1" applyAlignment="1" pivotButton="0" quotePrefix="0" xfId="0">
      <alignment horizontal="center" vertical="center"/>
    </xf>
    <xf numFmtId="0" fontId="13" fillId="0" borderId="1" applyAlignment="1" pivotButton="0" quotePrefix="0" xfId="0">
      <alignment horizontal="left" vertical="center"/>
    </xf>
    <xf numFmtId="0" fontId="8" fillId="13" borderId="1" applyAlignment="1" pivotButton="0" quotePrefix="0" xfId="0">
      <alignment horizontal="left" vertical="center"/>
    </xf>
    <xf numFmtId="0" fontId="0" fillId="0" borderId="4" pivotButton="0" quotePrefix="0" xfId="0"/>
    <xf numFmtId="0" fontId="0" fillId="0" borderId="5" pivotButton="0" quotePrefix="0" xfId="0"/>
    <xf numFmtId="0" fontId="11" fillId="0" borderId="1" applyAlignment="1" pivotButton="0" quotePrefix="0" xfId="0">
      <alignment horizontal="center" vertical="center"/>
    </xf>
    <xf numFmtId="0" fontId="11" fillId="14" borderId="1" applyAlignment="1" pivotButton="0" quotePrefix="0" xfId="0">
      <alignment horizontal="center" vertical="center"/>
    </xf>
    <xf numFmtId="0" fontId="11" fillId="15" borderId="1" applyAlignment="1" pivotButton="0" quotePrefix="0" xfId="0">
      <alignment horizontal="center" vertical="center"/>
    </xf>
    <xf numFmtId="0" fontId="11" fillId="16" borderId="1" applyAlignment="1" pivotButton="0" quotePrefix="0" xfId="0">
      <alignment horizontal="center" vertical="center"/>
    </xf>
    <xf numFmtId="0" fontId="14" fillId="9" borderId="1" pivotButton="0" quotePrefix="0" xfId="0"/>
    <xf numFmtId="0" fontId="15" fillId="0" borderId="0" pivotButton="0" quotePrefix="0" xfId="0"/>
    <xf numFmtId="0" fontId="0" fillId="11" borderId="1" pivotButton="0" quotePrefix="0" xfId="0"/>
    <xf numFmtId="0" fontId="14" fillId="8" borderId="1" pivotButton="0" quotePrefix="0" xfId="0"/>
  </cellXfs>
  <cellStyles count="1">
    <cellStyle name="Normal" xfId="0" builtinId="0" hidden="0"/>
  </cellStyles>
  <dxfs count="11">
    <dxf>
      <font>
        <b val="1"/>
        <color rgb="00FFFFFF"/>
      </font>
      <fill>
        <patternFill patternType="solid">
          <fgColor rgb="00C00000"/>
          <bgColor rgb="00C00000"/>
        </patternFill>
      </fill>
    </dxf>
    <dxf>
      <fill>
        <patternFill patternType="solid">
          <fgColor rgb="00FFEB9C"/>
          <bgColor rgb="00FFEB9C"/>
        </patternFill>
      </fill>
    </dxf>
    <dxf>
      <fill>
        <patternFill patternType="solid">
          <fgColor rgb="00D9D9D9"/>
          <bgColor rgb="00D9D9D9"/>
        </patternFill>
      </fill>
    </dxf>
    <dxf>
      <fill>
        <patternFill patternType="solid">
          <fgColor rgb="00C6EFCE"/>
          <bgColor rgb="00C6EFCE"/>
        </patternFill>
      </fill>
    </dxf>
    <dxf>
      <fill>
        <patternFill patternType="solid">
          <fgColor rgb="00F2F2F2"/>
          <bgColor rgb="00F2F2F2"/>
        </patternFill>
      </fill>
    </dxf>
    <dxf>
      <fill>
        <patternFill patternType="solid">
          <fgColor rgb="00C00000"/>
          <bgColor rgb="00C00000"/>
        </patternFill>
      </fill>
    </dxf>
    <dxf>
      <font>
        <b val="1"/>
        <color rgb="00C00000"/>
      </font>
    </dxf>
    <dxf>
      <fill>
        <patternFill patternType="solid">
          <fgColor rgb="00FFC7CE"/>
          <bgColor rgb="00FFC7CE"/>
        </patternFill>
      </fill>
    </dxf>
    <dxf>
      <border>
        <left style="medium">
          <color rgb="00C00000"/>
        </left>
        <right style="medium">
          <color rgb="00C00000"/>
        </right>
        <top style="medium">
          <color rgb="00C00000"/>
        </top>
        <bottom style="medium">
          <color rgb="00C00000"/>
        </bottom>
      </border>
    </dxf>
    <dxf>
      <border>
        <left style="thin">
          <color rgb="00FFEB9C"/>
        </left>
        <right style="thin">
          <color rgb="00FFEB9C"/>
        </right>
        <top style="thin">
          <color rgb="00FFEB9C"/>
        </top>
        <bottom style="thin">
          <color rgb="00FFEB9C"/>
        </bottom>
      </border>
    </dxf>
    <dxf>
      <border>
        <left style="medium">
          <color rgb="00C6EFCE"/>
        </left>
        <right style="medium">
          <color rgb="00C6EFCE"/>
        </right>
        <top style="medium">
          <color rgb="00C6EFCE"/>
        </top>
        <bottom style="medium">
          <color rgb="00C6EFCE"/>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ISMS-IMP-A.8.9.4  -  Security Hardening Assessment
ISO/IEC 27001:2022 - Control A.8.9: Configuration Management</t>
        </is>
      </c>
    </row>
    <row r="3">
      <c r="A3" s="2" t="inlineStr">
        <is>
          <t>Document Information</t>
        </is>
      </c>
    </row>
    <row r="4">
      <c r="A4" s="3" t="inlineStr">
        <is>
          <t>Document ID</t>
        </is>
      </c>
      <c r="B4" t="inlineStr">
        <is>
          <t>ISMS-IMP-A.8.9.4</t>
        </is>
      </c>
    </row>
    <row r="5">
      <c r="A5" s="3" t="inlineStr">
        <is>
          <t>Workbook Title</t>
        </is>
      </c>
      <c r="B5" t="inlineStr">
        <is>
          <t>Security Hardening Assessment</t>
        </is>
      </c>
    </row>
    <row r="6">
      <c r="A6" s="3" t="inlineStr">
        <is>
          <t>Control Reference</t>
        </is>
      </c>
      <c r="B6" t="inlineStr">
        <is>
          <t>ISO/IEC 27001:2022 - Control A.8.9: Configuration Management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for applicable systems/services.</t>
        </is>
      </c>
    </row>
    <row r="14">
      <c r="A14" t="inlineStr">
        <is>
          <t>2. Use dropdown menus for standardised entries (Status, Remediation, etc.).</t>
        </is>
      </c>
    </row>
    <row r="15">
      <c r="A15" t="inlineStr">
        <is>
          <t>3. Fill in yellow-highlighted cells with your information.</t>
        </is>
      </c>
    </row>
    <row r="16">
      <c r="A16" t="inlineStr">
        <is>
          <t>4. If Status = Partial or Non-Compliant, complete the Exception/Deviation section.</t>
        </is>
      </c>
    </row>
    <row r="17">
      <c r="A17" t="inlineStr">
        <is>
          <t>5. Check all applicable items in the Compliance Checklist for each section.</t>
        </is>
      </c>
    </row>
    <row r="18">
      <c r="A18" t="inlineStr">
        <is>
          <t>6. Provide evidence location/path for each implementation entry.</t>
        </is>
      </c>
    </row>
    <row r="19">
      <c r="A19" t="inlineStr">
        <is>
          <t>7. Summary Dashboard auto-calculates compliance statistics.</t>
        </is>
      </c>
    </row>
    <row r="20">
      <c r="A20" t="inlineStr">
        <is>
          <t>8. Maintain the Evidence Register for audit traceability.</t>
        </is>
      </c>
    </row>
    <row r="21">
      <c r="A21" t="inlineStr">
        <is>
          <t>9. Obtain final approval and sign-off in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2"/>
  <sheetViews>
    <sheetView showGridLines="0" workbookViewId="0">
      <pane ySplit="2" topLeftCell="A3" activePane="bottomLeft" state="frozen"/>
      <selection pane="bottomLeft" activeCell="A1" sqref="A1"/>
    </sheetView>
  </sheetViews>
  <sheetFormatPr baseColWidth="8" defaultRowHeight="15"/>
  <cols>
    <col width="12" customWidth="1" min="1" max="1"/>
    <col width="35" customWidth="1" min="2" max="2"/>
    <col width="25" customWidth="1" min="3" max="3"/>
    <col width="15" customWidth="1" min="4" max="4"/>
    <col width="25" customWidth="1" min="5" max="5"/>
    <col width="30" customWidth="1" min="6" max="6"/>
    <col width="15" customWidth="1" min="7" max="7"/>
    <col width="18" customWidth="1" min="8" max="8"/>
    <col width="25" customWidth="1" min="9" max="9"/>
    <col width="14" customWidth="1" min="10" max="10"/>
    <col width="18" customWidth="1" min="11" max="11"/>
    <col width="18" customWidth="1" min="12" max="12"/>
    <col width="18" customWidth="1" min="13" max="13"/>
    <col width="18" customWidth="1" min="14" max="14"/>
    <col width="25" customWidth="1" min="15" max="15"/>
    <col width="30" customWidth="1" min="16" max="16"/>
    <col width="40" customWidth="1" min="17" max="17"/>
    <col width="12" customWidth="1" min="18" max="18"/>
  </cols>
  <sheetData>
    <row r="1" ht="35" customHeight="1">
      <c r="A1" s="11" t="inlineStr">
        <is>
          <t>HARDENING STANDARD REGISTER</t>
        </is>
      </c>
    </row>
    <row r="2">
      <c r="A2" s="12" t="inlineStr">
        <is>
          <t>Standard ID</t>
        </is>
      </c>
      <c r="B2" s="12" t="inlineStr">
        <is>
          <t>Standard Name</t>
        </is>
      </c>
      <c r="C2" s="12" t="inlineStr">
        <is>
          <t>Standard Category</t>
        </is>
      </c>
      <c r="D2" s="12" t="inlineStr">
        <is>
          <t>Standard Version</t>
        </is>
      </c>
      <c r="E2" s="12" t="inlineStr">
        <is>
          <t>Issuing Authority</t>
        </is>
      </c>
      <c r="F2" s="12" t="inlineStr">
        <is>
          <t>Applicability Scope</t>
        </is>
      </c>
      <c r="G2" s="12" t="inlineStr">
        <is>
          <t>Compliance Level</t>
        </is>
      </c>
      <c r="H2" s="12" t="inlineStr">
        <is>
          <t>Mandatory Optional</t>
        </is>
      </c>
      <c r="I2" s="12" t="inlineStr">
        <is>
          <t>Regulatory Driver</t>
        </is>
      </c>
      <c r="J2" s="12" t="inlineStr">
        <is>
          <t>Control Count</t>
        </is>
      </c>
      <c r="K2" s="12" t="inlineStr">
        <is>
          <t>Implementation Target</t>
        </is>
      </c>
      <c r="L2" s="12" t="inlineStr">
        <is>
          <t>Review Frequency</t>
        </is>
      </c>
      <c r="M2" s="12" t="inlineStr">
        <is>
          <t>Last Review Date</t>
        </is>
      </c>
      <c r="N2" s="12" t="inlineStr">
        <is>
          <t>Next Review Date</t>
        </is>
      </c>
      <c r="O2" s="12" t="inlineStr">
        <is>
          <t>Standard Owner</t>
        </is>
      </c>
      <c r="P2" s="12" t="inlineStr">
        <is>
          <t>Documentation Location</t>
        </is>
      </c>
      <c r="Q2" s="12" t="inlineStr">
        <is>
          <t>Notes</t>
        </is>
      </c>
      <c r="R2" s="12" t="inlineStr">
        <is>
          <t>Status</t>
        </is>
      </c>
    </row>
    <row r="3">
      <c r="A3" s="13">
        <f>IF(B3&lt;&gt;"", "HS-"&amp;TEXT(ROW()-2,"000"), "")</f>
        <v/>
      </c>
      <c r="H3" t="inlineStr">
        <is>
          <t>Mandatory</t>
        </is>
      </c>
      <c r="K3" s="14" t="n">
        <v>0.95</v>
      </c>
      <c r="L3" t="inlineStr">
        <is>
          <t>Quarterly</t>
        </is>
      </c>
      <c r="R3" t="inlineStr">
        <is>
          <t>Active</t>
        </is>
      </c>
    </row>
    <row r="4">
      <c r="A4" s="13">
        <f>IF(B4&lt;&gt;"", "HS-"&amp;TEXT(ROW()-2,"000"), "")</f>
        <v/>
      </c>
      <c r="H4" t="inlineStr">
        <is>
          <t>Mandatory</t>
        </is>
      </c>
      <c r="K4" s="14" t="n">
        <v>0.95</v>
      </c>
      <c r="L4" t="inlineStr">
        <is>
          <t>Quarterly</t>
        </is>
      </c>
      <c r="R4" t="inlineStr">
        <is>
          <t>Active</t>
        </is>
      </c>
    </row>
    <row r="5">
      <c r="A5" s="13">
        <f>IF(B5&lt;&gt;"", "HS-"&amp;TEXT(ROW()-2,"000"), "")</f>
        <v/>
      </c>
      <c r="H5" t="inlineStr">
        <is>
          <t>Mandatory</t>
        </is>
      </c>
      <c r="K5" s="14" t="n">
        <v>0.95</v>
      </c>
      <c r="L5" t="inlineStr">
        <is>
          <t>Quarterly</t>
        </is>
      </c>
      <c r="R5" t="inlineStr">
        <is>
          <t>Active</t>
        </is>
      </c>
    </row>
    <row r="6">
      <c r="A6" s="13">
        <f>IF(B6&lt;&gt;"", "HS-"&amp;TEXT(ROW()-2,"000"), "")</f>
        <v/>
      </c>
      <c r="H6" t="inlineStr">
        <is>
          <t>Mandatory</t>
        </is>
      </c>
      <c r="K6" s="14" t="n">
        <v>0.95</v>
      </c>
      <c r="L6" t="inlineStr">
        <is>
          <t>Quarterly</t>
        </is>
      </c>
      <c r="R6" t="inlineStr">
        <is>
          <t>Active</t>
        </is>
      </c>
    </row>
    <row r="7">
      <c r="A7" s="13">
        <f>IF(B7&lt;&gt;"", "HS-"&amp;TEXT(ROW()-2,"000"), "")</f>
        <v/>
      </c>
      <c r="H7" t="inlineStr">
        <is>
          <t>Mandatory</t>
        </is>
      </c>
      <c r="K7" s="14" t="n">
        <v>0.95</v>
      </c>
      <c r="L7" t="inlineStr">
        <is>
          <t>Quarterly</t>
        </is>
      </c>
      <c r="R7" t="inlineStr">
        <is>
          <t>Active</t>
        </is>
      </c>
    </row>
    <row r="8">
      <c r="A8" s="13">
        <f>IF(B8&lt;&gt;"", "HS-"&amp;TEXT(ROW()-2,"000"), "")</f>
        <v/>
      </c>
      <c r="H8" t="inlineStr">
        <is>
          <t>Mandatory</t>
        </is>
      </c>
      <c r="K8" s="14" t="n">
        <v>0.95</v>
      </c>
      <c r="L8" t="inlineStr">
        <is>
          <t>Quarterly</t>
        </is>
      </c>
      <c r="R8" t="inlineStr">
        <is>
          <t>Active</t>
        </is>
      </c>
    </row>
    <row r="9">
      <c r="A9" s="13">
        <f>IF(B9&lt;&gt;"", "HS-"&amp;TEXT(ROW()-2,"000"), "")</f>
        <v/>
      </c>
      <c r="H9" t="inlineStr">
        <is>
          <t>Mandatory</t>
        </is>
      </c>
      <c r="K9" s="14" t="n">
        <v>0.95</v>
      </c>
      <c r="L9" t="inlineStr">
        <is>
          <t>Quarterly</t>
        </is>
      </c>
      <c r="R9" t="inlineStr">
        <is>
          <t>Active</t>
        </is>
      </c>
    </row>
    <row r="10">
      <c r="A10" s="13">
        <f>IF(B10&lt;&gt;"", "HS-"&amp;TEXT(ROW()-2,"000"), "")</f>
        <v/>
      </c>
      <c r="H10" t="inlineStr">
        <is>
          <t>Mandatory</t>
        </is>
      </c>
      <c r="K10" s="14" t="n">
        <v>0.95</v>
      </c>
      <c r="L10" t="inlineStr">
        <is>
          <t>Quarterly</t>
        </is>
      </c>
      <c r="R10" t="inlineStr">
        <is>
          <t>Active</t>
        </is>
      </c>
    </row>
    <row r="11">
      <c r="A11" s="13">
        <f>IF(B11&lt;&gt;"", "HS-"&amp;TEXT(ROW()-2,"000"), "")</f>
        <v/>
      </c>
      <c r="H11" t="inlineStr">
        <is>
          <t>Mandatory</t>
        </is>
      </c>
      <c r="K11" s="14" t="n">
        <v>0.95</v>
      </c>
      <c r="L11" t="inlineStr">
        <is>
          <t>Quarterly</t>
        </is>
      </c>
      <c r="R11" t="inlineStr">
        <is>
          <t>Active</t>
        </is>
      </c>
    </row>
    <row r="12">
      <c r="A12" s="13">
        <f>IF(B12&lt;&gt;"", "HS-"&amp;TEXT(ROW()-2,"000"), "")</f>
        <v/>
      </c>
      <c r="H12" t="inlineStr">
        <is>
          <t>Mandatory</t>
        </is>
      </c>
      <c r="K12" s="14" t="n">
        <v>0.95</v>
      </c>
      <c r="L12" t="inlineStr">
        <is>
          <t>Quarterly</t>
        </is>
      </c>
      <c r="R12" t="inlineStr">
        <is>
          <t>Active</t>
        </is>
      </c>
    </row>
    <row r="13">
      <c r="A13" s="13">
        <f>IF(B13&lt;&gt;"", "HS-"&amp;TEXT(ROW()-2,"000"), "")</f>
        <v/>
      </c>
      <c r="H13" t="inlineStr">
        <is>
          <t>Mandatory</t>
        </is>
      </c>
      <c r="K13" s="14" t="n">
        <v>0.95</v>
      </c>
      <c r="L13" t="inlineStr">
        <is>
          <t>Quarterly</t>
        </is>
      </c>
      <c r="R13" t="inlineStr">
        <is>
          <t>Active</t>
        </is>
      </c>
    </row>
    <row r="14">
      <c r="A14" s="13">
        <f>IF(B14&lt;&gt;"", "HS-"&amp;TEXT(ROW()-2,"000"), "")</f>
        <v/>
      </c>
      <c r="H14" t="inlineStr">
        <is>
          <t>Mandatory</t>
        </is>
      </c>
      <c r="K14" s="14" t="n">
        <v>0.95</v>
      </c>
      <c r="L14" t="inlineStr">
        <is>
          <t>Quarterly</t>
        </is>
      </c>
      <c r="R14" t="inlineStr">
        <is>
          <t>Active</t>
        </is>
      </c>
    </row>
    <row r="15">
      <c r="A15" s="13">
        <f>IF(B15&lt;&gt;"", "HS-"&amp;TEXT(ROW()-2,"000"), "")</f>
        <v/>
      </c>
      <c r="H15" t="inlineStr">
        <is>
          <t>Mandatory</t>
        </is>
      </c>
      <c r="K15" s="14" t="n">
        <v>0.95</v>
      </c>
      <c r="L15" t="inlineStr">
        <is>
          <t>Quarterly</t>
        </is>
      </c>
      <c r="R15" t="inlineStr">
        <is>
          <t>Active</t>
        </is>
      </c>
    </row>
    <row r="16">
      <c r="A16" s="13">
        <f>IF(B16&lt;&gt;"", "HS-"&amp;TEXT(ROW()-2,"000"), "")</f>
        <v/>
      </c>
      <c r="H16" t="inlineStr">
        <is>
          <t>Mandatory</t>
        </is>
      </c>
      <c r="K16" s="14" t="n">
        <v>0.95</v>
      </c>
      <c r="L16" t="inlineStr">
        <is>
          <t>Quarterly</t>
        </is>
      </c>
      <c r="R16" t="inlineStr">
        <is>
          <t>Active</t>
        </is>
      </c>
    </row>
    <row r="17">
      <c r="A17" s="13">
        <f>IF(B17&lt;&gt;"", "HS-"&amp;TEXT(ROW()-2,"000"), "")</f>
        <v/>
      </c>
      <c r="H17" t="inlineStr">
        <is>
          <t>Mandatory</t>
        </is>
      </c>
      <c r="K17" s="14" t="n">
        <v>0.95</v>
      </c>
      <c r="L17" t="inlineStr">
        <is>
          <t>Quarterly</t>
        </is>
      </c>
      <c r="R17" t="inlineStr">
        <is>
          <t>Active</t>
        </is>
      </c>
    </row>
    <row r="18">
      <c r="A18" s="13">
        <f>IF(B18&lt;&gt;"", "HS-"&amp;TEXT(ROW()-2,"000"), "")</f>
        <v/>
      </c>
      <c r="H18" t="inlineStr">
        <is>
          <t>Mandatory</t>
        </is>
      </c>
      <c r="K18" s="14" t="n">
        <v>0.95</v>
      </c>
      <c r="L18" t="inlineStr">
        <is>
          <t>Quarterly</t>
        </is>
      </c>
      <c r="R18" t="inlineStr">
        <is>
          <t>Active</t>
        </is>
      </c>
    </row>
    <row r="19">
      <c r="A19" s="13">
        <f>IF(B19&lt;&gt;"", "HS-"&amp;TEXT(ROW()-2,"000"), "")</f>
        <v/>
      </c>
      <c r="H19" t="inlineStr">
        <is>
          <t>Mandatory</t>
        </is>
      </c>
      <c r="K19" s="14" t="n">
        <v>0.95</v>
      </c>
      <c r="L19" t="inlineStr">
        <is>
          <t>Quarterly</t>
        </is>
      </c>
      <c r="R19" t="inlineStr">
        <is>
          <t>Active</t>
        </is>
      </c>
    </row>
    <row r="20">
      <c r="A20" s="13">
        <f>IF(B20&lt;&gt;"", "HS-"&amp;TEXT(ROW()-2,"000"), "")</f>
        <v/>
      </c>
      <c r="H20" t="inlineStr">
        <is>
          <t>Mandatory</t>
        </is>
      </c>
      <c r="K20" s="14" t="n">
        <v>0.95</v>
      </c>
      <c r="L20" t="inlineStr">
        <is>
          <t>Quarterly</t>
        </is>
      </c>
      <c r="R20" t="inlineStr">
        <is>
          <t>Active</t>
        </is>
      </c>
    </row>
    <row r="21">
      <c r="A21" s="13">
        <f>IF(B21&lt;&gt;"", "HS-"&amp;TEXT(ROW()-2,"000"), "")</f>
        <v/>
      </c>
      <c r="H21" t="inlineStr">
        <is>
          <t>Mandatory</t>
        </is>
      </c>
      <c r="K21" s="14" t="n">
        <v>0.95</v>
      </c>
      <c r="L21" t="inlineStr">
        <is>
          <t>Quarterly</t>
        </is>
      </c>
      <c r="R21" t="inlineStr">
        <is>
          <t>Active</t>
        </is>
      </c>
    </row>
    <row r="22">
      <c r="A22" s="13">
        <f>IF(B22&lt;&gt;"", "HS-"&amp;TEXT(ROW()-2,"000"), "")</f>
        <v/>
      </c>
      <c r="H22" t="inlineStr">
        <is>
          <t>Mandatory</t>
        </is>
      </c>
      <c r="K22" s="14" t="n">
        <v>0.95</v>
      </c>
      <c r="L22" t="inlineStr">
        <is>
          <t>Quarterly</t>
        </is>
      </c>
      <c r="R22" t="inlineStr">
        <is>
          <t>Active</t>
        </is>
      </c>
    </row>
    <row r="23">
      <c r="A23" s="13">
        <f>IF(B23&lt;&gt;"", "HS-"&amp;TEXT(ROW()-2,"000"), "")</f>
        <v/>
      </c>
      <c r="H23" t="inlineStr">
        <is>
          <t>Mandatory</t>
        </is>
      </c>
      <c r="K23" s="14" t="n">
        <v>0.95</v>
      </c>
      <c r="L23" t="inlineStr">
        <is>
          <t>Quarterly</t>
        </is>
      </c>
      <c r="R23" t="inlineStr">
        <is>
          <t>Active</t>
        </is>
      </c>
    </row>
    <row r="24">
      <c r="A24" s="13">
        <f>IF(B24&lt;&gt;"", "HS-"&amp;TEXT(ROW()-2,"000"), "")</f>
        <v/>
      </c>
      <c r="H24" t="inlineStr">
        <is>
          <t>Mandatory</t>
        </is>
      </c>
      <c r="K24" s="14" t="n">
        <v>0.95</v>
      </c>
      <c r="L24" t="inlineStr">
        <is>
          <t>Quarterly</t>
        </is>
      </c>
      <c r="R24" t="inlineStr">
        <is>
          <t>Active</t>
        </is>
      </c>
    </row>
    <row r="25">
      <c r="A25" s="13">
        <f>IF(B25&lt;&gt;"", "HS-"&amp;TEXT(ROW()-2,"000"), "")</f>
        <v/>
      </c>
      <c r="H25" t="inlineStr">
        <is>
          <t>Mandatory</t>
        </is>
      </c>
      <c r="K25" s="14" t="n">
        <v>0.95</v>
      </c>
      <c r="L25" t="inlineStr">
        <is>
          <t>Quarterly</t>
        </is>
      </c>
      <c r="R25" t="inlineStr">
        <is>
          <t>Active</t>
        </is>
      </c>
    </row>
    <row r="26">
      <c r="A26" s="13">
        <f>IF(B26&lt;&gt;"", "HS-"&amp;TEXT(ROW()-2,"000"), "")</f>
        <v/>
      </c>
      <c r="H26" t="inlineStr">
        <is>
          <t>Mandatory</t>
        </is>
      </c>
      <c r="K26" s="14" t="n">
        <v>0.95</v>
      </c>
      <c r="L26" t="inlineStr">
        <is>
          <t>Quarterly</t>
        </is>
      </c>
      <c r="R26" t="inlineStr">
        <is>
          <t>Active</t>
        </is>
      </c>
    </row>
    <row r="27">
      <c r="A27" s="13">
        <f>IF(B27&lt;&gt;"", "HS-"&amp;TEXT(ROW()-2,"000"), "")</f>
        <v/>
      </c>
      <c r="H27" t="inlineStr">
        <is>
          <t>Mandatory</t>
        </is>
      </c>
      <c r="K27" s="14" t="n">
        <v>0.95</v>
      </c>
      <c r="L27" t="inlineStr">
        <is>
          <t>Quarterly</t>
        </is>
      </c>
      <c r="R27" t="inlineStr">
        <is>
          <t>Active</t>
        </is>
      </c>
    </row>
    <row r="28">
      <c r="A28" s="13">
        <f>IF(B28&lt;&gt;"", "HS-"&amp;TEXT(ROW()-2,"000"), "")</f>
        <v/>
      </c>
      <c r="H28" t="inlineStr">
        <is>
          <t>Mandatory</t>
        </is>
      </c>
      <c r="K28" s="14" t="n">
        <v>0.95</v>
      </c>
      <c r="L28" t="inlineStr">
        <is>
          <t>Quarterly</t>
        </is>
      </c>
      <c r="R28" t="inlineStr">
        <is>
          <t>Active</t>
        </is>
      </c>
    </row>
    <row r="29">
      <c r="A29" s="13">
        <f>IF(B29&lt;&gt;"", "HS-"&amp;TEXT(ROW()-2,"000"), "")</f>
        <v/>
      </c>
      <c r="H29" t="inlineStr">
        <is>
          <t>Mandatory</t>
        </is>
      </c>
      <c r="K29" s="14" t="n">
        <v>0.95</v>
      </c>
      <c r="L29" t="inlineStr">
        <is>
          <t>Quarterly</t>
        </is>
      </c>
      <c r="R29" t="inlineStr">
        <is>
          <t>Active</t>
        </is>
      </c>
    </row>
    <row r="30">
      <c r="A30" s="13">
        <f>IF(B30&lt;&gt;"", "HS-"&amp;TEXT(ROW()-2,"000"), "")</f>
        <v/>
      </c>
      <c r="H30" t="inlineStr">
        <is>
          <t>Mandatory</t>
        </is>
      </c>
      <c r="K30" s="14" t="n">
        <v>0.95</v>
      </c>
      <c r="L30" t="inlineStr">
        <is>
          <t>Quarterly</t>
        </is>
      </c>
      <c r="R30" t="inlineStr">
        <is>
          <t>Active</t>
        </is>
      </c>
    </row>
    <row r="31">
      <c r="A31" s="13">
        <f>IF(B31&lt;&gt;"", "HS-"&amp;TEXT(ROW()-2,"000"), "")</f>
        <v/>
      </c>
      <c r="H31" t="inlineStr">
        <is>
          <t>Mandatory</t>
        </is>
      </c>
      <c r="K31" s="14" t="n">
        <v>0.95</v>
      </c>
      <c r="L31" t="inlineStr">
        <is>
          <t>Quarterly</t>
        </is>
      </c>
      <c r="R31" t="inlineStr">
        <is>
          <t>Active</t>
        </is>
      </c>
    </row>
    <row r="32">
      <c r="A32" s="13">
        <f>IF(B32&lt;&gt;"", "HS-"&amp;TEXT(ROW()-2,"000"), "")</f>
        <v/>
      </c>
      <c r="H32" t="inlineStr">
        <is>
          <t>Mandatory</t>
        </is>
      </c>
      <c r="K32" s="14" t="n">
        <v>0.95</v>
      </c>
      <c r="L32" t="inlineStr">
        <is>
          <t>Quarterly</t>
        </is>
      </c>
      <c r="R32" t="inlineStr">
        <is>
          <t>Active</t>
        </is>
      </c>
    </row>
  </sheetData>
  <mergeCells count="1">
    <mergeCell ref="A1:R1"/>
  </mergeCells>
  <conditionalFormatting sqref="N3:N32">
    <cfRule type="cellIs" priority="1" operator="lessThan" dxfId="0">
      <formula>TODAY()</formula>
    </cfRule>
    <cfRule type="cellIs" priority="2" operator="between" dxfId="1">
      <formula>TODAY()</formula>
      <formula>TODAY()+30</formula>
    </cfRule>
  </conditionalFormatting>
  <conditionalFormatting sqref="A3:R32">
    <cfRule type="expression" priority="3" dxfId="2">
      <formula>ISNUMBER(SEARCH("Deprecated",$R3))</formula>
    </cfRule>
  </conditionalFormatting>
  <conditionalFormatting sqref="K3:K32">
    <cfRule type="expression" priority="4" dxfId="1">
      <formula>AND($H3="Mandatory", $K3&lt;0.95)</formula>
    </cfRule>
  </conditionalFormatting>
  <dataValidations count="5">
    <dataValidation sqref="C3:C32" showDropDown="0" showInputMessage="0" showErrorMessage="1" allowBlank="1" errorTitle="Invalid Entry" error="Please select from the dropdown list." type="list">
      <formula1>"Industry Benchmark,Government Standard,Regulatory Requirement,Vendor Baseline,Framework Control,Custom Organisational Standard"</formula1>
    </dataValidation>
    <dataValidation sqref="G3:G32" showDropDown="0" showInputMessage="0" showErrorMessage="1" allowBlank="1" errorTitle="Invalid Entry" error="Please select from the dropdown list." type="list">
      <formula1>"Level 1,Level 2,Custom"</formula1>
    </dataValidation>
    <dataValidation sqref="H3:H32" showDropDown="0" showInputMessage="0" showErrorMessage="1" allowBlank="1" errorTitle="Invalid Entry" error="Please select from the dropdown list." type="list">
      <formula1>"Mandatory,Optional"</formula1>
    </dataValidation>
    <dataValidation sqref="L3:L32" showDropDown="0" showInputMessage="0" showErrorMessage="1" allowBlank="1" errorTitle="Invalid Entry" error="Please select from the dropdown list." type="list">
      <formula1>"Monthly,Quarterly,Semi-Annual,Annual"</formula1>
    </dataValidation>
    <dataValidation sqref="R3:R32" showDropDown="0" showInputMessage="0" showErrorMessage="1" allowBlank="1" errorTitle="Invalid Entry" error="Please select from the dropdown list." type="list">
      <formula1>"✅ Active,⚠️ Deprecated,Planned"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51"/>
  <sheetViews>
    <sheetView showGridLines="0" workbookViewId="0">
      <pane ySplit="2" topLeftCell="A3" activePane="bottomLeft" state="frozen"/>
      <selection pane="bottomLeft" activeCell="A1" sqref="A1"/>
    </sheetView>
  </sheetViews>
  <sheetFormatPr baseColWidth="8" defaultRowHeight="15"/>
  <cols>
    <col width="30"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22" customWidth="1" min="32" max="32"/>
    <col width="22" customWidth="1" min="33" max="33"/>
    <col width="22" customWidth="1" min="34" max="34"/>
    <col width="22" customWidth="1" min="35" max="35"/>
  </cols>
  <sheetData>
    <row r="1" ht="35" customHeight="1">
      <c r="A1" s="11" t="inlineStr">
        <is>
          <t>ASSET TYPE HARDENING MATRIX</t>
        </is>
      </c>
    </row>
    <row r="2">
      <c r="A2" s="12" t="inlineStr">
        <is>
          <t>ASSET TYPE</t>
        </is>
      </c>
      <c r="B2" s="12">
        <f>IF('Hardening Standard Register'!A3&lt;&gt;"", 'Hardening Standard Register'!A3&amp;": "&amp;LEFT('Hardening Standard Register'!B3,20), "")</f>
        <v/>
      </c>
      <c r="C2" s="12">
        <f>IF('Hardening Standard Register'!A4&lt;&gt;"", 'Hardening Standard Register'!A4&amp;": "&amp;LEFT('Hardening Standard Register'!B4,20), "")</f>
        <v/>
      </c>
      <c r="D2" s="12">
        <f>IF('Hardening Standard Register'!A5&lt;&gt;"", 'Hardening Standard Register'!A5&amp;": "&amp;LEFT('Hardening Standard Register'!B5,20), "")</f>
        <v/>
      </c>
      <c r="E2" s="12">
        <f>IF('Hardening Standard Register'!A6&lt;&gt;"", 'Hardening Standard Register'!A6&amp;": "&amp;LEFT('Hardening Standard Register'!B6,20), "")</f>
        <v/>
      </c>
      <c r="F2" s="12">
        <f>IF('Hardening Standard Register'!A7&lt;&gt;"", 'Hardening Standard Register'!A7&amp;": "&amp;LEFT('Hardening Standard Register'!B7,20), "")</f>
        <v/>
      </c>
      <c r="G2" s="12">
        <f>IF('Hardening Standard Register'!A8&lt;&gt;"", 'Hardening Standard Register'!A8&amp;": "&amp;LEFT('Hardening Standard Register'!B8,20), "")</f>
        <v/>
      </c>
      <c r="H2" s="12">
        <f>IF('Hardening Standard Register'!A9&lt;&gt;"", 'Hardening Standard Register'!A9&amp;": "&amp;LEFT('Hardening Standard Register'!B9,20), "")</f>
        <v/>
      </c>
      <c r="I2" s="12">
        <f>IF('Hardening Standard Register'!A10&lt;&gt;"", 'Hardening Standard Register'!A10&amp;": "&amp;LEFT('Hardening Standard Register'!B10,20), "")</f>
        <v/>
      </c>
      <c r="J2" s="12">
        <f>IF('Hardening Standard Register'!A11&lt;&gt;"", 'Hardening Standard Register'!A11&amp;": "&amp;LEFT('Hardening Standard Register'!B11,20), "")</f>
        <v/>
      </c>
      <c r="K2" s="12">
        <f>IF('Hardening Standard Register'!A12&lt;&gt;"", 'Hardening Standard Register'!A12&amp;": "&amp;LEFT('Hardening Standard Register'!B12,20), "")</f>
        <v/>
      </c>
      <c r="L2" s="12">
        <f>IF('Hardening Standard Register'!A13&lt;&gt;"", 'Hardening Standard Register'!A13&amp;": "&amp;LEFT('Hardening Standard Register'!B13,20), "")</f>
        <v/>
      </c>
      <c r="M2" s="12">
        <f>IF('Hardening Standard Register'!A14&lt;&gt;"", 'Hardening Standard Register'!A14&amp;": "&amp;LEFT('Hardening Standard Register'!B14,20), "")</f>
        <v/>
      </c>
      <c r="N2" s="12">
        <f>IF('Hardening Standard Register'!A15&lt;&gt;"", 'Hardening Standard Register'!A15&amp;": "&amp;LEFT('Hardening Standard Register'!B15,20), "")</f>
        <v/>
      </c>
      <c r="O2" s="12">
        <f>IF('Hardening Standard Register'!A16&lt;&gt;"", 'Hardening Standard Register'!A16&amp;": "&amp;LEFT('Hardening Standard Register'!B16,20), "")</f>
        <v/>
      </c>
      <c r="P2" s="12">
        <f>IF('Hardening Standard Register'!A17&lt;&gt;"", 'Hardening Standard Register'!A17&amp;": "&amp;LEFT('Hardening Standard Register'!B17,20), "")</f>
        <v/>
      </c>
      <c r="Q2" s="12">
        <f>IF('Hardening Standard Register'!A18&lt;&gt;"", 'Hardening Standard Register'!A18&amp;": "&amp;LEFT('Hardening Standard Register'!B18,20), "")</f>
        <v/>
      </c>
      <c r="R2" s="12">
        <f>IF('Hardening Standard Register'!A19&lt;&gt;"", 'Hardening Standard Register'!A19&amp;": "&amp;LEFT('Hardening Standard Register'!B19,20), "")</f>
        <v/>
      </c>
      <c r="S2" s="12">
        <f>IF('Hardening Standard Register'!A20&lt;&gt;"", 'Hardening Standard Register'!A20&amp;": "&amp;LEFT('Hardening Standard Register'!B20,20), "")</f>
        <v/>
      </c>
      <c r="T2" s="12">
        <f>IF('Hardening Standard Register'!A21&lt;&gt;"", 'Hardening Standard Register'!A21&amp;": "&amp;LEFT('Hardening Standard Register'!B21,20), "")</f>
        <v/>
      </c>
      <c r="U2" s="12">
        <f>IF('Hardening Standard Register'!A22&lt;&gt;"", 'Hardening Standard Register'!A22&amp;": "&amp;LEFT('Hardening Standard Register'!B22,20), "")</f>
        <v/>
      </c>
      <c r="V2" s="12">
        <f>IF('Hardening Standard Register'!A23&lt;&gt;"", 'Hardening Standard Register'!A23&amp;": "&amp;LEFT('Hardening Standard Register'!B23,20), "")</f>
        <v/>
      </c>
      <c r="W2" s="12">
        <f>IF('Hardening Standard Register'!A24&lt;&gt;"", 'Hardening Standard Register'!A24&amp;": "&amp;LEFT('Hardening Standard Register'!B24,20), "")</f>
        <v/>
      </c>
      <c r="X2" s="12">
        <f>IF('Hardening Standard Register'!A25&lt;&gt;"", 'Hardening Standard Register'!A25&amp;": "&amp;LEFT('Hardening Standard Register'!B25,20), "")</f>
        <v/>
      </c>
      <c r="Y2" s="12">
        <f>IF('Hardening Standard Register'!A26&lt;&gt;"", 'Hardening Standard Register'!A26&amp;": "&amp;LEFT('Hardening Standard Register'!B26,20), "")</f>
        <v/>
      </c>
      <c r="Z2" s="12">
        <f>IF('Hardening Standard Register'!A27&lt;&gt;"", 'Hardening Standard Register'!A27&amp;": "&amp;LEFT('Hardening Standard Register'!B27,20), "")</f>
        <v/>
      </c>
      <c r="AA2" s="12">
        <f>IF('Hardening Standard Register'!A28&lt;&gt;"", 'Hardening Standard Register'!A28&amp;": "&amp;LEFT('Hardening Standard Register'!B28,20), "")</f>
        <v/>
      </c>
      <c r="AB2" s="12">
        <f>IF('Hardening Standard Register'!A29&lt;&gt;"", 'Hardening Standard Register'!A29&amp;": "&amp;LEFT('Hardening Standard Register'!B29,20), "")</f>
        <v/>
      </c>
      <c r="AC2" s="12">
        <f>IF('Hardening Standard Register'!A30&lt;&gt;"", 'Hardening Standard Register'!A30&amp;": "&amp;LEFT('Hardening Standard Register'!B30,20), "")</f>
        <v/>
      </c>
      <c r="AD2" s="12">
        <f>IF('Hardening Standard Register'!A31&lt;&gt;"", 'Hardening Standard Register'!A31&amp;": "&amp;LEFT('Hardening Standard Register'!B31,20), "")</f>
        <v/>
      </c>
      <c r="AE2" s="12">
        <f>IF('Hardening Standard Register'!A32&lt;&gt;"", 'Hardening Standard Register'!A32&amp;": "&amp;LEFT('Hardening Standard Register'!B32,20), "")</f>
        <v/>
      </c>
      <c r="AF2" s="15" t="inlineStr">
        <is>
          <t>Required Standards Count</t>
        </is>
      </c>
      <c r="AG2" s="15" t="inlineStr">
        <is>
          <t>Recommended Standards Count</t>
        </is>
      </c>
      <c r="AH2" s="15" t="inlineStr">
        <is>
          <t>Total Applicable Standards</t>
        </is>
      </c>
      <c r="AI2" s="15" t="inlineStr">
        <is>
          <t>High Hardening Burden</t>
        </is>
      </c>
    </row>
    <row r="3">
      <c r="A3" s="16" t="inlineStr">
        <is>
          <t>--- INFRASTRUCTURE ---</t>
        </is>
      </c>
    </row>
    <row r="4">
      <c r="A4" s="17" t="inlineStr">
        <is>
          <t>Physical Server</t>
        </is>
      </c>
      <c r="B4" s="18" t="inlineStr"/>
      <c r="C4" s="18" t="inlineStr"/>
      <c r="D4" s="18" t="inlineStr"/>
      <c r="E4" s="18" t="inlineStr"/>
      <c r="F4" s="18" t="inlineStr"/>
      <c r="G4" s="18" t="inlineStr"/>
      <c r="H4" s="18" t="inlineStr"/>
      <c r="I4" s="18" t="inlineStr"/>
      <c r="J4" s="18" t="inlineStr"/>
      <c r="K4" s="18" t="inlineStr"/>
      <c r="L4" s="18" t="inlineStr"/>
      <c r="M4" s="18" t="inlineStr"/>
      <c r="N4" s="18" t="inlineStr"/>
      <c r="O4" s="18" t="inlineStr"/>
      <c r="P4" s="18" t="inlineStr"/>
      <c r="Q4" s="18" t="inlineStr"/>
      <c r="R4" s="18" t="inlineStr"/>
      <c r="S4" s="18" t="inlineStr"/>
      <c r="T4" s="18" t="inlineStr"/>
      <c r="U4" s="18" t="inlineStr"/>
      <c r="V4" s="18" t="inlineStr"/>
      <c r="W4" s="18" t="inlineStr"/>
      <c r="X4" s="18" t="inlineStr"/>
      <c r="Y4" s="18" t="inlineStr"/>
      <c r="Z4" s="18" t="inlineStr"/>
      <c r="AA4" s="18" t="inlineStr"/>
      <c r="AB4" s="18" t="inlineStr"/>
      <c r="AC4" s="18" t="inlineStr"/>
      <c r="AD4" s="18" t="inlineStr"/>
      <c r="AE4" s="18" t="inlineStr"/>
      <c r="AF4" s="19">
        <f>COUNTIF(B4:AE4,"Required")</f>
        <v/>
      </c>
      <c r="AG4" s="19">
        <f>COUNTIF(B4:AE4,"Recommended")</f>
        <v/>
      </c>
      <c r="AH4" s="19">
        <f>AF4+AG4</f>
        <v/>
      </c>
      <c r="AI4" s="19">
        <f>IF(AF4&gt;5,"Yes","")</f>
        <v/>
      </c>
    </row>
    <row r="5">
      <c r="A5" s="17" t="inlineStr">
        <is>
          <t>Virtual Server (VM)</t>
        </is>
      </c>
      <c r="B5" s="18" t="inlineStr"/>
      <c r="C5" s="18" t="inlineStr"/>
      <c r="D5" s="18" t="inlineStr"/>
      <c r="E5" s="18" t="inlineStr"/>
      <c r="F5" s="18" t="inlineStr"/>
      <c r="G5" s="18" t="inlineStr"/>
      <c r="H5" s="18" t="inlineStr"/>
      <c r="I5" s="18" t="inlineStr"/>
      <c r="J5" s="18" t="inlineStr"/>
      <c r="K5" s="18" t="inlineStr"/>
      <c r="L5" s="18" t="inlineStr"/>
      <c r="M5" s="18" t="inlineStr"/>
      <c r="N5" s="18" t="inlineStr"/>
      <c r="O5" s="18" t="inlineStr"/>
      <c r="P5" s="18" t="inlineStr"/>
      <c r="Q5" s="18" t="inlineStr"/>
      <c r="R5" s="18" t="inlineStr"/>
      <c r="S5" s="18" t="inlineStr"/>
      <c r="T5" s="18" t="inlineStr"/>
      <c r="U5" s="18" t="inlineStr"/>
      <c r="V5" s="18" t="inlineStr"/>
      <c r="W5" s="18" t="inlineStr"/>
      <c r="X5" s="18" t="inlineStr"/>
      <c r="Y5" s="18" t="inlineStr"/>
      <c r="Z5" s="18" t="inlineStr"/>
      <c r="AA5" s="18" t="inlineStr"/>
      <c r="AB5" s="18" t="inlineStr"/>
      <c r="AC5" s="18" t="inlineStr"/>
      <c r="AD5" s="18" t="inlineStr"/>
      <c r="AE5" s="18" t="inlineStr"/>
      <c r="AF5" s="19">
        <f>COUNTIF(B5:AE5,"Required")</f>
        <v/>
      </c>
      <c r="AG5" s="19">
        <f>COUNTIF(B5:AE5,"Recommended")</f>
        <v/>
      </c>
      <c r="AH5" s="19">
        <f>AF5+AG5</f>
        <v/>
      </c>
      <c r="AI5" s="19">
        <f>IF(AF5&gt;5,"Yes","")</f>
        <v/>
      </c>
    </row>
    <row r="6">
      <c r="A6" s="17" t="inlineStr">
        <is>
          <t>Hypervisor/VM Host</t>
        </is>
      </c>
      <c r="B6" s="18" t="inlineStr"/>
      <c r="C6" s="18" t="inlineStr"/>
      <c r="D6" s="18" t="inlineStr"/>
      <c r="E6" s="18" t="inlineStr"/>
      <c r="F6" s="18" t="inlineStr"/>
      <c r="G6" s="18" t="inlineStr"/>
      <c r="H6" s="18" t="inlineStr"/>
      <c r="I6" s="18" t="inlineStr"/>
      <c r="J6" s="18" t="inlineStr"/>
      <c r="K6" s="18" t="inlineStr"/>
      <c r="L6" s="18" t="inlineStr"/>
      <c r="M6" s="18" t="inlineStr"/>
      <c r="N6" s="18" t="inlineStr"/>
      <c r="O6" s="18" t="inlineStr"/>
      <c r="P6" s="18" t="inlineStr"/>
      <c r="Q6" s="18" t="inlineStr"/>
      <c r="R6" s="18" t="inlineStr"/>
      <c r="S6" s="18" t="inlineStr"/>
      <c r="T6" s="18" t="inlineStr"/>
      <c r="U6" s="18" t="inlineStr"/>
      <c r="V6" s="18" t="inlineStr"/>
      <c r="W6" s="18" t="inlineStr"/>
      <c r="X6" s="18" t="inlineStr"/>
      <c r="Y6" s="18" t="inlineStr"/>
      <c r="Z6" s="18" t="inlineStr"/>
      <c r="AA6" s="18" t="inlineStr"/>
      <c r="AB6" s="18" t="inlineStr"/>
      <c r="AC6" s="18" t="inlineStr"/>
      <c r="AD6" s="18" t="inlineStr"/>
      <c r="AE6" s="18" t="inlineStr"/>
      <c r="AF6" s="19">
        <f>COUNTIF(B6:AE6,"Required")</f>
        <v/>
      </c>
      <c r="AG6" s="19">
        <f>COUNTIF(B6:AE6,"Recommended")</f>
        <v/>
      </c>
      <c r="AH6" s="19">
        <f>AF6+AG6</f>
        <v/>
      </c>
      <c r="AI6" s="19">
        <f>IF(AF6&gt;5,"Yes","")</f>
        <v/>
      </c>
    </row>
    <row r="7">
      <c r="A7" s="17" t="inlineStr">
        <is>
          <t>Container Host</t>
        </is>
      </c>
      <c r="B7" s="18" t="inlineStr"/>
      <c r="C7" s="18" t="inlineStr"/>
      <c r="D7" s="18" t="inlineStr"/>
      <c r="E7" s="18" t="inlineStr"/>
      <c r="F7" s="18" t="inlineStr"/>
      <c r="G7" s="18" t="inlineStr"/>
      <c r="H7" s="18" t="inlineStr"/>
      <c r="I7" s="18" t="inlineStr"/>
      <c r="J7" s="18" t="inlineStr"/>
      <c r="K7" s="18" t="inlineStr"/>
      <c r="L7" s="18" t="inlineStr"/>
      <c r="M7" s="18" t="inlineStr"/>
      <c r="N7" s="18" t="inlineStr"/>
      <c r="O7" s="18" t="inlineStr"/>
      <c r="P7" s="18" t="inlineStr"/>
      <c r="Q7" s="18" t="inlineStr"/>
      <c r="R7" s="18" t="inlineStr"/>
      <c r="S7" s="18" t="inlineStr"/>
      <c r="T7" s="18" t="inlineStr"/>
      <c r="U7" s="18" t="inlineStr"/>
      <c r="V7" s="18" t="inlineStr"/>
      <c r="W7" s="18" t="inlineStr"/>
      <c r="X7" s="18" t="inlineStr"/>
      <c r="Y7" s="18" t="inlineStr"/>
      <c r="Z7" s="18" t="inlineStr"/>
      <c r="AA7" s="18" t="inlineStr"/>
      <c r="AB7" s="18" t="inlineStr"/>
      <c r="AC7" s="18" t="inlineStr"/>
      <c r="AD7" s="18" t="inlineStr"/>
      <c r="AE7" s="18" t="inlineStr"/>
      <c r="AF7" s="19">
        <f>COUNTIF(B7:AE7,"Required")</f>
        <v/>
      </c>
      <c r="AG7" s="19">
        <f>COUNTIF(B7:AE7,"Recommended")</f>
        <v/>
      </c>
      <c r="AH7" s="19">
        <f>AF7+AG7</f>
        <v/>
      </c>
      <c r="AI7" s="19">
        <f>IF(AF7&gt;5,"Yes","")</f>
        <v/>
      </c>
    </row>
    <row r="8">
      <c r="A8" s="17" t="inlineStr">
        <is>
          <t>Storage Array</t>
        </is>
      </c>
      <c r="B8" s="18" t="inlineStr"/>
      <c r="C8" s="18" t="inlineStr"/>
      <c r="D8" s="18" t="inlineStr"/>
      <c r="E8" s="18" t="inlineStr"/>
      <c r="F8" s="18" t="inlineStr"/>
      <c r="G8" s="18" t="inlineStr"/>
      <c r="H8" s="18" t="inlineStr"/>
      <c r="I8" s="18" t="inlineStr"/>
      <c r="J8" s="18" t="inlineStr"/>
      <c r="K8" s="18" t="inlineStr"/>
      <c r="L8" s="18" t="inlineStr"/>
      <c r="M8" s="18" t="inlineStr"/>
      <c r="N8" s="18" t="inlineStr"/>
      <c r="O8" s="18" t="inlineStr"/>
      <c r="P8" s="18" t="inlineStr"/>
      <c r="Q8" s="18" t="inlineStr"/>
      <c r="R8" s="18" t="inlineStr"/>
      <c r="S8" s="18" t="inlineStr"/>
      <c r="T8" s="18" t="inlineStr"/>
      <c r="U8" s="18" t="inlineStr"/>
      <c r="V8" s="18" t="inlineStr"/>
      <c r="W8" s="18" t="inlineStr"/>
      <c r="X8" s="18" t="inlineStr"/>
      <c r="Y8" s="18" t="inlineStr"/>
      <c r="Z8" s="18" t="inlineStr"/>
      <c r="AA8" s="18" t="inlineStr"/>
      <c r="AB8" s="18" t="inlineStr"/>
      <c r="AC8" s="18" t="inlineStr"/>
      <c r="AD8" s="18" t="inlineStr"/>
      <c r="AE8" s="18" t="inlineStr"/>
      <c r="AF8" s="19">
        <f>COUNTIF(B8:AE8,"Required")</f>
        <v/>
      </c>
      <c r="AG8" s="19">
        <f>COUNTIF(B8:AE8,"Recommended")</f>
        <v/>
      </c>
      <c r="AH8" s="19">
        <f>AF8+AG8</f>
        <v/>
      </c>
      <c r="AI8" s="19">
        <f>IF(AF8&gt;5,"Yes","")</f>
        <v/>
      </c>
    </row>
    <row r="9">
      <c r="A9" s="17" t="inlineStr">
        <is>
          <t>Backup Appliance</t>
        </is>
      </c>
      <c r="B9" s="18" t="inlineStr"/>
      <c r="C9" s="18" t="inlineStr"/>
      <c r="D9" s="18" t="inlineStr"/>
      <c r="E9" s="18" t="inlineStr"/>
      <c r="F9" s="18" t="inlineStr"/>
      <c r="G9" s="18" t="inlineStr"/>
      <c r="H9" s="18" t="inlineStr"/>
      <c r="I9" s="18" t="inlineStr"/>
      <c r="J9" s="18" t="inlineStr"/>
      <c r="K9" s="18" t="inlineStr"/>
      <c r="L9" s="18" t="inlineStr"/>
      <c r="M9" s="18" t="inlineStr"/>
      <c r="N9" s="18" t="inlineStr"/>
      <c r="O9" s="18" t="inlineStr"/>
      <c r="P9" s="18" t="inlineStr"/>
      <c r="Q9" s="18" t="inlineStr"/>
      <c r="R9" s="18" t="inlineStr"/>
      <c r="S9" s="18" t="inlineStr"/>
      <c r="T9" s="18" t="inlineStr"/>
      <c r="U9" s="18" t="inlineStr"/>
      <c r="V9" s="18" t="inlineStr"/>
      <c r="W9" s="18" t="inlineStr"/>
      <c r="X9" s="18" t="inlineStr"/>
      <c r="Y9" s="18" t="inlineStr"/>
      <c r="Z9" s="18" t="inlineStr"/>
      <c r="AA9" s="18" t="inlineStr"/>
      <c r="AB9" s="18" t="inlineStr"/>
      <c r="AC9" s="18" t="inlineStr"/>
      <c r="AD9" s="18" t="inlineStr"/>
      <c r="AE9" s="18" t="inlineStr"/>
      <c r="AF9" s="19">
        <f>COUNTIF(B9:AE9,"Required")</f>
        <v/>
      </c>
      <c r="AG9" s="19">
        <f>COUNTIF(B9:AE9,"Recommended")</f>
        <v/>
      </c>
      <c r="AH9" s="19">
        <f>AF9+AG9</f>
        <v/>
      </c>
      <c r="AI9" s="19">
        <f>IF(AF9&gt;5,"Yes","")</f>
        <v/>
      </c>
    </row>
    <row r="10">
      <c r="A10" s="17" t="inlineStr">
        <is>
          <t>Database Server</t>
        </is>
      </c>
      <c r="B10" s="18" t="inlineStr"/>
      <c r="C10" s="18" t="inlineStr"/>
      <c r="D10" s="18" t="inlineStr"/>
      <c r="E10" s="18" t="inlineStr"/>
      <c r="F10" s="18" t="inlineStr"/>
      <c r="G10" s="18" t="inlineStr"/>
      <c r="H10" s="18" t="inlineStr"/>
      <c r="I10" s="18" t="inlineStr"/>
      <c r="J10" s="18" t="inlineStr"/>
      <c r="K10" s="18" t="inlineStr"/>
      <c r="L10" s="18" t="inlineStr"/>
      <c r="M10" s="18" t="inlineStr"/>
      <c r="N10" s="18" t="inlineStr"/>
      <c r="O10" s="18" t="inlineStr"/>
      <c r="P10" s="18" t="inlineStr"/>
      <c r="Q10" s="18" t="inlineStr"/>
      <c r="R10" s="18" t="inlineStr"/>
      <c r="S10" s="18" t="inlineStr"/>
      <c r="T10" s="18" t="inlineStr"/>
      <c r="U10" s="18" t="inlineStr"/>
      <c r="V10" s="18" t="inlineStr"/>
      <c r="W10" s="18" t="inlineStr"/>
      <c r="X10" s="18" t="inlineStr"/>
      <c r="Y10" s="18" t="inlineStr"/>
      <c r="Z10" s="18" t="inlineStr"/>
      <c r="AA10" s="18" t="inlineStr"/>
      <c r="AB10" s="18" t="inlineStr"/>
      <c r="AC10" s="18" t="inlineStr"/>
      <c r="AD10" s="18" t="inlineStr"/>
      <c r="AE10" s="18" t="inlineStr"/>
      <c r="AF10" s="19">
        <f>COUNTIF(B10:AE10,"Required")</f>
        <v/>
      </c>
      <c r="AG10" s="19">
        <f>COUNTIF(B10:AE10,"Recommended")</f>
        <v/>
      </c>
      <c r="AH10" s="19">
        <f>AF10+AG10</f>
        <v/>
      </c>
      <c r="AI10" s="19">
        <f>IF(AF10&gt;5,"Yes","")</f>
        <v/>
      </c>
    </row>
    <row r="11">
      <c r="A11" s="17" t="inlineStr">
        <is>
          <t>Application Server</t>
        </is>
      </c>
      <c r="B11" s="18" t="inlineStr"/>
      <c r="C11" s="18" t="inlineStr"/>
      <c r="D11" s="18" t="inlineStr"/>
      <c r="E11" s="18" t="inlineStr"/>
      <c r="F11" s="18" t="inlineStr"/>
      <c r="G11" s="18" t="inlineStr"/>
      <c r="H11" s="18" t="inlineStr"/>
      <c r="I11" s="18" t="inlineStr"/>
      <c r="J11" s="18" t="inlineStr"/>
      <c r="K11" s="18" t="inlineStr"/>
      <c r="L11" s="18" t="inlineStr"/>
      <c r="M11" s="18" t="inlineStr"/>
      <c r="N11" s="18" t="inlineStr"/>
      <c r="O11" s="18" t="inlineStr"/>
      <c r="P11" s="18" t="inlineStr"/>
      <c r="Q11" s="18" t="inlineStr"/>
      <c r="R11" s="18" t="inlineStr"/>
      <c r="S11" s="18" t="inlineStr"/>
      <c r="T11" s="18" t="inlineStr"/>
      <c r="U11" s="18" t="inlineStr"/>
      <c r="V11" s="18" t="inlineStr"/>
      <c r="W11" s="18" t="inlineStr"/>
      <c r="X11" s="18" t="inlineStr"/>
      <c r="Y11" s="18" t="inlineStr"/>
      <c r="Z11" s="18" t="inlineStr"/>
      <c r="AA11" s="18" t="inlineStr"/>
      <c r="AB11" s="18" t="inlineStr"/>
      <c r="AC11" s="18" t="inlineStr"/>
      <c r="AD11" s="18" t="inlineStr"/>
      <c r="AE11" s="18" t="inlineStr"/>
      <c r="AF11" s="19">
        <f>COUNTIF(B11:AE11,"Required")</f>
        <v/>
      </c>
      <c r="AG11" s="19">
        <f>COUNTIF(B11:AE11,"Recommended")</f>
        <v/>
      </c>
      <c r="AH11" s="19">
        <f>AF11+AG11</f>
        <v/>
      </c>
      <c r="AI11" s="19">
        <f>IF(AF11&gt;5,"Yes","")</f>
        <v/>
      </c>
    </row>
    <row r="12">
      <c r="A12" s="17" t="inlineStr">
        <is>
          <t>Legacy System</t>
        </is>
      </c>
      <c r="B12" s="18" t="inlineStr"/>
      <c r="C12" s="18" t="inlineStr"/>
      <c r="D12" s="18" t="inlineStr"/>
      <c r="E12" s="18" t="inlineStr"/>
      <c r="F12" s="18" t="inlineStr"/>
      <c r="G12" s="18" t="inlineStr"/>
      <c r="H12" s="18" t="inlineStr"/>
      <c r="I12" s="18" t="inlineStr"/>
      <c r="J12" s="18" t="inlineStr"/>
      <c r="K12" s="18" t="inlineStr"/>
      <c r="L12" s="18" t="inlineStr"/>
      <c r="M12" s="18" t="inlineStr"/>
      <c r="N12" s="18" t="inlineStr"/>
      <c r="O12" s="18" t="inlineStr"/>
      <c r="P12" s="18" t="inlineStr"/>
      <c r="Q12" s="18" t="inlineStr"/>
      <c r="R12" s="18" t="inlineStr"/>
      <c r="S12" s="18" t="inlineStr"/>
      <c r="T12" s="18" t="inlineStr"/>
      <c r="U12" s="18" t="inlineStr"/>
      <c r="V12" s="18" t="inlineStr"/>
      <c r="W12" s="18" t="inlineStr"/>
      <c r="X12" s="18" t="inlineStr"/>
      <c r="Y12" s="18" t="inlineStr"/>
      <c r="Z12" s="18" t="inlineStr"/>
      <c r="AA12" s="18" t="inlineStr"/>
      <c r="AB12" s="18" t="inlineStr"/>
      <c r="AC12" s="18" t="inlineStr"/>
      <c r="AD12" s="18" t="inlineStr"/>
      <c r="AE12" s="18" t="inlineStr"/>
      <c r="AF12" s="19">
        <f>COUNTIF(B12:AE12,"Required")</f>
        <v/>
      </c>
      <c r="AG12" s="19">
        <f>COUNTIF(B12:AE12,"Recommended")</f>
        <v/>
      </c>
      <c r="AH12" s="19">
        <f>AF12+AG12</f>
        <v/>
      </c>
      <c r="AI12" s="19">
        <f>IF(AF12&gt;5,"Yes","")</f>
        <v/>
      </c>
    </row>
    <row r="13">
      <c r="A13" s="16" t="inlineStr">
        <is>
          <t>--- ENDPOINT ---</t>
        </is>
      </c>
    </row>
    <row r="14">
      <c r="A14" s="17" t="inlineStr">
        <is>
          <t>Corporate Workstation</t>
        </is>
      </c>
      <c r="B14" s="18" t="inlineStr"/>
      <c r="C14" s="18" t="inlineStr"/>
      <c r="D14" s="18" t="inlineStr"/>
      <c r="E14" s="18" t="inlineStr"/>
      <c r="F14" s="18" t="inlineStr"/>
      <c r="G14" s="18" t="inlineStr"/>
      <c r="H14" s="18" t="inlineStr"/>
      <c r="I14" s="18" t="inlineStr"/>
      <c r="J14" s="18" t="inlineStr"/>
      <c r="K14" s="18" t="inlineStr"/>
      <c r="L14" s="18" t="inlineStr"/>
      <c r="M14" s="18" t="inlineStr"/>
      <c r="N14" s="18" t="inlineStr"/>
      <c r="O14" s="18" t="inlineStr"/>
      <c r="P14" s="18" t="inlineStr"/>
      <c r="Q14" s="18" t="inlineStr"/>
      <c r="R14" s="18" t="inlineStr"/>
      <c r="S14" s="18" t="inlineStr"/>
      <c r="T14" s="18" t="inlineStr"/>
      <c r="U14" s="18" t="inlineStr"/>
      <c r="V14" s="18" t="inlineStr"/>
      <c r="W14" s="18" t="inlineStr"/>
      <c r="X14" s="18" t="inlineStr"/>
      <c r="Y14" s="18" t="inlineStr"/>
      <c r="Z14" s="18" t="inlineStr"/>
      <c r="AA14" s="18" t="inlineStr"/>
      <c r="AB14" s="18" t="inlineStr"/>
      <c r="AC14" s="18" t="inlineStr"/>
      <c r="AD14" s="18" t="inlineStr"/>
      <c r="AE14" s="18" t="inlineStr"/>
      <c r="AF14" s="19">
        <f>COUNTIF(B14:AE14,"Required")</f>
        <v/>
      </c>
      <c r="AG14" s="19">
        <f>COUNTIF(B14:AE14,"Recommended")</f>
        <v/>
      </c>
      <c r="AH14" s="19">
        <f>AF14+AG14</f>
        <v/>
      </c>
      <c r="AI14" s="19">
        <f>IF(AF14&gt;5,"Yes","")</f>
        <v/>
      </c>
    </row>
    <row r="15">
      <c r="A15" s="17" t="inlineStr">
        <is>
          <t>Corporate Laptop</t>
        </is>
      </c>
      <c r="B15" s="18" t="inlineStr"/>
      <c r="C15" s="18" t="inlineStr"/>
      <c r="D15" s="18" t="inlineStr"/>
      <c r="E15" s="18" t="inlineStr"/>
      <c r="F15" s="18" t="inlineStr"/>
      <c r="G15" s="18" t="inlineStr"/>
      <c r="H15" s="18" t="inlineStr"/>
      <c r="I15" s="18" t="inlineStr"/>
      <c r="J15" s="18" t="inlineStr"/>
      <c r="K15" s="18" t="inlineStr"/>
      <c r="L15" s="18" t="inlineStr"/>
      <c r="M15" s="18" t="inlineStr"/>
      <c r="N15" s="18" t="inlineStr"/>
      <c r="O15" s="18" t="inlineStr"/>
      <c r="P15" s="18" t="inlineStr"/>
      <c r="Q15" s="18" t="inlineStr"/>
      <c r="R15" s="18" t="inlineStr"/>
      <c r="S15" s="18" t="inlineStr"/>
      <c r="T15" s="18" t="inlineStr"/>
      <c r="U15" s="18" t="inlineStr"/>
      <c r="V15" s="18" t="inlineStr"/>
      <c r="W15" s="18" t="inlineStr"/>
      <c r="X15" s="18" t="inlineStr"/>
      <c r="Y15" s="18" t="inlineStr"/>
      <c r="Z15" s="18" t="inlineStr"/>
      <c r="AA15" s="18" t="inlineStr"/>
      <c r="AB15" s="18" t="inlineStr"/>
      <c r="AC15" s="18" t="inlineStr"/>
      <c r="AD15" s="18" t="inlineStr"/>
      <c r="AE15" s="18" t="inlineStr"/>
      <c r="AF15" s="19">
        <f>COUNTIF(B15:AE15,"Required")</f>
        <v/>
      </c>
      <c r="AG15" s="19">
        <f>COUNTIF(B15:AE15,"Recommended")</f>
        <v/>
      </c>
      <c r="AH15" s="19">
        <f>AF15+AG15</f>
        <v/>
      </c>
      <c r="AI15" s="19">
        <f>IF(AF15&gt;5,"Yes","")</f>
        <v/>
      </c>
    </row>
    <row r="16">
      <c r="A16" s="17" t="inlineStr">
        <is>
          <t>Executive Device</t>
        </is>
      </c>
      <c r="B16" s="18" t="inlineStr"/>
      <c r="C16" s="18" t="inlineStr"/>
      <c r="D16" s="18" t="inlineStr"/>
      <c r="E16" s="18" t="inlineStr"/>
      <c r="F16" s="18" t="inlineStr"/>
      <c r="G16" s="18" t="inlineStr"/>
      <c r="H16" s="18" t="inlineStr"/>
      <c r="I16" s="18" t="inlineStr"/>
      <c r="J16" s="18" t="inlineStr"/>
      <c r="K16" s="18" t="inlineStr"/>
      <c r="L16" s="18" t="inlineStr"/>
      <c r="M16" s="18" t="inlineStr"/>
      <c r="N16" s="18" t="inlineStr"/>
      <c r="O16" s="18" t="inlineStr"/>
      <c r="P16" s="18" t="inlineStr"/>
      <c r="Q16" s="18" t="inlineStr"/>
      <c r="R16" s="18" t="inlineStr"/>
      <c r="S16" s="18" t="inlineStr"/>
      <c r="T16" s="18" t="inlineStr"/>
      <c r="U16" s="18" t="inlineStr"/>
      <c r="V16" s="18" t="inlineStr"/>
      <c r="W16" s="18" t="inlineStr"/>
      <c r="X16" s="18" t="inlineStr"/>
      <c r="Y16" s="18" t="inlineStr"/>
      <c r="Z16" s="18" t="inlineStr"/>
      <c r="AA16" s="18" t="inlineStr"/>
      <c r="AB16" s="18" t="inlineStr"/>
      <c r="AC16" s="18" t="inlineStr"/>
      <c r="AD16" s="18" t="inlineStr"/>
      <c r="AE16" s="18" t="inlineStr"/>
      <c r="AF16" s="19">
        <f>COUNTIF(B16:AE16,"Required")</f>
        <v/>
      </c>
      <c r="AG16" s="19">
        <f>COUNTIF(B16:AE16,"Recommended")</f>
        <v/>
      </c>
      <c r="AH16" s="19">
        <f>AF16+AG16</f>
        <v/>
      </c>
      <c r="AI16" s="19">
        <f>IF(AF16&gt;5,"Yes","")</f>
        <v/>
      </c>
    </row>
    <row r="17">
      <c r="A17" s="17" t="inlineStr">
        <is>
          <t>Mobile Device (Corporate)</t>
        </is>
      </c>
      <c r="B17" s="18" t="inlineStr"/>
      <c r="C17" s="18" t="inlineStr"/>
      <c r="D17" s="18" t="inlineStr"/>
      <c r="E17" s="18" t="inlineStr"/>
      <c r="F17" s="18" t="inlineStr"/>
      <c r="G17" s="18" t="inlineStr"/>
      <c r="H17" s="18" t="inlineStr"/>
      <c r="I17" s="18" t="inlineStr"/>
      <c r="J17" s="18" t="inlineStr"/>
      <c r="K17" s="18" t="inlineStr"/>
      <c r="L17" s="18" t="inlineStr"/>
      <c r="M17" s="18" t="inlineStr"/>
      <c r="N17" s="18" t="inlineStr"/>
      <c r="O17" s="18" t="inlineStr"/>
      <c r="P17" s="18" t="inlineStr"/>
      <c r="Q17" s="18" t="inlineStr"/>
      <c r="R17" s="18" t="inlineStr"/>
      <c r="S17" s="18" t="inlineStr"/>
      <c r="T17" s="18" t="inlineStr"/>
      <c r="U17" s="18" t="inlineStr"/>
      <c r="V17" s="18" t="inlineStr"/>
      <c r="W17" s="18" t="inlineStr"/>
      <c r="X17" s="18" t="inlineStr"/>
      <c r="Y17" s="18" t="inlineStr"/>
      <c r="Z17" s="18" t="inlineStr"/>
      <c r="AA17" s="18" t="inlineStr"/>
      <c r="AB17" s="18" t="inlineStr"/>
      <c r="AC17" s="18" t="inlineStr"/>
      <c r="AD17" s="18" t="inlineStr"/>
      <c r="AE17" s="18" t="inlineStr"/>
      <c r="AF17" s="19">
        <f>COUNTIF(B17:AE17,"Required")</f>
        <v/>
      </c>
      <c r="AG17" s="19">
        <f>COUNTIF(B17:AE17,"Recommended")</f>
        <v/>
      </c>
      <c r="AH17" s="19">
        <f>AF17+AG17</f>
        <v/>
      </c>
      <c r="AI17" s="19">
        <f>IF(AF17&gt;5,"Yes","")</f>
        <v/>
      </c>
    </row>
    <row r="18">
      <c r="A18" s="17" t="inlineStr">
        <is>
          <t>Mobile Device (BYOD)</t>
        </is>
      </c>
      <c r="B18" s="18" t="inlineStr"/>
      <c r="C18" s="18" t="inlineStr"/>
      <c r="D18" s="18" t="inlineStr"/>
      <c r="E18" s="18" t="inlineStr"/>
      <c r="F18" s="18" t="inlineStr"/>
      <c r="G18" s="18" t="inlineStr"/>
      <c r="H18" s="18" t="inlineStr"/>
      <c r="I18" s="18" t="inlineStr"/>
      <c r="J18" s="18" t="inlineStr"/>
      <c r="K18" s="18" t="inlineStr"/>
      <c r="L18" s="18" t="inlineStr"/>
      <c r="M18" s="18" t="inlineStr"/>
      <c r="N18" s="18" t="inlineStr"/>
      <c r="O18" s="18" t="inlineStr"/>
      <c r="P18" s="18" t="inlineStr"/>
      <c r="Q18" s="18" t="inlineStr"/>
      <c r="R18" s="18" t="inlineStr"/>
      <c r="S18" s="18" t="inlineStr"/>
      <c r="T18" s="18" t="inlineStr"/>
      <c r="U18" s="18" t="inlineStr"/>
      <c r="V18" s="18" t="inlineStr"/>
      <c r="W18" s="18" t="inlineStr"/>
      <c r="X18" s="18" t="inlineStr"/>
      <c r="Y18" s="18" t="inlineStr"/>
      <c r="Z18" s="18" t="inlineStr"/>
      <c r="AA18" s="18" t="inlineStr"/>
      <c r="AB18" s="18" t="inlineStr"/>
      <c r="AC18" s="18" t="inlineStr"/>
      <c r="AD18" s="18" t="inlineStr"/>
      <c r="AE18" s="18" t="inlineStr"/>
      <c r="AF18" s="19">
        <f>COUNTIF(B18:AE18,"Required")</f>
        <v/>
      </c>
      <c r="AG18" s="19">
        <f>COUNTIF(B18:AE18,"Recommended")</f>
        <v/>
      </c>
      <c r="AH18" s="19">
        <f>AF18+AG18</f>
        <v/>
      </c>
      <c r="AI18" s="19">
        <f>IF(AF18&gt;5,"Yes","")</f>
        <v/>
      </c>
    </row>
    <row r="19">
      <c r="A19" s="17" t="inlineStr">
        <is>
          <t>Thin Client</t>
        </is>
      </c>
      <c r="B19" s="18" t="inlineStr"/>
      <c r="C19" s="18" t="inlineStr"/>
      <c r="D19" s="18" t="inlineStr"/>
      <c r="E19" s="18" t="inlineStr"/>
      <c r="F19" s="18" t="inlineStr"/>
      <c r="G19" s="18" t="inlineStr"/>
      <c r="H19" s="18" t="inlineStr"/>
      <c r="I19" s="18" t="inlineStr"/>
      <c r="J19" s="18" t="inlineStr"/>
      <c r="K19" s="18" t="inlineStr"/>
      <c r="L19" s="18" t="inlineStr"/>
      <c r="M19" s="18" t="inlineStr"/>
      <c r="N19" s="18" t="inlineStr"/>
      <c r="O19" s="18" t="inlineStr"/>
      <c r="P19" s="18" t="inlineStr"/>
      <c r="Q19" s="18" t="inlineStr"/>
      <c r="R19" s="18" t="inlineStr"/>
      <c r="S19" s="18" t="inlineStr"/>
      <c r="T19" s="18" t="inlineStr"/>
      <c r="U19" s="18" t="inlineStr"/>
      <c r="V19" s="18" t="inlineStr"/>
      <c r="W19" s="18" t="inlineStr"/>
      <c r="X19" s="18" t="inlineStr"/>
      <c r="Y19" s="18" t="inlineStr"/>
      <c r="Z19" s="18" t="inlineStr"/>
      <c r="AA19" s="18" t="inlineStr"/>
      <c r="AB19" s="18" t="inlineStr"/>
      <c r="AC19" s="18" t="inlineStr"/>
      <c r="AD19" s="18" t="inlineStr"/>
      <c r="AE19" s="18" t="inlineStr"/>
      <c r="AF19" s="19">
        <f>COUNTIF(B19:AE19,"Required")</f>
        <v/>
      </c>
      <c r="AG19" s="19">
        <f>COUNTIF(B19:AE19,"Recommended")</f>
        <v/>
      </c>
      <c r="AH19" s="19">
        <f>AF19+AG19</f>
        <v/>
      </c>
      <c r="AI19" s="19">
        <f>IF(AF19&gt;5,"Yes","")</f>
        <v/>
      </c>
    </row>
    <row r="20">
      <c r="A20" s="17" t="inlineStr">
        <is>
          <t>Kiosk/Shared Terminal</t>
        </is>
      </c>
      <c r="B20" s="18" t="inlineStr"/>
      <c r="C20" s="18" t="inlineStr"/>
      <c r="D20" s="18" t="inlineStr"/>
      <c r="E20" s="18" t="inlineStr"/>
      <c r="F20" s="18" t="inlineStr"/>
      <c r="G20" s="18" t="inlineStr"/>
      <c r="H20" s="18" t="inlineStr"/>
      <c r="I20" s="18" t="inlineStr"/>
      <c r="J20" s="18" t="inlineStr"/>
      <c r="K20" s="18" t="inlineStr"/>
      <c r="L20" s="18" t="inlineStr"/>
      <c r="M20" s="18" t="inlineStr"/>
      <c r="N20" s="18" t="inlineStr"/>
      <c r="O20" s="18" t="inlineStr"/>
      <c r="P20" s="18" t="inlineStr"/>
      <c r="Q20" s="18" t="inlineStr"/>
      <c r="R20" s="18" t="inlineStr"/>
      <c r="S20" s="18" t="inlineStr"/>
      <c r="T20" s="18" t="inlineStr"/>
      <c r="U20" s="18" t="inlineStr"/>
      <c r="V20" s="18" t="inlineStr"/>
      <c r="W20" s="18" t="inlineStr"/>
      <c r="X20" s="18" t="inlineStr"/>
      <c r="Y20" s="18" t="inlineStr"/>
      <c r="Z20" s="18" t="inlineStr"/>
      <c r="AA20" s="18" t="inlineStr"/>
      <c r="AB20" s="18" t="inlineStr"/>
      <c r="AC20" s="18" t="inlineStr"/>
      <c r="AD20" s="18" t="inlineStr"/>
      <c r="AE20" s="18" t="inlineStr"/>
      <c r="AF20" s="19">
        <f>COUNTIF(B20:AE20,"Required")</f>
        <v/>
      </c>
      <c r="AG20" s="19">
        <f>COUNTIF(B20:AE20,"Recommended")</f>
        <v/>
      </c>
      <c r="AH20" s="19">
        <f>AF20+AG20</f>
        <v/>
      </c>
      <c r="AI20" s="19">
        <f>IF(AF20&gt;5,"Yes","")</f>
        <v/>
      </c>
    </row>
    <row r="21">
      <c r="A21" s="16" t="inlineStr">
        <is>
          <t>--- NETWORK SERVICES ---</t>
        </is>
      </c>
    </row>
    <row r="22">
      <c r="A22" s="17" t="inlineStr">
        <is>
          <t>Core Router</t>
        </is>
      </c>
      <c r="B22" s="18" t="inlineStr"/>
      <c r="C22" s="18" t="inlineStr"/>
      <c r="D22" s="18" t="inlineStr"/>
      <c r="E22" s="18" t="inlineStr"/>
      <c r="F22" s="18" t="inlineStr"/>
      <c r="G22" s="18" t="inlineStr"/>
      <c r="H22" s="18" t="inlineStr"/>
      <c r="I22" s="18" t="inlineStr"/>
      <c r="J22" s="18" t="inlineStr"/>
      <c r="K22" s="18" t="inlineStr"/>
      <c r="L22" s="18" t="inlineStr"/>
      <c r="M22" s="18" t="inlineStr"/>
      <c r="N22" s="18" t="inlineStr"/>
      <c r="O22" s="18" t="inlineStr"/>
      <c r="P22" s="18" t="inlineStr"/>
      <c r="Q22" s="18" t="inlineStr"/>
      <c r="R22" s="18" t="inlineStr"/>
      <c r="S22" s="18" t="inlineStr"/>
      <c r="T22" s="18" t="inlineStr"/>
      <c r="U22" s="18" t="inlineStr"/>
      <c r="V22" s="18" t="inlineStr"/>
      <c r="W22" s="18" t="inlineStr"/>
      <c r="X22" s="18" t="inlineStr"/>
      <c r="Y22" s="18" t="inlineStr"/>
      <c r="Z22" s="18" t="inlineStr"/>
      <c r="AA22" s="18" t="inlineStr"/>
      <c r="AB22" s="18" t="inlineStr"/>
      <c r="AC22" s="18" t="inlineStr"/>
      <c r="AD22" s="18" t="inlineStr"/>
      <c r="AE22" s="18" t="inlineStr"/>
      <c r="AF22" s="19">
        <f>COUNTIF(B22:AE22,"Required")</f>
        <v/>
      </c>
      <c r="AG22" s="19">
        <f>COUNTIF(B22:AE22,"Recommended")</f>
        <v/>
      </c>
      <c r="AH22" s="19">
        <f>AF22+AG22</f>
        <v/>
      </c>
      <c r="AI22" s="19">
        <f>IF(AF22&gt;5,"Yes","")</f>
        <v/>
      </c>
    </row>
    <row r="23">
      <c r="A23" s="17" t="inlineStr">
        <is>
          <t>Edge Router</t>
        </is>
      </c>
      <c r="B23" s="18" t="inlineStr"/>
      <c r="C23" s="18" t="inlineStr"/>
      <c r="D23" s="18" t="inlineStr"/>
      <c r="E23" s="18" t="inlineStr"/>
      <c r="F23" s="18" t="inlineStr"/>
      <c r="G23" s="18" t="inlineStr"/>
      <c r="H23" s="18" t="inlineStr"/>
      <c r="I23" s="18" t="inlineStr"/>
      <c r="J23" s="18" t="inlineStr"/>
      <c r="K23" s="18" t="inlineStr"/>
      <c r="L23" s="18" t="inlineStr"/>
      <c r="M23" s="18" t="inlineStr"/>
      <c r="N23" s="18" t="inlineStr"/>
      <c r="O23" s="18" t="inlineStr"/>
      <c r="P23" s="18" t="inlineStr"/>
      <c r="Q23" s="18" t="inlineStr"/>
      <c r="R23" s="18" t="inlineStr"/>
      <c r="S23" s="18" t="inlineStr"/>
      <c r="T23" s="18" t="inlineStr"/>
      <c r="U23" s="18" t="inlineStr"/>
      <c r="V23" s="18" t="inlineStr"/>
      <c r="W23" s="18" t="inlineStr"/>
      <c r="X23" s="18" t="inlineStr"/>
      <c r="Y23" s="18" t="inlineStr"/>
      <c r="Z23" s="18" t="inlineStr"/>
      <c r="AA23" s="18" t="inlineStr"/>
      <c r="AB23" s="18" t="inlineStr"/>
      <c r="AC23" s="18" t="inlineStr"/>
      <c r="AD23" s="18" t="inlineStr"/>
      <c r="AE23" s="18" t="inlineStr"/>
      <c r="AF23" s="19">
        <f>COUNTIF(B23:AE23,"Required")</f>
        <v/>
      </c>
      <c r="AG23" s="19">
        <f>COUNTIF(B23:AE23,"Recommended")</f>
        <v/>
      </c>
      <c r="AH23" s="19">
        <f>AF23+AG23</f>
        <v/>
      </c>
      <c r="AI23" s="19">
        <f>IF(AF23&gt;5,"Yes","")</f>
        <v/>
      </c>
    </row>
    <row r="24">
      <c r="A24" s="17" t="inlineStr">
        <is>
          <t>L2/L3 Switch</t>
        </is>
      </c>
      <c r="B24" s="18" t="inlineStr"/>
      <c r="C24" s="18" t="inlineStr"/>
      <c r="D24" s="18" t="inlineStr"/>
      <c r="E24" s="18" t="inlineStr"/>
      <c r="F24" s="18" t="inlineStr"/>
      <c r="G24" s="18" t="inlineStr"/>
      <c r="H24" s="18" t="inlineStr"/>
      <c r="I24" s="18" t="inlineStr"/>
      <c r="J24" s="18" t="inlineStr"/>
      <c r="K24" s="18" t="inlineStr"/>
      <c r="L24" s="18" t="inlineStr"/>
      <c r="M24" s="18" t="inlineStr"/>
      <c r="N24" s="18" t="inlineStr"/>
      <c r="O24" s="18" t="inlineStr"/>
      <c r="P24" s="18" t="inlineStr"/>
      <c r="Q24" s="18" t="inlineStr"/>
      <c r="R24" s="18" t="inlineStr"/>
      <c r="S24" s="18" t="inlineStr"/>
      <c r="T24" s="18" t="inlineStr"/>
      <c r="U24" s="18" t="inlineStr"/>
      <c r="V24" s="18" t="inlineStr"/>
      <c r="W24" s="18" t="inlineStr"/>
      <c r="X24" s="18" t="inlineStr"/>
      <c r="Y24" s="18" t="inlineStr"/>
      <c r="Z24" s="18" t="inlineStr"/>
      <c r="AA24" s="18" t="inlineStr"/>
      <c r="AB24" s="18" t="inlineStr"/>
      <c r="AC24" s="18" t="inlineStr"/>
      <c r="AD24" s="18" t="inlineStr"/>
      <c r="AE24" s="18" t="inlineStr"/>
      <c r="AF24" s="19">
        <f>COUNTIF(B24:AE24,"Required")</f>
        <v/>
      </c>
      <c r="AG24" s="19">
        <f>COUNTIF(B24:AE24,"Recommended")</f>
        <v/>
      </c>
      <c r="AH24" s="19">
        <f>AF24+AG24</f>
        <v/>
      </c>
      <c r="AI24" s="19">
        <f>IF(AF24&gt;5,"Yes","")</f>
        <v/>
      </c>
    </row>
    <row r="25">
      <c r="A25" s="17" t="inlineStr">
        <is>
          <t>Wireless Access Point</t>
        </is>
      </c>
      <c r="B25" s="18" t="inlineStr"/>
      <c r="C25" s="18" t="inlineStr"/>
      <c r="D25" s="18" t="inlineStr"/>
      <c r="E25" s="18" t="inlineStr"/>
      <c r="F25" s="18" t="inlineStr"/>
      <c r="G25" s="18" t="inlineStr"/>
      <c r="H25" s="18" t="inlineStr"/>
      <c r="I25" s="18" t="inlineStr"/>
      <c r="J25" s="18" t="inlineStr"/>
      <c r="K25" s="18" t="inlineStr"/>
      <c r="L25" s="18" t="inlineStr"/>
      <c r="M25" s="18" t="inlineStr"/>
      <c r="N25" s="18" t="inlineStr"/>
      <c r="O25" s="18" t="inlineStr"/>
      <c r="P25" s="18" t="inlineStr"/>
      <c r="Q25" s="18" t="inlineStr"/>
      <c r="R25" s="18" t="inlineStr"/>
      <c r="S25" s="18" t="inlineStr"/>
      <c r="T25" s="18" t="inlineStr"/>
      <c r="U25" s="18" t="inlineStr"/>
      <c r="V25" s="18" t="inlineStr"/>
      <c r="W25" s="18" t="inlineStr"/>
      <c r="X25" s="18" t="inlineStr"/>
      <c r="Y25" s="18" t="inlineStr"/>
      <c r="Z25" s="18" t="inlineStr"/>
      <c r="AA25" s="18" t="inlineStr"/>
      <c r="AB25" s="18" t="inlineStr"/>
      <c r="AC25" s="18" t="inlineStr"/>
      <c r="AD25" s="18" t="inlineStr"/>
      <c r="AE25" s="18" t="inlineStr"/>
      <c r="AF25" s="19">
        <f>COUNTIF(B25:AE25,"Required")</f>
        <v/>
      </c>
      <c r="AG25" s="19">
        <f>COUNTIF(B25:AE25,"Recommended")</f>
        <v/>
      </c>
      <c r="AH25" s="19">
        <f>AF25+AG25</f>
        <v/>
      </c>
      <c r="AI25" s="19">
        <f>IF(AF25&gt;5,"Yes","")</f>
        <v/>
      </c>
    </row>
    <row r="26">
      <c r="A26" s="17" t="inlineStr">
        <is>
          <t>Firewall</t>
        </is>
      </c>
      <c r="B26" s="18" t="inlineStr"/>
      <c r="C26" s="18" t="inlineStr"/>
      <c r="D26" s="18" t="inlineStr"/>
      <c r="E26" s="18" t="inlineStr"/>
      <c r="F26" s="18" t="inlineStr"/>
      <c r="G26" s="18" t="inlineStr"/>
      <c r="H26" s="18" t="inlineStr"/>
      <c r="I26" s="18" t="inlineStr"/>
      <c r="J26" s="18" t="inlineStr"/>
      <c r="K26" s="18" t="inlineStr"/>
      <c r="L26" s="18" t="inlineStr"/>
      <c r="M26" s="18" t="inlineStr"/>
      <c r="N26" s="18" t="inlineStr"/>
      <c r="O26" s="18" t="inlineStr"/>
      <c r="P26" s="18" t="inlineStr"/>
      <c r="Q26" s="18" t="inlineStr"/>
      <c r="R26" s="18" t="inlineStr"/>
      <c r="S26" s="18" t="inlineStr"/>
      <c r="T26" s="18" t="inlineStr"/>
      <c r="U26" s="18" t="inlineStr"/>
      <c r="V26" s="18" t="inlineStr"/>
      <c r="W26" s="18" t="inlineStr"/>
      <c r="X26" s="18" t="inlineStr"/>
      <c r="Y26" s="18" t="inlineStr"/>
      <c r="Z26" s="18" t="inlineStr"/>
      <c r="AA26" s="18" t="inlineStr"/>
      <c r="AB26" s="18" t="inlineStr"/>
      <c r="AC26" s="18" t="inlineStr"/>
      <c r="AD26" s="18" t="inlineStr"/>
      <c r="AE26" s="18" t="inlineStr"/>
      <c r="AF26" s="19">
        <f>COUNTIF(B26:AE26,"Required")</f>
        <v/>
      </c>
      <c r="AG26" s="19">
        <f>COUNTIF(B26:AE26,"Recommended")</f>
        <v/>
      </c>
      <c r="AH26" s="19">
        <f>AF26+AG26</f>
        <v/>
      </c>
      <c r="AI26" s="19">
        <f>IF(AF26&gt;5,"Yes","")</f>
        <v/>
      </c>
    </row>
    <row r="27">
      <c r="A27" s="17" t="inlineStr">
        <is>
          <t>IDS/IPS Appliance</t>
        </is>
      </c>
      <c r="B27" s="18" t="inlineStr"/>
      <c r="C27" s="18" t="inlineStr"/>
      <c r="D27" s="18" t="inlineStr"/>
      <c r="E27" s="18" t="inlineStr"/>
      <c r="F27" s="18" t="inlineStr"/>
      <c r="G27" s="18" t="inlineStr"/>
      <c r="H27" s="18" t="inlineStr"/>
      <c r="I27" s="18" t="inlineStr"/>
      <c r="J27" s="18" t="inlineStr"/>
      <c r="K27" s="18" t="inlineStr"/>
      <c r="L27" s="18" t="inlineStr"/>
      <c r="M27" s="18" t="inlineStr"/>
      <c r="N27" s="18" t="inlineStr"/>
      <c r="O27" s="18" t="inlineStr"/>
      <c r="P27" s="18" t="inlineStr"/>
      <c r="Q27" s="18" t="inlineStr"/>
      <c r="R27" s="18" t="inlineStr"/>
      <c r="S27" s="18" t="inlineStr"/>
      <c r="T27" s="18" t="inlineStr"/>
      <c r="U27" s="18" t="inlineStr"/>
      <c r="V27" s="18" t="inlineStr"/>
      <c r="W27" s="18" t="inlineStr"/>
      <c r="X27" s="18" t="inlineStr"/>
      <c r="Y27" s="18" t="inlineStr"/>
      <c r="Z27" s="18" t="inlineStr"/>
      <c r="AA27" s="18" t="inlineStr"/>
      <c r="AB27" s="18" t="inlineStr"/>
      <c r="AC27" s="18" t="inlineStr"/>
      <c r="AD27" s="18" t="inlineStr"/>
      <c r="AE27" s="18" t="inlineStr"/>
      <c r="AF27" s="19">
        <f>COUNTIF(B27:AE27,"Required")</f>
        <v/>
      </c>
      <c r="AG27" s="19">
        <f>COUNTIF(B27:AE27,"Recommended")</f>
        <v/>
      </c>
      <c r="AH27" s="19">
        <f>AF27+AG27</f>
        <v/>
      </c>
      <c r="AI27" s="19">
        <f>IF(AF27&gt;5,"Yes","")</f>
        <v/>
      </c>
    </row>
    <row r="28">
      <c r="A28" s="17" t="inlineStr">
        <is>
          <t>Load Balancer</t>
        </is>
      </c>
      <c r="B28" s="18" t="inlineStr"/>
      <c r="C28" s="18" t="inlineStr"/>
      <c r="D28" s="18" t="inlineStr"/>
      <c r="E28" s="18" t="inlineStr"/>
      <c r="F28" s="18" t="inlineStr"/>
      <c r="G28" s="18" t="inlineStr"/>
      <c r="H28" s="18" t="inlineStr"/>
      <c r="I28" s="18" t="inlineStr"/>
      <c r="J28" s="18" t="inlineStr"/>
      <c r="K28" s="18" t="inlineStr"/>
      <c r="L28" s="18" t="inlineStr"/>
      <c r="M28" s="18" t="inlineStr"/>
      <c r="N28" s="18" t="inlineStr"/>
      <c r="O28" s="18" t="inlineStr"/>
      <c r="P28" s="18" t="inlineStr"/>
      <c r="Q28" s="18" t="inlineStr"/>
      <c r="R28" s="18" t="inlineStr"/>
      <c r="S28" s="18" t="inlineStr"/>
      <c r="T28" s="18" t="inlineStr"/>
      <c r="U28" s="18" t="inlineStr"/>
      <c r="V28" s="18" t="inlineStr"/>
      <c r="W28" s="18" t="inlineStr"/>
      <c r="X28" s="18" t="inlineStr"/>
      <c r="Y28" s="18" t="inlineStr"/>
      <c r="Z28" s="18" t="inlineStr"/>
      <c r="AA28" s="18" t="inlineStr"/>
      <c r="AB28" s="18" t="inlineStr"/>
      <c r="AC28" s="18" t="inlineStr"/>
      <c r="AD28" s="18" t="inlineStr"/>
      <c r="AE28" s="18" t="inlineStr"/>
      <c r="AF28" s="19">
        <f>COUNTIF(B28:AE28,"Required")</f>
        <v/>
      </c>
      <c r="AG28" s="19">
        <f>COUNTIF(B28:AE28,"Recommended")</f>
        <v/>
      </c>
      <c r="AH28" s="19">
        <f>AF28+AG28</f>
        <v/>
      </c>
      <c r="AI28" s="19">
        <f>IF(AF28&gt;5,"Yes","")</f>
        <v/>
      </c>
    </row>
    <row r="29">
      <c r="A29" s="17" t="inlineStr">
        <is>
          <t>VPN Concentrator</t>
        </is>
      </c>
      <c r="B29" s="18" t="inlineStr"/>
      <c r="C29" s="18" t="inlineStr"/>
      <c r="D29" s="18" t="inlineStr"/>
      <c r="E29" s="18" t="inlineStr"/>
      <c r="F29" s="18" t="inlineStr"/>
      <c r="G29" s="18" t="inlineStr"/>
      <c r="H29" s="18" t="inlineStr"/>
      <c r="I29" s="18" t="inlineStr"/>
      <c r="J29" s="18" t="inlineStr"/>
      <c r="K29" s="18" t="inlineStr"/>
      <c r="L29" s="18" t="inlineStr"/>
      <c r="M29" s="18" t="inlineStr"/>
      <c r="N29" s="18" t="inlineStr"/>
      <c r="O29" s="18" t="inlineStr"/>
      <c r="P29" s="18" t="inlineStr"/>
      <c r="Q29" s="18" t="inlineStr"/>
      <c r="R29" s="18" t="inlineStr"/>
      <c r="S29" s="18" t="inlineStr"/>
      <c r="T29" s="18" t="inlineStr"/>
      <c r="U29" s="18" t="inlineStr"/>
      <c r="V29" s="18" t="inlineStr"/>
      <c r="W29" s="18" t="inlineStr"/>
      <c r="X29" s="18" t="inlineStr"/>
      <c r="Y29" s="18" t="inlineStr"/>
      <c r="Z29" s="18" t="inlineStr"/>
      <c r="AA29" s="18" t="inlineStr"/>
      <c r="AB29" s="18" t="inlineStr"/>
      <c r="AC29" s="18" t="inlineStr"/>
      <c r="AD29" s="18" t="inlineStr"/>
      <c r="AE29" s="18" t="inlineStr"/>
      <c r="AF29" s="19">
        <f>COUNTIF(B29:AE29,"Required")</f>
        <v/>
      </c>
      <c r="AG29" s="19">
        <f>COUNTIF(B29:AE29,"Recommended")</f>
        <v/>
      </c>
      <c r="AH29" s="19">
        <f>AF29+AG29</f>
        <v/>
      </c>
      <c r="AI29" s="19">
        <f>IF(AF29&gt;5,"Yes","")</f>
        <v/>
      </c>
    </row>
    <row r="30">
      <c r="A30" s="16" t="inlineStr">
        <is>
          <t>--- APPLICATIONS ---</t>
        </is>
      </c>
    </row>
    <row r="31">
      <c r="A31" s="17" t="inlineStr">
        <is>
          <t>Web Application</t>
        </is>
      </c>
      <c r="B31" s="18" t="inlineStr"/>
      <c r="C31" s="18" t="inlineStr"/>
      <c r="D31" s="18" t="inlineStr"/>
      <c r="E31" s="18" t="inlineStr"/>
      <c r="F31" s="18" t="inlineStr"/>
      <c r="G31" s="18" t="inlineStr"/>
      <c r="H31" s="18" t="inlineStr"/>
      <c r="I31" s="18" t="inlineStr"/>
      <c r="J31" s="18" t="inlineStr"/>
      <c r="K31" s="18" t="inlineStr"/>
      <c r="L31" s="18" t="inlineStr"/>
      <c r="M31" s="18" t="inlineStr"/>
      <c r="N31" s="18" t="inlineStr"/>
      <c r="O31" s="18" t="inlineStr"/>
      <c r="P31" s="18" t="inlineStr"/>
      <c r="Q31" s="18" t="inlineStr"/>
      <c r="R31" s="18" t="inlineStr"/>
      <c r="S31" s="18" t="inlineStr"/>
      <c r="T31" s="18" t="inlineStr"/>
      <c r="U31" s="18" t="inlineStr"/>
      <c r="V31" s="18" t="inlineStr"/>
      <c r="W31" s="18" t="inlineStr"/>
      <c r="X31" s="18" t="inlineStr"/>
      <c r="Y31" s="18" t="inlineStr"/>
      <c r="Z31" s="18" t="inlineStr"/>
      <c r="AA31" s="18" t="inlineStr"/>
      <c r="AB31" s="18" t="inlineStr"/>
      <c r="AC31" s="18" t="inlineStr"/>
      <c r="AD31" s="18" t="inlineStr"/>
      <c r="AE31" s="18" t="inlineStr"/>
      <c r="AF31" s="19">
        <f>COUNTIF(B31:AE31,"Required")</f>
        <v/>
      </c>
      <c r="AG31" s="19">
        <f>COUNTIF(B31:AE31,"Recommended")</f>
        <v/>
      </c>
      <c r="AH31" s="19">
        <f>AF31+AG31</f>
        <v/>
      </c>
      <c r="AI31" s="19">
        <f>IF(AF31&gt;5,"Yes","")</f>
        <v/>
      </c>
    </row>
    <row r="32">
      <c r="A32" s="17" t="inlineStr">
        <is>
          <t>API Service</t>
        </is>
      </c>
      <c r="B32" s="18" t="inlineStr"/>
      <c r="C32" s="18" t="inlineStr"/>
      <c r="D32" s="18" t="inlineStr"/>
      <c r="E32" s="18" t="inlineStr"/>
      <c r="F32" s="18" t="inlineStr"/>
      <c r="G32" s="18" t="inlineStr"/>
      <c r="H32" s="18" t="inlineStr"/>
      <c r="I32" s="18" t="inlineStr"/>
      <c r="J32" s="18" t="inlineStr"/>
      <c r="K32" s="18" t="inlineStr"/>
      <c r="L32" s="18" t="inlineStr"/>
      <c r="M32" s="18" t="inlineStr"/>
      <c r="N32" s="18" t="inlineStr"/>
      <c r="O32" s="18" t="inlineStr"/>
      <c r="P32" s="18" t="inlineStr"/>
      <c r="Q32" s="18" t="inlineStr"/>
      <c r="R32" s="18" t="inlineStr"/>
      <c r="S32" s="18" t="inlineStr"/>
      <c r="T32" s="18" t="inlineStr"/>
      <c r="U32" s="18" t="inlineStr"/>
      <c r="V32" s="18" t="inlineStr"/>
      <c r="W32" s="18" t="inlineStr"/>
      <c r="X32" s="18" t="inlineStr"/>
      <c r="Y32" s="18" t="inlineStr"/>
      <c r="Z32" s="18" t="inlineStr"/>
      <c r="AA32" s="18" t="inlineStr"/>
      <c r="AB32" s="18" t="inlineStr"/>
      <c r="AC32" s="18" t="inlineStr"/>
      <c r="AD32" s="18" t="inlineStr"/>
      <c r="AE32" s="18" t="inlineStr"/>
      <c r="AF32" s="19">
        <f>COUNTIF(B32:AE32,"Required")</f>
        <v/>
      </c>
      <c r="AG32" s="19">
        <f>COUNTIF(B32:AE32,"Recommended")</f>
        <v/>
      </c>
      <c r="AH32" s="19">
        <f>AF32+AG32</f>
        <v/>
      </c>
      <c r="AI32" s="19">
        <f>IF(AF32&gt;5,"Yes","")</f>
        <v/>
      </c>
    </row>
    <row r="33">
      <c r="A33" s="17" t="inlineStr">
        <is>
          <t>Database Management System</t>
        </is>
      </c>
      <c r="B33" s="18" t="inlineStr"/>
      <c r="C33" s="18" t="inlineStr"/>
      <c r="D33" s="18" t="inlineStr"/>
      <c r="E33" s="18" t="inlineStr"/>
      <c r="F33" s="18" t="inlineStr"/>
      <c r="G33" s="18" t="inlineStr"/>
      <c r="H33" s="18" t="inlineStr"/>
      <c r="I33" s="18" t="inlineStr"/>
      <c r="J33" s="18" t="inlineStr"/>
      <c r="K33" s="18" t="inlineStr"/>
      <c r="L33" s="18" t="inlineStr"/>
      <c r="M33" s="18" t="inlineStr"/>
      <c r="N33" s="18" t="inlineStr"/>
      <c r="O33" s="18" t="inlineStr"/>
      <c r="P33" s="18" t="inlineStr"/>
      <c r="Q33" s="18" t="inlineStr"/>
      <c r="R33" s="18" t="inlineStr"/>
      <c r="S33" s="18" t="inlineStr"/>
      <c r="T33" s="18" t="inlineStr"/>
      <c r="U33" s="18" t="inlineStr"/>
      <c r="V33" s="18" t="inlineStr"/>
      <c r="W33" s="18" t="inlineStr"/>
      <c r="X33" s="18" t="inlineStr"/>
      <c r="Y33" s="18" t="inlineStr"/>
      <c r="Z33" s="18" t="inlineStr"/>
      <c r="AA33" s="18" t="inlineStr"/>
      <c r="AB33" s="18" t="inlineStr"/>
      <c r="AC33" s="18" t="inlineStr"/>
      <c r="AD33" s="18" t="inlineStr"/>
      <c r="AE33" s="18" t="inlineStr"/>
      <c r="AF33" s="19">
        <f>COUNTIF(B33:AE33,"Required")</f>
        <v/>
      </c>
      <c r="AG33" s="19">
        <f>COUNTIF(B33:AE33,"Recommended")</f>
        <v/>
      </c>
      <c r="AH33" s="19">
        <f>AF33+AG33</f>
        <v/>
      </c>
      <c r="AI33" s="19">
        <f>IF(AF33&gt;5,"Yes","")</f>
        <v/>
      </c>
    </row>
    <row r="34">
      <c r="A34" s="17" t="inlineStr">
        <is>
          <t>File Server/NAS</t>
        </is>
      </c>
      <c r="B34" s="18" t="inlineStr"/>
      <c r="C34" s="18" t="inlineStr"/>
      <c r="D34" s="18" t="inlineStr"/>
      <c r="E34" s="18" t="inlineStr"/>
      <c r="F34" s="18" t="inlineStr"/>
      <c r="G34" s="18" t="inlineStr"/>
      <c r="H34" s="18" t="inlineStr"/>
      <c r="I34" s="18" t="inlineStr"/>
      <c r="J34" s="18" t="inlineStr"/>
      <c r="K34" s="18" t="inlineStr"/>
      <c r="L34" s="18" t="inlineStr"/>
      <c r="M34" s="18" t="inlineStr"/>
      <c r="N34" s="18" t="inlineStr"/>
      <c r="O34" s="18" t="inlineStr"/>
      <c r="P34" s="18" t="inlineStr"/>
      <c r="Q34" s="18" t="inlineStr"/>
      <c r="R34" s="18" t="inlineStr"/>
      <c r="S34" s="18" t="inlineStr"/>
      <c r="T34" s="18" t="inlineStr"/>
      <c r="U34" s="18" t="inlineStr"/>
      <c r="V34" s="18" t="inlineStr"/>
      <c r="W34" s="18" t="inlineStr"/>
      <c r="X34" s="18" t="inlineStr"/>
      <c r="Y34" s="18" t="inlineStr"/>
      <c r="Z34" s="18" t="inlineStr"/>
      <c r="AA34" s="18" t="inlineStr"/>
      <c r="AB34" s="18" t="inlineStr"/>
      <c r="AC34" s="18" t="inlineStr"/>
      <c r="AD34" s="18" t="inlineStr"/>
      <c r="AE34" s="18" t="inlineStr"/>
      <c r="AF34" s="19">
        <f>COUNTIF(B34:AE34,"Required")</f>
        <v/>
      </c>
      <c r="AG34" s="19">
        <f>COUNTIF(B34:AE34,"Recommended")</f>
        <v/>
      </c>
      <c r="AH34" s="19">
        <f>AF34+AG34</f>
        <v/>
      </c>
      <c r="AI34" s="19">
        <f>IF(AF34&gt;5,"Yes","")</f>
        <v/>
      </c>
    </row>
    <row r="35">
      <c r="A35" s="17" t="inlineStr">
        <is>
          <t>Email System</t>
        </is>
      </c>
      <c r="B35" s="18" t="inlineStr"/>
      <c r="C35" s="18" t="inlineStr"/>
      <c r="D35" s="18" t="inlineStr"/>
      <c r="E35" s="18" t="inlineStr"/>
      <c r="F35" s="18" t="inlineStr"/>
      <c r="G35" s="18" t="inlineStr"/>
      <c r="H35" s="18" t="inlineStr"/>
      <c r="I35" s="18" t="inlineStr"/>
      <c r="J35" s="18" t="inlineStr"/>
      <c r="K35" s="18" t="inlineStr"/>
      <c r="L35" s="18" t="inlineStr"/>
      <c r="M35" s="18" t="inlineStr"/>
      <c r="N35" s="18" t="inlineStr"/>
      <c r="O35" s="18" t="inlineStr"/>
      <c r="P35" s="18" t="inlineStr"/>
      <c r="Q35" s="18" t="inlineStr"/>
      <c r="R35" s="18" t="inlineStr"/>
      <c r="S35" s="18" t="inlineStr"/>
      <c r="T35" s="18" t="inlineStr"/>
      <c r="U35" s="18" t="inlineStr"/>
      <c r="V35" s="18" t="inlineStr"/>
      <c r="W35" s="18" t="inlineStr"/>
      <c r="X35" s="18" t="inlineStr"/>
      <c r="Y35" s="18" t="inlineStr"/>
      <c r="Z35" s="18" t="inlineStr"/>
      <c r="AA35" s="18" t="inlineStr"/>
      <c r="AB35" s="18" t="inlineStr"/>
      <c r="AC35" s="18" t="inlineStr"/>
      <c r="AD35" s="18" t="inlineStr"/>
      <c r="AE35" s="18" t="inlineStr"/>
      <c r="AF35" s="19">
        <f>COUNTIF(B35:AE35,"Required")</f>
        <v/>
      </c>
      <c r="AG35" s="19">
        <f>COUNTIF(B35:AE35,"Recommended")</f>
        <v/>
      </c>
      <c r="AH35" s="19">
        <f>AF35+AG35</f>
        <v/>
      </c>
      <c r="AI35" s="19">
        <f>IF(AF35&gt;5,"Yes","")</f>
        <v/>
      </c>
    </row>
    <row r="36">
      <c r="A36" s="17" t="inlineStr">
        <is>
          <t>Authentication Service (IAM)</t>
        </is>
      </c>
      <c r="B36" s="18" t="inlineStr"/>
      <c r="C36" s="18" t="inlineStr"/>
      <c r="D36" s="18" t="inlineStr"/>
      <c r="E36" s="18" t="inlineStr"/>
      <c r="F36" s="18" t="inlineStr"/>
      <c r="G36" s="18" t="inlineStr"/>
      <c r="H36" s="18" t="inlineStr"/>
      <c r="I36" s="18" t="inlineStr"/>
      <c r="J36" s="18" t="inlineStr"/>
      <c r="K36" s="18" t="inlineStr"/>
      <c r="L36" s="18" t="inlineStr"/>
      <c r="M36" s="18" t="inlineStr"/>
      <c r="N36" s="18" t="inlineStr"/>
      <c r="O36" s="18" t="inlineStr"/>
      <c r="P36" s="18" t="inlineStr"/>
      <c r="Q36" s="18" t="inlineStr"/>
      <c r="R36" s="18" t="inlineStr"/>
      <c r="S36" s="18" t="inlineStr"/>
      <c r="T36" s="18" t="inlineStr"/>
      <c r="U36" s="18" t="inlineStr"/>
      <c r="V36" s="18" t="inlineStr"/>
      <c r="W36" s="18" t="inlineStr"/>
      <c r="X36" s="18" t="inlineStr"/>
      <c r="Y36" s="18" t="inlineStr"/>
      <c r="Z36" s="18" t="inlineStr"/>
      <c r="AA36" s="18" t="inlineStr"/>
      <c r="AB36" s="18" t="inlineStr"/>
      <c r="AC36" s="18" t="inlineStr"/>
      <c r="AD36" s="18" t="inlineStr"/>
      <c r="AE36" s="18" t="inlineStr"/>
      <c r="AF36" s="19">
        <f>COUNTIF(B36:AE36,"Required")</f>
        <v/>
      </c>
      <c r="AG36" s="19">
        <f>COUNTIF(B36:AE36,"Recommended")</f>
        <v/>
      </c>
      <c r="AH36" s="19">
        <f>AF36+AG36</f>
        <v/>
      </c>
      <c r="AI36" s="19">
        <f>IF(AF36&gt;5,"Yes","")</f>
        <v/>
      </c>
    </row>
    <row r="37">
      <c r="A37" s="17" t="inlineStr">
        <is>
          <t>Monitoring/Logging System</t>
        </is>
      </c>
      <c r="B37" s="18" t="inlineStr"/>
      <c r="C37" s="18" t="inlineStr"/>
      <c r="D37" s="18" t="inlineStr"/>
      <c r="E37" s="18" t="inlineStr"/>
      <c r="F37" s="18" t="inlineStr"/>
      <c r="G37" s="18" t="inlineStr"/>
      <c r="H37" s="18" t="inlineStr"/>
      <c r="I37" s="18" t="inlineStr"/>
      <c r="J37" s="18" t="inlineStr"/>
      <c r="K37" s="18" t="inlineStr"/>
      <c r="L37" s="18" t="inlineStr"/>
      <c r="M37" s="18" t="inlineStr"/>
      <c r="N37" s="18" t="inlineStr"/>
      <c r="O37" s="18" t="inlineStr"/>
      <c r="P37" s="18" t="inlineStr"/>
      <c r="Q37" s="18" t="inlineStr"/>
      <c r="R37" s="18" t="inlineStr"/>
      <c r="S37" s="18" t="inlineStr"/>
      <c r="T37" s="18" t="inlineStr"/>
      <c r="U37" s="18" t="inlineStr"/>
      <c r="V37" s="18" t="inlineStr"/>
      <c r="W37" s="18" t="inlineStr"/>
      <c r="X37" s="18" t="inlineStr"/>
      <c r="Y37" s="18" t="inlineStr"/>
      <c r="Z37" s="18" t="inlineStr"/>
      <c r="AA37" s="18" t="inlineStr"/>
      <c r="AB37" s="18" t="inlineStr"/>
      <c r="AC37" s="18" t="inlineStr"/>
      <c r="AD37" s="18" t="inlineStr"/>
      <c r="AE37" s="18" t="inlineStr"/>
      <c r="AF37" s="19">
        <f>COUNTIF(B37:AE37,"Required")</f>
        <v/>
      </c>
      <c r="AG37" s="19">
        <f>COUNTIF(B37:AE37,"Recommended")</f>
        <v/>
      </c>
      <c r="AH37" s="19">
        <f>AF37+AG37</f>
        <v/>
      </c>
      <c r="AI37" s="19">
        <f>IF(AF37&gt;5,"Yes","")</f>
        <v/>
      </c>
    </row>
    <row r="38">
      <c r="A38" s="16" t="inlineStr">
        <is>
          <t>--- CLOUD &amp; VIRTUAL ---</t>
        </is>
      </c>
    </row>
    <row r="39">
      <c r="A39" s="17" t="inlineStr">
        <is>
          <t>IaaS Instance</t>
        </is>
      </c>
      <c r="B39" s="18" t="inlineStr"/>
      <c r="C39" s="18" t="inlineStr"/>
      <c r="D39" s="18" t="inlineStr"/>
      <c r="E39" s="18" t="inlineStr"/>
      <c r="F39" s="18" t="inlineStr"/>
      <c r="G39" s="18" t="inlineStr"/>
      <c r="H39" s="18" t="inlineStr"/>
      <c r="I39" s="18" t="inlineStr"/>
      <c r="J39" s="18" t="inlineStr"/>
      <c r="K39" s="18" t="inlineStr"/>
      <c r="L39" s="18" t="inlineStr"/>
      <c r="M39" s="18" t="inlineStr"/>
      <c r="N39" s="18" t="inlineStr"/>
      <c r="O39" s="18" t="inlineStr"/>
      <c r="P39" s="18" t="inlineStr"/>
      <c r="Q39" s="18" t="inlineStr"/>
      <c r="R39" s="18" t="inlineStr"/>
      <c r="S39" s="18" t="inlineStr"/>
      <c r="T39" s="18" t="inlineStr"/>
      <c r="U39" s="18" t="inlineStr"/>
      <c r="V39" s="18" t="inlineStr"/>
      <c r="W39" s="18" t="inlineStr"/>
      <c r="X39" s="18" t="inlineStr"/>
      <c r="Y39" s="18" t="inlineStr"/>
      <c r="Z39" s="18" t="inlineStr"/>
      <c r="AA39" s="18" t="inlineStr"/>
      <c r="AB39" s="18" t="inlineStr"/>
      <c r="AC39" s="18" t="inlineStr"/>
      <c r="AD39" s="18" t="inlineStr"/>
      <c r="AE39" s="18" t="inlineStr"/>
      <c r="AF39" s="19">
        <f>COUNTIF(B39:AE39,"Required")</f>
        <v/>
      </c>
      <c r="AG39" s="19">
        <f>COUNTIF(B39:AE39,"Recommended")</f>
        <v/>
      </c>
      <c r="AH39" s="19">
        <f>AF39+AG39</f>
        <v/>
      </c>
      <c r="AI39" s="19">
        <f>IF(AF39&gt;5,"Yes","")</f>
        <v/>
      </c>
    </row>
    <row r="40">
      <c r="A40" s="17" t="inlineStr">
        <is>
          <t>PaaS Application</t>
        </is>
      </c>
      <c r="B40" s="18" t="inlineStr"/>
      <c r="C40" s="18" t="inlineStr"/>
      <c r="D40" s="18" t="inlineStr"/>
      <c r="E40" s="18" t="inlineStr"/>
      <c r="F40" s="18" t="inlineStr"/>
      <c r="G40" s="18" t="inlineStr"/>
      <c r="H40" s="18" t="inlineStr"/>
      <c r="I40" s="18" t="inlineStr"/>
      <c r="J40" s="18" t="inlineStr"/>
      <c r="K40" s="18" t="inlineStr"/>
      <c r="L40" s="18" t="inlineStr"/>
      <c r="M40" s="18" t="inlineStr"/>
      <c r="N40" s="18" t="inlineStr"/>
      <c r="O40" s="18" t="inlineStr"/>
      <c r="P40" s="18" t="inlineStr"/>
      <c r="Q40" s="18" t="inlineStr"/>
      <c r="R40" s="18" t="inlineStr"/>
      <c r="S40" s="18" t="inlineStr"/>
      <c r="T40" s="18" t="inlineStr"/>
      <c r="U40" s="18" t="inlineStr"/>
      <c r="V40" s="18" t="inlineStr"/>
      <c r="W40" s="18" t="inlineStr"/>
      <c r="X40" s="18" t="inlineStr"/>
      <c r="Y40" s="18" t="inlineStr"/>
      <c r="Z40" s="18" t="inlineStr"/>
      <c r="AA40" s="18" t="inlineStr"/>
      <c r="AB40" s="18" t="inlineStr"/>
      <c r="AC40" s="18" t="inlineStr"/>
      <c r="AD40" s="18" t="inlineStr"/>
      <c r="AE40" s="18" t="inlineStr"/>
      <c r="AF40" s="19">
        <f>COUNTIF(B40:AE40,"Required")</f>
        <v/>
      </c>
      <c r="AG40" s="19">
        <f>COUNTIF(B40:AE40,"Recommended")</f>
        <v/>
      </c>
      <c r="AH40" s="19">
        <f>AF40+AG40</f>
        <v/>
      </c>
      <c r="AI40" s="19">
        <f>IF(AF40&gt;5,"Yes","")</f>
        <v/>
      </c>
    </row>
    <row r="41">
      <c r="A41" s="17" t="inlineStr">
        <is>
          <t>SaaS Application Configuration</t>
        </is>
      </c>
      <c r="B41" s="18" t="inlineStr"/>
      <c r="C41" s="18" t="inlineStr"/>
      <c r="D41" s="18" t="inlineStr"/>
      <c r="E41" s="18" t="inlineStr"/>
      <c r="F41" s="18" t="inlineStr"/>
      <c r="G41" s="18" t="inlineStr"/>
      <c r="H41" s="18" t="inlineStr"/>
      <c r="I41" s="18" t="inlineStr"/>
      <c r="J41" s="18" t="inlineStr"/>
      <c r="K41" s="18" t="inlineStr"/>
      <c r="L41" s="18" t="inlineStr"/>
      <c r="M41" s="18" t="inlineStr"/>
      <c r="N41" s="18" t="inlineStr"/>
      <c r="O41" s="18" t="inlineStr"/>
      <c r="P41" s="18" t="inlineStr"/>
      <c r="Q41" s="18" t="inlineStr"/>
      <c r="R41" s="18" t="inlineStr"/>
      <c r="S41" s="18" t="inlineStr"/>
      <c r="T41" s="18" t="inlineStr"/>
      <c r="U41" s="18" t="inlineStr"/>
      <c r="V41" s="18" t="inlineStr"/>
      <c r="W41" s="18" t="inlineStr"/>
      <c r="X41" s="18" t="inlineStr"/>
      <c r="Y41" s="18" t="inlineStr"/>
      <c r="Z41" s="18" t="inlineStr"/>
      <c r="AA41" s="18" t="inlineStr"/>
      <c r="AB41" s="18" t="inlineStr"/>
      <c r="AC41" s="18" t="inlineStr"/>
      <c r="AD41" s="18" t="inlineStr"/>
      <c r="AE41" s="18" t="inlineStr"/>
      <c r="AF41" s="19">
        <f>COUNTIF(B41:AE41,"Required")</f>
        <v/>
      </c>
      <c r="AG41" s="19">
        <f>COUNTIF(B41:AE41,"Recommended")</f>
        <v/>
      </c>
      <c r="AH41" s="19">
        <f>AF41+AG41</f>
        <v/>
      </c>
      <c r="AI41" s="19">
        <f>IF(AF41&gt;5,"Yes","")</f>
        <v/>
      </c>
    </row>
    <row r="42">
      <c r="A42" s="17" t="inlineStr">
        <is>
          <t>Container (Docker/K8s)</t>
        </is>
      </c>
      <c r="B42" s="18" t="inlineStr"/>
      <c r="C42" s="18" t="inlineStr"/>
      <c r="D42" s="18" t="inlineStr"/>
      <c r="E42" s="18" t="inlineStr"/>
      <c r="F42" s="18" t="inlineStr"/>
      <c r="G42" s="18" t="inlineStr"/>
      <c r="H42" s="18" t="inlineStr"/>
      <c r="I42" s="18" t="inlineStr"/>
      <c r="J42" s="18" t="inlineStr"/>
      <c r="K42" s="18" t="inlineStr"/>
      <c r="L42" s="18" t="inlineStr"/>
      <c r="M42" s="18" t="inlineStr"/>
      <c r="N42" s="18" t="inlineStr"/>
      <c r="O42" s="18" t="inlineStr"/>
      <c r="P42" s="18" t="inlineStr"/>
      <c r="Q42" s="18" t="inlineStr"/>
      <c r="R42" s="18" t="inlineStr"/>
      <c r="S42" s="18" t="inlineStr"/>
      <c r="T42" s="18" t="inlineStr"/>
      <c r="U42" s="18" t="inlineStr"/>
      <c r="V42" s="18" t="inlineStr"/>
      <c r="W42" s="18" t="inlineStr"/>
      <c r="X42" s="18" t="inlineStr"/>
      <c r="Y42" s="18" t="inlineStr"/>
      <c r="Z42" s="18" t="inlineStr"/>
      <c r="AA42" s="18" t="inlineStr"/>
      <c r="AB42" s="18" t="inlineStr"/>
      <c r="AC42" s="18" t="inlineStr"/>
      <c r="AD42" s="18" t="inlineStr"/>
      <c r="AE42" s="18" t="inlineStr"/>
      <c r="AF42" s="19">
        <f>COUNTIF(B42:AE42,"Required")</f>
        <v/>
      </c>
      <c r="AG42" s="19">
        <f>COUNTIF(B42:AE42,"Recommended")</f>
        <v/>
      </c>
      <c r="AH42" s="19">
        <f>AF42+AG42</f>
        <v/>
      </c>
      <c r="AI42" s="19">
        <f>IF(AF42&gt;5,"Yes","")</f>
        <v/>
      </c>
    </row>
    <row r="43">
      <c r="A43" s="17" t="inlineStr">
        <is>
          <t>Serverless Function</t>
        </is>
      </c>
      <c r="B43" s="18" t="inlineStr"/>
      <c r="C43" s="18" t="inlineStr"/>
      <c r="D43" s="18" t="inlineStr"/>
      <c r="E43" s="18" t="inlineStr"/>
      <c r="F43" s="18" t="inlineStr"/>
      <c r="G43" s="18" t="inlineStr"/>
      <c r="H43" s="18" t="inlineStr"/>
      <c r="I43" s="18" t="inlineStr"/>
      <c r="J43" s="18" t="inlineStr"/>
      <c r="K43" s="18" t="inlineStr"/>
      <c r="L43" s="18" t="inlineStr"/>
      <c r="M43" s="18" t="inlineStr"/>
      <c r="N43" s="18" t="inlineStr"/>
      <c r="O43" s="18" t="inlineStr"/>
      <c r="P43" s="18" t="inlineStr"/>
      <c r="Q43" s="18" t="inlineStr"/>
      <c r="R43" s="18" t="inlineStr"/>
      <c r="S43" s="18" t="inlineStr"/>
      <c r="T43" s="18" t="inlineStr"/>
      <c r="U43" s="18" t="inlineStr"/>
      <c r="V43" s="18" t="inlineStr"/>
      <c r="W43" s="18" t="inlineStr"/>
      <c r="X43" s="18" t="inlineStr"/>
      <c r="Y43" s="18" t="inlineStr"/>
      <c r="Z43" s="18" t="inlineStr"/>
      <c r="AA43" s="18" t="inlineStr"/>
      <c r="AB43" s="18" t="inlineStr"/>
      <c r="AC43" s="18" t="inlineStr"/>
      <c r="AD43" s="18" t="inlineStr"/>
      <c r="AE43" s="18" t="inlineStr"/>
      <c r="AF43" s="19">
        <f>COUNTIF(B43:AE43,"Required")</f>
        <v/>
      </c>
      <c r="AG43" s="19">
        <f>COUNTIF(B43:AE43,"Recommended")</f>
        <v/>
      </c>
      <c r="AH43" s="19">
        <f>AF43+AG43</f>
        <v/>
      </c>
      <c r="AI43" s="19">
        <f>IF(AF43&gt;5,"Yes","")</f>
        <v/>
      </c>
    </row>
    <row r="44">
      <c r="A44" s="17" t="inlineStr">
        <is>
          <t>Cloud Storage Bucket</t>
        </is>
      </c>
      <c r="B44" s="18" t="inlineStr"/>
      <c r="C44" s="18" t="inlineStr"/>
      <c r="D44" s="18" t="inlineStr"/>
      <c r="E44" s="18" t="inlineStr"/>
      <c r="F44" s="18" t="inlineStr"/>
      <c r="G44" s="18" t="inlineStr"/>
      <c r="H44" s="18" t="inlineStr"/>
      <c r="I44" s="18" t="inlineStr"/>
      <c r="J44" s="18" t="inlineStr"/>
      <c r="K44" s="18" t="inlineStr"/>
      <c r="L44" s="18" t="inlineStr"/>
      <c r="M44" s="18" t="inlineStr"/>
      <c r="N44" s="18" t="inlineStr"/>
      <c r="O44" s="18" t="inlineStr"/>
      <c r="P44" s="18" t="inlineStr"/>
      <c r="Q44" s="18" t="inlineStr"/>
      <c r="R44" s="18" t="inlineStr"/>
      <c r="S44" s="18" t="inlineStr"/>
      <c r="T44" s="18" t="inlineStr"/>
      <c r="U44" s="18" t="inlineStr"/>
      <c r="V44" s="18" t="inlineStr"/>
      <c r="W44" s="18" t="inlineStr"/>
      <c r="X44" s="18" t="inlineStr"/>
      <c r="Y44" s="18" t="inlineStr"/>
      <c r="Z44" s="18" t="inlineStr"/>
      <c r="AA44" s="18" t="inlineStr"/>
      <c r="AB44" s="18" t="inlineStr"/>
      <c r="AC44" s="18" t="inlineStr"/>
      <c r="AD44" s="18" t="inlineStr"/>
      <c r="AE44" s="18" t="inlineStr"/>
      <c r="AF44" s="19">
        <f>COUNTIF(B44:AE44,"Required")</f>
        <v/>
      </c>
      <c r="AG44" s="19">
        <f>COUNTIF(B44:AE44,"Recommended")</f>
        <v/>
      </c>
      <c r="AH44" s="19">
        <f>AF44+AG44</f>
        <v/>
      </c>
      <c r="AI44" s="19">
        <f>IF(AF44&gt;5,"Yes","")</f>
        <v/>
      </c>
    </row>
    <row r="45">
      <c r="A45" s="17" t="inlineStr">
        <is>
          <t>Cloud Network Configuration</t>
        </is>
      </c>
      <c r="B45" s="18" t="inlineStr"/>
      <c r="C45" s="18" t="inlineStr"/>
      <c r="D45" s="18" t="inlineStr"/>
      <c r="E45" s="18" t="inlineStr"/>
      <c r="F45" s="18" t="inlineStr"/>
      <c r="G45" s="18" t="inlineStr"/>
      <c r="H45" s="18" t="inlineStr"/>
      <c r="I45" s="18" t="inlineStr"/>
      <c r="J45" s="18" t="inlineStr"/>
      <c r="K45" s="18" t="inlineStr"/>
      <c r="L45" s="18" t="inlineStr"/>
      <c r="M45" s="18" t="inlineStr"/>
      <c r="N45" s="18" t="inlineStr"/>
      <c r="O45" s="18" t="inlineStr"/>
      <c r="P45" s="18" t="inlineStr"/>
      <c r="Q45" s="18" t="inlineStr"/>
      <c r="R45" s="18" t="inlineStr"/>
      <c r="S45" s="18" t="inlineStr"/>
      <c r="T45" s="18" t="inlineStr"/>
      <c r="U45" s="18" t="inlineStr"/>
      <c r="V45" s="18" t="inlineStr"/>
      <c r="W45" s="18" t="inlineStr"/>
      <c r="X45" s="18" t="inlineStr"/>
      <c r="Y45" s="18" t="inlineStr"/>
      <c r="Z45" s="18" t="inlineStr"/>
      <c r="AA45" s="18" t="inlineStr"/>
      <c r="AB45" s="18" t="inlineStr"/>
      <c r="AC45" s="18" t="inlineStr"/>
      <c r="AD45" s="18" t="inlineStr"/>
      <c r="AE45" s="18" t="inlineStr"/>
      <c r="AF45" s="19">
        <f>COUNTIF(B45:AE45,"Required")</f>
        <v/>
      </c>
      <c r="AG45" s="19">
        <f>COUNTIF(B45:AE45,"Recommended")</f>
        <v/>
      </c>
      <c r="AH45" s="19">
        <f>AF45+AG45</f>
        <v/>
      </c>
      <c r="AI45" s="19">
        <f>IF(AF45&gt;5,"Yes","")</f>
        <v/>
      </c>
    </row>
    <row r="46">
      <c r="A46" s="16" t="inlineStr">
        <is>
          <t>--- IOT &amp; OT ---</t>
        </is>
      </c>
    </row>
    <row r="47">
      <c r="A47" s="17" t="inlineStr">
        <is>
          <t>Building Management System</t>
        </is>
      </c>
      <c r="B47" s="18" t="inlineStr"/>
      <c r="C47" s="18" t="inlineStr"/>
      <c r="D47" s="18" t="inlineStr"/>
      <c r="E47" s="18" t="inlineStr"/>
      <c r="F47" s="18" t="inlineStr"/>
      <c r="G47" s="18" t="inlineStr"/>
      <c r="H47" s="18" t="inlineStr"/>
      <c r="I47" s="18" t="inlineStr"/>
      <c r="J47" s="18" t="inlineStr"/>
      <c r="K47" s="18" t="inlineStr"/>
      <c r="L47" s="18" t="inlineStr"/>
      <c r="M47" s="18" t="inlineStr"/>
      <c r="N47" s="18" t="inlineStr"/>
      <c r="O47" s="18" t="inlineStr"/>
      <c r="P47" s="18" t="inlineStr"/>
      <c r="Q47" s="18" t="inlineStr"/>
      <c r="R47" s="18" t="inlineStr"/>
      <c r="S47" s="18" t="inlineStr"/>
      <c r="T47" s="18" t="inlineStr"/>
      <c r="U47" s="18" t="inlineStr"/>
      <c r="V47" s="18" t="inlineStr"/>
      <c r="W47" s="18" t="inlineStr"/>
      <c r="X47" s="18" t="inlineStr"/>
      <c r="Y47" s="18" t="inlineStr"/>
      <c r="Z47" s="18" t="inlineStr"/>
      <c r="AA47" s="18" t="inlineStr"/>
      <c r="AB47" s="18" t="inlineStr"/>
      <c r="AC47" s="18" t="inlineStr"/>
      <c r="AD47" s="18" t="inlineStr"/>
      <c r="AE47" s="18" t="inlineStr"/>
      <c r="AF47" s="19">
        <f>COUNTIF(B47:AE47,"Required")</f>
        <v/>
      </c>
      <c r="AG47" s="19">
        <f>COUNTIF(B47:AE47,"Recommended")</f>
        <v/>
      </c>
      <c r="AH47" s="19">
        <f>AF47+AG47</f>
        <v/>
      </c>
      <c r="AI47" s="19">
        <f>IF(AF47&gt;5,"Yes","")</f>
        <v/>
      </c>
    </row>
    <row r="48">
      <c r="A48" s="17" t="inlineStr">
        <is>
          <t>Physical Security System</t>
        </is>
      </c>
      <c r="B48" s="18" t="inlineStr"/>
      <c r="C48" s="18" t="inlineStr"/>
      <c r="D48" s="18" t="inlineStr"/>
      <c r="E48" s="18" t="inlineStr"/>
      <c r="F48" s="18" t="inlineStr"/>
      <c r="G48" s="18" t="inlineStr"/>
      <c r="H48" s="18" t="inlineStr"/>
      <c r="I48" s="18" t="inlineStr"/>
      <c r="J48" s="18" t="inlineStr"/>
      <c r="K48" s="18" t="inlineStr"/>
      <c r="L48" s="18" t="inlineStr"/>
      <c r="M48" s="18" t="inlineStr"/>
      <c r="N48" s="18" t="inlineStr"/>
      <c r="O48" s="18" t="inlineStr"/>
      <c r="P48" s="18" t="inlineStr"/>
      <c r="Q48" s="18" t="inlineStr"/>
      <c r="R48" s="18" t="inlineStr"/>
      <c r="S48" s="18" t="inlineStr"/>
      <c r="T48" s="18" t="inlineStr"/>
      <c r="U48" s="18" t="inlineStr"/>
      <c r="V48" s="18" t="inlineStr"/>
      <c r="W48" s="18" t="inlineStr"/>
      <c r="X48" s="18" t="inlineStr"/>
      <c r="Y48" s="18" t="inlineStr"/>
      <c r="Z48" s="18" t="inlineStr"/>
      <c r="AA48" s="18" t="inlineStr"/>
      <c r="AB48" s="18" t="inlineStr"/>
      <c r="AC48" s="18" t="inlineStr"/>
      <c r="AD48" s="18" t="inlineStr"/>
      <c r="AE48" s="18" t="inlineStr"/>
      <c r="AF48" s="19">
        <f>COUNTIF(B48:AE48,"Required")</f>
        <v/>
      </c>
      <c r="AG48" s="19">
        <f>COUNTIF(B48:AE48,"Recommended")</f>
        <v/>
      </c>
      <c r="AH48" s="19">
        <f>AF48+AG48</f>
        <v/>
      </c>
      <c r="AI48" s="19">
        <f>IF(AF48&gt;5,"Yes","")</f>
        <v/>
      </c>
    </row>
    <row r="49">
      <c r="A49" s="17" t="inlineStr">
        <is>
          <t>Industrial Control System (ICS)</t>
        </is>
      </c>
      <c r="B49" s="18" t="inlineStr"/>
      <c r="C49" s="18" t="inlineStr"/>
      <c r="D49" s="18" t="inlineStr"/>
      <c r="E49" s="18" t="inlineStr"/>
      <c r="F49" s="18" t="inlineStr"/>
      <c r="G49" s="18" t="inlineStr"/>
      <c r="H49" s="18" t="inlineStr"/>
      <c r="I49" s="18" t="inlineStr"/>
      <c r="J49" s="18" t="inlineStr"/>
      <c r="K49" s="18" t="inlineStr"/>
      <c r="L49" s="18" t="inlineStr"/>
      <c r="M49" s="18" t="inlineStr"/>
      <c r="N49" s="18" t="inlineStr"/>
      <c r="O49" s="18" t="inlineStr"/>
      <c r="P49" s="18" t="inlineStr"/>
      <c r="Q49" s="18" t="inlineStr"/>
      <c r="R49" s="18" t="inlineStr"/>
      <c r="S49" s="18" t="inlineStr"/>
      <c r="T49" s="18" t="inlineStr"/>
      <c r="U49" s="18" t="inlineStr"/>
      <c r="V49" s="18" t="inlineStr"/>
      <c r="W49" s="18" t="inlineStr"/>
      <c r="X49" s="18" t="inlineStr"/>
      <c r="Y49" s="18" t="inlineStr"/>
      <c r="Z49" s="18" t="inlineStr"/>
      <c r="AA49" s="18" t="inlineStr"/>
      <c r="AB49" s="18" t="inlineStr"/>
      <c r="AC49" s="18" t="inlineStr"/>
      <c r="AD49" s="18" t="inlineStr"/>
      <c r="AE49" s="18" t="inlineStr"/>
      <c r="AF49" s="19">
        <f>COUNTIF(B49:AE49,"Required")</f>
        <v/>
      </c>
      <c r="AG49" s="19">
        <f>COUNTIF(B49:AE49,"Recommended")</f>
        <v/>
      </c>
      <c r="AH49" s="19">
        <f>AF49+AG49</f>
        <v/>
      </c>
      <c r="AI49" s="19">
        <f>IF(AF49&gt;5,"Yes","")</f>
        <v/>
      </c>
    </row>
    <row r="50">
      <c r="A50" s="17" t="inlineStr">
        <is>
          <t>SCADA System</t>
        </is>
      </c>
      <c r="B50" s="18" t="inlineStr"/>
      <c r="C50" s="18" t="inlineStr"/>
      <c r="D50" s="18" t="inlineStr"/>
      <c r="E50" s="18" t="inlineStr"/>
      <c r="F50" s="18" t="inlineStr"/>
      <c r="G50" s="18" t="inlineStr"/>
      <c r="H50" s="18" t="inlineStr"/>
      <c r="I50" s="18" t="inlineStr"/>
      <c r="J50" s="18" t="inlineStr"/>
      <c r="K50" s="18" t="inlineStr"/>
      <c r="L50" s="18" t="inlineStr"/>
      <c r="M50" s="18" t="inlineStr"/>
      <c r="N50" s="18" t="inlineStr"/>
      <c r="O50" s="18" t="inlineStr"/>
      <c r="P50" s="18" t="inlineStr"/>
      <c r="Q50" s="18" t="inlineStr"/>
      <c r="R50" s="18" t="inlineStr"/>
      <c r="S50" s="18" t="inlineStr"/>
      <c r="T50" s="18" t="inlineStr"/>
      <c r="U50" s="18" t="inlineStr"/>
      <c r="V50" s="18" t="inlineStr"/>
      <c r="W50" s="18" t="inlineStr"/>
      <c r="X50" s="18" t="inlineStr"/>
      <c r="Y50" s="18" t="inlineStr"/>
      <c r="Z50" s="18" t="inlineStr"/>
      <c r="AA50" s="18" t="inlineStr"/>
      <c r="AB50" s="18" t="inlineStr"/>
      <c r="AC50" s="18" t="inlineStr"/>
      <c r="AD50" s="18" t="inlineStr"/>
      <c r="AE50" s="18" t="inlineStr"/>
      <c r="AF50" s="19">
        <f>COUNTIF(B50:AE50,"Required")</f>
        <v/>
      </c>
      <c r="AG50" s="19">
        <f>COUNTIF(B50:AE50,"Recommended")</f>
        <v/>
      </c>
      <c r="AH50" s="19">
        <f>AF50+AG50</f>
        <v/>
      </c>
      <c r="AI50" s="19">
        <f>IF(AF50&gt;5,"Yes","")</f>
        <v/>
      </c>
    </row>
    <row r="51">
      <c r="A51" s="17" t="inlineStr">
        <is>
          <t>IoT Sensor/Device</t>
        </is>
      </c>
      <c r="B51" s="18" t="inlineStr"/>
      <c r="C51" s="18" t="inlineStr"/>
      <c r="D51" s="18" t="inlineStr"/>
      <c r="E51" s="18" t="inlineStr"/>
      <c r="F51" s="18" t="inlineStr"/>
      <c r="G51" s="18" t="inlineStr"/>
      <c r="H51" s="18" t="inlineStr"/>
      <c r="I51" s="18" t="inlineStr"/>
      <c r="J51" s="18" t="inlineStr"/>
      <c r="K51" s="18" t="inlineStr"/>
      <c r="L51" s="18" t="inlineStr"/>
      <c r="M51" s="18" t="inlineStr"/>
      <c r="N51" s="18" t="inlineStr"/>
      <c r="O51" s="18" t="inlineStr"/>
      <c r="P51" s="18" t="inlineStr"/>
      <c r="Q51" s="18" t="inlineStr"/>
      <c r="R51" s="18" t="inlineStr"/>
      <c r="S51" s="18" t="inlineStr"/>
      <c r="T51" s="18" t="inlineStr"/>
      <c r="U51" s="18" t="inlineStr"/>
      <c r="V51" s="18" t="inlineStr"/>
      <c r="W51" s="18" t="inlineStr"/>
      <c r="X51" s="18" t="inlineStr"/>
      <c r="Y51" s="18" t="inlineStr"/>
      <c r="Z51" s="18" t="inlineStr"/>
      <c r="AA51" s="18" t="inlineStr"/>
      <c r="AB51" s="18" t="inlineStr"/>
      <c r="AC51" s="18" t="inlineStr"/>
      <c r="AD51" s="18" t="inlineStr"/>
      <c r="AE51" s="18" t="inlineStr"/>
      <c r="AF51" s="19">
        <f>COUNTIF(B51:AE51,"Required")</f>
        <v/>
      </c>
      <c r="AG51" s="19">
        <f>COUNTIF(B51:AE51,"Recommended")</f>
        <v/>
      </c>
      <c r="AH51" s="19">
        <f>AF51+AG51</f>
        <v/>
      </c>
      <c r="AI51" s="19">
        <f>IF(AF51&gt;5,"Yes","")</f>
        <v/>
      </c>
    </row>
  </sheetData>
  <mergeCells count="7">
    <mergeCell ref="A38:AI38"/>
    <mergeCell ref="A46:AI46"/>
    <mergeCell ref="A13:AI13"/>
    <mergeCell ref="A1:AI1"/>
    <mergeCell ref="A3:AI3"/>
    <mergeCell ref="A21:AI21"/>
    <mergeCell ref="A30:AI30"/>
  </mergeCells>
  <conditionalFormatting sqref="B3:B51">
    <cfRule type="cellIs" priority="1" operator="equal" dxfId="3">
      <formula>"Required"</formula>
    </cfRule>
    <cfRule type="cellIs" priority="2" operator="equal" dxfId="3">
      <formula>"Recommended"</formula>
    </cfRule>
    <cfRule type="cellIs" priority="3" operator="equal" dxfId="4">
      <formula>"Optional"</formula>
    </cfRule>
    <cfRule type="cellIs" priority="4" operator="equal" dxfId="2">
      <formula>"Not Applicable"</formula>
    </cfRule>
  </conditionalFormatting>
  <conditionalFormatting sqref="C3:C51">
    <cfRule type="cellIs" priority="5" operator="equal" dxfId="3">
      <formula>"Required"</formula>
    </cfRule>
    <cfRule type="cellIs" priority="6" operator="equal" dxfId="3">
      <formula>"Recommended"</formula>
    </cfRule>
    <cfRule type="cellIs" priority="7" operator="equal" dxfId="4">
      <formula>"Optional"</formula>
    </cfRule>
    <cfRule type="cellIs" priority="8" operator="equal" dxfId="2">
      <formula>"Not Applicable"</formula>
    </cfRule>
  </conditionalFormatting>
  <conditionalFormatting sqref="D3:D51">
    <cfRule type="cellIs" priority="9" operator="equal" dxfId="3">
      <formula>"Required"</formula>
    </cfRule>
    <cfRule type="cellIs" priority="10" operator="equal" dxfId="3">
      <formula>"Recommended"</formula>
    </cfRule>
    <cfRule type="cellIs" priority="11" operator="equal" dxfId="4">
      <formula>"Optional"</formula>
    </cfRule>
    <cfRule type="cellIs" priority="12" operator="equal" dxfId="2">
      <formula>"Not Applicable"</formula>
    </cfRule>
  </conditionalFormatting>
  <conditionalFormatting sqref="E3:E51">
    <cfRule type="cellIs" priority="13" operator="equal" dxfId="3">
      <formula>"Required"</formula>
    </cfRule>
    <cfRule type="cellIs" priority="14" operator="equal" dxfId="3">
      <formula>"Recommended"</formula>
    </cfRule>
    <cfRule type="cellIs" priority="15" operator="equal" dxfId="4">
      <formula>"Optional"</formula>
    </cfRule>
    <cfRule type="cellIs" priority="16" operator="equal" dxfId="2">
      <formula>"Not Applicable"</formula>
    </cfRule>
  </conditionalFormatting>
  <conditionalFormatting sqref="F3:F51">
    <cfRule type="cellIs" priority="17" operator="equal" dxfId="3">
      <formula>"Required"</formula>
    </cfRule>
    <cfRule type="cellIs" priority="18" operator="equal" dxfId="3">
      <formula>"Recommended"</formula>
    </cfRule>
    <cfRule type="cellIs" priority="19" operator="equal" dxfId="4">
      <formula>"Optional"</formula>
    </cfRule>
    <cfRule type="cellIs" priority="20" operator="equal" dxfId="2">
      <formula>"Not Applicable"</formula>
    </cfRule>
  </conditionalFormatting>
  <conditionalFormatting sqref="G3:G51">
    <cfRule type="cellIs" priority="21" operator="equal" dxfId="3">
      <formula>"Required"</formula>
    </cfRule>
    <cfRule type="cellIs" priority="22" operator="equal" dxfId="3">
      <formula>"Recommended"</formula>
    </cfRule>
    <cfRule type="cellIs" priority="23" operator="equal" dxfId="4">
      <formula>"Optional"</formula>
    </cfRule>
    <cfRule type="cellIs" priority="24" operator="equal" dxfId="2">
      <formula>"Not Applicable"</formula>
    </cfRule>
  </conditionalFormatting>
  <conditionalFormatting sqref="H3:H51">
    <cfRule type="cellIs" priority="25" operator="equal" dxfId="3">
      <formula>"Required"</formula>
    </cfRule>
    <cfRule type="cellIs" priority="26" operator="equal" dxfId="3">
      <formula>"Recommended"</formula>
    </cfRule>
    <cfRule type="cellIs" priority="27" operator="equal" dxfId="4">
      <formula>"Optional"</formula>
    </cfRule>
    <cfRule type="cellIs" priority="28" operator="equal" dxfId="2">
      <formula>"Not Applicable"</formula>
    </cfRule>
  </conditionalFormatting>
  <conditionalFormatting sqref="I3:I51">
    <cfRule type="cellIs" priority="29" operator="equal" dxfId="3">
      <formula>"Required"</formula>
    </cfRule>
    <cfRule type="cellIs" priority="30" operator="equal" dxfId="3">
      <formula>"Recommended"</formula>
    </cfRule>
    <cfRule type="cellIs" priority="31" operator="equal" dxfId="4">
      <formula>"Optional"</formula>
    </cfRule>
    <cfRule type="cellIs" priority="32" operator="equal" dxfId="2">
      <formula>"Not Applicable"</formula>
    </cfRule>
  </conditionalFormatting>
  <conditionalFormatting sqref="J3:J51">
    <cfRule type="cellIs" priority="33" operator="equal" dxfId="3">
      <formula>"Required"</formula>
    </cfRule>
    <cfRule type="cellIs" priority="34" operator="equal" dxfId="3">
      <formula>"Recommended"</formula>
    </cfRule>
    <cfRule type="cellIs" priority="35" operator="equal" dxfId="4">
      <formula>"Optional"</formula>
    </cfRule>
    <cfRule type="cellIs" priority="36" operator="equal" dxfId="2">
      <formula>"Not Applicable"</formula>
    </cfRule>
  </conditionalFormatting>
  <conditionalFormatting sqref="K3:K51">
    <cfRule type="cellIs" priority="37" operator="equal" dxfId="3">
      <formula>"Required"</formula>
    </cfRule>
    <cfRule type="cellIs" priority="38" operator="equal" dxfId="3">
      <formula>"Recommended"</formula>
    </cfRule>
    <cfRule type="cellIs" priority="39" operator="equal" dxfId="4">
      <formula>"Optional"</formula>
    </cfRule>
    <cfRule type="cellIs" priority="40" operator="equal" dxfId="2">
      <formula>"Not Applicable"</formula>
    </cfRule>
  </conditionalFormatting>
  <conditionalFormatting sqref="L3:L51">
    <cfRule type="cellIs" priority="41" operator="equal" dxfId="3">
      <formula>"Required"</formula>
    </cfRule>
    <cfRule type="cellIs" priority="42" operator="equal" dxfId="3">
      <formula>"Recommended"</formula>
    </cfRule>
    <cfRule type="cellIs" priority="43" operator="equal" dxfId="4">
      <formula>"Optional"</formula>
    </cfRule>
    <cfRule type="cellIs" priority="44" operator="equal" dxfId="2">
      <formula>"Not Applicable"</formula>
    </cfRule>
  </conditionalFormatting>
  <conditionalFormatting sqref="M3:M51">
    <cfRule type="cellIs" priority="45" operator="equal" dxfId="3">
      <formula>"Required"</formula>
    </cfRule>
    <cfRule type="cellIs" priority="46" operator="equal" dxfId="3">
      <formula>"Recommended"</formula>
    </cfRule>
    <cfRule type="cellIs" priority="47" operator="equal" dxfId="4">
      <formula>"Optional"</formula>
    </cfRule>
    <cfRule type="cellIs" priority="48" operator="equal" dxfId="2">
      <formula>"Not Applicable"</formula>
    </cfRule>
  </conditionalFormatting>
  <conditionalFormatting sqref="N3:N51">
    <cfRule type="cellIs" priority="49" operator="equal" dxfId="3">
      <formula>"Required"</formula>
    </cfRule>
    <cfRule type="cellIs" priority="50" operator="equal" dxfId="3">
      <formula>"Recommended"</formula>
    </cfRule>
    <cfRule type="cellIs" priority="51" operator="equal" dxfId="4">
      <formula>"Optional"</formula>
    </cfRule>
    <cfRule type="cellIs" priority="52" operator="equal" dxfId="2">
      <formula>"Not Applicable"</formula>
    </cfRule>
  </conditionalFormatting>
  <conditionalFormatting sqref="O3:O51">
    <cfRule type="cellIs" priority="53" operator="equal" dxfId="3">
      <formula>"Required"</formula>
    </cfRule>
    <cfRule type="cellIs" priority="54" operator="equal" dxfId="3">
      <formula>"Recommended"</formula>
    </cfRule>
    <cfRule type="cellIs" priority="55" operator="equal" dxfId="4">
      <formula>"Optional"</formula>
    </cfRule>
    <cfRule type="cellIs" priority="56" operator="equal" dxfId="2">
      <formula>"Not Applicable"</formula>
    </cfRule>
  </conditionalFormatting>
  <conditionalFormatting sqref="P3:P51">
    <cfRule type="cellIs" priority="57" operator="equal" dxfId="3">
      <formula>"Required"</formula>
    </cfRule>
    <cfRule type="cellIs" priority="58" operator="equal" dxfId="3">
      <formula>"Recommended"</formula>
    </cfRule>
    <cfRule type="cellIs" priority="59" operator="equal" dxfId="4">
      <formula>"Optional"</formula>
    </cfRule>
    <cfRule type="cellIs" priority="60" operator="equal" dxfId="2">
      <formula>"Not Applicable"</formula>
    </cfRule>
  </conditionalFormatting>
  <conditionalFormatting sqref="Q3:Q51">
    <cfRule type="cellIs" priority="61" operator="equal" dxfId="3">
      <formula>"Required"</formula>
    </cfRule>
    <cfRule type="cellIs" priority="62" operator="equal" dxfId="3">
      <formula>"Recommended"</formula>
    </cfRule>
    <cfRule type="cellIs" priority="63" operator="equal" dxfId="4">
      <formula>"Optional"</formula>
    </cfRule>
    <cfRule type="cellIs" priority="64" operator="equal" dxfId="2">
      <formula>"Not Applicable"</formula>
    </cfRule>
  </conditionalFormatting>
  <conditionalFormatting sqref="R3:R51">
    <cfRule type="cellIs" priority="65" operator="equal" dxfId="3">
      <formula>"Required"</formula>
    </cfRule>
    <cfRule type="cellIs" priority="66" operator="equal" dxfId="3">
      <formula>"Recommended"</formula>
    </cfRule>
    <cfRule type="cellIs" priority="67" operator="equal" dxfId="4">
      <formula>"Optional"</formula>
    </cfRule>
    <cfRule type="cellIs" priority="68" operator="equal" dxfId="2">
      <formula>"Not Applicable"</formula>
    </cfRule>
  </conditionalFormatting>
  <conditionalFormatting sqref="S3:S51">
    <cfRule type="cellIs" priority="69" operator="equal" dxfId="3">
      <formula>"Required"</formula>
    </cfRule>
    <cfRule type="cellIs" priority="70" operator="equal" dxfId="3">
      <formula>"Recommended"</formula>
    </cfRule>
    <cfRule type="cellIs" priority="71" operator="equal" dxfId="4">
      <formula>"Optional"</formula>
    </cfRule>
    <cfRule type="cellIs" priority="72" operator="equal" dxfId="2">
      <formula>"Not Applicable"</formula>
    </cfRule>
  </conditionalFormatting>
  <conditionalFormatting sqref="T3:T51">
    <cfRule type="cellIs" priority="73" operator="equal" dxfId="3">
      <formula>"Required"</formula>
    </cfRule>
    <cfRule type="cellIs" priority="74" operator="equal" dxfId="3">
      <formula>"Recommended"</formula>
    </cfRule>
    <cfRule type="cellIs" priority="75" operator="equal" dxfId="4">
      <formula>"Optional"</formula>
    </cfRule>
    <cfRule type="cellIs" priority="76" operator="equal" dxfId="2">
      <formula>"Not Applicable"</formula>
    </cfRule>
  </conditionalFormatting>
  <conditionalFormatting sqref="U3:U51">
    <cfRule type="cellIs" priority="77" operator="equal" dxfId="3">
      <formula>"Required"</formula>
    </cfRule>
    <cfRule type="cellIs" priority="78" operator="equal" dxfId="3">
      <formula>"Recommended"</formula>
    </cfRule>
    <cfRule type="cellIs" priority="79" operator="equal" dxfId="4">
      <formula>"Optional"</formula>
    </cfRule>
    <cfRule type="cellIs" priority="80" operator="equal" dxfId="2">
      <formula>"Not Applicable"</formula>
    </cfRule>
  </conditionalFormatting>
  <conditionalFormatting sqref="V3:V51">
    <cfRule type="cellIs" priority="81" operator="equal" dxfId="3">
      <formula>"Required"</formula>
    </cfRule>
    <cfRule type="cellIs" priority="82" operator="equal" dxfId="3">
      <formula>"Recommended"</formula>
    </cfRule>
    <cfRule type="cellIs" priority="83" operator="equal" dxfId="4">
      <formula>"Optional"</formula>
    </cfRule>
    <cfRule type="cellIs" priority="84" operator="equal" dxfId="2">
      <formula>"Not Applicable"</formula>
    </cfRule>
  </conditionalFormatting>
  <conditionalFormatting sqref="W3:W51">
    <cfRule type="cellIs" priority="85" operator="equal" dxfId="3">
      <formula>"Required"</formula>
    </cfRule>
    <cfRule type="cellIs" priority="86" operator="equal" dxfId="3">
      <formula>"Recommended"</formula>
    </cfRule>
    <cfRule type="cellIs" priority="87" operator="equal" dxfId="4">
      <formula>"Optional"</formula>
    </cfRule>
    <cfRule type="cellIs" priority="88" operator="equal" dxfId="2">
      <formula>"Not Applicable"</formula>
    </cfRule>
  </conditionalFormatting>
  <conditionalFormatting sqref="X3:X51">
    <cfRule type="cellIs" priority="89" operator="equal" dxfId="3">
      <formula>"Required"</formula>
    </cfRule>
    <cfRule type="cellIs" priority="90" operator="equal" dxfId="3">
      <formula>"Recommended"</formula>
    </cfRule>
    <cfRule type="cellIs" priority="91" operator="equal" dxfId="4">
      <formula>"Optional"</formula>
    </cfRule>
    <cfRule type="cellIs" priority="92" operator="equal" dxfId="2">
      <formula>"Not Applicable"</formula>
    </cfRule>
  </conditionalFormatting>
  <conditionalFormatting sqref="Y3:Y51">
    <cfRule type="cellIs" priority="93" operator="equal" dxfId="3">
      <formula>"Required"</formula>
    </cfRule>
    <cfRule type="cellIs" priority="94" operator="equal" dxfId="3">
      <formula>"Recommended"</formula>
    </cfRule>
    <cfRule type="cellIs" priority="95" operator="equal" dxfId="4">
      <formula>"Optional"</formula>
    </cfRule>
    <cfRule type="cellIs" priority="96" operator="equal" dxfId="2">
      <formula>"Not Applicable"</formula>
    </cfRule>
  </conditionalFormatting>
  <conditionalFormatting sqref="Z3:Z51">
    <cfRule type="cellIs" priority="97" operator="equal" dxfId="3">
      <formula>"Required"</formula>
    </cfRule>
    <cfRule type="cellIs" priority="98" operator="equal" dxfId="3">
      <formula>"Recommended"</formula>
    </cfRule>
    <cfRule type="cellIs" priority="99" operator="equal" dxfId="4">
      <formula>"Optional"</formula>
    </cfRule>
    <cfRule type="cellIs" priority="100" operator="equal" dxfId="2">
      <formula>"Not Applicable"</formula>
    </cfRule>
  </conditionalFormatting>
  <conditionalFormatting sqref="AA3:AA51">
    <cfRule type="cellIs" priority="101" operator="equal" dxfId="3">
      <formula>"Required"</formula>
    </cfRule>
    <cfRule type="cellIs" priority="102" operator="equal" dxfId="3">
      <formula>"Recommended"</formula>
    </cfRule>
    <cfRule type="cellIs" priority="103" operator="equal" dxfId="4">
      <formula>"Optional"</formula>
    </cfRule>
    <cfRule type="cellIs" priority="104" operator="equal" dxfId="2">
      <formula>"Not Applicable"</formula>
    </cfRule>
  </conditionalFormatting>
  <conditionalFormatting sqref="AB3:AB51">
    <cfRule type="cellIs" priority="105" operator="equal" dxfId="3">
      <formula>"Required"</formula>
    </cfRule>
    <cfRule type="cellIs" priority="106" operator="equal" dxfId="3">
      <formula>"Recommended"</formula>
    </cfRule>
    <cfRule type="cellIs" priority="107" operator="equal" dxfId="4">
      <formula>"Optional"</formula>
    </cfRule>
    <cfRule type="cellIs" priority="108" operator="equal" dxfId="2">
      <formula>"Not Applicable"</formula>
    </cfRule>
  </conditionalFormatting>
  <conditionalFormatting sqref="AC3:AC51">
    <cfRule type="cellIs" priority="109" operator="equal" dxfId="3">
      <formula>"Required"</formula>
    </cfRule>
    <cfRule type="cellIs" priority="110" operator="equal" dxfId="3">
      <formula>"Recommended"</formula>
    </cfRule>
    <cfRule type="cellIs" priority="111" operator="equal" dxfId="4">
      <formula>"Optional"</formula>
    </cfRule>
    <cfRule type="cellIs" priority="112" operator="equal" dxfId="2">
      <formula>"Not Applicable"</formula>
    </cfRule>
  </conditionalFormatting>
  <conditionalFormatting sqref="AD3:AD51">
    <cfRule type="cellIs" priority="113" operator="equal" dxfId="3">
      <formula>"Required"</formula>
    </cfRule>
    <cfRule type="cellIs" priority="114" operator="equal" dxfId="3">
      <formula>"Recommended"</formula>
    </cfRule>
    <cfRule type="cellIs" priority="115" operator="equal" dxfId="4">
      <formula>"Optional"</formula>
    </cfRule>
    <cfRule type="cellIs" priority="116" operator="equal" dxfId="2">
      <formula>"Not Applicable"</formula>
    </cfRule>
  </conditionalFormatting>
  <conditionalFormatting sqref="AE3:AE51">
    <cfRule type="cellIs" priority="117" operator="equal" dxfId="3">
      <formula>"Required"</formula>
    </cfRule>
    <cfRule type="cellIs" priority="118" operator="equal" dxfId="3">
      <formula>"Recommended"</formula>
    </cfRule>
    <cfRule type="cellIs" priority="119" operator="equal" dxfId="4">
      <formula>"Optional"</formula>
    </cfRule>
    <cfRule type="cellIs" priority="120" operator="equal" dxfId="2">
      <formula>"Not Applicable"</formula>
    </cfRule>
  </conditionalFormatting>
  <conditionalFormatting sqref="AI3:AI51">
    <cfRule type="cellIs" priority="121" operator="equal" dxfId="1">
      <formula>"Yes"</formula>
    </cfRule>
  </conditionalFormatting>
  <dataValidations count="1">
    <dataValidation sqref="B3:AE51" showDropDown="0" showInputMessage="0" showErrorMessage="1" allowBlank="1" errorTitle="Invalid Entry" error="Please select from the dropdown list." type="list">
      <formula1>"Required,Recommended,Optional,Not Applicable"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101"/>
  <sheetViews>
    <sheetView showGridLines="0" workbookViewId="0">
      <pane ySplit="1" topLeftCell="A2" activePane="bottomLeft" state="frozen"/>
      <selection pane="bottomLeft" activeCell="A1" sqref="A1"/>
    </sheetView>
  </sheetViews>
  <sheetFormatPr baseColWidth="8" defaultRowHeight="15"/>
  <cols>
    <col width="12" customWidth="1" min="1" max="1"/>
    <col width="30" customWidth="1" min="2" max="2"/>
    <col width="25" customWidth="1" min="3" max="3"/>
    <col width="12" customWidth="1" min="4" max="4"/>
    <col width="25" customWidth="1" min="5" max="5"/>
    <col width="20" customWidth="1" min="6" max="6"/>
    <col width="25" customWidth="1" min="7" max="7"/>
    <col width="25" customWidth="1" min="8" max="8"/>
    <col width="15" customWidth="1" min="9" max="9"/>
    <col width="14" customWidth="1" min="10" max="10"/>
    <col width="18" customWidth="1" min="11" max="11"/>
    <col width="14" customWidth="1" min="12" max="12"/>
    <col width="22" customWidth="1" min="13" max="13"/>
    <col width="22" customWidth="1" min="14" max="14"/>
    <col width="18" customWidth="1" min="15" max="15"/>
    <col width="14" customWidth="1" min="16" max="16"/>
    <col width="16" customWidth="1" min="17" max="17"/>
    <col width="14" customWidth="1" min="18" max="18"/>
    <col width="16" customWidth="1" min="19" max="19"/>
    <col width="22" customWidth="1" min="20" max="20"/>
    <col width="20" customWidth="1" min="21" max="21"/>
    <col width="18" customWidth="1" min="22" max="22"/>
    <col width="18" customWidth="1" min="23" max="23"/>
    <col width="25" customWidth="1" min="24" max="24"/>
    <col width="20" customWidth="1" min="25" max="25"/>
    <col width="18" customWidth="1" min="26" max="26"/>
    <col width="20" customWidth="1" min="27" max="27"/>
    <col width="40" customWidth="1" min="28" max="28"/>
  </cols>
  <sheetData>
    <row r="1">
      <c r="A1" s="12" t="inlineStr">
        <is>
          <t>Asset ID</t>
        </is>
      </c>
      <c r="B1" s="12" t="inlineStr">
        <is>
          <t>Asset Name</t>
        </is>
      </c>
      <c r="C1" s="12" t="inlineStr">
        <is>
          <t>Asset Type</t>
        </is>
      </c>
      <c r="D1" s="12" t="inlineStr">
        <is>
          <t>Asset Tier</t>
        </is>
      </c>
      <c r="E1" s="12" t="inlineStr">
        <is>
          <t>Asset Owner</t>
        </is>
      </c>
      <c r="F1" s="12" t="inlineStr">
        <is>
          <t>Location</t>
        </is>
      </c>
      <c r="G1" s="12" t="inlineStr">
        <is>
          <t>Operating System</t>
        </is>
      </c>
      <c r="H1" s="12" t="inlineStr">
        <is>
          <t>Applicable Standards</t>
        </is>
      </c>
      <c r="I1" s="12" t="inlineStr">
        <is>
          <t>Standards Count</t>
        </is>
      </c>
      <c r="J1" s="12" t="inlineStr">
        <is>
          <t>Total Controls</t>
        </is>
      </c>
      <c r="K1" s="12" t="inlineStr">
        <is>
          <t>Implemented Controls</t>
        </is>
      </c>
      <c r="L1" s="12" t="inlineStr">
        <is>
          <t>Partial Controls</t>
        </is>
      </c>
      <c r="M1" s="12" t="inlineStr">
        <is>
          <t>Not Implemented Controls</t>
        </is>
      </c>
      <c r="N1" s="12" t="inlineStr">
        <is>
          <t>Not Applicable Controls</t>
        </is>
      </c>
      <c r="O1" s="12" t="inlineStr">
        <is>
          <t>Compliance Percentage</t>
        </is>
      </c>
      <c r="P1" s="12" t="inlineStr">
        <is>
          <t>High Risk Gaps</t>
        </is>
      </c>
      <c r="Q1" s="12" t="inlineStr">
        <is>
          <t>Medium Risk Gaps</t>
        </is>
      </c>
      <c r="R1" s="12" t="inlineStr">
        <is>
          <t>Low Risk Gaps</t>
        </is>
      </c>
      <c r="S1" s="12" t="inlineStr">
        <is>
          <t>Active Exceptions</t>
        </is>
      </c>
      <c r="T1" s="12" t="inlineStr">
        <is>
          <t>Compensating Controls</t>
        </is>
      </c>
      <c r="U1" s="12" t="inlineStr">
        <is>
          <t>Compliance Status</t>
        </is>
      </c>
      <c r="V1" s="12" t="inlineStr">
        <is>
          <t>Last Assessment Date</t>
        </is>
      </c>
      <c r="W1" s="12" t="inlineStr">
        <is>
          <t>Next Assessment Date</t>
        </is>
      </c>
      <c r="X1" s="12" t="inlineStr">
        <is>
          <t>Assessor</t>
        </is>
      </c>
      <c r="Y1" s="12" t="inlineStr">
        <is>
          <t>Evidence Reference</t>
        </is>
      </c>
      <c r="Z1" s="12" t="inlineStr">
        <is>
          <t>Remediation Status</t>
        </is>
      </c>
      <c r="AA1" s="12" t="inlineStr">
        <is>
          <t>Target Compliance Date</t>
        </is>
      </c>
      <c r="AB1" s="12" t="inlineStr">
        <is>
          <t>Notes</t>
        </is>
      </c>
    </row>
    <row r="2">
      <c r="I2" t="inlineStr"/>
      <c r="O2" s="20">
        <f>IF(AND(J2&gt;0,(J2-N2)&gt;0), (K2+(L2*0.5))/(J2-N2), "")</f>
        <v/>
      </c>
      <c r="U2">
        <f>IF(O2="","", IF(AND(O2=1, P2=0), "Fully Compliant", IF(AND(O2&gt;=0.95, P2=0), "Compliant", IF(O2&gt;=0.9, "Substantially Compliant", IF(O2&gt;=0.8, "Partially Compliant", "Non-Compliant")))))</f>
        <v/>
      </c>
      <c r="W2" s="21">
        <f>IF(V2&lt;&gt;"", V2+90, "")</f>
        <v/>
      </c>
      <c r="X2" t="inlineStr">
        <is>
          <t>[Security Analyst]</t>
        </is>
      </c>
      <c r="Z2" t="inlineStr">
        <is>
          <t>Not Started</t>
        </is>
      </c>
    </row>
    <row r="3">
      <c r="I3" t="inlineStr"/>
      <c r="O3" s="20">
        <f>IF(AND(J3&gt;0,(J3-N3)&gt;0), (K3+(L3*0.5))/(J3-N3), "")</f>
        <v/>
      </c>
      <c r="U3">
        <f>IF(O3="","", IF(AND(O3=1, P3=0), "Fully Compliant", IF(AND(O3&gt;=0.95, P3=0), "Compliant", IF(O3&gt;=0.9, "Substantially Compliant", IF(O3&gt;=0.8, "Partially Compliant", "Non-Compliant")))))</f>
        <v/>
      </c>
      <c r="W3" s="21">
        <f>IF(V3&lt;&gt;"", V3+90, "")</f>
        <v/>
      </c>
      <c r="X3" t="inlineStr">
        <is>
          <t>[Security Analyst]</t>
        </is>
      </c>
      <c r="Z3" t="inlineStr">
        <is>
          <t>Not Started</t>
        </is>
      </c>
    </row>
    <row r="4">
      <c r="I4" t="inlineStr"/>
      <c r="O4" s="20">
        <f>IF(AND(J4&gt;0,(J4-N4)&gt;0), (K4+(L4*0.5))/(J4-N4), "")</f>
        <v/>
      </c>
      <c r="U4">
        <f>IF(O4="","", IF(AND(O4=1, P4=0), "Fully Compliant", IF(AND(O4&gt;=0.95, P4=0), "Compliant", IF(O4&gt;=0.9, "Substantially Compliant", IF(O4&gt;=0.8, "Partially Compliant", "Non-Compliant")))))</f>
        <v/>
      </c>
      <c r="W4" s="21">
        <f>IF(V4&lt;&gt;"", V4+90, "")</f>
        <v/>
      </c>
      <c r="X4" t="inlineStr">
        <is>
          <t>[Security Analyst]</t>
        </is>
      </c>
      <c r="Z4" t="inlineStr">
        <is>
          <t>Not Started</t>
        </is>
      </c>
    </row>
    <row r="5">
      <c r="I5" t="inlineStr"/>
      <c r="O5" s="20">
        <f>IF(AND(J5&gt;0,(J5-N5)&gt;0), (K5+(L5*0.5))/(J5-N5), "")</f>
        <v/>
      </c>
      <c r="U5">
        <f>IF(O5="","", IF(AND(O5=1, P5=0), "Fully Compliant", IF(AND(O5&gt;=0.95, P5=0), "Compliant", IF(O5&gt;=0.9, "Substantially Compliant", IF(O5&gt;=0.8, "Partially Compliant", "Non-Compliant")))))</f>
        <v/>
      </c>
      <c r="W5" s="21">
        <f>IF(V5&lt;&gt;"", V5+90, "")</f>
        <v/>
      </c>
      <c r="X5" t="inlineStr">
        <is>
          <t>[Security Analyst]</t>
        </is>
      </c>
      <c r="Z5" t="inlineStr">
        <is>
          <t>Not Started</t>
        </is>
      </c>
    </row>
    <row r="6">
      <c r="I6" t="inlineStr"/>
      <c r="O6" s="20">
        <f>IF(AND(J6&gt;0,(J6-N6)&gt;0), (K6+(L6*0.5))/(J6-N6), "")</f>
        <v/>
      </c>
      <c r="U6">
        <f>IF(O6="","", IF(AND(O6=1, P6=0), "Fully Compliant", IF(AND(O6&gt;=0.95, P6=0), "Compliant", IF(O6&gt;=0.9, "Substantially Compliant", IF(O6&gt;=0.8, "Partially Compliant", "Non-Compliant")))))</f>
        <v/>
      </c>
      <c r="W6" s="21">
        <f>IF(V6&lt;&gt;"", V6+90, "")</f>
        <v/>
      </c>
      <c r="X6" t="inlineStr">
        <is>
          <t>[Security Analyst]</t>
        </is>
      </c>
      <c r="Z6" t="inlineStr">
        <is>
          <t>Not Started</t>
        </is>
      </c>
    </row>
    <row r="7">
      <c r="I7" t="inlineStr"/>
      <c r="O7" s="20">
        <f>IF(AND(J7&gt;0,(J7-N7)&gt;0), (K7+(L7*0.5))/(J7-N7), "")</f>
        <v/>
      </c>
      <c r="U7">
        <f>IF(O7="","", IF(AND(O7=1, P7=0), "Fully Compliant", IF(AND(O7&gt;=0.95, P7=0), "Compliant", IF(O7&gt;=0.9, "Substantially Compliant", IF(O7&gt;=0.8, "Partially Compliant", "Non-Compliant")))))</f>
        <v/>
      </c>
      <c r="W7" s="21">
        <f>IF(V7&lt;&gt;"", V7+90, "")</f>
        <v/>
      </c>
      <c r="X7" t="inlineStr">
        <is>
          <t>[Security Analyst]</t>
        </is>
      </c>
      <c r="Z7" t="inlineStr">
        <is>
          <t>Not Started</t>
        </is>
      </c>
    </row>
    <row r="8">
      <c r="I8" t="inlineStr"/>
      <c r="O8" s="20">
        <f>IF(AND(J8&gt;0,(J8-N8)&gt;0), (K8+(L8*0.5))/(J8-N8), "")</f>
        <v/>
      </c>
      <c r="U8">
        <f>IF(O8="","", IF(AND(O8=1, P8=0), "Fully Compliant", IF(AND(O8&gt;=0.95, P8=0), "Compliant", IF(O8&gt;=0.9, "Substantially Compliant", IF(O8&gt;=0.8, "Partially Compliant", "Non-Compliant")))))</f>
        <v/>
      </c>
      <c r="W8" s="21">
        <f>IF(V8&lt;&gt;"", V8+90, "")</f>
        <v/>
      </c>
      <c r="X8" t="inlineStr">
        <is>
          <t>[Security Analyst]</t>
        </is>
      </c>
      <c r="Z8" t="inlineStr">
        <is>
          <t>Not Started</t>
        </is>
      </c>
    </row>
    <row r="9">
      <c r="I9" t="inlineStr"/>
      <c r="O9" s="20">
        <f>IF(AND(J9&gt;0,(J9-N9)&gt;0), (K9+(L9*0.5))/(J9-N9), "")</f>
        <v/>
      </c>
      <c r="U9">
        <f>IF(O9="","", IF(AND(O9=1, P9=0), "Fully Compliant", IF(AND(O9&gt;=0.95, P9=0), "Compliant", IF(O9&gt;=0.9, "Substantially Compliant", IF(O9&gt;=0.8, "Partially Compliant", "Non-Compliant")))))</f>
        <v/>
      </c>
      <c r="W9" s="21">
        <f>IF(V9&lt;&gt;"", V9+90, "")</f>
        <v/>
      </c>
      <c r="X9" t="inlineStr">
        <is>
          <t>[Security Analyst]</t>
        </is>
      </c>
      <c r="Z9" t="inlineStr">
        <is>
          <t>Not Started</t>
        </is>
      </c>
    </row>
    <row r="10">
      <c r="I10" t="inlineStr"/>
      <c r="O10" s="20">
        <f>IF(AND(J10&gt;0,(J10-N10)&gt;0), (K10+(L10*0.5))/(J10-N10), "")</f>
        <v/>
      </c>
      <c r="U10">
        <f>IF(O10="","", IF(AND(O10=1, P10=0), "Fully Compliant", IF(AND(O10&gt;=0.95, P10=0), "Compliant", IF(O10&gt;=0.9, "Substantially Compliant", IF(O10&gt;=0.8, "Partially Compliant", "Non-Compliant")))))</f>
        <v/>
      </c>
      <c r="W10" s="21">
        <f>IF(V10&lt;&gt;"", V10+90, "")</f>
        <v/>
      </c>
      <c r="X10" t="inlineStr">
        <is>
          <t>[Security Analyst]</t>
        </is>
      </c>
      <c r="Z10" t="inlineStr">
        <is>
          <t>Not Started</t>
        </is>
      </c>
    </row>
    <row r="11">
      <c r="I11" t="inlineStr"/>
      <c r="O11" s="20">
        <f>IF(AND(J11&gt;0,(J11-N11)&gt;0), (K11+(L11*0.5))/(J11-N11), "")</f>
        <v/>
      </c>
      <c r="U11">
        <f>IF(O11="","", IF(AND(O11=1, P11=0), "Fully Compliant", IF(AND(O11&gt;=0.95, P11=0), "Compliant", IF(O11&gt;=0.9, "Substantially Compliant", IF(O11&gt;=0.8, "Partially Compliant", "Non-Compliant")))))</f>
        <v/>
      </c>
      <c r="W11" s="21">
        <f>IF(V11&lt;&gt;"", V11+90, "")</f>
        <v/>
      </c>
      <c r="X11" t="inlineStr">
        <is>
          <t>[Security Analyst]</t>
        </is>
      </c>
      <c r="Z11" t="inlineStr">
        <is>
          <t>Not Started</t>
        </is>
      </c>
    </row>
    <row r="12">
      <c r="I12" t="inlineStr"/>
      <c r="O12" s="20">
        <f>IF(AND(J12&gt;0,(J12-N12)&gt;0), (K12+(L12*0.5))/(J12-N12), "")</f>
        <v/>
      </c>
      <c r="U12">
        <f>IF(O12="","", IF(AND(O12=1, P12=0), "Fully Compliant", IF(AND(O12&gt;=0.95, P12=0), "Compliant", IF(O12&gt;=0.9, "Substantially Compliant", IF(O12&gt;=0.8, "Partially Compliant", "Non-Compliant")))))</f>
        <v/>
      </c>
      <c r="W12" s="21">
        <f>IF(V12&lt;&gt;"", V12+90, "")</f>
        <v/>
      </c>
      <c r="X12" t="inlineStr">
        <is>
          <t>[Security Analyst]</t>
        </is>
      </c>
      <c r="Z12" t="inlineStr">
        <is>
          <t>Not Started</t>
        </is>
      </c>
    </row>
    <row r="13">
      <c r="I13" t="inlineStr"/>
      <c r="O13" s="20">
        <f>IF(AND(J13&gt;0,(J13-N13)&gt;0), (K13+(L13*0.5))/(J13-N13), "")</f>
        <v/>
      </c>
      <c r="U13">
        <f>IF(O13="","", IF(AND(O13=1, P13=0), "Fully Compliant", IF(AND(O13&gt;=0.95, P13=0), "Compliant", IF(O13&gt;=0.9, "Substantially Compliant", IF(O13&gt;=0.8, "Partially Compliant", "Non-Compliant")))))</f>
        <v/>
      </c>
      <c r="W13" s="21">
        <f>IF(V13&lt;&gt;"", V13+90, "")</f>
        <v/>
      </c>
      <c r="X13" t="inlineStr">
        <is>
          <t>[Security Analyst]</t>
        </is>
      </c>
      <c r="Z13" t="inlineStr">
        <is>
          <t>Not Started</t>
        </is>
      </c>
    </row>
    <row r="14">
      <c r="I14" t="inlineStr"/>
      <c r="O14" s="20">
        <f>IF(AND(J14&gt;0,(J14-N14)&gt;0), (K14+(L14*0.5))/(J14-N14), "")</f>
        <v/>
      </c>
      <c r="U14">
        <f>IF(O14="","", IF(AND(O14=1, P14=0), "Fully Compliant", IF(AND(O14&gt;=0.95, P14=0), "Compliant", IF(O14&gt;=0.9, "Substantially Compliant", IF(O14&gt;=0.8, "Partially Compliant", "Non-Compliant")))))</f>
        <v/>
      </c>
      <c r="W14" s="21">
        <f>IF(V14&lt;&gt;"", V14+90, "")</f>
        <v/>
      </c>
      <c r="X14" t="inlineStr">
        <is>
          <t>[Security Analyst]</t>
        </is>
      </c>
      <c r="Z14" t="inlineStr">
        <is>
          <t>Not Started</t>
        </is>
      </c>
    </row>
    <row r="15">
      <c r="I15" t="inlineStr"/>
      <c r="O15" s="20">
        <f>IF(AND(J15&gt;0,(J15-N15)&gt;0), (K15+(L15*0.5))/(J15-N15), "")</f>
        <v/>
      </c>
      <c r="U15">
        <f>IF(O15="","", IF(AND(O15=1, P15=0), "Fully Compliant", IF(AND(O15&gt;=0.95, P15=0), "Compliant", IF(O15&gt;=0.9, "Substantially Compliant", IF(O15&gt;=0.8, "Partially Compliant", "Non-Compliant")))))</f>
        <v/>
      </c>
      <c r="W15" s="21">
        <f>IF(V15&lt;&gt;"", V15+90, "")</f>
        <v/>
      </c>
      <c r="X15" t="inlineStr">
        <is>
          <t>[Security Analyst]</t>
        </is>
      </c>
      <c r="Z15" t="inlineStr">
        <is>
          <t>Not Started</t>
        </is>
      </c>
    </row>
    <row r="16">
      <c r="I16" t="inlineStr"/>
      <c r="O16" s="20">
        <f>IF(AND(J16&gt;0,(J16-N16)&gt;0), (K16+(L16*0.5))/(J16-N16), "")</f>
        <v/>
      </c>
      <c r="U16">
        <f>IF(O16="","", IF(AND(O16=1, P16=0), "Fully Compliant", IF(AND(O16&gt;=0.95, P16=0), "Compliant", IF(O16&gt;=0.9, "Substantially Compliant", IF(O16&gt;=0.8, "Partially Compliant", "Non-Compliant")))))</f>
        <v/>
      </c>
      <c r="W16" s="21">
        <f>IF(V16&lt;&gt;"", V16+90, "")</f>
        <v/>
      </c>
      <c r="X16" t="inlineStr">
        <is>
          <t>[Security Analyst]</t>
        </is>
      </c>
      <c r="Z16" t="inlineStr">
        <is>
          <t>Not Started</t>
        </is>
      </c>
    </row>
    <row r="17">
      <c r="I17" t="inlineStr"/>
      <c r="O17" s="20">
        <f>IF(AND(J17&gt;0,(J17-N17)&gt;0), (K17+(L17*0.5))/(J17-N17), "")</f>
        <v/>
      </c>
      <c r="U17">
        <f>IF(O17="","", IF(AND(O17=1, P17=0), "Fully Compliant", IF(AND(O17&gt;=0.95, P17=0), "Compliant", IF(O17&gt;=0.9, "Substantially Compliant", IF(O17&gt;=0.8, "Partially Compliant", "Non-Compliant")))))</f>
        <v/>
      </c>
      <c r="W17" s="21">
        <f>IF(V17&lt;&gt;"", V17+90, "")</f>
        <v/>
      </c>
      <c r="X17" t="inlineStr">
        <is>
          <t>[Security Analyst]</t>
        </is>
      </c>
      <c r="Z17" t="inlineStr">
        <is>
          <t>Not Started</t>
        </is>
      </c>
    </row>
    <row r="18">
      <c r="I18" t="inlineStr"/>
      <c r="O18" s="20">
        <f>IF(AND(J18&gt;0,(J18-N18)&gt;0), (K18+(L18*0.5))/(J18-N18), "")</f>
        <v/>
      </c>
      <c r="U18">
        <f>IF(O18="","", IF(AND(O18=1, P18=0), "Fully Compliant", IF(AND(O18&gt;=0.95, P18=0), "Compliant", IF(O18&gt;=0.9, "Substantially Compliant", IF(O18&gt;=0.8, "Partially Compliant", "Non-Compliant")))))</f>
        <v/>
      </c>
      <c r="W18" s="21">
        <f>IF(V18&lt;&gt;"", V18+90, "")</f>
        <v/>
      </c>
      <c r="X18" t="inlineStr">
        <is>
          <t>[Security Analyst]</t>
        </is>
      </c>
      <c r="Z18" t="inlineStr">
        <is>
          <t>Not Started</t>
        </is>
      </c>
    </row>
    <row r="19">
      <c r="I19" t="inlineStr"/>
      <c r="O19" s="20">
        <f>IF(AND(J19&gt;0,(J19-N19)&gt;0), (K19+(L19*0.5))/(J19-N19), "")</f>
        <v/>
      </c>
      <c r="U19">
        <f>IF(O19="","", IF(AND(O19=1, P19=0), "Fully Compliant", IF(AND(O19&gt;=0.95, P19=0), "Compliant", IF(O19&gt;=0.9, "Substantially Compliant", IF(O19&gt;=0.8, "Partially Compliant", "Non-Compliant")))))</f>
        <v/>
      </c>
      <c r="W19" s="21">
        <f>IF(V19&lt;&gt;"", V19+90, "")</f>
        <v/>
      </c>
      <c r="X19" t="inlineStr">
        <is>
          <t>[Security Analyst]</t>
        </is>
      </c>
      <c r="Z19" t="inlineStr">
        <is>
          <t>Not Started</t>
        </is>
      </c>
    </row>
    <row r="20">
      <c r="I20" t="inlineStr"/>
      <c r="O20" s="20">
        <f>IF(AND(J20&gt;0,(J20-N20)&gt;0), (K20+(L20*0.5))/(J20-N20), "")</f>
        <v/>
      </c>
      <c r="U20">
        <f>IF(O20="","", IF(AND(O20=1, P20=0), "Fully Compliant", IF(AND(O20&gt;=0.95, P20=0), "Compliant", IF(O20&gt;=0.9, "Substantially Compliant", IF(O20&gt;=0.8, "Partially Compliant", "Non-Compliant")))))</f>
        <v/>
      </c>
      <c r="W20" s="21">
        <f>IF(V20&lt;&gt;"", V20+90, "")</f>
        <v/>
      </c>
      <c r="X20" t="inlineStr">
        <is>
          <t>[Security Analyst]</t>
        </is>
      </c>
      <c r="Z20" t="inlineStr">
        <is>
          <t>Not Started</t>
        </is>
      </c>
    </row>
    <row r="21">
      <c r="I21" t="inlineStr"/>
      <c r="O21" s="20">
        <f>IF(AND(J21&gt;0,(J21-N21)&gt;0), (K21+(L21*0.5))/(J21-N21), "")</f>
        <v/>
      </c>
      <c r="U21">
        <f>IF(O21="","", IF(AND(O21=1, P21=0), "Fully Compliant", IF(AND(O21&gt;=0.95, P21=0), "Compliant", IF(O21&gt;=0.9, "Substantially Compliant", IF(O21&gt;=0.8, "Partially Compliant", "Non-Compliant")))))</f>
        <v/>
      </c>
      <c r="W21" s="21">
        <f>IF(V21&lt;&gt;"", V21+90, "")</f>
        <v/>
      </c>
      <c r="X21" t="inlineStr">
        <is>
          <t>[Security Analyst]</t>
        </is>
      </c>
      <c r="Z21" t="inlineStr">
        <is>
          <t>Not Started</t>
        </is>
      </c>
    </row>
    <row r="22">
      <c r="I22" t="inlineStr"/>
      <c r="O22" s="20">
        <f>IF(AND(J22&gt;0,(J22-N22)&gt;0), (K22+(L22*0.5))/(J22-N22), "")</f>
        <v/>
      </c>
      <c r="U22">
        <f>IF(O22="","", IF(AND(O22=1, P22=0), "Fully Compliant", IF(AND(O22&gt;=0.95, P22=0), "Compliant", IF(O22&gt;=0.9, "Substantially Compliant", IF(O22&gt;=0.8, "Partially Compliant", "Non-Compliant")))))</f>
        <v/>
      </c>
      <c r="W22" s="21">
        <f>IF(V22&lt;&gt;"", V22+90, "")</f>
        <v/>
      </c>
      <c r="X22" t="inlineStr">
        <is>
          <t>[Security Analyst]</t>
        </is>
      </c>
      <c r="Z22" t="inlineStr">
        <is>
          <t>Not Started</t>
        </is>
      </c>
    </row>
    <row r="23">
      <c r="I23" t="inlineStr"/>
      <c r="O23" s="20">
        <f>IF(AND(J23&gt;0,(J23-N23)&gt;0), (K23+(L23*0.5))/(J23-N23), "")</f>
        <v/>
      </c>
      <c r="U23">
        <f>IF(O23="","", IF(AND(O23=1, P23=0), "Fully Compliant", IF(AND(O23&gt;=0.95, P23=0), "Compliant", IF(O23&gt;=0.9, "Substantially Compliant", IF(O23&gt;=0.8, "Partially Compliant", "Non-Compliant")))))</f>
        <v/>
      </c>
      <c r="W23" s="21">
        <f>IF(V23&lt;&gt;"", V23+90, "")</f>
        <v/>
      </c>
      <c r="X23" t="inlineStr">
        <is>
          <t>[Security Analyst]</t>
        </is>
      </c>
      <c r="Z23" t="inlineStr">
        <is>
          <t>Not Started</t>
        </is>
      </c>
    </row>
    <row r="24">
      <c r="I24" t="inlineStr"/>
      <c r="O24" s="20">
        <f>IF(AND(J24&gt;0,(J24-N24)&gt;0), (K24+(L24*0.5))/(J24-N24), "")</f>
        <v/>
      </c>
      <c r="U24">
        <f>IF(O24="","", IF(AND(O24=1, P24=0), "Fully Compliant", IF(AND(O24&gt;=0.95, P24=0), "Compliant", IF(O24&gt;=0.9, "Substantially Compliant", IF(O24&gt;=0.8, "Partially Compliant", "Non-Compliant")))))</f>
        <v/>
      </c>
      <c r="W24" s="21">
        <f>IF(V24&lt;&gt;"", V24+90, "")</f>
        <v/>
      </c>
      <c r="X24" t="inlineStr">
        <is>
          <t>[Security Analyst]</t>
        </is>
      </c>
      <c r="Z24" t="inlineStr">
        <is>
          <t>Not Started</t>
        </is>
      </c>
    </row>
    <row r="25">
      <c r="I25" t="inlineStr"/>
      <c r="O25" s="20">
        <f>IF(AND(J25&gt;0,(J25-N25)&gt;0), (K25+(L25*0.5))/(J25-N25), "")</f>
        <v/>
      </c>
      <c r="U25">
        <f>IF(O25="","", IF(AND(O25=1, P25=0), "Fully Compliant", IF(AND(O25&gt;=0.95, P25=0), "Compliant", IF(O25&gt;=0.9, "Substantially Compliant", IF(O25&gt;=0.8, "Partially Compliant", "Non-Compliant")))))</f>
        <v/>
      </c>
      <c r="W25" s="21">
        <f>IF(V25&lt;&gt;"", V25+90, "")</f>
        <v/>
      </c>
      <c r="X25" t="inlineStr">
        <is>
          <t>[Security Analyst]</t>
        </is>
      </c>
      <c r="Z25" t="inlineStr">
        <is>
          <t>Not Started</t>
        </is>
      </c>
    </row>
    <row r="26">
      <c r="I26" t="inlineStr"/>
      <c r="O26" s="20">
        <f>IF(AND(J26&gt;0,(J26-N26)&gt;0), (K26+(L26*0.5))/(J26-N26), "")</f>
        <v/>
      </c>
      <c r="U26">
        <f>IF(O26="","", IF(AND(O26=1, P26=0), "Fully Compliant", IF(AND(O26&gt;=0.95, P26=0), "Compliant", IF(O26&gt;=0.9, "Substantially Compliant", IF(O26&gt;=0.8, "Partially Compliant", "Non-Compliant")))))</f>
        <v/>
      </c>
      <c r="W26" s="21">
        <f>IF(V26&lt;&gt;"", V26+90, "")</f>
        <v/>
      </c>
      <c r="X26" t="inlineStr">
        <is>
          <t>[Security Analyst]</t>
        </is>
      </c>
      <c r="Z26" t="inlineStr">
        <is>
          <t>Not Started</t>
        </is>
      </c>
    </row>
    <row r="27">
      <c r="I27" t="inlineStr"/>
      <c r="O27" s="20">
        <f>IF(AND(J27&gt;0,(J27-N27)&gt;0), (K27+(L27*0.5))/(J27-N27), "")</f>
        <v/>
      </c>
      <c r="U27">
        <f>IF(O27="","", IF(AND(O27=1, P27=0), "Fully Compliant", IF(AND(O27&gt;=0.95, P27=0), "Compliant", IF(O27&gt;=0.9, "Substantially Compliant", IF(O27&gt;=0.8, "Partially Compliant", "Non-Compliant")))))</f>
        <v/>
      </c>
      <c r="W27" s="21">
        <f>IF(V27&lt;&gt;"", V27+90, "")</f>
        <v/>
      </c>
      <c r="X27" t="inlineStr">
        <is>
          <t>[Security Analyst]</t>
        </is>
      </c>
      <c r="Z27" t="inlineStr">
        <is>
          <t>Not Started</t>
        </is>
      </c>
    </row>
    <row r="28">
      <c r="I28" t="inlineStr"/>
      <c r="O28" s="20">
        <f>IF(AND(J28&gt;0,(J28-N28)&gt;0), (K28+(L28*0.5))/(J28-N28), "")</f>
        <v/>
      </c>
      <c r="U28">
        <f>IF(O28="","", IF(AND(O28=1, P28=0), "Fully Compliant", IF(AND(O28&gt;=0.95, P28=0), "Compliant", IF(O28&gt;=0.9, "Substantially Compliant", IF(O28&gt;=0.8, "Partially Compliant", "Non-Compliant")))))</f>
        <v/>
      </c>
      <c r="W28" s="21">
        <f>IF(V28&lt;&gt;"", V28+90, "")</f>
        <v/>
      </c>
      <c r="X28" t="inlineStr">
        <is>
          <t>[Security Analyst]</t>
        </is>
      </c>
      <c r="Z28" t="inlineStr">
        <is>
          <t>Not Started</t>
        </is>
      </c>
    </row>
    <row r="29">
      <c r="I29" t="inlineStr"/>
      <c r="O29" s="20">
        <f>IF(AND(J29&gt;0,(J29-N29)&gt;0), (K29+(L29*0.5))/(J29-N29), "")</f>
        <v/>
      </c>
      <c r="U29">
        <f>IF(O29="","", IF(AND(O29=1, P29=0), "Fully Compliant", IF(AND(O29&gt;=0.95, P29=0), "Compliant", IF(O29&gt;=0.9, "Substantially Compliant", IF(O29&gt;=0.8, "Partially Compliant", "Non-Compliant")))))</f>
        <v/>
      </c>
      <c r="W29" s="21">
        <f>IF(V29&lt;&gt;"", V29+90, "")</f>
        <v/>
      </c>
      <c r="X29" t="inlineStr">
        <is>
          <t>[Security Analyst]</t>
        </is>
      </c>
      <c r="Z29" t="inlineStr">
        <is>
          <t>Not Started</t>
        </is>
      </c>
    </row>
    <row r="30">
      <c r="I30" t="inlineStr"/>
      <c r="O30" s="20">
        <f>IF(AND(J30&gt;0,(J30-N30)&gt;0), (K30+(L30*0.5))/(J30-N30), "")</f>
        <v/>
      </c>
      <c r="U30">
        <f>IF(O30="","", IF(AND(O30=1, P30=0), "Fully Compliant", IF(AND(O30&gt;=0.95, P30=0), "Compliant", IF(O30&gt;=0.9, "Substantially Compliant", IF(O30&gt;=0.8, "Partially Compliant", "Non-Compliant")))))</f>
        <v/>
      </c>
      <c r="W30" s="21">
        <f>IF(V30&lt;&gt;"", V30+90, "")</f>
        <v/>
      </c>
      <c r="X30" t="inlineStr">
        <is>
          <t>[Security Analyst]</t>
        </is>
      </c>
      <c r="Z30" t="inlineStr">
        <is>
          <t>Not Started</t>
        </is>
      </c>
    </row>
    <row r="31">
      <c r="I31" t="inlineStr"/>
      <c r="O31" s="20">
        <f>IF(AND(J31&gt;0,(J31-N31)&gt;0), (K31+(L31*0.5))/(J31-N31), "")</f>
        <v/>
      </c>
      <c r="U31">
        <f>IF(O31="","", IF(AND(O31=1, P31=0), "Fully Compliant", IF(AND(O31&gt;=0.95, P31=0), "Compliant", IF(O31&gt;=0.9, "Substantially Compliant", IF(O31&gt;=0.8, "Partially Compliant", "Non-Compliant")))))</f>
        <v/>
      </c>
      <c r="W31" s="21">
        <f>IF(V31&lt;&gt;"", V31+90, "")</f>
        <v/>
      </c>
      <c r="X31" t="inlineStr">
        <is>
          <t>[Security Analyst]</t>
        </is>
      </c>
      <c r="Z31" t="inlineStr">
        <is>
          <t>Not Started</t>
        </is>
      </c>
    </row>
    <row r="32">
      <c r="I32" t="inlineStr"/>
      <c r="O32" s="20">
        <f>IF(AND(J32&gt;0,(J32-N32)&gt;0), (K32+(L32*0.5))/(J32-N32), "")</f>
        <v/>
      </c>
      <c r="U32">
        <f>IF(O32="","", IF(AND(O32=1, P32=0), "Fully Compliant", IF(AND(O32&gt;=0.95, P32=0), "Compliant", IF(O32&gt;=0.9, "Substantially Compliant", IF(O32&gt;=0.8, "Partially Compliant", "Non-Compliant")))))</f>
        <v/>
      </c>
      <c r="W32" s="21">
        <f>IF(V32&lt;&gt;"", V32+90, "")</f>
        <v/>
      </c>
      <c r="X32" t="inlineStr">
        <is>
          <t>[Security Analyst]</t>
        </is>
      </c>
      <c r="Z32" t="inlineStr">
        <is>
          <t>Not Started</t>
        </is>
      </c>
    </row>
    <row r="33">
      <c r="I33" t="inlineStr"/>
      <c r="O33" s="20">
        <f>IF(AND(J33&gt;0,(J33-N33)&gt;0), (K33+(L33*0.5))/(J33-N33), "")</f>
        <v/>
      </c>
      <c r="U33">
        <f>IF(O33="","", IF(AND(O33=1, P33=0), "Fully Compliant", IF(AND(O33&gt;=0.95, P33=0), "Compliant", IF(O33&gt;=0.9, "Substantially Compliant", IF(O33&gt;=0.8, "Partially Compliant", "Non-Compliant")))))</f>
        <v/>
      </c>
      <c r="W33" s="21">
        <f>IF(V33&lt;&gt;"", V33+90, "")</f>
        <v/>
      </c>
      <c r="X33" t="inlineStr">
        <is>
          <t>[Security Analyst]</t>
        </is>
      </c>
      <c r="Z33" t="inlineStr">
        <is>
          <t>Not Started</t>
        </is>
      </c>
    </row>
    <row r="34">
      <c r="I34" t="inlineStr"/>
      <c r="O34" s="20">
        <f>IF(AND(J34&gt;0,(J34-N34)&gt;0), (K34+(L34*0.5))/(J34-N34), "")</f>
        <v/>
      </c>
      <c r="U34">
        <f>IF(O34="","", IF(AND(O34=1, P34=0), "Fully Compliant", IF(AND(O34&gt;=0.95, P34=0), "Compliant", IF(O34&gt;=0.9, "Substantially Compliant", IF(O34&gt;=0.8, "Partially Compliant", "Non-Compliant")))))</f>
        <v/>
      </c>
      <c r="W34" s="21">
        <f>IF(V34&lt;&gt;"", V34+90, "")</f>
        <v/>
      </c>
      <c r="X34" t="inlineStr">
        <is>
          <t>[Security Analyst]</t>
        </is>
      </c>
      <c r="Z34" t="inlineStr">
        <is>
          <t>Not Started</t>
        </is>
      </c>
    </row>
    <row r="35">
      <c r="I35" t="inlineStr"/>
      <c r="O35" s="20">
        <f>IF(AND(J35&gt;0,(J35-N35)&gt;0), (K35+(L35*0.5))/(J35-N35), "")</f>
        <v/>
      </c>
      <c r="U35">
        <f>IF(O35="","", IF(AND(O35=1, P35=0), "Fully Compliant", IF(AND(O35&gt;=0.95, P35=0), "Compliant", IF(O35&gt;=0.9, "Substantially Compliant", IF(O35&gt;=0.8, "Partially Compliant", "Non-Compliant")))))</f>
        <v/>
      </c>
      <c r="W35" s="21">
        <f>IF(V35&lt;&gt;"", V35+90, "")</f>
        <v/>
      </c>
      <c r="X35" t="inlineStr">
        <is>
          <t>[Security Analyst]</t>
        </is>
      </c>
      <c r="Z35" t="inlineStr">
        <is>
          <t>Not Started</t>
        </is>
      </c>
    </row>
    <row r="36">
      <c r="I36" t="inlineStr"/>
      <c r="O36" s="20">
        <f>IF(AND(J36&gt;0,(J36-N36)&gt;0), (K36+(L36*0.5))/(J36-N36), "")</f>
        <v/>
      </c>
      <c r="U36">
        <f>IF(O36="","", IF(AND(O36=1, P36=0), "Fully Compliant", IF(AND(O36&gt;=0.95, P36=0), "Compliant", IF(O36&gt;=0.9, "Substantially Compliant", IF(O36&gt;=0.8, "Partially Compliant", "Non-Compliant")))))</f>
        <v/>
      </c>
      <c r="W36" s="21">
        <f>IF(V36&lt;&gt;"", V36+90, "")</f>
        <v/>
      </c>
      <c r="X36" t="inlineStr">
        <is>
          <t>[Security Analyst]</t>
        </is>
      </c>
      <c r="Z36" t="inlineStr">
        <is>
          <t>Not Started</t>
        </is>
      </c>
    </row>
    <row r="37">
      <c r="I37" t="inlineStr"/>
      <c r="O37" s="20">
        <f>IF(AND(J37&gt;0,(J37-N37)&gt;0), (K37+(L37*0.5))/(J37-N37), "")</f>
        <v/>
      </c>
      <c r="U37">
        <f>IF(O37="","", IF(AND(O37=1, P37=0), "Fully Compliant", IF(AND(O37&gt;=0.95, P37=0), "Compliant", IF(O37&gt;=0.9, "Substantially Compliant", IF(O37&gt;=0.8, "Partially Compliant", "Non-Compliant")))))</f>
        <v/>
      </c>
      <c r="W37" s="21">
        <f>IF(V37&lt;&gt;"", V37+90, "")</f>
        <v/>
      </c>
      <c r="X37" t="inlineStr">
        <is>
          <t>[Security Analyst]</t>
        </is>
      </c>
      <c r="Z37" t="inlineStr">
        <is>
          <t>Not Started</t>
        </is>
      </c>
    </row>
    <row r="38">
      <c r="I38" t="inlineStr"/>
      <c r="O38" s="20">
        <f>IF(AND(J38&gt;0,(J38-N38)&gt;0), (K38+(L38*0.5))/(J38-N38), "")</f>
        <v/>
      </c>
      <c r="U38">
        <f>IF(O38="","", IF(AND(O38=1, P38=0), "Fully Compliant", IF(AND(O38&gt;=0.95, P38=0), "Compliant", IF(O38&gt;=0.9, "Substantially Compliant", IF(O38&gt;=0.8, "Partially Compliant", "Non-Compliant")))))</f>
        <v/>
      </c>
      <c r="W38" s="21">
        <f>IF(V38&lt;&gt;"", V38+90, "")</f>
        <v/>
      </c>
      <c r="X38" t="inlineStr">
        <is>
          <t>[Security Analyst]</t>
        </is>
      </c>
      <c r="Z38" t="inlineStr">
        <is>
          <t>Not Started</t>
        </is>
      </c>
    </row>
    <row r="39">
      <c r="I39" t="inlineStr"/>
      <c r="O39" s="20">
        <f>IF(AND(J39&gt;0,(J39-N39)&gt;0), (K39+(L39*0.5))/(J39-N39), "")</f>
        <v/>
      </c>
      <c r="U39">
        <f>IF(O39="","", IF(AND(O39=1, P39=0), "Fully Compliant", IF(AND(O39&gt;=0.95, P39=0), "Compliant", IF(O39&gt;=0.9, "Substantially Compliant", IF(O39&gt;=0.8, "Partially Compliant", "Non-Compliant")))))</f>
        <v/>
      </c>
      <c r="W39" s="21">
        <f>IF(V39&lt;&gt;"", V39+90, "")</f>
        <v/>
      </c>
      <c r="X39" t="inlineStr">
        <is>
          <t>[Security Analyst]</t>
        </is>
      </c>
      <c r="Z39" t="inlineStr">
        <is>
          <t>Not Started</t>
        </is>
      </c>
    </row>
    <row r="40">
      <c r="I40" t="inlineStr"/>
      <c r="O40" s="20">
        <f>IF(AND(J40&gt;0,(J40-N40)&gt;0), (K40+(L40*0.5))/(J40-N40), "")</f>
        <v/>
      </c>
      <c r="U40">
        <f>IF(O40="","", IF(AND(O40=1, P40=0), "Fully Compliant", IF(AND(O40&gt;=0.95, P40=0), "Compliant", IF(O40&gt;=0.9, "Substantially Compliant", IF(O40&gt;=0.8, "Partially Compliant", "Non-Compliant")))))</f>
        <v/>
      </c>
      <c r="W40" s="21">
        <f>IF(V40&lt;&gt;"", V40+90, "")</f>
        <v/>
      </c>
      <c r="X40" t="inlineStr">
        <is>
          <t>[Security Analyst]</t>
        </is>
      </c>
      <c r="Z40" t="inlineStr">
        <is>
          <t>Not Started</t>
        </is>
      </c>
    </row>
    <row r="41">
      <c r="I41" t="inlineStr"/>
      <c r="O41" s="20">
        <f>IF(AND(J41&gt;0,(J41-N41)&gt;0), (K41+(L41*0.5))/(J41-N41), "")</f>
        <v/>
      </c>
      <c r="U41">
        <f>IF(O41="","", IF(AND(O41=1, P41=0), "Fully Compliant", IF(AND(O41&gt;=0.95, P41=0), "Compliant", IF(O41&gt;=0.9, "Substantially Compliant", IF(O41&gt;=0.8, "Partially Compliant", "Non-Compliant")))))</f>
        <v/>
      </c>
      <c r="W41" s="21">
        <f>IF(V41&lt;&gt;"", V41+90, "")</f>
        <v/>
      </c>
      <c r="X41" t="inlineStr">
        <is>
          <t>[Security Analyst]</t>
        </is>
      </c>
      <c r="Z41" t="inlineStr">
        <is>
          <t>Not Started</t>
        </is>
      </c>
    </row>
    <row r="42">
      <c r="I42" t="inlineStr"/>
      <c r="O42" s="20">
        <f>IF(AND(J42&gt;0,(J42-N42)&gt;0), (K42+(L42*0.5))/(J42-N42), "")</f>
        <v/>
      </c>
      <c r="U42">
        <f>IF(O42="","", IF(AND(O42=1, P42=0), "Fully Compliant", IF(AND(O42&gt;=0.95, P42=0), "Compliant", IF(O42&gt;=0.9, "Substantially Compliant", IF(O42&gt;=0.8, "Partially Compliant", "Non-Compliant")))))</f>
        <v/>
      </c>
      <c r="W42" s="21">
        <f>IF(V42&lt;&gt;"", V42+90, "")</f>
        <v/>
      </c>
      <c r="X42" t="inlineStr">
        <is>
          <t>[Security Analyst]</t>
        </is>
      </c>
      <c r="Z42" t="inlineStr">
        <is>
          <t>Not Started</t>
        </is>
      </c>
    </row>
    <row r="43">
      <c r="I43" t="inlineStr"/>
      <c r="O43" s="20">
        <f>IF(AND(J43&gt;0,(J43-N43)&gt;0), (K43+(L43*0.5))/(J43-N43), "")</f>
        <v/>
      </c>
      <c r="U43">
        <f>IF(O43="","", IF(AND(O43=1, P43=0), "Fully Compliant", IF(AND(O43&gt;=0.95, P43=0), "Compliant", IF(O43&gt;=0.9, "Substantially Compliant", IF(O43&gt;=0.8, "Partially Compliant", "Non-Compliant")))))</f>
        <v/>
      </c>
      <c r="W43" s="21">
        <f>IF(V43&lt;&gt;"", V43+90, "")</f>
        <v/>
      </c>
      <c r="X43" t="inlineStr">
        <is>
          <t>[Security Analyst]</t>
        </is>
      </c>
      <c r="Z43" t="inlineStr">
        <is>
          <t>Not Started</t>
        </is>
      </c>
    </row>
    <row r="44">
      <c r="I44" t="inlineStr"/>
      <c r="O44" s="20">
        <f>IF(AND(J44&gt;0,(J44-N44)&gt;0), (K44+(L44*0.5))/(J44-N44), "")</f>
        <v/>
      </c>
      <c r="U44">
        <f>IF(O44="","", IF(AND(O44=1, P44=0), "Fully Compliant", IF(AND(O44&gt;=0.95, P44=0), "Compliant", IF(O44&gt;=0.9, "Substantially Compliant", IF(O44&gt;=0.8, "Partially Compliant", "Non-Compliant")))))</f>
        <v/>
      </c>
      <c r="W44" s="21">
        <f>IF(V44&lt;&gt;"", V44+90, "")</f>
        <v/>
      </c>
      <c r="X44" t="inlineStr">
        <is>
          <t>[Security Analyst]</t>
        </is>
      </c>
      <c r="Z44" t="inlineStr">
        <is>
          <t>Not Started</t>
        </is>
      </c>
    </row>
    <row r="45">
      <c r="I45" t="inlineStr"/>
      <c r="O45" s="20">
        <f>IF(AND(J45&gt;0,(J45-N45)&gt;0), (K45+(L45*0.5))/(J45-N45), "")</f>
        <v/>
      </c>
      <c r="U45">
        <f>IF(O45="","", IF(AND(O45=1, P45=0), "Fully Compliant", IF(AND(O45&gt;=0.95, P45=0), "Compliant", IF(O45&gt;=0.9, "Substantially Compliant", IF(O45&gt;=0.8, "Partially Compliant", "Non-Compliant")))))</f>
        <v/>
      </c>
      <c r="W45" s="21">
        <f>IF(V45&lt;&gt;"", V45+90, "")</f>
        <v/>
      </c>
      <c r="X45" t="inlineStr">
        <is>
          <t>[Security Analyst]</t>
        </is>
      </c>
      <c r="Z45" t="inlineStr">
        <is>
          <t>Not Started</t>
        </is>
      </c>
    </row>
    <row r="46">
      <c r="I46" t="inlineStr"/>
      <c r="O46" s="20">
        <f>IF(AND(J46&gt;0,(J46-N46)&gt;0), (K46+(L46*0.5))/(J46-N46), "")</f>
        <v/>
      </c>
      <c r="U46">
        <f>IF(O46="","", IF(AND(O46=1, P46=0), "Fully Compliant", IF(AND(O46&gt;=0.95, P46=0), "Compliant", IF(O46&gt;=0.9, "Substantially Compliant", IF(O46&gt;=0.8, "Partially Compliant", "Non-Compliant")))))</f>
        <v/>
      </c>
      <c r="W46" s="21">
        <f>IF(V46&lt;&gt;"", V46+90, "")</f>
        <v/>
      </c>
      <c r="X46" t="inlineStr">
        <is>
          <t>[Security Analyst]</t>
        </is>
      </c>
      <c r="Z46" t="inlineStr">
        <is>
          <t>Not Started</t>
        </is>
      </c>
    </row>
    <row r="47">
      <c r="I47" t="inlineStr"/>
      <c r="O47" s="20">
        <f>IF(AND(J47&gt;0,(J47-N47)&gt;0), (K47+(L47*0.5))/(J47-N47), "")</f>
        <v/>
      </c>
      <c r="U47">
        <f>IF(O47="","", IF(AND(O47=1, P47=0), "Fully Compliant", IF(AND(O47&gt;=0.95, P47=0), "Compliant", IF(O47&gt;=0.9, "Substantially Compliant", IF(O47&gt;=0.8, "Partially Compliant", "Non-Compliant")))))</f>
        <v/>
      </c>
      <c r="W47" s="21">
        <f>IF(V47&lt;&gt;"", V47+90, "")</f>
        <v/>
      </c>
      <c r="X47" t="inlineStr">
        <is>
          <t>[Security Analyst]</t>
        </is>
      </c>
      <c r="Z47" t="inlineStr">
        <is>
          <t>Not Started</t>
        </is>
      </c>
    </row>
    <row r="48">
      <c r="I48" t="inlineStr"/>
      <c r="O48" s="20">
        <f>IF(AND(J48&gt;0,(J48-N48)&gt;0), (K48+(L48*0.5))/(J48-N48), "")</f>
        <v/>
      </c>
      <c r="U48">
        <f>IF(O48="","", IF(AND(O48=1, P48=0), "Fully Compliant", IF(AND(O48&gt;=0.95, P48=0), "Compliant", IF(O48&gt;=0.9, "Substantially Compliant", IF(O48&gt;=0.8, "Partially Compliant", "Non-Compliant")))))</f>
        <v/>
      </c>
      <c r="W48" s="21">
        <f>IF(V48&lt;&gt;"", V48+90, "")</f>
        <v/>
      </c>
      <c r="X48" t="inlineStr">
        <is>
          <t>[Security Analyst]</t>
        </is>
      </c>
      <c r="Z48" t="inlineStr">
        <is>
          <t>Not Started</t>
        </is>
      </c>
    </row>
    <row r="49">
      <c r="I49" t="inlineStr"/>
      <c r="O49" s="20">
        <f>IF(AND(J49&gt;0,(J49-N49)&gt;0), (K49+(L49*0.5))/(J49-N49), "")</f>
        <v/>
      </c>
      <c r="U49">
        <f>IF(O49="","", IF(AND(O49=1, P49=0), "Fully Compliant", IF(AND(O49&gt;=0.95, P49=0), "Compliant", IF(O49&gt;=0.9, "Substantially Compliant", IF(O49&gt;=0.8, "Partially Compliant", "Non-Compliant")))))</f>
        <v/>
      </c>
      <c r="W49" s="21">
        <f>IF(V49&lt;&gt;"", V49+90, "")</f>
        <v/>
      </c>
      <c r="X49" t="inlineStr">
        <is>
          <t>[Security Analyst]</t>
        </is>
      </c>
      <c r="Z49" t="inlineStr">
        <is>
          <t>Not Started</t>
        </is>
      </c>
    </row>
    <row r="50">
      <c r="I50" t="inlineStr"/>
      <c r="O50" s="20">
        <f>IF(AND(J50&gt;0,(J50-N50)&gt;0), (K50+(L50*0.5))/(J50-N50), "")</f>
        <v/>
      </c>
      <c r="U50">
        <f>IF(O50="","", IF(AND(O50=1, P50=0), "Fully Compliant", IF(AND(O50&gt;=0.95, P50=0), "Compliant", IF(O50&gt;=0.9, "Substantially Compliant", IF(O50&gt;=0.8, "Partially Compliant", "Non-Compliant")))))</f>
        <v/>
      </c>
      <c r="W50" s="21">
        <f>IF(V50&lt;&gt;"", V50+90, "")</f>
        <v/>
      </c>
      <c r="X50" t="inlineStr">
        <is>
          <t>[Security Analyst]</t>
        </is>
      </c>
      <c r="Z50" t="inlineStr">
        <is>
          <t>Not Started</t>
        </is>
      </c>
    </row>
    <row r="51">
      <c r="I51" t="inlineStr"/>
      <c r="O51" s="20">
        <f>IF(AND(J51&gt;0,(J51-N51)&gt;0), (K51+(L51*0.5))/(J51-N51), "")</f>
        <v/>
      </c>
      <c r="U51">
        <f>IF(O51="","", IF(AND(O51=1, P51=0), "Fully Compliant", IF(AND(O51&gt;=0.95, P51=0), "Compliant", IF(O51&gt;=0.9, "Substantially Compliant", IF(O51&gt;=0.8, "Partially Compliant", "Non-Compliant")))))</f>
        <v/>
      </c>
      <c r="W51" s="21">
        <f>IF(V51&lt;&gt;"", V51+90, "")</f>
        <v/>
      </c>
      <c r="X51" t="inlineStr">
        <is>
          <t>[Security Analyst]</t>
        </is>
      </c>
      <c r="Z51" t="inlineStr">
        <is>
          <t>Not Started</t>
        </is>
      </c>
    </row>
    <row r="52">
      <c r="I52" t="inlineStr"/>
      <c r="O52" s="20">
        <f>IF(AND(J52&gt;0,(J52-N52)&gt;0), (K52+(L52*0.5))/(J52-N52), "")</f>
        <v/>
      </c>
      <c r="U52">
        <f>IF(O52="","", IF(AND(O52=1, P52=0), "Fully Compliant", IF(AND(O52&gt;=0.95, P52=0), "Compliant", IF(O52&gt;=0.9, "Substantially Compliant", IF(O52&gt;=0.8, "Partially Compliant", "Non-Compliant")))))</f>
        <v/>
      </c>
      <c r="W52" s="21">
        <f>IF(V52&lt;&gt;"", V52+90, "")</f>
        <v/>
      </c>
      <c r="X52" t="inlineStr">
        <is>
          <t>[Security Analyst]</t>
        </is>
      </c>
      <c r="Z52" t="inlineStr">
        <is>
          <t>Not Started</t>
        </is>
      </c>
    </row>
    <row r="53">
      <c r="I53" t="inlineStr"/>
      <c r="O53" s="20">
        <f>IF(AND(J53&gt;0,(J53-N53)&gt;0), (K53+(L53*0.5))/(J53-N53), "")</f>
        <v/>
      </c>
      <c r="U53">
        <f>IF(O53="","", IF(AND(O53=1, P53=0), "Fully Compliant", IF(AND(O53&gt;=0.95, P53=0), "Compliant", IF(O53&gt;=0.9, "Substantially Compliant", IF(O53&gt;=0.8, "Partially Compliant", "Non-Compliant")))))</f>
        <v/>
      </c>
      <c r="W53" s="21">
        <f>IF(V53&lt;&gt;"", V53+90, "")</f>
        <v/>
      </c>
      <c r="X53" t="inlineStr">
        <is>
          <t>[Security Analyst]</t>
        </is>
      </c>
      <c r="Z53" t="inlineStr">
        <is>
          <t>Not Started</t>
        </is>
      </c>
    </row>
    <row r="54">
      <c r="I54" t="inlineStr"/>
      <c r="O54" s="20">
        <f>IF(AND(J54&gt;0,(J54-N54)&gt;0), (K54+(L54*0.5))/(J54-N54), "")</f>
        <v/>
      </c>
      <c r="U54">
        <f>IF(O54="","", IF(AND(O54=1, P54=0), "Fully Compliant", IF(AND(O54&gt;=0.95, P54=0), "Compliant", IF(O54&gt;=0.9, "Substantially Compliant", IF(O54&gt;=0.8, "Partially Compliant", "Non-Compliant")))))</f>
        <v/>
      </c>
      <c r="W54" s="21">
        <f>IF(V54&lt;&gt;"", V54+90, "")</f>
        <v/>
      </c>
      <c r="X54" t="inlineStr">
        <is>
          <t>[Security Analyst]</t>
        </is>
      </c>
      <c r="Z54" t="inlineStr">
        <is>
          <t>Not Started</t>
        </is>
      </c>
    </row>
    <row r="55">
      <c r="I55" t="inlineStr"/>
      <c r="O55" s="20">
        <f>IF(AND(J55&gt;0,(J55-N55)&gt;0), (K55+(L55*0.5))/(J55-N55), "")</f>
        <v/>
      </c>
      <c r="U55">
        <f>IF(O55="","", IF(AND(O55=1, P55=0), "Fully Compliant", IF(AND(O55&gt;=0.95, P55=0), "Compliant", IF(O55&gt;=0.9, "Substantially Compliant", IF(O55&gt;=0.8, "Partially Compliant", "Non-Compliant")))))</f>
        <v/>
      </c>
      <c r="W55" s="21">
        <f>IF(V55&lt;&gt;"", V55+90, "")</f>
        <v/>
      </c>
      <c r="X55" t="inlineStr">
        <is>
          <t>[Security Analyst]</t>
        </is>
      </c>
      <c r="Z55" t="inlineStr">
        <is>
          <t>Not Started</t>
        </is>
      </c>
    </row>
    <row r="56">
      <c r="I56" t="inlineStr"/>
      <c r="O56" s="20">
        <f>IF(AND(J56&gt;0,(J56-N56)&gt;0), (K56+(L56*0.5))/(J56-N56), "")</f>
        <v/>
      </c>
      <c r="U56">
        <f>IF(O56="","", IF(AND(O56=1, P56=0), "Fully Compliant", IF(AND(O56&gt;=0.95, P56=0), "Compliant", IF(O56&gt;=0.9, "Substantially Compliant", IF(O56&gt;=0.8, "Partially Compliant", "Non-Compliant")))))</f>
        <v/>
      </c>
      <c r="W56" s="21">
        <f>IF(V56&lt;&gt;"", V56+90, "")</f>
        <v/>
      </c>
      <c r="X56" t="inlineStr">
        <is>
          <t>[Security Analyst]</t>
        </is>
      </c>
      <c r="Z56" t="inlineStr">
        <is>
          <t>Not Started</t>
        </is>
      </c>
    </row>
    <row r="57">
      <c r="I57" t="inlineStr"/>
      <c r="O57" s="20">
        <f>IF(AND(J57&gt;0,(J57-N57)&gt;0), (K57+(L57*0.5))/(J57-N57), "")</f>
        <v/>
      </c>
      <c r="U57">
        <f>IF(O57="","", IF(AND(O57=1, P57=0), "Fully Compliant", IF(AND(O57&gt;=0.95, P57=0), "Compliant", IF(O57&gt;=0.9, "Substantially Compliant", IF(O57&gt;=0.8, "Partially Compliant", "Non-Compliant")))))</f>
        <v/>
      </c>
      <c r="W57" s="21">
        <f>IF(V57&lt;&gt;"", V57+90, "")</f>
        <v/>
      </c>
      <c r="X57" t="inlineStr">
        <is>
          <t>[Security Analyst]</t>
        </is>
      </c>
      <c r="Z57" t="inlineStr">
        <is>
          <t>Not Started</t>
        </is>
      </c>
    </row>
    <row r="58">
      <c r="I58" t="inlineStr"/>
      <c r="O58" s="20">
        <f>IF(AND(J58&gt;0,(J58-N58)&gt;0), (K58+(L58*0.5))/(J58-N58), "")</f>
        <v/>
      </c>
      <c r="U58">
        <f>IF(O58="","", IF(AND(O58=1, P58=0), "Fully Compliant", IF(AND(O58&gt;=0.95, P58=0), "Compliant", IF(O58&gt;=0.9, "Substantially Compliant", IF(O58&gt;=0.8, "Partially Compliant", "Non-Compliant")))))</f>
        <v/>
      </c>
      <c r="W58" s="21">
        <f>IF(V58&lt;&gt;"", V58+90, "")</f>
        <v/>
      </c>
      <c r="X58" t="inlineStr">
        <is>
          <t>[Security Analyst]</t>
        </is>
      </c>
      <c r="Z58" t="inlineStr">
        <is>
          <t>Not Started</t>
        </is>
      </c>
    </row>
    <row r="59">
      <c r="I59" t="inlineStr"/>
      <c r="O59" s="20">
        <f>IF(AND(J59&gt;0,(J59-N59)&gt;0), (K59+(L59*0.5))/(J59-N59), "")</f>
        <v/>
      </c>
      <c r="U59">
        <f>IF(O59="","", IF(AND(O59=1, P59=0), "Fully Compliant", IF(AND(O59&gt;=0.95, P59=0), "Compliant", IF(O59&gt;=0.9, "Substantially Compliant", IF(O59&gt;=0.8, "Partially Compliant", "Non-Compliant")))))</f>
        <v/>
      </c>
      <c r="W59" s="21">
        <f>IF(V59&lt;&gt;"", V59+90, "")</f>
        <v/>
      </c>
      <c r="X59" t="inlineStr">
        <is>
          <t>[Security Analyst]</t>
        </is>
      </c>
      <c r="Z59" t="inlineStr">
        <is>
          <t>Not Started</t>
        </is>
      </c>
    </row>
    <row r="60">
      <c r="I60" t="inlineStr"/>
      <c r="O60" s="20">
        <f>IF(AND(J60&gt;0,(J60-N60)&gt;0), (K60+(L60*0.5))/(J60-N60), "")</f>
        <v/>
      </c>
      <c r="U60">
        <f>IF(O60="","", IF(AND(O60=1, P60=0), "Fully Compliant", IF(AND(O60&gt;=0.95, P60=0), "Compliant", IF(O60&gt;=0.9, "Substantially Compliant", IF(O60&gt;=0.8, "Partially Compliant", "Non-Compliant")))))</f>
        <v/>
      </c>
      <c r="W60" s="21">
        <f>IF(V60&lt;&gt;"", V60+90, "")</f>
        <v/>
      </c>
      <c r="X60" t="inlineStr">
        <is>
          <t>[Security Analyst]</t>
        </is>
      </c>
      <c r="Z60" t="inlineStr">
        <is>
          <t>Not Started</t>
        </is>
      </c>
    </row>
    <row r="61">
      <c r="I61" t="inlineStr"/>
      <c r="O61" s="20">
        <f>IF(AND(J61&gt;0,(J61-N61)&gt;0), (K61+(L61*0.5))/(J61-N61), "")</f>
        <v/>
      </c>
      <c r="U61">
        <f>IF(O61="","", IF(AND(O61=1, P61=0), "Fully Compliant", IF(AND(O61&gt;=0.95, P61=0), "Compliant", IF(O61&gt;=0.9, "Substantially Compliant", IF(O61&gt;=0.8, "Partially Compliant", "Non-Compliant")))))</f>
        <v/>
      </c>
      <c r="W61" s="21">
        <f>IF(V61&lt;&gt;"", V61+90, "")</f>
        <v/>
      </c>
      <c r="X61" t="inlineStr">
        <is>
          <t>[Security Analyst]</t>
        </is>
      </c>
      <c r="Z61" t="inlineStr">
        <is>
          <t>Not Started</t>
        </is>
      </c>
    </row>
    <row r="62">
      <c r="I62" t="inlineStr"/>
      <c r="O62" s="20">
        <f>IF(AND(J62&gt;0,(J62-N62)&gt;0), (K62+(L62*0.5))/(J62-N62), "")</f>
        <v/>
      </c>
      <c r="U62">
        <f>IF(O62="","", IF(AND(O62=1, P62=0), "Fully Compliant", IF(AND(O62&gt;=0.95, P62=0), "Compliant", IF(O62&gt;=0.9, "Substantially Compliant", IF(O62&gt;=0.8, "Partially Compliant", "Non-Compliant")))))</f>
        <v/>
      </c>
      <c r="W62" s="21">
        <f>IF(V62&lt;&gt;"", V62+90, "")</f>
        <v/>
      </c>
      <c r="X62" t="inlineStr">
        <is>
          <t>[Security Analyst]</t>
        </is>
      </c>
      <c r="Z62" t="inlineStr">
        <is>
          <t>Not Started</t>
        </is>
      </c>
    </row>
    <row r="63">
      <c r="I63" t="inlineStr"/>
      <c r="O63" s="20">
        <f>IF(AND(J63&gt;0,(J63-N63)&gt;0), (K63+(L63*0.5))/(J63-N63), "")</f>
        <v/>
      </c>
      <c r="U63">
        <f>IF(O63="","", IF(AND(O63=1, P63=0), "Fully Compliant", IF(AND(O63&gt;=0.95, P63=0), "Compliant", IF(O63&gt;=0.9, "Substantially Compliant", IF(O63&gt;=0.8, "Partially Compliant", "Non-Compliant")))))</f>
        <v/>
      </c>
      <c r="W63" s="21">
        <f>IF(V63&lt;&gt;"", V63+90, "")</f>
        <v/>
      </c>
      <c r="X63" t="inlineStr">
        <is>
          <t>[Security Analyst]</t>
        </is>
      </c>
      <c r="Z63" t="inlineStr">
        <is>
          <t>Not Started</t>
        </is>
      </c>
    </row>
    <row r="64">
      <c r="I64" t="inlineStr"/>
      <c r="O64" s="20">
        <f>IF(AND(J64&gt;0,(J64-N64)&gt;0), (K64+(L64*0.5))/(J64-N64), "")</f>
        <v/>
      </c>
      <c r="U64">
        <f>IF(O64="","", IF(AND(O64=1, P64=0), "Fully Compliant", IF(AND(O64&gt;=0.95, P64=0), "Compliant", IF(O64&gt;=0.9, "Substantially Compliant", IF(O64&gt;=0.8, "Partially Compliant", "Non-Compliant")))))</f>
        <v/>
      </c>
      <c r="W64" s="21">
        <f>IF(V64&lt;&gt;"", V64+90, "")</f>
        <v/>
      </c>
      <c r="X64" t="inlineStr">
        <is>
          <t>[Security Analyst]</t>
        </is>
      </c>
      <c r="Z64" t="inlineStr">
        <is>
          <t>Not Started</t>
        </is>
      </c>
    </row>
    <row r="65">
      <c r="I65" t="inlineStr"/>
      <c r="O65" s="20">
        <f>IF(AND(J65&gt;0,(J65-N65)&gt;0), (K65+(L65*0.5))/(J65-N65), "")</f>
        <v/>
      </c>
      <c r="U65">
        <f>IF(O65="","", IF(AND(O65=1, P65=0), "Fully Compliant", IF(AND(O65&gt;=0.95, P65=0), "Compliant", IF(O65&gt;=0.9, "Substantially Compliant", IF(O65&gt;=0.8, "Partially Compliant", "Non-Compliant")))))</f>
        <v/>
      </c>
      <c r="W65" s="21">
        <f>IF(V65&lt;&gt;"", V65+90, "")</f>
        <v/>
      </c>
      <c r="X65" t="inlineStr">
        <is>
          <t>[Security Analyst]</t>
        </is>
      </c>
      <c r="Z65" t="inlineStr">
        <is>
          <t>Not Started</t>
        </is>
      </c>
    </row>
    <row r="66">
      <c r="I66" t="inlineStr"/>
      <c r="O66" s="20">
        <f>IF(AND(J66&gt;0,(J66-N66)&gt;0), (K66+(L66*0.5))/(J66-N66), "")</f>
        <v/>
      </c>
      <c r="U66">
        <f>IF(O66="","", IF(AND(O66=1, P66=0), "Fully Compliant", IF(AND(O66&gt;=0.95, P66=0), "Compliant", IF(O66&gt;=0.9, "Substantially Compliant", IF(O66&gt;=0.8, "Partially Compliant", "Non-Compliant")))))</f>
        <v/>
      </c>
      <c r="W66" s="21">
        <f>IF(V66&lt;&gt;"", V66+90, "")</f>
        <v/>
      </c>
      <c r="X66" t="inlineStr">
        <is>
          <t>[Security Analyst]</t>
        </is>
      </c>
      <c r="Z66" t="inlineStr">
        <is>
          <t>Not Started</t>
        </is>
      </c>
    </row>
    <row r="67">
      <c r="I67" t="inlineStr"/>
      <c r="O67" s="20">
        <f>IF(AND(J67&gt;0,(J67-N67)&gt;0), (K67+(L67*0.5))/(J67-N67), "")</f>
        <v/>
      </c>
      <c r="U67">
        <f>IF(O67="","", IF(AND(O67=1, P67=0), "Fully Compliant", IF(AND(O67&gt;=0.95, P67=0), "Compliant", IF(O67&gt;=0.9, "Substantially Compliant", IF(O67&gt;=0.8, "Partially Compliant", "Non-Compliant")))))</f>
        <v/>
      </c>
      <c r="W67" s="21">
        <f>IF(V67&lt;&gt;"", V67+90, "")</f>
        <v/>
      </c>
      <c r="X67" t="inlineStr">
        <is>
          <t>[Security Analyst]</t>
        </is>
      </c>
      <c r="Z67" t="inlineStr">
        <is>
          <t>Not Started</t>
        </is>
      </c>
    </row>
    <row r="68">
      <c r="I68" t="inlineStr"/>
      <c r="O68" s="20">
        <f>IF(AND(J68&gt;0,(J68-N68)&gt;0), (K68+(L68*0.5))/(J68-N68), "")</f>
        <v/>
      </c>
      <c r="U68">
        <f>IF(O68="","", IF(AND(O68=1, P68=0), "Fully Compliant", IF(AND(O68&gt;=0.95, P68=0), "Compliant", IF(O68&gt;=0.9, "Substantially Compliant", IF(O68&gt;=0.8, "Partially Compliant", "Non-Compliant")))))</f>
        <v/>
      </c>
      <c r="W68" s="21">
        <f>IF(V68&lt;&gt;"", V68+90, "")</f>
        <v/>
      </c>
      <c r="X68" t="inlineStr">
        <is>
          <t>[Security Analyst]</t>
        </is>
      </c>
      <c r="Z68" t="inlineStr">
        <is>
          <t>Not Started</t>
        </is>
      </c>
    </row>
    <row r="69">
      <c r="I69" t="inlineStr"/>
      <c r="O69" s="20">
        <f>IF(AND(J69&gt;0,(J69-N69)&gt;0), (K69+(L69*0.5))/(J69-N69), "")</f>
        <v/>
      </c>
      <c r="U69">
        <f>IF(O69="","", IF(AND(O69=1, P69=0), "Fully Compliant", IF(AND(O69&gt;=0.95, P69=0), "Compliant", IF(O69&gt;=0.9, "Substantially Compliant", IF(O69&gt;=0.8, "Partially Compliant", "Non-Compliant")))))</f>
        <v/>
      </c>
      <c r="W69" s="21">
        <f>IF(V69&lt;&gt;"", V69+90, "")</f>
        <v/>
      </c>
      <c r="X69" t="inlineStr">
        <is>
          <t>[Security Analyst]</t>
        </is>
      </c>
      <c r="Z69" t="inlineStr">
        <is>
          <t>Not Started</t>
        </is>
      </c>
    </row>
    <row r="70">
      <c r="I70" t="inlineStr"/>
      <c r="O70" s="20">
        <f>IF(AND(J70&gt;0,(J70-N70)&gt;0), (K70+(L70*0.5))/(J70-N70), "")</f>
        <v/>
      </c>
      <c r="U70">
        <f>IF(O70="","", IF(AND(O70=1, P70=0), "Fully Compliant", IF(AND(O70&gt;=0.95, P70=0), "Compliant", IF(O70&gt;=0.9, "Substantially Compliant", IF(O70&gt;=0.8, "Partially Compliant", "Non-Compliant")))))</f>
        <v/>
      </c>
      <c r="W70" s="21">
        <f>IF(V70&lt;&gt;"", V70+90, "")</f>
        <v/>
      </c>
      <c r="X70" t="inlineStr">
        <is>
          <t>[Security Analyst]</t>
        </is>
      </c>
      <c r="Z70" t="inlineStr">
        <is>
          <t>Not Started</t>
        </is>
      </c>
    </row>
    <row r="71">
      <c r="I71" t="inlineStr"/>
      <c r="O71" s="20">
        <f>IF(AND(J71&gt;0,(J71-N71)&gt;0), (K71+(L71*0.5))/(J71-N71), "")</f>
        <v/>
      </c>
      <c r="U71">
        <f>IF(O71="","", IF(AND(O71=1, P71=0), "Fully Compliant", IF(AND(O71&gt;=0.95, P71=0), "Compliant", IF(O71&gt;=0.9, "Substantially Compliant", IF(O71&gt;=0.8, "Partially Compliant", "Non-Compliant")))))</f>
        <v/>
      </c>
      <c r="W71" s="21">
        <f>IF(V71&lt;&gt;"", V71+90, "")</f>
        <v/>
      </c>
      <c r="X71" t="inlineStr">
        <is>
          <t>[Security Analyst]</t>
        </is>
      </c>
      <c r="Z71" t="inlineStr">
        <is>
          <t>Not Started</t>
        </is>
      </c>
    </row>
    <row r="72">
      <c r="I72" t="inlineStr"/>
      <c r="O72" s="20">
        <f>IF(AND(J72&gt;0,(J72-N72)&gt;0), (K72+(L72*0.5))/(J72-N72), "")</f>
        <v/>
      </c>
      <c r="U72">
        <f>IF(O72="","", IF(AND(O72=1, P72=0), "Fully Compliant", IF(AND(O72&gt;=0.95, P72=0), "Compliant", IF(O72&gt;=0.9, "Substantially Compliant", IF(O72&gt;=0.8, "Partially Compliant", "Non-Compliant")))))</f>
        <v/>
      </c>
      <c r="W72" s="21">
        <f>IF(V72&lt;&gt;"", V72+90, "")</f>
        <v/>
      </c>
      <c r="X72" t="inlineStr">
        <is>
          <t>[Security Analyst]</t>
        </is>
      </c>
      <c r="Z72" t="inlineStr">
        <is>
          <t>Not Started</t>
        </is>
      </c>
    </row>
    <row r="73">
      <c r="I73" t="inlineStr"/>
      <c r="O73" s="20">
        <f>IF(AND(J73&gt;0,(J73-N73)&gt;0), (K73+(L73*0.5))/(J73-N73), "")</f>
        <v/>
      </c>
      <c r="U73">
        <f>IF(O73="","", IF(AND(O73=1, P73=0), "Fully Compliant", IF(AND(O73&gt;=0.95, P73=0), "Compliant", IF(O73&gt;=0.9, "Substantially Compliant", IF(O73&gt;=0.8, "Partially Compliant", "Non-Compliant")))))</f>
        <v/>
      </c>
      <c r="W73" s="21">
        <f>IF(V73&lt;&gt;"", V73+90, "")</f>
        <v/>
      </c>
      <c r="X73" t="inlineStr">
        <is>
          <t>[Security Analyst]</t>
        </is>
      </c>
      <c r="Z73" t="inlineStr">
        <is>
          <t>Not Started</t>
        </is>
      </c>
    </row>
    <row r="74">
      <c r="I74" t="inlineStr"/>
      <c r="O74" s="20">
        <f>IF(AND(J74&gt;0,(J74-N74)&gt;0), (K74+(L74*0.5))/(J74-N74), "")</f>
        <v/>
      </c>
      <c r="U74">
        <f>IF(O74="","", IF(AND(O74=1, P74=0), "Fully Compliant", IF(AND(O74&gt;=0.95, P74=0), "Compliant", IF(O74&gt;=0.9, "Substantially Compliant", IF(O74&gt;=0.8, "Partially Compliant", "Non-Compliant")))))</f>
        <v/>
      </c>
      <c r="W74" s="21">
        <f>IF(V74&lt;&gt;"", V74+90, "")</f>
        <v/>
      </c>
      <c r="X74" t="inlineStr">
        <is>
          <t>[Security Analyst]</t>
        </is>
      </c>
      <c r="Z74" t="inlineStr">
        <is>
          <t>Not Started</t>
        </is>
      </c>
    </row>
    <row r="75">
      <c r="I75" t="inlineStr"/>
      <c r="O75" s="20">
        <f>IF(AND(J75&gt;0,(J75-N75)&gt;0), (K75+(L75*0.5))/(J75-N75), "")</f>
        <v/>
      </c>
      <c r="U75">
        <f>IF(O75="","", IF(AND(O75=1, P75=0), "Fully Compliant", IF(AND(O75&gt;=0.95, P75=0), "Compliant", IF(O75&gt;=0.9, "Substantially Compliant", IF(O75&gt;=0.8, "Partially Compliant", "Non-Compliant")))))</f>
        <v/>
      </c>
      <c r="W75" s="21">
        <f>IF(V75&lt;&gt;"", V75+90, "")</f>
        <v/>
      </c>
      <c r="X75" t="inlineStr">
        <is>
          <t>[Security Analyst]</t>
        </is>
      </c>
      <c r="Z75" t="inlineStr">
        <is>
          <t>Not Started</t>
        </is>
      </c>
    </row>
    <row r="76">
      <c r="I76" t="inlineStr"/>
      <c r="O76" s="20">
        <f>IF(AND(J76&gt;0,(J76-N76)&gt;0), (K76+(L76*0.5))/(J76-N76), "")</f>
        <v/>
      </c>
      <c r="U76">
        <f>IF(O76="","", IF(AND(O76=1, P76=0), "Fully Compliant", IF(AND(O76&gt;=0.95, P76=0), "Compliant", IF(O76&gt;=0.9, "Substantially Compliant", IF(O76&gt;=0.8, "Partially Compliant", "Non-Compliant")))))</f>
        <v/>
      </c>
      <c r="W76" s="21">
        <f>IF(V76&lt;&gt;"", V76+90, "")</f>
        <v/>
      </c>
      <c r="X76" t="inlineStr">
        <is>
          <t>[Security Analyst]</t>
        </is>
      </c>
      <c r="Z76" t="inlineStr">
        <is>
          <t>Not Started</t>
        </is>
      </c>
    </row>
    <row r="77">
      <c r="I77" t="inlineStr"/>
      <c r="O77" s="20">
        <f>IF(AND(J77&gt;0,(J77-N77)&gt;0), (K77+(L77*0.5))/(J77-N77), "")</f>
        <v/>
      </c>
      <c r="U77">
        <f>IF(O77="","", IF(AND(O77=1, P77=0), "Fully Compliant", IF(AND(O77&gt;=0.95, P77=0), "Compliant", IF(O77&gt;=0.9, "Substantially Compliant", IF(O77&gt;=0.8, "Partially Compliant", "Non-Compliant")))))</f>
        <v/>
      </c>
      <c r="W77" s="21">
        <f>IF(V77&lt;&gt;"", V77+90, "")</f>
        <v/>
      </c>
      <c r="X77" t="inlineStr">
        <is>
          <t>[Security Analyst]</t>
        </is>
      </c>
      <c r="Z77" t="inlineStr">
        <is>
          <t>Not Started</t>
        </is>
      </c>
    </row>
    <row r="78">
      <c r="I78" t="inlineStr"/>
      <c r="O78" s="20">
        <f>IF(AND(J78&gt;0,(J78-N78)&gt;0), (K78+(L78*0.5))/(J78-N78), "")</f>
        <v/>
      </c>
      <c r="U78">
        <f>IF(O78="","", IF(AND(O78=1, P78=0), "Fully Compliant", IF(AND(O78&gt;=0.95, P78=0), "Compliant", IF(O78&gt;=0.9, "Substantially Compliant", IF(O78&gt;=0.8, "Partially Compliant", "Non-Compliant")))))</f>
        <v/>
      </c>
      <c r="W78" s="21">
        <f>IF(V78&lt;&gt;"", V78+90, "")</f>
        <v/>
      </c>
      <c r="X78" t="inlineStr">
        <is>
          <t>[Security Analyst]</t>
        </is>
      </c>
      <c r="Z78" t="inlineStr">
        <is>
          <t>Not Started</t>
        </is>
      </c>
    </row>
    <row r="79">
      <c r="I79" t="inlineStr"/>
      <c r="O79" s="20">
        <f>IF(AND(J79&gt;0,(J79-N79)&gt;0), (K79+(L79*0.5))/(J79-N79), "")</f>
        <v/>
      </c>
      <c r="U79">
        <f>IF(O79="","", IF(AND(O79=1, P79=0), "Fully Compliant", IF(AND(O79&gt;=0.95, P79=0), "Compliant", IF(O79&gt;=0.9, "Substantially Compliant", IF(O79&gt;=0.8, "Partially Compliant", "Non-Compliant")))))</f>
        <v/>
      </c>
      <c r="W79" s="21">
        <f>IF(V79&lt;&gt;"", V79+90, "")</f>
        <v/>
      </c>
      <c r="X79" t="inlineStr">
        <is>
          <t>[Security Analyst]</t>
        </is>
      </c>
      <c r="Z79" t="inlineStr">
        <is>
          <t>Not Started</t>
        </is>
      </c>
    </row>
    <row r="80">
      <c r="I80" t="inlineStr"/>
      <c r="O80" s="20">
        <f>IF(AND(J80&gt;0,(J80-N80)&gt;0), (K80+(L80*0.5))/(J80-N80), "")</f>
        <v/>
      </c>
      <c r="U80">
        <f>IF(O80="","", IF(AND(O80=1, P80=0), "Fully Compliant", IF(AND(O80&gt;=0.95, P80=0), "Compliant", IF(O80&gt;=0.9, "Substantially Compliant", IF(O80&gt;=0.8, "Partially Compliant", "Non-Compliant")))))</f>
        <v/>
      </c>
      <c r="W80" s="21">
        <f>IF(V80&lt;&gt;"", V80+90, "")</f>
        <v/>
      </c>
      <c r="X80" t="inlineStr">
        <is>
          <t>[Security Analyst]</t>
        </is>
      </c>
      <c r="Z80" t="inlineStr">
        <is>
          <t>Not Started</t>
        </is>
      </c>
    </row>
    <row r="81">
      <c r="I81" t="inlineStr"/>
      <c r="O81" s="20">
        <f>IF(AND(J81&gt;0,(J81-N81)&gt;0), (K81+(L81*0.5))/(J81-N81), "")</f>
        <v/>
      </c>
      <c r="U81">
        <f>IF(O81="","", IF(AND(O81=1, P81=0), "Fully Compliant", IF(AND(O81&gt;=0.95, P81=0), "Compliant", IF(O81&gt;=0.9, "Substantially Compliant", IF(O81&gt;=0.8, "Partially Compliant", "Non-Compliant")))))</f>
        <v/>
      </c>
      <c r="W81" s="21">
        <f>IF(V81&lt;&gt;"", V81+90, "")</f>
        <v/>
      </c>
      <c r="X81" t="inlineStr">
        <is>
          <t>[Security Analyst]</t>
        </is>
      </c>
      <c r="Z81" t="inlineStr">
        <is>
          <t>Not Started</t>
        </is>
      </c>
    </row>
    <row r="82">
      <c r="I82" t="inlineStr"/>
      <c r="O82" s="20">
        <f>IF(AND(J82&gt;0,(J82-N82)&gt;0), (K82+(L82*0.5))/(J82-N82), "")</f>
        <v/>
      </c>
      <c r="U82">
        <f>IF(O82="","", IF(AND(O82=1, P82=0), "Fully Compliant", IF(AND(O82&gt;=0.95, P82=0), "Compliant", IF(O82&gt;=0.9, "Substantially Compliant", IF(O82&gt;=0.8, "Partially Compliant", "Non-Compliant")))))</f>
        <v/>
      </c>
      <c r="W82" s="21">
        <f>IF(V82&lt;&gt;"", V82+90, "")</f>
        <v/>
      </c>
      <c r="X82" t="inlineStr">
        <is>
          <t>[Security Analyst]</t>
        </is>
      </c>
      <c r="Z82" t="inlineStr">
        <is>
          <t>Not Started</t>
        </is>
      </c>
    </row>
    <row r="83">
      <c r="I83" t="inlineStr"/>
      <c r="O83" s="20">
        <f>IF(AND(J83&gt;0,(J83-N83)&gt;0), (K83+(L83*0.5))/(J83-N83), "")</f>
        <v/>
      </c>
      <c r="U83">
        <f>IF(O83="","", IF(AND(O83=1, P83=0), "Fully Compliant", IF(AND(O83&gt;=0.95, P83=0), "Compliant", IF(O83&gt;=0.9, "Substantially Compliant", IF(O83&gt;=0.8, "Partially Compliant", "Non-Compliant")))))</f>
        <v/>
      </c>
      <c r="W83" s="21">
        <f>IF(V83&lt;&gt;"", V83+90, "")</f>
        <v/>
      </c>
      <c r="X83" t="inlineStr">
        <is>
          <t>[Security Analyst]</t>
        </is>
      </c>
      <c r="Z83" t="inlineStr">
        <is>
          <t>Not Started</t>
        </is>
      </c>
    </row>
    <row r="84">
      <c r="I84" t="inlineStr"/>
      <c r="O84" s="20">
        <f>IF(AND(J84&gt;0,(J84-N84)&gt;0), (K84+(L84*0.5))/(J84-N84), "")</f>
        <v/>
      </c>
      <c r="U84">
        <f>IF(O84="","", IF(AND(O84=1, P84=0), "Fully Compliant", IF(AND(O84&gt;=0.95, P84=0), "Compliant", IF(O84&gt;=0.9, "Substantially Compliant", IF(O84&gt;=0.8, "Partially Compliant", "Non-Compliant")))))</f>
        <v/>
      </c>
      <c r="W84" s="21">
        <f>IF(V84&lt;&gt;"", V84+90, "")</f>
        <v/>
      </c>
      <c r="X84" t="inlineStr">
        <is>
          <t>[Security Analyst]</t>
        </is>
      </c>
      <c r="Z84" t="inlineStr">
        <is>
          <t>Not Started</t>
        </is>
      </c>
    </row>
    <row r="85">
      <c r="I85" t="inlineStr"/>
      <c r="O85" s="20">
        <f>IF(AND(J85&gt;0,(J85-N85)&gt;0), (K85+(L85*0.5))/(J85-N85), "")</f>
        <v/>
      </c>
      <c r="U85">
        <f>IF(O85="","", IF(AND(O85=1, P85=0), "Fully Compliant", IF(AND(O85&gt;=0.95, P85=0), "Compliant", IF(O85&gt;=0.9, "Substantially Compliant", IF(O85&gt;=0.8, "Partially Compliant", "Non-Compliant")))))</f>
        <v/>
      </c>
      <c r="W85" s="21">
        <f>IF(V85&lt;&gt;"", V85+90, "")</f>
        <v/>
      </c>
      <c r="X85" t="inlineStr">
        <is>
          <t>[Security Analyst]</t>
        </is>
      </c>
      <c r="Z85" t="inlineStr">
        <is>
          <t>Not Started</t>
        </is>
      </c>
    </row>
    <row r="86">
      <c r="I86" t="inlineStr"/>
      <c r="O86" s="20">
        <f>IF(AND(J86&gt;0,(J86-N86)&gt;0), (K86+(L86*0.5))/(J86-N86), "")</f>
        <v/>
      </c>
      <c r="U86">
        <f>IF(O86="","", IF(AND(O86=1, P86=0), "Fully Compliant", IF(AND(O86&gt;=0.95, P86=0), "Compliant", IF(O86&gt;=0.9, "Substantially Compliant", IF(O86&gt;=0.8, "Partially Compliant", "Non-Compliant")))))</f>
        <v/>
      </c>
      <c r="W86" s="21">
        <f>IF(V86&lt;&gt;"", V86+90, "")</f>
        <v/>
      </c>
      <c r="X86" t="inlineStr">
        <is>
          <t>[Security Analyst]</t>
        </is>
      </c>
      <c r="Z86" t="inlineStr">
        <is>
          <t>Not Started</t>
        </is>
      </c>
    </row>
    <row r="87">
      <c r="I87" t="inlineStr"/>
      <c r="O87" s="20">
        <f>IF(AND(J87&gt;0,(J87-N87)&gt;0), (K87+(L87*0.5))/(J87-N87), "")</f>
        <v/>
      </c>
      <c r="U87">
        <f>IF(O87="","", IF(AND(O87=1, P87=0), "Fully Compliant", IF(AND(O87&gt;=0.95, P87=0), "Compliant", IF(O87&gt;=0.9, "Substantially Compliant", IF(O87&gt;=0.8, "Partially Compliant", "Non-Compliant")))))</f>
        <v/>
      </c>
      <c r="W87" s="21">
        <f>IF(V87&lt;&gt;"", V87+90, "")</f>
        <v/>
      </c>
      <c r="X87" t="inlineStr">
        <is>
          <t>[Security Analyst]</t>
        </is>
      </c>
      <c r="Z87" t="inlineStr">
        <is>
          <t>Not Started</t>
        </is>
      </c>
    </row>
    <row r="88">
      <c r="I88" t="inlineStr"/>
      <c r="O88" s="20">
        <f>IF(AND(J88&gt;0,(J88-N88)&gt;0), (K88+(L88*0.5))/(J88-N88), "")</f>
        <v/>
      </c>
      <c r="U88">
        <f>IF(O88="","", IF(AND(O88=1, P88=0), "Fully Compliant", IF(AND(O88&gt;=0.95, P88=0), "Compliant", IF(O88&gt;=0.9, "Substantially Compliant", IF(O88&gt;=0.8, "Partially Compliant", "Non-Compliant")))))</f>
        <v/>
      </c>
      <c r="W88" s="21">
        <f>IF(V88&lt;&gt;"", V88+90, "")</f>
        <v/>
      </c>
      <c r="X88" t="inlineStr">
        <is>
          <t>[Security Analyst]</t>
        </is>
      </c>
      <c r="Z88" t="inlineStr">
        <is>
          <t>Not Started</t>
        </is>
      </c>
    </row>
    <row r="89">
      <c r="I89" t="inlineStr"/>
      <c r="O89" s="20">
        <f>IF(AND(J89&gt;0,(J89-N89)&gt;0), (K89+(L89*0.5))/(J89-N89), "")</f>
        <v/>
      </c>
      <c r="U89">
        <f>IF(O89="","", IF(AND(O89=1, P89=0), "Fully Compliant", IF(AND(O89&gt;=0.95, P89=0), "Compliant", IF(O89&gt;=0.9, "Substantially Compliant", IF(O89&gt;=0.8, "Partially Compliant", "Non-Compliant")))))</f>
        <v/>
      </c>
      <c r="W89" s="21">
        <f>IF(V89&lt;&gt;"", V89+90, "")</f>
        <v/>
      </c>
      <c r="X89" t="inlineStr">
        <is>
          <t>[Security Analyst]</t>
        </is>
      </c>
      <c r="Z89" t="inlineStr">
        <is>
          <t>Not Started</t>
        </is>
      </c>
    </row>
    <row r="90">
      <c r="I90" t="inlineStr"/>
      <c r="O90" s="20">
        <f>IF(AND(J90&gt;0,(J90-N90)&gt;0), (K90+(L90*0.5))/(J90-N90), "")</f>
        <v/>
      </c>
      <c r="U90">
        <f>IF(O90="","", IF(AND(O90=1, P90=0), "Fully Compliant", IF(AND(O90&gt;=0.95, P90=0), "Compliant", IF(O90&gt;=0.9, "Substantially Compliant", IF(O90&gt;=0.8, "Partially Compliant", "Non-Compliant")))))</f>
        <v/>
      </c>
      <c r="W90" s="21">
        <f>IF(V90&lt;&gt;"", V90+90, "")</f>
        <v/>
      </c>
      <c r="X90" t="inlineStr">
        <is>
          <t>[Security Analyst]</t>
        </is>
      </c>
      <c r="Z90" t="inlineStr">
        <is>
          <t>Not Started</t>
        </is>
      </c>
    </row>
    <row r="91">
      <c r="I91" t="inlineStr"/>
      <c r="O91" s="20">
        <f>IF(AND(J91&gt;0,(J91-N91)&gt;0), (K91+(L91*0.5))/(J91-N91), "")</f>
        <v/>
      </c>
      <c r="U91">
        <f>IF(O91="","", IF(AND(O91=1, P91=0), "Fully Compliant", IF(AND(O91&gt;=0.95, P91=0), "Compliant", IF(O91&gt;=0.9, "Substantially Compliant", IF(O91&gt;=0.8, "Partially Compliant", "Non-Compliant")))))</f>
        <v/>
      </c>
      <c r="W91" s="21">
        <f>IF(V91&lt;&gt;"", V91+90, "")</f>
        <v/>
      </c>
      <c r="X91" t="inlineStr">
        <is>
          <t>[Security Analyst]</t>
        </is>
      </c>
      <c r="Z91" t="inlineStr">
        <is>
          <t>Not Started</t>
        </is>
      </c>
    </row>
    <row r="92">
      <c r="I92" t="inlineStr"/>
      <c r="O92" s="20">
        <f>IF(AND(J92&gt;0,(J92-N92)&gt;0), (K92+(L92*0.5))/(J92-N92), "")</f>
        <v/>
      </c>
      <c r="U92">
        <f>IF(O92="","", IF(AND(O92=1, P92=0), "Fully Compliant", IF(AND(O92&gt;=0.95, P92=0), "Compliant", IF(O92&gt;=0.9, "Substantially Compliant", IF(O92&gt;=0.8, "Partially Compliant", "Non-Compliant")))))</f>
        <v/>
      </c>
      <c r="W92" s="21">
        <f>IF(V92&lt;&gt;"", V92+90, "")</f>
        <v/>
      </c>
      <c r="X92" t="inlineStr">
        <is>
          <t>[Security Analyst]</t>
        </is>
      </c>
      <c r="Z92" t="inlineStr">
        <is>
          <t>Not Started</t>
        </is>
      </c>
    </row>
    <row r="93">
      <c r="I93" t="inlineStr"/>
      <c r="O93" s="20">
        <f>IF(AND(J93&gt;0,(J93-N93)&gt;0), (K93+(L93*0.5))/(J93-N93), "")</f>
        <v/>
      </c>
      <c r="U93">
        <f>IF(O93="","", IF(AND(O93=1, P93=0), "Fully Compliant", IF(AND(O93&gt;=0.95, P93=0), "Compliant", IF(O93&gt;=0.9, "Substantially Compliant", IF(O93&gt;=0.8, "Partially Compliant", "Non-Compliant")))))</f>
        <v/>
      </c>
      <c r="W93" s="21">
        <f>IF(V93&lt;&gt;"", V93+90, "")</f>
        <v/>
      </c>
      <c r="X93" t="inlineStr">
        <is>
          <t>[Security Analyst]</t>
        </is>
      </c>
      <c r="Z93" t="inlineStr">
        <is>
          <t>Not Started</t>
        </is>
      </c>
    </row>
    <row r="94">
      <c r="I94" t="inlineStr"/>
      <c r="O94" s="20">
        <f>IF(AND(J94&gt;0,(J94-N94)&gt;0), (K94+(L94*0.5))/(J94-N94), "")</f>
        <v/>
      </c>
      <c r="U94">
        <f>IF(O94="","", IF(AND(O94=1, P94=0), "Fully Compliant", IF(AND(O94&gt;=0.95, P94=0), "Compliant", IF(O94&gt;=0.9, "Substantially Compliant", IF(O94&gt;=0.8, "Partially Compliant", "Non-Compliant")))))</f>
        <v/>
      </c>
      <c r="W94" s="21">
        <f>IF(V94&lt;&gt;"", V94+90, "")</f>
        <v/>
      </c>
      <c r="X94" t="inlineStr">
        <is>
          <t>[Security Analyst]</t>
        </is>
      </c>
      <c r="Z94" t="inlineStr">
        <is>
          <t>Not Started</t>
        </is>
      </c>
    </row>
    <row r="95">
      <c r="I95" t="inlineStr"/>
      <c r="O95" s="20">
        <f>IF(AND(J95&gt;0,(J95-N95)&gt;0), (K95+(L95*0.5))/(J95-N95), "")</f>
        <v/>
      </c>
      <c r="U95">
        <f>IF(O95="","", IF(AND(O95=1, P95=0), "Fully Compliant", IF(AND(O95&gt;=0.95, P95=0), "Compliant", IF(O95&gt;=0.9, "Substantially Compliant", IF(O95&gt;=0.8, "Partially Compliant", "Non-Compliant")))))</f>
        <v/>
      </c>
      <c r="W95" s="21">
        <f>IF(V95&lt;&gt;"", V95+90, "")</f>
        <v/>
      </c>
      <c r="X95" t="inlineStr">
        <is>
          <t>[Security Analyst]</t>
        </is>
      </c>
      <c r="Z95" t="inlineStr">
        <is>
          <t>Not Started</t>
        </is>
      </c>
    </row>
    <row r="96">
      <c r="I96" t="inlineStr"/>
      <c r="O96" s="20">
        <f>IF(AND(J96&gt;0,(J96-N96)&gt;0), (K96+(L96*0.5))/(J96-N96), "")</f>
        <v/>
      </c>
      <c r="U96">
        <f>IF(O96="","", IF(AND(O96=1, P96=0), "Fully Compliant", IF(AND(O96&gt;=0.95, P96=0), "Compliant", IF(O96&gt;=0.9, "Substantially Compliant", IF(O96&gt;=0.8, "Partially Compliant", "Non-Compliant")))))</f>
        <v/>
      </c>
      <c r="W96" s="21">
        <f>IF(V96&lt;&gt;"", V96+90, "")</f>
        <v/>
      </c>
      <c r="X96" t="inlineStr">
        <is>
          <t>[Security Analyst]</t>
        </is>
      </c>
      <c r="Z96" t="inlineStr">
        <is>
          <t>Not Started</t>
        </is>
      </c>
    </row>
    <row r="97">
      <c r="I97" t="inlineStr"/>
      <c r="O97" s="20">
        <f>IF(AND(J97&gt;0,(J97-N97)&gt;0), (K97+(L97*0.5))/(J97-N97), "")</f>
        <v/>
      </c>
      <c r="U97">
        <f>IF(O97="","", IF(AND(O97=1, P97=0), "Fully Compliant", IF(AND(O97&gt;=0.95, P97=0), "Compliant", IF(O97&gt;=0.9, "Substantially Compliant", IF(O97&gt;=0.8, "Partially Compliant", "Non-Compliant")))))</f>
        <v/>
      </c>
      <c r="W97" s="21">
        <f>IF(V97&lt;&gt;"", V97+90, "")</f>
        <v/>
      </c>
      <c r="X97" t="inlineStr">
        <is>
          <t>[Security Analyst]</t>
        </is>
      </c>
      <c r="Z97" t="inlineStr">
        <is>
          <t>Not Started</t>
        </is>
      </c>
    </row>
    <row r="98">
      <c r="I98" t="inlineStr"/>
      <c r="O98" s="20">
        <f>IF(AND(J98&gt;0,(J98-N98)&gt;0), (K98+(L98*0.5))/(J98-N98), "")</f>
        <v/>
      </c>
      <c r="U98">
        <f>IF(O98="","", IF(AND(O98=1, P98=0), "Fully Compliant", IF(AND(O98&gt;=0.95, P98=0), "Compliant", IF(O98&gt;=0.9, "Substantially Compliant", IF(O98&gt;=0.8, "Partially Compliant", "Non-Compliant")))))</f>
        <v/>
      </c>
      <c r="W98" s="21">
        <f>IF(V98&lt;&gt;"", V98+90, "")</f>
        <v/>
      </c>
      <c r="X98" t="inlineStr">
        <is>
          <t>[Security Analyst]</t>
        </is>
      </c>
      <c r="Z98" t="inlineStr">
        <is>
          <t>Not Started</t>
        </is>
      </c>
    </row>
    <row r="99">
      <c r="I99" t="inlineStr"/>
      <c r="O99" s="20">
        <f>IF(AND(J99&gt;0,(J99-N99)&gt;0), (K99+(L99*0.5))/(J99-N99), "")</f>
        <v/>
      </c>
      <c r="U99">
        <f>IF(O99="","", IF(AND(O99=1, P99=0), "Fully Compliant", IF(AND(O99&gt;=0.95, P99=0), "Compliant", IF(O99&gt;=0.9, "Substantially Compliant", IF(O99&gt;=0.8, "Partially Compliant", "Non-Compliant")))))</f>
        <v/>
      </c>
      <c r="W99" s="21">
        <f>IF(V99&lt;&gt;"", V99+90, "")</f>
        <v/>
      </c>
      <c r="X99" t="inlineStr">
        <is>
          <t>[Security Analyst]</t>
        </is>
      </c>
      <c r="Z99" t="inlineStr">
        <is>
          <t>Not Started</t>
        </is>
      </c>
    </row>
    <row r="100">
      <c r="I100" t="inlineStr"/>
      <c r="O100" s="20">
        <f>IF(AND(J100&gt;0,(J100-N100)&gt;0), (K100+(L100*0.5))/(J100-N100), "")</f>
        <v/>
      </c>
      <c r="U100">
        <f>IF(O100="","", IF(AND(O100=1, P100=0), "Fully Compliant", IF(AND(O100&gt;=0.95, P100=0), "Compliant", IF(O100&gt;=0.9, "Substantially Compliant", IF(O100&gt;=0.8, "Partially Compliant", "Non-Compliant")))))</f>
        <v/>
      </c>
      <c r="W100" s="21">
        <f>IF(V100&lt;&gt;"", V100+90, "")</f>
        <v/>
      </c>
      <c r="X100" t="inlineStr">
        <is>
          <t>[Security Analyst]</t>
        </is>
      </c>
      <c r="Z100" t="inlineStr">
        <is>
          <t>Not Started</t>
        </is>
      </c>
    </row>
    <row r="101">
      <c r="I101" t="inlineStr"/>
      <c r="O101" s="20">
        <f>IF(AND(J101&gt;0,(J101-N101)&gt;0), (K101+(L101*0.5))/(J101-N101), "")</f>
        <v/>
      </c>
      <c r="U101">
        <f>IF(O101="","", IF(AND(O101=1, P101=0), "Fully Compliant", IF(AND(O101&gt;=0.95, P101=0), "Compliant", IF(O101&gt;=0.9, "Substantially Compliant", IF(O101&gt;=0.8, "Partially Compliant", "Non-Compliant")))))</f>
        <v/>
      </c>
      <c r="W101" s="21">
        <f>IF(V101&lt;&gt;"", V101+90, "")</f>
        <v/>
      </c>
      <c r="X101" t="inlineStr">
        <is>
          <t>[Security Analyst]</t>
        </is>
      </c>
      <c r="Z101" t="inlineStr">
        <is>
          <t>Not Started</t>
        </is>
      </c>
    </row>
  </sheetData>
  <conditionalFormatting sqref="U2:U101">
    <cfRule type="expression" priority="1" dxfId="3">
      <formula>OR(ISNUMBER(SEARCH("Fully Compliant",$U2)),ISNUMBER(SEARCH("Compliant",$U2)),ISNUMBER(SEARCH("Completed",$U2)),ISNUMBER(SEARCH("Pass",$U2)),ISNUMBER(SEARCH("Approved",$U2)))</formula>
    </cfRule>
    <cfRule type="expression" priority="2" dxfId="1">
      <formula>OR(ISNUMBER(SEARCH("Substantially Compliant",$U2)),ISNUMBER(SEARCH("Partial",$U2)),ISNUMBER(SEARCH("In Progress",$U2)),ISNUMBER(SEARCH("Under Review",$U2)))</formula>
    </cfRule>
    <cfRule type="expression" priority="3" dxfId="5">
      <formula>OR(ISNUMBER(SEARCH("Non-Compliant",$U2)),ISNUMBER(SEARCH("Fail",$U2)),ISNUMBER(SEARCH("Blocked",$U2)),ISNUMBER(SEARCH("Rejected",$U2)),ISNUMBER(SEARCH("Expired",$U2)))</formula>
    </cfRule>
  </conditionalFormatting>
  <conditionalFormatting sqref="P2:P101">
    <cfRule type="cellIs" priority="4" operator="greaterThan" dxfId="6">
      <formula>0</formula>
    </cfRule>
  </conditionalFormatting>
  <conditionalFormatting sqref="A2:AB101">
    <cfRule type="expression" priority="5" dxfId="7">
      <formula>AND(ISNUMBER(SEARCH("Critical",$D2)), $O2&lt;1, $O2&lt;&gt;"")</formula>
    </cfRule>
  </conditionalFormatting>
  <conditionalFormatting sqref="W2:W101">
    <cfRule type="cellIs" priority="6" operator="lessThan" dxfId="0">
      <formula>TODAY()</formula>
    </cfRule>
    <cfRule type="cellIs" priority="7" operator="between" dxfId="1">
      <formula>TODAY()</formula>
      <formula>TODAY()+30</formula>
    </cfRule>
  </conditionalFormatting>
  <dataValidations count="3">
    <dataValidation sqref="C2:C101" showDropDown="0" showInputMessage="0" showErrorMessage="1" allowBlank="1" errorTitle="Invalid Entry" error="Please select from the dropdown list." type="list">
      <formula1>"Physical Server,Virtual Server (VM),Hypervisor/VM Host,Container Host,Storage Array,Backup Appliance,Database Server,Application Server,Legacy System,Corporate Workstation,Corporate Laptop,Executive Device,Mobile Device (Corporate),Mobile Device (BYOD),Thin Client,Kiosk/Shared Terminal,Core Router,Edge Router,L2/L3 Switch,Wireless Access Point,Firewall,IDS/IPS Appliance,Load Balancer,VPN Concentrator,Web Application,API Service,Database Management System,File Server/NAS,Email System,Authentication Service (IAM),Monitoring/Logging System,IaaS Instance,PaaS Application,SaaS Application Configuration,Container (Docker/K8s),Serverless Function,Cloud Storage Bucket,Cloud Network Configuration,Building Management System,Physical Security System,Industrial Control System (ICS),SCADA System,IoT Sensor/Device"</formula1>
    </dataValidation>
    <dataValidation sqref="D2:D101" showDropDown="0" showInputMessage="0" showErrorMessage="1" allowBlank="1" errorTitle="Invalid Entry" error="Please select from the dropdown list." type="list">
      <formula1>"Critical,High,Medium,Low"</formula1>
    </dataValidation>
    <dataValidation sqref="Z2:Z101" showDropDown="0" showInputMessage="0" showErrorMessage="1" allowBlank="1" errorTitle="Invalid Entry" error="Please select from the dropdown list." type="list">
      <formula1>"❌ Not Started,Planning,⏳ In Progress,❌ Blocked,✅ Completed,⚠️ Accepted as Exception"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501"/>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25" customWidth="1" min="3" max="3"/>
    <col width="12" customWidth="1" min="4" max="4"/>
    <col width="30" customWidth="1" min="5" max="5"/>
    <col width="12" customWidth="1" min="6" max="6"/>
    <col width="35" customWidth="1" min="7" max="7"/>
    <col width="50" customWidth="1" min="8" max="8"/>
    <col width="18" customWidth="1" min="9" max="9"/>
    <col width="15" customWidth="1" min="10" max="10"/>
    <col width="18" customWidth="1" min="11" max="11"/>
    <col width="18" customWidth="1" min="12" max="12"/>
    <col width="40" customWidth="1" min="13" max="13"/>
    <col width="30" customWidth="1" min="14" max="14"/>
    <col width="25" customWidth="1" min="15" max="15"/>
    <col width="25" customWidth="1" min="16" max="16"/>
    <col width="16" customWidth="1" min="17" max="17"/>
    <col width="40" customWidth="1" min="18" max="18"/>
    <col width="15" customWidth="1" min="19" max="19"/>
    <col width="18" customWidth="1" min="20" max="20"/>
    <col width="40" customWidth="1" min="21" max="21"/>
    <col width="25" customWidth="1" min="22" max="22"/>
    <col width="20" customWidth="1" min="23" max="23"/>
    <col width="16" customWidth="1" min="24" max="24"/>
    <col width="12" customWidth="1" min="25" max="25"/>
    <col width="40" customWidth="1" min="26" max="26"/>
    <col width="18" customWidth="1" min="27" max="27"/>
    <col width="25" customWidth="1" min="28" max="28"/>
    <col width="20" customWidth="1" min="29" max="29"/>
    <col width="20" customWidth="1" min="30" max="30"/>
    <col width="20" customWidth="1" min="31" max="31"/>
    <col width="40" customWidth="1" min="32" max="32"/>
  </cols>
  <sheetData>
    <row r="1">
      <c r="A1" s="12" t="inlineStr">
        <is>
          <t>Control ID</t>
        </is>
      </c>
      <c r="B1" s="12" t="inlineStr">
        <is>
          <t>Asset ID</t>
        </is>
      </c>
      <c r="C1" s="12" t="inlineStr">
        <is>
          <t>Asset Name</t>
        </is>
      </c>
      <c r="D1" s="12" t="inlineStr">
        <is>
          <t>Standard ID</t>
        </is>
      </c>
      <c r="E1" s="12" t="inlineStr">
        <is>
          <t>Standard Name</t>
        </is>
      </c>
      <c r="F1" s="12" t="inlineStr">
        <is>
          <t>Control Number</t>
        </is>
      </c>
      <c r="G1" s="12" t="inlineStr">
        <is>
          <t>Control Title</t>
        </is>
      </c>
      <c r="H1" s="12" t="inlineStr">
        <is>
          <t>Control Description</t>
        </is>
      </c>
      <c r="I1" s="12" t="inlineStr">
        <is>
          <t>Control Category</t>
        </is>
      </c>
      <c r="J1" s="12" t="inlineStr">
        <is>
          <t>Control Severity</t>
        </is>
      </c>
      <c r="K1" s="12" t="inlineStr">
        <is>
          <t>Implementation Status</t>
        </is>
      </c>
      <c r="L1" s="12" t="inlineStr">
        <is>
          <t>Implementation Method</t>
        </is>
      </c>
      <c r="M1" s="12" t="inlineStr">
        <is>
          <t>Implementation Evidence</t>
        </is>
      </c>
      <c r="N1" s="12" t="inlineStr">
        <is>
          <t>Configuration Setting</t>
        </is>
      </c>
      <c r="O1" s="12" t="inlineStr">
        <is>
          <t>Expected Value</t>
        </is>
      </c>
      <c r="P1" s="12" t="inlineStr">
        <is>
          <t>Actual Value</t>
        </is>
      </c>
      <c r="Q1" s="12" t="inlineStr">
        <is>
          <t>Compliance Status</t>
        </is>
      </c>
      <c r="R1" s="12" t="inlineStr">
        <is>
          <t>Gap Description</t>
        </is>
      </c>
      <c r="S1" s="12" t="inlineStr">
        <is>
          <t>Gap Risk Rating</t>
        </is>
      </c>
      <c r="T1" s="12" t="inlineStr">
        <is>
          <t>Remediation Required</t>
        </is>
      </c>
      <c r="U1" s="12" t="inlineStr">
        <is>
          <t>Remediation Plan</t>
        </is>
      </c>
      <c r="V1" s="12" t="inlineStr">
        <is>
          <t>Remediation Owner</t>
        </is>
      </c>
      <c r="W1" s="12" t="inlineStr">
        <is>
          <t>Target Remediation Date</t>
        </is>
      </c>
      <c r="X1" s="12" t="inlineStr">
        <is>
          <t>Exception Status</t>
        </is>
      </c>
      <c r="Y1" s="12" t="inlineStr">
        <is>
          <t>Exception ID</t>
        </is>
      </c>
      <c r="Z1" s="12" t="inlineStr">
        <is>
          <t>Compensating Control</t>
        </is>
      </c>
      <c r="AA1" s="12" t="inlineStr">
        <is>
          <t>Last Verified Date</t>
        </is>
      </c>
      <c r="AB1" s="12" t="inlineStr">
        <is>
          <t>Verified By</t>
        </is>
      </c>
      <c r="AC1" s="12" t="inlineStr">
        <is>
          <t>Evidence Reference</t>
        </is>
      </c>
      <c r="AD1" s="12" t="inlineStr">
        <is>
          <t>Verification Method</t>
        </is>
      </c>
      <c r="AE1" s="12" t="inlineStr">
        <is>
          <t>Next Verification Date</t>
        </is>
      </c>
      <c r="AF1" s="12" t="inlineStr">
        <is>
          <t>Notes</t>
        </is>
      </c>
    </row>
    <row r="2">
      <c r="A2">
        <f>IF(B2&lt;&gt;"", "HC-"&amp;TEXT(ROW()-1,"00000"), "")</f>
        <v/>
      </c>
      <c r="Q2">
        <f>IF(K2="", "", IF(ISNUMBER(SEARCH("Implemented",K2)), "Pass", IF(ISNUMBER(SEARCH("Partial",K2)), "Partial", IF(ISNUMBER(SEARCH("Not Applicable",K2)), "N/A", "Fail"))))</f>
        <v/>
      </c>
      <c r="T2">
        <f>IF(Q2="", "", IF(OR(Q2="Fail", Q2="Partial"), "Yes", "No"))</f>
        <v/>
      </c>
      <c r="X2" t="inlineStr">
        <is>
          <t>No</t>
        </is>
      </c>
      <c r="AB2" t="inlineStr">
        <is>
          <t>[Security Analyst]</t>
        </is>
      </c>
      <c r="AE2" s="21">
        <f>IF(AA2&lt;&gt;"", AA2+90, "")</f>
        <v/>
      </c>
    </row>
    <row r="3">
      <c r="A3">
        <f>IF(B3&lt;&gt;"", "HC-"&amp;TEXT(ROW()-1,"00000"), "")</f>
        <v/>
      </c>
      <c r="Q3">
        <f>IF(K3="", "", IF(ISNUMBER(SEARCH("Implemented",K3)), "Pass", IF(ISNUMBER(SEARCH("Partial",K3)), "Partial", IF(ISNUMBER(SEARCH("Not Applicable",K3)), "N/A", "Fail"))))</f>
        <v/>
      </c>
      <c r="T3">
        <f>IF(Q3="", "", IF(OR(Q3="Fail", Q3="Partial"), "Yes", "No"))</f>
        <v/>
      </c>
      <c r="X3" t="inlineStr">
        <is>
          <t>No</t>
        </is>
      </c>
      <c r="AB3" t="inlineStr">
        <is>
          <t>[Security Analyst]</t>
        </is>
      </c>
      <c r="AE3" s="21">
        <f>IF(AA3&lt;&gt;"", AA3+90, "")</f>
        <v/>
      </c>
    </row>
    <row r="4">
      <c r="A4">
        <f>IF(B4&lt;&gt;"", "HC-"&amp;TEXT(ROW()-1,"00000"), "")</f>
        <v/>
      </c>
      <c r="Q4">
        <f>IF(K4="", "", IF(ISNUMBER(SEARCH("Implemented",K4)), "Pass", IF(ISNUMBER(SEARCH("Partial",K4)), "Partial", IF(ISNUMBER(SEARCH("Not Applicable",K4)), "N/A", "Fail"))))</f>
        <v/>
      </c>
      <c r="T4">
        <f>IF(Q4="", "", IF(OR(Q4="Fail", Q4="Partial"), "Yes", "No"))</f>
        <v/>
      </c>
      <c r="X4" t="inlineStr">
        <is>
          <t>No</t>
        </is>
      </c>
      <c r="AB4" t="inlineStr">
        <is>
          <t>[Security Analyst]</t>
        </is>
      </c>
      <c r="AE4" s="21">
        <f>IF(AA4&lt;&gt;"", AA4+90, "")</f>
        <v/>
      </c>
    </row>
    <row r="5">
      <c r="A5">
        <f>IF(B5&lt;&gt;"", "HC-"&amp;TEXT(ROW()-1,"00000"), "")</f>
        <v/>
      </c>
      <c r="Q5">
        <f>IF(K5="", "", IF(ISNUMBER(SEARCH("Implemented",K5)), "Pass", IF(ISNUMBER(SEARCH("Partial",K5)), "Partial", IF(ISNUMBER(SEARCH("Not Applicable",K5)), "N/A", "Fail"))))</f>
        <v/>
      </c>
      <c r="T5">
        <f>IF(Q5="", "", IF(OR(Q5="Fail", Q5="Partial"), "Yes", "No"))</f>
        <v/>
      </c>
      <c r="X5" t="inlineStr">
        <is>
          <t>No</t>
        </is>
      </c>
      <c r="AB5" t="inlineStr">
        <is>
          <t>[Security Analyst]</t>
        </is>
      </c>
      <c r="AE5" s="21">
        <f>IF(AA5&lt;&gt;"", AA5+90, "")</f>
        <v/>
      </c>
    </row>
    <row r="6">
      <c r="A6">
        <f>IF(B6&lt;&gt;"", "HC-"&amp;TEXT(ROW()-1,"00000"), "")</f>
        <v/>
      </c>
      <c r="Q6">
        <f>IF(K6="", "", IF(ISNUMBER(SEARCH("Implemented",K6)), "Pass", IF(ISNUMBER(SEARCH("Partial",K6)), "Partial", IF(ISNUMBER(SEARCH("Not Applicable",K6)), "N/A", "Fail"))))</f>
        <v/>
      </c>
      <c r="T6">
        <f>IF(Q6="", "", IF(OR(Q6="Fail", Q6="Partial"), "Yes", "No"))</f>
        <v/>
      </c>
      <c r="X6" t="inlineStr">
        <is>
          <t>No</t>
        </is>
      </c>
      <c r="AB6" t="inlineStr">
        <is>
          <t>[Security Analyst]</t>
        </is>
      </c>
      <c r="AE6" s="21">
        <f>IF(AA6&lt;&gt;"", AA6+90, "")</f>
        <v/>
      </c>
    </row>
    <row r="7">
      <c r="A7">
        <f>IF(B7&lt;&gt;"", "HC-"&amp;TEXT(ROW()-1,"00000"), "")</f>
        <v/>
      </c>
      <c r="Q7">
        <f>IF(K7="", "", IF(ISNUMBER(SEARCH("Implemented",K7)), "Pass", IF(ISNUMBER(SEARCH("Partial",K7)), "Partial", IF(ISNUMBER(SEARCH("Not Applicable",K7)), "N/A", "Fail"))))</f>
        <v/>
      </c>
      <c r="T7">
        <f>IF(Q7="", "", IF(OR(Q7="Fail", Q7="Partial"), "Yes", "No"))</f>
        <v/>
      </c>
      <c r="X7" t="inlineStr">
        <is>
          <t>No</t>
        </is>
      </c>
      <c r="AB7" t="inlineStr">
        <is>
          <t>[Security Analyst]</t>
        </is>
      </c>
      <c r="AE7" s="21">
        <f>IF(AA7&lt;&gt;"", AA7+90, "")</f>
        <v/>
      </c>
    </row>
    <row r="8">
      <c r="A8">
        <f>IF(B8&lt;&gt;"", "HC-"&amp;TEXT(ROW()-1,"00000"), "")</f>
        <v/>
      </c>
      <c r="Q8">
        <f>IF(K8="", "", IF(ISNUMBER(SEARCH("Implemented",K8)), "Pass", IF(ISNUMBER(SEARCH("Partial",K8)), "Partial", IF(ISNUMBER(SEARCH("Not Applicable",K8)), "N/A", "Fail"))))</f>
        <v/>
      </c>
      <c r="T8">
        <f>IF(Q8="", "", IF(OR(Q8="Fail", Q8="Partial"), "Yes", "No"))</f>
        <v/>
      </c>
      <c r="X8" t="inlineStr">
        <is>
          <t>No</t>
        </is>
      </c>
      <c r="AB8" t="inlineStr">
        <is>
          <t>[Security Analyst]</t>
        </is>
      </c>
      <c r="AE8" s="21">
        <f>IF(AA8&lt;&gt;"", AA8+90, "")</f>
        <v/>
      </c>
    </row>
    <row r="9">
      <c r="A9">
        <f>IF(B9&lt;&gt;"", "HC-"&amp;TEXT(ROW()-1,"00000"), "")</f>
        <v/>
      </c>
      <c r="Q9">
        <f>IF(K9="", "", IF(ISNUMBER(SEARCH("Implemented",K9)), "Pass", IF(ISNUMBER(SEARCH("Partial",K9)), "Partial", IF(ISNUMBER(SEARCH("Not Applicable",K9)), "N/A", "Fail"))))</f>
        <v/>
      </c>
      <c r="T9">
        <f>IF(Q9="", "", IF(OR(Q9="Fail", Q9="Partial"), "Yes", "No"))</f>
        <v/>
      </c>
      <c r="X9" t="inlineStr">
        <is>
          <t>No</t>
        </is>
      </c>
      <c r="AB9" t="inlineStr">
        <is>
          <t>[Security Analyst]</t>
        </is>
      </c>
      <c r="AE9" s="21">
        <f>IF(AA9&lt;&gt;"", AA9+90, "")</f>
        <v/>
      </c>
    </row>
    <row r="10">
      <c r="A10">
        <f>IF(B10&lt;&gt;"", "HC-"&amp;TEXT(ROW()-1,"00000"), "")</f>
        <v/>
      </c>
      <c r="Q10">
        <f>IF(K10="", "", IF(ISNUMBER(SEARCH("Implemented",K10)), "Pass", IF(ISNUMBER(SEARCH("Partial",K10)), "Partial", IF(ISNUMBER(SEARCH("Not Applicable",K10)), "N/A", "Fail"))))</f>
        <v/>
      </c>
      <c r="T10">
        <f>IF(Q10="", "", IF(OR(Q10="Fail", Q10="Partial"), "Yes", "No"))</f>
        <v/>
      </c>
      <c r="X10" t="inlineStr">
        <is>
          <t>No</t>
        </is>
      </c>
      <c r="AB10" t="inlineStr">
        <is>
          <t>[Security Analyst]</t>
        </is>
      </c>
      <c r="AE10" s="21">
        <f>IF(AA10&lt;&gt;"", AA10+90, "")</f>
        <v/>
      </c>
    </row>
    <row r="11">
      <c r="A11">
        <f>IF(B11&lt;&gt;"", "HC-"&amp;TEXT(ROW()-1,"00000"), "")</f>
        <v/>
      </c>
      <c r="Q11">
        <f>IF(K11="", "", IF(ISNUMBER(SEARCH("Implemented",K11)), "Pass", IF(ISNUMBER(SEARCH("Partial",K11)), "Partial", IF(ISNUMBER(SEARCH("Not Applicable",K11)), "N/A", "Fail"))))</f>
        <v/>
      </c>
      <c r="T11">
        <f>IF(Q11="", "", IF(OR(Q11="Fail", Q11="Partial"), "Yes", "No"))</f>
        <v/>
      </c>
      <c r="X11" t="inlineStr">
        <is>
          <t>No</t>
        </is>
      </c>
      <c r="AB11" t="inlineStr">
        <is>
          <t>[Security Analyst]</t>
        </is>
      </c>
      <c r="AE11" s="21">
        <f>IF(AA11&lt;&gt;"", AA11+90, "")</f>
        <v/>
      </c>
    </row>
    <row r="12">
      <c r="A12">
        <f>IF(B12&lt;&gt;"", "HC-"&amp;TEXT(ROW()-1,"00000"), "")</f>
        <v/>
      </c>
      <c r="Q12">
        <f>IF(K12="", "", IF(ISNUMBER(SEARCH("Implemented",K12)), "Pass", IF(ISNUMBER(SEARCH("Partial",K12)), "Partial", IF(ISNUMBER(SEARCH("Not Applicable",K12)), "N/A", "Fail"))))</f>
        <v/>
      </c>
      <c r="T12">
        <f>IF(Q12="", "", IF(OR(Q12="Fail", Q12="Partial"), "Yes", "No"))</f>
        <v/>
      </c>
      <c r="X12" t="inlineStr">
        <is>
          <t>No</t>
        </is>
      </c>
      <c r="AB12" t="inlineStr">
        <is>
          <t>[Security Analyst]</t>
        </is>
      </c>
      <c r="AE12" s="21">
        <f>IF(AA12&lt;&gt;"", AA12+90, "")</f>
        <v/>
      </c>
    </row>
    <row r="13">
      <c r="A13">
        <f>IF(B13&lt;&gt;"", "HC-"&amp;TEXT(ROW()-1,"00000"), "")</f>
        <v/>
      </c>
      <c r="Q13">
        <f>IF(K13="", "", IF(ISNUMBER(SEARCH("Implemented",K13)), "Pass", IF(ISNUMBER(SEARCH("Partial",K13)), "Partial", IF(ISNUMBER(SEARCH("Not Applicable",K13)), "N/A", "Fail"))))</f>
        <v/>
      </c>
      <c r="T13">
        <f>IF(Q13="", "", IF(OR(Q13="Fail", Q13="Partial"), "Yes", "No"))</f>
        <v/>
      </c>
      <c r="X13" t="inlineStr">
        <is>
          <t>No</t>
        </is>
      </c>
      <c r="AB13" t="inlineStr">
        <is>
          <t>[Security Analyst]</t>
        </is>
      </c>
      <c r="AE13" s="21">
        <f>IF(AA13&lt;&gt;"", AA13+90, "")</f>
        <v/>
      </c>
    </row>
    <row r="14">
      <c r="A14">
        <f>IF(B14&lt;&gt;"", "HC-"&amp;TEXT(ROW()-1,"00000"), "")</f>
        <v/>
      </c>
      <c r="Q14">
        <f>IF(K14="", "", IF(ISNUMBER(SEARCH("Implemented",K14)), "Pass", IF(ISNUMBER(SEARCH("Partial",K14)), "Partial", IF(ISNUMBER(SEARCH("Not Applicable",K14)), "N/A", "Fail"))))</f>
        <v/>
      </c>
      <c r="T14">
        <f>IF(Q14="", "", IF(OR(Q14="Fail", Q14="Partial"), "Yes", "No"))</f>
        <v/>
      </c>
      <c r="X14" t="inlineStr">
        <is>
          <t>No</t>
        </is>
      </c>
      <c r="AB14" t="inlineStr">
        <is>
          <t>[Security Analyst]</t>
        </is>
      </c>
      <c r="AE14" s="21">
        <f>IF(AA14&lt;&gt;"", AA14+90, "")</f>
        <v/>
      </c>
    </row>
    <row r="15">
      <c r="A15">
        <f>IF(B15&lt;&gt;"", "HC-"&amp;TEXT(ROW()-1,"00000"), "")</f>
        <v/>
      </c>
      <c r="Q15">
        <f>IF(K15="", "", IF(ISNUMBER(SEARCH("Implemented",K15)), "Pass", IF(ISNUMBER(SEARCH("Partial",K15)), "Partial", IF(ISNUMBER(SEARCH("Not Applicable",K15)), "N/A", "Fail"))))</f>
        <v/>
      </c>
      <c r="T15">
        <f>IF(Q15="", "", IF(OR(Q15="Fail", Q15="Partial"), "Yes", "No"))</f>
        <v/>
      </c>
      <c r="X15" t="inlineStr">
        <is>
          <t>No</t>
        </is>
      </c>
      <c r="AB15" t="inlineStr">
        <is>
          <t>[Security Analyst]</t>
        </is>
      </c>
      <c r="AE15" s="21">
        <f>IF(AA15&lt;&gt;"", AA15+90, "")</f>
        <v/>
      </c>
    </row>
    <row r="16">
      <c r="A16">
        <f>IF(B16&lt;&gt;"", "HC-"&amp;TEXT(ROW()-1,"00000"), "")</f>
        <v/>
      </c>
      <c r="Q16">
        <f>IF(K16="", "", IF(ISNUMBER(SEARCH("Implemented",K16)), "Pass", IF(ISNUMBER(SEARCH("Partial",K16)), "Partial", IF(ISNUMBER(SEARCH("Not Applicable",K16)), "N/A", "Fail"))))</f>
        <v/>
      </c>
      <c r="T16">
        <f>IF(Q16="", "", IF(OR(Q16="Fail", Q16="Partial"), "Yes", "No"))</f>
        <v/>
      </c>
      <c r="X16" t="inlineStr">
        <is>
          <t>No</t>
        </is>
      </c>
      <c r="AB16" t="inlineStr">
        <is>
          <t>[Security Analyst]</t>
        </is>
      </c>
      <c r="AE16" s="21">
        <f>IF(AA16&lt;&gt;"", AA16+90, "")</f>
        <v/>
      </c>
    </row>
    <row r="17">
      <c r="A17">
        <f>IF(B17&lt;&gt;"", "HC-"&amp;TEXT(ROW()-1,"00000"), "")</f>
        <v/>
      </c>
      <c r="Q17">
        <f>IF(K17="", "", IF(ISNUMBER(SEARCH("Implemented",K17)), "Pass", IF(ISNUMBER(SEARCH("Partial",K17)), "Partial", IF(ISNUMBER(SEARCH("Not Applicable",K17)), "N/A", "Fail"))))</f>
        <v/>
      </c>
      <c r="T17">
        <f>IF(Q17="", "", IF(OR(Q17="Fail", Q17="Partial"), "Yes", "No"))</f>
        <v/>
      </c>
      <c r="X17" t="inlineStr">
        <is>
          <t>No</t>
        </is>
      </c>
      <c r="AB17" t="inlineStr">
        <is>
          <t>[Security Analyst]</t>
        </is>
      </c>
      <c r="AE17" s="21">
        <f>IF(AA17&lt;&gt;"", AA17+90, "")</f>
        <v/>
      </c>
    </row>
    <row r="18">
      <c r="A18">
        <f>IF(B18&lt;&gt;"", "HC-"&amp;TEXT(ROW()-1,"00000"), "")</f>
        <v/>
      </c>
      <c r="Q18">
        <f>IF(K18="", "", IF(ISNUMBER(SEARCH("Implemented",K18)), "Pass", IF(ISNUMBER(SEARCH("Partial",K18)), "Partial", IF(ISNUMBER(SEARCH("Not Applicable",K18)), "N/A", "Fail"))))</f>
        <v/>
      </c>
      <c r="T18">
        <f>IF(Q18="", "", IF(OR(Q18="Fail", Q18="Partial"), "Yes", "No"))</f>
        <v/>
      </c>
      <c r="X18" t="inlineStr">
        <is>
          <t>No</t>
        </is>
      </c>
      <c r="AB18" t="inlineStr">
        <is>
          <t>[Security Analyst]</t>
        </is>
      </c>
      <c r="AE18" s="21">
        <f>IF(AA18&lt;&gt;"", AA18+90, "")</f>
        <v/>
      </c>
    </row>
    <row r="19">
      <c r="A19">
        <f>IF(B19&lt;&gt;"", "HC-"&amp;TEXT(ROW()-1,"00000"), "")</f>
        <v/>
      </c>
      <c r="Q19">
        <f>IF(K19="", "", IF(ISNUMBER(SEARCH("Implemented",K19)), "Pass", IF(ISNUMBER(SEARCH("Partial",K19)), "Partial", IF(ISNUMBER(SEARCH("Not Applicable",K19)), "N/A", "Fail"))))</f>
        <v/>
      </c>
      <c r="T19">
        <f>IF(Q19="", "", IF(OR(Q19="Fail", Q19="Partial"), "Yes", "No"))</f>
        <v/>
      </c>
      <c r="X19" t="inlineStr">
        <is>
          <t>No</t>
        </is>
      </c>
      <c r="AB19" t="inlineStr">
        <is>
          <t>[Security Analyst]</t>
        </is>
      </c>
      <c r="AE19" s="21">
        <f>IF(AA19&lt;&gt;"", AA19+90, "")</f>
        <v/>
      </c>
    </row>
    <row r="20">
      <c r="A20">
        <f>IF(B20&lt;&gt;"", "HC-"&amp;TEXT(ROW()-1,"00000"), "")</f>
        <v/>
      </c>
      <c r="Q20">
        <f>IF(K20="", "", IF(ISNUMBER(SEARCH("Implemented",K20)), "Pass", IF(ISNUMBER(SEARCH("Partial",K20)), "Partial", IF(ISNUMBER(SEARCH("Not Applicable",K20)), "N/A", "Fail"))))</f>
        <v/>
      </c>
      <c r="T20">
        <f>IF(Q20="", "", IF(OR(Q20="Fail", Q20="Partial"), "Yes", "No"))</f>
        <v/>
      </c>
      <c r="X20" t="inlineStr">
        <is>
          <t>No</t>
        </is>
      </c>
      <c r="AB20" t="inlineStr">
        <is>
          <t>[Security Analyst]</t>
        </is>
      </c>
      <c r="AE20" s="21">
        <f>IF(AA20&lt;&gt;"", AA20+90, "")</f>
        <v/>
      </c>
    </row>
    <row r="21">
      <c r="A21">
        <f>IF(B21&lt;&gt;"", "HC-"&amp;TEXT(ROW()-1,"00000"), "")</f>
        <v/>
      </c>
      <c r="Q21">
        <f>IF(K21="", "", IF(ISNUMBER(SEARCH("Implemented",K21)), "Pass", IF(ISNUMBER(SEARCH("Partial",K21)), "Partial", IF(ISNUMBER(SEARCH("Not Applicable",K21)), "N/A", "Fail"))))</f>
        <v/>
      </c>
      <c r="T21">
        <f>IF(Q21="", "", IF(OR(Q21="Fail", Q21="Partial"), "Yes", "No"))</f>
        <v/>
      </c>
      <c r="X21" t="inlineStr">
        <is>
          <t>No</t>
        </is>
      </c>
      <c r="AB21" t="inlineStr">
        <is>
          <t>[Security Analyst]</t>
        </is>
      </c>
      <c r="AE21" s="21">
        <f>IF(AA21&lt;&gt;"", AA21+90, "")</f>
        <v/>
      </c>
    </row>
    <row r="22">
      <c r="A22">
        <f>IF(B22&lt;&gt;"", "HC-"&amp;TEXT(ROW()-1,"00000"), "")</f>
        <v/>
      </c>
      <c r="Q22">
        <f>IF(K22="", "", IF(ISNUMBER(SEARCH("Implemented",K22)), "Pass", IF(ISNUMBER(SEARCH("Partial",K22)), "Partial", IF(ISNUMBER(SEARCH("Not Applicable",K22)), "N/A", "Fail"))))</f>
        <v/>
      </c>
      <c r="T22">
        <f>IF(Q22="", "", IF(OR(Q22="Fail", Q22="Partial"), "Yes", "No"))</f>
        <v/>
      </c>
      <c r="X22" t="inlineStr">
        <is>
          <t>No</t>
        </is>
      </c>
      <c r="AB22" t="inlineStr">
        <is>
          <t>[Security Analyst]</t>
        </is>
      </c>
      <c r="AE22" s="21">
        <f>IF(AA22&lt;&gt;"", AA22+90, "")</f>
        <v/>
      </c>
    </row>
    <row r="23">
      <c r="A23">
        <f>IF(B23&lt;&gt;"", "HC-"&amp;TEXT(ROW()-1,"00000"), "")</f>
        <v/>
      </c>
      <c r="Q23">
        <f>IF(K23="", "", IF(ISNUMBER(SEARCH("Implemented",K23)), "Pass", IF(ISNUMBER(SEARCH("Partial",K23)), "Partial", IF(ISNUMBER(SEARCH("Not Applicable",K23)), "N/A", "Fail"))))</f>
        <v/>
      </c>
      <c r="T23">
        <f>IF(Q23="", "", IF(OR(Q23="Fail", Q23="Partial"), "Yes", "No"))</f>
        <v/>
      </c>
      <c r="X23" t="inlineStr">
        <is>
          <t>No</t>
        </is>
      </c>
      <c r="AB23" t="inlineStr">
        <is>
          <t>[Security Analyst]</t>
        </is>
      </c>
      <c r="AE23" s="21">
        <f>IF(AA23&lt;&gt;"", AA23+90, "")</f>
        <v/>
      </c>
    </row>
    <row r="24">
      <c r="A24">
        <f>IF(B24&lt;&gt;"", "HC-"&amp;TEXT(ROW()-1,"00000"), "")</f>
        <v/>
      </c>
      <c r="Q24">
        <f>IF(K24="", "", IF(ISNUMBER(SEARCH("Implemented",K24)), "Pass", IF(ISNUMBER(SEARCH("Partial",K24)), "Partial", IF(ISNUMBER(SEARCH("Not Applicable",K24)), "N/A", "Fail"))))</f>
        <v/>
      </c>
      <c r="T24">
        <f>IF(Q24="", "", IF(OR(Q24="Fail", Q24="Partial"), "Yes", "No"))</f>
        <v/>
      </c>
      <c r="X24" t="inlineStr">
        <is>
          <t>No</t>
        </is>
      </c>
      <c r="AB24" t="inlineStr">
        <is>
          <t>[Security Analyst]</t>
        </is>
      </c>
      <c r="AE24" s="21">
        <f>IF(AA24&lt;&gt;"", AA24+90, "")</f>
        <v/>
      </c>
    </row>
    <row r="25">
      <c r="A25">
        <f>IF(B25&lt;&gt;"", "HC-"&amp;TEXT(ROW()-1,"00000"), "")</f>
        <v/>
      </c>
      <c r="Q25">
        <f>IF(K25="", "", IF(ISNUMBER(SEARCH("Implemented",K25)), "Pass", IF(ISNUMBER(SEARCH("Partial",K25)), "Partial", IF(ISNUMBER(SEARCH("Not Applicable",K25)), "N/A", "Fail"))))</f>
        <v/>
      </c>
      <c r="T25">
        <f>IF(Q25="", "", IF(OR(Q25="Fail", Q25="Partial"), "Yes", "No"))</f>
        <v/>
      </c>
      <c r="X25" t="inlineStr">
        <is>
          <t>No</t>
        </is>
      </c>
      <c r="AB25" t="inlineStr">
        <is>
          <t>[Security Analyst]</t>
        </is>
      </c>
      <c r="AE25" s="21">
        <f>IF(AA25&lt;&gt;"", AA25+90, "")</f>
        <v/>
      </c>
    </row>
    <row r="26">
      <c r="A26">
        <f>IF(B26&lt;&gt;"", "HC-"&amp;TEXT(ROW()-1,"00000"), "")</f>
        <v/>
      </c>
      <c r="Q26">
        <f>IF(K26="", "", IF(ISNUMBER(SEARCH("Implemented",K26)), "Pass", IF(ISNUMBER(SEARCH("Partial",K26)), "Partial", IF(ISNUMBER(SEARCH("Not Applicable",K26)), "N/A", "Fail"))))</f>
        <v/>
      </c>
      <c r="T26">
        <f>IF(Q26="", "", IF(OR(Q26="Fail", Q26="Partial"), "Yes", "No"))</f>
        <v/>
      </c>
      <c r="X26" t="inlineStr">
        <is>
          <t>No</t>
        </is>
      </c>
      <c r="AB26" t="inlineStr">
        <is>
          <t>[Security Analyst]</t>
        </is>
      </c>
      <c r="AE26" s="21">
        <f>IF(AA26&lt;&gt;"", AA26+90, "")</f>
        <v/>
      </c>
    </row>
    <row r="27">
      <c r="A27">
        <f>IF(B27&lt;&gt;"", "HC-"&amp;TEXT(ROW()-1,"00000"), "")</f>
        <v/>
      </c>
      <c r="Q27">
        <f>IF(K27="", "", IF(ISNUMBER(SEARCH("Implemented",K27)), "Pass", IF(ISNUMBER(SEARCH("Partial",K27)), "Partial", IF(ISNUMBER(SEARCH("Not Applicable",K27)), "N/A", "Fail"))))</f>
        <v/>
      </c>
      <c r="T27">
        <f>IF(Q27="", "", IF(OR(Q27="Fail", Q27="Partial"), "Yes", "No"))</f>
        <v/>
      </c>
      <c r="X27" t="inlineStr">
        <is>
          <t>No</t>
        </is>
      </c>
      <c r="AB27" t="inlineStr">
        <is>
          <t>[Security Analyst]</t>
        </is>
      </c>
      <c r="AE27" s="21">
        <f>IF(AA27&lt;&gt;"", AA27+90, "")</f>
        <v/>
      </c>
    </row>
    <row r="28">
      <c r="A28">
        <f>IF(B28&lt;&gt;"", "HC-"&amp;TEXT(ROW()-1,"00000"), "")</f>
        <v/>
      </c>
      <c r="Q28">
        <f>IF(K28="", "", IF(ISNUMBER(SEARCH("Implemented",K28)), "Pass", IF(ISNUMBER(SEARCH("Partial",K28)), "Partial", IF(ISNUMBER(SEARCH("Not Applicable",K28)), "N/A", "Fail"))))</f>
        <v/>
      </c>
      <c r="T28">
        <f>IF(Q28="", "", IF(OR(Q28="Fail", Q28="Partial"), "Yes", "No"))</f>
        <v/>
      </c>
      <c r="X28" t="inlineStr">
        <is>
          <t>No</t>
        </is>
      </c>
      <c r="AB28" t="inlineStr">
        <is>
          <t>[Security Analyst]</t>
        </is>
      </c>
      <c r="AE28" s="21">
        <f>IF(AA28&lt;&gt;"", AA28+90, "")</f>
        <v/>
      </c>
    </row>
    <row r="29">
      <c r="A29">
        <f>IF(B29&lt;&gt;"", "HC-"&amp;TEXT(ROW()-1,"00000"), "")</f>
        <v/>
      </c>
      <c r="Q29">
        <f>IF(K29="", "", IF(ISNUMBER(SEARCH("Implemented",K29)), "Pass", IF(ISNUMBER(SEARCH("Partial",K29)), "Partial", IF(ISNUMBER(SEARCH("Not Applicable",K29)), "N/A", "Fail"))))</f>
        <v/>
      </c>
      <c r="T29">
        <f>IF(Q29="", "", IF(OR(Q29="Fail", Q29="Partial"), "Yes", "No"))</f>
        <v/>
      </c>
      <c r="X29" t="inlineStr">
        <is>
          <t>No</t>
        </is>
      </c>
      <c r="AB29" t="inlineStr">
        <is>
          <t>[Security Analyst]</t>
        </is>
      </c>
      <c r="AE29" s="21">
        <f>IF(AA29&lt;&gt;"", AA29+90, "")</f>
        <v/>
      </c>
    </row>
    <row r="30">
      <c r="A30">
        <f>IF(B30&lt;&gt;"", "HC-"&amp;TEXT(ROW()-1,"00000"), "")</f>
        <v/>
      </c>
      <c r="Q30">
        <f>IF(K30="", "", IF(ISNUMBER(SEARCH("Implemented",K30)), "Pass", IF(ISNUMBER(SEARCH("Partial",K30)), "Partial", IF(ISNUMBER(SEARCH("Not Applicable",K30)), "N/A", "Fail"))))</f>
        <v/>
      </c>
      <c r="T30">
        <f>IF(Q30="", "", IF(OR(Q30="Fail", Q30="Partial"), "Yes", "No"))</f>
        <v/>
      </c>
      <c r="X30" t="inlineStr">
        <is>
          <t>No</t>
        </is>
      </c>
      <c r="AB30" t="inlineStr">
        <is>
          <t>[Security Analyst]</t>
        </is>
      </c>
      <c r="AE30" s="21">
        <f>IF(AA30&lt;&gt;"", AA30+90, "")</f>
        <v/>
      </c>
    </row>
    <row r="31">
      <c r="A31">
        <f>IF(B31&lt;&gt;"", "HC-"&amp;TEXT(ROW()-1,"00000"), "")</f>
        <v/>
      </c>
      <c r="Q31">
        <f>IF(K31="", "", IF(ISNUMBER(SEARCH("Implemented",K31)), "Pass", IF(ISNUMBER(SEARCH("Partial",K31)), "Partial", IF(ISNUMBER(SEARCH("Not Applicable",K31)), "N/A", "Fail"))))</f>
        <v/>
      </c>
      <c r="T31">
        <f>IF(Q31="", "", IF(OR(Q31="Fail", Q31="Partial"), "Yes", "No"))</f>
        <v/>
      </c>
      <c r="X31" t="inlineStr">
        <is>
          <t>No</t>
        </is>
      </c>
      <c r="AB31" t="inlineStr">
        <is>
          <t>[Security Analyst]</t>
        </is>
      </c>
      <c r="AE31" s="21">
        <f>IF(AA31&lt;&gt;"", AA31+90, "")</f>
        <v/>
      </c>
    </row>
    <row r="32">
      <c r="A32">
        <f>IF(B32&lt;&gt;"", "HC-"&amp;TEXT(ROW()-1,"00000"), "")</f>
        <v/>
      </c>
      <c r="Q32">
        <f>IF(K32="", "", IF(ISNUMBER(SEARCH("Implemented",K32)), "Pass", IF(ISNUMBER(SEARCH("Partial",K32)), "Partial", IF(ISNUMBER(SEARCH("Not Applicable",K32)), "N/A", "Fail"))))</f>
        <v/>
      </c>
      <c r="T32">
        <f>IF(Q32="", "", IF(OR(Q32="Fail", Q32="Partial"), "Yes", "No"))</f>
        <v/>
      </c>
      <c r="X32" t="inlineStr">
        <is>
          <t>No</t>
        </is>
      </c>
      <c r="AB32" t="inlineStr">
        <is>
          <t>[Security Analyst]</t>
        </is>
      </c>
      <c r="AE32" s="21">
        <f>IF(AA32&lt;&gt;"", AA32+90, "")</f>
        <v/>
      </c>
    </row>
    <row r="33">
      <c r="A33">
        <f>IF(B33&lt;&gt;"", "HC-"&amp;TEXT(ROW()-1,"00000"), "")</f>
        <v/>
      </c>
      <c r="Q33">
        <f>IF(K33="", "", IF(ISNUMBER(SEARCH("Implemented",K33)), "Pass", IF(ISNUMBER(SEARCH("Partial",K33)), "Partial", IF(ISNUMBER(SEARCH("Not Applicable",K33)), "N/A", "Fail"))))</f>
        <v/>
      </c>
      <c r="T33">
        <f>IF(Q33="", "", IF(OR(Q33="Fail", Q33="Partial"), "Yes", "No"))</f>
        <v/>
      </c>
      <c r="X33" t="inlineStr">
        <is>
          <t>No</t>
        </is>
      </c>
      <c r="AB33" t="inlineStr">
        <is>
          <t>[Security Analyst]</t>
        </is>
      </c>
      <c r="AE33" s="21">
        <f>IF(AA33&lt;&gt;"", AA33+90, "")</f>
        <v/>
      </c>
    </row>
    <row r="34">
      <c r="A34">
        <f>IF(B34&lt;&gt;"", "HC-"&amp;TEXT(ROW()-1,"00000"), "")</f>
        <v/>
      </c>
      <c r="Q34">
        <f>IF(K34="", "", IF(ISNUMBER(SEARCH("Implemented",K34)), "Pass", IF(ISNUMBER(SEARCH("Partial",K34)), "Partial", IF(ISNUMBER(SEARCH("Not Applicable",K34)), "N/A", "Fail"))))</f>
        <v/>
      </c>
      <c r="T34">
        <f>IF(Q34="", "", IF(OR(Q34="Fail", Q34="Partial"), "Yes", "No"))</f>
        <v/>
      </c>
      <c r="X34" t="inlineStr">
        <is>
          <t>No</t>
        </is>
      </c>
      <c r="AB34" t="inlineStr">
        <is>
          <t>[Security Analyst]</t>
        </is>
      </c>
      <c r="AE34" s="21">
        <f>IF(AA34&lt;&gt;"", AA34+90, "")</f>
        <v/>
      </c>
    </row>
    <row r="35">
      <c r="A35">
        <f>IF(B35&lt;&gt;"", "HC-"&amp;TEXT(ROW()-1,"00000"), "")</f>
        <v/>
      </c>
      <c r="Q35">
        <f>IF(K35="", "", IF(ISNUMBER(SEARCH("Implemented",K35)), "Pass", IF(ISNUMBER(SEARCH("Partial",K35)), "Partial", IF(ISNUMBER(SEARCH("Not Applicable",K35)), "N/A", "Fail"))))</f>
        <v/>
      </c>
      <c r="T35">
        <f>IF(Q35="", "", IF(OR(Q35="Fail", Q35="Partial"), "Yes", "No"))</f>
        <v/>
      </c>
      <c r="X35" t="inlineStr">
        <is>
          <t>No</t>
        </is>
      </c>
      <c r="AB35" t="inlineStr">
        <is>
          <t>[Security Analyst]</t>
        </is>
      </c>
      <c r="AE35" s="21">
        <f>IF(AA35&lt;&gt;"", AA35+90, "")</f>
        <v/>
      </c>
    </row>
    <row r="36">
      <c r="A36">
        <f>IF(B36&lt;&gt;"", "HC-"&amp;TEXT(ROW()-1,"00000"), "")</f>
        <v/>
      </c>
      <c r="Q36">
        <f>IF(K36="", "", IF(ISNUMBER(SEARCH("Implemented",K36)), "Pass", IF(ISNUMBER(SEARCH("Partial",K36)), "Partial", IF(ISNUMBER(SEARCH("Not Applicable",K36)), "N/A", "Fail"))))</f>
        <v/>
      </c>
      <c r="T36">
        <f>IF(Q36="", "", IF(OR(Q36="Fail", Q36="Partial"), "Yes", "No"))</f>
        <v/>
      </c>
      <c r="X36" t="inlineStr">
        <is>
          <t>No</t>
        </is>
      </c>
      <c r="AB36" t="inlineStr">
        <is>
          <t>[Security Analyst]</t>
        </is>
      </c>
      <c r="AE36" s="21">
        <f>IF(AA36&lt;&gt;"", AA36+90, "")</f>
        <v/>
      </c>
    </row>
    <row r="37">
      <c r="A37">
        <f>IF(B37&lt;&gt;"", "HC-"&amp;TEXT(ROW()-1,"00000"), "")</f>
        <v/>
      </c>
      <c r="Q37">
        <f>IF(K37="", "", IF(ISNUMBER(SEARCH("Implemented",K37)), "Pass", IF(ISNUMBER(SEARCH("Partial",K37)), "Partial", IF(ISNUMBER(SEARCH("Not Applicable",K37)), "N/A", "Fail"))))</f>
        <v/>
      </c>
      <c r="T37">
        <f>IF(Q37="", "", IF(OR(Q37="Fail", Q37="Partial"), "Yes", "No"))</f>
        <v/>
      </c>
      <c r="X37" t="inlineStr">
        <is>
          <t>No</t>
        </is>
      </c>
      <c r="AB37" t="inlineStr">
        <is>
          <t>[Security Analyst]</t>
        </is>
      </c>
      <c r="AE37" s="21">
        <f>IF(AA37&lt;&gt;"", AA37+90, "")</f>
        <v/>
      </c>
    </row>
    <row r="38">
      <c r="A38">
        <f>IF(B38&lt;&gt;"", "HC-"&amp;TEXT(ROW()-1,"00000"), "")</f>
        <v/>
      </c>
      <c r="Q38">
        <f>IF(K38="", "", IF(ISNUMBER(SEARCH("Implemented",K38)), "Pass", IF(ISNUMBER(SEARCH("Partial",K38)), "Partial", IF(ISNUMBER(SEARCH("Not Applicable",K38)), "N/A", "Fail"))))</f>
        <v/>
      </c>
      <c r="T38">
        <f>IF(Q38="", "", IF(OR(Q38="Fail", Q38="Partial"), "Yes", "No"))</f>
        <v/>
      </c>
      <c r="X38" t="inlineStr">
        <is>
          <t>No</t>
        </is>
      </c>
      <c r="AB38" t="inlineStr">
        <is>
          <t>[Security Analyst]</t>
        </is>
      </c>
      <c r="AE38" s="21">
        <f>IF(AA38&lt;&gt;"", AA38+90, "")</f>
        <v/>
      </c>
    </row>
    <row r="39">
      <c r="A39">
        <f>IF(B39&lt;&gt;"", "HC-"&amp;TEXT(ROW()-1,"00000"), "")</f>
        <v/>
      </c>
      <c r="Q39">
        <f>IF(K39="", "", IF(ISNUMBER(SEARCH("Implemented",K39)), "Pass", IF(ISNUMBER(SEARCH("Partial",K39)), "Partial", IF(ISNUMBER(SEARCH("Not Applicable",K39)), "N/A", "Fail"))))</f>
        <v/>
      </c>
      <c r="T39">
        <f>IF(Q39="", "", IF(OR(Q39="Fail", Q39="Partial"), "Yes", "No"))</f>
        <v/>
      </c>
      <c r="X39" t="inlineStr">
        <is>
          <t>No</t>
        </is>
      </c>
      <c r="AB39" t="inlineStr">
        <is>
          <t>[Security Analyst]</t>
        </is>
      </c>
      <c r="AE39" s="21">
        <f>IF(AA39&lt;&gt;"", AA39+90, "")</f>
        <v/>
      </c>
    </row>
    <row r="40">
      <c r="A40">
        <f>IF(B40&lt;&gt;"", "HC-"&amp;TEXT(ROW()-1,"00000"), "")</f>
        <v/>
      </c>
      <c r="Q40">
        <f>IF(K40="", "", IF(ISNUMBER(SEARCH("Implemented",K40)), "Pass", IF(ISNUMBER(SEARCH("Partial",K40)), "Partial", IF(ISNUMBER(SEARCH("Not Applicable",K40)), "N/A", "Fail"))))</f>
        <v/>
      </c>
      <c r="T40">
        <f>IF(Q40="", "", IF(OR(Q40="Fail", Q40="Partial"), "Yes", "No"))</f>
        <v/>
      </c>
      <c r="X40" t="inlineStr">
        <is>
          <t>No</t>
        </is>
      </c>
      <c r="AB40" t="inlineStr">
        <is>
          <t>[Security Analyst]</t>
        </is>
      </c>
      <c r="AE40" s="21">
        <f>IF(AA40&lt;&gt;"", AA40+90, "")</f>
        <v/>
      </c>
    </row>
    <row r="41">
      <c r="A41">
        <f>IF(B41&lt;&gt;"", "HC-"&amp;TEXT(ROW()-1,"00000"), "")</f>
        <v/>
      </c>
      <c r="Q41">
        <f>IF(K41="", "", IF(ISNUMBER(SEARCH("Implemented",K41)), "Pass", IF(ISNUMBER(SEARCH("Partial",K41)), "Partial", IF(ISNUMBER(SEARCH("Not Applicable",K41)), "N/A", "Fail"))))</f>
        <v/>
      </c>
      <c r="T41">
        <f>IF(Q41="", "", IF(OR(Q41="Fail", Q41="Partial"), "Yes", "No"))</f>
        <v/>
      </c>
      <c r="X41" t="inlineStr">
        <is>
          <t>No</t>
        </is>
      </c>
      <c r="AB41" t="inlineStr">
        <is>
          <t>[Security Analyst]</t>
        </is>
      </c>
      <c r="AE41" s="21">
        <f>IF(AA41&lt;&gt;"", AA41+90, "")</f>
        <v/>
      </c>
    </row>
    <row r="42">
      <c r="A42">
        <f>IF(B42&lt;&gt;"", "HC-"&amp;TEXT(ROW()-1,"00000"), "")</f>
        <v/>
      </c>
      <c r="Q42">
        <f>IF(K42="", "", IF(ISNUMBER(SEARCH("Implemented",K42)), "Pass", IF(ISNUMBER(SEARCH("Partial",K42)), "Partial", IF(ISNUMBER(SEARCH("Not Applicable",K42)), "N/A", "Fail"))))</f>
        <v/>
      </c>
      <c r="T42">
        <f>IF(Q42="", "", IF(OR(Q42="Fail", Q42="Partial"), "Yes", "No"))</f>
        <v/>
      </c>
      <c r="X42" t="inlineStr">
        <is>
          <t>No</t>
        </is>
      </c>
      <c r="AB42" t="inlineStr">
        <is>
          <t>[Security Analyst]</t>
        </is>
      </c>
      <c r="AE42" s="21">
        <f>IF(AA42&lt;&gt;"", AA42+90, "")</f>
        <v/>
      </c>
    </row>
    <row r="43">
      <c r="A43">
        <f>IF(B43&lt;&gt;"", "HC-"&amp;TEXT(ROW()-1,"00000"), "")</f>
        <v/>
      </c>
      <c r="Q43">
        <f>IF(K43="", "", IF(ISNUMBER(SEARCH("Implemented",K43)), "Pass", IF(ISNUMBER(SEARCH("Partial",K43)), "Partial", IF(ISNUMBER(SEARCH("Not Applicable",K43)), "N/A", "Fail"))))</f>
        <v/>
      </c>
      <c r="T43">
        <f>IF(Q43="", "", IF(OR(Q43="Fail", Q43="Partial"), "Yes", "No"))</f>
        <v/>
      </c>
      <c r="X43" t="inlineStr">
        <is>
          <t>No</t>
        </is>
      </c>
      <c r="AB43" t="inlineStr">
        <is>
          <t>[Security Analyst]</t>
        </is>
      </c>
      <c r="AE43" s="21">
        <f>IF(AA43&lt;&gt;"", AA43+90, "")</f>
        <v/>
      </c>
    </row>
    <row r="44">
      <c r="A44">
        <f>IF(B44&lt;&gt;"", "HC-"&amp;TEXT(ROW()-1,"00000"), "")</f>
        <v/>
      </c>
      <c r="Q44">
        <f>IF(K44="", "", IF(ISNUMBER(SEARCH("Implemented",K44)), "Pass", IF(ISNUMBER(SEARCH("Partial",K44)), "Partial", IF(ISNUMBER(SEARCH("Not Applicable",K44)), "N/A", "Fail"))))</f>
        <v/>
      </c>
      <c r="T44">
        <f>IF(Q44="", "", IF(OR(Q44="Fail", Q44="Partial"), "Yes", "No"))</f>
        <v/>
      </c>
      <c r="X44" t="inlineStr">
        <is>
          <t>No</t>
        </is>
      </c>
      <c r="AB44" t="inlineStr">
        <is>
          <t>[Security Analyst]</t>
        </is>
      </c>
      <c r="AE44" s="21">
        <f>IF(AA44&lt;&gt;"", AA44+90, "")</f>
        <v/>
      </c>
    </row>
    <row r="45">
      <c r="A45">
        <f>IF(B45&lt;&gt;"", "HC-"&amp;TEXT(ROW()-1,"00000"), "")</f>
        <v/>
      </c>
      <c r="Q45">
        <f>IF(K45="", "", IF(ISNUMBER(SEARCH("Implemented",K45)), "Pass", IF(ISNUMBER(SEARCH("Partial",K45)), "Partial", IF(ISNUMBER(SEARCH("Not Applicable",K45)), "N/A", "Fail"))))</f>
        <v/>
      </c>
      <c r="T45">
        <f>IF(Q45="", "", IF(OR(Q45="Fail", Q45="Partial"), "Yes", "No"))</f>
        <v/>
      </c>
      <c r="X45" t="inlineStr">
        <is>
          <t>No</t>
        </is>
      </c>
      <c r="AB45" t="inlineStr">
        <is>
          <t>[Security Analyst]</t>
        </is>
      </c>
      <c r="AE45" s="21">
        <f>IF(AA45&lt;&gt;"", AA45+90, "")</f>
        <v/>
      </c>
    </row>
    <row r="46">
      <c r="A46">
        <f>IF(B46&lt;&gt;"", "HC-"&amp;TEXT(ROW()-1,"00000"), "")</f>
        <v/>
      </c>
      <c r="Q46">
        <f>IF(K46="", "", IF(ISNUMBER(SEARCH("Implemented",K46)), "Pass", IF(ISNUMBER(SEARCH("Partial",K46)), "Partial", IF(ISNUMBER(SEARCH("Not Applicable",K46)), "N/A", "Fail"))))</f>
        <v/>
      </c>
      <c r="T46">
        <f>IF(Q46="", "", IF(OR(Q46="Fail", Q46="Partial"), "Yes", "No"))</f>
        <v/>
      </c>
      <c r="X46" t="inlineStr">
        <is>
          <t>No</t>
        </is>
      </c>
      <c r="AB46" t="inlineStr">
        <is>
          <t>[Security Analyst]</t>
        </is>
      </c>
      <c r="AE46" s="21">
        <f>IF(AA46&lt;&gt;"", AA46+90, "")</f>
        <v/>
      </c>
    </row>
    <row r="47">
      <c r="A47">
        <f>IF(B47&lt;&gt;"", "HC-"&amp;TEXT(ROW()-1,"00000"), "")</f>
        <v/>
      </c>
      <c r="Q47">
        <f>IF(K47="", "", IF(ISNUMBER(SEARCH("Implemented",K47)), "Pass", IF(ISNUMBER(SEARCH("Partial",K47)), "Partial", IF(ISNUMBER(SEARCH("Not Applicable",K47)), "N/A", "Fail"))))</f>
        <v/>
      </c>
      <c r="T47">
        <f>IF(Q47="", "", IF(OR(Q47="Fail", Q47="Partial"), "Yes", "No"))</f>
        <v/>
      </c>
      <c r="X47" t="inlineStr">
        <is>
          <t>No</t>
        </is>
      </c>
      <c r="AB47" t="inlineStr">
        <is>
          <t>[Security Analyst]</t>
        </is>
      </c>
      <c r="AE47" s="21">
        <f>IF(AA47&lt;&gt;"", AA47+90, "")</f>
        <v/>
      </c>
    </row>
    <row r="48">
      <c r="A48">
        <f>IF(B48&lt;&gt;"", "HC-"&amp;TEXT(ROW()-1,"00000"), "")</f>
        <v/>
      </c>
      <c r="Q48">
        <f>IF(K48="", "", IF(ISNUMBER(SEARCH("Implemented",K48)), "Pass", IF(ISNUMBER(SEARCH("Partial",K48)), "Partial", IF(ISNUMBER(SEARCH("Not Applicable",K48)), "N/A", "Fail"))))</f>
        <v/>
      </c>
      <c r="T48">
        <f>IF(Q48="", "", IF(OR(Q48="Fail", Q48="Partial"), "Yes", "No"))</f>
        <v/>
      </c>
      <c r="X48" t="inlineStr">
        <is>
          <t>No</t>
        </is>
      </c>
      <c r="AB48" t="inlineStr">
        <is>
          <t>[Security Analyst]</t>
        </is>
      </c>
      <c r="AE48" s="21">
        <f>IF(AA48&lt;&gt;"", AA48+90, "")</f>
        <v/>
      </c>
    </row>
    <row r="49">
      <c r="A49">
        <f>IF(B49&lt;&gt;"", "HC-"&amp;TEXT(ROW()-1,"00000"), "")</f>
        <v/>
      </c>
      <c r="Q49">
        <f>IF(K49="", "", IF(ISNUMBER(SEARCH("Implemented",K49)), "Pass", IF(ISNUMBER(SEARCH("Partial",K49)), "Partial", IF(ISNUMBER(SEARCH("Not Applicable",K49)), "N/A", "Fail"))))</f>
        <v/>
      </c>
      <c r="T49">
        <f>IF(Q49="", "", IF(OR(Q49="Fail", Q49="Partial"), "Yes", "No"))</f>
        <v/>
      </c>
      <c r="X49" t="inlineStr">
        <is>
          <t>No</t>
        </is>
      </c>
      <c r="AB49" t="inlineStr">
        <is>
          <t>[Security Analyst]</t>
        </is>
      </c>
      <c r="AE49" s="21">
        <f>IF(AA49&lt;&gt;"", AA49+90, "")</f>
        <v/>
      </c>
    </row>
    <row r="50">
      <c r="A50">
        <f>IF(B50&lt;&gt;"", "HC-"&amp;TEXT(ROW()-1,"00000"), "")</f>
        <v/>
      </c>
      <c r="Q50">
        <f>IF(K50="", "", IF(ISNUMBER(SEARCH("Implemented",K50)), "Pass", IF(ISNUMBER(SEARCH("Partial",K50)), "Partial", IF(ISNUMBER(SEARCH("Not Applicable",K50)), "N/A", "Fail"))))</f>
        <v/>
      </c>
      <c r="T50">
        <f>IF(Q50="", "", IF(OR(Q50="Fail", Q50="Partial"), "Yes", "No"))</f>
        <v/>
      </c>
      <c r="X50" t="inlineStr">
        <is>
          <t>No</t>
        </is>
      </c>
      <c r="AB50" t="inlineStr">
        <is>
          <t>[Security Analyst]</t>
        </is>
      </c>
      <c r="AE50" s="21">
        <f>IF(AA50&lt;&gt;"", AA50+90, "")</f>
        <v/>
      </c>
    </row>
    <row r="51">
      <c r="A51">
        <f>IF(B51&lt;&gt;"", "HC-"&amp;TEXT(ROW()-1,"00000"), "")</f>
        <v/>
      </c>
      <c r="Q51">
        <f>IF(K51="", "", IF(ISNUMBER(SEARCH("Implemented",K51)), "Pass", IF(ISNUMBER(SEARCH("Partial",K51)), "Partial", IF(ISNUMBER(SEARCH("Not Applicable",K51)), "N/A", "Fail"))))</f>
        <v/>
      </c>
      <c r="T51">
        <f>IF(Q51="", "", IF(OR(Q51="Fail", Q51="Partial"), "Yes", "No"))</f>
        <v/>
      </c>
      <c r="X51" t="inlineStr">
        <is>
          <t>No</t>
        </is>
      </c>
      <c r="AB51" t="inlineStr">
        <is>
          <t>[Security Analyst]</t>
        </is>
      </c>
      <c r="AE51" s="21">
        <f>IF(AA51&lt;&gt;"", AA51+90, "")</f>
        <v/>
      </c>
    </row>
    <row r="52">
      <c r="A52">
        <f>IF(B52&lt;&gt;"", "HC-"&amp;TEXT(ROW()-1,"00000"), "")</f>
        <v/>
      </c>
      <c r="Q52">
        <f>IF(K52="", "", IF(ISNUMBER(SEARCH("Implemented",K52)), "Pass", IF(ISNUMBER(SEARCH("Partial",K52)), "Partial", IF(ISNUMBER(SEARCH("Not Applicable",K52)), "N/A", "Fail"))))</f>
        <v/>
      </c>
      <c r="T52">
        <f>IF(Q52="", "", IF(OR(Q52="Fail", Q52="Partial"), "Yes", "No"))</f>
        <v/>
      </c>
      <c r="X52" t="inlineStr">
        <is>
          <t>No</t>
        </is>
      </c>
      <c r="AB52" t="inlineStr">
        <is>
          <t>[Security Analyst]</t>
        </is>
      </c>
      <c r="AE52" s="21">
        <f>IF(AA52&lt;&gt;"", AA52+90, "")</f>
        <v/>
      </c>
    </row>
    <row r="53">
      <c r="A53">
        <f>IF(B53&lt;&gt;"", "HC-"&amp;TEXT(ROW()-1,"00000"), "")</f>
        <v/>
      </c>
      <c r="Q53">
        <f>IF(K53="", "", IF(ISNUMBER(SEARCH("Implemented",K53)), "Pass", IF(ISNUMBER(SEARCH("Partial",K53)), "Partial", IF(ISNUMBER(SEARCH("Not Applicable",K53)), "N/A", "Fail"))))</f>
        <v/>
      </c>
      <c r="T53">
        <f>IF(Q53="", "", IF(OR(Q53="Fail", Q53="Partial"), "Yes", "No"))</f>
        <v/>
      </c>
      <c r="X53" t="inlineStr">
        <is>
          <t>No</t>
        </is>
      </c>
      <c r="AB53" t="inlineStr">
        <is>
          <t>[Security Analyst]</t>
        </is>
      </c>
      <c r="AE53" s="21">
        <f>IF(AA53&lt;&gt;"", AA53+90, "")</f>
        <v/>
      </c>
    </row>
    <row r="54">
      <c r="A54">
        <f>IF(B54&lt;&gt;"", "HC-"&amp;TEXT(ROW()-1,"00000"), "")</f>
        <v/>
      </c>
      <c r="Q54">
        <f>IF(K54="", "", IF(ISNUMBER(SEARCH("Implemented",K54)), "Pass", IF(ISNUMBER(SEARCH("Partial",K54)), "Partial", IF(ISNUMBER(SEARCH("Not Applicable",K54)), "N/A", "Fail"))))</f>
        <v/>
      </c>
      <c r="T54">
        <f>IF(Q54="", "", IF(OR(Q54="Fail", Q54="Partial"), "Yes", "No"))</f>
        <v/>
      </c>
      <c r="X54" t="inlineStr">
        <is>
          <t>No</t>
        </is>
      </c>
      <c r="AB54" t="inlineStr">
        <is>
          <t>[Security Analyst]</t>
        </is>
      </c>
      <c r="AE54" s="21">
        <f>IF(AA54&lt;&gt;"", AA54+90, "")</f>
        <v/>
      </c>
    </row>
    <row r="55">
      <c r="A55">
        <f>IF(B55&lt;&gt;"", "HC-"&amp;TEXT(ROW()-1,"00000"), "")</f>
        <v/>
      </c>
      <c r="Q55">
        <f>IF(K55="", "", IF(ISNUMBER(SEARCH("Implemented",K55)), "Pass", IF(ISNUMBER(SEARCH("Partial",K55)), "Partial", IF(ISNUMBER(SEARCH("Not Applicable",K55)), "N/A", "Fail"))))</f>
        <v/>
      </c>
      <c r="T55">
        <f>IF(Q55="", "", IF(OR(Q55="Fail", Q55="Partial"), "Yes", "No"))</f>
        <v/>
      </c>
      <c r="X55" t="inlineStr">
        <is>
          <t>No</t>
        </is>
      </c>
      <c r="AB55" t="inlineStr">
        <is>
          <t>[Security Analyst]</t>
        </is>
      </c>
      <c r="AE55" s="21">
        <f>IF(AA55&lt;&gt;"", AA55+90, "")</f>
        <v/>
      </c>
    </row>
    <row r="56">
      <c r="A56">
        <f>IF(B56&lt;&gt;"", "HC-"&amp;TEXT(ROW()-1,"00000"), "")</f>
        <v/>
      </c>
      <c r="Q56">
        <f>IF(K56="", "", IF(ISNUMBER(SEARCH("Implemented",K56)), "Pass", IF(ISNUMBER(SEARCH("Partial",K56)), "Partial", IF(ISNUMBER(SEARCH("Not Applicable",K56)), "N/A", "Fail"))))</f>
        <v/>
      </c>
      <c r="T56">
        <f>IF(Q56="", "", IF(OR(Q56="Fail", Q56="Partial"), "Yes", "No"))</f>
        <v/>
      </c>
      <c r="X56" t="inlineStr">
        <is>
          <t>No</t>
        </is>
      </c>
      <c r="AB56" t="inlineStr">
        <is>
          <t>[Security Analyst]</t>
        </is>
      </c>
      <c r="AE56" s="21">
        <f>IF(AA56&lt;&gt;"", AA56+90, "")</f>
        <v/>
      </c>
    </row>
    <row r="57">
      <c r="A57">
        <f>IF(B57&lt;&gt;"", "HC-"&amp;TEXT(ROW()-1,"00000"), "")</f>
        <v/>
      </c>
      <c r="Q57">
        <f>IF(K57="", "", IF(ISNUMBER(SEARCH("Implemented",K57)), "Pass", IF(ISNUMBER(SEARCH("Partial",K57)), "Partial", IF(ISNUMBER(SEARCH("Not Applicable",K57)), "N/A", "Fail"))))</f>
        <v/>
      </c>
      <c r="T57">
        <f>IF(Q57="", "", IF(OR(Q57="Fail", Q57="Partial"), "Yes", "No"))</f>
        <v/>
      </c>
      <c r="X57" t="inlineStr">
        <is>
          <t>No</t>
        </is>
      </c>
      <c r="AB57" t="inlineStr">
        <is>
          <t>[Security Analyst]</t>
        </is>
      </c>
      <c r="AE57" s="21">
        <f>IF(AA57&lt;&gt;"", AA57+90, "")</f>
        <v/>
      </c>
    </row>
    <row r="58">
      <c r="A58">
        <f>IF(B58&lt;&gt;"", "HC-"&amp;TEXT(ROW()-1,"00000"), "")</f>
        <v/>
      </c>
      <c r="Q58">
        <f>IF(K58="", "", IF(ISNUMBER(SEARCH("Implemented",K58)), "Pass", IF(ISNUMBER(SEARCH("Partial",K58)), "Partial", IF(ISNUMBER(SEARCH("Not Applicable",K58)), "N/A", "Fail"))))</f>
        <v/>
      </c>
      <c r="T58">
        <f>IF(Q58="", "", IF(OR(Q58="Fail", Q58="Partial"), "Yes", "No"))</f>
        <v/>
      </c>
      <c r="X58" t="inlineStr">
        <is>
          <t>No</t>
        </is>
      </c>
      <c r="AB58" t="inlineStr">
        <is>
          <t>[Security Analyst]</t>
        </is>
      </c>
      <c r="AE58" s="21">
        <f>IF(AA58&lt;&gt;"", AA58+90, "")</f>
        <v/>
      </c>
    </row>
    <row r="59">
      <c r="A59">
        <f>IF(B59&lt;&gt;"", "HC-"&amp;TEXT(ROW()-1,"00000"), "")</f>
        <v/>
      </c>
      <c r="Q59">
        <f>IF(K59="", "", IF(ISNUMBER(SEARCH("Implemented",K59)), "Pass", IF(ISNUMBER(SEARCH("Partial",K59)), "Partial", IF(ISNUMBER(SEARCH("Not Applicable",K59)), "N/A", "Fail"))))</f>
        <v/>
      </c>
      <c r="T59">
        <f>IF(Q59="", "", IF(OR(Q59="Fail", Q59="Partial"), "Yes", "No"))</f>
        <v/>
      </c>
      <c r="X59" t="inlineStr">
        <is>
          <t>No</t>
        </is>
      </c>
      <c r="AB59" t="inlineStr">
        <is>
          <t>[Security Analyst]</t>
        </is>
      </c>
      <c r="AE59" s="21">
        <f>IF(AA59&lt;&gt;"", AA59+90, "")</f>
        <v/>
      </c>
    </row>
    <row r="60">
      <c r="A60">
        <f>IF(B60&lt;&gt;"", "HC-"&amp;TEXT(ROW()-1,"00000"), "")</f>
        <v/>
      </c>
      <c r="Q60">
        <f>IF(K60="", "", IF(ISNUMBER(SEARCH("Implemented",K60)), "Pass", IF(ISNUMBER(SEARCH("Partial",K60)), "Partial", IF(ISNUMBER(SEARCH("Not Applicable",K60)), "N/A", "Fail"))))</f>
        <v/>
      </c>
      <c r="T60">
        <f>IF(Q60="", "", IF(OR(Q60="Fail", Q60="Partial"), "Yes", "No"))</f>
        <v/>
      </c>
      <c r="X60" t="inlineStr">
        <is>
          <t>No</t>
        </is>
      </c>
      <c r="AB60" t="inlineStr">
        <is>
          <t>[Security Analyst]</t>
        </is>
      </c>
      <c r="AE60" s="21">
        <f>IF(AA60&lt;&gt;"", AA60+90, "")</f>
        <v/>
      </c>
    </row>
    <row r="61">
      <c r="A61">
        <f>IF(B61&lt;&gt;"", "HC-"&amp;TEXT(ROW()-1,"00000"), "")</f>
        <v/>
      </c>
      <c r="Q61">
        <f>IF(K61="", "", IF(ISNUMBER(SEARCH("Implemented",K61)), "Pass", IF(ISNUMBER(SEARCH("Partial",K61)), "Partial", IF(ISNUMBER(SEARCH("Not Applicable",K61)), "N/A", "Fail"))))</f>
        <v/>
      </c>
      <c r="T61">
        <f>IF(Q61="", "", IF(OR(Q61="Fail", Q61="Partial"), "Yes", "No"))</f>
        <v/>
      </c>
      <c r="X61" t="inlineStr">
        <is>
          <t>No</t>
        </is>
      </c>
      <c r="AB61" t="inlineStr">
        <is>
          <t>[Security Analyst]</t>
        </is>
      </c>
      <c r="AE61" s="21">
        <f>IF(AA61&lt;&gt;"", AA61+90, "")</f>
        <v/>
      </c>
    </row>
    <row r="62">
      <c r="A62">
        <f>IF(B62&lt;&gt;"", "HC-"&amp;TEXT(ROW()-1,"00000"), "")</f>
        <v/>
      </c>
      <c r="Q62">
        <f>IF(K62="", "", IF(ISNUMBER(SEARCH("Implemented",K62)), "Pass", IF(ISNUMBER(SEARCH("Partial",K62)), "Partial", IF(ISNUMBER(SEARCH("Not Applicable",K62)), "N/A", "Fail"))))</f>
        <v/>
      </c>
      <c r="T62">
        <f>IF(Q62="", "", IF(OR(Q62="Fail", Q62="Partial"), "Yes", "No"))</f>
        <v/>
      </c>
      <c r="X62" t="inlineStr">
        <is>
          <t>No</t>
        </is>
      </c>
      <c r="AB62" t="inlineStr">
        <is>
          <t>[Security Analyst]</t>
        </is>
      </c>
      <c r="AE62" s="21">
        <f>IF(AA62&lt;&gt;"", AA62+90, "")</f>
        <v/>
      </c>
    </row>
    <row r="63">
      <c r="A63">
        <f>IF(B63&lt;&gt;"", "HC-"&amp;TEXT(ROW()-1,"00000"), "")</f>
        <v/>
      </c>
      <c r="Q63">
        <f>IF(K63="", "", IF(ISNUMBER(SEARCH("Implemented",K63)), "Pass", IF(ISNUMBER(SEARCH("Partial",K63)), "Partial", IF(ISNUMBER(SEARCH("Not Applicable",K63)), "N/A", "Fail"))))</f>
        <v/>
      </c>
      <c r="T63">
        <f>IF(Q63="", "", IF(OR(Q63="Fail", Q63="Partial"), "Yes", "No"))</f>
        <v/>
      </c>
      <c r="X63" t="inlineStr">
        <is>
          <t>No</t>
        </is>
      </c>
      <c r="AB63" t="inlineStr">
        <is>
          <t>[Security Analyst]</t>
        </is>
      </c>
      <c r="AE63" s="21">
        <f>IF(AA63&lt;&gt;"", AA63+90, "")</f>
        <v/>
      </c>
    </row>
    <row r="64">
      <c r="A64">
        <f>IF(B64&lt;&gt;"", "HC-"&amp;TEXT(ROW()-1,"00000"), "")</f>
        <v/>
      </c>
      <c r="Q64">
        <f>IF(K64="", "", IF(ISNUMBER(SEARCH("Implemented",K64)), "Pass", IF(ISNUMBER(SEARCH("Partial",K64)), "Partial", IF(ISNUMBER(SEARCH("Not Applicable",K64)), "N/A", "Fail"))))</f>
        <v/>
      </c>
      <c r="T64">
        <f>IF(Q64="", "", IF(OR(Q64="Fail", Q64="Partial"), "Yes", "No"))</f>
        <v/>
      </c>
      <c r="X64" t="inlineStr">
        <is>
          <t>No</t>
        </is>
      </c>
      <c r="AB64" t="inlineStr">
        <is>
          <t>[Security Analyst]</t>
        </is>
      </c>
      <c r="AE64" s="21">
        <f>IF(AA64&lt;&gt;"", AA64+90, "")</f>
        <v/>
      </c>
    </row>
    <row r="65">
      <c r="A65">
        <f>IF(B65&lt;&gt;"", "HC-"&amp;TEXT(ROW()-1,"00000"), "")</f>
        <v/>
      </c>
      <c r="Q65">
        <f>IF(K65="", "", IF(ISNUMBER(SEARCH("Implemented",K65)), "Pass", IF(ISNUMBER(SEARCH("Partial",K65)), "Partial", IF(ISNUMBER(SEARCH("Not Applicable",K65)), "N/A", "Fail"))))</f>
        <v/>
      </c>
      <c r="T65">
        <f>IF(Q65="", "", IF(OR(Q65="Fail", Q65="Partial"), "Yes", "No"))</f>
        <v/>
      </c>
      <c r="X65" t="inlineStr">
        <is>
          <t>No</t>
        </is>
      </c>
      <c r="AB65" t="inlineStr">
        <is>
          <t>[Security Analyst]</t>
        </is>
      </c>
      <c r="AE65" s="21">
        <f>IF(AA65&lt;&gt;"", AA65+90, "")</f>
        <v/>
      </c>
    </row>
    <row r="66">
      <c r="A66">
        <f>IF(B66&lt;&gt;"", "HC-"&amp;TEXT(ROW()-1,"00000"), "")</f>
        <v/>
      </c>
      <c r="Q66">
        <f>IF(K66="", "", IF(ISNUMBER(SEARCH("Implemented",K66)), "Pass", IF(ISNUMBER(SEARCH("Partial",K66)), "Partial", IF(ISNUMBER(SEARCH("Not Applicable",K66)), "N/A", "Fail"))))</f>
        <v/>
      </c>
      <c r="T66">
        <f>IF(Q66="", "", IF(OR(Q66="Fail", Q66="Partial"), "Yes", "No"))</f>
        <v/>
      </c>
      <c r="X66" t="inlineStr">
        <is>
          <t>No</t>
        </is>
      </c>
      <c r="AB66" t="inlineStr">
        <is>
          <t>[Security Analyst]</t>
        </is>
      </c>
      <c r="AE66" s="21">
        <f>IF(AA66&lt;&gt;"", AA66+90, "")</f>
        <v/>
      </c>
    </row>
    <row r="67">
      <c r="A67">
        <f>IF(B67&lt;&gt;"", "HC-"&amp;TEXT(ROW()-1,"00000"), "")</f>
        <v/>
      </c>
      <c r="Q67">
        <f>IF(K67="", "", IF(ISNUMBER(SEARCH("Implemented",K67)), "Pass", IF(ISNUMBER(SEARCH("Partial",K67)), "Partial", IF(ISNUMBER(SEARCH("Not Applicable",K67)), "N/A", "Fail"))))</f>
        <v/>
      </c>
      <c r="T67">
        <f>IF(Q67="", "", IF(OR(Q67="Fail", Q67="Partial"), "Yes", "No"))</f>
        <v/>
      </c>
      <c r="X67" t="inlineStr">
        <is>
          <t>No</t>
        </is>
      </c>
      <c r="AB67" t="inlineStr">
        <is>
          <t>[Security Analyst]</t>
        </is>
      </c>
      <c r="AE67" s="21">
        <f>IF(AA67&lt;&gt;"", AA67+90, "")</f>
        <v/>
      </c>
    </row>
    <row r="68">
      <c r="A68">
        <f>IF(B68&lt;&gt;"", "HC-"&amp;TEXT(ROW()-1,"00000"), "")</f>
        <v/>
      </c>
      <c r="Q68">
        <f>IF(K68="", "", IF(ISNUMBER(SEARCH("Implemented",K68)), "Pass", IF(ISNUMBER(SEARCH("Partial",K68)), "Partial", IF(ISNUMBER(SEARCH("Not Applicable",K68)), "N/A", "Fail"))))</f>
        <v/>
      </c>
      <c r="T68">
        <f>IF(Q68="", "", IF(OR(Q68="Fail", Q68="Partial"), "Yes", "No"))</f>
        <v/>
      </c>
      <c r="X68" t="inlineStr">
        <is>
          <t>No</t>
        </is>
      </c>
      <c r="AB68" t="inlineStr">
        <is>
          <t>[Security Analyst]</t>
        </is>
      </c>
      <c r="AE68" s="21">
        <f>IF(AA68&lt;&gt;"", AA68+90, "")</f>
        <v/>
      </c>
    </row>
    <row r="69">
      <c r="A69">
        <f>IF(B69&lt;&gt;"", "HC-"&amp;TEXT(ROW()-1,"00000"), "")</f>
        <v/>
      </c>
      <c r="Q69">
        <f>IF(K69="", "", IF(ISNUMBER(SEARCH("Implemented",K69)), "Pass", IF(ISNUMBER(SEARCH("Partial",K69)), "Partial", IF(ISNUMBER(SEARCH("Not Applicable",K69)), "N/A", "Fail"))))</f>
        <v/>
      </c>
      <c r="T69">
        <f>IF(Q69="", "", IF(OR(Q69="Fail", Q69="Partial"), "Yes", "No"))</f>
        <v/>
      </c>
      <c r="X69" t="inlineStr">
        <is>
          <t>No</t>
        </is>
      </c>
      <c r="AB69" t="inlineStr">
        <is>
          <t>[Security Analyst]</t>
        </is>
      </c>
      <c r="AE69" s="21">
        <f>IF(AA69&lt;&gt;"", AA69+90, "")</f>
        <v/>
      </c>
    </row>
    <row r="70">
      <c r="A70">
        <f>IF(B70&lt;&gt;"", "HC-"&amp;TEXT(ROW()-1,"00000"), "")</f>
        <v/>
      </c>
      <c r="Q70">
        <f>IF(K70="", "", IF(ISNUMBER(SEARCH("Implemented",K70)), "Pass", IF(ISNUMBER(SEARCH("Partial",K70)), "Partial", IF(ISNUMBER(SEARCH("Not Applicable",K70)), "N/A", "Fail"))))</f>
        <v/>
      </c>
      <c r="T70">
        <f>IF(Q70="", "", IF(OR(Q70="Fail", Q70="Partial"), "Yes", "No"))</f>
        <v/>
      </c>
      <c r="X70" t="inlineStr">
        <is>
          <t>No</t>
        </is>
      </c>
      <c r="AB70" t="inlineStr">
        <is>
          <t>[Security Analyst]</t>
        </is>
      </c>
      <c r="AE70" s="21">
        <f>IF(AA70&lt;&gt;"", AA70+90, "")</f>
        <v/>
      </c>
    </row>
    <row r="71">
      <c r="A71">
        <f>IF(B71&lt;&gt;"", "HC-"&amp;TEXT(ROW()-1,"00000"), "")</f>
        <v/>
      </c>
      <c r="Q71">
        <f>IF(K71="", "", IF(ISNUMBER(SEARCH("Implemented",K71)), "Pass", IF(ISNUMBER(SEARCH("Partial",K71)), "Partial", IF(ISNUMBER(SEARCH("Not Applicable",K71)), "N/A", "Fail"))))</f>
        <v/>
      </c>
      <c r="T71">
        <f>IF(Q71="", "", IF(OR(Q71="Fail", Q71="Partial"), "Yes", "No"))</f>
        <v/>
      </c>
      <c r="X71" t="inlineStr">
        <is>
          <t>No</t>
        </is>
      </c>
      <c r="AB71" t="inlineStr">
        <is>
          <t>[Security Analyst]</t>
        </is>
      </c>
      <c r="AE71" s="21">
        <f>IF(AA71&lt;&gt;"", AA71+90, "")</f>
        <v/>
      </c>
    </row>
    <row r="72">
      <c r="A72">
        <f>IF(B72&lt;&gt;"", "HC-"&amp;TEXT(ROW()-1,"00000"), "")</f>
        <v/>
      </c>
      <c r="Q72">
        <f>IF(K72="", "", IF(ISNUMBER(SEARCH("Implemented",K72)), "Pass", IF(ISNUMBER(SEARCH("Partial",K72)), "Partial", IF(ISNUMBER(SEARCH("Not Applicable",K72)), "N/A", "Fail"))))</f>
        <v/>
      </c>
      <c r="T72">
        <f>IF(Q72="", "", IF(OR(Q72="Fail", Q72="Partial"), "Yes", "No"))</f>
        <v/>
      </c>
      <c r="X72" t="inlineStr">
        <is>
          <t>No</t>
        </is>
      </c>
      <c r="AB72" t="inlineStr">
        <is>
          <t>[Security Analyst]</t>
        </is>
      </c>
      <c r="AE72" s="21">
        <f>IF(AA72&lt;&gt;"", AA72+90, "")</f>
        <v/>
      </c>
    </row>
    <row r="73">
      <c r="A73">
        <f>IF(B73&lt;&gt;"", "HC-"&amp;TEXT(ROW()-1,"00000"), "")</f>
        <v/>
      </c>
      <c r="Q73">
        <f>IF(K73="", "", IF(ISNUMBER(SEARCH("Implemented",K73)), "Pass", IF(ISNUMBER(SEARCH("Partial",K73)), "Partial", IF(ISNUMBER(SEARCH("Not Applicable",K73)), "N/A", "Fail"))))</f>
        <v/>
      </c>
      <c r="T73">
        <f>IF(Q73="", "", IF(OR(Q73="Fail", Q73="Partial"), "Yes", "No"))</f>
        <v/>
      </c>
      <c r="X73" t="inlineStr">
        <is>
          <t>No</t>
        </is>
      </c>
      <c r="AB73" t="inlineStr">
        <is>
          <t>[Security Analyst]</t>
        </is>
      </c>
      <c r="AE73" s="21">
        <f>IF(AA73&lt;&gt;"", AA73+90, "")</f>
        <v/>
      </c>
    </row>
    <row r="74">
      <c r="A74">
        <f>IF(B74&lt;&gt;"", "HC-"&amp;TEXT(ROW()-1,"00000"), "")</f>
        <v/>
      </c>
      <c r="Q74">
        <f>IF(K74="", "", IF(ISNUMBER(SEARCH("Implemented",K74)), "Pass", IF(ISNUMBER(SEARCH("Partial",K74)), "Partial", IF(ISNUMBER(SEARCH("Not Applicable",K74)), "N/A", "Fail"))))</f>
        <v/>
      </c>
      <c r="T74">
        <f>IF(Q74="", "", IF(OR(Q74="Fail", Q74="Partial"), "Yes", "No"))</f>
        <v/>
      </c>
      <c r="X74" t="inlineStr">
        <is>
          <t>No</t>
        </is>
      </c>
      <c r="AB74" t="inlineStr">
        <is>
          <t>[Security Analyst]</t>
        </is>
      </c>
      <c r="AE74" s="21">
        <f>IF(AA74&lt;&gt;"", AA74+90, "")</f>
        <v/>
      </c>
    </row>
    <row r="75">
      <c r="A75">
        <f>IF(B75&lt;&gt;"", "HC-"&amp;TEXT(ROW()-1,"00000"), "")</f>
        <v/>
      </c>
      <c r="Q75">
        <f>IF(K75="", "", IF(ISNUMBER(SEARCH("Implemented",K75)), "Pass", IF(ISNUMBER(SEARCH("Partial",K75)), "Partial", IF(ISNUMBER(SEARCH("Not Applicable",K75)), "N/A", "Fail"))))</f>
        <v/>
      </c>
      <c r="T75">
        <f>IF(Q75="", "", IF(OR(Q75="Fail", Q75="Partial"), "Yes", "No"))</f>
        <v/>
      </c>
      <c r="X75" t="inlineStr">
        <is>
          <t>No</t>
        </is>
      </c>
      <c r="AB75" t="inlineStr">
        <is>
          <t>[Security Analyst]</t>
        </is>
      </c>
      <c r="AE75" s="21">
        <f>IF(AA75&lt;&gt;"", AA75+90, "")</f>
        <v/>
      </c>
    </row>
    <row r="76">
      <c r="A76">
        <f>IF(B76&lt;&gt;"", "HC-"&amp;TEXT(ROW()-1,"00000"), "")</f>
        <v/>
      </c>
      <c r="Q76">
        <f>IF(K76="", "", IF(ISNUMBER(SEARCH("Implemented",K76)), "Pass", IF(ISNUMBER(SEARCH("Partial",K76)), "Partial", IF(ISNUMBER(SEARCH("Not Applicable",K76)), "N/A", "Fail"))))</f>
        <v/>
      </c>
      <c r="T76">
        <f>IF(Q76="", "", IF(OR(Q76="Fail", Q76="Partial"), "Yes", "No"))</f>
        <v/>
      </c>
      <c r="X76" t="inlineStr">
        <is>
          <t>No</t>
        </is>
      </c>
      <c r="AB76" t="inlineStr">
        <is>
          <t>[Security Analyst]</t>
        </is>
      </c>
      <c r="AE76" s="21">
        <f>IF(AA76&lt;&gt;"", AA76+90, "")</f>
        <v/>
      </c>
    </row>
    <row r="77">
      <c r="A77">
        <f>IF(B77&lt;&gt;"", "HC-"&amp;TEXT(ROW()-1,"00000"), "")</f>
        <v/>
      </c>
      <c r="Q77">
        <f>IF(K77="", "", IF(ISNUMBER(SEARCH("Implemented",K77)), "Pass", IF(ISNUMBER(SEARCH("Partial",K77)), "Partial", IF(ISNUMBER(SEARCH("Not Applicable",K77)), "N/A", "Fail"))))</f>
        <v/>
      </c>
      <c r="T77">
        <f>IF(Q77="", "", IF(OR(Q77="Fail", Q77="Partial"), "Yes", "No"))</f>
        <v/>
      </c>
      <c r="X77" t="inlineStr">
        <is>
          <t>No</t>
        </is>
      </c>
      <c r="AB77" t="inlineStr">
        <is>
          <t>[Security Analyst]</t>
        </is>
      </c>
      <c r="AE77" s="21">
        <f>IF(AA77&lt;&gt;"", AA77+90, "")</f>
        <v/>
      </c>
    </row>
    <row r="78">
      <c r="A78">
        <f>IF(B78&lt;&gt;"", "HC-"&amp;TEXT(ROW()-1,"00000"), "")</f>
        <v/>
      </c>
      <c r="Q78">
        <f>IF(K78="", "", IF(ISNUMBER(SEARCH("Implemented",K78)), "Pass", IF(ISNUMBER(SEARCH("Partial",K78)), "Partial", IF(ISNUMBER(SEARCH("Not Applicable",K78)), "N/A", "Fail"))))</f>
        <v/>
      </c>
      <c r="T78">
        <f>IF(Q78="", "", IF(OR(Q78="Fail", Q78="Partial"), "Yes", "No"))</f>
        <v/>
      </c>
      <c r="X78" t="inlineStr">
        <is>
          <t>No</t>
        </is>
      </c>
      <c r="AB78" t="inlineStr">
        <is>
          <t>[Security Analyst]</t>
        </is>
      </c>
      <c r="AE78" s="21">
        <f>IF(AA78&lt;&gt;"", AA78+90, "")</f>
        <v/>
      </c>
    </row>
    <row r="79">
      <c r="A79">
        <f>IF(B79&lt;&gt;"", "HC-"&amp;TEXT(ROW()-1,"00000"), "")</f>
        <v/>
      </c>
      <c r="Q79">
        <f>IF(K79="", "", IF(ISNUMBER(SEARCH("Implemented",K79)), "Pass", IF(ISNUMBER(SEARCH("Partial",K79)), "Partial", IF(ISNUMBER(SEARCH("Not Applicable",K79)), "N/A", "Fail"))))</f>
        <v/>
      </c>
      <c r="T79">
        <f>IF(Q79="", "", IF(OR(Q79="Fail", Q79="Partial"), "Yes", "No"))</f>
        <v/>
      </c>
      <c r="X79" t="inlineStr">
        <is>
          <t>No</t>
        </is>
      </c>
      <c r="AB79" t="inlineStr">
        <is>
          <t>[Security Analyst]</t>
        </is>
      </c>
      <c r="AE79" s="21">
        <f>IF(AA79&lt;&gt;"", AA79+90, "")</f>
        <v/>
      </c>
    </row>
    <row r="80">
      <c r="A80">
        <f>IF(B80&lt;&gt;"", "HC-"&amp;TEXT(ROW()-1,"00000"), "")</f>
        <v/>
      </c>
      <c r="Q80">
        <f>IF(K80="", "", IF(ISNUMBER(SEARCH("Implemented",K80)), "Pass", IF(ISNUMBER(SEARCH("Partial",K80)), "Partial", IF(ISNUMBER(SEARCH("Not Applicable",K80)), "N/A", "Fail"))))</f>
        <v/>
      </c>
      <c r="T80">
        <f>IF(Q80="", "", IF(OR(Q80="Fail", Q80="Partial"), "Yes", "No"))</f>
        <v/>
      </c>
      <c r="X80" t="inlineStr">
        <is>
          <t>No</t>
        </is>
      </c>
      <c r="AB80" t="inlineStr">
        <is>
          <t>[Security Analyst]</t>
        </is>
      </c>
      <c r="AE80" s="21">
        <f>IF(AA80&lt;&gt;"", AA80+90, "")</f>
        <v/>
      </c>
    </row>
    <row r="81">
      <c r="A81">
        <f>IF(B81&lt;&gt;"", "HC-"&amp;TEXT(ROW()-1,"00000"), "")</f>
        <v/>
      </c>
      <c r="Q81">
        <f>IF(K81="", "", IF(ISNUMBER(SEARCH("Implemented",K81)), "Pass", IF(ISNUMBER(SEARCH("Partial",K81)), "Partial", IF(ISNUMBER(SEARCH("Not Applicable",K81)), "N/A", "Fail"))))</f>
        <v/>
      </c>
      <c r="T81">
        <f>IF(Q81="", "", IF(OR(Q81="Fail", Q81="Partial"), "Yes", "No"))</f>
        <v/>
      </c>
      <c r="X81" t="inlineStr">
        <is>
          <t>No</t>
        </is>
      </c>
      <c r="AB81" t="inlineStr">
        <is>
          <t>[Security Analyst]</t>
        </is>
      </c>
      <c r="AE81" s="21">
        <f>IF(AA81&lt;&gt;"", AA81+90, "")</f>
        <v/>
      </c>
    </row>
    <row r="82">
      <c r="A82">
        <f>IF(B82&lt;&gt;"", "HC-"&amp;TEXT(ROW()-1,"00000"), "")</f>
        <v/>
      </c>
      <c r="Q82">
        <f>IF(K82="", "", IF(ISNUMBER(SEARCH("Implemented",K82)), "Pass", IF(ISNUMBER(SEARCH("Partial",K82)), "Partial", IF(ISNUMBER(SEARCH("Not Applicable",K82)), "N/A", "Fail"))))</f>
        <v/>
      </c>
      <c r="T82">
        <f>IF(Q82="", "", IF(OR(Q82="Fail", Q82="Partial"), "Yes", "No"))</f>
        <v/>
      </c>
      <c r="X82" t="inlineStr">
        <is>
          <t>No</t>
        </is>
      </c>
      <c r="AB82" t="inlineStr">
        <is>
          <t>[Security Analyst]</t>
        </is>
      </c>
      <c r="AE82" s="21">
        <f>IF(AA82&lt;&gt;"", AA82+90, "")</f>
        <v/>
      </c>
    </row>
    <row r="83">
      <c r="A83">
        <f>IF(B83&lt;&gt;"", "HC-"&amp;TEXT(ROW()-1,"00000"), "")</f>
        <v/>
      </c>
      <c r="Q83">
        <f>IF(K83="", "", IF(ISNUMBER(SEARCH("Implemented",K83)), "Pass", IF(ISNUMBER(SEARCH("Partial",K83)), "Partial", IF(ISNUMBER(SEARCH("Not Applicable",K83)), "N/A", "Fail"))))</f>
        <v/>
      </c>
      <c r="T83">
        <f>IF(Q83="", "", IF(OR(Q83="Fail", Q83="Partial"), "Yes", "No"))</f>
        <v/>
      </c>
      <c r="X83" t="inlineStr">
        <is>
          <t>No</t>
        </is>
      </c>
      <c r="AB83" t="inlineStr">
        <is>
          <t>[Security Analyst]</t>
        </is>
      </c>
      <c r="AE83" s="21">
        <f>IF(AA83&lt;&gt;"", AA83+90, "")</f>
        <v/>
      </c>
    </row>
    <row r="84">
      <c r="A84">
        <f>IF(B84&lt;&gt;"", "HC-"&amp;TEXT(ROW()-1,"00000"), "")</f>
        <v/>
      </c>
      <c r="Q84">
        <f>IF(K84="", "", IF(ISNUMBER(SEARCH("Implemented",K84)), "Pass", IF(ISNUMBER(SEARCH("Partial",K84)), "Partial", IF(ISNUMBER(SEARCH("Not Applicable",K84)), "N/A", "Fail"))))</f>
        <v/>
      </c>
      <c r="T84">
        <f>IF(Q84="", "", IF(OR(Q84="Fail", Q84="Partial"), "Yes", "No"))</f>
        <v/>
      </c>
      <c r="X84" t="inlineStr">
        <is>
          <t>No</t>
        </is>
      </c>
      <c r="AB84" t="inlineStr">
        <is>
          <t>[Security Analyst]</t>
        </is>
      </c>
      <c r="AE84" s="21">
        <f>IF(AA84&lt;&gt;"", AA84+90, "")</f>
        <v/>
      </c>
    </row>
    <row r="85">
      <c r="A85">
        <f>IF(B85&lt;&gt;"", "HC-"&amp;TEXT(ROW()-1,"00000"), "")</f>
        <v/>
      </c>
      <c r="Q85">
        <f>IF(K85="", "", IF(ISNUMBER(SEARCH("Implemented",K85)), "Pass", IF(ISNUMBER(SEARCH("Partial",K85)), "Partial", IF(ISNUMBER(SEARCH("Not Applicable",K85)), "N/A", "Fail"))))</f>
        <v/>
      </c>
      <c r="T85">
        <f>IF(Q85="", "", IF(OR(Q85="Fail", Q85="Partial"), "Yes", "No"))</f>
        <v/>
      </c>
      <c r="X85" t="inlineStr">
        <is>
          <t>No</t>
        </is>
      </c>
      <c r="AB85" t="inlineStr">
        <is>
          <t>[Security Analyst]</t>
        </is>
      </c>
      <c r="AE85" s="21">
        <f>IF(AA85&lt;&gt;"", AA85+90, "")</f>
        <v/>
      </c>
    </row>
    <row r="86">
      <c r="A86">
        <f>IF(B86&lt;&gt;"", "HC-"&amp;TEXT(ROW()-1,"00000"), "")</f>
        <v/>
      </c>
      <c r="Q86">
        <f>IF(K86="", "", IF(ISNUMBER(SEARCH("Implemented",K86)), "Pass", IF(ISNUMBER(SEARCH("Partial",K86)), "Partial", IF(ISNUMBER(SEARCH("Not Applicable",K86)), "N/A", "Fail"))))</f>
        <v/>
      </c>
      <c r="T86">
        <f>IF(Q86="", "", IF(OR(Q86="Fail", Q86="Partial"), "Yes", "No"))</f>
        <v/>
      </c>
      <c r="X86" t="inlineStr">
        <is>
          <t>No</t>
        </is>
      </c>
      <c r="AB86" t="inlineStr">
        <is>
          <t>[Security Analyst]</t>
        </is>
      </c>
      <c r="AE86" s="21">
        <f>IF(AA86&lt;&gt;"", AA86+90, "")</f>
        <v/>
      </c>
    </row>
    <row r="87">
      <c r="A87">
        <f>IF(B87&lt;&gt;"", "HC-"&amp;TEXT(ROW()-1,"00000"), "")</f>
        <v/>
      </c>
      <c r="Q87">
        <f>IF(K87="", "", IF(ISNUMBER(SEARCH("Implemented",K87)), "Pass", IF(ISNUMBER(SEARCH("Partial",K87)), "Partial", IF(ISNUMBER(SEARCH("Not Applicable",K87)), "N/A", "Fail"))))</f>
        <v/>
      </c>
      <c r="T87">
        <f>IF(Q87="", "", IF(OR(Q87="Fail", Q87="Partial"), "Yes", "No"))</f>
        <v/>
      </c>
      <c r="X87" t="inlineStr">
        <is>
          <t>No</t>
        </is>
      </c>
      <c r="AB87" t="inlineStr">
        <is>
          <t>[Security Analyst]</t>
        </is>
      </c>
      <c r="AE87" s="21">
        <f>IF(AA87&lt;&gt;"", AA87+90, "")</f>
        <v/>
      </c>
    </row>
    <row r="88">
      <c r="A88">
        <f>IF(B88&lt;&gt;"", "HC-"&amp;TEXT(ROW()-1,"00000"), "")</f>
        <v/>
      </c>
      <c r="Q88">
        <f>IF(K88="", "", IF(ISNUMBER(SEARCH("Implemented",K88)), "Pass", IF(ISNUMBER(SEARCH("Partial",K88)), "Partial", IF(ISNUMBER(SEARCH("Not Applicable",K88)), "N/A", "Fail"))))</f>
        <v/>
      </c>
      <c r="T88">
        <f>IF(Q88="", "", IF(OR(Q88="Fail", Q88="Partial"), "Yes", "No"))</f>
        <v/>
      </c>
      <c r="X88" t="inlineStr">
        <is>
          <t>No</t>
        </is>
      </c>
      <c r="AB88" t="inlineStr">
        <is>
          <t>[Security Analyst]</t>
        </is>
      </c>
      <c r="AE88" s="21">
        <f>IF(AA88&lt;&gt;"", AA88+90, "")</f>
        <v/>
      </c>
    </row>
    <row r="89">
      <c r="A89">
        <f>IF(B89&lt;&gt;"", "HC-"&amp;TEXT(ROW()-1,"00000"), "")</f>
        <v/>
      </c>
      <c r="Q89">
        <f>IF(K89="", "", IF(ISNUMBER(SEARCH("Implemented",K89)), "Pass", IF(ISNUMBER(SEARCH("Partial",K89)), "Partial", IF(ISNUMBER(SEARCH("Not Applicable",K89)), "N/A", "Fail"))))</f>
        <v/>
      </c>
      <c r="T89">
        <f>IF(Q89="", "", IF(OR(Q89="Fail", Q89="Partial"), "Yes", "No"))</f>
        <v/>
      </c>
      <c r="X89" t="inlineStr">
        <is>
          <t>No</t>
        </is>
      </c>
      <c r="AB89" t="inlineStr">
        <is>
          <t>[Security Analyst]</t>
        </is>
      </c>
      <c r="AE89" s="21">
        <f>IF(AA89&lt;&gt;"", AA89+90, "")</f>
        <v/>
      </c>
    </row>
    <row r="90">
      <c r="A90">
        <f>IF(B90&lt;&gt;"", "HC-"&amp;TEXT(ROW()-1,"00000"), "")</f>
        <v/>
      </c>
      <c r="Q90">
        <f>IF(K90="", "", IF(ISNUMBER(SEARCH("Implemented",K90)), "Pass", IF(ISNUMBER(SEARCH("Partial",K90)), "Partial", IF(ISNUMBER(SEARCH("Not Applicable",K90)), "N/A", "Fail"))))</f>
        <v/>
      </c>
      <c r="T90">
        <f>IF(Q90="", "", IF(OR(Q90="Fail", Q90="Partial"), "Yes", "No"))</f>
        <v/>
      </c>
      <c r="X90" t="inlineStr">
        <is>
          <t>No</t>
        </is>
      </c>
      <c r="AB90" t="inlineStr">
        <is>
          <t>[Security Analyst]</t>
        </is>
      </c>
      <c r="AE90" s="21">
        <f>IF(AA90&lt;&gt;"", AA90+90, "")</f>
        <v/>
      </c>
    </row>
    <row r="91">
      <c r="A91">
        <f>IF(B91&lt;&gt;"", "HC-"&amp;TEXT(ROW()-1,"00000"), "")</f>
        <v/>
      </c>
      <c r="Q91">
        <f>IF(K91="", "", IF(ISNUMBER(SEARCH("Implemented",K91)), "Pass", IF(ISNUMBER(SEARCH("Partial",K91)), "Partial", IF(ISNUMBER(SEARCH("Not Applicable",K91)), "N/A", "Fail"))))</f>
        <v/>
      </c>
      <c r="T91">
        <f>IF(Q91="", "", IF(OR(Q91="Fail", Q91="Partial"), "Yes", "No"))</f>
        <v/>
      </c>
      <c r="X91" t="inlineStr">
        <is>
          <t>No</t>
        </is>
      </c>
      <c r="AB91" t="inlineStr">
        <is>
          <t>[Security Analyst]</t>
        </is>
      </c>
      <c r="AE91" s="21">
        <f>IF(AA91&lt;&gt;"", AA91+90, "")</f>
        <v/>
      </c>
    </row>
    <row r="92">
      <c r="A92">
        <f>IF(B92&lt;&gt;"", "HC-"&amp;TEXT(ROW()-1,"00000"), "")</f>
        <v/>
      </c>
      <c r="Q92">
        <f>IF(K92="", "", IF(ISNUMBER(SEARCH("Implemented",K92)), "Pass", IF(ISNUMBER(SEARCH("Partial",K92)), "Partial", IF(ISNUMBER(SEARCH("Not Applicable",K92)), "N/A", "Fail"))))</f>
        <v/>
      </c>
      <c r="T92">
        <f>IF(Q92="", "", IF(OR(Q92="Fail", Q92="Partial"), "Yes", "No"))</f>
        <v/>
      </c>
      <c r="X92" t="inlineStr">
        <is>
          <t>No</t>
        </is>
      </c>
      <c r="AB92" t="inlineStr">
        <is>
          <t>[Security Analyst]</t>
        </is>
      </c>
      <c r="AE92" s="21">
        <f>IF(AA92&lt;&gt;"", AA92+90, "")</f>
        <v/>
      </c>
    </row>
    <row r="93">
      <c r="A93">
        <f>IF(B93&lt;&gt;"", "HC-"&amp;TEXT(ROW()-1,"00000"), "")</f>
        <v/>
      </c>
      <c r="Q93">
        <f>IF(K93="", "", IF(ISNUMBER(SEARCH("Implemented",K93)), "Pass", IF(ISNUMBER(SEARCH("Partial",K93)), "Partial", IF(ISNUMBER(SEARCH("Not Applicable",K93)), "N/A", "Fail"))))</f>
        <v/>
      </c>
      <c r="T93">
        <f>IF(Q93="", "", IF(OR(Q93="Fail", Q93="Partial"), "Yes", "No"))</f>
        <v/>
      </c>
      <c r="X93" t="inlineStr">
        <is>
          <t>No</t>
        </is>
      </c>
      <c r="AB93" t="inlineStr">
        <is>
          <t>[Security Analyst]</t>
        </is>
      </c>
      <c r="AE93" s="21">
        <f>IF(AA93&lt;&gt;"", AA93+90, "")</f>
        <v/>
      </c>
    </row>
    <row r="94">
      <c r="A94">
        <f>IF(B94&lt;&gt;"", "HC-"&amp;TEXT(ROW()-1,"00000"), "")</f>
        <v/>
      </c>
      <c r="Q94">
        <f>IF(K94="", "", IF(ISNUMBER(SEARCH("Implemented",K94)), "Pass", IF(ISNUMBER(SEARCH("Partial",K94)), "Partial", IF(ISNUMBER(SEARCH("Not Applicable",K94)), "N/A", "Fail"))))</f>
        <v/>
      </c>
      <c r="T94">
        <f>IF(Q94="", "", IF(OR(Q94="Fail", Q94="Partial"), "Yes", "No"))</f>
        <v/>
      </c>
      <c r="X94" t="inlineStr">
        <is>
          <t>No</t>
        </is>
      </c>
      <c r="AB94" t="inlineStr">
        <is>
          <t>[Security Analyst]</t>
        </is>
      </c>
      <c r="AE94" s="21">
        <f>IF(AA94&lt;&gt;"", AA94+90, "")</f>
        <v/>
      </c>
    </row>
    <row r="95">
      <c r="A95">
        <f>IF(B95&lt;&gt;"", "HC-"&amp;TEXT(ROW()-1,"00000"), "")</f>
        <v/>
      </c>
      <c r="Q95">
        <f>IF(K95="", "", IF(ISNUMBER(SEARCH("Implemented",K95)), "Pass", IF(ISNUMBER(SEARCH("Partial",K95)), "Partial", IF(ISNUMBER(SEARCH("Not Applicable",K95)), "N/A", "Fail"))))</f>
        <v/>
      </c>
      <c r="T95">
        <f>IF(Q95="", "", IF(OR(Q95="Fail", Q95="Partial"), "Yes", "No"))</f>
        <v/>
      </c>
      <c r="X95" t="inlineStr">
        <is>
          <t>No</t>
        </is>
      </c>
      <c r="AB95" t="inlineStr">
        <is>
          <t>[Security Analyst]</t>
        </is>
      </c>
      <c r="AE95" s="21">
        <f>IF(AA95&lt;&gt;"", AA95+90, "")</f>
        <v/>
      </c>
    </row>
    <row r="96">
      <c r="A96">
        <f>IF(B96&lt;&gt;"", "HC-"&amp;TEXT(ROW()-1,"00000"), "")</f>
        <v/>
      </c>
      <c r="Q96">
        <f>IF(K96="", "", IF(ISNUMBER(SEARCH("Implemented",K96)), "Pass", IF(ISNUMBER(SEARCH("Partial",K96)), "Partial", IF(ISNUMBER(SEARCH("Not Applicable",K96)), "N/A", "Fail"))))</f>
        <v/>
      </c>
      <c r="T96">
        <f>IF(Q96="", "", IF(OR(Q96="Fail", Q96="Partial"), "Yes", "No"))</f>
        <v/>
      </c>
      <c r="X96" t="inlineStr">
        <is>
          <t>No</t>
        </is>
      </c>
      <c r="AB96" t="inlineStr">
        <is>
          <t>[Security Analyst]</t>
        </is>
      </c>
      <c r="AE96" s="21">
        <f>IF(AA96&lt;&gt;"", AA96+90, "")</f>
        <v/>
      </c>
    </row>
    <row r="97">
      <c r="A97">
        <f>IF(B97&lt;&gt;"", "HC-"&amp;TEXT(ROW()-1,"00000"), "")</f>
        <v/>
      </c>
      <c r="Q97">
        <f>IF(K97="", "", IF(ISNUMBER(SEARCH("Implemented",K97)), "Pass", IF(ISNUMBER(SEARCH("Partial",K97)), "Partial", IF(ISNUMBER(SEARCH("Not Applicable",K97)), "N/A", "Fail"))))</f>
        <v/>
      </c>
      <c r="T97">
        <f>IF(Q97="", "", IF(OR(Q97="Fail", Q97="Partial"), "Yes", "No"))</f>
        <v/>
      </c>
      <c r="X97" t="inlineStr">
        <is>
          <t>No</t>
        </is>
      </c>
      <c r="AB97" t="inlineStr">
        <is>
          <t>[Security Analyst]</t>
        </is>
      </c>
      <c r="AE97" s="21">
        <f>IF(AA97&lt;&gt;"", AA97+90, "")</f>
        <v/>
      </c>
    </row>
    <row r="98">
      <c r="A98">
        <f>IF(B98&lt;&gt;"", "HC-"&amp;TEXT(ROW()-1,"00000"), "")</f>
        <v/>
      </c>
      <c r="Q98">
        <f>IF(K98="", "", IF(ISNUMBER(SEARCH("Implemented",K98)), "Pass", IF(ISNUMBER(SEARCH("Partial",K98)), "Partial", IF(ISNUMBER(SEARCH("Not Applicable",K98)), "N/A", "Fail"))))</f>
        <v/>
      </c>
      <c r="T98">
        <f>IF(Q98="", "", IF(OR(Q98="Fail", Q98="Partial"), "Yes", "No"))</f>
        <v/>
      </c>
      <c r="X98" t="inlineStr">
        <is>
          <t>No</t>
        </is>
      </c>
      <c r="AB98" t="inlineStr">
        <is>
          <t>[Security Analyst]</t>
        </is>
      </c>
      <c r="AE98" s="21">
        <f>IF(AA98&lt;&gt;"", AA98+90, "")</f>
        <v/>
      </c>
    </row>
    <row r="99">
      <c r="A99">
        <f>IF(B99&lt;&gt;"", "HC-"&amp;TEXT(ROW()-1,"00000"), "")</f>
        <v/>
      </c>
      <c r="Q99">
        <f>IF(K99="", "", IF(ISNUMBER(SEARCH("Implemented",K99)), "Pass", IF(ISNUMBER(SEARCH("Partial",K99)), "Partial", IF(ISNUMBER(SEARCH("Not Applicable",K99)), "N/A", "Fail"))))</f>
        <v/>
      </c>
      <c r="T99">
        <f>IF(Q99="", "", IF(OR(Q99="Fail", Q99="Partial"), "Yes", "No"))</f>
        <v/>
      </c>
      <c r="X99" t="inlineStr">
        <is>
          <t>No</t>
        </is>
      </c>
      <c r="AB99" t="inlineStr">
        <is>
          <t>[Security Analyst]</t>
        </is>
      </c>
      <c r="AE99" s="21">
        <f>IF(AA99&lt;&gt;"", AA99+90, "")</f>
        <v/>
      </c>
    </row>
    <row r="100">
      <c r="A100">
        <f>IF(B100&lt;&gt;"", "HC-"&amp;TEXT(ROW()-1,"00000"), "")</f>
        <v/>
      </c>
      <c r="Q100">
        <f>IF(K100="", "", IF(ISNUMBER(SEARCH("Implemented",K100)), "Pass", IF(ISNUMBER(SEARCH("Partial",K100)), "Partial", IF(ISNUMBER(SEARCH("Not Applicable",K100)), "N/A", "Fail"))))</f>
        <v/>
      </c>
      <c r="T100">
        <f>IF(Q100="", "", IF(OR(Q100="Fail", Q100="Partial"), "Yes", "No"))</f>
        <v/>
      </c>
      <c r="X100" t="inlineStr">
        <is>
          <t>No</t>
        </is>
      </c>
      <c r="AB100" t="inlineStr">
        <is>
          <t>[Security Analyst]</t>
        </is>
      </c>
      <c r="AE100" s="21">
        <f>IF(AA100&lt;&gt;"", AA100+90, "")</f>
        <v/>
      </c>
    </row>
    <row r="101">
      <c r="A101">
        <f>IF(B101&lt;&gt;"", "HC-"&amp;TEXT(ROW()-1,"00000"), "")</f>
        <v/>
      </c>
      <c r="Q101">
        <f>IF(K101="", "", IF(ISNUMBER(SEARCH("Implemented",K101)), "Pass", IF(ISNUMBER(SEARCH("Partial",K101)), "Partial", IF(ISNUMBER(SEARCH("Not Applicable",K101)), "N/A", "Fail"))))</f>
        <v/>
      </c>
      <c r="T101">
        <f>IF(Q101="", "", IF(OR(Q101="Fail", Q101="Partial"), "Yes", "No"))</f>
        <v/>
      </c>
      <c r="X101" t="inlineStr">
        <is>
          <t>No</t>
        </is>
      </c>
      <c r="AB101" t="inlineStr">
        <is>
          <t>[Security Analyst]</t>
        </is>
      </c>
      <c r="AE101" s="21">
        <f>IF(AA101&lt;&gt;"", AA101+90, "")</f>
        <v/>
      </c>
    </row>
    <row r="102">
      <c r="A102">
        <f>IF(B102&lt;&gt;"", "HC-"&amp;TEXT(ROW()-1,"00000"), "")</f>
        <v/>
      </c>
      <c r="Q102">
        <f>IF(K102="", "", IF(ISNUMBER(SEARCH("Implemented",K102)), "Pass", IF(ISNUMBER(SEARCH("Partial",K102)), "Partial", IF(ISNUMBER(SEARCH("Not Applicable",K102)), "N/A", "Fail"))))</f>
        <v/>
      </c>
      <c r="T102">
        <f>IF(Q102="", "", IF(OR(Q102="Fail", Q102="Partial"), "Yes", "No"))</f>
        <v/>
      </c>
      <c r="X102" t="inlineStr">
        <is>
          <t>No</t>
        </is>
      </c>
      <c r="AB102" t="inlineStr">
        <is>
          <t>[Security Analyst]</t>
        </is>
      </c>
      <c r="AE102" s="21">
        <f>IF(AA102&lt;&gt;"", AA102+90, "")</f>
        <v/>
      </c>
    </row>
    <row r="103">
      <c r="A103">
        <f>IF(B103&lt;&gt;"", "HC-"&amp;TEXT(ROW()-1,"00000"), "")</f>
        <v/>
      </c>
      <c r="Q103">
        <f>IF(K103="", "", IF(ISNUMBER(SEARCH("Implemented",K103)), "Pass", IF(ISNUMBER(SEARCH("Partial",K103)), "Partial", IF(ISNUMBER(SEARCH("Not Applicable",K103)), "N/A", "Fail"))))</f>
        <v/>
      </c>
      <c r="T103">
        <f>IF(Q103="", "", IF(OR(Q103="Fail", Q103="Partial"), "Yes", "No"))</f>
        <v/>
      </c>
      <c r="X103" t="inlineStr">
        <is>
          <t>No</t>
        </is>
      </c>
      <c r="AB103" t="inlineStr">
        <is>
          <t>[Security Analyst]</t>
        </is>
      </c>
      <c r="AE103" s="21">
        <f>IF(AA103&lt;&gt;"", AA103+90, "")</f>
        <v/>
      </c>
    </row>
    <row r="104">
      <c r="A104">
        <f>IF(B104&lt;&gt;"", "HC-"&amp;TEXT(ROW()-1,"00000"), "")</f>
        <v/>
      </c>
      <c r="Q104">
        <f>IF(K104="", "", IF(ISNUMBER(SEARCH("Implemented",K104)), "Pass", IF(ISNUMBER(SEARCH("Partial",K104)), "Partial", IF(ISNUMBER(SEARCH("Not Applicable",K104)), "N/A", "Fail"))))</f>
        <v/>
      </c>
      <c r="T104">
        <f>IF(Q104="", "", IF(OR(Q104="Fail", Q104="Partial"), "Yes", "No"))</f>
        <v/>
      </c>
      <c r="X104" t="inlineStr">
        <is>
          <t>No</t>
        </is>
      </c>
      <c r="AB104" t="inlineStr">
        <is>
          <t>[Security Analyst]</t>
        </is>
      </c>
      <c r="AE104" s="21">
        <f>IF(AA104&lt;&gt;"", AA104+90, "")</f>
        <v/>
      </c>
    </row>
    <row r="105">
      <c r="A105">
        <f>IF(B105&lt;&gt;"", "HC-"&amp;TEXT(ROW()-1,"00000"), "")</f>
        <v/>
      </c>
      <c r="Q105">
        <f>IF(K105="", "", IF(ISNUMBER(SEARCH("Implemented",K105)), "Pass", IF(ISNUMBER(SEARCH("Partial",K105)), "Partial", IF(ISNUMBER(SEARCH("Not Applicable",K105)), "N/A", "Fail"))))</f>
        <v/>
      </c>
      <c r="T105">
        <f>IF(Q105="", "", IF(OR(Q105="Fail", Q105="Partial"), "Yes", "No"))</f>
        <v/>
      </c>
      <c r="X105" t="inlineStr">
        <is>
          <t>No</t>
        </is>
      </c>
      <c r="AB105" t="inlineStr">
        <is>
          <t>[Security Analyst]</t>
        </is>
      </c>
      <c r="AE105" s="21">
        <f>IF(AA105&lt;&gt;"", AA105+90, "")</f>
        <v/>
      </c>
    </row>
    <row r="106">
      <c r="A106">
        <f>IF(B106&lt;&gt;"", "HC-"&amp;TEXT(ROW()-1,"00000"), "")</f>
        <v/>
      </c>
      <c r="Q106">
        <f>IF(K106="", "", IF(ISNUMBER(SEARCH("Implemented",K106)), "Pass", IF(ISNUMBER(SEARCH("Partial",K106)), "Partial", IF(ISNUMBER(SEARCH("Not Applicable",K106)), "N/A", "Fail"))))</f>
        <v/>
      </c>
      <c r="T106">
        <f>IF(Q106="", "", IF(OR(Q106="Fail", Q106="Partial"), "Yes", "No"))</f>
        <v/>
      </c>
      <c r="X106" t="inlineStr">
        <is>
          <t>No</t>
        </is>
      </c>
      <c r="AB106" t="inlineStr">
        <is>
          <t>[Security Analyst]</t>
        </is>
      </c>
      <c r="AE106" s="21">
        <f>IF(AA106&lt;&gt;"", AA106+90, "")</f>
        <v/>
      </c>
    </row>
    <row r="107">
      <c r="A107">
        <f>IF(B107&lt;&gt;"", "HC-"&amp;TEXT(ROW()-1,"00000"), "")</f>
        <v/>
      </c>
      <c r="Q107">
        <f>IF(K107="", "", IF(ISNUMBER(SEARCH("Implemented",K107)), "Pass", IF(ISNUMBER(SEARCH("Partial",K107)), "Partial", IF(ISNUMBER(SEARCH("Not Applicable",K107)), "N/A", "Fail"))))</f>
        <v/>
      </c>
      <c r="T107">
        <f>IF(Q107="", "", IF(OR(Q107="Fail", Q107="Partial"), "Yes", "No"))</f>
        <v/>
      </c>
      <c r="X107" t="inlineStr">
        <is>
          <t>No</t>
        </is>
      </c>
      <c r="AB107" t="inlineStr">
        <is>
          <t>[Security Analyst]</t>
        </is>
      </c>
      <c r="AE107" s="21">
        <f>IF(AA107&lt;&gt;"", AA107+90, "")</f>
        <v/>
      </c>
    </row>
    <row r="108">
      <c r="A108">
        <f>IF(B108&lt;&gt;"", "HC-"&amp;TEXT(ROW()-1,"00000"), "")</f>
        <v/>
      </c>
      <c r="Q108">
        <f>IF(K108="", "", IF(ISNUMBER(SEARCH("Implemented",K108)), "Pass", IF(ISNUMBER(SEARCH("Partial",K108)), "Partial", IF(ISNUMBER(SEARCH("Not Applicable",K108)), "N/A", "Fail"))))</f>
        <v/>
      </c>
      <c r="T108">
        <f>IF(Q108="", "", IF(OR(Q108="Fail", Q108="Partial"), "Yes", "No"))</f>
        <v/>
      </c>
      <c r="X108" t="inlineStr">
        <is>
          <t>No</t>
        </is>
      </c>
      <c r="AB108" t="inlineStr">
        <is>
          <t>[Security Analyst]</t>
        </is>
      </c>
      <c r="AE108" s="21">
        <f>IF(AA108&lt;&gt;"", AA108+90, "")</f>
        <v/>
      </c>
    </row>
    <row r="109">
      <c r="A109">
        <f>IF(B109&lt;&gt;"", "HC-"&amp;TEXT(ROW()-1,"00000"), "")</f>
        <v/>
      </c>
      <c r="Q109">
        <f>IF(K109="", "", IF(ISNUMBER(SEARCH("Implemented",K109)), "Pass", IF(ISNUMBER(SEARCH("Partial",K109)), "Partial", IF(ISNUMBER(SEARCH("Not Applicable",K109)), "N/A", "Fail"))))</f>
        <v/>
      </c>
      <c r="T109">
        <f>IF(Q109="", "", IF(OR(Q109="Fail", Q109="Partial"), "Yes", "No"))</f>
        <v/>
      </c>
      <c r="X109" t="inlineStr">
        <is>
          <t>No</t>
        </is>
      </c>
      <c r="AB109" t="inlineStr">
        <is>
          <t>[Security Analyst]</t>
        </is>
      </c>
      <c r="AE109" s="21">
        <f>IF(AA109&lt;&gt;"", AA109+90, "")</f>
        <v/>
      </c>
    </row>
    <row r="110">
      <c r="A110">
        <f>IF(B110&lt;&gt;"", "HC-"&amp;TEXT(ROW()-1,"00000"), "")</f>
        <v/>
      </c>
      <c r="Q110">
        <f>IF(K110="", "", IF(ISNUMBER(SEARCH("Implemented",K110)), "Pass", IF(ISNUMBER(SEARCH("Partial",K110)), "Partial", IF(ISNUMBER(SEARCH("Not Applicable",K110)), "N/A", "Fail"))))</f>
        <v/>
      </c>
      <c r="T110">
        <f>IF(Q110="", "", IF(OR(Q110="Fail", Q110="Partial"), "Yes", "No"))</f>
        <v/>
      </c>
      <c r="X110" t="inlineStr">
        <is>
          <t>No</t>
        </is>
      </c>
      <c r="AB110" t="inlineStr">
        <is>
          <t>[Security Analyst]</t>
        </is>
      </c>
      <c r="AE110" s="21">
        <f>IF(AA110&lt;&gt;"", AA110+90, "")</f>
        <v/>
      </c>
    </row>
    <row r="111">
      <c r="A111">
        <f>IF(B111&lt;&gt;"", "HC-"&amp;TEXT(ROW()-1,"00000"), "")</f>
        <v/>
      </c>
      <c r="Q111">
        <f>IF(K111="", "", IF(ISNUMBER(SEARCH("Implemented",K111)), "Pass", IF(ISNUMBER(SEARCH("Partial",K111)), "Partial", IF(ISNUMBER(SEARCH("Not Applicable",K111)), "N/A", "Fail"))))</f>
        <v/>
      </c>
      <c r="T111">
        <f>IF(Q111="", "", IF(OR(Q111="Fail", Q111="Partial"), "Yes", "No"))</f>
        <v/>
      </c>
      <c r="X111" t="inlineStr">
        <is>
          <t>No</t>
        </is>
      </c>
      <c r="AB111" t="inlineStr">
        <is>
          <t>[Security Analyst]</t>
        </is>
      </c>
      <c r="AE111" s="21">
        <f>IF(AA111&lt;&gt;"", AA111+90, "")</f>
        <v/>
      </c>
    </row>
    <row r="112">
      <c r="A112">
        <f>IF(B112&lt;&gt;"", "HC-"&amp;TEXT(ROW()-1,"00000"), "")</f>
        <v/>
      </c>
      <c r="Q112">
        <f>IF(K112="", "", IF(ISNUMBER(SEARCH("Implemented",K112)), "Pass", IF(ISNUMBER(SEARCH("Partial",K112)), "Partial", IF(ISNUMBER(SEARCH("Not Applicable",K112)), "N/A", "Fail"))))</f>
        <v/>
      </c>
      <c r="T112">
        <f>IF(Q112="", "", IF(OR(Q112="Fail", Q112="Partial"), "Yes", "No"))</f>
        <v/>
      </c>
      <c r="X112" t="inlineStr">
        <is>
          <t>No</t>
        </is>
      </c>
      <c r="AB112" t="inlineStr">
        <is>
          <t>[Security Analyst]</t>
        </is>
      </c>
      <c r="AE112" s="21">
        <f>IF(AA112&lt;&gt;"", AA112+90, "")</f>
        <v/>
      </c>
    </row>
    <row r="113">
      <c r="A113">
        <f>IF(B113&lt;&gt;"", "HC-"&amp;TEXT(ROW()-1,"00000"), "")</f>
        <v/>
      </c>
      <c r="Q113">
        <f>IF(K113="", "", IF(ISNUMBER(SEARCH("Implemented",K113)), "Pass", IF(ISNUMBER(SEARCH("Partial",K113)), "Partial", IF(ISNUMBER(SEARCH("Not Applicable",K113)), "N/A", "Fail"))))</f>
        <v/>
      </c>
      <c r="T113">
        <f>IF(Q113="", "", IF(OR(Q113="Fail", Q113="Partial"), "Yes", "No"))</f>
        <v/>
      </c>
      <c r="X113" t="inlineStr">
        <is>
          <t>No</t>
        </is>
      </c>
      <c r="AB113" t="inlineStr">
        <is>
          <t>[Security Analyst]</t>
        </is>
      </c>
      <c r="AE113" s="21">
        <f>IF(AA113&lt;&gt;"", AA113+90, "")</f>
        <v/>
      </c>
    </row>
    <row r="114">
      <c r="A114">
        <f>IF(B114&lt;&gt;"", "HC-"&amp;TEXT(ROW()-1,"00000"), "")</f>
        <v/>
      </c>
      <c r="Q114">
        <f>IF(K114="", "", IF(ISNUMBER(SEARCH("Implemented",K114)), "Pass", IF(ISNUMBER(SEARCH("Partial",K114)), "Partial", IF(ISNUMBER(SEARCH("Not Applicable",K114)), "N/A", "Fail"))))</f>
        <v/>
      </c>
      <c r="T114">
        <f>IF(Q114="", "", IF(OR(Q114="Fail", Q114="Partial"), "Yes", "No"))</f>
        <v/>
      </c>
      <c r="X114" t="inlineStr">
        <is>
          <t>No</t>
        </is>
      </c>
      <c r="AB114" t="inlineStr">
        <is>
          <t>[Security Analyst]</t>
        </is>
      </c>
      <c r="AE114" s="21">
        <f>IF(AA114&lt;&gt;"", AA114+90, "")</f>
        <v/>
      </c>
    </row>
    <row r="115">
      <c r="A115">
        <f>IF(B115&lt;&gt;"", "HC-"&amp;TEXT(ROW()-1,"00000"), "")</f>
        <v/>
      </c>
      <c r="Q115">
        <f>IF(K115="", "", IF(ISNUMBER(SEARCH("Implemented",K115)), "Pass", IF(ISNUMBER(SEARCH("Partial",K115)), "Partial", IF(ISNUMBER(SEARCH("Not Applicable",K115)), "N/A", "Fail"))))</f>
        <v/>
      </c>
      <c r="T115">
        <f>IF(Q115="", "", IF(OR(Q115="Fail", Q115="Partial"), "Yes", "No"))</f>
        <v/>
      </c>
      <c r="X115" t="inlineStr">
        <is>
          <t>No</t>
        </is>
      </c>
      <c r="AB115" t="inlineStr">
        <is>
          <t>[Security Analyst]</t>
        </is>
      </c>
      <c r="AE115" s="21">
        <f>IF(AA115&lt;&gt;"", AA115+90, "")</f>
        <v/>
      </c>
    </row>
    <row r="116">
      <c r="A116">
        <f>IF(B116&lt;&gt;"", "HC-"&amp;TEXT(ROW()-1,"00000"), "")</f>
        <v/>
      </c>
      <c r="Q116">
        <f>IF(K116="", "", IF(ISNUMBER(SEARCH("Implemented",K116)), "Pass", IF(ISNUMBER(SEARCH("Partial",K116)), "Partial", IF(ISNUMBER(SEARCH("Not Applicable",K116)), "N/A", "Fail"))))</f>
        <v/>
      </c>
      <c r="T116">
        <f>IF(Q116="", "", IF(OR(Q116="Fail", Q116="Partial"), "Yes", "No"))</f>
        <v/>
      </c>
      <c r="X116" t="inlineStr">
        <is>
          <t>No</t>
        </is>
      </c>
      <c r="AB116" t="inlineStr">
        <is>
          <t>[Security Analyst]</t>
        </is>
      </c>
      <c r="AE116" s="21">
        <f>IF(AA116&lt;&gt;"", AA116+90, "")</f>
        <v/>
      </c>
    </row>
    <row r="117">
      <c r="A117">
        <f>IF(B117&lt;&gt;"", "HC-"&amp;TEXT(ROW()-1,"00000"), "")</f>
        <v/>
      </c>
      <c r="Q117">
        <f>IF(K117="", "", IF(ISNUMBER(SEARCH("Implemented",K117)), "Pass", IF(ISNUMBER(SEARCH("Partial",K117)), "Partial", IF(ISNUMBER(SEARCH("Not Applicable",K117)), "N/A", "Fail"))))</f>
        <v/>
      </c>
      <c r="T117">
        <f>IF(Q117="", "", IF(OR(Q117="Fail", Q117="Partial"), "Yes", "No"))</f>
        <v/>
      </c>
      <c r="X117" t="inlineStr">
        <is>
          <t>No</t>
        </is>
      </c>
      <c r="AB117" t="inlineStr">
        <is>
          <t>[Security Analyst]</t>
        </is>
      </c>
      <c r="AE117" s="21">
        <f>IF(AA117&lt;&gt;"", AA117+90, "")</f>
        <v/>
      </c>
    </row>
    <row r="118">
      <c r="A118">
        <f>IF(B118&lt;&gt;"", "HC-"&amp;TEXT(ROW()-1,"00000"), "")</f>
        <v/>
      </c>
      <c r="Q118">
        <f>IF(K118="", "", IF(ISNUMBER(SEARCH("Implemented",K118)), "Pass", IF(ISNUMBER(SEARCH("Partial",K118)), "Partial", IF(ISNUMBER(SEARCH("Not Applicable",K118)), "N/A", "Fail"))))</f>
        <v/>
      </c>
      <c r="T118">
        <f>IF(Q118="", "", IF(OR(Q118="Fail", Q118="Partial"), "Yes", "No"))</f>
        <v/>
      </c>
      <c r="X118" t="inlineStr">
        <is>
          <t>No</t>
        </is>
      </c>
      <c r="AB118" t="inlineStr">
        <is>
          <t>[Security Analyst]</t>
        </is>
      </c>
      <c r="AE118" s="21">
        <f>IF(AA118&lt;&gt;"", AA118+90, "")</f>
        <v/>
      </c>
    </row>
    <row r="119">
      <c r="A119">
        <f>IF(B119&lt;&gt;"", "HC-"&amp;TEXT(ROW()-1,"00000"), "")</f>
        <v/>
      </c>
      <c r="Q119">
        <f>IF(K119="", "", IF(ISNUMBER(SEARCH("Implemented",K119)), "Pass", IF(ISNUMBER(SEARCH("Partial",K119)), "Partial", IF(ISNUMBER(SEARCH("Not Applicable",K119)), "N/A", "Fail"))))</f>
        <v/>
      </c>
      <c r="T119">
        <f>IF(Q119="", "", IF(OR(Q119="Fail", Q119="Partial"), "Yes", "No"))</f>
        <v/>
      </c>
      <c r="X119" t="inlineStr">
        <is>
          <t>No</t>
        </is>
      </c>
      <c r="AB119" t="inlineStr">
        <is>
          <t>[Security Analyst]</t>
        </is>
      </c>
      <c r="AE119" s="21">
        <f>IF(AA119&lt;&gt;"", AA119+90, "")</f>
        <v/>
      </c>
    </row>
    <row r="120">
      <c r="A120">
        <f>IF(B120&lt;&gt;"", "HC-"&amp;TEXT(ROW()-1,"00000"), "")</f>
        <v/>
      </c>
      <c r="Q120">
        <f>IF(K120="", "", IF(ISNUMBER(SEARCH("Implemented",K120)), "Pass", IF(ISNUMBER(SEARCH("Partial",K120)), "Partial", IF(ISNUMBER(SEARCH("Not Applicable",K120)), "N/A", "Fail"))))</f>
        <v/>
      </c>
      <c r="T120">
        <f>IF(Q120="", "", IF(OR(Q120="Fail", Q120="Partial"), "Yes", "No"))</f>
        <v/>
      </c>
      <c r="X120" t="inlineStr">
        <is>
          <t>No</t>
        </is>
      </c>
      <c r="AB120" t="inlineStr">
        <is>
          <t>[Security Analyst]</t>
        </is>
      </c>
      <c r="AE120" s="21">
        <f>IF(AA120&lt;&gt;"", AA120+90, "")</f>
        <v/>
      </c>
    </row>
    <row r="121">
      <c r="A121">
        <f>IF(B121&lt;&gt;"", "HC-"&amp;TEXT(ROW()-1,"00000"), "")</f>
        <v/>
      </c>
      <c r="Q121">
        <f>IF(K121="", "", IF(ISNUMBER(SEARCH("Implemented",K121)), "Pass", IF(ISNUMBER(SEARCH("Partial",K121)), "Partial", IF(ISNUMBER(SEARCH("Not Applicable",K121)), "N/A", "Fail"))))</f>
        <v/>
      </c>
      <c r="T121">
        <f>IF(Q121="", "", IF(OR(Q121="Fail", Q121="Partial"), "Yes", "No"))</f>
        <v/>
      </c>
      <c r="X121" t="inlineStr">
        <is>
          <t>No</t>
        </is>
      </c>
      <c r="AB121" t="inlineStr">
        <is>
          <t>[Security Analyst]</t>
        </is>
      </c>
      <c r="AE121" s="21">
        <f>IF(AA121&lt;&gt;"", AA121+90, "")</f>
        <v/>
      </c>
    </row>
    <row r="122">
      <c r="A122">
        <f>IF(B122&lt;&gt;"", "HC-"&amp;TEXT(ROW()-1,"00000"), "")</f>
        <v/>
      </c>
      <c r="Q122">
        <f>IF(K122="", "", IF(ISNUMBER(SEARCH("Implemented",K122)), "Pass", IF(ISNUMBER(SEARCH("Partial",K122)), "Partial", IF(ISNUMBER(SEARCH("Not Applicable",K122)), "N/A", "Fail"))))</f>
        <v/>
      </c>
      <c r="T122">
        <f>IF(Q122="", "", IF(OR(Q122="Fail", Q122="Partial"), "Yes", "No"))</f>
        <v/>
      </c>
      <c r="X122" t="inlineStr">
        <is>
          <t>No</t>
        </is>
      </c>
      <c r="AB122" t="inlineStr">
        <is>
          <t>[Security Analyst]</t>
        </is>
      </c>
      <c r="AE122" s="21">
        <f>IF(AA122&lt;&gt;"", AA122+90, "")</f>
        <v/>
      </c>
    </row>
    <row r="123">
      <c r="A123">
        <f>IF(B123&lt;&gt;"", "HC-"&amp;TEXT(ROW()-1,"00000"), "")</f>
        <v/>
      </c>
      <c r="Q123">
        <f>IF(K123="", "", IF(ISNUMBER(SEARCH("Implemented",K123)), "Pass", IF(ISNUMBER(SEARCH("Partial",K123)), "Partial", IF(ISNUMBER(SEARCH("Not Applicable",K123)), "N/A", "Fail"))))</f>
        <v/>
      </c>
      <c r="T123">
        <f>IF(Q123="", "", IF(OR(Q123="Fail", Q123="Partial"), "Yes", "No"))</f>
        <v/>
      </c>
      <c r="X123" t="inlineStr">
        <is>
          <t>No</t>
        </is>
      </c>
      <c r="AB123" t="inlineStr">
        <is>
          <t>[Security Analyst]</t>
        </is>
      </c>
      <c r="AE123" s="21">
        <f>IF(AA123&lt;&gt;"", AA123+90, "")</f>
        <v/>
      </c>
    </row>
    <row r="124">
      <c r="A124">
        <f>IF(B124&lt;&gt;"", "HC-"&amp;TEXT(ROW()-1,"00000"), "")</f>
        <v/>
      </c>
      <c r="Q124">
        <f>IF(K124="", "", IF(ISNUMBER(SEARCH("Implemented",K124)), "Pass", IF(ISNUMBER(SEARCH("Partial",K124)), "Partial", IF(ISNUMBER(SEARCH("Not Applicable",K124)), "N/A", "Fail"))))</f>
        <v/>
      </c>
      <c r="T124">
        <f>IF(Q124="", "", IF(OR(Q124="Fail", Q124="Partial"), "Yes", "No"))</f>
        <v/>
      </c>
      <c r="X124" t="inlineStr">
        <is>
          <t>No</t>
        </is>
      </c>
      <c r="AB124" t="inlineStr">
        <is>
          <t>[Security Analyst]</t>
        </is>
      </c>
      <c r="AE124" s="21">
        <f>IF(AA124&lt;&gt;"", AA124+90, "")</f>
        <v/>
      </c>
    </row>
    <row r="125">
      <c r="A125">
        <f>IF(B125&lt;&gt;"", "HC-"&amp;TEXT(ROW()-1,"00000"), "")</f>
        <v/>
      </c>
      <c r="Q125">
        <f>IF(K125="", "", IF(ISNUMBER(SEARCH("Implemented",K125)), "Pass", IF(ISNUMBER(SEARCH("Partial",K125)), "Partial", IF(ISNUMBER(SEARCH("Not Applicable",K125)), "N/A", "Fail"))))</f>
        <v/>
      </c>
      <c r="T125">
        <f>IF(Q125="", "", IF(OR(Q125="Fail", Q125="Partial"), "Yes", "No"))</f>
        <v/>
      </c>
      <c r="X125" t="inlineStr">
        <is>
          <t>No</t>
        </is>
      </c>
      <c r="AB125" t="inlineStr">
        <is>
          <t>[Security Analyst]</t>
        </is>
      </c>
      <c r="AE125" s="21">
        <f>IF(AA125&lt;&gt;"", AA125+90, "")</f>
        <v/>
      </c>
    </row>
    <row r="126">
      <c r="A126">
        <f>IF(B126&lt;&gt;"", "HC-"&amp;TEXT(ROW()-1,"00000"), "")</f>
        <v/>
      </c>
      <c r="Q126">
        <f>IF(K126="", "", IF(ISNUMBER(SEARCH("Implemented",K126)), "Pass", IF(ISNUMBER(SEARCH("Partial",K126)), "Partial", IF(ISNUMBER(SEARCH("Not Applicable",K126)), "N/A", "Fail"))))</f>
        <v/>
      </c>
      <c r="T126">
        <f>IF(Q126="", "", IF(OR(Q126="Fail", Q126="Partial"), "Yes", "No"))</f>
        <v/>
      </c>
      <c r="X126" t="inlineStr">
        <is>
          <t>No</t>
        </is>
      </c>
      <c r="AB126" t="inlineStr">
        <is>
          <t>[Security Analyst]</t>
        </is>
      </c>
      <c r="AE126" s="21">
        <f>IF(AA126&lt;&gt;"", AA126+90, "")</f>
        <v/>
      </c>
    </row>
    <row r="127">
      <c r="A127">
        <f>IF(B127&lt;&gt;"", "HC-"&amp;TEXT(ROW()-1,"00000"), "")</f>
        <v/>
      </c>
      <c r="Q127">
        <f>IF(K127="", "", IF(ISNUMBER(SEARCH("Implemented",K127)), "Pass", IF(ISNUMBER(SEARCH("Partial",K127)), "Partial", IF(ISNUMBER(SEARCH("Not Applicable",K127)), "N/A", "Fail"))))</f>
        <v/>
      </c>
      <c r="T127">
        <f>IF(Q127="", "", IF(OR(Q127="Fail", Q127="Partial"), "Yes", "No"))</f>
        <v/>
      </c>
      <c r="X127" t="inlineStr">
        <is>
          <t>No</t>
        </is>
      </c>
      <c r="AB127" t="inlineStr">
        <is>
          <t>[Security Analyst]</t>
        </is>
      </c>
      <c r="AE127" s="21">
        <f>IF(AA127&lt;&gt;"", AA127+90, "")</f>
        <v/>
      </c>
    </row>
    <row r="128">
      <c r="A128">
        <f>IF(B128&lt;&gt;"", "HC-"&amp;TEXT(ROW()-1,"00000"), "")</f>
        <v/>
      </c>
      <c r="Q128">
        <f>IF(K128="", "", IF(ISNUMBER(SEARCH("Implemented",K128)), "Pass", IF(ISNUMBER(SEARCH("Partial",K128)), "Partial", IF(ISNUMBER(SEARCH("Not Applicable",K128)), "N/A", "Fail"))))</f>
        <v/>
      </c>
      <c r="T128">
        <f>IF(Q128="", "", IF(OR(Q128="Fail", Q128="Partial"), "Yes", "No"))</f>
        <v/>
      </c>
      <c r="X128" t="inlineStr">
        <is>
          <t>No</t>
        </is>
      </c>
      <c r="AB128" t="inlineStr">
        <is>
          <t>[Security Analyst]</t>
        </is>
      </c>
      <c r="AE128" s="21">
        <f>IF(AA128&lt;&gt;"", AA128+90, "")</f>
        <v/>
      </c>
    </row>
    <row r="129">
      <c r="A129">
        <f>IF(B129&lt;&gt;"", "HC-"&amp;TEXT(ROW()-1,"00000"), "")</f>
        <v/>
      </c>
      <c r="Q129">
        <f>IF(K129="", "", IF(ISNUMBER(SEARCH("Implemented",K129)), "Pass", IF(ISNUMBER(SEARCH("Partial",K129)), "Partial", IF(ISNUMBER(SEARCH("Not Applicable",K129)), "N/A", "Fail"))))</f>
        <v/>
      </c>
      <c r="T129">
        <f>IF(Q129="", "", IF(OR(Q129="Fail", Q129="Partial"), "Yes", "No"))</f>
        <v/>
      </c>
      <c r="X129" t="inlineStr">
        <is>
          <t>No</t>
        </is>
      </c>
      <c r="AB129" t="inlineStr">
        <is>
          <t>[Security Analyst]</t>
        </is>
      </c>
      <c r="AE129" s="21">
        <f>IF(AA129&lt;&gt;"", AA129+90, "")</f>
        <v/>
      </c>
    </row>
    <row r="130">
      <c r="A130">
        <f>IF(B130&lt;&gt;"", "HC-"&amp;TEXT(ROW()-1,"00000"), "")</f>
        <v/>
      </c>
      <c r="Q130">
        <f>IF(K130="", "", IF(ISNUMBER(SEARCH("Implemented",K130)), "Pass", IF(ISNUMBER(SEARCH("Partial",K130)), "Partial", IF(ISNUMBER(SEARCH("Not Applicable",K130)), "N/A", "Fail"))))</f>
        <v/>
      </c>
      <c r="T130">
        <f>IF(Q130="", "", IF(OR(Q130="Fail", Q130="Partial"), "Yes", "No"))</f>
        <v/>
      </c>
      <c r="X130" t="inlineStr">
        <is>
          <t>No</t>
        </is>
      </c>
      <c r="AB130" t="inlineStr">
        <is>
          <t>[Security Analyst]</t>
        </is>
      </c>
      <c r="AE130" s="21">
        <f>IF(AA130&lt;&gt;"", AA130+90, "")</f>
        <v/>
      </c>
    </row>
    <row r="131">
      <c r="A131">
        <f>IF(B131&lt;&gt;"", "HC-"&amp;TEXT(ROW()-1,"00000"), "")</f>
        <v/>
      </c>
      <c r="Q131">
        <f>IF(K131="", "", IF(ISNUMBER(SEARCH("Implemented",K131)), "Pass", IF(ISNUMBER(SEARCH("Partial",K131)), "Partial", IF(ISNUMBER(SEARCH("Not Applicable",K131)), "N/A", "Fail"))))</f>
        <v/>
      </c>
      <c r="T131">
        <f>IF(Q131="", "", IF(OR(Q131="Fail", Q131="Partial"), "Yes", "No"))</f>
        <v/>
      </c>
      <c r="X131" t="inlineStr">
        <is>
          <t>No</t>
        </is>
      </c>
      <c r="AB131" t="inlineStr">
        <is>
          <t>[Security Analyst]</t>
        </is>
      </c>
      <c r="AE131" s="21">
        <f>IF(AA131&lt;&gt;"", AA131+90, "")</f>
        <v/>
      </c>
    </row>
    <row r="132">
      <c r="A132">
        <f>IF(B132&lt;&gt;"", "HC-"&amp;TEXT(ROW()-1,"00000"), "")</f>
        <v/>
      </c>
      <c r="Q132">
        <f>IF(K132="", "", IF(ISNUMBER(SEARCH("Implemented",K132)), "Pass", IF(ISNUMBER(SEARCH("Partial",K132)), "Partial", IF(ISNUMBER(SEARCH("Not Applicable",K132)), "N/A", "Fail"))))</f>
        <v/>
      </c>
      <c r="T132">
        <f>IF(Q132="", "", IF(OR(Q132="Fail", Q132="Partial"), "Yes", "No"))</f>
        <v/>
      </c>
      <c r="X132" t="inlineStr">
        <is>
          <t>No</t>
        </is>
      </c>
      <c r="AB132" t="inlineStr">
        <is>
          <t>[Security Analyst]</t>
        </is>
      </c>
      <c r="AE132" s="21">
        <f>IF(AA132&lt;&gt;"", AA132+90, "")</f>
        <v/>
      </c>
    </row>
    <row r="133">
      <c r="A133">
        <f>IF(B133&lt;&gt;"", "HC-"&amp;TEXT(ROW()-1,"00000"), "")</f>
        <v/>
      </c>
      <c r="Q133">
        <f>IF(K133="", "", IF(ISNUMBER(SEARCH("Implemented",K133)), "Pass", IF(ISNUMBER(SEARCH("Partial",K133)), "Partial", IF(ISNUMBER(SEARCH("Not Applicable",K133)), "N/A", "Fail"))))</f>
        <v/>
      </c>
      <c r="T133">
        <f>IF(Q133="", "", IF(OR(Q133="Fail", Q133="Partial"), "Yes", "No"))</f>
        <v/>
      </c>
      <c r="X133" t="inlineStr">
        <is>
          <t>No</t>
        </is>
      </c>
      <c r="AB133" t="inlineStr">
        <is>
          <t>[Security Analyst]</t>
        </is>
      </c>
      <c r="AE133" s="21">
        <f>IF(AA133&lt;&gt;"", AA133+90, "")</f>
        <v/>
      </c>
    </row>
    <row r="134">
      <c r="A134">
        <f>IF(B134&lt;&gt;"", "HC-"&amp;TEXT(ROW()-1,"00000"), "")</f>
        <v/>
      </c>
      <c r="Q134">
        <f>IF(K134="", "", IF(ISNUMBER(SEARCH("Implemented",K134)), "Pass", IF(ISNUMBER(SEARCH("Partial",K134)), "Partial", IF(ISNUMBER(SEARCH("Not Applicable",K134)), "N/A", "Fail"))))</f>
        <v/>
      </c>
      <c r="T134">
        <f>IF(Q134="", "", IF(OR(Q134="Fail", Q134="Partial"), "Yes", "No"))</f>
        <v/>
      </c>
      <c r="X134" t="inlineStr">
        <is>
          <t>No</t>
        </is>
      </c>
      <c r="AB134" t="inlineStr">
        <is>
          <t>[Security Analyst]</t>
        </is>
      </c>
      <c r="AE134" s="21">
        <f>IF(AA134&lt;&gt;"", AA134+90, "")</f>
        <v/>
      </c>
    </row>
    <row r="135">
      <c r="A135">
        <f>IF(B135&lt;&gt;"", "HC-"&amp;TEXT(ROW()-1,"00000"), "")</f>
        <v/>
      </c>
      <c r="Q135">
        <f>IF(K135="", "", IF(ISNUMBER(SEARCH("Implemented",K135)), "Pass", IF(ISNUMBER(SEARCH("Partial",K135)), "Partial", IF(ISNUMBER(SEARCH("Not Applicable",K135)), "N/A", "Fail"))))</f>
        <v/>
      </c>
      <c r="T135">
        <f>IF(Q135="", "", IF(OR(Q135="Fail", Q135="Partial"), "Yes", "No"))</f>
        <v/>
      </c>
      <c r="X135" t="inlineStr">
        <is>
          <t>No</t>
        </is>
      </c>
      <c r="AB135" t="inlineStr">
        <is>
          <t>[Security Analyst]</t>
        </is>
      </c>
      <c r="AE135" s="21">
        <f>IF(AA135&lt;&gt;"", AA135+90, "")</f>
        <v/>
      </c>
    </row>
    <row r="136">
      <c r="A136">
        <f>IF(B136&lt;&gt;"", "HC-"&amp;TEXT(ROW()-1,"00000"), "")</f>
        <v/>
      </c>
      <c r="Q136">
        <f>IF(K136="", "", IF(ISNUMBER(SEARCH("Implemented",K136)), "Pass", IF(ISNUMBER(SEARCH("Partial",K136)), "Partial", IF(ISNUMBER(SEARCH("Not Applicable",K136)), "N/A", "Fail"))))</f>
        <v/>
      </c>
      <c r="T136">
        <f>IF(Q136="", "", IF(OR(Q136="Fail", Q136="Partial"), "Yes", "No"))</f>
        <v/>
      </c>
      <c r="X136" t="inlineStr">
        <is>
          <t>No</t>
        </is>
      </c>
      <c r="AB136" t="inlineStr">
        <is>
          <t>[Security Analyst]</t>
        </is>
      </c>
      <c r="AE136" s="21">
        <f>IF(AA136&lt;&gt;"", AA136+90, "")</f>
        <v/>
      </c>
    </row>
    <row r="137">
      <c r="A137">
        <f>IF(B137&lt;&gt;"", "HC-"&amp;TEXT(ROW()-1,"00000"), "")</f>
        <v/>
      </c>
      <c r="Q137">
        <f>IF(K137="", "", IF(ISNUMBER(SEARCH("Implemented",K137)), "Pass", IF(ISNUMBER(SEARCH("Partial",K137)), "Partial", IF(ISNUMBER(SEARCH("Not Applicable",K137)), "N/A", "Fail"))))</f>
        <v/>
      </c>
      <c r="T137">
        <f>IF(Q137="", "", IF(OR(Q137="Fail", Q137="Partial"), "Yes", "No"))</f>
        <v/>
      </c>
      <c r="X137" t="inlineStr">
        <is>
          <t>No</t>
        </is>
      </c>
      <c r="AB137" t="inlineStr">
        <is>
          <t>[Security Analyst]</t>
        </is>
      </c>
      <c r="AE137" s="21">
        <f>IF(AA137&lt;&gt;"", AA137+90, "")</f>
        <v/>
      </c>
    </row>
    <row r="138">
      <c r="A138">
        <f>IF(B138&lt;&gt;"", "HC-"&amp;TEXT(ROW()-1,"00000"), "")</f>
        <v/>
      </c>
      <c r="Q138">
        <f>IF(K138="", "", IF(ISNUMBER(SEARCH("Implemented",K138)), "Pass", IF(ISNUMBER(SEARCH("Partial",K138)), "Partial", IF(ISNUMBER(SEARCH("Not Applicable",K138)), "N/A", "Fail"))))</f>
        <v/>
      </c>
      <c r="T138">
        <f>IF(Q138="", "", IF(OR(Q138="Fail", Q138="Partial"), "Yes", "No"))</f>
        <v/>
      </c>
      <c r="X138" t="inlineStr">
        <is>
          <t>No</t>
        </is>
      </c>
      <c r="AB138" t="inlineStr">
        <is>
          <t>[Security Analyst]</t>
        </is>
      </c>
      <c r="AE138" s="21">
        <f>IF(AA138&lt;&gt;"", AA138+90, "")</f>
        <v/>
      </c>
    </row>
    <row r="139">
      <c r="A139">
        <f>IF(B139&lt;&gt;"", "HC-"&amp;TEXT(ROW()-1,"00000"), "")</f>
        <v/>
      </c>
      <c r="Q139">
        <f>IF(K139="", "", IF(ISNUMBER(SEARCH("Implemented",K139)), "Pass", IF(ISNUMBER(SEARCH("Partial",K139)), "Partial", IF(ISNUMBER(SEARCH("Not Applicable",K139)), "N/A", "Fail"))))</f>
        <v/>
      </c>
      <c r="T139">
        <f>IF(Q139="", "", IF(OR(Q139="Fail", Q139="Partial"), "Yes", "No"))</f>
        <v/>
      </c>
      <c r="X139" t="inlineStr">
        <is>
          <t>No</t>
        </is>
      </c>
      <c r="AB139" t="inlineStr">
        <is>
          <t>[Security Analyst]</t>
        </is>
      </c>
      <c r="AE139" s="21">
        <f>IF(AA139&lt;&gt;"", AA139+90, "")</f>
        <v/>
      </c>
    </row>
    <row r="140">
      <c r="A140">
        <f>IF(B140&lt;&gt;"", "HC-"&amp;TEXT(ROW()-1,"00000"), "")</f>
        <v/>
      </c>
      <c r="Q140">
        <f>IF(K140="", "", IF(ISNUMBER(SEARCH("Implemented",K140)), "Pass", IF(ISNUMBER(SEARCH("Partial",K140)), "Partial", IF(ISNUMBER(SEARCH("Not Applicable",K140)), "N/A", "Fail"))))</f>
        <v/>
      </c>
      <c r="T140">
        <f>IF(Q140="", "", IF(OR(Q140="Fail", Q140="Partial"), "Yes", "No"))</f>
        <v/>
      </c>
      <c r="X140" t="inlineStr">
        <is>
          <t>No</t>
        </is>
      </c>
      <c r="AB140" t="inlineStr">
        <is>
          <t>[Security Analyst]</t>
        </is>
      </c>
      <c r="AE140" s="21">
        <f>IF(AA140&lt;&gt;"", AA140+90, "")</f>
        <v/>
      </c>
    </row>
    <row r="141">
      <c r="A141">
        <f>IF(B141&lt;&gt;"", "HC-"&amp;TEXT(ROW()-1,"00000"), "")</f>
        <v/>
      </c>
      <c r="Q141">
        <f>IF(K141="", "", IF(ISNUMBER(SEARCH("Implemented",K141)), "Pass", IF(ISNUMBER(SEARCH("Partial",K141)), "Partial", IF(ISNUMBER(SEARCH("Not Applicable",K141)), "N/A", "Fail"))))</f>
        <v/>
      </c>
      <c r="T141">
        <f>IF(Q141="", "", IF(OR(Q141="Fail", Q141="Partial"), "Yes", "No"))</f>
        <v/>
      </c>
      <c r="X141" t="inlineStr">
        <is>
          <t>No</t>
        </is>
      </c>
      <c r="AB141" t="inlineStr">
        <is>
          <t>[Security Analyst]</t>
        </is>
      </c>
      <c r="AE141" s="21">
        <f>IF(AA141&lt;&gt;"", AA141+90, "")</f>
        <v/>
      </c>
    </row>
    <row r="142">
      <c r="A142">
        <f>IF(B142&lt;&gt;"", "HC-"&amp;TEXT(ROW()-1,"00000"), "")</f>
        <v/>
      </c>
      <c r="Q142">
        <f>IF(K142="", "", IF(ISNUMBER(SEARCH("Implemented",K142)), "Pass", IF(ISNUMBER(SEARCH("Partial",K142)), "Partial", IF(ISNUMBER(SEARCH("Not Applicable",K142)), "N/A", "Fail"))))</f>
        <v/>
      </c>
      <c r="T142">
        <f>IF(Q142="", "", IF(OR(Q142="Fail", Q142="Partial"), "Yes", "No"))</f>
        <v/>
      </c>
      <c r="X142" t="inlineStr">
        <is>
          <t>No</t>
        </is>
      </c>
      <c r="AB142" t="inlineStr">
        <is>
          <t>[Security Analyst]</t>
        </is>
      </c>
      <c r="AE142" s="21">
        <f>IF(AA142&lt;&gt;"", AA142+90, "")</f>
        <v/>
      </c>
    </row>
    <row r="143">
      <c r="A143">
        <f>IF(B143&lt;&gt;"", "HC-"&amp;TEXT(ROW()-1,"00000"), "")</f>
        <v/>
      </c>
      <c r="Q143">
        <f>IF(K143="", "", IF(ISNUMBER(SEARCH("Implemented",K143)), "Pass", IF(ISNUMBER(SEARCH("Partial",K143)), "Partial", IF(ISNUMBER(SEARCH("Not Applicable",K143)), "N/A", "Fail"))))</f>
        <v/>
      </c>
      <c r="T143">
        <f>IF(Q143="", "", IF(OR(Q143="Fail", Q143="Partial"), "Yes", "No"))</f>
        <v/>
      </c>
      <c r="X143" t="inlineStr">
        <is>
          <t>No</t>
        </is>
      </c>
      <c r="AB143" t="inlineStr">
        <is>
          <t>[Security Analyst]</t>
        </is>
      </c>
      <c r="AE143" s="21">
        <f>IF(AA143&lt;&gt;"", AA143+90, "")</f>
        <v/>
      </c>
    </row>
    <row r="144">
      <c r="A144">
        <f>IF(B144&lt;&gt;"", "HC-"&amp;TEXT(ROW()-1,"00000"), "")</f>
        <v/>
      </c>
      <c r="Q144">
        <f>IF(K144="", "", IF(ISNUMBER(SEARCH("Implemented",K144)), "Pass", IF(ISNUMBER(SEARCH("Partial",K144)), "Partial", IF(ISNUMBER(SEARCH("Not Applicable",K144)), "N/A", "Fail"))))</f>
        <v/>
      </c>
      <c r="T144">
        <f>IF(Q144="", "", IF(OR(Q144="Fail", Q144="Partial"), "Yes", "No"))</f>
        <v/>
      </c>
      <c r="X144" t="inlineStr">
        <is>
          <t>No</t>
        </is>
      </c>
      <c r="AB144" t="inlineStr">
        <is>
          <t>[Security Analyst]</t>
        </is>
      </c>
      <c r="AE144" s="21">
        <f>IF(AA144&lt;&gt;"", AA144+90, "")</f>
        <v/>
      </c>
    </row>
    <row r="145">
      <c r="A145">
        <f>IF(B145&lt;&gt;"", "HC-"&amp;TEXT(ROW()-1,"00000"), "")</f>
        <v/>
      </c>
      <c r="Q145">
        <f>IF(K145="", "", IF(ISNUMBER(SEARCH("Implemented",K145)), "Pass", IF(ISNUMBER(SEARCH("Partial",K145)), "Partial", IF(ISNUMBER(SEARCH("Not Applicable",K145)), "N/A", "Fail"))))</f>
        <v/>
      </c>
      <c r="T145">
        <f>IF(Q145="", "", IF(OR(Q145="Fail", Q145="Partial"), "Yes", "No"))</f>
        <v/>
      </c>
      <c r="X145" t="inlineStr">
        <is>
          <t>No</t>
        </is>
      </c>
      <c r="AB145" t="inlineStr">
        <is>
          <t>[Security Analyst]</t>
        </is>
      </c>
      <c r="AE145" s="21">
        <f>IF(AA145&lt;&gt;"", AA145+90, "")</f>
        <v/>
      </c>
    </row>
    <row r="146">
      <c r="A146">
        <f>IF(B146&lt;&gt;"", "HC-"&amp;TEXT(ROW()-1,"00000"), "")</f>
        <v/>
      </c>
      <c r="Q146">
        <f>IF(K146="", "", IF(ISNUMBER(SEARCH("Implemented",K146)), "Pass", IF(ISNUMBER(SEARCH("Partial",K146)), "Partial", IF(ISNUMBER(SEARCH("Not Applicable",K146)), "N/A", "Fail"))))</f>
        <v/>
      </c>
      <c r="T146">
        <f>IF(Q146="", "", IF(OR(Q146="Fail", Q146="Partial"), "Yes", "No"))</f>
        <v/>
      </c>
      <c r="X146" t="inlineStr">
        <is>
          <t>No</t>
        </is>
      </c>
      <c r="AB146" t="inlineStr">
        <is>
          <t>[Security Analyst]</t>
        </is>
      </c>
      <c r="AE146" s="21">
        <f>IF(AA146&lt;&gt;"", AA146+90, "")</f>
        <v/>
      </c>
    </row>
    <row r="147">
      <c r="A147">
        <f>IF(B147&lt;&gt;"", "HC-"&amp;TEXT(ROW()-1,"00000"), "")</f>
        <v/>
      </c>
      <c r="Q147">
        <f>IF(K147="", "", IF(ISNUMBER(SEARCH("Implemented",K147)), "Pass", IF(ISNUMBER(SEARCH("Partial",K147)), "Partial", IF(ISNUMBER(SEARCH("Not Applicable",K147)), "N/A", "Fail"))))</f>
        <v/>
      </c>
      <c r="T147">
        <f>IF(Q147="", "", IF(OR(Q147="Fail", Q147="Partial"), "Yes", "No"))</f>
        <v/>
      </c>
      <c r="X147" t="inlineStr">
        <is>
          <t>No</t>
        </is>
      </c>
      <c r="AB147" t="inlineStr">
        <is>
          <t>[Security Analyst]</t>
        </is>
      </c>
      <c r="AE147" s="21">
        <f>IF(AA147&lt;&gt;"", AA147+90, "")</f>
        <v/>
      </c>
    </row>
    <row r="148">
      <c r="A148">
        <f>IF(B148&lt;&gt;"", "HC-"&amp;TEXT(ROW()-1,"00000"), "")</f>
        <v/>
      </c>
      <c r="Q148">
        <f>IF(K148="", "", IF(ISNUMBER(SEARCH("Implemented",K148)), "Pass", IF(ISNUMBER(SEARCH("Partial",K148)), "Partial", IF(ISNUMBER(SEARCH("Not Applicable",K148)), "N/A", "Fail"))))</f>
        <v/>
      </c>
      <c r="T148">
        <f>IF(Q148="", "", IF(OR(Q148="Fail", Q148="Partial"), "Yes", "No"))</f>
        <v/>
      </c>
      <c r="X148" t="inlineStr">
        <is>
          <t>No</t>
        </is>
      </c>
      <c r="AB148" t="inlineStr">
        <is>
          <t>[Security Analyst]</t>
        </is>
      </c>
      <c r="AE148" s="21">
        <f>IF(AA148&lt;&gt;"", AA148+90, "")</f>
        <v/>
      </c>
    </row>
    <row r="149">
      <c r="A149">
        <f>IF(B149&lt;&gt;"", "HC-"&amp;TEXT(ROW()-1,"00000"), "")</f>
        <v/>
      </c>
      <c r="Q149">
        <f>IF(K149="", "", IF(ISNUMBER(SEARCH("Implemented",K149)), "Pass", IF(ISNUMBER(SEARCH("Partial",K149)), "Partial", IF(ISNUMBER(SEARCH("Not Applicable",K149)), "N/A", "Fail"))))</f>
        <v/>
      </c>
      <c r="T149">
        <f>IF(Q149="", "", IF(OR(Q149="Fail", Q149="Partial"), "Yes", "No"))</f>
        <v/>
      </c>
      <c r="X149" t="inlineStr">
        <is>
          <t>No</t>
        </is>
      </c>
      <c r="AB149" t="inlineStr">
        <is>
          <t>[Security Analyst]</t>
        </is>
      </c>
      <c r="AE149" s="21">
        <f>IF(AA149&lt;&gt;"", AA149+90, "")</f>
        <v/>
      </c>
    </row>
    <row r="150">
      <c r="A150">
        <f>IF(B150&lt;&gt;"", "HC-"&amp;TEXT(ROW()-1,"00000"), "")</f>
        <v/>
      </c>
      <c r="Q150">
        <f>IF(K150="", "", IF(ISNUMBER(SEARCH("Implemented",K150)), "Pass", IF(ISNUMBER(SEARCH("Partial",K150)), "Partial", IF(ISNUMBER(SEARCH("Not Applicable",K150)), "N/A", "Fail"))))</f>
        <v/>
      </c>
      <c r="T150">
        <f>IF(Q150="", "", IF(OR(Q150="Fail", Q150="Partial"), "Yes", "No"))</f>
        <v/>
      </c>
      <c r="X150" t="inlineStr">
        <is>
          <t>No</t>
        </is>
      </c>
      <c r="AB150" t="inlineStr">
        <is>
          <t>[Security Analyst]</t>
        </is>
      </c>
      <c r="AE150" s="21">
        <f>IF(AA150&lt;&gt;"", AA150+90, "")</f>
        <v/>
      </c>
    </row>
    <row r="151">
      <c r="A151">
        <f>IF(B151&lt;&gt;"", "HC-"&amp;TEXT(ROW()-1,"00000"), "")</f>
        <v/>
      </c>
      <c r="Q151">
        <f>IF(K151="", "", IF(ISNUMBER(SEARCH("Implemented",K151)), "Pass", IF(ISNUMBER(SEARCH("Partial",K151)), "Partial", IF(ISNUMBER(SEARCH("Not Applicable",K151)), "N/A", "Fail"))))</f>
        <v/>
      </c>
      <c r="T151">
        <f>IF(Q151="", "", IF(OR(Q151="Fail", Q151="Partial"), "Yes", "No"))</f>
        <v/>
      </c>
      <c r="X151" t="inlineStr">
        <is>
          <t>No</t>
        </is>
      </c>
      <c r="AB151" t="inlineStr">
        <is>
          <t>[Security Analyst]</t>
        </is>
      </c>
      <c r="AE151" s="21">
        <f>IF(AA151&lt;&gt;"", AA151+90, "")</f>
        <v/>
      </c>
    </row>
    <row r="152">
      <c r="A152">
        <f>IF(B152&lt;&gt;"", "HC-"&amp;TEXT(ROW()-1,"00000"), "")</f>
        <v/>
      </c>
      <c r="Q152">
        <f>IF(K152="", "", IF(ISNUMBER(SEARCH("Implemented",K152)), "Pass", IF(ISNUMBER(SEARCH("Partial",K152)), "Partial", IF(ISNUMBER(SEARCH("Not Applicable",K152)), "N/A", "Fail"))))</f>
        <v/>
      </c>
      <c r="T152">
        <f>IF(Q152="", "", IF(OR(Q152="Fail", Q152="Partial"), "Yes", "No"))</f>
        <v/>
      </c>
      <c r="X152" t="inlineStr">
        <is>
          <t>No</t>
        </is>
      </c>
      <c r="AB152" t="inlineStr">
        <is>
          <t>[Security Analyst]</t>
        </is>
      </c>
      <c r="AE152" s="21">
        <f>IF(AA152&lt;&gt;"", AA152+90, "")</f>
        <v/>
      </c>
    </row>
    <row r="153">
      <c r="A153">
        <f>IF(B153&lt;&gt;"", "HC-"&amp;TEXT(ROW()-1,"00000"), "")</f>
        <v/>
      </c>
      <c r="Q153">
        <f>IF(K153="", "", IF(ISNUMBER(SEARCH("Implemented",K153)), "Pass", IF(ISNUMBER(SEARCH("Partial",K153)), "Partial", IF(ISNUMBER(SEARCH("Not Applicable",K153)), "N/A", "Fail"))))</f>
        <v/>
      </c>
      <c r="T153">
        <f>IF(Q153="", "", IF(OR(Q153="Fail", Q153="Partial"), "Yes", "No"))</f>
        <v/>
      </c>
      <c r="X153" t="inlineStr">
        <is>
          <t>No</t>
        </is>
      </c>
      <c r="AB153" t="inlineStr">
        <is>
          <t>[Security Analyst]</t>
        </is>
      </c>
      <c r="AE153" s="21">
        <f>IF(AA153&lt;&gt;"", AA153+90, "")</f>
        <v/>
      </c>
    </row>
    <row r="154">
      <c r="A154">
        <f>IF(B154&lt;&gt;"", "HC-"&amp;TEXT(ROW()-1,"00000"), "")</f>
        <v/>
      </c>
      <c r="Q154">
        <f>IF(K154="", "", IF(ISNUMBER(SEARCH("Implemented",K154)), "Pass", IF(ISNUMBER(SEARCH("Partial",K154)), "Partial", IF(ISNUMBER(SEARCH("Not Applicable",K154)), "N/A", "Fail"))))</f>
        <v/>
      </c>
      <c r="T154">
        <f>IF(Q154="", "", IF(OR(Q154="Fail", Q154="Partial"), "Yes", "No"))</f>
        <v/>
      </c>
      <c r="X154" t="inlineStr">
        <is>
          <t>No</t>
        </is>
      </c>
      <c r="AB154" t="inlineStr">
        <is>
          <t>[Security Analyst]</t>
        </is>
      </c>
      <c r="AE154" s="21">
        <f>IF(AA154&lt;&gt;"", AA154+90, "")</f>
        <v/>
      </c>
    </row>
    <row r="155">
      <c r="A155">
        <f>IF(B155&lt;&gt;"", "HC-"&amp;TEXT(ROW()-1,"00000"), "")</f>
        <v/>
      </c>
      <c r="Q155">
        <f>IF(K155="", "", IF(ISNUMBER(SEARCH("Implemented",K155)), "Pass", IF(ISNUMBER(SEARCH("Partial",K155)), "Partial", IF(ISNUMBER(SEARCH("Not Applicable",K155)), "N/A", "Fail"))))</f>
        <v/>
      </c>
      <c r="T155">
        <f>IF(Q155="", "", IF(OR(Q155="Fail", Q155="Partial"), "Yes", "No"))</f>
        <v/>
      </c>
      <c r="X155" t="inlineStr">
        <is>
          <t>No</t>
        </is>
      </c>
      <c r="AB155" t="inlineStr">
        <is>
          <t>[Security Analyst]</t>
        </is>
      </c>
      <c r="AE155" s="21">
        <f>IF(AA155&lt;&gt;"", AA155+90, "")</f>
        <v/>
      </c>
    </row>
    <row r="156">
      <c r="A156">
        <f>IF(B156&lt;&gt;"", "HC-"&amp;TEXT(ROW()-1,"00000"), "")</f>
        <v/>
      </c>
      <c r="Q156">
        <f>IF(K156="", "", IF(ISNUMBER(SEARCH("Implemented",K156)), "Pass", IF(ISNUMBER(SEARCH("Partial",K156)), "Partial", IF(ISNUMBER(SEARCH("Not Applicable",K156)), "N/A", "Fail"))))</f>
        <v/>
      </c>
      <c r="T156">
        <f>IF(Q156="", "", IF(OR(Q156="Fail", Q156="Partial"), "Yes", "No"))</f>
        <v/>
      </c>
      <c r="X156" t="inlineStr">
        <is>
          <t>No</t>
        </is>
      </c>
      <c r="AB156" t="inlineStr">
        <is>
          <t>[Security Analyst]</t>
        </is>
      </c>
      <c r="AE156" s="21">
        <f>IF(AA156&lt;&gt;"", AA156+90, "")</f>
        <v/>
      </c>
    </row>
    <row r="157">
      <c r="A157">
        <f>IF(B157&lt;&gt;"", "HC-"&amp;TEXT(ROW()-1,"00000"), "")</f>
        <v/>
      </c>
      <c r="Q157">
        <f>IF(K157="", "", IF(ISNUMBER(SEARCH("Implemented",K157)), "Pass", IF(ISNUMBER(SEARCH("Partial",K157)), "Partial", IF(ISNUMBER(SEARCH("Not Applicable",K157)), "N/A", "Fail"))))</f>
        <v/>
      </c>
      <c r="T157">
        <f>IF(Q157="", "", IF(OR(Q157="Fail", Q157="Partial"), "Yes", "No"))</f>
        <v/>
      </c>
      <c r="X157" t="inlineStr">
        <is>
          <t>No</t>
        </is>
      </c>
      <c r="AB157" t="inlineStr">
        <is>
          <t>[Security Analyst]</t>
        </is>
      </c>
      <c r="AE157" s="21">
        <f>IF(AA157&lt;&gt;"", AA157+90, "")</f>
        <v/>
      </c>
    </row>
    <row r="158">
      <c r="A158">
        <f>IF(B158&lt;&gt;"", "HC-"&amp;TEXT(ROW()-1,"00000"), "")</f>
        <v/>
      </c>
      <c r="Q158">
        <f>IF(K158="", "", IF(ISNUMBER(SEARCH("Implemented",K158)), "Pass", IF(ISNUMBER(SEARCH("Partial",K158)), "Partial", IF(ISNUMBER(SEARCH("Not Applicable",K158)), "N/A", "Fail"))))</f>
        <v/>
      </c>
      <c r="T158">
        <f>IF(Q158="", "", IF(OR(Q158="Fail", Q158="Partial"), "Yes", "No"))</f>
        <v/>
      </c>
      <c r="X158" t="inlineStr">
        <is>
          <t>No</t>
        </is>
      </c>
      <c r="AB158" t="inlineStr">
        <is>
          <t>[Security Analyst]</t>
        </is>
      </c>
      <c r="AE158" s="21">
        <f>IF(AA158&lt;&gt;"", AA158+90, "")</f>
        <v/>
      </c>
    </row>
    <row r="159">
      <c r="A159">
        <f>IF(B159&lt;&gt;"", "HC-"&amp;TEXT(ROW()-1,"00000"), "")</f>
        <v/>
      </c>
      <c r="Q159">
        <f>IF(K159="", "", IF(ISNUMBER(SEARCH("Implemented",K159)), "Pass", IF(ISNUMBER(SEARCH("Partial",K159)), "Partial", IF(ISNUMBER(SEARCH("Not Applicable",K159)), "N/A", "Fail"))))</f>
        <v/>
      </c>
      <c r="T159">
        <f>IF(Q159="", "", IF(OR(Q159="Fail", Q159="Partial"), "Yes", "No"))</f>
        <v/>
      </c>
      <c r="X159" t="inlineStr">
        <is>
          <t>No</t>
        </is>
      </c>
      <c r="AB159" t="inlineStr">
        <is>
          <t>[Security Analyst]</t>
        </is>
      </c>
      <c r="AE159" s="21">
        <f>IF(AA159&lt;&gt;"", AA159+90, "")</f>
        <v/>
      </c>
    </row>
    <row r="160">
      <c r="A160">
        <f>IF(B160&lt;&gt;"", "HC-"&amp;TEXT(ROW()-1,"00000"), "")</f>
        <v/>
      </c>
      <c r="Q160">
        <f>IF(K160="", "", IF(ISNUMBER(SEARCH("Implemented",K160)), "Pass", IF(ISNUMBER(SEARCH("Partial",K160)), "Partial", IF(ISNUMBER(SEARCH("Not Applicable",K160)), "N/A", "Fail"))))</f>
        <v/>
      </c>
      <c r="T160">
        <f>IF(Q160="", "", IF(OR(Q160="Fail", Q160="Partial"), "Yes", "No"))</f>
        <v/>
      </c>
      <c r="X160" t="inlineStr">
        <is>
          <t>No</t>
        </is>
      </c>
      <c r="AB160" t="inlineStr">
        <is>
          <t>[Security Analyst]</t>
        </is>
      </c>
      <c r="AE160" s="21">
        <f>IF(AA160&lt;&gt;"", AA160+90, "")</f>
        <v/>
      </c>
    </row>
    <row r="161">
      <c r="A161">
        <f>IF(B161&lt;&gt;"", "HC-"&amp;TEXT(ROW()-1,"00000"), "")</f>
        <v/>
      </c>
      <c r="Q161">
        <f>IF(K161="", "", IF(ISNUMBER(SEARCH("Implemented",K161)), "Pass", IF(ISNUMBER(SEARCH("Partial",K161)), "Partial", IF(ISNUMBER(SEARCH("Not Applicable",K161)), "N/A", "Fail"))))</f>
        <v/>
      </c>
      <c r="T161">
        <f>IF(Q161="", "", IF(OR(Q161="Fail", Q161="Partial"), "Yes", "No"))</f>
        <v/>
      </c>
      <c r="X161" t="inlineStr">
        <is>
          <t>No</t>
        </is>
      </c>
      <c r="AB161" t="inlineStr">
        <is>
          <t>[Security Analyst]</t>
        </is>
      </c>
      <c r="AE161" s="21">
        <f>IF(AA161&lt;&gt;"", AA161+90, "")</f>
        <v/>
      </c>
    </row>
    <row r="162">
      <c r="A162">
        <f>IF(B162&lt;&gt;"", "HC-"&amp;TEXT(ROW()-1,"00000"), "")</f>
        <v/>
      </c>
      <c r="Q162">
        <f>IF(K162="", "", IF(ISNUMBER(SEARCH("Implemented",K162)), "Pass", IF(ISNUMBER(SEARCH("Partial",K162)), "Partial", IF(ISNUMBER(SEARCH("Not Applicable",K162)), "N/A", "Fail"))))</f>
        <v/>
      </c>
      <c r="T162">
        <f>IF(Q162="", "", IF(OR(Q162="Fail", Q162="Partial"), "Yes", "No"))</f>
        <v/>
      </c>
      <c r="X162" t="inlineStr">
        <is>
          <t>No</t>
        </is>
      </c>
      <c r="AB162" t="inlineStr">
        <is>
          <t>[Security Analyst]</t>
        </is>
      </c>
      <c r="AE162" s="21">
        <f>IF(AA162&lt;&gt;"", AA162+90, "")</f>
        <v/>
      </c>
    </row>
    <row r="163">
      <c r="A163">
        <f>IF(B163&lt;&gt;"", "HC-"&amp;TEXT(ROW()-1,"00000"), "")</f>
        <v/>
      </c>
      <c r="Q163">
        <f>IF(K163="", "", IF(ISNUMBER(SEARCH("Implemented",K163)), "Pass", IF(ISNUMBER(SEARCH("Partial",K163)), "Partial", IF(ISNUMBER(SEARCH("Not Applicable",K163)), "N/A", "Fail"))))</f>
        <v/>
      </c>
      <c r="T163">
        <f>IF(Q163="", "", IF(OR(Q163="Fail", Q163="Partial"), "Yes", "No"))</f>
        <v/>
      </c>
      <c r="X163" t="inlineStr">
        <is>
          <t>No</t>
        </is>
      </c>
      <c r="AB163" t="inlineStr">
        <is>
          <t>[Security Analyst]</t>
        </is>
      </c>
      <c r="AE163" s="21">
        <f>IF(AA163&lt;&gt;"", AA163+90, "")</f>
        <v/>
      </c>
    </row>
    <row r="164">
      <c r="A164">
        <f>IF(B164&lt;&gt;"", "HC-"&amp;TEXT(ROW()-1,"00000"), "")</f>
        <v/>
      </c>
      <c r="Q164">
        <f>IF(K164="", "", IF(ISNUMBER(SEARCH("Implemented",K164)), "Pass", IF(ISNUMBER(SEARCH("Partial",K164)), "Partial", IF(ISNUMBER(SEARCH("Not Applicable",K164)), "N/A", "Fail"))))</f>
        <v/>
      </c>
      <c r="T164">
        <f>IF(Q164="", "", IF(OR(Q164="Fail", Q164="Partial"), "Yes", "No"))</f>
        <v/>
      </c>
      <c r="X164" t="inlineStr">
        <is>
          <t>No</t>
        </is>
      </c>
      <c r="AB164" t="inlineStr">
        <is>
          <t>[Security Analyst]</t>
        </is>
      </c>
      <c r="AE164" s="21">
        <f>IF(AA164&lt;&gt;"", AA164+90, "")</f>
        <v/>
      </c>
    </row>
    <row r="165">
      <c r="A165">
        <f>IF(B165&lt;&gt;"", "HC-"&amp;TEXT(ROW()-1,"00000"), "")</f>
        <v/>
      </c>
      <c r="Q165">
        <f>IF(K165="", "", IF(ISNUMBER(SEARCH("Implemented",K165)), "Pass", IF(ISNUMBER(SEARCH("Partial",K165)), "Partial", IF(ISNUMBER(SEARCH("Not Applicable",K165)), "N/A", "Fail"))))</f>
        <v/>
      </c>
      <c r="T165">
        <f>IF(Q165="", "", IF(OR(Q165="Fail", Q165="Partial"), "Yes", "No"))</f>
        <v/>
      </c>
      <c r="X165" t="inlineStr">
        <is>
          <t>No</t>
        </is>
      </c>
      <c r="AB165" t="inlineStr">
        <is>
          <t>[Security Analyst]</t>
        </is>
      </c>
      <c r="AE165" s="21">
        <f>IF(AA165&lt;&gt;"", AA165+90, "")</f>
        <v/>
      </c>
    </row>
    <row r="166">
      <c r="A166">
        <f>IF(B166&lt;&gt;"", "HC-"&amp;TEXT(ROW()-1,"00000"), "")</f>
        <v/>
      </c>
      <c r="Q166">
        <f>IF(K166="", "", IF(ISNUMBER(SEARCH("Implemented",K166)), "Pass", IF(ISNUMBER(SEARCH("Partial",K166)), "Partial", IF(ISNUMBER(SEARCH("Not Applicable",K166)), "N/A", "Fail"))))</f>
        <v/>
      </c>
      <c r="T166">
        <f>IF(Q166="", "", IF(OR(Q166="Fail", Q166="Partial"), "Yes", "No"))</f>
        <v/>
      </c>
      <c r="X166" t="inlineStr">
        <is>
          <t>No</t>
        </is>
      </c>
      <c r="AB166" t="inlineStr">
        <is>
          <t>[Security Analyst]</t>
        </is>
      </c>
      <c r="AE166" s="21">
        <f>IF(AA166&lt;&gt;"", AA166+90, "")</f>
        <v/>
      </c>
    </row>
    <row r="167">
      <c r="A167">
        <f>IF(B167&lt;&gt;"", "HC-"&amp;TEXT(ROW()-1,"00000"), "")</f>
        <v/>
      </c>
      <c r="Q167">
        <f>IF(K167="", "", IF(ISNUMBER(SEARCH("Implemented",K167)), "Pass", IF(ISNUMBER(SEARCH("Partial",K167)), "Partial", IF(ISNUMBER(SEARCH("Not Applicable",K167)), "N/A", "Fail"))))</f>
        <v/>
      </c>
      <c r="T167">
        <f>IF(Q167="", "", IF(OR(Q167="Fail", Q167="Partial"), "Yes", "No"))</f>
        <v/>
      </c>
      <c r="X167" t="inlineStr">
        <is>
          <t>No</t>
        </is>
      </c>
      <c r="AB167" t="inlineStr">
        <is>
          <t>[Security Analyst]</t>
        </is>
      </c>
      <c r="AE167" s="21">
        <f>IF(AA167&lt;&gt;"", AA167+90, "")</f>
        <v/>
      </c>
    </row>
    <row r="168">
      <c r="A168">
        <f>IF(B168&lt;&gt;"", "HC-"&amp;TEXT(ROW()-1,"00000"), "")</f>
        <v/>
      </c>
      <c r="Q168">
        <f>IF(K168="", "", IF(ISNUMBER(SEARCH("Implemented",K168)), "Pass", IF(ISNUMBER(SEARCH("Partial",K168)), "Partial", IF(ISNUMBER(SEARCH("Not Applicable",K168)), "N/A", "Fail"))))</f>
        <v/>
      </c>
      <c r="T168">
        <f>IF(Q168="", "", IF(OR(Q168="Fail", Q168="Partial"), "Yes", "No"))</f>
        <v/>
      </c>
      <c r="X168" t="inlineStr">
        <is>
          <t>No</t>
        </is>
      </c>
      <c r="AB168" t="inlineStr">
        <is>
          <t>[Security Analyst]</t>
        </is>
      </c>
      <c r="AE168" s="21">
        <f>IF(AA168&lt;&gt;"", AA168+90, "")</f>
        <v/>
      </c>
    </row>
    <row r="169">
      <c r="A169">
        <f>IF(B169&lt;&gt;"", "HC-"&amp;TEXT(ROW()-1,"00000"), "")</f>
        <v/>
      </c>
      <c r="Q169">
        <f>IF(K169="", "", IF(ISNUMBER(SEARCH("Implemented",K169)), "Pass", IF(ISNUMBER(SEARCH("Partial",K169)), "Partial", IF(ISNUMBER(SEARCH("Not Applicable",K169)), "N/A", "Fail"))))</f>
        <v/>
      </c>
      <c r="T169">
        <f>IF(Q169="", "", IF(OR(Q169="Fail", Q169="Partial"), "Yes", "No"))</f>
        <v/>
      </c>
      <c r="X169" t="inlineStr">
        <is>
          <t>No</t>
        </is>
      </c>
      <c r="AB169" t="inlineStr">
        <is>
          <t>[Security Analyst]</t>
        </is>
      </c>
      <c r="AE169" s="21">
        <f>IF(AA169&lt;&gt;"", AA169+90, "")</f>
        <v/>
      </c>
    </row>
    <row r="170">
      <c r="A170">
        <f>IF(B170&lt;&gt;"", "HC-"&amp;TEXT(ROW()-1,"00000"), "")</f>
        <v/>
      </c>
      <c r="Q170">
        <f>IF(K170="", "", IF(ISNUMBER(SEARCH("Implemented",K170)), "Pass", IF(ISNUMBER(SEARCH("Partial",K170)), "Partial", IF(ISNUMBER(SEARCH("Not Applicable",K170)), "N/A", "Fail"))))</f>
        <v/>
      </c>
      <c r="T170">
        <f>IF(Q170="", "", IF(OR(Q170="Fail", Q170="Partial"), "Yes", "No"))</f>
        <v/>
      </c>
      <c r="X170" t="inlineStr">
        <is>
          <t>No</t>
        </is>
      </c>
      <c r="AB170" t="inlineStr">
        <is>
          <t>[Security Analyst]</t>
        </is>
      </c>
      <c r="AE170" s="21">
        <f>IF(AA170&lt;&gt;"", AA170+90, "")</f>
        <v/>
      </c>
    </row>
    <row r="171">
      <c r="A171">
        <f>IF(B171&lt;&gt;"", "HC-"&amp;TEXT(ROW()-1,"00000"), "")</f>
        <v/>
      </c>
      <c r="Q171">
        <f>IF(K171="", "", IF(ISNUMBER(SEARCH("Implemented",K171)), "Pass", IF(ISNUMBER(SEARCH("Partial",K171)), "Partial", IF(ISNUMBER(SEARCH("Not Applicable",K171)), "N/A", "Fail"))))</f>
        <v/>
      </c>
      <c r="T171">
        <f>IF(Q171="", "", IF(OR(Q171="Fail", Q171="Partial"), "Yes", "No"))</f>
        <v/>
      </c>
      <c r="X171" t="inlineStr">
        <is>
          <t>No</t>
        </is>
      </c>
      <c r="AB171" t="inlineStr">
        <is>
          <t>[Security Analyst]</t>
        </is>
      </c>
      <c r="AE171" s="21">
        <f>IF(AA171&lt;&gt;"", AA171+90, "")</f>
        <v/>
      </c>
    </row>
    <row r="172">
      <c r="A172">
        <f>IF(B172&lt;&gt;"", "HC-"&amp;TEXT(ROW()-1,"00000"), "")</f>
        <v/>
      </c>
      <c r="Q172">
        <f>IF(K172="", "", IF(ISNUMBER(SEARCH("Implemented",K172)), "Pass", IF(ISNUMBER(SEARCH("Partial",K172)), "Partial", IF(ISNUMBER(SEARCH("Not Applicable",K172)), "N/A", "Fail"))))</f>
        <v/>
      </c>
      <c r="T172">
        <f>IF(Q172="", "", IF(OR(Q172="Fail", Q172="Partial"), "Yes", "No"))</f>
        <v/>
      </c>
      <c r="X172" t="inlineStr">
        <is>
          <t>No</t>
        </is>
      </c>
      <c r="AB172" t="inlineStr">
        <is>
          <t>[Security Analyst]</t>
        </is>
      </c>
      <c r="AE172" s="21">
        <f>IF(AA172&lt;&gt;"", AA172+90, "")</f>
        <v/>
      </c>
    </row>
    <row r="173">
      <c r="A173">
        <f>IF(B173&lt;&gt;"", "HC-"&amp;TEXT(ROW()-1,"00000"), "")</f>
        <v/>
      </c>
      <c r="Q173">
        <f>IF(K173="", "", IF(ISNUMBER(SEARCH("Implemented",K173)), "Pass", IF(ISNUMBER(SEARCH("Partial",K173)), "Partial", IF(ISNUMBER(SEARCH("Not Applicable",K173)), "N/A", "Fail"))))</f>
        <v/>
      </c>
      <c r="T173">
        <f>IF(Q173="", "", IF(OR(Q173="Fail", Q173="Partial"), "Yes", "No"))</f>
        <v/>
      </c>
      <c r="X173" t="inlineStr">
        <is>
          <t>No</t>
        </is>
      </c>
      <c r="AB173" t="inlineStr">
        <is>
          <t>[Security Analyst]</t>
        </is>
      </c>
      <c r="AE173" s="21">
        <f>IF(AA173&lt;&gt;"", AA173+90, "")</f>
        <v/>
      </c>
    </row>
    <row r="174">
      <c r="A174">
        <f>IF(B174&lt;&gt;"", "HC-"&amp;TEXT(ROW()-1,"00000"), "")</f>
        <v/>
      </c>
      <c r="Q174">
        <f>IF(K174="", "", IF(ISNUMBER(SEARCH("Implemented",K174)), "Pass", IF(ISNUMBER(SEARCH("Partial",K174)), "Partial", IF(ISNUMBER(SEARCH("Not Applicable",K174)), "N/A", "Fail"))))</f>
        <v/>
      </c>
      <c r="T174">
        <f>IF(Q174="", "", IF(OR(Q174="Fail", Q174="Partial"), "Yes", "No"))</f>
        <v/>
      </c>
      <c r="X174" t="inlineStr">
        <is>
          <t>No</t>
        </is>
      </c>
      <c r="AB174" t="inlineStr">
        <is>
          <t>[Security Analyst]</t>
        </is>
      </c>
      <c r="AE174" s="21">
        <f>IF(AA174&lt;&gt;"", AA174+90, "")</f>
        <v/>
      </c>
    </row>
    <row r="175">
      <c r="A175">
        <f>IF(B175&lt;&gt;"", "HC-"&amp;TEXT(ROW()-1,"00000"), "")</f>
        <v/>
      </c>
      <c r="Q175">
        <f>IF(K175="", "", IF(ISNUMBER(SEARCH("Implemented",K175)), "Pass", IF(ISNUMBER(SEARCH("Partial",K175)), "Partial", IF(ISNUMBER(SEARCH("Not Applicable",K175)), "N/A", "Fail"))))</f>
        <v/>
      </c>
      <c r="T175">
        <f>IF(Q175="", "", IF(OR(Q175="Fail", Q175="Partial"), "Yes", "No"))</f>
        <v/>
      </c>
      <c r="X175" t="inlineStr">
        <is>
          <t>No</t>
        </is>
      </c>
      <c r="AB175" t="inlineStr">
        <is>
          <t>[Security Analyst]</t>
        </is>
      </c>
      <c r="AE175" s="21">
        <f>IF(AA175&lt;&gt;"", AA175+90, "")</f>
        <v/>
      </c>
    </row>
    <row r="176">
      <c r="A176">
        <f>IF(B176&lt;&gt;"", "HC-"&amp;TEXT(ROW()-1,"00000"), "")</f>
        <v/>
      </c>
      <c r="Q176">
        <f>IF(K176="", "", IF(ISNUMBER(SEARCH("Implemented",K176)), "Pass", IF(ISNUMBER(SEARCH("Partial",K176)), "Partial", IF(ISNUMBER(SEARCH("Not Applicable",K176)), "N/A", "Fail"))))</f>
        <v/>
      </c>
      <c r="T176">
        <f>IF(Q176="", "", IF(OR(Q176="Fail", Q176="Partial"), "Yes", "No"))</f>
        <v/>
      </c>
      <c r="X176" t="inlineStr">
        <is>
          <t>No</t>
        </is>
      </c>
      <c r="AB176" t="inlineStr">
        <is>
          <t>[Security Analyst]</t>
        </is>
      </c>
      <c r="AE176" s="21">
        <f>IF(AA176&lt;&gt;"", AA176+90, "")</f>
        <v/>
      </c>
    </row>
    <row r="177">
      <c r="A177">
        <f>IF(B177&lt;&gt;"", "HC-"&amp;TEXT(ROW()-1,"00000"), "")</f>
        <v/>
      </c>
      <c r="Q177">
        <f>IF(K177="", "", IF(ISNUMBER(SEARCH("Implemented",K177)), "Pass", IF(ISNUMBER(SEARCH("Partial",K177)), "Partial", IF(ISNUMBER(SEARCH("Not Applicable",K177)), "N/A", "Fail"))))</f>
        <v/>
      </c>
      <c r="T177">
        <f>IF(Q177="", "", IF(OR(Q177="Fail", Q177="Partial"), "Yes", "No"))</f>
        <v/>
      </c>
      <c r="X177" t="inlineStr">
        <is>
          <t>No</t>
        </is>
      </c>
      <c r="AB177" t="inlineStr">
        <is>
          <t>[Security Analyst]</t>
        </is>
      </c>
      <c r="AE177" s="21">
        <f>IF(AA177&lt;&gt;"", AA177+90, "")</f>
        <v/>
      </c>
    </row>
    <row r="178">
      <c r="A178">
        <f>IF(B178&lt;&gt;"", "HC-"&amp;TEXT(ROW()-1,"00000"), "")</f>
        <v/>
      </c>
      <c r="Q178">
        <f>IF(K178="", "", IF(ISNUMBER(SEARCH("Implemented",K178)), "Pass", IF(ISNUMBER(SEARCH("Partial",K178)), "Partial", IF(ISNUMBER(SEARCH("Not Applicable",K178)), "N/A", "Fail"))))</f>
        <v/>
      </c>
      <c r="T178">
        <f>IF(Q178="", "", IF(OR(Q178="Fail", Q178="Partial"), "Yes", "No"))</f>
        <v/>
      </c>
      <c r="X178" t="inlineStr">
        <is>
          <t>No</t>
        </is>
      </c>
      <c r="AB178" t="inlineStr">
        <is>
          <t>[Security Analyst]</t>
        </is>
      </c>
      <c r="AE178" s="21">
        <f>IF(AA178&lt;&gt;"", AA178+90, "")</f>
        <v/>
      </c>
    </row>
    <row r="179">
      <c r="A179">
        <f>IF(B179&lt;&gt;"", "HC-"&amp;TEXT(ROW()-1,"00000"), "")</f>
        <v/>
      </c>
      <c r="Q179">
        <f>IF(K179="", "", IF(ISNUMBER(SEARCH("Implemented",K179)), "Pass", IF(ISNUMBER(SEARCH("Partial",K179)), "Partial", IF(ISNUMBER(SEARCH("Not Applicable",K179)), "N/A", "Fail"))))</f>
        <v/>
      </c>
      <c r="T179">
        <f>IF(Q179="", "", IF(OR(Q179="Fail", Q179="Partial"), "Yes", "No"))</f>
        <v/>
      </c>
      <c r="X179" t="inlineStr">
        <is>
          <t>No</t>
        </is>
      </c>
      <c r="AB179" t="inlineStr">
        <is>
          <t>[Security Analyst]</t>
        </is>
      </c>
      <c r="AE179" s="21">
        <f>IF(AA179&lt;&gt;"", AA179+90, "")</f>
        <v/>
      </c>
    </row>
    <row r="180">
      <c r="A180">
        <f>IF(B180&lt;&gt;"", "HC-"&amp;TEXT(ROW()-1,"00000"), "")</f>
        <v/>
      </c>
      <c r="Q180">
        <f>IF(K180="", "", IF(ISNUMBER(SEARCH("Implemented",K180)), "Pass", IF(ISNUMBER(SEARCH("Partial",K180)), "Partial", IF(ISNUMBER(SEARCH("Not Applicable",K180)), "N/A", "Fail"))))</f>
        <v/>
      </c>
      <c r="T180">
        <f>IF(Q180="", "", IF(OR(Q180="Fail", Q180="Partial"), "Yes", "No"))</f>
        <v/>
      </c>
      <c r="X180" t="inlineStr">
        <is>
          <t>No</t>
        </is>
      </c>
      <c r="AB180" t="inlineStr">
        <is>
          <t>[Security Analyst]</t>
        </is>
      </c>
      <c r="AE180" s="21">
        <f>IF(AA180&lt;&gt;"", AA180+90, "")</f>
        <v/>
      </c>
    </row>
    <row r="181">
      <c r="A181">
        <f>IF(B181&lt;&gt;"", "HC-"&amp;TEXT(ROW()-1,"00000"), "")</f>
        <v/>
      </c>
      <c r="Q181">
        <f>IF(K181="", "", IF(ISNUMBER(SEARCH("Implemented",K181)), "Pass", IF(ISNUMBER(SEARCH("Partial",K181)), "Partial", IF(ISNUMBER(SEARCH("Not Applicable",K181)), "N/A", "Fail"))))</f>
        <v/>
      </c>
      <c r="T181">
        <f>IF(Q181="", "", IF(OR(Q181="Fail", Q181="Partial"), "Yes", "No"))</f>
        <v/>
      </c>
      <c r="X181" t="inlineStr">
        <is>
          <t>No</t>
        </is>
      </c>
      <c r="AB181" t="inlineStr">
        <is>
          <t>[Security Analyst]</t>
        </is>
      </c>
      <c r="AE181" s="21">
        <f>IF(AA181&lt;&gt;"", AA181+90, "")</f>
        <v/>
      </c>
    </row>
    <row r="182">
      <c r="A182">
        <f>IF(B182&lt;&gt;"", "HC-"&amp;TEXT(ROW()-1,"00000"), "")</f>
        <v/>
      </c>
      <c r="Q182">
        <f>IF(K182="", "", IF(ISNUMBER(SEARCH("Implemented",K182)), "Pass", IF(ISNUMBER(SEARCH("Partial",K182)), "Partial", IF(ISNUMBER(SEARCH("Not Applicable",K182)), "N/A", "Fail"))))</f>
        <v/>
      </c>
      <c r="T182">
        <f>IF(Q182="", "", IF(OR(Q182="Fail", Q182="Partial"), "Yes", "No"))</f>
        <v/>
      </c>
      <c r="X182" t="inlineStr">
        <is>
          <t>No</t>
        </is>
      </c>
      <c r="AB182" t="inlineStr">
        <is>
          <t>[Security Analyst]</t>
        </is>
      </c>
      <c r="AE182" s="21">
        <f>IF(AA182&lt;&gt;"", AA182+90, "")</f>
        <v/>
      </c>
    </row>
    <row r="183">
      <c r="A183">
        <f>IF(B183&lt;&gt;"", "HC-"&amp;TEXT(ROW()-1,"00000"), "")</f>
        <v/>
      </c>
      <c r="Q183">
        <f>IF(K183="", "", IF(ISNUMBER(SEARCH("Implemented",K183)), "Pass", IF(ISNUMBER(SEARCH("Partial",K183)), "Partial", IF(ISNUMBER(SEARCH("Not Applicable",K183)), "N/A", "Fail"))))</f>
        <v/>
      </c>
      <c r="T183">
        <f>IF(Q183="", "", IF(OR(Q183="Fail", Q183="Partial"), "Yes", "No"))</f>
        <v/>
      </c>
      <c r="X183" t="inlineStr">
        <is>
          <t>No</t>
        </is>
      </c>
      <c r="AB183" t="inlineStr">
        <is>
          <t>[Security Analyst]</t>
        </is>
      </c>
      <c r="AE183" s="21">
        <f>IF(AA183&lt;&gt;"", AA183+90, "")</f>
        <v/>
      </c>
    </row>
    <row r="184">
      <c r="A184">
        <f>IF(B184&lt;&gt;"", "HC-"&amp;TEXT(ROW()-1,"00000"), "")</f>
        <v/>
      </c>
      <c r="Q184">
        <f>IF(K184="", "", IF(ISNUMBER(SEARCH("Implemented",K184)), "Pass", IF(ISNUMBER(SEARCH("Partial",K184)), "Partial", IF(ISNUMBER(SEARCH("Not Applicable",K184)), "N/A", "Fail"))))</f>
        <v/>
      </c>
      <c r="T184">
        <f>IF(Q184="", "", IF(OR(Q184="Fail", Q184="Partial"), "Yes", "No"))</f>
        <v/>
      </c>
      <c r="X184" t="inlineStr">
        <is>
          <t>No</t>
        </is>
      </c>
      <c r="AB184" t="inlineStr">
        <is>
          <t>[Security Analyst]</t>
        </is>
      </c>
      <c r="AE184" s="21">
        <f>IF(AA184&lt;&gt;"", AA184+90, "")</f>
        <v/>
      </c>
    </row>
    <row r="185">
      <c r="A185">
        <f>IF(B185&lt;&gt;"", "HC-"&amp;TEXT(ROW()-1,"00000"), "")</f>
        <v/>
      </c>
      <c r="Q185">
        <f>IF(K185="", "", IF(ISNUMBER(SEARCH("Implemented",K185)), "Pass", IF(ISNUMBER(SEARCH("Partial",K185)), "Partial", IF(ISNUMBER(SEARCH("Not Applicable",K185)), "N/A", "Fail"))))</f>
        <v/>
      </c>
      <c r="T185">
        <f>IF(Q185="", "", IF(OR(Q185="Fail", Q185="Partial"), "Yes", "No"))</f>
        <v/>
      </c>
      <c r="X185" t="inlineStr">
        <is>
          <t>No</t>
        </is>
      </c>
      <c r="AB185" t="inlineStr">
        <is>
          <t>[Security Analyst]</t>
        </is>
      </c>
      <c r="AE185" s="21">
        <f>IF(AA185&lt;&gt;"", AA185+90, "")</f>
        <v/>
      </c>
    </row>
    <row r="186">
      <c r="A186">
        <f>IF(B186&lt;&gt;"", "HC-"&amp;TEXT(ROW()-1,"00000"), "")</f>
        <v/>
      </c>
      <c r="Q186">
        <f>IF(K186="", "", IF(ISNUMBER(SEARCH("Implemented",K186)), "Pass", IF(ISNUMBER(SEARCH("Partial",K186)), "Partial", IF(ISNUMBER(SEARCH("Not Applicable",K186)), "N/A", "Fail"))))</f>
        <v/>
      </c>
      <c r="T186">
        <f>IF(Q186="", "", IF(OR(Q186="Fail", Q186="Partial"), "Yes", "No"))</f>
        <v/>
      </c>
      <c r="X186" t="inlineStr">
        <is>
          <t>No</t>
        </is>
      </c>
      <c r="AB186" t="inlineStr">
        <is>
          <t>[Security Analyst]</t>
        </is>
      </c>
      <c r="AE186" s="21">
        <f>IF(AA186&lt;&gt;"", AA186+90, "")</f>
        <v/>
      </c>
    </row>
    <row r="187">
      <c r="A187">
        <f>IF(B187&lt;&gt;"", "HC-"&amp;TEXT(ROW()-1,"00000"), "")</f>
        <v/>
      </c>
      <c r="Q187">
        <f>IF(K187="", "", IF(ISNUMBER(SEARCH("Implemented",K187)), "Pass", IF(ISNUMBER(SEARCH("Partial",K187)), "Partial", IF(ISNUMBER(SEARCH("Not Applicable",K187)), "N/A", "Fail"))))</f>
        <v/>
      </c>
      <c r="T187">
        <f>IF(Q187="", "", IF(OR(Q187="Fail", Q187="Partial"), "Yes", "No"))</f>
        <v/>
      </c>
      <c r="X187" t="inlineStr">
        <is>
          <t>No</t>
        </is>
      </c>
      <c r="AB187" t="inlineStr">
        <is>
          <t>[Security Analyst]</t>
        </is>
      </c>
      <c r="AE187" s="21">
        <f>IF(AA187&lt;&gt;"", AA187+90, "")</f>
        <v/>
      </c>
    </row>
    <row r="188">
      <c r="A188">
        <f>IF(B188&lt;&gt;"", "HC-"&amp;TEXT(ROW()-1,"00000"), "")</f>
        <v/>
      </c>
      <c r="Q188">
        <f>IF(K188="", "", IF(ISNUMBER(SEARCH("Implemented",K188)), "Pass", IF(ISNUMBER(SEARCH("Partial",K188)), "Partial", IF(ISNUMBER(SEARCH("Not Applicable",K188)), "N/A", "Fail"))))</f>
        <v/>
      </c>
      <c r="T188">
        <f>IF(Q188="", "", IF(OR(Q188="Fail", Q188="Partial"), "Yes", "No"))</f>
        <v/>
      </c>
      <c r="X188" t="inlineStr">
        <is>
          <t>No</t>
        </is>
      </c>
      <c r="AB188" t="inlineStr">
        <is>
          <t>[Security Analyst]</t>
        </is>
      </c>
      <c r="AE188" s="21">
        <f>IF(AA188&lt;&gt;"", AA188+90, "")</f>
        <v/>
      </c>
    </row>
    <row r="189">
      <c r="A189">
        <f>IF(B189&lt;&gt;"", "HC-"&amp;TEXT(ROW()-1,"00000"), "")</f>
        <v/>
      </c>
      <c r="Q189">
        <f>IF(K189="", "", IF(ISNUMBER(SEARCH("Implemented",K189)), "Pass", IF(ISNUMBER(SEARCH("Partial",K189)), "Partial", IF(ISNUMBER(SEARCH("Not Applicable",K189)), "N/A", "Fail"))))</f>
        <v/>
      </c>
      <c r="T189">
        <f>IF(Q189="", "", IF(OR(Q189="Fail", Q189="Partial"), "Yes", "No"))</f>
        <v/>
      </c>
      <c r="X189" t="inlineStr">
        <is>
          <t>No</t>
        </is>
      </c>
      <c r="AB189" t="inlineStr">
        <is>
          <t>[Security Analyst]</t>
        </is>
      </c>
      <c r="AE189" s="21">
        <f>IF(AA189&lt;&gt;"", AA189+90, "")</f>
        <v/>
      </c>
    </row>
    <row r="190">
      <c r="A190">
        <f>IF(B190&lt;&gt;"", "HC-"&amp;TEXT(ROW()-1,"00000"), "")</f>
        <v/>
      </c>
      <c r="Q190">
        <f>IF(K190="", "", IF(ISNUMBER(SEARCH("Implemented",K190)), "Pass", IF(ISNUMBER(SEARCH("Partial",K190)), "Partial", IF(ISNUMBER(SEARCH("Not Applicable",K190)), "N/A", "Fail"))))</f>
        <v/>
      </c>
      <c r="T190">
        <f>IF(Q190="", "", IF(OR(Q190="Fail", Q190="Partial"), "Yes", "No"))</f>
        <v/>
      </c>
      <c r="X190" t="inlineStr">
        <is>
          <t>No</t>
        </is>
      </c>
      <c r="AB190" t="inlineStr">
        <is>
          <t>[Security Analyst]</t>
        </is>
      </c>
      <c r="AE190" s="21">
        <f>IF(AA190&lt;&gt;"", AA190+90, "")</f>
        <v/>
      </c>
    </row>
    <row r="191">
      <c r="A191">
        <f>IF(B191&lt;&gt;"", "HC-"&amp;TEXT(ROW()-1,"00000"), "")</f>
        <v/>
      </c>
      <c r="Q191">
        <f>IF(K191="", "", IF(ISNUMBER(SEARCH("Implemented",K191)), "Pass", IF(ISNUMBER(SEARCH("Partial",K191)), "Partial", IF(ISNUMBER(SEARCH("Not Applicable",K191)), "N/A", "Fail"))))</f>
        <v/>
      </c>
      <c r="T191">
        <f>IF(Q191="", "", IF(OR(Q191="Fail", Q191="Partial"), "Yes", "No"))</f>
        <v/>
      </c>
      <c r="X191" t="inlineStr">
        <is>
          <t>No</t>
        </is>
      </c>
      <c r="AB191" t="inlineStr">
        <is>
          <t>[Security Analyst]</t>
        </is>
      </c>
      <c r="AE191" s="21">
        <f>IF(AA191&lt;&gt;"", AA191+90, "")</f>
        <v/>
      </c>
    </row>
    <row r="192">
      <c r="A192">
        <f>IF(B192&lt;&gt;"", "HC-"&amp;TEXT(ROW()-1,"00000"), "")</f>
        <v/>
      </c>
      <c r="Q192">
        <f>IF(K192="", "", IF(ISNUMBER(SEARCH("Implemented",K192)), "Pass", IF(ISNUMBER(SEARCH("Partial",K192)), "Partial", IF(ISNUMBER(SEARCH("Not Applicable",K192)), "N/A", "Fail"))))</f>
        <v/>
      </c>
      <c r="T192">
        <f>IF(Q192="", "", IF(OR(Q192="Fail", Q192="Partial"), "Yes", "No"))</f>
        <v/>
      </c>
      <c r="X192" t="inlineStr">
        <is>
          <t>No</t>
        </is>
      </c>
      <c r="AB192" t="inlineStr">
        <is>
          <t>[Security Analyst]</t>
        </is>
      </c>
      <c r="AE192" s="21">
        <f>IF(AA192&lt;&gt;"", AA192+90, "")</f>
        <v/>
      </c>
    </row>
    <row r="193">
      <c r="A193">
        <f>IF(B193&lt;&gt;"", "HC-"&amp;TEXT(ROW()-1,"00000"), "")</f>
        <v/>
      </c>
      <c r="Q193">
        <f>IF(K193="", "", IF(ISNUMBER(SEARCH("Implemented",K193)), "Pass", IF(ISNUMBER(SEARCH("Partial",K193)), "Partial", IF(ISNUMBER(SEARCH("Not Applicable",K193)), "N/A", "Fail"))))</f>
        <v/>
      </c>
      <c r="T193">
        <f>IF(Q193="", "", IF(OR(Q193="Fail", Q193="Partial"), "Yes", "No"))</f>
        <v/>
      </c>
      <c r="X193" t="inlineStr">
        <is>
          <t>No</t>
        </is>
      </c>
      <c r="AB193" t="inlineStr">
        <is>
          <t>[Security Analyst]</t>
        </is>
      </c>
      <c r="AE193" s="21">
        <f>IF(AA193&lt;&gt;"", AA193+90, "")</f>
        <v/>
      </c>
    </row>
    <row r="194">
      <c r="A194">
        <f>IF(B194&lt;&gt;"", "HC-"&amp;TEXT(ROW()-1,"00000"), "")</f>
        <v/>
      </c>
      <c r="Q194">
        <f>IF(K194="", "", IF(ISNUMBER(SEARCH("Implemented",K194)), "Pass", IF(ISNUMBER(SEARCH("Partial",K194)), "Partial", IF(ISNUMBER(SEARCH("Not Applicable",K194)), "N/A", "Fail"))))</f>
        <v/>
      </c>
      <c r="T194">
        <f>IF(Q194="", "", IF(OR(Q194="Fail", Q194="Partial"), "Yes", "No"))</f>
        <v/>
      </c>
      <c r="X194" t="inlineStr">
        <is>
          <t>No</t>
        </is>
      </c>
      <c r="AB194" t="inlineStr">
        <is>
          <t>[Security Analyst]</t>
        </is>
      </c>
      <c r="AE194" s="21">
        <f>IF(AA194&lt;&gt;"", AA194+90, "")</f>
        <v/>
      </c>
    </row>
    <row r="195">
      <c r="A195">
        <f>IF(B195&lt;&gt;"", "HC-"&amp;TEXT(ROW()-1,"00000"), "")</f>
        <v/>
      </c>
      <c r="Q195">
        <f>IF(K195="", "", IF(ISNUMBER(SEARCH("Implemented",K195)), "Pass", IF(ISNUMBER(SEARCH("Partial",K195)), "Partial", IF(ISNUMBER(SEARCH("Not Applicable",K195)), "N/A", "Fail"))))</f>
        <v/>
      </c>
      <c r="T195">
        <f>IF(Q195="", "", IF(OR(Q195="Fail", Q195="Partial"), "Yes", "No"))</f>
        <v/>
      </c>
      <c r="X195" t="inlineStr">
        <is>
          <t>No</t>
        </is>
      </c>
      <c r="AB195" t="inlineStr">
        <is>
          <t>[Security Analyst]</t>
        </is>
      </c>
      <c r="AE195" s="21">
        <f>IF(AA195&lt;&gt;"", AA195+90, "")</f>
        <v/>
      </c>
    </row>
    <row r="196">
      <c r="A196">
        <f>IF(B196&lt;&gt;"", "HC-"&amp;TEXT(ROW()-1,"00000"), "")</f>
        <v/>
      </c>
      <c r="Q196">
        <f>IF(K196="", "", IF(ISNUMBER(SEARCH("Implemented",K196)), "Pass", IF(ISNUMBER(SEARCH("Partial",K196)), "Partial", IF(ISNUMBER(SEARCH("Not Applicable",K196)), "N/A", "Fail"))))</f>
        <v/>
      </c>
      <c r="T196">
        <f>IF(Q196="", "", IF(OR(Q196="Fail", Q196="Partial"), "Yes", "No"))</f>
        <v/>
      </c>
      <c r="X196" t="inlineStr">
        <is>
          <t>No</t>
        </is>
      </c>
      <c r="AB196" t="inlineStr">
        <is>
          <t>[Security Analyst]</t>
        </is>
      </c>
      <c r="AE196" s="21">
        <f>IF(AA196&lt;&gt;"", AA196+90, "")</f>
        <v/>
      </c>
    </row>
    <row r="197">
      <c r="A197">
        <f>IF(B197&lt;&gt;"", "HC-"&amp;TEXT(ROW()-1,"00000"), "")</f>
        <v/>
      </c>
      <c r="Q197">
        <f>IF(K197="", "", IF(ISNUMBER(SEARCH("Implemented",K197)), "Pass", IF(ISNUMBER(SEARCH("Partial",K197)), "Partial", IF(ISNUMBER(SEARCH("Not Applicable",K197)), "N/A", "Fail"))))</f>
        <v/>
      </c>
      <c r="T197">
        <f>IF(Q197="", "", IF(OR(Q197="Fail", Q197="Partial"), "Yes", "No"))</f>
        <v/>
      </c>
      <c r="X197" t="inlineStr">
        <is>
          <t>No</t>
        </is>
      </c>
      <c r="AB197" t="inlineStr">
        <is>
          <t>[Security Analyst]</t>
        </is>
      </c>
      <c r="AE197" s="21">
        <f>IF(AA197&lt;&gt;"", AA197+90, "")</f>
        <v/>
      </c>
    </row>
    <row r="198">
      <c r="A198">
        <f>IF(B198&lt;&gt;"", "HC-"&amp;TEXT(ROW()-1,"00000"), "")</f>
        <v/>
      </c>
      <c r="Q198">
        <f>IF(K198="", "", IF(ISNUMBER(SEARCH("Implemented",K198)), "Pass", IF(ISNUMBER(SEARCH("Partial",K198)), "Partial", IF(ISNUMBER(SEARCH("Not Applicable",K198)), "N/A", "Fail"))))</f>
        <v/>
      </c>
      <c r="T198">
        <f>IF(Q198="", "", IF(OR(Q198="Fail", Q198="Partial"), "Yes", "No"))</f>
        <v/>
      </c>
      <c r="X198" t="inlineStr">
        <is>
          <t>No</t>
        </is>
      </c>
      <c r="AB198" t="inlineStr">
        <is>
          <t>[Security Analyst]</t>
        </is>
      </c>
      <c r="AE198" s="21">
        <f>IF(AA198&lt;&gt;"", AA198+90, "")</f>
        <v/>
      </c>
    </row>
    <row r="199">
      <c r="A199">
        <f>IF(B199&lt;&gt;"", "HC-"&amp;TEXT(ROW()-1,"00000"), "")</f>
        <v/>
      </c>
      <c r="Q199">
        <f>IF(K199="", "", IF(ISNUMBER(SEARCH("Implemented",K199)), "Pass", IF(ISNUMBER(SEARCH("Partial",K199)), "Partial", IF(ISNUMBER(SEARCH("Not Applicable",K199)), "N/A", "Fail"))))</f>
        <v/>
      </c>
      <c r="T199">
        <f>IF(Q199="", "", IF(OR(Q199="Fail", Q199="Partial"), "Yes", "No"))</f>
        <v/>
      </c>
      <c r="X199" t="inlineStr">
        <is>
          <t>No</t>
        </is>
      </c>
      <c r="AB199" t="inlineStr">
        <is>
          <t>[Security Analyst]</t>
        </is>
      </c>
      <c r="AE199" s="21">
        <f>IF(AA199&lt;&gt;"", AA199+90, "")</f>
        <v/>
      </c>
    </row>
    <row r="200">
      <c r="A200">
        <f>IF(B200&lt;&gt;"", "HC-"&amp;TEXT(ROW()-1,"00000"), "")</f>
        <v/>
      </c>
      <c r="Q200">
        <f>IF(K200="", "", IF(ISNUMBER(SEARCH("Implemented",K200)), "Pass", IF(ISNUMBER(SEARCH("Partial",K200)), "Partial", IF(ISNUMBER(SEARCH("Not Applicable",K200)), "N/A", "Fail"))))</f>
        <v/>
      </c>
      <c r="T200">
        <f>IF(Q200="", "", IF(OR(Q200="Fail", Q200="Partial"), "Yes", "No"))</f>
        <v/>
      </c>
      <c r="X200" t="inlineStr">
        <is>
          <t>No</t>
        </is>
      </c>
      <c r="AB200" t="inlineStr">
        <is>
          <t>[Security Analyst]</t>
        </is>
      </c>
      <c r="AE200" s="21">
        <f>IF(AA200&lt;&gt;"", AA200+90, "")</f>
        <v/>
      </c>
    </row>
    <row r="201">
      <c r="A201">
        <f>IF(B201&lt;&gt;"", "HC-"&amp;TEXT(ROW()-1,"00000"), "")</f>
        <v/>
      </c>
      <c r="Q201">
        <f>IF(K201="", "", IF(ISNUMBER(SEARCH("Implemented",K201)), "Pass", IF(ISNUMBER(SEARCH("Partial",K201)), "Partial", IF(ISNUMBER(SEARCH("Not Applicable",K201)), "N/A", "Fail"))))</f>
        <v/>
      </c>
      <c r="T201">
        <f>IF(Q201="", "", IF(OR(Q201="Fail", Q201="Partial"), "Yes", "No"))</f>
        <v/>
      </c>
      <c r="X201" t="inlineStr">
        <is>
          <t>No</t>
        </is>
      </c>
      <c r="AB201" t="inlineStr">
        <is>
          <t>[Security Analyst]</t>
        </is>
      </c>
      <c r="AE201" s="21">
        <f>IF(AA201&lt;&gt;"", AA201+90, "")</f>
        <v/>
      </c>
    </row>
    <row r="202">
      <c r="A202">
        <f>IF(B202&lt;&gt;"", "HC-"&amp;TEXT(ROW()-1,"00000"), "")</f>
        <v/>
      </c>
      <c r="Q202">
        <f>IF(K202="", "", IF(ISNUMBER(SEARCH("Implemented",K202)), "Pass", IF(ISNUMBER(SEARCH("Partial",K202)), "Partial", IF(ISNUMBER(SEARCH("Not Applicable",K202)), "N/A", "Fail"))))</f>
        <v/>
      </c>
      <c r="T202">
        <f>IF(Q202="", "", IF(OR(Q202="Fail", Q202="Partial"), "Yes", "No"))</f>
        <v/>
      </c>
      <c r="X202" t="inlineStr">
        <is>
          <t>No</t>
        </is>
      </c>
      <c r="AB202" t="inlineStr">
        <is>
          <t>[Security Analyst]</t>
        </is>
      </c>
      <c r="AE202" s="21">
        <f>IF(AA202&lt;&gt;"", AA202+90, "")</f>
        <v/>
      </c>
    </row>
    <row r="203">
      <c r="A203">
        <f>IF(B203&lt;&gt;"", "HC-"&amp;TEXT(ROW()-1,"00000"), "")</f>
        <v/>
      </c>
      <c r="Q203">
        <f>IF(K203="", "", IF(ISNUMBER(SEARCH("Implemented",K203)), "Pass", IF(ISNUMBER(SEARCH("Partial",K203)), "Partial", IF(ISNUMBER(SEARCH("Not Applicable",K203)), "N/A", "Fail"))))</f>
        <v/>
      </c>
      <c r="T203">
        <f>IF(Q203="", "", IF(OR(Q203="Fail", Q203="Partial"), "Yes", "No"))</f>
        <v/>
      </c>
      <c r="X203" t="inlineStr">
        <is>
          <t>No</t>
        </is>
      </c>
      <c r="AB203" t="inlineStr">
        <is>
          <t>[Security Analyst]</t>
        </is>
      </c>
      <c r="AE203" s="21">
        <f>IF(AA203&lt;&gt;"", AA203+90, "")</f>
        <v/>
      </c>
    </row>
    <row r="204">
      <c r="A204">
        <f>IF(B204&lt;&gt;"", "HC-"&amp;TEXT(ROW()-1,"00000"), "")</f>
        <v/>
      </c>
      <c r="Q204">
        <f>IF(K204="", "", IF(ISNUMBER(SEARCH("Implemented",K204)), "Pass", IF(ISNUMBER(SEARCH("Partial",K204)), "Partial", IF(ISNUMBER(SEARCH("Not Applicable",K204)), "N/A", "Fail"))))</f>
        <v/>
      </c>
      <c r="T204">
        <f>IF(Q204="", "", IF(OR(Q204="Fail", Q204="Partial"), "Yes", "No"))</f>
        <v/>
      </c>
      <c r="X204" t="inlineStr">
        <is>
          <t>No</t>
        </is>
      </c>
      <c r="AB204" t="inlineStr">
        <is>
          <t>[Security Analyst]</t>
        </is>
      </c>
      <c r="AE204" s="21">
        <f>IF(AA204&lt;&gt;"", AA204+90, "")</f>
        <v/>
      </c>
    </row>
    <row r="205">
      <c r="A205">
        <f>IF(B205&lt;&gt;"", "HC-"&amp;TEXT(ROW()-1,"00000"), "")</f>
        <v/>
      </c>
      <c r="Q205">
        <f>IF(K205="", "", IF(ISNUMBER(SEARCH("Implemented",K205)), "Pass", IF(ISNUMBER(SEARCH("Partial",K205)), "Partial", IF(ISNUMBER(SEARCH("Not Applicable",K205)), "N/A", "Fail"))))</f>
        <v/>
      </c>
      <c r="T205">
        <f>IF(Q205="", "", IF(OR(Q205="Fail", Q205="Partial"), "Yes", "No"))</f>
        <v/>
      </c>
      <c r="X205" t="inlineStr">
        <is>
          <t>No</t>
        </is>
      </c>
      <c r="AB205" t="inlineStr">
        <is>
          <t>[Security Analyst]</t>
        </is>
      </c>
      <c r="AE205" s="21">
        <f>IF(AA205&lt;&gt;"", AA205+90, "")</f>
        <v/>
      </c>
    </row>
    <row r="206">
      <c r="A206">
        <f>IF(B206&lt;&gt;"", "HC-"&amp;TEXT(ROW()-1,"00000"), "")</f>
        <v/>
      </c>
      <c r="Q206">
        <f>IF(K206="", "", IF(ISNUMBER(SEARCH("Implemented",K206)), "Pass", IF(ISNUMBER(SEARCH("Partial",K206)), "Partial", IF(ISNUMBER(SEARCH("Not Applicable",K206)), "N/A", "Fail"))))</f>
        <v/>
      </c>
      <c r="T206">
        <f>IF(Q206="", "", IF(OR(Q206="Fail", Q206="Partial"), "Yes", "No"))</f>
        <v/>
      </c>
      <c r="X206" t="inlineStr">
        <is>
          <t>No</t>
        </is>
      </c>
      <c r="AB206" t="inlineStr">
        <is>
          <t>[Security Analyst]</t>
        </is>
      </c>
      <c r="AE206" s="21">
        <f>IF(AA206&lt;&gt;"", AA206+90, "")</f>
        <v/>
      </c>
    </row>
    <row r="207">
      <c r="A207">
        <f>IF(B207&lt;&gt;"", "HC-"&amp;TEXT(ROW()-1,"00000"), "")</f>
        <v/>
      </c>
      <c r="Q207">
        <f>IF(K207="", "", IF(ISNUMBER(SEARCH("Implemented",K207)), "Pass", IF(ISNUMBER(SEARCH("Partial",K207)), "Partial", IF(ISNUMBER(SEARCH("Not Applicable",K207)), "N/A", "Fail"))))</f>
        <v/>
      </c>
      <c r="T207">
        <f>IF(Q207="", "", IF(OR(Q207="Fail", Q207="Partial"), "Yes", "No"))</f>
        <v/>
      </c>
      <c r="X207" t="inlineStr">
        <is>
          <t>No</t>
        </is>
      </c>
      <c r="AB207" t="inlineStr">
        <is>
          <t>[Security Analyst]</t>
        </is>
      </c>
      <c r="AE207" s="21">
        <f>IF(AA207&lt;&gt;"", AA207+90, "")</f>
        <v/>
      </c>
    </row>
    <row r="208">
      <c r="A208">
        <f>IF(B208&lt;&gt;"", "HC-"&amp;TEXT(ROW()-1,"00000"), "")</f>
        <v/>
      </c>
      <c r="Q208">
        <f>IF(K208="", "", IF(ISNUMBER(SEARCH("Implemented",K208)), "Pass", IF(ISNUMBER(SEARCH("Partial",K208)), "Partial", IF(ISNUMBER(SEARCH("Not Applicable",K208)), "N/A", "Fail"))))</f>
        <v/>
      </c>
      <c r="T208">
        <f>IF(Q208="", "", IF(OR(Q208="Fail", Q208="Partial"), "Yes", "No"))</f>
        <v/>
      </c>
      <c r="X208" t="inlineStr">
        <is>
          <t>No</t>
        </is>
      </c>
      <c r="AB208" t="inlineStr">
        <is>
          <t>[Security Analyst]</t>
        </is>
      </c>
      <c r="AE208" s="21">
        <f>IF(AA208&lt;&gt;"", AA208+90, "")</f>
        <v/>
      </c>
    </row>
    <row r="209">
      <c r="A209">
        <f>IF(B209&lt;&gt;"", "HC-"&amp;TEXT(ROW()-1,"00000"), "")</f>
        <v/>
      </c>
      <c r="Q209">
        <f>IF(K209="", "", IF(ISNUMBER(SEARCH("Implemented",K209)), "Pass", IF(ISNUMBER(SEARCH("Partial",K209)), "Partial", IF(ISNUMBER(SEARCH("Not Applicable",K209)), "N/A", "Fail"))))</f>
        <v/>
      </c>
      <c r="T209">
        <f>IF(Q209="", "", IF(OR(Q209="Fail", Q209="Partial"), "Yes", "No"))</f>
        <v/>
      </c>
      <c r="X209" t="inlineStr">
        <is>
          <t>No</t>
        </is>
      </c>
      <c r="AB209" t="inlineStr">
        <is>
          <t>[Security Analyst]</t>
        </is>
      </c>
      <c r="AE209" s="21">
        <f>IF(AA209&lt;&gt;"", AA209+90, "")</f>
        <v/>
      </c>
    </row>
    <row r="210">
      <c r="A210">
        <f>IF(B210&lt;&gt;"", "HC-"&amp;TEXT(ROW()-1,"00000"), "")</f>
        <v/>
      </c>
      <c r="Q210">
        <f>IF(K210="", "", IF(ISNUMBER(SEARCH("Implemented",K210)), "Pass", IF(ISNUMBER(SEARCH("Partial",K210)), "Partial", IF(ISNUMBER(SEARCH("Not Applicable",K210)), "N/A", "Fail"))))</f>
        <v/>
      </c>
      <c r="T210">
        <f>IF(Q210="", "", IF(OR(Q210="Fail", Q210="Partial"), "Yes", "No"))</f>
        <v/>
      </c>
      <c r="X210" t="inlineStr">
        <is>
          <t>No</t>
        </is>
      </c>
      <c r="AB210" t="inlineStr">
        <is>
          <t>[Security Analyst]</t>
        </is>
      </c>
      <c r="AE210" s="21">
        <f>IF(AA210&lt;&gt;"", AA210+90, "")</f>
        <v/>
      </c>
    </row>
    <row r="211">
      <c r="A211">
        <f>IF(B211&lt;&gt;"", "HC-"&amp;TEXT(ROW()-1,"00000"), "")</f>
        <v/>
      </c>
      <c r="Q211">
        <f>IF(K211="", "", IF(ISNUMBER(SEARCH("Implemented",K211)), "Pass", IF(ISNUMBER(SEARCH("Partial",K211)), "Partial", IF(ISNUMBER(SEARCH("Not Applicable",K211)), "N/A", "Fail"))))</f>
        <v/>
      </c>
      <c r="T211">
        <f>IF(Q211="", "", IF(OR(Q211="Fail", Q211="Partial"), "Yes", "No"))</f>
        <v/>
      </c>
      <c r="X211" t="inlineStr">
        <is>
          <t>No</t>
        </is>
      </c>
      <c r="AB211" t="inlineStr">
        <is>
          <t>[Security Analyst]</t>
        </is>
      </c>
      <c r="AE211" s="21">
        <f>IF(AA211&lt;&gt;"", AA211+90, "")</f>
        <v/>
      </c>
    </row>
    <row r="212">
      <c r="A212">
        <f>IF(B212&lt;&gt;"", "HC-"&amp;TEXT(ROW()-1,"00000"), "")</f>
        <v/>
      </c>
      <c r="Q212">
        <f>IF(K212="", "", IF(ISNUMBER(SEARCH("Implemented",K212)), "Pass", IF(ISNUMBER(SEARCH("Partial",K212)), "Partial", IF(ISNUMBER(SEARCH("Not Applicable",K212)), "N/A", "Fail"))))</f>
        <v/>
      </c>
      <c r="T212">
        <f>IF(Q212="", "", IF(OR(Q212="Fail", Q212="Partial"), "Yes", "No"))</f>
        <v/>
      </c>
      <c r="X212" t="inlineStr">
        <is>
          <t>No</t>
        </is>
      </c>
      <c r="AB212" t="inlineStr">
        <is>
          <t>[Security Analyst]</t>
        </is>
      </c>
      <c r="AE212" s="21">
        <f>IF(AA212&lt;&gt;"", AA212+90, "")</f>
        <v/>
      </c>
    </row>
    <row r="213">
      <c r="A213">
        <f>IF(B213&lt;&gt;"", "HC-"&amp;TEXT(ROW()-1,"00000"), "")</f>
        <v/>
      </c>
      <c r="Q213">
        <f>IF(K213="", "", IF(ISNUMBER(SEARCH("Implemented",K213)), "Pass", IF(ISNUMBER(SEARCH("Partial",K213)), "Partial", IF(ISNUMBER(SEARCH("Not Applicable",K213)), "N/A", "Fail"))))</f>
        <v/>
      </c>
      <c r="T213">
        <f>IF(Q213="", "", IF(OR(Q213="Fail", Q213="Partial"), "Yes", "No"))</f>
        <v/>
      </c>
      <c r="X213" t="inlineStr">
        <is>
          <t>No</t>
        </is>
      </c>
      <c r="AB213" t="inlineStr">
        <is>
          <t>[Security Analyst]</t>
        </is>
      </c>
      <c r="AE213" s="21">
        <f>IF(AA213&lt;&gt;"", AA213+90, "")</f>
        <v/>
      </c>
    </row>
    <row r="214">
      <c r="A214">
        <f>IF(B214&lt;&gt;"", "HC-"&amp;TEXT(ROW()-1,"00000"), "")</f>
        <v/>
      </c>
      <c r="Q214">
        <f>IF(K214="", "", IF(ISNUMBER(SEARCH("Implemented",K214)), "Pass", IF(ISNUMBER(SEARCH("Partial",K214)), "Partial", IF(ISNUMBER(SEARCH("Not Applicable",K214)), "N/A", "Fail"))))</f>
        <v/>
      </c>
      <c r="T214">
        <f>IF(Q214="", "", IF(OR(Q214="Fail", Q214="Partial"), "Yes", "No"))</f>
        <v/>
      </c>
      <c r="X214" t="inlineStr">
        <is>
          <t>No</t>
        </is>
      </c>
      <c r="AB214" t="inlineStr">
        <is>
          <t>[Security Analyst]</t>
        </is>
      </c>
      <c r="AE214" s="21">
        <f>IF(AA214&lt;&gt;"", AA214+90, "")</f>
        <v/>
      </c>
    </row>
    <row r="215">
      <c r="A215">
        <f>IF(B215&lt;&gt;"", "HC-"&amp;TEXT(ROW()-1,"00000"), "")</f>
        <v/>
      </c>
      <c r="Q215">
        <f>IF(K215="", "", IF(ISNUMBER(SEARCH("Implemented",K215)), "Pass", IF(ISNUMBER(SEARCH("Partial",K215)), "Partial", IF(ISNUMBER(SEARCH("Not Applicable",K215)), "N/A", "Fail"))))</f>
        <v/>
      </c>
      <c r="T215">
        <f>IF(Q215="", "", IF(OR(Q215="Fail", Q215="Partial"), "Yes", "No"))</f>
        <v/>
      </c>
      <c r="X215" t="inlineStr">
        <is>
          <t>No</t>
        </is>
      </c>
      <c r="AB215" t="inlineStr">
        <is>
          <t>[Security Analyst]</t>
        </is>
      </c>
      <c r="AE215" s="21">
        <f>IF(AA215&lt;&gt;"", AA215+90, "")</f>
        <v/>
      </c>
    </row>
    <row r="216">
      <c r="A216">
        <f>IF(B216&lt;&gt;"", "HC-"&amp;TEXT(ROW()-1,"00000"), "")</f>
        <v/>
      </c>
      <c r="Q216">
        <f>IF(K216="", "", IF(ISNUMBER(SEARCH("Implemented",K216)), "Pass", IF(ISNUMBER(SEARCH("Partial",K216)), "Partial", IF(ISNUMBER(SEARCH("Not Applicable",K216)), "N/A", "Fail"))))</f>
        <v/>
      </c>
      <c r="T216">
        <f>IF(Q216="", "", IF(OR(Q216="Fail", Q216="Partial"), "Yes", "No"))</f>
        <v/>
      </c>
      <c r="X216" t="inlineStr">
        <is>
          <t>No</t>
        </is>
      </c>
      <c r="AB216" t="inlineStr">
        <is>
          <t>[Security Analyst]</t>
        </is>
      </c>
      <c r="AE216" s="21">
        <f>IF(AA216&lt;&gt;"", AA216+90, "")</f>
        <v/>
      </c>
    </row>
    <row r="217">
      <c r="A217">
        <f>IF(B217&lt;&gt;"", "HC-"&amp;TEXT(ROW()-1,"00000"), "")</f>
        <v/>
      </c>
      <c r="Q217">
        <f>IF(K217="", "", IF(ISNUMBER(SEARCH("Implemented",K217)), "Pass", IF(ISNUMBER(SEARCH("Partial",K217)), "Partial", IF(ISNUMBER(SEARCH("Not Applicable",K217)), "N/A", "Fail"))))</f>
        <v/>
      </c>
      <c r="T217">
        <f>IF(Q217="", "", IF(OR(Q217="Fail", Q217="Partial"), "Yes", "No"))</f>
        <v/>
      </c>
      <c r="X217" t="inlineStr">
        <is>
          <t>No</t>
        </is>
      </c>
      <c r="AB217" t="inlineStr">
        <is>
          <t>[Security Analyst]</t>
        </is>
      </c>
      <c r="AE217" s="21">
        <f>IF(AA217&lt;&gt;"", AA217+90, "")</f>
        <v/>
      </c>
    </row>
    <row r="218">
      <c r="A218">
        <f>IF(B218&lt;&gt;"", "HC-"&amp;TEXT(ROW()-1,"00000"), "")</f>
        <v/>
      </c>
      <c r="Q218">
        <f>IF(K218="", "", IF(ISNUMBER(SEARCH("Implemented",K218)), "Pass", IF(ISNUMBER(SEARCH("Partial",K218)), "Partial", IF(ISNUMBER(SEARCH("Not Applicable",K218)), "N/A", "Fail"))))</f>
        <v/>
      </c>
      <c r="T218">
        <f>IF(Q218="", "", IF(OR(Q218="Fail", Q218="Partial"), "Yes", "No"))</f>
        <v/>
      </c>
      <c r="X218" t="inlineStr">
        <is>
          <t>No</t>
        </is>
      </c>
      <c r="AB218" t="inlineStr">
        <is>
          <t>[Security Analyst]</t>
        </is>
      </c>
      <c r="AE218" s="21">
        <f>IF(AA218&lt;&gt;"", AA218+90, "")</f>
        <v/>
      </c>
    </row>
    <row r="219">
      <c r="A219">
        <f>IF(B219&lt;&gt;"", "HC-"&amp;TEXT(ROW()-1,"00000"), "")</f>
        <v/>
      </c>
      <c r="Q219">
        <f>IF(K219="", "", IF(ISNUMBER(SEARCH("Implemented",K219)), "Pass", IF(ISNUMBER(SEARCH("Partial",K219)), "Partial", IF(ISNUMBER(SEARCH("Not Applicable",K219)), "N/A", "Fail"))))</f>
        <v/>
      </c>
      <c r="T219">
        <f>IF(Q219="", "", IF(OR(Q219="Fail", Q219="Partial"), "Yes", "No"))</f>
        <v/>
      </c>
      <c r="X219" t="inlineStr">
        <is>
          <t>No</t>
        </is>
      </c>
      <c r="AB219" t="inlineStr">
        <is>
          <t>[Security Analyst]</t>
        </is>
      </c>
      <c r="AE219" s="21">
        <f>IF(AA219&lt;&gt;"", AA219+90, "")</f>
        <v/>
      </c>
    </row>
    <row r="220">
      <c r="A220">
        <f>IF(B220&lt;&gt;"", "HC-"&amp;TEXT(ROW()-1,"00000"), "")</f>
        <v/>
      </c>
      <c r="Q220">
        <f>IF(K220="", "", IF(ISNUMBER(SEARCH("Implemented",K220)), "Pass", IF(ISNUMBER(SEARCH("Partial",K220)), "Partial", IF(ISNUMBER(SEARCH("Not Applicable",K220)), "N/A", "Fail"))))</f>
        <v/>
      </c>
      <c r="T220">
        <f>IF(Q220="", "", IF(OR(Q220="Fail", Q220="Partial"), "Yes", "No"))</f>
        <v/>
      </c>
      <c r="X220" t="inlineStr">
        <is>
          <t>No</t>
        </is>
      </c>
      <c r="AB220" t="inlineStr">
        <is>
          <t>[Security Analyst]</t>
        </is>
      </c>
      <c r="AE220" s="21">
        <f>IF(AA220&lt;&gt;"", AA220+90, "")</f>
        <v/>
      </c>
    </row>
    <row r="221">
      <c r="A221">
        <f>IF(B221&lt;&gt;"", "HC-"&amp;TEXT(ROW()-1,"00000"), "")</f>
        <v/>
      </c>
      <c r="Q221">
        <f>IF(K221="", "", IF(ISNUMBER(SEARCH("Implemented",K221)), "Pass", IF(ISNUMBER(SEARCH("Partial",K221)), "Partial", IF(ISNUMBER(SEARCH("Not Applicable",K221)), "N/A", "Fail"))))</f>
        <v/>
      </c>
      <c r="T221">
        <f>IF(Q221="", "", IF(OR(Q221="Fail", Q221="Partial"), "Yes", "No"))</f>
        <v/>
      </c>
      <c r="X221" t="inlineStr">
        <is>
          <t>No</t>
        </is>
      </c>
      <c r="AB221" t="inlineStr">
        <is>
          <t>[Security Analyst]</t>
        </is>
      </c>
      <c r="AE221" s="21">
        <f>IF(AA221&lt;&gt;"", AA221+90, "")</f>
        <v/>
      </c>
    </row>
    <row r="222">
      <c r="A222">
        <f>IF(B222&lt;&gt;"", "HC-"&amp;TEXT(ROW()-1,"00000"), "")</f>
        <v/>
      </c>
      <c r="Q222">
        <f>IF(K222="", "", IF(ISNUMBER(SEARCH("Implemented",K222)), "Pass", IF(ISNUMBER(SEARCH("Partial",K222)), "Partial", IF(ISNUMBER(SEARCH("Not Applicable",K222)), "N/A", "Fail"))))</f>
        <v/>
      </c>
      <c r="T222">
        <f>IF(Q222="", "", IF(OR(Q222="Fail", Q222="Partial"), "Yes", "No"))</f>
        <v/>
      </c>
      <c r="X222" t="inlineStr">
        <is>
          <t>No</t>
        </is>
      </c>
      <c r="AB222" t="inlineStr">
        <is>
          <t>[Security Analyst]</t>
        </is>
      </c>
      <c r="AE222" s="21">
        <f>IF(AA222&lt;&gt;"", AA222+90, "")</f>
        <v/>
      </c>
    </row>
    <row r="223">
      <c r="A223">
        <f>IF(B223&lt;&gt;"", "HC-"&amp;TEXT(ROW()-1,"00000"), "")</f>
        <v/>
      </c>
      <c r="Q223">
        <f>IF(K223="", "", IF(ISNUMBER(SEARCH("Implemented",K223)), "Pass", IF(ISNUMBER(SEARCH("Partial",K223)), "Partial", IF(ISNUMBER(SEARCH("Not Applicable",K223)), "N/A", "Fail"))))</f>
        <v/>
      </c>
      <c r="T223">
        <f>IF(Q223="", "", IF(OR(Q223="Fail", Q223="Partial"), "Yes", "No"))</f>
        <v/>
      </c>
      <c r="X223" t="inlineStr">
        <is>
          <t>No</t>
        </is>
      </c>
      <c r="AB223" t="inlineStr">
        <is>
          <t>[Security Analyst]</t>
        </is>
      </c>
      <c r="AE223" s="21">
        <f>IF(AA223&lt;&gt;"", AA223+90, "")</f>
        <v/>
      </c>
    </row>
    <row r="224">
      <c r="A224">
        <f>IF(B224&lt;&gt;"", "HC-"&amp;TEXT(ROW()-1,"00000"), "")</f>
        <v/>
      </c>
      <c r="Q224">
        <f>IF(K224="", "", IF(ISNUMBER(SEARCH("Implemented",K224)), "Pass", IF(ISNUMBER(SEARCH("Partial",K224)), "Partial", IF(ISNUMBER(SEARCH("Not Applicable",K224)), "N/A", "Fail"))))</f>
        <v/>
      </c>
      <c r="T224">
        <f>IF(Q224="", "", IF(OR(Q224="Fail", Q224="Partial"), "Yes", "No"))</f>
        <v/>
      </c>
      <c r="X224" t="inlineStr">
        <is>
          <t>No</t>
        </is>
      </c>
      <c r="AB224" t="inlineStr">
        <is>
          <t>[Security Analyst]</t>
        </is>
      </c>
      <c r="AE224" s="21">
        <f>IF(AA224&lt;&gt;"", AA224+90, "")</f>
        <v/>
      </c>
    </row>
    <row r="225">
      <c r="A225">
        <f>IF(B225&lt;&gt;"", "HC-"&amp;TEXT(ROW()-1,"00000"), "")</f>
        <v/>
      </c>
      <c r="Q225">
        <f>IF(K225="", "", IF(ISNUMBER(SEARCH("Implemented",K225)), "Pass", IF(ISNUMBER(SEARCH("Partial",K225)), "Partial", IF(ISNUMBER(SEARCH("Not Applicable",K225)), "N/A", "Fail"))))</f>
        <v/>
      </c>
      <c r="T225">
        <f>IF(Q225="", "", IF(OR(Q225="Fail", Q225="Partial"), "Yes", "No"))</f>
        <v/>
      </c>
      <c r="X225" t="inlineStr">
        <is>
          <t>No</t>
        </is>
      </c>
      <c r="AB225" t="inlineStr">
        <is>
          <t>[Security Analyst]</t>
        </is>
      </c>
      <c r="AE225" s="21">
        <f>IF(AA225&lt;&gt;"", AA225+90, "")</f>
        <v/>
      </c>
    </row>
    <row r="226">
      <c r="A226">
        <f>IF(B226&lt;&gt;"", "HC-"&amp;TEXT(ROW()-1,"00000"), "")</f>
        <v/>
      </c>
      <c r="Q226">
        <f>IF(K226="", "", IF(ISNUMBER(SEARCH("Implemented",K226)), "Pass", IF(ISNUMBER(SEARCH("Partial",K226)), "Partial", IF(ISNUMBER(SEARCH("Not Applicable",K226)), "N/A", "Fail"))))</f>
        <v/>
      </c>
      <c r="T226">
        <f>IF(Q226="", "", IF(OR(Q226="Fail", Q226="Partial"), "Yes", "No"))</f>
        <v/>
      </c>
      <c r="X226" t="inlineStr">
        <is>
          <t>No</t>
        </is>
      </c>
      <c r="AB226" t="inlineStr">
        <is>
          <t>[Security Analyst]</t>
        </is>
      </c>
      <c r="AE226" s="21">
        <f>IF(AA226&lt;&gt;"", AA226+90, "")</f>
        <v/>
      </c>
    </row>
    <row r="227">
      <c r="A227">
        <f>IF(B227&lt;&gt;"", "HC-"&amp;TEXT(ROW()-1,"00000"), "")</f>
        <v/>
      </c>
      <c r="Q227">
        <f>IF(K227="", "", IF(ISNUMBER(SEARCH("Implemented",K227)), "Pass", IF(ISNUMBER(SEARCH("Partial",K227)), "Partial", IF(ISNUMBER(SEARCH("Not Applicable",K227)), "N/A", "Fail"))))</f>
        <v/>
      </c>
      <c r="T227">
        <f>IF(Q227="", "", IF(OR(Q227="Fail", Q227="Partial"), "Yes", "No"))</f>
        <v/>
      </c>
      <c r="X227" t="inlineStr">
        <is>
          <t>No</t>
        </is>
      </c>
      <c r="AB227" t="inlineStr">
        <is>
          <t>[Security Analyst]</t>
        </is>
      </c>
      <c r="AE227" s="21">
        <f>IF(AA227&lt;&gt;"", AA227+90, "")</f>
        <v/>
      </c>
    </row>
    <row r="228">
      <c r="A228">
        <f>IF(B228&lt;&gt;"", "HC-"&amp;TEXT(ROW()-1,"00000"), "")</f>
        <v/>
      </c>
      <c r="Q228">
        <f>IF(K228="", "", IF(ISNUMBER(SEARCH("Implemented",K228)), "Pass", IF(ISNUMBER(SEARCH("Partial",K228)), "Partial", IF(ISNUMBER(SEARCH("Not Applicable",K228)), "N/A", "Fail"))))</f>
        <v/>
      </c>
      <c r="T228">
        <f>IF(Q228="", "", IF(OR(Q228="Fail", Q228="Partial"), "Yes", "No"))</f>
        <v/>
      </c>
      <c r="X228" t="inlineStr">
        <is>
          <t>No</t>
        </is>
      </c>
      <c r="AB228" t="inlineStr">
        <is>
          <t>[Security Analyst]</t>
        </is>
      </c>
      <c r="AE228" s="21">
        <f>IF(AA228&lt;&gt;"", AA228+90, "")</f>
        <v/>
      </c>
    </row>
    <row r="229">
      <c r="A229">
        <f>IF(B229&lt;&gt;"", "HC-"&amp;TEXT(ROW()-1,"00000"), "")</f>
        <v/>
      </c>
      <c r="Q229">
        <f>IF(K229="", "", IF(ISNUMBER(SEARCH("Implemented",K229)), "Pass", IF(ISNUMBER(SEARCH("Partial",K229)), "Partial", IF(ISNUMBER(SEARCH("Not Applicable",K229)), "N/A", "Fail"))))</f>
        <v/>
      </c>
      <c r="T229">
        <f>IF(Q229="", "", IF(OR(Q229="Fail", Q229="Partial"), "Yes", "No"))</f>
        <v/>
      </c>
      <c r="X229" t="inlineStr">
        <is>
          <t>No</t>
        </is>
      </c>
      <c r="AB229" t="inlineStr">
        <is>
          <t>[Security Analyst]</t>
        </is>
      </c>
      <c r="AE229" s="21">
        <f>IF(AA229&lt;&gt;"", AA229+90, "")</f>
        <v/>
      </c>
    </row>
    <row r="230">
      <c r="A230">
        <f>IF(B230&lt;&gt;"", "HC-"&amp;TEXT(ROW()-1,"00000"), "")</f>
        <v/>
      </c>
      <c r="Q230">
        <f>IF(K230="", "", IF(ISNUMBER(SEARCH("Implemented",K230)), "Pass", IF(ISNUMBER(SEARCH("Partial",K230)), "Partial", IF(ISNUMBER(SEARCH("Not Applicable",K230)), "N/A", "Fail"))))</f>
        <v/>
      </c>
      <c r="T230">
        <f>IF(Q230="", "", IF(OR(Q230="Fail", Q230="Partial"), "Yes", "No"))</f>
        <v/>
      </c>
      <c r="X230" t="inlineStr">
        <is>
          <t>No</t>
        </is>
      </c>
      <c r="AB230" t="inlineStr">
        <is>
          <t>[Security Analyst]</t>
        </is>
      </c>
      <c r="AE230" s="21">
        <f>IF(AA230&lt;&gt;"", AA230+90, "")</f>
        <v/>
      </c>
    </row>
    <row r="231">
      <c r="A231">
        <f>IF(B231&lt;&gt;"", "HC-"&amp;TEXT(ROW()-1,"00000"), "")</f>
        <v/>
      </c>
      <c r="Q231">
        <f>IF(K231="", "", IF(ISNUMBER(SEARCH("Implemented",K231)), "Pass", IF(ISNUMBER(SEARCH("Partial",K231)), "Partial", IF(ISNUMBER(SEARCH("Not Applicable",K231)), "N/A", "Fail"))))</f>
        <v/>
      </c>
      <c r="T231">
        <f>IF(Q231="", "", IF(OR(Q231="Fail", Q231="Partial"), "Yes", "No"))</f>
        <v/>
      </c>
      <c r="X231" t="inlineStr">
        <is>
          <t>No</t>
        </is>
      </c>
      <c r="AB231" t="inlineStr">
        <is>
          <t>[Security Analyst]</t>
        </is>
      </c>
      <c r="AE231" s="21">
        <f>IF(AA231&lt;&gt;"", AA231+90, "")</f>
        <v/>
      </c>
    </row>
    <row r="232">
      <c r="A232">
        <f>IF(B232&lt;&gt;"", "HC-"&amp;TEXT(ROW()-1,"00000"), "")</f>
        <v/>
      </c>
      <c r="Q232">
        <f>IF(K232="", "", IF(ISNUMBER(SEARCH("Implemented",K232)), "Pass", IF(ISNUMBER(SEARCH("Partial",K232)), "Partial", IF(ISNUMBER(SEARCH("Not Applicable",K232)), "N/A", "Fail"))))</f>
        <v/>
      </c>
      <c r="T232">
        <f>IF(Q232="", "", IF(OR(Q232="Fail", Q232="Partial"), "Yes", "No"))</f>
        <v/>
      </c>
      <c r="X232" t="inlineStr">
        <is>
          <t>No</t>
        </is>
      </c>
      <c r="AB232" t="inlineStr">
        <is>
          <t>[Security Analyst]</t>
        </is>
      </c>
      <c r="AE232" s="21">
        <f>IF(AA232&lt;&gt;"", AA232+90, "")</f>
        <v/>
      </c>
    </row>
    <row r="233">
      <c r="A233">
        <f>IF(B233&lt;&gt;"", "HC-"&amp;TEXT(ROW()-1,"00000"), "")</f>
        <v/>
      </c>
      <c r="Q233">
        <f>IF(K233="", "", IF(ISNUMBER(SEARCH("Implemented",K233)), "Pass", IF(ISNUMBER(SEARCH("Partial",K233)), "Partial", IF(ISNUMBER(SEARCH("Not Applicable",K233)), "N/A", "Fail"))))</f>
        <v/>
      </c>
      <c r="T233">
        <f>IF(Q233="", "", IF(OR(Q233="Fail", Q233="Partial"), "Yes", "No"))</f>
        <v/>
      </c>
      <c r="X233" t="inlineStr">
        <is>
          <t>No</t>
        </is>
      </c>
      <c r="AB233" t="inlineStr">
        <is>
          <t>[Security Analyst]</t>
        </is>
      </c>
      <c r="AE233" s="21">
        <f>IF(AA233&lt;&gt;"", AA233+90, "")</f>
        <v/>
      </c>
    </row>
    <row r="234">
      <c r="A234">
        <f>IF(B234&lt;&gt;"", "HC-"&amp;TEXT(ROW()-1,"00000"), "")</f>
        <v/>
      </c>
      <c r="Q234">
        <f>IF(K234="", "", IF(ISNUMBER(SEARCH("Implemented",K234)), "Pass", IF(ISNUMBER(SEARCH("Partial",K234)), "Partial", IF(ISNUMBER(SEARCH("Not Applicable",K234)), "N/A", "Fail"))))</f>
        <v/>
      </c>
      <c r="T234">
        <f>IF(Q234="", "", IF(OR(Q234="Fail", Q234="Partial"), "Yes", "No"))</f>
        <v/>
      </c>
      <c r="X234" t="inlineStr">
        <is>
          <t>No</t>
        </is>
      </c>
      <c r="AB234" t="inlineStr">
        <is>
          <t>[Security Analyst]</t>
        </is>
      </c>
      <c r="AE234" s="21">
        <f>IF(AA234&lt;&gt;"", AA234+90, "")</f>
        <v/>
      </c>
    </row>
    <row r="235">
      <c r="A235">
        <f>IF(B235&lt;&gt;"", "HC-"&amp;TEXT(ROW()-1,"00000"), "")</f>
        <v/>
      </c>
      <c r="Q235">
        <f>IF(K235="", "", IF(ISNUMBER(SEARCH("Implemented",K235)), "Pass", IF(ISNUMBER(SEARCH("Partial",K235)), "Partial", IF(ISNUMBER(SEARCH("Not Applicable",K235)), "N/A", "Fail"))))</f>
        <v/>
      </c>
      <c r="T235">
        <f>IF(Q235="", "", IF(OR(Q235="Fail", Q235="Partial"), "Yes", "No"))</f>
        <v/>
      </c>
      <c r="X235" t="inlineStr">
        <is>
          <t>No</t>
        </is>
      </c>
      <c r="AB235" t="inlineStr">
        <is>
          <t>[Security Analyst]</t>
        </is>
      </c>
      <c r="AE235" s="21">
        <f>IF(AA235&lt;&gt;"", AA235+90, "")</f>
        <v/>
      </c>
    </row>
    <row r="236">
      <c r="A236">
        <f>IF(B236&lt;&gt;"", "HC-"&amp;TEXT(ROW()-1,"00000"), "")</f>
        <v/>
      </c>
      <c r="Q236">
        <f>IF(K236="", "", IF(ISNUMBER(SEARCH("Implemented",K236)), "Pass", IF(ISNUMBER(SEARCH("Partial",K236)), "Partial", IF(ISNUMBER(SEARCH("Not Applicable",K236)), "N/A", "Fail"))))</f>
        <v/>
      </c>
      <c r="T236">
        <f>IF(Q236="", "", IF(OR(Q236="Fail", Q236="Partial"), "Yes", "No"))</f>
        <v/>
      </c>
      <c r="X236" t="inlineStr">
        <is>
          <t>No</t>
        </is>
      </c>
      <c r="AB236" t="inlineStr">
        <is>
          <t>[Security Analyst]</t>
        </is>
      </c>
      <c r="AE236" s="21">
        <f>IF(AA236&lt;&gt;"", AA236+90, "")</f>
        <v/>
      </c>
    </row>
    <row r="237">
      <c r="A237">
        <f>IF(B237&lt;&gt;"", "HC-"&amp;TEXT(ROW()-1,"00000"), "")</f>
        <v/>
      </c>
      <c r="Q237">
        <f>IF(K237="", "", IF(ISNUMBER(SEARCH("Implemented",K237)), "Pass", IF(ISNUMBER(SEARCH("Partial",K237)), "Partial", IF(ISNUMBER(SEARCH("Not Applicable",K237)), "N/A", "Fail"))))</f>
        <v/>
      </c>
      <c r="T237">
        <f>IF(Q237="", "", IF(OR(Q237="Fail", Q237="Partial"), "Yes", "No"))</f>
        <v/>
      </c>
      <c r="X237" t="inlineStr">
        <is>
          <t>No</t>
        </is>
      </c>
      <c r="AB237" t="inlineStr">
        <is>
          <t>[Security Analyst]</t>
        </is>
      </c>
      <c r="AE237" s="21">
        <f>IF(AA237&lt;&gt;"", AA237+90, "")</f>
        <v/>
      </c>
    </row>
    <row r="238">
      <c r="A238">
        <f>IF(B238&lt;&gt;"", "HC-"&amp;TEXT(ROW()-1,"00000"), "")</f>
        <v/>
      </c>
      <c r="Q238">
        <f>IF(K238="", "", IF(ISNUMBER(SEARCH("Implemented",K238)), "Pass", IF(ISNUMBER(SEARCH("Partial",K238)), "Partial", IF(ISNUMBER(SEARCH("Not Applicable",K238)), "N/A", "Fail"))))</f>
        <v/>
      </c>
      <c r="T238">
        <f>IF(Q238="", "", IF(OR(Q238="Fail", Q238="Partial"), "Yes", "No"))</f>
        <v/>
      </c>
      <c r="X238" t="inlineStr">
        <is>
          <t>No</t>
        </is>
      </c>
      <c r="AB238" t="inlineStr">
        <is>
          <t>[Security Analyst]</t>
        </is>
      </c>
      <c r="AE238" s="21">
        <f>IF(AA238&lt;&gt;"", AA238+90, "")</f>
        <v/>
      </c>
    </row>
    <row r="239">
      <c r="A239">
        <f>IF(B239&lt;&gt;"", "HC-"&amp;TEXT(ROW()-1,"00000"), "")</f>
        <v/>
      </c>
      <c r="Q239">
        <f>IF(K239="", "", IF(ISNUMBER(SEARCH("Implemented",K239)), "Pass", IF(ISNUMBER(SEARCH("Partial",K239)), "Partial", IF(ISNUMBER(SEARCH("Not Applicable",K239)), "N/A", "Fail"))))</f>
        <v/>
      </c>
      <c r="T239">
        <f>IF(Q239="", "", IF(OR(Q239="Fail", Q239="Partial"), "Yes", "No"))</f>
        <v/>
      </c>
      <c r="X239" t="inlineStr">
        <is>
          <t>No</t>
        </is>
      </c>
      <c r="AB239" t="inlineStr">
        <is>
          <t>[Security Analyst]</t>
        </is>
      </c>
      <c r="AE239" s="21">
        <f>IF(AA239&lt;&gt;"", AA239+90, "")</f>
        <v/>
      </c>
    </row>
    <row r="240">
      <c r="A240">
        <f>IF(B240&lt;&gt;"", "HC-"&amp;TEXT(ROW()-1,"00000"), "")</f>
        <v/>
      </c>
      <c r="Q240">
        <f>IF(K240="", "", IF(ISNUMBER(SEARCH("Implemented",K240)), "Pass", IF(ISNUMBER(SEARCH("Partial",K240)), "Partial", IF(ISNUMBER(SEARCH("Not Applicable",K240)), "N/A", "Fail"))))</f>
        <v/>
      </c>
      <c r="T240">
        <f>IF(Q240="", "", IF(OR(Q240="Fail", Q240="Partial"), "Yes", "No"))</f>
        <v/>
      </c>
      <c r="X240" t="inlineStr">
        <is>
          <t>No</t>
        </is>
      </c>
      <c r="AB240" t="inlineStr">
        <is>
          <t>[Security Analyst]</t>
        </is>
      </c>
      <c r="AE240" s="21">
        <f>IF(AA240&lt;&gt;"", AA240+90, "")</f>
        <v/>
      </c>
    </row>
    <row r="241">
      <c r="A241">
        <f>IF(B241&lt;&gt;"", "HC-"&amp;TEXT(ROW()-1,"00000"), "")</f>
        <v/>
      </c>
      <c r="Q241">
        <f>IF(K241="", "", IF(ISNUMBER(SEARCH("Implemented",K241)), "Pass", IF(ISNUMBER(SEARCH("Partial",K241)), "Partial", IF(ISNUMBER(SEARCH("Not Applicable",K241)), "N/A", "Fail"))))</f>
        <v/>
      </c>
      <c r="T241">
        <f>IF(Q241="", "", IF(OR(Q241="Fail", Q241="Partial"), "Yes", "No"))</f>
        <v/>
      </c>
      <c r="X241" t="inlineStr">
        <is>
          <t>No</t>
        </is>
      </c>
      <c r="AB241" t="inlineStr">
        <is>
          <t>[Security Analyst]</t>
        </is>
      </c>
      <c r="AE241" s="21">
        <f>IF(AA241&lt;&gt;"", AA241+90, "")</f>
        <v/>
      </c>
    </row>
    <row r="242">
      <c r="A242">
        <f>IF(B242&lt;&gt;"", "HC-"&amp;TEXT(ROW()-1,"00000"), "")</f>
        <v/>
      </c>
      <c r="Q242">
        <f>IF(K242="", "", IF(ISNUMBER(SEARCH("Implemented",K242)), "Pass", IF(ISNUMBER(SEARCH("Partial",K242)), "Partial", IF(ISNUMBER(SEARCH("Not Applicable",K242)), "N/A", "Fail"))))</f>
        <v/>
      </c>
      <c r="T242">
        <f>IF(Q242="", "", IF(OR(Q242="Fail", Q242="Partial"), "Yes", "No"))</f>
        <v/>
      </c>
      <c r="X242" t="inlineStr">
        <is>
          <t>No</t>
        </is>
      </c>
      <c r="AB242" t="inlineStr">
        <is>
          <t>[Security Analyst]</t>
        </is>
      </c>
      <c r="AE242" s="21">
        <f>IF(AA242&lt;&gt;"", AA242+90, "")</f>
        <v/>
      </c>
    </row>
    <row r="243">
      <c r="A243">
        <f>IF(B243&lt;&gt;"", "HC-"&amp;TEXT(ROW()-1,"00000"), "")</f>
        <v/>
      </c>
      <c r="Q243">
        <f>IF(K243="", "", IF(ISNUMBER(SEARCH("Implemented",K243)), "Pass", IF(ISNUMBER(SEARCH("Partial",K243)), "Partial", IF(ISNUMBER(SEARCH("Not Applicable",K243)), "N/A", "Fail"))))</f>
        <v/>
      </c>
      <c r="T243">
        <f>IF(Q243="", "", IF(OR(Q243="Fail", Q243="Partial"), "Yes", "No"))</f>
        <v/>
      </c>
      <c r="X243" t="inlineStr">
        <is>
          <t>No</t>
        </is>
      </c>
      <c r="AB243" t="inlineStr">
        <is>
          <t>[Security Analyst]</t>
        </is>
      </c>
      <c r="AE243" s="21">
        <f>IF(AA243&lt;&gt;"", AA243+90, "")</f>
        <v/>
      </c>
    </row>
    <row r="244">
      <c r="A244">
        <f>IF(B244&lt;&gt;"", "HC-"&amp;TEXT(ROW()-1,"00000"), "")</f>
        <v/>
      </c>
      <c r="Q244">
        <f>IF(K244="", "", IF(ISNUMBER(SEARCH("Implemented",K244)), "Pass", IF(ISNUMBER(SEARCH("Partial",K244)), "Partial", IF(ISNUMBER(SEARCH("Not Applicable",K244)), "N/A", "Fail"))))</f>
        <v/>
      </c>
      <c r="T244">
        <f>IF(Q244="", "", IF(OR(Q244="Fail", Q244="Partial"), "Yes", "No"))</f>
        <v/>
      </c>
      <c r="X244" t="inlineStr">
        <is>
          <t>No</t>
        </is>
      </c>
      <c r="AB244" t="inlineStr">
        <is>
          <t>[Security Analyst]</t>
        </is>
      </c>
      <c r="AE244" s="21">
        <f>IF(AA244&lt;&gt;"", AA244+90, "")</f>
        <v/>
      </c>
    </row>
    <row r="245">
      <c r="A245">
        <f>IF(B245&lt;&gt;"", "HC-"&amp;TEXT(ROW()-1,"00000"), "")</f>
        <v/>
      </c>
      <c r="Q245">
        <f>IF(K245="", "", IF(ISNUMBER(SEARCH("Implemented",K245)), "Pass", IF(ISNUMBER(SEARCH("Partial",K245)), "Partial", IF(ISNUMBER(SEARCH("Not Applicable",K245)), "N/A", "Fail"))))</f>
        <v/>
      </c>
      <c r="T245">
        <f>IF(Q245="", "", IF(OR(Q245="Fail", Q245="Partial"), "Yes", "No"))</f>
        <v/>
      </c>
      <c r="X245" t="inlineStr">
        <is>
          <t>No</t>
        </is>
      </c>
      <c r="AB245" t="inlineStr">
        <is>
          <t>[Security Analyst]</t>
        </is>
      </c>
      <c r="AE245" s="21">
        <f>IF(AA245&lt;&gt;"", AA245+90, "")</f>
        <v/>
      </c>
    </row>
    <row r="246">
      <c r="A246">
        <f>IF(B246&lt;&gt;"", "HC-"&amp;TEXT(ROW()-1,"00000"), "")</f>
        <v/>
      </c>
      <c r="Q246">
        <f>IF(K246="", "", IF(ISNUMBER(SEARCH("Implemented",K246)), "Pass", IF(ISNUMBER(SEARCH("Partial",K246)), "Partial", IF(ISNUMBER(SEARCH("Not Applicable",K246)), "N/A", "Fail"))))</f>
        <v/>
      </c>
      <c r="T246">
        <f>IF(Q246="", "", IF(OR(Q246="Fail", Q246="Partial"), "Yes", "No"))</f>
        <v/>
      </c>
      <c r="X246" t="inlineStr">
        <is>
          <t>No</t>
        </is>
      </c>
      <c r="AB246" t="inlineStr">
        <is>
          <t>[Security Analyst]</t>
        </is>
      </c>
      <c r="AE246" s="21">
        <f>IF(AA246&lt;&gt;"", AA246+90, "")</f>
        <v/>
      </c>
    </row>
    <row r="247">
      <c r="A247">
        <f>IF(B247&lt;&gt;"", "HC-"&amp;TEXT(ROW()-1,"00000"), "")</f>
        <v/>
      </c>
      <c r="Q247">
        <f>IF(K247="", "", IF(ISNUMBER(SEARCH("Implemented",K247)), "Pass", IF(ISNUMBER(SEARCH("Partial",K247)), "Partial", IF(ISNUMBER(SEARCH("Not Applicable",K247)), "N/A", "Fail"))))</f>
        <v/>
      </c>
      <c r="T247">
        <f>IF(Q247="", "", IF(OR(Q247="Fail", Q247="Partial"), "Yes", "No"))</f>
        <v/>
      </c>
      <c r="X247" t="inlineStr">
        <is>
          <t>No</t>
        </is>
      </c>
      <c r="AB247" t="inlineStr">
        <is>
          <t>[Security Analyst]</t>
        </is>
      </c>
      <c r="AE247" s="21">
        <f>IF(AA247&lt;&gt;"", AA247+90, "")</f>
        <v/>
      </c>
    </row>
    <row r="248">
      <c r="A248">
        <f>IF(B248&lt;&gt;"", "HC-"&amp;TEXT(ROW()-1,"00000"), "")</f>
        <v/>
      </c>
      <c r="Q248">
        <f>IF(K248="", "", IF(ISNUMBER(SEARCH("Implemented",K248)), "Pass", IF(ISNUMBER(SEARCH("Partial",K248)), "Partial", IF(ISNUMBER(SEARCH("Not Applicable",K248)), "N/A", "Fail"))))</f>
        <v/>
      </c>
      <c r="T248">
        <f>IF(Q248="", "", IF(OR(Q248="Fail", Q248="Partial"), "Yes", "No"))</f>
        <v/>
      </c>
      <c r="X248" t="inlineStr">
        <is>
          <t>No</t>
        </is>
      </c>
      <c r="AB248" t="inlineStr">
        <is>
          <t>[Security Analyst]</t>
        </is>
      </c>
      <c r="AE248" s="21">
        <f>IF(AA248&lt;&gt;"", AA248+90, "")</f>
        <v/>
      </c>
    </row>
    <row r="249">
      <c r="A249">
        <f>IF(B249&lt;&gt;"", "HC-"&amp;TEXT(ROW()-1,"00000"), "")</f>
        <v/>
      </c>
      <c r="Q249">
        <f>IF(K249="", "", IF(ISNUMBER(SEARCH("Implemented",K249)), "Pass", IF(ISNUMBER(SEARCH("Partial",K249)), "Partial", IF(ISNUMBER(SEARCH("Not Applicable",K249)), "N/A", "Fail"))))</f>
        <v/>
      </c>
      <c r="T249">
        <f>IF(Q249="", "", IF(OR(Q249="Fail", Q249="Partial"), "Yes", "No"))</f>
        <v/>
      </c>
      <c r="X249" t="inlineStr">
        <is>
          <t>No</t>
        </is>
      </c>
      <c r="AB249" t="inlineStr">
        <is>
          <t>[Security Analyst]</t>
        </is>
      </c>
      <c r="AE249" s="21">
        <f>IF(AA249&lt;&gt;"", AA249+90, "")</f>
        <v/>
      </c>
    </row>
    <row r="250">
      <c r="A250">
        <f>IF(B250&lt;&gt;"", "HC-"&amp;TEXT(ROW()-1,"00000"), "")</f>
        <v/>
      </c>
      <c r="Q250">
        <f>IF(K250="", "", IF(ISNUMBER(SEARCH("Implemented",K250)), "Pass", IF(ISNUMBER(SEARCH("Partial",K250)), "Partial", IF(ISNUMBER(SEARCH("Not Applicable",K250)), "N/A", "Fail"))))</f>
        <v/>
      </c>
      <c r="T250">
        <f>IF(Q250="", "", IF(OR(Q250="Fail", Q250="Partial"), "Yes", "No"))</f>
        <v/>
      </c>
      <c r="X250" t="inlineStr">
        <is>
          <t>No</t>
        </is>
      </c>
      <c r="AB250" t="inlineStr">
        <is>
          <t>[Security Analyst]</t>
        </is>
      </c>
      <c r="AE250" s="21">
        <f>IF(AA250&lt;&gt;"", AA250+90, "")</f>
        <v/>
      </c>
    </row>
    <row r="251">
      <c r="A251">
        <f>IF(B251&lt;&gt;"", "HC-"&amp;TEXT(ROW()-1,"00000"), "")</f>
        <v/>
      </c>
      <c r="Q251">
        <f>IF(K251="", "", IF(ISNUMBER(SEARCH("Implemented",K251)), "Pass", IF(ISNUMBER(SEARCH("Partial",K251)), "Partial", IF(ISNUMBER(SEARCH("Not Applicable",K251)), "N/A", "Fail"))))</f>
        <v/>
      </c>
      <c r="T251">
        <f>IF(Q251="", "", IF(OR(Q251="Fail", Q251="Partial"), "Yes", "No"))</f>
        <v/>
      </c>
      <c r="X251" t="inlineStr">
        <is>
          <t>No</t>
        </is>
      </c>
      <c r="AB251" t="inlineStr">
        <is>
          <t>[Security Analyst]</t>
        </is>
      </c>
      <c r="AE251" s="21">
        <f>IF(AA251&lt;&gt;"", AA251+90, "")</f>
        <v/>
      </c>
    </row>
    <row r="252">
      <c r="A252">
        <f>IF(B252&lt;&gt;"", "HC-"&amp;TEXT(ROW()-1,"00000"), "")</f>
        <v/>
      </c>
      <c r="Q252">
        <f>IF(K252="", "", IF(ISNUMBER(SEARCH("Implemented",K252)), "Pass", IF(ISNUMBER(SEARCH("Partial",K252)), "Partial", IF(ISNUMBER(SEARCH("Not Applicable",K252)), "N/A", "Fail"))))</f>
        <v/>
      </c>
      <c r="T252">
        <f>IF(Q252="", "", IF(OR(Q252="Fail", Q252="Partial"), "Yes", "No"))</f>
        <v/>
      </c>
      <c r="X252" t="inlineStr">
        <is>
          <t>No</t>
        </is>
      </c>
      <c r="AB252" t="inlineStr">
        <is>
          <t>[Security Analyst]</t>
        </is>
      </c>
      <c r="AE252" s="21">
        <f>IF(AA252&lt;&gt;"", AA252+90, "")</f>
        <v/>
      </c>
    </row>
    <row r="253">
      <c r="A253">
        <f>IF(B253&lt;&gt;"", "HC-"&amp;TEXT(ROW()-1,"00000"), "")</f>
        <v/>
      </c>
      <c r="Q253">
        <f>IF(K253="", "", IF(ISNUMBER(SEARCH("Implemented",K253)), "Pass", IF(ISNUMBER(SEARCH("Partial",K253)), "Partial", IF(ISNUMBER(SEARCH("Not Applicable",K253)), "N/A", "Fail"))))</f>
        <v/>
      </c>
      <c r="T253">
        <f>IF(Q253="", "", IF(OR(Q253="Fail", Q253="Partial"), "Yes", "No"))</f>
        <v/>
      </c>
      <c r="X253" t="inlineStr">
        <is>
          <t>No</t>
        </is>
      </c>
      <c r="AB253" t="inlineStr">
        <is>
          <t>[Security Analyst]</t>
        </is>
      </c>
      <c r="AE253" s="21">
        <f>IF(AA253&lt;&gt;"", AA253+90, "")</f>
        <v/>
      </c>
    </row>
    <row r="254">
      <c r="A254">
        <f>IF(B254&lt;&gt;"", "HC-"&amp;TEXT(ROW()-1,"00000"), "")</f>
        <v/>
      </c>
      <c r="Q254">
        <f>IF(K254="", "", IF(ISNUMBER(SEARCH("Implemented",K254)), "Pass", IF(ISNUMBER(SEARCH("Partial",K254)), "Partial", IF(ISNUMBER(SEARCH("Not Applicable",K254)), "N/A", "Fail"))))</f>
        <v/>
      </c>
      <c r="T254">
        <f>IF(Q254="", "", IF(OR(Q254="Fail", Q254="Partial"), "Yes", "No"))</f>
        <v/>
      </c>
      <c r="X254" t="inlineStr">
        <is>
          <t>No</t>
        </is>
      </c>
      <c r="AB254" t="inlineStr">
        <is>
          <t>[Security Analyst]</t>
        </is>
      </c>
      <c r="AE254" s="21">
        <f>IF(AA254&lt;&gt;"", AA254+90, "")</f>
        <v/>
      </c>
    </row>
    <row r="255">
      <c r="A255">
        <f>IF(B255&lt;&gt;"", "HC-"&amp;TEXT(ROW()-1,"00000"), "")</f>
        <v/>
      </c>
      <c r="Q255">
        <f>IF(K255="", "", IF(ISNUMBER(SEARCH("Implemented",K255)), "Pass", IF(ISNUMBER(SEARCH("Partial",K255)), "Partial", IF(ISNUMBER(SEARCH("Not Applicable",K255)), "N/A", "Fail"))))</f>
        <v/>
      </c>
      <c r="T255">
        <f>IF(Q255="", "", IF(OR(Q255="Fail", Q255="Partial"), "Yes", "No"))</f>
        <v/>
      </c>
      <c r="X255" t="inlineStr">
        <is>
          <t>No</t>
        </is>
      </c>
      <c r="AB255" t="inlineStr">
        <is>
          <t>[Security Analyst]</t>
        </is>
      </c>
      <c r="AE255" s="21">
        <f>IF(AA255&lt;&gt;"", AA255+90, "")</f>
        <v/>
      </c>
    </row>
    <row r="256">
      <c r="A256">
        <f>IF(B256&lt;&gt;"", "HC-"&amp;TEXT(ROW()-1,"00000"), "")</f>
        <v/>
      </c>
      <c r="Q256">
        <f>IF(K256="", "", IF(ISNUMBER(SEARCH("Implemented",K256)), "Pass", IF(ISNUMBER(SEARCH("Partial",K256)), "Partial", IF(ISNUMBER(SEARCH("Not Applicable",K256)), "N/A", "Fail"))))</f>
        <v/>
      </c>
      <c r="T256">
        <f>IF(Q256="", "", IF(OR(Q256="Fail", Q256="Partial"), "Yes", "No"))</f>
        <v/>
      </c>
      <c r="X256" t="inlineStr">
        <is>
          <t>No</t>
        </is>
      </c>
      <c r="AB256" t="inlineStr">
        <is>
          <t>[Security Analyst]</t>
        </is>
      </c>
      <c r="AE256" s="21">
        <f>IF(AA256&lt;&gt;"", AA256+90, "")</f>
        <v/>
      </c>
    </row>
    <row r="257">
      <c r="A257">
        <f>IF(B257&lt;&gt;"", "HC-"&amp;TEXT(ROW()-1,"00000"), "")</f>
        <v/>
      </c>
      <c r="Q257">
        <f>IF(K257="", "", IF(ISNUMBER(SEARCH("Implemented",K257)), "Pass", IF(ISNUMBER(SEARCH("Partial",K257)), "Partial", IF(ISNUMBER(SEARCH("Not Applicable",K257)), "N/A", "Fail"))))</f>
        <v/>
      </c>
      <c r="T257">
        <f>IF(Q257="", "", IF(OR(Q257="Fail", Q257="Partial"), "Yes", "No"))</f>
        <v/>
      </c>
      <c r="X257" t="inlineStr">
        <is>
          <t>No</t>
        </is>
      </c>
      <c r="AB257" t="inlineStr">
        <is>
          <t>[Security Analyst]</t>
        </is>
      </c>
      <c r="AE257" s="21">
        <f>IF(AA257&lt;&gt;"", AA257+90, "")</f>
        <v/>
      </c>
    </row>
    <row r="258">
      <c r="A258">
        <f>IF(B258&lt;&gt;"", "HC-"&amp;TEXT(ROW()-1,"00000"), "")</f>
        <v/>
      </c>
      <c r="Q258">
        <f>IF(K258="", "", IF(ISNUMBER(SEARCH("Implemented",K258)), "Pass", IF(ISNUMBER(SEARCH("Partial",K258)), "Partial", IF(ISNUMBER(SEARCH("Not Applicable",K258)), "N/A", "Fail"))))</f>
        <v/>
      </c>
      <c r="T258">
        <f>IF(Q258="", "", IF(OR(Q258="Fail", Q258="Partial"), "Yes", "No"))</f>
        <v/>
      </c>
      <c r="X258" t="inlineStr">
        <is>
          <t>No</t>
        </is>
      </c>
      <c r="AB258" t="inlineStr">
        <is>
          <t>[Security Analyst]</t>
        </is>
      </c>
      <c r="AE258" s="21">
        <f>IF(AA258&lt;&gt;"", AA258+90, "")</f>
        <v/>
      </c>
    </row>
    <row r="259">
      <c r="A259">
        <f>IF(B259&lt;&gt;"", "HC-"&amp;TEXT(ROW()-1,"00000"), "")</f>
        <v/>
      </c>
      <c r="Q259">
        <f>IF(K259="", "", IF(ISNUMBER(SEARCH("Implemented",K259)), "Pass", IF(ISNUMBER(SEARCH("Partial",K259)), "Partial", IF(ISNUMBER(SEARCH("Not Applicable",K259)), "N/A", "Fail"))))</f>
        <v/>
      </c>
      <c r="T259">
        <f>IF(Q259="", "", IF(OR(Q259="Fail", Q259="Partial"), "Yes", "No"))</f>
        <v/>
      </c>
      <c r="X259" t="inlineStr">
        <is>
          <t>No</t>
        </is>
      </c>
      <c r="AB259" t="inlineStr">
        <is>
          <t>[Security Analyst]</t>
        </is>
      </c>
      <c r="AE259" s="21">
        <f>IF(AA259&lt;&gt;"", AA259+90, "")</f>
        <v/>
      </c>
    </row>
    <row r="260">
      <c r="A260">
        <f>IF(B260&lt;&gt;"", "HC-"&amp;TEXT(ROW()-1,"00000"), "")</f>
        <v/>
      </c>
      <c r="Q260">
        <f>IF(K260="", "", IF(ISNUMBER(SEARCH("Implemented",K260)), "Pass", IF(ISNUMBER(SEARCH("Partial",K260)), "Partial", IF(ISNUMBER(SEARCH("Not Applicable",K260)), "N/A", "Fail"))))</f>
        <v/>
      </c>
      <c r="T260">
        <f>IF(Q260="", "", IF(OR(Q260="Fail", Q260="Partial"), "Yes", "No"))</f>
        <v/>
      </c>
      <c r="X260" t="inlineStr">
        <is>
          <t>No</t>
        </is>
      </c>
      <c r="AB260" t="inlineStr">
        <is>
          <t>[Security Analyst]</t>
        </is>
      </c>
      <c r="AE260" s="21">
        <f>IF(AA260&lt;&gt;"", AA260+90, "")</f>
        <v/>
      </c>
    </row>
    <row r="261">
      <c r="A261">
        <f>IF(B261&lt;&gt;"", "HC-"&amp;TEXT(ROW()-1,"00000"), "")</f>
        <v/>
      </c>
      <c r="Q261">
        <f>IF(K261="", "", IF(ISNUMBER(SEARCH("Implemented",K261)), "Pass", IF(ISNUMBER(SEARCH("Partial",K261)), "Partial", IF(ISNUMBER(SEARCH("Not Applicable",K261)), "N/A", "Fail"))))</f>
        <v/>
      </c>
      <c r="T261">
        <f>IF(Q261="", "", IF(OR(Q261="Fail", Q261="Partial"), "Yes", "No"))</f>
        <v/>
      </c>
      <c r="X261" t="inlineStr">
        <is>
          <t>No</t>
        </is>
      </c>
      <c r="AB261" t="inlineStr">
        <is>
          <t>[Security Analyst]</t>
        </is>
      </c>
      <c r="AE261" s="21">
        <f>IF(AA261&lt;&gt;"", AA261+90, "")</f>
        <v/>
      </c>
    </row>
    <row r="262">
      <c r="A262">
        <f>IF(B262&lt;&gt;"", "HC-"&amp;TEXT(ROW()-1,"00000"), "")</f>
        <v/>
      </c>
      <c r="Q262">
        <f>IF(K262="", "", IF(ISNUMBER(SEARCH("Implemented",K262)), "Pass", IF(ISNUMBER(SEARCH("Partial",K262)), "Partial", IF(ISNUMBER(SEARCH("Not Applicable",K262)), "N/A", "Fail"))))</f>
        <v/>
      </c>
      <c r="T262">
        <f>IF(Q262="", "", IF(OR(Q262="Fail", Q262="Partial"), "Yes", "No"))</f>
        <v/>
      </c>
      <c r="X262" t="inlineStr">
        <is>
          <t>No</t>
        </is>
      </c>
      <c r="AB262" t="inlineStr">
        <is>
          <t>[Security Analyst]</t>
        </is>
      </c>
      <c r="AE262" s="21">
        <f>IF(AA262&lt;&gt;"", AA262+90, "")</f>
        <v/>
      </c>
    </row>
    <row r="263">
      <c r="A263">
        <f>IF(B263&lt;&gt;"", "HC-"&amp;TEXT(ROW()-1,"00000"), "")</f>
        <v/>
      </c>
      <c r="Q263">
        <f>IF(K263="", "", IF(ISNUMBER(SEARCH("Implemented",K263)), "Pass", IF(ISNUMBER(SEARCH("Partial",K263)), "Partial", IF(ISNUMBER(SEARCH("Not Applicable",K263)), "N/A", "Fail"))))</f>
        <v/>
      </c>
      <c r="T263">
        <f>IF(Q263="", "", IF(OR(Q263="Fail", Q263="Partial"), "Yes", "No"))</f>
        <v/>
      </c>
      <c r="X263" t="inlineStr">
        <is>
          <t>No</t>
        </is>
      </c>
      <c r="AB263" t="inlineStr">
        <is>
          <t>[Security Analyst]</t>
        </is>
      </c>
      <c r="AE263" s="21">
        <f>IF(AA263&lt;&gt;"", AA263+90, "")</f>
        <v/>
      </c>
    </row>
    <row r="264">
      <c r="A264">
        <f>IF(B264&lt;&gt;"", "HC-"&amp;TEXT(ROW()-1,"00000"), "")</f>
        <v/>
      </c>
      <c r="Q264">
        <f>IF(K264="", "", IF(ISNUMBER(SEARCH("Implemented",K264)), "Pass", IF(ISNUMBER(SEARCH("Partial",K264)), "Partial", IF(ISNUMBER(SEARCH("Not Applicable",K264)), "N/A", "Fail"))))</f>
        <v/>
      </c>
      <c r="T264">
        <f>IF(Q264="", "", IF(OR(Q264="Fail", Q264="Partial"), "Yes", "No"))</f>
        <v/>
      </c>
      <c r="X264" t="inlineStr">
        <is>
          <t>No</t>
        </is>
      </c>
      <c r="AB264" t="inlineStr">
        <is>
          <t>[Security Analyst]</t>
        </is>
      </c>
      <c r="AE264" s="21">
        <f>IF(AA264&lt;&gt;"", AA264+90, "")</f>
        <v/>
      </c>
    </row>
    <row r="265">
      <c r="A265">
        <f>IF(B265&lt;&gt;"", "HC-"&amp;TEXT(ROW()-1,"00000"), "")</f>
        <v/>
      </c>
      <c r="Q265">
        <f>IF(K265="", "", IF(ISNUMBER(SEARCH("Implemented",K265)), "Pass", IF(ISNUMBER(SEARCH("Partial",K265)), "Partial", IF(ISNUMBER(SEARCH("Not Applicable",K265)), "N/A", "Fail"))))</f>
        <v/>
      </c>
      <c r="T265">
        <f>IF(Q265="", "", IF(OR(Q265="Fail", Q265="Partial"), "Yes", "No"))</f>
        <v/>
      </c>
      <c r="X265" t="inlineStr">
        <is>
          <t>No</t>
        </is>
      </c>
      <c r="AB265" t="inlineStr">
        <is>
          <t>[Security Analyst]</t>
        </is>
      </c>
      <c r="AE265" s="21">
        <f>IF(AA265&lt;&gt;"", AA265+90, "")</f>
        <v/>
      </c>
    </row>
    <row r="266">
      <c r="A266">
        <f>IF(B266&lt;&gt;"", "HC-"&amp;TEXT(ROW()-1,"00000"), "")</f>
        <v/>
      </c>
      <c r="Q266">
        <f>IF(K266="", "", IF(ISNUMBER(SEARCH("Implemented",K266)), "Pass", IF(ISNUMBER(SEARCH("Partial",K266)), "Partial", IF(ISNUMBER(SEARCH("Not Applicable",K266)), "N/A", "Fail"))))</f>
        <v/>
      </c>
      <c r="T266">
        <f>IF(Q266="", "", IF(OR(Q266="Fail", Q266="Partial"), "Yes", "No"))</f>
        <v/>
      </c>
      <c r="X266" t="inlineStr">
        <is>
          <t>No</t>
        </is>
      </c>
      <c r="AB266" t="inlineStr">
        <is>
          <t>[Security Analyst]</t>
        </is>
      </c>
      <c r="AE266" s="21">
        <f>IF(AA266&lt;&gt;"", AA266+90, "")</f>
        <v/>
      </c>
    </row>
    <row r="267">
      <c r="A267">
        <f>IF(B267&lt;&gt;"", "HC-"&amp;TEXT(ROW()-1,"00000"), "")</f>
        <v/>
      </c>
      <c r="Q267">
        <f>IF(K267="", "", IF(ISNUMBER(SEARCH("Implemented",K267)), "Pass", IF(ISNUMBER(SEARCH("Partial",K267)), "Partial", IF(ISNUMBER(SEARCH("Not Applicable",K267)), "N/A", "Fail"))))</f>
        <v/>
      </c>
      <c r="T267">
        <f>IF(Q267="", "", IF(OR(Q267="Fail", Q267="Partial"), "Yes", "No"))</f>
        <v/>
      </c>
      <c r="X267" t="inlineStr">
        <is>
          <t>No</t>
        </is>
      </c>
      <c r="AB267" t="inlineStr">
        <is>
          <t>[Security Analyst]</t>
        </is>
      </c>
      <c r="AE267" s="21">
        <f>IF(AA267&lt;&gt;"", AA267+90, "")</f>
        <v/>
      </c>
    </row>
    <row r="268">
      <c r="A268">
        <f>IF(B268&lt;&gt;"", "HC-"&amp;TEXT(ROW()-1,"00000"), "")</f>
        <v/>
      </c>
      <c r="Q268">
        <f>IF(K268="", "", IF(ISNUMBER(SEARCH("Implemented",K268)), "Pass", IF(ISNUMBER(SEARCH("Partial",K268)), "Partial", IF(ISNUMBER(SEARCH("Not Applicable",K268)), "N/A", "Fail"))))</f>
        <v/>
      </c>
      <c r="T268">
        <f>IF(Q268="", "", IF(OR(Q268="Fail", Q268="Partial"), "Yes", "No"))</f>
        <v/>
      </c>
      <c r="X268" t="inlineStr">
        <is>
          <t>No</t>
        </is>
      </c>
      <c r="AB268" t="inlineStr">
        <is>
          <t>[Security Analyst]</t>
        </is>
      </c>
      <c r="AE268" s="21">
        <f>IF(AA268&lt;&gt;"", AA268+90, "")</f>
        <v/>
      </c>
    </row>
    <row r="269">
      <c r="A269">
        <f>IF(B269&lt;&gt;"", "HC-"&amp;TEXT(ROW()-1,"00000"), "")</f>
        <v/>
      </c>
      <c r="Q269">
        <f>IF(K269="", "", IF(ISNUMBER(SEARCH("Implemented",K269)), "Pass", IF(ISNUMBER(SEARCH("Partial",K269)), "Partial", IF(ISNUMBER(SEARCH("Not Applicable",K269)), "N/A", "Fail"))))</f>
        <v/>
      </c>
      <c r="T269">
        <f>IF(Q269="", "", IF(OR(Q269="Fail", Q269="Partial"), "Yes", "No"))</f>
        <v/>
      </c>
      <c r="X269" t="inlineStr">
        <is>
          <t>No</t>
        </is>
      </c>
      <c r="AB269" t="inlineStr">
        <is>
          <t>[Security Analyst]</t>
        </is>
      </c>
      <c r="AE269" s="21">
        <f>IF(AA269&lt;&gt;"", AA269+90, "")</f>
        <v/>
      </c>
    </row>
    <row r="270">
      <c r="A270">
        <f>IF(B270&lt;&gt;"", "HC-"&amp;TEXT(ROW()-1,"00000"), "")</f>
        <v/>
      </c>
      <c r="Q270">
        <f>IF(K270="", "", IF(ISNUMBER(SEARCH("Implemented",K270)), "Pass", IF(ISNUMBER(SEARCH("Partial",K270)), "Partial", IF(ISNUMBER(SEARCH("Not Applicable",K270)), "N/A", "Fail"))))</f>
        <v/>
      </c>
      <c r="T270">
        <f>IF(Q270="", "", IF(OR(Q270="Fail", Q270="Partial"), "Yes", "No"))</f>
        <v/>
      </c>
      <c r="X270" t="inlineStr">
        <is>
          <t>No</t>
        </is>
      </c>
      <c r="AB270" t="inlineStr">
        <is>
          <t>[Security Analyst]</t>
        </is>
      </c>
      <c r="AE270" s="21">
        <f>IF(AA270&lt;&gt;"", AA270+90, "")</f>
        <v/>
      </c>
    </row>
    <row r="271">
      <c r="A271">
        <f>IF(B271&lt;&gt;"", "HC-"&amp;TEXT(ROW()-1,"00000"), "")</f>
        <v/>
      </c>
      <c r="Q271">
        <f>IF(K271="", "", IF(ISNUMBER(SEARCH("Implemented",K271)), "Pass", IF(ISNUMBER(SEARCH("Partial",K271)), "Partial", IF(ISNUMBER(SEARCH("Not Applicable",K271)), "N/A", "Fail"))))</f>
        <v/>
      </c>
      <c r="T271">
        <f>IF(Q271="", "", IF(OR(Q271="Fail", Q271="Partial"), "Yes", "No"))</f>
        <v/>
      </c>
      <c r="X271" t="inlineStr">
        <is>
          <t>No</t>
        </is>
      </c>
      <c r="AB271" t="inlineStr">
        <is>
          <t>[Security Analyst]</t>
        </is>
      </c>
      <c r="AE271" s="21">
        <f>IF(AA271&lt;&gt;"", AA271+90, "")</f>
        <v/>
      </c>
    </row>
    <row r="272">
      <c r="A272">
        <f>IF(B272&lt;&gt;"", "HC-"&amp;TEXT(ROW()-1,"00000"), "")</f>
        <v/>
      </c>
      <c r="Q272">
        <f>IF(K272="", "", IF(ISNUMBER(SEARCH("Implemented",K272)), "Pass", IF(ISNUMBER(SEARCH("Partial",K272)), "Partial", IF(ISNUMBER(SEARCH("Not Applicable",K272)), "N/A", "Fail"))))</f>
        <v/>
      </c>
      <c r="T272">
        <f>IF(Q272="", "", IF(OR(Q272="Fail", Q272="Partial"), "Yes", "No"))</f>
        <v/>
      </c>
      <c r="X272" t="inlineStr">
        <is>
          <t>No</t>
        </is>
      </c>
      <c r="AB272" t="inlineStr">
        <is>
          <t>[Security Analyst]</t>
        </is>
      </c>
      <c r="AE272" s="21">
        <f>IF(AA272&lt;&gt;"", AA272+90, "")</f>
        <v/>
      </c>
    </row>
    <row r="273">
      <c r="A273">
        <f>IF(B273&lt;&gt;"", "HC-"&amp;TEXT(ROW()-1,"00000"), "")</f>
        <v/>
      </c>
      <c r="Q273">
        <f>IF(K273="", "", IF(ISNUMBER(SEARCH("Implemented",K273)), "Pass", IF(ISNUMBER(SEARCH("Partial",K273)), "Partial", IF(ISNUMBER(SEARCH("Not Applicable",K273)), "N/A", "Fail"))))</f>
        <v/>
      </c>
      <c r="T273">
        <f>IF(Q273="", "", IF(OR(Q273="Fail", Q273="Partial"), "Yes", "No"))</f>
        <v/>
      </c>
      <c r="X273" t="inlineStr">
        <is>
          <t>No</t>
        </is>
      </c>
      <c r="AB273" t="inlineStr">
        <is>
          <t>[Security Analyst]</t>
        </is>
      </c>
      <c r="AE273" s="21">
        <f>IF(AA273&lt;&gt;"", AA273+90, "")</f>
        <v/>
      </c>
    </row>
    <row r="274">
      <c r="A274">
        <f>IF(B274&lt;&gt;"", "HC-"&amp;TEXT(ROW()-1,"00000"), "")</f>
        <v/>
      </c>
      <c r="Q274">
        <f>IF(K274="", "", IF(ISNUMBER(SEARCH("Implemented",K274)), "Pass", IF(ISNUMBER(SEARCH("Partial",K274)), "Partial", IF(ISNUMBER(SEARCH("Not Applicable",K274)), "N/A", "Fail"))))</f>
        <v/>
      </c>
      <c r="T274">
        <f>IF(Q274="", "", IF(OR(Q274="Fail", Q274="Partial"), "Yes", "No"))</f>
        <v/>
      </c>
      <c r="X274" t="inlineStr">
        <is>
          <t>No</t>
        </is>
      </c>
      <c r="AB274" t="inlineStr">
        <is>
          <t>[Security Analyst]</t>
        </is>
      </c>
      <c r="AE274" s="21">
        <f>IF(AA274&lt;&gt;"", AA274+90, "")</f>
        <v/>
      </c>
    </row>
    <row r="275">
      <c r="A275">
        <f>IF(B275&lt;&gt;"", "HC-"&amp;TEXT(ROW()-1,"00000"), "")</f>
        <v/>
      </c>
      <c r="Q275">
        <f>IF(K275="", "", IF(ISNUMBER(SEARCH("Implemented",K275)), "Pass", IF(ISNUMBER(SEARCH("Partial",K275)), "Partial", IF(ISNUMBER(SEARCH("Not Applicable",K275)), "N/A", "Fail"))))</f>
        <v/>
      </c>
      <c r="T275">
        <f>IF(Q275="", "", IF(OR(Q275="Fail", Q275="Partial"), "Yes", "No"))</f>
        <v/>
      </c>
      <c r="X275" t="inlineStr">
        <is>
          <t>No</t>
        </is>
      </c>
      <c r="AB275" t="inlineStr">
        <is>
          <t>[Security Analyst]</t>
        </is>
      </c>
      <c r="AE275" s="21">
        <f>IF(AA275&lt;&gt;"", AA275+90, "")</f>
        <v/>
      </c>
    </row>
    <row r="276">
      <c r="A276">
        <f>IF(B276&lt;&gt;"", "HC-"&amp;TEXT(ROW()-1,"00000"), "")</f>
        <v/>
      </c>
      <c r="Q276">
        <f>IF(K276="", "", IF(ISNUMBER(SEARCH("Implemented",K276)), "Pass", IF(ISNUMBER(SEARCH("Partial",K276)), "Partial", IF(ISNUMBER(SEARCH("Not Applicable",K276)), "N/A", "Fail"))))</f>
        <v/>
      </c>
      <c r="T276">
        <f>IF(Q276="", "", IF(OR(Q276="Fail", Q276="Partial"), "Yes", "No"))</f>
        <v/>
      </c>
      <c r="X276" t="inlineStr">
        <is>
          <t>No</t>
        </is>
      </c>
      <c r="AB276" t="inlineStr">
        <is>
          <t>[Security Analyst]</t>
        </is>
      </c>
      <c r="AE276" s="21">
        <f>IF(AA276&lt;&gt;"", AA276+90, "")</f>
        <v/>
      </c>
    </row>
    <row r="277">
      <c r="A277">
        <f>IF(B277&lt;&gt;"", "HC-"&amp;TEXT(ROW()-1,"00000"), "")</f>
        <v/>
      </c>
      <c r="Q277">
        <f>IF(K277="", "", IF(ISNUMBER(SEARCH("Implemented",K277)), "Pass", IF(ISNUMBER(SEARCH("Partial",K277)), "Partial", IF(ISNUMBER(SEARCH("Not Applicable",K277)), "N/A", "Fail"))))</f>
        <v/>
      </c>
      <c r="T277">
        <f>IF(Q277="", "", IF(OR(Q277="Fail", Q277="Partial"), "Yes", "No"))</f>
        <v/>
      </c>
      <c r="X277" t="inlineStr">
        <is>
          <t>No</t>
        </is>
      </c>
      <c r="AB277" t="inlineStr">
        <is>
          <t>[Security Analyst]</t>
        </is>
      </c>
      <c r="AE277" s="21">
        <f>IF(AA277&lt;&gt;"", AA277+90, "")</f>
        <v/>
      </c>
    </row>
    <row r="278">
      <c r="A278">
        <f>IF(B278&lt;&gt;"", "HC-"&amp;TEXT(ROW()-1,"00000"), "")</f>
        <v/>
      </c>
      <c r="Q278">
        <f>IF(K278="", "", IF(ISNUMBER(SEARCH("Implemented",K278)), "Pass", IF(ISNUMBER(SEARCH("Partial",K278)), "Partial", IF(ISNUMBER(SEARCH("Not Applicable",K278)), "N/A", "Fail"))))</f>
        <v/>
      </c>
      <c r="T278">
        <f>IF(Q278="", "", IF(OR(Q278="Fail", Q278="Partial"), "Yes", "No"))</f>
        <v/>
      </c>
      <c r="X278" t="inlineStr">
        <is>
          <t>No</t>
        </is>
      </c>
      <c r="AB278" t="inlineStr">
        <is>
          <t>[Security Analyst]</t>
        </is>
      </c>
      <c r="AE278" s="21">
        <f>IF(AA278&lt;&gt;"", AA278+90, "")</f>
        <v/>
      </c>
    </row>
    <row r="279">
      <c r="A279">
        <f>IF(B279&lt;&gt;"", "HC-"&amp;TEXT(ROW()-1,"00000"), "")</f>
        <v/>
      </c>
      <c r="Q279">
        <f>IF(K279="", "", IF(ISNUMBER(SEARCH("Implemented",K279)), "Pass", IF(ISNUMBER(SEARCH("Partial",K279)), "Partial", IF(ISNUMBER(SEARCH("Not Applicable",K279)), "N/A", "Fail"))))</f>
        <v/>
      </c>
      <c r="T279">
        <f>IF(Q279="", "", IF(OR(Q279="Fail", Q279="Partial"), "Yes", "No"))</f>
        <v/>
      </c>
      <c r="X279" t="inlineStr">
        <is>
          <t>No</t>
        </is>
      </c>
      <c r="AB279" t="inlineStr">
        <is>
          <t>[Security Analyst]</t>
        </is>
      </c>
      <c r="AE279" s="21">
        <f>IF(AA279&lt;&gt;"", AA279+90, "")</f>
        <v/>
      </c>
    </row>
    <row r="280">
      <c r="A280">
        <f>IF(B280&lt;&gt;"", "HC-"&amp;TEXT(ROW()-1,"00000"), "")</f>
        <v/>
      </c>
      <c r="Q280">
        <f>IF(K280="", "", IF(ISNUMBER(SEARCH("Implemented",K280)), "Pass", IF(ISNUMBER(SEARCH("Partial",K280)), "Partial", IF(ISNUMBER(SEARCH("Not Applicable",K280)), "N/A", "Fail"))))</f>
        <v/>
      </c>
      <c r="T280">
        <f>IF(Q280="", "", IF(OR(Q280="Fail", Q280="Partial"), "Yes", "No"))</f>
        <v/>
      </c>
      <c r="X280" t="inlineStr">
        <is>
          <t>No</t>
        </is>
      </c>
      <c r="AB280" t="inlineStr">
        <is>
          <t>[Security Analyst]</t>
        </is>
      </c>
      <c r="AE280" s="21">
        <f>IF(AA280&lt;&gt;"", AA280+90, "")</f>
        <v/>
      </c>
    </row>
    <row r="281">
      <c r="A281">
        <f>IF(B281&lt;&gt;"", "HC-"&amp;TEXT(ROW()-1,"00000"), "")</f>
        <v/>
      </c>
      <c r="Q281">
        <f>IF(K281="", "", IF(ISNUMBER(SEARCH("Implemented",K281)), "Pass", IF(ISNUMBER(SEARCH("Partial",K281)), "Partial", IF(ISNUMBER(SEARCH("Not Applicable",K281)), "N/A", "Fail"))))</f>
        <v/>
      </c>
      <c r="T281">
        <f>IF(Q281="", "", IF(OR(Q281="Fail", Q281="Partial"), "Yes", "No"))</f>
        <v/>
      </c>
      <c r="X281" t="inlineStr">
        <is>
          <t>No</t>
        </is>
      </c>
      <c r="AB281" t="inlineStr">
        <is>
          <t>[Security Analyst]</t>
        </is>
      </c>
      <c r="AE281" s="21">
        <f>IF(AA281&lt;&gt;"", AA281+90, "")</f>
        <v/>
      </c>
    </row>
    <row r="282">
      <c r="A282">
        <f>IF(B282&lt;&gt;"", "HC-"&amp;TEXT(ROW()-1,"00000"), "")</f>
        <v/>
      </c>
      <c r="Q282">
        <f>IF(K282="", "", IF(ISNUMBER(SEARCH("Implemented",K282)), "Pass", IF(ISNUMBER(SEARCH("Partial",K282)), "Partial", IF(ISNUMBER(SEARCH("Not Applicable",K282)), "N/A", "Fail"))))</f>
        <v/>
      </c>
      <c r="T282">
        <f>IF(Q282="", "", IF(OR(Q282="Fail", Q282="Partial"), "Yes", "No"))</f>
        <v/>
      </c>
      <c r="X282" t="inlineStr">
        <is>
          <t>No</t>
        </is>
      </c>
      <c r="AB282" t="inlineStr">
        <is>
          <t>[Security Analyst]</t>
        </is>
      </c>
      <c r="AE282" s="21">
        <f>IF(AA282&lt;&gt;"", AA282+90, "")</f>
        <v/>
      </c>
    </row>
    <row r="283">
      <c r="A283">
        <f>IF(B283&lt;&gt;"", "HC-"&amp;TEXT(ROW()-1,"00000"), "")</f>
        <v/>
      </c>
      <c r="Q283">
        <f>IF(K283="", "", IF(ISNUMBER(SEARCH("Implemented",K283)), "Pass", IF(ISNUMBER(SEARCH("Partial",K283)), "Partial", IF(ISNUMBER(SEARCH("Not Applicable",K283)), "N/A", "Fail"))))</f>
        <v/>
      </c>
      <c r="T283">
        <f>IF(Q283="", "", IF(OR(Q283="Fail", Q283="Partial"), "Yes", "No"))</f>
        <v/>
      </c>
      <c r="X283" t="inlineStr">
        <is>
          <t>No</t>
        </is>
      </c>
      <c r="AB283" t="inlineStr">
        <is>
          <t>[Security Analyst]</t>
        </is>
      </c>
      <c r="AE283" s="21">
        <f>IF(AA283&lt;&gt;"", AA283+90, "")</f>
        <v/>
      </c>
    </row>
    <row r="284">
      <c r="A284">
        <f>IF(B284&lt;&gt;"", "HC-"&amp;TEXT(ROW()-1,"00000"), "")</f>
        <v/>
      </c>
      <c r="Q284">
        <f>IF(K284="", "", IF(ISNUMBER(SEARCH("Implemented",K284)), "Pass", IF(ISNUMBER(SEARCH("Partial",K284)), "Partial", IF(ISNUMBER(SEARCH("Not Applicable",K284)), "N/A", "Fail"))))</f>
        <v/>
      </c>
      <c r="T284">
        <f>IF(Q284="", "", IF(OR(Q284="Fail", Q284="Partial"), "Yes", "No"))</f>
        <v/>
      </c>
      <c r="X284" t="inlineStr">
        <is>
          <t>No</t>
        </is>
      </c>
      <c r="AB284" t="inlineStr">
        <is>
          <t>[Security Analyst]</t>
        </is>
      </c>
      <c r="AE284" s="21">
        <f>IF(AA284&lt;&gt;"", AA284+90, "")</f>
        <v/>
      </c>
    </row>
    <row r="285">
      <c r="A285">
        <f>IF(B285&lt;&gt;"", "HC-"&amp;TEXT(ROW()-1,"00000"), "")</f>
        <v/>
      </c>
      <c r="Q285">
        <f>IF(K285="", "", IF(ISNUMBER(SEARCH("Implemented",K285)), "Pass", IF(ISNUMBER(SEARCH("Partial",K285)), "Partial", IF(ISNUMBER(SEARCH("Not Applicable",K285)), "N/A", "Fail"))))</f>
        <v/>
      </c>
      <c r="T285">
        <f>IF(Q285="", "", IF(OR(Q285="Fail", Q285="Partial"), "Yes", "No"))</f>
        <v/>
      </c>
      <c r="X285" t="inlineStr">
        <is>
          <t>No</t>
        </is>
      </c>
      <c r="AB285" t="inlineStr">
        <is>
          <t>[Security Analyst]</t>
        </is>
      </c>
      <c r="AE285" s="21">
        <f>IF(AA285&lt;&gt;"", AA285+90, "")</f>
        <v/>
      </c>
    </row>
    <row r="286">
      <c r="A286">
        <f>IF(B286&lt;&gt;"", "HC-"&amp;TEXT(ROW()-1,"00000"), "")</f>
        <v/>
      </c>
      <c r="Q286">
        <f>IF(K286="", "", IF(ISNUMBER(SEARCH("Implemented",K286)), "Pass", IF(ISNUMBER(SEARCH("Partial",K286)), "Partial", IF(ISNUMBER(SEARCH("Not Applicable",K286)), "N/A", "Fail"))))</f>
        <v/>
      </c>
      <c r="T286">
        <f>IF(Q286="", "", IF(OR(Q286="Fail", Q286="Partial"), "Yes", "No"))</f>
        <v/>
      </c>
      <c r="X286" t="inlineStr">
        <is>
          <t>No</t>
        </is>
      </c>
      <c r="AB286" t="inlineStr">
        <is>
          <t>[Security Analyst]</t>
        </is>
      </c>
      <c r="AE286" s="21">
        <f>IF(AA286&lt;&gt;"", AA286+90, "")</f>
        <v/>
      </c>
    </row>
    <row r="287">
      <c r="A287">
        <f>IF(B287&lt;&gt;"", "HC-"&amp;TEXT(ROW()-1,"00000"), "")</f>
        <v/>
      </c>
      <c r="Q287">
        <f>IF(K287="", "", IF(ISNUMBER(SEARCH("Implemented",K287)), "Pass", IF(ISNUMBER(SEARCH("Partial",K287)), "Partial", IF(ISNUMBER(SEARCH("Not Applicable",K287)), "N/A", "Fail"))))</f>
        <v/>
      </c>
      <c r="T287">
        <f>IF(Q287="", "", IF(OR(Q287="Fail", Q287="Partial"), "Yes", "No"))</f>
        <v/>
      </c>
      <c r="X287" t="inlineStr">
        <is>
          <t>No</t>
        </is>
      </c>
      <c r="AB287" t="inlineStr">
        <is>
          <t>[Security Analyst]</t>
        </is>
      </c>
      <c r="AE287" s="21">
        <f>IF(AA287&lt;&gt;"", AA287+90, "")</f>
        <v/>
      </c>
    </row>
    <row r="288">
      <c r="A288">
        <f>IF(B288&lt;&gt;"", "HC-"&amp;TEXT(ROW()-1,"00000"), "")</f>
        <v/>
      </c>
      <c r="Q288">
        <f>IF(K288="", "", IF(ISNUMBER(SEARCH("Implemented",K288)), "Pass", IF(ISNUMBER(SEARCH("Partial",K288)), "Partial", IF(ISNUMBER(SEARCH("Not Applicable",K288)), "N/A", "Fail"))))</f>
        <v/>
      </c>
      <c r="T288">
        <f>IF(Q288="", "", IF(OR(Q288="Fail", Q288="Partial"), "Yes", "No"))</f>
        <v/>
      </c>
      <c r="X288" t="inlineStr">
        <is>
          <t>No</t>
        </is>
      </c>
      <c r="AB288" t="inlineStr">
        <is>
          <t>[Security Analyst]</t>
        </is>
      </c>
      <c r="AE288" s="21">
        <f>IF(AA288&lt;&gt;"", AA288+90, "")</f>
        <v/>
      </c>
    </row>
    <row r="289">
      <c r="A289">
        <f>IF(B289&lt;&gt;"", "HC-"&amp;TEXT(ROW()-1,"00000"), "")</f>
        <v/>
      </c>
      <c r="Q289">
        <f>IF(K289="", "", IF(ISNUMBER(SEARCH("Implemented",K289)), "Pass", IF(ISNUMBER(SEARCH("Partial",K289)), "Partial", IF(ISNUMBER(SEARCH("Not Applicable",K289)), "N/A", "Fail"))))</f>
        <v/>
      </c>
      <c r="T289">
        <f>IF(Q289="", "", IF(OR(Q289="Fail", Q289="Partial"), "Yes", "No"))</f>
        <v/>
      </c>
      <c r="X289" t="inlineStr">
        <is>
          <t>No</t>
        </is>
      </c>
      <c r="AB289" t="inlineStr">
        <is>
          <t>[Security Analyst]</t>
        </is>
      </c>
      <c r="AE289" s="21">
        <f>IF(AA289&lt;&gt;"", AA289+90, "")</f>
        <v/>
      </c>
    </row>
    <row r="290">
      <c r="A290">
        <f>IF(B290&lt;&gt;"", "HC-"&amp;TEXT(ROW()-1,"00000"), "")</f>
        <v/>
      </c>
      <c r="Q290">
        <f>IF(K290="", "", IF(ISNUMBER(SEARCH("Implemented",K290)), "Pass", IF(ISNUMBER(SEARCH("Partial",K290)), "Partial", IF(ISNUMBER(SEARCH("Not Applicable",K290)), "N/A", "Fail"))))</f>
        <v/>
      </c>
      <c r="T290">
        <f>IF(Q290="", "", IF(OR(Q290="Fail", Q290="Partial"), "Yes", "No"))</f>
        <v/>
      </c>
      <c r="X290" t="inlineStr">
        <is>
          <t>No</t>
        </is>
      </c>
      <c r="AB290" t="inlineStr">
        <is>
          <t>[Security Analyst]</t>
        </is>
      </c>
      <c r="AE290" s="21">
        <f>IF(AA290&lt;&gt;"", AA290+90, "")</f>
        <v/>
      </c>
    </row>
    <row r="291">
      <c r="A291">
        <f>IF(B291&lt;&gt;"", "HC-"&amp;TEXT(ROW()-1,"00000"), "")</f>
        <v/>
      </c>
      <c r="Q291">
        <f>IF(K291="", "", IF(ISNUMBER(SEARCH("Implemented",K291)), "Pass", IF(ISNUMBER(SEARCH("Partial",K291)), "Partial", IF(ISNUMBER(SEARCH("Not Applicable",K291)), "N/A", "Fail"))))</f>
        <v/>
      </c>
      <c r="T291">
        <f>IF(Q291="", "", IF(OR(Q291="Fail", Q291="Partial"), "Yes", "No"))</f>
        <v/>
      </c>
      <c r="X291" t="inlineStr">
        <is>
          <t>No</t>
        </is>
      </c>
      <c r="AB291" t="inlineStr">
        <is>
          <t>[Security Analyst]</t>
        </is>
      </c>
      <c r="AE291" s="21">
        <f>IF(AA291&lt;&gt;"", AA291+90, "")</f>
        <v/>
      </c>
    </row>
    <row r="292">
      <c r="A292">
        <f>IF(B292&lt;&gt;"", "HC-"&amp;TEXT(ROW()-1,"00000"), "")</f>
        <v/>
      </c>
      <c r="Q292">
        <f>IF(K292="", "", IF(ISNUMBER(SEARCH("Implemented",K292)), "Pass", IF(ISNUMBER(SEARCH("Partial",K292)), "Partial", IF(ISNUMBER(SEARCH("Not Applicable",K292)), "N/A", "Fail"))))</f>
        <v/>
      </c>
      <c r="T292">
        <f>IF(Q292="", "", IF(OR(Q292="Fail", Q292="Partial"), "Yes", "No"))</f>
        <v/>
      </c>
      <c r="X292" t="inlineStr">
        <is>
          <t>No</t>
        </is>
      </c>
      <c r="AB292" t="inlineStr">
        <is>
          <t>[Security Analyst]</t>
        </is>
      </c>
      <c r="AE292" s="21">
        <f>IF(AA292&lt;&gt;"", AA292+90, "")</f>
        <v/>
      </c>
    </row>
    <row r="293">
      <c r="A293">
        <f>IF(B293&lt;&gt;"", "HC-"&amp;TEXT(ROW()-1,"00000"), "")</f>
        <v/>
      </c>
      <c r="Q293">
        <f>IF(K293="", "", IF(ISNUMBER(SEARCH("Implemented",K293)), "Pass", IF(ISNUMBER(SEARCH("Partial",K293)), "Partial", IF(ISNUMBER(SEARCH("Not Applicable",K293)), "N/A", "Fail"))))</f>
        <v/>
      </c>
      <c r="T293">
        <f>IF(Q293="", "", IF(OR(Q293="Fail", Q293="Partial"), "Yes", "No"))</f>
        <v/>
      </c>
      <c r="X293" t="inlineStr">
        <is>
          <t>No</t>
        </is>
      </c>
      <c r="AB293" t="inlineStr">
        <is>
          <t>[Security Analyst]</t>
        </is>
      </c>
      <c r="AE293" s="21">
        <f>IF(AA293&lt;&gt;"", AA293+90, "")</f>
        <v/>
      </c>
    </row>
    <row r="294">
      <c r="A294">
        <f>IF(B294&lt;&gt;"", "HC-"&amp;TEXT(ROW()-1,"00000"), "")</f>
        <v/>
      </c>
      <c r="Q294">
        <f>IF(K294="", "", IF(ISNUMBER(SEARCH("Implemented",K294)), "Pass", IF(ISNUMBER(SEARCH("Partial",K294)), "Partial", IF(ISNUMBER(SEARCH("Not Applicable",K294)), "N/A", "Fail"))))</f>
        <v/>
      </c>
      <c r="T294">
        <f>IF(Q294="", "", IF(OR(Q294="Fail", Q294="Partial"), "Yes", "No"))</f>
        <v/>
      </c>
      <c r="X294" t="inlineStr">
        <is>
          <t>No</t>
        </is>
      </c>
      <c r="AB294" t="inlineStr">
        <is>
          <t>[Security Analyst]</t>
        </is>
      </c>
      <c r="AE294" s="21">
        <f>IF(AA294&lt;&gt;"", AA294+90, "")</f>
        <v/>
      </c>
    </row>
    <row r="295">
      <c r="A295">
        <f>IF(B295&lt;&gt;"", "HC-"&amp;TEXT(ROW()-1,"00000"), "")</f>
        <v/>
      </c>
      <c r="Q295">
        <f>IF(K295="", "", IF(ISNUMBER(SEARCH("Implemented",K295)), "Pass", IF(ISNUMBER(SEARCH("Partial",K295)), "Partial", IF(ISNUMBER(SEARCH("Not Applicable",K295)), "N/A", "Fail"))))</f>
        <v/>
      </c>
      <c r="T295">
        <f>IF(Q295="", "", IF(OR(Q295="Fail", Q295="Partial"), "Yes", "No"))</f>
        <v/>
      </c>
      <c r="X295" t="inlineStr">
        <is>
          <t>No</t>
        </is>
      </c>
      <c r="AB295" t="inlineStr">
        <is>
          <t>[Security Analyst]</t>
        </is>
      </c>
      <c r="AE295" s="21">
        <f>IF(AA295&lt;&gt;"", AA295+90, "")</f>
        <v/>
      </c>
    </row>
    <row r="296">
      <c r="A296">
        <f>IF(B296&lt;&gt;"", "HC-"&amp;TEXT(ROW()-1,"00000"), "")</f>
        <v/>
      </c>
      <c r="Q296">
        <f>IF(K296="", "", IF(ISNUMBER(SEARCH("Implemented",K296)), "Pass", IF(ISNUMBER(SEARCH("Partial",K296)), "Partial", IF(ISNUMBER(SEARCH("Not Applicable",K296)), "N/A", "Fail"))))</f>
        <v/>
      </c>
      <c r="T296">
        <f>IF(Q296="", "", IF(OR(Q296="Fail", Q296="Partial"), "Yes", "No"))</f>
        <v/>
      </c>
      <c r="X296" t="inlineStr">
        <is>
          <t>No</t>
        </is>
      </c>
      <c r="AB296" t="inlineStr">
        <is>
          <t>[Security Analyst]</t>
        </is>
      </c>
      <c r="AE296" s="21">
        <f>IF(AA296&lt;&gt;"", AA296+90, "")</f>
        <v/>
      </c>
    </row>
    <row r="297">
      <c r="A297">
        <f>IF(B297&lt;&gt;"", "HC-"&amp;TEXT(ROW()-1,"00000"), "")</f>
        <v/>
      </c>
      <c r="Q297">
        <f>IF(K297="", "", IF(ISNUMBER(SEARCH("Implemented",K297)), "Pass", IF(ISNUMBER(SEARCH("Partial",K297)), "Partial", IF(ISNUMBER(SEARCH("Not Applicable",K297)), "N/A", "Fail"))))</f>
        <v/>
      </c>
      <c r="T297">
        <f>IF(Q297="", "", IF(OR(Q297="Fail", Q297="Partial"), "Yes", "No"))</f>
        <v/>
      </c>
      <c r="X297" t="inlineStr">
        <is>
          <t>No</t>
        </is>
      </c>
      <c r="AB297" t="inlineStr">
        <is>
          <t>[Security Analyst]</t>
        </is>
      </c>
      <c r="AE297" s="21">
        <f>IF(AA297&lt;&gt;"", AA297+90, "")</f>
        <v/>
      </c>
    </row>
    <row r="298">
      <c r="A298">
        <f>IF(B298&lt;&gt;"", "HC-"&amp;TEXT(ROW()-1,"00000"), "")</f>
        <v/>
      </c>
      <c r="Q298">
        <f>IF(K298="", "", IF(ISNUMBER(SEARCH("Implemented",K298)), "Pass", IF(ISNUMBER(SEARCH("Partial",K298)), "Partial", IF(ISNUMBER(SEARCH("Not Applicable",K298)), "N/A", "Fail"))))</f>
        <v/>
      </c>
      <c r="T298">
        <f>IF(Q298="", "", IF(OR(Q298="Fail", Q298="Partial"), "Yes", "No"))</f>
        <v/>
      </c>
      <c r="X298" t="inlineStr">
        <is>
          <t>No</t>
        </is>
      </c>
      <c r="AB298" t="inlineStr">
        <is>
          <t>[Security Analyst]</t>
        </is>
      </c>
      <c r="AE298" s="21">
        <f>IF(AA298&lt;&gt;"", AA298+90, "")</f>
        <v/>
      </c>
    </row>
    <row r="299">
      <c r="A299">
        <f>IF(B299&lt;&gt;"", "HC-"&amp;TEXT(ROW()-1,"00000"), "")</f>
        <v/>
      </c>
      <c r="Q299">
        <f>IF(K299="", "", IF(ISNUMBER(SEARCH("Implemented",K299)), "Pass", IF(ISNUMBER(SEARCH("Partial",K299)), "Partial", IF(ISNUMBER(SEARCH("Not Applicable",K299)), "N/A", "Fail"))))</f>
        <v/>
      </c>
      <c r="T299">
        <f>IF(Q299="", "", IF(OR(Q299="Fail", Q299="Partial"), "Yes", "No"))</f>
        <v/>
      </c>
      <c r="X299" t="inlineStr">
        <is>
          <t>No</t>
        </is>
      </c>
      <c r="AB299" t="inlineStr">
        <is>
          <t>[Security Analyst]</t>
        </is>
      </c>
      <c r="AE299" s="21">
        <f>IF(AA299&lt;&gt;"", AA299+90, "")</f>
        <v/>
      </c>
    </row>
    <row r="300">
      <c r="A300">
        <f>IF(B300&lt;&gt;"", "HC-"&amp;TEXT(ROW()-1,"00000"), "")</f>
        <v/>
      </c>
      <c r="Q300">
        <f>IF(K300="", "", IF(ISNUMBER(SEARCH("Implemented",K300)), "Pass", IF(ISNUMBER(SEARCH("Partial",K300)), "Partial", IF(ISNUMBER(SEARCH("Not Applicable",K300)), "N/A", "Fail"))))</f>
        <v/>
      </c>
      <c r="T300">
        <f>IF(Q300="", "", IF(OR(Q300="Fail", Q300="Partial"), "Yes", "No"))</f>
        <v/>
      </c>
      <c r="X300" t="inlineStr">
        <is>
          <t>No</t>
        </is>
      </c>
      <c r="AB300" t="inlineStr">
        <is>
          <t>[Security Analyst]</t>
        </is>
      </c>
      <c r="AE300" s="21">
        <f>IF(AA300&lt;&gt;"", AA300+90, "")</f>
        <v/>
      </c>
    </row>
    <row r="301">
      <c r="A301">
        <f>IF(B301&lt;&gt;"", "HC-"&amp;TEXT(ROW()-1,"00000"), "")</f>
        <v/>
      </c>
      <c r="Q301">
        <f>IF(K301="", "", IF(ISNUMBER(SEARCH("Implemented",K301)), "Pass", IF(ISNUMBER(SEARCH("Partial",K301)), "Partial", IF(ISNUMBER(SEARCH("Not Applicable",K301)), "N/A", "Fail"))))</f>
        <v/>
      </c>
      <c r="T301">
        <f>IF(Q301="", "", IF(OR(Q301="Fail", Q301="Partial"), "Yes", "No"))</f>
        <v/>
      </c>
      <c r="X301" t="inlineStr">
        <is>
          <t>No</t>
        </is>
      </c>
      <c r="AB301" t="inlineStr">
        <is>
          <t>[Security Analyst]</t>
        </is>
      </c>
      <c r="AE301" s="21">
        <f>IF(AA301&lt;&gt;"", AA301+90, "")</f>
        <v/>
      </c>
    </row>
    <row r="302">
      <c r="A302">
        <f>IF(B302&lt;&gt;"", "HC-"&amp;TEXT(ROW()-1,"00000"), "")</f>
        <v/>
      </c>
      <c r="Q302">
        <f>IF(K302="", "", IF(ISNUMBER(SEARCH("Implemented",K302)), "Pass", IF(ISNUMBER(SEARCH("Partial",K302)), "Partial", IF(ISNUMBER(SEARCH("Not Applicable",K302)), "N/A", "Fail"))))</f>
        <v/>
      </c>
      <c r="T302">
        <f>IF(Q302="", "", IF(OR(Q302="Fail", Q302="Partial"), "Yes", "No"))</f>
        <v/>
      </c>
      <c r="X302" t="inlineStr">
        <is>
          <t>No</t>
        </is>
      </c>
      <c r="AB302" t="inlineStr">
        <is>
          <t>[Security Analyst]</t>
        </is>
      </c>
      <c r="AE302" s="21">
        <f>IF(AA302&lt;&gt;"", AA302+90, "")</f>
        <v/>
      </c>
    </row>
    <row r="303">
      <c r="A303">
        <f>IF(B303&lt;&gt;"", "HC-"&amp;TEXT(ROW()-1,"00000"), "")</f>
        <v/>
      </c>
      <c r="Q303">
        <f>IF(K303="", "", IF(ISNUMBER(SEARCH("Implemented",K303)), "Pass", IF(ISNUMBER(SEARCH("Partial",K303)), "Partial", IF(ISNUMBER(SEARCH("Not Applicable",K303)), "N/A", "Fail"))))</f>
        <v/>
      </c>
      <c r="T303">
        <f>IF(Q303="", "", IF(OR(Q303="Fail", Q303="Partial"), "Yes", "No"))</f>
        <v/>
      </c>
      <c r="X303" t="inlineStr">
        <is>
          <t>No</t>
        </is>
      </c>
      <c r="AB303" t="inlineStr">
        <is>
          <t>[Security Analyst]</t>
        </is>
      </c>
      <c r="AE303" s="21">
        <f>IF(AA303&lt;&gt;"", AA303+90, "")</f>
        <v/>
      </c>
    </row>
    <row r="304">
      <c r="A304">
        <f>IF(B304&lt;&gt;"", "HC-"&amp;TEXT(ROW()-1,"00000"), "")</f>
        <v/>
      </c>
      <c r="Q304">
        <f>IF(K304="", "", IF(ISNUMBER(SEARCH("Implemented",K304)), "Pass", IF(ISNUMBER(SEARCH("Partial",K304)), "Partial", IF(ISNUMBER(SEARCH("Not Applicable",K304)), "N/A", "Fail"))))</f>
        <v/>
      </c>
      <c r="T304">
        <f>IF(Q304="", "", IF(OR(Q304="Fail", Q304="Partial"), "Yes", "No"))</f>
        <v/>
      </c>
      <c r="X304" t="inlineStr">
        <is>
          <t>No</t>
        </is>
      </c>
      <c r="AB304" t="inlineStr">
        <is>
          <t>[Security Analyst]</t>
        </is>
      </c>
      <c r="AE304" s="21">
        <f>IF(AA304&lt;&gt;"", AA304+90, "")</f>
        <v/>
      </c>
    </row>
    <row r="305">
      <c r="A305">
        <f>IF(B305&lt;&gt;"", "HC-"&amp;TEXT(ROW()-1,"00000"), "")</f>
        <v/>
      </c>
      <c r="Q305">
        <f>IF(K305="", "", IF(ISNUMBER(SEARCH("Implemented",K305)), "Pass", IF(ISNUMBER(SEARCH("Partial",K305)), "Partial", IF(ISNUMBER(SEARCH("Not Applicable",K305)), "N/A", "Fail"))))</f>
        <v/>
      </c>
      <c r="T305">
        <f>IF(Q305="", "", IF(OR(Q305="Fail", Q305="Partial"), "Yes", "No"))</f>
        <v/>
      </c>
      <c r="X305" t="inlineStr">
        <is>
          <t>No</t>
        </is>
      </c>
      <c r="AB305" t="inlineStr">
        <is>
          <t>[Security Analyst]</t>
        </is>
      </c>
      <c r="AE305" s="21">
        <f>IF(AA305&lt;&gt;"", AA305+90, "")</f>
        <v/>
      </c>
    </row>
    <row r="306">
      <c r="A306">
        <f>IF(B306&lt;&gt;"", "HC-"&amp;TEXT(ROW()-1,"00000"), "")</f>
        <v/>
      </c>
      <c r="Q306">
        <f>IF(K306="", "", IF(ISNUMBER(SEARCH("Implemented",K306)), "Pass", IF(ISNUMBER(SEARCH("Partial",K306)), "Partial", IF(ISNUMBER(SEARCH("Not Applicable",K306)), "N/A", "Fail"))))</f>
        <v/>
      </c>
      <c r="T306">
        <f>IF(Q306="", "", IF(OR(Q306="Fail", Q306="Partial"), "Yes", "No"))</f>
        <v/>
      </c>
      <c r="X306" t="inlineStr">
        <is>
          <t>No</t>
        </is>
      </c>
      <c r="AB306" t="inlineStr">
        <is>
          <t>[Security Analyst]</t>
        </is>
      </c>
      <c r="AE306" s="21">
        <f>IF(AA306&lt;&gt;"", AA306+90, "")</f>
        <v/>
      </c>
    </row>
    <row r="307">
      <c r="A307">
        <f>IF(B307&lt;&gt;"", "HC-"&amp;TEXT(ROW()-1,"00000"), "")</f>
        <v/>
      </c>
      <c r="Q307">
        <f>IF(K307="", "", IF(ISNUMBER(SEARCH("Implemented",K307)), "Pass", IF(ISNUMBER(SEARCH("Partial",K307)), "Partial", IF(ISNUMBER(SEARCH("Not Applicable",K307)), "N/A", "Fail"))))</f>
        <v/>
      </c>
      <c r="T307">
        <f>IF(Q307="", "", IF(OR(Q307="Fail", Q307="Partial"), "Yes", "No"))</f>
        <v/>
      </c>
      <c r="X307" t="inlineStr">
        <is>
          <t>No</t>
        </is>
      </c>
      <c r="AB307" t="inlineStr">
        <is>
          <t>[Security Analyst]</t>
        </is>
      </c>
      <c r="AE307" s="21">
        <f>IF(AA307&lt;&gt;"", AA307+90, "")</f>
        <v/>
      </c>
    </row>
    <row r="308">
      <c r="A308">
        <f>IF(B308&lt;&gt;"", "HC-"&amp;TEXT(ROW()-1,"00000"), "")</f>
        <v/>
      </c>
      <c r="Q308">
        <f>IF(K308="", "", IF(ISNUMBER(SEARCH("Implemented",K308)), "Pass", IF(ISNUMBER(SEARCH("Partial",K308)), "Partial", IF(ISNUMBER(SEARCH("Not Applicable",K308)), "N/A", "Fail"))))</f>
        <v/>
      </c>
      <c r="T308">
        <f>IF(Q308="", "", IF(OR(Q308="Fail", Q308="Partial"), "Yes", "No"))</f>
        <v/>
      </c>
      <c r="X308" t="inlineStr">
        <is>
          <t>No</t>
        </is>
      </c>
      <c r="AB308" t="inlineStr">
        <is>
          <t>[Security Analyst]</t>
        </is>
      </c>
      <c r="AE308" s="21">
        <f>IF(AA308&lt;&gt;"", AA308+90, "")</f>
        <v/>
      </c>
    </row>
    <row r="309">
      <c r="A309">
        <f>IF(B309&lt;&gt;"", "HC-"&amp;TEXT(ROW()-1,"00000"), "")</f>
        <v/>
      </c>
      <c r="Q309">
        <f>IF(K309="", "", IF(ISNUMBER(SEARCH("Implemented",K309)), "Pass", IF(ISNUMBER(SEARCH("Partial",K309)), "Partial", IF(ISNUMBER(SEARCH("Not Applicable",K309)), "N/A", "Fail"))))</f>
        <v/>
      </c>
      <c r="T309">
        <f>IF(Q309="", "", IF(OR(Q309="Fail", Q309="Partial"), "Yes", "No"))</f>
        <v/>
      </c>
      <c r="X309" t="inlineStr">
        <is>
          <t>No</t>
        </is>
      </c>
      <c r="AB309" t="inlineStr">
        <is>
          <t>[Security Analyst]</t>
        </is>
      </c>
      <c r="AE309" s="21">
        <f>IF(AA309&lt;&gt;"", AA309+90, "")</f>
        <v/>
      </c>
    </row>
    <row r="310">
      <c r="A310">
        <f>IF(B310&lt;&gt;"", "HC-"&amp;TEXT(ROW()-1,"00000"), "")</f>
        <v/>
      </c>
      <c r="Q310">
        <f>IF(K310="", "", IF(ISNUMBER(SEARCH("Implemented",K310)), "Pass", IF(ISNUMBER(SEARCH("Partial",K310)), "Partial", IF(ISNUMBER(SEARCH("Not Applicable",K310)), "N/A", "Fail"))))</f>
        <v/>
      </c>
      <c r="T310">
        <f>IF(Q310="", "", IF(OR(Q310="Fail", Q310="Partial"), "Yes", "No"))</f>
        <v/>
      </c>
      <c r="X310" t="inlineStr">
        <is>
          <t>No</t>
        </is>
      </c>
      <c r="AB310" t="inlineStr">
        <is>
          <t>[Security Analyst]</t>
        </is>
      </c>
      <c r="AE310" s="21">
        <f>IF(AA310&lt;&gt;"", AA310+90, "")</f>
        <v/>
      </c>
    </row>
    <row r="311">
      <c r="A311">
        <f>IF(B311&lt;&gt;"", "HC-"&amp;TEXT(ROW()-1,"00000"), "")</f>
        <v/>
      </c>
      <c r="Q311">
        <f>IF(K311="", "", IF(ISNUMBER(SEARCH("Implemented",K311)), "Pass", IF(ISNUMBER(SEARCH("Partial",K311)), "Partial", IF(ISNUMBER(SEARCH("Not Applicable",K311)), "N/A", "Fail"))))</f>
        <v/>
      </c>
      <c r="T311">
        <f>IF(Q311="", "", IF(OR(Q311="Fail", Q311="Partial"), "Yes", "No"))</f>
        <v/>
      </c>
      <c r="X311" t="inlineStr">
        <is>
          <t>No</t>
        </is>
      </c>
      <c r="AB311" t="inlineStr">
        <is>
          <t>[Security Analyst]</t>
        </is>
      </c>
      <c r="AE311" s="21">
        <f>IF(AA311&lt;&gt;"", AA311+90, "")</f>
        <v/>
      </c>
    </row>
    <row r="312">
      <c r="A312">
        <f>IF(B312&lt;&gt;"", "HC-"&amp;TEXT(ROW()-1,"00000"), "")</f>
        <v/>
      </c>
      <c r="Q312">
        <f>IF(K312="", "", IF(ISNUMBER(SEARCH("Implemented",K312)), "Pass", IF(ISNUMBER(SEARCH("Partial",K312)), "Partial", IF(ISNUMBER(SEARCH("Not Applicable",K312)), "N/A", "Fail"))))</f>
        <v/>
      </c>
      <c r="T312">
        <f>IF(Q312="", "", IF(OR(Q312="Fail", Q312="Partial"), "Yes", "No"))</f>
        <v/>
      </c>
      <c r="X312" t="inlineStr">
        <is>
          <t>No</t>
        </is>
      </c>
      <c r="AB312" t="inlineStr">
        <is>
          <t>[Security Analyst]</t>
        </is>
      </c>
      <c r="AE312" s="21">
        <f>IF(AA312&lt;&gt;"", AA312+90, "")</f>
        <v/>
      </c>
    </row>
    <row r="313">
      <c r="A313">
        <f>IF(B313&lt;&gt;"", "HC-"&amp;TEXT(ROW()-1,"00000"), "")</f>
        <v/>
      </c>
      <c r="Q313">
        <f>IF(K313="", "", IF(ISNUMBER(SEARCH("Implemented",K313)), "Pass", IF(ISNUMBER(SEARCH("Partial",K313)), "Partial", IF(ISNUMBER(SEARCH("Not Applicable",K313)), "N/A", "Fail"))))</f>
        <v/>
      </c>
      <c r="T313">
        <f>IF(Q313="", "", IF(OR(Q313="Fail", Q313="Partial"), "Yes", "No"))</f>
        <v/>
      </c>
      <c r="X313" t="inlineStr">
        <is>
          <t>No</t>
        </is>
      </c>
      <c r="AB313" t="inlineStr">
        <is>
          <t>[Security Analyst]</t>
        </is>
      </c>
      <c r="AE313" s="21">
        <f>IF(AA313&lt;&gt;"", AA313+90, "")</f>
        <v/>
      </c>
    </row>
    <row r="314">
      <c r="A314">
        <f>IF(B314&lt;&gt;"", "HC-"&amp;TEXT(ROW()-1,"00000"), "")</f>
        <v/>
      </c>
      <c r="Q314">
        <f>IF(K314="", "", IF(ISNUMBER(SEARCH("Implemented",K314)), "Pass", IF(ISNUMBER(SEARCH("Partial",K314)), "Partial", IF(ISNUMBER(SEARCH("Not Applicable",K314)), "N/A", "Fail"))))</f>
        <v/>
      </c>
      <c r="T314">
        <f>IF(Q314="", "", IF(OR(Q314="Fail", Q314="Partial"), "Yes", "No"))</f>
        <v/>
      </c>
      <c r="X314" t="inlineStr">
        <is>
          <t>No</t>
        </is>
      </c>
      <c r="AB314" t="inlineStr">
        <is>
          <t>[Security Analyst]</t>
        </is>
      </c>
      <c r="AE314" s="21">
        <f>IF(AA314&lt;&gt;"", AA314+90, "")</f>
        <v/>
      </c>
    </row>
    <row r="315">
      <c r="A315">
        <f>IF(B315&lt;&gt;"", "HC-"&amp;TEXT(ROW()-1,"00000"), "")</f>
        <v/>
      </c>
      <c r="Q315">
        <f>IF(K315="", "", IF(ISNUMBER(SEARCH("Implemented",K315)), "Pass", IF(ISNUMBER(SEARCH("Partial",K315)), "Partial", IF(ISNUMBER(SEARCH("Not Applicable",K315)), "N/A", "Fail"))))</f>
        <v/>
      </c>
      <c r="T315">
        <f>IF(Q315="", "", IF(OR(Q315="Fail", Q315="Partial"), "Yes", "No"))</f>
        <v/>
      </c>
      <c r="X315" t="inlineStr">
        <is>
          <t>No</t>
        </is>
      </c>
      <c r="AB315" t="inlineStr">
        <is>
          <t>[Security Analyst]</t>
        </is>
      </c>
      <c r="AE315" s="21">
        <f>IF(AA315&lt;&gt;"", AA315+90, "")</f>
        <v/>
      </c>
    </row>
    <row r="316">
      <c r="A316">
        <f>IF(B316&lt;&gt;"", "HC-"&amp;TEXT(ROW()-1,"00000"), "")</f>
        <v/>
      </c>
      <c r="Q316">
        <f>IF(K316="", "", IF(ISNUMBER(SEARCH("Implemented",K316)), "Pass", IF(ISNUMBER(SEARCH("Partial",K316)), "Partial", IF(ISNUMBER(SEARCH("Not Applicable",K316)), "N/A", "Fail"))))</f>
        <v/>
      </c>
      <c r="T316">
        <f>IF(Q316="", "", IF(OR(Q316="Fail", Q316="Partial"), "Yes", "No"))</f>
        <v/>
      </c>
      <c r="X316" t="inlineStr">
        <is>
          <t>No</t>
        </is>
      </c>
      <c r="AB316" t="inlineStr">
        <is>
          <t>[Security Analyst]</t>
        </is>
      </c>
      <c r="AE316" s="21">
        <f>IF(AA316&lt;&gt;"", AA316+90, "")</f>
        <v/>
      </c>
    </row>
    <row r="317">
      <c r="A317">
        <f>IF(B317&lt;&gt;"", "HC-"&amp;TEXT(ROW()-1,"00000"), "")</f>
        <v/>
      </c>
      <c r="Q317">
        <f>IF(K317="", "", IF(ISNUMBER(SEARCH("Implemented",K317)), "Pass", IF(ISNUMBER(SEARCH("Partial",K317)), "Partial", IF(ISNUMBER(SEARCH("Not Applicable",K317)), "N/A", "Fail"))))</f>
        <v/>
      </c>
      <c r="T317">
        <f>IF(Q317="", "", IF(OR(Q317="Fail", Q317="Partial"), "Yes", "No"))</f>
        <v/>
      </c>
      <c r="X317" t="inlineStr">
        <is>
          <t>No</t>
        </is>
      </c>
      <c r="AB317" t="inlineStr">
        <is>
          <t>[Security Analyst]</t>
        </is>
      </c>
      <c r="AE317" s="21">
        <f>IF(AA317&lt;&gt;"", AA317+90, "")</f>
        <v/>
      </c>
    </row>
    <row r="318">
      <c r="A318">
        <f>IF(B318&lt;&gt;"", "HC-"&amp;TEXT(ROW()-1,"00000"), "")</f>
        <v/>
      </c>
      <c r="Q318">
        <f>IF(K318="", "", IF(ISNUMBER(SEARCH("Implemented",K318)), "Pass", IF(ISNUMBER(SEARCH("Partial",K318)), "Partial", IF(ISNUMBER(SEARCH("Not Applicable",K318)), "N/A", "Fail"))))</f>
        <v/>
      </c>
      <c r="T318">
        <f>IF(Q318="", "", IF(OR(Q318="Fail", Q318="Partial"), "Yes", "No"))</f>
        <v/>
      </c>
      <c r="X318" t="inlineStr">
        <is>
          <t>No</t>
        </is>
      </c>
      <c r="AB318" t="inlineStr">
        <is>
          <t>[Security Analyst]</t>
        </is>
      </c>
      <c r="AE318" s="21">
        <f>IF(AA318&lt;&gt;"", AA318+90, "")</f>
        <v/>
      </c>
    </row>
    <row r="319">
      <c r="A319">
        <f>IF(B319&lt;&gt;"", "HC-"&amp;TEXT(ROW()-1,"00000"), "")</f>
        <v/>
      </c>
      <c r="Q319">
        <f>IF(K319="", "", IF(ISNUMBER(SEARCH("Implemented",K319)), "Pass", IF(ISNUMBER(SEARCH("Partial",K319)), "Partial", IF(ISNUMBER(SEARCH("Not Applicable",K319)), "N/A", "Fail"))))</f>
        <v/>
      </c>
      <c r="T319">
        <f>IF(Q319="", "", IF(OR(Q319="Fail", Q319="Partial"), "Yes", "No"))</f>
        <v/>
      </c>
      <c r="X319" t="inlineStr">
        <is>
          <t>No</t>
        </is>
      </c>
      <c r="AB319" t="inlineStr">
        <is>
          <t>[Security Analyst]</t>
        </is>
      </c>
      <c r="AE319" s="21">
        <f>IF(AA319&lt;&gt;"", AA319+90, "")</f>
        <v/>
      </c>
    </row>
    <row r="320">
      <c r="A320">
        <f>IF(B320&lt;&gt;"", "HC-"&amp;TEXT(ROW()-1,"00000"), "")</f>
        <v/>
      </c>
      <c r="Q320">
        <f>IF(K320="", "", IF(ISNUMBER(SEARCH("Implemented",K320)), "Pass", IF(ISNUMBER(SEARCH("Partial",K320)), "Partial", IF(ISNUMBER(SEARCH("Not Applicable",K320)), "N/A", "Fail"))))</f>
        <v/>
      </c>
      <c r="T320">
        <f>IF(Q320="", "", IF(OR(Q320="Fail", Q320="Partial"), "Yes", "No"))</f>
        <v/>
      </c>
      <c r="X320" t="inlineStr">
        <is>
          <t>No</t>
        </is>
      </c>
      <c r="AB320" t="inlineStr">
        <is>
          <t>[Security Analyst]</t>
        </is>
      </c>
      <c r="AE320" s="21">
        <f>IF(AA320&lt;&gt;"", AA320+90, "")</f>
        <v/>
      </c>
    </row>
    <row r="321">
      <c r="A321">
        <f>IF(B321&lt;&gt;"", "HC-"&amp;TEXT(ROW()-1,"00000"), "")</f>
        <v/>
      </c>
      <c r="Q321">
        <f>IF(K321="", "", IF(ISNUMBER(SEARCH("Implemented",K321)), "Pass", IF(ISNUMBER(SEARCH("Partial",K321)), "Partial", IF(ISNUMBER(SEARCH("Not Applicable",K321)), "N/A", "Fail"))))</f>
        <v/>
      </c>
      <c r="T321">
        <f>IF(Q321="", "", IF(OR(Q321="Fail", Q321="Partial"), "Yes", "No"))</f>
        <v/>
      </c>
      <c r="X321" t="inlineStr">
        <is>
          <t>No</t>
        </is>
      </c>
      <c r="AB321" t="inlineStr">
        <is>
          <t>[Security Analyst]</t>
        </is>
      </c>
      <c r="AE321" s="21">
        <f>IF(AA321&lt;&gt;"", AA321+90, "")</f>
        <v/>
      </c>
    </row>
    <row r="322">
      <c r="A322">
        <f>IF(B322&lt;&gt;"", "HC-"&amp;TEXT(ROW()-1,"00000"), "")</f>
        <v/>
      </c>
      <c r="Q322">
        <f>IF(K322="", "", IF(ISNUMBER(SEARCH("Implemented",K322)), "Pass", IF(ISNUMBER(SEARCH("Partial",K322)), "Partial", IF(ISNUMBER(SEARCH("Not Applicable",K322)), "N/A", "Fail"))))</f>
        <v/>
      </c>
      <c r="T322">
        <f>IF(Q322="", "", IF(OR(Q322="Fail", Q322="Partial"), "Yes", "No"))</f>
        <v/>
      </c>
      <c r="X322" t="inlineStr">
        <is>
          <t>No</t>
        </is>
      </c>
      <c r="AB322" t="inlineStr">
        <is>
          <t>[Security Analyst]</t>
        </is>
      </c>
      <c r="AE322" s="21">
        <f>IF(AA322&lt;&gt;"", AA322+90, "")</f>
        <v/>
      </c>
    </row>
    <row r="323">
      <c r="A323">
        <f>IF(B323&lt;&gt;"", "HC-"&amp;TEXT(ROW()-1,"00000"), "")</f>
        <v/>
      </c>
      <c r="Q323">
        <f>IF(K323="", "", IF(ISNUMBER(SEARCH("Implemented",K323)), "Pass", IF(ISNUMBER(SEARCH("Partial",K323)), "Partial", IF(ISNUMBER(SEARCH("Not Applicable",K323)), "N/A", "Fail"))))</f>
        <v/>
      </c>
      <c r="T323">
        <f>IF(Q323="", "", IF(OR(Q323="Fail", Q323="Partial"), "Yes", "No"))</f>
        <v/>
      </c>
      <c r="X323" t="inlineStr">
        <is>
          <t>No</t>
        </is>
      </c>
      <c r="AB323" t="inlineStr">
        <is>
          <t>[Security Analyst]</t>
        </is>
      </c>
      <c r="AE323" s="21">
        <f>IF(AA323&lt;&gt;"", AA323+90, "")</f>
        <v/>
      </c>
    </row>
    <row r="324">
      <c r="A324">
        <f>IF(B324&lt;&gt;"", "HC-"&amp;TEXT(ROW()-1,"00000"), "")</f>
        <v/>
      </c>
      <c r="Q324">
        <f>IF(K324="", "", IF(ISNUMBER(SEARCH("Implemented",K324)), "Pass", IF(ISNUMBER(SEARCH("Partial",K324)), "Partial", IF(ISNUMBER(SEARCH("Not Applicable",K324)), "N/A", "Fail"))))</f>
        <v/>
      </c>
      <c r="T324">
        <f>IF(Q324="", "", IF(OR(Q324="Fail", Q324="Partial"), "Yes", "No"))</f>
        <v/>
      </c>
      <c r="X324" t="inlineStr">
        <is>
          <t>No</t>
        </is>
      </c>
      <c r="AB324" t="inlineStr">
        <is>
          <t>[Security Analyst]</t>
        </is>
      </c>
      <c r="AE324" s="21">
        <f>IF(AA324&lt;&gt;"", AA324+90, "")</f>
        <v/>
      </c>
    </row>
    <row r="325">
      <c r="A325">
        <f>IF(B325&lt;&gt;"", "HC-"&amp;TEXT(ROW()-1,"00000"), "")</f>
        <v/>
      </c>
      <c r="Q325">
        <f>IF(K325="", "", IF(ISNUMBER(SEARCH("Implemented",K325)), "Pass", IF(ISNUMBER(SEARCH("Partial",K325)), "Partial", IF(ISNUMBER(SEARCH("Not Applicable",K325)), "N/A", "Fail"))))</f>
        <v/>
      </c>
      <c r="T325">
        <f>IF(Q325="", "", IF(OR(Q325="Fail", Q325="Partial"), "Yes", "No"))</f>
        <v/>
      </c>
      <c r="X325" t="inlineStr">
        <is>
          <t>No</t>
        </is>
      </c>
      <c r="AB325" t="inlineStr">
        <is>
          <t>[Security Analyst]</t>
        </is>
      </c>
      <c r="AE325" s="21">
        <f>IF(AA325&lt;&gt;"", AA325+90, "")</f>
        <v/>
      </c>
    </row>
    <row r="326">
      <c r="A326">
        <f>IF(B326&lt;&gt;"", "HC-"&amp;TEXT(ROW()-1,"00000"), "")</f>
        <v/>
      </c>
      <c r="Q326">
        <f>IF(K326="", "", IF(ISNUMBER(SEARCH("Implemented",K326)), "Pass", IF(ISNUMBER(SEARCH("Partial",K326)), "Partial", IF(ISNUMBER(SEARCH("Not Applicable",K326)), "N/A", "Fail"))))</f>
        <v/>
      </c>
      <c r="T326">
        <f>IF(Q326="", "", IF(OR(Q326="Fail", Q326="Partial"), "Yes", "No"))</f>
        <v/>
      </c>
      <c r="X326" t="inlineStr">
        <is>
          <t>No</t>
        </is>
      </c>
      <c r="AB326" t="inlineStr">
        <is>
          <t>[Security Analyst]</t>
        </is>
      </c>
      <c r="AE326" s="21">
        <f>IF(AA326&lt;&gt;"", AA326+90, "")</f>
        <v/>
      </c>
    </row>
    <row r="327">
      <c r="A327">
        <f>IF(B327&lt;&gt;"", "HC-"&amp;TEXT(ROW()-1,"00000"), "")</f>
        <v/>
      </c>
      <c r="Q327">
        <f>IF(K327="", "", IF(ISNUMBER(SEARCH("Implemented",K327)), "Pass", IF(ISNUMBER(SEARCH("Partial",K327)), "Partial", IF(ISNUMBER(SEARCH("Not Applicable",K327)), "N/A", "Fail"))))</f>
        <v/>
      </c>
      <c r="T327">
        <f>IF(Q327="", "", IF(OR(Q327="Fail", Q327="Partial"), "Yes", "No"))</f>
        <v/>
      </c>
      <c r="X327" t="inlineStr">
        <is>
          <t>No</t>
        </is>
      </c>
      <c r="AB327" t="inlineStr">
        <is>
          <t>[Security Analyst]</t>
        </is>
      </c>
      <c r="AE327" s="21">
        <f>IF(AA327&lt;&gt;"", AA327+90, "")</f>
        <v/>
      </c>
    </row>
    <row r="328">
      <c r="A328">
        <f>IF(B328&lt;&gt;"", "HC-"&amp;TEXT(ROW()-1,"00000"), "")</f>
        <v/>
      </c>
      <c r="Q328">
        <f>IF(K328="", "", IF(ISNUMBER(SEARCH("Implemented",K328)), "Pass", IF(ISNUMBER(SEARCH("Partial",K328)), "Partial", IF(ISNUMBER(SEARCH("Not Applicable",K328)), "N/A", "Fail"))))</f>
        <v/>
      </c>
      <c r="T328">
        <f>IF(Q328="", "", IF(OR(Q328="Fail", Q328="Partial"), "Yes", "No"))</f>
        <v/>
      </c>
      <c r="X328" t="inlineStr">
        <is>
          <t>No</t>
        </is>
      </c>
      <c r="AB328" t="inlineStr">
        <is>
          <t>[Security Analyst]</t>
        </is>
      </c>
      <c r="AE328" s="21">
        <f>IF(AA328&lt;&gt;"", AA328+90, "")</f>
        <v/>
      </c>
    </row>
    <row r="329">
      <c r="A329">
        <f>IF(B329&lt;&gt;"", "HC-"&amp;TEXT(ROW()-1,"00000"), "")</f>
        <v/>
      </c>
      <c r="Q329">
        <f>IF(K329="", "", IF(ISNUMBER(SEARCH("Implemented",K329)), "Pass", IF(ISNUMBER(SEARCH("Partial",K329)), "Partial", IF(ISNUMBER(SEARCH("Not Applicable",K329)), "N/A", "Fail"))))</f>
        <v/>
      </c>
      <c r="T329">
        <f>IF(Q329="", "", IF(OR(Q329="Fail", Q329="Partial"), "Yes", "No"))</f>
        <v/>
      </c>
      <c r="X329" t="inlineStr">
        <is>
          <t>No</t>
        </is>
      </c>
      <c r="AB329" t="inlineStr">
        <is>
          <t>[Security Analyst]</t>
        </is>
      </c>
      <c r="AE329" s="21">
        <f>IF(AA329&lt;&gt;"", AA329+90, "")</f>
        <v/>
      </c>
    </row>
    <row r="330">
      <c r="A330">
        <f>IF(B330&lt;&gt;"", "HC-"&amp;TEXT(ROW()-1,"00000"), "")</f>
        <v/>
      </c>
      <c r="Q330">
        <f>IF(K330="", "", IF(ISNUMBER(SEARCH("Implemented",K330)), "Pass", IF(ISNUMBER(SEARCH("Partial",K330)), "Partial", IF(ISNUMBER(SEARCH("Not Applicable",K330)), "N/A", "Fail"))))</f>
        <v/>
      </c>
      <c r="T330">
        <f>IF(Q330="", "", IF(OR(Q330="Fail", Q330="Partial"), "Yes", "No"))</f>
        <v/>
      </c>
      <c r="X330" t="inlineStr">
        <is>
          <t>No</t>
        </is>
      </c>
      <c r="AB330" t="inlineStr">
        <is>
          <t>[Security Analyst]</t>
        </is>
      </c>
      <c r="AE330" s="21">
        <f>IF(AA330&lt;&gt;"", AA330+90, "")</f>
        <v/>
      </c>
    </row>
    <row r="331">
      <c r="A331">
        <f>IF(B331&lt;&gt;"", "HC-"&amp;TEXT(ROW()-1,"00000"), "")</f>
        <v/>
      </c>
      <c r="Q331">
        <f>IF(K331="", "", IF(ISNUMBER(SEARCH("Implemented",K331)), "Pass", IF(ISNUMBER(SEARCH("Partial",K331)), "Partial", IF(ISNUMBER(SEARCH("Not Applicable",K331)), "N/A", "Fail"))))</f>
        <v/>
      </c>
      <c r="T331">
        <f>IF(Q331="", "", IF(OR(Q331="Fail", Q331="Partial"), "Yes", "No"))</f>
        <v/>
      </c>
      <c r="X331" t="inlineStr">
        <is>
          <t>No</t>
        </is>
      </c>
      <c r="AB331" t="inlineStr">
        <is>
          <t>[Security Analyst]</t>
        </is>
      </c>
      <c r="AE331" s="21">
        <f>IF(AA331&lt;&gt;"", AA331+90, "")</f>
        <v/>
      </c>
    </row>
    <row r="332">
      <c r="A332">
        <f>IF(B332&lt;&gt;"", "HC-"&amp;TEXT(ROW()-1,"00000"), "")</f>
        <v/>
      </c>
      <c r="Q332">
        <f>IF(K332="", "", IF(ISNUMBER(SEARCH("Implemented",K332)), "Pass", IF(ISNUMBER(SEARCH("Partial",K332)), "Partial", IF(ISNUMBER(SEARCH("Not Applicable",K332)), "N/A", "Fail"))))</f>
        <v/>
      </c>
      <c r="T332">
        <f>IF(Q332="", "", IF(OR(Q332="Fail", Q332="Partial"), "Yes", "No"))</f>
        <v/>
      </c>
      <c r="X332" t="inlineStr">
        <is>
          <t>No</t>
        </is>
      </c>
      <c r="AB332" t="inlineStr">
        <is>
          <t>[Security Analyst]</t>
        </is>
      </c>
      <c r="AE332" s="21">
        <f>IF(AA332&lt;&gt;"", AA332+90, "")</f>
        <v/>
      </c>
    </row>
    <row r="333">
      <c r="A333">
        <f>IF(B333&lt;&gt;"", "HC-"&amp;TEXT(ROW()-1,"00000"), "")</f>
        <v/>
      </c>
      <c r="Q333">
        <f>IF(K333="", "", IF(ISNUMBER(SEARCH("Implemented",K333)), "Pass", IF(ISNUMBER(SEARCH("Partial",K333)), "Partial", IF(ISNUMBER(SEARCH("Not Applicable",K333)), "N/A", "Fail"))))</f>
        <v/>
      </c>
      <c r="T333">
        <f>IF(Q333="", "", IF(OR(Q333="Fail", Q333="Partial"), "Yes", "No"))</f>
        <v/>
      </c>
      <c r="X333" t="inlineStr">
        <is>
          <t>No</t>
        </is>
      </c>
      <c r="AB333" t="inlineStr">
        <is>
          <t>[Security Analyst]</t>
        </is>
      </c>
      <c r="AE333" s="21">
        <f>IF(AA333&lt;&gt;"", AA333+90, "")</f>
        <v/>
      </c>
    </row>
    <row r="334">
      <c r="A334">
        <f>IF(B334&lt;&gt;"", "HC-"&amp;TEXT(ROW()-1,"00000"), "")</f>
        <v/>
      </c>
      <c r="Q334">
        <f>IF(K334="", "", IF(ISNUMBER(SEARCH("Implemented",K334)), "Pass", IF(ISNUMBER(SEARCH("Partial",K334)), "Partial", IF(ISNUMBER(SEARCH("Not Applicable",K334)), "N/A", "Fail"))))</f>
        <v/>
      </c>
      <c r="T334">
        <f>IF(Q334="", "", IF(OR(Q334="Fail", Q334="Partial"), "Yes", "No"))</f>
        <v/>
      </c>
      <c r="X334" t="inlineStr">
        <is>
          <t>No</t>
        </is>
      </c>
      <c r="AB334" t="inlineStr">
        <is>
          <t>[Security Analyst]</t>
        </is>
      </c>
      <c r="AE334" s="21">
        <f>IF(AA334&lt;&gt;"", AA334+90, "")</f>
        <v/>
      </c>
    </row>
    <row r="335">
      <c r="A335">
        <f>IF(B335&lt;&gt;"", "HC-"&amp;TEXT(ROW()-1,"00000"), "")</f>
        <v/>
      </c>
      <c r="Q335">
        <f>IF(K335="", "", IF(ISNUMBER(SEARCH("Implemented",K335)), "Pass", IF(ISNUMBER(SEARCH("Partial",K335)), "Partial", IF(ISNUMBER(SEARCH("Not Applicable",K335)), "N/A", "Fail"))))</f>
        <v/>
      </c>
      <c r="T335">
        <f>IF(Q335="", "", IF(OR(Q335="Fail", Q335="Partial"), "Yes", "No"))</f>
        <v/>
      </c>
      <c r="X335" t="inlineStr">
        <is>
          <t>No</t>
        </is>
      </c>
      <c r="AB335" t="inlineStr">
        <is>
          <t>[Security Analyst]</t>
        </is>
      </c>
      <c r="AE335" s="21">
        <f>IF(AA335&lt;&gt;"", AA335+90, "")</f>
        <v/>
      </c>
    </row>
    <row r="336">
      <c r="A336">
        <f>IF(B336&lt;&gt;"", "HC-"&amp;TEXT(ROW()-1,"00000"), "")</f>
        <v/>
      </c>
      <c r="Q336">
        <f>IF(K336="", "", IF(ISNUMBER(SEARCH("Implemented",K336)), "Pass", IF(ISNUMBER(SEARCH("Partial",K336)), "Partial", IF(ISNUMBER(SEARCH("Not Applicable",K336)), "N/A", "Fail"))))</f>
        <v/>
      </c>
      <c r="T336">
        <f>IF(Q336="", "", IF(OR(Q336="Fail", Q336="Partial"), "Yes", "No"))</f>
        <v/>
      </c>
      <c r="X336" t="inlineStr">
        <is>
          <t>No</t>
        </is>
      </c>
      <c r="AB336" t="inlineStr">
        <is>
          <t>[Security Analyst]</t>
        </is>
      </c>
      <c r="AE336" s="21">
        <f>IF(AA336&lt;&gt;"", AA336+90, "")</f>
        <v/>
      </c>
    </row>
    <row r="337">
      <c r="A337">
        <f>IF(B337&lt;&gt;"", "HC-"&amp;TEXT(ROW()-1,"00000"), "")</f>
        <v/>
      </c>
      <c r="Q337">
        <f>IF(K337="", "", IF(ISNUMBER(SEARCH("Implemented",K337)), "Pass", IF(ISNUMBER(SEARCH("Partial",K337)), "Partial", IF(ISNUMBER(SEARCH("Not Applicable",K337)), "N/A", "Fail"))))</f>
        <v/>
      </c>
      <c r="T337">
        <f>IF(Q337="", "", IF(OR(Q337="Fail", Q337="Partial"), "Yes", "No"))</f>
        <v/>
      </c>
      <c r="X337" t="inlineStr">
        <is>
          <t>No</t>
        </is>
      </c>
      <c r="AB337" t="inlineStr">
        <is>
          <t>[Security Analyst]</t>
        </is>
      </c>
      <c r="AE337" s="21">
        <f>IF(AA337&lt;&gt;"", AA337+90, "")</f>
        <v/>
      </c>
    </row>
    <row r="338">
      <c r="A338">
        <f>IF(B338&lt;&gt;"", "HC-"&amp;TEXT(ROW()-1,"00000"), "")</f>
        <v/>
      </c>
      <c r="Q338">
        <f>IF(K338="", "", IF(ISNUMBER(SEARCH("Implemented",K338)), "Pass", IF(ISNUMBER(SEARCH("Partial",K338)), "Partial", IF(ISNUMBER(SEARCH("Not Applicable",K338)), "N/A", "Fail"))))</f>
        <v/>
      </c>
      <c r="T338">
        <f>IF(Q338="", "", IF(OR(Q338="Fail", Q338="Partial"), "Yes", "No"))</f>
        <v/>
      </c>
      <c r="X338" t="inlineStr">
        <is>
          <t>No</t>
        </is>
      </c>
      <c r="AB338" t="inlineStr">
        <is>
          <t>[Security Analyst]</t>
        </is>
      </c>
      <c r="AE338" s="21">
        <f>IF(AA338&lt;&gt;"", AA338+90, "")</f>
        <v/>
      </c>
    </row>
    <row r="339">
      <c r="A339">
        <f>IF(B339&lt;&gt;"", "HC-"&amp;TEXT(ROW()-1,"00000"), "")</f>
        <v/>
      </c>
      <c r="Q339">
        <f>IF(K339="", "", IF(ISNUMBER(SEARCH("Implemented",K339)), "Pass", IF(ISNUMBER(SEARCH("Partial",K339)), "Partial", IF(ISNUMBER(SEARCH("Not Applicable",K339)), "N/A", "Fail"))))</f>
        <v/>
      </c>
      <c r="T339">
        <f>IF(Q339="", "", IF(OR(Q339="Fail", Q339="Partial"), "Yes", "No"))</f>
        <v/>
      </c>
      <c r="X339" t="inlineStr">
        <is>
          <t>No</t>
        </is>
      </c>
      <c r="AB339" t="inlineStr">
        <is>
          <t>[Security Analyst]</t>
        </is>
      </c>
      <c r="AE339" s="21">
        <f>IF(AA339&lt;&gt;"", AA339+90, "")</f>
        <v/>
      </c>
    </row>
    <row r="340">
      <c r="A340">
        <f>IF(B340&lt;&gt;"", "HC-"&amp;TEXT(ROW()-1,"00000"), "")</f>
        <v/>
      </c>
      <c r="Q340">
        <f>IF(K340="", "", IF(ISNUMBER(SEARCH("Implemented",K340)), "Pass", IF(ISNUMBER(SEARCH("Partial",K340)), "Partial", IF(ISNUMBER(SEARCH("Not Applicable",K340)), "N/A", "Fail"))))</f>
        <v/>
      </c>
      <c r="T340">
        <f>IF(Q340="", "", IF(OR(Q340="Fail", Q340="Partial"), "Yes", "No"))</f>
        <v/>
      </c>
      <c r="X340" t="inlineStr">
        <is>
          <t>No</t>
        </is>
      </c>
      <c r="AB340" t="inlineStr">
        <is>
          <t>[Security Analyst]</t>
        </is>
      </c>
      <c r="AE340" s="21">
        <f>IF(AA340&lt;&gt;"", AA340+90, "")</f>
        <v/>
      </c>
    </row>
    <row r="341">
      <c r="A341">
        <f>IF(B341&lt;&gt;"", "HC-"&amp;TEXT(ROW()-1,"00000"), "")</f>
        <v/>
      </c>
      <c r="Q341">
        <f>IF(K341="", "", IF(ISNUMBER(SEARCH("Implemented",K341)), "Pass", IF(ISNUMBER(SEARCH("Partial",K341)), "Partial", IF(ISNUMBER(SEARCH("Not Applicable",K341)), "N/A", "Fail"))))</f>
        <v/>
      </c>
      <c r="T341">
        <f>IF(Q341="", "", IF(OR(Q341="Fail", Q341="Partial"), "Yes", "No"))</f>
        <v/>
      </c>
      <c r="X341" t="inlineStr">
        <is>
          <t>No</t>
        </is>
      </c>
      <c r="AB341" t="inlineStr">
        <is>
          <t>[Security Analyst]</t>
        </is>
      </c>
      <c r="AE341" s="21">
        <f>IF(AA341&lt;&gt;"", AA341+90, "")</f>
        <v/>
      </c>
    </row>
    <row r="342">
      <c r="A342">
        <f>IF(B342&lt;&gt;"", "HC-"&amp;TEXT(ROW()-1,"00000"), "")</f>
        <v/>
      </c>
      <c r="Q342">
        <f>IF(K342="", "", IF(ISNUMBER(SEARCH("Implemented",K342)), "Pass", IF(ISNUMBER(SEARCH("Partial",K342)), "Partial", IF(ISNUMBER(SEARCH("Not Applicable",K342)), "N/A", "Fail"))))</f>
        <v/>
      </c>
      <c r="T342">
        <f>IF(Q342="", "", IF(OR(Q342="Fail", Q342="Partial"), "Yes", "No"))</f>
        <v/>
      </c>
      <c r="X342" t="inlineStr">
        <is>
          <t>No</t>
        </is>
      </c>
      <c r="AB342" t="inlineStr">
        <is>
          <t>[Security Analyst]</t>
        </is>
      </c>
      <c r="AE342" s="21">
        <f>IF(AA342&lt;&gt;"", AA342+90, "")</f>
        <v/>
      </c>
    </row>
    <row r="343">
      <c r="A343">
        <f>IF(B343&lt;&gt;"", "HC-"&amp;TEXT(ROW()-1,"00000"), "")</f>
        <v/>
      </c>
      <c r="Q343">
        <f>IF(K343="", "", IF(ISNUMBER(SEARCH("Implemented",K343)), "Pass", IF(ISNUMBER(SEARCH("Partial",K343)), "Partial", IF(ISNUMBER(SEARCH("Not Applicable",K343)), "N/A", "Fail"))))</f>
        <v/>
      </c>
      <c r="T343">
        <f>IF(Q343="", "", IF(OR(Q343="Fail", Q343="Partial"), "Yes", "No"))</f>
        <v/>
      </c>
      <c r="X343" t="inlineStr">
        <is>
          <t>No</t>
        </is>
      </c>
      <c r="AB343" t="inlineStr">
        <is>
          <t>[Security Analyst]</t>
        </is>
      </c>
      <c r="AE343" s="21">
        <f>IF(AA343&lt;&gt;"", AA343+90, "")</f>
        <v/>
      </c>
    </row>
    <row r="344">
      <c r="A344">
        <f>IF(B344&lt;&gt;"", "HC-"&amp;TEXT(ROW()-1,"00000"), "")</f>
        <v/>
      </c>
      <c r="Q344">
        <f>IF(K344="", "", IF(ISNUMBER(SEARCH("Implemented",K344)), "Pass", IF(ISNUMBER(SEARCH("Partial",K344)), "Partial", IF(ISNUMBER(SEARCH("Not Applicable",K344)), "N/A", "Fail"))))</f>
        <v/>
      </c>
      <c r="T344">
        <f>IF(Q344="", "", IF(OR(Q344="Fail", Q344="Partial"), "Yes", "No"))</f>
        <v/>
      </c>
      <c r="X344" t="inlineStr">
        <is>
          <t>No</t>
        </is>
      </c>
      <c r="AB344" t="inlineStr">
        <is>
          <t>[Security Analyst]</t>
        </is>
      </c>
      <c r="AE344" s="21">
        <f>IF(AA344&lt;&gt;"", AA344+90, "")</f>
        <v/>
      </c>
    </row>
    <row r="345">
      <c r="A345">
        <f>IF(B345&lt;&gt;"", "HC-"&amp;TEXT(ROW()-1,"00000"), "")</f>
        <v/>
      </c>
      <c r="Q345">
        <f>IF(K345="", "", IF(ISNUMBER(SEARCH("Implemented",K345)), "Pass", IF(ISNUMBER(SEARCH("Partial",K345)), "Partial", IF(ISNUMBER(SEARCH("Not Applicable",K345)), "N/A", "Fail"))))</f>
        <v/>
      </c>
      <c r="T345">
        <f>IF(Q345="", "", IF(OR(Q345="Fail", Q345="Partial"), "Yes", "No"))</f>
        <v/>
      </c>
      <c r="X345" t="inlineStr">
        <is>
          <t>No</t>
        </is>
      </c>
      <c r="AB345" t="inlineStr">
        <is>
          <t>[Security Analyst]</t>
        </is>
      </c>
      <c r="AE345" s="21">
        <f>IF(AA345&lt;&gt;"", AA345+90, "")</f>
        <v/>
      </c>
    </row>
    <row r="346">
      <c r="A346">
        <f>IF(B346&lt;&gt;"", "HC-"&amp;TEXT(ROW()-1,"00000"), "")</f>
        <v/>
      </c>
      <c r="Q346">
        <f>IF(K346="", "", IF(ISNUMBER(SEARCH("Implemented",K346)), "Pass", IF(ISNUMBER(SEARCH("Partial",K346)), "Partial", IF(ISNUMBER(SEARCH("Not Applicable",K346)), "N/A", "Fail"))))</f>
        <v/>
      </c>
      <c r="T346">
        <f>IF(Q346="", "", IF(OR(Q346="Fail", Q346="Partial"), "Yes", "No"))</f>
        <v/>
      </c>
      <c r="X346" t="inlineStr">
        <is>
          <t>No</t>
        </is>
      </c>
      <c r="AB346" t="inlineStr">
        <is>
          <t>[Security Analyst]</t>
        </is>
      </c>
      <c r="AE346" s="21">
        <f>IF(AA346&lt;&gt;"", AA346+90, "")</f>
        <v/>
      </c>
    </row>
    <row r="347">
      <c r="A347">
        <f>IF(B347&lt;&gt;"", "HC-"&amp;TEXT(ROW()-1,"00000"), "")</f>
        <v/>
      </c>
      <c r="Q347">
        <f>IF(K347="", "", IF(ISNUMBER(SEARCH("Implemented",K347)), "Pass", IF(ISNUMBER(SEARCH("Partial",K347)), "Partial", IF(ISNUMBER(SEARCH("Not Applicable",K347)), "N/A", "Fail"))))</f>
        <v/>
      </c>
      <c r="T347">
        <f>IF(Q347="", "", IF(OR(Q347="Fail", Q347="Partial"), "Yes", "No"))</f>
        <v/>
      </c>
      <c r="X347" t="inlineStr">
        <is>
          <t>No</t>
        </is>
      </c>
      <c r="AB347" t="inlineStr">
        <is>
          <t>[Security Analyst]</t>
        </is>
      </c>
      <c r="AE347" s="21">
        <f>IF(AA347&lt;&gt;"", AA347+90, "")</f>
        <v/>
      </c>
    </row>
    <row r="348">
      <c r="A348">
        <f>IF(B348&lt;&gt;"", "HC-"&amp;TEXT(ROW()-1,"00000"), "")</f>
        <v/>
      </c>
      <c r="Q348">
        <f>IF(K348="", "", IF(ISNUMBER(SEARCH("Implemented",K348)), "Pass", IF(ISNUMBER(SEARCH("Partial",K348)), "Partial", IF(ISNUMBER(SEARCH("Not Applicable",K348)), "N/A", "Fail"))))</f>
        <v/>
      </c>
      <c r="T348">
        <f>IF(Q348="", "", IF(OR(Q348="Fail", Q348="Partial"), "Yes", "No"))</f>
        <v/>
      </c>
      <c r="X348" t="inlineStr">
        <is>
          <t>No</t>
        </is>
      </c>
      <c r="AB348" t="inlineStr">
        <is>
          <t>[Security Analyst]</t>
        </is>
      </c>
      <c r="AE348" s="21">
        <f>IF(AA348&lt;&gt;"", AA348+90, "")</f>
        <v/>
      </c>
    </row>
    <row r="349">
      <c r="A349">
        <f>IF(B349&lt;&gt;"", "HC-"&amp;TEXT(ROW()-1,"00000"), "")</f>
        <v/>
      </c>
      <c r="Q349">
        <f>IF(K349="", "", IF(ISNUMBER(SEARCH("Implemented",K349)), "Pass", IF(ISNUMBER(SEARCH("Partial",K349)), "Partial", IF(ISNUMBER(SEARCH("Not Applicable",K349)), "N/A", "Fail"))))</f>
        <v/>
      </c>
      <c r="T349">
        <f>IF(Q349="", "", IF(OR(Q349="Fail", Q349="Partial"), "Yes", "No"))</f>
        <v/>
      </c>
      <c r="X349" t="inlineStr">
        <is>
          <t>No</t>
        </is>
      </c>
      <c r="AB349" t="inlineStr">
        <is>
          <t>[Security Analyst]</t>
        </is>
      </c>
      <c r="AE349" s="21">
        <f>IF(AA349&lt;&gt;"", AA349+90, "")</f>
        <v/>
      </c>
    </row>
    <row r="350">
      <c r="A350">
        <f>IF(B350&lt;&gt;"", "HC-"&amp;TEXT(ROW()-1,"00000"), "")</f>
        <v/>
      </c>
      <c r="Q350">
        <f>IF(K350="", "", IF(ISNUMBER(SEARCH("Implemented",K350)), "Pass", IF(ISNUMBER(SEARCH("Partial",K350)), "Partial", IF(ISNUMBER(SEARCH("Not Applicable",K350)), "N/A", "Fail"))))</f>
        <v/>
      </c>
      <c r="T350">
        <f>IF(Q350="", "", IF(OR(Q350="Fail", Q350="Partial"), "Yes", "No"))</f>
        <v/>
      </c>
      <c r="X350" t="inlineStr">
        <is>
          <t>No</t>
        </is>
      </c>
      <c r="AB350" t="inlineStr">
        <is>
          <t>[Security Analyst]</t>
        </is>
      </c>
      <c r="AE350" s="21">
        <f>IF(AA350&lt;&gt;"", AA350+90, "")</f>
        <v/>
      </c>
    </row>
    <row r="351">
      <c r="A351">
        <f>IF(B351&lt;&gt;"", "HC-"&amp;TEXT(ROW()-1,"00000"), "")</f>
        <v/>
      </c>
      <c r="Q351">
        <f>IF(K351="", "", IF(ISNUMBER(SEARCH("Implemented",K351)), "Pass", IF(ISNUMBER(SEARCH("Partial",K351)), "Partial", IF(ISNUMBER(SEARCH("Not Applicable",K351)), "N/A", "Fail"))))</f>
        <v/>
      </c>
      <c r="T351">
        <f>IF(Q351="", "", IF(OR(Q351="Fail", Q351="Partial"), "Yes", "No"))</f>
        <v/>
      </c>
      <c r="X351" t="inlineStr">
        <is>
          <t>No</t>
        </is>
      </c>
      <c r="AB351" t="inlineStr">
        <is>
          <t>[Security Analyst]</t>
        </is>
      </c>
      <c r="AE351" s="21">
        <f>IF(AA351&lt;&gt;"", AA351+90, "")</f>
        <v/>
      </c>
    </row>
    <row r="352">
      <c r="A352">
        <f>IF(B352&lt;&gt;"", "HC-"&amp;TEXT(ROW()-1,"00000"), "")</f>
        <v/>
      </c>
      <c r="Q352">
        <f>IF(K352="", "", IF(ISNUMBER(SEARCH("Implemented",K352)), "Pass", IF(ISNUMBER(SEARCH("Partial",K352)), "Partial", IF(ISNUMBER(SEARCH("Not Applicable",K352)), "N/A", "Fail"))))</f>
        <v/>
      </c>
      <c r="T352">
        <f>IF(Q352="", "", IF(OR(Q352="Fail", Q352="Partial"), "Yes", "No"))</f>
        <v/>
      </c>
      <c r="X352" t="inlineStr">
        <is>
          <t>No</t>
        </is>
      </c>
      <c r="AB352" t="inlineStr">
        <is>
          <t>[Security Analyst]</t>
        </is>
      </c>
      <c r="AE352" s="21">
        <f>IF(AA352&lt;&gt;"", AA352+90, "")</f>
        <v/>
      </c>
    </row>
    <row r="353">
      <c r="A353">
        <f>IF(B353&lt;&gt;"", "HC-"&amp;TEXT(ROW()-1,"00000"), "")</f>
        <v/>
      </c>
      <c r="Q353">
        <f>IF(K353="", "", IF(ISNUMBER(SEARCH("Implemented",K353)), "Pass", IF(ISNUMBER(SEARCH("Partial",K353)), "Partial", IF(ISNUMBER(SEARCH("Not Applicable",K353)), "N/A", "Fail"))))</f>
        <v/>
      </c>
      <c r="T353">
        <f>IF(Q353="", "", IF(OR(Q353="Fail", Q353="Partial"), "Yes", "No"))</f>
        <v/>
      </c>
      <c r="X353" t="inlineStr">
        <is>
          <t>No</t>
        </is>
      </c>
      <c r="AB353" t="inlineStr">
        <is>
          <t>[Security Analyst]</t>
        </is>
      </c>
      <c r="AE353" s="21">
        <f>IF(AA353&lt;&gt;"", AA353+90, "")</f>
        <v/>
      </c>
    </row>
    <row r="354">
      <c r="A354">
        <f>IF(B354&lt;&gt;"", "HC-"&amp;TEXT(ROW()-1,"00000"), "")</f>
        <v/>
      </c>
      <c r="Q354">
        <f>IF(K354="", "", IF(ISNUMBER(SEARCH("Implemented",K354)), "Pass", IF(ISNUMBER(SEARCH("Partial",K354)), "Partial", IF(ISNUMBER(SEARCH("Not Applicable",K354)), "N/A", "Fail"))))</f>
        <v/>
      </c>
      <c r="T354">
        <f>IF(Q354="", "", IF(OR(Q354="Fail", Q354="Partial"), "Yes", "No"))</f>
        <v/>
      </c>
      <c r="X354" t="inlineStr">
        <is>
          <t>No</t>
        </is>
      </c>
      <c r="AB354" t="inlineStr">
        <is>
          <t>[Security Analyst]</t>
        </is>
      </c>
      <c r="AE354" s="21">
        <f>IF(AA354&lt;&gt;"", AA354+90, "")</f>
        <v/>
      </c>
    </row>
    <row r="355">
      <c r="A355">
        <f>IF(B355&lt;&gt;"", "HC-"&amp;TEXT(ROW()-1,"00000"), "")</f>
        <v/>
      </c>
      <c r="Q355">
        <f>IF(K355="", "", IF(ISNUMBER(SEARCH("Implemented",K355)), "Pass", IF(ISNUMBER(SEARCH("Partial",K355)), "Partial", IF(ISNUMBER(SEARCH("Not Applicable",K355)), "N/A", "Fail"))))</f>
        <v/>
      </c>
      <c r="T355">
        <f>IF(Q355="", "", IF(OR(Q355="Fail", Q355="Partial"), "Yes", "No"))</f>
        <v/>
      </c>
      <c r="X355" t="inlineStr">
        <is>
          <t>No</t>
        </is>
      </c>
      <c r="AB355" t="inlineStr">
        <is>
          <t>[Security Analyst]</t>
        </is>
      </c>
      <c r="AE355" s="21">
        <f>IF(AA355&lt;&gt;"", AA355+90, "")</f>
        <v/>
      </c>
    </row>
    <row r="356">
      <c r="A356">
        <f>IF(B356&lt;&gt;"", "HC-"&amp;TEXT(ROW()-1,"00000"), "")</f>
        <v/>
      </c>
      <c r="Q356">
        <f>IF(K356="", "", IF(ISNUMBER(SEARCH("Implemented",K356)), "Pass", IF(ISNUMBER(SEARCH("Partial",K356)), "Partial", IF(ISNUMBER(SEARCH("Not Applicable",K356)), "N/A", "Fail"))))</f>
        <v/>
      </c>
      <c r="T356">
        <f>IF(Q356="", "", IF(OR(Q356="Fail", Q356="Partial"), "Yes", "No"))</f>
        <v/>
      </c>
      <c r="X356" t="inlineStr">
        <is>
          <t>No</t>
        </is>
      </c>
      <c r="AB356" t="inlineStr">
        <is>
          <t>[Security Analyst]</t>
        </is>
      </c>
      <c r="AE356" s="21">
        <f>IF(AA356&lt;&gt;"", AA356+90, "")</f>
        <v/>
      </c>
    </row>
    <row r="357">
      <c r="A357">
        <f>IF(B357&lt;&gt;"", "HC-"&amp;TEXT(ROW()-1,"00000"), "")</f>
        <v/>
      </c>
      <c r="Q357">
        <f>IF(K357="", "", IF(ISNUMBER(SEARCH("Implemented",K357)), "Pass", IF(ISNUMBER(SEARCH("Partial",K357)), "Partial", IF(ISNUMBER(SEARCH("Not Applicable",K357)), "N/A", "Fail"))))</f>
        <v/>
      </c>
      <c r="T357">
        <f>IF(Q357="", "", IF(OR(Q357="Fail", Q357="Partial"), "Yes", "No"))</f>
        <v/>
      </c>
      <c r="X357" t="inlineStr">
        <is>
          <t>No</t>
        </is>
      </c>
      <c r="AB357" t="inlineStr">
        <is>
          <t>[Security Analyst]</t>
        </is>
      </c>
      <c r="AE357" s="21">
        <f>IF(AA357&lt;&gt;"", AA357+90, "")</f>
        <v/>
      </c>
    </row>
    <row r="358">
      <c r="A358">
        <f>IF(B358&lt;&gt;"", "HC-"&amp;TEXT(ROW()-1,"00000"), "")</f>
        <v/>
      </c>
      <c r="Q358">
        <f>IF(K358="", "", IF(ISNUMBER(SEARCH("Implemented",K358)), "Pass", IF(ISNUMBER(SEARCH("Partial",K358)), "Partial", IF(ISNUMBER(SEARCH("Not Applicable",K358)), "N/A", "Fail"))))</f>
        <v/>
      </c>
      <c r="T358">
        <f>IF(Q358="", "", IF(OR(Q358="Fail", Q358="Partial"), "Yes", "No"))</f>
        <v/>
      </c>
      <c r="X358" t="inlineStr">
        <is>
          <t>No</t>
        </is>
      </c>
      <c r="AB358" t="inlineStr">
        <is>
          <t>[Security Analyst]</t>
        </is>
      </c>
      <c r="AE358" s="21">
        <f>IF(AA358&lt;&gt;"", AA358+90, "")</f>
        <v/>
      </c>
    </row>
    <row r="359">
      <c r="A359">
        <f>IF(B359&lt;&gt;"", "HC-"&amp;TEXT(ROW()-1,"00000"), "")</f>
        <v/>
      </c>
      <c r="Q359">
        <f>IF(K359="", "", IF(ISNUMBER(SEARCH("Implemented",K359)), "Pass", IF(ISNUMBER(SEARCH("Partial",K359)), "Partial", IF(ISNUMBER(SEARCH("Not Applicable",K359)), "N/A", "Fail"))))</f>
        <v/>
      </c>
      <c r="T359">
        <f>IF(Q359="", "", IF(OR(Q359="Fail", Q359="Partial"), "Yes", "No"))</f>
        <v/>
      </c>
      <c r="X359" t="inlineStr">
        <is>
          <t>No</t>
        </is>
      </c>
      <c r="AB359" t="inlineStr">
        <is>
          <t>[Security Analyst]</t>
        </is>
      </c>
      <c r="AE359" s="21">
        <f>IF(AA359&lt;&gt;"", AA359+90, "")</f>
        <v/>
      </c>
    </row>
    <row r="360">
      <c r="A360">
        <f>IF(B360&lt;&gt;"", "HC-"&amp;TEXT(ROW()-1,"00000"), "")</f>
        <v/>
      </c>
      <c r="Q360">
        <f>IF(K360="", "", IF(ISNUMBER(SEARCH("Implemented",K360)), "Pass", IF(ISNUMBER(SEARCH("Partial",K360)), "Partial", IF(ISNUMBER(SEARCH("Not Applicable",K360)), "N/A", "Fail"))))</f>
        <v/>
      </c>
      <c r="T360">
        <f>IF(Q360="", "", IF(OR(Q360="Fail", Q360="Partial"), "Yes", "No"))</f>
        <v/>
      </c>
      <c r="X360" t="inlineStr">
        <is>
          <t>No</t>
        </is>
      </c>
      <c r="AB360" t="inlineStr">
        <is>
          <t>[Security Analyst]</t>
        </is>
      </c>
      <c r="AE360" s="21">
        <f>IF(AA360&lt;&gt;"", AA360+90, "")</f>
        <v/>
      </c>
    </row>
    <row r="361">
      <c r="A361">
        <f>IF(B361&lt;&gt;"", "HC-"&amp;TEXT(ROW()-1,"00000"), "")</f>
        <v/>
      </c>
      <c r="Q361">
        <f>IF(K361="", "", IF(ISNUMBER(SEARCH("Implemented",K361)), "Pass", IF(ISNUMBER(SEARCH("Partial",K361)), "Partial", IF(ISNUMBER(SEARCH("Not Applicable",K361)), "N/A", "Fail"))))</f>
        <v/>
      </c>
      <c r="T361">
        <f>IF(Q361="", "", IF(OR(Q361="Fail", Q361="Partial"), "Yes", "No"))</f>
        <v/>
      </c>
      <c r="X361" t="inlineStr">
        <is>
          <t>No</t>
        </is>
      </c>
      <c r="AB361" t="inlineStr">
        <is>
          <t>[Security Analyst]</t>
        </is>
      </c>
      <c r="AE361" s="21">
        <f>IF(AA361&lt;&gt;"", AA361+90, "")</f>
        <v/>
      </c>
    </row>
    <row r="362">
      <c r="A362">
        <f>IF(B362&lt;&gt;"", "HC-"&amp;TEXT(ROW()-1,"00000"), "")</f>
        <v/>
      </c>
      <c r="Q362">
        <f>IF(K362="", "", IF(ISNUMBER(SEARCH("Implemented",K362)), "Pass", IF(ISNUMBER(SEARCH("Partial",K362)), "Partial", IF(ISNUMBER(SEARCH("Not Applicable",K362)), "N/A", "Fail"))))</f>
        <v/>
      </c>
      <c r="T362">
        <f>IF(Q362="", "", IF(OR(Q362="Fail", Q362="Partial"), "Yes", "No"))</f>
        <v/>
      </c>
      <c r="X362" t="inlineStr">
        <is>
          <t>No</t>
        </is>
      </c>
      <c r="AB362" t="inlineStr">
        <is>
          <t>[Security Analyst]</t>
        </is>
      </c>
      <c r="AE362" s="21">
        <f>IF(AA362&lt;&gt;"", AA362+90, "")</f>
        <v/>
      </c>
    </row>
    <row r="363">
      <c r="A363">
        <f>IF(B363&lt;&gt;"", "HC-"&amp;TEXT(ROW()-1,"00000"), "")</f>
        <v/>
      </c>
      <c r="Q363">
        <f>IF(K363="", "", IF(ISNUMBER(SEARCH("Implemented",K363)), "Pass", IF(ISNUMBER(SEARCH("Partial",K363)), "Partial", IF(ISNUMBER(SEARCH("Not Applicable",K363)), "N/A", "Fail"))))</f>
        <v/>
      </c>
      <c r="T363">
        <f>IF(Q363="", "", IF(OR(Q363="Fail", Q363="Partial"), "Yes", "No"))</f>
        <v/>
      </c>
      <c r="X363" t="inlineStr">
        <is>
          <t>No</t>
        </is>
      </c>
      <c r="AB363" t="inlineStr">
        <is>
          <t>[Security Analyst]</t>
        </is>
      </c>
      <c r="AE363" s="21">
        <f>IF(AA363&lt;&gt;"", AA363+90, "")</f>
        <v/>
      </c>
    </row>
    <row r="364">
      <c r="A364">
        <f>IF(B364&lt;&gt;"", "HC-"&amp;TEXT(ROW()-1,"00000"), "")</f>
        <v/>
      </c>
      <c r="Q364">
        <f>IF(K364="", "", IF(ISNUMBER(SEARCH("Implemented",K364)), "Pass", IF(ISNUMBER(SEARCH("Partial",K364)), "Partial", IF(ISNUMBER(SEARCH("Not Applicable",K364)), "N/A", "Fail"))))</f>
        <v/>
      </c>
      <c r="T364">
        <f>IF(Q364="", "", IF(OR(Q364="Fail", Q364="Partial"), "Yes", "No"))</f>
        <v/>
      </c>
      <c r="X364" t="inlineStr">
        <is>
          <t>No</t>
        </is>
      </c>
      <c r="AB364" t="inlineStr">
        <is>
          <t>[Security Analyst]</t>
        </is>
      </c>
      <c r="AE364" s="21">
        <f>IF(AA364&lt;&gt;"", AA364+90, "")</f>
        <v/>
      </c>
    </row>
    <row r="365">
      <c r="A365">
        <f>IF(B365&lt;&gt;"", "HC-"&amp;TEXT(ROW()-1,"00000"), "")</f>
        <v/>
      </c>
      <c r="Q365">
        <f>IF(K365="", "", IF(ISNUMBER(SEARCH("Implemented",K365)), "Pass", IF(ISNUMBER(SEARCH("Partial",K365)), "Partial", IF(ISNUMBER(SEARCH("Not Applicable",K365)), "N/A", "Fail"))))</f>
        <v/>
      </c>
      <c r="T365">
        <f>IF(Q365="", "", IF(OR(Q365="Fail", Q365="Partial"), "Yes", "No"))</f>
        <v/>
      </c>
      <c r="X365" t="inlineStr">
        <is>
          <t>No</t>
        </is>
      </c>
      <c r="AB365" t="inlineStr">
        <is>
          <t>[Security Analyst]</t>
        </is>
      </c>
      <c r="AE365" s="21">
        <f>IF(AA365&lt;&gt;"", AA365+90, "")</f>
        <v/>
      </c>
    </row>
    <row r="366">
      <c r="A366">
        <f>IF(B366&lt;&gt;"", "HC-"&amp;TEXT(ROW()-1,"00000"), "")</f>
        <v/>
      </c>
      <c r="Q366">
        <f>IF(K366="", "", IF(ISNUMBER(SEARCH("Implemented",K366)), "Pass", IF(ISNUMBER(SEARCH("Partial",K366)), "Partial", IF(ISNUMBER(SEARCH("Not Applicable",K366)), "N/A", "Fail"))))</f>
        <v/>
      </c>
      <c r="T366">
        <f>IF(Q366="", "", IF(OR(Q366="Fail", Q366="Partial"), "Yes", "No"))</f>
        <v/>
      </c>
      <c r="X366" t="inlineStr">
        <is>
          <t>No</t>
        </is>
      </c>
      <c r="AB366" t="inlineStr">
        <is>
          <t>[Security Analyst]</t>
        </is>
      </c>
      <c r="AE366" s="21">
        <f>IF(AA366&lt;&gt;"", AA366+90, "")</f>
        <v/>
      </c>
    </row>
    <row r="367">
      <c r="A367">
        <f>IF(B367&lt;&gt;"", "HC-"&amp;TEXT(ROW()-1,"00000"), "")</f>
        <v/>
      </c>
      <c r="Q367">
        <f>IF(K367="", "", IF(ISNUMBER(SEARCH("Implemented",K367)), "Pass", IF(ISNUMBER(SEARCH("Partial",K367)), "Partial", IF(ISNUMBER(SEARCH("Not Applicable",K367)), "N/A", "Fail"))))</f>
        <v/>
      </c>
      <c r="T367">
        <f>IF(Q367="", "", IF(OR(Q367="Fail", Q367="Partial"), "Yes", "No"))</f>
        <v/>
      </c>
      <c r="X367" t="inlineStr">
        <is>
          <t>No</t>
        </is>
      </c>
      <c r="AB367" t="inlineStr">
        <is>
          <t>[Security Analyst]</t>
        </is>
      </c>
      <c r="AE367" s="21">
        <f>IF(AA367&lt;&gt;"", AA367+90, "")</f>
        <v/>
      </c>
    </row>
    <row r="368">
      <c r="A368">
        <f>IF(B368&lt;&gt;"", "HC-"&amp;TEXT(ROW()-1,"00000"), "")</f>
        <v/>
      </c>
      <c r="Q368">
        <f>IF(K368="", "", IF(ISNUMBER(SEARCH("Implemented",K368)), "Pass", IF(ISNUMBER(SEARCH("Partial",K368)), "Partial", IF(ISNUMBER(SEARCH("Not Applicable",K368)), "N/A", "Fail"))))</f>
        <v/>
      </c>
      <c r="T368">
        <f>IF(Q368="", "", IF(OR(Q368="Fail", Q368="Partial"), "Yes", "No"))</f>
        <v/>
      </c>
      <c r="X368" t="inlineStr">
        <is>
          <t>No</t>
        </is>
      </c>
      <c r="AB368" t="inlineStr">
        <is>
          <t>[Security Analyst]</t>
        </is>
      </c>
      <c r="AE368" s="21">
        <f>IF(AA368&lt;&gt;"", AA368+90, "")</f>
        <v/>
      </c>
    </row>
    <row r="369">
      <c r="A369">
        <f>IF(B369&lt;&gt;"", "HC-"&amp;TEXT(ROW()-1,"00000"), "")</f>
        <v/>
      </c>
      <c r="Q369">
        <f>IF(K369="", "", IF(ISNUMBER(SEARCH("Implemented",K369)), "Pass", IF(ISNUMBER(SEARCH("Partial",K369)), "Partial", IF(ISNUMBER(SEARCH("Not Applicable",K369)), "N/A", "Fail"))))</f>
        <v/>
      </c>
      <c r="T369">
        <f>IF(Q369="", "", IF(OR(Q369="Fail", Q369="Partial"), "Yes", "No"))</f>
        <v/>
      </c>
      <c r="X369" t="inlineStr">
        <is>
          <t>No</t>
        </is>
      </c>
      <c r="AB369" t="inlineStr">
        <is>
          <t>[Security Analyst]</t>
        </is>
      </c>
      <c r="AE369" s="21">
        <f>IF(AA369&lt;&gt;"", AA369+90, "")</f>
        <v/>
      </c>
    </row>
    <row r="370">
      <c r="A370">
        <f>IF(B370&lt;&gt;"", "HC-"&amp;TEXT(ROW()-1,"00000"), "")</f>
        <v/>
      </c>
      <c r="Q370">
        <f>IF(K370="", "", IF(ISNUMBER(SEARCH("Implemented",K370)), "Pass", IF(ISNUMBER(SEARCH("Partial",K370)), "Partial", IF(ISNUMBER(SEARCH("Not Applicable",K370)), "N/A", "Fail"))))</f>
        <v/>
      </c>
      <c r="T370">
        <f>IF(Q370="", "", IF(OR(Q370="Fail", Q370="Partial"), "Yes", "No"))</f>
        <v/>
      </c>
      <c r="X370" t="inlineStr">
        <is>
          <t>No</t>
        </is>
      </c>
      <c r="AB370" t="inlineStr">
        <is>
          <t>[Security Analyst]</t>
        </is>
      </c>
      <c r="AE370" s="21">
        <f>IF(AA370&lt;&gt;"", AA370+90, "")</f>
        <v/>
      </c>
    </row>
    <row r="371">
      <c r="A371">
        <f>IF(B371&lt;&gt;"", "HC-"&amp;TEXT(ROW()-1,"00000"), "")</f>
        <v/>
      </c>
      <c r="Q371">
        <f>IF(K371="", "", IF(ISNUMBER(SEARCH("Implemented",K371)), "Pass", IF(ISNUMBER(SEARCH("Partial",K371)), "Partial", IF(ISNUMBER(SEARCH("Not Applicable",K371)), "N/A", "Fail"))))</f>
        <v/>
      </c>
      <c r="T371">
        <f>IF(Q371="", "", IF(OR(Q371="Fail", Q371="Partial"), "Yes", "No"))</f>
        <v/>
      </c>
      <c r="X371" t="inlineStr">
        <is>
          <t>No</t>
        </is>
      </c>
      <c r="AB371" t="inlineStr">
        <is>
          <t>[Security Analyst]</t>
        </is>
      </c>
      <c r="AE371" s="21">
        <f>IF(AA371&lt;&gt;"", AA371+90, "")</f>
        <v/>
      </c>
    </row>
    <row r="372">
      <c r="A372">
        <f>IF(B372&lt;&gt;"", "HC-"&amp;TEXT(ROW()-1,"00000"), "")</f>
        <v/>
      </c>
      <c r="Q372">
        <f>IF(K372="", "", IF(ISNUMBER(SEARCH("Implemented",K372)), "Pass", IF(ISNUMBER(SEARCH("Partial",K372)), "Partial", IF(ISNUMBER(SEARCH("Not Applicable",K372)), "N/A", "Fail"))))</f>
        <v/>
      </c>
      <c r="T372">
        <f>IF(Q372="", "", IF(OR(Q372="Fail", Q372="Partial"), "Yes", "No"))</f>
        <v/>
      </c>
      <c r="X372" t="inlineStr">
        <is>
          <t>No</t>
        </is>
      </c>
      <c r="AB372" t="inlineStr">
        <is>
          <t>[Security Analyst]</t>
        </is>
      </c>
      <c r="AE372" s="21">
        <f>IF(AA372&lt;&gt;"", AA372+90, "")</f>
        <v/>
      </c>
    </row>
    <row r="373">
      <c r="A373">
        <f>IF(B373&lt;&gt;"", "HC-"&amp;TEXT(ROW()-1,"00000"), "")</f>
        <v/>
      </c>
      <c r="Q373">
        <f>IF(K373="", "", IF(ISNUMBER(SEARCH("Implemented",K373)), "Pass", IF(ISNUMBER(SEARCH("Partial",K373)), "Partial", IF(ISNUMBER(SEARCH("Not Applicable",K373)), "N/A", "Fail"))))</f>
        <v/>
      </c>
      <c r="T373">
        <f>IF(Q373="", "", IF(OR(Q373="Fail", Q373="Partial"), "Yes", "No"))</f>
        <v/>
      </c>
      <c r="X373" t="inlineStr">
        <is>
          <t>No</t>
        </is>
      </c>
      <c r="AB373" t="inlineStr">
        <is>
          <t>[Security Analyst]</t>
        </is>
      </c>
      <c r="AE373" s="21">
        <f>IF(AA373&lt;&gt;"", AA373+90, "")</f>
        <v/>
      </c>
    </row>
    <row r="374">
      <c r="A374">
        <f>IF(B374&lt;&gt;"", "HC-"&amp;TEXT(ROW()-1,"00000"), "")</f>
        <v/>
      </c>
      <c r="Q374">
        <f>IF(K374="", "", IF(ISNUMBER(SEARCH("Implemented",K374)), "Pass", IF(ISNUMBER(SEARCH("Partial",K374)), "Partial", IF(ISNUMBER(SEARCH("Not Applicable",K374)), "N/A", "Fail"))))</f>
        <v/>
      </c>
      <c r="T374">
        <f>IF(Q374="", "", IF(OR(Q374="Fail", Q374="Partial"), "Yes", "No"))</f>
        <v/>
      </c>
      <c r="X374" t="inlineStr">
        <is>
          <t>No</t>
        </is>
      </c>
      <c r="AB374" t="inlineStr">
        <is>
          <t>[Security Analyst]</t>
        </is>
      </c>
      <c r="AE374" s="21">
        <f>IF(AA374&lt;&gt;"", AA374+90, "")</f>
        <v/>
      </c>
    </row>
    <row r="375">
      <c r="A375">
        <f>IF(B375&lt;&gt;"", "HC-"&amp;TEXT(ROW()-1,"00000"), "")</f>
        <v/>
      </c>
      <c r="Q375">
        <f>IF(K375="", "", IF(ISNUMBER(SEARCH("Implemented",K375)), "Pass", IF(ISNUMBER(SEARCH("Partial",K375)), "Partial", IF(ISNUMBER(SEARCH("Not Applicable",K375)), "N/A", "Fail"))))</f>
        <v/>
      </c>
      <c r="T375">
        <f>IF(Q375="", "", IF(OR(Q375="Fail", Q375="Partial"), "Yes", "No"))</f>
        <v/>
      </c>
      <c r="X375" t="inlineStr">
        <is>
          <t>No</t>
        </is>
      </c>
      <c r="AB375" t="inlineStr">
        <is>
          <t>[Security Analyst]</t>
        </is>
      </c>
      <c r="AE375" s="21">
        <f>IF(AA375&lt;&gt;"", AA375+90, "")</f>
        <v/>
      </c>
    </row>
    <row r="376">
      <c r="A376">
        <f>IF(B376&lt;&gt;"", "HC-"&amp;TEXT(ROW()-1,"00000"), "")</f>
        <v/>
      </c>
      <c r="Q376">
        <f>IF(K376="", "", IF(ISNUMBER(SEARCH("Implemented",K376)), "Pass", IF(ISNUMBER(SEARCH("Partial",K376)), "Partial", IF(ISNUMBER(SEARCH("Not Applicable",K376)), "N/A", "Fail"))))</f>
        <v/>
      </c>
      <c r="T376">
        <f>IF(Q376="", "", IF(OR(Q376="Fail", Q376="Partial"), "Yes", "No"))</f>
        <v/>
      </c>
      <c r="X376" t="inlineStr">
        <is>
          <t>No</t>
        </is>
      </c>
      <c r="AB376" t="inlineStr">
        <is>
          <t>[Security Analyst]</t>
        </is>
      </c>
      <c r="AE376" s="21">
        <f>IF(AA376&lt;&gt;"", AA376+90, "")</f>
        <v/>
      </c>
    </row>
    <row r="377">
      <c r="A377">
        <f>IF(B377&lt;&gt;"", "HC-"&amp;TEXT(ROW()-1,"00000"), "")</f>
        <v/>
      </c>
      <c r="Q377">
        <f>IF(K377="", "", IF(ISNUMBER(SEARCH("Implemented",K377)), "Pass", IF(ISNUMBER(SEARCH("Partial",K377)), "Partial", IF(ISNUMBER(SEARCH("Not Applicable",K377)), "N/A", "Fail"))))</f>
        <v/>
      </c>
      <c r="T377">
        <f>IF(Q377="", "", IF(OR(Q377="Fail", Q377="Partial"), "Yes", "No"))</f>
        <v/>
      </c>
      <c r="X377" t="inlineStr">
        <is>
          <t>No</t>
        </is>
      </c>
      <c r="AB377" t="inlineStr">
        <is>
          <t>[Security Analyst]</t>
        </is>
      </c>
      <c r="AE377" s="21">
        <f>IF(AA377&lt;&gt;"", AA377+90, "")</f>
        <v/>
      </c>
    </row>
    <row r="378">
      <c r="A378">
        <f>IF(B378&lt;&gt;"", "HC-"&amp;TEXT(ROW()-1,"00000"), "")</f>
        <v/>
      </c>
      <c r="Q378">
        <f>IF(K378="", "", IF(ISNUMBER(SEARCH("Implemented",K378)), "Pass", IF(ISNUMBER(SEARCH("Partial",K378)), "Partial", IF(ISNUMBER(SEARCH("Not Applicable",K378)), "N/A", "Fail"))))</f>
        <v/>
      </c>
      <c r="T378">
        <f>IF(Q378="", "", IF(OR(Q378="Fail", Q378="Partial"), "Yes", "No"))</f>
        <v/>
      </c>
      <c r="X378" t="inlineStr">
        <is>
          <t>No</t>
        </is>
      </c>
      <c r="AB378" t="inlineStr">
        <is>
          <t>[Security Analyst]</t>
        </is>
      </c>
      <c r="AE378" s="21">
        <f>IF(AA378&lt;&gt;"", AA378+90, "")</f>
        <v/>
      </c>
    </row>
    <row r="379">
      <c r="A379">
        <f>IF(B379&lt;&gt;"", "HC-"&amp;TEXT(ROW()-1,"00000"), "")</f>
        <v/>
      </c>
      <c r="Q379">
        <f>IF(K379="", "", IF(ISNUMBER(SEARCH("Implemented",K379)), "Pass", IF(ISNUMBER(SEARCH("Partial",K379)), "Partial", IF(ISNUMBER(SEARCH("Not Applicable",K379)), "N/A", "Fail"))))</f>
        <v/>
      </c>
      <c r="T379">
        <f>IF(Q379="", "", IF(OR(Q379="Fail", Q379="Partial"), "Yes", "No"))</f>
        <v/>
      </c>
      <c r="X379" t="inlineStr">
        <is>
          <t>No</t>
        </is>
      </c>
      <c r="AB379" t="inlineStr">
        <is>
          <t>[Security Analyst]</t>
        </is>
      </c>
      <c r="AE379" s="21">
        <f>IF(AA379&lt;&gt;"", AA379+90, "")</f>
        <v/>
      </c>
    </row>
    <row r="380">
      <c r="A380">
        <f>IF(B380&lt;&gt;"", "HC-"&amp;TEXT(ROW()-1,"00000"), "")</f>
        <v/>
      </c>
      <c r="Q380">
        <f>IF(K380="", "", IF(ISNUMBER(SEARCH("Implemented",K380)), "Pass", IF(ISNUMBER(SEARCH("Partial",K380)), "Partial", IF(ISNUMBER(SEARCH("Not Applicable",K380)), "N/A", "Fail"))))</f>
        <v/>
      </c>
      <c r="T380">
        <f>IF(Q380="", "", IF(OR(Q380="Fail", Q380="Partial"), "Yes", "No"))</f>
        <v/>
      </c>
      <c r="X380" t="inlineStr">
        <is>
          <t>No</t>
        </is>
      </c>
      <c r="AB380" t="inlineStr">
        <is>
          <t>[Security Analyst]</t>
        </is>
      </c>
      <c r="AE380" s="21">
        <f>IF(AA380&lt;&gt;"", AA380+90, "")</f>
        <v/>
      </c>
    </row>
    <row r="381">
      <c r="A381">
        <f>IF(B381&lt;&gt;"", "HC-"&amp;TEXT(ROW()-1,"00000"), "")</f>
        <v/>
      </c>
      <c r="Q381">
        <f>IF(K381="", "", IF(ISNUMBER(SEARCH("Implemented",K381)), "Pass", IF(ISNUMBER(SEARCH("Partial",K381)), "Partial", IF(ISNUMBER(SEARCH("Not Applicable",K381)), "N/A", "Fail"))))</f>
        <v/>
      </c>
      <c r="T381">
        <f>IF(Q381="", "", IF(OR(Q381="Fail", Q381="Partial"), "Yes", "No"))</f>
        <v/>
      </c>
      <c r="X381" t="inlineStr">
        <is>
          <t>No</t>
        </is>
      </c>
      <c r="AB381" t="inlineStr">
        <is>
          <t>[Security Analyst]</t>
        </is>
      </c>
      <c r="AE381" s="21">
        <f>IF(AA381&lt;&gt;"", AA381+90, "")</f>
        <v/>
      </c>
    </row>
    <row r="382">
      <c r="A382">
        <f>IF(B382&lt;&gt;"", "HC-"&amp;TEXT(ROW()-1,"00000"), "")</f>
        <v/>
      </c>
      <c r="Q382">
        <f>IF(K382="", "", IF(ISNUMBER(SEARCH("Implemented",K382)), "Pass", IF(ISNUMBER(SEARCH("Partial",K382)), "Partial", IF(ISNUMBER(SEARCH("Not Applicable",K382)), "N/A", "Fail"))))</f>
        <v/>
      </c>
      <c r="T382">
        <f>IF(Q382="", "", IF(OR(Q382="Fail", Q382="Partial"), "Yes", "No"))</f>
        <v/>
      </c>
      <c r="X382" t="inlineStr">
        <is>
          <t>No</t>
        </is>
      </c>
      <c r="AB382" t="inlineStr">
        <is>
          <t>[Security Analyst]</t>
        </is>
      </c>
      <c r="AE382" s="21">
        <f>IF(AA382&lt;&gt;"", AA382+90, "")</f>
        <v/>
      </c>
    </row>
    <row r="383">
      <c r="A383">
        <f>IF(B383&lt;&gt;"", "HC-"&amp;TEXT(ROW()-1,"00000"), "")</f>
        <v/>
      </c>
      <c r="Q383">
        <f>IF(K383="", "", IF(ISNUMBER(SEARCH("Implemented",K383)), "Pass", IF(ISNUMBER(SEARCH("Partial",K383)), "Partial", IF(ISNUMBER(SEARCH("Not Applicable",K383)), "N/A", "Fail"))))</f>
        <v/>
      </c>
      <c r="T383">
        <f>IF(Q383="", "", IF(OR(Q383="Fail", Q383="Partial"), "Yes", "No"))</f>
        <v/>
      </c>
      <c r="X383" t="inlineStr">
        <is>
          <t>No</t>
        </is>
      </c>
      <c r="AB383" t="inlineStr">
        <is>
          <t>[Security Analyst]</t>
        </is>
      </c>
      <c r="AE383" s="21">
        <f>IF(AA383&lt;&gt;"", AA383+90, "")</f>
        <v/>
      </c>
    </row>
    <row r="384">
      <c r="A384">
        <f>IF(B384&lt;&gt;"", "HC-"&amp;TEXT(ROW()-1,"00000"), "")</f>
        <v/>
      </c>
      <c r="Q384">
        <f>IF(K384="", "", IF(ISNUMBER(SEARCH("Implemented",K384)), "Pass", IF(ISNUMBER(SEARCH("Partial",K384)), "Partial", IF(ISNUMBER(SEARCH("Not Applicable",K384)), "N/A", "Fail"))))</f>
        <v/>
      </c>
      <c r="T384">
        <f>IF(Q384="", "", IF(OR(Q384="Fail", Q384="Partial"), "Yes", "No"))</f>
        <v/>
      </c>
      <c r="X384" t="inlineStr">
        <is>
          <t>No</t>
        </is>
      </c>
      <c r="AB384" t="inlineStr">
        <is>
          <t>[Security Analyst]</t>
        </is>
      </c>
      <c r="AE384" s="21">
        <f>IF(AA384&lt;&gt;"", AA384+90, "")</f>
        <v/>
      </c>
    </row>
    <row r="385">
      <c r="A385">
        <f>IF(B385&lt;&gt;"", "HC-"&amp;TEXT(ROW()-1,"00000"), "")</f>
        <v/>
      </c>
      <c r="Q385">
        <f>IF(K385="", "", IF(ISNUMBER(SEARCH("Implemented",K385)), "Pass", IF(ISNUMBER(SEARCH("Partial",K385)), "Partial", IF(ISNUMBER(SEARCH("Not Applicable",K385)), "N/A", "Fail"))))</f>
        <v/>
      </c>
      <c r="T385">
        <f>IF(Q385="", "", IF(OR(Q385="Fail", Q385="Partial"), "Yes", "No"))</f>
        <v/>
      </c>
      <c r="X385" t="inlineStr">
        <is>
          <t>No</t>
        </is>
      </c>
      <c r="AB385" t="inlineStr">
        <is>
          <t>[Security Analyst]</t>
        </is>
      </c>
      <c r="AE385" s="21">
        <f>IF(AA385&lt;&gt;"", AA385+90, "")</f>
        <v/>
      </c>
    </row>
    <row r="386">
      <c r="A386">
        <f>IF(B386&lt;&gt;"", "HC-"&amp;TEXT(ROW()-1,"00000"), "")</f>
        <v/>
      </c>
      <c r="Q386">
        <f>IF(K386="", "", IF(ISNUMBER(SEARCH("Implemented",K386)), "Pass", IF(ISNUMBER(SEARCH("Partial",K386)), "Partial", IF(ISNUMBER(SEARCH("Not Applicable",K386)), "N/A", "Fail"))))</f>
        <v/>
      </c>
      <c r="T386">
        <f>IF(Q386="", "", IF(OR(Q386="Fail", Q386="Partial"), "Yes", "No"))</f>
        <v/>
      </c>
      <c r="X386" t="inlineStr">
        <is>
          <t>No</t>
        </is>
      </c>
      <c r="AB386" t="inlineStr">
        <is>
          <t>[Security Analyst]</t>
        </is>
      </c>
      <c r="AE386" s="21">
        <f>IF(AA386&lt;&gt;"", AA386+90, "")</f>
        <v/>
      </c>
    </row>
    <row r="387">
      <c r="A387">
        <f>IF(B387&lt;&gt;"", "HC-"&amp;TEXT(ROW()-1,"00000"), "")</f>
        <v/>
      </c>
      <c r="Q387">
        <f>IF(K387="", "", IF(ISNUMBER(SEARCH("Implemented",K387)), "Pass", IF(ISNUMBER(SEARCH("Partial",K387)), "Partial", IF(ISNUMBER(SEARCH("Not Applicable",K387)), "N/A", "Fail"))))</f>
        <v/>
      </c>
      <c r="T387">
        <f>IF(Q387="", "", IF(OR(Q387="Fail", Q387="Partial"), "Yes", "No"))</f>
        <v/>
      </c>
      <c r="X387" t="inlineStr">
        <is>
          <t>No</t>
        </is>
      </c>
      <c r="AB387" t="inlineStr">
        <is>
          <t>[Security Analyst]</t>
        </is>
      </c>
      <c r="AE387" s="21">
        <f>IF(AA387&lt;&gt;"", AA387+90, "")</f>
        <v/>
      </c>
    </row>
    <row r="388">
      <c r="A388">
        <f>IF(B388&lt;&gt;"", "HC-"&amp;TEXT(ROW()-1,"00000"), "")</f>
        <v/>
      </c>
      <c r="Q388">
        <f>IF(K388="", "", IF(ISNUMBER(SEARCH("Implemented",K388)), "Pass", IF(ISNUMBER(SEARCH("Partial",K388)), "Partial", IF(ISNUMBER(SEARCH("Not Applicable",K388)), "N/A", "Fail"))))</f>
        <v/>
      </c>
      <c r="T388">
        <f>IF(Q388="", "", IF(OR(Q388="Fail", Q388="Partial"), "Yes", "No"))</f>
        <v/>
      </c>
      <c r="X388" t="inlineStr">
        <is>
          <t>No</t>
        </is>
      </c>
      <c r="AB388" t="inlineStr">
        <is>
          <t>[Security Analyst]</t>
        </is>
      </c>
      <c r="AE388" s="21">
        <f>IF(AA388&lt;&gt;"", AA388+90, "")</f>
        <v/>
      </c>
    </row>
    <row r="389">
      <c r="A389">
        <f>IF(B389&lt;&gt;"", "HC-"&amp;TEXT(ROW()-1,"00000"), "")</f>
        <v/>
      </c>
      <c r="Q389">
        <f>IF(K389="", "", IF(ISNUMBER(SEARCH("Implemented",K389)), "Pass", IF(ISNUMBER(SEARCH("Partial",K389)), "Partial", IF(ISNUMBER(SEARCH("Not Applicable",K389)), "N/A", "Fail"))))</f>
        <v/>
      </c>
      <c r="T389">
        <f>IF(Q389="", "", IF(OR(Q389="Fail", Q389="Partial"), "Yes", "No"))</f>
        <v/>
      </c>
      <c r="X389" t="inlineStr">
        <is>
          <t>No</t>
        </is>
      </c>
      <c r="AB389" t="inlineStr">
        <is>
          <t>[Security Analyst]</t>
        </is>
      </c>
      <c r="AE389" s="21">
        <f>IF(AA389&lt;&gt;"", AA389+90, "")</f>
        <v/>
      </c>
    </row>
    <row r="390">
      <c r="A390">
        <f>IF(B390&lt;&gt;"", "HC-"&amp;TEXT(ROW()-1,"00000"), "")</f>
        <v/>
      </c>
      <c r="Q390">
        <f>IF(K390="", "", IF(ISNUMBER(SEARCH("Implemented",K390)), "Pass", IF(ISNUMBER(SEARCH("Partial",K390)), "Partial", IF(ISNUMBER(SEARCH("Not Applicable",K390)), "N/A", "Fail"))))</f>
        <v/>
      </c>
      <c r="T390">
        <f>IF(Q390="", "", IF(OR(Q390="Fail", Q390="Partial"), "Yes", "No"))</f>
        <v/>
      </c>
      <c r="X390" t="inlineStr">
        <is>
          <t>No</t>
        </is>
      </c>
      <c r="AB390" t="inlineStr">
        <is>
          <t>[Security Analyst]</t>
        </is>
      </c>
      <c r="AE390" s="21">
        <f>IF(AA390&lt;&gt;"", AA390+90, "")</f>
        <v/>
      </c>
    </row>
    <row r="391">
      <c r="A391">
        <f>IF(B391&lt;&gt;"", "HC-"&amp;TEXT(ROW()-1,"00000"), "")</f>
        <v/>
      </c>
      <c r="Q391">
        <f>IF(K391="", "", IF(ISNUMBER(SEARCH("Implemented",K391)), "Pass", IF(ISNUMBER(SEARCH("Partial",K391)), "Partial", IF(ISNUMBER(SEARCH("Not Applicable",K391)), "N/A", "Fail"))))</f>
        <v/>
      </c>
      <c r="T391">
        <f>IF(Q391="", "", IF(OR(Q391="Fail", Q391="Partial"), "Yes", "No"))</f>
        <v/>
      </c>
      <c r="X391" t="inlineStr">
        <is>
          <t>No</t>
        </is>
      </c>
      <c r="AB391" t="inlineStr">
        <is>
          <t>[Security Analyst]</t>
        </is>
      </c>
      <c r="AE391" s="21">
        <f>IF(AA391&lt;&gt;"", AA391+90, "")</f>
        <v/>
      </c>
    </row>
    <row r="392">
      <c r="A392">
        <f>IF(B392&lt;&gt;"", "HC-"&amp;TEXT(ROW()-1,"00000"), "")</f>
        <v/>
      </c>
      <c r="Q392">
        <f>IF(K392="", "", IF(ISNUMBER(SEARCH("Implemented",K392)), "Pass", IF(ISNUMBER(SEARCH("Partial",K392)), "Partial", IF(ISNUMBER(SEARCH("Not Applicable",K392)), "N/A", "Fail"))))</f>
        <v/>
      </c>
      <c r="T392">
        <f>IF(Q392="", "", IF(OR(Q392="Fail", Q392="Partial"), "Yes", "No"))</f>
        <v/>
      </c>
      <c r="X392" t="inlineStr">
        <is>
          <t>No</t>
        </is>
      </c>
      <c r="AB392" t="inlineStr">
        <is>
          <t>[Security Analyst]</t>
        </is>
      </c>
      <c r="AE392" s="21">
        <f>IF(AA392&lt;&gt;"", AA392+90, "")</f>
        <v/>
      </c>
    </row>
    <row r="393">
      <c r="A393">
        <f>IF(B393&lt;&gt;"", "HC-"&amp;TEXT(ROW()-1,"00000"), "")</f>
        <v/>
      </c>
      <c r="Q393">
        <f>IF(K393="", "", IF(ISNUMBER(SEARCH("Implemented",K393)), "Pass", IF(ISNUMBER(SEARCH("Partial",K393)), "Partial", IF(ISNUMBER(SEARCH("Not Applicable",K393)), "N/A", "Fail"))))</f>
        <v/>
      </c>
      <c r="T393">
        <f>IF(Q393="", "", IF(OR(Q393="Fail", Q393="Partial"), "Yes", "No"))</f>
        <v/>
      </c>
      <c r="X393" t="inlineStr">
        <is>
          <t>No</t>
        </is>
      </c>
      <c r="AB393" t="inlineStr">
        <is>
          <t>[Security Analyst]</t>
        </is>
      </c>
      <c r="AE393" s="21">
        <f>IF(AA393&lt;&gt;"", AA393+90, "")</f>
        <v/>
      </c>
    </row>
    <row r="394">
      <c r="A394">
        <f>IF(B394&lt;&gt;"", "HC-"&amp;TEXT(ROW()-1,"00000"), "")</f>
        <v/>
      </c>
      <c r="Q394">
        <f>IF(K394="", "", IF(ISNUMBER(SEARCH("Implemented",K394)), "Pass", IF(ISNUMBER(SEARCH("Partial",K394)), "Partial", IF(ISNUMBER(SEARCH("Not Applicable",K394)), "N/A", "Fail"))))</f>
        <v/>
      </c>
      <c r="T394">
        <f>IF(Q394="", "", IF(OR(Q394="Fail", Q394="Partial"), "Yes", "No"))</f>
        <v/>
      </c>
      <c r="X394" t="inlineStr">
        <is>
          <t>No</t>
        </is>
      </c>
      <c r="AB394" t="inlineStr">
        <is>
          <t>[Security Analyst]</t>
        </is>
      </c>
      <c r="AE394" s="21">
        <f>IF(AA394&lt;&gt;"", AA394+90, "")</f>
        <v/>
      </c>
    </row>
    <row r="395">
      <c r="A395">
        <f>IF(B395&lt;&gt;"", "HC-"&amp;TEXT(ROW()-1,"00000"), "")</f>
        <v/>
      </c>
      <c r="Q395">
        <f>IF(K395="", "", IF(ISNUMBER(SEARCH("Implemented",K395)), "Pass", IF(ISNUMBER(SEARCH("Partial",K395)), "Partial", IF(ISNUMBER(SEARCH("Not Applicable",K395)), "N/A", "Fail"))))</f>
        <v/>
      </c>
      <c r="T395">
        <f>IF(Q395="", "", IF(OR(Q395="Fail", Q395="Partial"), "Yes", "No"))</f>
        <v/>
      </c>
      <c r="X395" t="inlineStr">
        <is>
          <t>No</t>
        </is>
      </c>
      <c r="AB395" t="inlineStr">
        <is>
          <t>[Security Analyst]</t>
        </is>
      </c>
      <c r="AE395" s="21">
        <f>IF(AA395&lt;&gt;"", AA395+90, "")</f>
        <v/>
      </c>
    </row>
    <row r="396">
      <c r="A396">
        <f>IF(B396&lt;&gt;"", "HC-"&amp;TEXT(ROW()-1,"00000"), "")</f>
        <v/>
      </c>
      <c r="Q396">
        <f>IF(K396="", "", IF(ISNUMBER(SEARCH("Implemented",K396)), "Pass", IF(ISNUMBER(SEARCH("Partial",K396)), "Partial", IF(ISNUMBER(SEARCH("Not Applicable",K396)), "N/A", "Fail"))))</f>
        <v/>
      </c>
      <c r="T396">
        <f>IF(Q396="", "", IF(OR(Q396="Fail", Q396="Partial"), "Yes", "No"))</f>
        <v/>
      </c>
      <c r="X396" t="inlineStr">
        <is>
          <t>No</t>
        </is>
      </c>
      <c r="AB396" t="inlineStr">
        <is>
          <t>[Security Analyst]</t>
        </is>
      </c>
      <c r="AE396" s="21">
        <f>IF(AA396&lt;&gt;"", AA396+90, "")</f>
        <v/>
      </c>
    </row>
    <row r="397">
      <c r="A397">
        <f>IF(B397&lt;&gt;"", "HC-"&amp;TEXT(ROW()-1,"00000"), "")</f>
        <v/>
      </c>
      <c r="Q397">
        <f>IF(K397="", "", IF(ISNUMBER(SEARCH("Implemented",K397)), "Pass", IF(ISNUMBER(SEARCH("Partial",K397)), "Partial", IF(ISNUMBER(SEARCH("Not Applicable",K397)), "N/A", "Fail"))))</f>
        <v/>
      </c>
      <c r="T397">
        <f>IF(Q397="", "", IF(OR(Q397="Fail", Q397="Partial"), "Yes", "No"))</f>
        <v/>
      </c>
      <c r="X397" t="inlineStr">
        <is>
          <t>No</t>
        </is>
      </c>
      <c r="AB397" t="inlineStr">
        <is>
          <t>[Security Analyst]</t>
        </is>
      </c>
      <c r="AE397" s="21">
        <f>IF(AA397&lt;&gt;"", AA397+90, "")</f>
        <v/>
      </c>
    </row>
    <row r="398">
      <c r="A398">
        <f>IF(B398&lt;&gt;"", "HC-"&amp;TEXT(ROW()-1,"00000"), "")</f>
        <v/>
      </c>
      <c r="Q398">
        <f>IF(K398="", "", IF(ISNUMBER(SEARCH("Implemented",K398)), "Pass", IF(ISNUMBER(SEARCH("Partial",K398)), "Partial", IF(ISNUMBER(SEARCH("Not Applicable",K398)), "N/A", "Fail"))))</f>
        <v/>
      </c>
      <c r="T398">
        <f>IF(Q398="", "", IF(OR(Q398="Fail", Q398="Partial"), "Yes", "No"))</f>
        <v/>
      </c>
      <c r="X398" t="inlineStr">
        <is>
          <t>No</t>
        </is>
      </c>
      <c r="AB398" t="inlineStr">
        <is>
          <t>[Security Analyst]</t>
        </is>
      </c>
      <c r="AE398" s="21">
        <f>IF(AA398&lt;&gt;"", AA398+90, "")</f>
        <v/>
      </c>
    </row>
    <row r="399">
      <c r="A399">
        <f>IF(B399&lt;&gt;"", "HC-"&amp;TEXT(ROW()-1,"00000"), "")</f>
        <v/>
      </c>
      <c r="Q399">
        <f>IF(K399="", "", IF(ISNUMBER(SEARCH("Implemented",K399)), "Pass", IF(ISNUMBER(SEARCH("Partial",K399)), "Partial", IF(ISNUMBER(SEARCH("Not Applicable",K399)), "N/A", "Fail"))))</f>
        <v/>
      </c>
      <c r="T399">
        <f>IF(Q399="", "", IF(OR(Q399="Fail", Q399="Partial"), "Yes", "No"))</f>
        <v/>
      </c>
      <c r="X399" t="inlineStr">
        <is>
          <t>No</t>
        </is>
      </c>
      <c r="AB399" t="inlineStr">
        <is>
          <t>[Security Analyst]</t>
        </is>
      </c>
      <c r="AE399" s="21">
        <f>IF(AA399&lt;&gt;"", AA399+90, "")</f>
        <v/>
      </c>
    </row>
    <row r="400">
      <c r="A400">
        <f>IF(B400&lt;&gt;"", "HC-"&amp;TEXT(ROW()-1,"00000"), "")</f>
        <v/>
      </c>
      <c r="Q400">
        <f>IF(K400="", "", IF(ISNUMBER(SEARCH("Implemented",K400)), "Pass", IF(ISNUMBER(SEARCH("Partial",K400)), "Partial", IF(ISNUMBER(SEARCH("Not Applicable",K400)), "N/A", "Fail"))))</f>
        <v/>
      </c>
      <c r="T400">
        <f>IF(Q400="", "", IF(OR(Q400="Fail", Q400="Partial"), "Yes", "No"))</f>
        <v/>
      </c>
      <c r="X400" t="inlineStr">
        <is>
          <t>No</t>
        </is>
      </c>
      <c r="AB400" t="inlineStr">
        <is>
          <t>[Security Analyst]</t>
        </is>
      </c>
      <c r="AE400" s="21">
        <f>IF(AA400&lt;&gt;"", AA400+90, "")</f>
        <v/>
      </c>
    </row>
    <row r="401">
      <c r="A401">
        <f>IF(B401&lt;&gt;"", "HC-"&amp;TEXT(ROW()-1,"00000"), "")</f>
        <v/>
      </c>
      <c r="Q401">
        <f>IF(K401="", "", IF(ISNUMBER(SEARCH("Implemented",K401)), "Pass", IF(ISNUMBER(SEARCH("Partial",K401)), "Partial", IF(ISNUMBER(SEARCH("Not Applicable",K401)), "N/A", "Fail"))))</f>
        <v/>
      </c>
      <c r="T401">
        <f>IF(Q401="", "", IF(OR(Q401="Fail", Q401="Partial"), "Yes", "No"))</f>
        <v/>
      </c>
      <c r="X401" t="inlineStr">
        <is>
          <t>No</t>
        </is>
      </c>
      <c r="AB401" t="inlineStr">
        <is>
          <t>[Security Analyst]</t>
        </is>
      </c>
      <c r="AE401" s="21">
        <f>IF(AA401&lt;&gt;"", AA401+90, "")</f>
        <v/>
      </c>
    </row>
    <row r="402">
      <c r="A402">
        <f>IF(B402&lt;&gt;"", "HC-"&amp;TEXT(ROW()-1,"00000"), "")</f>
        <v/>
      </c>
      <c r="Q402">
        <f>IF(K402="", "", IF(ISNUMBER(SEARCH("Implemented",K402)), "Pass", IF(ISNUMBER(SEARCH("Partial",K402)), "Partial", IF(ISNUMBER(SEARCH("Not Applicable",K402)), "N/A", "Fail"))))</f>
        <v/>
      </c>
      <c r="T402">
        <f>IF(Q402="", "", IF(OR(Q402="Fail", Q402="Partial"), "Yes", "No"))</f>
        <v/>
      </c>
      <c r="X402" t="inlineStr">
        <is>
          <t>No</t>
        </is>
      </c>
      <c r="AB402" t="inlineStr">
        <is>
          <t>[Security Analyst]</t>
        </is>
      </c>
      <c r="AE402" s="21">
        <f>IF(AA402&lt;&gt;"", AA402+90, "")</f>
        <v/>
      </c>
    </row>
    <row r="403">
      <c r="A403">
        <f>IF(B403&lt;&gt;"", "HC-"&amp;TEXT(ROW()-1,"00000"), "")</f>
        <v/>
      </c>
      <c r="Q403">
        <f>IF(K403="", "", IF(ISNUMBER(SEARCH("Implemented",K403)), "Pass", IF(ISNUMBER(SEARCH("Partial",K403)), "Partial", IF(ISNUMBER(SEARCH("Not Applicable",K403)), "N/A", "Fail"))))</f>
        <v/>
      </c>
      <c r="T403">
        <f>IF(Q403="", "", IF(OR(Q403="Fail", Q403="Partial"), "Yes", "No"))</f>
        <v/>
      </c>
      <c r="X403" t="inlineStr">
        <is>
          <t>No</t>
        </is>
      </c>
      <c r="AB403" t="inlineStr">
        <is>
          <t>[Security Analyst]</t>
        </is>
      </c>
      <c r="AE403" s="21">
        <f>IF(AA403&lt;&gt;"", AA403+90, "")</f>
        <v/>
      </c>
    </row>
    <row r="404">
      <c r="A404">
        <f>IF(B404&lt;&gt;"", "HC-"&amp;TEXT(ROW()-1,"00000"), "")</f>
        <v/>
      </c>
      <c r="Q404">
        <f>IF(K404="", "", IF(ISNUMBER(SEARCH("Implemented",K404)), "Pass", IF(ISNUMBER(SEARCH("Partial",K404)), "Partial", IF(ISNUMBER(SEARCH("Not Applicable",K404)), "N/A", "Fail"))))</f>
        <v/>
      </c>
      <c r="T404">
        <f>IF(Q404="", "", IF(OR(Q404="Fail", Q404="Partial"), "Yes", "No"))</f>
        <v/>
      </c>
      <c r="X404" t="inlineStr">
        <is>
          <t>No</t>
        </is>
      </c>
      <c r="AB404" t="inlineStr">
        <is>
          <t>[Security Analyst]</t>
        </is>
      </c>
      <c r="AE404" s="21">
        <f>IF(AA404&lt;&gt;"", AA404+90, "")</f>
        <v/>
      </c>
    </row>
    <row r="405">
      <c r="A405">
        <f>IF(B405&lt;&gt;"", "HC-"&amp;TEXT(ROW()-1,"00000"), "")</f>
        <v/>
      </c>
      <c r="Q405">
        <f>IF(K405="", "", IF(ISNUMBER(SEARCH("Implemented",K405)), "Pass", IF(ISNUMBER(SEARCH("Partial",K405)), "Partial", IF(ISNUMBER(SEARCH("Not Applicable",K405)), "N/A", "Fail"))))</f>
        <v/>
      </c>
      <c r="T405">
        <f>IF(Q405="", "", IF(OR(Q405="Fail", Q405="Partial"), "Yes", "No"))</f>
        <v/>
      </c>
      <c r="X405" t="inlineStr">
        <is>
          <t>No</t>
        </is>
      </c>
      <c r="AB405" t="inlineStr">
        <is>
          <t>[Security Analyst]</t>
        </is>
      </c>
      <c r="AE405" s="21">
        <f>IF(AA405&lt;&gt;"", AA405+90, "")</f>
        <v/>
      </c>
    </row>
    <row r="406">
      <c r="A406">
        <f>IF(B406&lt;&gt;"", "HC-"&amp;TEXT(ROW()-1,"00000"), "")</f>
        <v/>
      </c>
      <c r="Q406">
        <f>IF(K406="", "", IF(ISNUMBER(SEARCH("Implemented",K406)), "Pass", IF(ISNUMBER(SEARCH("Partial",K406)), "Partial", IF(ISNUMBER(SEARCH("Not Applicable",K406)), "N/A", "Fail"))))</f>
        <v/>
      </c>
      <c r="T406">
        <f>IF(Q406="", "", IF(OR(Q406="Fail", Q406="Partial"), "Yes", "No"))</f>
        <v/>
      </c>
      <c r="X406" t="inlineStr">
        <is>
          <t>No</t>
        </is>
      </c>
      <c r="AB406" t="inlineStr">
        <is>
          <t>[Security Analyst]</t>
        </is>
      </c>
      <c r="AE406" s="21">
        <f>IF(AA406&lt;&gt;"", AA406+90, "")</f>
        <v/>
      </c>
    </row>
    <row r="407">
      <c r="A407">
        <f>IF(B407&lt;&gt;"", "HC-"&amp;TEXT(ROW()-1,"00000"), "")</f>
        <v/>
      </c>
      <c r="Q407">
        <f>IF(K407="", "", IF(ISNUMBER(SEARCH("Implemented",K407)), "Pass", IF(ISNUMBER(SEARCH("Partial",K407)), "Partial", IF(ISNUMBER(SEARCH("Not Applicable",K407)), "N/A", "Fail"))))</f>
        <v/>
      </c>
      <c r="T407">
        <f>IF(Q407="", "", IF(OR(Q407="Fail", Q407="Partial"), "Yes", "No"))</f>
        <v/>
      </c>
      <c r="X407" t="inlineStr">
        <is>
          <t>No</t>
        </is>
      </c>
      <c r="AB407" t="inlineStr">
        <is>
          <t>[Security Analyst]</t>
        </is>
      </c>
      <c r="AE407" s="21">
        <f>IF(AA407&lt;&gt;"", AA407+90, "")</f>
        <v/>
      </c>
    </row>
    <row r="408">
      <c r="A408">
        <f>IF(B408&lt;&gt;"", "HC-"&amp;TEXT(ROW()-1,"00000"), "")</f>
        <v/>
      </c>
      <c r="Q408">
        <f>IF(K408="", "", IF(ISNUMBER(SEARCH("Implemented",K408)), "Pass", IF(ISNUMBER(SEARCH("Partial",K408)), "Partial", IF(ISNUMBER(SEARCH("Not Applicable",K408)), "N/A", "Fail"))))</f>
        <v/>
      </c>
      <c r="T408">
        <f>IF(Q408="", "", IF(OR(Q408="Fail", Q408="Partial"), "Yes", "No"))</f>
        <v/>
      </c>
      <c r="X408" t="inlineStr">
        <is>
          <t>No</t>
        </is>
      </c>
      <c r="AB408" t="inlineStr">
        <is>
          <t>[Security Analyst]</t>
        </is>
      </c>
      <c r="AE408" s="21">
        <f>IF(AA408&lt;&gt;"", AA408+90, "")</f>
        <v/>
      </c>
    </row>
    <row r="409">
      <c r="A409">
        <f>IF(B409&lt;&gt;"", "HC-"&amp;TEXT(ROW()-1,"00000"), "")</f>
        <v/>
      </c>
      <c r="Q409">
        <f>IF(K409="", "", IF(ISNUMBER(SEARCH("Implemented",K409)), "Pass", IF(ISNUMBER(SEARCH("Partial",K409)), "Partial", IF(ISNUMBER(SEARCH("Not Applicable",K409)), "N/A", "Fail"))))</f>
        <v/>
      </c>
      <c r="T409">
        <f>IF(Q409="", "", IF(OR(Q409="Fail", Q409="Partial"), "Yes", "No"))</f>
        <v/>
      </c>
      <c r="X409" t="inlineStr">
        <is>
          <t>No</t>
        </is>
      </c>
      <c r="AB409" t="inlineStr">
        <is>
          <t>[Security Analyst]</t>
        </is>
      </c>
      <c r="AE409" s="21">
        <f>IF(AA409&lt;&gt;"", AA409+90, "")</f>
        <v/>
      </c>
    </row>
    <row r="410">
      <c r="A410">
        <f>IF(B410&lt;&gt;"", "HC-"&amp;TEXT(ROW()-1,"00000"), "")</f>
        <v/>
      </c>
      <c r="Q410">
        <f>IF(K410="", "", IF(ISNUMBER(SEARCH("Implemented",K410)), "Pass", IF(ISNUMBER(SEARCH("Partial",K410)), "Partial", IF(ISNUMBER(SEARCH("Not Applicable",K410)), "N/A", "Fail"))))</f>
        <v/>
      </c>
      <c r="T410">
        <f>IF(Q410="", "", IF(OR(Q410="Fail", Q410="Partial"), "Yes", "No"))</f>
        <v/>
      </c>
      <c r="X410" t="inlineStr">
        <is>
          <t>No</t>
        </is>
      </c>
      <c r="AB410" t="inlineStr">
        <is>
          <t>[Security Analyst]</t>
        </is>
      </c>
      <c r="AE410" s="21">
        <f>IF(AA410&lt;&gt;"", AA410+90, "")</f>
        <v/>
      </c>
    </row>
    <row r="411">
      <c r="A411">
        <f>IF(B411&lt;&gt;"", "HC-"&amp;TEXT(ROW()-1,"00000"), "")</f>
        <v/>
      </c>
      <c r="Q411">
        <f>IF(K411="", "", IF(ISNUMBER(SEARCH("Implemented",K411)), "Pass", IF(ISNUMBER(SEARCH("Partial",K411)), "Partial", IF(ISNUMBER(SEARCH("Not Applicable",K411)), "N/A", "Fail"))))</f>
        <v/>
      </c>
      <c r="T411">
        <f>IF(Q411="", "", IF(OR(Q411="Fail", Q411="Partial"), "Yes", "No"))</f>
        <v/>
      </c>
      <c r="X411" t="inlineStr">
        <is>
          <t>No</t>
        </is>
      </c>
      <c r="AB411" t="inlineStr">
        <is>
          <t>[Security Analyst]</t>
        </is>
      </c>
      <c r="AE411" s="21">
        <f>IF(AA411&lt;&gt;"", AA411+90, "")</f>
        <v/>
      </c>
    </row>
    <row r="412">
      <c r="A412">
        <f>IF(B412&lt;&gt;"", "HC-"&amp;TEXT(ROW()-1,"00000"), "")</f>
        <v/>
      </c>
      <c r="Q412">
        <f>IF(K412="", "", IF(ISNUMBER(SEARCH("Implemented",K412)), "Pass", IF(ISNUMBER(SEARCH("Partial",K412)), "Partial", IF(ISNUMBER(SEARCH("Not Applicable",K412)), "N/A", "Fail"))))</f>
        <v/>
      </c>
      <c r="T412">
        <f>IF(Q412="", "", IF(OR(Q412="Fail", Q412="Partial"), "Yes", "No"))</f>
        <v/>
      </c>
      <c r="X412" t="inlineStr">
        <is>
          <t>No</t>
        </is>
      </c>
      <c r="AB412" t="inlineStr">
        <is>
          <t>[Security Analyst]</t>
        </is>
      </c>
      <c r="AE412" s="21">
        <f>IF(AA412&lt;&gt;"", AA412+90, "")</f>
        <v/>
      </c>
    </row>
    <row r="413">
      <c r="A413">
        <f>IF(B413&lt;&gt;"", "HC-"&amp;TEXT(ROW()-1,"00000"), "")</f>
        <v/>
      </c>
      <c r="Q413">
        <f>IF(K413="", "", IF(ISNUMBER(SEARCH("Implemented",K413)), "Pass", IF(ISNUMBER(SEARCH("Partial",K413)), "Partial", IF(ISNUMBER(SEARCH("Not Applicable",K413)), "N/A", "Fail"))))</f>
        <v/>
      </c>
      <c r="T413">
        <f>IF(Q413="", "", IF(OR(Q413="Fail", Q413="Partial"), "Yes", "No"))</f>
        <v/>
      </c>
      <c r="X413" t="inlineStr">
        <is>
          <t>No</t>
        </is>
      </c>
      <c r="AB413" t="inlineStr">
        <is>
          <t>[Security Analyst]</t>
        </is>
      </c>
      <c r="AE413" s="21">
        <f>IF(AA413&lt;&gt;"", AA413+90, "")</f>
        <v/>
      </c>
    </row>
    <row r="414">
      <c r="A414">
        <f>IF(B414&lt;&gt;"", "HC-"&amp;TEXT(ROW()-1,"00000"), "")</f>
        <v/>
      </c>
      <c r="Q414">
        <f>IF(K414="", "", IF(ISNUMBER(SEARCH("Implemented",K414)), "Pass", IF(ISNUMBER(SEARCH("Partial",K414)), "Partial", IF(ISNUMBER(SEARCH("Not Applicable",K414)), "N/A", "Fail"))))</f>
        <v/>
      </c>
      <c r="T414">
        <f>IF(Q414="", "", IF(OR(Q414="Fail", Q414="Partial"), "Yes", "No"))</f>
        <v/>
      </c>
      <c r="X414" t="inlineStr">
        <is>
          <t>No</t>
        </is>
      </c>
      <c r="AB414" t="inlineStr">
        <is>
          <t>[Security Analyst]</t>
        </is>
      </c>
      <c r="AE414" s="21">
        <f>IF(AA414&lt;&gt;"", AA414+90, "")</f>
        <v/>
      </c>
    </row>
    <row r="415">
      <c r="A415">
        <f>IF(B415&lt;&gt;"", "HC-"&amp;TEXT(ROW()-1,"00000"), "")</f>
        <v/>
      </c>
      <c r="Q415">
        <f>IF(K415="", "", IF(ISNUMBER(SEARCH("Implemented",K415)), "Pass", IF(ISNUMBER(SEARCH("Partial",K415)), "Partial", IF(ISNUMBER(SEARCH("Not Applicable",K415)), "N/A", "Fail"))))</f>
        <v/>
      </c>
      <c r="T415">
        <f>IF(Q415="", "", IF(OR(Q415="Fail", Q415="Partial"), "Yes", "No"))</f>
        <v/>
      </c>
      <c r="X415" t="inlineStr">
        <is>
          <t>No</t>
        </is>
      </c>
      <c r="AB415" t="inlineStr">
        <is>
          <t>[Security Analyst]</t>
        </is>
      </c>
      <c r="AE415" s="21">
        <f>IF(AA415&lt;&gt;"", AA415+90, "")</f>
        <v/>
      </c>
    </row>
    <row r="416">
      <c r="A416">
        <f>IF(B416&lt;&gt;"", "HC-"&amp;TEXT(ROW()-1,"00000"), "")</f>
        <v/>
      </c>
      <c r="Q416">
        <f>IF(K416="", "", IF(ISNUMBER(SEARCH("Implemented",K416)), "Pass", IF(ISNUMBER(SEARCH("Partial",K416)), "Partial", IF(ISNUMBER(SEARCH("Not Applicable",K416)), "N/A", "Fail"))))</f>
        <v/>
      </c>
      <c r="T416">
        <f>IF(Q416="", "", IF(OR(Q416="Fail", Q416="Partial"), "Yes", "No"))</f>
        <v/>
      </c>
      <c r="X416" t="inlineStr">
        <is>
          <t>No</t>
        </is>
      </c>
      <c r="AB416" t="inlineStr">
        <is>
          <t>[Security Analyst]</t>
        </is>
      </c>
      <c r="AE416" s="21">
        <f>IF(AA416&lt;&gt;"", AA416+90, "")</f>
        <v/>
      </c>
    </row>
    <row r="417">
      <c r="A417">
        <f>IF(B417&lt;&gt;"", "HC-"&amp;TEXT(ROW()-1,"00000"), "")</f>
        <v/>
      </c>
      <c r="Q417">
        <f>IF(K417="", "", IF(ISNUMBER(SEARCH("Implemented",K417)), "Pass", IF(ISNUMBER(SEARCH("Partial",K417)), "Partial", IF(ISNUMBER(SEARCH("Not Applicable",K417)), "N/A", "Fail"))))</f>
        <v/>
      </c>
      <c r="T417">
        <f>IF(Q417="", "", IF(OR(Q417="Fail", Q417="Partial"), "Yes", "No"))</f>
        <v/>
      </c>
      <c r="X417" t="inlineStr">
        <is>
          <t>No</t>
        </is>
      </c>
      <c r="AB417" t="inlineStr">
        <is>
          <t>[Security Analyst]</t>
        </is>
      </c>
      <c r="AE417" s="21">
        <f>IF(AA417&lt;&gt;"", AA417+90, "")</f>
        <v/>
      </c>
    </row>
    <row r="418">
      <c r="A418">
        <f>IF(B418&lt;&gt;"", "HC-"&amp;TEXT(ROW()-1,"00000"), "")</f>
        <v/>
      </c>
      <c r="Q418">
        <f>IF(K418="", "", IF(ISNUMBER(SEARCH("Implemented",K418)), "Pass", IF(ISNUMBER(SEARCH("Partial",K418)), "Partial", IF(ISNUMBER(SEARCH("Not Applicable",K418)), "N/A", "Fail"))))</f>
        <v/>
      </c>
      <c r="T418">
        <f>IF(Q418="", "", IF(OR(Q418="Fail", Q418="Partial"), "Yes", "No"))</f>
        <v/>
      </c>
      <c r="X418" t="inlineStr">
        <is>
          <t>No</t>
        </is>
      </c>
      <c r="AB418" t="inlineStr">
        <is>
          <t>[Security Analyst]</t>
        </is>
      </c>
      <c r="AE418" s="21">
        <f>IF(AA418&lt;&gt;"", AA418+90, "")</f>
        <v/>
      </c>
    </row>
    <row r="419">
      <c r="A419">
        <f>IF(B419&lt;&gt;"", "HC-"&amp;TEXT(ROW()-1,"00000"), "")</f>
        <v/>
      </c>
      <c r="Q419">
        <f>IF(K419="", "", IF(ISNUMBER(SEARCH("Implemented",K419)), "Pass", IF(ISNUMBER(SEARCH("Partial",K419)), "Partial", IF(ISNUMBER(SEARCH("Not Applicable",K419)), "N/A", "Fail"))))</f>
        <v/>
      </c>
      <c r="T419">
        <f>IF(Q419="", "", IF(OR(Q419="Fail", Q419="Partial"), "Yes", "No"))</f>
        <v/>
      </c>
      <c r="X419" t="inlineStr">
        <is>
          <t>No</t>
        </is>
      </c>
      <c r="AB419" t="inlineStr">
        <is>
          <t>[Security Analyst]</t>
        </is>
      </c>
      <c r="AE419" s="21">
        <f>IF(AA419&lt;&gt;"", AA419+90, "")</f>
        <v/>
      </c>
    </row>
    <row r="420">
      <c r="A420">
        <f>IF(B420&lt;&gt;"", "HC-"&amp;TEXT(ROW()-1,"00000"), "")</f>
        <v/>
      </c>
      <c r="Q420">
        <f>IF(K420="", "", IF(ISNUMBER(SEARCH("Implemented",K420)), "Pass", IF(ISNUMBER(SEARCH("Partial",K420)), "Partial", IF(ISNUMBER(SEARCH("Not Applicable",K420)), "N/A", "Fail"))))</f>
        <v/>
      </c>
      <c r="T420">
        <f>IF(Q420="", "", IF(OR(Q420="Fail", Q420="Partial"), "Yes", "No"))</f>
        <v/>
      </c>
      <c r="X420" t="inlineStr">
        <is>
          <t>No</t>
        </is>
      </c>
      <c r="AB420" t="inlineStr">
        <is>
          <t>[Security Analyst]</t>
        </is>
      </c>
      <c r="AE420" s="21">
        <f>IF(AA420&lt;&gt;"", AA420+90, "")</f>
        <v/>
      </c>
    </row>
    <row r="421">
      <c r="A421">
        <f>IF(B421&lt;&gt;"", "HC-"&amp;TEXT(ROW()-1,"00000"), "")</f>
        <v/>
      </c>
      <c r="Q421">
        <f>IF(K421="", "", IF(ISNUMBER(SEARCH("Implemented",K421)), "Pass", IF(ISNUMBER(SEARCH("Partial",K421)), "Partial", IF(ISNUMBER(SEARCH("Not Applicable",K421)), "N/A", "Fail"))))</f>
        <v/>
      </c>
      <c r="T421">
        <f>IF(Q421="", "", IF(OR(Q421="Fail", Q421="Partial"), "Yes", "No"))</f>
        <v/>
      </c>
      <c r="X421" t="inlineStr">
        <is>
          <t>No</t>
        </is>
      </c>
      <c r="AB421" t="inlineStr">
        <is>
          <t>[Security Analyst]</t>
        </is>
      </c>
      <c r="AE421" s="21">
        <f>IF(AA421&lt;&gt;"", AA421+90, "")</f>
        <v/>
      </c>
    </row>
    <row r="422">
      <c r="A422">
        <f>IF(B422&lt;&gt;"", "HC-"&amp;TEXT(ROW()-1,"00000"), "")</f>
        <v/>
      </c>
      <c r="Q422">
        <f>IF(K422="", "", IF(ISNUMBER(SEARCH("Implemented",K422)), "Pass", IF(ISNUMBER(SEARCH("Partial",K422)), "Partial", IF(ISNUMBER(SEARCH("Not Applicable",K422)), "N/A", "Fail"))))</f>
        <v/>
      </c>
      <c r="T422">
        <f>IF(Q422="", "", IF(OR(Q422="Fail", Q422="Partial"), "Yes", "No"))</f>
        <v/>
      </c>
      <c r="X422" t="inlineStr">
        <is>
          <t>No</t>
        </is>
      </c>
      <c r="AB422" t="inlineStr">
        <is>
          <t>[Security Analyst]</t>
        </is>
      </c>
      <c r="AE422" s="21">
        <f>IF(AA422&lt;&gt;"", AA422+90, "")</f>
        <v/>
      </c>
    </row>
    <row r="423">
      <c r="A423">
        <f>IF(B423&lt;&gt;"", "HC-"&amp;TEXT(ROW()-1,"00000"), "")</f>
        <v/>
      </c>
      <c r="Q423">
        <f>IF(K423="", "", IF(ISNUMBER(SEARCH("Implemented",K423)), "Pass", IF(ISNUMBER(SEARCH("Partial",K423)), "Partial", IF(ISNUMBER(SEARCH("Not Applicable",K423)), "N/A", "Fail"))))</f>
        <v/>
      </c>
      <c r="T423">
        <f>IF(Q423="", "", IF(OR(Q423="Fail", Q423="Partial"), "Yes", "No"))</f>
        <v/>
      </c>
      <c r="X423" t="inlineStr">
        <is>
          <t>No</t>
        </is>
      </c>
      <c r="AB423" t="inlineStr">
        <is>
          <t>[Security Analyst]</t>
        </is>
      </c>
      <c r="AE423" s="21">
        <f>IF(AA423&lt;&gt;"", AA423+90, "")</f>
        <v/>
      </c>
    </row>
    <row r="424">
      <c r="A424">
        <f>IF(B424&lt;&gt;"", "HC-"&amp;TEXT(ROW()-1,"00000"), "")</f>
        <v/>
      </c>
      <c r="Q424">
        <f>IF(K424="", "", IF(ISNUMBER(SEARCH("Implemented",K424)), "Pass", IF(ISNUMBER(SEARCH("Partial",K424)), "Partial", IF(ISNUMBER(SEARCH("Not Applicable",K424)), "N/A", "Fail"))))</f>
        <v/>
      </c>
      <c r="T424">
        <f>IF(Q424="", "", IF(OR(Q424="Fail", Q424="Partial"), "Yes", "No"))</f>
        <v/>
      </c>
      <c r="X424" t="inlineStr">
        <is>
          <t>No</t>
        </is>
      </c>
      <c r="AB424" t="inlineStr">
        <is>
          <t>[Security Analyst]</t>
        </is>
      </c>
      <c r="AE424" s="21">
        <f>IF(AA424&lt;&gt;"", AA424+90, "")</f>
        <v/>
      </c>
    </row>
    <row r="425">
      <c r="A425">
        <f>IF(B425&lt;&gt;"", "HC-"&amp;TEXT(ROW()-1,"00000"), "")</f>
        <v/>
      </c>
      <c r="Q425">
        <f>IF(K425="", "", IF(ISNUMBER(SEARCH("Implemented",K425)), "Pass", IF(ISNUMBER(SEARCH("Partial",K425)), "Partial", IF(ISNUMBER(SEARCH("Not Applicable",K425)), "N/A", "Fail"))))</f>
        <v/>
      </c>
      <c r="T425">
        <f>IF(Q425="", "", IF(OR(Q425="Fail", Q425="Partial"), "Yes", "No"))</f>
        <v/>
      </c>
      <c r="X425" t="inlineStr">
        <is>
          <t>No</t>
        </is>
      </c>
      <c r="AB425" t="inlineStr">
        <is>
          <t>[Security Analyst]</t>
        </is>
      </c>
      <c r="AE425" s="21">
        <f>IF(AA425&lt;&gt;"", AA425+90, "")</f>
        <v/>
      </c>
    </row>
    <row r="426">
      <c r="A426">
        <f>IF(B426&lt;&gt;"", "HC-"&amp;TEXT(ROW()-1,"00000"), "")</f>
        <v/>
      </c>
      <c r="Q426">
        <f>IF(K426="", "", IF(ISNUMBER(SEARCH("Implemented",K426)), "Pass", IF(ISNUMBER(SEARCH("Partial",K426)), "Partial", IF(ISNUMBER(SEARCH("Not Applicable",K426)), "N/A", "Fail"))))</f>
        <v/>
      </c>
      <c r="T426">
        <f>IF(Q426="", "", IF(OR(Q426="Fail", Q426="Partial"), "Yes", "No"))</f>
        <v/>
      </c>
      <c r="X426" t="inlineStr">
        <is>
          <t>No</t>
        </is>
      </c>
      <c r="AB426" t="inlineStr">
        <is>
          <t>[Security Analyst]</t>
        </is>
      </c>
      <c r="AE426" s="21">
        <f>IF(AA426&lt;&gt;"", AA426+90, "")</f>
        <v/>
      </c>
    </row>
    <row r="427">
      <c r="A427">
        <f>IF(B427&lt;&gt;"", "HC-"&amp;TEXT(ROW()-1,"00000"), "")</f>
        <v/>
      </c>
      <c r="Q427">
        <f>IF(K427="", "", IF(ISNUMBER(SEARCH("Implemented",K427)), "Pass", IF(ISNUMBER(SEARCH("Partial",K427)), "Partial", IF(ISNUMBER(SEARCH("Not Applicable",K427)), "N/A", "Fail"))))</f>
        <v/>
      </c>
      <c r="T427">
        <f>IF(Q427="", "", IF(OR(Q427="Fail", Q427="Partial"), "Yes", "No"))</f>
        <v/>
      </c>
      <c r="X427" t="inlineStr">
        <is>
          <t>No</t>
        </is>
      </c>
      <c r="AB427" t="inlineStr">
        <is>
          <t>[Security Analyst]</t>
        </is>
      </c>
      <c r="AE427" s="21">
        <f>IF(AA427&lt;&gt;"", AA427+90, "")</f>
        <v/>
      </c>
    </row>
    <row r="428">
      <c r="A428">
        <f>IF(B428&lt;&gt;"", "HC-"&amp;TEXT(ROW()-1,"00000"), "")</f>
        <v/>
      </c>
      <c r="Q428">
        <f>IF(K428="", "", IF(ISNUMBER(SEARCH("Implemented",K428)), "Pass", IF(ISNUMBER(SEARCH("Partial",K428)), "Partial", IF(ISNUMBER(SEARCH("Not Applicable",K428)), "N/A", "Fail"))))</f>
        <v/>
      </c>
      <c r="T428">
        <f>IF(Q428="", "", IF(OR(Q428="Fail", Q428="Partial"), "Yes", "No"))</f>
        <v/>
      </c>
      <c r="X428" t="inlineStr">
        <is>
          <t>No</t>
        </is>
      </c>
      <c r="AB428" t="inlineStr">
        <is>
          <t>[Security Analyst]</t>
        </is>
      </c>
      <c r="AE428" s="21">
        <f>IF(AA428&lt;&gt;"", AA428+90, "")</f>
        <v/>
      </c>
    </row>
    <row r="429">
      <c r="A429">
        <f>IF(B429&lt;&gt;"", "HC-"&amp;TEXT(ROW()-1,"00000"), "")</f>
        <v/>
      </c>
      <c r="Q429">
        <f>IF(K429="", "", IF(ISNUMBER(SEARCH("Implemented",K429)), "Pass", IF(ISNUMBER(SEARCH("Partial",K429)), "Partial", IF(ISNUMBER(SEARCH("Not Applicable",K429)), "N/A", "Fail"))))</f>
        <v/>
      </c>
      <c r="T429">
        <f>IF(Q429="", "", IF(OR(Q429="Fail", Q429="Partial"), "Yes", "No"))</f>
        <v/>
      </c>
      <c r="X429" t="inlineStr">
        <is>
          <t>No</t>
        </is>
      </c>
      <c r="AB429" t="inlineStr">
        <is>
          <t>[Security Analyst]</t>
        </is>
      </c>
      <c r="AE429" s="21">
        <f>IF(AA429&lt;&gt;"", AA429+90, "")</f>
        <v/>
      </c>
    </row>
    <row r="430">
      <c r="A430">
        <f>IF(B430&lt;&gt;"", "HC-"&amp;TEXT(ROW()-1,"00000"), "")</f>
        <v/>
      </c>
      <c r="Q430">
        <f>IF(K430="", "", IF(ISNUMBER(SEARCH("Implemented",K430)), "Pass", IF(ISNUMBER(SEARCH("Partial",K430)), "Partial", IF(ISNUMBER(SEARCH("Not Applicable",K430)), "N/A", "Fail"))))</f>
        <v/>
      </c>
      <c r="T430">
        <f>IF(Q430="", "", IF(OR(Q430="Fail", Q430="Partial"), "Yes", "No"))</f>
        <v/>
      </c>
      <c r="X430" t="inlineStr">
        <is>
          <t>No</t>
        </is>
      </c>
      <c r="AB430" t="inlineStr">
        <is>
          <t>[Security Analyst]</t>
        </is>
      </c>
      <c r="AE430" s="21">
        <f>IF(AA430&lt;&gt;"", AA430+90, "")</f>
        <v/>
      </c>
    </row>
    <row r="431">
      <c r="A431">
        <f>IF(B431&lt;&gt;"", "HC-"&amp;TEXT(ROW()-1,"00000"), "")</f>
        <v/>
      </c>
      <c r="Q431">
        <f>IF(K431="", "", IF(ISNUMBER(SEARCH("Implemented",K431)), "Pass", IF(ISNUMBER(SEARCH("Partial",K431)), "Partial", IF(ISNUMBER(SEARCH("Not Applicable",K431)), "N/A", "Fail"))))</f>
        <v/>
      </c>
      <c r="T431">
        <f>IF(Q431="", "", IF(OR(Q431="Fail", Q431="Partial"), "Yes", "No"))</f>
        <v/>
      </c>
      <c r="X431" t="inlineStr">
        <is>
          <t>No</t>
        </is>
      </c>
      <c r="AB431" t="inlineStr">
        <is>
          <t>[Security Analyst]</t>
        </is>
      </c>
      <c r="AE431" s="21">
        <f>IF(AA431&lt;&gt;"", AA431+90, "")</f>
        <v/>
      </c>
    </row>
    <row r="432">
      <c r="A432">
        <f>IF(B432&lt;&gt;"", "HC-"&amp;TEXT(ROW()-1,"00000"), "")</f>
        <v/>
      </c>
      <c r="Q432">
        <f>IF(K432="", "", IF(ISNUMBER(SEARCH("Implemented",K432)), "Pass", IF(ISNUMBER(SEARCH("Partial",K432)), "Partial", IF(ISNUMBER(SEARCH("Not Applicable",K432)), "N/A", "Fail"))))</f>
        <v/>
      </c>
      <c r="T432">
        <f>IF(Q432="", "", IF(OR(Q432="Fail", Q432="Partial"), "Yes", "No"))</f>
        <v/>
      </c>
      <c r="X432" t="inlineStr">
        <is>
          <t>No</t>
        </is>
      </c>
      <c r="AB432" t="inlineStr">
        <is>
          <t>[Security Analyst]</t>
        </is>
      </c>
      <c r="AE432" s="21">
        <f>IF(AA432&lt;&gt;"", AA432+90, "")</f>
        <v/>
      </c>
    </row>
    <row r="433">
      <c r="A433">
        <f>IF(B433&lt;&gt;"", "HC-"&amp;TEXT(ROW()-1,"00000"), "")</f>
        <v/>
      </c>
      <c r="Q433">
        <f>IF(K433="", "", IF(ISNUMBER(SEARCH("Implemented",K433)), "Pass", IF(ISNUMBER(SEARCH("Partial",K433)), "Partial", IF(ISNUMBER(SEARCH("Not Applicable",K433)), "N/A", "Fail"))))</f>
        <v/>
      </c>
      <c r="T433">
        <f>IF(Q433="", "", IF(OR(Q433="Fail", Q433="Partial"), "Yes", "No"))</f>
        <v/>
      </c>
      <c r="X433" t="inlineStr">
        <is>
          <t>No</t>
        </is>
      </c>
      <c r="AB433" t="inlineStr">
        <is>
          <t>[Security Analyst]</t>
        </is>
      </c>
      <c r="AE433" s="21">
        <f>IF(AA433&lt;&gt;"", AA433+90, "")</f>
        <v/>
      </c>
    </row>
    <row r="434">
      <c r="A434">
        <f>IF(B434&lt;&gt;"", "HC-"&amp;TEXT(ROW()-1,"00000"), "")</f>
        <v/>
      </c>
      <c r="Q434">
        <f>IF(K434="", "", IF(ISNUMBER(SEARCH("Implemented",K434)), "Pass", IF(ISNUMBER(SEARCH("Partial",K434)), "Partial", IF(ISNUMBER(SEARCH("Not Applicable",K434)), "N/A", "Fail"))))</f>
        <v/>
      </c>
      <c r="T434">
        <f>IF(Q434="", "", IF(OR(Q434="Fail", Q434="Partial"), "Yes", "No"))</f>
        <v/>
      </c>
      <c r="X434" t="inlineStr">
        <is>
          <t>No</t>
        </is>
      </c>
      <c r="AB434" t="inlineStr">
        <is>
          <t>[Security Analyst]</t>
        </is>
      </c>
      <c r="AE434" s="21">
        <f>IF(AA434&lt;&gt;"", AA434+90, "")</f>
        <v/>
      </c>
    </row>
    <row r="435">
      <c r="A435">
        <f>IF(B435&lt;&gt;"", "HC-"&amp;TEXT(ROW()-1,"00000"), "")</f>
        <v/>
      </c>
      <c r="Q435">
        <f>IF(K435="", "", IF(ISNUMBER(SEARCH("Implemented",K435)), "Pass", IF(ISNUMBER(SEARCH("Partial",K435)), "Partial", IF(ISNUMBER(SEARCH("Not Applicable",K435)), "N/A", "Fail"))))</f>
        <v/>
      </c>
      <c r="T435">
        <f>IF(Q435="", "", IF(OR(Q435="Fail", Q435="Partial"), "Yes", "No"))</f>
        <v/>
      </c>
      <c r="X435" t="inlineStr">
        <is>
          <t>No</t>
        </is>
      </c>
      <c r="AB435" t="inlineStr">
        <is>
          <t>[Security Analyst]</t>
        </is>
      </c>
      <c r="AE435" s="21">
        <f>IF(AA435&lt;&gt;"", AA435+90, "")</f>
        <v/>
      </c>
    </row>
    <row r="436">
      <c r="A436">
        <f>IF(B436&lt;&gt;"", "HC-"&amp;TEXT(ROW()-1,"00000"), "")</f>
        <v/>
      </c>
      <c r="Q436">
        <f>IF(K436="", "", IF(ISNUMBER(SEARCH("Implemented",K436)), "Pass", IF(ISNUMBER(SEARCH("Partial",K436)), "Partial", IF(ISNUMBER(SEARCH("Not Applicable",K436)), "N/A", "Fail"))))</f>
        <v/>
      </c>
      <c r="T436">
        <f>IF(Q436="", "", IF(OR(Q436="Fail", Q436="Partial"), "Yes", "No"))</f>
        <v/>
      </c>
      <c r="X436" t="inlineStr">
        <is>
          <t>No</t>
        </is>
      </c>
      <c r="AB436" t="inlineStr">
        <is>
          <t>[Security Analyst]</t>
        </is>
      </c>
      <c r="AE436" s="21">
        <f>IF(AA436&lt;&gt;"", AA436+90, "")</f>
        <v/>
      </c>
    </row>
    <row r="437">
      <c r="A437">
        <f>IF(B437&lt;&gt;"", "HC-"&amp;TEXT(ROW()-1,"00000"), "")</f>
        <v/>
      </c>
      <c r="Q437">
        <f>IF(K437="", "", IF(ISNUMBER(SEARCH("Implemented",K437)), "Pass", IF(ISNUMBER(SEARCH("Partial",K437)), "Partial", IF(ISNUMBER(SEARCH("Not Applicable",K437)), "N/A", "Fail"))))</f>
        <v/>
      </c>
      <c r="T437">
        <f>IF(Q437="", "", IF(OR(Q437="Fail", Q437="Partial"), "Yes", "No"))</f>
        <v/>
      </c>
      <c r="X437" t="inlineStr">
        <is>
          <t>No</t>
        </is>
      </c>
      <c r="AB437" t="inlineStr">
        <is>
          <t>[Security Analyst]</t>
        </is>
      </c>
      <c r="AE437" s="21">
        <f>IF(AA437&lt;&gt;"", AA437+90, "")</f>
        <v/>
      </c>
    </row>
    <row r="438">
      <c r="A438">
        <f>IF(B438&lt;&gt;"", "HC-"&amp;TEXT(ROW()-1,"00000"), "")</f>
        <v/>
      </c>
      <c r="Q438">
        <f>IF(K438="", "", IF(ISNUMBER(SEARCH("Implemented",K438)), "Pass", IF(ISNUMBER(SEARCH("Partial",K438)), "Partial", IF(ISNUMBER(SEARCH("Not Applicable",K438)), "N/A", "Fail"))))</f>
        <v/>
      </c>
      <c r="T438">
        <f>IF(Q438="", "", IF(OR(Q438="Fail", Q438="Partial"), "Yes", "No"))</f>
        <v/>
      </c>
      <c r="X438" t="inlineStr">
        <is>
          <t>No</t>
        </is>
      </c>
      <c r="AB438" t="inlineStr">
        <is>
          <t>[Security Analyst]</t>
        </is>
      </c>
      <c r="AE438" s="21">
        <f>IF(AA438&lt;&gt;"", AA438+90, "")</f>
        <v/>
      </c>
    </row>
    <row r="439">
      <c r="A439">
        <f>IF(B439&lt;&gt;"", "HC-"&amp;TEXT(ROW()-1,"00000"), "")</f>
        <v/>
      </c>
      <c r="Q439">
        <f>IF(K439="", "", IF(ISNUMBER(SEARCH("Implemented",K439)), "Pass", IF(ISNUMBER(SEARCH("Partial",K439)), "Partial", IF(ISNUMBER(SEARCH("Not Applicable",K439)), "N/A", "Fail"))))</f>
        <v/>
      </c>
      <c r="T439">
        <f>IF(Q439="", "", IF(OR(Q439="Fail", Q439="Partial"), "Yes", "No"))</f>
        <v/>
      </c>
      <c r="X439" t="inlineStr">
        <is>
          <t>No</t>
        </is>
      </c>
      <c r="AB439" t="inlineStr">
        <is>
          <t>[Security Analyst]</t>
        </is>
      </c>
      <c r="AE439" s="21">
        <f>IF(AA439&lt;&gt;"", AA439+90, "")</f>
        <v/>
      </c>
    </row>
    <row r="440">
      <c r="A440">
        <f>IF(B440&lt;&gt;"", "HC-"&amp;TEXT(ROW()-1,"00000"), "")</f>
        <v/>
      </c>
      <c r="Q440">
        <f>IF(K440="", "", IF(ISNUMBER(SEARCH("Implemented",K440)), "Pass", IF(ISNUMBER(SEARCH("Partial",K440)), "Partial", IF(ISNUMBER(SEARCH("Not Applicable",K440)), "N/A", "Fail"))))</f>
        <v/>
      </c>
      <c r="T440">
        <f>IF(Q440="", "", IF(OR(Q440="Fail", Q440="Partial"), "Yes", "No"))</f>
        <v/>
      </c>
      <c r="X440" t="inlineStr">
        <is>
          <t>No</t>
        </is>
      </c>
      <c r="AB440" t="inlineStr">
        <is>
          <t>[Security Analyst]</t>
        </is>
      </c>
      <c r="AE440" s="21">
        <f>IF(AA440&lt;&gt;"", AA440+90, "")</f>
        <v/>
      </c>
    </row>
    <row r="441">
      <c r="A441">
        <f>IF(B441&lt;&gt;"", "HC-"&amp;TEXT(ROW()-1,"00000"), "")</f>
        <v/>
      </c>
      <c r="Q441">
        <f>IF(K441="", "", IF(ISNUMBER(SEARCH("Implemented",K441)), "Pass", IF(ISNUMBER(SEARCH("Partial",K441)), "Partial", IF(ISNUMBER(SEARCH("Not Applicable",K441)), "N/A", "Fail"))))</f>
        <v/>
      </c>
      <c r="T441">
        <f>IF(Q441="", "", IF(OR(Q441="Fail", Q441="Partial"), "Yes", "No"))</f>
        <v/>
      </c>
      <c r="X441" t="inlineStr">
        <is>
          <t>No</t>
        </is>
      </c>
      <c r="AB441" t="inlineStr">
        <is>
          <t>[Security Analyst]</t>
        </is>
      </c>
      <c r="AE441" s="21">
        <f>IF(AA441&lt;&gt;"", AA441+90, "")</f>
        <v/>
      </c>
    </row>
    <row r="442">
      <c r="A442">
        <f>IF(B442&lt;&gt;"", "HC-"&amp;TEXT(ROW()-1,"00000"), "")</f>
        <v/>
      </c>
      <c r="Q442">
        <f>IF(K442="", "", IF(ISNUMBER(SEARCH("Implemented",K442)), "Pass", IF(ISNUMBER(SEARCH("Partial",K442)), "Partial", IF(ISNUMBER(SEARCH("Not Applicable",K442)), "N/A", "Fail"))))</f>
        <v/>
      </c>
      <c r="T442">
        <f>IF(Q442="", "", IF(OR(Q442="Fail", Q442="Partial"), "Yes", "No"))</f>
        <v/>
      </c>
      <c r="X442" t="inlineStr">
        <is>
          <t>No</t>
        </is>
      </c>
      <c r="AB442" t="inlineStr">
        <is>
          <t>[Security Analyst]</t>
        </is>
      </c>
      <c r="AE442" s="21">
        <f>IF(AA442&lt;&gt;"", AA442+90, "")</f>
        <v/>
      </c>
    </row>
    <row r="443">
      <c r="A443">
        <f>IF(B443&lt;&gt;"", "HC-"&amp;TEXT(ROW()-1,"00000"), "")</f>
        <v/>
      </c>
      <c r="Q443">
        <f>IF(K443="", "", IF(ISNUMBER(SEARCH("Implemented",K443)), "Pass", IF(ISNUMBER(SEARCH("Partial",K443)), "Partial", IF(ISNUMBER(SEARCH("Not Applicable",K443)), "N/A", "Fail"))))</f>
        <v/>
      </c>
      <c r="T443">
        <f>IF(Q443="", "", IF(OR(Q443="Fail", Q443="Partial"), "Yes", "No"))</f>
        <v/>
      </c>
      <c r="X443" t="inlineStr">
        <is>
          <t>No</t>
        </is>
      </c>
      <c r="AB443" t="inlineStr">
        <is>
          <t>[Security Analyst]</t>
        </is>
      </c>
      <c r="AE443" s="21">
        <f>IF(AA443&lt;&gt;"", AA443+90, "")</f>
        <v/>
      </c>
    </row>
    <row r="444">
      <c r="A444">
        <f>IF(B444&lt;&gt;"", "HC-"&amp;TEXT(ROW()-1,"00000"), "")</f>
        <v/>
      </c>
      <c r="Q444">
        <f>IF(K444="", "", IF(ISNUMBER(SEARCH("Implemented",K444)), "Pass", IF(ISNUMBER(SEARCH("Partial",K444)), "Partial", IF(ISNUMBER(SEARCH("Not Applicable",K444)), "N/A", "Fail"))))</f>
        <v/>
      </c>
      <c r="T444">
        <f>IF(Q444="", "", IF(OR(Q444="Fail", Q444="Partial"), "Yes", "No"))</f>
        <v/>
      </c>
      <c r="X444" t="inlineStr">
        <is>
          <t>No</t>
        </is>
      </c>
      <c r="AB444" t="inlineStr">
        <is>
          <t>[Security Analyst]</t>
        </is>
      </c>
      <c r="AE444" s="21">
        <f>IF(AA444&lt;&gt;"", AA444+90, "")</f>
        <v/>
      </c>
    </row>
    <row r="445">
      <c r="A445">
        <f>IF(B445&lt;&gt;"", "HC-"&amp;TEXT(ROW()-1,"00000"), "")</f>
        <v/>
      </c>
      <c r="Q445">
        <f>IF(K445="", "", IF(ISNUMBER(SEARCH("Implemented",K445)), "Pass", IF(ISNUMBER(SEARCH("Partial",K445)), "Partial", IF(ISNUMBER(SEARCH("Not Applicable",K445)), "N/A", "Fail"))))</f>
        <v/>
      </c>
      <c r="T445">
        <f>IF(Q445="", "", IF(OR(Q445="Fail", Q445="Partial"), "Yes", "No"))</f>
        <v/>
      </c>
      <c r="X445" t="inlineStr">
        <is>
          <t>No</t>
        </is>
      </c>
      <c r="AB445" t="inlineStr">
        <is>
          <t>[Security Analyst]</t>
        </is>
      </c>
      <c r="AE445" s="21">
        <f>IF(AA445&lt;&gt;"", AA445+90, "")</f>
        <v/>
      </c>
    </row>
    <row r="446">
      <c r="A446">
        <f>IF(B446&lt;&gt;"", "HC-"&amp;TEXT(ROW()-1,"00000"), "")</f>
        <v/>
      </c>
      <c r="Q446">
        <f>IF(K446="", "", IF(ISNUMBER(SEARCH("Implemented",K446)), "Pass", IF(ISNUMBER(SEARCH("Partial",K446)), "Partial", IF(ISNUMBER(SEARCH("Not Applicable",K446)), "N/A", "Fail"))))</f>
        <v/>
      </c>
      <c r="T446">
        <f>IF(Q446="", "", IF(OR(Q446="Fail", Q446="Partial"), "Yes", "No"))</f>
        <v/>
      </c>
      <c r="X446" t="inlineStr">
        <is>
          <t>No</t>
        </is>
      </c>
      <c r="AB446" t="inlineStr">
        <is>
          <t>[Security Analyst]</t>
        </is>
      </c>
      <c r="AE446" s="21">
        <f>IF(AA446&lt;&gt;"", AA446+90, "")</f>
        <v/>
      </c>
    </row>
    <row r="447">
      <c r="A447">
        <f>IF(B447&lt;&gt;"", "HC-"&amp;TEXT(ROW()-1,"00000"), "")</f>
        <v/>
      </c>
      <c r="Q447">
        <f>IF(K447="", "", IF(ISNUMBER(SEARCH("Implemented",K447)), "Pass", IF(ISNUMBER(SEARCH("Partial",K447)), "Partial", IF(ISNUMBER(SEARCH("Not Applicable",K447)), "N/A", "Fail"))))</f>
        <v/>
      </c>
      <c r="T447">
        <f>IF(Q447="", "", IF(OR(Q447="Fail", Q447="Partial"), "Yes", "No"))</f>
        <v/>
      </c>
      <c r="X447" t="inlineStr">
        <is>
          <t>No</t>
        </is>
      </c>
      <c r="AB447" t="inlineStr">
        <is>
          <t>[Security Analyst]</t>
        </is>
      </c>
      <c r="AE447" s="21">
        <f>IF(AA447&lt;&gt;"", AA447+90, "")</f>
        <v/>
      </c>
    </row>
    <row r="448">
      <c r="A448">
        <f>IF(B448&lt;&gt;"", "HC-"&amp;TEXT(ROW()-1,"00000"), "")</f>
        <v/>
      </c>
      <c r="Q448">
        <f>IF(K448="", "", IF(ISNUMBER(SEARCH("Implemented",K448)), "Pass", IF(ISNUMBER(SEARCH("Partial",K448)), "Partial", IF(ISNUMBER(SEARCH("Not Applicable",K448)), "N/A", "Fail"))))</f>
        <v/>
      </c>
      <c r="T448">
        <f>IF(Q448="", "", IF(OR(Q448="Fail", Q448="Partial"), "Yes", "No"))</f>
        <v/>
      </c>
      <c r="X448" t="inlineStr">
        <is>
          <t>No</t>
        </is>
      </c>
      <c r="AB448" t="inlineStr">
        <is>
          <t>[Security Analyst]</t>
        </is>
      </c>
      <c r="AE448" s="21">
        <f>IF(AA448&lt;&gt;"", AA448+90, "")</f>
        <v/>
      </c>
    </row>
    <row r="449">
      <c r="A449">
        <f>IF(B449&lt;&gt;"", "HC-"&amp;TEXT(ROW()-1,"00000"), "")</f>
        <v/>
      </c>
      <c r="Q449">
        <f>IF(K449="", "", IF(ISNUMBER(SEARCH("Implemented",K449)), "Pass", IF(ISNUMBER(SEARCH("Partial",K449)), "Partial", IF(ISNUMBER(SEARCH("Not Applicable",K449)), "N/A", "Fail"))))</f>
        <v/>
      </c>
      <c r="T449">
        <f>IF(Q449="", "", IF(OR(Q449="Fail", Q449="Partial"), "Yes", "No"))</f>
        <v/>
      </c>
      <c r="X449" t="inlineStr">
        <is>
          <t>No</t>
        </is>
      </c>
      <c r="AB449" t="inlineStr">
        <is>
          <t>[Security Analyst]</t>
        </is>
      </c>
      <c r="AE449" s="21">
        <f>IF(AA449&lt;&gt;"", AA449+90, "")</f>
        <v/>
      </c>
    </row>
    <row r="450">
      <c r="A450">
        <f>IF(B450&lt;&gt;"", "HC-"&amp;TEXT(ROW()-1,"00000"), "")</f>
        <v/>
      </c>
      <c r="Q450">
        <f>IF(K450="", "", IF(ISNUMBER(SEARCH("Implemented",K450)), "Pass", IF(ISNUMBER(SEARCH("Partial",K450)), "Partial", IF(ISNUMBER(SEARCH("Not Applicable",K450)), "N/A", "Fail"))))</f>
        <v/>
      </c>
      <c r="T450">
        <f>IF(Q450="", "", IF(OR(Q450="Fail", Q450="Partial"), "Yes", "No"))</f>
        <v/>
      </c>
      <c r="X450" t="inlineStr">
        <is>
          <t>No</t>
        </is>
      </c>
      <c r="AB450" t="inlineStr">
        <is>
          <t>[Security Analyst]</t>
        </is>
      </c>
      <c r="AE450" s="21">
        <f>IF(AA450&lt;&gt;"", AA450+90, "")</f>
        <v/>
      </c>
    </row>
    <row r="451">
      <c r="A451">
        <f>IF(B451&lt;&gt;"", "HC-"&amp;TEXT(ROW()-1,"00000"), "")</f>
        <v/>
      </c>
      <c r="Q451">
        <f>IF(K451="", "", IF(ISNUMBER(SEARCH("Implemented",K451)), "Pass", IF(ISNUMBER(SEARCH("Partial",K451)), "Partial", IF(ISNUMBER(SEARCH("Not Applicable",K451)), "N/A", "Fail"))))</f>
        <v/>
      </c>
      <c r="T451">
        <f>IF(Q451="", "", IF(OR(Q451="Fail", Q451="Partial"), "Yes", "No"))</f>
        <v/>
      </c>
      <c r="X451" t="inlineStr">
        <is>
          <t>No</t>
        </is>
      </c>
      <c r="AB451" t="inlineStr">
        <is>
          <t>[Security Analyst]</t>
        </is>
      </c>
      <c r="AE451" s="21">
        <f>IF(AA451&lt;&gt;"", AA451+90, "")</f>
        <v/>
      </c>
    </row>
    <row r="452">
      <c r="A452">
        <f>IF(B452&lt;&gt;"", "HC-"&amp;TEXT(ROW()-1,"00000"), "")</f>
        <v/>
      </c>
      <c r="Q452">
        <f>IF(K452="", "", IF(ISNUMBER(SEARCH("Implemented",K452)), "Pass", IF(ISNUMBER(SEARCH("Partial",K452)), "Partial", IF(ISNUMBER(SEARCH("Not Applicable",K452)), "N/A", "Fail"))))</f>
        <v/>
      </c>
      <c r="T452">
        <f>IF(Q452="", "", IF(OR(Q452="Fail", Q452="Partial"), "Yes", "No"))</f>
        <v/>
      </c>
      <c r="X452" t="inlineStr">
        <is>
          <t>No</t>
        </is>
      </c>
      <c r="AB452" t="inlineStr">
        <is>
          <t>[Security Analyst]</t>
        </is>
      </c>
      <c r="AE452" s="21">
        <f>IF(AA452&lt;&gt;"", AA452+90, "")</f>
        <v/>
      </c>
    </row>
    <row r="453">
      <c r="A453">
        <f>IF(B453&lt;&gt;"", "HC-"&amp;TEXT(ROW()-1,"00000"), "")</f>
        <v/>
      </c>
      <c r="Q453">
        <f>IF(K453="", "", IF(ISNUMBER(SEARCH("Implemented",K453)), "Pass", IF(ISNUMBER(SEARCH("Partial",K453)), "Partial", IF(ISNUMBER(SEARCH("Not Applicable",K453)), "N/A", "Fail"))))</f>
        <v/>
      </c>
      <c r="T453">
        <f>IF(Q453="", "", IF(OR(Q453="Fail", Q453="Partial"), "Yes", "No"))</f>
        <v/>
      </c>
      <c r="X453" t="inlineStr">
        <is>
          <t>No</t>
        </is>
      </c>
      <c r="AB453" t="inlineStr">
        <is>
          <t>[Security Analyst]</t>
        </is>
      </c>
      <c r="AE453" s="21">
        <f>IF(AA453&lt;&gt;"", AA453+90, "")</f>
        <v/>
      </c>
    </row>
    <row r="454">
      <c r="A454">
        <f>IF(B454&lt;&gt;"", "HC-"&amp;TEXT(ROW()-1,"00000"), "")</f>
        <v/>
      </c>
      <c r="Q454">
        <f>IF(K454="", "", IF(ISNUMBER(SEARCH("Implemented",K454)), "Pass", IF(ISNUMBER(SEARCH("Partial",K454)), "Partial", IF(ISNUMBER(SEARCH("Not Applicable",K454)), "N/A", "Fail"))))</f>
        <v/>
      </c>
      <c r="T454">
        <f>IF(Q454="", "", IF(OR(Q454="Fail", Q454="Partial"), "Yes", "No"))</f>
        <v/>
      </c>
      <c r="X454" t="inlineStr">
        <is>
          <t>No</t>
        </is>
      </c>
      <c r="AB454" t="inlineStr">
        <is>
          <t>[Security Analyst]</t>
        </is>
      </c>
      <c r="AE454" s="21">
        <f>IF(AA454&lt;&gt;"", AA454+90, "")</f>
        <v/>
      </c>
    </row>
    <row r="455">
      <c r="A455">
        <f>IF(B455&lt;&gt;"", "HC-"&amp;TEXT(ROW()-1,"00000"), "")</f>
        <v/>
      </c>
      <c r="Q455">
        <f>IF(K455="", "", IF(ISNUMBER(SEARCH("Implemented",K455)), "Pass", IF(ISNUMBER(SEARCH("Partial",K455)), "Partial", IF(ISNUMBER(SEARCH("Not Applicable",K455)), "N/A", "Fail"))))</f>
        <v/>
      </c>
      <c r="T455">
        <f>IF(Q455="", "", IF(OR(Q455="Fail", Q455="Partial"), "Yes", "No"))</f>
        <v/>
      </c>
      <c r="X455" t="inlineStr">
        <is>
          <t>No</t>
        </is>
      </c>
      <c r="AB455" t="inlineStr">
        <is>
          <t>[Security Analyst]</t>
        </is>
      </c>
      <c r="AE455" s="21">
        <f>IF(AA455&lt;&gt;"", AA455+90, "")</f>
        <v/>
      </c>
    </row>
    <row r="456">
      <c r="A456">
        <f>IF(B456&lt;&gt;"", "HC-"&amp;TEXT(ROW()-1,"00000"), "")</f>
        <v/>
      </c>
      <c r="Q456">
        <f>IF(K456="", "", IF(ISNUMBER(SEARCH("Implemented",K456)), "Pass", IF(ISNUMBER(SEARCH("Partial",K456)), "Partial", IF(ISNUMBER(SEARCH("Not Applicable",K456)), "N/A", "Fail"))))</f>
        <v/>
      </c>
      <c r="T456">
        <f>IF(Q456="", "", IF(OR(Q456="Fail", Q456="Partial"), "Yes", "No"))</f>
        <v/>
      </c>
      <c r="X456" t="inlineStr">
        <is>
          <t>No</t>
        </is>
      </c>
      <c r="AB456" t="inlineStr">
        <is>
          <t>[Security Analyst]</t>
        </is>
      </c>
      <c r="AE456" s="21">
        <f>IF(AA456&lt;&gt;"", AA456+90, "")</f>
        <v/>
      </c>
    </row>
    <row r="457">
      <c r="A457">
        <f>IF(B457&lt;&gt;"", "HC-"&amp;TEXT(ROW()-1,"00000"), "")</f>
        <v/>
      </c>
      <c r="Q457">
        <f>IF(K457="", "", IF(ISNUMBER(SEARCH("Implemented",K457)), "Pass", IF(ISNUMBER(SEARCH("Partial",K457)), "Partial", IF(ISNUMBER(SEARCH("Not Applicable",K457)), "N/A", "Fail"))))</f>
        <v/>
      </c>
      <c r="T457">
        <f>IF(Q457="", "", IF(OR(Q457="Fail", Q457="Partial"), "Yes", "No"))</f>
        <v/>
      </c>
      <c r="X457" t="inlineStr">
        <is>
          <t>No</t>
        </is>
      </c>
      <c r="AB457" t="inlineStr">
        <is>
          <t>[Security Analyst]</t>
        </is>
      </c>
      <c r="AE457" s="21">
        <f>IF(AA457&lt;&gt;"", AA457+90, "")</f>
        <v/>
      </c>
    </row>
    <row r="458">
      <c r="A458">
        <f>IF(B458&lt;&gt;"", "HC-"&amp;TEXT(ROW()-1,"00000"), "")</f>
        <v/>
      </c>
      <c r="Q458">
        <f>IF(K458="", "", IF(ISNUMBER(SEARCH("Implemented",K458)), "Pass", IF(ISNUMBER(SEARCH("Partial",K458)), "Partial", IF(ISNUMBER(SEARCH("Not Applicable",K458)), "N/A", "Fail"))))</f>
        <v/>
      </c>
      <c r="T458">
        <f>IF(Q458="", "", IF(OR(Q458="Fail", Q458="Partial"), "Yes", "No"))</f>
        <v/>
      </c>
      <c r="X458" t="inlineStr">
        <is>
          <t>No</t>
        </is>
      </c>
      <c r="AB458" t="inlineStr">
        <is>
          <t>[Security Analyst]</t>
        </is>
      </c>
      <c r="AE458" s="21">
        <f>IF(AA458&lt;&gt;"", AA458+90, "")</f>
        <v/>
      </c>
    </row>
    <row r="459">
      <c r="A459">
        <f>IF(B459&lt;&gt;"", "HC-"&amp;TEXT(ROW()-1,"00000"), "")</f>
        <v/>
      </c>
      <c r="Q459">
        <f>IF(K459="", "", IF(ISNUMBER(SEARCH("Implemented",K459)), "Pass", IF(ISNUMBER(SEARCH("Partial",K459)), "Partial", IF(ISNUMBER(SEARCH("Not Applicable",K459)), "N/A", "Fail"))))</f>
        <v/>
      </c>
      <c r="T459">
        <f>IF(Q459="", "", IF(OR(Q459="Fail", Q459="Partial"), "Yes", "No"))</f>
        <v/>
      </c>
      <c r="X459" t="inlineStr">
        <is>
          <t>No</t>
        </is>
      </c>
      <c r="AB459" t="inlineStr">
        <is>
          <t>[Security Analyst]</t>
        </is>
      </c>
      <c r="AE459" s="21">
        <f>IF(AA459&lt;&gt;"", AA459+90, "")</f>
        <v/>
      </c>
    </row>
    <row r="460">
      <c r="A460">
        <f>IF(B460&lt;&gt;"", "HC-"&amp;TEXT(ROW()-1,"00000"), "")</f>
        <v/>
      </c>
      <c r="Q460">
        <f>IF(K460="", "", IF(ISNUMBER(SEARCH("Implemented",K460)), "Pass", IF(ISNUMBER(SEARCH("Partial",K460)), "Partial", IF(ISNUMBER(SEARCH("Not Applicable",K460)), "N/A", "Fail"))))</f>
        <v/>
      </c>
      <c r="T460">
        <f>IF(Q460="", "", IF(OR(Q460="Fail", Q460="Partial"), "Yes", "No"))</f>
        <v/>
      </c>
      <c r="X460" t="inlineStr">
        <is>
          <t>No</t>
        </is>
      </c>
      <c r="AB460" t="inlineStr">
        <is>
          <t>[Security Analyst]</t>
        </is>
      </c>
      <c r="AE460" s="21">
        <f>IF(AA460&lt;&gt;"", AA460+90, "")</f>
        <v/>
      </c>
    </row>
    <row r="461">
      <c r="A461">
        <f>IF(B461&lt;&gt;"", "HC-"&amp;TEXT(ROW()-1,"00000"), "")</f>
        <v/>
      </c>
      <c r="Q461">
        <f>IF(K461="", "", IF(ISNUMBER(SEARCH("Implemented",K461)), "Pass", IF(ISNUMBER(SEARCH("Partial",K461)), "Partial", IF(ISNUMBER(SEARCH("Not Applicable",K461)), "N/A", "Fail"))))</f>
        <v/>
      </c>
      <c r="T461">
        <f>IF(Q461="", "", IF(OR(Q461="Fail", Q461="Partial"), "Yes", "No"))</f>
        <v/>
      </c>
      <c r="X461" t="inlineStr">
        <is>
          <t>No</t>
        </is>
      </c>
      <c r="AB461" t="inlineStr">
        <is>
          <t>[Security Analyst]</t>
        </is>
      </c>
      <c r="AE461" s="21">
        <f>IF(AA461&lt;&gt;"", AA461+90, "")</f>
        <v/>
      </c>
    </row>
    <row r="462">
      <c r="A462">
        <f>IF(B462&lt;&gt;"", "HC-"&amp;TEXT(ROW()-1,"00000"), "")</f>
        <v/>
      </c>
      <c r="Q462">
        <f>IF(K462="", "", IF(ISNUMBER(SEARCH("Implemented",K462)), "Pass", IF(ISNUMBER(SEARCH("Partial",K462)), "Partial", IF(ISNUMBER(SEARCH("Not Applicable",K462)), "N/A", "Fail"))))</f>
        <v/>
      </c>
      <c r="T462">
        <f>IF(Q462="", "", IF(OR(Q462="Fail", Q462="Partial"), "Yes", "No"))</f>
        <v/>
      </c>
      <c r="X462" t="inlineStr">
        <is>
          <t>No</t>
        </is>
      </c>
      <c r="AB462" t="inlineStr">
        <is>
          <t>[Security Analyst]</t>
        </is>
      </c>
      <c r="AE462" s="21">
        <f>IF(AA462&lt;&gt;"", AA462+90, "")</f>
        <v/>
      </c>
    </row>
    <row r="463">
      <c r="A463">
        <f>IF(B463&lt;&gt;"", "HC-"&amp;TEXT(ROW()-1,"00000"), "")</f>
        <v/>
      </c>
      <c r="Q463">
        <f>IF(K463="", "", IF(ISNUMBER(SEARCH("Implemented",K463)), "Pass", IF(ISNUMBER(SEARCH("Partial",K463)), "Partial", IF(ISNUMBER(SEARCH("Not Applicable",K463)), "N/A", "Fail"))))</f>
        <v/>
      </c>
      <c r="T463">
        <f>IF(Q463="", "", IF(OR(Q463="Fail", Q463="Partial"), "Yes", "No"))</f>
        <v/>
      </c>
      <c r="X463" t="inlineStr">
        <is>
          <t>No</t>
        </is>
      </c>
      <c r="AB463" t="inlineStr">
        <is>
          <t>[Security Analyst]</t>
        </is>
      </c>
      <c r="AE463" s="21">
        <f>IF(AA463&lt;&gt;"", AA463+90, "")</f>
        <v/>
      </c>
    </row>
    <row r="464">
      <c r="A464">
        <f>IF(B464&lt;&gt;"", "HC-"&amp;TEXT(ROW()-1,"00000"), "")</f>
        <v/>
      </c>
      <c r="Q464">
        <f>IF(K464="", "", IF(ISNUMBER(SEARCH("Implemented",K464)), "Pass", IF(ISNUMBER(SEARCH("Partial",K464)), "Partial", IF(ISNUMBER(SEARCH("Not Applicable",K464)), "N/A", "Fail"))))</f>
        <v/>
      </c>
      <c r="T464">
        <f>IF(Q464="", "", IF(OR(Q464="Fail", Q464="Partial"), "Yes", "No"))</f>
        <v/>
      </c>
      <c r="X464" t="inlineStr">
        <is>
          <t>No</t>
        </is>
      </c>
      <c r="AB464" t="inlineStr">
        <is>
          <t>[Security Analyst]</t>
        </is>
      </c>
      <c r="AE464" s="21">
        <f>IF(AA464&lt;&gt;"", AA464+90, "")</f>
        <v/>
      </c>
    </row>
    <row r="465">
      <c r="A465">
        <f>IF(B465&lt;&gt;"", "HC-"&amp;TEXT(ROW()-1,"00000"), "")</f>
        <v/>
      </c>
      <c r="Q465">
        <f>IF(K465="", "", IF(ISNUMBER(SEARCH("Implemented",K465)), "Pass", IF(ISNUMBER(SEARCH("Partial",K465)), "Partial", IF(ISNUMBER(SEARCH("Not Applicable",K465)), "N/A", "Fail"))))</f>
        <v/>
      </c>
      <c r="T465">
        <f>IF(Q465="", "", IF(OR(Q465="Fail", Q465="Partial"), "Yes", "No"))</f>
        <v/>
      </c>
      <c r="X465" t="inlineStr">
        <is>
          <t>No</t>
        </is>
      </c>
      <c r="AB465" t="inlineStr">
        <is>
          <t>[Security Analyst]</t>
        </is>
      </c>
      <c r="AE465" s="21">
        <f>IF(AA465&lt;&gt;"", AA465+90, "")</f>
        <v/>
      </c>
    </row>
    <row r="466">
      <c r="A466">
        <f>IF(B466&lt;&gt;"", "HC-"&amp;TEXT(ROW()-1,"00000"), "")</f>
        <v/>
      </c>
      <c r="Q466">
        <f>IF(K466="", "", IF(ISNUMBER(SEARCH("Implemented",K466)), "Pass", IF(ISNUMBER(SEARCH("Partial",K466)), "Partial", IF(ISNUMBER(SEARCH("Not Applicable",K466)), "N/A", "Fail"))))</f>
        <v/>
      </c>
      <c r="T466">
        <f>IF(Q466="", "", IF(OR(Q466="Fail", Q466="Partial"), "Yes", "No"))</f>
        <v/>
      </c>
      <c r="X466" t="inlineStr">
        <is>
          <t>No</t>
        </is>
      </c>
      <c r="AB466" t="inlineStr">
        <is>
          <t>[Security Analyst]</t>
        </is>
      </c>
      <c r="AE466" s="21">
        <f>IF(AA466&lt;&gt;"", AA466+90, "")</f>
        <v/>
      </c>
    </row>
    <row r="467">
      <c r="A467">
        <f>IF(B467&lt;&gt;"", "HC-"&amp;TEXT(ROW()-1,"00000"), "")</f>
        <v/>
      </c>
      <c r="Q467">
        <f>IF(K467="", "", IF(ISNUMBER(SEARCH("Implemented",K467)), "Pass", IF(ISNUMBER(SEARCH("Partial",K467)), "Partial", IF(ISNUMBER(SEARCH("Not Applicable",K467)), "N/A", "Fail"))))</f>
        <v/>
      </c>
      <c r="T467">
        <f>IF(Q467="", "", IF(OR(Q467="Fail", Q467="Partial"), "Yes", "No"))</f>
        <v/>
      </c>
      <c r="X467" t="inlineStr">
        <is>
          <t>No</t>
        </is>
      </c>
      <c r="AB467" t="inlineStr">
        <is>
          <t>[Security Analyst]</t>
        </is>
      </c>
      <c r="AE467" s="21">
        <f>IF(AA467&lt;&gt;"", AA467+90, "")</f>
        <v/>
      </c>
    </row>
    <row r="468">
      <c r="A468">
        <f>IF(B468&lt;&gt;"", "HC-"&amp;TEXT(ROW()-1,"00000"), "")</f>
        <v/>
      </c>
      <c r="Q468">
        <f>IF(K468="", "", IF(ISNUMBER(SEARCH("Implemented",K468)), "Pass", IF(ISNUMBER(SEARCH("Partial",K468)), "Partial", IF(ISNUMBER(SEARCH("Not Applicable",K468)), "N/A", "Fail"))))</f>
        <v/>
      </c>
      <c r="T468">
        <f>IF(Q468="", "", IF(OR(Q468="Fail", Q468="Partial"), "Yes", "No"))</f>
        <v/>
      </c>
      <c r="X468" t="inlineStr">
        <is>
          <t>No</t>
        </is>
      </c>
      <c r="AB468" t="inlineStr">
        <is>
          <t>[Security Analyst]</t>
        </is>
      </c>
      <c r="AE468" s="21">
        <f>IF(AA468&lt;&gt;"", AA468+90, "")</f>
        <v/>
      </c>
    </row>
    <row r="469">
      <c r="A469">
        <f>IF(B469&lt;&gt;"", "HC-"&amp;TEXT(ROW()-1,"00000"), "")</f>
        <v/>
      </c>
      <c r="Q469">
        <f>IF(K469="", "", IF(ISNUMBER(SEARCH("Implemented",K469)), "Pass", IF(ISNUMBER(SEARCH("Partial",K469)), "Partial", IF(ISNUMBER(SEARCH("Not Applicable",K469)), "N/A", "Fail"))))</f>
        <v/>
      </c>
      <c r="T469">
        <f>IF(Q469="", "", IF(OR(Q469="Fail", Q469="Partial"), "Yes", "No"))</f>
        <v/>
      </c>
      <c r="X469" t="inlineStr">
        <is>
          <t>No</t>
        </is>
      </c>
      <c r="AB469" t="inlineStr">
        <is>
          <t>[Security Analyst]</t>
        </is>
      </c>
      <c r="AE469" s="21">
        <f>IF(AA469&lt;&gt;"", AA469+90, "")</f>
        <v/>
      </c>
    </row>
    <row r="470">
      <c r="A470">
        <f>IF(B470&lt;&gt;"", "HC-"&amp;TEXT(ROW()-1,"00000"), "")</f>
        <v/>
      </c>
      <c r="Q470">
        <f>IF(K470="", "", IF(ISNUMBER(SEARCH("Implemented",K470)), "Pass", IF(ISNUMBER(SEARCH("Partial",K470)), "Partial", IF(ISNUMBER(SEARCH("Not Applicable",K470)), "N/A", "Fail"))))</f>
        <v/>
      </c>
      <c r="T470">
        <f>IF(Q470="", "", IF(OR(Q470="Fail", Q470="Partial"), "Yes", "No"))</f>
        <v/>
      </c>
      <c r="X470" t="inlineStr">
        <is>
          <t>No</t>
        </is>
      </c>
      <c r="AB470" t="inlineStr">
        <is>
          <t>[Security Analyst]</t>
        </is>
      </c>
      <c r="AE470" s="21">
        <f>IF(AA470&lt;&gt;"", AA470+90, "")</f>
        <v/>
      </c>
    </row>
    <row r="471">
      <c r="A471">
        <f>IF(B471&lt;&gt;"", "HC-"&amp;TEXT(ROW()-1,"00000"), "")</f>
        <v/>
      </c>
      <c r="Q471">
        <f>IF(K471="", "", IF(ISNUMBER(SEARCH("Implemented",K471)), "Pass", IF(ISNUMBER(SEARCH("Partial",K471)), "Partial", IF(ISNUMBER(SEARCH("Not Applicable",K471)), "N/A", "Fail"))))</f>
        <v/>
      </c>
      <c r="T471">
        <f>IF(Q471="", "", IF(OR(Q471="Fail", Q471="Partial"), "Yes", "No"))</f>
        <v/>
      </c>
      <c r="X471" t="inlineStr">
        <is>
          <t>No</t>
        </is>
      </c>
      <c r="AB471" t="inlineStr">
        <is>
          <t>[Security Analyst]</t>
        </is>
      </c>
      <c r="AE471" s="21">
        <f>IF(AA471&lt;&gt;"", AA471+90, "")</f>
        <v/>
      </c>
    </row>
    <row r="472">
      <c r="A472">
        <f>IF(B472&lt;&gt;"", "HC-"&amp;TEXT(ROW()-1,"00000"), "")</f>
        <v/>
      </c>
      <c r="Q472">
        <f>IF(K472="", "", IF(ISNUMBER(SEARCH("Implemented",K472)), "Pass", IF(ISNUMBER(SEARCH("Partial",K472)), "Partial", IF(ISNUMBER(SEARCH("Not Applicable",K472)), "N/A", "Fail"))))</f>
        <v/>
      </c>
      <c r="T472">
        <f>IF(Q472="", "", IF(OR(Q472="Fail", Q472="Partial"), "Yes", "No"))</f>
        <v/>
      </c>
      <c r="X472" t="inlineStr">
        <is>
          <t>No</t>
        </is>
      </c>
      <c r="AB472" t="inlineStr">
        <is>
          <t>[Security Analyst]</t>
        </is>
      </c>
      <c r="AE472" s="21">
        <f>IF(AA472&lt;&gt;"", AA472+90, "")</f>
        <v/>
      </c>
    </row>
    <row r="473">
      <c r="A473">
        <f>IF(B473&lt;&gt;"", "HC-"&amp;TEXT(ROW()-1,"00000"), "")</f>
        <v/>
      </c>
      <c r="Q473">
        <f>IF(K473="", "", IF(ISNUMBER(SEARCH("Implemented",K473)), "Pass", IF(ISNUMBER(SEARCH("Partial",K473)), "Partial", IF(ISNUMBER(SEARCH("Not Applicable",K473)), "N/A", "Fail"))))</f>
        <v/>
      </c>
      <c r="T473">
        <f>IF(Q473="", "", IF(OR(Q473="Fail", Q473="Partial"), "Yes", "No"))</f>
        <v/>
      </c>
      <c r="X473" t="inlineStr">
        <is>
          <t>No</t>
        </is>
      </c>
      <c r="AB473" t="inlineStr">
        <is>
          <t>[Security Analyst]</t>
        </is>
      </c>
      <c r="AE473" s="21">
        <f>IF(AA473&lt;&gt;"", AA473+90, "")</f>
        <v/>
      </c>
    </row>
    <row r="474">
      <c r="A474">
        <f>IF(B474&lt;&gt;"", "HC-"&amp;TEXT(ROW()-1,"00000"), "")</f>
        <v/>
      </c>
      <c r="Q474">
        <f>IF(K474="", "", IF(ISNUMBER(SEARCH("Implemented",K474)), "Pass", IF(ISNUMBER(SEARCH("Partial",K474)), "Partial", IF(ISNUMBER(SEARCH("Not Applicable",K474)), "N/A", "Fail"))))</f>
        <v/>
      </c>
      <c r="T474">
        <f>IF(Q474="", "", IF(OR(Q474="Fail", Q474="Partial"), "Yes", "No"))</f>
        <v/>
      </c>
      <c r="X474" t="inlineStr">
        <is>
          <t>No</t>
        </is>
      </c>
      <c r="AB474" t="inlineStr">
        <is>
          <t>[Security Analyst]</t>
        </is>
      </c>
      <c r="AE474" s="21">
        <f>IF(AA474&lt;&gt;"", AA474+90, "")</f>
        <v/>
      </c>
    </row>
    <row r="475">
      <c r="A475">
        <f>IF(B475&lt;&gt;"", "HC-"&amp;TEXT(ROW()-1,"00000"), "")</f>
        <v/>
      </c>
      <c r="Q475">
        <f>IF(K475="", "", IF(ISNUMBER(SEARCH("Implemented",K475)), "Pass", IF(ISNUMBER(SEARCH("Partial",K475)), "Partial", IF(ISNUMBER(SEARCH("Not Applicable",K475)), "N/A", "Fail"))))</f>
        <v/>
      </c>
      <c r="T475">
        <f>IF(Q475="", "", IF(OR(Q475="Fail", Q475="Partial"), "Yes", "No"))</f>
        <v/>
      </c>
      <c r="X475" t="inlineStr">
        <is>
          <t>No</t>
        </is>
      </c>
      <c r="AB475" t="inlineStr">
        <is>
          <t>[Security Analyst]</t>
        </is>
      </c>
      <c r="AE475" s="21">
        <f>IF(AA475&lt;&gt;"", AA475+90, "")</f>
        <v/>
      </c>
    </row>
    <row r="476">
      <c r="A476">
        <f>IF(B476&lt;&gt;"", "HC-"&amp;TEXT(ROW()-1,"00000"), "")</f>
        <v/>
      </c>
      <c r="Q476">
        <f>IF(K476="", "", IF(ISNUMBER(SEARCH("Implemented",K476)), "Pass", IF(ISNUMBER(SEARCH("Partial",K476)), "Partial", IF(ISNUMBER(SEARCH("Not Applicable",K476)), "N/A", "Fail"))))</f>
        <v/>
      </c>
      <c r="T476">
        <f>IF(Q476="", "", IF(OR(Q476="Fail", Q476="Partial"), "Yes", "No"))</f>
        <v/>
      </c>
      <c r="X476" t="inlineStr">
        <is>
          <t>No</t>
        </is>
      </c>
      <c r="AB476" t="inlineStr">
        <is>
          <t>[Security Analyst]</t>
        </is>
      </c>
      <c r="AE476" s="21">
        <f>IF(AA476&lt;&gt;"", AA476+90, "")</f>
        <v/>
      </c>
    </row>
    <row r="477">
      <c r="A477">
        <f>IF(B477&lt;&gt;"", "HC-"&amp;TEXT(ROW()-1,"00000"), "")</f>
        <v/>
      </c>
      <c r="Q477">
        <f>IF(K477="", "", IF(ISNUMBER(SEARCH("Implemented",K477)), "Pass", IF(ISNUMBER(SEARCH("Partial",K477)), "Partial", IF(ISNUMBER(SEARCH("Not Applicable",K477)), "N/A", "Fail"))))</f>
        <v/>
      </c>
      <c r="T477">
        <f>IF(Q477="", "", IF(OR(Q477="Fail", Q477="Partial"), "Yes", "No"))</f>
        <v/>
      </c>
      <c r="X477" t="inlineStr">
        <is>
          <t>No</t>
        </is>
      </c>
      <c r="AB477" t="inlineStr">
        <is>
          <t>[Security Analyst]</t>
        </is>
      </c>
      <c r="AE477" s="21">
        <f>IF(AA477&lt;&gt;"", AA477+90, "")</f>
        <v/>
      </c>
    </row>
    <row r="478">
      <c r="A478">
        <f>IF(B478&lt;&gt;"", "HC-"&amp;TEXT(ROW()-1,"00000"), "")</f>
        <v/>
      </c>
      <c r="Q478">
        <f>IF(K478="", "", IF(ISNUMBER(SEARCH("Implemented",K478)), "Pass", IF(ISNUMBER(SEARCH("Partial",K478)), "Partial", IF(ISNUMBER(SEARCH("Not Applicable",K478)), "N/A", "Fail"))))</f>
        <v/>
      </c>
      <c r="T478">
        <f>IF(Q478="", "", IF(OR(Q478="Fail", Q478="Partial"), "Yes", "No"))</f>
        <v/>
      </c>
      <c r="X478" t="inlineStr">
        <is>
          <t>No</t>
        </is>
      </c>
      <c r="AB478" t="inlineStr">
        <is>
          <t>[Security Analyst]</t>
        </is>
      </c>
      <c r="AE478" s="21">
        <f>IF(AA478&lt;&gt;"", AA478+90, "")</f>
        <v/>
      </c>
    </row>
    <row r="479">
      <c r="A479">
        <f>IF(B479&lt;&gt;"", "HC-"&amp;TEXT(ROW()-1,"00000"), "")</f>
        <v/>
      </c>
      <c r="Q479">
        <f>IF(K479="", "", IF(ISNUMBER(SEARCH("Implemented",K479)), "Pass", IF(ISNUMBER(SEARCH("Partial",K479)), "Partial", IF(ISNUMBER(SEARCH("Not Applicable",K479)), "N/A", "Fail"))))</f>
        <v/>
      </c>
      <c r="T479">
        <f>IF(Q479="", "", IF(OR(Q479="Fail", Q479="Partial"), "Yes", "No"))</f>
        <v/>
      </c>
      <c r="X479" t="inlineStr">
        <is>
          <t>No</t>
        </is>
      </c>
      <c r="AB479" t="inlineStr">
        <is>
          <t>[Security Analyst]</t>
        </is>
      </c>
      <c r="AE479" s="21">
        <f>IF(AA479&lt;&gt;"", AA479+90, "")</f>
        <v/>
      </c>
    </row>
    <row r="480">
      <c r="A480">
        <f>IF(B480&lt;&gt;"", "HC-"&amp;TEXT(ROW()-1,"00000"), "")</f>
        <v/>
      </c>
      <c r="Q480">
        <f>IF(K480="", "", IF(ISNUMBER(SEARCH("Implemented",K480)), "Pass", IF(ISNUMBER(SEARCH("Partial",K480)), "Partial", IF(ISNUMBER(SEARCH("Not Applicable",K480)), "N/A", "Fail"))))</f>
        <v/>
      </c>
      <c r="T480">
        <f>IF(Q480="", "", IF(OR(Q480="Fail", Q480="Partial"), "Yes", "No"))</f>
        <v/>
      </c>
      <c r="X480" t="inlineStr">
        <is>
          <t>No</t>
        </is>
      </c>
      <c r="AB480" t="inlineStr">
        <is>
          <t>[Security Analyst]</t>
        </is>
      </c>
      <c r="AE480" s="21">
        <f>IF(AA480&lt;&gt;"", AA480+90, "")</f>
        <v/>
      </c>
    </row>
    <row r="481">
      <c r="A481">
        <f>IF(B481&lt;&gt;"", "HC-"&amp;TEXT(ROW()-1,"00000"), "")</f>
        <v/>
      </c>
      <c r="Q481">
        <f>IF(K481="", "", IF(ISNUMBER(SEARCH("Implemented",K481)), "Pass", IF(ISNUMBER(SEARCH("Partial",K481)), "Partial", IF(ISNUMBER(SEARCH("Not Applicable",K481)), "N/A", "Fail"))))</f>
        <v/>
      </c>
      <c r="T481">
        <f>IF(Q481="", "", IF(OR(Q481="Fail", Q481="Partial"), "Yes", "No"))</f>
        <v/>
      </c>
      <c r="X481" t="inlineStr">
        <is>
          <t>No</t>
        </is>
      </c>
      <c r="AB481" t="inlineStr">
        <is>
          <t>[Security Analyst]</t>
        </is>
      </c>
      <c r="AE481" s="21">
        <f>IF(AA481&lt;&gt;"", AA481+90, "")</f>
        <v/>
      </c>
    </row>
    <row r="482">
      <c r="A482">
        <f>IF(B482&lt;&gt;"", "HC-"&amp;TEXT(ROW()-1,"00000"), "")</f>
        <v/>
      </c>
      <c r="Q482">
        <f>IF(K482="", "", IF(ISNUMBER(SEARCH("Implemented",K482)), "Pass", IF(ISNUMBER(SEARCH("Partial",K482)), "Partial", IF(ISNUMBER(SEARCH("Not Applicable",K482)), "N/A", "Fail"))))</f>
        <v/>
      </c>
      <c r="T482">
        <f>IF(Q482="", "", IF(OR(Q482="Fail", Q482="Partial"), "Yes", "No"))</f>
        <v/>
      </c>
      <c r="X482" t="inlineStr">
        <is>
          <t>No</t>
        </is>
      </c>
      <c r="AB482" t="inlineStr">
        <is>
          <t>[Security Analyst]</t>
        </is>
      </c>
      <c r="AE482" s="21">
        <f>IF(AA482&lt;&gt;"", AA482+90, "")</f>
        <v/>
      </c>
    </row>
    <row r="483">
      <c r="A483">
        <f>IF(B483&lt;&gt;"", "HC-"&amp;TEXT(ROW()-1,"00000"), "")</f>
        <v/>
      </c>
      <c r="Q483">
        <f>IF(K483="", "", IF(ISNUMBER(SEARCH("Implemented",K483)), "Pass", IF(ISNUMBER(SEARCH("Partial",K483)), "Partial", IF(ISNUMBER(SEARCH("Not Applicable",K483)), "N/A", "Fail"))))</f>
        <v/>
      </c>
      <c r="T483">
        <f>IF(Q483="", "", IF(OR(Q483="Fail", Q483="Partial"), "Yes", "No"))</f>
        <v/>
      </c>
      <c r="X483" t="inlineStr">
        <is>
          <t>No</t>
        </is>
      </c>
      <c r="AB483" t="inlineStr">
        <is>
          <t>[Security Analyst]</t>
        </is>
      </c>
      <c r="AE483" s="21">
        <f>IF(AA483&lt;&gt;"", AA483+90, "")</f>
        <v/>
      </c>
    </row>
    <row r="484">
      <c r="A484">
        <f>IF(B484&lt;&gt;"", "HC-"&amp;TEXT(ROW()-1,"00000"), "")</f>
        <v/>
      </c>
      <c r="Q484">
        <f>IF(K484="", "", IF(ISNUMBER(SEARCH("Implemented",K484)), "Pass", IF(ISNUMBER(SEARCH("Partial",K484)), "Partial", IF(ISNUMBER(SEARCH("Not Applicable",K484)), "N/A", "Fail"))))</f>
        <v/>
      </c>
      <c r="T484">
        <f>IF(Q484="", "", IF(OR(Q484="Fail", Q484="Partial"), "Yes", "No"))</f>
        <v/>
      </c>
      <c r="X484" t="inlineStr">
        <is>
          <t>No</t>
        </is>
      </c>
      <c r="AB484" t="inlineStr">
        <is>
          <t>[Security Analyst]</t>
        </is>
      </c>
      <c r="AE484" s="21">
        <f>IF(AA484&lt;&gt;"", AA484+90, "")</f>
        <v/>
      </c>
    </row>
    <row r="485">
      <c r="A485">
        <f>IF(B485&lt;&gt;"", "HC-"&amp;TEXT(ROW()-1,"00000"), "")</f>
        <v/>
      </c>
      <c r="Q485">
        <f>IF(K485="", "", IF(ISNUMBER(SEARCH("Implemented",K485)), "Pass", IF(ISNUMBER(SEARCH("Partial",K485)), "Partial", IF(ISNUMBER(SEARCH("Not Applicable",K485)), "N/A", "Fail"))))</f>
        <v/>
      </c>
      <c r="T485">
        <f>IF(Q485="", "", IF(OR(Q485="Fail", Q485="Partial"), "Yes", "No"))</f>
        <v/>
      </c>
      <c r="X485" t="inlineStr">
        <is>
          <t>No</t>
        </is>
      </c>
      <c r="AB485" t="inlineStr">
        <is>
          <t>[Security Analyst]</t>
        </is>
      </c>
      <c r="AE485" s="21">
        <f>IF(AA485&lt;&gt;"", AA485+90, "")</f>
        <v/>
      </c>
    </row>
    <row r="486">
      <c r="A486">
        <f>IF(B486&lt;&gt;"", "HC-"&amp;TEXT(ROW()-1,"00000"), "")</f>
        <v/>
      </c>
      <c r="Q486">
        <f>IF(K486="", "", IF(ISNUMBER(SEARCH("Implemented",K486)), "Pass", IF(ISNUMBER(SEARCH("Partial",K486)), "Partial", IF(ISNUMBER(SEARCH("Not Applicable",K486)), "N/A", "Fail"))))</f>
        <v/>
      </c>
      <c r="T486">
        <f>IF(Q486="", "", IF(OR(Q486="Fail", Q486="Partial"), "Yes", "No"))</f>
        <v/>
      </c>
      <c r="X486" t="inlineStr">
        <is>
          <t>No</t>
        </is>
      </c>
      <c r="AB486" t="inlineStr">
        <is>
          <t>[Security Analyst]</t>
        </is>
      </c>
      <c r="AE486" s="21">
        <f>IF(AA486&lt;&gt;"", AA486+90, "")</f>
        <v/>
      </c>
    </row>
    <row r="487">
      <c r="A487">
        <f>IF(B487&lt;&gt;"", "HC-"&amp;TEXT(ROW()-1,"00000"), "")</f>
        <v/>
      </c>
      <c r="Q487">
        <f>IF(K487="", "", IF(ISNUMBER(SEARCH("Implemented",K487)), "Pass", IF(ISNUMBER(SEARCH("Partial",K487)), "Partial", IF(ISNUMBER(SEARCH("Not Applicable",K487)), "N/A", "Fail"))))</f>
        <v/>
      </c>
      <c r="T487">
        <f>IF(Q487="", "", IF(OR(Q487="Fail", Q487="Partial"), "Yes", "No"))</f>
        <v/>
      </c>
      <c r="X487" t="inlineStr">
        <is>
          <t>No</t>
        </is>
      </c>
      <c r="AB487" t="inlineStr">
        <is>
          <t>[Security Analyst]</t>
        </is>
      </c>
      <c r="AE487" s="21">
        <f>IF(AA487&lt;&gt;"", AA487+90, "")</f>
        <v/>
      </c>
    </row>
    <row r="488">
      <c r="A488">
        <f>IF(B488&lt;&gt;"", "HC-"&amp;TEXT(ROW()-1,"00000"), "")</f>
        <v/>
      </c>
      <c r="Q488">
        <f>IF(K488="", "", IF(ISNUMBER(SEARCH("Implemented",K488)), "Pass", IF(ISNUMBER(SEARCH("Partial",K488)), "Partial", IF(ISNUMBER(SEARCH("Not Applicable",K488)), "N/A", "Fail"))))</f>
        <v/>
      </c>
      <c r="T488">
        <f>IF(Q488="", "", IF(OR(Q488="Fail", Q488="Partial"), "Yes", "No"))</f>
        <v/>
      </c>
      <c r="X488" t="inlineStr">
        <is>
          <t>No</t>
        </is>
      </c>
      <c r="AB488" t="inlineStr">
        <is>
          <t>[Security Analyst]</t>
        </is>
      </c>
      <c r="AE488" s="21">
        <f>IF(AA488&lt;&gt;"", AA488+90, "")</f>
        <v/>
      </c>
    </row>
    <row r="489">
      <c r="A489">
        <f>IF(B489&lt;&gt;"", "HC-"&amp;TEXT(ROW()-1,"00000"), "")</f>
        <v/>
      </c>
      <c r="Q489">
        <f>IF(K489="", "", IF(ISNUMBER(SEARCH("Implemented",K489)), "Pass", IF(ISNUMBER(SEARCH("Partial",K489)), "Partial", IF(ISNUMBER(SEARCH("Not Applicable",K489)), "N/A", "Fail"))))</f>
        <v/>
      </c>
      <c r="T489">
        <f>IF(Q489="", "", IF(OR(Q489="Fail", Q489="Partial"), "Yes", "No"))</f>
        <v/>
      </c>
      <c r="X489" t="inlineStr">
        <is>
          <t>No</t>
        </is>
      </c>
      <c r="AB489" t="inlineStr">
        <is>
          <t>[Security Analyst]</t>
        </is>
      </c>
      <c r="AE489" s="21">
        <f>IF(AA489&lt;&gt;"", AA489+90, "")</f>
        <v/>
      </c>
    </row>
    <row r="490">
      <c r="A490">
        <f>IF(B490&lt;&gt;"", "HC-"&amp;TEXT(ROW()-1,"00000"), "")</f>
        <v/>
      </c>
      <c r="Q490">
        <f>IF(K490="", "", IF(ISNUMBER(SEARCH("Implemented",K490)), "Pass", IF(ISNUMBER(SEARCH("Partial",K490)), "Partial", IF(ISNUMBER(SEARCH("Not Applicable",K490)), "N/A", "Fail"))))</f>
        <v/>
      </c>
      <c r="T490">
        <f>IF(Q490="", "", IF(OR(Q490="Fail", Q490="Partial"), "Yes", "No"))</f>
        <v/>
      </c>
      <c r="X490" t="inlineStr">
        <is>
          <t>No</t>
        </is>
      </c>
      <c r="AB490" t="inlineStr">
        <is>
          <t>[Security Analyst]</t>
        </is>
      </c>
      <c r="AE490" s="21">
        <f>IF(AA490&lt;&gt;"", AA490+90, "")</f>
        <v/>
      </c>
    </row>
    <row r="491">
      <c r="A491">
        <f>IF(B491&lt;&gt;"", "HC-"&amp;TEXT(ROW()-1,"00000"), "")</f>
        <v/>
      </c>
      <c r="Q491">
        <f>IF(K491="", "", IF(ISNUMBER(SEARCH("Implemented",K491)), "Pass", IF(ISNUMBER(SEARCH("Partial",K491)), "Partial", IF(ISNUMBER(SEARCH("Not Applicable",K491)), "N/A", "Fail"))))</f>
        <v/>
      </c>
      <c r="T491">
        <f>IF(Q491="", "", IF(OR(Q491="Fail", Q491="Partial"), "Yes", "No"))</f>
        <v/>
      </c>
      <c r="X491" t="inlineStr">
        <is>
          <t>No</t>
        </is>
      </c>
      <c r="AB491" t="inlineStr">
        <is>
          <t>[Security Analyst]</t>
        </is>
      </c>
      <c r="AE491" s="21">
        <f>IF(AA491&lt;&gt;"", AA491+90, "")</f>
        <v/>
      </c>
    </row>
    <row r="492">
      <c r="A492">
        <f>IF(B492&lt;&gt;"", "HC-"&amp;TEXT(ROW()-1,"00000"), "")</f>
        <v/>
      </c>
      <c r="Q492">
        <f>IF(K492="", "", IF(ISNUMBER(SEARCH("Implemented",K492)), "Pass", IF(ISNUMBER(SEARCH("Partial",K492)), "Partial", IF(ISNUMBER(SEARCH("Not Applicable",K492)), "N/A", "Fail"))))</f>
        <v/>
      </c>
      <c r="T492">
        <f>IF(Q492="", "", IF(OR(Q492="Fail", Q492="Partial"), "Yes", "No"))</f>
        <v/>
      </c>
      <c r="X492" t="inlineStr">
        <is>
          <t>No</t>
        </is>
      </c>
      <c r="AB492" t="inlineStr">
        <is>
          <t>[Security Analyst]</t>
        </is>
      </c>
      <c r="AE492" s="21">
        <f>IF(AA492&lt;&gt;"", AA492+90, "")</f>
        <v/>
      </c>
    </row>
    <row r="493">
      <c r="A493">
        <f>IF(B493&lt;&gt;"", "HC-"&amp;TEXT(ROW()-1,"00000"), "")</f>
        <v/>
      </c>
      <c r="Q493">
        <f>IF(K493="", "", IF(ISNUMBER(SEARCH("Implemented",K493)), "Pass", IF(ISNUMBER(SEARCH("Partial",K493)), "Partial", IF(ISNUMBER(SEARCH("Not Applicable",K493)), "N/A", "Fail"))))</f>
        <v/>
      </c>
      <c r="T493">
        <f>IF(Q493="", "", IF(OR(Q493="Fail", Q493="Partial"), "Yes", "No"))</f>
        <v/>
      </c>
      <c r="X493" t="inlineStr">
        <is>
          <t>No</t>
        </is>
      </c>
      <c r="AB493" t="inlineStr">
        <is>
          <t>[Security Analyst]</t>
        </is>
      </c>
      <c r="AE493" s="21">
        <f>IF(AA493&lt;&gt;"", AA493+90, "")</f>
        <v/>
      </c>
    </row>
    <row r="494">
      <c r="A494">
        <f>IF(B494&lt;&gt;"", "HC-"&amp;TEXT(ROW()-1,"00000"), "")</f>
        <v/>
      </c>
      <c r="Q494">
        <f>IF(K494="", "", IF(ISNUMBER(SEARCH("Implemented",K494)), "Pass", IF(ISNUMBER(SEARCH("Partial",K494)), "Partial", IF(ISNUMBER(SEARCH("Not Applicable",K494)), "N/A", "Fail"))))</f>
        <v/>
      </c>
      <c r="T494">
        <f>IF(Q494="", "", IF(OR(Q494="Fail", Q494="Partial"), "Yes", "No"))</f>
        <v/>
      </c>
      <c r="X494" t="inlineStr">
        <is>
          <t>No</t>
        </is>
      </c>
      <c r="AB494" t="inlineStr">
        <is>
          <t>[Security Analyst]</t>
        </is>
      </c>
      <c r="AE494" s="21">
        <f>IF(AA494&lt;&gt;"", AA494+90, "")</f>
        <v/>
      </c>
    </row>
    <row r="495">
      <c r="A495">
        <f>IF(B495&lt;&gt;"", "HC-"&amp;TEXT(ROW()-1,"00000"), "")</f>
        <v/>
      </c>
      <c r="Q495">
        <f>IF(K495="", "", IF(ISNUMBER(SEARCH("Implemented",K495)), "Pass", IF(ISNUMBER(SEARCH("Partial",K495)), "Partial", IF(ISNUMBER(SEARCH("Not Applicable",K495)), "N/A", "Fail"))))</f>
        <v/>
      </c>
      <c r="T495">
        <f>IF(Q495="", "", IF(OR(Q495="Fail", Q495="Partial"), "Yes", "No"))</f>
        <v/>
      </c>
      <c r="X495" t="inlineStr">
        <is>
          <t>No</t>
        </is>
      </c>
      <c r="AB495" t="inlineStr">
        <is>
          <t>[Security Analyst]</t>
        </is>
      </c>
      <c r="AE495" s="21">
        <f>IF(AA495&lt;&gt;"", AA495+90, "")</f>
        <v/>
      </c>
    </row>
    <row r="496">
      <c r="A496">
        <f>IF(B496&lt;&gt;"", "HC-"&amp;TEXT(ROW()-1,"00000"), "")</f>
        <v/>
      </c>
      <c r="Q496">
        <f>IF(K496="", "", IF(ISNUMBER(SEARCH("Implemented",K496)), "Pass", IF(ISNUMBER(SEARCH("Partial",K496)), "Partial", IF(ISNUMBER(SEARCH("Not Applicable",K496)), "N/A", "Fail"))))</f>
        <v/>
      </c>
      <c r="T496">
        <f>IF(Q496="", "", IF(OR(Q496="Fail", Q496="Partial"), "Yes", "No"))</f>
        <v/>
      </c>
      <c r="X496" t="inlineStr">
        <is>
          <t>No</t>
        </is>
      </c>
      <c r="AB496" t="inlineStr">
        <is>
          <t>[Security Analyst]</t>
        </is>
      </c>
      <c r="AE496" s="21">
        <f>IF(AA496&lt;&gt;"", AA496+90, "")</f>
        <v/>
      </c>
    </row>
    <row r="497">
      <c r="A497">
        <f>IF(B497&lt;&gt;"", "HC-"&amp;TEXT(ROW()-1,"00000"), "")</f>
        <v/>
      </c>
      <c r="Q497">
        <f>IF(K497="", "", IF(ISNUMBER(SEARCH("Implemented",K497)), "Pass", IF(ISNUMBER(SEARCH("Partial",K497)), "Partial", IF(ISNUMBER(SEARCH("Not Applicable",K497)), "N/A", "Fail"))))</f>
        <v/>
      </c>
      <c r="T497">
        <f>IF(Q497="", "", IF(OR(Q497="Fail", Q497="Partial"), "Yes", "No"))</f>
        <v/>
      </c>
      <c r="X497" t="inlineStr">
        <is>
          <t>No</t>
        </is>
      </c>
      <c r="AB497" t="inlineStr">
        <is>
          <t>[Security Analyst]</t>
        </is>
      </c>
      <c r="AE497" s="21">
        <f>IF(AA497&lt;&gt;"", AA497+90, "")</f>
        <v/>
      </c>
    </row>
    <row r="498">
      <c r="A498">
        <f>IF(B498&lt;&gt;"", "HC-"&amp;TEXT(ROW()-1,"00000"), "")</f>
        <v/>
      </c>
      <c r="Q498">
        <f>IF(K498="", "", IF(ISNUMBER(SEARCH("Implemented",K498)), "Pass", IF(ISNUMBER(SEARCH("Partial",K498)), "Partial", IF(ISNUMBER(SEARCH("Not Applicable",K498)), "N/A", "Fail"))))</f>
        <v/>
      </c>
      <c r="T498">
        <f>IF(Q498="", "", IF(OR(Q498="Fail", Q498="Partial"), "Yes", "No"))</f>
        <v/>
      </c>
      <c r="X498" t="inlineStr">
        <is>
          <t>No</t>
        </is>
      </c>
      <c r="AB498" t="inlineStr">
        <is>
          <t>[Security Analyst]</t>
        </is>
      </c>
      <c r="AE498" s="21">
        <f>IF(AA498&lt;&gt;"", AA498+90, "")</f>
        <v/>
      </c>
    </row>
    <row r="499">
      <c r="A499">
        <f>IF(B499&lt;&gt;"", "HC-"&amp;TEXT(ROW()-1,"00000"), "")</f>
        <v/>
      </c>
      <c r="Q499">
        <f>IF(K499="", "", IF(ISNUMBER(SEARCH("Implemented",K499)), "Pass", IF(ISNUMBER(SEARCH("Partial",K499)), "Partial", IF(ISNUMBER(SEARCH("Not Applicable",K499)), "N/A", "Fail"))))</f>
        <v/>
      </c>
      <c r="T499">
        <f>IF(Q499="", "", IF(OR(Q499="Fail", Q499="Partial"), "Yes", "No"))</f>
        <v/>
      </c>
      <c r="X499" t="inlineStr">
        <is>
          <t>No</t>
        </is>
      </c>
      <c r="AB499" t="inlineStr">
        <is>
          <t>[Security Analyst]</t>
        </is>
      </c>
      <c r="AE499" s="21">
        <f>IF(AA499&lt;&gt;"", AA499+90, "")</f>
        <v/>
      </c>
    </row>
    <row r="500">
      <c r="A500">
        <f>IF(B500&lt;&gt;"", "HC-"&amp;TEXT(ROW()-1,"00000"), "")</f>
        <v/>
      </c>
      <c r="Q500">
        <f>IF(K500="", "", IF(ISNUMBER(SEARCH("Implemented",K500)), "Pass", IF(ISNUMBER(SEARCH("Partial",K500)), "Partial", IF(ISNUMBER(SEARCH("Not Applicable",K500)), "N/A", "Fail"))))</f>
        <v/>
      </c>
      <c r="T500">
        <f>IF(Q500="", "", IF(OR(Q500="Fail", Q500="Partial"), "Yes", "No"))</f>
        <v/>
      </c>
      <c r="X500" t="inlineStr">
        <is>
          <t>No</t>
        </is>
      </c>
      <c r="AB500" t="inlineStr">
        <is>
          <t>[Security Analyst]</t>
        </is>
      </c>
      <c r="AE500" s="21">
        <f>IF(AA500&lt;&gt;"", AA500+90, "")</f>
        <v/>
      </c>
    </row>
    <row r="501">
      <c r="A501">
        <f>IF(B501&lt;&gt;"", "HC-"&amp;TEXT(ROW()-1,"00000"), "")</f>
        <v/>
      </c>
      <c r="Q501">
        <f>IF(K501="", "", IF(ISNUMBER(SEARCH("Implemented",K501)), "Pass", IF(ISNUMBER(SEARCH("Partial",K501)), "Partial", IF(ISNUMBER(SEARCH("Not Applicable",K501)), "N/A", "Fail"))))</f>
        <v/>
      </c>
      <c r="T501">
        <f>IF(Q501="", "", IF(OR(Q501="Fail", Q501="Partial"), "Yes", "No"))</f>
        <v/>
      </c>
      <c r="X501" t="inlineStr">
        <is>
          <t>No</t>
        </is>
      </c>
      <c r="AB501" t="inlineStr">
        <is>
          <t>[Security Analyst]</t>
        </is>
      </c>
      <c r="AE501" s="21">
        <f>IF(AA501&lt;&gt;"", AA501+90, "")</f>
        <v/>
      </c>
    </row>
  </sheetData>
  <conditionalFormatting sqref="Q2:Q501">
    <cfRule type="expression" priority="1" dxfId="3">
      <formula>OR(ISNUMBER(SEARCH("Fully Compliant",$Q2)),ISNUMBER(SEARCH("Compliant",$Q2)),ISNUMBER(SEARCH("Completed",$Q2)),ISNUMBER(SEARCH("Pass",$Q2)),ISNUMBER(SEARCH("Approved",$Q2)))</formula>
    </cfRule>
    <cfRule type="expression" priority="2" dxfId="1">
      <formula>OR(ISNUMBER(SEARCH("Substantially Compliant",$Q2)),ISNUMBER(SEARCH("Partial",$Q2)),ISNUMBER(SEARCH("In Progress",$Q2)),ISNUMBER(SEARCH("Under Review",$Q2)))</formula>
    </cfRule>
    <cfRule type="expression" priority="3" dxfId="5">
      <formula>OR(ISNUMBER(SEARCH("Non-Compliant",$Q2)),ISNUMBER(SEARCH("Fail",$Q2)),ISNUMBER(SEARCH("Blocked",$Q2)),ISNUMBER(SEARCH("Rejected",$Q2)),ISNUMBER(SEARCH("Expired",$Q2)))</formula>
    </cfRule>
  </conditionalFormatting>
  <conditionalFormatting sqref="A2:AF501">
    <cfRule type="expression" priority="4" dxfId="0">
      <formula>AND(ISNUMBER(SEARCH("Critical",$J2)), $Q2="Fail")</formula>
    </cfRule>
    <cfRule type="expression" priority="5" dxfId="4">
      <formula>$X2="Yes"</formula>
    </cfRule>
  </conditionalFormatting>
  <conditionalFormatting sqref="W2:W501">
    <cfRule type="expression" priority="6" dxfId="0">
      <formula>AND($T2="Yes", $W2&lt;TODAY(), $W2&lt;&gt;"")</formula>
    </cfRule>
  </conditionalFormatting>
  <dataValidations count="7">
    <dataValidation sqref="I2:I501" showDropDown="0" showInputMessage="0" showErrorMessage="1" allowBlank="1" errorTitle="Invalid Entry" error="Please select from the dropdown list." type="list">
      <formula1>"Access Control,Audit &amp; Logging,Authentication,Network Security,Data Protection,System Hardening,Patch Management,Secure Configuration,Service Minimization,Physical Security,Cryptography,Backup &amp; Recovery"</formula1>
    </dataValidation>
    <dataValidation sqref="J2:J501" showDropDown="0" showInputMessage="0" showErrorMessage="1" allowBlank="1" errorTitle="Invalid Entry" error="Please select from the dropdown list." type="list">
      <formula1>"Critical,High,Medium,Low"</formula1>
    </dataValidation>
    <dataValidation sqref="K2:K501" showDropDown="0" showInputMessage="0" showErrorMessage="1" allowBlank="1" errorTitle="Invalid Entry" error="Please select from the dropdown list." type="list">
      <formula1>"✅ Implemented,⚠️ Partial,❌ Not Implemented,➖ Not Applicable,Planned,⏳ In Progress"</formula1>
    </dataValidation>
    <dataValidation sqref="L2:L501" showDropDown="0" showInputMessage="0" showErrorMessage="1" allowBlank="1" errorTitle="Invalid Entry" error="Please select from the dropdown list." type="list">
      <formula1>"Automated Tool,Manual Configuration,Native Feature,Third-Party Tool,Compensating Control,Not Implemented"</formula1>
    </dataValidation>
    <dataValidation sqref="S2:S501" showDropDown="0" showInputMessage="0" showErrorMessage="1" allowBlank="1" errorTitle="Invalid Entry" error="Please select from the dropdown list." type="list">
      <formula1>"Critical,High,Medium,Low"</formula1>
    </dataValidation>
    <dataValidation sqref="X2:X501" showDropDown="0" showInputMessage="0" showErrorMessage="1" allowBlank="1" errorTitle="Invalid Entry" error="Please select from the dropdown list." type="list">
      <formula1>"Yes,No"</formula1>
    </dataValidation>
    <dataValidation sqref="AD2:AD501" showDropDown="0" showInputMessage="0" showErrorMessage="1" allowBlank="1" errorTitle="Invalid Entry" error="Please select from the dropdown list." type="list">
      <formula1>"Configuration Export,Security Tool Report,Manual Inspection,Audit Log Review,Test/Validation,Documentation Review"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52"/>
  <sheetViews>
    <sheetView showGridLines="0" workbookViewId="0">
      <pane ySplit="2" topLeftCell="A3" activePane="bottomLeft" state="frozen"/>
      <selection pane="bottomLeft" activeCell="A1" sqref="A1"/>
    </sheetView>
  </sheetViews>
  <sheetFormatPr baseColWidth="8" defaultRowHeight="15"/>
  <cols>
    <col width="12" customWidth="1" min="1" max="1"/>
    <col width="12" customWidth="1" min="2" max="2"/>
    <col width="12" customWidth="1" min="3" max="3"/>
    <col width="25" customWidth="1" min="4" max="4"/>
    <col width="12" customWidth="1" min="5" max="5"/>
    <col width="12" customWidth="1" min="6" max="6"/>
    <col width="30" customWidth="1" min="7" max="7"/>
    <col width="15" customWidth="1" min="8" max="8"/>
    <col width="20" customWidth="1" min="9" max="9"/>
    <col width="40" customWidth="1" min="10" max="10"/>
    <col width="40" customWidth="1" min="11" max="11"/>
    <col width="40" customWidth="1" min="12" max="12"/>
    <col width="18" customWidth="1" min="13" max="13"/>
    <col width="25" customWidth="1" min="14" max="14"/>
    <col width="40" customWidth="1" min="15" max="15"/>
    <col width="25" customWidth="1" min="16" max="16"/>
    <col width="25" customWidth="1" min="17" max="17"/>
    <col width="15" customWidth="1" min="18" max="18"/>
    <col width="25" customWidth="1" min="19" max="19"/>
    <col width="15" customWidth="1" min="20" max="20"/>
    <col width="25" customWidth="1" min="21" max="21"/>
    <col width="15" customWidth="1" min="22" max="22"/>
    <col width="18" customWidth="1" min="23" max="23"/>
    <col width="18" customWidth="1" min="24" max="24"/>
    <col width="15" customWidth="1" min="25" max="25"/>
    <col width="15" customWidth="1" min="26" max="26"/>
    <col width="16" customWidth="1" min="27" max="27"/>
    <col width="18" customWidth="1" min="28" max="28"/>
    <col width="15" customWidth="1" min="29" max="29"/>
    <col width="15" customWidth="1" min="30" max="30"/>
    <col width="40" customWidth="1" min="31" max="31"/>
    <col width="18" customWidth="1" min="32" max="32"/>
    <col width="40" customWidth="1" min="33" max="33"/>
    <col width="40" customWidth="1" min="34" max="34"/>
    <col width="40" customWidth="1" min="35" max="35"/>
    <col width="30" customWidth="1" min="36" max="36"/>
    <col width="40" customWidth="1" min="37" max="37"/>
  </cols>
  <sheetData>
    <row r="1" ht="35" customHeight="1">
      <c r="A1" s="11" t="inlineStr">
        <is>
          <t>EXCEPTION MANAGEMENT</t>
        </is>
      </c>
    </row>
    <row r="2">
      <c r="A2" s="12" t="inlineStr">
        <is>
          <t>Exception ID</t>
        </is>
      </c>
      <c r="B2" s="12" t="inlineStr">
        <is>
          <t>Control ID</t>
        </is>
      </c>
      <c r="C2" s="12" t="inlineStr">
        <is>
          <t>Asset ID</t>
        </is>
      </c>
      <c r="D2" s="12" t="inlineStr">
        <is>
          <t>Asset Name</t>
        </is>
      </c>
      <c r="E2" s="12" t="inlineStr">
        <is>
          <t>Standard ID</t>
        </is>
      </c>
      <c r="F2" s="12" t="inlineStr">
        <is>
          <t>Control Number</t>
        </is>
      </c>
      <c r="G2" s="12" t="inlineStr">
        <is>
          <t>Control Title</t>
        </is>
      </c>
      <c r="H2" s="12" t="inlineStr">
        <is>
          <t>Control Severity</t>
        </is>
      </c>
      <c r="I2" s="12" t="inlineStr">
        <is>
          <t>Exception Type</t>
        </is>
      </c>
      <c r="J2" s="12" t="inlineStr">
        <is>
          <t>Exception Reason</t>
        </is>
      </c>
      <c r="K2" s="12" t="inlineStr">
        <is>
          <t>Business Justification</t>
        </is>
      </c>
      <c r="L2" s="12" t="inlineStr">
        <is>
          <t>Risk Assessment</t>
        </is>
      </c>
      <c r="M2" s="12" t="inlineStr">
        <is>
          <t>Residual Risk Rating</t>
        </is>
      </c>
      <c r="N2" s="12" t="inlineStr">
        <is>
          <t>Compensating Control Required</t>
        </is>
      </c>
      <c r="O2" s="12" t="inlineStr">
        <is>
          <t>Compensating Control Description</t>
        </is>
      </c>
      <c r="P2" s="12" t="inlineStr">
        <is>
          <t>Compensating Control Effectiveness</t>
        </is>
      </c>
      <c r="Q2" s="12" t="inlineStr">
        <is>
          <t>Requested By</t>
        </is>
      </c>
      <c r="R2" s="12" t="inlineStr">
        <is>
          <t>Request Date</t>
        </is>
      </c>
      <c r="S2" s="12" t="inlineStr">
        <is>
          <t>Reviewed By</t>
        </is>
      </c>
      <c r="T2" s="12" t="inlineStr">
        <is>
          <t>Review Date</t>
        </is>
      </c>
      <c r="U2" s="12" t="inlineStr">
        <is>
          <t>Approved By</t>
        </is>
      </c>
      <c r="V2" s="12" t="inlineStr">
        <is>
          <t>Approval Date</t>
        </is>
      </c>
      <c r="W2" s="12" t="inlineStr">
        <is>
          <t>Exception Status</t>
        </is>
      </c>
      <c r="X2" s="12" t="inlineStr">
        <is>
          <t>Exception Duration</t>
        </is>
      </c>
      <c r="Y2" s="12" t="inlineStr">
        <is>
          <t>Valid From Date</t>
        </is>
      </c>
      <c r="Z2" s="12" t="inlineStr">
        <is>
          <t>Valid Until Date</t>
        </is>
      </c>
      <c r="AA2" s="12" t="inlineStr">
        <is>
          <t>Days Until Expiry</t>
        </is>
      </c>
      <c r="AB2" s="12" t="inlineStr">
        <is>
          <t>Review Required</t>
        </is>
      </c>
      <c r="AC2" s="12" t="inlineStr">
        <is>
          <t>Last Review Date</t>
        </is>
      </c>
      <c r="AD2" s="12" t="inlineStr">
        <is>
          <t>Next Review Date</t>
        </is>
      </c>
      <c r="AE2" s="12" t="inlineStr">
        <is>
          <t>Audit Trail</t>
        </is>
      </c>
      <c r="AF2" s="12" t="inlineStr">
        <is>
          <t>Monitoring Required</t>
        </is>
      </c>
      <c r="AG2" s="12" t="inlineStr">
        <is>
          <t>Monitoring Description</t>
        </is>
      </c>
      <c r="AH2" s="12" t="inlineStr">
        <is>
          <t>Re Assessment Trigger</t>
        </is>
      </c>
      <c r="AI2" s="12" t="inlineStr">
        <is>
          <t>Exception Closure Plan</t>
        </is>
      </c>
      <c r="AJ2" s="12" t="inlineStr">
        <is>
          <t>Documentation Reference</t>
        </is>
      </c>
      <c r="AK2" s="12" t="inlineStr">
        <is>
          <t>Notes</t>
        </is>
      </c>
    </row>
    <row r="3">
      <c r="A3">
        <f>IF(B3&lt;&gt;"", "EXC-"&amp;TEXT(ROW()-2,"000"), "")</f>
        <v/>
      </c>
      <c r="N3" t="inlineStr">
        <is>
          <t>Yes</t>
        </is>
      </c>
      <c r="W3" t="inlineStr">
        <is>
          <t>Pending Review</t>
        </is>
      </c>
      <c r="Z3" s="21">
        <f>IF(AND(Y3&lt;&gt;"", X3&lt;&gt;""), IF(X3="3 Months", Y3+90, IF(X3="6 Months", Y3+180, IF(X3="12 Months", Y3+365, IF(X3="24 Months", Y3+730, Y3+365)))), "")</f>
        <v/>
      </c>
      <c r="AA3" s="22" t="n"/>
      <c r="AB3" s="23" t="n"/>
      <c r="AD3" s="21">
        <f>IF(AND(Y3&lt;&gt;"", Z3&lt;&gt;""), Y3+((Z3-Y3)/2), "")</f>
        <v/>
      </c>
      <c r="AF3" t="inlineStr">
        <is>
          <t>Yes</t>
        </is>
      </c>
    </row>
    <row r="4">
      <c r="A4">
        <f>IF(B4&lt;&gt;"", "EXC-"&amp;TEXT(ROW()-2,"000"), "")</f>
        <v/>
      </c>
      <c r="N4" t="inlineStr">
        <is>
          <t>Yes</t>
        </is>
      </c>
      <c r="W4" t="inlineStr">
        <is>
          <t>Pending Review</t>
        </is>
      </c>
      <c r="Z4" s="21">
        <f>IF(AND(Y4&lt;&gt;"", X4&lt;&gt;""), IF(X4="3 Months", Y4+90, IF(X4="6 Months", Y4+180, IF(X4="12 Months", Y4+365, IF(X4="24 Months", Y4+730, Y4+365)))), "")</f>
        <v/>
      </c>
      <c r="AA4" s="22" t="n"/>
      <c r="AB4" s="23" t="n"/>
      <c r="AD4" s="21">
        <f>IF(AND(Y4&lt;&gt;"", Z4&lt;&gt;""), Y4+((Z4-Y4)/2), "")</f>
        <v/>
      </c>
      <c r="AF4" t="inlineStr">
        <is>
          <t>Yes</t>
        </is>
      </c>
    </row>
    <row r="5">
      <c r="A5">
        <f>IF(B5&lt;&gt;"", "EXC-"&amp;TEXT(ROW()-2,"000"), "")</f>
        <v/>
      </c>
      <c r="N5" t="inlineStr">
        <is>
          <t>Yes</t>
        </is>
      </c>
      <c r="W5" t="inlineStr">
        <is>
          <t>Pending Review</t>
        </is>
      </c>
      <c r="Z5" s="21">
        <f>IF(AND(Y5&lt;&gt;"", X5&lt;&gt;""), IF(X5="3 Months", Y5+90, IF(X5="6 Months", Y5+180, IF(X5="12 Months", Y5+365, IF(X5="24 Months", Y5+730, Y5+365)))), "")</f>
        <v/>
      </c>
      <c r="AA5" s="22" t="n"/>
      <c r="AB5" s="23" t="n"/>
      <c r="AD5" s="21">
        <f>IF(AND(Y5&lt;&gt;"", Z5&lt;&gt;""), Y5+((Z5-Y5)/2), "")</f>
        <v/>
      </c>
      <c r="AF5" t="inlineStr">
        <is>
          <t>Yes</t>
        </is>
      </c>
    </row>
    <row r="6">
      <c r="A6">
        <f>IF(B6&lt;&gt;"", "EXC-"&amp;TEXT(ROW()-2,"000"), "")</f>
        <v/>
      </c>
      <c r="N6" t="inlineStr">
        <is>
          <t>Yes</t>
        </is>
      </c>
      <c r="W6" t="inlineStr">
        <is>
          <t>Pending Review</t>
        </is>
      </c>
      <c r="Z6" s="21">
        <f>IF(AND(Y6&lt;&gt;"", X6&lt;&gt;""), IF(X6="3 Months", Y6+90, IF(X6="6 Months", Y6+180, IF(X6="12 Months", Y6+365, IF(X6="24 Months", Y6+730, Y6+365)))), "")</f>
        <v/>
      </c>
      <c r="AA6" s="22" t="n"/>
      <c r="AB6" s="23" t="n"/>
      <c r="AD6" s="21">
        <f>IF(AND(Y6&lt;&gt;"", Z6&lt;&gt;""), Y6+((Z6-Y6)/2), "")</f>
        <v/>
      </c>
      <c r="AF6" t="inlineStr">
        <is>
          <t>Yes</t>
        </is>
      </c>
    </row>
    <row r="7">
      <c r="A7">
        <f>IF(B7&lt;&gt;"", "EXC-"&amp;TEXT(ROW()-2,"000"), "")</f>
        <v/>
      </c>
      <c r="N7" t="inlineStr">
        <is>
          <t>Yes</t>
        </is>
      </c>
      <c r="W7" t="inlineStr">
        <is>
          <t>Pending Review</t>
        </is>
      </c>
      <c r="Z7" s="21">
        <f>IF(AND(Y7&lt;&gt;"", X7&lt;&gt;""), IF(X7="3 Months", Y7+90, IF(X7="6 Months", Y7+180, IF(X7="12 Months", Y7+365, IF(X7="24 Months", Y7+730, Y7+365)))), "")</f>
        <v/>
      </c>
      <c r="AA7" s="22" t="n"/>
      <c r="AB7" s="23" t="n"/>
      <c r="AD7" s="21">
        <f>IF(AND(Y7&lt;&gt;"", Z7&lt;&gt;""), Y7+((Z7-Y7)/2), "")</f>
        <v/>
      </c>
      <c r="AF7" t="inlineStr">
        <is>
          <t>Yes</t>
        </is>
      </c>
    </row>
    <row r="8">
      <c r="A8">
        <f>IF(B8&lt;&gt;"", "EXC-"&amp;TEXT(ROW()-2,"000"), "")</f>
        <v/>
      </c>
      <c r="N8" t="inlineStr">
        <is>
          <t>Yes</t>
        </is>
      </c>
      <c r="W8" t="inlineStr">
        <is>
          <t>Pending Review</t>
        </is>
      </c>
      <c r="Z8" s="21">
        <f>IF(AND(Y8&lt;&gt;"", X8&lt;&gt;""), IF(X8="3 Months", Y8+90, IF(X8="6 Months", Y8+180, IF(X8="12 Months", Y8+365, IF(X8="24 Months", Y8+730, Y8+365)))), "")</f>
        <v/>
      </c>
      <c r="AA8" s="22" t="n"/>
      <c r="AB8" s="23" t="n"/>
      <c r="AD8" s="21">
        <f>IF(AND(Y8&lt;&gt;"", Z8&lt;&gt;""), Y8+((Z8-Y8)/2), "")</f>
        <v/>
      </c>
      <c r="AF8" t="inlineStr">
        <is>
          <t>Yes</t>
        </is>
      </c>
    </row>
    <row r="9">
      <c r="A9">
        <f>IF(B9&lt;&gt;"", "EXC-"&amp;TEXT(ROW()-2,"000"), "")</f>
        <v/>
      </c>
      <c r="N9" t="inlineStr">
        <is>
          <t>Yes</t>
        </is>
      </c>
      <c r="W9" t="inlineStr">
        <is>
          <t>Pending Review</t>
        </is>
      </c>
      <c r="Z9" s="21">
        <f>IF(AND(Y9&lt;&gt;"", X9&lt;&gt;""), IF(X9="3 Months", Y9+90, IF(X9="6 Months", Y9+180, IF(X9="12 Months", Y9+365, IF(X9="24 Months", Y9+730, Y9+365)))), "")</f>
        <v/>
      </c>
      <c r="AA9" s="22" t="n"/>
      <c r="AB9" s="23" t="n"/>
      <c r="AD9" s="21">
        <f>IF(AND(Y9&lt;&gt;"", Z9&lt;&gt;""), Y9+((Z9-Y9)/2), "")</f>
        <v/>
      </c>
      <c r="AF9" t="inlineStr">
        <is>
          <t>Yes</t>
        </is>
      </c>
    </row>
    <row r="10">
      <c r="A10">
        <f>IF(B10&lt;&gt;"", "EXC-"&amp;TEXT(ROW()-2,"000"), "")</f>
        <v/>
      </c>
      <c r="N10" t="inlineStr">
        <is>
          <t>Yes</t>
        </is>
      </c>
      <c r="W10" t="inlineStr">
        <is>
          <t>Pending Review</t>
        </is>
      </c>
      <c r="Z10" s="21">
        <f>IF(AND(Y10&lt;&gt;"", X10&lt;&gt;""), IF(X10="3 Months", Y10+90, IF(X10="6 Months", Y10+180, IF(X10="12 Months", Y10+365, IF(X10="24 Months", Y10+730, Y10+365)))), "")</f>
        <v/>
      </c>
      <c r="AA10" s="22" t="n"/>
      <c r="AB10" s="23" t="n"/>
      <c r="AD10" s="21">
        <f>IF(AND(Y10&lt;&gt;"", Z10&lt;&gt;""), Y10+((Z10-Y10)/2), "")</f>
        <v/>
      </c>
      <c r="AF10" t="inlineStr">
        <is>
          <t>Yes</t>
        </is>
      </c>
    </row>
    <row r="11">
      <c r="A11">
        <f>IF(B11&lt;&gt;"", "EXC-"&amp;TEXT(ROW()-2,"000"), "")</f>
        <v/>
      </c>
      <c r="N11" t="inlineStr">
        <is>
          <t>Yes</t>
        </is>
      </c>
      <c r="W11" t="inlineStr">
        <is>
          <t>Pending Review</t>
        </is>
      </c>
      <c r="Z11" s="21">
        <f>IF(AND(Y11&lt;&gt;"", X11&lt;&gt;""), IF(X11="3 Months", Y11+90, IF(X11="6 Months", Y11+180, IF(X11="12 Months", Y11+365, IF(X11="24 Months", Y11+730, Y11+365)))), "")</f>
        <v/>
      </c>
      <c r="AA11" s="22" t="n"/>
      <c r="AB11" s="23" t="n"/>
      <c r="AD11" s="21">
        <f>IF(AND(Y11&lt;&gt;"", Z11&lt;&gt;""), Y11+((Z11-Y11)/2), "")</f>
        <v/>
      </c>
      <c r="AF11" t="inlineStr">
        <is>
          <t>Yes</t>
        </is>
      </c>
    </row>
    <row r="12">
      <c r="A12">
        <f>IF(B12&lt;&gt;"", "EXC-"&amp;TEXT(ROW()-2,"000"), "")</f>
        <v/>
      </c>
      <c r="N12" t="inlineStr">
        <is>
          <t>Yes</t>
        </is>
      </c>
      <c r="W12" t="inlineStr">
        <is>
          <t>Pending Review</t>
        </is>
      </c>
      <c r="Z12" s="21">
        <f>IF(AND(Y12&lt;&gt;"", X12&lt;&gt;""), IF(X12="3 Months", Y12+90, IF(X12="6 Months", Y12+180, IF(X12="12 Months", Y12+365, IF(X12="24 Months", Y12+730, Y12+365)))), "")</f>
        <v/>
      </c>
      <c r="AA12" s="22" t="n"/>
      <c r="AB12" s="23" t="n"/>
      <c r="AD12" s="21">
        <f>IF(AND(Y12&lt;&gt;"", Z12&lt;&gt;""), Y12+((Z12-Y12)/2), "")</f>
        <v/>
      </c>
      <c r="AF12" t="inlineStr">
        <is>
          <t>Yes</t>
        </is>
      </c>
    </row>
    <row r="13">
      <c r="A13">
        <f>IF(B13&lt;&gt;"", "EXC-"&amp;TEXT(ROW()-2,"000"), "")</f>
        <v/>
      </c>
      <c r="N13" t="inlineStr">
        <is>
          <t>Yes</t>
        </is>
      </c>
      <c r="W13" t="inlineStr">
        <is>
          <t>Pending Review</t>
        </is>
      </c>
      <c r="Z13" s="21">
        <f>IF(AND(Y13&lt;&gt;"", X13&lt;&gt;""), IF(X13="3 Months", Y13+90, IF(X13="6 Months", Y13+180, IF(X13="12 Months", Y13+365, IF(X13="24 Months", Y13+730, Y13+365)))), "")</f>
        <v/>
      </c>
      <c r="AA13" s="22" t="n"/>
      <c r="AB13" s="23" t="n"/>
      <c r="AD13" s="21">
        <f>IF(AND(Y13&lt;&gt;"", Z13&lt;&gt;""), Y13+((Z13-Y13)/2), "")</f>
        <v/>
      </c>
      <c r="AF13" t="inlineStr">
        <is>
          <t>Yes</t>
        </is>
      </c>
    </row>
    <row r="14">
      <c r="A14">
        <f>IF(B14&lt;&gt;"", "EXC-"&amp;TEXT(ROW()-2,"000"), "")</f>
        <v/>
      </c>
      <c r="N14" t="inlineStr">
        <is>
          <t>Yes</t>
        </is>
      </c>
      <c r="W14" t="inlineStr">
        <is>
          <t>Pending Review</t>
        </is>
      </c>
      <c r="Z14" s="21">
        <f>IF(AND(Y14&lt;&gt;"", X14&lt;&gt;""), IF(X14="3 Months", Y14+90, IF(X14="6 Months", Y14+180, IF(X14="12 Months", Y14+365, IF(X14="24 Months", Y14+730, Y14+365)))), "")</f>
        <v/>
      </c>
      <c r="AA14" s="22" t="n"/>
      <c r="AB14" s="23" t="n"/>
      <c r="AD14" s="21">
        <f>IF(AND(Y14&lt;&gt;"", Z14&lt;&gt;""), Y14+((Z14-Y14)/2), "")</f>
        <v/>
      </c>
      <c r="AF14" t="inlineStr">
        <is>
          <t>Yes</t>
        </is>
      </c>
    </row>
    <row r="15">
      <c r="A15">
        <f>IF(B15&lt;&gt;"", "EXC-"&amp;TEXT(ROW()-2,"000"), "")</f>
        <v/>
      </c>
      <c r="N15" t="inlineStr">
        <is>
          <t>Yes</t>
        </is>
      </c>
      <c r="W15" t="inlineStr">
        <is>
          <t>Pending Review</t>
        </is>
      </c>
      <c r="Z15" s="21">
        <f>IF(AND(Y15&lt;&gt;"", X15&lt;&gt;""), IF(X15="3 Months", Y15+90, IF(X15="6 Months", Y15+180, IF(X15="12 Months", Y15+365, IF(X15="24 Months", Y15+730, Y15+365)))), "")</f>
        <v/>
      </c>
      <c r="AA15" s="22" t="n"/>
      <c r="AB15" s="23" t="n"/>
      <c r="AD15" s="21">
        <f>IF(AND(Y15&lt;&gt;"", Z15&lt;&gt;""), Y15+((Z15-Y15)/2), "")</f>
        <v/>
      </c>
      <c r="AF15" t="inlineStr">
        <is>
          <t>Yes</t>
        </is>
      </c>
    </row>
    <row r="16">
      <c r="A16">
        <f>IF(B16&lt;&gt;"", "EXC-"&amp;TEXT(ROW()-2,"000"), "")</f>
        <v/>
      </c>
      <c r="N16" t="inlineStr">
        <is>
          <t>Yes</t>
        </is>
      </c>
      <c r="W16" t="inlineStr">
        <is>
          <t>Pending Review</t>
        </is>
      </c>
      <c r="Z16" s="21">
        <f>IF(AND(Y16&lt;&gt;"", X16&lt;&gt;""), IF(X16="3 Months", Y16+90, IF(X16="6 Months", Y16+180, IF(X16="12 Months", Y16+365, IF(X16="24 Months", Y16+730, Y16+365)))), "")</f>
        <v/>
      </c>
      <c r="AA16" s="22" t="n"/>
      <c r="AB16" s="23" t="n"/>
      <c r="AD16" s="21">
        <f>IF(AND(Y16&lt;&gt;"", Z16&lt;&gt;""), Y16+((Z16-Y16)/2), "")</f>
        <v/>
      </c>
      <c r="AF16" t="inlineStr">
        <is>
          <t>Yes</t>
        </is>
      </c>
    </row>
    <row r="17">
      <c r="A17">
        <f>IF(B17&lt;&gt;"", "EXC-"&amp;TEXT(ROW()-2,"000"), "")</f>
        <v/>
      </c>
      <c r="N17" t="inlineStr">
        <is>
          <t>Yes</t>
        </is>
      </c>
      <c r="W17" t="inlineStr">
        <is>
          <t>Pending Review</t>
        </is>
      </c>
      <c r="Z17" s="21">
        <f>IF(AND(Y17&lt;&gt;"", X17&lt;&gt;""), IF(X17="3 Months", Y17+90, IF(X17="6 Months", Y17+180, IF(X17="12 Months", Y17+365, IF(X17="24 Months", Y17+730, Y17+365)))), "")</f>
        <v/>
      </c>
      <c r="AA17" s="22" t="n"/>
      <c r="AB17" s="23" t="n"/>
      <c r="AD17" s="21">
        <f>IF(AND(Y17&lt;&gt;"", Z17&lt;&gt;""), Y17+((Z17-Y17)/2), "")</f>
        <v/>
      </c>
      <c r="AF17" t="inlineStr">
        <is>
          <t>Yes</t>
        </is>
      </c>
    </row>
    <row r="18">
      <c r="A18">
        <f>IF(B18&lt;&gt;"", "EXC-"&amp;TEXT(ROW()-2,"000"), "")</f>
        <v/>
      </c>
      <c r="N18" t="inlineStr">
        <is>
          <t>Yes</t>
        </is>
      </c>
      <c r="W18" t="inlineStr">
        <is>
          <t>Pending Review</t>
        </is>
      </c>
      <c r="Z18" s="21">
        <f>IF(AND(Y18&lt;&gt;"", X18&lt;&gt;""), IF(X18="3 Months", Y18+90, IF(X18="6 Months", Y18+180, IF(X18="12 Months", Y18+365, IF(X18="24 Months", Y18+730, Y18+365)))), "")</f>
        <v/>
      </c>
      <c r="AA18" s="22" t="n"/>
      <c r="AB18" s="23" t="n"/>
      <c r="AD18" s="21">
        <f>IF(AND(Y18&lt;&gt;"", Z18&lt;&gt;""), Y18+((Z18-Y18)/2), "")</f>
        <v/>
      </c>
      <c r="AF18" t="inlineStr">
        <is>
          <t>Yes</t>
        </is>
      </c>
    </row>
    <row r="19">
      <c r="A19">
        <f>IF(B19&lt;&gt;"", "EXC-"&amp;TEXT(ROW()-2,"000"), "")</f>
        <v/>
      </c>
      <c r="N19" t="inlineStr">
        <is>
          <t>Yes</t>
        </is>
      </c>
      <c r="W19" t="inlineStr">
        <is>
          <t>Pending Review</t>
        </is>
      </c>
      <c r="Z19" s="21">
        <f>IF(AND(Y19&lt;&gt;"", X19&lt;&gt;""), IF(X19="3 Months", Y19+90, IF(X19="6 Months", Y19+180, IF(X19="12 Months", Y19+365, IF(X19="24 Months", Y19+730, Y19+365)))), "")</f>
        <v/>
      </c>
      <c r="AA19" s="22" t="n"/>
      <c r="AB19" s="23" t="n"/>
      <c r="AD19" s="21">
        <f>IF(AND(Y19&lt;&gt;"", Z19&lt;&gt;""), Y19+((Z19-Y19)/2), "")</f>
        <v/>
      </c>
      <c r="AF19" t="inlineStr">
        <is>
          <t>Yes</t>
        </is>
      </c>
    </row>
    <row r="20">
      <c r="A20">
        <f>IF(B20&lt;&gt;"", "EXC-"&amp;TEXT(ROW()-2,"000"), "")</f>
        <v/>
      </c>
      <c r="N20" t="inlineStr">
        <is>
          <t>Yes</t>
        </is>
      </c>
      <c r="W20" t="inlineStr">
        <is>
          <t>Pending Review</t>
        </is>
      </c>
      <c r="Z20" s="21">
        <f>IF(AND(Y20&lt;&gt;"", X20&lt;&gt;""), IF(X20="3 Months", Y20+90, IF(X20="6 Months", Y20+180, IF(X20="12 Months", Y20+365, IF(X20="24 Months", Y20+730, Y20+365)))), "")</f>
        <v/>
      </c>
      <c r="AA20" s="22" t="n"/>
      <c r="AB20" s="23" t="n"/>
      <c r="AD20" s="21">
        <f>IF(AND(Y20&lt;&gt;"", Z20&lt;&gt;""), Y20+((Z20-Y20)/2), "")</f>
        <v/>
      </c>
      <c r="AF20" t="inlineStr">
        <is>
          <t>Yes</t>
        </is>
      </c>
    </row>
    <row r="21">
      <c r="A21">
        <f>IF(B21&lt;&gt;"", "EXC-"&amp;TEXT(ROW()-2,"000"), "")</f>
        <v/>
      </c>
      <c r="N21" t="inlineStr">
        <is>
          <t>Yes</t>
        </is>
      </c>
      <c r="W21" t="inlineStr">
        <is>
          <t>Pending Review</t>
        </is>
      </c>
      <c r="Z21" s="21">
        <f>IF(AND(Y21&lt;&gt;"", X21&lt;&gt;""), IF(X21="3 Months", Y21+90, IF(X21="6 Months", Y21+180, IF(X21="12 Months", Y21+365, IF(X21="24 Months", Y21+730, Y21+365)))), "")</f>
        <v/>
      </c>
      <c r="AA21" s="22" t="n"/>
      <c r="AB21" s="23" t="n"/>
      <c r="AD21" s="21">
        <f>IF(AND(Y21&lt;&gt;"", Z21&lt;&gt;""), Y21+((Z21-Y21)/2), "")</f>
        <v/>
      </c>
      <c r="AF21" t="inlineStr">
        <is>
          <t>Yes</t>
        </is>
      </c>
    </row>
    <row r="22">
      <c r="A22">
        <f>IF(B22&lt;&gt;"", "EXC-"&amp;TEXT(ROW()-2,"000"), "")</f>
        <v/>
      </c>
      <c r="N22" t="inlineStr">
        <is>
          <t>Yes</t>
        </is>
      </c>
      <c r="W22" t="inlineStr">
        <is>
          <t>Pending Review</t>
        </is>
      </c>
      <c r="Z22" s="21">
        <f>IF(AND(Y22&lt;&gt;"", X22&lt;&gt;""), IF(X22="3 Months", Y22+90, IF(X22="6 Months", Y22+180, IF(X22="12 Months", Y22+365, IF(X22="24 Months", Y22+730, Y22+365)))), "")</f>
        <v/>
      </c>
      <c r="AA22" s="22" t="n"/>
      <c r="AB22" s="23" t="n"/>
      <c r="AD22" s="21">
        <f>IF(AND(Y22&lt;&gt;"", Z22&lt;&gt;""), Y22+((Z22-Y22)/2), "")</f>
        <v/>
      </c>
      <c r="AF22" t="inlineStr">
        <is>
          <t>Yes</t>
        </is>
      </c>
    </row>
    <row r="23">
      <c r="A23">
        <f>IF(B23&lt;&gt;"", "EXC-"&amp;TEXT(ROW()-2,"000"), "")</f>
        <v/>
      </c>
      <c r="N23" t="inlineStr">
        <is>
          <t>Yes</t>
        </is>
      </c>
      <c r="W23" t="inlineStr">
        <is>
          <t>Pending Review</t>
        </is>
      </c>
      <c r="Z23" s="21">
        <f>IF(AND(Y23&lt;&gt;"", X23&lt;&gt;""), IF(X23="3 Months", Y23+90, IF(X23="6 Months", Y23+180, IF(X23="12 Months", Y23+365, IF(X23="24 Months", Y23+730, Y23+365)))), "")</f>
        <v/>
      </c>
      <c r="AA23" s="22" t="n"/>
      <c r="AB23" s="23" t="n"/>
      <c r="AD23" s="21">
        <f>IF(AND(Y23&lt;&gt;"", Z23&lt;&gt;""), Y23+((Z23-Y23)/2), "")</f>
        <v/>
      </c>
      <c r="AF23" t="inlineStr">
        <is>
          <t>Yes</t>
        </is>
      </c>
    </row>
    <row r="24">
      <c r="A24">
        <f>IF(B24&lt;&gt;"", "EXC-"&amp;TEXT(ROW()-2,"000"), "")</f>
        <v/>
      </c>
      <c r="N24" t="inlineStr">
        <is>
          <t>Yes</t>
        </is>
      </c>
      <c r="W24" t="inlineStr">
        <is>
          <t>Pending Review</t>
        </is>
      </c>
      <c r="Z24" s="21">
        <f>IF(AND(Y24&lt;&gt;"", X24&lt;&gt;""), IF(X24="3 Months", Y24+90, IF(X24="6 Months", Y24+180, IF(X24="12 Months", Y24+365, IF(X24="24 Months", Y24+730, Y24+365)))), "")</f>
        <v/>
      </c>
      <c r="AA24" s="22" t="n"/>
      <c r="AB24" s="23" t="n"/>
      <c r="AD24" s="21">
        <f>IF(AND(Y24&lt;&gt;"", Z24&lt;&gt;""), Y24+((Z24-Y24)/2), "")</f>
        <v/>
      </c>
      <c r="AF24" t="inlineStr">
        <is>
          <t>Yes</t>
        </is>
      </c>
    </row>
    <row r="25">
      <c r="A25">
        <f>IF(B25&lt;&gt;"", "EXC-"&amp;TEXT(ROW()-2,"000"), "")</f>
        <v/>
      </c>
      <c r="N25" t="inlineStr">
        <is>
          <t>Yes</t>
        </is>
      </c>
      <c r="W25" t="inlineStr">
        <is>
          <t>Pending Review</t>
        </is>
      </c>
      <c r="Z25" s="21">
        <f>IF(AND(Y25&lt;&gt;"", X25&lt;&gt;""), IF(X25="3 Months", Y25+90, IF(X25="6 Months", Y25+180, IF(X25="12 Months", Y25+365, IF(X25="24 Months", Y25+730, Y25+365)))), "")</f>
        <v/>
      </c>
      <c r="AA25" s="22" t="n"/>
      <c r="AB25" s="23" t="n"/>
      <c r="AD25" s="21">
        <f>IF(AND(Y25&lt;&gt;"", Z25&lt;&gt;""), Y25+((Z25-Y25)/2), "")</f>
        <v/>
      </c>
      <c r="AF25" t="inlineStr">
        <is>
          <t>Yes</t>
        </is>
      </c>
    </row>
    <row r="26">
      <c r="A26">
        <f>IF(B26&lt;&gt;"", "EXC-"&amp;TEXT(ROW()-2,"000"), "")</f>
        <v/>
      </c>
      <c r="N26" t="inlineStr">
        <is>
          <t>Yes</t>
        </is>
      </c>
      <c r="W26" t="inlineStr">
        <is>
          <t>Pending Review</t>
        </is>
      </c>
      <c r="Z26" s="21">
        <f>IF(AND(Y26&lt;&gt;"", X26&lt;&gt;""), IF(X26="3 Months", Y26+90, IF(X26="6 Months", Y26+180, IF(X26="12 Months", Y26+365, IF(X26="24 Months", Y26+730, Y26+365)))), "")</f>
        <v/>
      </c>
      <c r="AA26" s="22" t="n"/>
      <c r="AB26" s="23" t="n"/>
      <c r="AD26" s="21">
        <f>IF(AND(Y26&lt;&gt;"", Z26&lt;&gt;""), Y26+((Z26-Y26)/2), "")</f>
        <v/>
      </c>
      <c r="AF26" t="inlineStr">
        <is>
          <t>Yes</t>
        </is>
      </c>
    </row>
    <row r="27">
      <c r="A27">
        <f>IF(B27&lt;&gt;"", "EXC-"&amp;TEXT(ROW()-2,"000"), "")</f>
        <v/>
      </c>
      <c r="N27" t="inlineStr">
        <is>
          <t>Yes</t>
        </is>
      </c>
      <c r="W27" t="inlineStr">
        <is>
          <t>Pending Review</t>
        </is>
      </c>
      <c r="Z27" s="21">
        <f>IF(AND(Y27&lt;&gt;"", X27&lt;&gt;""), IF(X27="3 Months", Y27+90, IF(X27="6 Months", Y27+180, IF(X27="12 Months", Y27+365, IF(X27="24 Months", Y27+730, Y27+365)))), "")</f>
        <v/>
      </c>
      <c r="AA27" s="22" t="n"/>
      <c r="AB27" s="23" t="n"/>
      <c r="AD27" s="21">
        <f>IF(AND(Y27&lt;&gt;"", Z27&lt;&gt;""), Y27+((Z27-Y27)/2), "")</f>
        <v/>
      </c>
      <c r="AF27" t="inlineStr">
        <is>
          <t>Yes</t>
        </is>
      </c>
    </row>
    <row r="28">
      <c r="A28">
        <f>IF(B28&lt;&gt;"", "EXC-"&amp;TEXT(ROW()-2,"000"), "")</f>
        <v/>
      </c>
      <c r="N28" t="inlineStr">
        <is>
          <t>Yes</t>
        </is>
      </c>
      <c r="W28" t="inlineStr">
        <is>
          <t>Pending Review</t>
        </is>
      </c>
      <c r="Z28" s="21">
        <f>IF(AND(Y28&lt;&gt;"", X28&lt;&gt;""), IF(X28="3 Months", Y28+90, IF(X28="6 Months", Y28+180, IF(X28="12 Months", Y28+365, IF(X28="24 Months", Y28+730, Y28+365)))), "")</f>
        <v/>
      </c>
      <c r="AA28" s="22" t="n"/>
      <c r="AB28" s="23" t="n"/>
      <c r="AD28" s="21">
        <f>IF(AND(Y28&lt;&gt;"", Z28&lt;&gt;""), Y28+((Z28-Y28)/2), "")</f>
        <v/>
      </c>
      <c r="AF28" t="inlineStr">
        <is>
          <t>Yes</t>
        </is>
      </c>
    </row>
    <row r="29">
      <c r="A29">
        <f>IF(B29&lt;&gt;"", "EXC-"&amp;TEXT(ROW()-2,"000"), "")</f>
        <v/>
      </c>
      <c r="N29" t="inlineStr">
        <is>
          <t>Yes</t>
        </is>
      </c>
      <c r="W29" t="inlineStr">
        <is>
          <t>Pending Review</t>
        </is>
      </c>
      <c r="Z29" s="21">
        <f>IF(AND(Y29&lt;&gt;"", X29&lt;&gt;""), IF(X29="3 Months", Y29+90, IF(X29="6 Months", Y29+180, IF(X29="12 Months", Y29+365, IF(X29="24 Months", Y29+730, Y29+365)))), "")</f>
        <v/>
      </c>
      <c r="AA29" s="22" t="n"/>
      <c r="AB29" s="23" t="n"/>
      <c r="AD29" s="21">
        <f>IF(AND(Y29&lt;&gt;"", Z29&lt;&gt;""), Y29+((Z29-Y29)/2), "")</f>
        <v/>
      </c>
      <c r="AF29" t="inlineStr">
        <is>
          <t>Yes</t>
        </is>
      </c>
    </row>
    <row r="30">
      <c r="A30">
        <f>IF(B30&lt;&gt;"", "EXC-"&amp;TEXT(ROW()-2,"000"), "")</f>
        <v/>
      </c>
      <c r="N30" t="inlineStr">
        <is>
          <t>Yes</t>
        </is>
      </c>
      <c r="W30" t="inlineStr">
        <is>
          <t>Pending Review</t>
        </is>
      </c>
      <c r="Z30" s="21">
        <f>IF(AND(Y30&lt;&gt;"", X30&lt;&gt;""), IF(X30="3 Months", Y30+90, IF(X30="6 Months", Y30+180, IF(X30="12 Months", Y30+365, IF(X30="24 Months", Y30+730, Y30+365)))), "")</f>
        <v/>
      </c>
      <c r="AA30" s="22" t="n"/>
      <c r="AB30" s="23" t="n"/>
      <c r="AD30" s="21">
        <f>IF(AND(Y30&lt;&gt;"", Z30&lt;&gt;""), Y30+((Z30-Y30)/2), "")</f>
        <v/>
      </c>
      <c r="AF30" t="inlineStr">
        <is>
          <t>Yes</t>
        </is>
      </c>
    </row>
    <row r="31">
      <c r="A31">
        <f>IF(B31&lt;&gt;"", "EXC-"&amp;TEXT(ROW()-2,"000"), "")</f>
        <v/>
      </c>
      <c r="N31" t="inlineStr">
        <is>
          <t>Yes</t>
        </is>
      </c>
      <c r="W31" t="inlineStr">
        <is>
          <t>Pending Review</t>
        </is>
      </c>
      <c r="Z31" s="21">
        <f>IF(AND(Y31&lt;&gt;"", X31&lt;&gt;""), IF(X31="3 Months", Y31+90, IF(X31="6 Months", Y31+180, IF(X31="12 Months", Y31+365, IF(X31="24 Months", Y31+730, Y31+365)))), "")</f>
        <v/>
      </c>
      <c r="AA31" s="22" t="n"/>
      <c r="AB31" s="23" t="n"/>
      <c r="AD31" s="21">
        <f>IF(AND(Y31&lt;&gt;"", Z31&lt;&gt;""), Y31+((Z31-Y31)/2), "")</f>
        <v/>
      </c>
      <c r="AF31" t="inlineStr">
        <is>
          <t>Yes</t>
        </is>
      </c>
    </row>
    <row r="32">
      <c r="A32">
        <f>IF(B32&lt;&gt;"", "EXC-"&amp;TEXT(ROW()-2,"000"), "")</f>
        <v/>
      </c>
      <c r="N32" t="inlineStr">
        <is>
          <t>Yes</t>
        </is>
      </c>
      <c r="W32" t="inlineStr">
        <is>
          <t>Pending Review</t>
        </is>
      </c>
      <c r="Z32" s="21">
        <f>IF(AND(Y32&lt;&gt;"", X32&lt;&gt;""), IF(X32="3 Months", Y32+90, IF(X32="6 Months", Y32+180, IF(X32="12 Months", Y32+365, IF(X32="24 Months", Y32+730, Y32+365)))), "")</f>
        <v/>
      </c>
      <c r="AA32" s="22" t="n"/>
      <c r="AB32" s="23" t="n"/>
      <c r="AD32" s="21">
        <f>IF(AND(Y32&lt;&gt;"", Z32&lt;&gt;""), Y32+((Z32-Y32)/2), "")</f>
        <v/>
      </c>
      <c r="AF32" t="inlineStr">
        <is>
          <t>Yes</t>
        </is>
      </c>
    </row>
    <row r="33">
      <c r="A33">
        <f>IF(B33&lt;&gt;"", "EXC-"&amp;TEXT(ROW()-2,"000"), "")</f>
        <v/>
      </c>
      <c r="N33" t="inlineStr">
        <is>
          <t>Yes</t>
        </is>
      </c>
      <c r="W33" t="inlineStr">
        <is>
          <t>Pending Review</t>
        </is>
      </c>
      <c r="Z33" s="21">
        <f>IF(AND(Y33&lt;&gt;"", X33&lt;&gt;""), IF(X33="3 Months", Y33+90, IF(X33="6 Months", Y33+180, IF(X33="12 Months", Y33+365, IF(X33="24 Months", Y33+730, Y33+365)))), "")</f>
        <v/>
      </c>
      <c r="AA33" s="22" t="n"/>
      <c r="AB33" s="23" t="n"/>
      <c r="AD33" s="21">
        <f>IF(AND(Y33&lt;&gt;"", Z33&lt;&gt;""), Y33+((Z33-Y33)/2), "")</f>
        <v/>
      </c>
      <c r="AF33" t="inlineStr">
        <is>
          <t>Yes</t>
        </is>
      </c>
    </row>
    <row r="34">
      <c r="A34">
        <f>IF(B34&lt;&gt;"", "EXC-"&amp;TEXT(ROW()-2,"000"), "")</f>
        <v/>
      </c>
      <c r="N34" t="inlineStr">
        <is>
          <t>Yes</t>
        </is>
      </c>
      <c r="W34" t="inlineStr">
        <is>
          <t>Pending Review</t>
        </is>
      </c>
      <c r="Z34" s="21">
        <f>IF(AND(Y34&lt;&gt;"", X34&lt;&gt;""), IF(X34="3 Months", Y34+90, IF(X34="6 Months", Y34+180, IF(X34="12 Months", Y34+365, IF(X34="24 Months", Y34+730, Y34+365)))), "")</f>
        <v/>
      </c>
      <c r="AA34" s="22" t="n"/>
      <c r="AB34" s="23" t="n"/>
      <c r="AD34" s="21">
        <f>IF(AND(Y34&lt;&gt;"", Z34&lt;&gt;""), Y34+((Z34-Y34)/2), "")</f>
        <v/>
      </c>
      <c r="AF34" t="inlineStr">
        <is>
          <t>Yes</t>
        </is>
      </c>
    </row>
    <row r="35">
      <c r="A35">
        <f>IF(B35&lt;&gt;"", "EXC-"&amp;TEXT(ROW()-2,"000"), "")</f>
        <v/>
      </c>
      <c r="N35" t="inlineStr">
        <is>
          <t>Yes</t>
        </is>
      </c>
      <c r="W35" t="inlineStr">
        <is>
          <t>Pending Review</t>
        </is>
      </c>
      <c r="Z35" s="21">
        <f>IF(AND(Y35&lt;&gt;"", X35&lt;&gt;""), IF(X35="3 Months", Y35+90, IF(X35="6 Months", Y35+180, IF(X35="12 Months", Y35+365, IF(X35="24 Months", Y35+730, Y35+365)))), "")</f>
        <v/>
      </c>
      <c r="AA35" s="22" t="n"/>
      <c r="AB35" s="23" t="n"/>
      <c r="AD35" s="21">
        <f>IF(AND(Y35&lt;&gt;"", Z35&lt;&gt;""), Y35+((Z35-Y35)/2), "")</f>
        <v/>
      </c>
      <c r="AF35" t="inlineStr">
        <is>
          <t>Yes</t>
        </is>
      </c>
    </row>
    <row r="36">
      <c r="A36">
        <f>IF(B36&lt;&gt;"", "EXC-"&amp;TEXT(ROW()-2,"000"), "")</f>
        <v/>
      </c>
      <c r="N36" t="inlineStr">
        <is>
          <t>Yes</t>
        </is>
      </c>
      <c r="W36" t="inlineStr">
        <is>
          <t>Pending Review</t>
        </is>
      </c>
      <c r="Z36" s="21">
        <f>IF(AND(Y36&lt;&gt;"", X36&lt;&gt;""), IF(X36="3 Months", Y36+90, IF(X36="6 Months", Y36+180, IF(X36="12 Months", Y36+365, IF(X36="24 Months", Y36+730, Y36+365)))), "")</f>
        <v/>
      </c>
      <c r="AA36" s="22" t="n"/>
      <c r="AB36" s="23" t="n"/>
      <c r="AD36" s="21">
        <f>IF(AND(Y36&lt;&gt;"", Z36&lt;&gt;""), Y36+((Z36-Y36)/2), "")</f>
        <v/>
      </c>
      <c r="AF36" t="inlineStr">
        <is>
          <t>Yes</t>
        </is>
      </c>
    </row>
    <row r="37">
      <c r="A37">
        <f>IF(B37&lt;&gt;"", "EXC-"&amp;TEXT(ROW()-2,"000"), "")</f>
        <v/>
      </c>
      <c r="N37" t="inlineStr">
        <is>
          <t>Yes</t>
        </is>
      </c>
      <c r="W37" t="inlineStr">
        <is>
          <t>Pending Review</t>
        </is>
      </c>
      <c r="Z37" s="21">
        <f>IF(AND(Y37&lt;&gt;"", X37&lt;&gt;""), IF(X37="3 Months", Y37+90, IF(X37="6 Months", Y37+180, IF(X37="12 Months", Y37+365, IF(X37="24 Months", Y37+730, Y37+365)))), "")</f>
        <v/>
      </c>
      <c r="AA37" s="22" t="n"/>
      <c r="AB37" s="23" t="n"/>
      <c r="AD37" s="21">
        <f>IF(AND(Y37&lt;&gt;"", Z37&lt;&gt;""), Y37+((Z37-Y37)/2), "")</f>
        <v/>
      </c>
      <c r="AF37" t="inlineStr">
        <is>
          <t>Yes</t>
        </is>
      </c>
    </row>
    <row r="38">
      <c r="A38">
        <f>IF(B38&lt;&gt;"", "EXC-"&amp;TEXT(ROW()-2,"000"), "")</f>
        <v/>
      </c>
      <c r="N38" t="inlineStr">
        <is>
          <t>Yes</t>
        </is>
      </c>
      <c r="W38" t="inlineStr">
        <is>
          <t>Pending Review</t>
        </is>
      </c>
      <c r="Z38" s="21">
        <f>IF(AND(Y38&lt;&gt;"", X38&lt;&gt;""), IF(X38="3 Months", Y38+90, IF(X38="6 Months", Y38+180, IF(X38="12 Months", Y38+365, IF(X38="24 Months", Y38+730, Y38+365)))), "")</f>
        <v/>
      </c>
      <c r="AA38" s="22" t="n"/>
      <c r="AB38" s="23" t="n"/>
      <c r="AD38" s="21">
        <f>IF(AND(Y38&lt;&gt;"", Z38&lt;&gt;""), Y38+((Z38-Y38)/2), "")</f>
        <v/>
      </c>
      <c r="AF38" t="inlineStr">
        <is>
          <t>Yes</t>
        </is>
      </c>
    </row>
    <row r="39">
      <c r="A39">
        <f>IF(B39&lt;&gt;"", "EXC-"&amp;TEXT(ROW()-2,"000"), "")</f>
        <v/>
      </c>
      <c r="N39" t="inlineStr">
        <is>
          <t>Yes</t>
        </is>
      </c>
      <c r="W39" t="inlineStr">
        <is>
          <t>Pending Review</t>
        </is>
      </c>
      <c r="Z39" s="21">
        <f>IF(AND(Y39&lt;&gt;"", X39&lt;&gt;""), IF(X39="3 Months", Y39+90, IF(X39="6 Months", Y39+180, IF(X39="12 Months", Y39+365, IF(X39="24 Months", Y39+730, Y39+365)))), "")</f>
        <v/>
      </c>
      <c r="AA39" s="22" t="n"/>
      <c r="AB39" s="23" t="n"/>
      <c r="AD39" s="21">
        <f>IF(AND(Y39&lt;&gt;"", Z39&lt;&gt;""), Y39+((Z39-Y39)/2), "")</f>
        <v/>
      </c>
      <c r="AF39" t="inlineStr">
        <is>
          <t>Yes</t>
        </is>
      </c>
    </row>
    <row r="40">
      <c r="A40">
        <f>IF(B40&lt;&gt;"", "EXC-"&amp;TEXT(ROW()-2,"000"), "")</f>
        <v/>
      </c>
      <c r="N40" t="inlineStr">
        <is>
          <t>Yes</t>
        </is>
      </c>
      <c r="W40" t="inlineStr">
        <is>
          <t>Pending Review</t>
        </is>
      </c>
      <c r="Z40" s="21">
        <f>IF(AND(Y40&lt;&gt;"", X40&lt;&gt;""), IF(X40="3 Months", Y40+90, IF(X40="6 Months", Y40+180, IF(X40="12 Months", Y40+365, IF(X40="24 Months", Y40+730, Y40+365)))), "")</f>
        <v/>
      </c>
      <c r="AA40" s="22" t="n"/>
      <c r="AB40" s="23" t="n"/>
      <c r="AD40" s="21">
        <f>IF(AND(Y40&lt;&gt;"", Z40&lt;&gt;""), Y40+((Z40-Y40)/2), "")</f>
        <v/>
      </c>
      <c r="AF40" t="inlineStr">
        <is>
          <t>Yes</t>
        </is>
      </c>
    </row>
    <row r="41">
      <c r="A41">
        <f>IF(B41&lt;&gt;"", "EXC-"&amp;TEXT(ROW()-2,"000"), "")</f>
        <v/>
      </c>
      <c r="N41" t="inlineStr">
        <is>
          <t>Yes</t>
        </is>
      </c>
      <c r="W41" t="inlineStr">
        <is>
          <t>Pending Review</t>
        </is>
      </c>
      <c r="Z41" s="21">
        <f>IF(AND(Y41&lt;&gt;"", X41&lt;&gt;""), IF(X41="3 Months", Y41+90, IF(X41="6 Months", Y41+180, IF(X41="12 Months", Y41+365, IF(X41="24 Months", Y41+730, Y41+365)))), "")</f>
        <v/>
      </c>
      <c r="AA41" s="22" t="n"/>
      <c r="AB41" s="23" t="n"/>
      <c r="AD41" s="21">
        <f>IF(AND(Y41&lt;&gt;"", Z41&lt;&gt;""), Y41+((Z41-Y41)/2), "")</f>
        <v/>
      </c>
      <c r="AF41" t="inlineStr">
        <is>
          <t>Yes</t>
        </is>
      </c>
    </row>
    <row r="42">
      <c r="A42">
        <f>IF(B42&lt;&gt;"", "EXC-"&amp;TEXT(ROW()-2,"000"), "")</f>
        <v/>
      </c>
      <c r="N42" t="inlineStr">
        <is>
          <t>Yes</t>
        </is>
      </c>
      <c r="W42" t="inlineStr">
        <is>
          <t>Pending Review</t>
        </is>
      </c>
      <c r="Z42" s="21">
        <f>IF(AND(Y42&lt;&gt;"", X42&lt;&gt;""), IF(X42="3 Months", Y42+90, IF(X42="6 Months", Y42+180, IF(X42="12 Months", Y42+365, IF(X42="24 Months", Y42+730, Y42+365)))), "")</f>
        <v/>
      </c>
      <c r="AA42" s="22" t="n"/>
      <c r="AB42" s="23" t="n"/>
      <c r="AD42" s="21">
        <f>IF(AND(Y42&lt;&gt;"", Z42&lt;&gt;""), Y42+((Z42-Y42)/2), "")</f>
        <v/>
      </c>
      <c r="AF42" t="inlineStr">
        <is>
          <t>Yes</t>
        </is>
      </c>
    </row>
    <row r="43">
      <c r="A43">
        <f>IF(B43&lt;&gt;"", "EXC-"&amp;TEXT(ROW()-2,"000"), "")</f>
        <v/>
      </c>
      <c r="N43" t="inlineStr">
        <is>
          <t>Yes</t>
        </is>
      </c>
      <c r="W43" t="inlineStr">
        <is>
          <t>Pending Review</t>
        </is>
      </c>
      <c r="Z43" s="21">
        <f>IF(AND(Y43&lt;&gt;"", X43&lt;&gt;""), IF(X43="3 Months", Y43+90, IF(X43="6 Months", Y43+180, IF(X43="12 Months", Y43+365, IF(X43="24 Months", Y43+730, Y43+365)))), "")</f>
        <v/>
      </c>
      <c r="AA43" s="22" t="n"/>
      <c r="AB43" s="23" t="n"/>
      <c r="AD43" s="21">
        <f>IF(AND(Y43&lt;&gt;"", Z43&lt;&gt;""), Y43+((Z43-Y43)/2), "")</f>
        <v/>
      </c>
      <c r="AF43" t="inlineStr">
        <is>
          <t>Yes</t>
        </is>
      </c>
    </row>
    <row r="44">
      <c r="A44">
        <f>IF(B44&lt;&gt;"", "EXC-"&amp;TEXT(ROW()-2,"000"), "")</f>
        <v/>
      </c>
      <c r="N44" t="inlineStr">
        <is>
          <t>Yes</t>
        </is>
      </c>
      <c r="W44" t="inlineStr">
        <is>
          <t>Pending Review</t>
        </is>
      </c>
      <c r="Z44" s="21">
        <f>IF(AND(Y44&lt;&gt;"", X44&lt;&gt;""), IF(X44="3 Months", Y44+90, IF(X44="6 Months", Y44+180, IF(X44="12 Months", Y44+365, IF(X44="24 Months", Y44+730, Y44+365)))), "")</f>
        <v/>
      </c>
      <c r="AA44" s="22" t="n"/>
      <c r="AB44" s="23" t="n"/>
      <c r="AD44" s="21">
        <f>IF(AND(Y44&lt;&gt;"", Z44&lt;&gt;""), Y44+((Z44-Y44)/2), "")</f>
        <v/>
      </c>
      <c r="AF44" t="inlineStr">
        <is>
          <t>Yes</t>
        </is>
      </c>
    </row>
    <row r="45">
      <c r="A45">
        <f>IF(B45&lt;&gt;"", "EXC-"&amp;TEXT(ROW()-2,"000"), "")</f>
        <v/>
      </c>
      <c r="N45" t="inlineStr">
        <is>
          <t>Yes</t>
        </is>
      </c>
      <c r="W45" t="inlineStr">
        <is>
          <t>Pending Review</t>
        </is>
      </c>
      <c r="Z45" s="21">
        <f>IF(AND(Y45&lt;&gt;"", X45&lt;&gt;""), IF(X45="3 Months", Y45+90, IF(X45="6 Months", Y45+180, IF(X45="12 Months", Y45+365, IF(X45="24 Months", Y45+730, Y45+365)))), "")</f>
        <v/>
      </c>
      <c r="AA45" s="22" t="n"/>
      <c r="AB45" s="23" t="n"/>
      <c r="AD45" s="21">
        <f>IF(AND(Y45&lt;&gt;"", Z45&lt;&gt;""), Y45+((Z45-Y45)/2), "")</f>
        <v/>
      </c>
      <c r="AF45" t="inlineStr">
        <is>
          <t>Yes</t>
        </is>
      </c>
    </row>
    <row r="46">
      <c r="A46">
        <f>IF(B46&lt;&gt;"", "EXC-"&amp;TEXT(ROW()-2,"000"), "")</f>
        <v/>
      </c>
      <c r="N46" t="inlineStr">
        <is>
          <t>Yes</t>
        </is>
      </c>
      <c r="W46" t="inlineStr">
        <is>
          <t>Pending Review</t>
        </is>
      </c>
      <c r="Z46" s="21">
        <f>IF(AND(Y46&lt;&gt;"", X46&lt;&gt;""), IF(X46="3 Months", Y46+90, IF(X46="6 Months", Y46+180, IF(X46="12 Months", Y46+365, IF(X46="24 Months", Y46+730, Y46+365)))), "")</f>
        <v/>
      </c>
      <c r="AA46" s="22" t="n"/>
      <c r="AB46" s="23" t="n"/>
      <c r="AD46" s="21">
        <f>IF(AND(Y46&lt;&gt;"", Z46&lt;&gt;""), Y46+((Z46-Y46)/2), "")</f>
        <v/>
      </c>
      <c r="AF46" t="inlineStr">
        <is>
          <t>Yes</t>
        </is>
      </c>
    </row>
    <row r="47">
      <c r="A47">
        <f>IF(B47&lt;&gt;"", "EXC-"&amp;TEXT(ROW()-2,"000"), "")</f>
        <v/>
      </c>
      <c r="N47" t="inlineStr">
        <is>
          <t>Yes</t>
        </is>
      </c>
      <c r="W47" t="inlineStr">
        <is>
          <t>Pending Review</t>
        </is>
      </c>
      <c r="Z47" s="21">
        <f>IF(AND(Y47&lt;&gt;"", X47&lt;&gt;""), IF(X47="3 Months", Y47+90, IF(X47="6 Months", Y47+180, IF(X47="12 Months", Y47+365, IF(X47="24 Months", Y47+730, Y47+365)))), "")</f>
        <v/>
      </c>
      <c r="AA47" s="22" t="n"/>
      <c r="AB47" s="23" t="n"/>
      <c r="AD47" s="21">
        <f>IF(AND(Y47&lt;&gt;"", Z47&lt;&gt;""), Y47+((Z47-Y47)/2), "")</f>
        <v/>
      </c>
      <c r="AF47" t="inlineStr">
        <is>
          <t>Yes</t>
        </is>
      </c>
    </row>
    <row r="48">
      <c r="A48">
        <f>IF(B48&lt;&gt;"", "EXC-"&amp;TEXT(ROW()-2,"000"), "")</f>
        <v/>
      </c>
      <c r="N48" t="inlineStr">
        <is>
          <t>Yes</t>
        </is>
      </c>
      <c r="W48" t="inlineStr">
        <is>
          <t>Pending Review</t>
        </is>
      </c>
      <c r="Z48" s="21">
        <f>IF(AND(Y48&lt;&gt;"", X48&lt;&gt;""), IF(X48="3 Months", Y48+90, IF(X48="6 Months", Y48+180, IF(X48="12 Months", Y48+365, IF(X48="24 Months", Y48+730, Y48+365)))), "")</f>
        <v/>
      </c>
      <c r="AA48" s="22" t="n"/>
      <c r="AB48" s="23" t="n"/>
      <c r="AD48" s="21">
        <f>IF(AND(Y48&lt;&gt;"", Z48&lt;&gt;""), Y48+((Z48-Y48)/2), "")</f>
        <v/>
      </c>
      <c r="AF48" t="inlineStr">
        <is>
          <t>Yes</t>
        </is>
      </c>
    </row>
    <row r="49">
      <c r="A49">
        <f>IF(B49&lt;&gt;"", "EXC-"&amp;TEXT(ROW()-2,"000"), "")</f>
        <v/>
      </c>
      <c r="N49" t="inlineStr">
        <is>
          <t>Yes</t>
        </is>
      </c>
      <c r="W49" t="inlineStr">
        <is>
          <t>Pending Review</t>
        </is>
      </c>
      <c r="Z49" s="21">
        <f>IF(AND(Y49&lt;&gt;"", X49&lt;&gt;""), IF(X49="3 Months", Y49+90, IF(X49="6 Months", Y49+180, IF(X49="12 Months", Y49+365, IF(X49="24 Months", Y49+730, Y49+365)))), "")</f>
        <v/>
      </c>
      <c r="AA49" s="22" t="n"/>
      <c r="AB49" s="23" t="n"/>
      <c r="AD49" s="21">
        <f>IF(AND(Y49&lt;&gt;"", Z49&lt;&gt;""), Y49+((Z49-Y49)/2), "")</f>
        <v/>
      </c>
      <c r="AF49" t="inlineStr">
        <is>
          <t>Yes</t>
        </is>
      </c>
    </row>
    <row r="50">
      <c r="A50">
        <f>IF(B50&lt;&gt;"", "EXC-"&amp;TEXT(ROW()-2,"000"), "")</f>
        <v/>
      </c>
      <c r="N50" t="inlineStr">
        <is>
          <t>Yes</t>
        </is>
      </c>
      <c r="W50" t="inlineStr">
        <is>
          <t>Pending Review</t>
        </is>
      </c>
      <c r="Z50" s="21">
        <f>IF(AND(Y50&lt;&gt;"", X50&lt;&gt;""), IF(X50="3 Months", Y50+90, IF(X50="6 Months", Y50+180, IF(X50="12 Months", Y50+365, IF(X50="24 Months", Y50+730, Y50+365)))), "")</f>
        <v/>
      </c>
      <c r="AA50" s="22" t="n"/>
      <c r="AB50" s="23" t="n"/>
      <c r="AD50" s="21">
        <f>IF(AND(Y50&lt;&gt;"", Z50&lt;&gt;""), Y50+((Z50-Y50)/2), "")</f>
        <v/>
      </c>
      <c r="AF50" t="inlineStr">
        <is>
          <t>Yes</t>
        </is>
      </c>
    </row>
    <row r="51">
      <c r="A51">
        <f>IF(B51&lt;&gt;"", "EXC-"&amp;TEXT(ROW()-2,"000"), "")</f>
        <v/>
      </c>
      <c r="N51" t="inlineStr">
        <is>
          <t>Yes</t>
        </is>
      </c>
      <c r="W51" t="inlineStr">
        <is>
          <t>Pending Review</t>
        </is>
      </c>
      <c r="Z51" s="21">
        <f>IF(AND(Y51&lt;&gt;"", X51&lt;&gt;""), IF(X51="3 Months", Y51+90, IF(X51="6 Months", Y51+180, IF(X51="12 Months", Y51+365, IF(X51="24 Months", Y51+730, Y51+365)))), "")</f>
        <v/>
      </c>
      <c r="AA51" s="22" t="n"/>
      <c r="AB51" s="23" t="n"/>
      <c r="AD51" s="21">
        <f>IF(AND(Y51&lt;&gt;"", Z51&lt;&gt;""), Y51+((Z51-Y51)/2), "")</f>
        <v/>
      </c>
      <c r="AF51" t="inlineStr">
        <is>
          <t>Yes</t>
        </is>
      </c>
    </row>
    <row r="52">
      <c r="A52">
        <f>IF(B52&lt;&gt;"", "EXC-"&amp;TEXT(ROW()-2,"000"), "")</f>
        <v/>
      </c>
      <c r="N52" t="inlineStr">
        <is>
          <t>Yes</t>
        </is>
      </c>
      <c r="W52" t="inlineStr">
        <is>
          <t>Pending Review</t>
        </is>
      </c>
      <c r="Z52" s="21">
        <f>IF(AND(Y52&lt;&gt;"", X52&lt;&gt;""), IF(X52="3 Months", Y52+90, IF(X52="6 Months", Y52+180, IF(X52="12 Months", Y52+365, IF(X52="24 Months", Y52+730, Y52+365)))), "")</f>
        <v/>
      </c>
      <c r="AA52" s="22" t="n"/>
      <c r="AB52" s="23" t="n"/>
      <c r="AD52" s="21">
        <f>IF(AND(Y52&lt;&gt;"", Z52&lt;&gt;""), Y52+((Z52-Y52)/2), "")</f>
        <v/>
      </c>
      <c r="AF52" t="inlineStr">
        <is>
          <t>Yes</t>
        </is>
      </c>
    </row>
  </sheetData>
  <mergeCells count="1">
    <mergeCell ref="A1:AK1"/>
  </mergeCells>
  <conditionalFormatting sqref="W3:W52">
    <cfRule type="expression" priority="1" dxfId="3">
      <formula>OR(ISNUMBER(SEARCH("Fully Compliant",$W3)),ISNUMBER(SEARCH("Compliant",$W3)),ISNUMBER(SEARCH("Completed",$W3)),ISNUMBER(SEARCH("Pass",$W3)),ISNUMBER(SEARCH("Approved",$W3)))</formula>
    </cfRule>
    <cfRule type="expression" priority="2" dxfId="1">
      <formula>OR(ISNUMBER(SEARCH("Substantially Compliant",$W3)),ISNUMBER(SEARCH("Partial",$W3)),ISNUMBER(SEARCH("In Progress",$W3)),ISNUMBER(SEARCH("Under Review",$W3)))</formula>
    </cfRule>
    <cfRule type="expression" priority="3" dxfId="5">
      <formula>OR(ISNUMBER(SEARCH("Non-Compliant",$W3)),ISNUMBER(SEARCH("Fail",$W3)),ISNUMBER(SEARCH("Blocked",$W3)),ISNUMBER(SEARCH("Rejected",$W3)),ISNUMBER(SEARCH("Expired",$W3)))</formula>
    </cfRule>
  </conditionalFormatting>
  <conditionalFormatting sqref="AA3:AA52">
    <cfRule type="expression" priority="4" dxfId="1">
      <formula>AND($AA3&lt;30, $AA3&gt;=0)</formula>
    </cfRule>
    <cfRule type="cellIs" priority="5" operator="lessThan" dxfId="0">
      <formula>0</formula>
    </cfRule>
  </conditionalFormatting>
  <conditionalFormatting sqref="M3:M52">
    <cfRule type="expression" priority="6" dxfId="6">
      <formula>OR(ISNUMBER(SEARCH("Critical",$M3)), ISNUMBER(SEARCH("High",$M3)))</formula>
    </cfRule>
  </conditionalFormatting>
  <conditionalFormatting sqref="O3:O52">
    <cfRule type="expression" priority="7" dxfId="8">
      <formula>AND($N3="Yes", $O3="")</formula>
    </cfRule>
  </conditionalFormatting>
  <dataValidations count="7">
    <dataValidation sqref="I3:I52" showDropDown="0" showInputMessage="0" showErrorMessage="1" allowBlank="1" errorTitle="Invalid Entry" error="Please select from the dropdown list." type="list">
      <formula1>"Technical Limitation,Business Requirement,Legacy System,Performance Impact,Vendor Limitation,Cost Prohibitive,Temporary Transition,Regulatory Conflict"</formula1>
    </dataValidation>
    <dataValidation sqref="M3:M52" showDropDown="0" showInputMessage="0" showErrorMessage="1" allowBlank="1" errorTitle="Invalid Entry" error="Please select from the dropdown list." type="list">
      <formula1>"Critical,High,Medium,Low"</formula1>
    </dataValidation>
    <dataValidation sqref="N3:N52" showDropDown="0" showInputMessage="0" showErrorMessage="1" allowBlank="1" errorTitle="Invalid Entry" error="Please select from the dropdown list." type="list">
      <formula1>"Yes,No"</formula1>
    </dataValidation>
    <dataValidation sqref="P3:P52" showDropDown="0" showInputMessage="0" showErrorMessage="1" allowBlank="1" errorTitle="Invalid Entry" error="Please select from the dropdown list." type="list">
      <formula1>"Full,Partial,None"</formula1>
    </dataValidation>
    <dataValidation sqref="W3:W52" showDropDown="0" showInputMessage="0" showErrorMessage="1" allowBlank="1" errorTitle="Invalid Entry" error="Please select from the dropdown list." type="list">
      <formula1>"⏳ Pending Review,⏳ Under Review,✅ Approved,⚠️ Conditionally Approved,❌ Rejected,⏰ Expired,✅ Closed"</formula1>
    </dataValidation>
    <dataValidation sqref="X3:X52" showDropDown="0" showInputMessage="0" showErrorMessage="1" allowBlank="1" errorTitle="Invalid Entry" error="Please select from the dropdown list." type="list">
      <formula1>"3 Months,6 Months,12 Months,24 Months,Indefinite"</formula1>
    </dataValidation>
    <dataValidation sqref="AF3:AF52" showDropDown="0" showInputMessage="0" showErrorMessage="1" allowBlank="1" errorTitle="Invalid Entry" error="Please select from the dropdown list."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V102"/>
  <sheetViews>
    <sheetView showGridLines="0" workbookViewId="0">
      <pane ySplit="2" topLeftCell="A3" activePane="bottomLeft" state="frozen"/>
      <selection pane="bottomLeft" activeCell="A1" sqref="A1"/>
    </sheetView>
  </sheetViews>
  <sheetFormatPr baseColWidth="8" defaultRowHeight="15"/>
  <cols>
    <col width="12" customWidth="1" min="1" max="1"/>
    <col width="18" customWidth="1" min="2" max="2"/>
    <col width="12" customWidth="1" min="3" max="3"/>
    <col width="12" customWidth="1" min="4" max="4"/>
    <col width="25" customWidth="1" min="5" max="5"/>
    <col width="12" customWidth="1" min="6" max="6"/>
    <col width="12" customWidth="1" min="7" max="7"/>
    <col width="12" customWidth="1" min="8" max="8"/>
    <col width="30" customWidth="1" min="9" max="9"/>
    <col width="15" customWidth="1" min="10" max="10"/>
    <col width="40" customWidth="1" min="11" max="11"/>
    <col width="15" customWidth="1" min="12" max="12"/>
    <col width="40" customWidth="1" min="13" max="13"/>
    <col width="15" customWidth="1" min="14" max="14"/>
    <col width="20" customWidth="1" min="15" max="15"/>
    <col width="18" customWidth="1" min="16" max="16"/>
    <col width="20" customWidth="1" min="17" max="17"/>
    <col width="40" customWidth="1" min="18" max="18"/>
    <col width="25" customWidth="1" min="19" max="19"/>
    <col width="25" customWidth="1" min="20" max="20"/>
    <col width="15" customWidth="1" min="21" max="21"/>
    <col width="15" customWidth="1" min="22" max="22"/>
    <col width="30" customWidth="1" min="23" max="23"/>
    <col width="18" customWidth="1" min="24" max="24"/>
    <col width="15" customWidth="1" min="25" max="25"/>
    <col width="20" customWidth="1" min="26" max="26"/>
    <col width="15" customWidth="1" min="27" max="27"/>
    <col width="20" customWidth="1" min="28" max="28"/>
    <col width="16" customWidth="1" min="29" max="29"/>
    <col width="14" customWidth="1" min="30" max="30"/>
    <col width="18" customWidth="1" min="31" max="31"/>
    <col width="40" customWidth="1" min="32" max="32"/>
    <col width="18" customWidth="1" min="33" max="33"/>
    <col width="40" customWidth="1" min="34" max="34"/>
    <col width="18" customWidth="1" min="35" max="35"/>
    <col width="20" customWidth="1" min="36" max="36"/>
    <col width="25" customWidth="1" min="37" max="37"/>
    <col width="15" customWidth="1" min="38" max="38"/>
    <col width="18" customWidth="1" min="39" max="39"/>
    <col width="15" customWidth="1" min="40" max="40"/>
    <col width="18" customWidth="1" min="41" max="41"/>
    <col width="18" customWidth="1" min="42" max="42"/>
    <col width="20" customWidth="1" min="43" max="43"/>
    <col width="40" customWidth="1" min="44" max="44"/>
    <col width="40" customWidth="1" min="45" max="45"/>
    <col width="15" customWidth="1" min="46" max="46"/>
    <col width="25" customWidth="1" min="47" max="47"/>
    <col width="40" customWidth="1" min="48" max="48"/>
  </cols>
  <sheetData>
    <row r="1" ht="35" customHeight="1">
      <c r="A1" s="11" t="inlineStr">
        <is>
          <t>REMEDIATION TRACKING</t>
        </is>
      </c>
    </row>
    <row r="2">
      <c r="A2" s="12" t="inlineStr">
        <is>
          <t>Remediation ID</t>
        </is>
      </c>
      <c r="B2" s="12" t="inlineStr">
        <is>
          <t>Gap Type</t>
        </is>
      </c>
      <c r="C2" s="12" t="inlineStr">
        <is>
          <t>Control ID</t>
        </is>
      </c>
      <c r="D2" s="12" t="inlineStr">
        <is>
          <t>Asset ID</t>
        </is>
      </c>
      <c r="E2" s="12" t="inlineStr">
        <is>
          <t>Asset Name</t>
        </is>
      </c>
      <c r="F2" s="12" t="inlineStr">
        <is>
          <t>Asset Tier</t>
        </is>
      </c>
      <c r="G2" s="12" t="inlineStr">
        <is>
          <t>Standard ID</t>
        </is>
      </c>
      <c r="H2" s="12" t="inlineStr">
        <is>
          <t>Control Number</t>
        </is>
      </c>
      <c r="I2" s="12" t="inlineStr">
        <is>
          <t>Control Title</t>
        </is>
      </c>
      <c r="J2" s="12" t="inlineStr">
        <is>
          <t>Control Severity</t>
        </is>
      </c>
      <c r="K2" s="12" t="inlineStr">
        <is>
          <t>Gap Description</t>
        </is>
      </c>
      <c r="L2" s="12" t="inlineStr">
        <is>
          <t>Gap Risk Rating</t>
        </is>
      </c>
      <c r="M2" s="12" t="inlineStr">
        <is>
          <t>Impact Assessment</t>
        </is>
      </c>
      <c r="N2" s="12" t="inlineStr">
        <is>
          <t>Discovery Date</t>
        </is>
      </c>
      <c r="O2" s="12" t="inlineStr">
        <is>
          <t>Discovery Method</t>
        </is>
      </c>
      <c r="P2" s="12" t="inlineStr">
        <is>
          <t>Remediation Required</t>
        </is>
      </c>
      <c r="Q2" s="12" t="inlineStr">
        <is>
          <t>Remediation Strategy</t>
        </is>
      </c>
      <c r="R2" s="12" t="inlineStr">
        <is>
          <t>Remediation Description</t>
        </is>
      </c>
      <c r="S2" s="12" t="inlineStr">
        <is>
          <t>Remediation Owner</t>
        </is>
      </c>
      <c r="T2" s="12" t="inlineStr">
        <is>
          <t>Remediation Team</t>
        </is>
      </c>
      <c r="U2" s="12" t="inlineStr">
        <is>
          <t>Estimated Effort</t>
        </is>
      </c>
      <c r="V2" s="12" t="inlineStr">
        <is>
          <t>Estimated Cost</t>
        </is>
      </c>
      <c r="W2" s="12" t="inlineStr">
        <is>
          <t>Dependencies</t>
        </is>
      </c>
      <c r="X2" s="12" t="inlineStr">
        <is>
          <t>Remediation Priority</t>
        </is>
      </c>
      <c r="Y2" s="12" t="inlineStr">
        <is>
          <t>Target Start Date</t>
        </is>
      </c>
      <c r="Z2" s="12" t="inlineStr">
        <is>
          <t>Target Completion Date</t>
        </is>
      </c>
      <c r="AA2" s="12" t="inlineStr">
        <is>
          <t>Actual Start Date</t>
        </is>
      </c>
      <c r="AB2" s="12" t="inlineStr">
        <is>
          <t>Actual Completion Date</t>
        </is>
      </c>
      <c r="AC2" s="12" t="inlineStr">
        <is>
          <t>Days To Remediate</t>
        </is>
      </c>
      <c r="AD2" s="12" t="inlineStr">
        <is>
          <t>Days Overdue</t>
        </is>
      </c>
      <c r="AE2" s="12" t="inlineStr">
        <is>
          <t>Status</t>
        </is>
      </c>
      <c r="AF2" s="12" t="inlineStr">
        <is>
          <t>Status Notes</t>
        </is>
      </c>
      <c r="AG2" s="12" t="inlineStr">
        <is>
          <t>Completion Percentage</t>
        </is>
      </c>
      <c r="AH2" s="12" t="inlineStr">
        <is>
          <t>Blocker Description</t>
        </is>
      </c>
      <c r="AI2" s="12" t="inlineStr">
        <is>
          <t>Verification Required</t>
        </is>
      </c>
      <c r="AJ2" s="12" t="inlineStr">
        <is>
          <t>Verification Method</t>
        </is>
      </c>
      <c r="AK2" s="12" t="inlineStr">
        <is>
          <t>Verified By</t>
        </is>
      </c>
      <c r="AL2" s="12" t="inlineStr">
        <is>
          <t>Verification Date</t>
        </is>
      </c>
      <c r="AM2" s="12" t="inlineStr">
        <is>
          <t>Verification Result</t>
        </is>
      </c>
      <c r="AN2" s="12" t="inlineStr">
        <is>
          <t>Re Test Required</t>
        </is>
      </c>
      <c r="AO2" s="12" t="inlineStr">
        <is>
          <t>Change Request ID</t>
        </is>
      </c>
      <c r="AP2" s="12" t="inlineStr">
        <is>
          <t>Risk Acceptance ID</t>
        </is>
      </c>
      <c r="AQ2" s="12" t="inlineStr">
        <is>
          <t>Evidence Reference</t>
        </is>
      </c>
      <c r="AR2" s="12" t="inlineStr">
        <is>
          <t>Lessons Learned</t>
        </is>
      </c>
      <c r="AS2" s="12" t="inlineStr">
        <is>
          <t>Preventive Action</t>
        </is>
      </c>
      <c r="AT2" s="12" t="inlineStr">
        <is>
          <t>Closure Date</t>
        </is>
      </c>
      <c r="AU2" s="12" t="inlineStr">
        <is>
          <t>Approved By</t>
        </is>
      </c>
      <c r="AV2" s="12" t="inlineStr">
        <is>
          <t>Notes</t>
        </is>
      </c>
    </row>
    <row r="3">
      <c r="A3">
        <f>IF(B3&lt;&gt;"", "REM-"&amp;TEXT(ROW()-2,"000"), "")</f>
        <v/>
      </c>
      <c r="P3" t="inlineStr">
        <is>
          <t>Yes</t>
        </is>
      </c>
      <c r="X3">
        <f>IF(L3="", "", IF(ISNUMBER(SEARCH("Critical",L3)), "Critical", IF(AND(ISNUMBER(SEARCH("High",L3)), ISNUMBER(SEARCH("Critical",F3))), "Critical", IF(ISNUMBER(SEARCH("High",L3)), "High", IF(ISNUMBER(SEARCH("Medium",L3)), "Medium", "Low")))))</f>
        <v/>
      </c>
      <c r="Z3" s="21">
        <f>IF(AND(N3&lt;&gt;"", X3&lt;&gt;""), IF(X3="Critical", N3+3, IF(X3="High", N3+7, IF(X3="Medium", N3+30, N3+90))), "")</f>
        <v/>
      </c>
      <c r="AC3" s="24">
        <f>IF(AND(AA3&lt;&gt;"", AB3&lt;&gt;""), AB3-AA3, "")</f>
        <v/>
      </c>
      <c r="AD3" s="22" t="n"/>
      <c r="AE3" t="inlineStr">
        <is>
          <t>Identified</t>
        </is>
      </c>
      <c r="AG3" s="14" t="n">
        <v>0</v>
      </c>
      <c r="AI3" t="inlineStr">
        <is>
          <t>Yes</t>
        </is>
      </c>
      <c r="AN3" t="inlineStr">
        <is>
          <t>No</t>
        </is>
      </c>
    </row>
    <row r="4">
      <c r="A4">
        <f>IF(B4&lt;&gt;"", "REM-"&amp;TEXT(ROW()-2,"000"), "")</f>
        <v/>
      </c>
      <c r="P4" t="inlineStr">
        <is>
          <t>Yes</t>
        </is>
      </c>
      <c r="X4">
        <f>IF(L4="", "", IF(ISNUMBER(SEARCH("Critical",L4)), "Critical", IF(AND(ISNUMBER(SEARCH("High",L4)), ISNUMBER(SEARCH("Critical",F4))), "Critical", IF(ISNUMBER(SEARCH("High",L4)), "High", IF(ISNUMBER(SEARCH("Medium",L4)), "Medium", "Low")))))</f>
        <v/>
      </c>
      <c r="Z4" s="21">
        <f>IF(AND(N4&lt;&gt;"", X4&lt;&gt;""), IF(X4="Critical", N4+3, IF(X4="High", N4+7, IF(X4="Medium", N4+30, N4+90))), "")</f>
        <v/>
      </c>
      <c r="AC4" s="24">
        <f>IF(AND(AA4&lt;&gt;"", AB4&lt;&gt;""), AB4-AA4, "")</f>
        <v/>
      </c>
      <c r="AD4" s="22" t="n"/>
      <c r="AE4" t="inlineStr">
        <is>
          <t>Identified</t>
        </is>
      </c>
      <c r="AG4" s="14" t="n">
        <v>0</v>
      </c>
      <c r="AI4" t="inlineStr">
        <is>
          <t>Yes</t>
        </is>
      </c>
      <c r="AN4" t="inlineStr">
        <is>
          <t>No</t>
        </is>
      </c>
    </row>
    <row r="5">
      <c r="A5">
        <f>IF(B5&lt;&gt;"", "REM-"&amp;TEXT(ROW()-2,"000"), "")</f>
        <v/>
      </c>
      <c r="P5" t="inlineStr">
        <is>
          <t>Yes</t>
        </is>
      </c>
      <c r="X5">
        <f>IF(L5="", "", IF(ISNUMBER(SEARCH("Critical",L5)), "Critical", IF(AND(ISNUMBER(SEARCH("High",L5)), ISNUMBER(SEARCH("Critical",F5))), "Critical", IF(ISNUMBER(SEARCH("High",L5)), "High", IF(ISNUMBER(SEARCH("Medium",L5)), "Medium", "Low")))))</f>
        <v/>
      </c>
      <c r="Z5" s="21">
        <f>IF(AND(N5&lt;&gt;"", X5&lt;&gt;""), IF(X5="Critical", N5+3, IF(X5="High", N5+7, IF(X5="Medium", N5+30, N5+90))), "")</f>
        <v/>
      </c>
      <c r="AC5" s="24">
        <f>IF(AND(AA5&lt;&gt;"", AB5&lt;&gt;""), AB5-AA5, "")</f>
        <v/>
      </c>
      <c r="AD5" s="22" t="n"/>
      <c r="AE5" t="inlineStr">
        <is>
          <t>Identified</t>
        </is>
      </c>
      <c r="AG5" s="14" t="n">
        <v>0</v>
      </c>
      <c r="AI5" t="inlineStr">
        <is>
          <t>Yes</t>
        </is>
      </c>
      <c r="AN5" t="inlineStr">
        <is>
          <t>No</t>
        </is>
      </c>
    </row>
    <row r="6">
      <c r="A6">
        <f>IF(B6&lt;&gt;"", "REM-"&amp;TEXT(ROW()-2,"000"), "")</f>
        <v/>
      </c>
      <c r="P6" t="inlineStr">
        <is>
          <t>Yes</t>
        </is>
      </c>
      <c r="X6">
        <f>IF(L6="", "", IF(ISNUMBER(SEARCH("Critical",L6)), "Critical", IF(AND(ISNUMBER(SEARCH("High",L6)), ISNUMBER(SEARCH("Critical",F6))), "Critical", IF(ISNUMBER(SEARCH("High",L6)), "High", IF(ISNUMBER(SEARCH("Medium",L6)), "Medium", "Low")))))</f>
        <v/>
      </c>
      <c r="Z6" s="21">
        <f>IF(AND(N6&lt;&gt;"", X6&lt;&gt;""), IF(X6="Critical", N6+3, IF(X6="High", N6+7, IF(X6="Medium", N6+30, N6+90))), "")</f>
        <v/>
      </c>
      <c r="AC6" s="24">
        <f>IF(AND(AA6&lt;&gt;"", AB6&lt;&gt;""), AB6-AA6, "")</f>
        <v/>
      </c>
      <c r="AD6" s="22" t="n"/>
      <c r="AE6" t="inlineStr">
        <is>
          <t>Identified</t>
        </is>
      </c>
      <c r="AG6" s="14" t="n">
        <v>0</v>
      </c>
      <c r="AI6" t="inlineStr">
        <is>
          <t>Yes</t>
        </is>
      </c>
      <c r="AN6" t="inlineStr">
        <is>
          <t>No</t>
        </is>
      </c>
    </row>
    <row r="7">
      <c r="A7">
        <f>IF(B7&lt;&gt;"", "REM-"&amp;TEXT(ROW()-2,"000"), "")</f>
        <v/>
      </c>
      <c r="P7" t="inlineStr">
        <is>
          <t>Yes</t>
        </is>
      </c>
      <c r="X7">
        <f>IF(L7="", "", IF(ISNUMBER(SEARCH("Critical",L7)), "Critical", IF(AND(ISNUMBER(SEARCH("High",L7)), ISNUMBER(SEARCH("Critical",F7))), "Critical", IF(ISNUMBER(SEARCH("High",L7)), "High", IF(ISNUMBER(SEARCH("Medium",L7)), "Medium", "Low")))))</f>
        <v/>
      </c>
      <c r="Z7" s="21">
        <f>IF(AND(N7&lt;&gt;"", X7&lt;&gt;""), IF(X7="Critical", N7+3, IF(X7="High", N7+7, IF(X7="Medium", N7+30, N7+90))), "")</f>
        <v/>
      </c>
      <c r="AC7" s="24">
        <f>IF(AND(AA7&lt;&gt;"", AB7&lt;&gt;""), AB7-AA7, "")</f>
        <v/>
      </c>
      <c r="AD7" s="22" t="n"/>
      <c r="AE7" t="inlineStr">
        <is>
          <t>Identified</t>
        </is>
      </c>
      <c r="AG7" s="14" t="n">
        <v>0</v>
      </c>
      <c r="AI7" t="inlineStr">
        <is>
          <t>Yes</t>
        </is>
      </c>
      <c r="AN7" t="inlineStr">
        <is>
          <t>No</t>
        </is>
      </c>
    </row>
    <row r="8">
      <c r="A8">
        <f>IF(B8&lt;&gt;"", "REM-"&amp;TEXT(ROW()-2,"000"), "")</f>
        <v/>
      </c>
      <c r="P8" t="inlineStr">
        <is>
          <t>Yes</t>
        </is>
      </c>
      <c r="X8">
        <f>IF(L8="", "", IF(ISNUMBER(SEARCH("Critical",L8)), "Critical", IF(AND(ISNUMBER(SEARCH("High",L8)), ISNUMBER(SEARCH("Critical",F8))), "Critical", IF(ISNUMBER(SEARCH("High",L8)), "High", IF(ISNUMBER(SEARCH("Medium",L8)), "Medium", "Low")))))</f>
        <v/>
      </c>
      <c r="Z8" s="21">
        <f>IF(AND(N8&lt;&gt;"", X8&lt;&gt;""), IF(X8="Critical", N8+3, IF(X8="High", N8+7, IF(X8="Medium", N8+30, N8+90))), "")</f>
        <v/>
      </c>
      <c r="AC8" s="24">
        <f>IF(AND(AA8&lt;&gt;"", AB8&lt;&gt;""), AB8-AA8, "")</f>
        <v/>
      </c>
      <c r="AD8" s="22" t="n"/>
      <c r="AE8" t="inlineStr">
        <is>
          <t>Identified</t>
        </is>
      </c>
      <c r="AG8" s="14" t="n">
        <v>0</v>
      </c>
      <c r="AI8" t="inlineStr">
        <is>
          <t>Yes</t>
        </is>
      </c>
      <c r="AN8" t="inlineStr">
        <is>
          <t>No</t>
        </is>
      </c>
    </row>
    <row r="9">
      <c r="A9">
        <f>IF(B9&lt;&gt;"", "REM-"&amp;TEXT(ROW()-2,"000"), "")</f>
        <v/>
      </c>
      <c r="P9" t="inlineStr">
        <is>
          <t>Yes</t>
        </is>
      </c>
      <c r="X9">
        <f>IF(L9="", "", IF(ISNUMBER(SEARCH("Critical",L9)), "Critical", IF(AND(ISNUMBER(SEARCH("High",L9)), ISNUMBER(SEARCH("Critical",F9))), "Critical", IF(ISNUMBER(SEARCH("High",L9)), "High", IF(ISNUMBER(SEARCH("Medium",L9)), "Medium", "Low")))))</f>
        <v/>
      </c>
      <c r="Z9" s="21">
        <f>IF(AND(N9&lt;&gt;"", X9&lt;&gt;""), IF(X9="Critical", N9+3, IF(X9="High", N9+7, IF(X9="Medium", N9+30, N9+90))), "")</f>
        <v/>
      </c>
      <c r="AC9" s="24">
        <f>IF(AND(AA9&lt;&gt;"", AB9&lt;&gt;""), AB9-AA9, "")</f>
        <v/>
      </c>
      <c r="AD9" s="22" t="n"/>
      <c r="AE9" t="inlineStr">
        <is>
          <t>Identified</t>
        </is>
      </c>
      <c r="AG9" s="14" t="n">
        <v>0</v>
      </c>
      <c r="AI9" t="inlineStr">
        <is>
          <t>Yes</t>
        </is>
      </c>
      <c r="AN9" t="inlineStr">
        <is>
          <t>No</t>
        </is>
      </c>
    </row>
    <row r="10">
      <c r="A10">
        <f>IF(B10&lt;&gt;"", "REM-"&amp;TEXT(ROW()-2,"000"), "")</f>
        <v/>
      </c>
      <c r="P10" t="inlineStr">
        <is>
          <t>Yes</t>
        </is>
      </c>
      <c r="X10">
        <f>IF(L10="", "", IF(ISNUMBER(SEARCH("Critical",L10)), "Critical", IF(AND(ISNUMBER(SEARCH("High",L10)), ISNUMBER(SEARCH("Critical",F10))), "Critical", IF(ISNUMBER(SEARCH("High",L10)), "High", IF(ISNUMBER(SEARCH("Medium",L10)), "Medium", "Low")))))</f>
        <v/>
      </c>
      <c r="Z10" s="21">
        <f>IF(AND(N10&lt;&gt;"", X10&lt;&gt;""), IF(X10="Critical", N10+3, IF(X10="High", N10+7, IF(X10="Medium", N10+30, N10+90))), "")</f>
        <v/>
      </c>
      <c r="AC10" s="24">
        <f>IF(AND(AA10&lt;&gt;"", AB10&lt;&gt;""), AB10-AA10, "")</f>
        <v/>
      </c>
      <c r="AD10" s="22" t="n"/>
      <c r="AE10" t="inlineStr">
        <is>
          <t>Identified</t>
        </is>
      </c>
      <c r="AG10" s="14" t="n">
        <v>0</v>
      </c>
      <c r="AI10" t="inlineStr">
        <is>
          <t>Yes</t>
        </is>
      </c>
      <c r="AN10" t="inlineStr">
        <is>
          <t>No</t>
        </is>
      </c>
    </row>
    <row r="11">
      <c r="A11">
        <f>IF(B11&lt;&gt;"", "REM-"&amp;TEXT(ROW()-2,"000"), "")</f>
        <v/>
      </c>
      <c r="P11" t="inlineStr">
        <is>
          <t>Yes</t>
        </is>
      </c>
      <c r="X11">
        <f>IF(L11="", "", IF(ISNUMBER(SEARCH("Critical",L11)), "Critical", IF(AND(ISNUMBER(SEARCH("High",L11)), ISNUMBER(SEARCH("Critical",F11))), "Critical", IF(ISNUMBER(SEARCH("High",L11)), "High", IF(ISNUMBER(SEARCH("Medium",L11)), "Medium", "Low")))))</f>
        <v/>
      </c>
      <c r="Z11" s="21">
        <f>IF(AND(N11&lt;&gt;"", X11&lt;&gt;""), IF(X11="Critical", N11+3, IF(X11="High", N11+7, IF(X11="Medium", N11+30, N11+90))), "")</f>
        <v/>
      </c>
      <c r="AC11" s="24">
        <f>IF(AND(AA11&lt;&gt;"", AB11&lt;&gt;""), AB11-AA11, "")</f>
        <v/>
      </c>
      <c r="AD11" s="22" t="n"/>
      <c r="AE11" t="inlineStr">
        <is>
          <t>Identified</t>
        </is>
      </c>
      <c r="AG11" s="14" t="n">
        <v>0</v>
      </c>
      <c r="AI11" t="inlineStr">
        <is>
          <t>Yes</t>
        </is>
      </c>
      <c r="AN11" t="inlineStr">
        <is>
          <t>No</t>
        </is>
      </c>
    </row>
    <row r="12">
      <c r="A12">
        <f>IF(B12&lt;&gt;"", "REM-"&amp;TEXT(ROW()-2,"000"), "")</f>
        <v/>
      </c>
      <c r="P12" t="inlineStr">
        <is>
          <t>Yes</t>
        </is>
      </c>
      <c r="X12">
        <f>IF(L12="", "", IF(ISNUMBER(SEARCH("Critical",L12)), "Critical", IF(AND(ISNUMBER(SEARCH("High",L12)), ISNUMBER(SEARCH("Critical",F12))), "Critical", IF(ISNUMBER(SEARCH("High",L12)), "High", IF(ISNUMBER(SEARCH("Medium",L12)), "Medium", "Low")))))</f>
        <v/>
      </c>
      <c r="Z12" s="21">
        <f>IF(AND(N12&lt;&gt;"", X12&lt;&gt;""), IF(X12="Critical", N12+3, IF(X12="High", N12+7, IF(X12="Medium", N12+30, N12+90))), "")</f>
        <v/>
      </c>
      <c r="AC12" s="24">
        <f>IF(AND(AA12&lt;&gt;"", AB12&lt;&gt;""), AB12-AA12, "")</f>
        <v/>
      </c>
      <c r="AD12" s="22" t="n"/>
      <c r="AE12" t="inlineStr">
        <is>
          <t>Identified</t>
        </is>
      </c>
      <c r="AG12" s="14" t="n">
        <v>0</v>
      </c>
      <c r="AI12" t="inlineStr">
        <is>
          <t>Yes</t>
        </is>
      </c>
      <c r="AN12" t="inlineStr">
        <is>
          <t>No</t>
        </is>
      </c>
    </row>
    <row r="13">
      <c r="A13">
        <f>IF(B13&lt;&gt;"", "REM-"&amp;TEXT(ROW()-2,"000"), "")</f>
        <v/>
      </c>
      <c r="P13" t="inlineStr">
        <is>
          <t>Yes</t>
        </is>
      </c>
      <c r="X13">
        <f>IF(L13="", "", IF(ISNUMBER(SEARCH("Critical",L13)), "Critical", IF(AND(ISNUMBER(SEARCH("High",L13)), ISNUMBER(SEARCH("Critical",F13))), "Critical", IF(ISNUMBER(SEARCH("High",L13)), "High", IF(ISNUMBER(SEARCH("Medium",L13)), "Medium", "Low")))))</f>
        <v/>
      </c>
      <c r="Z13" s="21">
        <f>IF(AND(N13&lt;&gt;"", X13&lt;&gt;""), IF(X13="Critical", N13+3, IF(X13="High", N13+7, IF(X13="Medium", N13+30, N13+90))), "")</f>
        <v/>
      </c>
      <c r="AC13" s="24">
        <f>IF(AND(AA13&lt;&gt;"", AB13&lt;&gt;""), AB13-AA13, "")</f>
        <v/>
      </c>
      <c r="AD13" s="22" t="n"/>
      <c r="AE13" t="inlineStr">
        <is>
          <t>Identified</t>
        </is>
      </c>
      <c r="AG13" s="14" t="n">
        <v>0</v>
      </c>
      <c r="AI13" t="inlineStr">
        <is>
          <t>Yes</t>
        </is>
      </c>
      <c r="AN13" t="inlineStr">
        <is>
          <t>No</t>
        </is>
      </c>
    </row>
    <row r="14">
      <c r="A14">
        <f>IF(B14&lt;&gt;"", "REM-"&amp;TEXT(ROW()-2,"000"), "")</f>
        <v/>
      </c>
      <c r="P14" t="inlineStr">
        <is>
          <t>Yes</t>
        </is>
      </c>
      <c r="X14">
        <f>IF(L14="", "", IF(ISNUMBER(SEARCH("Critical",L14)), "Critical", IF(AND(ISNUMBER(SEARCH("High",L14)), ISNUMBER(SEARCH("Critical",F14))), "Critical", IF(ISNUMBER(SEARCH("High",L14)), "High", IF(ISNUMBER(SEARCH("Medium",L14)), "Medium", "Low")))))</f>
        <v/>
      </c>
      <c r="Z14" s="21">
        <f>IF(AND(N14&lt;&gt;"", X14&lt;&gt;""), IF(X14="Critical", N14+3, IF(X14="High", N14+7, IF(X14="Medium", N14+30, N14+90))), "")</f>
        <v/>
      </c>
      <c r="AC14" s="24">
        <f>IF(AND(AA14&lt;&gt;"", AB14&lt;&gt;""), AB14-AA14, "")</f>
        <v/>
      </c>
      <c r="AD14" s="22" t="n"/>
      <c r="AE14" t="inlineStr">
        <is>
          <t>Identified</t>
        </is>
      </c>
      <c r="AG14" s="14" t="n">
        <v>0</v>
      </c>
      <c r="AI14" t="inlineStr">
        <is>
          <t>Yes</t>
        </is>
      </c>
      <c r="AN14" t="inlineStr">
        <is>
          <t>No</t>
        </is>
      </c>
    </row>
    <row r="15">
      <c r="A15">
        <f>IF(B15&lt;&gt;"", "REM-"&amp;TEXT(ROW()-2,"000"), "")</f>
        <v/>
      </c>
      <c r="P15" t="inlineStr">
        <is>
          <t>Yes</t>
        </is>
      </c>
      <c r="X15">
        <f>IF(L15="", "", IF(ISNUMBER(SEARCH("Critical",L15)), "Critical", IF(AND(ISNUMBER(SEARCH("High",L15)), ISNUMBER(SEARCH("Critical",F15))), "Critical", IF(ISNUMBER(SEARCH("High",L15)), "High", IF(ISNUMBER(SEARCH("Medium",L15)), "Medium", "Low")))))</f>
        <v/>
      </c>
      <c r="Z15" s="21">
        <f>IF(AND(N15&lt;&gt;"", X15&lt;&gt;""), IF(X15="Critical", N15+3, IF(X15="High", N15+7, IF(X15="Medium", N15+30, N15+90))), "")</f>
        <v/>
      </c>
      <c r="AC15" s="24">
        <f>IF(AND(AA15&lt;&gt;"", AB15&lt;&gt;""), AB15-AA15, "")</f>
        <v/>
      </c>
      <c r="AD15" s="22" t="n"/>
      <c r="AE15" t="inlineStr">
        <is>
          <t>Identified</t>
        </is>
      </c>
      <c r="AG15" s="14" t="n">
        <v>0</v>
      </c>
      <c r="AI15" t="inlineStr">
        <is>
          <t>Yes</t>
        </is>
      </c>
      <c r="AN15" t="inlineStr">
        <is>
          <t>No</t>
        </is>
      </c>
    </row>
    <row r="16">
      <c r="A16">
        <f>IF(B16&lt;&gt;"", "REM-"&amp;TEXT(ROW()-2,"000"), "")</f>
        <v/>
      </c>
      <c r="P16" t="inlineStr">
        <is>
          <t>Yes</t>
        </is>
      </c>
      <c r="X16">
        <f>IF(L16="", "", IF(ISNUMBER(SEARCH("Critical",L16)), "Critical", IF(AND(ISNUMBER(SEARCH("High",L16)), ISNUMBER(SEARCH("Critical",F16))), "Critical", IF(ISNUMBER(SEARCH("High",L16)), "High", IF(ISNUMBER(SEARCH("Medium",L16)), "Medium", "Low")))))</f>
        <v/>
      </c>
      <c r="Z16" s="21">
        <f>IF(AND(N16&lt;&gt;"", X16&lt;&gt;""), IF(X16="Critical", N16+3, IF(X16="High", N16+7, IF(X16="Medium", N16+30, N16+90))), "")</f>
        <v/>
      </c>
      <c r="AC16" s="24">
        <f>IF(AND(AA16&lt;&gt;"", AB16&lt;&gt;""), AB16-AA16, "")</f>
        <v/>
      </c>
      <c r="AD16" s="22" t="n"/>
      <c r="AE16" t="inlineStr">
        <is>
          <t>Identified</t>
        </is>
      </c>
      <c r="AG16" s="14" t="n">
        <v>0</v>
      </c>
      <c r="AI16" t="inlineStr">
        <is>
          <t>Yes</t>
        </is>
      </c>
      <c r="AN16" t="inlineStr">
        <is>
          <t>No</t>
        </is>
      </c>
    </row>
    <row r="17">
      <c r="A17">
        <f>IF(B17&lt;&gt;"", "REM-"&amp;TEXT(ROW()-2,"000"), "")</f>
        <v/>
      </c>
      <c r="P17" t="inlineStr">
        <is>
          <t>Yes</t>
        </is>
      </c>
      <c r="X17">
        <f>IF(L17="", "", IF(ISNUMBER(SEARCH("Critical",L17)), "Critical", IF(AND(ISNUMBER(SEARCH("High",L17)), ISNUMBER(SEARCH("Critical",F17))), "Critical", IF(ISNUMBER(SEARCH("High",L17)), "High", IF(ISNUMBER(SEARCH("Medium",L17)), "Medium", "Low")))))</f>
        <v/>
      </c>
      <c r="Z17" s="21">
        <f>IF(AND(N17&lt;&gt;"", X17&lt;&gt;""), IF(X17="Critical", N17+3, IF(X17="High", N17+7, IF(X17="Medium", N17+30, N17+90))), "")</f>
        <v/>
      </c>
      <c r="AC17" s="24">
        <f>IF(AND(AA17&lt;&gt;"", AB17&lt;&gt;""), AB17-AA17, "")</f>
        <v/>
      </c>
      <c r="AD17" s="22" t="n"/>
      <c r="AE17" t="inlineStr">
        <is>
          <t>Identified</t>
        </is>
      </c>
      <c r="AG17" s="14" t="n">
        <v>0</v>
      </c>
      <c r="AI17" t="inlineStr">
        <is>
          <t>Yes</t>
        </is>
      </c>
      <c r="AN17" t="inlineStr">
        <is>
          <t>No</t>
        </is>
      </c>
    </row>
    <row r="18">
      <c r="A18">
        <f>IF(B18&lt;&gt;"", "REM-"&amp;TEXT(ROW()-2,"000"), "")</f>
        <v/>
      </c>
      <c r="P18" t="inlineStr">
        <is>
          <t>Yes</t>
        </is>
      </c>
      <c r="X18">
        <f>IF(L18="", "", IF(ISNUMBER(SEARCH("Critical",L18)), "Critical", IF(AND(ISNUMBER(SEARCH("High",L18)), ISNUMBER(SEARCH("Critical",F18))), "Critical", IF(ISNUMBER(SEARCH("High",L18)), "High", IF(ISNUMBER(SEARCH("Medium",L18)), "Medium", "Low")))))</f>
        <v/>
      </c>
      <c r="Z18" s="21">
        <f>IF(AND(N18&lt;&gt;"", X18&lt;&gt;""), IF(X18="Critical", N18+3, IF(X18="High", N18+7, IF(X18="Medium", N18+30, N18+90))), "")</f>
        <v/>
      </c>
      <c r="AC18" s="24">
        <f>IF(AND(AA18&lt;&gt;"", AB18&lt;&gt;""), AB18-AA18, "")</f>
        <v/>
      </c>
      <c r="AD18" s="22" t="n"/>
      <c r="AE18" t="inlineStr">
        <is>
          <t>Identified</t>
        </is>
      </c>
      <c r="AG18" s="14" t="n">
        <v>0</v>
      </c>
      <c r="AI18" t="inlineStr">
        <is>
          <t>Yes</t>
        </is>
      </c>
      <c r="AN18" t="inlineStr">
        <is>
          <t>No</t>
        </is>
      </c>
    </row>
    <row r="19">
      <c r="A19">
        <f>IF(B19&lt;&gt;"", "REM-"&amp;TEXT(ROW()-2,"000"), "")</f>
        <v/>
      </c>
      <c r="P19" t="inlineStr">
        <is>
          <t>Yes</t>
        </is>
      </c>
      <c r="X19">
        <f>IF(L19="", "", IF(ISNUMBER(SEARCH("Critical",L19)), "Critical", IF(AND(ISNUMBER(SEARCH("High",L19)), ISNUMBER(SEARCH("Critical",F19))), "Critical", IF(ISNUMBER(SEARCH("High",L19)), "High", IF(ISNUMBER(SEARCH("Medium",L19)), "Medium", "Low")))))</f>
        <v/>
      </c>
      <c r="Z19" s="21">
        <f>IF(AND(N19&lt;&gt;"", X19&lt;&gt;""), IF(X19="Critical", N19+3, IF(X19="High", N19+7, IF(X19="Medium", N19+30, N19+90))), "")</f>
        <v/>
      </c>
      <c r="AC19" s="24">
        <f>IF(AND(AA19&lt;&gt;"", AB19&lt;&gt;""), AB19-AA19, "")</f>
        <v/>
      </c>
      <c r="AD19" s="22" t="n"/>
      <c r="AE19" t="inlineStr">
        <is>
          <t>Identified</t>
        </is>
      </c>
      <c r="AG19" s="14" t="n">
        <v>0</v>
      </c>
      <c r="AI19" t="inlineStr">
        <is>
          <t>Yes</t>
        </is>
      </c>
      <c r="AN19" t="inlineStr">
        <is>
          <t>No</t>
        </is>
      </c>
    </row>
    <row r="20">
      <c r="A20">
        <f>IF(B20&lt;&gt;"", "REM-"&amp;TEXT(ROW()-2,"000"), "")</f>
        <v/>
      </c>
      <c r="P20" t="inlineStr">
        <is>
          <t>Yes</t>
        </is>
      </c>
      <c r="X20">
        <f>IF(L20="", "", IF(ISNUMBER(SEARCH("Critical",L20)), "Critical", IF(AND(ISNUMBER(SEARCH("High",L20)), ISNUMBER(SEARCH("Critical",F20))), "Critical", IF(ISNUMBER(SEARCH("High",L20)), "High", IF(ISNUMBER(SEARCH("Medium",L20)), "Medium", "Low")))))</f>
        <v/>
      </c>
      <c r="Z20" s="21">
        <f>IF(AND(N20&lt;&gt;"", X20&lt;&gt;""), IF(X20="Critical", N20+3, IF(X20="High", N20+7, IF(X20="Medium", N20+30, N20+90))), "")</f>
        <v/>
      </c>
      <c r="AC20" s="24">
        <f>IF(AND(AA20&lt;&gt;"", AB20&lt;&gt;""), AB20-AA20, "")</f>
        <v/>
      </c>
      <c r="AD20" s="22" t="n"/>
      <c r="AE20" t="inlineStr">
        <is>
          <t>Identified</t>
        </is>
      </c>
      <c r="AG20" s="14" t="n">
        <v>0</v>
      </c>
      <c r="AI20" t="inlineStr">
        <is>
          <t>Yes</t>
        </is>
      </c>
      <c r="AN20" t="inlineStr">
        <is>
          <t>No</t>
        </is>
      </c>
    </row>
    <row r="21">
      <c r="A21">
        <f>IF(B21&lt;&gt;"", "REM-"&amp;TEXT(ROW()-2,"000"), "")</f>
        <v/>
      </c>
      <c r="P21" t="inlineStr">
        <is>
          <t>Yes</t>
        </is>
      </c>
      <c r="X21">
        <f>IF(L21="", "", IF(ISNUMBER(SEARCH("Critical",L21)), "Critical", IF(AND(ISNUMBER(SEARCH("High",L21)), ISNUMBER(SEARCH("Critical",F21))), "Critical", IF(ISNUMBER(SEARCH("High",L21)), "High", IF(ISNUMBER(SEARCH("Medium",L21)), "Medium", "Low")))))</f>
        <v/>
      </c>
      <c r="Z21" s="21">
        <f>IF(AND(N21&lt;&gt;"", X21&lt;&gt;""), IF(X21="Critical", N21+3, IF(X21="High", N21+7, IF(X21="Medium", N21+30, N21+90))), "")</f>
        <v/>
      </c>
      <c r="AC21" s="24">
        <f>IF(AND(AA21&lt;&gt;"", AB21&lt;&gt;""), AB21-AA21, "")</f>
        <v/>
      </c>
      <c r="AD21" s="22" t="n"/>
      <c r="AE21" t="inlineStr">
        <is>
          <t>Identified</t>
        </is>
      </c>
      <c r="AG21" s="14" t="n">
        <v>0</v>
      </c>
      <c r="AI21" t="inlineStr">
        <is>
          <t>Yes</t>
        </is>
      </c>
      <c r="AN21" t="inlineStr">
        <is>
          <t>No</t>
        </is>
      </c>
    </row>
    <row r="22">
      <c r="A22">
        <f>IF(B22&lt;&gt;"", "REM-"&amp;TEXT(ROW()-2,"000"), "")</f>
        <v/>
      </c>
      <c r="P22" t="inlineStr">
        <is>
          <t>Yes</t>
        </is>
      </c>
      <c r="X22">
        <f>IF(L22="", "", IF(ISNUMBER(SEARCH("Critical",L22)), "Critical", IF(AND(ISNUMBER(SEARCH("High",L22)), ISNUMBER(SEARCH("Critical",F22))), "Critical", IF(ISNUMBER(SEARCH("High",L22)), "High", IF(ISNUMBER(SEARCH("Medium",L22)), "Medium", "Low")))))</f>
        <v/>
      </c>
      <c r="Z22" s="21">
        <f>IF(AND(N22&lt;&gt;"", X22&lt;&gt;""), IF(X22="Critical", N22+3, IF(X22="High", N22+7, IF(X22="Medium", N22+30, N22+90))), "")</f>
        <v/>
      </c>
      <c r="AC22" s="24">
        <f>IF(AND(AA22&lt;&gt;"", AB22&lt;&gt;""), AB22-AA22, "")</f>
        <v/>
      </c>
      <c r="AD22" s="22" t="n"/>
      <c r="AE22" t="inlineStr">
        <is>
          <t>Identified</t>
        </is>
      </c>
      <c r="AG22" s="14" t="n">
        <v>0</v>
      </c>
      <c r="AI22" t="inlineStr">
        <is>
          <t>Yes</t>
        </is>
      </c>
      <c r="AN22" t="inlineStr">
        <is>
          <t>No</t>
        </is>
      </c>
    </row>
    <row r="23">
      <c r="A23">
        <f>IF(B23&lt;&gt;"", "REM-"&amp;TEXT(ROW()-2,"000"), "")</f>
        <v/>
      </c>
      <c r="P23" t="inlineStr">
        <is>
          <t>Yes</t>
        </is>
      </c>
      <c r="X23">
        <f>IF(L23="", "", IF(ISNUMBER(SEARCH("Critical",L23)), "Critical", IF(AND(ISNUMBER(SEARCH("High",L23)), ISNUMBER(SEARCH("Critical",F23))), "Critical", IF(ISNUMBER(SEARCH("High",L23)), "High", IF(ISNUMBER(SEARCH("Medium",L23)), "Medium", "Low")))))</f>
        <v/>
      </c>
      <c r="Z23" s="21">
        <f>IF(AND(N23&lt;&gt;"", X23&lt;&gt;""), IF(X23="Critical", N23+3, IF(X23="High", N23+7, IF(X23="Medium", N23+30, N23+90))), "")</f>
        <v/>
      </c>
      <c r="AC23" s="24">
        <f>IF(AND(AA23&lt;&gt;"", AB23&lt;&gt;""), AB23-AA23, "")</f>
        <v/>
      </c>
      <c r="AD23" s="22" t="n"/>
      <c r="AE23" t="inlineStr">
        <is>
          <t>Identified</t>
        </is>
      </c>
      <c r="AG23" s="14" t="n">
        <v>0</v>
      </c>
      <c r="AI23" t="inlineStr">
        <is>
          <t>Yes</t>
        </is>
      </c>
      <c r="AN23" t="inlineStr">
        <is>
          <t>No</t>
        </is>
      </c>
    </row>
    <row r="24">
      <c r="A24">
        <f>IF(B24&lt;&gt;"", "REM-"&amp;TEXT(ROW()-2,"000"), "")</f>
        <v/>
      </c>
      <c r="P24" t="inlineStr">
        <is>
          <t>Yes</t>
        </is>
      </c>
      <c r="X24">
        <f>IF(L24="", "", IF(ISNUMBER(SEARCH("Critical",L24)), "Critical", IF(AND(ISNUMBER(SEARCH("High",L24)), ISNUMBER(SEARCH("Critical",F24))), "Critical", IF(ISNUMBER(SEARCH("High",L24)), "High", IF(ISNUMBER(SEARCH("Medium",L24)), "Medium", "Low")))))</f>
        <v/>
      </c>
      <c r="Z24" s="21">
        <f>IF(AND(N24&lt;&gt;"", X24&lt;&gt;""), IF(X24="Critical", N24+3, IF(X24="High", N24+7, IF(X24="Medium", N24+30, N24+90))), "")</f>
        <v/>
      </c>
      <c r="AC24" s="24">
        <f>IF(AND(AA24&lt;&gt;"", AB24&lt;&gt;""), AB24-AA24, "")</f>
        <v/>
      </c>
      <c r="AD24" s="22" t="n"/>
      <c r="AE24" t="inlineStr">
        <is>
          <t>Identified</t>
        </is>
      </c>
      <c r="AG24" s="14" t="n">
        <v>0</v>
      </c>
      <c r="AI24" t="inlineStr">
        <is>
          <t>Yes</t>
        </is>
      </c>
      <c r="AN24" t="inlineStr">
        <is>
          <t>No</t>
        </is>
      </c>
    </row>
    <row r="25">
      <c r="A25">
        <f>IF(B25&lt;&gt;"", "REM-"&amp;TEXT(ROW()-2,"000"), "")</f>
        <v/>
      </c>
      <c r="P25" t="inlineStr">
        <is>
          <t>Yes</t>
        </is>
      </c>
      <c r="X25">
        <f>IF(L25="", "", IF(ISNUMBER(SEARCH("Critical",L25)), "Critical", IF(AND(ISNUMBER(SEARCH("High",L25)), ISNUMBER(SEARCH("Critical",F25))), "Critical", IF(ISNUMBER(SEARCH("High",L25)), "High", IF(ISNUMBER(SEARCH("Medium",L25)), "Medium", "Low")))))</f>
        <v/>
      </c>
      <c r="Z25" s="21">
        <f>IF(AND(N25&lt;&gt;"", X25&lt;&gt;""), IF(X25="Critical", N25+3, IF(X25="High", N25+7, IF(X25="Medium", N25+30, N25+90))), "")</f>
        <v/>
      </c>
      <c r="AC25" s="24">
        <f>IF(AND(AA25&lt;&gt;"", AB25&lt;&gt;""), AB25-AA25, "")</f>
        <v/>
      </c>
      <c r="AD25" s="22" t="n"/>
      <c r="AE25" t="inlineStr">
        <is>
          <t>Identified</t>
        </is>
      </c>
      <c r="AG25" s="14" t="n">
        <v>0</v>
      </c>
      <c r="AI25" t="inlineStr">
        <is>
          <t>Yes</t>
        </is>
      </c>
      <c r="AN25" t="inlineStr">
        <is>
          <t>No</t>
        </is>
      </c>
    </row>
    <row r="26">
      <c r="A26">
        <f>IF(B26&lt;&gt;"", "REM-"&amp;TEXT(ROW()-2,"000"), "")</f>
        <v/>
      </c>
      <c r="P26" t="inlineStr">
        <is>
          <t>Yes</t>
        </is>
      </c>
      <c r="X26">
        <f>IF(L26="", "", IF(ISNUMBER(SEARCH("Critical",L26)), "Critical", IF(AND(ISNUMBER(SEARCH("High",L26)), ISNUMBER(SEARCH("Critical",F26))), "Critical", IF(ISNUMBER(SEARCH("High",L26)), "High", IF(ISNUMBER(SEARCH("Medium",L26)), "Medium", "Low")))))</f>
        <v/>
      </c>
      <c r="Z26" s="21">
        <f>IF(AND(N26&lt;&gt;"", X26&lt;&gt;""), IF(X26="Critical", N26+3, IF(X26="High", N26+7, IF(X26="Medium", N26+30, N26+90))), "")</f>
        <v/>
      </c>
      <c r="AC26" s="24">
        <f>IF(AND(AA26&lt;&gt;"", AB26&lt;&gt;""), AB26-AA26, "")</f>
        <v/>
      </c>
      <c r="AD26" s="22" t="n"/>
      <c r="AE26" t="inlineStr">
        <is>
          <t>Identified</t>
        </is>
      </c>
      <c r="AG26" s="14" t="n">
        <v>0</v>
      </c>
      <c r="AI26" t="inlineStr">
        <is>
          <t>Yes</t>
        </is>
      </c>
      <c r="AN26" t="inlineStr">
        <is>
          <t>No</t>
        </is>
      </c>
    </row>
    <row r="27">
      <c r="A27">
        <f>IF(B27&lt;&gt;"", "REM-"&amp;TEXT(ROW()-2,"000"), "")</f>
        <v/>
      </c>
      <c r="P27" t="inlineStr">
        <is>
          <t>Yes</t>
        </is>
      </c>
      <c r="X27">
        <f>IF(L27="", "", IF(ISNUMBER(SEARCH("Critical",L27)), "Critical", IF(AND(ISNUMBER(SEARCH("High",L27)), ISNUMBER(SEARCH("Critical",F27))), "Critical", IF(ISNUMBER(SEARCH("High",L27)), "High", IF(ISNUMBER(SEARCH("Medium",L27)), "Medium", "Low")))))</f>
        <v/>
      </c>
      <c r="Z27" s="21">
        <f>IF(AND(N27&lt;&gt;"", X27&lt;&gt;""), IF(X27="Critical", N27+3, IF(X27="High", N27+7, IF(X27="Medium", N27+30, N27+90))), "")</f>
        <v/>
      </c>
      <c r="AC27" s="24">
        <f>IF(AND(AA27&lt;&gt;"", AB27&lt;&gt;""), AB27-AA27, "")</f>
        <v/>
      </c>
      <c r="AD27" s="22" t="n"/>
      <c r="AE27" t="inlineStr">
        <is>
          <t>Identified</t>
        </is>
      </c>
      <c r="AG27" s="14" t="n">
        <v>0</v>
      </c>
      <c r="AI27" t="inlineStr">
        <is>
          <t>Yes</t>
        </is>
      </c>
      <c r="AN27" t="inlineStr">
        <is>
          <t>No</t>
        </is>
      </c>
    </row>
    <row r="28">
      <c r="A28">
        <f>IF(B28&lt;&gt;"", "REM-"&amp;TEXT(ROW()-2,"000"), "")</f>
        <v/>
      </c>
      <c r="P28" t="inlineStr">
        <is>
          <t>Yes</t>
        </is>
      </c>
      <c r="X28">
        <f>IF(L28="", "", IF(ISNUMBER(SEARCH("Critical",L28)), "Critical", IF(AND(ISNUMBER(SEARCH("High",L28)), ISNUMBER(SEARCH("Critical",F28))), "Critical", IF(ISNUMBER(SEARCH("High",L28)), "High", IF(ISNUMBER(SEARCH("Medium",L28)), "Medium", "Low")))))</f>
        <v/>
      </c>
      <c r="Z28" s="21">
        <f>IF(AND(N28&lt;&gt;"", X28&lt;&gt;""), IF(X28="Critical", N28+3, IF(X28="High", N28+7, IF(X28="Medium", N28+30, N28+90))), "")</f>
        <v/>
      </c>
      <c r="AC28" s="24">
        <f>IF(AND(AA28&lt;&gt;"", AB28&lt;&gt;""), AB28-AA28, "")</f>
        <v/>
      </c>
      <c r="AD28" s="22" t="n"/>
      <c r="AE28" t="inlineStr">
        <is>
          <t>Identified</t>
        </is>
      </c>
      <c r="AG28" s="14" t="n">
        <v>0</v>
      </c>
      <c r="AI28" t="inlineStr">
        <is>
          <t>Yes</t>
        </is>
      </c>
      <c r="AN28" t="inlineStr">
        <is>
          <t>No</t>
        </is>
      </c>
    </row>
    <row r="29">
      <c r="A29">
        <f>IF(B29&lt;&gt;"", "REM-"&amp;TEXT(ROW()-2,"000"), "")</f>
        <v/>
      </c>
      <c r="P29" t="inlineStr">
        <is>
          <t>Yes</t>
        </is>
      </c>
      <c r="X29">
        <f>IF(L29="", "", IF(ISNUMBER(SEARCH("Critical",L29)), "Critical", IF(AND(ISNUMBER(SEARCH("High",L29)), ISNUMBER(SEARCH("Critical",F29))), "Critical", IF(ISNUMBER(SEARCH("High",L29)), "High", IF(ISNUMBER(SEARCH("Medium",L29)), "Medium", "Low")))))</f>
        <v/>
      </c>
      <c r="Z29" s="21">
        <f>IF(AND(N29&lt;&gt;"", X29&lt;&gt;""), IF(X29="Critical", N29+3, IF(X29="High", N29+7, IF(X29="Medium", N29+30, N29+90))), "")</f>
        <v/>
      </c>
      <c r="AC29" s="24">
        <f>IF(AND(AA29&lt;&gt;"", AB29&lt;&gt;""), AB29-AA29, "")</f>
        <v/>
      </c>
      <c r="AD29" s="22" t="n"/>
      <c r="AE29" t="inlineStr">
        <is>
          <t>Identified</t>
        </is>
      </c>
      <c r="AG29" s="14" t="n">
        <v>0</v>
      </c>
      <c r="AI29" t="inlineStr">
        <is>
          <t>Yes</t>
        </is>
      </c>
      <c r="AN29" t="inlineStr">
        <is>
          <t>No</t>
        </is>
      </c>
    </row>
    <row r="30">
      <c r="A30">
        <f>IF(B30&lt;&gt;"", "REM-"&amp;TEXT(ROW()-2,"000"), "")</f>
        <v/>
      </c>
      <c r="P30" t="inlineStr">
        <is>
          <t>Yes</t>
        </is>
      </c>
      <c r="X30">
        <f>IF(L30="", "", IF(ISNUMBER(SEARCH("Critical",L30)), "Critical", IF(AND(ISNUMBER(SEARCH("High",L30)), ISNUMBER(SEARCH("Critical",F30))), "Critical", IF(ISNUMBER(SEARCH("High",L30)), "High", IF(ISNUMBER(SEARCH("Medium",L30)), "Medium", "Low")))))</f>
        <v/>
      </c>
      <c r="Z30" s="21">
        <f>IF(AND(N30&lt;&gt;"", X30&lt;&gt;""), IF(X30="Critical", N30+3, IF(X30="High", N30+7, IF(X30="Medium", N30+30, N30+90))), "")</f>
        <v/>
      </c>
      <c r="AC30" s="24">
        <f>IF(AND(AA30&lt;&gt;"", AB30&lt;&gt;""), AB30-AA30, "")</f>
        <v/>
      </c>
      <c r="AD30" s="22" t="n"/>
      <c r="AE30" t="inlineStr">
        <is>
          <t>Identified</t>
        </is>
      </c>
      <c r="AG30" s="14" t="n">
        <v>0</v>
      </c>
      <c r="AI30" t="inlineStr">
        <is>
          <t>Yes</t>
        </is>
      </c>
      <c r="AN30" t="inlineStr">
        <is>
          <t>No</t>
        </is>
      </c>
    </row>
    <row r="31">
      <c r="A31">
        <f>IF(B31&lt;&gt;"", "REM-"&amp;TEXT(ROW()-2,"000"), "")</f>
        <v/>
      </c>
      <c r="P31" t="inlineStr">
        <is>
          <t>Yes</t>
        </is>
      </c>
      <c r="X31">
        <f>IF(L31="", "", IF(ISNUMBER(SEARCH("Critical",L31)), "Critical", IF(AND(ISNUMBER(SEARCH("High",L31)), ISNUMBER(SEARCH("Critical",F31))), "Critical", IF(ISNUMBER(SEARCH("High",L31)), "High", IF(ISNUMBER(SEARCH("Medium",L31)), "Medium", "Low")))))</f>
        <v/>
      </c>
      <c r="Z31" s="21">
        <f>IF(AND(N31&lt;&gt;"", X31&lt;&gt;""), IF(X31="Critical", N31+3, IF(X31="High", N31+7, IF(X31="Medium", N31+30, N31+90))), "")</f>
        <v/>
      </c>
      <c r="AC31" s="24">
        <f>IF(AND(AA31&lt;&gt;"", AB31&lt;&gt;""), AB31-AA31, "")</f>
        <v/>
      </c>
      <c r="AD31" s="22" t="n"/>
      <c r="AE31" t="inlineStr">
        <is>
          <t>Identified</t>
        </is>
      </c>
      <c r="AG31" s="14" t="n">
        <v>0</v>
      </c>
      <c r="AI31" t="inlineStr">
        <is>
          <t>Yes</t>
        </is>
      </c>
      <c r="AN31" t="inlineStr">
        <is>
          <t>No</t>
        </is>
      </c>
    </row>
    <row r="32">
      <c r="A32">
        <f>IF(B32&lt;&gt;"", "REM-"&amp;TEXT(ROW()-2,"000"), "")</f>
        <v/>
      </c>
      <c r="P32" t="inlineStr">
        <is>
          <t>Yes</t>
        </is>
      </c>
      <c r="X32">
        <f>IF(L32="", "", IF(ISNUMBER(SEARCH("Critical",L32)), "Critical", IF(AND(ISNUMBER(SEARCH("High",L32)), ISNUMBER(SEARCH("Critical",F32))), "Critical", IF(ISNUMBER(SEARCH("High",L32)), "High", IF(ISNUMBER(SEARCH("Medium",L32)), "Medium", "Low")))))</f>
        <v/>
      </c>
      <c r="Z32" s="21">
        <f>IF(AND(N32&lt;&gt;"", X32&lt;&gt;""), IF(X32="Critical", N32+3, IF(X32="High", N32+7, IF(X32="Medium", N32+30, N32+90))), "")</f>
        <v/>
      </c>
      <c r="AC32" s="24">
        <f>IF(AND(AA32&lt;&gt;"", AB32&lt;&gt;""), AB32-AA32, "")</f>
        <v/>
      </c>
      <c r="AD32" s="22" t="n"/>
      <c r="AE32" t="inlineStr">
        <is>
          <t>Identified</t>
        </is>
      </c>
      <c r="AG32" s="14" t="n">
        <v>0</v>
      </c>
      <c r="AI32" t="inlineStr">
        <is>
          <t>Yes</t>
        </is>
      </c>
      <c r="AN32" t="inlineStr">
        <is>
          <t>No</t>
        </is>
      </c>
    </row>
    <row r="33">
      <c r="A33">
        <f>IF(B33&lt;&gt;"", "REM-"&amp;TEXT(ROW()-2,"000"), "")</f>
        <v/>
      </c>
      <c r="P33" t="inlineStr">
        <is>
          <t>Yes</t>
        </is>
      </c>
      <c r="X33">
        <f>IF(L33="", "", IF(ISNUMBER(SEARCH("Critical",L33)), "Critical", IF(AND(ISNUMBER(SEARCH("High",L33)), ISNUMBER(SEARCH("Critical",F33))), "Critical", IF(ISNUMBER(SEARCH("High",L33)), "High", IF(ISNUMBER(SEARCH("Medium",L33)), "Medium", "Low")))))</f>
        <v/>
      </c>
      <c r="Z33" s="21">
        <f>IF(AND(N33&lt;&gt;"", X33&lt;&gt;""), IF(X33="Critical", N33+3, IF(X33="High", N33+7, IF(X33="Medium", N33+30, N33+90))), "")</f>
        <v/>
      </c>
      <c r="AC33" s="24">
        <f>IF(AND(AA33&lt;&gt;"", AB33&lt;&gt;""), AB33-AA33, "")</f>
        <v/>
      </c>
      <c r="AD33" s="22" t="n"/>
      <c r="AE33" t="inlineStr">
        <is>
          <t>Identified</t>
        </is>
      </c>
      <c r="AG33" s="14" t="n">
        <v>0</v>
      </c>
      <c r="AI33" t="inlineStr">
        <is>
          <t>Yes</t>
        </is>
      </c>
      <c r="AN33" t="inlineStr">
        <is>
          <t>No</t>
        </is>
      </c>
    </row>
    <row r="34">
      <c r="A34">
        <f>IF(B34&lt;&gt;"", "REM-"&amp;TEXT(ROW()-2,"000"), "")</f>
        <v/>
      </c>
      <c r="P34" t="inlineStr">
        <is>
          <t>Yes</t>
        </is>
      </c>
      <c r="X34">
        <f>IF(L34="", "", IF(ISNUMBER(SEARCH("Critical",L34)), "Critical", IF(AND(ISNUMBER(SEARCH("High",L34)), ISNUMBER(SEARCH("Critical",F34))), "Critical", IF(ISNUMBER(SEARCH("High",L34)), "High", IF(ISNUMBER(SEARCH("Medium",L34)), "Medium", "Low")))))</f>
        <v/>
      </c>
      <c r="Z34" s="21">
        <f>IF(AND(N34&lt;&gt;"", X34&lt;&gt;""), IF(X34="Critical", N34+3, IF(X34="High", N34+7, IF(X34="Medium", N34+30, N34+90))), "")</f>
        <v/>
      </c>
      <c r="AC34" s="24">
        <f>IF(AND(AA34&lt;&gt;"", AB34&lt;&gt;""), AB34-AA34, "")</f>
        <v/>
      </c>
      <c r="AD34" s="22" t="n"/>
      <c r="AE34" t="inlineStr">
        <is>
          <t>Identified</t>
        </is>
      </c>
      <c r="AG34" s="14" t="n">
        <v>0</v>
      </c>
      <c r="AI34" t="inlineStr">
        <is>
          <t>Yes</t>
        </is>
      </c>
      <c r="AN34" t="inlineStr">
        <is>
          <t>No</t>
        </is>
      </c>
    </row>
    <row r="35">
      <c r="A35">
        <f>IF(B35&lt;&gt;"", "REM-"&amp;TEXT(ROW()-2,"000"), "")</f>
        <v/>
      </c>
      <c r="P35" t="inlineStr">
        <is>
          <t>Yes</t>
        </is>
      </c>
      <c r="X35">
        <f>IF(L35="", "", IF(ISNUMBER(SEARCH("Critical",L35)), "Critical", IF(AND(ISNUMBER(SEARCH("High",L35)), ISNUMBER(SEARCH("Critical",F35))), "Critical", IF(ISNUMBER(SEARCH("High",L35)), "High", IF(ISNUMBER(SEARCH("Medium",L35)), "Medium", "Low")))))</f>
        <v/>
      </c>
      <c r="Z35" s="21">
        <f>IF(AND(N35&lt;&gt;"", X35&lt;&gt;""), IF(X35="Critical", N35+3, IF(X35="High", N35+7, IF(X35="Medium", N35+30, N35+90))), "")</f>
        <v/>
      </c>
      <c r="AC35" s="24">
        <f>IF(AND(AA35&lt;&gt;"", AB35&lt;&gt;""), AB35-AA35, "")</f>
        <v/>
      </c>
      <c r="AD35" s="22" t="n"/>
      <c r="AE35" t="inlineStr">
        <is>
          <t>Identified</t>
        </is>
      </c>
      <c r="AG35" s="14" t="n">
        <v>0</v>
      </c>
      <c r="AI35" t="inlineStr">
        <is>
          <t>Yes</t>
        </is>
      </c>
      <c r="AN35" t="inlineStr">
        <is>
          <t>No</t>
        </is>
      </c>
    </row>
    <row r="36">
      <c r="A36">
        <f>IF(B36&lt;&gt;"", "REM-"&amp;TEXT(ROW()-2,"000"), "")</f>
        <v/>
      </c>
      <c r="P36" t="inlineStr">
        <is>
          <t>Yes</t>
        </is>
      </c>
      <c r="X36">
        <f>IF(L36="", "", IF(ISNUMBER(SEARCH("Critical",L36)), "Critical", IF(AND(ISNUMBER(SEARCH("High",L36)), ISNUMBER(SEARCH("Critical",F36))), "Critical", IF(ISNUMBER(SEARCH("High",L36)), "High", IF(ISNUMBER(SEARCH("Medium",L36)), "Medium", "Low")))))</f>
        <v/>
      </c>
      <c r="Z36" s="21">
        <f>IF(AND(N36&lt;&gt;"", X36&lt;&gt;""), IF(X36="Critical", N36+3, IF(X36="High", N36+7, IF(X36="Medium", N36+30, N36+90))), "")</f>
        <v/>
      </c>
      <c r="AC36" s="24">
        <f>IF(AND(AA36&lt;&gt;"", AB36&lt;&gt;""), AB36-AA36, "")</f>
        <v/>
      </c>
      <c r="AD36" s="22" t="n"/>
      <c r="AE36" t="inlineStr">
        <is>
          <t>Identified</t>
        </is>
      </c>
      <c r="AG36" s="14" t="n">
        <v>0</v>
      </c>
      <c r="AI36" t="inlineStr">
        <is>
          <t>Yes</t>
        </is>
      </c>
      <c r="AN36" t="inlineStr">
        <is>
          <t>No</t>
        </is>
      </c>
    </row>
    <row r="37">
      <c r="A37">
        <f>IF(B37&lt;&gt;"", "REM-"&amp;TEXT(ROW()-2,"000"), "")</f>
        <v/>
      </c>
      <c r="P37" t="inlineStr">
        <is>
          <t>Yes</t>
        </is>
      </c>
      <c r="X37">
        <f>IF(L37="", "", IF(ISNUMBER(SEARCH("Critical",L37)), "Critical", IF(AND(ISNUMBER(SEARCH("High",L37)), ISNUMBER(SEARCH("Critical",F37))), "Critical", IF(ISNUMBER(SEARCH("High",L37)), "High", IF(ISNUMBER(SEARCH("Medium",L37)), "Medium", "Low")))))</f>
        <v/>
      </c>
      <c r="Z37" s="21">
        <f>IF(AND(N37&lt;&gt;"", X37&lt;&gt;""), IF(X37="Critical", N37+3, IF(X37="High", N37+7, IF(X37="Medium", N37+30, N37+90))), "")</f>
        <v/>
      </c>
      <c r="AC37" s="24">
        <f>IF(AND(AA37&lt;&gt;"", AB37&lt;&gt;""), AB37-AA37, "")</f>
        <v/>
      </c>
      <c r="AD37" s="22" t="n"/>
      <c r="AE37" t="inlineStr">
        <is>
          <t>Identified</t>
        </is>
      </c>
      <c r="AG37" s="14" t="n">
        <v>0</v>
      </c>
      <c r="AI37" t="inlineStr">
        <is>
          <t>Yes</t>
        </is>
      </c>
      <c r="AN37" t="inlineStr">
        <is>
          <t>No</t>
        </is>
      </c>
    </row>
    <row r="38">
      <c r="A38">
        <f>IF(B38&lt;&gt;"", "REM-"&amp;TEXT(ROW()-2,"000"), "")</f>
        <v/>
      </c>
      <c r="P38" t="inlineStr">
        <is>
          <t>Yes</t>
        </is>
      </c>
      <c r="X38">
        <f>IF(L38="", "", IF(ISNUMBER(SEARCH("Critical",L38)), "Critical", IF(AND(ISNUMBER(SEARCH("High",L38)), ISNUMBER(SEARCH("Critical",F38))), "Critical", IF(ISNUMBER(SEARCH("High",L38)), "High", IF(ISNUMBER(SEARCH("Medium",L38)), "Medium", "Low")))))</f>
        <v/>
      </c>
      <c r="Z38" s="21">
        <f>IF(AND(N38&lt;&gt;"", X38&lt;&gt;""), IF(X38="Critical", N38+3, IF(X38="High", N38+7, IF(X38="Medium", N38+30, N38+90))), "")</f>
        <v/>
      </c>
      <c r="AC38" s="24">
        <f>IF(AND(AA38&lt;&gt;"", AB38&lt;&gt;""), AB38-AA38, "")</f>
        <v/>
      </c>
      <c r="AD38" s="22" t="n"/>
      <c r="AE38" t="inlineStr">
        <is>
          <t>Identified</t>
        </is>
      </c>
      <c r="AG38" s="14" t="n">
        <v>0</v>
      </c>
      <c r="AI38" t="inlineStr">
        <is>
          <t>Yes</t>
        </is>
      </c>
      <c r="AN38" t="inlineStr">
        <is>
          <t>No</t>
        </is>
      </c>
    </row>
    <row r="39">
      <c r="A39">
        <f>IF(B39&lt;&gt;"", "REM-"&amp;TEXT(ROW()-2,"000"), "")</f>
        <v/>
      </c>
      <c r="P39" t="inlineStr">
        <is>
          <t>Yes</t>
        </is>
      </c>
      <c r="X39">
        <f>IF(L39="", "", IF(ISNUMBER(SEARCH("Critical",L39)), "Critical", IF(AND(ISNUMBER(SEARCH("High",L39)), ISNUMBER(SEARCH("Critical",F39))), "Critical", IF(ISNUMBER(SEARCH("High",L39)), "High", IF(ISNUMBER(SEARCH("Medium",L39)), "Medium", "Low")))))</f>
        <v/>
      </c>
      <c r="Z39" s="21">
        <f>IF(AND(N39&lt;&gt;"", X39&lt;&gt;""), IF(X39="Critical", N39+3, IF(X39="High", N39+7, IF(X39="Medium", N39+30, N39+90))), "")</f>
        <v/>
      </c>
      <c r="AC39" s="24">
        <f>IF(AND(AA39&lt;&gt;"", AB39&lt;&gt;""), AB39-AA39, "")</f>
        <v/>
      </c>
      <c r="AD39" s="22" t="n"/>
      <c r="AE39" t="inlineStr">
        <is>
          <t>Identified</t>
        </is>
      </c>
      <c r="AG39" s="14" t="n">
        <v>0</v>
      </c>
      <c r="AI39" t="inlineStr">
        <is>
          <t>Yes</t>
        </is>
      </c>
      <c r="AN39" t="inlineStr">
        <is>
          <t>No</t>
        </is>
      </c>
    </row>
    <row r="40">
      <c r="A40">
        <f>IF(B40&lt;&gt;"", "REM-"&amp;TEXT(ROW()-2,"000"), "")</f>
        <v/>
      </c>
      <c r="P40" t="inlineStr">
        <is>
          <t>Yes</t>
        </is>
      </c>
      <c r="X40">
        <f>IF(L40="", "", IF(ISNUMBER(SEARCH("Critical",L40)), "Critical", IF(AND(ISNUMBER(SEARCH("High",L40)), ISNUMBER(SEARCH("Critical",F40))), "Critical", IF(ISNUMBER(SEARCH("High",L40)), "High", IF(ISNUMBER(SEARCH("Medium",L40)), "Medium", "Low")))))</f>
        <v/>
      </c>
      <c r="Z40" s="21">
        <f>IF(AND(N40&lt;&gt;"", X40&lt;&gt;""), IF(X40="Critical", N40+3, IF(X40="High", N40+7, IF(X40="Medium", N40+30, N40+90))), "")</f>
        <v/>
      </c>
      <c r="AC40" s="24">
        <f>IF(AND(AA40&lt;&gt;"", AB40&lt;&gt;""), AB40-AA40, "")</f>
        <v/>
      </c>
      <c r="AD40" s="22" t="n"/>
      <c r="AE40" t="inlineStr">
        <is>
          <t>Identified</t>
        </is>
      </c>
      <c r="AG40" s="14" t="n">
        <v>0</v>
      </c>
      <c r="AI40" t="inlineStr">
        <is>
          <t>Yes</t>
        </is>
      </c>
      <c r="AN40" t="inlineStr">
        <is>
          <t>No</t>
        </is>
      </c>
    </row>
    <row r="41">
      <c r="A41">
        <f>IF(B41&lt;&gt;"", "REM-"&amp;TEXT(ROW()-2,"000"), "")</f>
        <v/>
      </c>
      <c r="P41" t="inlineStr">
        <is>
          <t>Yes</t>
        </is>
      </c>
      <c r="X41">
        <f>IF(L41="", "", IF(ISNUMBER(SEARCH("Critical",L41)), "Critical", IF(AND(ISNUMBER(SEARCH("High",L41)), ISNUMBER(SEARCH("Critical",F41))), "Critical", IF(ISNUMBER(SEARCH("High",L41)), "High", IF(ISNUMBER(SEARCH("Medium",L41)), "Medium", "Low")))))</f>
        <v/>
      </c>
      <c r="Z41" s="21">
        <f>IF(AND(N41&lt;&gt;"", X41&lt;&gt;""), IF(X41="Critical", N41+3, IF(X41="High", N41+7, IF(X41="Medium", N41+30, N41+90))), "")</f>
        <v/>
      </c>
      <c r="AC41" s="24">
        <f>IF(AND(AA41&lt;&gt;"", AB41&lt;&gt;""), AB41-AA41, "")</f>
        <v/>
      </c>
      <c r="AD41" s="22" t="n"/>
      <c r="AE41" t="inlineStr">
        <is>
          <t>Identified</t>
        </is>
      </c>
      <c r="AG41" s="14" t="n">
        <v>0</v>
      </c>
      <c r="AI41" t="inlineStr">
        <is>
          <t>Yes</t>
        </is>
      </c>
      <c r="AN41" t="inlineStr">
        <is>
          <t>No</t>
        </is>
      </c>
    </row>
    <row r="42">
      <c r="A42">
        <f>IF(B42&lt;&gt;"", "REM-"&amp;TEXT(ROW()-2,"000"), "")</f>
        <v/>
      </c>
      <c r="P42" t="inlineStr">
        <is>
          <t>Yes</t>
        </is>
      </c>
      <c r="X42">
        <f>IF(L42="", "", IF(ISNUMBER(SEARCH("Critical",L42)), "Critical", IF(AND(ISNUMBER(SEARCH("High",L42)), ISNUMBER(SEARCH("Critical",F42))), "Critical", IF(ISNUMBER(SEARCH("High",L42)), "High", IF(ISNUMBER(SEARCH("Medium",L42)), "Medium", "Low")))))</f>
        <v/>
      </c>
      <c r="Z42" s="21">
        <f>IF(AND(N42&lt;&gt;"", X42&lt;&gt;""), IF(X42="Critical", N42+3, IF(X42="High", N42+7, IF(X42="Medium", N42+30, N42+90))), "")</f>
        <v/>
      </c>
      <c r="AC42" s="24">
        <f>IF(AND(AA42&lt;&gt;"", AB42&lt;&gt;""), AB42-AA42, "")</f>
        <v/>
      </c>
      <c r="AD42" s="22" t="n"/>
      <c r="AE42" t="inlineStr">
        <is>
          <t>Identified</t>
        </is>
      </c>
      <c r="AG42" s="14" t="n">
        <v>0</v>
      </c>
      <c r="AI42" t="inlineStr">
        <is>
          <t>Yes</t>
        </is>
      </c>
      <c r="AN42" t="inlineStr">
        <is>
          <t>No</t>
        </is>
      </c>
    </row>
    <row r="43">
      <c r="A43">
        <f>IF(B43&lt;&gt;"", "REM-"&amp;TEXT(ROW()-2,"000"), "")</f>
        <v/>
      </c>
      <c r="P43" t="inlineStr">
        <is>
          <t>Yes</t>
        </is>
      </c>
      <c r="X43">
        <f>IF(L43="", "", IF(ISNUMBER(SEARCH("Critical",L43)), "Critical", IF(AND(ISNUMBER(SEARCH("High",L43)), ISNUMBER(SEARCH("Critical",F43))), "Critical", IF(ISNUMBER(SEARCH("High",L43)), "High", IF(ISNUMBER(SEARCH("Medium",L43)), "Medium", "Low")))))</f>
        <v/>
      </c>
      <c r="Z43" s="21">
        <f>IF(AND(N43&lt;&gt;"", X43&lt;&gt;""), IF(X43="Critical", N43+3, IF(X43="High", N43+7, IF(X43="Medium", N43+30, N43+90))), "")</f>
        <v/>
      </c>
      <c r="AC43" s="24">
        <f>IF(AND(AA43&lt;&gt;"", AB43&lt;&gt;""), AB43-AA43, "")</f>
        <v/>
      </c>
      <c r="AD43" s="22" t="n"/>
      <c r="AE43" t="inlineStr">
        <is>
          <t>Identified</t>
        </is>
      </c>
      <c r="AG43" s="14" t="n">
        <v>0</v>
      </c>
      <c r="AI43" t="inlineStr">
        <is>
          <t>Yes</t>
        </is>
      </c>
      <c r="AN43" t="inlineStr">
        <is>
          <t>No</t>
        </is>
      </c>
    </row>
    <row r="44">
      <c r="A44">
        <f>IF(B44&lt;&gt;"", "REM-"&amp;TEXT(ROW()-2,"000"), "")</f>
        <v/>
      </c>
      <c r="P44" t="inlineStr">
        <is>
          <t>Yes</t>
        </is>
      </c>
      <c r="X44">
        <f>IF(L44="", "", IF(ISNUMBER(SEARCH("Critical",L44)), "Critical", IF(AND(ISNUMBER(SEARCH("High",L44)), ISNUMBER(SEARCH("Critical",F44))), "Critical", IF(ISNUMBER(SEARCH("High",L44)), "High", IF(ISNUMBER(SEARCH("Medium",L44)), "Medium", "Low")))))</f>
        <v/>
      </c>
      <c r="Z44" s="21">
        <f>IF(AND(N44&lt;&gt;"", X44&lt;&gt;""), IF(X44="Critical", N44+3, IF(X44="High", N44+7, IF(X44="Medium", N44+30, N44+90))), "")</f>
        <v/>
      </c>
      <c r="AC44" s="24">
        <f>IF(AND(AA44&lt;&gt;"", AB44&lt;&gt;""), AB44-AA44, "")</f>
        <v/>
      </c>
      <c r="AD44" s="22" t="n"/>
      <c r="AE44" t="inlineStr">
        <is>
          <t>Identified</t>
        </is>
      </c>
      <c r="AG44" s="14" t="n">
        <v>0</v>
      </c>
      <c r="AI44" t="inlineStr">
        <is>
          <t>Yes</t>
        </is>
      </c>
      <c r="AN44" t="inlineStr">
        <is>
          <t>No</t>
        </is>
      </c>
    </row>
    <row r="45">
      <c r="A45">
        <f>IF(B45&lt;&gt;"", "REM-"&amp;TEXT(ROW()-2,"000"), "")</f>
        <v/>
      </c>
      <c r="P45" t="inlineStr">
        <is>
          <t>Yes</t>
        </is>
      </c>
      <c r="X45">
        <f>IF(L45="", "", IF(ISNUMBER(SEARCH("Critical",L45)), "Critical", IF(AND(ISNUMBER(SEARCH("High",L45)), ISNUMBER(SEARCH("Critical",F45))), "Critical", IF(ISNUMBER(SEARCH("High",L45)), "High", IF(ISNUMBER(SEARCH("Medium",L45)), "Medium", "Low")))))</f>
        <v/>
      </c>
      <c r="Z45" s="21">
        <f>IF(AND(N45&lt;&gt;"", X45&lt;&gt;""), IF(X45="Critical", N45+3, IF(X45="High", N45+7, IF(X45="Medium", N45+30, N45+90))), "")</f>
        <v/>
      </c>
      <c r="AC45" s="24">
        <f>IF(AND(AA45&lt;&gt;"", AB45&lt;&gt;""), AB45-AA45, "")</f>
        <v/>
      </c>
      <c r="AD45" s="22" t="n"/>
      <c r="AE45" t="inlineStr">
        <is>
          <t>Identified</t>
        </is>
      </c>
      <c r="AG45" s="14" t="n">
        <v>0</v>
      </c>
      <c r="AI45" t="inlineStr">
        <is>
          <t>Yes</t>
        </is>
      </c>
      <c r="AN45" t="inlineStr">
        <is>
          <t>No</t>
        </is>
      </c>
    </row>
    <row r="46">
      <c r="A46">
        <f>IF(B46&lt;&gt;"", "REM-"&amp;TEXT(ROW()-2,"000"), "")</f>
        <v/>
      </c>
      <c r="P46" t="inlineStr">
        <is>
          <t>Yes</t>
        </is>
      </c>
      <c r="X46">
        <f>IF(L46="", "", IF(ISNUMBER(SEARCH("Critical",L46)), "Critical", IF(AND(ISNUMBER(SEARCH("High",L46)), ISNUMBER(SEARCH("Critical",F46))), "Critical", IF(ISNUMBER(SEARCH("High",L46)), "High", IF(ISNUMBER(SEARCH("Medium",L46)), "Medium", "Low")))))</f>
        <v/>
      </c>
      <c r="Z46" s="21">
        <f>IF(AND(N46&lt;&gt;"", X46&lt;&gt;""), IF(X46="Critical", N46+3, IF(X46="High", N46+7, IF(X46="Medium", N46+30, N46+90))), "")</f>
        <v/>
      </c>
      <c r="AC46" s="24">
        <f>IF(AND(AA46&lt;&gt;"", AB46&lt;&gt;""), AB46-AA46, "")</f>
        <v/>
      </c>
      <c r="AD46" s="22" t="n"/>
      <c r="AE46" t="inlineStr">
        <is>
          <t>Identified</t>
        </is>
      </c>
      <c r="AG46" s="14" t="n">
        <v>0</v>
      </c>
      <c r="AI46" t="inlineStr">
        <is>
          <t>Yes</t>
        </is>
      </c>
      <c r="AN46" t="inlineStr">
        <is>
          <t>No</t>
        </is>
      </c>
    </row>
    <row r="47">
      <c r="A47">
        <f>IF(B47&lt;&gt;"", "REM-"&amp;TEXT(ROW()-2,"000"), "")</f>
        <v/>
      </c>
      <c r="P47" t="inlineStr">
        <is>
          <t>Yes</t>
        </is>
      </c>
      <c r="X47">
        <f>IF(L47="", "", IF(ISNUMBER(SEARCH("Critical",L47)), "Critical", IF(AND(ISNUMBER(SEARCH("High",L47)), ISNUMBER(SEARCH("Critical",F47))), "Critical", IF(ISNUMBER(SEARCH("High",L47)), "High", IF(ISNUMBER(SEARCH("Medium",L47)), "Medium", "Low")))))</f>
        <v/>
      </c>
      <c r="Z47" s="21">
        <f>IF(AND(N47&lt;&gt;"", X47&lt;&gt;""), IF(X47="Critical", N47+3, IF(X47="High", N47+7, IF(X47="Medium", N47+30, N47+90))), "")</f>
        <v/>
      </c>
      <c r="AC47" s="24">
        <f>IF(AND(AA47&lt;&gt;"", AB47&lt;&gt;""), AB47-AA47, "")</f>
        <v/>
      </c>
      <c r="AD47" s="22" t="n"/>
      <c r="AE47" t="inlineStr">
        <is>
          <t>Identified</t>
        </is>
      </c>
      <c r="AG47" s="14" t="n">
        <v>0</v>
      </c>
      <c r="AI47" t="inlineStr">
        <is>
          <t>Yes</t>
        </is>
      </c>
      <c r="AN47" t="inlineStr">
        <is>
          <t>No</t>
        </is>
      </c>
    </row>
    <row r="48">
      <c r="A48">
        <f>IF(B48&lt;&gt;"", "REM-"&amp;TEXT(ROW()-2,"000"), "")</f>
        <v/>
      </c>
      <c r="P48" t="inlineStr">
        <is>
          <t>Yes</t>
        </is>
      </c>
      <c r="X48">
        <f>IF(L48="", "", IF(ISNUMBER(SEARCH("Critical",L48)), "Critical", IF(AND(ISNUMBER(SEARCH("High",L48)), ISNUMBER(SEARCH("Critical",F48))), "Critical", IF(ISNUMBER(SEARCH("High",L48)), "High", IF(ISNUMBER(SEARCH("Medium",L48)), "Medium", "Low")))))</f>
        <v/>
      </c>
      <c r="Z48" s="21">
        <f>IF(AND(N48&lt;&gt;"", X48&lt;&gt;""), IF(X48="Critical", N48+3, IF(X48="High", N48+7, IF(X48="Medium", N48+30, N48+90))), "")</f>
        <v/>
      </c>
      <c r="AC48" s="24">
        <f>IF(AND(AA48&lt;&gt;"", AB48&lt;&gt;""), AB48-AA48, "")</f>
        <v/>
      </c>
      <c r="AD48" s="22" t="n"/>
      <c r="AE48" t="inlineStr">
        <is>
          <t>Identified</t>
        </is>
      </c>
      <c r="AG48" s="14" t="n">
        <v>0</v>
      </c>
      <c r="AI48" t="inlineStr">
        <is>
          <t>Yes</t>
        </is>
      </c>
      <c r="AN48" t="inlineStr">
        <is>
          <t>No</t>
        </is>
      </c>
    </row>
    <row r="49">
      <c r="A49">
        <f>IF(B49&lt;&gt;"", "REM-"&amp;TEXT(ROW()-2,"000"), "")</f>
        <v/>
      </c>
      <c r="P49" t="inlineStr">
        <is>
          <t>Yes</t>
        </is>
      </c>
      <c r="X49">
        <f>IF(L49="", "", IF(ISNUMBER(SEARCH("Critical",L49)), "Critical", IF(AND(ISNUMBER(SEARCH("High",L49)), ISNUMBER(SEARCH("Critical",F49))), "Critical", IF(ISNUMBER(SEARCH("High",L49)), "High", IF(ISNUMBER(SEARCH("Medium",L49)), "Medium", "Low")))))</f>
        <v/>
      </c>
      <c r="Z49" s="21">
        <f>IF(AND(N49&lt;&gt;"", X49&lt;&gt;""), IF(X49="Critical", N49+3, IF(X49="High", N49+7, IF(X49="Medium", N49+30, N49+90))), "")</f>
        <v/>
      </c>
      <c r="AC49" s="24">
        <f>IF(AND(AA49&lt;&gt;"", AB49&lt;&gt;""), AB49-AA49, "")</f>
        <v/>
      </c>
      <c r="AD49" s="22" t="n"/>
      <c r="AE49" t="inlineStr">
        <is>
          <t>Identified</t>
        </is>
      </c>
      <c r="AG49" s="14" t="n">
        <v>0</v>
      </c>
      <c r="AI49" t="inlineStr">
        <is>
          <t>Yes</t>
        </is>
      </c>
      <c r="AN49" t="inlineStr">
        <is>
          <t>No</t>
        </is>
      </c>
    </row>
    <row r="50">
      <c r="A50">
        <f>IF(B50&lt;&gt;"", "REM-"&amp;TEXT(ROW()-2,"000"), "")</f>
        <v/>
      </c>
      <c r="P50" t="inlineStr">
        <is>
          <t>Yes</t>
        </is>
      </c>
      <c r="X50">
        <f>IF(L50="", "", IF(ISNUMBER(SEARCH("Critical",L50)), "Critical", IF(AND(ISNUMBER(SEARCH("High",L50)), ISNUMBER(SEARCH("Critical",F50))), "Critical", IF(ISNUMBER(SEARCH("High",L50)), "High", IF(ISNUMBER(SEARCH("Medium",L50)), "Medium", "Low")))))</f>
        <v/>
      </c>
      <c r="Z50" s="21">
        <f>IF(AND(N50&lt;&gt;"", X50&lt;&gt;""), IF(X50="Critical", N50+3, IF(X50="High", N50+7, IF(X50="Medium", N50+30, N50+90))), "")</f>
        <v/>
      </c>
      <c r="AC50" s="24">
        <f>IF(AND(AA50&lt;&gt;"", AB50&lt;&gt;""), AB50-AA50, "")</f>
        <v/>
      </c>
      <c r="AD50" s="22" t="n"/>
      <c r="AE50" t="inlineStr">
        <is>
          <t>Identified</t>
        </is>
      </c>
      <c r="AG50" s="14" t="n">
        <v>0</v>
      </c>
      <c r="AI50" t="inlineStr">
        <is>
          <t>Yes</t>
        </is>
      </c>
      <c r="AN50" t="inlineStr">
        <is>
          <t>No</t>
        </is>
      </c>
    </row>
    <row r="51">
      <c r="A51">
        <f>IF(B51&lt;&gt;"", "REM-"&amp;TEXT(ROW()-2,"000"), "")</f>
        <v/>
      </c>
      <c r="P51" t="inlineStr">
        <is>
          <t>Yes</t>
        </is>
      </c>
      <c r="X51">
        <f>IF(L51="", "", IF(ISNUMBER(SEARCH("Critical",L51)), "Critical", IF(AND(ISNUMBER(SEARCH("High",L51)), ISNUMBER(SEARCH("Critical",F51))), "Critical", IF(ISNUMBER(SEARCH("High",L51)), "High", IF(ISNUMBER(SEARCH("Medium",L51)), "Medium", "Low")))))</f>
        <v/>
      </c>
      <c r="Z51" s="21">
        <f>IF(AND(N51&lt;&gt;"", X51&lt;&gt;""), IF(X51="Critical", N51+3, IF(X51="High", N51+7, IF(X51="Medium", N51+30, N51+90))), "")</f>
        <v/>
      </c>
      <c r="AC51" s="24">
        <f>IF(AND(AA51&lt;&gt;"", AB51&lt;&gt;""), AB51-AA51, "")</f>
        <v/>
      </c>
      <c r="AD51" s="22" t="n"/>
      <c r="AE51" t="inlineStr">
        <is>
          <t>Identified</t>
        </is>
      </c>
      <c r="AG51" s="14" t="n">
        <v>0</v>
      </c>
      <c r="AI51" t="inlineStr">
        <is>
          <t>Yes</t>
        </is>
      </c>
      <c r="AN51" t="inlineStr">
        <is>
          <t>No</t>
        </is>
      </c>
    </row>
    <row r="52">
      <c r="A52">
        <f>IF(B52&lt;&gt;"", "REM-"&amp;TEXT(ROW()-2,"000"), "")</f>
        <v/>
      </c>
      <c r="P52" t="inlineStr">
        <is>
          <t>Yes</t>
        </is>
      </c>
      <c r="X52">
        <f>IF(L52="", "", IF(ISNUMBER(SEARCH("Critical",L52)), "Critical", IF(AND(ISNUMBER(SEARCH("High",L52)), ISNUMBER(SEARCH("Critical",F52))), "Critical", IF(ISNUMBER(SEARCH("High",L52)), "High", IF(ISNUMBER(SEARCH("Medium",L52)), "Medium", "Low")))))</f>
        <v/>
      </c>
      <c r="Z52" s="21">
        <f>IF(AND(N52&lt;&gt;"", X52&lt;&gt;""), IF(X52="Critical", N52+3, IF(X52="High", N52+7, IF(X52="Medium", N52+30, N52+90))), "")</f>
        <v/>
      </c>
      <c r="AC52" s="24">
        <f>IF(AND(AA52&lt;&gt;"", AB52&lt;&gt;""), AB52-AA52, "")</f>
        <v/>
      </c>
      <c r="AD52" s="22" t="n"/>
      <c r="AE52" t="inlineStr">
        <is>
          <t>Identified</t>
        </is>
      </c>
      <c r="AG52" s="14" t="n">
        <v>0</v>
      </c>
      <c r="AI52" t="inlineStr">
        <is>
          <t>Yes</t>
        </is>
      </c>
      <c r="AN52" t="inlineStr">
        <is>
          <t>No</t>
        </is>
      </c>
    </row>
    <row r="53">
      <c r="A53">
        <f>IF(B53&lt;&gt;"", "REM-"&amp;TEXT(ROW()-2,"000"), "")</f>
        <v/>
      </c>
      <c r="P53" t="inlineStr">
        <is>
          <t>Yes</t>
        </is>
      </c>
      <c r="X53">
        <f>IF(L53="", "", IF(ISNUMBER(SEARCH("Critical",L53)), "Critical", IF(AND(ISNUMBER(SEARCH("High",L53)), ISNUMBER(SEARCH("Critical",F53))), "Critical", IF(ISNUMBER(SEARCH("High",L53)), "High", IF(ISNUMBER(SEARCH("Medium",L53)), "Medium", "Low")))))</f>
        <v/>
      </c>
      <c r="Z53" s="21">
        <f>IF(AND(N53&lt;&gt;"", X53&lt;&gt;""), IF(X53="Critical", N53+3, IF(X53="High", N53+7, IF(X53="Medium", N53+30, N53+90))), "")</f>
        <v/>
      </c>
      <c r="AC53" s="24">
        <f>IF(AND(AA53&lt;&gt;"", AB53&lt;&gt;""), AB53-AA53, "")</f>
        <v/>
      </c>
      <c r="AD53" s="22" t="n"/>
      <c r="AE53" t="inlineStr">
        <is>
          <t>Identified</t>
        </is>
      </c>
      <c r="AG53" s="14" t="n">
        <v>0</v>
      </c>
      <c r="AI53" t="inlineStr">
        <is>
          <t>Yes</t>
        </is>
      </c>
      <c r="AN53" t="inlineStr">
        <is>
          <t>No</t>
        </is>
      </c>
    </row>
    <row r="54">
      <c r="A54">
        <f>IF(B54&lt;&gt;"", "REM-"&amp;TEXT(ROW()-2,"000"), "")</f>
        <v/>
      </c>
      <c r="P54" t="inlineStr">
        <is>
          <t>Yes</t>
        </is>
      </c>
      <c r="X54">
        <f>IF(L54="", "", IF(ISNUMBER(SEARCH("Critical",L54)), "Critical", IF(AND(ISNUMBER(SEARCH("High",L54)), ISNUMBER(SEARCH("Critical",F54))), "Critical", IF(ISNUMBER(SEARCH("High",L54)), "High", IF(ISNUMBER(SEARCH("Medium",L54)), "Medium", "Low")))))</f>
        <v/>
      </c>
      <c r="Z54" s="21">
        <f>IF(AND(N54&lt;&gt;"", X54&lt;&gt;""), IF(X54="Critical", N54+3, IF(X54="High", N54+7, IF(X54="Medium", N54+30, N54+90))), "")</f>
        <v/>
      </c>
      <c r="AC54" s="24">
        <f>IF(AND(AA54&lt;&gt;"", AB54&lt;&gt;""), AB54-AA54, "")</f>
        <v/>
      </c>
      <c r="AD54" s="22" t="n"/>
      <c r="AE54" t="inlineStr">
        <is>
          <t>Identified</t>
        </is>
      </c>
      <c r="AG54" s="14" t="n">
        <v>0</v>
      </c>
      <c r="AI54" t="inlineStr">
        <is>
          <t>Yes</t>
        </is>
      </c>
      <c r="AN54" t="inlineStr">
        <is>
          <t>No</t>
        </is>
      </c>
    </row>
    <row r="55">
      <c r="A55">
        <f>IF(B55&lt;&gt;"", "REM-"&amp;TEXT(ROW()-2,"000"), "")</f>
        <v/>
      </c>
      <c r="P55" t="inlineStr">
        <is>
          <t>Yes</t>
        </is>
      </c>
      <c r="X55">
        <f>IF(L55="", "", IF(ISNUMBER(SEARCH("Critical",L55)), "Critical", IF(AND(ISNUMBER(SEARCH("High",L55)), ISNUMBER(SEARCH("Critical",F55))), "Critical", IF(ISNUMBER(SEARCH("High",L55)), "High", IF(ISNUMBER(SEARCH("Medium",L55)), "Medium", "Low")))))</f>
        <v/>
      </c>
      <c r="Z55" s="21">
        <f>IF(AND(N55&lt;&gt;"", X55&lt;&gt;""), IF(X55="Critical", N55+3, IF(X55="High", N55+7, IF(X55="Medium", N55+30, N55+90))), "")</f>
        <v/>
      </c>
      <c r="AC55" s="24">
        <f>IF(AND(AA55&lt;&gt;"", AB55&lt;&gt;""), AB55-AA55, "")</f>
        <v/>
      </c>
      <c r="AD55" s="22" t="n"/>
      <c r="AE55" t="inlineStr">
        <is>
          <t>Identified</t>
        </is>
      </c>
      <c r="AG55" s="14" t="n">
        <v>0</v>
      </c>
      <c r="AI55" t="inlineStr">
        <is>
          <t>Yes</t>
        </is>
      </c>
      <c r="AN55" t="inlineStr">
        <is>
          <t>No</t>
        </is>
      </c>
    </row>
    <row r="56">
      <c r="A56">
        <f>IF(B56&lt;&gt;"", "REM-"&amp;TEXT(ROW()-2,"000"), "")</f>
        <v/>
      </c>
      <c r="P56" t="inlineStr">
        <is>
          <t>Yes</t>
        </is>
      </c>
      <c r="X56">
        <f>IF(L56="", "", IF(ISNUMBER(SEARCH("Critical",L56)), "Critical", IF(AND(ISNUMBER(SEARCH("High",L56)), ISNUMBER(SEARCH("Critical",F56))), "Critical", IF(ISNUMBER(SEARCH("High",L56)), "High", IF(ISNUMBER(SEARCH("Medium",L56)), "Medium", "Low")))))</f>
        <v/>
      </c>
      <c r="Z56" s="21">
        <f>IF(AND(N56&lt;&gt;"", X56&lt;&gt;""), IF(X56="Critical", N56+3, IF(X56="High", N56+7, IF(X56="Medium", N56+30, N56+90))), "")</f>
        <v/>
      </c>
      <c r="AC56" s="24">
        <f>IF(AND(AA56&lt;&gt;"", AB56&lt;&gt;""), AB56-AA56, "")</f>
        <v/>
      </c>
      <c r="AD56" s="22" t="n"/>
      <c r="AE56" t="inlineStr">
        <is>
          <t>Identified</t>
        </is>
      </c>
      <c r="AG56" s="14" t="n">
        <v>0</v>
      </c>
      <c r="AI56" t="inlineStr">
        <is>
          <t>Yes</t>
        </is>
      </c>
      <c r="AN56" t="inlineStr">
        <is>
          <t>No</t>
        </is>
      </c>
    </row>
    <row r="57">
      <c r="A57">
        <f>IF(B57&lt;&gt;"", "REM-"&amp;TEXT(ROW()-2,"000"), "")</f>
        <v/>
      </c>
      <c r="P57" t="inlineStr">
        <is>
          <t>Yes</t>
        </is>
      </c>
      <c r="X57">
        <f>IF(L57="", "", IF(ISNUMBER(SEARCH("Critical",L57)), "Critical", IF(AND(ISNUMBER(SEARCH("High",L57)), ISNUMBER(SEARCH("Critical",F57))), "Critical", IF(ISNUMBER(SEARCH("High",L57)), "High", IF(ISNUMBER(SEARCH("Medium",L57)), "Medium", "Low")))))</f>
        <v/>
      </c>
      <c r="Z57" s="21">
        <f>IF(AND(N57&lt;&gt;"", X57&lt;&gt;""), IF(X57="Critical", N57+3, IF(X57="High", N57+7, IF(X57="Medium", N57+30, N57+90))), "")</f>
        <v/>
      </c>
      <c r="AC57" s="24">
        <f>IF(AND(AA57&lt;&gt;"", AB57&lt;&gt;""), AB57-AA57, "")</f>
        <v/>
      </c>
      <c r="AD57" s="22" t="n"/>
      <c r="AE57" t="inlineStr">
        <is>
          <t>Identified</t>
        </is>
      </c>
      <c r="AG57" s="14" t="n">
        <v>0</v>
      </c>
      <c r="AI57" t="inlineStr">
        <is>
          <t>Yes</t>
        </is>
      </c>
      <c r="AN57" t="inlineStr">
        <is>
          <t>No</t>
        </is>
      </c>
    </row>
    <row r="58">
      <c r="A58">
        <f>IF(B58&lt;&gt;"", "REM-"&amp;TEXT(ROW()-2,"000"), "")</f>
        <v/>
      </c>
      <c r="P58" t="inlineStr">
        <is>
          <t>Yes</t>
        </is>
      </c>
      <c r="X58">
        <f>IF(L58="", "", IF(ISNUMBER(SEARCH("Critical",L58)), "Critical", IF(AND(ISNUMBER(SEARCH("High",L58)), ISNUMBER(SEARCH("Critical",F58))), "Critical", IF(ISNUMBER(SEARCH("High",L58)), "High", IF(ISNUMBER(SEARCH("Medium",L58)), "Medium", "Low")))))</f>
        <v/>
      </c>
      <c r="Z58" s="21">
        <f>IF(AND(N58&lt;&gt;"", X58&lt;&gt;""), IF(X58="Critical", N58+3, IF(X58="High", N58+7, IF(X58="Medium", N58+30, N58+90))), "")</f>
        <v/>
      </c>
      <c r="AC58" s="24">
        <f>IF(AND(AA58&lt;&gt;"", AB58&lt;&gt;""), AB58-AA58, "")</f>
        <v/>
      </c>
      <c r="AD58" s="22" t="n"/>
      <c r="AE58" t="inlineStr">
        <is>
          <t>Identified</t>
        </is>
      </c>
      <c r="AG58" s="14" t="n">
        <v>0</v>
      </c>
      <c r="AI58" t="inlineStr">
        <is>
          <t>Yes</t>
        </is>
      </c>
      <c r="AN58" t="inlineStr">
        <is>
          <t>No</t>
        </is>
      </c>
    </row>
    <row r="59">
      <c r="A59">
        <f>IF(B59&lt;&gt;"", "REM-"&amp;TEXT(ROW()-2,"000"), "")</f>
        <v/>
      </c>
      <c r="P59" t="inlineStr">
        <is>
          <t>Yes</t>
        </is>
      </c>
      <c r="X59">
        <f>IF(L59="", "", IF(ISNUMBER(SEARCH("Critical",L59)), "Critical", IF(AND(ISNUMBER(SEARCH("High",L59)), ISNUMBER(SEARCH("Critical",F59))), "Critical", IF(ISNUMBER(SEARCH("High",L59)), "High", IF(ISNUMBER(SEARCH("Medium",L59)), "Medium", "Low")))))</f>
        <v/>
      </c>
      <c r="Z59" s="21">
        <f>IF(AND(N59&lt;&gt;"", X59&lt;&gt;""), IF(X59="Critical", N59+3, IF(X59="High", N59+7, IF(X59="Medium", N59+30, N59+90))), "")</f>
        <v/>
      </c>
      <c r="AC59" s="24">
        <f>IF(AND(AA59&lt;&gt;"", AB59&lt;&gt;""), AB59-AA59, "")</f>
        <v/>
      </c>
      <c r="AD59" s="22" t="n"/>
      <c r="AE59" t="inlineStr">
        <is>
          <t>Identified</t>
        </is>
      </c>
      <c r="AG59" s="14" t="n">
        <v>0</v>
      </c>
      <c r="AI59" t="inlineStr">
        <is>
          <t>Yes</t>
        </is>
      </c>
      <c r="AN59" t="inlineStr">
        <is>
          <t>No</t>
        </is>
      </c>
    </row>
    <row r="60">
      <c r="A60">
        <f>IF(B60&lt;&gt;"", "REM-"&amp;TEXT(ROW()-2,"000"), "")</f>
        <v/>
      </c>
      <c r="P60" t="inlineStr">
        <is>
          <t>Yes</t>
        </is>
      </c>
      <c r="X60">
        <f>IF(L60="", "", IF(ISNUMBER(SEARCH("Critical",L60)), "Critical", IF(AND(ISNUMBER(SEARCH("High",L60)), ISNUMBER(SEARCH("Critical",F60))), "Critical", IF(ISNUMBER(SEARCH("High",L60)), "High", IF(ISNUMBER(SEARCH("Medium",L60)), "Medium", "Low")))))</f>
        <v/>
      </c>
      <c r="Z60" s="21">
        <f>IF(AND(N60&lt;&gt;"", X60&lt;&gt;""), IF(X60="Critical", N60+3, IF(X60="High", N60+7, IF(X60="Medium", N60+30, N60+90))), "")</f>
        <v/>
      </c>
      <c r="AC60" s="24">
        <f>IF(AND(AA60&lt;&gt;"", AB60&lt;&gt;""), AB60-AA60, "")</f>
        <v/>
      </c>
      <c r="AD60" s="22" t="n"/>
      <c r="AE60" t="inlineStr">
        <is>
          <t>Identified</t>
        </is>
      </c>
      <c r="AG60" s="14" t="n">
        <v>0</v>
      </c>
      <c r="AI60" t="inlineStr">
        <is>
          <t>Yes</t>
        </is>
      </c>
      <c r="AN60" t="inlineStr">
        <is>
          <t>No</t>
        </is>
      </c>
    </row>
    <row r="61">
      <c r="A61">
        <f>IF(B61&lt;&gt;"", "REM-"&amp;TEXT(ROW()-2,"000"), "")</f>
        <v/>
      </c>
      <c r="P61" t="inlineStr">
        <is>
          <t>Yes</t>
        </is>
      </c>
      <c r="X61">
        <f>IF(L61="", "", IF(ISNUMBER(SEARCH("Critical",L61)), "Critical", IF(AND(ISNUMBER(SEARCH("High",L61)), ISNUMBER(SEARCH("Critical",F61))), "Critical", IF(ISNUMBER(SEARCH("High",L61)), "High", IF(ISNUMBER(SEARCH("Medium",L61)), "Medium", "Low")))))</f>
        <v/>
      </c>
      <c r="Z61" s="21">
        <f>IF(AND(N61&lt;&gt;"", X61&lt;&gt;""), IF(X61="Critical", N61+3, IF(X61="High", N61+7, IF(X61="Medium", N61+30, N61+90))), "")</f>
        <v/>
      </c>
      <c r="AC61" s="24">
        <f>IF(AND(AA61&lt;&gt;"", AB61&lt;&gt;""), AB61-AA61, "")</f>
        <v/>
      </c>
      <c r="AD61" s="22" t="n"/>
      <c r="AE61" t="inlineStr">
        <is>
          <t>Identified</t>
        </is>
      </c>
      <c r="AG61" s="14" t="n">
        <v>0</v>
      </c>
      <c r="AI61" t="inlineStr">
        <is>
          <t>Yes</t>
        </is>
      </c>
      <c r="AN61" t="inlineStr">
        <is>
          <t>No</t>
        </is>
      </c>
    </row>
    <row r="62">
      <c r="A62">
        <f>IF(B62&lt;&gt;"", "REM-"&amp;TEXT(ROW()-2,"000"), "")</f>
        <v/>
      </c>
      <c r="P62" t="inlineStr">
        <is>
          <t>Yes</t>
        </is>
      </c>
      <c r="X62">
        <f>IF(L62="", "", IF(ISNUMBER(SEARCH("Critical",L62)), "Critical", IF(AND(ISNUMBER(SEARCH("High",L62)), ISNUMBER(SEARCH("Critical",F62))), "Critical", IF(ISNUMBER(SEARCH("High",L62)), "High", IF(ISNUMBER(SEARCH("Medium",L62)), "Medium", "Low")))))</f>
        <v/>
      </c>
      <c r="Z62" s="21">
        <f>IF(AND(N62&lt;&gt;"", X62&lt;&gt;""), IF(X62="Critical", N62+3, IF(X62="High", N62+7, IF(X62="Medium", N62+30, N62+90))), "")</f>
        <v/>
      </c>
      <c r="AC62" s="24">
        <f>IF(AND(AA62&lt;&gt;"", AB62&lt;&gt;""), AB62-AA62, "")</f>
        <v/>
      </c>
      <c r="AD62" s="22" t="n"/>
      <c r="AE62" t="inlineStr">
        <is>
          <t>Identified</t>
        </is>
      </c>
      <c r="AG62" s="14" t="n">
        <v>0</v>
      </c>
      <c r="AI62" t="inlineStr">
        <is>
          <t>Yes</t>
        </is>
      </c>
      <c r="AN62" t="inlineStr">
        <is>
          <t>No</t>
        </is>
      </c>
    </row>
    <row r="63">
      <c r="A63">
        <f>IF(B63&lt;&gt;"", "REM-"&amp;TEXT(ROW()-2,"000"), "")</f>
        <v/>
      </c>
      <c r="P63" t="inlineStr">
        <is>
          <t>Yes</t>
        </is>
      </c>
      <c r="X63">
        <f>IF(L63="", "", IF(ISNUMBER(SEARCH("Critical",L63)), "Critical", IF(AND(ISNUMBER(SEARCH("High",L63)), ISNUMBER(SEARCH("Critical",F63))), "Critical", IF(ISNUMBER(SEARCH("High",L63)), "High", IF(ISNUMBER(SEARCH("Medium",L63)), "Medium", "Low")))))</f>
        <v/>
      </c>
      <c r="Z63" s="21">
        <f>IF(AND(N63&lt;&gt;"", X63&lt;&gt;""), IF(X63="Critical", N63+3, IF(X63="High", N63+7, IF(X63="Medium", N63+30, N63+90))), "")</f>
        <v/>
      </c>
      <c r="AC63" s="24">
        <f>IF(AND(AA63&lt;&gt;"", AB63&lt;&gt;""), AB63-AA63, "")</f>
        <v/>
      </c>
      <c r="AD63" s="22" t="n"/>
      <c r="AE63" t="inlineStr">
        <is>
          <t>Identified</t>
        </is>
      </c>
      <c r="AG63" s="14" t="n">
        <v>0</v>
      </c>
      <c r="AI63" t="inlineStr">
        <is>
          <t>Yes</t>
        </is>
      </c>
      <c r="AN63" t="inlineStr">
        <is>
          <t>No</t>
        </is>
      </c>
    </row>
    <row r="64">
      <c r="A64">
        <f>IF(B64&lt;&gt;"", "REM-"&amp;TEXT(ROW()-2,"000"), "")</f>
        <v/>
      </c>
      <c r="P64" t="inlineStr">
        <is>
          <t>Yes</t>
        </is>
      </c>
      <c r="X64">
        <f>IF(L64="", "", IF(ISNUMBER(SEARCH("Critical",L64)), "Critical", IF(AND(ISNUMBER(SEARCH("High",L64)), ISNUMBER(SEARCH("Critical",F64))), "Critical", IF(ISNUMBER(SEARCH("High",L64)), "High", IF(ISNUMBER(SEARCH("Medium",L64)), "Medium", "Low")))))</f>
        <v/>
      </c>
      <c r="Z64" s="21">
        <f>IF(AND(N64&lt;&gt;"", X64&lt;&gt;""), IF(X64="Critical", N64+3, IF(X64="High", N64+7, IF(X64="Medium", N64+30, N64+90))), "")</f>
        <v/>
      </c>
      <c r="AC64" s="24">
        <f>IF(AND(AA64&lt;&gt;"", AB64&lt;&gt;""), AB64-AA64, "")</f>
        <v/>
      </c>
      <c r="AD64" s="22" t="n"/>
      <c r="AE64" t="inlineStr">
        <is>
          <t>Identified</t>
        </is>
      </c>
      <c r="AG64" s="14" t="n">
        <v>0</v>
      </c>
      <c r="AI64" t="inlineStr">
        <is>
          <t>Yes</t>
        </is>
      </c>
      <c r="AN64" t="inlineStr">
        <is>
          <t>No</t>
        </is>
      </c>
    </row>
    <row r="65">
      <c r="A65">
        <f>IF(B65&lt;&gt;"", "REM-"&amp;TEXT(ROW()-2,"000"), "")</f>
        <v/>
      </c>
      <c r="P65" t="inlineStr">
        <is>
          <t>Yes</t>
        </is>
      </c>
      <c r="X65">
        <f>IF(L65="", "", IF(ISNUMBER(SEARCH("Critical",L65)), "Critical", IF(AND(ISNUMBER(SEARCH("High",L65)), ISNUMBER(SEARCH("Critical",F65))), "Critical", IF(ISNUMBER(SEARCH("High",L65)), "High", IF(ISNUMBER(SEARCH("Medium",L65)), "Medium", "Low")))))</f>
        <v/>
      </c>
      <c r="Z65" s="21">
        <f>IF(AND(N65&lt;&gt;"", X65&lt;&gt;""), IF(X65="Critical", N65+3, IF(X65="High", N65+7, IF(X65="Medium", N65+30, N65+90))), "")</f>
        <v/>
      </c>
      <c r="AC65" s="24">
        <f>IF(AND(AA65&lt;&gt;"", AB65&lt;&gt;""), AB65-AA65, "")</f>
        <v/>
      </c>
      <c r="AD65" s="22" t="n"/>
      <c r="AE65" t="inlineStr">
        <is>
          <t>Identified</t>
        </is>
      </c>
      <c r="AG65" s="14" t="n">
        <v>0</v>
      </c>
      <c r="AI65" t="inlineStr">
        <is>
          <t>Yes</t>
        </is>
      </c>
      <c r="AN65" t="inlineStr">
        <is>
          <t>No</t>
        </is>
      </c>
    </row>
    <row r="66">
      <c r="A66">
        <f>IF(B66&lt;&gt;"", "REM-"&amp;TEXT(ROW()-2,"000"), "")</f>
        <v/>
      </c>
      <c r="P66" t="inlineStr">
        <is>
          <t>Yes</t>
        </is>
      </c>
      <c r="X66">
        <f>IF(L66="", "", IF(ISNUMBER(SEARCH("Critical",L66)), "Critical", IF(AND(ISNUMBER(SEARCH("High",L66)), ISNUMBER(SEARCH("Critical",F66))), "Critical", IF(ISNUMBER(SEARCH("High",L66)), "High", IF(ISNUMBER(SEARCH("Medium",L66)), "Medium", "Low")))))</f>
        <v/>
      </c>
      <c r="Z66" s="21">
        <f>IF(AND(N66&lt;&gt;"", X66&lt;&gt;""), IF(X66="Critical", N66+3, IF(X66="High", N66+7, IF(X66="Medium", N66+30, N66+90))), "")</f>
        <v/>
      </c>
      <c r="AC66" s="24">
        <f>IF(AND(AA66&lt;&gt;"", AB66&lt;&gt;""), AB66-AA66, "")</f>
        <v/>
      </c>
      <c r="AD66" s="22" t="n"/>
      <c r="AE66" t="inlineStr">
        <is>
          <t>Identified</t>
        </is>
      </c>
      <c r="AG66" s="14" t="n">
        <v>0</v>
      </c>
      <c r="AI66" t="inlineStr">
        <is>
          <t>Yes</t>
        </is>
      </c>
      <c r="AN66" t="inlineStr">
        <is>
          <t>No</t>
        </is>
      </c>
    </row>
    <row r="67">
      <c r="A67">
        <f>IF(B67&lt;&gt;"", "REM-"&amp;TEXT(ROW()-2,"000"), "")</f>
        <v/>
      </c>
      <c r="P67" t="inlineStr">
        <is>
          <t>Yes</t>
        </is>
      </c>
      <c r="X67">
        <f>IF(L67="", "", IF(ISNUMBER(SEARCH("Critical",L67)), "Critical", IF(AND(ISNUMBER(SEARCH("High",L67)), ISNUMBER(SEARCH("Critical",F67))), "Critical", IF(ISNUMBER(SEARCH("High",L67)), "High", IF(ISNUMBER(SEARCH("Medium",L67)), "Medium", "Low")))))</f>
        <v/>
      </c>
      <c r="Z67" s="21">
        <f>IF(AND(N67&lt;&gt;"", X67&lt;&gt;""), IF(X67="Critical", N67+3, IF(X67="High", N67+7, IF(X67="Medium", N67+30, N67+90))), "")</f>
        <v/>
      </c>
      <c r="AC67" s="24">
        <f>IF(AND(AA67&lt;&gt;"", AB67&lt;&gt;""), AB67-AA67, "")</f>
        <v/>
      </c>
      <c r="AD67" s="22" t="n"/>
      <c r="AE67" t="inlineStr">
        <is>
          <t>Identified</t>
        </is>
      </c>
      <c r="AG67" s="14" t="n">
        <v>0</v>
      </c>
      <c r="AI67" t="inlineStr">
        <is>
          <t>Yes</t>
        </is>
      </c>
      <c r="AN67" t="inlineStr">
        <is>
          <t>No</t>
        </is>
      </c>
    </row>
    <row r="68">
      <c r="A68">
        <f>IF(B68&lt;&gt;"", "REM-"&amp;TEXT(ROW()-2,"000"), "")</f>
        <v/>
      </c>
      <c r="P68" t="inlineStr">
        <is>
          <t>Yes</t>
        </is>
      </c>
      <c r="X68">
        <f>IF(L68="", "", IF(ISNUMBER(SEARCH("Critical",L68)), "Critical", IF(AND(ISNUMBER(SEARCH("High",L68)), ISNUMBER(SEARCH("Critical",F68))), "Critical", IF(ISNUMBER(SEARCH("High",L68)), "High", IF(ISNUMBER(SEARCH("Medium",L68)), "Medium", "Low")))))</f>
        <v/>
      </c>
      <c r="Z68" s="21">
        <f>IF(AND(N68&lt;&gt;"", X68&lt;&gt;""), IF(X68="Critical", N68+3, IF(X68="High", N68+7, IF(X68="Medium", N68+30, N68+90))), "")</f>
        <v/>
      </c>
      <c r="AC68" s="24">
        <f>IF(AND(AA68&lt;&gt;"", AB68&lt;&gt;""), AB68-AA68, "")</f>
        <v/>
      </c>
      <c r="AD68" s="22" t="n"/>
      <c r="AE68" t="inlineStr">
        <is>
          <t>Identified</t>
        </is>
      </c>
      <c r="AG68" s="14" t="n">
        <v>0</v>
      </c>
      <c r="AI68" t="inlineStr">
        <is>
          <t>Yes</t>
        </is>
      </c>
      <c r="AN68" t="inlineStr">
        <is>
          <t>No</t>
        </is>
      </c>
    </row>
    <row r="69">
      <c r="A69">
        <f>IF(B69&lt;&gt;"", "REM-"&amp;TEXT(ROW()-2,"000"), "")</f>
        <v/>
      </c>
      <c r="P69" t="inlineStr">
        <is>
          <t>Yes</t>
        </is>
      </c>
      <c r="X69">
        <f>IF(L69="", "", IF(ISNUMBER(SEARCH("Critical",L69)), "Critical", IF(AND(ISNUMBER(SEARCH("High",L69)), ISNUMBER(SEARCH("Critical",F69))), "Critical", IF(ISNUMBER(SEARCH("High",L69)), "High", IF(ISNUMBER(SEARCH("Medium",L69)), "Medium", "Low")))))</f>
        <v/>
      </c>
      <c r="Z69" s="21">
        <f>IF(AND(N69&lt;&gt;"", X69&lt;&gt;""), IF(X69="Critical", N69+3, IF(X69="High", N69+7, IF(X69="Medium", N69+30, N69+90))), "")</f>
        <v/>
      </c>
      <c r="AC69" s="24">
        <f>IF(AND(AA69&lt;&gt;"", AB69&lt;&gt;""), AB69-AA69, "")</f>
        <v/>
      </c>
      <c r="AD69" s="22" t="n"/>
      <c r="AE69" t="inlineStr">
        <is>
          <t>Identified</t>
        </is>
      </c>
      <c r="AG69" s="14" t="n">
        <v>0</v>
      </c>
      <c r="AI69" t="inlineStr">
        <is>
          <t>Yes</t>
        </is>
      </c>
      <c r="AN69" t="inlineStr">
        <is>
          <t>No</t>
        </is>
      </c>
    </row>
    <row r="70">
      <c r="A70">
        <f>IF(B70&lt;&gt;"", "REM-"&amp;TEXT(ROW()-2,"000"), "")</f>
        <v/>
      </c>
      <c r="P70" t="inlineStr">
        <is>
          <t>Yes</t>
        </is>
      </c>
      <c r="X70">
        <f>IF(L70="", "", IF(ISNUMBER(SEARCH("Critical",L70)), "Critical", IF(AND(ISNUMBER(SEARCH("High",L70)), ISNUMBER(SEARCH("Critical",F70))), "Critical", IF(ISNUMBER(SEARCH("High",L70)), "High", IF(ISNUMBER(SEARCH("Medium",L70)), "Medium", "Low")))))</f>
        <v/>
      </c>
      <c r="Z70" s="21">
        <f>IF(AND(N70&lt;&gt;"", X70&lt;&gt;""), IF(X70="Critical", N70+3, IF(X70="High", N70+7, IF(X70="Medium", N70+30, N70+90))), "")</f>
        <v/>
      </c>
      <c r="AC70" s="24">
        <f>IF(AND(AA70&lt;&gt;"", AB70&lt;&gt;""), AB70-AA70, "")</f>
        <v/>
      </c>
      <c r="AD70" s="22" t="n"/>
      <c r="AE70" t="inlineStr">
        <is>
          <t>Identified</t>
        </is>
      </c>
      <c r="AG70" s="14" t="n">
        <v>0</v>
      </c>
      <c r="AI70" t="inlineStr">
        <is>
          <t>Yes</t>
        </is>
      </c>
      <c r="AN70" t="inlineStr">
        <is>
          <t>No</t>
        </is>
      </c>
    </row>
    <row r="71">
      <c r="A71">
        <f>IF(B71&lt;&gt;"", "REM-"&amp;TEXT(ROW()-2,"000"), "")</f>
        <v/>
      </c>
      <c r="P71" t="inlineStr">
        <is>
          <t>Yes</t>
        </is>
      </c>
      <c r="X71">
        <f>IF(L71="", "", IF(ISNUMBER(SEARCH("Critical",L71)), "Critical", IF(AND(ISNUMBER(SEARCH("High",L71)), ISNUMBER(SEARCH("Critical",F71))), "Critical", IF(ISNUMBER(SEARCH("High",L71)), "High", IF(ISNUMBER(SEARCH("Medium",L71)), "Medium", "Low")))))</f>
        <v/>
      </c>
      <c r="Z71" s="21">
        <f>IF(AND(N71&lt;&gt;"", X71&lt;&gt;""), IF(X71="Critical", N71+3, IF(X71="High", N71+7, IF(X71="Medium", N71+30, N71+90))), "")</f>
        <v/>
      </c>
      <c r="AC71" s="24">
        <f>IF(AND(AA71&lt;&gt;"", AB71&lt;&gt;""), AB71-AA71, "")</f>
        <v/>
      </c>
      <c r="AD71" s="22" t="n"/>
      <c r="AE71" t="inlineStr">
        <is>
          <t>Identified</t>
        </is>
      </c>
      <c r="AG71" s="14" t="n">
        <v>0</v>
      </c>
      <c r="AI71" t="inlineStr">
        <is>
          <t>Yes</t>
        </is>
      </c>
      <c r="AN71" t="inlineStr">
        <is>
          <t>No</t>
        </is>
      </c>
    </row>
    <row r="72">
      <c r="A72">
        <f>IF(B72&lt;&gt;"", "REM-"&amp;TEXT(ROW()-2,"000"), "")</f>
        <v/>
      </c>
      <c r="P72" t="inlineStr">
        <is>
          <t>Yes</t>
        </is>
      </c>
      <c r="X72">
        <f>IF(L72="", "", IF(ISNUMBER(SEARCH("Critical",L72)), "Critical", IF(AND(ISNUMBER(SEARCH("High",L72)), ISNUMBER(SEARCH("Critical",F72))), "Critical", IF(ISNUMBER(SEARCH("High",L72)), "High", IF(ISNUMBER(SEARCH("Medium",L72)), "Medium", "Low")))))</f>
        <v/>
      </c>
      <c r="Z72" s="21">
        <f>IF(AND(N72&lt;&gt;"", X72&lt;&gt;""), IF(X72="Critical", N72+3, IF(X72="High", N72+7, IF(X72="Medium", N72+30, N72+90))), "")</f>
        <v/>
      </c>
      <c r="AC72" s="24">
        <f>IF(AND(AA72&lt;&gt;"", AB72&lt;&gt;""), AB72-AA72, "")</f>
        <v/>
      </c>
      <c r="AD72" s="22" t="n"/>
      <c r="AE72" t="inlineStr">
        <is>
          <t>Identified</t>
        </is>
      </c>
      <c r="AG72" s="14" t="n">
        <v>0</v>
      </c>
      <c r="AI72" t="inlineStr">
        <is>
          <t>Yes</t>
        </is>
      </c>
      <c r="AN72" t="inlineStr">
        <is>
          <t>No</t>
        </is>
      </c>
    </row>
    <row r="73">
      <c r="A73">
        <f>IF(B73&lt;&gt;"", "REM-"&amp;TEXT(ROW()-2,"000"), "")</f>
        <v/>
      </c>
      <c r="P73" t="inlineStr">
        <is>
          <t>Yes</t>
        </is>
      </c>
      <c r="X73">
        <f>IF(L73="", "", IF(ISNUMBER(SEARCH("Critical",L73)), "Critical", IF(AND(ISNUMBER(SEARCH("High",L73)), ISNUMBER(SEARCH("Critical",F73))), "Critical", IF(ISNUMBER(SEARCH("High",L73)), "High", IF(ISNUMBER(SEARCH("Medium",L73)), "Medium", "Low")))))</f>
        <v/>
      </c>
      <c r="Z73" s="21">
        <f>IF(AND(N73&lt;&gt;"", X73&lt;&gt;""), IF(X73="Critical", N73+3, IF(X73="High", N73+7, IF(X73="Medium", N73+30, N73+90))), "")</f>
        <v/>
      </c>
      <c r="AC73" s="24">
        <f>IF(AND(AA73&lt;&gt;"", AB73&lt;&gt;""), AB73-AA73, "")</f>
        <v/>
      </c>
      <c r="AD73" s="22" t="n"/>
      <c r="AE73" t="inlineStr">
        <is>
          <t>Identified</t>
        </is>
      </c>
      <c r="AG73" s="14" t="n">
        <v>0</v>
      </c>
      <c r="AI73" t="inlineStr">
        <is>
          <t>Yes</t>
        </is>
      </c>
      <c r="AN73" t="inlineStr">
        <is>
          <t>No</t>
        </is>
      </c>
    </row>
    <row r="74">
      <c r="A74">
        <f>IF(B74&lt;&gt;"", "REM-"&amp;TEXT(ROW()-2,"000"), "")</f>
        <v/>
      </c>
      <c r="P74" t="inlineStr">
        <is>
          <t>Yes</t>
        </is>
      </c>
      <c r="X74">
        <f>IF(L74="", "", IF(ISNUMBER(SEARCH("Critical",L74)), "Critical", IF(AND(ISNUMBER(SEARCH("High",L74)), ISNUMBER(SEARCH("Critical",F74))), "Critical", IF(ISNUMBER(SEARCH("High",L74)), "High", IF(ISNUMBER(SEARCH("Medium",L74)), "Medium", "Low")))))</f>
        <v/>
      </c>
      <c r="Z74" s="21">
        <f>IF(AND(N74&lt;&gt;"", X74&lt;&gt;""), IF(X74="Critical", N74+3, IF(X74="High", N74+7, IF(X74="Medium", N74+30, N74+90))), "")</f>
        <v/>
      </c>
      <c r="AC74" s="24">
        <f>IF(AND(AA74&lt;&gt;"", AB74&lt;&gt;""), AB74-AA74, "")</f>
        <v/>
      </c>
      <c r="AD74" s="22" t="n"/>
      <c r="AE74" t="inlineStr">
        <is>
          <t>Identified</t>
        </is>
      </c>
      <c r="AG74" s="14" t="n">
        <v>0</v>
      </c>
      <c r="AI74" t="inlineStr">
        <is>
          <t>Yes</t>
        </is>
      </c>
      <c r="AN74" t="inlineStr">
        <is>
          <t>No</t>
        </is>
      </c>
    </row>
    <row r="75">
      <c r="A75">
        <f>IF(B75&lt;&gt;"", "REM-"&amp;TEXT(ROW()-2,"000"), "")</f>
        <v/>
      </c>
      <c r="P75" t="inlineStr">
        <is>
          <t>Yes</t>
        </is>
      </c>
      <c r="X75">
        <f>IF(L75="", "", IF(ISNUMBER(SEARCH("Critical",L75)), "Critical", IF(AND(ISNUMBER(SEARCH("High",L75)), ISNUMBER(SEARCH("Critical",F75))), "Critical", IF(ISNUMBER(SEARCH("High",L75)), "High", IF(ISNUMBER(SEARCH("Medium",L75)), "Medium", "Low")))))</f>
        <v/>
      </c>
      <c r="Z75" s="21">
        <f>IF(AND(N75&lt;&gt;"", X75&lt;&gt;""), IF(X75="Critical", N75+3, IF(X75="High", N75+7, IF(X75="Medium", N75+30, N75+90))), "")</f>
        <v/>
      </c>
      <c r="AC75" s="24">
        <f>IF(AND(AA75&lt;&gt;"", AB75&lt;&gt;""), AB75-AA75, "")</f>
        <v/>
      </c>
      <c r="AD75" s="22" t="n"/>
      <c r="AE75" t="inlineStr">
        <is>
          <t>Identified</t>
        </is>
      </c>
      <c r="AG75" s="14" t="n">
        <v>0</v>
      </c>
      <c r="AI75" t="inlineStr">
        <is>
          <t>Yes</t>
        </is>
      </c>
      <c r="AN75" t="inlineStr">
        <is>
          <t>No</t>
        </is>
      </c>
    </row>
    <row r="76">
      <c r="A76">
        <f>IF(B76&lt;&gt;"", "REM-"&amp;TEXT(ROW()-2,"000"), "")</f>
        <v/>
      </c>
      <c r="P76" t="inlineStr">
        <is>
          <t>Yes</t>
        </is>
      </c>
      <c r="X76">
        <f>IF(L76="", "", IF(ISNUMBER(SEARCH("Critical",L76)), "Critical", IF(AND(ISNUMBER(SEARCH("High",L76)), ISNUMBER(SEARCH("Critical",F76))), "Critical", IF(ISNUMBER(SEARCH("High",L76)), "High", IF(ISNUMBER(SEARCH("Medium",L76)), "Medium", "Low")))))</f>
        <v/>
      </c>
      <c r="Z76" s="21">
        <f>IF(AND(N76&lt;&gt;"", X76&lt;&gt;""), IF(X76="Critical", N76+3, IF(X76="High", N76+7, IF(X76="Medium", N76+30, N76+90))), "")</f>
        <v/>
      </c>
      <c r="AC76" s="24">
        <f>IF(AND(AA76&lt;&gt;"", AB76&lt;&gt;""), AB76-AA76, "")</f>
        <v/>
      </c>
      <c r="AD76" s="22" t="n"/>
      <c r="AE76" t="inlineStr">
        <is>
          <t>Identified</t>
        </is>
      </c>
      <c r="AG76" s="14" t="n">
        <v>0</v>
      </c>
      <c r="AI76" t="inlineStr">
        <is>
          <t>Yes</t>
        </is>
      </c>
      <c r="AN76" t="inlineStr">
        <is>
          <t>No</t>
        </is>
      </c>
    </row>
    <row r="77">
      <c r="A77">
        <f>IF(B77&lt;&gt;"", "REM-"&amp;TEXT(ROW()-2,"000"), "")</f>
        <v/>
      </c>
      <c r="P77" t="inlineStr">
        <is>
          <t>Yes</t>
        </is>
      </c>
      <c r="X77">
        <f>IF(L77="", "", IF(ISNUMBER(SEARCH("Critical",L77)), "Critical", IF(AND(ISNUMBER(SEARCH("High",L77)), ISNUMBER(SEARCH("Critical",F77))), "Critical", IF(ISNUMBER(SEARCH("High",L77)), "High", IF(ISNUMBER(SEARCH("Medium",L77)), "Medium", "Low")))))</f>
        <v/>
      </c>
      <c r="Z77" s="21">
        <f>IF(AND(N77&lt;&gt;"", X77&lt;&gt;""), IF(X77="Critical", N77+3, IF(X77="High", N77+7, IF(X77="Medium", N77+30, N77+90))), "")</f>
        <v/>
      </c>
      <c r="AC77" s="24">
        <f>IF(AND(AA77&lt;&gt;"", AB77&lt;&gt;""), AB77-AA77, "")</f>
        <v/>
      </c>
      <c r="AD77" s="22" t="n"/>
      <c r="AE77" t="inlineStr">
        <is>
          <t>Identified</t>
        </is>
      </c>
      <c r="AG77" s="14" t="n">
        <v>0</v>
      </c>
      <c r="AI77" t="inlineStr">
        <is>
          <t>Yes</t>
        </is>
      </c>
      <c r="AN77" t="inlineStr">
        <is>
          <t>No</t>
        </is>
      </c>
    </row>
    <row r="78">
      <c r="A78">
        <f>IF(B78&lt;&gt;"", "REM-"&amp;TEXT(ROW()-2,"000"), "")</f>
        <v/>
      </c>
      <c r="P78" t="inlineStr">
        <is>
          <t>Yes</t>
        </is>
      </c>
      <c r="X78">
        <f>IF(L78="", "", IF(ISNUMBER(SEARCH("Critical",L78)), "Critical", IF(AND(ISNUMBER(SEARCH("High",L78)), ISNUMBER(SEARCH("Critical",F78))), "Critical", IF(ISNUMBER(SEARCH("High",L78)), "High", IF(ISNUMBER(SEARCH("Medium",L78)), "Medium", "Low")))))</f>
        <v/>
      </c>
      <c r="Z78" s="21">
        <f>IF(AND(N78&lt;&gt;"", X78&lt;&gt;""), IF(X78="Critical", N78+3, IF(X78="High", N78+7, IF(X78="Medium", N78+30, N78+90))), "")</f>
        <v/>
      </c>
      <c r="AC78" s="24">
        <f>IF(AND(AA78&lt;&gt;"", AB78&lt;&gt;""), AB78-AA78, "")</f>
        <v/>
      </c>
      <c r="AD78" s="22" t="n"/>
      <c r="AE78" t="inlineStr">
        <is>
          <t>Identified</t>
        </is>
      </c>
      <c r="AG78" s="14" t="n">
        <v>0</v>
      </c>
      <c r="AI78" t="inlineStr">
        <is>
          <t>Yes</t>
        </is>
      </c>
      <c r="AN78" t="inlineStr">
        <is>
          <t>No</t>
        </is>
      </c>
    </row>
    <row r="79">
      <c r="A79">
        <f>IF(B79&lt;&gt;"", "REM-"&amp;TEXT(ROW()-2,"000"), "")</f>
        <v/>
      </c>
      <c r="P79" t="inlineStr">
        <is>
          <t>Yes</t>
        </is>
      </c>
      <c r="X79">
        <f>IF(L79="", "", IF(ISNUMBER(SEARCH("Critical",L79)), "Critical", IF(AND(ISNUMBER(SEARCH("High",L79)), ISNUMBER(SEARCH("Critical",F79))), "Critical", IF(ISNUMBER(SEARCH("High",L79)), "High", IF(ISNUMBER(SEARCH("Medium",L79)), "Medium", "Low")))))</f>
        <v/>
      </c>
      <c r="Z79" s="21">
        <f>IF(AND(N79&lt;&gt;"", X79&lt;&gt;""), IF(X79="Critical", N79+3, IF(X79="High", N79+7, IF(X79="Medium", N79+30, N79+90))), "")</f>
        <v/>
      </c>
      <c r="AC79" s="24">
        <f>IF(AND(AA79&lt;&gt;"", AB79&lt;&gt;""), AB79-AA79, "")</f>
        <v/>
      </c>
      <c r="AD79" s="22" t="n"/>
      <c r="AE79" t="inlineStr">
        <is>
          <t>Identified</t>
        </is>
      </c>
      <c r="AG79" s="14" t="n">
        <v>0</v>
      </c>
      <c r="AI79" t="inlineStr">
        <is>
          <t>Yes</t>
        </is>
      </c>
      <c r="AN79" t="inlineStr">
        <is>
          <t>No</t>
        </is>
      </c>
    </row>
    <row r="80">
      <c r="A80">
        <f>IF(B80&lt;&gt;"", "REM-"&amp;TEXT(ROW()-2,"000"), "")</f>
        <v/>
      </c>
      <c r="P80" t="inlineStr">
        <is>
          <t>Yes</t>
        </is>
      </c>
      <c r="X80">
        <f>IF(L80="", "", IF(ISNUMBER(SEARCH("Critical",L80)), "Critical", IF(AND(ISNUMBER(SEARCH("High",L80)), ISNUMBER(SEARCH("Critical",F80))), "Critical", IF(ISNUMBER(SEARCH("High",L80)), "High", IF(ISNUMBER(SEARCH("Medium",L80)), "Medium", "Low")))))</f>
        <v/>
      </c>
      <c r="Z80" s="21">
        <f>IF(AND(N80&lt;&gt;"", X80&lt;&gt;""), IF(X80="Critical", N80+3, IF(X80="High", N80+7, IF(X80="Medium", N80+30, N80+90))), "")</f>
        <v/>
      </c>
      <c r="AC80" s="24">
        <f>IF(AND(AA80&lt;&gt;"", AB80&lt;&gt;""), AB80-AA80, "")</f>
        <v/>
      </c>
      <c r="AD80" s="22" t="n"/>
      <c r="AE80" t="inlineStr">
        <is>
          <t>Identified</t>
        </is>
      </c>
      <c r="AG80" s="14" t="n">
        <v>0</v>
      </c>
      <c r="AI80" t="inlineStr">
        <is>
          <t>Yes</t>
        </is>
      </c>
      <c r="AN80" t="inlineStr">
        <is>
          <t>No</t>
        </is>
      </c>
    </row>
    <row r="81">
      <c r="A81">
        <f>IF(B81&lt;&gt;"", "REM-"&amp;TEXT(ROW()-2,"000"), "")</f>
        <v/>
      </c>
      <c r="P81" t="inlineStr">
        <is>
          <t>Yes</t>
        </is>
      </c>
      <c r="X81">
        <f>IF(L81="", "", IF(ISNUMBER(SEARCH("Critical",L81)), "Critical", IF(AND(ISNUMBER(SEARCH("High",L81)), ISNUMBER(SEARCH("Critical",F81))), "Critical", IF(ISNUMBER(SEARCH("High",L81)), "High", IF(ISNUMBER(SEARCH("Medium",L81)), "Medium", "Low")))))</f>
        <v/>
      </c>
      <c r="Z81" s="21">
        <f>IF(AND(N81&lt;&gt;"", X81&lt;&gt;""), IF(X81="Critical", N81+3, IF(X81="High", N81+7, IF(X81="Medium", N81+30, N81+90))), "")</f>
        <v/>
      </c>
      <c r="AC81" s="24">
        <f>IF(AND(AA81&lt;&gt;"", AB81&lt;&gt;""), AB81-AA81, "")</f>
        <v/>
      </c>
      <c r="AD81" s="22" t="n"/>
      <c r="AE81" t="inlineStr">
        <is>
          <t>Identified</t>
        </is>
      </c>
      <c r="AG81" s="14" t="n">
        <v>0</v>
      </c>
      <c r="AI81" t="inlineStr">
        <is>
          <t>Yes</t>
        </is>
      </c>
      <c r="AN81" t="inlineStr">
        <is>
          <t>No</t>
        </is>
      </c>
    </row>
    <row r="82">
      <c r="A82">
        <f>IF(B82&lt;&gt;"", "REM-"&amp;TEXT(ROW()-2,"000"), "")</f>
        <v/>
      </c>
      <c r="P82" t="inlineStr">
        <is>
          <t>Yes</t>
        </is>
      </c>
      <c r="X82">
        <f>IF(L82="", "", IF(ISNUMBER(SEARCH("Critical",L82)), "Critical", IF(AND(ISNUMBER(SEARCH("High",L82)), ISNUMBER(SEARCH("Critical",F82))), "Critical", IF(ISNUMBER(SEARCH("High",L82)), "High", IF(ISNUMBER(SEARCH("Medium",L82)), "Medium", "Low")))))</f>
        <v/>
      </c>
      <c r="Z82" s="21">
        <f>IF(AND(N82&lt;&gt;"", X82&lt;&gt;""), IF(X82="Critical", N82+3, IF(X82="High", N82+7, IF(X82="Medium", N82+30, N82+90))), "")</f>
        <v/>
      </c>
      <c r="AC82" s="24">
        <f>IF(AND(AA82&lt;&gt;"", AB82&lt;&gt;""), AB82-AA82, "")</f>
        <v/>
      </c>
      <c r="AD82" s="22" t="n"/>
      <c r="AE82" t="inlineStr">
        <is>
          <t>Identified</t>
        </is>
      </c>
      <c r="AG82" s="14" t="n">
        <v>0</v>
      </c>
      <c r="AI82" t="inlineStr">
        <is>
          <t>Yes</t>
        </is>
      </c>
      <c r="AN82" t="inlineStr">
        <is>
          <t>No</t>
        </is>
      </c>
    </row>
    <row r="83">
      <c r="A83">
        <f>IF(B83&lt;&gt;"", "REM-"&amp;TEXT(ROW()-2,"000"), "")</f>
        <v/>
      </c>
      <c r="P83" t="inlineStr">
        <is>
          <t>Yes</t>
        </is>
      </c>
      <c r="X83">
        <f>IF(L83="", "", IF(ISNUMBER(SEARCH("Critical",L83)), "Critical", IF(AND(ISNUMBER(SEARCH("High",L83)), ISNUMBER(SEARCH("Critical",F83))), "Critical", IF(ISNUMBER(SEARCH("High",L83)), "High", IF(ISNUMBER(SEARCH("Medium",L83)), "Medium", "Low")))))</f>
        <v/>
      </c>
      <c r="Z83" s="21">
        <f>IF(AND(N83&lt;&gt;"", X83&lt;&gt;""), IF(X83="Critical", N83+3, IF(X83="High", N83+7, IF(X83="Medium", N83+30, N83+90))), "")</f>
        <v/>
      </c>
      <c r="AC83" s="24">
        <f>IF(AND(AA83&lt;&gt;"", AB83&lt;&gt;""), AB83-AA83, "")</f>
        <v/>
      </c>
      <c r="AD83" s="22" t="n"/>
      <c r="AE83" t="inlineStr">
        <is>
          <t>Identified</t>
        </is>
      </c>
      <c r="AG83" s="14" t="n">
        <v>0</v>
      </c>
      <c r="AI83" t="inlineStr">
        <is>
          <t>Yes</t>
        </is>
      </c>
      <c r="AN83" t="inlineStr">
        <is>
          <t>No</t>
        </is>
      </c>
    </row>
    <row r="84">
      <c r="A84">
        <f>IF(B84&lt;&gt;"", "REM-"&amp;TEXT(ROW()-2,"000"), "")</f>
        <v/>
      </c>
      <c r="P84" t="inlineStr">
        <is>
          <t>Yes</t>
        </is>
      </c>
      <c r="X84">
        <f>IF(L84="", "", IF(ISNUMBER(SEARCH("Critical",L84)), "Critical", IF(AND(ISNUMBER(SEARCH("High",L84)), ISNUMBER(SEARCH("Critical",F84))), "Critical", IF(ISNUMBER(SEARCH("High",L84)), "High", IF(ISNUMBER(SEARCH("Medium",L84)), "Medium", "Low")))))</f>
        <v/>
      </c>
      <c r="Z84" s="21">
        <f>IF(AND(N84&lt;&gt;"", X84&lt;&gt;""), IF(X84="Critical", N84+3, IF(X84="High", N84+7, IF(X84="Medium", N84+30, N84+90))), "")</f>
        <v/>
      </c>
      <c r="AC84" s="24">
        <f>IF(AND(AA84&lt;&gt;"", AB84&lt;&gt;""), AB84-AA84, "")</f>
        <v/>
      </c>
      <c r="AD84" s="22" t="n"/>
      <c r="AE84" t="inlineStr">
        <is>
          <t>Identified</t>
        </is>
      </c>
      <c r="AG84" s="14" t="n">
        <v>0</v>
      </c>
      <c r="AI84" t="inlineStr">
        <is>
          <t>Yes</t>
        </is>
      </c>
      <c r="AN84" t="inlineStr">
        <is>
          <t>No</t>
        </is>
      </c>
    </row>
    <row r="85">
      <c r="A85">
        <f>IF(B85&lt;&gt;"", "REM-"&amp;TEXT(ROW()-2,"000"), "")</f>
        <v/>
      </c>
      <c r="P85" t="inlineStr">
        <is>
          <t>Yes</t>
        </is>
      </c>
      <c r="X85">
        <f>IF(L85="", "", IF(ISNUMBER(SEARCH("Critical",L85)), "Critical", IF(AND(ISNUMBER(SEARCH("High",L85)), ISNUMBER(SEARCH("Critical",F85))), "Critical", IF(ISNUMBER(SEARCH("High",L85)), "High", IF(ISNUMBER(SEARCH("Medium",L85)), "Medium", "Low")))))</f>
        <v/>
      </c>
      <c r="Z85" s="21">
        <f>IF(AND(N85&lt;&gt;"", X85&lt;&gt;""), IF(X85="Critical", N85+3, IF(X85="High", N85+7, IF(X85="Medium", N85+30, N85+90))), "")</f>
        <v/>
      </c>
      <c r="AC85" s="24">
        <f>IF(AND(AA85&lt;&gt;"", AB85&lt;&gt;""), AB85-AA85, "")</f>
        <v/>
      </c>
      <c r="AD85" s="22" t="n"/>
      <c r="AE85" t="inlineStr">
        <is>
          <t>Identified</t>
        </is>
      </c>
      <c r="AG85" s="14" t="n">
        <v>0</v>
      </c>
      <c r="AI85" t="inlineStr">
        <is>
          <t>Yes</t>
        </is>
      </c>
      <c r="AN85" t="inlineStr">
        <is>
          <t>No</t>
        </is>
      </c>
    </row>
    <row r="86">
      <c r="A86">
        <f>IF(B86&lt;&gt;"", "REM-"&amp;TEXT(ROW()-2,"000"), "")</f>
        <v/>
      </c>
      <c r="P86" t="inlineStr">
        <is>
          <t>Yes</t>
        </is>
      </c>
      <c r="X86">
        <f>IF(L86="", "", IF(ISNUMBER(SEARCH("Critical",L86)), "Critical", IF(AND(ISNUMBER(SEARCH("High",L86)), ISNUMBER(SEARCH("Critical",F86))), "Critical", IF(ISNUMBER(SEARCH("High",L86)), "High", IF(ISNUMBER(SEARCH("Medium",L86)), "Medium", "Low")))))</f>
        <v/>
      </c>
      <c r="Z86" s="21">
        <f>IF(AND(N86&lt;&gt;"", X86&lt;&gt;""), IF(X86="Critical", N86+3, IF(X86="High", N86+7, IF(X86="Medium", N86+30, N86+90))), "")</f>
        <v/>
      </c>
      <c r="AC86" s="24">
        <f>IF(AND(AA86&lt;&gt;"", AB86&lt;&gt;""), AB86-AA86, "")</f>
        <v/>
      </c>
      <c r="AD86" s="22" t="n"/>
      <c r="AE86" t="inlineStr">
        <is>
          <t>Identified</t>
        </is>
      </c>
      <c r="AG86" s="14" t="n">
        <v>0</v>
      </c>
      <c r="AI86" t="inlineStr">
        <is>
          <t>Yes</t>
        </is>
      </c>
      <c r="AN86" t="inlineStr">
        <is>
          <t>No</t>
        </is>
      </c>
    </row>
    <row r="87">
      <c r="A87">
        <f>IF(B87&lt;&gt;"", "REM-"&amp;TEXT(ROW()-2,"000"), "")</f>
        <v/>
      </c>
      <c r="P87" t="inlineStr">
        <is>
          <t>Yes</t>
        </is>
      </c>
      <c r="X87">
        <f>IF(L87="", "", IF(ISNUMBER(SEARCH("Critical",L87)), "Critical", IF(AND(ISNUMBER(SEARCH("High",L87)), ISNUMBER(SEARCH("Critical",F87))), "Critical", IF(ISNUMBER(SEARCH("High",L87)), "High", IF(ISNUMBER(SEARCH("Medium",L87)), "Medium", "Low")))))</f>
        <v/>
      </c>
      <c r="Z87" s="21">
        <f>IF(AND(N87&lt;&gt;"", X87&lt;&gt;""), IF(X87="Critical", N87+3, IF(X87="High", N87+7, IF(X87="Medium", N87+30, N87+90))), "")</f>
        <v/>
      </c>
      <c r="AC87" s="24">
        <f>IF(AND(AA87&lt;&gt;"", AB87&lt;&gt;""), AB87-AA87, "")</f>
        <v/>
      </c>
      <c r="AD87" s="22" t="n"/>
      <c r="AE87" t="inlineStr">
        <is>
          <t>Identified</t>
        </is>
      </c>
      <c r="AG87" s="14" t="n">
        <v>0</v>
      </c>
      <c r="AI87" t="inlineStr">
        <is>
          <t>Yes</t>
        </is>
      </c>
      <c r="AN87" t="inlineStr">
        <is>
          <t>No</t>
        </is>
      </c>
    </row>
    <row r="88">
      <c r="A88">
        <f>IF(B88&lt;&gt;"", "REM-"&amp;TEXT(ROW()-2,"000"), "")</f>
        <v/>
      </c>
      <c r="P88" t="inlineStr">
        <is>
          <t>Yes</t>
        </is>
      </c>
      <c r="X88">
        <f>IF(L88="", "", IF(ISNUMBER(SEARCH("Critical",L88)), "Critical", IF(AND(ISNUMBER(SEARCH("High",L88)), ISNUMBER(SEARCH("Critical",F88))), "Critical", IF(ISNUMBER(SEARCH("High",L88)), "High", IF(ISNUMBER(SEARCH("Medium",L88)), "Medium", "Low")))))</f>
        <v/>
      </c>
      <c r="Z88" s="21">
        <f>IF(AND(N88&lt;&gt;"", X88&lt;&gt;""), IF(X88="Critical", N88+3, IF(X88="High", N88+7, IF(X88="Medium", N88+30, N88+90))), "")</f>
        <v/>
      </c>
      <c r="AC88" s="24">
        <f>IF(AND(AA88&lt;&gt;"", AB88&lt;&gt;""), AB88-AA88, "")</f>
        <v/>
      </c>
      <c r="AD88" s="22" t="n"/>
      <c r="AE88" t="inlineStr">
        <is>
          <t>Identified</t>
        </is>
      </c>
      <c r="AG88" s="14" t="n">
        <v>0</v>
      </c>
      <c r="AI88" t="inlineStr">
        <is>
          <t>Yes</t>
        </is>
      </c>
      <c r="AN88" t="inlineStr">
        <is>
          <t>No</t>
        </is>
      </c>
    </row>
    <row r="89">
      <c r="A89">
        <f>IF(B89&lt;&gt;"", "REM-"&amp;TEXT(ROW()-2,"000"), "")</f>
        <v/>
      </c>
      <c r="P89" t="inlineStr">
        <is>
          <t>Yes</t>
        </is>
      </c>
      <c r="X89">
        <f>IF(L89="", "", IF(ISNUMBER(SEARCH("Critical",L89)), "Critical", IF(AND(ISNUMBER(SEARCH("High",L89)), ISNUMBER(SEARCH("Critical",F89))), "Critical", IF(ISNUMBER(SEARCH("High",L89)), "High", IF(ISNUMBER(SEARCH("Medium",L89)), "Medium", "Low")))))</f>
        <v/>
      </c>
      <c r="Z89" s="21">
        <f>IF(AND(N89&lt;&gt;"", X89&lt;&gt;""), IF(X89="Critical", N89+3, IF(X89="High", N89+7, IF(X89="Medium", N89+30, N89+90))), "")</f>
        <v/>
      </c>
      <c r="AC89" s="24">
        <f>IF(AND(AA89&lt;&gt;"", AB89&lt;&gt;""), AB89-AA89, "")</f>
        <v/>
      </c>
      <c r="AD89" s="22" t="n"/>
      <c r="AE89" t="inlineStr">
        <is>
          <t>Identified</t>
        </is>
      </c>
      <c r="AG89" s="14" t="n">
        <v>0</v>
      </c>
      <c r="AI89" t="inlineStr">
        <is>
          <t>Yes</t>
        </is>
      </c>
      <c r="AN89" t="inlineStr">
        <is>
          <t>No</t>
        </is>
      </c>
    </row>
    <row r="90">
      <c r="A90">
        <f>IF(B90&lt;&gt;"", "REM-"&amp;TEXT(ROW()-2,"000"), "")</f>
        <v/>
      </c>
      <c r="P90" t="inlineStr">
        <is>
          <t>Yes</t>
        </is>
      </c>
      <c r="X90">
        <f>IF(L90="", "", IF(ISNUMBER(SEARCH("Critical",L90)), "Critical", IF(AND(ISNUMBER(SEARCH("High",L90)), ISNUMBER(SEARCH("Critical",F90))), "Critical", IF(ISNUMBER(SEARCH("High",L90)), "High", IF(ISNUMBER(SEARCH("Medium",L90)), "Medium", "Low")))))</f>
        <v/>
      </c>
      <c r="Z90" s="21">
        <f>IF(AND(N90&lt;&gt;"", X90&lt;&gt;""), IF(X90="Critical", N90+3, IF(X90="High", N90+7, IF(X90="Medium", N90+30, N90+90))), "")</f>
        <v/>
      </c>
      <c r="AC90" s="24">
        <f>IF(AND(AA90&lt;&gt;"", AB90&lt;&gt;""), AB90-AA90, "")</f>
        <v/>
      </c>
      <c r="AD90" s="22" t="n"/>
      <c r="AE90" t="inlineStr">
        <is>
          <t>Identified</t>
        </is>
      </c>
      <c r="AG90" s="14" t="n">
        <v>0</v>
      </c>
      <c r="AI90" t="inlineStr">
        <is>
          <t>Yes</t>
        </is>
      </c>
      <c r="AN90" t="inlineStr">
        <is>
          <t>No</t>
        </is>
      </c>
    </row>
    <row r="91">
      <c r="A91">
        <f>IF(B91&lt;&gt;"", "REM-"&amp;TEXT(ROW()-2,"000"), "")</f>
        <v/>
      </c>
      <c r="P91" t="inlineStr">
        <is>
          <t>Yes</t>
        </is>
      </c>
      <c r="X91">
        <f>IF(L91="", "", IF(ISNUMBER(SEARCH("Critical",L91)), "Critical", IF(AND(ISNUMBER(SEARCH("High",L91)), ISNUMBER(SEARCH("Critical",F91))), "Critical", IF(ISNUMBER(SEARCH("High",L91)), "High", IF(ISNUMBER(SEARCH("Medium",L91)), "Medium", "Low")))))</f>
        <v/>
      </c>
      <c r="Z91" s="21">
        <f>IF(AND(N91&lt;&gt;"", X91&lt;&gt;""), IF(X91="Critical", N91+3, IF(X91="High", N91+7, IF(X91="Medium", N91+30, N91+90))), "")</f>
        <v/>
      </c>
      <c r="AC91" s="24">
        <f>IF(AND(AA91&lt;&gt;"", AB91&lt;&gt;""), AB91-AA91, "")</f>
        <v/>
      </c>
      <c r="AD91" s="22" t="n"/>
      <c r="AE91" t="inlineStr">
        <is>
          <t>Identified</t>
        </is>
      </c>
      <c r="AG91" s="14" t="n">
        <v>0</v>
      </c>
      <c r="AI91" t="inlineStr">
        <is>
          <t>Yes</t>
        </is>
      </c>
      <c r="AN91" t="inlineStr">
        <is>
          <t>No</t>
        </is>
      </c>
    </row>
    <row r="92">
      <c r="A92">
        <f>IF(B92&lt;&gt;"", "REM-"&amp;TEXT(ROW()-2,"000"), "")</f>
        <v/>
      </c>
      <c r="P92" t="inlineStr">
        <is>
          <t>Yes</t>
        </is>
      </c>
      <c r="X92">
        <f>IF(L92="", "", IF(ISNUMBER(SEARCH("Critical",L92)), "Critical", IF(AND(ISNUMBER(SEARCH("High",L92)), ISNUMBER(SEARCH("Critical",F92))), "Critical", IF(ISNUMBER(SEARCH("High",L92)), "High", IF(ISNUMBER(SEARCH("Medium",L92)), "Medium", "Low")))))</f>
        <v/>
      </c>
      <c r="Z92" s="21">
        <f>IF(AND(N92&lt;&gt;"", X92&lt;&gt;""), IF(X92="Critical", N92+3, IF(X92="High", N92+7, IF(X92="Medium", N92+30, N92+90))), "")</f>
        <v/>
      </c>
      <c r="AC92" s="24">
        <f>IF(AND(AA92&lt;&gt;"", AB92&lt;&gt;""), AB92-AA92, "")</f>
        <v/>
      </c>
      <c r="AD92" s="22" t="n"/>
      <c r="AE92" t="inlineStr">
        <is>
          <t>Identified</t>
        </is>
      </c>
      <c r="AG92" s="14" t="n">
        <v>0</v>
      </c>
      <c r="AI92" t="inlineStr">
        <is>
          <t>Yes</t>
        </is>
      </c>
      <c r="AN92" t="inlineStr">
        <is>
          <t>No</t>
        </is>
      </c>
    </row>
    <row r="93">
      <c r="A93">
        <f>IF(B93&lt;&gt;"", "REM-"&amp;TEXT(ROW()-2,"000"), "")</f>
        <v/>
      </c>
      <c r="P93" t="inlineStr">
        <is>
          <t>Yes</t>
        </is>
      </c>
      <c r="X93">
        <f>IF(L93="", "", IF(ISNUMBER(SEARCH("Critical",L93)), "Critical", IF(AND(ISNUMBER(SEARCH("High",L93)), ISNUMBER(SEARCH("Critical",F93))), "Critical", IF(ISNUMBER(SEARCH("High",L93)), "High", IF(ISNUMBER(SEARCH("Medium",L93)), "Medium", "Low")))))</f>
        <v/>
      </c>
      <c r="Z93" s="21">
        <f>IF(AND(N93&lt;&gt;"", X93&lt;&gt;""), IF(X93="Critical", N93+3, IF(X93="High", N93+7, IF(X93="Medium", N93+30, N93+90))), "")</f>
        <v/>
      </c>
      <c r="AC93" s="24">
        <f>IF(AND(AA93&lt;&gt;"", AB93&lt;&gt;""), AB93-AA93, "")</f>
        <v/>
      </c>
      <c r="AD93" s="22" t="n"/>
      <c r="AE93" t="inlineStr">
        <is>
          <t>Identified</t>
        </is>
      </c>
      <c r="AG93" s="14" t="n">
        <v>0</v>
      </c>
      <c r="AI93" t="inlineStr">
        <is>
          <t>Yes</t>
        </is>
      </c>
      <c r="AN93" t="inlineStr">
        <is>
          <t>No</t>
        </is>
      </c>
    </row>
    <row r="94">
      <c r="A94">
        <f>IF(B94&lt;&gt;"", "REM-"&amp;TEXT(ROW()-2,"000"), "")</f>
        <v/>
      </c>
      <c r="P94" t="inlineStr">
        <is>
          <t>Yes</t>
        </is>
      </c>
      <c r="X94">
        <f>IF(L94="", "", IF(ISNUMBER(SEARCH("Critical",L94)), "Critical", IF(AND(ISNUMBER(SEARCH("High",L94)), ISNUMBER(SEARCH("Critical",F94))), "Critical", IF(ISNUMBER(SEARCH("High",L94)), "High", IF(ISNUMBER(SEARCH("Medium",L94)), "Medium", "Low")))))</f>
        <v/>
      </c>
      <c r="Z94" s="21">
        <f>IF(AND(N94&lt;&gt;"", X94&lt;&gt;""), IF(X94="Critical", N94+3, IF(X94="High", N94+7, IF(X94="Medium", N94+30, N94+90))), "")</f>
        <v/>
      </c>
      <c r="AC94" s="24">
        <f>IF(AND(AA94&lt;&gt;"", AB94&lt;&gt;""), AB94-AA94, "")</f>
        <v/>
      </c>
      <c r="AD94" s="22" t="n"/>
      <c r="AE94" t="inlineStr">
        <is>
          <t>Identified</t>
        </is>
      </c>
      <c r="AG94" s="14" t="n">
        <v>0</v>
      </c>
      <c r="AI94" t="inlineStr">
        <is>
          <t>Yes</t>
        </is>
      </c>
      <c r="AN94" t="inlineStr">
        <is>
          <t>No</t>
        </is>
      </c>
    </row>
    <row r="95">
      <c r="A95">
        <f>IF(B95&lt;&gt;"", "REM-"&amp;TEXT(ROW()-2,"000"), "")</f>
        <v/>
      </c>
      <c r="P95" t="inlineStr">
        <is>
          <t>Yes</t>
        </is>
      </c>
      <c r="X95">
        <f>IF(L95="", "", IF(ISNUMBER(SEARCH("Critical",L95)), "Critical", IF(AND(ISNUMBER(SEARCH("High",L95)), ISNUMBER(SEARCH("Critical",F95))), "Critical", IF(ISNUMBER(SEARCH("High",L95)), "High", IF(ISNUMBER(SEARCH("Medium",L95)), "Medium", "Low")))))</f>
        <v/>
      </c>
      <c r="Z95" s="21">
        <f>IF(AND(N95&lt;&gt;"", X95&lt;&gt;""), IF(X95="Critical", N95+3, IF(X95="High", N95+7, IF(X95="Medium", N95+30, N95+90))), "")</f>
        <v/>
      </c>
      <c r="AC95" s="24">
        <f>IF(AND(AA95&lt;&gt;"", AB95&lt;&gt;""), AB95-AA95, "")</f>
        <v/>
      </c>
      <c r="AD95" s="22" t="n"/>
      <c r="AE95" t="inlineStr">
        <is>
          <t>Identified</t>
        </is>
      </c>
      <c r="AG95" s="14" t="n">
        <v>0</v>
      </c>
      <c r="AI95" t="inlineStr">
        <is>
          <t>Yes</t>
        </is>
      </c>
      <c r="AN95" t="inlineStr">
        <is>
          <t>No</t>
        </is>
      </c>
    </row>
    <row r="96">
      <c r="A96">
        <f>IF(B96&lt;&gt;"", "REM-"&amp;TEXT(ROW()-2,"000"), "")</f>
        <v/>
      </c>
      <c r="P96" t="inlineStr">
        <is>
          <t>Yes</t>
        </is>
      </c>
      <c r="X96">
        <f>IF(L96="", "", IF(ISNUMBER(SEARCH("Critical",L96)), "Critical", IF(AND(ISNUMBER(SEARCH("High",L96)), ISNUMBER(SEARCH("Critical",F96))), "Critical", IF(ISNUMBER(SEARCH("High",L96)), "High", IF(ISNUMBER(SEARCH("Medium",L96)), "Medium", "Low")))))</f>
        <v/>
      </c>
      <c r="Z96" s="21">
        <f>IF(AND(N96&lt;&gt;"", X96&lt;&gt;""), IF(X96="Critical", N96+3, IF(X96="High", N96+7, IF(X96="Medium", N96+30, N96+90))), "")</f>
        <v/>
      </c>
      <c r="AC96" s="24">
        <f>IF(AND(AA96&lt;&gt;"", AB96&lt;&gt;""), AB96-AA96, "")</f>
        <v/>
      </c>
      <c r="AD96" s="22" t="n"/>
      <c r="AE96" t="inlineStr">
        <is>
          <t>Identified</t>
        </is>
      </c>
      <c r="AG96" s="14" t="n">
        <v>0</v>
      </c>
      <c r="AI96" t="inlineStr">
        <is>
          <t>Yes</t>
        </is>
      </c>
      <c r="AN96" t="inlineStr">
        <is>
          <t>No</t>
        </is>
      </c>
    </row>
    <row r="97">
      <c r="A97">
        <f>IF(B97&lt;&gt;"", "REM-"&amp;TEXT(ROW()-2,"000"), "")</f>
        <v/>
      </c>
      <c r="P97" t="inlineStr">
        <is>
          <t>Yes</t>
        </is>
      </c>
      <c r="X97">
        <f>IF(L97="", "", IF(ISNUMBER(SEARCH("Critical",L97)), "Critical", IF(AND(ISNUMBER(SEARCH("High",L97)), ISNUMBER(SEARCH("Critical",F97))), "Critical", IF(ISNUMBER(SEARCH("High",L97)), "High", IF(ISNUMBER(SEARCH("Medium",L97)), "Medium", "Low")))))</f>
        <v/>
      </c>
      <c r="Z97" s="21">
        <f>IF(AND(N97&lt;&gt;"", X97&lt;&gt;""), IF(X97="Critical", N97+3, IF(X97="High", N97+7, IF(X97="Medium", N97+30, N97+90))), "")</f>
        <v/>
      </c>
      <c r="AC97" s="24">
        <f>IF(AND(AA97&lt;&gt;"", AB97&lt;&gt;""), AB97-AA97, "")</f>
        <v/>
      </c>
      <c r="AD97" s="22" t="n"/>
      <c r="AE97" t="inlineStr">
        <is>
          <t>Identified</t>
        </is>
      </c>
      <c r="AG97" s="14" t="n">
        <v>0</v>
      </c>
      <c r="AI97" t="inlineStr">
        <is>
          <t>Yes</t>
        </is>
      </c>
      <c r="AN97" t="inlineStr">
        <is>
          <t>No</t>
        </is>
      </c>
    </row>
    <row r="98">
      <c r="A98">
        <f>IF(B98&lt;&gt;"", "REM-"&amp;TEXT(ROW()-2,"000"), "")</f>
        <v/>
      </c>
      <c r="P98" t="inlineStr">
        <is>
          <t>Yes</t>
        </is>
      </c>
      <c r="X98">
        <f>IF(L98="", "", IF(ISNUMBER(SEARCH("Critical",L98)), "Critical", IF(AND(ISNUMBER(SEARCH("High",L98)), ISNUMBER(SEARCH("Critical",F98))), "Critical", IF(ISNUMBER(SEARCH("High",L98)), "High", IF(ISNUMBER(SEARCH("Medium",L98)), "Medium", "Low")))))</f>
        <v/>
      </c>
      <c r="Z98" s="21">
        <f>IF(AND(N98&lt;&gt;"", X98&lt;&gt;""), IF(X98="Critical", N98+3, IF(X98="High", N98+7, IF(X98="Medium", N98+30, N98+90))), "")</f>
        <v/>
      </c>
      <c r="AC98" s="24">
        <f>IF(AND(AA98&lt;&gt;"", AB98&lt;&gt;""), AB98-AA98, "")</f>
        <v/>
      </c>
      <c r="AD98" s="22" t="n"/>
      <c r="AE98" t="inlineStr">
        <is>
          <t>Identified</t>
        </is>
      </c>
      <c r="AG98" s="14" t="n">
        <v>0</v>
      </c>
      <c r="AI98" t="inlineStr">
        <is>
          <t>Yes</t>
        </is>
      </c>
      <c r="AN98" t="inlineStr">
        <is>
          <t>No</t>
        </is>
      </c>
    </row>
    <row r="99">
      <c r="A99">
        <f>IF(B99&lt;&gt;"", "REM-"&amp;TEXT(ROW()-2,"000"), "")</f>
        <v/>
      </c>
      <c r="P99" t="inlineStr">
        <is>
          <t>Yes</t>
        </is>
      </c>
      <c r="X99">
        <f>IF(L99="", "", IF(ISNUMBER(SEARCH("Critical",L99)), "Critical", IF(AND(ISNUMBER(SEARCH("High",L99)), ISNUMBER(SEARCH("Critical",F99))), "Critical", IF(ISNUMBER(SEARCH("High",L99)), "High", IF(ISNUMBER(SEARCH("Medium",L99)), "Medium", "Low")))))</f>
        <v/>
      </c>
      <c r="Z99" s="21">
        <f>IF(AND(N99&lt;&gt;"", X99&lt;&gt;""), IF(X99="Critical", N99+3, IF(X99="High", N99+7, IF(X99="Medium", N99+30, N99+90))), "")</f>
        <v/>
      </c>
      <c r="AC99" s="24">
        <f>IF(AND(AA99&lt;&gt;"", AB99&lt;&gt;""), AB99-AA99, "")</f>
        <v/>
      </c>
      <c r="AD99" s="22" t="n"/>
      <c r="AE99" t="inlineStr">
        <is>
          <t>Identified</t>
        </is>
      </c>
      <c r="AG99" s="14" t="n">
        <v>0</v>
      </c>
      <c r="AI99" t="inlineStr">
        <is>
          <t>Yes</t>
        </is>
      </c>
      <c r="AN99" t="inlineStr">
        <is>
          <t>No</t>
        </is>
      </c>
    </row>
    <row r="100">
      <c r="A100">
        <f>IF(B100&lt;&gt;"", "REM-"&amp;TEXT(ROW()-2,"000"), "")</f>
        <v/>
      </c>
      <c r="P100" t="inlineStr">
        <is>
          <t>Yes</t>
        </is>
      </c>
      <c r="X100">
        <f>IF(L100="", "", IF(ISNUMBER(SEARCH("Critical",L100)), "Critical", IF(AND(ISNUMBER(SEARCH("High",L100)), ISNUMBER(SEARCH("Critical",F100))), "Critical", IF(ISNUMBER(SEARCH("High",L100)), "High", IF(ISNUMBER(SEARCH("Medium",L100)), "Medium", "Low")))))</f>
        <v/>
      </c>
      <c r="Z100" s="21">
        <f>IF(AND(N100&lt;&gt;"", X100&lt;&gt;""), IF(X100="Critical", N100+3, IF(X100="High", N100+7, IF(X100="Medium", N100+30, N100+90))), "")</f>
        <v/>
      </c>
      <c r="AC100" s="24">
        <f>IF(AND(AA100&lt;&gt;"", AB100&lt;&gt;""), AB100-AA100, "")</f>
        <v/>
      </c>
      <c r="AD100" s="22" t="n"/>
      <c r="AE100" t="inlineStr">
        <is>
          <t>Identified</t>
        </is>
      </c>
      <c r="AG100" s="14" t="n">
        <v>0</v>
      </c>
      <c r="AI100" t="inlineStr">
        <is>
          <t>Yes</t>
        </is>
      </c>
      <c r="AN100" t="inlineStr">
        <is>
          <t>No</t>
        </is>
      </c>
    </row>
    <row r="101">
      <c r="A101">
        <f>IF(B101&lt;&gt;"", "REM-"&amp;TEXT(ROW()-2,"000"), "")</f>
        <v/>
      </c>
      <c r="P101" t="inlineStr">
        <is>
          <t>Yes</t>
        </is>
      </c>
      <c r="X101">
        <f>IF(L101="", "", IF(ISNUMBER(SEARCH("Critical",L101)), "Critical", IF(AND(ISNUMBER(SEARCH("High",L101)), ISNUMBER(SEARCH("Critical",F101))), "Critical", IF(ISNUMBER(SEARCH("High",L101)), "High", IF(ISNUMBER(SEARCH("Medium",L101)), "Medium", "Low")))))</f>
        <v/>
      </c>
      <c r="Z101" s="21">
        <f>IF(AND(N101&lt;&gt;"", X101&lt;&gt;""), IF(X101="Critical", N101+3, IF(X101="High", N101+7, IF(X101="Medium", N101+30, N101+90))), "")</f>
        <v/>
      </c>
      <c r="AC101" s="24">
        <f>IF(AND(AA101&lt;&gt;"", AB101&lt;&gt;""), AB101-AA101, "")</f>
        <v/>
      </c>
      <c r="AD101" s="22" t="n"/>
      <c r="AE101" t="inlineStr">
        <is>
          <t>Identified</t>
        </is>
      </c>
      <c r="AG101" s="14" t="n">
        <v>0</v>
      </c>
      <c r="AI101" t="inlineStr">
        <is>
          <t>Yes</t>
        </is>
      </c>
      <c r="AN101" t="inlineStr">
        <is>
          <t>No</t>
        </is>
      </c>
    </row>
    <row r="102">
      <c r="A102">
        <f>IF(B102&lt;&gt;"", "REM-"&amp;TEXT(ROW()-2,"000"), "")</f>
        <v/>
      </c>
      <c r="P102" t="inlineStr">
        <is>
          <t>Yes</t>
        </is>
      </c>
      <c r="X102">
        <f>IF(L102="", "", IF(ISNUMBER(SEARCH("Critical",L102)), "Critical", IF(AND(ISNUMBER(SEARCH("High",L102)), ISNUMBER(SEARCH("Critical",F102))), "Critical", IF(ISNUMBER(SEARCH("High",L102)), "High", IF(ISNUMBER(SEARCH("Medium",L102)), "Medium", "Low")))))</f>
        <v/>
      </c>
      <c r="Z102" s="21">
        <f>IF(AND(N102&lt;&gt;"", X102&lt;&gt;""), IF(X102="Critical", N102+3, IF(X102="High", N102+7, IF(X102="Medium", N102+30, N102+90))), "")</f>
        <v/>
      </c>
      <c r="AC102" s="24">
        <f>IF(AND(AA102&lt;&gt;"", AB102&lt;&gt;""), AB102-AA102, "")</f>
        <v/>
      </c>
      <c r="AD102" s="22" t="n"/>
      <c r="AE102" t="inlineStr">
        <is>
          <t>Identified</t>
        </is>
      </c>
      <c r="AG102" s="14" t="n">
        <v>0</v>
      </c>
      <c r="AI102" t="inlineStr">
        <is>
          <t>Yes</t>
        </is>
      </c>
      <c r="AN102" t="inlineStr">
        <is>
          <t>No</t>
        </is>
      </c>
    </row>
  </sheetData>
  <mergeCells count="1">
    <mergeCell ref="A1:AV1"/>
  </mergeCells>
  <conditionalFormatting sqref="AE3:AE102">
    <cfRule type="expression" priority="1" dxfId="3">
      <formula>OR(ISNUMBER(SEARCH("Fully Compliant",$AE3)),ISNUMBER(SEARCH("Compliant",$AE3)),ISNUMBER(SEARCH("Completed",$AE3)),ISNUMBER(SEARCH("Pass",$AE3)),ISNUMBER(SEARCH("Approved",$AE3)))</formula>
    </cfRule>
    <cfRule type="expression" priority="2" dxfId="1">
      <formula>OR(ISNUMBER(SEARCH("Substantially Compliant",$AE3)),ISNUMBER(SEARCH("Partial",$AE3)),ISNUMBER(SEARCH("In Progress",$AE3)),ISNUMBER(SEARCH("Under Review",$AE3)))</formula>
    </cfRule>
    <cfRule type="expression" priority="3" dxfId="5">
      <formula>OR(ISNUMBER(SEARCH("Non-Compliant",$AE3)),ISNUMBER(SEARCH("Fail",$AE3)),ISNUMBER(SEARCH("Blocked",$AE3)),ISNUMBER(SEARCH("Rejected",$AE3)),ISNUMBER(SEARCH("Expired",$AE3)))</formula>
    </cfRule>
  </conditionalFormatting>
  <conditionalFormatting sqref="AD3:AD102">
    <cfRule type="cellIs" priority="4" operator="greaterThan" dxfId="1">
      <formula>0</formula>
    </cfRule>
    <cfRule type="cellIs" priority="5" operator="greaterThan" dxfId="0">
      <formula>7</formula>
    </cfRule>
  </conditionalFormatting>
  <conditionalFormatting sqref="L3:L102">
    <cfRule type="expression" priority="6" dxfId="6">
      <formula>OR(ISNUMBER(SEARCH("Critical",$L3)), ISNUMBER(SEARCH("High",$L3)))</formula>
    </cfRule>
  </conditionalFormatting>
  <conditionalFormatting sqref="A3:AV102">
    <cfRule type="expression" priority="7" dxfId="9">
      <formula>AND(ISNUMBER(SEARCH("Critical",$F3)), NOT(ISNUMBER(SEARCH("Completed",$AE3))))</formula>
    </cfRule>
  </conditionalFormatting>
  <conditionalFormatting sqref="AG3:AG102">
    <cfRule type="colorScale" priority="8">
      <colorScale>
        <cfvo type="num" val="0"/>
        <cfvo type="num" val="0.5"/>
        <cfvo type="num" val="1"/>
        <color rgb="00C00000"/>
        <color rgb="00FFEB9C"/>
        <color rgb="00C6EFCE"/>
      </colorScale>
    </cfRule>
  </conditionalFormatting>
  <dataValidations count="12">
    <dataValidation sqref="B3:B102" showDropDown="0" showInputMessage="0" showErrorMessage="1" allowBlank="1" errorTitle="Invalid Entry" error="Please select from the dropdown list." type="list">
      <formula1>"Hardening Gap,Configuration Drift,Vulnerability,Audit Finding,Threat Response"</formula1>
    </dataValidation>
    <dataValidation sqref="F3:F102" showDropDown="0" showInputMessage="0" showErrorMessage="1" allowBlank="1" errorTitle="Invalid Entry" error="Please select from the dropdown list." type="list">
      <formula1>"Critical,High,Medium,Low"</formula1>
    </dataValidation>
    <dataValidation sqref="J3:J102" showDropDown="0" showInputMessage="0" showErrorMessage="1" allowBlank="1" errorTitle="Invalid Entry" error="Please select from the dropdown list." type="list">
      <formula1>"Critical,High,Medium,Low"</formula1>
    </dataValidation>
    <dataValidation sqref="L3:L102" showDropDown="0" showInputMessage="0" showErrorMessage="1" allowBlank="1" errorTitle="Invalid Entry" error="Please select from the dropdown list." type="list">
      <formula1>"Critical,High,Medium,Low"</formula1>
    </dataValidation>
    <dataValidation sqref="O3:O102" showDropDown="0" showInputMessage="0" showErrorMessage="1" allowBlank="1" errorTitle="Invalid Entry" error="Please select from the dropdown list." type="list">
      <formula1>"Security Assessment,Vulnerability Scan,Configuration Monitoring,Penetration Test,Incident Response,Audit,Threat Intelligence"</formula1>
    </dataValidation>
    <dataValidation sqref="P3:P102" showDropDown="0" showInputMessage="0" showErrorMessage="1" allowBlank="1" errorTitle="Invalid Entry" error="Please select from the dropdown list." type="list">
      <formula1>"Yes,No"</formula1>
    </dataValidation>
    <dataValidation sqref="Q3:Q102" showDropDown="0" showInputMessage="0" showErrorMessage="1" allowBlank="1" errorTitle="Invalid Entry" error="Please select from the dropdown list." type="list">
      <formula1>"Configuration Change,Software Update,Policy Change,Compensating Control,Accept as Exception,Asset Decommission,Defer"</formula1>
    </dataValidation>
    <dataValidation sqref="U3:U102" showDropDown="0" showInputMessage="0" showErrorMessage="1" allowBlank="1" errorTitle="Invalid Entry" error="Please select from the dropdown list." type="list">
      <formula1>"&lt;1 hour,1-4 hours,1 day,2-5 days,1-2 weeks,2-4 weeks,&gt;1 month"</formula1>
    </dataValidation>
    <dataValidation sqref="AE3:AE102" showDropDown="0" showInputMessage="0" showErrorMessage="1" allowBlank="1" errorTitle="Invalid Entry" error="Please select from the dropdown list." type="list">
      <formula1>"Identified,Planning,✅ Approved,⏳ In Progress,⏳ Verification,✅ Completed,❌ Blocked,⚠️ Deferred,✅ Closed - Fixed,⚠️ Closed - Exception,➖ Closed - Not Required"</formula1>
    </dataValidation>
    <dataValidation sqref="AI3:AI102" showDropDown="0" showInputMessage="0" showErrorMessage="1" allowBlank="1" errorTitle="Invalid Entry" error="Please select from the dropdown list." type="list">
      <formula1>"Yes,No"</formula1>
    </dataValidation>
    <dataValidation sqref="AM3:AM102" showDropDown="0" showInputMessage="0" showErrorMessage="1" allowBlank="1" errorTitle="Invalid Entry" error="Please select from the dropdown list." type="list">
      <formula1>"✅ Pass,❌ Fail"</formula1>
    </dataValidation>
    <dataValidation sqref="AN3:AN102" showDropDown="0" showInputMessage="0" showErrorMessage="1" allowBlank="1" errorTitle="Invalid Entry" error="Please select from the dropdown list."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102"/>
  <sheetViews>
    <sheetView showGridLines="0" workbookViewId="0">
      <pane ySplit="2" topLeftCell="A3" activePane="bottomLeft" state="frozen"/>
      <selection pane="bottomLeft" activeCell="A1" sqref="A1"/>
    </sheetView>
  </sheetViews>
  <sheetFormatPr baseColWidth="8" defaultRowHeight="15"/>
  <cols>
    <col width="12" customWidth="1" min="1" max="1"/>
    <col width="14" customWidth="1" min="2" max="2"/>
    <col width="12" customWidth="1" min="3" max="3"/>
    <col width="25" customWidth="1" min="4" max="4"/>
    <col width="12" customWidth="1" min="5" max="5"/>
    <col width="12" customWidth="1" min="6" max="6"/>
    <col width="14" customWidth="1" min="7" max="7"/>
    <col width="30" customWidth="1" min="8" max="8"/>
    <col width="12" customWidth="1" min="9" max="9"/>
    <col width="15" customWidth="1" min="10" max="10"/>
    <col width="15" customWidth="1" min="11" max="11"/>
    <col width="40" customWidth="1" min="12" max="12"/>
    <col width="20" customWidth="1" min="13" max="13"/>
    <col width="35" customWidth="1" min="14" max="14"/>
    <col width="12" customWidth="1" min="15" max="15"/>
    <col width="18" customWidth="1" min="16" max="16"/>
    <col width="25" customWidth="1" min="17" max="17"/>
    <col width="15" customWidth="1" min="18" max="18"/>
    <col width="20" customWidth="1" min="19" max="19"/>
    <col width="16" customWidth="1" min="20" max="20"/>
    <col width="18" customWidth="1" min="21" max="21"/>
    <col width="30" customWidth="1" min="22" max="22"/>
    <col width="15" customWidth="1" min="23" max="23"/>
    <col width="25" customWidth="1" min="24" max="24"/>
    <col width="25" customWidth="1" min="25" max="25"/>
  </cols>
  <sheetData>
    <row r="1" ht="35" customHeight="1">
      <c r="A1" s="11" t="inlineStr">
        <is>
          <t>GAP PRIORITIZATION</t>
        </is>
      </c>
    </row>
    <row r="2">
      <c r="A2" s="12" t="inlineStr">
        <is>
          <t>Priority Rank</t>
        </is>
      </c>
      <c r="B2" s="12" t="inlineStr">
        <is>
          <t>Remediation ID</t>
        </is>
      </c>
      <c r="C2" s="12" t="inlineStr">
        <is>
          <t>Asset ID</t>
        </is>
      </c>
      <c r="D2" s="12" t="inlineStr">
        <is>
          <t>Asset Name</t>
        </is>
      </c>
      <c r="E2" s="12" t="inlineStr">
        <is>
          <t>Asset Tier</t>
        </is>
      </c>
      <c r="F2" s="12" t="inlineStr">
        <is>
          <t>Control ID</t>
        </is>
      </c>
      <c r="G2" s="12" t="inlineStr">
        <is>
          <t>Control Number</t>
        </is>
      </c>
      <c r="H2" s="12" t="inlineStr">
        <is>
          <t>Control Title</t>
        </is>
      </c>
      <c r="I2" s="12" t="inlineStr">
        <is>
          <t>Standard ID</t>
        </is>
      </c>
      <c r="J2" s="12" t="inlineStr">
        <is>
          <t>Control Severity</t>
        </is>
      </c>
      <c r="K2" s="12" t="inlineStr">
        <is>
          <t>Gap Risk Rating</t>
        </is>
      </c>
      <c r="L2" s="12" t="inlineStr">
        <is>
          <t>Gap Description</t>
        </is>
      </c>
      <c r="M2" s="12" t="inlineStr">
        <is>
          <t>Exploitation Likelihood</t>
        </is>
      </c>
      <c r="N2" s="12" t="inlineStr">
        <is>
          <t>Impact Assessment</t>
        </is>
      </c>
      <c r="O2" s="12" t="inlineStr">
        <is>
          <t>Risk Score</t>
        </is>
      </c>
      <c r="P2" s="12" t="inlineStr">
        <is>
          <t>Priority Category</t>
        </is>
      </c>
      <c r="Q2" s="12" t="inlineStr">
        <is>
          <t>Remediation Owner</t>
        </is>
      </c>
      <c r="R2" s="12" t="inlineStr">
        <is>
          <t>Estimated Effort</t>
        </is>
      </c>
      <c r="S2" s="12" t="inlineStr">
        <is>
          <t>Target Completion Date</t>
        </is>
      </c>
      <c r="T2" s="12" t="inlineStr">
        <is>
          <t>Days Until Target</t>
        </is>
      </c>
      <c r="U2" s="12" t="inlineStr">
        <is>
          <t>Status</t>
        </is>
      </c>
      <c r="V2" s="12" t="inlineStr">
        <is>
          <t>Dependencies</t>
        </is>
      </c>
      <c r="W2" s="12" t="inlineStr">
        <is>
          <t>Quick Win</t>
        </is>
      </c>
      <c r="X2" s="12" t="inlineStr">
        <is>
          <t>Related Gaps</t>
        </is>
      </c>
      <c r="Y2" s="12" t="inlineStr">
        <is>
          <t>Batch Opportunity</t>
        </is>
      </c>
    </row>
    <row r="3">
      <c r="A3">
        <f>IF(B3&lt;&gt;"", ROW()-2, "")</f>
        <v/>
      </c>
      <c r="B3">
        <f>'Remediation Tracking'!A3</f>
        <v/>
      </c>
      <c r="C3">
        <f>'Remediation Tracking'!D3</f>
        <v/>
      </c>
      <c r="D3">
        <f>'Remediation Tracking'!E3</f>
        <v/>
      </c>
      <c r="E3">
        <f>'Remediation Tracking'!F3</f>
        <v/>
      </c>
      <c r="F3">
        <f>'Remediation Tracking'!C3</f>
        <v/>
      </c>
      <c r="G3">
        <f>'Remediation Tracking'!H3</f>
        <v/>
      </c>
      <c r="H3">
        <f>'Remediation Tracking'!I3</f>
        <v/>
      </c>
      <c r="I3">
        <f>'Remediation Tracking'!G3</f>
        <v/>
      </c>
      <c r="J3">
        <f>'Remediation Tracking'!J3</f>
        <v/>
      </c>
      <c r="K3">
        <f>'Remediation Tracking'!L3</f>
        <v/>
      </c>
      <c r="L3">
        <f>'Remediation Tracking'!K3</f>
        <v/>
      </c>
      <c r="M3" t="inlineStr">
        <is>
          <t>Medium</t>
        </is>
      </c>
      <c r="N3">
        <f>'Remediation Tracking'!M3</f>
        <v/>
      </c>
      <c r="O3" s="25">
        <f>IF(E3="", "", (IF(ISNUMBER(SEARCH("Critical",E3)),5,IF(ISNUMBER(SEARCH("High",E3)),4,IF(ISNUMBER(SEARCH("Medium",E3)),3,2)))*10) + (IF(ISNUMBER(SEARCH("Critical",J3)),5,IF(ISNUMBER(SEARCH("High",J3)),4,IF(ISNUMBER(SEARCH("Medium",J3)),3,2)))*8) + (IF(ISNUMBER(SEARCH("Very High",M3)),5,IF(ISNUMBER(SEARCH("Very Low",M3)),1,IF(ISNUMBER(SEARCH("High",M3)),4,IF(ISNUMBER(SEARCH("Medium",M3)),3,IF(ISNUMBER(SEARCH("Low",M3)),2,1)))))*6) + (IF(T3&lt;0, ABS(T3)/7*2, 0)))</f>
        <v/>
      </c>
      <c r="P3">
        <f>IF(O3="", "", IF(AND(ISNUMBER(SEARCH("Critical",E3)), OR(ISNUMBER(SEARCH("Critical",K3)),ISNUMBER(SEARCH("High",K3))), T3&lt;0), "P0 - Critical &amp; Urgent", IF(AND(ISNUMBER(SEARCH("Critical",E3)), OR(ISNUMBER(SEARCH("Critical",K3)),ISNUMBER(SEARCH("High",K3)))), "P1 - Critical", IF(OR(AND(ISNUMBER(SEARCH("High",E3)),ISNUMBER(SEARCH("High",K3))),AND(ISNUMBER(SEARCH("Critical",E3)),ISNUMBER(SEARCH("Medium",K3)))), "P2 - High Priority", IF(OR(AND(ISNUMBER(SEARCH("Medium",E3)),ISNUMBER(SEARCH("High",K3))),AND(ISNUMBER(SEARCH("High",E3)),ISNUMBER(SEARCH("Medium",K3)))), "P3 - Medium Priority", "P4 - Low Priority")))))</f>
        <v/>
      </c>
      <c r="Q3">
        <f>'Remediation Tracking'!S3</f>
        <v/>
      </c>
      <c r="R3">
        <f>'Remediation Tracking'!U3</f>
        <v/>
      </c>
      <c r="S3">
        <f>'Remediation Tracking'!Z3</f>
        <v/>
      </c>
      <c r="T3" s="22" t="n"/>
      <c r="U3">
        <f>'Remediation Tracking'!AE3</f>
        <v/>
      </c>
      <c r="V3">
        <f>'Remediation Tracking'!W3</f>
        <v/>
      </c>
      <c r="W3">
        <f>IF(AND(OR(R3="&lt;1 hour",R3="1-4 hours",R3="1 day"), OR(K3="Medium",K3="High",K3="Critical")), "Yes - Quick Win", "No")</f>
        <v/>
      </c>
    </row>
    <row r="4">
      <c r="A4">
        <f>IF(B4&lt;&gt;"", ROW()-2, "")</f>
        <v/>
      </c>
      <c r="B4">
        <f>'Remediation Tracking'!A4</f>
        <v/>
      </c>
      <c r="C4">
        <f>'Remediation Tracking'!D4</f>
        <v/>
      </c>
      <c r="D4">
        <f>'Remediation Tracking'!E4</f>
        <v/>
      </c>
      <c r="E4">
        <f>'Remediation Tracking'!F4</f>
        <v/>
      </c>
      <c r="F4">
        <f>'Remediation Tracking'!C4</f>
        <v/>
      </c>
      <c r="G4">
        <f>'Remediation Tracking'!H4</f>
        <v/>
      </c>
      <c r="H4">
        <f>'Remediation Tracking'!I4</f>
        <v/>
      </c>
      <c r="I4">
        <f>'Remediation Tracking'!G4</f>
        <v/>
      </c>
      <c r="J4">
        <f>'Remediation Tracking'!J4</f>
        <v/>
      </c>
      <c r="K4">
        <f>'Remediation Tracking'!L4</f>
        <v/>
      </c>
      <c r="L4">
        <f>'Remediation Tracking'!K4</f>
        <v/>
      </c>
      <c r="M4" t="inlineStr">
        <is>
          <t>Medium</t>
        </is>
      </c>
      <c r="N4">
        <f>'Remediation Tracking'!M4</f>
        <v/>
      </c>
      <c r="O4" s="25">
        <f>IF(E4="", "", (IF(ISNUMBER(SEARCH("Critical",E4)),5,IF(ISNUMBER(SEARCH("High",E4)),4,IF(ISNUMBER(SEARCH("Medium",E4)),3,2)))*10) + (IF(ISNUMBER(SEARCH("Critical",J4)),5,IF(ISNUMBER(SEARCH("High",J4)),4,IF(ISNUMBER(SEARCH("Medium",J4)),3,2)))*8) + (IF(ISNUMBER(SEARCH("Very High",M4)),5,IF(ISNUMBER(SEARCH("Very Low",M4)),1,IF(ISNUMBER(SEARCH("High",M4)),4,IF(ISNUMBER(SEARCH("Medium",M4)),3,IF(ISNUMBER(SEARCH("Low",M4)),2,1)))))*6) + (IF(T4&lt;0, ABS(T4)/7*2, 0)))</f>
        <v/>
      </c>
      <c r="P4">
        <f>IF(O4="", "", IF(AND(ISNUMBER(SEARCH("Critical",E4)), OR(ISNUMBER(SEARCH("Critical",K4)),ISNUMBER(SEARCH("High",K4))), T4&lt;0), "P0 - Critical &amp; Urgent", IF(AND(ISNUMBER(SEARCH("Critical",E4)), OR(ISNUMBER(SEARCH("Critical",K4)),ISNUMBER(SEARCH("High",K4)))), "P1 - Critical", IF(OR(AND(ISNUMBER(SEARCH("High",E4)),ISNUMBER(SEARCH("High",K4))),AND(ISNUMBER(SEARCH("Critical",E4)),ISNUMBER(SEARCH("Medium",K4)))), "P2 - High Priority", IF(OR(AND(ISNUMBER(SEARCH("Medium",E4)),ISNUMBER(SEARCH("High",K4))),AND(ISNUMBER(SEARCH("High",E4)),ISNUMBER(SEARCH("Medium",K4)))), "P3 - Medium Priority", "P4 - Low Priority")))))</f>
        <v/>
      </c>
      <c r="Q4">
        <f>'Remediation Tracking'!S4</f>
        <v/>
      </c>
      <c r="R4">
        <f>'Remediation Tracking'!U4</f>
        <v/>
      </c>
      <c r="S4">
        <f>'Remediation Tracking'!Z4</f>
        <v/>
      </c>
      <c r="T4" s="22" t="n"/>
      <c r="U4">
        <f>'Remediation Tracking'!AE4</f>
        <v/>
      </c>
      <c r="V4">
        <f>'Remediation Tracking'!W4</f>
        <v/>
      </c>
      <c r="W4">
        <f>IF(AND(OR(R4="&lt;1 hour",R4="1-4 hours",R4="1 day"), OR(K4="Medium",K4="High",K4="Critical")), "Yes - Quick Win", "No")</f>
        <v/>
      </c>
    </row>
    <row r="5">
      <c r="A5">
        <f>IF(B5&lt;&gt;"", ROW()-2, "")</f>
        <v/>
      </c>
      <c r="B5">
        <f>'Remediation Tracking'!A5</f>
        <v/>
      </c>
      <c r="C5">
        <f>'Remediation Tracking'!D5</f>
        <v/>
      </c>
      <c r="D5">
        <f>'Remediation Tracking'!E5</f>
        <v/>
      </c>
      <c r="E5">
        <f>'Remediation Tracking'!F5</f>
        <v/>
      </c>
      <c r="F5">
        <f>'Remediation Tracking'!C5</f>
        <v/>
      </c>
      <c r="G5">
        <f>'Remediation Tracking'!H5</f>
        <v/>
      </c>
      <c r="H5">
        <f>'Remediation Tracking'!I5</f>
        <v/>
      </c>
      <c r="I5">
        <f>'Remediation Tracking'!G5</f>
        <v/>
      </c>
      <c r="J5">
        <f>'Remediation Tracking'!J5</f>
        <v/>
      </c>
      <c r="K5">
        <f>'Remediation Tracking'!L5</f>
        <v/>
      </c>
      <c r="L5">
        <f>'Remediation Tracking'!K5</f>
        <v/>
      </c>
      <c r="M5" t="inlineStr">
        <is>
          <t>Medium</t>
        </is>
      </c>
      <c r="N5">
        <f>'Remediation Tracking'!M5</f>
        <v/>
      </c>
      <c r="O5" s="25">
        <f>IF(E5="", "", (IF(ISNUMBER(SEARCH("Critical",E5)),5,IF(ISNUMBER(SEARCH("High",E5)),4,IF(ISNUMBER(SEARCH("Medium",E5)),3,2)))*10) + (IF(ISNUMBER(SEARCH("Critical",J5)),5,IF(ISNUMBER(SEARCH("High",J5)),4,IF(ISNUMBER(SEARCH("Medium",J5)),3,2)))*8) + (IF(ISNUMBER(SEARCH("Very High",M5)),5,IF(ISNUMBER(SEARCH("Very Low",M5)),1,IF(ISNUMBER(SEARCH("High",M5)),4,IF(ISNUMBER(SEARCH("Medium",M5)),3,IF(ISNUMBER(SEARCH("Low",M5)),2,1)))))*6) + (IF(T5&lt;0, ABS(T5)/7*2, 0)))</f>
        <v/>
      </c>
      <c r="P5">
        <f>IF(O5="", "", IF(AND(ISNUMBER(SEARCH("Critical",E5)), OR(ISNUMBER(SEARCH("Critical",K5)),ISNUMBER(SEARCH("High",K5))), T5&lt;0), "P0 - Critical &amp; Urgent", IF(AND(ISNUMBER(SEARCH("Critical",E5)), OR(ISNUMBER(SEARCH("Critical",K5)),ISNUMBER(SEARCH("High",K5)))), "P1 - Critical", IF(OR(AND(ISNUMBER(SEARCH("High",E5)),ISNUMBER(SEARCH("High",K5))),AND(ISNUMBER(SEARCH("Critical",E5)),ISNUMBER(SEARCH("Medium",K5)))), "P2 - High Priority", IF(OR(AND(ISNUMBER(SEARCH("Medium",E5)),ISNUMBER(SEARCH("High",K5))),AND(ISNUMBER(SEARCH("High",E5)),ISNUMBER(SEARCH("Medium",K5)))), "P3 - Medium Priority", "P4 - Low Priority")))))</f>
        <v/>
      </c>
      <c r="Q5">
        <f>'Remediation Tracking'!S5</f>
        <v/>
      </c>
      <c r="R5">
        <f>'Remediation Tracking'!U5</f>
        <v/>
      </c>
      <c r="S5">
        <f>'Remediation Tracking'!Z5</f>
        <v/>
      </c>
      <c r="T5" s="22" t="n"/>
      <c r="U5">
        <f>'Remediation Tracking'!AE5</f>
        <v/>
      </c>
      <c r="V5">
        <f>'Remediation Tracking'!W5</f>
        <v/>
      </c>
      <c r="W5">
        <f>IF(AND(OR(R5="&lt;1 hour",R5="1-4 hours",R5="1 day"), OR(K5="Medium",K5="High",K5="Critical")), "Yes - Quick Win", "No")</f>
        <v/>
      </c>
    </row>
    <row r="6">
      <c r="A6">
        <f>IF(B6&lt;&gt;"", ROW()-2, "")</f>
        <v/>
      </c>
      <c r="B6">
        <f>'Remediation Tracking'!A6</f>
        <v/>
      </c>
      <c r="C6">
        <f>'Remediation Tracking'!D6</f>
        <v/>
      </c>
      <c r="D6">
        <f>'Remediation Tracking'!E6</f>
        <v/>
      </c>
      <c r="E6">
        <f>'Remediation Tracking'!F6</f>
        <v/>
      </c>
      <c r="F6">
        <f>'Remediation Tracking'!C6</f>
        <v/>
      </c>
      <c r="G6">
        <f>'Remediation Tracking'!H6</f>
        <v/>
      </c>
      <c r="H6">
        <f>'Remediation Tracking'!I6</f>
        <v/>
      </c>
      <c r="I6">
        <f>'Remediation Tracking'!G6</f>
        <v/>
      </c>
      <c r="J6">
        <f>'Remediation Tracking'!J6</f>
        <v/>
      </c>
      <c r="K6">
        <f>'Remediation Tracking'!L6</f>
        <v/>
      </c>
      <c r="L6">
        <f>'Remediation Tracking'!K6</f>
        <v/>
      </c>
      <c r="M6" t="inlineStr">
        <is>
          <t>Medium</t>
        </is>
      </c>
      <c r="N6">
        <f>'Remediation Tracking'!M6</f>
        <v/>
      </c>
      <c r="O6" s="25">
        <f>IF(E6="", "", (IF(ISNUMBER(SEARCH("Critical",E6)),5,IF(ISNUMBER(SEARCH("High",E6)),4,IF(ISNUMBER(SEARCH("Medium",E6)),3,2)))*10) + (IF(ISNUMBER(SEARCH("Critical",J6)),5,IF(ISNUMBER(SEARCH("High",J6)),4,IF(ISNUMBER(SEARCH("Medium",J6)),3,2)))*8) + (IF(ISNUMBER(SEARCH("Very High",M6)),5,IF(ISNUMBER(SEARCH("Very Low",M6)),1,IF(ISNUMBER(SEARCH("High",M6)),4,IF(ISNUMBER(SEARCH("Medium",M6)),3,IF(ISNUMBER(SEARCH("Low",M6)),2,1)))))*6) + (IF(T6&lt;0, ABS(T6)/7*2, 0)))</f>
        <v/>
      </c>
      <c r="P6">
        <f>IF(O6="", "", IF(AND(ISNUMBER(SEARCH("Critical",E6)), OR(ISNUMBER(SEARCH("Critical",K6)),ISNUMBER(SEARCH("High",K6))), T6&lt;0), "P0 - Critical &amp; Urgent", IF(AND(ISNUMBER(SEARCH("Critical",E6)), OR(ISNUMBER(SEARCH("Critical",K6)),ISNUMBER(SEARCH("High",K6)))), "P1 - Critical", IF(OR(AND(ISNUMBER(SEARCH("High",E6)),ISNUMBER(SEARCH("High",K6))),AND(ISNUMBER(SEARCH("Critical",E6)),ISNUMBER(SEARCH("Medium",K6)))), "P2 - High Priority", IF(OR(AND(ISNUMBER(SEARCH("Medium",E6)),ISNUMBER(SEARCH("High",K6))),AND(ISNUMBER(SEARCH("High",E6)),ISNUMBER(SEARCH("Medium",K6)))), "P3 - Medium Priority", "P4 - Low Priority")))))</f>
        <v/>
      </c>
      <c r="Q6">
        <f>'Remediation Tracking'!S6</f>
        <v/>
      </c>
      <c r="R6">
        <f>'Remediation Tracking'!U6</f>
        <v/>
      </c>
      <c r="S6">
        <f>'Remediation Tracking'!Z6</f>
        <v/>
      </c>
      <c r="T6" s="22" t="n"/>
      <c r="U6">
        <f>'Remediation Tracking'!AE6</f>
        <v/>
      </c>
      <c r="V6">
        <f>'Remediation Tracking'!W6</f>
        <v/>
      </c>
      <c r="W6">
        <f>IF(AND(OR(R6="&lt;1 hour",R6="1-4 hours",R6="1 day"), OR(K6="Medium",K6="High",K6="Critical")), "Yes - Quick Win", "No")</f>
        <v/>
      </c>
    </row>
    <row r="7">
      <c r="A7">
        <f>IF(B7&lt;&gt;"", ROW()-2, "")</f>
        <v/>
      </c>
      <c r="B7">
        <f>'Remediation Tracking'!A7</f>
        <v/>
      </c>
      <c r="C7">
        <f>'Remediation Tracking'!D7</f>
        <v/>
      </c>
      <c r="D7">
        <f>'Remediation Tracking'!E7</f>
        <v/>
      </c>
      <c r="E7">
        <f>'Remediation Tracking'!F7</f>
        <v/>
      </c>
      <c r="F7">
        <f>'Remediation Tracking'!C7</f>
        <v/>
      </c>
      <c r="G7">
        <f>'Remediation Tracking'!H7</f>
        <v/>
      </c>
      <c r="H7">
        <f>'Remediation Tracking'!I7</f>
        <v/>
      </c>
      <c r="I7">
        <f>'Remediation Tracking'!G7</f>
        <v/>
      </c>
      <c r="J7">
        <f>'Remediation Tracking'!J7</f>
        <v/>
      </c>
      <c r="K7">
        <f>'Remediation Tracking'!L7</f>
        <v/>
      </c>
      <c r="L7">
        <f>'Remediation Tracking'!K7</f>
        <v/>
      </c>
      <c r="M7" t="inlineStr">
        <is>
          <t>Medium</t>
        </is>
      </c>
      <c r="N7">
        <f>'Remediation Tracking'!M7</f>
        <v/>
      </c>
      <c r="O7" s="25">
        <f>IF(E7="", "", (IF(ISNUMBER(SEARCH("Critical",E7)),5,IF(ISNUMBER(SEARCH("High",E7)),4,IF(ISNUMBER(SEARCH("Medium",E7)),3,2)))*10) + (IF(ISNUMBER(SEARCH("Critical",J7)),5,IF(ISNUMBER(SEARCH("High",J7)),4,IF(ISNUMBER(SEARCH("Medium",J7)),3,2)))*8) + (IF(ISNUMBER(SEARCH("Very High",M7)),5,IF(ISNUMBER(SEARCH("Very Low",M7)),1,IF(ISNUMBER(SEARCH("High",M7)),4,IF(ISNUMBER(SEARCH("Medium",M7)),3,IF(ISNUMBER(SEARCH("Low",M7)),2,1)))))*6) + (IF(T7&lt;0, ABS(T7)/7*2, 0)))</f>
        <v/>
      </c>
      <c r="P7">
        <f>IF(O7="", "", IF(AND(ISNUMBER(SEARCH("Critical",E7)), OR(ISNUMBER(SEARCH("Critical",K7)),ISNUMBER(SEARCH("High",K7))), T7&lt;0), "P0 - Critical &amp; Urgent", IF(AND(ISNUMBER(SEARCH("Critical",E7)), OR(ISNUMBER(SEARCH("Critical",K7)),ISNUMBER(SEARCH("High",K7)))), "P1 - Critical", IF(OR(AND(ISNUMBER(SEARCH("High",E7)),ISNUMBER(SEARCH("High",K7))),AND(ISNUMBER(SEARCH("Critical",E7)),ISNUMBER(SEARCH("Medium",K7)))), "P2 - High Priority", IF(OR(AND(ISNUMBER(SEARCH("Medium",E7)),ISNUMBER(SEARCH("High",K7))),AND(ISNUMBER(SEARCH("High",E7)),ISNUMBER(SEARCH("Medium",K7)))), "P3 - Medium Priority", "P4 - Low Priority")))))</f>
        <v/>
      </c>
      <c r="Q7">
        <f>'Remediation Tracking'!S7</f>
        <v/>
      </c>
      <c r="R7">
        <f>'Remediation Tracking'!U7</f>
        <v/>
      </c>
      <c r="S7">
        <f>'Remediation Tracking'!Z7</f>
        <v/>
      </c>
      <c r="T7" s="22" t="n"/>
      <c r="U7">
        <f>'Remediation Tracking'!AE7</f>
        <v/>
      </c>
      <c r="V7">
        <f>'Remediation Tracking'!W7</f>
        <v/>
      </c>
      <c r="W7">
        <f>IF(AND(OR(R7="&lt;1 hour",R7="1-4 hours",R7="1 day"), OR(K7="Medium",K7="High",K7="Critical")), "Yes - Quick Win", "No")</f>
        <v/>
      </c>
    </row>
    <row r="8">
      <c r="A8">
        <f>IF(B8&lt;&gt;"", ROW()-2, "")</f>
        <v/>
      </c>
      <c r="B8">
        <f>'Remediation Tracking'!A8</f>
        <v/>
      </c>
      <c r="C8">
        <f>'Remediation Tracking'!D8</f>
        <v/>
      </c>
      <c r="D8">
        <f>'Remediation Tracking'!E8</f>
        <v/>
      </c>
      <c r="E8">
        <f>'Remediation Tracking'!F8</f>
        <v/>
      </c>
      <c r="F8">
        <f>'Remediation Tracking'!C8</f>
        <v/>
      </c>
      <c r="G8">
        <f>'Remediation Tracking'!H8</f>
        <v/>
      </c>
      <c r="H8">
        <f>'Remediation Tracking'!I8</f>
        <v/>
      </c>
      <c r="I8">
        <f>'Remediation Tracking'!G8</f>
        <v/>
      </c>
      <c r="J8">
        <f>'Remediation Tracking'!J8</f>
        <v/>
      </c>
      <c r="K8">
        <f>'Remediation Tracking'!L8</f>
        <v/>
      </c>
      <c r="L8">
        <f>'Remediation Tracking'!K8</f>
        <v/>
      </c>
      <c r="M8" t="inlineStr">
        <is>
          <t>Medium</t>
        </is>
      </c>
      <c r="N8">
        <f>'Remediation Tracking'!M8</f>
        <v/>
      </c>
      <c r="O8" s="25">
        <f>IF(E8="", "", (IF(ISNUMBER(SEARCH("Critical",E8)),5,IF(ISNUMBER(SEARCH("High",E8)),4,IF(ISNUMBER(SEARCH("Medium",E8)),3,2)))*10) + (IF(ISNUMBER(SEARCH("Critical",J8)),5,IF(ISNUMBER(SEARCH("High",J8)),4,IF(ISNUMBER(SEARCH("Medium",J8)),3,2)))*8) + (IF(ISNUMBER(SEARCH("Very High",M8)),5,IF(ISNUMBER(SEARCH("Very Low",M8)),1,IF(ISNUMBER(SEARCH("High",M8)),4,IF(ISNUMBER(SEARCH("Medium",M8)),3,IF(ISNUMBER(SEARCH("Low",M8)),2,1)))))*6) + (IF(T8&lt;0, ABS(T8)/7*2, 0)))</f>
        <v/>
      </c>
      <c r="P8">
        <f>IF(O8="", "", IF(AND(ISNUMBER(SEARCH("Critical",E8)), OR(ISNUMBER(SEARCH("Critical",K8)),ISNUMBER(SEARCH("High",K8))), T8&lt;0), "P0 - Critical &amp; Urgent", IF(AND(ISNUMBER(SEARCH("Critical",E8)), OR(ISNUMBER(SEARCH("Critical",K8)),ISNUMBER(SEARCH("High",K8)))), "P1 - Critical", IF(OR(AND(ISNUMBER(SEARCH("High",E8)),ISNUMBER(SEARCH("High",K8))),AND(ISNUMBER(SEARCH("Critical",E8)),ISNUMBER(SEARCH("Medium",K8)))), "P2 - High Priority", IF(OR(AND(ISNUMBER(SEARCH("Medium",E8)),ISNUMBER(SEARCH("High",K8))),AND(ISNUMBER(SEARCH("High",E8)),ISNUMBER(SEARCH("Medium",K8)))), "P3 - Medium Priority", "P4 - Low Priority")))))</f>
        <v/>
      </c>
      <c r="Q8">
        <f>'Remediation Tracking'!S8</f>
        <v/>
      </c>
      <c r="R8">
        <f>'Remediation Tracking'!U8</f>
        <v/>
      </c>
      <c r="S8">
        <f>'Remediation Tracking'!Z8</f>
        <v/>
      </c>
      <c r="T8" s="22" t="n"/>
      <c r="U8">
        <f>'Remediation Tracking'!AE8</f>
        <v/>
      </c>
      <c r="V8">
        <f>'Remediation Tracking'!W8</f>
        <v/>
      </c>
      <c r="W8">
        <f>IF(AND(OR(R8="&lt;1 hour",R8="1-4 hours",R8="1 day"), OR(K8="Medium",K8="High",K8="Critical")), "Yes - Quick Win", "No")</f>
        <v/>
      </c>
    </row>
    <row r="9">
      <c r="A9">
        <f>IF(B9&lt;&gt;"", ROW()-2, "")</f>
        <v/>
      </c>
      <c r="B9">
        <f>'Remediation Tracking'!A9</f>
        <v/>
      </c>
      <c r="C9">
        <f>'Remediation Tracking'!D9</f>
        <v/>
      </c>
      <c r="D9">
        <f>'Remediation Tracking'!E9</f>
        <v/>
      </c>
      <c r="E9">
        <f>'Remediation Tracking'!F9</f>
        <v/>
      </c>
      <c r="F9">
        <f>'Remediation Tracking'!C9</f>
        <v/>
      </c>
      <c r="G9">
        <f>'Remediation Tracking'!H9</f>
        <v/>
      </c>
      <c r="H9">
        <f>'Remediation Tracking'!I9</f>
        <v/>
      </c>
      <c r="I9">
        <f>'Remediation Tracking'!G9</f>
        <v/>
      </c>
      <c r="J9">
        <f>'Remediation Tracking'!J9</f>
        <v/>
      </c>
      <c r="K9">
        <f>'Remediation Tracking'!L9</f>
        <v/>
      </c>
      <c r="L9">
        <f>'Remediation Tracking'!K9</f>
        <v/>
      </c>
      <c r="M9" t="inlineStr">
        <is>
          <t>Medium</t>
        </is>
      </c>
      <c r="N9">
        <f>'Remediation Tracking'!M9</f>
        <v/>
      </c>
      <c r="O9" s="25">
        <f>IF(E9="", "", (IF(ISNUMBER(SEARCH("Critical",E9)),5,IF(ISNUMBER(SEARCH("High",E9)),4,IF(ISNUMBER(SEARCH("Medium",E9)),3,2)))*10) + (IF(ISNUMBER(SEARCH("Critical",J9)),5,IF(ISNUMBER(SEARCH("High",J9)),4,IF(ISNUMBER(SEARCH("Medium",J9)),3,2)))*8) + (IF(ISNUMBER(SEARCH("Very High",M9)),5,IF(ISNUMBER(SEARCH("Very Low",M9)),1,IF(ISNUMBER(SEARCH("High",M9)),4,IF(ISNUMBER(SEARCH("Medium",M9)),3,IF(ISNUMBER(SEARCH("Low",M9)),2,1)))))*6) + (IF(T9&lt;0, ABS(T9)/7*2, 0)))</f>
        <v/>
      </c>
      <c r="P9">
        <f>IF(O9="", "", IF(AND(ISNUMBER(SEARCH("Critical",E9)), OR(ISNUMBER(SEARCH("Critical",K9)),ISNUMBER(SEARCH("High",K9))), T9&lt;0), "P0 - Critical &amp; Urgent", IF(AND(ISNUMBER(SEARCH("Critical",E9)), OR(ISNUMBER(SEARCH("Critical",K9)),ISNUMBER(SEARCH("High",K9)))), "P1 - Critical", IF(OR(AND(ISNUMBER(SEARCH("High",E9)),ISNUMBER(SEARCH("High",K9))),AND(ISNUMBER(SEARCH("Critical",E9)),ISNUMBER(SEARCH("Medium",K9)))), "P2 - High Priority", IF(OR(AND(ISNUMBER(SEARCH("Medium",E9)),ISNUMBER(SEARCH("High",K9))),AND(ISNUMBER(SEARCH("High",E9)),ISNUMBER(SEARCH("Medium",K9)))), "P3 - Medium Priority", "P4 - Low Priority")))))</f>
        <v/>
      </c>
      <c r="Q9">
        <f>'Remediation Tracking'!S9</f>
        <v/>
      </c>
      <c r="R9">
        <f>'Remediation Tracking'!U9</f>
        <v/>
      </c>
      <c r="S9">
        <f>'Remediation Tracking'!Z9</f>
        <v/>
      </c>
      <c r="T9" s="22" t="n"/>
      <c r="U9">
        <f>'Remediation Tracking'!AE9</f>
        <v/>
      </c>
      <c r="V9">
        <f>'Remediation Tracking'!W9</f>
        <v/>
      </c>
      <c r="W9">
        <f>IF(AND(OR(R9="&lt;1 hour",R9="1-4 hours",R9="1 day"), OR(K9="Medium",K9="High",K9="Critical")), "Yes - Quick Win", "No")</f>
        <v/>
      </c>
    </row>
    <row r="10">
      <c r="A10">
        <f>IF(B10&lt;&gt;"", ROW()-2, "")</f>
        <v/>
      </c>
      <c r="B10">
        <f>'Remediation Tracking'!A10</f>
        <v/>
      </c>
      <c r="C10">
        <f>'Remediation Tracking'!D10</f>
        <v/>
      </c>
      <c r="D10">
        <f>'Remediation Tracking'!E10</f>
        <v/>
      </c>
      <c r="E10">
        <f>'Remediation Tracking'!F10</f>
        <v/>
      </c>
      <c r="F10">
        <f>'Remediation Tracking'!C10</f>
        <v/>
      </c>
      <c r="G10">
        <f>'Remediation Tracking'!H10</f>
        <v/>
      </c>
      <c r="H10">
        <f>'Remediation Tracking'!I10</f>
        <v/>
      </c>
      <c r="I10">
        <f>'Remediation Tracking'!G10</f>
        <v/>
      </c>
      <c r="J10">
        <f>'Remediation Tracking'!J10</f>
        <v/>
      </c>
      <c r="K10">
        <f>'Remediation Tracking'!L10</f>
        <v/>
      </c>
      <c r="L10">
        <f>'Remediation Tracking'!K10</f>
        <v/>
      </c>
      <c r="M10" t="inlineStr">
        <is>
          <t>Medium</t>
        </is>
      </c>
      <c r="N10">
        <f>'Remediation Tracking'!M10</f>
        <v/>
      </c>
      <c r="O10" s="25">
        <f>IF(E10="", "", (IF(ISNUMBER(SEARCH("Critical",E10)),5,IF(ISNUMBER(SEARCH("High",E10)),4,IF(ISNUMBER(SEARCH("Medium",E10)),3,2)))*10) + (IF(ISNUMBER(SEARCH("Critical",J10)),5,IF(ISNUMBER(SEARCH("High",J10)),4,IF(ISNUMBER(SEARCH("Medium",J10)),3,2)))*8) + (IF(ISNUMBER(SEARCH("Very High",M10)),5,IF(ISNUMBER(SEARCH("Very Low",M10)),1,IF(ISNUMBER(SEARCH("High",M10)),4,IF(ISNUMBER(SEARCH("Medium",M10)),3,IF(ISNUMBER(SEARCH("Low",M10)),2,1)))))*6) + (IF(T10&lt;0, ABS(T10)/7*2, 0)))</f>
        <v/>
      </c>
      <c r="P10">
        <f>IF(O10="", "", IF(AND(ISNUMBER(SEARCH("Critical",E10)), OR(ISNUMBER(SEARCH("Critical",K10)),ISNUMBER(SEARCH("High",K10))), T10&lt;0), "P0 - Critical &amp; Urgent", IF(AND(ISNUMBER(SEARCH("Critical",E10)), OR(ISNUMBER(SEARCH("Critical",K10)),ISNUMBER(SEARCH("High",K10)))), "P1 - Critical", IF(OR(AND(ISNUMBER(SEARCH("High",E10)),ISNUMBER(SEARCH("High",K10))),AND(ISNUMBER(SEARCH("Critical",E10)),ISNUMBER(SEARCH("Medium",K10)))), "P2 - High Priority", IF(OR(AND(ISNUMBER(SEARCH("Medium",E10)),ISNUMBER(SEARCH("High",K10))),AND(ISNUMBER(SEARCH("High",E10)),ISNUMBER(SEARCH("Medium",K10)))), "P3 - Medium Priority", "P4 - Low Priority")))))</f>
        <v/>
      </c>
      <c r="Q10">
        <f>'Remediation Tracking'!S10</f>
        <v/>
      </c>
      <c r="R10">
        <f>'Remediation Tracking'!U10</f>
        <v/>
      </c>
      <c r="S10">
        <f>'Remediation Tracking'!Z10</f>
        <v/>
      </c>
      <c r="T10" s="22" t="n"/>
      <c r="U10">
        <f>'Remediation Tracking'!AE10</f>
        <v/>
      </c>
      <c r="V10">
        <f>'Remediation Tracking'!W10</f>
        <v/>
      </c>
      <c r="W10">
        <f>IF(AND(OR(R10="&lt;1 hour",R10="1-4 hours",R10="1 day"), OR(K10="Medium",K10="High",K10="Critical")), "Yes - Quick Win", "No")</f>
        <v/>
      </c>
    </row>
    <row r="11">
      <c r="A11">
        <f>IF(B11&lt;&gt;"", ROW()-2, "")</f>
        <v/>
      </c>
      <c r="B11">
        <f>'Remediation Tracking'!A11</f>
        <v/>
      </c>
      <c r="C11">
        <f>'Remediation Tracking'!D11</f>
        <v/>
      </c>
      <c r="D11">
        <f>'Remediation Tracking'!E11</f>
        <v/>
      </c>
      <c r="E11">
        <f>'Remediation Tracking'!F11</f>
        <v/>
      </c>
      <c r="F11">
        <f>'Remediation Tracking'!C11</f>
        <v/>
      </c>
      <c r="G11">
        <f>'Remediation Tracking'!H11</f>
        <v/>
      </c>
      <c r="H11">
        <f>'Remediation Tracking'!I11</f>
        <v/>
      </c>
      <c r="I11">
        <f>'Remediation Tracking'!G11</f>
        <v/>
      </c>
      <c r="J11">
        <f>'Remediation Tracking'!J11</f>
        <v/>
      </c>
      <c r="K11">
        <f>'Remediation Tracking'!L11</f>
        <v/>
      </c>
      <c r="L11">
        <f>'Remediation Tracking'!K11</f>
        <v/>
      </c>
      <c r="M11" t="inlineStr">
        <is>
          <t>Medium</t>
        </is>
      </c>
      <c r="N11">
        <f>'Remediation Tracking'!M11</f>
        <v/>
      </c>
      <c r="O11" s="25">
        <f>IF(E11="", "", (IF(ISNUMBER(SEARCH("Critical",E11)),5,IF(ISNUMBER(SEARCH("High",E11)),4,IF(ISNUMBER(SEARCH("Medium",E11)),3,2)))*10) + (IF(ISNUMBER(SEARCH("Critical",J11)),5,IF(ISNUMBER(SEARCH("High",J11)),4,IF(ISNUMBER(SEARCH("Medium",J11)),3,2)))*8) + (IF(ISNUMBER(SEARCH("Very High",M11)),5,IF(ISNUMBER(SEARCH("Very Low",M11)),1,IF(ISNUMBER(SEARCH("High",M11)),4,IF(ISNUMBER(SEARCH("Medium",M11)),3,IF(ISNUMBER(SEARCH("Low",M11)),2,1)))))*6) + (IF(T11&lt;0, ABS(T11)/7*2, 0)))</f>
        <v/>
      </c>
      <c r="P11">
        <f>IF(O11="", "", IF(AND(ISNUMBER(SEARCH("Critical",E11)), OR(ISNUMBER(SEARCH("Critical",K11)),ISNUMBER(SEARCH("High",K11))), T11&lt;0), "P0 - Critical &amp; Urgent", IF(AND(ISNUMBER(SEARCH("Critical",E11)), OR(ISNUMBER(SEARCH("Critical",K11)),ISNUMBER(SEARCH("High",K11)))), "P1 - Critical", IF(OR(AND(ISNUMBER(SEARCH("High",E11)),ISNUMBER(SEARCH("High",K11))),AND(ISNUMBER(SEARCH("Critical",E11)),ISNUMBER(SEARCH("Medium",K11)))), "P2 - High Priority", IF(OR(AND(ISNUMBER(SEARCH("Medium",E11)),ISNUMBER(SEARCH("High",K11))),AND(ISNUMBER(SEARCH("High",E11)),ISNUMBER(SEARCH("Medium",K11)))), "P3 - Medium Priority", "P4 - Low Priority")))))</f>
        <v/>
      </c>
      <c r="Q11">
        <f>'Remediation Tracking'!S11</f>
        <v/>
      </c>
      <c r="R11">
        <f>'Remediation Tracking'!U11</f>
        <v/>
      </c>
      <c r="S11">
        <f>'Remediation Tracking'!Z11</f>
        <v/>
      </c>
      <c r="T11" s="22" t="n"/>
      <c r="U11">
        <f>'Remediation Tracking'!AE11</f>
        <v/>
      </c>
      <c r="V11">
        <f>'Remediation Tracking'!W11</f>
        <v/>
      </c>
      <c r="W11">
        <f>IF(AND(OR(R11="&lt;1 hour",R11="1-4 hours",R11="1 day"), OR(K11="Medium",K11="High",K11="Critical")), "Yes - Quick Win", "No")</f>
        <v/>
      </c>
    </row>
    <row r="12">
      <c r="A12">
        <f>IF(B12&lt;&gt;"", ROW()-2, "")</f>
        <v/>
      </c>
      <c r="B12">
        <f>'Remediation Tracking'!A12</f>
        <v/>
      </c>
      <c r="C12">
        <f>'Remediation Tracking'!D12</f>
        <v/>
      </c>
      <c r="D12">
        <f>'Remediation Tracking'!E12</f>
        <v/>
      </c>
      <c r="E12">
        <f>'Remediation Tracking'!F12</f>
        <v/>
      </c>
      <c r="F12">
        <f>'Remediation Tracking'!C12</f>
        <v/>
      </c>
      <c r="G12">
        <f>'Remediation Tracking'!H12</f>
        <v/>
      </c>
      <c r="H12">
        <f>'Remediation Tracking'!I12</f>
        <v/>
      </c>
      <c r="I12">
        <f>'Remediation Tracking'!G12</f>
        <v/>
      </c>
      <c r="J12">
        <f>'Remediation Tracking'!J12</f>
        <v/>
      </c>
      <c r="K12">
        <f>'Remediation Tracking'!L12</f>
        <v/>
      </c>
      <c r="L12">
        <f>'Remediation Tracking'!K12</f>
        <v/>
      </c>
      <c r="M12" t="inlineStr">
        <is>
          <t>Medium</t>
        </is>
      </c>
      <c r="N12">
        <f>'Remediation Tracking'!M12</f>
        <v/>
      </c>
      <c r="O12" s="25">
        <f>IF(E12="", "", (IF(ISNUMBER(SEARCH("Critical",E12)),5,IF(ISNUMBER(SEARCH("High",E12)),4,IF(ISNUMBER(SEARCH("Medium",E12)),3,2)))*10) + (IF(ISNUMBER(SEARCH("Critical",J12)),5,IF(ISNUMBER(SEARCH("High",J12)),4,IF(ISNUMBER(SEARCH("Medium",J12)),3,2)))*8) + (IF(ISNUMBER(SEARCH("Very High",M12)),5,IF(ISNUMBER(SEARCH("Very Low",M12)),1,IF(ISNUMBER(SEARCH("High",M12)),4,IF(ISNUMBER(SEARCH("Medium",M12)),3,IF(ISNUMBER(SEARCH("Low",M12)),2,1)))))*6) + (IF(T12&lt;0, ABS(T12)/7*2, 0)))</f>
        <v/>
      </c>
      <c r="P12">
        <f>IF(O12="", "", IF(AND(ISNUMBER(SEARCH("Critical",E12)), OR(ISNUMBER(SEARCH("Critical",K12)),ISNUMBER(SEARCH("High",K12))), T12&lt;0), "P0 - Critical &amp; Urgent", IF(AND(ISNUMBER(SEARCH("Critical",E12)), OR(ISNUMBER(SEARCH("Critical",K12)),ISNUMBER(SEARCH("High",K12)))), "P1 - Critical", IF(OR(AND(ISNUMBER(SEARCH("High",E12)),ISNUMBER(SEARCH("High",K12))),AND(ISNUMBER(SEARCH("Critical",E12)),ISNUMBER(SEARCH("Medium",K12)))), "P2 - High Priority", IF(OR(AND(ISNUMBER(SEARCH("Medium",E12)),ISNUMBER(SEARCH("High",K12))),AND(ISNUMBER(SEARCH("High",E12)),ISNUMBER(SEARCH("Medium",K12)))), "P3 - Medium Priority", "P4 - Low Priority")))))</f>
        <v/>
      </c>
      <c r="Q12">
        <f>'Remediation Tracking'!S12</f>
        <v/>
      </c>
      <c r="R12">
        <f>'Remediation Tracking'!U12</f>
        <v/>
      </c>
      <c r="S12">
        <f>'Remediation Tracking'!Z12</f>
        <v/>
      </c>
      <c r="T12" s="22" t="n"/>
      <c r="U12">
        <f>'Remediation Tracking'!AE12</f>
        <v/>
      </c>
      <c r="V12">
        <f>'Remediation Tracking'!W12</f>
        <v/>
      </c>
      <c r="W12">
        <f>IF(AND(OR(R12="&lt;1 hour",R12="1-4 hours",R12="1 day"), OR(K12="Medium",K12="High",K12="Critical")), "Yes - Quick Win", "No")</f>
        <v/>
      </c>
    </row>
    <row r="13">
      <c r="A13">
        <f>IF(B13&lt;&gt;"", ROW()-2, "")</f>
        <v/>
      </c>
      <c r="B13">
        <f>'Remediation Tracking'!A13</f>
        <v/>
      </c>
      <c r="C13">
        <f>'Remediation Tracking'!D13</f>
        <v/>
      </c>
      <c r="D13">
        <f>'Remediation Tracking'!E13</f>
        <v/>
      </c>
      <c r="E13">
        <f>'Remediation Tracking'!F13</f>
        <v/>
      </c>
      <c r="F13">
        <f>'Remediation Tracking'!C13</f>
        <v/>
      </c>
      <c r="G13">
        <f>'Remediation Tracking'!H13</f>
        <v/>
      </c>
      <c r="H13">
        <f>'Remediation Tracking'!I13</f>
        <v/>
      </c>
      <c r="I13">
        <f>'Remediation Tracking'!G13</f>
        <v/>
      </c>
      <c r="J13">
        <f>'Remediation Tracking'!J13</f>
        <v/>
      </c>
      <c r="K13">
        <f>'Remediation Tracking'!L13</f>
        <v/>
      </c>
      <c r="L13">
        <f>'Remediation Tracking'!K13</f>
        <v/>
      </c>
      <c r="M13" t="inlineStr">
        <is>
          <t>Medium</t>
        </is>
      </c>
      <c r="N13">
        <f>'Remediation Tracking'!M13</f>
        <v/>
      </c>
      <c r="O13" s="25">
        <f>IF(E13="", "", (IF(ISNUMBER(SEARCH("Critical",E13)),5,IF(ISNUMBER(SEARCH("High",E13)),4,IF(ISNUMBER(SEARCH("Medium",E13)),3,2)))*10) + (IF(ISNUMBER(SEARCH("Critical",J13)),5,IF(ISNUMBER(SEARCH("High",J13)),4,IF(ISNUMBER(SEARCH("Medium",J13)),3,2)))*8) + (IF(ISNUMBER(SEARCH("Very High",M13)),5,IF(ISNUMBER(SEARCH("Very Low",M13)),1,IF(ISNUMBER(SEARCH("High",M13)),4,IF(ISNUMBER(SEARCH("Medium",M13)),3,IF(ISNUMBER(SEARCH("Low",M13)),2,1)))))*6) + (IF(T13&lt;0, ABS(T13)/7*2, 0)))</f>
        <v/>
      </c>
      <c r="P13">
        <f>IF(O13="", "", IF(AND(ISNUMBER(SEARCH("Critical",E13)), OR(ISNUMBER(SEARCH("Critical",K13)),ISNUMBER(SEARCH("High",K13))), T13&lt;0), "P0 - Critical &amp; Urgent", IF(AND(ISNUMBER(SEARCH("Critical",E13)), OR(ISNUMBER(SEARCH("Critical",K13)),ISNUMBER(SEARCH("High",K13)))), "P1 - Critical", IF(OR(AND(ISNUMBER(SEARCH("High",E13)),ISNUMBER(SEARCH("High",K13))),AND(ISNUMBER(SEARCH("Critical",E13)),ISNUMBER(SEARCH("Medium",K13)))), "P2 - High Priority", IF(OR(AND(ISNUMBER(SEARCH("Medium",E13)),ISNUMBER(SEARCH("High",K13))),AND(ISNUMBER(SEARCH("High",E13)),ISNUMBER(SEARCH("Medium",K13)))), "P3 - Medium Priority", "P4 - Low Priority")))))</f>
        <v/>
      </c>
      <c r="Q13">
        <f>'Remediation Tracking'!S13</f>
        <v/>
      </c>
      <c r="R13">
        <f>'Remediation Tracking'!U13</f>
        <v/>
      </c>
      <c r="S13">
        <f>'Remediation Tracking'!Z13</f>
        <v/>
      </c>
      <c r="T13" s="22" t="n"/>
      <c r="U13">
        <f>'Remediation Tracking'!AE13</f>
        <v/>
      </c>
      <c r="V13">
        <f>'Remediation Tracking'!W13</f>
        <v/>
      </c>
      <c r="W13">
        <f>IF(AND(OR(R13="&lt;1 hour",R13="1-4 hours",R13="1 day"), OR(K13="Medium",K13="High",K13="Critical")), "Yes - Quick Win", "No")</f>
        <v/>
      </c>
    </row>
    <row r="14">
      <c r="A14">
        <f>IF(B14&lt;&gt;"", ROW()-2, "")</f>
        <v/>
      </c>
      <c r="B14">
        <f>'Remediation Tracking'!A14</f>
        <v/>
      </c>
      <c r="C14">
        <f>'Remediation Tracking'!D14</f>
        <v/>
      </c>
      <c r="D14">
        <f>'Remediation Tracking'!E14</f>
        <v/>
      </c>
      <c r="E14">
        <f>'Remediation Tracking'!F14</f>
        <v/>
      </c>
      <c r="F14">
        <f>'Remediation Tracking'!C14</f>
        <v/>
      </c>
      <c r="G14">
        <f>'Remediation Tracking'!H14</f>
        <v/>
      </c>
      <c r="H14">
        <f>'Remediation Tracking'!I14</f>
        <v/>
      </c>
      <c r="I14">
        <f>'Remediation Tracking'!G14</f>
        <v/>
      </c>
      <c r="J14">
        <f>'Remediation Tracking'!J14</f>
        <v/>
      </c>
      <c r="K14">
        <f>'Remediation Tracking'!L14</f>
        <v/>
      </c>
      <c r="L14">
        <f>'Remediation Tracking'!K14</f>
        <v/>
      </c>
      <c r="M14" t="inlineStr">
        <is>
          <t>Medium</t>
        </is>
      </c>
      <c r="N14">
        <f>'Remediation Tracking'!M14</f>
        <v/>
      </c>
      <c r="O14" s="25">
        <f>IF(E14="", "", (IF(ISNUMBER(SEARCH("Critical",E14)),5,IF(ISNUMBER(SEARCH("High",E14)),4,IF(ISNUMBER(SEARCH("Medium",E14)),3,2)))*10) + (IF(ISNUMBER(SEARCH("Critical",J14)),5,IF(ISNUMBER(SEARCH("High",J14)),4,IF(ISNUMBER(SEARCH("Medium",J14)),3,2)))*8) + (IF(ISNUMBER(SEARCH("Very High",M14)),5,IF(ISNUMBER(SEARCH("Very Low",M14)),1,IF(ISNUMBER(SEARCH("High",M14)),4,IF(ISNUMBER(SEARCH("Medium",M14)),3,IF(ISNUMBER(SEARCH("Low",M14)),2,1)))))*6) + (IF(T14&lt;0, ABS(T14)/7*2, 0)))</f>
        <v/>
      </c>
      <c r="P14">
        <f>IF(O14="", "", IF(AND(ISNUMBER(SEARCH("Critical",E14)), OR(ISNUMBER(SEARCH("Critical",K14)),ISNUMBER(SEARCH("High",K14))), T14&lt;0), "P0 - Critical &amp; Urgent", IF(AND(ISNUMBER(SEARCH("Critical",E14)), OR(ISNUMBER(SEARCH("Critical",K14)),ISNUMBER(SEARCH("High",K14)))), "P1 - Critical", IF(OR(AND(ISNUMBER(SEARCH("High",E14)),ISNUMBER(SEARCH("High",K14))),AND(ISNUMBER(SEARCH("Critical",E14)),ISNUMBER(SEARCH("Medium",K14)))), "P2 - High Priority", IF(OR(AND(ISNUMBER(SEARCH("Medium",E14)),ISNUMBER(SEARCH("High",K14))),AND(ISNUMBER(SEARCH("High",E14)),ISNUMBER(SEARCH("Medium",K14)))), "P3 - Medium Priority", "P4 - Low Priority")))))</f>
        <v/>
      </c>
      <c r="Q14">
        <f>'Remediation Tracking'!S14</f>
        <v/>
      </c>
      <c r="R14">
        <f>'Remediation Tracking'!U14</f>
        <v/>
      </c>
      <c r="S14">
        <f>'Remediation Tracking'!Z14</f>
        <v/>
      </c>
      <c r="T14" s="22" t="n"/>
      <c r="U14">
        <f>'Remediation Tracking'!AE14</f>
        <v/>
      </c>
      <c r="V14">
        <f>'Remediation Tracking'!W14</f>
        <v/>
      </c>
      <c r="W14">
        <f>IF(AND(OR(R14="&lt;1 hour",R14="1-4 hours",R14="1 day"), OR(K14="Medium",K14="High",K14="Critical")), "Yes - Quick Win", "No")</f>
        <v/>
      </c>
    </row>
    <row r="15">
      <c r="A15">
        <f>IF(B15&lt;&gt;"", ROW()-2, "")</f>
        <v/>
      </c>
      <c r="B15">
        <f>'Remediation Tracking'!A15</f>
        <v/>
      </c>
      <c r="C15">
        <f>'Remediation Tracking'!D15</f>
        <v/>
      </c>
      <c r="D15">
        <f>'Remediation Tracking'!E15</f>
        <v/>
      </c>
      <c r="E15">
        <f>'Remediation Tracking'!F15</f>
        <v/>
      </c>
      <c r="F15">
        <f>'Remediation Tracking'!C15</f>
        <v/>
      </c>
      <c r="G15">
        <f>'Remediation Tracking'!H15</f>
        <v/>
      </c>
      <c r="H15">
        <f>'Remediation Tracking'!I15</f>
        <v/>
      </c>
      <c r="I15">
        <f>'Remediation Tracking'!G15</f>
        <v/>
      </c>
      <c r="J15">
        <f>'Remediation Tracking'!J15</f>
        <v/>
      </c>
      <c r="K15">
        <f>'Remediation Tracking'!L15</f>
        <v/>
      </c>
      <c r="L15">
        <f>'Remediation Tracking'!K15</f>
        <v/>
      </c>
      <c r="M15" t="inlineStr">
        <is>
          <t>Medium</t>
        </is>
      </c>
      <c r="N15">
        <f>'Remediation Tracking'!M15</f>
        <v/>
      </c>
      <c r="O15" s="25">
        <f>IF(E15="", "", (IF(ISNUMBER(SEARCH("Critical",E15)),5,IF(ISNUMBER(SEARCH("High",E15)),4,IF(ISNUMBER(SEARCH("Medium",E15)),3,2)))*10) + (IF(ISNUMBER(SEARCH("Critical",J15)),5,IF(ISNUMBER(SEARCH("High",J15)),4,IF(ISNUMBER(SEARCH("Medium",J15)),3,2)))*8) + (IF(ISNUMBER(SEARCH("Very High",M15)),5,IF(ISNUMBER(SEARCH("Very Low",M15)),1,IF(ISNUMBER(SEARCH("High",M15)),4,IF(ISNUMBER(SEARCH("Medium",M15)),3,IF(ISNUMBER(SEARCH("Low",M15)),2,1)))))*6) + (IF(T15&lt;0, ABS(T15)/7*2, 0)))</f>
        <v/>
      </c>
      <c r="P15">
        <f>IF(O15="", "", IF(AND(ISNUMBER(SEARCH("Critical",E15)), OR(ISNUMBER(SEARCH("Critical",K15)),ISNUMBER(SEARCH("High",K15))), T15&lt;0), "P0 - Critical &amp; Urgent", IF(AND(ISNUMBER(SEARCH("Critical",E15)), OR(ISNUMBER(SEARCH("Critical",K15)),ISNUMBER(SEARCH("High",K15)))), "P1 - Critical", IF(OR(AND(ISNUMBER(SEARCH("High",E15)),ISNUMBER(SEARCH("High",K15))),AND(ISNUMBER(SEARCH("Critical",E15)),ISNUMBER(SEARCH("Medium",K15)))), "P2 - High Priority", IF(OR(AND(ISNUMBER(SEARCH("Medium",E15)),ISNUMBER(SEARCH("High",K15))),AND(ISNUMBER(SEARCH("High",E15)),ISNUMBER(SEARCH("Medium",K15)))), "P3 - Medium Priority", "P4 - Low Priority")))))</f>
        <v/>
      </c>
      <c r="Q15">
        <f>'Remediation Tracking'!S15</f>
        <v/>
      </c>
      <c r="R15">
        <f>'Remediation Tracking'!U15</f>
        <v/>
      </c>
      <c r="S15">
        <f>'Remediation Tracking'!Z15</f>
        <v/>
      </c>
      <c r="T15" s="22" t="n"/>
      <c r="U15">
        <f>'Remediation Tracking'!AE15</f>
        <v/>
      </c>
      <c r="V15">
        <f>'Remediation Tracking'!W15</f>
        <v/>
      </c>
      <c r="W15">
        <f>IF(AND(OR(R15="&lt;1 hour",R15="1-4 hours",R15="1 day"), OR(K15="Medium",K15="High",K15="Critical")), "Yes - Quick Win", "No")</f>
        <v/>
      </c>
    </row>
    <row r="16">
      <c r="A16">
        <f>IF(B16&lt;&gt;"", ROW()-2, "")</f>
        <v/>
      </c>
      <c r="B16">
        <f>'Remediation Tracking'!A16</f>
        <v/>
      </c>
      <c r="C16">
        <f>'Remediation Tracking'!D16</f>
        <v/>
      </c>
      <c r="D16">
        <f>'Remediation Tracking'!E16</f>
        <v/>
      </c>
      <c r="E16">
        <f>'Remediation Tracking'!F16</f>
        <v/>
      </c>
      <c r="F16">
        <f>'Remediation Tracking'!C16</f>
        <v/>
      </c>
      <c r="G16">
        <f>'Remediation Tracking'!H16</f>
        <v/>
      </c>
      <c r="H16">
        <f>'Remediation Tracking'!I16</f>
        <v/>
      </c>
      <c r="I16">
        <f>'Remediation Tracking'!G16</f>
        <v/>
      </c>
      <c r="J16">
        <f>'Remediation Tracking'!J16</f>
        <v/>
      </c>
      <c r="K16">
        <f>'Remediation Tracking'!L16</f>
        <v/>
      </c>
      <c r="L16">
        <f>'Remediation Tracking'!K16</f>
        <v/>
      </c>
      <c r="M16" t="inlineStr">
        <is>
          <t>Medium</t>
        </is>
      </c>
      <c r="N16">
        <f>'Remediation Tracking'!M16</f>
        <v/>
      </c>
      <c r="O16" s="25">
        <f>IF(E16="", "", (IF(ISNUMBER(SEARCH("Critical",E16)),5,IF(ISNUMBER(SEARCH("High",E16)),4,IF(ISNUMBER(SEARCH("Medium",E16)),3,2)))*10) + (IF(ISNUMBER(SEARCH("Critical",J16)),5,IF(ISNUMBER(SEARCH("High",J16)),4,IF(ISNUMBER(SEARCH("Medium",J16)),3,2)))*8) + (IF(ISNUMBER(SEARCH("Very High",M16)),5,IF(ISNUMBER(SEARCH("Very Low",M16)),1,IF(ISNUMBER(SEARCH("High",M16)),4,IF(ISNUMBER(SEARCH("Medium",M16)),3,IF(ISNUMBER(SEARCH("Low",M16)),2,1)))))*6) + (IF(T16&lt;0, ABS(T16)/7*2, 0)))</f>
        <v/>
      </c>
      <c r="P16">
        <f>IF(O16="", "", IF(AND(ISNUMBER(SEARCH("Critical",E16)), OR(ISNUMBER(SEARCH("Critical",K16)),ISNUMBER(SEARCH("High",K16))), T16&lt;0), "P0 - Critical &amp; Urgent", IF(AND(ISNUMBER(SEARCH("Critical",E16)), OR(ISNUMBER(SEARCH("Critical",K16)),ISNUMBER(SEARCH("High",K16)))), "P1 - Critical", IF(OR(AND(ISNUMBER(SEARCH("High",E16)),ISNUMBER(SEARCH("High",K16))),AND(ISNUMBER(SEARCH("Critical",E16)),ISNUMBER(SEARCH("Medium",K16)))), "P2 - High Priority", IF(OR(AND(ISNUMBER(SEARCH("Medium",E16)),ISNUMBER(SEARCH("High",K16))),AND(ISNUMBER(SEARCH("High",E16)),ISNUMBER(SEARCH("Medium",K16)))), "P3 - Medium Priority", "P4 - Low Priority")))))</f>
        <v/>
      </c>
      <c r="Q16">
        <f>'Remediation Tracking'!S16</f>
        <v/>
      </c>
      <c r="R16">
        <f>'Remediation Tracking'!U16</f>
        <v/>
      </c>
      <c r="S16">
        <f>'Remediation Tracking'!Z16</f>
        <v/>
      </c>
      <c r="T16" s="22" t="n"/>
      <c r="U16">
        <f>'Remediation Tracking'!AE16</f>
        <v/>
      </c>
      <c r="V16">
        <f>'Remediation Tracking'!W16</f>
        <v/>
      </c>
      <c r="W16">
        <f>IF(AND(OR(R16="&lt;1 hour",R16="1-4 hours",R16="1 day"), OR(K16="Medium",K16="High",K16="Critical")), "Yes - Quick Win", "No")</f>
        <v/>
      </c>
    </row>
    <row r="17">
      <c r="A17">
        <f>IF(B17&lt;&gt;"", ROW()-2, "")</f>
        <v/>
      </c>
      <c r="B17">
        <f>'Remediation Tracking'!A17</f>
        <v/>
      </c>
      <c r="C17">
        <f>'Remediation Tracking'!D17</f>
        <v/>
      </c>
      <c r="D17">
        <f>'Remediation Tracking'!E17</f>
        <v/>
      </c>
      <c r="E17">
        <f>'Remediation Tracking'!F17</f>
        <v/>
      </c>
      <c r="F17">
        <f>'Remediation Tracking'!C17</f>
        <v/>
      </c>
      <c r="G17">
        <f>'Remediation Tracking'!H17</f>
        <v/>
      </c>
      <c r="H17">
        <f>'Remediation Tracking'!I17</f>
        <v/>
      </c>
      <c r="I17">
        <f>'Remediation Tracking'!G17</f>
        <v/>
      </c>
      <c r="J17">
        <f>'Remediation Tracking'!J17</f>
        <v/>
      </c>
      <c r="K17">
        <f>'Remediation Tracking'!L17</f>
        <v/>
      </c>
      <c r="L17">
        <f>'Remediation Tracking'!K17</f>
        <v/>
      </c>
      <c r="M17" t="inlineStr">
        <is>
          <t>Medium</t>
        </is>
      </c>
      <c r="N17">
        <f>'Remediation Tracking'!M17</f>
        <v/>
      </c>
      <c r="O17" s="25">
        <f>IF(E17="", "", (IF(ISNUMBER(SEARCH("Critical",E17)),5,IF(ISNUMBER(SEARCH("High",E17)),4,IF(ISNUMBER(SEARCH("Medium",E17)),3,2)))*10) + (IF(ISNUMBER(SEARCH("Critical",J17)),5,IF(ISNUMBER(SEARCH("High",J17)),4,IF(ISNUMBER(SEARCH("Medium",J17)),3,2)))*8) + (IF(ISNUMBER(SEARCH("Very High",M17)),5,IF(ISNUMBER(SEARCH("Very Low",M17)),1,IF(ISNUMBER(SEARCH("High",M17)),4,IF(ISNUMBER(SEARCH("Medium",M17)),3,IF(ISNUMBER(SEARCH("Low",M17)),2,1)))))*6) + (IF(T17&lt;0, ABS(T17)/7*2, 0)))</f>
        <v/>
      </c>
      <c r="P17">
        <f>IF(O17="", "", IF(AND(ISNUMBER(SEARCH("Critical",E17)), OR(ISNUMBER(SEARCH("Critical",K17)),ISNUMBER(SEARCH("High",K17))), T17&lt;0), "P0 - Critical &amp; Urgent", IF(AND(ISNUMBER(SEARCH("Critical",E17)), OR(ISNUMBER(SEARCH("Critical",K17)),ISNUMBER(SEARCH("High",K17)))), "P1 - Critical", IF(OR(AND(ISNUMBER(SEARCH("High",E17)),ISNUMBER(SEARCH("High",K17))),AND(ISNUMBER(SEARCH("Critical",E17)),ISNUMBER(SEARCH("Medium",K17)))), "P2 - High Priority", IF(OR(AND(ISNUMBER(SEARCH("Medium",E17)),ISNUMBER(SEARCH("High",K17))),AND(ISNUMBER(SEARCH("High",E17)),ISNUMBER(SEARCH("Medium",K17)))), "P3 - Medium Priority", "P4 - Low Priority")))))</f>
        <v/>
      </c>
      <c r="Q17">
        <f>'Remediation Tracking'!S17</f>
        <v/>
      </c>
      <c r="R17">
        <f>'Remediation Tracking'!U17</f>
        <v/>
      </c>
      <c r="S17">
        <f>'Remediation Tracking'!Z17</f>
        <v/>
      </c>
      <c r="T17" s="22" t="n"/>
      <c r="U17">
        <f>'Remediation Tracking'!AE17</f>
        <v/>
      </c>
      <c r="V17">
        <f>'Remediation Tracking'!W17</f>
        <v/>
      </c>
      <c r="W17">
        <f>IF(AND(OR(R17="&lt;1 hour",R17="1-4 hours",R17="1 day"), OR(K17="Medium",K17="High",K17="Critical")), "Yes - Quick Win", "No")</f>
        <v/>
      </c>
    </row>
    <row r="18">
      <c r="A18">
        <f>IF(B18&lt;&gt;"", ROW()-2, "")</f>
        <v/>
      </c>
      <c r="B18">
        <f>'Remediation Tracking'!A18</f>
        <v/>
      </c>
      <c r="C18">
        <f>'Remediation Tracking'!D18</f>
        <v/>
      </c>
      <c r="D18">
        <f>'Remediation Tracking'!E18</f>
        <v/>
      </c>
      <c r="E18">
        <f>'Remediation Tracking'!F18</f>
        <v/>
      </c>
      <c r="F18">
        <f>'Remediation Tracking'!C18</f>
        <v/>
      </c>
      <c r="G18">
        <f>'Remediation Tracking'!H18</f>
        <v/>
      </c>
      <c r="H18">
        <f>'Remediation Tracking'!I18</f>
        <v/>
      </c>
      <c r="I18">
        <f>'Remediation Tracking'!G18</f>
        <v/>
      </c>
      <c r="J18">
        <f>'Remediation Tracking'!J18</f>
        <v/>
      </c>
      <c r="K18">
        <f>'Remediation Tracking'!L18</f>
        <v/>
      </c>
      <c r="L18">
        <f>'Remediation Tracking'!K18</f>
        <v/>
      </c>
      <c r="M18" t="inlineStr">
        <is>
          <t>Medium</t>
        </is>
      </c>
      <c r="N18">
        <f>'Remediation Tracking'!M18</f>
        <v/>
      </c>
      <c r="O18" s="25">
        <f>IF(E18="", "", (IF(ISNUMBER(SEARCH("Critical",E18)),5,IF(ISNUMBER(SEARCH("High",E18)),4,IF(ISNUMBER(SEARCH("Medium",E18)),3,2)))*10) + (IF(ISNUMBER(SEARCH("Critical",J18)),5,IF(ISNUMBER(SEARCH("High",J18)),4,IF(ISNUMBER(SEARCH("Medium",J18)),3,2)))*8) + (IF(ISNUMBER(SEARCH("Very High",M18)),5,IF(ISNUMBER(SEARCH("Very Low",M18)),1,IF(ISNUMBER(SEARCH("High",M18)),4,IF(ISNUMBER(SEARCH("Medium",M18)),3,IF(ISNUMBER(SEARCH("Low",M18)),2,1)))))*6) + (IF(T18&lt;0, ABS(T18)/7*2, 0)))</f>
        <v/>
      </c>
      <c r="P18">
        <f>IF(O18="", "", IF(AND(ISNUMBER(SEARCH("Critical",E18)), OR(ISNUMBER(SEARCH("Critical",K18)),ISNUMBER(SEARCH("High",K18))), T18&lt;0), "P0 - Critical &amp; Urgent", IF(AND(ISNUMBER(SEARCH("Critical",E18)), OR(ISNUMBER(SEARCH("Critical",K18)),ISNUMBER(SEARCH("High",K18)))), "P1 - Critical", IF(OR(AND(ISNUMBER(SEARCH("High",E18)),ISNUMBER(SEARCH("High",K18))),AND(ISNUMBER(SEARCH("Critical",E18)),ISNUMBER(SEARCH("Medium",K18)))), "P2 - High Priority", IF(OR(AND(ISNUMBER(SEARCH("Medium",E18)),ISNUMBER(SEARCH("High",K18))),AND(ISNUMBER(SEARCH("High",E18)),ISNUMBER(SEARCH("Medium",K18)))), "P3 - Medium Priority", "P4 - Low Priority")))))</f>
        <v/>
      </c>
      <c r="Q18">
        <f>'Remediation Tracking'!S18</f>
        <v/>
      </c>
      <c r="R18">
        <f>'Remediation Tracking'!U18</f>
        <v/>
      </c>
      <c r="S18">
        <f>'Remediation Tracking'!Z18</f>
        <v/>
      </c>
      <c r="T18" s="22" t="n"/>
      <c r="U18">
        <f>'Remediation Tracking'!AE18</f>
        <v/>
      </c>
      <c r="V18">
        <f>'Remediation Tracking'!W18</f>
        <v/>
      </c>
      <c r="W18">
        <f>IF(AND(OR(R18="&lt;1 hour",R18="1-4 hours",R18="1 day"), OR(K18="Medium",K18="High",K18="Critical")), "Yes - Quick Win", "No")</f>
        <v/>
      </c>
    </row>
    <row r="19">
      <c r="A19">
        <f>IF(B19&lt;&gt;"", ROW()-2, "")</f>
        <v/>
      </c>
      <c r="B19">
        <f>'Remediation Tracking'!A19</f>
        <v/>
      </c>
      <c r="C19">
        <f>'Remediation Tracking'!D19</f>
        <v/>
      </c>
      <c r="D19">
        <f>'Remediation Tracking'!E19</f>
        <v/>
      </c>
      <c r="E19">
        <f>'Remediation Tracking'!F19</f>
        <v/>
      </c>
      <c r="F19">
        <f>'Remediation Tracking'!C19</f>
        <v/>
      </c>
      <c r="G19">
        <f>'Remediation Tracking'!H19</f>
        <v/>
      </c>
      <c r="H19">
        <f>'Remediation Tracking'!I19</f>
        <v/>
      </c>
      <c r="I19">
        <f>'Remediation Tracking'!G19</f>
        <v/>
      </c>
      <c r="J19">
        <f>'Remediation Tracking'!J19</f>
        <v/>
      </c>
      <c r="K19">
        <f>'Remediation Tracking'!L19</f>
        <v/>
      </c>
      <c r="L19">
        <f>'Remediation Tracking'!K19</f>
        <v/>
      </c>
      <c r="M19" t="inlineStr">
        <is>
          <t>Medium</t>
        </is>
      </c>
      <c r="N19">
        <f>'Remediation Tracking'!M19</f>
        <v/>
      </c>
      <c r="O19" s="25">
        <f>IF(E19="", "", (IF(ISNUMBER(SEARCH("Critical",E19)),5,IF(ISNUMBER(SEARCH("High",E19)),4,IF(ISNUMBER(SEARCH("Medium",E19)),3,2)))*10) + (IF(ISNUMBER(SEARCH("Critical",J19)),5,IF(ISNUMBER(SEARCH("High",J19)),4,IF(ISNUMBER(SEARCH("Medium",J19)),3,2)))*8) + (IF(ISNUMBER(SEARCH("Very High",M19)),5,IF(ISNUMBER(SEARCH("Very Low",M19)),1,IF(ISNUMBER(SEARCH("High",M19)),4,IF(ISNUMBER(SEARCH("Medium",M19)),3,IF(ISNUMBER(SEARCH("Low",M19)),2,1)))))*6) + (IF(T19&lt;0, ABS(T19)/7*2, 0)))</f>
        <v/>
      </c>
      <c r="P19">
        <f>IF(O19="", "", IF(AND(ISNUMBER(SEARCH("Critical",E19)), OR(ISNUMBER(SEARCH("Critical",K19)),ISNUMBER(SEARCH("High",K19))), T19&lt;0), "P0 - Critical &amp; Urgent", IF(AND(ISNUMBER(SEARCH("Critical",E19)), OR(ISNUMBER(SEARCH("Critical",K19)),ISNUMBER(SEARCH("High",K19)))), "P1 - Critical", IF(OR(AND(ISNUMBER(SEARCH("High",E19)),ISNUMBER(SEARCH("High",K19))),AND(ISNUMBER(SEARCH("Critical",E19)),ISNUMBER(SEARCH("Medium",K19)))), "P2 - High Priority", IF(OR(AND(ISNUMBER(SEARCH("Medium",E19)),ISNUMBER(SEARCH("High",K19))),AND(ISNUMBER(SEARCH("High",E19)),ISNUMBER(SEARCH("Medium",K19)))), "P3 - Medium Priority", "P4 - Low Priority")))))</f>
        <v/>
      </c>
      <c r="Q19">
        <f>'Remediation Tracking'!S19</f>
        <v/>
      </c>
      <c r="R19">
        <f>'Remediation Tracking'!U19</f>
        <v/>
      </c>
      <c r="S19">
        <f>'Remediation Tracking'!Z19</f>
        <v/>
      </c>
      <c r="T19" s="22" t="n"/>
      <c r="U19">
        <f>'Remediation Tracking'!AE19</f>
        <v/>
      </c>
      <c r="V19">
        <f>'Remediation Tracking'!W19</f>
        <v/>
      </c>
      <c r="W19">
        <f>IF(AND(OR(R19="&lt;1 hour",R19="1-4 hours",R19="1 day"), OR(K19="Medium",K19="High",K19="Critical")), "Yes - Quick Win", "No")</f>
        <v/>
      </c>
    </row>
    <row r="20">
      <c r="A20">
        <f>IF(B20&lt;&gt;"", ROW()-2, "")</f>
        <v/>
      </c>
      <c r="B20">
        <f>'Remediation Tracking'!A20</f>
        <v/>
      </c>
      <c r="C20">
        <f>'Remediation Tracking'!D20</f>
        <v/>
      </c>
      <c r="D20">
        <f>'Remediation Tracking'!E20</f>
        <v/>
      </c>
      <c r="E20">
        <f>'Remediation Tracking'!F20</f>
        <v/>
      </c>
      <c r="F20">
        <f>'Remediation Tracking'!C20</f>
        <v/>
      </c>
      <c r="G20">
        <f>'Remediation Tracking'!H20</f>
        <v/>
      </c>
      <c r="H20">
        <f>'Remediation Tracking'!I20</f>
        <v/>
      </c>
      <c r="I20">
        <f>'Remediation Tracking'!G20</f>
        <v/>
      </c>
      <c r="J20">
        <f>'Remediation Tracking'!J20</f>
        <v/>
      </c>
      <c r="K20">
        <f>'Remediation Tracking'!L20</f>
        <v/>
      </c>
      <c r="L20">
        <f>'Remediation Tracking'!K20</f>
        <v/>
      </c>
      <c r="M20" t="inlineStr">
        <is>
          <t>Medium</t>
        </is>
      </c>
      <c r="N20">
        <f>'Remediation Tracking'!M20</f>
        <v/>
      </c>
      <c r="O20" s="25">
        <f>IF(E20="", "", (IF(ISNUMBER(SEARCH("Critical",E20)),5,IF(ISNUMBER(SEARCH("High",E20)),4,IF(ISNUMBER(SEARCH("Medium",E20)),3,2)))*10) + (IF(ISNUMBER(SEARCH("Critical",J20)),5,IF(ISNUMBER(SEARCH("High",J20)),4,IF(ISNUMBER(SEARCH("Medium",J20)),3,2)))*8) + (IF(ISNUMBER(SEARCH("Very High",M20)),5,IF(ISNUMBER(SEARCH("Very Low",M20)),1,IF(ISNUMBER(SEARCH("High",M20)),4,IF(ISNUMBER(SEARCH("Medium",M20)),3,IF(ISNUMBER(SEARCH("Low",M20)),2,1)))))*6) + (IF(T20&lt;0, ABS(T20)/7*2, 0)))</f>
        <v/>
      </c>
      <c r="P20">
        <f>IF(O20="", "", IF(AND(ISNUMBER(SEARCH("Critical",E20)), OR(ISNUMBER(SEARCH("Critical",K20)),ISNUMBER(SEARCH("High",K20))), T20&lt;0), "P0 - Critical &amp; Urgent", IF(AND(ISNUMBER(SEARCH("Critical",E20)), OR(ISNUMBER(SEARCH("Critical",K20)),ISNUMBER(SEARCH("High",K20)))), "P1 - Critical", IF(OR(AND(ISNUMBER(SEARCH("High",E20)),ISNUMBER(SEARCH("High",K20))),AND(ISNUMBER(SEARCH("Critical",E20)),ISNUMBER(SEARCH("Medium",K20)))), "P2 - High Priority", IF(OR(AND(ISNUMBER(SEARCH("Medium",E20)),ISNUMBER(SEARCH("High",K20))),AND(ISNUMBER(SEARCH("High",E20)),ISNUMBER(SEARCH("Medium",K20)))), "P3 - Medium Priority", "P4 - Low Priority")))))</f>
        <v/>
      </c>
      <c r="Q20">
        <f>'Remediation Tracking'!S20</f>
        <v/>
      </c>
      <c r="R20">
        <f>'Remediation Tracking'!U20</f>
        <v/>
      </c>
      <c r="S20">
        <f>'Remediation Tracking'!Z20</f>
        <v/>
      </c>
      <c r="T20" s="22" t="n"/>
      <c r="U20">
        <f>'Remediation Tracking'!AE20</f>
        <v/>
      </c>
      <c r="V20">
        <f>'Remediation Tracking'!W20</f>
        <v/>
      </c>
      <c r="W20">
        <f>IF(AND(OR(R20="&lt;1 hour",R20="1-4 hours",R20="1 day"), OR(K20="Medium",K20="High",K20="Critical")), "Yes - Quick Win", "No")</f>
        <v/>
      </c>
    </row>
    <row r="21">
      <c r="A21">
        <f>IF(B21&lt;&gt;"", ROW()-2, "")</f>
        <v/>
      </c>
      <c r="B21">
        <f>'Remediation Tracking'!A21</f>
        <v/>
      </c>
      <c r="C21">
        <f>'Remediation Tracking'!D21</f>
        <v/>
      </c>
      <c r="D21">
        <f>'Remediation Tracking'!E21</f>
        <v/>
      </c>
      <c r="E21">
        <f>'Remediation Tracking'!F21</f>
        <v/>
      </c>
      <c r="F21">
        <f>'Remediation Tracking'!C21</f>
        <v/>
      </c>
      <c r="G21">
        <f>'Remediation Tracking'!H21</f>
        <v/>
      </c>
      <c r="H21">
        <f>'Remediation Tracking'!I21</f>
        <v/>
      </c>
      <c r="I21">
        <f>'Remediation Tracking'!G21</f>
        <v/>
      </c>
      <c r="J21">
        <f>'Remediation Tracking'!J21</f>
        <v/>
      </c>
      <c r="K21">
        <f>'Remediation Tracking'!L21</f>
        <v/>
      </c>
      <c r="L21">
        <f>'Remediation Tracking'!K21</f>
        <v/>
      </c>
      <c r="M21" t="inlineStr">
        <is>
          <t>Medium</t>
        </is>
      </c>
      <c r="N21">
        <f>'Remediation Tracking'!M21</f>
        <v/>
      </c>
      <c r="O21" s="25">
        <f>IF(E21="", "", (IF(ISNUMBER(SEARCH("Critical",E21)),5,IF(ISNUMBER(SEARCH("High",E21)),4,IF(ISNUMBER(SEARCH("Medium",E21)),3,2)))*10) + (IF(ISNUMBER(SEARCH("Critical",J21)),5,IF(ISNUMBER(SEARCH("High",J21)),4,IF(ISNUMBER(SEARCH("Medium",J21)),3,2)))*8) + (IF(ISNUMBER(SEARCH("Very High",M21)),5,IF(ISNUMBER(SEARCH("Very Low",M21)),1,IF(ISNUMBER(SEARCH("High",M21)),4,IF(ISNUMBER(SEARCH("Medium",M21)),3,IF(ISNUMBER(SEARCH("Low",M21)),2,1)))))*6) + (IF(T21&lt;0, ABS(T21)/7*2, 0)))</f>
        <v/>
      </c>
      <c r="P21">
        <f>IF(O21="", "", IF(AND(ISNUMBER(SEARCH("Critical",E21)), OR(ISNUMBER(SEARCH("Critical",K21)),ISNUMBER(SEARCH("High",K21))), T21&lt;0), "P0 - Critical &amp; Urgent", IF(AND(ISNUMBER(SEARCH("Critical",E21)), OR(ISNUMBER(SEARCH("Critical",K21)),ISNUMBER(SEARCH("High",K21)))), "P1 - Critical", IF(OR(AND(ISNUMBER(SEARCH("High",E21)),ISNUMBER(SEARCH("High",K21))),AND(ISNUMBER(SEARCH("Critical",E21)),ISNUMBER(SEARCH("Medium",K21)))), "P2 - High Priority", IF(OR(AND(ISNUMBER(SEARCH("Medium",E21)),ISNUMBER(SEARCH("High",K21))),AND(ISNUMBER(SEARCH("High",E21)),ISNUMBER(SEARCH("Medium",K21)))), "P3 - Medium Priority", "P4 - Low Priority")))))</f>
        <v/>
      </c>
      <c r="Q21">
        <f>'Remediation Tracking'!S21</f>
        <v/>
      </c>
      <c r="R21">
        <f>'Remediation Tracking'!U21</f>
        <v/>
      </c>
      <c r="S21">
        <f>'Remediation Tracking'!Z21</f>
        <v/>
      </c>
      <c r="T21" s="22" t="n"/>
      <c r="U21">
        <f>'Remediation Tracking'!AE21</f>
        <v/>
      </c>
      <c r="V21">
        <f>'Remediation Tracking'!W21</f>
        <v/>
      </c>
      <c r="W21">
        <f>IF(AND(OR(R21="&lt;1 hour",R21="1-4 hours",R21="1 day"), OR(K21="Medium",K21="High",K21="Critical")), "Yes - Quick Win", "No")</f>
        <v/>
      </c>
    </row>
    <row r="22">
      <c r="A22">
        <f>IF(B22&lt;&gt;"", ROW()-2, "")</f>
        <v/>
      </c>
      <c r="B22">
        <f>'Remediation Tracking'!A22</f>
        <v/>
      </c>
      <c r="C22">
        <f>'Remediation Tracking'!D22</f>
        <v/>
      </c>
      <c r="D22">
        <f>'Remediation Tracking'!E22</f>
        <v/>
      </c>
      <c r="E22">
        <f>'Remediation Tracking'!F22</f>
        <v/>
      </c>
      <c r="F22">
        <f>'Remediation Tracking'!C22</f>
        <v/>
      </c>
      <c r="G22">
        <f>'Remediation Tracking'!H22</f>
        <v/>
      </c>
      <c r="H22">
        <f>'Remediation Tracking'!I22</f>
        <v/>
      </c>
      <c r="I22">
        <f>'Remediation Tracking'!G22</f>
        <v/>
      </c>
      <c r="J22">
        <f>'Remediation Tracking'!J22</f>
        <v/>
      </c>
      <c r="K22">
        <f>'Remediation Tracking'!L22</f>
        <v/>
      </c>
      <c r="L22">
        <f>'Remediation Tracking'!K22</f>
        <v/>
      </c>
      <c r="M22" t="inlineStr">
        <is>
          <t>Medium</t>
        </is>
      </c>
      <c r="N22">
        <f>'Remediation Tracking'!M22</f>
        <v/>
      </c>
      <c r="O22" s="25">
        <f>IF(E22="", "", (IF(ISNUMBER(SEARCH("Critical",E22)),5,IF(ISNUMBER(SEARCH("High",E22)),4,IF(ISNUMBER(SEARCH("Medium",E22)),3,2)))*10) + (IF(ISNUMBER(SEARCH("Critical",J22)),5,IF(ISNUMBER(SEARCH("High",J22)),4,IF(ISNUMBER(SEARCH("Medium",J22)),3,2)))*8) + (IF(ISNUMBER(SEARCH("Very High",M22)),5,IF(ISNUMBER(SEARCH("Very Low",M22)),1,IF(ISNUMBER(SEARCH("High",M22)),4,IF(ISNUMBER(SEARCH("Medium",M22)),3,IF(ISNUMBER(SEARCH("Low",M22)),2,1)))))*6) + (IF(T22&lt;0, ABS(T22)/7*2, 0)))</f>
        <v/>
      </c>
      <c r="P22">
        <f>IF(O22="", "", IF(AND(ISNUMBER(SEARCH("Critical",E22)), OR(ISNUMBER(SEARCH("Critical",K22)),ISNUMBER(SEARCH("High",K22))), T22&lt;0), "P0 - Critical &amp; Urgent", IF(AND(ISNUMBER(SEARCH("Critical",E22)), OR(ISNUMBER(SEARCH("Critical",K22)),ISNUMBER(SEARCH("High",K22)))), "P1 - Critical", IF(OR(AND(ISNUMBER(SEARCH("High",E22)),ISNUMBER(SEARCH("High",K22))),AND(ISNUMBER(SEARCH("Critical",E22)),ISNUMBER(SEARCH("Medium",K22)))), "P2 - High Priority", IF(OR(AND(ISNUMBER(SEARCH("Medium",E22)),ISNUMBER(SEARCH("High",K22))),AND(ISNUMBER(SEARCH("High",E22)),ISNUMBER(SEARCH("Medium",K22)))), "P3 - Medium Priority", "P4 - Low Priority")))))</f>
        <v/>
      </c>
      <c r="Q22">
        <f>'Remediation Tracking'!S22</f>
        <v/>
      </c>
      <c r="R22">
        <f>'Remediation Tracking'!U22</f>
        <v/>
      </c>
      <c r="S22">
        <f>'Remediation Tracking'!Z22</f>
        <v/>
      </c>
      <c r="T22" s="22" t="n"/>
      <c r="U22">
        <f>'Remediation Tracking'!AE22</f>
        <v/>
      </c>
      <c r="V22">
        <f>'Remediation Tracking'!W22</f>
        <v/>
      </c>
      <c r="W22">
        <f>IF(AND(OR(R22="&lt;1 hour",R22="1-4 hours",R22="1 day"), OR(K22="Medium",K22="High",K22="Critical")), "Yes - Quick Win", "No")</f>
        <v/>
      </c>
    </row>
    <row r="23">
      <c r="A23">
        <f>IF(B23&lt;&gt;"", ROW()-2, "")</f>
        <v/>
      </c>
      <c r="B23">
        <f>'Remediation Tracking'!A23</f>
        <v/>
      </c>
      <c r="C23">
        <f>'Remediation Tracking'!D23</f>
        <v/>
      </c>
      <c r="D23">
        <f>'Remediation Tracking'!E23</f>
        <v/>
      </c>
      <c r="E23">
        <f>'Remediation Tracking'!F23</f>
        <v/>
      </c>
      <c r="F23">
        <f>'Remediation Tracking'!C23</f>
        <v/>
      </c>
      <c r="G23">
        <f>'Remediation Tracking'!H23</f>
        <v/>
      </c>
      <c r="H23">
        <f>'Remediation Tracking'!I23</f>
        <v/>
      </c>
      <c r="I23">
        <f>'Remediation Tracking'!G23</f>
        <v/>
      </c>
      <c r="J23">
        <f>'Remediation Tracking'!J23</f>
        <v/>
      </c>
      <c r="K23">
        <f>'Remediation Tracking'!L23</f>
        <v/>
      </c>
      <c r="L23">
        <f>'Remediation Tracking'!K23</f>
        <v/>
      </c>
      <c r="M23" t="inlineStr">
        <is>
          <t>Medium</t>
        </is>
      </c>
      <c r="N23">
        <f>'Remediation Tracking'!M23</f>
        <v/>
      </c>
      <c r="O23" s="25">
        <f>IF(E23="", "", (IF(ISNUMBER(SEARCH("Critical",E23)),5,IF(ISNUMBER(SEARCH("High",E23)),4,IF(ISNUMBER(SEARCH("Medium",E23)),3,2)))*10) + (IF(ISNUMBER(SEARCH("Critical",J23)),5,IF(ISNUMBER(SEARCH("High",J23)),4,IF(ISNUMBER(SEARCH("Medium",J23)),3,2)))*8) + (IF(ISNUMBER(SEARCH("Very High",M23)),5,IF(ISNUMBER(SEARCH("Very Low",M23)),1,IF(ISNUMBER(SEARCH("High",M23)),4,IF(ISNUMBER(SEARCH("Medium",M23)),3,IF(ISNUMBER(SEARCH("Low",M23)),2,1)))))*6) + (IF(T23&lt;0, ABS(T23)/7*2, 0)))</f>
        <v/>
      </c>
      <c r="P23">
        <f>IF(O23="", "", IF(AND(ISNUMBER(SEARCH("Critical",E23)), OR(ISNUMBER(SEARCH("Critical",K23)),ISNUMBER(SEARCH("High",K23))), T23&lt;0), "P0 - Critical &amp; Urgent", IF(AND(ISNUMBER(SEARCH("Critical",E23)), OR(ISNUMBER(SEARCH("Critical",K23)),ISNUMBER(SEARCH("High",K23)))), "P1 - Critical", IF(OR(AND(ISNUMBER(SEARCH("High",E23)),ISNUMBER(SEARCH("High",K23))),AND(ISNUMBER(SEARCH("Critical",E23)),ISNUMBER(SEARCH("Medium",K23)))), "P2 - High Priority", IF(OR(AND(ISNUMBER(SEARCH("Medium",E23)),ISNUMBER(SEARCH("High",K23))),AND(ISNUMBER(SEARCH("High",E23)),ISNUMBER(SEARCH("Medium",K23)))), "P3 - Medium Priority", "P4 - Low Priority")))))</f>
        <v/>
      </c>
      <c r="Q23">
        <f>'Remediation Tracking'!S23</f>
        <v/>
      </c>
      <c r="R23">
        <f>'Remediation Tracking'!U23</f>
        <v/>
      </c>
      <c r="S23">
        <f>'Remediation Tracking'!Z23</f>
        <v/>
      </c>
      <c r="T23" s="22" t="n"/>
      <c r="U23">
        <f>'Remediation Tracking'!AE23</f>
        <v/>
      </c>
      <c r="V23">
        <f>'Remediation Tracking'!W23</f>
        <v/>
      </c>
      <c r="W23">
        <f>IF(AND(OR(R23="&lt;1 hour",R23="1-4 hours",R23="1 day"), OR(K23="Medium",K23="High",K23="Critical")), "Yes - Quick Win", "No")</f>
        <v/>
      </c>
    </row>
    <row r="24">
      <c r="A24">
        <f>IF(B24&lt;&gt;"", ROW()-2, "")</f>
        <v/>
      </c>
      <c r="B24">
        <f>'Remediation Tracking'!A24</f>
        <v/>
      </c>
      <c r="C24">
        <f>'Remediation Tracking'!D24</f>
        <v/>
      </c>
      <c r="D24">
        <f>'Remediation Tracking'!E24</f>
        <v/>
      </c>
      <c r="E24">
        <f>'Remediation Tracking'!F24</f>
        <v/>
      </c>
      <c r="F24">
        <f>'Remediation Tracking'!C24</f>
        <v/>
      </c>
      <c r="G24">
        <f>'Remediation Tracking'!H24</f>
        <v/>
      </c>
      <c r="H24">
        <f>'Remediation Tracking'!I24</f>
        <v/>
      </c>
      <c r="I24">
        <f>'Remediation Tracking'!G24</f>
        <v/>
      </c>
      <c r="J24">
        <f>'Remediation Tracking'!J24</f>
        <v/>
      </c>
      <c r="K24">
        <f>'Remediation Tracking'!L24</f>
        <v/>
      </c>
      <c r="L24">
        <f>'Remediation Tracking'!K24</f>
        <v/>
      </c>
      <c r="M24" t="inlineStr">
        <is>
          <t>Medium</t>
        </is>
      </c>
      <c r="N24">
        <f>'Remediation Tracking'!M24</f>
        <v/>
      </c>
      <c r="O24" s="25">
        <f>IF(E24="", "", (IF(ISNUMBER(SEARCH("Critical",E24)),5,IF(ISNUMBER(SEARCH("High",E24)),4,IF(ISNUMBER(SEARCH("Medium",E24)),3,2)))*10) + (IF(ISNUMBER(SEARCH("Critical",J24)),5,IF(ISNUMBER(SEARCH("High",J24)),4,IF(ISNUMBER(SEARCH("Medium",J24)),3,2)))*8) + (IF(ISNUMBER(SEARCH("Very High",M24)),5,IF(ISNUMBER(SEARCH("Very Low",M24)),1,IF(ISNUMBER(SEARCH("High",M24)),4,IF(ISNUMBER(SEARCH("Medium",M24)),3,IF(ISNUMBER(SEARCH("Low",M24)),2,1)))))*6) + (IF(T24&lt;0, ABS(T24)/7*2, 0)))</f>
        <v/>
      </c>
      <c r="P24">
        <f>IF(O24="", "", IF(AND(ISNUMBER(SEARCH("Critical",E24)), OR(ISNUMBER(SEARCH("Critical",K24)),ISNUMBER(SEARCH("High",K24))), T24&lt;0), "P0 - Critical &amp; Urgent", IF(AND(ISNUMBER(SEARCH("Critical",E24)), OR(ISNUMBER(SEARCH("Critical",K24)),ISNUMBER(SEARCH("High",K24)))), "P1 - Critical", IF(OR(AND(ISNUMBER(SEARCH("High",E24)),ISNUMBER(SEARCH("High",K24))),AND(ISNUMBER(SEARCH("Critical",E24)),ISNUMBER(SEARCH("Medium",K24)))), "P2 - High Priority", IF(OR(AND(ISNUMBER(SEARCH("Medium",E24)),ISNUMBER(SEARCH("High",K24))),AND(ISNUMBER(SEARCH("High",E24)),ISNUMBER(SEARCH("Medium",K24)))), "P3 - Medium Priority", "P4 - Low Priority")))))</f>
        <v/>
      </c>
      <c r="Q24">
        <f>'Remediation Tracking'!S24</f>
        <v/>
      </c>
      <c r="R24">
        <f>'Remediation Tracking'!U24</f>
        <v/>
      </c>
      <c r="S24">
        <f>'Remediation Tracking'!Z24</f>
        <v/>
      </c>
      <c r="T24" s="22" t="n"/>
      <c r="U24">
        <f>'Remediation Tracking'!AE24</f>
        <v/>
      </c>
      <c r="V24">
        <f>'Remediation Tracking'!W24</f>
        <v/>
      </c>
      <c r="W24">
        <f>IF(AND(OR(R24="&lt;1 hour",R24="1-4 hours",R24="1 day"), OR(K24="Medium",K24="High",K24="Critical")), "Yes - Quick Win", "No")</f>
        <v/>
      </c>
    </row>
    <row r="25">
      <c r="A25">
        <f>IF(B25&lt;&gt;"", ROW()-2, "")</f>
        <v/>
      </c>
      <c r="B25">
        <f>'Remediation Tracking'!A25</f>
        <v/>
      </c>
      <c r="C25">
        <f>'Remediation Tracking'!D25</f>
        <v/>
      </c>
      <c r="D25">
        <f>'Remediation Tracking'!E25</f>
        <v/>
      </c>
      <c r="E25">
        <f>'Remediation Tracking'!F25</f>
        <v/>
      </c>
      <c r="F25">
        <f>'Remediation Tracking'!C25</f>
        <v/>
      </c>
      <c r="G25">
        <f>'Remediation Tracking'!H25</f>
        <v/>
      </c>
      <c r="H25">
        <f>'Remediation Tracking'!I25</f>
        <v/>
      </c>
      <c r="I25">
        <f>'Remediation Tracking'!G25</f>
        <v/>
      </c>
      <c r="J25">
        <f>'Remediation Tracking'!J25</f>
        <v/>
      </c>
      <c r="K25">
        <f>'Remediation Tracking'!L25</f>
        <v/>
      </c>
      <c r="L25">
        <f>'Remediation Tracking'!K25</f>
        <v/>
      </c>
      <c r="M25" t="inlineStr">
        <is>
          <t>Medium</t>
        </is>
      </c>
      <c r="N25">
        <f>'Remediation Tracking'!M25</f>
        <v/>
      </c>
      <c r="O25" s="25">
        <f>IF(E25="", "", (IF(ISNUMBER(SEARCH("Critical",E25)),5,IF(ISNUMBER(SEARCH("High",E25)),4,IF(ISNUMBER(SEARCH("Medium",E25)),3,2)))*10) + (IF(ISNUMBER(SEARCH("Critical",J25)),5,IF(ISNUMBER(SEARCH("High",J25)),4,IF(ISNUMBER(SEARCH("Medium",J25)),3,2)))*8) + (IF(ISNUMBER(SEARCH("Very High",M25)),5,IF(ISNUMBER(SEARCH("Very Low",M25)),1,IF(ISNUMBER(SEARCH("High",M25)),4,IF(ISNUMBER(SEARCH("Medium",M25)),3,IF(ISNUMBER(SEARCH("Low",M25)),2,1)))))*6) + (IF(T25&lt;0, ABS(T25)/7*2, 0)))</f>
        <v/>
      </c>
      <c r="P25">
        <f>IF(O25="", "", IF(AND(ISNUMBER(SEARCH("Critical",E25)), OR(ISNUMBER(SEARCH("Critical",K25)),ISNUMBER(SEARCH("High",K25))), T25&lt;0), "P0 - Critical &amp; Urgent", IF(AND(ISNUMBER(SEARCH("Critical",E25)), OR(ISNUMBER(SEARCH("Critical",K25)),ISNUMBER(SEARCH("High",K25)))), "P1 - Critical", IF(OR(AND(ISNUMBER(SEARCH("High",E25)),ISNUMBER(SEARCH("High",K25))),AND(ISNUMBER(SEARCH("Critical",E25)),ISNUMBER(SEARCH("Medium",K25)))), "P2 - High Priority", IF(OR(AND(ISNUMBER(SEARCH("Medium",E25)),ISNUMBER(SEARCH("High",K25))),AND(ISNUMBER(SEARCH("High",E25)),ISNUMBER(SEARCH("Medium",K25)))), "P3 - Medium Priority", "P4 - Low Priority")))))</f>
        <v/>
      </c>
      <c r="Q25">
        <f>'Remediation Tracking'!S25</f>
        <v/>
      </c>
      <c r="R25">
        <f>'Remediation Tracking'!U25</f>
        <v/>
      </c>
      <c r="S25">
        <f>'Remediation Tracking'!Z25</f>
        <v/>
      </c>
      <c r="T25" s="22" t="n"/>
      <c r="U25">
        <f>'Remediation Tracking'!AE25</f>
        <v/>
      </c>
      <c r="V25">
        <f>'Remediation Tracking'!W25</f>
        <v/>
      </c>
      <c r="W25">
        <f>IF(AND(OR(R25="&lt;1 hour",R25="1-4 hours",R25="1 day"), OR(K25="Medium",K25="High",K25="Critical")), "Yes - Quick Win", "No")</f>
        <v/>
      </c>
    </row>
    <row r="26">
      <c r="A26">
        <f>IF(B26&lt;&gt;"", ROW()-2, "")</f>
        <v/>
      </c>
      <c r="B26">
        <f>'Remediation Tracking'!A26</f>
        <v/>
      </c>
      <c r="C26">
        <f>'Remediation Tracking'!D26</f>
        <v/>
      </c>
      <c r="D26">
        <f>'Remediation Tracking'!E26</f>
        <v/>
      </c>
      <c r="E26">
        <f>'Remediation Tracking'!F26</f>
        <v/>
      </c>
      <c r="F26">
        <f>'Remediation Tracking'!C26</f>
        <v/>
      </c>
      <c r="G26">
        <f>'Remediation Tracking'!H26</f>
        <v/>
      </c>
      <c r="H26">
        <f>'Remediation Tracking'!I26</f>
        <v/>
      </c>
      <c r="I26">
        <f>'Remediation Tracking'!G26</f>
        <v/>
      </c>
      <c r="J26">
        <f>'Remediation Tracking'!J26</f>
        <v/>
      </c>
      <c r="K26">
        <f>'Remediation Tracking'!L26</f>
        <v/>
      </c>
      <c r="L26">
        <f>'Remediation Tracking'!K26</f>
        <v/>
      </c>
      <c r="M26" t="inlineStr">
        <is>
          <t>Medium</t>
        </is>
      </c>
      <c r="N26">
        <f>'Remediation Tracking'!M26</f>
        <v/>
      </c>
      <c r="O26" s="25">
        <f>IF(E26="", "", (IF(ISNUMBER(SEARCH("Critical",E26)),5,IF(ISNUMBER(SEARCH("High",E26)),4,IF(ISNUMBER(SEARCH("Medium",E26)),3,2)))*10) + (IF(ISNUMBER(SEARCH("Critical",J26)),5,IF(ISNUMBER(SEARCH("High",J26)),4,IF(ISNUMBER(SEARCH("Medium",J26)),3,2)))*8) + (IF(ISNUMBER(SEARCH("Very High",M26)),5,IF(ISNUMBER(SEARCH("Very Low",M26)),1,IF(ISNUMBER(SEARCH("High",M26)),4,IF(ISNUMBER(SEARCH("Medium",M26)),3,IF(ISNUMBER(SEARCH("Low",M26)),2,1)))))*6) + (IF(T26&lt;0, ABS(T26)/7*2, 0)))</f>
        <v/>
      </c>
      <c r="P26">
        <f>IF(O26="", "", IF(AND(ISNUMBER(SEARCH("Critical",E26)), OR(ISNUMBER(SEARCH("Critical",K26)),ISNUMBER(SEARCH("High",K26))), T26&lt;0), "P0 - Critical &amp; Urgent", IF(AND(ISNUMBER(SEARCH("Critical",E26)), OR(ISNUMBER(SEARCH("Critical",K26)),ISNUMBER(SEARCH("High",K26)))), "P1 - Critical", IF(OR(AND(ISNUMBER(SEARCH("High",E26)),ISNUMBER(SEARCH("High",K26))),AND(ISNUMBER(SEARCH("Critical",E26)),ISNUMBER(SEARCH("Medium",K26)))), "P2 - High Priority", IF(OR(AND(ISNUMBER(SEARCH("Medium",E26)),ISNUMBER(SEARCH("High",K26))),AND(ISNUMBER(SEARCH("High",E26)),ISNUMBER(SEARCH("Medium",K26)))), "P3 - Medium Priority", "P4 - Low Priority")))))</f>
        <v/>
      </c>
      <c r="Q26">
        <f>'Remediation Tracking'!S26</f>
        <v/>
      </c>
      <c r="R26">
        <f>'Remediation Tracking'!U26</f>
        <v/>
      </c>
      <c r="S26">
        <f>'Remediation Tracking'!Z26</f>
        <v/>
      </c>
      <c r="T26" s="22" t="n"/>
      <c r="U26">
        <f>'Remediation Tracking'!AE26</f>
        <v/>
      </c>
      <c r="V26">
        <f>'Remediation Tracking'!W26</f>
        <v/>
      </c>
      <c r="W26">
        <f>IF(AND(OR(R26="&lt;1 hour",R26="1-4 hours",R26="1 day"), OR(K26="Medium",K26="High",K26="Critical")), "Yes - Quick Win", "No")</f>
        <v/>
      </c>
    </row>
    <row r="27">
      <c r="A27">
        <f>IF(B27&lt;&gt;"", ROW()-2, "")</f>
        <v/>
      </c>
      <c r="B27">
        <f>'Remediation Tracking'!A27</f>
        <v/>
      </c>
      <c r="C27">
        <f>'Remediation Tracking'!D27</f>
        <v/>
      </c>
      <c r="D27">
        <f>'Remediation Tracking'!E27</f>
        <v/>
      </c>
      <c r="E27">
        <f>'Remediation Tracking'!F27</f>
        <v/>
      </c>
      <c r="F27">
        <f>'Remediation Tracking'!C27</f>
        <v/>
      </c>
      <c r="G27">
        <f>'Remediation Tracking'!H27</f>
        <v/>
      </c>
      <c r="H27">
        <f>'Remediation Tracking'!I27</f>
        <v/>
      </c>
      <c r="I27">
        <f>'Remediation Tracking'!G27</f>
        <v/>
      </c>
      <c r="J27">
        <f>'Remediation Tracking'!J27</f>
        <v/>
      </c>
      <c r="K27">
        <f>'Remediation Tracking'!L27</f>
        <v/>
      </c>
      <c r="L27">
        <f>'Remediation Tracking'!K27</f>
        <v/>
      </c>
      <c r="M27" t="inlineStr">
        <is>
          <t>Medium</t>
        </is>
      </c>
      <c r="N27">
        <f>'Remediation Tracking'!M27</f>
        <v/>
      </c>
      <c r="O27" s="25">
        <f>IF(E27="", "", (IF(ISNUMBER(SEARCH("Critical",E27)),5,IF(ISNUMBER(SEARCH("High",E27)),4,IF(ISNUMBER(SEARCH("Medium",E27)),3,2)))*10) + (IF(ISNUMBER(SEARCH("Critical",J27)),5,IF(ISNUMBER(SEARCH("High",J27)),4,IF(ISNUMBER(SEARCH("Medium",J27)),3,2)))*8) + (IF(ISNUMBER(SEARCH("Very High",M27)),5,IF(ISNUMBER(SEARCH("Very Low",M27)),1,IF(ISNUMBER(SEARCH("High",M27)),4,IF(ISNUMBER(SEARCH("Medium",M27)),3,IF(ISNUMBER(SEARCH("Low",M27)),2,1)))))*6) + (IF(T27&lt;0, ABS(T27)/7*2, 0)))</f>
        <v/>
      </c>
      <c r="P27">
        <f>IF(O27="", "", IF(AND(ISNUMBER(SEARCH("Critical",E27)), OR(ISNUMBER(SEARCH("Critical",K27)),ISNUMBER(SEARCH("High",K27))), T27&lt;0), "P0 - Critical &amp; Urgent", IF(AND(ISNUMBER(SEARCH("Critical",E27)), OR(ISNUMBER(SEARCH("Critical",K27)),ISNUMBER(SEARCH("High",K27)))), "P1 - Critical", IF(OR(AND(ISNUMBER(SEARCH("High",E27)),ISNUMBER(SEARCH("High",K27))),AND(ISNUMBER(SEARCH("Critical",E27)),ISNUMBER(SEARCH("Medium",K27)))), "P2 - High Priority", IF(OR(AND(ISNUMBER(SEARCH("Medium",E27)),ISNUMBER(SEARCH("High",K27))),AND(ISNUMBER(SEARCH("High",E27)),ISNUMBER(SEARCH("Medium",K27)))), "P3 - Medium Priority", "P4 - Low Priority")))))</f>
        <v/>
      </c>
      <c r="Q27">
        <f>'Remediation Tracking'!S27</f>
        <v/>
      </c>
      <c r="R27">
        <f>'Remediation Tracking'!U27</f>
        <v/>
      </c>
      <c r="S27">
        <f>'Remediation Tracking'!Z27</f>
        <v/>
      </c>
      <c r="T27" s="22" t="n"/>
      <c r="U27">
        <f>'Remediation Tracking'!AE27</f>
        <v/>
      </c>
      <c r="V27">
        <f>'Remediation Tracking'!W27</f>
        <v/>
      </c>
      <c r="W27">
        <f>IF(AND(OR(R27="&lt;1 hour",R27="1-4 hours",R27="1 day"), OR(K27="Medium",K27="High",K27="Critical")), "Yes - Quick Win", "No")</f>
        <v/>
      </c>
    </row>
    <row r="28">
      <c r="A28">
        <f>IF(B28&lt;&gt;"", ROW()-2, "")</f>
        <v/>
      </c>
      <c r="B28">
        <f>'Remediation Tracking'!A28</f>
        <v/>
      </c>
      <c r="C28">
        <f>'Remediation Tracking'!D28</f>
        <v/>
      </c>
      <c r="D28">
        <f>'Remediation Tracking'!E28</f>
        <v/>
      </c>
      <c r="E28">
        <f>'Remediation Tracking'!F28</f>
        <v/>
      </c>
      <c r="F28">
        <f>'Remediation Tracking'!C28</f>
        <v/>
      </c>
      <c r="G28">
        <f>'Remediation Tracking'!H28</f>
        <v/>
      </c>
      <c r="H28">
        <f>'Remediation Tracking'!I28</f>
        <v/>
      </c>
      <c r="I28">
        <f>'Remediation Tracking'!G28</f>
        <v/>
      </c>
      <c r="J28">
        <f>'Remediation Tracking'!J28</f>
        <v/>
      </c>
      <c r="K28">
        <f>'Remediation Tracking'!L28</f>
        <v/>
      </c>
      <c r="L28">
        <f>'Remediation Tracking'!K28</f>
        <v/>
      </c>
      <c r="M28" t="inlineStr">
        <is>
          <t>Medium</t>
        </is>
      </c>
      <c r="N28">
        <f>'Remediation Tracking'!M28</f>
        <v/>
      </c>
      <c r="O28" s="25">
        <f>IF(E28="", "", (IF(ISNUMBER(SEARCH("Critical",E28)),5,IF(ISNUMBER(SEARCH("High",E28)),4,IF(ISNUMBER(SEARCH("Medium",E28)),3,2)))*10) + (IF(ISNUMBER(SEARCH("Critical",J28)),5,IF(ISNUMBER(SEARCH("High",J28)),4,IF(ISNUMBER(SEARCH("Medium",J28)),3,2)))*8) + (IF(ISNUMBER(SEARCH("Very High",M28)),5,IF(ISNUMBER(SEARCH("Very Low",M28)),1,IF(ISNUMBER(SEARCH("High",M28)),4,IF(ISNUMBER(SEARCH("Medium",M28)),3,IF(ISNUMBER(SEARCH("Low",M28)),2,1)))))*6) + (IF(T28&lt;0, ABS(T28)/7*2, 0)))</f>
        <v/>
      </c>
      <c r="P28">
        <f>IF(O28="", "", IF(AND(ISNUMBER(SEARCH("Critical",E28)), OR(ISNUMBER(SEARCH("Critical",K28)),ISNUMBER(SEARCH("High",K28))), T28&lt;0), "P0 - Critical &amp; Urgent", IF(AND(ISNUMBER(SEARCH("Critical",E28)), OR(ISNUMBER(SEARCH("Critical",K28)),ISNUMBER(SEARCH("High",K28)))), "P1 - Critical", IF(OR(AND(ISNUMBER(SEARCH("High",E28)),ISNUMBER(SEARCH("High",K28))),AND(ISNUMBER(SEARCH("Critical",E28)),ISNUMBER(SEARCH("Medium",K28)))), "P2 - High Priority", IF(OR(AND(ISNUMBER(SEARCH("Medium",E28)),ISNUMBER(SEARCH("High",K28))),AND(ISNUMBER(SEARCH("High",E28)),ISNUMBER(SEARCH("Medium",K28)))), "P3 - Medium Priority", "P4 - Low Priority")))))</f>
        <v/>
      </c>
      <c r="Q28">
        <f>'Remediation Tracking'!S28</f>
        <v/>
      </c>
      <c r="R28">
        <f>'Remediation Tracking'!U28</f>
        <v/>
      </c>
      <c r="S28">
        <f>'Remediation Tracking'!Z28</f>
        <v/>
      </c>
      <c r="T28" s="22" t="n"/>
      <c r="U28">
        <f>'Remediation Tracking'!AE28</f>
        <v/>
      </c>
      <c r="V28">
        <f>'Remediation Tracking'!W28</f>
        <v/>
      </c>
      <c r="W28">
        <f>IF(AND(OR(R28="&lt;1 hour",R28="1-4 hours",R28="1 day"), OR(K28="Medium",K28="High",K28="Critical")), "Yes - Quick Win", "No")</f>
        <v/>
      </c>
    </row>
    <row r="29">
      <c r="A29">
        <f>IF(B29&lt;&gt;"", ROW()-2, "")</f>
        <v/>
      </c>
      <c r="B29">
        <f>'Remediation Tracking'!A29</f>
        <v/>
      </c>
      <c r="C29">
        <f>'Remediation Tracking'!D29</f>
        <v/>
      </c>
      <c r="D29">
        <f>'Remediation Tracking'!E29</f>
        <v/>
      </c>
      <c r="E29">
        <f>'Remediation Tracking'!F29</f>
        <v/>
      </c>
      <c r="F29">
        <f>'Remediation Tracking'!C29</f>
        <v/>
      </c>
      <c r="G29">
        <f>'Remediation Tracking'!H29</f>
        <v/>
      </c>
      <c r="H29">
        <f>'Remediation Tracking'!I29</f>
        <v/>
      </c>
      <c r="I29">
        <f>'Remediation Tracking'!G29</f>
        <v/>
      </c>
      <c r="J29">
        <f>'Remediation Tracking'!J29</f>
        <v/>
      </c>
      <c r="K29">
        <f>'Remediation Tracking'!L29</f>
        <v/>
      </c>
      <c r="L29">
        <f>'Remediation Tracking'!K29</f>
        <v/>
      </c>
      <c r="M29" t="inlineStr">
        <is>
          <t>Medium</t>
        </is>
      </c>
      <c r="N29">
        <f>'Remediation Tracking'!M29</f>
        <v/>
      </c>
      <c r="O29" s="25">
        <f>IF(E29="", "", (IF(ISNUMBER(SEARCH("Critical",E29)),5,IF(ISNUMBER(SEARCH("High",E29)),4,IF(ISNUMBER(SEARCH("Medium",E29)),3,2)))*10) + (IF(ISNUMBER(SEARCH("Critical",J29)),5,IF(ISNUMBER(SEARCH("High",J29)),4,IF(ISNUMBER(SEARCH("Medium",J29)),3,2)))*8) + (IF(ISNUMBER(SEARCH("Very High",M29)),5,IF(ISNUMBER(SEARCH("Very Low",M29)),1,IF(ISNUMBER(SEARCH("High",M29)),4,IF(ISNUMBER(SEARCH("Medium",M29)),3,IF(ISNUMBER(SEARCH("Low",M29)),2,1)))))*6) + (IF(T29&lt;0, ABS(T29)/7*2, 0)))</f>
        <v/>
      </c>
      <c r="P29">
        <f>IF(O29="", "", IF(AND(ISNUMBER(SEARCH("Critical",E29)), OR(ISNUMBER(SEARCH("Critical",K29)),ISNUMBER(SEARCH("High",K29))), T29&lt;0), "P0 - Critical &amp; Urgent", IF(AND(ISNUMBER(SEARCH("Critical",E29)), OR(ISNUMBER(SEARCH("Critical",K29)),ISNUMBER(SEARCH("High",K29)))), "P1 - Critical", IF(OR(AND(ISNUMBER(SEARCH("High",E29)),ISNUMBER(SEARCH("High",K29))),AND(ISNUMBER(SEARCH("Critical",E29)),ISNUMBER(SEARCH("Medium",K29)))), "P2 - High Priority", IF(OR(AND(ISNUMBER(SEARCH("Medium",E29)),ISNUMBER(SEARCH("High",K29))),AND(ISNUMBER(SEARCH("High",E29)),ISNUMBER(SEARCH("Medium",K29)))), "P3 - Medium Priority", "P4 - Low Priority")))))</f>
        <v/>
      </c>
      <c r="Q29">
        <f>'Remediation Tracking'!S29</f>
        <v/>
      </c>
      <c r="R29">
        <f>'Remediation Tracking'!U29</f>
        <v/>
      </c>
      <c r="S29">
        <f>'Remediation Tracking'!Z29</f>
        <v/>
      </c>
      <c r="T29" s="22" t="n"/>
      <c r="U29">
        <f>'Remediation Tracking'!AE29</f>
        <v/>
      </c>
      <c r="V29">
        <f>'Remediation Tracking'!W29</f>
        <v/>
      </c>
      <c r="W29">
        <f>IF(AND(OR(R29="&lt;1 hour",R29="1-4 hours",R29="1 day"), OR(K29="Medium",K29="High",K29="Critical")), "Yes - Quick Win", "No")</f>
        <v/>
      </c>
    </row>
    <row r="30">
      <c r="A30">
        <f>IF(B30&lt;&gt;"", ROW()-2, "")</f>
        <v/>
      </c>
      <c r="B30">
        <f>'Remediation Tracking'!A30</f>
        <v/>
      </c>
      <c r="C30">
        <f>'Remediation Tracking'!D30</f>
        <v/>
      </c>
      <c r="D30">
        <f>'Remediation Tracking'!E30</f>
        <v/>
      </c>
      <c r="E30">
        <f>'Remediation Tracking'!F30</f>
        <v/>
      </c>
      <c r="F30">
        <f>'Remediation Tracking'!C30</f>
        <v/>
      </c>
      <c r="G30">
        <f>'Remediation Tracking'!H30</f>
        <v/>
      </c>
      <c r="H30">
        <f>'Remediation Tracking'!I30</f>
        <v/>
      </c>
      <c r="I30">
        <f>'Remediation Tracking'!G30</f>
        <v/>
      </c>
      <c r="J30">
        <f>'Remediation Tracking'!J30</f>
        <v/>
      </c>
      <c r="K30">
        <f>'Remediation Tracking'!L30</f>
        <v/>
      </c>
      <c r="L30">
        <f>'Remediation Tracking'!K30</f>
        <v/>
      </c>
      <c r="M30" t="inlineStr">
        <is>
          <t>Medium</t>
        </is>
      </c>
      <c r="N30">
        <f>'Remediation Tracking'!M30</f>
        <v/>
      </c>
      <c r="O30" s="25">
        <f>IF(E30="", "", (IF(ISNUMBER(SEARCH("Critical",E30)),5,IF(ISNUMBER(SEARCH("High",E30)),4,IF(ISNUMBER(SEARCH("Medium",E30)),3,2)))*10) + (IF(ISNUMBER(SEARCH("Critical",J30)),5,IF(ISNUMBER(SEARCH("High",J30)),4,IF(ISNUMBER(SEARCH("Medium",J30)),3,2)))*8) + (IF(ISNUMBER(SEARCH("Very High",M30)),5,IF(ISNUMBER(SEARCH("Very Low",M30)),1,IF(ISNUMBER(SEARCH("High",M30)),4,IF(ISNUMBER(SEARCH("Medium",M30)),3,IF(ISNUMBER(SEARCH("Low",M30)),2,1)))))*6) + (IF(T30&lt;0, ABS(T30)/7*2, 0)))</f>
        <v/>
      </c>
      <c r="P30">
        <f>IF(O30="", "", IF(AND(ISNUMBER(SEARCH("Critical",E30)), OR(ISNUMBER(SEARCH("Critical",K30)),ISNUMBER(SEARCH("High",K30))), T30&lt;0), "P0 - Critical &amp; Urgent", IF(AND(ISNUMBER(SEARCH("Critical",E30)), OR(ISNUMBER(SEARCH("Critical",K30)),ISNUMBER(SEARCH("High",K30)))), "P1 - Critical", IF(OR(AND(ISNUMBER(SEARCH("High",E30)),ISNUMBER(SEARCH("High",K30))),AND(ISNUMBER(SEARCH("Critical",E30)),ISNUMBER(SEARCH("Medium",K30)))), "P2 - High Priority", IF(OR(AND(ISNUMBER(SEARCH("Medium",E30)),ISNUMBER(SEARCH("High",K30))),AND(ISNUMBER(SEARCH("High",E30)),ISNUMBER(SEARCH("Medium",K30)))), "P3 - Medium Priority", "P4 - Low Priority")))))</f>
        <v/>
      </c>
      <c r="Q30">
        <f>'Remediation Tracking'!S30</f>
        <v/>
      </c>
      <c r="R30">
        <f>'Remediation Tracking'!U30</f>
        <v/>
      </c>
      <c r="S30">
        <f>'Remediation Tracking'!Z30</f>
        <v/>
      </c>
      <c r="T30" s="22" t="n"/>
      <c r="U30">
        <f>'Remediation Tracking'!AE30</f>
        <v/>
      </c>
      <c r="V30">
        <f>'Remediation Tracking'!W30</f>
        <v/>
      </c>
      <c r="W30">
        <f>IF(AND(OR(R30="&lt;1 hour",R30="1-4 hours",R30="1 day"), OR(K30="Medium",K30="High",K30="Critical")), "Yes - Quick Win", "No")</f>
        <v/>
      </c>
    </row>
    <row r="31">
      <c r="A31">
        <f>IF(B31&lt;&gt;"", ROW()-2, "")</f>
        <v/>
      </c>
      <c r="B31">
        <f>'Remediation Tracking'!A31</f>
        <v/>
      </c>
      <c r="C31">
        <f>'Remediation Tracking'!D31</f>
        <v/>
      </c>
      <c r="D31">
        <f>'Remediation Tracking'!E31</f>
        <v/>
      </c>
      <c r="E31">
        <f>'Remediation Tracking'!F31</f>
        <v/>
      </c>
      <c r="F31">
        <f>'Remediation Tracking'!C31</f>
        <v/>
      </c>
      <c r="G31">
        <f>'Remediation Tracking'!H31</f>
        <v/>
      </c>
      <c r="H31">
        <f>'Remediation Tracking'!I31</f>
        <v/>
      </c>
      <c r="I31">
        <f>'Remediation Tracking'!G31</f>
        <v/>
      </c>
      <c r="J31">
        <f>'Remediation Tracking'!J31</f>
        <v/>
      </c>
      <c r="K31">
        <f>'Remediation Tracking'!L31</f>
        <v/>
      </c>
      <c r="L31">
        <f>'Remediation Tracking'!K31</f>
        <v/>
      </c>
      <c r="M31" t="inlineStr">
        <is>
          <t>Medium</t>
        </is>
      </c>
      <c r="N31">
        <f>'Remediation Tracking'!M31</f>
        <v/>
      </c>
      <c r="O31" s="25">
        <f>IF(E31="", "", (IF(ISNUMBER(SEARCH("Critical",E31)),5,IF(ISNUMBER(SEARCH("High",E31)),4,IF(ISNUMBER(SEARCH("Medium",E31)),3,2)))*10) + (IF(ISNUMBER(SEARCH("Critical",J31)),5,IF(ISNUMBER(SEARCH("High",J31)),4,IF(ISNUMBER(SEARCH("Medium",J31)),3,2)))*8) + (IF(ISNUMBER(SEARCH("Very High",M31)),5,IF(ISNUMBER(SEARCH("Very Low",M31)),1,IF(ISNUMBER(SEARCH("High",M31)),4,IF(ISNUMBER(SEARCH("Medium",M31)),3,IF(ISNUMBER(SEARCH("Low",M31)),2,1)))))*6) + (IF(T31&lt;0, ABS(T31)/7*2, 0)))</f>
        <v/>
      </c>
      <c r="P31">
        <f>IF(O31="", "", IF(AND(ISNUMBER(SEARCH("Critical",E31)), OR(ISNUMBER(SEARCH("Critical",K31)),ISNUMBER(SEARCH("High",K31))), T31&lt;0), "P0 - Critical &amp; Urgent", IF(AND(ISNUMBER(SEARCH("Critical",E31)), OR(ISNUMBER(SEARCH("Critical",K31)),ISNUMBER(SEARCH("High",K31)))), "P1 - Critical", IF(OR(AND(ISNUMBER(SEARCH("High",E31)),ISNUMBER(SEARCH("High",K31))),AND(ISNUMBER(SEARCH("Critical",E31)),ISNUMBER(SEARCH("Medium",K31)))), "P2 - High Priority", IF(OR(AND(ISNUMBER(SEARCH("Medium",E31)),ISNUMBER(SEARCH("High",K31))),AND(ISNUMBER(SEARCH("High",E31)),ISNUMBER(SEARCH("Medium",K31)))), "P3 - Medium Priority", "P4 - Low Priority")))))</f>
        <v/>
      </c>
      <c r="Q31">
        <f>'Remediation Tracking'!S31</f>
        <v/>
      </c>
      <c r="R31">
        <f>'Remediation Tracking'!U31</f>
        <v/>
      </c>
      <c r="S31">
        <f>'Remediation Tracking'!Z31</f>
        <v/>
      </c>
      <c r="T31" s="22" t="n"/>
      <c r="U31">
        <f>'Remediation Tracking'!AE31</f>
        <v/>
      </c>
      <c r="V31">
        <f>'Remediation Tracking'!W31</f>
        <v/>
      </c>
      <c r="W31">
        <f>IF(AND(OR(R31="&lt;1 hour",R31="1-4 hours",R31="1 day"), OR(K31="Medium",K31="High",K31="Critical")), "Yes - Quick Win", "No")</f>
        <v/>
      </c>
    </row>
    <row r="32">
      <c r="A32">
        <f>IF(B32&lt;&gt;"", ROW()-2, "")</f>
        <v/>
      </c>
      <c r="B32">
        <f>'Remediation Tracking'!A32</f>
        <v/>
      </c>
      <c r="C32">
        <f>'Remediation Tracking'!D32</f>
        <v/>
      </c>
      <c r="D32">
        <f>'Remediation Tracking'!E32</f>
        <v/>
      </c>
      <c r="E32">
        <f>'Remediation Tracking'!F32</f>
        <v/>
      </c>
      <c r="F32">
        <f>'Remediation Tracking'!C32</f>
        <v/>
      </c>
      <c r="G32">
        <f>'Remediation Tracking'!H32</f>
        <v/>
      </c>
      <c r="H32">
        <f>'Remediation Tracking'!I32</f>
        <v/>
      </c>
      <c r="I32">
        <f>'Remediation Tracking'!G32</f>
        <v/>
      </c>
      <c r="J32">
        <f>'Remediation Tracking'!J32</f>
        <v/>
      </c>
      <c r="K32">
        <f>'Remediation Tracking'!L32</f>
        <v/>
      </c>
      <c r="L32">
        <f>'Remediation Tracking'!K32</f>
        <v/>
      </c>
      <c r="M32" t="inlineStr">
        <is>
          <t>Medium</t>
        </is>
      </c>
      <c r="N32">
        <f>'Remediation Tracking'!M32</f>
        <v/>
      </c>
      <c r="O32" s="25">
        <f>IF(E32="", "", (IF(ISNUMBER(SEARCH("Critical",E32)),5,IF(ISNUMBER(SEARCH("High",E32)),4,IF(ISNUMBER(SEARCH("Medium",E32)),3,2)))*10) + (IF(ISNUMBER(SEARCH("Critical",J32)),5,IF(ISNUMBER(SEARCH("High",J32)),4,IF(ISNUMBER(SEARCH("Medium",J32)),3,2)))*8) + (IF(ISNUMBER(SEARCH("Very High",M32)),5,IF(ISNUMBER(SEARCH("Very Low",M32)),1,IF(ISNUMBER(SEARCH("High",M32)),4,IF(ISNUMBER(SEARCH("Medium",M32)),3,IF(ISNUMBER(SEARCH("Low",M32)),2,1)))))*6) + (IF(T32&lt;0, ABS(T32)/7*2, 0)))</f>
        <v/>
      </c>
      <c r="P32">
        <f>IF(O32="", "", IF(AND(ISNUMBER(SEARCH("Critical",E32)), OR(ISNUMBER(SEARCH("Critical",K32)),ISNUMBER(SEARCH("High",K32))), T32&lt;0), "P0 - Critical &amp; Urgent", IF(AND(ISNUMBER(SEARCH("Critical",E32)), OR(ISNUMBER(SEARCH("Critical",K32)),ISNUMBER(SEARCH("High",K32)))), "P1 - Critical", IF(OR(AND(ISNUMBER(SEARCH("High",E32)),ISNUMBER(SEARCH("High",K32))),AND(ISNUMBER(SEARCH("Critical",E32)),ISNUMBER(SEARCH("Medium",K32)))), "P2 - High Priority", IF(OR(AND(ISNUMBER(SEARCH("Medium",E32)),ISNUMBER(SEARCH("High",K32))),AND(ISNUMBER(SEARCH("High",E32)),ISNUMBER(SEARCH("Medium",K32)))), "P3 - Medium Priority", "P4 - Low Priority")))))</f>
        <v/>
      </c>
      <c r="Q32">
        <f>'Remediation Tracking'!S32</f>
        <v/>
      </c>
      <c r="R32">
        <f>'Remediation Tracking'!U32</f>
        <v/>
      </c>
      <c r="S32">
        <f>'Remediation Tracking'!Z32</f>
        <v/>
      </c>
      <c r="T32" s="22" t="n"/>
      <c r="U32">
        <f>'Remediation Tracking'!AE32</f>
        <v/>
      </c>
      <c r="V32">
        <f>'Remediation Tracking'!W32</f>
        <v/>
      </c>
      <c r="W32">
        <f>IF(AND(OR(R32="&lt;1 hour",R32="1-4 hours",R32="1 day"), OR(K32="Medium",K32="High",K32="Critical")), "Yes - Quick Win", "No")</f>
        <v/>
      </c>
    </row>
    <row r="33">
      <c r="A33">
        <f>IF(B33&lt;&gt;"", ROW()-2, "")</f>
        <v/>
      </c>
      <c r="B33">
        <f>'Remediation Tracking'!A33</f>
        <v/>
      </c>
      <c r="C33">
        <f>'Remediation Tracking'!D33</f>
        <v/>
      </c>
      <c r="D33">
        <f>'Remediation Tracking'!E33</f>
        <v/>
      </c>
      <c r="E33">
        <f>'Remediation Tracking'!F33</f>
        <v/>
      </c>
      <c r="F33">
        <f>'Remediation Tracking'!C33</f>
        <v/>
      </c>
      <c r="G33">
        <f>'Remediation Tracking'!H33</f>
        <v/>
      </c>
      <c r="H33">
        <f>'Remediation Tracking'!I33</f>
        <v/>
      </c>
      <c r="I33">
        <f>'Remediation Tracking'!G33</f>
        <v/>
      </c>
      <c r="J33">
        <f>'Remediation Tracking'!J33</f>
        <v/>
      </c>
      <c r="K33">
        <f>'Remediation Tracking'!L33</f>
        <v/>
      </c>
      <c r="L33">
        <f>'Remediation Tracking'!K33</f>
        <v/>
      </c>
      <c r="M33" t="inlineStr">
        <is>
          <t>Medium</t>
        </is>
      </c>
      <c r="N33">
        <f>'Remediation Tracking'!M33</f>
        <v/>
      </c>
      <c r="O33" s="25">
        <f>IF(E33="", "", (IF(ISNUMBER(SEARCH("Critical",E33)),5,IF(ISNUMBER(SEARCH("High",E33)),4,IF(ISNUMBER(SEARCH("Medium",E33)),3,2)))*10) + (IF(ISNUMBER(SEARCH("Critical",J33)),5,IF(ISNUMBER(SEARCH("High",J33)),4,IF(ISNUMBER(SEARCH("Medium",J33)),3,2)))*8) + (IF(ISNUMBER(SEARCH("Very High",M33)),5,IF(ISNUMBER(SEARCH("Very Low",M33)),1,IF(ISNUMBER(SEARCH("High",M33)),4,IF(ISNUMBER(SEARCH("Medium",M33)),3,IF(ISNUMBER(SEARCH("Low",M33)),2,1)))))*6) + (IF(T33&lt;0, ABS(T33)/7*2, 0)))</f>
        <v/>
      </c>
      <c r="P33">
        <f>IF(O33="", "", IF(AND(ISNUMBER(SEARCH("Critical",E33)), OR(ISNUMBER(SEARCH("Critical",K33)),ISNUMBER(SEARCH("High",K33))), T33&lt;0), "P0 - Critical &amp; Urgent", IF(AND(ISNUMBER(SEARCH("Critical",E33)), OR(ISNUMBER(SEARCH("Critical",K33)),ISNUMBER(SEARCH("High",K33)))), "P1 - Critical", IF(OR(AND(ISNUMBER(SEARCH("High",E33)),ISNUMBER(SEARCH("High",K33))),AND(ISNUMBER(SEARCH("Critical",E33)),ISNUMBER(SEARCH("Medium",K33)))), "P2 - High Priority", IF(OR(AND(ISNUMBER(SEARCH("Medium",E33)),ISNUMBER(SEARCH("High",K33))),AND(ISNUMBER(SEARCH("High",E33)),ISNUMBER(SEARCH("Medium",K33)))), "P3 - Medium Priority", "P4 - Low Priority")))))</f>
        <v/>
      </c>
      <c r="Q33">
        <f>'Remediation Tracking'!S33</f>
        <v/>
      </c>
      <c r="R33">
        <f>'Remediation Tracking'!U33</f>
        <v/>
      </c>
      <c r="S33">
        <f>'Remediation Tracking'!Z33</f>
        <v/>
      </c>
      <c r="T33" s="22" t="n"/>
      <c r="U33">
        <f>'Remediation Tracking'!AE33</f>
        <v/>
      </c>
      <c r="V33">
        <f>'Remediation Tracking'!W33</f>
        <v/>
      </c>
      <c r="W33">
        <f>IF(AND(OR(R33="&lt;1 hour",R33="1-4 hours",R33="1 day"), OR(K33="Medium",K33="High",K33="Critical")), "Yes - Quick Win", "No")</f>
        <v/>
      </c>
    </row>
    <row r="34">
      <c r="A34">
        <f>IF(B34&lt;&gt;"", ROW()-2, "")</f>
        <v/>
      </c>
      <c r="B34">
        <f>'Remediation Tracking'!A34</f>
        <v/>
      </c>
      <c r="C34">
        <f>'Remediation Tracking'!D34</f>
        <v/>
      </c>
      <c r="D34">
        <f>'Remediation Tracking'!E34</f>
        <v/>
      </c>
      <c r="E34">
        <f>'Remediation Tracking'!F34</f>
        <v/>
      </c>
      <c r="F34">
        <f>'Remediation Tracking'!C34</f>
        <v/>
      </c>
      <c r="G34">
        <f>'Remediation Tracking'!H34</f>
        <v/>
      </c>
      <c r="H34">
        <f>'Remediation Tracking'!I34</f>
        <v/>
      </c>
      <c r="I34">
        <f>'Remediation Tracking'!G34</f>
        <v/>
      </c>
      <c r="J34">
        <f>'Remediation Tracking'!J34</f>
        <v/>
      </c>
      <c r="K34">
        <f>'Remediation Tracking'!L34</f>
        <v/>
      </c>
      <c r="L34">
        <f>'Remediation Tracking'!K34</f>
        <v/>
      </c>
      <c r="M34" t="inlineStr">
        <is>
          <t>Medium</t>
        </is>
      </c>
      <c r="N34">
        <f>'Remediation Tracking'!M34</f>
        <v/>
      </c>
      <c r="O34" s="25">
        <f>IF(E34="", "", (IF(ISNUMBER(SEARCH("Critical",E34)),5,IF(ISNUMBER(SEARCH("High",E34)),4,IF(ISNUMBER(SEARCH("Medium",E34)),3,2)))*10) + (IF(ISNUMBER(SEARCH("Critical",J34)),5,IF(ISNUMBER(SEARCH("High",J34)),4,IF(ISNUMBER(SEARCH("Medium",J34)),3,2)))*8) + (IF(ISNUMBER(SEARCH("Very High",M34)),5,IF(ISNUMBER(SEARCH("Very Low",M34)),1,IF(ISNUMBER(SEARCH("High",M34)),4,IF(ISNUMBER(SEARCH("Medium",M34)),3,IF(ISNUMBER(SEARCH("Low",M34)),2,1)))))*6) + (IF(T34&lt;0, ABS(T34)/7*2, 0)))</f>
        <v/>
      </c>
      <c r="P34">
        <f>IF(O34="", "", IF(AND(ISNUMBER(SEARCH("Critical",E34)), OR(ISNUMBER(SEARCH("Critical",K34)),ISNUMBER(SEARCH("High",K34))), T34&lt;0), "P0 - Critical &amp; Urgent", IF(AND(ISNUMBER(SEARCH("Critical",E34)), OR(ISNUMBER(SEARCH("Critical",K34)),ISNUMBER(SEARCH("High",K34)))), "P1 - Critical", IF(OR(AND(ISNUMBER(SEARCH("High",E34)),ISNUMBER(SEARCH("High",K34))),AND(ISNUMBER(SEARCH("Critical",E34)),ISNUMBER(SEARCH("Medium",K34)))), "P2 - High Priority", IF(OR(AND(ISNUMBER(SEARCH("Medium",E34)),ISNUMBER(SEARCH("High",K34))),AND(ISNUMBER(SEARCH("High",E34)),ISNUMBER(SEARCH("Medium",K34)))), "P3 - Medium Priority", "P4 - Low Priority")))))</f>
        <v/>
      </c>
      <c r="Q34">
        <f>'Remediation Tracking'!S34</f>
        <v/>
      </c>
      <c r="R34">
        <f>'Remediation Tracking'!U34</f>
        <v/>
      </c>
      <c r="S34">
        <f>'Remediation Tracking'!Z34</f>
        <v/>
      </c>
      <c r="T34" s="22" t="n"/>
      <c r="U34">
        <f>'Remediation Tracking'!AE34</f>
        <v/>
      </c>
      <c r="V34">
        <f>'Remediation Tracking'!W34</f>
        <v/>
      </c>
      <c r="W34">
        <f>IF(AND(OR(R34="&lt;1 hour",R34="1-4 hours",R34="1 day"), OR(K34="Medium",K34="High",K34="Critical")), "Yes - Quick Win", "No")</f>
        <v/>
      </c>
    </row>
    <row r="35">
      <c r="A35">
        <f>IF(B35&lt;&gt;"", ROW()-2, "")</f>
        <v/>
      </c>
      <c r="B35">
        <f>'Remediation Tracking'!A35</f>
        <v/>
      </c>
      <c r="C35">
        <f>'Remediation Tracking'!D35</f>
        <v/>
      </c>
      <c r="D35">
        <f>'Remediation Tracking'!E35</f>
        <v/>
      </c>
      <c r="E35">
        <f>'Remediation Tracking'!F35</f>
        <v/>
      </c>
      <c r="F35">
        <f>'Remediation Tracking'!C35</f>
        <v/>
      </c>
      <c r="G35">
        <f>'Remediation Tracking'!H35</f>
        <v/>
      </c>
      <c r="H35">
        <f>'Remediation Tracking'!I35</f>
        <v/>
      </c>
      <c r="I35">
        <f>'Remediation Tracking'!G35</f>
        <v/>
      </c>
      <c r="J35">
        <f>'Remediation Tracking'!J35</f>
        <v/>
      </c>
      <c r="K35">
        <f>'Remediation Tracking'!L35</f>
        <v/>
      </c>
      <c r="L35">
        <f>'Remediation Tracking'!K35</f>
        <v/>
      </c>
      <c r="M35" t="inlineStr">
        <is>
          <t>Medium</t>
        </is>
      </c>
      <c r="N35">
        <f>'Remediation Tracking'!M35</f>
        <v/>
      </c>
      <c r="O35" s="25">
        <f>IF(E35="", "", (IF(ISNUMBER(SEARCH("Critical",E35)),5,IF(ISNUMBER(SEARCH("High",E35)),4,IF(ISNUMBER(SEARCH("Medium",E35)),3,2)))*10) + (IF(ISNUMBER(SEARCH("Critical",J35)),5,IF(ISNUMBER(SEARCH("High",J35)),4,IF(ISNUMBER(SEARCH("Medium",J35)),3,2)))*8) + (IF(ISNUMBER(SEARCH("Very High",M35)),5,IF(ISNUMBER(SEARCH("Very Low",M35)),1,IF(ISNUMBER(SEARCH("High",M35)),4,IF(ISNUMBER(SEARCH("Medium",M35)),3,IF(ISNUMBER(SEARCH("Low",M35)),2,1)))))*6) + (IF(T35&lt;0, ABS(T35)/7*2, 0)))</f>
        <v/>
      </c>
      <c r="P35">
        <f>IF(O35="", "", IF(AND(ISNUMBER(SEARCH("Critical",E35)), OR(ISNUMBER(SEARCH("Critical",K35)),ISNUMBER(SEARCH("High",K35))), T35&lt;0), "P0 - Critical &amp; Urgent", IF(AND(ISNUMBER(SEARCH("Critical",E35)), OR(ISNUMBER(SEARCH("Critical",K35)),ISNUMBER(SEARCH("High",K35)))), "P1 - Critical", IF(OR(AND(ISNUMBER(SEARCH("High",E35)),ISNUMBER(SEARCH("High",K35))),AND(ISNUMBER(SEARCH("Critical",E35)),ISNUMBER(SEARCH("Medium",K35)))), "P2 - High Priority", IF(OR(AND(ISNUMBER(SEARCH("Medium",E35)),ISNUMBER(SEARCH("High",K35))),AND(ISNUMBER(SEARCH("High",E35)),ISNUMBER(SEARCH("Medium",K35)))), "P3 - Medium Priority", "P4 - Low Priority")))))</f>
        <v/>
      </c>
      <c r="Q35">
        <f>'Remediation Tracking'!S35</f>
        <v/>
      </c>
      <c r="R35">
        <f>'Remediation Tracking'!U35</f>
        <v/>
      </c>
      <c r="S35">
        <f>'Remediation Tracking'!Z35</f>
        <v/>
      </c>
      <c r="T35" s="22" t="n"/>
      <c r="U35">
        <f>'Remediation Tracking'!AE35</f>
        <v/>
      </c>
      <c r="V35">
        <f>'Remediation Tracking'!W35</f>
        <v/>
      </c>
      <c r="W35">
        <f>IF(AND(OR(R35="&lt;1 hour",R35="1-4 hours",R35="1 day"), OR(K35="Medium",K35="High",K35="Critical")), "Yes - Quick Win", "No")</f>
        <v/>
      </c>
    </row>
    <row r="36">
      <c r="A36">
        <f>IF(B36&lt;&gt;"", ROW()-2, "")</f>
        <v/>
      </c>
      <c r="B36">
        <f>'Remediation Tracking'!A36</f>
        <v/>
      </c>
      <c r="C36">
        <f>'Remediation Tracking'!D36</f>
        <v/>
      </c>
      <c r="D36">
        <f>'Remediation Tracking'!E36</f>
        <v/>
      </c>
      <c r="E36">
        <f>'Remediation Tracking'!F36</f>
        <v/>
      </c>
      <c r="F36">
        <f>'Remediation Tracking'!C36</f>
        <v/>
      </c>
      <c r="G36">
        <f>'Remediation Tracking'!H36</f>
        <v/>
      </c>
      <c r="H36">
        <f>'Remediation Tracking'!I36</f>
        <v/>
      </c>
      <c r="I36">
        <f>'Remediation Tracking'!G36</f>
        <v/>
      </c>
      <c r="J36">
        <f>'Remediation Tracking'!J36</f>
        <v/>
      </c>
      <c r="K36">
        <f>'Remediation Tracking'!L36</f>
        <v/>
      </c>
      <c r="L36">
        <f>'Remediation Tracking'!K36</f>
        <v/>
      </c>
      <c r="M36" t="inlineStr">
        <is>
          <t>Medium</t>
        </is>
      </c>
      <c r="N36">
        <f>'Remediation Tracking'!M36</f>
        <v/>
      </c>
      <c r="O36" s="25">
        <f>IF(E36="", "", (IF(ISNUMBER(SEARCH("Critical",E36)),5,IF(ISNUMBER(SEARCH("High",E36)),4,IF(ISNUMBER(SEARCH("Medium",E36)),3,2)))*10) + (IF(ISNUMBER(SEARCH("Critical",J36)),5,IF(ISNUMBER(SEARCH("High",J36)),4,IF(ISNUMBER(SEARCH("Medium",J36)),3,2)))*8) + (IF(ISNUMBER(SEARCH("Very High",M36)),5,IF(ISNUMBER(SEARCH("Very Low",M36)),1,IF(ISNUMBER(SEARCH("High",M36)),4,IF(ISNUMBER(SEARCH("Medium",M36)),3,IF(ISNUMBER(SEARCH("Low",M36)),2,1)))))*6) + (IF(T36&lt;0, ABS(T36)/7*2, 0)))</f>
        <v/>
      </c>
      <c r="P36">
        <f>IF(O36="", "", IF(AND(ISNUMBER(SEARCH("Critical",E36)), OR(ISNUMBER(SEARCH("Critical",K36)),ISNUMBER(SEARCH("High",K36))), T36&lt;0), "P0 - Critical &amp; Urgent", IF(AND(ISNUMBER(SEARCH("Critical",E36)), OR(ISNUMBER(SEARCH("Critical",K36)),ISNUMBER(SEARCH("High",K36)))), "P1 - Critical", IF(OR(AND(ISNUMBER(SEARCH("High",E36)),ISNUMBER(SEARCH("High",K36))),AND(ISNUMBER(SEARCH("Critical",E36)),ISNUMBER(SEARCH("Medium",K36)))), "P2 - High Priority", IF(OR(AND(ISNUMBER(SEARCH("Medium",E36)),ISNUMBER(SEARCH("High",K36))),AND(ISNUMBER(SEARCH("High",E36)),ISNUMBER(SEARCH("Medium",K36)))), "P3 - Medium Priority", "P4 - Low Priority")))))</f>
        <v/>
      </c>
      <c r="Q36">
        <f>'Remediation Tracking'!S36</f>
        <v/>
      </c>
      <c r="R36">
        <f>'Remediation Tracking'!U36</f>
        <v/>
      </c>
      <c r="S36">
        <f>'Remediation Tracking'!Z36</f>
        <v/>
      </c>
      <c r="T36" s="22" t="n"/>
      <c r="U36">
        <f>'Remediation Tracking'!AE36</f>
        <v/>
      </c>
      <c r="V36">
        <f>'Remediation Tracking'!W36</f>
        <v/>
      </c>
      <c r="W36">
        <f>IF(AND(OR(R36="&lt;1 hour",R36="1-4 hours",R36="1 day"), OR(K36="Medium",K36="High",K36="Critical")), "Yes - Quick Win", "No")</f>
        <v/>
      </c>
    </row>
    <row r="37">
      <c r="A37">
        <f>IF(B37&lt;&gt;"", ROW()-2, "")</f>
        <v/>
      </c>
      <c r="B37">
        <f>'Remediation Tracking'!A37</f>
        <v/>
      </c>
      <c r="C37">
        <f>'Remediation Tracking'!D37</f>
        <v/>
      </c>
      <c r="D37">
        <f>'Remediation Tracking'!E37</f>
        <v/>
      </c>
      <c r="E37">
        <f>'Remediation Tracking'!F37</f>
        <v/>
      </c>
      <c r="F37">
        <f>'Remediation Tracking'!C37</f>
        <v/>
      </c>
      <c r="G37">
        <f>'Remediation Tracking'!H37</f>
        <v/>
      </c>
      <c r="H37">
        <f>'Remediation Tracking'!I37</f>
        <v/>
      </c>
      <c r="I37">
        <f>'Remediation Tracking'!G37</f>
        <v/>
      </c>
      <c r="J37">
        <f>'Remediation Tracking'!J37</f>
        <v/>
      </c>
      <c r="K37">
        <f>'Remediation Tracking'!L37</f>
        <v/>
      </c>
      <c r="L37">
        <f>'Remediation Tracking'!K37</f>
        <v/>
      </c>
      <c r="M37" t="inlineStr">
        <is>
          <t>Medium</t>
        </is>
      </c>
      <c r="N37">
        <f>'Remediation Tracking'!M37</f>
        <v/>
      </c>
      <c r="O37" s="25">
        <f>IF(E37="", "", (IF(ISNUMBER(SEARCH("Critical",E37)),5,IF(ISNUMBER(SEARCH("High",E37)),4,IF(ISNUMBER(SEARCH("Medium",E37)),3,2)))*10) + (IF(ISNUMBER(SEARCH("Critical",J37)),5,IF(ISNUMBER(SEARCH("High",J37)),4,IF(ISNUMBER(SEARCH("Medium",J37)),3,2)))*8) + (IF(ISNUMBER(SEARCH("Very High",M37)),5,IF(ISNUMBER(SEARCH("Very Low",M37)),1,IF(ISNUMBER(SEARCH("High",M37)),4,IF(ISNUMBER(SEARCH("Medium",M37)),3,IF(ISNUMBER(SEARCH("Low",M37)),2,1)))))*6) + (IF(T37&lt;0, ABS(T37)/7*2, 0)))</f>
        <v/>
      </c>
      <c r="P37">
        <f>IF(O37="", "", IF(AND(ISNUMBER(SEARCH("Critical",E37)), OR(ISNUMBER(SEARCH("Critical",K37)),ISNUMBER(SEARCH("High",K37))), T37&lt;0), "P0 - Critical &amp; Urgent", IF(AND(ISNUMBER(SEARCH("Critical",E37)), OR(ISNUMBER(SEARCH("Critical",K37)),ISNUMBER(SEARCH("High",K37)))), "P1 - Critical", IF(OR(AND(ISNUMBER(SEARCH("High",E37)),ISNUMBER(SEARCH("High",K37))),AND(ISNUMBER(SEARCH("Critical",E37)),ISNUMBER(SEARCH("Medium",K37)))), "P2 - High Priority", IF(OR(AND(ISNUMBER(SEARCH("Medium",E37)),ISNUMBER(SEARCH("High",K37))),AND(ISNUMBER(SEARCH("High",E37)),ISNUMBER(SEARCH("Medium",K37)))), "P3 - Medium Priority", "P4 - Low Priority")))))</f>
        <v/>
      </c>
      <c r="Q37">
        <f>'Remediation Tracking'!S37</f>
        <v/>
      </c>
      <c r="R37">
        <f>'Remediation Tracking'!U37</f>
        <v/>
      </c>
      <c r="S37">
        <f>'Remediation Tracking'!Z37</f>
        <v/>
      </c>
      <c r="T37" s="22" t="n"/>
      <c r="U37">
        <f>'Remediation Tracking'!AE37</f>
        <v/>
      </c>
      <c r="V37">
        <f>'Remediation Tracking'!W37</f>
        <v/>
      </c>
      <c r="W37">
        <f>IF(AND(OR(R37="&lt;1 hour",R37="1-4 hours",R37="1 day"), OR(K37="Medium",K37="High",K37="Critical")), "Yes - Quick Win", "No")</f>
        <v/>
      </c>
    </row>
    <row r="38">
      <c r="A38">
        <f>IF(B38&lt;&gt;"", ROW()-2, "")</f>
        <v/>
      </c>
      <c r="B38">
        <f>'Remediation Tracking'!A38</f>
        <v/>
      </c>
      <c r="C38">
        <f>'Remediation Tracking'!D38</f>
        <v/>
      </c>
      <c r="D38">
        <f>'Remediation Tracking'!E38</f>
        <v/>
      </c>
      <c r="E38">
        <f>'Remediation Tracking'!F38</f>
        <v/>
      </c>
      <c r="F38">
        <f>'Remediation Tracking'!C38</f>
        <v/>
      </c>
      <c r="G38">
        <f>'Remediation Tracking'!H38</f>
        <v/>
      </c>
      <c r="H38">
        <f>'Remediation Tracking'!I38</f>
        <v/>
      </c>
      <c r="I38">
        <f>'Remediation Tracking'!G38</f>
        <v/>
      </c>
      <c r="J38">
        <f>'Remediation Tracking'!J38</f>
        <v/>
      </c>
      <c r="K38">
        <f>'Remediation Tracking'!L38</f>
        <v/>
      </c>
      <c r="L38">
        <f>'Remediation Tracking'!K38</f>
        <v/>
      </c>
      <c r="M38" t="inlineStr">
        <is>
          <t>Medium</t>
        </is>
      </c>
      <c r="N38">
        <f>'Remediation Tracking'!M38</f>
        <v/>
      </c>
      <c r="O38" s="25">
        <f>IF(E38="", "", (IF(ISNUMBER(SEARCH("Critical",E38)),5,IF(ISNUMBER(SEARCH("High",E38)),4,IF(ISNUMBER(SEARCH("Medium",E38)),3,2)))*10) + (IF(ISNUMBER(SEARCH("Critical",J38)),5,IF(ISNUMBER(SEARCH("High",J38)),4,IF(ISNUMBER(SEARCH("Medium",J38)),3,2)))*8) + (IF(ISNUMBER(SEARCH("Very High",M38)),5,IF(ISNUMBER(SEARCH("Very Low",M38)),1,IF(ISNUMBER(SEARCH("High",M38)),4,IF(ISNUMBER(SEARCH("Medium",M38)),3,IF(ISNUMBER(SEARCH("Low",M38)),2,1)))))*6) + (IF(T38&lt;0, ABS(T38)/7*2, 0)))</f>
        <v/>
      </c>
      <c r="P38">
        <f>IF(O38="", "", IF(AND(ISNUMBER(SEARCH("Critical",E38)), OR(ISNUMBER(SEARCH("Critical",K38)),ISNUMBER(SEARCH("High",K38))), T38&lt;0), "P0 - Critical &amp; Urgent", IF(AND(ISNUMBER(SEARCH("Critical",E38)), OR(ISNUMBER(SEARCH("Critical",K38)),ISNUMBER(SEARCH("High",K38)))), "P1 - Critical", IF(OR(AND(ISNUMBER(SEARCH("High",E38)),ISNUMBER(SEARCH("High",K38))),AND(ISNUMBER(SEARCH("Critical",E38)),ISNUMBER(SEARCH("Medium",K38)))), "P2 - High Priority", IF(OR(AND(ISNUMBER(SEARCH("Medium",E38)),ISNUMBER(SEARCH("High",K38))),AND(ISNUMBER(SEARCH("High",E38)),ISNUMBER(SEARCH("Medium",K38)))), "P3 - Medium Priority", "P4 - Low Priority")))))</f>
        <v/>
      </c>
      <c r="Q38">
        <f>'Remediation Tracking'!S38</f>
        <v/>
      </c>
      <c r="R38">
        <f>'Remediation Tracking'!U38</f>
        <v/>
      </c>
      <c r="S38">
        <f>'Remediation Tracking'!Z38</f>
        <v/>
      </c>
      <c r="T38" s="22" t="n"/>
      <c r="U38">
        <f>'Remediation Tracking'!AE38</f>
        <v/>
      </c>
      <c r="V38">
        <f>'Remediation Tracking'!W38</f>
        <v/>
      </c>
      <c r="W38">
        <f>IF(AND(OR(R38="&lt;1 hour",R38="1-4 hours",R38="1 day"), OR(K38="Medium",K38="High",K38="Critical")), "Yes - Quick Win", "No")</f>
        <v/>
      </c>
    </row>
    <row r="39">
      <c r="A39">
        <f>IF(B39&lt;&gt;"", ROW()-2, "")</f>
        <v/>
      </c>
      <c r="B39">
        <f>'Remediation Tracking'!A39</f>
        <v/>
      </c>
      <c r="C39">
        <f>'Remediation Tracking'!D39</f>
        <v/>
      </c>
      <c r="D39">
        <f>'Remediation Tracking'!E39</f>
        <v/>
      </c>
      <c r="E39">
        <f>'Remediation Tracking'!F39</f>
        <v/>
      </c>
      <c r="F39">
        <f>'Remediation Tracking'!C39</f>
        <v/>
      </c>
      <c r="G39">
        <f>'Remediation Tracking'!H39</f>
        <v/>
      </c>
      <c r="H39">
        <f>'Remediation Tracking'!I39</f>
        <v/>
      </c>
      <c r="I39">
        <f>'Remediation Tracking'!G39</f>
        <v/>
      </c>
      <c r="J39">
        <f>'Remediation Tracking'!J39</f>
        <v/>
      </c>
      <c r="K39">
        <f>'Remediation Tracking'!L39</f>
        <v/>
      </c>
      <c r="L39">
        <f>'Remediation Tracking'!K39</f>
        <v/>
      </c>
      <c r="M39" t="inlineStr">
        <is>
          <t>Medium</t>
        </is>
      </c>
      <c r="N39">
        <f>'Remediation Tracking'!M39</f>
        <v/>
      </c>
      <c r="O39" s="25">
        <f>IF(E39="", "", (IF(ISNUMBER(SEARCH("Critical",E39)),5,IF(ISNUMBER(SEARCH("High",E39)),4,IF(ISNUMBER(SEARCH("Medium",E39)),3,2)))*10) + (IF(ISNUMBER(SEARCH("Critical",J39)),5,IF(ISNUMBER(SEARCH("High",J39)),4,IF(ISNUMBER(SEARCH("Medium",J39)),3,2)))*8) + (IF(ISNUMBER(SEARCH("Very High",M39)),5,IF(ISNUMBER(SEARCH("Very Low",M39)),1,IF(ISNUMBER(SEARCH("High",M39)),4,IF(ISNUMBER(SEARCH("Medium",M39)),3,IF(ISNUMBER(SEARCH("Low",M39)),2,1)))))*6) + (IF(T39&lt;0, ABS(T39)/7*2, 0)))</f>
        <v/>
      </c>
      <c r="P39">
        <f>IF(O39="", "", IF(AND(ISNUMBER(SEARCH("Critical",E39)), OR(ISNUMBER(SEARCH("Critical",K39)),ISNUMBER(SEARCH("High",K39))), T39&lt;0), "P0 - Critical &amp; Urgent", IF(AND(ISNUMBER(SEARCH("Critical",E39)), OR(ISNUMBER(SEARCH("Critical",K39)),ISNUMBER(SEARCH("High",K39)))), "P1 - Critical", IF(OR(AND(ISNUMBER(SEARCH("High",E39)),ISNUMBER(SEARCH("High",K39))),AND(ISNUMBER(SEARCH("Critical",E39)),ISNUMBER(SEARCH("Medium",K39)))), "P2 - High Priority", IF(OR(AND(ISNUMBER(SEARCH("Medium",E39)),ISNUMBER(SEARCH("High",K39))),AND(ISNUMBER(SEARCH("High",E39)),ISNUMBER(SEARCH("Medium",K39)))), "P3 - Medium Priority", "P4 - Low Priority")))))</f>
        <v/>
      </c>
      <c r="Q39">
        <f>'Remediation Tracking'!S39</f>
        <v/>
      </c>
      <c r="R39">
        <f>'Remediation Tracking'!U39</f>
        <v/>
      </c>
      <c r="S39">
        <f>'Remediation Tracking'!Z39</f>
        <v/>
      </c>
      <c r="T39" s="22" t="n"/>
      <c r="U39">
        <f>'Remediation Tracking'!AE39</f>
        <v/>
      </c>
      <c r="V39">
        <f>'Remediation Tracking'!W39</f>
        <v/>
      </c>
      <c r="W39">
        <f>IF(AND(OR(R39="&lt;1 hour",R39="1-4 hours",R39="1 day"), OR(K39="Medium",K39="High",K39="Critical")), "Yes - Quick Win", "No")</f>
        <v/>
      </c>
    </row>
    <row r="40">
      <c r="A40">
        <f>IF(B40&lt;&gt;"", ROW()-2, "")</f>
        <v/>
      </c>
      <c r="B40">
        <f>'Remediation Tracking'!A40</f>
        <v/>
      </c>
      <c r="C40">
        <f>'Remediation Tracking'!D40</f>
        <v/>
      </c>
      <c r="D40">
        <f>'Remediation Tracking'!E40</f>
        <v/>
      </c>
      <c r="E40">
        <f>'Remediation Tracking'!F40</f>
        <v/>
      </c>
      <c r="F40">
        <f>'Remediation Tracking'!C40</f>
        <v/>
      </c>
      <c r="G40">
        <f>'Remediation Tracking'!H40</f>
        <v/>
      </c>
      <c r="H40">
        <f>'Remediation Tracking'!I40</f>
        <v/>
      </c>
      <c r="I40">
        <f>'Remediation Tracking'!G40</f>
        <v/>
      </c>
      <c r="J40">
        <f>'Remediation Tracking'!J40</f>
        <v/>
      </c>
      <c r="K40">
        <f>'Remediation Tracking'!L40</f>
        <v/>
      </c>
      <c r="L40">
        <f>'Remediation Tracking'!K40</f>
        <v/>
      </c>
      <c r="M40" t="inlineStr">
        <is>
          <t>Medium</t>
        </is>
      </c>
      <c r="N40">
        <f>'Remediation Tracking'!M40</f>
        <v/>
      </c>
      <c r="O40" s="25">
        <f>IF(E40="", "", (IF(ISNUMBER(SEARCH("Critical",E40)),5,IF(ISNUMBER(SEARCH("High",E40)),4,IF(ISNUMBER(SEARCH("Medium",E40)),3,2)))*10) + (IF(ISNUMBER(SEARCH("Critical",J40)),5,IF(ISNUMBER(SEARCH("High",J40)),4,IF(ISNUMBER(SEARCH("Medium",J40)),3,2)))*8) + (IF(ISNUMBER(SEARCH("Very High",M40)),5,IF(ISNUMBER(SEARCH("Very Low",M40)),1,IF(ISNUMBER(SEARCH("High",M40)),4,IF(ISNUMBER(SEARCH("Medium",M40)),3,IF(ISNUMBER(SEARCH("Low",M40)),2,1)))))*6) + (IF(T40&lt;0, ABS(T40)/7*2, 0)))</f>
        <v/>
      </c>
      <c r="P40">
        <f>IF(O40="", "", IF(AND(ISNUMBER(SEARCH("Critical",E40)), OR(ISNUMBER(SEARCH("Critical",K40)),ISNUMBER(SEARCH("High",K40))), T40&lt;0), "P0 - Critical &amp; Urgent", IF(AND(ISNUMBER(SEARCH("Critical",E40)), OR(ISNUMBER(SEARCH("Critical",K40)),ISNUMBER(SEARCH("High",K40)))), "P1 - Critical", IF(OR(AND(ISNUMBER(SEARCH("High",E40)),ISNUMBER(SEARCH("High",K40))),AND(ISNUMBER(SEARCH("Critical",E40)),ISNUMBER(SEARCH("Medium",K40)))), "P2 - High Priority", IF(OR(AND(ISNUMBER(SEARCH("Medium",E40)),ISNUMBER(SEARCH("High",K40))),AND(ISNUMBER(SEARCH("High",E40)),ISNUMBER(SEARCH("Medium",K40)))), "P3 - Medium Priority", "P4 - Low Priority")))))</f>
        <v/>
      </c>
      <c r="Q40">
        <f>'Remediation Tracking'!S40</f>
        <v/>
      </c>
      <c r="R40">
        <f>'Remediation Tracking'!U40</f>
        <v/>
      </c>
      <c r="S40">
        <f>'Remediation Tracking'!Z40</f>
        <v/>
      </c>
      <c r="T40" s="22" t="n"/>
      <c r="U40">
        <f>'Remediation Tracking'!AE40</f>
        <v/>
      </c>
      <c r="V40">
        <f>'Remediation Tracking'!W40</f>
        <v/>
      </c>
      <c r="W40">
        <f>IF(AND(OR(R40="&lt;1 hour",R40="1-4 hours",R40="1 day"), OR(K40="Medium",K40="High",K40="Critical")), "Yes - Quick Win", "No")</f>
        <v/>
      </c>
    </row>
    <row r="41">
      <c r="A41">
        <f>IF(B41&lt;&gt;"", ROW()-2, "")</f>
        <v/>
      </c>
      <c r="B41">
        <f>'Remediation Tracking'!A41</f>
        <v/>
      </c>
      <c r="C41">
        <f>'Remediation Tracking'!D41</f>
        <v/>
      </c>
      <c r="D41">
        <f>'Remediation Tracking'!E41</f>
        <v/>
      </c>
      <c r="E41">
        <f>'Remediation Tracking'!F41</f>
        <v/>
      </c>
      <c r="F41">
        <f>'Remediation Tracking'!C41</f>
        <v/>
      </c>
      <c r="G41">
        <f>'Remediation Tracking'!H41</f>
        <v/>
      </c>
      <c r="H41">
        <f>'Remediation Tracking'!I41</f>
        <v/>
      </c>
      <c r="I41">
        <f>'Remediation Tracking'!G41</f>
        <v/>
      </c>
      <c r="J41">
        <f>'Remediation Tracking'!J41</f>
        <v/>
      </c>
      <c r="K41">
        <f>'Remediation Tracking'!L41</f>
        <v/>
      </c>
      <c r="L41">
        <f>'Remediation Tracking'!K41</f>
        <v/>
      </c>
      <c r="M41" t="inlineStr">
        <is>
          <t>Medium</t>
        </is>
      </c>
      <c r="N41">
        <f>'Remediation Tracking'!M41</f>
        <v/>
      </c>
      <c r="O41" s="25">
        <f>IF(E41="", "", (IF(ISNUMBER(SEARCH("Critical",E41)),5,IF(ISNUMBER(SEARCH("High",E41)),4,IF(ISNUMBER(SEARCH("Medium",E41)),3,2)))*10) + (IF(ISNUMBER(SEARCH("Critical",J41)),5,IF(ISNUMBER(SEARCH("High",J41)),4,IF(ISNUMBER(SEARCH("Medium",J41)),3,2)))*8) + (IF(ISNUMBER(SEARCH("Very High",M41)),5,IF(ISNUMBER(SEARCH("Very Low",M41)),1,IF(ISNUMBER(SEARCH("High",M41)),4,IF(ISNUMBER(SEARCH("Medium",M41)),3,IF(ISNUMBER(SEARCH("Low",M41)),2,1)))))*6) + (IF(T41&lt;0, ABS(T41)/7*2, 0)))</f>
        <v/>
      </c>
      <c r="P41">
        <f>IF(O41="", "", IF(AND(ISNUMBER(SEARCH("Critical",E41)), OR(ISNUMBER(SEARCH("Critical",K41)),ISNUMBER(SEARCH("High",K41))), T41&lt;0), "P0 - Critical &amp; Urgent", IF(AND(ISNUMBER(SEARCH("Critical",E41)), OR(ISNUMBER(SEARCH("Critical",K41)),ISNUMBER(SEARCH("High",K41)))), "P1 - Critical", IF(OR(AND(ISNUMBER(SEARCH("High",E41)),ISNUMBER(SEARCH("High",K41))),AND(ISNUMBER(SEARCH("Critical",E41)),ISNUMBER(SEARCH("Medium",K41)))), "P2 - High Priority", IF(OR(AND(ISNUMBER(SEARCH("Medium",E41)),ISNUMBER(SEARCH("High",K41))),AND(ISNUMBER(SEARCH("High",E41)),ISNUMBER(SEARCH("Medium",K41)))), "P3 - Medium Priority", "P4 - Low Priority")))))</f>
        <v/>
      </c>
      <c r="Q41">
        <f>'Remediation Tracking'!S41</f>
        <v/>
      </c>
      <c r="R41">
        <f>'Remediation Tracking'!U41</f>
        <v/>
      </c>
      <c r="S41">
        <f>'Remediation Tracking'!Z41</f>
        <v/>
      </c>
      <c r="T41" s="22" t="n"/>
      <c r="U41">
        <f>'Remediation Tracking'!AE41</f>
        <v/>
      </c>
      <c r="V41">
        <f>'Remediation Tracking'!W41</f>
        <v/>
      </c>
      <c r="W41">
        <f>IF(AND(OR(R41="&lt;1 hour",R41="1-4 hours",R41="1 day"), OR(K41="Medium",K41="High",K41="Critical")), "Yes - Quick Win", "No")</f>
        <v/>
      </c>
    </row>
    <row r="42">
      <c r="A42">
        <f>IF(B42&lt;&gt;"", ROW()-2, "")</f>
        <v/>
      </c>
      <c r="B42">
        <f>'Remediation Tracking'!A42</f>
        <v/>
      </c>
      <c r="C42">
        <f>'Remediation Tracking'!D42</f>
        <v/>
      </c>
      <c r="D42">
        <f>'Remediation Tracking'!E42</f>
        <v/>
      </c>
      <c r="E42">
        <f>'Remediation Tracking'!F42</f>
        <v/>
      </c>
      <c r="F42">
        <f>'Remediation Tracking'!C42</f>
        <v/>
      </c>
      <c r="G42">
        <f>'Remediation Tracking'!H42</f>
        <v/>
      </c>
      <c r="H42">
        <f>'Remediation Tracking'!I42</f>
        <v/>
      </c>
      <c r="I42">
        <f>'Remediation Tracking'!G42</f>
        <v/>
      </c>
      <c r="J42">
        <f>'Remediation Tracking'!J42</f>
        <v/>
      </c>
      <c r="K42">
        <f>'Remediation Tracking'!L42</f>
        <v/>
      </c>
      <c r="L42">
        <f>'Remediation Tracking'!K42</f>
        <v/>
      </c>
      <c r="M42" t="inlineStr">
        <is>
          <t>Medium</t>
        </is>
      </c>
      <c r="N42">
        <f>'Remediation Tracking'!M42</f>
        <v/>
      </c>
      <c r="O42" s="25">
        <f>IF(E42="", "", (IF(ISNUMBER(SEARCH("Critical",E42)),5,IF(ISNUMBER(SEARCH("High",E42)),4,IF(ISNUMBER(SEARCH("Medium",E42)),3,2)))*10) + (IF(ISNUMBER(SEARCH("Critical",J42)),5,IF(ISNUMBER(SEARCH("High",J42)),4,IF(ISNUMBER(SEARCH("Medium",J42)),3,2)))*8) + (IF(ISNUMBER(SEARCH("Very High",M42)),5,IF(ISNUMBER(SEARCH("Very Low",M42)),1,IF(ISNUMBER(SEARCH("High",M42)),4,IF(ISNUMBER(SEARCH("Medium",M42)),3,IF(ISNUMBER(SEARCH("Low",M42)),2,1)))))*6) + (IF(T42&lt;0, ABS(T42)/7*2, 0)))</f>
        <v/>
      </c>
      <c r="P42">
        <f>IF(O42="", "", IF(AND(ISNUMBER(SEARCH("Critical",E42)), OR(ISNUMBER(SEARCH("Critical",K42)),ISNUMBER(SEARCH("High",K42))), T42&lt;0), "P0 - Critical &amp; Urgent", IF(AND(ISNUMBER(SEARCH("Critical",E42)), OR(ISNUMBER(SEARCH("Critical",K42)),ISNUMBER(SEARCH("High",K42)))), "P1 - Critical", IF(OR(AND(ISNUMBER(SEARCH("High",E42)),ISNUMBER(SEARCH("High",K42))),AND(ISNUMBER(SEARCH("Critical",E42)),ISNUMBER(SEARCH("Medium",K42)))), "P2 - High Priority", IF(OR(AND(ISNUMBER(SEARCH("Medium",E42)),ISNUMBER(SEARCH("High",K42))),AND(ISNUMBER(SEARCH("High",E42)),ISNUMBER(SEARCH("Medium",K42)))), "P3 - Medium Priority", "P4 - Low Priority")))))</f>
        <v/>
      </c>
      <c r="Q42">
        <f>'Remediation Tracking'!S42</f>
        <v/>
      </c>
      <c r="R42">
        <f>'Remediation Tracking'!U42</f>
        <v/>
      </c>
      <c r="S42">
        <f>'Remediation Tracking'!Z42</f>
        <v/>
      </c>
      <c r="T42" s="22" t="n"/>
      <c r="U42">
        <f>'Remediation Tracking'!AE42</f>
        <v/>
      </c>
      <c r="V42">
        <f>'Remediation Tracking'!W42</f>
        <v/>
      </c>
      <c r="W42">
        <f>IF(AND(OR(R42="&lt;1 hour",R42="1-4 hours",R42="1 day"), OR(K42="Medium",K42="High",K42="Critical")), "Yes - Quick Win", "No")</f>
        <v/>
      </c>
    </row>
    <row r="43">
      <c r="A43">
        <f>IF(B43&lt;&gt;"", ROW()-2, "")</f>
        <v/>
      </c>
      <c r="B43">
        <f>'Remediation Tracking'!A43</f>
        <v/>
      </c>
      <c r="C43">
        <f>'Remediation Tracking'!D43</f>
        <v/>
      </c>
      <c r="D43">
        <f>'Remediation Tracking'!E43</f>
        <v/>
      </c>
      <c r="E43">
        <f>'Remediation Tracking'!F43</f>
        <v/>
      </c>
      <c r="F43">
        <f>'Remediation Tracking'!C43</f>
        <v/>
      </c>
      <c r="G43">
        <f>'Remediation Tracking'!H43</f>
        <v/>
      </c>
      <c r="H43">
        <f>'Remediation Tracking'!I43</f>
        <v/>
      </c>
      <c r="I43">
        <f>'Remediation Tracking'!G43</f>
        <v/>
      </c>
      <c r="J43">
        <f>'Remediation Tracking'!J43</f>
        <v/>
      </c>
      <c r="K43">
        <f>'Remediation Tracking'!L43</f>
        <v/>
      </c>
      <c r="L43">
        <f>'Remediation Tracking'!K43</f>
        <v/>
      </c>
      <c r="M43" t="inlineStr">
        <is>
          <t>Medium</t>
        </is>
      </c>
      <c r="N43">
        <f>'Remediation Tracking'!M43</f>
        <v/>
      </c>
      <c r="O43" s="25">
        <f>IF(E43="", "", (IF(ISNUMBER(SEARCH("Critical",E43)),5,IF(ISNUMBER(SEARCH("High",E43)),4,IF(ISNUMBER(SEARCH("Medium",E43)),3,2)))*10) + (IF(ISNUMBER(SEARCH("Critical",J43)),5,IF(ISNUMBER(SEARCH("High",J43)),4,IF(ISNUMBER(SEARCH("Medium",J43)),3,2)))*8) + (IF(ISNUMBER(SEARCH("Very High",M43)),5,IF(ISNUMBER(SEARCH("Very Low",M43)),1,IF(ISNUMBER(SEARCH("High",M43)),4,IF(ISNUMBER(SEARCH("Medium",M43)),3,IF(ISNUMBER(SEARCH("Low",M43)),2,1)))))*6) + (IF(T43&lt;0, ABS(T43)/7*2, 0)))</f>
        <v/>
      </c>
      <c r="P43">
        <f>IF(O43="", "", IF(AND(ISNUMBER(SEARCH("Critical",E43)), OR(ISNUMBER(SEARCH("Critical",K43)),ISNUMBER(SEARCH("High",K43))), T43&lt;0), "P0 - Critical &amp; Urgent", IF(AND(ISNUMBER(SEARCH("Critical",E43)), OR(ISNUMBER(SEARCH("Critical",K43)),ISNUMBER(SEARCH("High",K43)))), "P1 - Critical", IF(OR(AND(ISNUMBER(SEARCH("High",E43)),ISNUMBER(SEARCH("High",K43))),AND(ISNUMBER(SEARCH("Critical",E43)),ISNUMBER(SEARCH("Medium",K43)))), "P2 - High Priority", IF(OR(AND(ISNUMBER(SEARCH("Medium",E43)),ISNUMBER(SEARCH("High",K43))),AND(ISNUMBER(SEARCH("High",E43)),ISNUMBER(SEARCH("Medium",K43)))), "P3 - Medium Priority", "P4 - Low Priority")))))</f>
        <v/>
      </c>
      <c r="Q43">
        <f>'Remediation Tracking'!S43</f>
        <v/>
      </c>
      <c r="R43">
        <f>'Remediation Tracking'!U43</f>
        <v/>
      </c>
      <c r="S43">
        <f>'Remediation Tracking'!Z43</f>
        <v/>
      </c>
      <c r="T43" s="22" t="n"/>
      <c r="U43">
        <f>'Remediation Tracking'!AE43</f>
        <v/>
      </c>
      <c r="V43">
        <f>'Remediation Tracking'!W43</f>
        <v/>
      </c>
      <c r="W43">
        <f>IF(AND(OR(R43="&lt;1 hour",R43="1-4 hours",R43="1 day"), OR(K43="Medium",K43="High",K43="Critical")), "Yes - Quick Win", "No")</f>
        <v/>
      </c>
    </row>
    <row r="44">
      <c r="A44">
        <f>IF(B44&lt;&gt;"", ROW()-2, "")</f>
        <v/>
      </c>
      <c r="B44">
        <f>'Remediation Tracking'!A44</f>
        <v/>
      </c>
      <c r="C44">
        <f>'Remediation Tracking'!D44</f>
        <v/>
      </c>
      <c r="D44">
        <f>'Remediation Tracking'!E44</f>
        <v/>
      </c>
      <c r="E44">
        <f>'Remediation Tracking'!F44</f>
        <v/>
      </c>
      <c r="F44">
        <f>'Remediation Tracking'!C44</f>
        <v/>
      </c>
      <c r="G44">
        <f>'Remediation Tracking'!H44</f>
        <v/>
      </c>
      <c r="H44">
        <f>'Remediation Tracking'!I44</f>
        <v/>
      </c>
      <c r="I44">
        <f>'Remediation Tracking'!G44</f>
        <v/>
      </c>
      <c r="J44">
        <f>'Remediation Tracking'!J44</f>
        <v/>
      </c>
      <c r="K44">
        <f>'Remediation Tracking'!L44</f>
        <v/>
      </c>
      <c r="L44">
        <f>'Remediation Tracking'!K44</f>
        <v/>
      </c>
      <c r="M44" t="inlineStr">
        <is>
          <t>Medium</t>
        </is>
      </c>
      <c r="N44">
        <f>'Remediation Tracking'!M44</f>
        <v/>
      </c>
      <c r="O44" s="25">
        <f>IF(E44="", "", (IF(ISNUMBER(SEARCH("Critical",E44)),5,IF(ISNUMBER(SEARCH("High",E44)),4,IF(ISNUMBER(SEARCH("Medium",E44)),3,2)))*10) + (IF(ISNUMBER(SEARCH("Critical",J44)),5,IF(ISNUMBER(SEARCH("High",J44)),4,IF(ISNUMBER(SEARCH("Medium",J44)),3,2)))*8) + (IF(ISNUMBER(SEARCH("Very High",M44)),5,IF(ISNUMBER(SEARCH("Very Low",M44)),1,IF(ISNUMBER(SEARCH("High",M44)),4,IF(ISNUMBER(SEARCH("Medium",M44)),3,IF(ISNUMBER(SEARCH("Low",M44)),2,1)))))*6) + (IF(T44&lt;0, ABS(T44)/7*2, 0)))</f>
        <v/>
      </c>
      <c r="P44">
        <f>IF(O44="", "", IF(AND(ISNUMBER(SEARCH("Critical",E44)), OR(ISNUMBER(SEARCH("Critical",K44)),ISNUMBER(SEARCH("High",K44))), T44&lt;0), "P0 - Critical &amp; Urgent", IF(AND(ISNUMBER(SEARCH("Critical",E44)), OR(ISNUMBER(SEARCH("Critical",K44)),ISNUMBER(SEARCH("High",K44)))), "P1 - Critical", IF(OR(AND(ISNUMBER(SEARCH("High",E44)),ISNUMBER(SEARCH("High",K44))),AND(ISNUMBER(SEARCH("Critical",E44)),ISNUMBER(SEARCH("Medium",K44)))), "P2 - High Priority", IF(OR(AND(ISNUMBER(SEARCH("Medium",E44)),ISNUMBER(SEARCH("High",K44))),AND(ISNUMBER(SEARCH("High",E44)),ISNUMBER(SEARCH("Medium",K44)))), "P3 - Medium Priority", "P4 - Low Priority")))))</f>
        <v/>
      </c>
      <c r="Q44">
        <f>'Remediation Tracking'!S44</f>
        <v/>
      </c>
      <c r="R44">
        <f>'Remediation Tracking'!U44</f>
        <v/>
      </c>
      <c r="S44">
        <f>'Remediation Tracking'!Z44</f>
        <v/>
      </c>
      <c r="T44" s="22" t="n"/>
      <c r="U44">
        <f>'Remediation Tracking'!AE44</f>
        <v/>
      </c>
      <c r="V44">
        <f>'Remediation Tracking'!W44</f>
        <v/>
      </c>
      <c r="W44">
        <f>IF(AND(OR(R44="&lt;1 hour",R44="1-4 hours",R44="1 day"), OR(K44="Medium",K44="High",K44="Critical")), "Yes - Quick Win", "No")</f>
        <v/>
      </c>
    </row>
    <row r="45">
      <c r="A45">
        <f>IF(B45&lt;&gt;"", ROW()-2, "")</f>
        <v/>
      </c>
      <c r="B45">
        <f>'Remediation Tracking'!A45</f>
        <v/>
      </c>
      <c r="C45">
        <f>'Remediation Tracking'!D45</f>
        <v/>
      </c>
      <c r="D45">
        <f>'Remediation Tracking'!E45</f>
        <v/>
      </c>
      <c r="E45">
        <f>'Remediation Tracking'!F45</f>
        <v/>
      </c>
      <c r="F45">
        <f>'Remediation Tracking'!C45</f>
        <v/>
      </c>
      <c r="G45">
        <f>'Remediation Tracking'!H45</f>
        <v/>
      </c>
      <c r="H45">
        <f>'Remediation Tracking'!I45</f>
        <v/>
      </c>
      <c r="I45">
        <f>'Remediation Tracking'!G45</f>
        <v/>
      </c>
      <c r="J45">
        <f>'Remediation Tracking'!J45</f>
        <v/>
      </c>
      <c r="K45">
        <f>'Remediation Tracking'!L45</f>
        <v/>
      </c>
      <c r="L45">
        <f>'Remediation Tracking'!K45</f>
        <v/>
      </c>
      <c r="M45" t="inlineStr">
        <is>
          <t>Medium</t>
        </is>
      </c>
      <c r="N45">
        <f>'Remediation Tracking'!M45</f>
        <v/>
      </c>
      <c r="O45" s="25">
        <f>IF(E45="", "", (IF(ISNUMBER(SEARCH("Critical",E45)),5,IF(ISNUMBER(SEARCH("High",E45)),4,IF(ISNUMBER(SEARCH("Medium",E45)),3,2)))*10) + (IF(ISNUMBER(SEARCH("Critical",J45)),5,IF(ISNUMBER(SEARCH("High",J45)),4,IF(ISNUMBER(SEARCH("Medium",J45)),3,2)))*8) + (IF(ISNUMBER(SEARCH("Very High",M45)),5,IF(ISNUMBER(SEARCH("Very Low",M45)),1,IF(ISNUMBER(SEARCH("High",M45)),4,IF(ISNUMBER(SEARCH("Medium",M45)),3,IF(ISNUMBER(SEARCH("Low",M45)),2,1)))))*6) + (IF(T45&lt;0, ABS(T45)/7*2, 0)))</f>
        <v/>
      </c>
      <c r="P45">
        <f>IF(O45="", "", IF(AND(ISNUMBER(SEARCH("Critical",E45)), OR(ISNUMBER(SEARCH("Critical",K45)),ISNUMBER(SEARCH("High",K45))), T45&lt;0), "P0 - Critical &amp; Urgent", IF(AND(ISNUMBER(SEARCH("Critical",E45)), OR(ISNUMBER(SEARCH("Critical",K45)),ISNUMBER(SEARCH("High",K45)))), "P1 - Critical", IF(OR(AND(ISNUMBER(SEARCH("High",E45)),ISNUMBER(SEARCH("High",K45))),AND(ISNUMBER(SEARCH("Critical",E45)),ISNUMBER(SEARCH("Medium",K45)))), "P2 - High Priority", IF(OR(AND(ISNUMBER(SEARCH("Medium",E45)),ISNUMBER(SEARCH("High",K45))),AND(ISNUMBER(SEARCH("High",E45)),ISNUMBER(SEARCH("Medium",K45)))), "P3 - Medium Priority", "P4 - Low Priority")))))</f>
        <v/>
      </c>
      <c r="Q45">
        <f>'Remediation Tracking'!S45</f>
        <v/>
      </c>
      <c r="R45">
        <f>'Remediation Tracking'!U45</f>
        <v/>
      </c>
      <c r="S45">
        <f>'Remediation Tracking'!Z45</f>
        <v/>
      </c>
      <c r="T45" s="22" t="n"/>
      <c r="U45">
        <f>'Remediation Tracking'!AE45</f>
        <v/>
      </c>
      <c r="V45">
        <f>'Remediation Tracking'!W45</f>
        <v/>
      </c>
      <c r="W45">
        <f>IF(AND(OR(R45="&lt;1 hour",R45="1-4 hours",R45="1 day"), OR(K45="Medium",K45="High",K45="Critical")), "Yes - Quick Win", "No")</f>
        <v/>
      </c>
    </row>
    <row r="46">
      <c r="A46">
        <f>IF(B46&lt;&gt;"", ROW()-2, "")</f>
        <v/>
      </c>
      <c r="B46">
        <f>'Remediation Tracking'!A46</f>
        <v/>
      </c>
      <c r="C46">
        <f>'Remediation Tracking'!D46</f>
        <v/>
      </c>
      <c r="D46">
        <f>'Remediation Tracking'!E46</f>
        <v/>
      </c>
      <c r="E46">
        <f>'Remediation Tracking'!F46</f>
        <v/>
      </c>
      <c r="F46">
        <f>'Remediation Tracking'!C46</f>
        <v/>
      </c>
      <c r="G46">
        <f>'Remediation Tracking'!H46</f>
        <v/>
      </c>
      <c r="H46">
        <f>'Remediation Tracking'!I46</f>
        <v/>
      </c>
      <c r="I46">
        <f>'Remediation Tracking'!G46</f>
        <v/>
      </c>
      <c r="J46">
        <f>'Remediation Tracking'!J46</f>
        <v/>
      </c>
      <c r="K46">
        <f>'Remediation Tracking'!L46</f>
        <v/>
      </c>
      <c r="L46">
        <f>'Remediation Tracking'!K46</f>
        <v/>
      </c>
      <c r="M46" t="inlineStr">
        <is>
          <t>Medium</t>
        </is>
      </c>
      <c r="N46">
        <f>'Remediation Tracking'!M46</f>
        <v/>
      </c>
      <c r="O46" s="25">
        <f>IF(E46="", "", (IF(ISNUMBER(SEARCH("Critical",E46)),5,IF(ISNUMBER(SEARCH("High",E46)),4,IF(ISNUMBER(SEARCH("Medium",E46)),3,2)))*10) + (IF(ISNUMBER(SEARCH("Critical",J46)),5,IF(ISNUMBER(SEARCH("High",J46)),4,IF(ISNUMBER(SEARCH("Medium",J46)),3,2)))*8) + (IF(ISNUMBER(SEARCH("Very High",M46)),5,IF(ISNUMBER(SEARCH("Very Low",M46)),1,IF(ISNUMBER(SEARCH("High",M46)),4,IF(ISNUMBER(SEARCH("Medium",M46)),3,IF(ISNUMBER(SEARCH("Low",M46)),2,1)))))*6) + (IF(T46&lt;0, ABS(T46)/7*2, 0)))</f>
        <v/>
      </c>
      <c r="P46">
        <f>IF(O46="", "", IF(AND(ISNUMBER(SEARCH("Critical",E46)), OR(ISNUMBER(SEARCH("Critical",K46)),ISNUMBER(SEARCH("High",K46))), T46&lt;0), "P0 - Critical &amp; Urgent", IF(AND(ISNUMBER(SEARCH("Critical",E46)), OR(ISNUMBER(SEARCH("Critical",K46)),ISNUMBER(SEARCH("High",K46)))), "P1 - Critical", IF(OR(AND(ISNUMBER(SEARCH("High",E46)),ISNUMBER(SEARCH("High",K46))),AND(ISNUMBER(SEARCH("Critical",E46)),ISNUMBER(SEARCH("Medium",K46)))), "P2 - High Priority", IF(OR(AND(ISNUMBER(SEARCH("Medium",E46)),ISNUMBER(SEARCH("High",K46))),AND(ISNUMBER(SEARCH("High",E46)),ISNUMBER(SEARCH("Medium",K46)))), "P3 - Medium Priority", "P4 - Low Priority")))))</f>
        <v/>
      </c>
      <c r="Q46">
        <f>'Remediation Tracking'!S46</f>
        <v/>
      </c>
      <c r="R46">
        <f>'Remediation Tracking'!U46</f>
        <v/>
      </c>
      <c r="S46">
        <f>'Remediation Tracking'!Z46</f>
        <v/>
      </c>
      <c r="T46" s="22" t="n"/>
      <c r="U46">
        <f>'Remediation Tracking'!AE46</f>
        <v/>
      </c>
      <c r="V46">
        <f>'Remediation Tracking'!W46</f>
        <v/>
      </c>
      <c r="W46">
        <f>IF(AND(OR(R46="&lt;1 hour",R46="1-4 hours",R46="1 day"), OR(K46="Medium",K46="High",K46="Critical")), "Yes - Quick Win", "No")</f>
        <v/>
      </c>
    </row>
    <row r="47">
      <c r="A47">
        <f>IF(B47&lt;&gt;"", ROW()-2, "")</f>
        <v/>
      </c>
      <c r="B47">
        <f>'Remediation Tracking'!A47</f>
        <v/>
      </c>
      <c r="C47">
        <f>'Remediation Tracking'!D47</f>
        <v/>
      </c>
      <c r="D47">
        <f>'Remediation Tracking'!E47</f>
        <v/>
      </c>
      <c r="E47">
        <f>'Remediation Tracking'!F47</f>
        <v/>
      </c>
      <c r="F47">
        <f>'Remediation Tracking'!C47</f>
        <v/>
      </c>
      <c r="G47">
        <f>'Remediation Tracking'!H47</f>
        <v/>
      </c>
      <c r="H47">
        <f>'Remediation Tracking'!I47</f>
        <v/>
      </c>
      <c r="I47">
        <f>'Remediation Tracking'!G47</f>
        <v/>
      </c>
      <c r="J47">
        <f>'Remediation Tracking'!J47</f>
        <v/>
      </c>
      <c r="K47">
        <f>'Remediation Tracking'!L47</f>
        <v/>
      </c>
      <c r="L47">
        <f>'Remediation Tracking'!K47</f>
        <v/>
      </c>
      <c r="M47" t="inlineStr">
        <is>
          <t>Medium</t>
        </is>
      </c>
      <c r="N47">
        <f>'Remediation Tracking'!M47</f>
        <v/>
      </c>
      <c r="O47" s="25">
        <f>IF(E47="", "", (IF(ISNUMBER(SEARCH("Critical",E47)),5,IF(ISNUMBER(SEARCH("High",E47)),4,IF(ISNUMBER(SEARCH("Medium",E47)),3,2)))*10) + (IF(ISNUMBER(SEARCH("Critical",J47)),5,IF(ISNUMBER(SEARCH("High",J47)),4,IF(ISNUMBER(SEARCH("Medium",J47)),3,2)))*8) + (IF(ISNUMBER(SEARCH("Very High",M47)),5,IF(ISNUMBER(SEARCH("Very Low",M47)),1,IF(ISNUMBER(SEARCH("High",M47)),4,IF(ISNUMBER(SEARCH("Medium",M47)),3,IF(ISNUMBER(SEARCH("Low",M47)),2,1)))))*6) + (IF(T47&lt;0, ABS(T47)/7*2, 0)))</f>
        <v/>
      </c>
      <c r="P47">
        <f>IF(O47="", "", IF(AND(ISNUMBER(SEARCH("Critical",E47)), OR(ISNUMBER(SEARCH("Critical",K47)),ISNUMBER(SEARCH("High",K47))), T47&lt;0), "P0 - Critical &amp; Urgent", IF(AND(ISNUMBER(SEARCH("Critical",E47)), OR(ISNUMBER(SEARCH("Critical",K47)),ISNUMBER(SEARCH("High",K47)))), "P1 - Critical", IF(OR(AND(ISNUMBER(SEARCH("High",E47)),ISNUMBER(SEARCH("High",K47))),AND(ISNUMBER(SEARCH("Critical",E47)),ISNUMBER(SEARCH("Medium",K47)))), "P2 - High Priority", IF(OR(AND(ISNUMBER(SEARCH("Medium",E47)),ISNUMBER(SEARCH("High",K47))),AND(ISNUMBER(SEARCH("High",E47)),ISNUMBER(SEARCH("Medium",K47)))), "P3 - Medium Priority", "P4 - Low Priority")))))</f>
        <v/>
      </c>
      <c r="Q47">
        <f>'Remediation Tracking'!S47</f>
        <v/>
      </c>
      <c r="R47">
        <f>'Remediation Tracking'!U47</f>
        <v/>
      </c>
      <c r="S47">
        <f>'Remediation Tracking'!Z47</f>
        <v/>
      </c>
      <c r="T47" s="22" t="n"/>
      <c r="U47">
        <f>'Remediation Tracking'!AE47</f>
        <v/>
      </c>
      <c r="V47">
        <f>'Remediation Tracking'!W47</f>
        <v/>
      </c>
      <c r="W47">
        <f>IF(AND(OR(R47="&lt;1 hour",R47="1-4 hours",R47="1 day"), OR(K47="Medium",K47="High",K47="Critical")), "Yes - Quick Win", "No")</f>
        <v/>
      </c>
    </row>
    <row r="48">
      <c r="A48">
        <f>IF(B48&lt;&gt;"", ROW()-2, "")</f>
        <v/>
      </c>
      <c r="B48">
        <f>'Remediation Tracking'!A48</f>
        <v/>
      </c>
      <c r="C48">
        <f>'Remediation Tracking'!D48</f>
        <v/>
      </c>
      <c r="D48">
        <f>'Remediation Tracking'!E48</f>
        <v/>
      </c>
      <c r="E48">
        <f>'Remediation Tracking'!F48</f>
        <v/>
      </c>
      <c r="F48">
        <f>'Remediation Tracking'!C48</f>
        <v/>
      </c>
      <c r="G48">
        <f>'Remediation Tracking'!H48</f>
        <v/>
      </c>
      <c r="H48">
        <f>'Remediation Tracking'!I48</f>
        <v/>
      </c>
      <c r="I48">
        <f>'Remediation Tracking'!G48</f>
        <v/>
      </c>
      <c r="J48">
        <f>'Remediation Tracking'!J48</f>
        <v/>
      </c>
      <c r="K48">
        <f>'Remediation Tracking'!L48</f>
        <v/>
      </c>
      <c r="L48">
        <f>'Remediation Tracking'!K48</f>
        <v/>
      </c>
      <c r="M48" t="inlineStr">
        <is>
          <t>Medium</t>
        </is>
      </c>
      <c r="N48">
        <f>'Remediation Tracking'!M48</f>
        <v/>
      </c>
      <c r="O48" s="25">
        <f>IF(E48="", "", (IF(ISNUMBER(SEARCH("Critical",E48)),5,IF(ISNUMBER(SEARCH("High",E48)),4,IF(ISNUMBER(SEARCH("Medium",E48)),3,2)))*10) + (IF(ISNUMBER(SEARCH("Critical",J48)),5,IF(ISNUMBER(SEARCH("High",J48)),4,IF(ISNUMBER(SEARCH("Medium",J48)),3,2)))*8) + (IF(ISNUMBER(SEARCH("Very High",M48)),5,IF(ISNUMBER(SEARCH("Very Low",M48)),1,IF(ISNUMBER(SEARCH("High",M48)),4,IF(ISNUMBER(SEARCH("Medium",M48)),3,IF(ISNUMBER(SEARCH("Low",M48)),2,1)))))*6) + (IF(T48&lt;0, ABS(T48)/7*2, 0)))</f>
        <v/>
      </c>
      <c r="P48">
        <f>IF(O48="", "", IF(AND(ISNUMBER(SEARCH("Critical",E48)), OR(ISNUMBER(SEARCH("Critical",K48)),ISNUMBER(SEARCH("High",K48))), T48&lt;0), "P0 - Critical &amp; Urgent", IF(AND(ISNUMBER(SEARCH("Critical",E48)), OR(ISNUMBER(SEARCH("Critical",K48)),ISNUMBER(SEARCH("High",K48)))), "P1 - Critical", IF(OR(AND(ISNUMBER(SEARCH("High",E48)),ISNUMBER(SEARCH("High",K48))),AND(ISNUMBER(SEARCH("Critical",E48)),ISNUMBER(SEARCH("Medium",K48)))), "P2 - High Priority", IF(OR(AND(ISNUMBER(SEARCH("Medium",E48)),ISNUMBER(SEARCH("High",K48))),AND(ISNUMBER(SEARCH("High",E48)),ISNUMBER(SEARCH("Medium",K48)))), "P3 - Medium Priority", "P4 - Low Priority")))))</f>
        <v/>
      </c>
      <c r="Q48">
        <f>'Remediation Tracking'!S48</f>
        <v/>
      </c>
      <c r="R48">
        <f>'Remediation Tracking'!U48</f>
        <v/>
      </c>
      <c r="S48">
        <f>'Remediation Tracking'!Z48</f>
        <v/>
      </c>
      <c r="T48" s="22" t="n"/>
      <c r="U48">
        <f>'Remediation Tracking'!AE48</f>
        <v/>
      </c>
      <c r="V48">
        <f>'Remediation Tracking'!W48</f>
        <v/>
      </c>
      <c r="W48">
        <f>IF(AND(OR(R48="&lt;1 hour",R48="1-4 hours",R48="1 day"), OR(K48="Medium",K48="High",K48="Critical")), "Yes - Quick Win", "No")</f>
        <v/>
      </c>
    </row>
    <row r="49">
      <c r="A49">
        <f>IF(B49&lt;&gt;"", ROW()-2, "")</f>
        <v/>
      </c>
      <c r="B49">
        <f>'Remediation Tracking'!A49</f>
        <v/>
      </c>
      <c r="C49">
        <f>'Remediation Tracking'!D49</f>
        <v/>
      </c>
      <c r="D49">
        <f>'Remediation Tracking'!E49</f>
        <v/>
      </c>
      <c r="E49">
        <f>'Remediation Tracking'!F49</f>
        <v/>
      </c>
      <c r="F49">
        <f>'Remediation Tracking'!C49</f>
        <v/>
      </c>
      <c r="G49">
        <f>'Remediation Tracking'!H49</f>
        <v/>
      </c>
      <c r="H49">
        <f>'Remediation Tracking'!I49</f>
        <v/>
      </c>
      <c r="I49">
        <f>'Remediation Tracking'!G49</f>
        <v/>
      </c>
      <c r="J49">
        <f>'Remediation Tracking'!J49</f>
        <v/>
      </c>
      <c r="K49">
        <f>'Remediation Tracking'!L49</f>
        <v/>
      </c>
      <c r="L49">
        <f>'Remediation Tracking'!K49</f>
        <v/>
      </c>
      <c r="M49" t="inlineStr">
        <is>
          <t>Medium</t>
        </is>
      </c>
      <c r="N49">
        <f>'Remediation Tracking'!M49</f>
        <v/>
      </c>
      <c r="O49" s="25">
        <f>IF(E49="", "", (IF(ISNUMBER(SEARCH("Critical",E49)),5,IF(ISNUMBER(SEARCH("High",E49)),4,IF(ISNUMBER(SEARCH("Medium",E49)),3,2)))*10) + (IF(ISNUMBER(SEARCH("Critical",J49)),5,IF(ISNUMBER(SEARCH("High",J49)),4,IF(ISNUMBER(SEARCH("Medium",J49)),3,2)))*8) + (IF(ISNUMBER(SEARCH("Very High",M49)),5,IF(ISNUMBER(SEARCH("Very Low",M49)),1,IF(ISNUMBER(SEARCH("High",M49)),4,IF(ISNUMBER(SEARCH("Medium",M49)),3,IF(ISNUMBER(SEARCH("Low",M49)),2,1)))))*6) + (IF(T49&lt;0, ABS(T49)/7*2, 0)))</f>
        <v/>
      </c>
      <c r="P49">
        <f>IF(O49="", "", IF(AND(ISNUMBER(SEARCH("Critical",E49)), OR(ISNUMBER(SEARCH("Critical",K49)),ISNUMBER(SEARCH("High",K49))), T49&lt;0), "P0 - Critical &amp; Urgent", IF(AND(ISNUMBER(SEARCH("Critical",E49)), OR(ISNUMBER(SEARCH("Critical",K49)),ISNUMBER(SEARCH("High",K49)))), "P1 - Critical", IF(OR(AND(ISNUMBER(SEARCH("High",E49)),ISNUMBER(SEARCH("High",K49))),AND(ISNUMBER(SEARCH("Critical",E49)),ISNUMBER(SEARCH("Medium",K49)))), "P2 - High Priority", IF(OR(AND(ISNUMBER(SEARCH("Medium",E49)),ISNUMBER(SEARCH("High",K49))),AND(ISNUMBER(SEARCH("High",E49)),ISNUMBER(SEARCH("Medium",K49)))), "P3 - Medium Priority", "P4 - Low Priority")))))</f>
        <v/>
      </c>
      <c r="Q49">
        <f>'Remediation Tracking'!S49</f>
        <v/>
      </c>
      <c r="R49">
        <f>'Remediation Tracking'!U49</f>
        <v/>
      </c>
      <c r="S49">
        <f>'Remediation Tracking'!Z49</f>
        <v/>
      </c>
      <c r="T49" s="22" t="n"/>
      <c r="U49">
        <f>'Remediation Tracking'!AE49</f>
        <v/>
      </c>
      <c r="V49">
        <f>'Remediation Tracking'!W49</f>
        <v/>
      </c>
      <c r="W49">
        <f>IF(AND(OR(R49="&lt;1 hour",R49="1-4 hours",R49="1 day"), OR(K49="Medium",K49="High",K49="Critical")), "Yes - Quick Win", "No")</f>
        <v/>
      </c>
    </row>
    <row r="50">
      <c r="A50">
        <f>IF(B50&lt;&gt;"", ROW()-2, "")</f>
        <v/>
      </c>
      <c r="B50">
        <f>'Remediation Tracking'!A50</f>
        <v/>
      </c>
      <c r="C50">
        <f>'Remediation Tracking'!D50</f>
        <v/>
      </c>
      <c r="D50">
        <f>'Remediation Tracking'!E50</f>
        <v/>
      </c>
      <c r="E50">
        <f>'Remediation Tracking'!F50</f>
        <v/>
      </c>
      <c r="F50">
        <f>'Remediation Tracking'!C50</f>
        <v/>
      </c>
      <c r="G50">
        <f>'Remediation Tracking'!H50</f>
        <v/>
      </c>
      <c r="H50">
        <f>'Remediation Tracking'!I50</f>
        <v/>
      </c>
      <c r="I50">
        <f>'Remediation Tracking'!G50</f>
        <v/>
      </c>
      <c r="J50">
        <f>'Remediation Tracking'!J50</f>
        <v/>
      </c>
      <c r="K50">
        <f>'Remediation Tracking'!L50</f>
        <v/>
      </c>
      <c r="L50">
        <f>'Remediation Tracking'!K50</f>
        <v/>
      </c>
      <c r="M50" t="inlineStr">
        <is>
          <t>Medium</t>
        </is>
      </c>
      <c r="N50">
        <f>'Remediation Tracking'!M50</f>
        <v/>
      </c>
      <c r="O50" s="25">
        <f>IF(E50="", "", (IF(ISNUMBER(SEARCH("Critical",E50)),5,IF(ISNUMBER(SEARCH("High",E50)),4,IF(ISNUMBER(SEARCH("Medium",E50)),3,2)))*10) + (IF(ISNUMBER(SEARCH("Critical",J50)),5,IF(ISNUMBER(SEARCH("High",J50)),4,IF(ISNUMBER(SEARCH("Medium",J50)),3,2)))*8) + (IF(ISNUMBER(SEARCH("Very High",M50)),5,IF(ISNUMBER(SEARCH("Very Low",M50)),1,IF(ISNUMBER(SEARCH("High",M50)),4,IF(ISNUMBER(SEARCH("Medium",M50)),3,IF(ISNUMBER(SEARCH("Low",M50)),2,1)))))*6) + (IF(T50&lt;0, ABS(T50)/7*2, 0)))</f>
        <v/>
      </c>
      <c r="P50">
        <f>IF(O50="", "", IF(AND(ISNUMBER(SEARCH("Critical",E50)), OR(ISNUMBER(SEARCH("Critical",K50)),ISNUMBER(SEARCH("High",K50))), T50&lt;0), "P0 - Critical &amp; Urgent", IF(AND(ISNUMBER(SEARCH("Critical",E50)), OR(ISNUMBER(SEARCH("Critical",K50)),ISNUMBER(SEARCH("High",K50)))), "P1 - Critical", IF(OR(AND(ISNUMBER(SEARCH("High",E50)),ISNUMBER(SEARCH("High",K50))),AND(ISNUMBER(SEARCH("Critical",E50)),ISNUMBER(SEARCH("Medium",K50)))), "P2 - High Priority", IF(OR(AND(ISNUMBER(SEARCH("Medium",E50)),ISNUMBER(SEARCH("High",K50))),AND(ISNUMBER(SEARCH("High",E50)),ISNUMBER(SEARCH("Medium",K50)))), "P3 - Medium Priority", "P4 - Low Priority")))))</f>
        <v/>
      </c>
      <c r="Q50">
        <f>'Remediation Tracking'!S50</f>
        <v/>
      </c>
      <c r="R50">
        <f>'Remediation Tracking'!U50</f>
        <v/>
      </c>
      <c r="S50">
        <f>'Remediation Tracking'!Z50</f>
        <v/>
      </c>
      <c r="T50" s="22" t="n"/>
      <c r="U50">
        <f>'Remediation Tracking'!AE50</f>
        <v/>
      </c>
      <c r="V50">
        <f>'Remediation Tracking'!W50</f>
        <v/>
      </c>
      <c r="W50">
        <f>IF(AND(OR(R50="&lt;1 hour",R50="1-4 hours",R50="1 day"), OR(K50="Medium",K50="High",K50="Critical")), "Yes - Quick Win", "No")</f>
        <v/>
      </c>
    </row>
    <row r="51">
      <c r="A51">
        <f>IF(B51&lt;&gt;"", ROW()-2, "")</f>
        <v/>
      </c>
      <c r="B51">
        <f>'Remediation Tracking'!A51</f>
        <v/>
      </c>
      <c r="C51">
        <f>'Remediation Tracking'!D51</f>
        <v/>
      </c>
      <c r="D51">
        <f>'Remediation Tracking'!E51</f>
        <v/>
      </c>
      <c r="E51">
        <f>'Remediation Tracking'!F51</f>
        <v/>
      </c>
      <c r="F51">
        <f>'Remediation Tracking'!C51</f>
        <v/>
      </c>
      <c r="G51">
        <f>'Remediation Tracking'!H51</f>
        <v/>
      </c>
      <c r="H51">
        <f>'Remediation Tracking'!I51</f>
        <v/>
      </c>
      <c r="I51">
        <f>'Remediation Tracking'!G51</f>
        <v/>
      </c>
      <c r="J51">
        <f>'Remediation Tracking'!J51</f>
        <v/>
      </c>
      <c r="K51">
        <f>'Remediation Tracking'!L51</f>
        <v/>
      </c>
      <c r="L51">
        <f>'Remediation Tracking'!K51</f>
        <v/>
      </c>
      <c r="M51" t="inlineStr">
        <is>
          <t>Medium</t>
        </is>
      </c>
      <c r="N51">
        <f>'Remediation Tracking'!M51</f>
        <v/>
      </c>
      <c r="O51" s="25">
        <f>IF(E51="", "", (IF(ISNUMBER(SEARCH("Critical",E51)),5,IF(ISNUMBER(SEARCH("High",E51)),4,IF(ISNUMBER(SEARCH("Medium",E51)),3,2)))*10) + (IF(ISNUMBER(SEARCH("Critical",J51)),5,IF(ISNUMBER(SEARCH("High",J51)),4,IF(ISNUMBER(SEARCH("Medium",J51)),3,2)))*8) + (IF(ISNUMBER(SEARCH("Very High",M51)),5,IF(ISNUMBER(SEARCH("Very Low",M51)),1,IF(ISNUMBER(SEARCH("High",M51)),4,IF(ISNUMBER(SEARCH("Medium",M51)),3,IF(ISNUMBER(SEARCH("Low",M51)),2,1)))))*6) + (IF(T51&lt;0, ABS(T51)/7*2, 0)))</f>
        <v/>
      </c>
      <c r="P51">
        <f>IF(O51="", "", IF(AND(ISNUMBER(SEARCH("Critical",E51)), OR(ISNUMBER(SEARCH("Critical",K51)),ISNUMBER(SEARCH("High",K51))), T51&lt;0), "P0 - Critical &amp; Urgent", IF(AND(ISNUMBER(SEARCH("Critical",E51)), OR(ISNUMBER(SEARCH("Critical",K51)),ISNUMBER(SEARCH("High",K51)))), "P1 - Critical", IF(OR(AND(ISNUMBER(SEARCH("High",E51)),ISNUMBER(SEARCH("High",K51))),AND(ISNUMBER(SEARCH("Critical",E51)),ISNUMBER(SEARCH("Medium",K51)))), "P2 - High Priority", IF(OR(AND(ISNUMBER(SEARCH("Medium",E51)),ISNUMBER(SEARCH("High",K51))),AND(ISNUMBER(SEARCH("High",E51)),ISNUMBER(SEARCH("Medium",K51)))), "P3 - Medium Priority", "P4 - Low Priority")))))</f>
        <v/>
      </c>
      <c r="Q51">
        <f>'Remediation Tracking'!S51</f>
        <v/>
      </c>
      <c r="R51">
        <f>'Remediation Tracking'!U51</f>
        <v/>
      </c>
      <c r="S51">
        <f>'Remediation Tracking'!Z51</f>
        <v/>
      </c>
      <c r="T51" s="22" t="n"/>
      <c r="U51">
        <f>'Remediation Tracking'!AE51</f>
        <v/>
      </c>
      <c r="V51">
        <f>'Remediation Tracking'!W51</f>
        <v/>
      </c>
      <c r="W51">
        <f>IF(AND(OR(R51="&lt;1 hour",R51="1-4 hours",R51="1 day"), OR(K51="Medium",K51="High",K51="Critical")), "Yes - Quick Win", "No")</f>
        <v/>
      </c>
    </row>
    <row r="52">
      <c r="A52">
        <f>IF(B52&lt;&gt;"", ROW()-2, "")</f>
        <v/>
      </c>
      <c r="B52">
        <f>'Remediation Tracking'!A52</f>
        <v/>
      </c>
      <c r="C52">
        <f>'Remediation Tracking'!D52</f>
        <v/>
      </c>
      <c r="D52">
        <f>'Remediation Tracking'!E52</f>
        <v/>
      </c>
      <c r="E52">
        <f>'Remediation Tracking'!F52</f>
        <v/>
      </c>
      <c r="F52">
        <f>'Remediation Tracking'!C52</f>
        <v/>
      </c>
      <c r="G52">
        <f>'Remediation Tracking'!H52</f>
        <v/>
      </c>
      <c r="H52">
        <f>'Remediation Tracking'!I52</f>
        <v/>
      </c>
      <c r="I52">
        <f>'Remediation Tracking'!G52</f>
        <v/>
      </c>
      <c r="J52">
        <f>'Remediation Tracking'!J52</f>
        <v/>
      </c>
      <c r="K52">
        <f>'Remediation Tracking'!L52</f>
        <v/>
      </c>
      <c r="L52">
        <f>'Remediation Tracking'!K52</f>
        <v/>
      </c>
      <c r="M52" t="inlineStr">
        <is>
          <t>Medium</t>
        </is>
      </c>
      <c r="N52">
        <f>'Remediation Tracking'!M52</f>
        <v/>
      </c>
      <c r="O52" s="25">
        <f>IF(E52="", "", (IF(ISNUMBER(SEARCH("Critical",E52)),5,IF(ISNUMBER(SEARCH("High",E52)),4,IF(ISNUMBER(SEARCH("Medium",E52)),3,2)))*10) + (IF(ISNUMBER(SEARCH("Critical",J52)),5,IF(ISNUMBER(SEARCH("High",J52)),4,IF(ISNUMBER(SEARCH("Medium",J52)),3,2)))*8) + (IF(ISNUMBER(SEARCH("Very High",M52)),5,IF(ISNUMBER(SEARCH("Very Low",M52)),1,IF(ISNUMBER(SEARCH("High",M52)),4,IF(ISNUMBER(SEARCH("Medium",M52)),3,IF(ISNUMBER(SEARCH("Low",M52)),2,1)))))*6) + (IF(T52&lt;0, ABS(T52)/7*2, 0)))</f>
        <v/>
      </c>
      <c r="P52">
        <f>IF(O52="", "", IF(AND(ISNUMBER(SEARCH("Critical",E52)), OR(ISNUMBER(SEARCH("Critical",K52)),ISNUMBER(SEARCH("High",K52))), T52&lt;0), "P0 - Critical &amp; Urgent", IF(AND(ISNUMBER(SEARCH("Critical",E52)), OR(ISNUMBER(SEARCH("Critical",K52)),ISNUMBER(SEARCH("High",K52)))), "P1 - Critical", IF(OR(AND(ISNUMBER(SEARCH("High",E52)),ISNUMBER(SEARCH("High",K52))),AND(ISNUMBER(SEARCH("Critical",E52)),ISNUMBER(SEARCH("Medium",K52)))), "P2 - High Priority", IF(OR(AND(ISNUMBER(SEARCH("Medium",E52)),ISNUMBER(SEARCH("High",K52))),AND(ISNUMBER(SEARCH("High",E52)),ISNUMBER(SEARCH("Medium",K52)))), "P3 - Medium Priority", "P4 - Low Priority")))))</f>
        <v/>
      </c>
      <c r="Q52">
        <f>'Remediation Tracking'!S52</f>
        <v/>
      </c>
      <c r="R52">
        <f>'Remediation Tracking'!U52</f>
        <v/>
      </c>
      <c r="S52">
        <f>'Remediation Tracking'!Z52</f>
        <v/>
      </c>
      <c r="T52" s="22" t="n"/>
      <c r="U52">
        <f>'Remediation Tracking'!AE52</f>
        <v/>
      </c>
      <c r="V52">
        <f>'Remediation Tracking'!W52</f>
        <v/>
      </c>
      <c r="W52">
        <f>IF(AND(OR(R52="&lt;1 hour",R52="1-4 hours",R52="1 day"), OR(K52="Medium",K52="High",K52="Critical")), "Yes - Quick Win", "No")</f>
        <v/>
      </c>
    </row>
    <row r="53">
      <c r="A53">
        <f>IF(B53&lt;&gt;"", ROW()-2, "")</f>
        <v/>
      </c>
      <c r="B53">
        <f>'Remediation Tracking'!A53</f>
        <v/>
      </c>
      <c r="C53">
        <f>'Remediation Tracking'!D53</f>
        <v/>
      </c>
      <c r="D53">
        <f>'Remediation Tracking'!E53</f>
        <v/>
      </c>
      <c r="E53">
        <f>'Remediation Tracking'!F53</f>
        <v/>
      </c>
      <c r="F53">
        <f>'Remediation Tracking'!C53</f>
        <v/>
      </c>
      <c r="G53">
        <f>'Remediation Tracking'!H53</f>
        <v/>
      </c>
      <c r="H53">
        <f>'Remediation Tracking'!I53</f>
        <v/>
      </c>
      <c r="I53">
        <f>'Remediation Tracking'!G53</f>
        <v/>
      </c>
      <c r="J53">
        <f>'Remediation Tracking'!J53</f>
        <v/>
      </c>
      <c r="K53">
        <f>'Remediation Tracking'!L53</f>
        <v/>
      </c>
      <c r="L53">
        <f>'Remediation Tracking'!K53</f>
        <v/>
      </c>
      <c r="M53" t="inlineStr">
        <is>
          <t>Medium</t>
        </is>
      </c>
      <c r="N53">
        <f>'Remediation Tracking'!M53</f>
        <v/>
      </c>
      <c r="O53" s="25">
        <f>IF(E53="", "", (IF(ISNUMBER(SEARCH("Critical",E53)),5,IF(ISNUMBER(SEARCH("High",E53)),4,IF(ISNUMBER(SEARCH("Medium",E53)),3,2)))*10) + (IF(ISNUMBER(SEARCH("Critical",J53)),5,IF(ISNUMBER(SEARCH("High",J53)),4,IF(ISNUMBER(SEARCH("Medium",J53)),3,2)))*8) + (IF(ISNUMBER(SEARCH("Very High",M53)),5,IF(ISNUMBER(SEARCH("Very Low",M53)),1,IF(ISNUMBER(SEARCH("High",M53)),4,IF(ISNUMBER(SEARCH("Medium",M53)),3,IF(ISNUMBER(SEARCH("Low",M53)),2,1)))))*6) + (IF(T53&lt;0, ABS(T53)/7*2, 0)))</f>
        <v/>
      </c>
      <c r="P53">
        <f>IF(O53="", "", IF(AND(ISNUMBER(SEARCH("Critical",E53)), OR(ISNUMBER(SEARCH("Critical",K53)),ISNUMBER(SEARCH("High",K53))), T53&lt;0), "P0 - Critical &amp; Urgent", IF(AND(ISNUMBER(SEARCH("Critical",E53)), OR(ISNUMBER(SEARCH("Critical",K53)),ISNUMBER(SEARCH("High",K53)))), "P1 - Critical", IF(OR(AND(ISNUMBER(SEARCH("High",E53)),ISNUMBER(SEARCH("High",K53))),AND(ISNUMBER(SEARCH("Critical",E53)),ISNUMBER(SEARCH("Medium",K53)))), "P2 - High Priority", IF(OR(AND(ISNUMBER(SEARCH("Medium",E53)),ISNUMBER(SEARCH("High",K53))),AND(ISNUMBER(SEARCH("High",E53)),ISNUMBER(SEARCH("Medium",K53)))), "P3 - Medium Priority", "P4 - Low Priority")))))</f>
        <v/>
      </c>
      <c r="Q53">
        <f>'Remediation Tracking'!S53</f>
        <v/>
      </c>
      <c r="R53">
        <f>'Remediation Tracking'!U53</f>
        <v/>
      </c>
      <c r="S53">
        <f>'Remediation Tracking'!Z53</f>
        <v/>
      </c>
      <c r="T53" s="22" t="n"/>
      <c r="U53">
        <f>'Remediation Tracking'!AE53</f>
        <v/>
      </c>
      <c r="V53">
        <f>'Remediation Tracking'!W53</f>
        <v/>
      </c>
      <c r="W53">
        <f>IF(AND(OR(R53="&lt;1 hour",R53="1-4 hours",R53="1 day"), OR(K53="Medium",K53="High",K53="Critical")), "Yes - Quick Win", "No")</f>
        <v/>
      </c>
    </row>
    <row r="54">
      <c r="A54">
        <f>IF(B54&lt;&gt;"", ROW()-2, "")</f>
        <v/>
      </c>
      <c r="B54">
        <f>'Remediation Tracking'!A54</f>
        <v/>
      </c>
      <c r="C54">
        <f>'Remediation Tracking'!D54</f>
        <v/>
      </c>
      <c r="D54">
        <f>'Remediation Tracking'!E54</f>
        <v/>
      </c>
      <c r="E54">
        <f>'Remediation Tracking'!F54</f>
        <v/>
      </c>
      <c r="F54">
        <f>'Remediation Tracking'!C54</f>
        <v/>
      </c>
      <c r="G54">
        <f>'Remediation Tracking'!H54</f>
        <v/>
      </c>
      <c r="H54">
        <f>'Remediation Tracking'!I54</f>
        <v/>
      </c>
      <c r="I54">
        <f>'Remediation Tracking'!G54</f>
        <v/>
      </c>
      <c r="J54">
        <f>'Remediation Tracking'!J54</f>
        <v/>
      </c>
      <c r="K54">
        <f>'Remediation Tracking'!L54</f>
        <v/>
      </c>
      <c r="L54">
        <f>'Remediation Tracking'!K54</f>
        <v/>
      </c>
      <c r="M54" t="inlineStr">
        <is>
          <t>Medium</t>
        </is>
      </c>
      <c r="N54">
        <f>'Remediation Tracking'!M54</f>
        <v/>
      </c>
      <c r="O54" s="25">
        <f>IF(E54="", "", (IF(ISNUMBER(SEARCH("Critical",E54)),5,IF(ISNUMBER(SEARCH("High",E54)),4,IF(ISNUMBER(SEARCH("Medium",E54)),3,2)))*10) + (IF(ISNUMBER(SEARCH("Critical",J54)),5,IF(ISNUMBER(SEARCH("High",J54)),4,IF(ISNUMBER(SEARCH("Medium",J54)),3,2)))*8) + (IF(ISNUMBER(SEARCH("Very High",M54)),5,IF(ISNUMBER(SEARCH("Very Low",M54)),1,IF(ISNUMBER(SEARCH("High",M54)),4,IF(ISNUMBER(SEARCH("Medium",M54)),3,IF(ISNUMBER(SEARCH("Low",M54)),2,1)))))*6) + (IF(T54&lt;0, ABS(T54)/7*2, 0)))</f>
        <v/>
      </c>
      <c r="P54">
        <f>IF(O54="", "", IF(AND(ISNUMBER(SEARCH("Critical",E54)), OR(ISNUMBER(SEARCH("Critical",K54)),ISNUMBER(SEARCH("High",K54))), T54&lt;0), "P0 - Critical &amp; Urgent", IF(AND(ISNUMBER(SEARCH("Critical",E54)), OR(ISNUMBER(SEARCH("Critical",K54)),ISNUMBER(SEARCH("High",K54)))), "P1 - Critical", IF(OR(AND(ISNUMBER(SEARCH("High",E54)),ISNUMBER(SEARCH("High",K54))),AND(ISNUMBER(SEARCH("Critical",E54)),ISNUMBER(SEARCH("Medium",K54)))), "P2 - High Priority", IF(OR(AND(ISNUMBER(SEARCH("Medium",E54)),ISNUMBER(SEARCH("High",K54))),AND(ISNUMBER(SEARCH("High",E54)),ISNUMBER(SEARCH("Medium",K54)))), "P3 - Medium Priority", "P4 - Low Priority")))))</f>
        <v/>
      </c>
      <c r="Q54">
        <f>'Remediation Tracking'!S54</f>
        <v/>
      </c>
      <c r="R54">
        <f>'Remediation Tracking'!U54</f>
        <v/>
      </c>
      <c r="S54">
        <f>'Remediation Tracking'!Z54</f>
        <v/>
      </c>
      <c r="T54" s="22" t="n"/>
      <c r="U54">
        <f>'Remediation Tracking'!AE54</f>
        <v/>
      </c>
      <c r="V54">
        <f>'Remediation Tracking'!W54</f>
        <v/>
      </c>
      <c r="W54">
        <f>IF(AND(OR(R54="&lt;1 hour",R54="1-4 hours",R54="1 day"), OR(K54="Medium",K54="High",K54="Critical")), "Yes - Quick Win", "No")</f>
        <v/>
      </c>
    </row>
    <row r="55">
      <c r="A55">
        <f>IF(B55&lt;&gt;"", ROW()-2, "")</f>
        <v/>
      </c>
      <c r="B55">
        <f>'Remediation Tracking'!A55</f>
        <v/>
      </c>
      <c r="C55">
        <f>'Remediation Tracking'!D55</f>
        <v/>
      </c>
      <c r="D55">
        <f>'Remediation Tracking'!E55</f>
        <v/>
      </c>
      <c r="E55">
        <f>'Remediation Tracking'!F55</f>
        <v/>
      </c>
      <c r="F55">
        <f>'Remediation Tracking'!C55</f>
        <v/>
      </c>
      <c r="G55">
        <f>'Remediation Tracking'!H55</f>
        <v/>
      </c>
      <c r="H55">
        <f>'Remediation Tracking'!I55</f>
        <v/>
      </c>
      <c r="I55">
        <f>'Remediation Tracking'!G55</f>
        <v/>
      </c>
      <c r="J55">
        <f>'Remediation Tracking'!J55</f>
        <v/>
      </c>
      <c r="K55">
        <f>'Remediation Tracking'!L55</f>
        <v/>
      </c>
      <c r="L55">
        <f>'Remediation Tracking'!K55</f>
        <v/>
      </c>
      <c r="M55" t="inlineStr">
        <is>
          <t>Medium</t>
        </is>
      </c>
      <c r="N55">
        <f>'Remediation Tracking'!M55</f>
        <v/>
      </c>
      <c r="O55" s="25">
        <f>IF(E55="", "", (IF(ISNUMBER(SEARCH("Critical",E55)),5,IF(ISNUMBER(SEARCH("High",E55)),4,IF(ISNUMBER(SEARCH("Medium",E55)),3,2)))*10) + (IF(ISNUMBER(SEARCH("Critical",J55)),5,IF(ISNUMBER(SEARCH("High",J55)),4,IF(ISNUMBER(SEARCH("Medium",J55)),3,2)))*8) + (IF(ISNUMBER(SEARCH("Very High",M55)),5,IF(ISNUMBER(SEARCH("Very Low",M55)),1,IF(ISNUMBER(SEARCH("High",M55)),4,IF(ISNUMBER(SEARCH("Medium",M55)),3,IF(ISNUMBER(SEARCH("Low",M55)),2,1)))))*6) + (IF(T55&lt;0, ABS(T55)/7*2, 0)))</f>
        <v/>
      </c>
      <c r="P55">
        <f>IF(O55="", "", IF(AND(ISNUMBER(SEARCH("Critical",E55)), OR(ISNUMBER(SEARCH("Critical",K55)),ISNUMBER(SEARCH("High",K55))), T55&lt;0), "P0 - Critical &amp; Urgent", IF(AND(ISNUMBER(SEARCH("Critical",E55)), OR(ISNUMBER(SEARCH("Critical",K55)),ISNUMBER(SEARCH("High",K55)))), "P1 - Critical", IF(OR(AND(ISNUMBER(SEARCH("High",E55)),ISNUMBER(SEARCH("High",K55))),AND(ISNUMBER(SEARCH("Critical",E55)),ISNUMBER(SEARCH("Medium",K55)))), "P2 - High Priority", IF(OR(AND(ISNUMBER(SEARCH("Medium",E55)),ISNUMBER(SEARCH("High",K55))),AND(ISNUMBER(SEARCH("High",E55)),ISNUMBER(SEARCH("Medium",K55)))), "P3 - Medium Priority", "P4 - Low Priority")))))</f>
        <v/>
      </c>
      <c r="Q55">
        <f>'Remediation Tracking'!S55</f>
        <v/>
      </c>
      <c r="R55">
        <f>'Remediation Tracking'!U55</f>
        <v/>
      </c>
      <c r="S55">
        <f>'Remediation Tracking'!Z55</f>
        <v/>
      </c>
      <c r="T55" s="22" t="n"/>
      <c r="U55">
        <f>'Remediation Tracking'!AE55</f>
        <v/>
      </c>
      <c r="V55">
        <f>'Remediation Tracking'!W55</f>
        <v/>
      </c>
      <c r="W55">
        <f>IF(AND(OR(R55="&lt;1 hour",R55="1-4 hours",R55="1 day"), OR(K55="Medium",K55="High",K55="Critical")), "Yes - Quick Win", "No")</f>
        <v/>
      </c>
    </row>
    <row r="56">
      <c r="A56">
        <f>IF(B56&lt;&gt;"", ROW()-2, "")</f>
        <v/>
      </c>
      <c r="B56">
        <f>'Remediation Tracking'!A56</f>
        <v/>
      </c>
      <c r="C56">
        <f>'Remediation Tracking'!D56</f>
        <v/>
      </c>
      <c r="D56">
        <f>'Remediation Tracking'!E56</f>
        <v/>
      </c>
      <c r="E56">
        <f>'Remediation Tracking'!F56</f>
        <v/>
      </c>
      <c r="F56">
        <f>'Remediation Tracking'!C56</f>
        <v/>
      </c>
      <c r="G56">
        <f>'Remediation Tracking'!H56</f>
        <v/>
      </c>
      <c r="H56">
        <f>'Remediation Tracking'!I56</f>
        <v/>
      </c>
      <c r="I56">
        <f>'Remediation Tracking'!G56</f>
        <v/>
      </c>
      <c r="J56">
        <f>'Remediation Tracking'!J56</f>
        <v/>
      </c>
      <c r="K56">
        <f>'Remediation Tracking'!L56</f>
        <v/>
      </c>
      <c r="L56">
        <f>'Remediation Tracking'!K56</f>
        <v/>
      </c>
      <c r="M56" t="inlineStr">
        <is>
          <t>Medium</t>
        </is>
      </c>
      <c r="N56">
        <f>'Remediation Tracking'!M56</f>
        <v/>
      </c>
      <c r="O56" s="25">
        <f>IF(E56="", "", (IF(ISNUMBER(SEARCH("Critical",E56)),5,IF(ISNUMBER(SEARCH("High",E56)),4,IF(ISNUMBER(SEARCH("Medium",E56)),3,2)))*10) + (IF(ISNUMBER(SEARCH("Critical",J56)),5,IF(ISNUMBER(SEARCH("High",J56)),4,IF(ISNUMBER(SEARCH("Medium",J56)),3,2)))*8) + (IF(ISNUMBER(SEARCH("Very High",M56)),5,IF(ISNUMBER(SEARCH("Very Low",M56)),1,IF(ISNUMBER(SEARCH("High",M56)),4,IF(ISNUMBER(SEARCH("Medium",M56)),3,IF(ISNUMBER(SEARCH("Low",M56)),2,1)))))*6) + (IF(T56&lt;0, ABS(T56)/7*2, 0)))</f>
        <v/>
      </c>
      <c r="P56">
        <f>IF(O56="", "", IF(AND(ISNUMBER(SEARCH("Critical",E56)), OR(ISNUMBER(SEARCH("Critical",K56)),ISNUMBER(SEARCH("High",K56))), T56&lt;0), "P0 - Critical &amp; Urgent", IF(AND(ISNUMBER(SEARCH("Critical",E56)), OR(ISNUMBER(SEARCH("Critical",K56)),ISNUMBER(SEARCH("High",K56)))), "P1 - Critical", IF(OR(AND(ISNUMBER(SEARCH("High",E56)),ISNUMBER(SEARCH("High",K56))),AND(ISNUMBER(SEARCH("Critical",E56)),ISNUMBER(SEARCH("Medium",K56)))), "P2 - High Priority", IF(OR(AND(ISNUMBER(SEARCH("Medium",E56)),ISNUMBER(SEARCH("High",K56))),AND(ISNUMBER(SEARCH("High",E56)),ISNUMBER(SEARCH("Medium",K56)))), "P3 - Medium Priority", "P4 - Low Priority")))))</f>
        <v/>
      </c>
      <c r="Q56">
        <f>'Remediation Tracking'!S56</f>
        <v/>
      </c>
      <c r="R56">
        <f>'Remediation Tracking'!U56</f>
        <v/>
      </c>
      <c r="S56">
        <f>'Remediation Tracking'!Z56</f>
        <v/>
      </c>
      <c r="T56" s="22" t="n"/>
      <c r="U56">
        <f>'Remediation Tracking'!AE56</f>
        <v/>
      </c>
      <c r="V56">
        <f>'Remediation Tracking'!W56</f>
        <v/>
      </c>
      <c r="W56">
        <f>IF(AND(OR(R56="&lt;1 hour",R56="1-4 hours",R56="1 day"), OR(K56="Medium",K56="High",K56="Critical")), "Yes - Quick Win", "No")</f>
        <v/>
      </c>
    </row>
    <row r="57">
      <c r="A57">
        <f>IF(B57&lt;&gt;"", ROW()-2, "")</f>
        <v/>
      </c>
      <c r="B57">
        <f>'Remediation Tracking'!A57</f>
        <v/>
      </c>
      <c r="C57">
        <f>'Remediation Tracking'!D57</f>
        <v/>
      </c>
      <c r="D57">
        <f>'Remediation Tracking'!E57</f>
        <v/>
      </c>
      <c r="E57">
        <f>'Remediation Tracking'!F57</f>
        <v/>
      </c>
      <c r="F57">
        <f>'Remediation Tracking'!C57</f>
        <v/>
      </c>
      <c r="G57">
        <f>'Remediation Tracking'!H57</f>
        <v/>
      </c>
      <c r="H57">
        <f>'Remediation Tracking'!I57</f>
        <v/>
      </c>
      <c r="I57">
        <f>'Remediation Tracking'!G57</f>
        <v/>
      </c>
      <c r="J57">
        <f>'Remediation Tracking'!J57</f>
        <v/>
      </c>
      <c r="K57">
        <f>'Remediation Tracking'!L57</f>
        <v/>
      </c>
      <c r="L57">
        <f>'Remediation Tracking'!K57</f>
        <v/>
      </c>
      <c r="M57" t="inlineStr">
        <is>
          <t>Medium</t>
        </is>
      </c>
      <c r="N57">
        <f>'Remediation Tracking'!M57</f>
        <v/>
      </c>
      <c r="O57" s="25">
        <f>IF(E57="", "", (IF(ISNUMBER(SEARCH("Critical",E57)),5,IF(ISNUMBER(SEARCH("High",E57)),4,IF(ISNUMBER(SEARCH("Medium",E57)),3,2)))*10) + (IF(ISNUMBER(SEARCH("Critical",J57)),5,IF(ISNUMBER(SEARCH("High",J57)),4,IF(ISNUMBER(SEARCH("Medium",J57)),3,2)))*8) + (IF(ISNUMBER(SEARCH("Very High",M57)),5,IF(ISNUMBER(SEARCH("Very Low",M57)),1,IF(ISNUMBER(SEARCH("High",M57)),4,IF(ISNUMBER(SEARCH("Medium",M57)),3,IF(ISNUMBER(SEARCH("Low",M57)),2,1)))))*6) + (IF(T57&lt;0, ABS(T57)/7*2, 0)))</f>
        <v/>
      </c>
      <c r="P57">
        <f>IF(O57="", "", IF(AND(ISNUMBER(SEARCH("Critical",E57)), OR(ISNUMBER(SEARCH("Critical",K57)),ISNUMBER(SEARCH("High",K57))), T57&lt;0), "P0 - Critical &amp; Urgent", IF(AND(ISNUMBER(SEARCH("Critical",E57)), OR(ISNUMBER(SEARCH("Critical",K57)),ISNUMBER(SEARCH("High",K57)))), "P1 - Critical", IF(OR(AND(ISNUMBER(SEARCH("High",E57)),ISNUMBER(SEARCH("High",K57))),AND(ISNUMBER(SEARCH("Critical",E57)),ISNUMBER(SEARCH("Medium",K57)))), "P2 - High Priority", IF(OR(AND(ISNUMBER(SEARCH("Medium",E57)),ISNUMBER(SEARCH("High",K57))),AND(ISNUMBER(SEARCH("High",E57)),ISNUMBER(SEARCH("Medium",K57)))), "P3 - Medium Priority", "P4 - Low Priority")))))</f>
        <v/>
      </c>
      <c r="Q57">
        <f>'Remediation Tracking'!S57</f>
        <v/>
      </c>
      <c r="R57">
        <f>'Remediation Tracking'!U57</f>
        <v/>
      </c>
      <c r="S57">
        <f>'Remediation Tracking'!Z57</f>
        <v/>
      </c>
      <c r="T57" s="22" t="n"/>
      <c r="U57">
        <f>'Remediation Tracking'!AE57</f>
        <v/>
      </c>
      <c r="V57">
        <f>'Remediation Tracking'!W57</f>
        <v/>
      </c>
      <c r="W57">
        <f>IF(AND(OR(R57="&lt;1 hour",R57="1-4 hours",R57="1 day"), OR(K57="Medium",K57="High",K57="Critical")), "Yes - Quick Win", "No")</f>
        <v/>
      </c>
    </row>
    <row r="58">
      <c r="A58">
        <f>IF(B58&lt;&gt;"", ROW()-2, "")</f>
        <v/>
      </c>
      <c r="B58">
        <f>'Remediation Tracking'!A58</f>
        <v/>
      </c>
      <c r="C58">
        <f>'Remediation Tracking'!D58</f>
        <v/>
      </c>
      <c r="D58">
        <f>'Remediation Tracking'!E58</f>
        <v/>
      </c>
      <c r="E58">
        <f>'Remediation Tracking'!F58</f>
        <v/>
      </c>
      <c r="F58">
        <f>'Remediation Tracking'!C58</f>
        <v/>
      </c>
      <c r="G58">
        <f>'Remediation Tracking'!H58</f>
        <v/>
      </c>
      <c r="H58">
        <f>'Remediation Tracking'!I58</f>
        <v/>
      </c>
      <c r="I58">
        <f>'Remediation Tracking'!G58</f>
        <v/>
      </c>
      <c r="J58">
        <f>'Remediation Tracking'!J58</f>
        <v/>
      </c>
      <c r="K58">
        <f>'Remediation Tracking'!L58</f>
        <v/>
      </c>
      <c r="L58">
        <f>'Remediation Tracking'!K58</f>
        <v/>
      </c>
      <c r="M58" t="inlineStr">
        <is>
          <t>Medium</t>
        </is>
      </c>
      <c r="N58">
        <f>'Remediation Tracking'!M58</f>
        <v/>
      </c>
      <c r="O58" s="25">
        <f>IF(E58="", "", (IF(ISNUMBER(SEARCH("Critical",E58)),5,IF(ISNUMBER(SEARCH("High",E58)),4,IF(ISNUMBER(SEARCH("Medium",E58)),3,2)))*10) + (IF(ISNUMBER(SEARCH("Critical",J58)),5,IF(ISNUMBER(SEARCH("High",J58)),4,IF(ISNUMBER(SEARCH("Medium",J58)),3,2)))*8) + (IF(ISNUMBER(SEARCH("Very High",M58)),5,IF(ISNUMBER(SEARCH("Very Low",M58)),1,IF(ISNUMBER(SEARCH("High",M58)),4,IF(ISNUMBER(SEARCH("Medium",M58)),3,IF(ISNUMBER(SEARCH("Low",M58)),2,1)))))*6) + (IF(T58&lt;0, ABS(T58)/7*2, 0)))</f>
        <v/>
      </c>
      <c r="P58">
        <f>IF(O58="", "", IF(AND(ISNUMBER(SEARCH("Critical",E58)), OR(ISNUMBER(SEARCH("Critical",K58)),ISNUMBER(SEARCH("High",K58))), T58&lt;0), "P0 - Critical &amp; Urgent", IF(AND(ISNUMBER(SEARCH("Critical",E58)), OR(ISNUMBER(SEARCH("Critical",K58)),ISNUMBER(SEARCH("High",K58)))), "P1 - Critical", IF(OR(AND(ISNUMBER(SEARCH("High",E58)),ISNUMBER(SEARCH("High",K58))),AND(ISNUMBER(SEARCH("Critical",E58)),ISNUMBER(SEARCH("Medium",K58)))), "P2 - High Priority", IF(OR(AND(ISNUMBER(SEARCH("Medium",E58)),ISNUMBER(SEARCH("High",K58))),AND(ISNUMBER(SEARCH("High",E58)),ISNUMBER(SEARCH("Medium",K58)))), "P3 - Medium Priority", "P4 - Low Priority")))))</f>
        <v/>
      </c>
      <c r="Q58">
        <f>'Remediation Tracking'!S58</f>
        <v/>
      </c>
      <c r="R58">
        <f>'Remediation Tracking'!U58</f>
        <v/>
      </c>
      <c r="S58">
        <f>'Remediation Tracking'!Z58</f>
        <v/>
      </c>
      <c r="T58" s="22" t="n"/>
      <c r="U58">
        <f>'Remediation Tracking'!AE58</f>
        <v/>
      </c>
      <c r="V58">
        <f>'Remediation Tracking'!W58</f>
        <v/>
      </c>
      <c r="W58">
        <f>IF(AND(OR(R58="&lt;1 hour",R58="1-4 hours",R58="1 day"), OR(K58="Medium",K58="High",K58="Critical")), "Yes - Quick Win", "No")</f>
        <v/>
      </c>
    </row>
    <row r="59">
      <c r="A59">
        <f>IF(B59&lt;&gt;"", ROW()-2, "")</f>
        <v/>
      </c>
      <c r="B59">
        <f>'Remediation Tracking'!A59</f>
        <v/>
      </c>
      <c r="C59">
        <f>'Remediation Tracking'!D59</f>
        <v/>
      </c>
      <c r="D59">
        <f>'Remediation Tracking'!E59</f>
        <v/>
      </c>
      <c r="E59">
        <f>'Remediation Tracking'!F59</f>
        <v/>
      </c>
      <c r="F59">
        <f>'Remediation Tracking'!C59</f>
        <v/>
      </c>
      <c r="G59">
        <f>'Remediation Tracking'!H59</f>
        <v/>
      </c>
      <c r="H59">
        <f>'Remediation Tracking'!I59</f>
        <v/>
      </c>
      <c r="I59">
        <f>'Remediation Tracking'!G59</f>
        <v/>
      </c>
      <c r="J59">
        <f>'Remediation Tracking'!J59</f>
        <v/>
      </c>
      <c r="K59">
        <f>'Remediation Tracking'!L59</f>
        <v/>
      </c>
      <c r="L59">
        <f>'Remediation Tracking'!K59</f>
        <v/>
      </c>
      <c r="M59" t="inlineStr">
        <is>
          <t>Medium</t>
        </is>
      </c>
      <c r="N59">
        <f>'Remediation Tracking'!M59</f>
        <v/>
      </c>
      <c r="O59" s="25">
        <f>IF(E59="", "", (IF(ISNUMBER(SEARCH("Critical",E59)),5,IF(ISNUMBER(SEARCH("High",E59)),4,IF(ISNUMBER(SEARCH("Medium",E59)),3,2)))*10) + (IF(ISNUMBER(SEARCH("Critical",J59)),5,IF(ISNUMBER(SEARCH("High",J59)),4,IF(ISNUMBER(SEARCH("Medium",J59)),3,2)))*8) + (IF(ISNUMBER(SEARCH("Very High",M59)),5,IF(ISNUMBER(SEARCH("Very Low",M59)),1,IF(ISNUMBER(SEARCH("High",M59)),4,IF(ISNUMBER(SEARCH("Medium",M59)),3,IF(ISNUMBER(SEARCH("Low",M59)),2,1)))))*6) + (IF(T59&lt;0, ABS(T59)/7*2, 0)))</f>
        <v/>
      </c>
      <c r="P59">
        <f>IF(O59="", "", IF(AND(ISNUMBER(SEARCH("Critical",E59)), OR(ISNUMBER(SEARCH("Critical",K59)),ISNUMBER(SEARCH("High",K59))), T59&lt;0), "P0 - Critical &amp; Urgent", IF(AND(ISNUMBER(SEARCH("Critical",E59)), OR(ISNUMBER(SEARCH("Critical",K59)),ISNUMBER(SEARCH("High",K59)))), "P1 - Critical", IF(OR(AND(ISNUMBER(SEARCH("High",E59)),ISNUMBER(SEARCH("High",K59))),AND(ISNUMBER(SEARCH("Critical",E59)),ISNUMBER(SEARCH("Medium",K59)))), "P2 - High Priority", IF(OR(AND(ISNUMBER(SEARCH("Medium",E59)),ISNUMBER(SEARCH("High",K59))),AND(ISNUMBER(SEARCH("High",E59)),ISNUMBER(SEARCH("Medium",K59)))), "P3 - Medium Priority", "P4 - Low Priority")))))</f>
        <v/>
      </c>
      <c r="Q59">
        <f>'Remediation Tracking'!S59</f>
        <v/>
      </c>
      <c r="R59">
        <f>'Remediation Tracking'!U59</f>
        <v/>
      </c>
      <c r="S59">
        <f>'Remediation Tracking'!Z59</f>
        <v/>
      </c>
      <c r="T59" s="22" t="n"/>
      <c r="U59">
        <f>'Remediation Tracking'!AE59</f>
        <v/>
      </c>
      <c r="V59">
        <f>'Remediation Tracking'!W59</f>
        <v/>
      </c>
      <c r="W59">
        <f>IF(AND(OR(R59="&lt;1 hour",R59="1-4 hours",R59="1 day"), OR(K59="Medium",K59="High",K59="Critical")), "Yes - Quick Win", "No")</f>
        <v/>
      </c>
    </row>
    <row r="60">
      <c r="A60">
        <f>IF(B60&lt;&gt;"", ROW()-2, "")</f>
        <v/>
      </c>
      <c r="B60">
        <f>'Remediation Tracking'!A60</f>
        <v/>
      </c>
      <c r="C60">
        <f>'Remediation Tracking'!D60</f>
        <v/>
      </c>
      <c r="D60">
        <f>'Remediation Tracking'!E60</f>
        <v/>
      </c>
      <c r="E60">
        <f>'Remediation Tracking'!F60</f>
        <v/>
      </c>
      <c r="F60">
        <f>'Remediation Tracking'!C60</f>
        <v/>
      </c>
      <c r="G60">
        <f>'Remediation Tracking'!H60</f>
        <v/>
      </c>
      <c r="H60">
        <f>'Remediation Tracking'!I60</f>
        <v/>
      </c>
      <c r="I60">
        <f>'Remediation Tracking'!G60</f>
        <v/>
      </c>
      <c r="J60">
        <f>'Remediation Tracking'!J60</f>
        <v/>
      </c>
      <c r="K60">
        <f>'Remediation Tracking'!L60</f>
        <v/>
      </c>
      <c r="L60">
        <f>'Remediation Tracking'!K60</f>
        <v/>
      </c>
      <c r="M60" t="inlineStr">
        <is>
          <t>Medium</t>
        </is>
      </c>
      <c r="N60">
        <f>'Remediation Tracking'!M60</f>
        <v/>
      </c>
      <c r="O60" s="25">
        <f>IF(E60="", "", (IF(ISNUMBER(SEARCH("Critical",E60)),5,IF(ISNUMBER(SEARCH("High",E60)),4,IF(ISNUMBER(SEARCH("Medium",E60)),3,2)))*10) + (IF(ISNUMBER(SEARCH("Critical",J60)),5,IF(ISNUMBER(SEARCH("High",J60)),4,IF(ISNUMBER(SEARCH("Medium",J60)),3,2)))*8) + (IF(ISNUMBER(SEARCH("Very High",M60)),5,IF(ISNUMBER(SEARCH("Very Low",M60)),1,IF(ISNUMBER(SEARCH("High",M60)),4,IF(ISNUMBER(SEARCH("Medium",M60)),3,IF(ISNUMBER(SEARCH("Low",M60)),2,1)))))*6) + (IF(T60&lt;0, ABS(T60)/7*2, 0)))</f>
        <v/>
      </c>
      <c r="P60">
        <f>IF(O60="", "", IF(AND(ISNUMBER(SEARCH("Critical",E60)), OR(ISNUMBER(SEARCH("Critical",K60)),ISNUMBER(SEARCH("High",K60))), T60&lt;0), "P0 - Critical &amp; Urgent", IF(AND(ISNUMBER(SEARCH("Critical",E60)), OR(ISNUMBER(SEARCH("Critical",K60)),ISNUMBER(SEARCH("High",K60)))), "P1 - Critical", IF(OR(AND(ISNUMBER(SEARCH("High",E60)),ISNUMBER(SEARCH("High",K60))),AND(ISNUMBER(SEARCH("Critical",E60)),ISNUMBER(SEARCH("Medium",K60)))), "P2 - High Priority", IF(OR(AND(ISNUMBER(SEARCH("Medium",E60)),ISNUMBER(SEARCH("High",K60))),AND(ISNUMBER(SEARCH("High",E60)),ISNUMBER(SEARCH("Medium",K60)))), "P3 - Medium Priority", "P4 - Low Priority")))))</f>
        <v/>
      </c>
      <c r="Q60">
        <f>'Remediation Tracking'!S60</f>
        <v/>
      </c>
      <c r="R60">
        <f>'Remediation Tracking'!U60</f>
        <v/>
      </c>
      <c r="S60">
        <f>'Remediation Tracking'!Z60</f>
        <v/>
      </c>
      <c r="T60" s="22" t="n"/>
      <c r="U60">
        <f>'Remediation Tracking'!AE60</f>
        <v/>
      </c>
      <c r="V60">
        <f>'Remediation Tracking'!W60</f>
        <v/>
      </c>
      <c r="W60">
        <f>IF(AND(OR(R60="&lt;1 hour",R60="1-4 hours",R60="1 day"), OR(K60="Medium",K60="High",K60="Critical")), "Yes - Quick Win", "No")</f>
        <v/>
      </c>
    </row>
    <row r="61">
      <c r="A61">
        <f>IF(B61&lt;&gt;"", ROW()-2, "")</f>
        <v/>
      </c>
      <c r="B61">
        <f>'Remediation Tracking'!A61</f>
        <v/>
      </c>
      <c r="C61">
        <f>'Remediation Tracking'!D61</f>
        <v/>
      </c>
      <c r="D61">
        <f>'Remediation Tracking'!E61</f>
        <v/>
      </c>
      <c r="E61">
        <f>'Remediation Tracking'!F61</f>
        <v/>
      </c>
      <c r="F61">
        <f>'Remediation Tracking'!C61</f>
        <v/>
      </c>
      <c r="G61">
        <f>'Remediation Tracking'!H61</f>
        <v/>
      </c>
      <c r="H61">
        <f>'Remediation Tracking'!I61</f>
        <v/>
      </c>
      <c r="I61">
        <f>'Remediation Tracking'!G61</f>
        <v/>
      </c>
      <c r="J61">
        <f>'Remediation Tracking'!J61</f>
        <v/>
      </c>
      <c r="K61">
        <f>'Remediation Tracking'!L61</f>
        <v/>
      </c>
      <c r="L61">
        <f>'Remediation Tracking'!K61</f>
        <v/>
      </c>
      <c r="M61" t="inlineStr">
        <is>
          <t>Medium</t>
        </is>
      </c>
      <c r="N61">
        <f>'Remediation Tracking'!M61</f>
        <v/>
      </c>
      <c r="O61" s="25">
        <f>IF(E61="", "", (IF(ISNUMBER(SEARCH("Critical",E61)),5,IF(ISNUMBER(SEARCH("High",E61)),4,IF(ISNUMBER(SEARCH("Medium",E61)),3,2)))*10) + (IF(ISNUMBER(SEARCH("Critical",J61)),5,IF(ISNUMBER(SEARCH("High",J61)),4,IF(ISNUMBER(SEARCH("Medium",J61)),3,2)))*8) + (IF(ISNUMBER(SEARCH("Very High",M61)),5,IF(ISNUMBER(SEARCH("Very Low",M61)),1,IF(ISNUMBER(SEARCH("High",M61)),4,IF(ISNUMBER(SEARCH("Medium",M61)),3,IF(ISNUMBER(SEARCH("Low",M61)),2,1)))))*6) + (IF(T61&lt;0, ABS(T61)/7*2, 0)))</f>
        <v/>
      </c>
      <c r="P61">
        <f>IF(O61="", "", IF(AND(ISNUMBER(SEARCH("Critical",E61)), OR(ISNUMBER(SEARCH("Critical",K61)),ISNUMBER(SEARCH("High",K61))), T61&lt;0), "P0 - Critical &amp; Urgent", IF(AND(ISNUMBER(SEARCH("Critical",E61)), OR(ISNUMBER(SEARCH("Critical",K61)),ISNUMBER(SEARCH("High",K61)))), "P1 - Critical", IF(OR(AND(ISNUMBER(SEARCH("High",E61)),ISNUMBER(SEARCH("High",K61))),AND(ISNUMBER(SEARCH("Critical",E61)),ISNUMBER(SEARCH("Medium",K61)))), "P2 - High Priority", IF(OR(AND(ISNUMBER(SEARCH("Medium",E61)),ISNUMBER(SEARCH("High",K61))),AND(ISNUMBER(SEARCH("High",E61)),ISNUMBER(SEARCH("Medium",K61)))), "P3 - Medium Priority", "P4 - Low Priority")))))</f>
        <v/>
      </c>
      <c r="Q61">
        <f>'Remediation Tracking'!S61</f>
        <v/>
      </c>
      <c r="R61">
        <f>'Remediation Tracking'!U61</f>
        <v/>
      </c>
      <c r="S61">
        <f>'Remediation Tracking'!Z61</f>
        <v/>
      </c>
      <c r="T61" s="22" t="n"/>
      <c r="U61">
        <f>'Remediation Tracking'!AE61</f>
        <v/>
      </c>
      <c r="V61">
        <f>'Remediation Tracking'!W61</f>
        <v/>
      </c>
      <c r="W61">
        <f>IF(AND(OR(R61="&lt;1 hour",R61="1-4 hours",R61="1 day"), OR(K61="Medium",K61="High",K61="Critical")), "Yes - Quick Win", "No")</f>
        <v/>
      </c>
    </row>
    <row r="62">
      <c r="A62">
        <f>IF(B62&lt;&gt;"", ROW()-2, "")</f>
        <v/>
      </c>
      <c r="B62">
        <f>'Remediation Tracking'!A62</f>
        <v/>
      </c>
      <c r="C62">
        <f>'Remediation Tracking'!D62</f>
        <v/>
      </c>
      <c r="D62">
        <f>'Remediation Tracking'!E62</f>
        <v/>
      </c>
      <c r="E62">
        <f>'Remediation Tracking'!F62</f>
        <v/>
      </c>
      <c r="F62">
        <f>'Remediation Tracking'!C62</f>
        <v/>
      </c>
      <c r="G62">
        <f>'Remediation Tracking'!H62</f>
        <v/>
      </c>
      <c r="H62">
        <f>'Remediation Tracking'!I62</f>
        <v/>
      </c>
      <c r="I62">
        <f>'Remediation Tracking'!G62</f>
        <v/>
      </c>
      <c r="J62">
        <f>'Remediation Tracking'!J62</f>
        <v/>
      </c>
      <c r="K62">
        <f>'Remediation Tracking'!L62</f>
        <v/>
      </c>
      <c r="L62">
        <f>'Remediation Tracking'!K62</f>
        <v/>
      </c>
      <c r="M62" t="inlineStr">
        <is>
          <t>Medium</t>
        </is>
      </c>
      <c r="N62">
        <f>'Remediation Tracking'!M62</f>
        <v/>
      </c>
      <c r="O62" s="25">
        <f>IF(E62="", "", (IF(ISNUMBER(SEARCH("Critical",E62)),5,IF(ISNUMBER(SEARCH("High",E62)),4,IF(ISNUMBER(SEARCH("Medium",E62)),3,2)))*10) + (IF(ISNUMBER(SEARCH("Critical",J62)),5,IF(ISNUMBER(SEARCH("High",J62)),4,IF(ISNUMBER(SEARCH("Medium",J62)),3,2)))*8) + (IF(ISNUMBER(SEARCH("Very High",M62)),5,IF(ISNUMBER(SEARCH("Very Low",M62)),1,IF(ISNUMBER(SEARCH("High",M62)),4,IF(ISNUMBER(SEARCH("Medium",M62)),3,IF(ISNUMBER(SEARCH("Low",M62)),2,1)))))*6) + (IF(T62&lt;0, ABS(T62)/7*2, 0)))</f>
        <v/>
      </c>
      <c r="P62">
        <f>IF(O62="", "", IF(AND(ISNUMBER(SEARCH("Critical",E62)), OR(ISNUMBER(SEARCH("Critical",K62)),ISNUMBER(SEARCH("High",K62))), T62&lt;0), "P0 - Critical &amp; Urgent", IF(AND(ISNUMBER(SEARCH("Critical",E62)), OR(ISNUMBER(SEARCH("Critical",K62)),ISNUMBER(SEARCH("High",K62)))), "P1 - Critical", IF(OR(AND(ISNUMBER(SEARCH("High",E62)),ISNUMBER(SEARCH("High",K62))),AND(ISNUMBER(SEARCH("Critical",E62)),ISNUMBER(SEARCH("Medium",K62)))), "P2 - High Priority", IF(OR(AND(ISNUMBER(SEARCH("Medium",E62)),ISNUMBER(SEARCH("High",K62))),AND(ISNUMBER(SEARCH("High",E62)),ISNUMBER(SEARCH("Medium",K62)))), "P3 - Medium Priority", "P4 - Low Priority")))))</f>
        <v/>
      </c>
      <c r="Q62">
        <f>'Remediation Tracking'!S62</f>
        <v/>
      </c>
      <c r="R62">
        <f>'Remediation Tracking'!U62</f>
        <v/>
      </c>
      <c r="S62">
        <f>'Remediation Tracking'!Z62</f>
        <v/>
      </c>
      <c r="T62" s="22" t="n"/>
      <c r="U62">
        <f>'Remediation Tracking'!AE62</f>
        <v/>
      </c>
      <c r="V62">
        <f>'Remediation Tracking'!W62</f>
        <v/>
      </c>
      <c r="W62">
        <f>IF(AND(OR(R62="&lt;1 hour",R62="1-4 hours",R62="1 day"), OR(K62="Medium",K62="High",K62="Critical")), "Yes - Quick Win", "No")</f>
        <v/>
      </c>
    </row>
    <row r="63">
      <c r="A63">
        <f>IF(B63&lt;&gt;"", ROW()-2, "")</f>
        <v/>
      </c>
      <c r="B63">
        <f>'Remediation Tracking'!A63</f>
        <v/>
      </c>
      <c r="C63">
        <f>'Remediation Tracking'!D63</f>
        <v/>
      </c>
      <c r="D63">
        <f>'Remediation Tracking'!E63</f>
        <v/>
      </c>
      <c r="E63">
        <f>'Remediation Tracking'!F63</f>
        <v/>
      </c>
      <c r="F63">
        <f>'Remediation Tracking'!C63</f>
        <v/>
      </c>
      <c r="G63">
        <f>'Remediation Tracking'!H63</f>
        <v/>
      </c>
      <c r="H63">
        <f>'Remediation Tracking'!I63</f>
        <v/>
      </c>
      <c r="I63">
        <f>'Remediation Tracking'!G63</f>
        <v/>
      </c>
      <c r="J63">
        <f>'Remediation Tracking'!J63</f>
        <v/>
      </c>
      <c r="K63">
        <f>'Remediation Tracking'!L63</f>
        <v/>
      </c>
      <c r="L63">
        <f>'Remediation Tracking'!K63</f>
        <v/>
      </c>
      <c r="M63" t="inlineStr">
        <is>
          <t>Medium</t>
        </is>
      </c>
      <c r="N63">
        <f>'Remediation Tracking'!M63</f>
        <v/>
      </c>
      <c r="O63" s="25">
        <f>IF(E63="", "", (IF(ISNUMBER(SEARCH("Critical",E63)),5,IF(ISNUMBER(SEARCH("High",E63)),4,IF(ISNUMBER(SEARCH("Medium",E63)),3,2)))*10) + (IF(ISNUMBER(SEARCH("Critical",J63)),5,IF(ISNUMBER(SEARCH("High",J63)),4,IF(ISNUMBER(SEARCH("Medium",J63)),3,2)))*8) + (IF(ISNUMBER(SEARCH("Very High",M63)),5,IF(ISNUMBER(SEARCH("Very Low",M63)),1,IF(ISNUMBER(SEARCH("High",M63)),4,IF(ISNUMBER(SEARCH("Medium",M63)),3,IF(ISNUMBER(SEARCH("Low",M63)),2,1)))))*6) + (IF(T63&lt;0, ABS(T63)/7*2, 0)))</f>
        <v/>
      </c>
      <c r="P63">
        <f>IF(O63="", "", IF(AND(ISNUMBER(SEARCH("Critical",E63)), OR(ISNUMBER(SEARCH("Critical",K63)),ISNUMBER(SEARCH("High",K63))), T63&lt;0), "P0 - Critical &amp; Urgent", IF(AND(ISNUMBER(SEARCH("Critical",E63)), OR(ISNUMBER(SEARCH("Critical",K63)),ISNUMBER(SEARCH("High",K63)))), "P1 - Critical", IF(OR(AND(ISNUMBER(SEARCH("High",E63)),ISNUMBER(SEARCH("High",K63))),AND(ISNUMBER(SEARCH("Critical",E63)),ISNUMBER(SEARCH("Medium",K63)))), "P2 - High Priority", IF(OR(AND(ISNUMBER(SEARCH("Medium",E63)),ISNUMBER(SEARCH("High",K63))),AND(ISNUMBER(SEARCH("High",E63)),ISNUMBER(SEARCH("Medium",K63)))), "P3 - Medium Priority", "P4 - Low Priority")))))</f>
        <v/>
      </c>
      <c r="Q63">
        <f>'Remediation Tracking'!S63</f>
        <v/>
      </c>
      <c r="R63">
        <f>'Remediation Tracking'!U63</f>
        <v/>
      </c>
      <c r="S63">
        <f>'Remediation Tracking'!Z63</f>
        <v/>
      </c>
      <c r="T63" s="22" t="n"/>
      <c r="U63">
        <f>'Remediation Tracking'!AE63</f>
        <v/>
      </c>
      <c r="V63">
        <f>'Remediation Tracking'!W63</f>
        <v/>
      </c>
      <c r="W63">
        <f>IF(AND(OR(R63="&lt;1 hour",R63="1-4 hours",R63="1 day"), OR(K63="Medium",K63="High",K63="Critical")), "Yes - Quick Win", "No")</f>
        <v/>
      </c>
    </row>
    <row r="64">
      <c r="A64">
        <f>IF(B64&lt;&gt;"", ROW()-2, "")</f>
        <v/>
      </c>
      <c r="B64">
        <f>'Remediation Tracking'!A64</f>
        <v/>
      </c>
      <c r="C64">
        <f>'Remediation Tracking'!D64</f>
        <v/>
      </c>
      <c r="D64">
        <f>'Remediation Tracking'!E64</f>
        <v/>
      </c>
      <c r="E64">
        <f>'Remediation Tracking'!F64</f>
        <v/>
      </c>
      <c r="F64">
        <f>'Remediation Tracking'!C64</f>
        <v/>
      </c>
      <c r="G64">
        <f>'Remediation Tracking'!H64</f>
        <v/>
      </c>
      <c r="H64">
        <f>'Remediation Tracking'!I64</f>
        <v/>
      </c>
      <c r="I64">
        <f>'Remediation Tracking'!G64</f>
        <v/>
      </c>
      <c r="J64">
        <f>'Remediation Tracking'!J64</f>
        <v/>
      </c>
      <c r="K64">
        <f>'Remediation Tracking'!L64</f>
        <v/>
      </c>
      <c r="L64">
        <f>'Remediation Tracking'!K64</f>
        <v/>
      </c>
      <c r="M64" t="inlineStr">
        <is>
          <t>Medium</t>
        </is>
      </c>
      <c r="N64">
        <f>'Remediation Tracking'!M64</f>
        <v/>
      </c>
      <c r="O64" s="25">
        <f>IF(E64="", "", (IF(ISNUMBER(SEARCH("Critical",E64)),5,IF(ISNUMBER(SEARCH("High",E64)),4,IF(ISNUMBER(SEARCH("Medium",E64)),3,2)))*10) + (IF(ISNUMBER(SEARCH("Critical",J64)),5,IF(ISNUMBER(SEARCH("High",J64)),4,IF(ISNUMBER(SEARCH("Medium",J64)),3,2)))*8) + (IF(ISNUMBER(SEARCH("Very High",M64)),5,IF(ISNUMBER(SEARCH("Very Low",M64)),1,IF(ISNUMBER(SEARCH("High",M64)),4,IF(ISNUMBER(SEARCH("Medium",M64)),3,IF(ISNUMBER(SEARCH("Low",M64)),2,1)))))*6) + (IF(T64&lt;0, ABS(T64)/7*2, 0)))</f>
        <v/>
      </c>
      <c r="P64">
        <f>IF(O64="", "", IF(AND(ISNUMBER(SEARCH("Critical",E64)), OR(ISNUMBER(SEARCH("Critical",K64)),ISNUMBER(SEARCH("High",K64))), T64&lt;0), "P0 - Critical &amp; Urgent", IF(AND(ISNUMBER(SEARCH("Critical",E64)), OR(ISNUMBER(SEARCH("Critical",K64)),ISNUMBER(SEARCH("High",K64)))), "P1 - Critical", IF(OR(AND(ISNUMBER(SEARCH("High",E64)),ISNUMBER(SEARCH("High",K64))),AND(ISNUMBER(SEARCH("Critical",E64)),ISNUMBER(SEARCH("Medium",K64)))), "P2 - High Priority", IF(OR(AND(ISNUMBER(SEARCH("Medium",E64)),ISNUMBER(SEARCH("High",K64))),AND(ISNUMBER(SEARCH("High",E64)),ISNUMBER(SEARCH("Medium",K64)))), "P3 - Medium Priority", "P4 - Low Priority")))))</f>
        <v/>
      </c>
      <c r="Q64">
        <f>'Remediation Tracking'!S64</f>
        <v/>
      </c>
      <c r="R64">
        <f>'Remediation Tracking'!U64</f>
        <v/>
      </c>
      <c r="S64">
        <f>'Remediation Tracking'!Z64</f>
        <v/>
      </c>
      <c r="T64" s="22" t="n"/>
      <c r="U64">
        <f>'Remediation Tracking'!AE64</f>
        <v/>
      </c>
      <c r="V64">
        <f>'Remediation Tracking'!W64</f>
        <v/>
      </c>
      <c r="W64">
        <f>IF(AND(OR(R64="&lt;1 hour",R64="1-4 hours",R64="1 day"), OR(K64="Medium",K64="High",K64="Critical")), "Yes - Quick Win", "No")</f>
        <v/>
      </c>
    </row>
    <row r="65">
      <c r="A65">
        <f>IF(B65&lt;&gt;"", ROW()-2, "")</f>
        <v/>
      </c>
      <c r="B65">
        <f>'Remediation Tracking'!A65</f>
        <v/>
      </c>
      <c r="C65">
        <f>'Remediation Tracking'!D65</f>
        <v/>
      </c>
      <c r="D65">
        <f>'Remediation Tracking'!E65</f>
        <v/>
      </c>
      <c r="E65">
        <f>'Remediation Tracking'!F65</f>
        <v/>
      </c>
      <c r="F65">
        <f>'Remediation Tracking'!C65</f>
        <v/>
      </c>
      <c r="G65">
        <f>'Remediation Tracking'!H65</f>
        <v/>
      </c>
      <c r="H65">
        <f>'Remediation Tracking'!I65</f>
        <v/>
      </c>
      <c r="I65">
        <f>'Remediation Tracking'!G65</f>
        <v/>
      </c>
      <c r="J65">
        <f>'Remediation Tracking'!J65</f>
        <v/>
      </c>
      <c r="K65">
        <f>'Remediation Tracking'!L65</f>
        <v/>
      </c>
      <c r="L65">
        <f>'Remediation Tracking'!K65</f>
        <v/>
      </c>
      <c r="M65" t="inlineStr">
        <is>
          <t>Medium</t>
        </is>
      </c>
      <c r="N65">
        <f>'Remediation Tracking'!M65</f>
        <v/>
      </c>
      <c r="O65" s="25">
        <f>IF(E65="", "", (IF(ISNUMBER(SEARCH("Critical",E65)),5,IF(ISNUMBER(SEARCH("High",E65)),4,IF(ISNUMBER(SEARCH("Medium",E65)),3,2)))*10) + (IF(ISNUMBER(SEARCH("Critical",J65)),5,IF(ISNUMBER(SEARCH("High",J65)),4,IF(ISNUMBER(SEARCH("Medium",J65)),3,2)))*8) + (IF(ISNUMBER(SEARCH("Very High",M65)),5,IF(ISNUMBER(SEARCH("Very Low",M65)),1,IF(ISNUMBER(SEARCH("High",M65)),4,IF(ISNUMBER(SEARCH("Medium",M65)),3,IF(ISNUMBER(SEARCH("Low",M65)),2,1)))))*6) + (IF(T65&lt;0, ABS(T65)/7*2, 0)))</f>
        <v/>
      </c>
      <c r="P65">
        <f>IF(O65="", "", IF(AND(ISNUMBER(SEARCH("Critical",E65)), OR(ISNUMBER(SEARCH("Critical",K65)),ISNUMBER(SEARCH("High",K65))), T65&lt;0), "P0 - Critical &amp; Urgent", IF(AND(ISNUMBER(SEARCH("Critical",E65)), OR(ISNUMBER(SEARCH("Critical",K65)),ISNUMBER(SEARCH("High",K65)))), "P1 - Critical", IF(OR(AND(ISNUMBER(SEARCH("High",E65)),ISNUMBER(SEARCH("High",K65))),AND(ISNUMBER(SEARCH("Critical",E65)),ISNUMBER(SEARCH("Medium",K65)))), "P2 - High Priority", IF(OR(AND(ISNUMBER(SEARCH("Medium",E65)),ISNUMBER(SEARCH("High",K65))),AND(ISNUMBER(SEARCH("High",E65)),ISNUMBER(SEARCH("Medium",K65)))), "P3 - Medium Priority", "P4 - Low Priority")))))</f>
        <v/>
      </c>
      <c r="Q65">
        <f>'Remediation Tracking'!S65</f>
        <v/>
      </c>
      <c r="R65">
        <f>'Remediation Tracking'!U65</f>
        <v/>
      </c>
      <c r="S65">
        <f>'Remediation Tracking'!Z65</f>
        <v/>
      </c>
      <c r="T65" s="22" t="n"/>
      <c r="U65">
        <f>'Remediation Tracking'!AE65</f>
        <v/>
      </c>
      <c r="V65">
        <f>'Remediation Tracking'!W65</f>
        <v/>
      </c>
      <c r="W65">
        <f>IF(AND(OR(R65="&lt;1 hour",R65="1-4 hours",R65="1 day"), OR(K65="Medium",K65="High",K65="Critical")), "Yes - Quick Win", "No")</f>
        <v/>
      </c>
    </row>
    <row r="66">
      <c r="A66">
        <f>IF(B66&lt;&gt;"", ROW()-2, "")</f>
        <v/>
      </c>
      <c r="B66">
        <f>'Remediation Tracking'!A66</f>
        <v/>
      </c>
      <c r="C66">
        <f>'Remediation Tracking'!D66</f>
        <v/>
      </c>
      <c r="D66">
        <f>'Remediation Tracking'!E66</f>
        <v/>
      </c>
      <c r="E66">
        <f>'Remediation Tracking'!F66</f>
        <v/>
      </c>
      <c r="F66">
        <f>'Remediation Tracking'!C66</f>
        <v/>
      </c>
      <c r="G66">
        <f>'Remediation Tracking'!H66</f>
        <v/>
      </c>
      <c r="H66">
        <f>'Remediation Tracking'!I66</f>
        <v/>
      </c>
      <c r="I66">
        <f>'Remediation Tracking'!G66</f>
        <v/>
      </c>
      <c r="J66">
        <f>'Remediation Tracking'!J66</f>
        <v/>
      </c>
      <c r="K66">
        <f>'Remediation Tracking'!L66</f>
        <v/>
      </c>
      <c r="L66">
        <f>'Remediation Tracking'!K66</f>
        <v/>
      </c>
      <c r="M66" t="inlineStr">
        <is>
          <t>Medium</t>
        </is>
      </c>
      <c r="N66">
        <f>'Remediation Tracking'!M66</f>
        <v/>
      </c>
      <c r="O66" s="25">
        <f>IF(E66="", "", (IF(ISNUMBER(SEARCH("Critical",E66)),5,IF(ISNUMBER(SEARCH("High",E66)),4,IF(ISNUMBER(SEARCH("Medium",E66)),3,2)))*10) + (IF(ISNUMBER(SEARCH("Critical",J66)),5,IF(ISNUMBER(SEARCH("High",J66)),4,IF(ISNUMBER(SEARCH("Medium",J66)),3,2)))*8) + (IF(ISNUMBER(SEARCH("Very High",M66)),5,IF(ISNUMBER(SEARCH("Very Low",M66)),1,IF(ISNUMBER(SEARCH("High",M66)),4,IF(ISNUMBER(SEARCH("Medium",M66)),3,IF(ISNUMBER(SEARCH("Low",M66)),2,1)))))*6) + (IF(T66&lt;0, ABS(T66)/7*2, 0)))</f>
        <v/>
      </c>
      <c r="P66">
        <f>IF(O66="", "", IF(AND(ISNUMBER(SEARCH("Critical",E66)), OR(ISNUMBER(SEARCH("Critical",K66)),ISNUMBER(SEARCH("High",K66))), T66&lt;0), "P0 - Critical &amp; Urgent", IF(AND(ISNUMBER(SEARCH("Critical",E66)), OR(ISNUMBER(SEARCH("Critical",K66)),ISNUMBER(SEARCH("High",K66)))), "P1 - Critical", IF(OR(AND(ISNUMBER(SEARCH("High",E66)),ISNUMBER(SEARCH("High",K66))),AND(ISNUMBER(SEARCH("Critical",E66)),ISNUMBER(SEARCH("Medium",K66)))), "P2 - High Priority", IF(OR(AND(ISNUMBER(SEARCH("Medium",E66)),ISNUMBER(SEARCH("High",K66))),AND(ISNUMBER(SEARCH("High",E66)),ISNUMBER(SEARCH("Medium",K66)))), "P3 - Medium Priority", "P4 - Low Priority")))))</f>
        <v/>
      </c>
      <c r="Q66">
        <f>'Remediation Tracking'!S66</f>
        <v/>
      </c>
      <c r="R66">
        <f>'Remediation Tracking'!U66</f>
        <v/>
      </c>
      <c r="S66">
        <f>'Remediation Tracking'!Z66</f>
        <v/>
      </c>
      <c r="T66" s="22" t="n"/>
      <c r="U66">
        <f>'Remediation Tracking'!AE66</f>
        <v/>
      </c>
      <c r="V66">
        <f>'Remediation Tracking'!W66</f>
        <v/>
      </c>
      <c r="W66">
        <f>IF(AND(OR(R66="&lt;1 hour",R66="1-4 hours",R66="1 day"), OR(K66="Medium",K66="High",K66="Critical")), "Yes - Quick Win", "No")</f>
        <v/>
      </c>
    </row>
    <row r="67">
      <c r="A67">
        <f>IF(B67&lt;&gt;"", ROW()-2, "")</f>
        <v/>
      </c>
      <c r="B67">
        <f>'Remediation Tracking'!A67</f>
        <v/>
      </c>
      <c r="C67">
        <f>'Remediation Tracking'!D67</f>
        <v/>
      </c>
      <c r="D67">
        <f>'Remediation Tracking'!E67</f>
        <v/>
      </c>
      <c r="E67">
        <f>'Remediation Tracking'!F67</f>
        <v/>
      </c>
      <c r="F67">
        <f>'Remediation Tracking'!C67</f>
        <v/>
      </c>
      <c r="G67">
        <f>'Remediation Tracking'!H67</f>
        <v/>
      </c>
      <c r="H67">
        <f>'Remediation Tracking'!I67</f>
        <v/>
      </c>
      <c r="I67">
        <f>'Remediation Tracking'!G67</f>
        <v/>
      </c>
      <c r="J67">
        <f>'Remediation Tracking'!J67</f>
        <v/>
      </c>
      <c r="K67">
        <f>'Remediation Tracking'!L67</f>
        <v/>
      </c>
      <c r="L67">
        <f>'Remediation Tracking'!K67</f>
        <v/>
      </c>
      <c r="M67" t="inlineStr">
        <is>
          <t>Medium</t>
        </is>
      </c>
      <c r="N67">
        <f>'Remediation Tracking'!M67</f>
        <v/>
      </c>
      <c r="O67" s="25">
        <f>IF(E67="", "", (IF(ISNUMBER(SEARCH("Critical",E67)),5,IF(ISNUMBER(SEARCH("High",E67)),4,IF(ISNUMBER(SEARCH("Medium",E67)),3,2)))*10) + (IF(ISNUMBER(SEARCH("Critical",J67)),5,IF(ISNUMBER(SEARCH("High",J67)),4,IF(ISNUMBER(SEARCH("Medium",J67)),3,2)))*8) + (IF(ISNUMBER(SEARCH("Very High",M67)),5,IF(ISNUMBER(SEARCH("Very Low",M67)),1,IF(ISNUMBER(SEARCH("High",M67)),4,IF(ISNUMBER(SEARCH("Medium",M67)),3,IF(ISNUMBER(SEARCH("Low",M67)),2,1)))))*6) + (IF(T67&lt;0, ABS(T67)/7*2, 0)))</f>
        <v/>
      </c>
      <c r="P67">
        <f>IF(O67="", "", IF(AND(ISNUMBER(SEARCH("Critical",E67)), OR(ISNUMBER(SEARCH("Critical",K67)),ISNUMBER(SEARCH("High",K67))), T67&lt;0), "P0 - Critical &amp; Urgent", IF(AND(ISNUMBER(SEARCH("Critical",E67)), OR(ISNUMBER(SEARCH("Critical",K67)),ISNUMBER(SEARCH("High",K67)))), "P1 - Critical", IF(OR(AND(ISNUMBER(SEARCH("High",E67)),ISNUMBER(SEARCH("High",K67))),AND(ISNUMBER(SEARCH("Critical",E67)),ISNUMBER(SEARCH("Medium",K67)))), "P2 - High Priority", IF(OR(AND(ISNUMBER(SEARCH("Medium",E67)),ISNUMBER(SEARCH("High",K67))),AND(ISNUMBER(SEARCH("High",E67)),ISNUMBER(SEARCH("Medium",K67)))), "P3 - Medium Priority", "P4 - Low Priority")))))</f>
        <v/>
      </c>
      <c r="Q67">
        <f>'Remediation Tracking'!S67</f>
        <v/>
      </c>
      <c r="R67">
        <f>'Remediation Tracking'!U67</f>
        <v/>
      </c>
      <c r="S67">
        <f>'Remediation Tracking'!Z67</f>
        <v/>
      </c>
      <c r="T67" s="22" t="n"/>
      <c r="U67">
        <f>'Remediation Tracking'!AE67</f>
        <v/>
      </c>
      <c r="V67">
        <f>'Remediation Tracking'!W67</f>
        <v/>
      </c>
      <c r="W67">
        <f>IF(AND(OR(R67="&lt;1 hour",R67="1-4 hours",R67="1 day"), OR(K67="Medium",K67="High",K67="Critical")), "Yes - Quick Win", "No")</f>
        <v/>
      </c>
    </row>
    <row r="68">
      <c r="A68">
        <f>IF(B68&lt;&gt;"", ROW()-2, "")</f>
        <v/>
      </c>
      <c r="B68">
        <f>'Remediation Tracking'!A68</f>
        <v/>
      </c>
      <c r="C68">
        <f>'Remediation Tracking'!D68</f>
        <v/>
      </c>
      <c r="D68">
        <f>'Remediation Tracking'!E68</f>
        <v/>
      </c>
      <c r="E68">
        <f>'Remediation Tracking'!F68</f>
        <v/>
      </c>
      <c r="F68">
        <f>'Remediation Tracking'!C68</f>
        <v/>
      </c>
      <c r="G68">
        <f>'Remediation Tracking'!H68</f>
        <v/>
      </c>
      <c r="H68">
        <f>'Remediation Tracking'!I68</f>
        <v/>
      </c>
      <c r="I68">
        <f>'Remediation Tracking'!G68</f>
        <v/>
      </c>
      <c r="J68">
        <f>'Remediation Tracking'!J68</f>
        <v/>
      </c>
      <c r="K68">
        <f>'Remediation Tracking'!L68</f>
        <v/>
      </c>
      <c r="L68">
        <f>'Remediation Tracking'!K68</f>
        <v/>
      </c>
      <c r="M68" t="inlineStr">
        <is>
          <t>Medium</t>
        </is>
      </c>
      <c r="N68">
        <f>'Remediation Tracking'!M68</f>
        <v/>
      </c>
      <c r="O68" s="25">
        <f>IF(E68="", "", (IF(ISNUMBER(SEARCH("Critical",E68)),5,IF(ISNUMBER(SEARCH("High",E68)),4,IF(ISNUMBER(SEARCH("Medium",E68)),3,2)))*10) + (IF(ISNUMBER(SEARCH("Critical",J68)),5,IF(ISNUMBER(SEARCH("High",J68)),4,IF(ISNUMBER(SEARCH("Medium",J68)),3,2)))*8) + (IF(ISNUMBER(SEARCH("Very High",M68)),5,IF(ISNUMBER(SEARCH("Very Low",M68)),1,IF(ISNUMBER(SEARCH("High",M68)),4,IF(ISNUMBER(SEARCH("Medium",M68)),3,IF(ISNUMBER(SEARCH("Low",M68)),2,1)))))*6) + (IF(T68&lt;0, ABS(T68)/7*2, 0)))</f>
        <v/>
      </c>
      <c r="P68">
        <f>IF(O68="", "", IF(AND(ISNUMBER(SEARCH("Critical",E68)), OR(ISNUMBER(SEARCH("Critical",K68)),ISNUMBER(SEARCH("High",K68))), T68&lt;0), "P0 - Critical &amp; Urgent", IF(AND(ISNUMBER(SEARCH("Critical",E68)), OR(ISNUMBER(SEARCH("Critical",K68)),ISNUMBER(SEARCH("High",K68)))), "P1 - Critical", IF(OR(AND(ISNUMBER(SEARCH("High",E68)),ISNUMBER(SEARCH("High",K68))),AND(ISNUMBER(SEARCH("Critical",E68)),ISNUMBER(SEARCH("Medium",K68)))), "P2 - High Priority", IF(OR(AND(ISNUMBER(SEARCH("Medium",E68)),ISNUMBER(SEARCH("High",K68))),AND(ISNUMBER(SEARCH("High",E68)),ISNUMBER(SEARCH("Medium",K68)))), "P3 - Medium Priority", "P4 - Low Priority")))))</f>
        <v/>
      </c>
      <c r="Q68">
        <f>'Remediation Tracking'!S68</f>
        <v/>
      </c>
      <c r="R68">
        <f>'Remediation Tracking'!U68</f>
        <v/>
      </c>
      <c r="S68">
        <f>'Remediation Tracking'!Z68</f>
        <v/>
      </c>
      <c r="T68" s="22" t="n"/>
      <c r="U68">
        <f>'Remediation Tracking'!AE68</f>
        <v/>
      </c>
      <c r="V68">
        <f>'Remediation Tracking'!W68</f>
        <v/>
      </c>
      <c r="W68">
        <f>IF(AND(OR(R68="&lt;1 hour",R68="1-4 hours",R68="1 day"), OR(K68="Medium",K68="High",K68="Critical")), "Yes - Quick Win", "No")</f>
        <v/>
      </c>
    </row>
    <row r="69">
      <c r="A69">
        <f>IF(B69&lt;&gt;"", ROW()-2, "")</f>
        <v/>
      </c>
      <c r="B69">
        <f>'Remediation Tracking'!A69</f>
        <v/>
      </c>
      <c r="C69">
        <f>'Remediation Tracking'!D69</f>
        <v/>
      </c>
      <c r="D69">
        <f>'Remediation Tracking'!E69</f>
        <v/>
      </c>
      <c r="E69">
        <f>'Remediation Tracking'!F69</f>
        <v/>
      </c>
      <c r="F69">
        <f>'Remediation Tracking'!C69</f>
        <v/>
      </c>
      <c r="G69">
        <f>'Remediation Tracking'!H69</f>
        <v/>
      </c>
      <c r="H69">
        <f>'Remediation Tracking'!I69</f>
        <v/>
      </c>
      <c r="I69">
        <f>'Remediation Tracking'!G69</f>
        <v/>
      </c>
      <c r="J69">
        <f>'Remediation Tracking'!J69</f>
        <v/>
      </c>
      <c r="K69">
        <f>'Remediation Tracking'!L69</f>
        <v/>
      </c>
      <c r="L69">
        <f>'Remediation Tracking'!K69</f>
        <v/>
      </c>
      <c r="M69" t="inlineStr">
        <is>
          <t>Medium</t>
        </is>
      </c>
      <c r="N69">
        <f>'Remediation Tracking'!M69</f>
        <v/>
      </c>
      <c r="O69" s="25">
        <f>IF(E69="", "", (IF(ISNUMBER(SEARCH("Critical",E69)),5,IF(ISNUMBER(SEARCH("High",E69)),4,IF(ISNUMBER(SEARCH("Medium",E69)),3,2)))*10) + (IF(ISNUMBER(SEARCH("Critical",J69)),5,IF(ISNUMBER(SEARCH("High",J69)),4,IF(ISNUMBER(SEARCH("Medium",J69)),3,2)))*8) + (IF(ISNUMBER(SEARCH("Very High",M69)),5,IF(ISNUMBER(SEARCH("Very Low",M69)),1,IF(ISNUMBER(SEARCH("High",M69)),4,IF(ISNUMBER(SEARCH("Medium",M69)),3,IF(ISNUMBER(SEARCH("Low",M69)),2,1)))))*6) + (IF(T69&lt;0, ABS(T69)/7*2, 0)))</f>
        <v/>
      </c>
      <c r="P69">
        <f>IF(O69="", "", IF(AND(ISNUMBER(SEARCH("Critical",E69)), OR(ISNUMBER(SEARCH("Critical",K69)),ISNUMBER(SEARCH("High",K69))), T69&lt;0), "P0 - Critical &amp; Urgent", IF(AND(ISNUMBER(SEARCH("Critical",E69)), OR(ISNUMBER(SEARCH("Critical",K69)),ISNUMBER(SEARCH("High",K69)))), "P1 - Critical", IF(OR(AND(ISNUMBER(SEARCH("High",E69)),ISNUMBER(SEARCH("High",K69))),AND(ISNUMBER(SEARCH("Critical",E69)),ISNUMBER(SEARCH("Medium",K69)))), "P2 - High Priority", IF(OR(AND(ISNUMBER(SEARCH("Medium",E69)),ISNUMBER(SEARCH("High",K69))),AND(ISNUMBER(SEARCH("High",E69)),ISNUMBER(SEARCH("Medium",K69)))), "P3 - Medium Priority", "P4 - Low Priority")))))</f>
        <v/>
      </c>
      <c r="Q69">
        <f>'Remediation Tracking'!S69</f>
        <v/>
      </c>
      <c r="R69">
        <f>'Remediation Tracking'!U69</f>
        <v/>
      </c>
      <c r="S69">
        <f>'Remediation Tracking'!Z69</f>
        <v/>
      </c>
      <c r="T69" s="22" t="n"/>
      <c r="U69">
        <f>'Remediation Tracking'!AE69</f>
        <v/>
      </c>
      <c r="V69">
        <f>'Remediation Tracking'!W69</f>
        <v/>
      </c>
      <c r="W69">
        <f>IF(AND(OR(R69="&lt;1 hour",R69="1-4 hours",R69="1 day"), OR(K69="Medium",K69="High",K69="Critical")), "Yes - Quick Win", "No")</f>
        <v/>
      </c>
    </row>
    <row r="70">
      <c r="A70">
        <f>IF(B70&lt;&gt;"", ROW()-2, "")</f>
        <v/>
      </c>
      <c r="B70">
        <f>'Remediation Tracking'!A70</f>
        <v/>
      </c>
      <c r="C70">
        <f>'Remediation Tracking'!D70</f>
        <v/>
      </c>
      <c r="D70">
        <f>'Remediation Tracking'!E70</f>
        <v/>
      </c>
      <c r="E70">
        <f>'Remediation Tracking'!F70</f>
        <v/>
      </c>
      <c r="F70">
        <f>'Remediation Tracking'!C70</f>
        <v/>
      </c>
      <c r="G70">
        <f>'Remediation Tracking'!H70</f>
        <v/>
      </c>
      <c r="H70">
        <f>'Remediation Tracking'!I70</f>
        <v/>
      </c>
      <c r="I70">
        <f>'Remediation Tracking'!G70</f>
        <v/>
      </c>
      <c r="J70">
        <f>'Remediation Tracking'!J70</f>
        <v/>
      </c>
      <c r="K70">
        <f>'Remediation Tracking'!L70</f>
        <v/>
      </c>
      <c r="L70">
        <f>'Remediation Tracking'!K70</f>
        <v/>
      </c>
      <c r="M70" t="inlineStr">
        <is>
          <t>Medium</t>
        </is>
      </c>
      <c r="N70">
        <f>'Remediation Tracking'!M70</f>
        <v/>
      </c>
      <c r="O70" s="25">
        <f>IF(E70="", "", (IF(ISNUMBER(SEARCH("Critical",E70)),5,IF(ISNUMBER(SEARCH("High",E70)),4,IF(ISNUMBER(SEARCH("Medium",E70)),3,2)))*10) + (IF(ISNUMBER(SEARCH("Critical",J70)),5,IF(ISNUMBER(SEARCH("High",J70)),4,IF(ISNUMBER(SEARCH("Medium",J70)),3,2)))*8) + (IF(ISNUMBER(SEARCH("Very High",M70)),5,IF(ISNUMBER(SEARCH("Very Low",M70)),1,IF(ISNUMBER(SEARCH("High",M70)),4,IF(ISNUMBER(SEARCH("Medium",M70)),3,IF(ISNUMBER(SEARCH("Low",M70)),2,1)))))*6) + (IF(T70&lt;0, ABS(T70)/7*2, 0)))</f>
        <v/>
      </c>
      <c r="P70">
        <f>IF(O70="", "", IF(AND(ISNUMBER(SEARCH("Critical",E70)), OR(ISNUMBER(SEARCH("Critical",K70)),ISNUMBER(SEARCH("High",K70))), T70&lt;0), "P0 - Critical &amp; Urgent", IF(AND(ISNUMBER(SEARCH("Critical",E70)), OR(ISNUMBER(SEARCH("Critical",K70)),ISNUMBER(SEARCH("High",K70)))), "P1 - Critical", IF(OR(AND(ISNUMBER(SEARCH("High",E70)),ISNUMBER(SEARCH("High",K70))),AND(ISNUMBER(SEARCH("Critical",E70)),ISNUMBER(SEARCH("Medium",K70)))), "P2 - High Priority", IF(OR(AND(ISNUMBER(SEARCH("Medium",E70)),ISNUMBER(SEARCH("High",K70))),AND(ISNUMBER(SEARCH("High",E70)),ISNUMBER(SEARCH("Medium",K70)))), "P3 - Medium Priority", "P4 - Low Priority")))))</f>
        <v/>
      </c>
      <c r="Q70">
        <f>'Remediation Tracking'!S70</f>
        <v/>
      </c>
      <c r="R70">
        <f>'Remediation Tracking'!U70</f>
        <v/>
      </c>
      <c r="S70">
        <f>'Remediation Tracking'!Z70</f>
        <v/>
      </c>
      <c r="T70" s="22" t="n"/>
      <c r="U70">
        <f>'Remediation Tracking'!AE70</f>
        <v/>
      </c>
      <c r="V70">
        <f>'Remediation Tracking'!W70</f>
        <v/>
      </c>
      <c r="W70">
        <f>IF(AND(OR(R70="&lt;1 hour",R70="1-4 hours",R70="1 day"), OR(K70="Medium",K70="High",K70="Critical")), "Yes - Quick Win", "No")</f>
        <v/>
      </c>
    </row>
    <row r="71">
      <c r="A71">
        <f>IF(B71&lt;&gt;"", ROW()-2, "")</f>
        <v/>
      </c>
      <c r="B71">
        <f>'Remediation Tracking'!A71</f>
        <v/>
      </c>
      <c r="C71">
        <f>'Remediation Tracking'!D71</f>
        <v/>
      </c>
      <c r="D71">
        <f>'Remediation Tracking'!E71</f>
        <v/>
      </c>
      <c r="E71">
        <f>'Remediation Tracking'!F71</f>
        <v/>
      </c>
      <c r="F71">
        <f>'Remediation Tracking'!C71</f>
        <v/>
      </c>
      <c r="G71">
        <f>'Remediation Tracking'!H71</f>
        <v/>
      </c>
      <c r="H71">
        <f>'Remediation Tracking'!I71</f>
        <v/>
      </c>
      <c r="I71">
        <f>'Remediation Tracking'!G71</f>
        <v/>
      </c>
      <c r="J71">
        <f>'Remediation Tracking'!J71</f>
        <v/>
      </c>
      <c r="K71">
        <f>'Remediation Tracking'!L71</f>
        <v/>
      </c>
      <c r="L71">
        <f>'Remediation Tracking'!K71</f>
        <v/>
      </c>
      <c r="M71" t="inlineStr">
        <is>
          <t>Medium</t>
        </is>
      </c>
      <c r="N71">
        <f>'Remediation Tracking'!M71</f>
        <v/>
      </c>
      <c r="O71" s="25">
        <f>IF(E71="", "", (IF(ISNUMBER(SEARCH("Critical",E71)),5,IF(ISNUMBER(SEARCH("High",E71)),4,IF(ISNUMBER(SEARCH("Medium",E71)),3,2)))*10) + (IF(ISNUMBER(SEARCH("Critical",J71)),5,IF(ISNUMBER(SEARCH("High",J71)),4,IF(ISNUMBER(SEARCH("Medium",J71)),3,2)))*8) + (IF(ISNUMBER(SEARCH("Very High",M71)),5,IF(ISNUMBER(SEARCH("Very Low",M71)),1,IF(ISNUMBER(SEARCH("High",M71)),4,IF(ISNUMBER(SEARCH("Medium",M71)),3,IF(ISNUMBER(SEARCH("Low",M71)),2,1)))))*6) + (IF(T71&lt;0, ABS(T71)/7*2, 0)))</f>
        <v/>
      </c>
      <c r="P71">
        <f>IF(O71="", "", IF(AND(ISNUMBER(SEARCH("Critical",E71)), OR(ISNUMBER(SEARCH("Critical",K71)),ISNUMBER(SEARCH("High",K71))), T71&lt;0), "P0 - Critical &amp; Urgent", IF(AND(ISNUMBER(SEARCH("Critical",E71)), OR(ISNUMBER(SEARCH("Critical",K71)),ISNUMBER(SEARCH("High",K71)))), "P1 - Critical", IF(OR(AND(ISNUMBER(SEARCH("High",E71)),ISNUMBER(SEARCH("High",K71))),AND(ISNUMBER(SEARCH("Critical",E71)),ISNUMBER(SEARCH("Medium",K71)))), "P2 - High Priority", IF(OR(AND(ISNUMBER(SEARCH("Medium",E71)),ISNUMBER(SEARCH("High",K71))),AND(ISNUMBER(SEARCH("High",E71)),ISNUMBER(SEARCH("Medium",K71)))), "P3 - Medium Priority", "P4 - Low Priority")))))</f>
        <v/>
      </c>
      <c r="Q71">
        <f>'Remediation Tracking'!S71</f>
        <v/>
      </c>
      <c r="R71">
        <f>'Remediation Tracking'!U71</f>
        <v/>
      </c>
      <c r="S71">
        <f>'Remediation Tracking'!Z71</f>
        <v/>
      </c>
      <c r="T71" s="22" t="n"/>
      <c r="U71">
        <f>'Remediation Tracking'!AE71</f>
        <v/>
      </c>
      <c r="V71">
        <f>'Remediation Tracking'!W71</f>
        <v/>
      </c>
      <c r="W71">
        <f>IF(AND(OR(R71="&lt;1 hour",R71="1-4 hours",R71="1 day"), OR(K71="Medium",K71="High",K71="Critical")), "Yes - Quick Win", "No")</f>
        <v/>
      </c>
    </row>
    <row r="72">
      <c r="A72">
        <f>IF(B72&lt;&gt;"", ROW()-2, "")</f>
        <v/>
      </c>
      <c r="B72">
        <f>'Remediation Tracking'!A72</f>
        <v/>
      </c>
      <c r="C72">
        <f>'Remediation Tracking'!D72</f>
        <v/>
      </c>
      <c r="D72">
        <f>'Remediation Tracking'!E72</f>
        <v/>
      </c>
      <c r="E72">
        <f>'Remediation Tracking'!F72</f>
        <v/>
      </c>
      <c r="F72">
        <f>'Remediation Tracking'!C72</f>
        <v/>
      </c>
      <c r="G72">
        <f>'Remediation Tracking'!H72</f>
        <v/>
      </c>
      <c r="H72">
        <f>'Remediation Tracking'!I72</f>
        <v/>
      </c>
      <c r="I72">
        <f>'Remediation Tracking'!G72</f>
        <v/>
      </c>
      <c r="J72">
        <f>'Remediation Tracking'!J72</f>
        <v/>
      </c>
      <c r="K72">
        <f>'Remediation Tracking'!L72</f>
        <v/>
      </c>
      <c r="L72">
        <f>'Remediation Tracking'!K72</f>
        <v/>
      </c>
      <c r="M72" t="inlineStr">
        <is>
          <t>Medium</t>
        </is>
      </c>
      <c r="N72">
        <f>'Remediation Tracking'!M72</f>
        <v/>
      </c>
      <c r="O72" s="25">
        <f>IF(E72="", "", (IF(ISNUMBER(SEARCH("Critical",E72)),5,IF(ISNUMBER(SEARCH("High",E72)),4,IF(ISNUMBER(SEARCH("Medium",E72)),3,2)))*10) + (IF(ISNUMBER(SEARCH("Critical",J72)),5,IF(ISNUMBER(SEARCH("High",J72)),4,IF(ISNUMBER(SEARCH("Medium",J72)),3,2)))*8) + (IF(ISNUMBER(SEARCH("Very High",M72)),5,IF(ISNUMBER(SEARCH("Very Low",M72)),1,IF(ISNUMBER(SEARCH("High",M72)),4,IF(ISNUMBER(SEARCH("Medium",M72)),3,IF(ISNUMBER(SEARCH("Low",M72)),2,1)))))*6) + (IF(T72&lt;0, ABS(T72)/7*2, 0)))</f>
        <v/>
      </c>
      <c r="P72">
        <f>IF(O72="", "", IF(AND(ISNUMBER(SEARCH("Critical",E72)), OR(ISNUMBER(SEARCH("Critical",K72)),ISNUMBER(SEARCH("High",K72))), T72&lt;0), "P0 - Critical &amp; Urgent", IF(AND(ISNUMBER(SEARCH("Critical",E72)), OR(ISNUMBER(SEARCH("Critical",K72)),ISNUMBER(SEARCH("High",K72)))), "P1 - Critical", IF(OR(AND(ISNUMBER(SEARCH("High",E72)),ISNUMBER(SEARCH("High",K72))),AND(ISNUMBER(SEARCH("Critical",E72)),ISNUMBER(SEARCH("Medium",K72)))), "P2 - High Priority", IF(OR(AND(ISNUMBER(SEARCH("Medium",E72)),ISNUMBER(SEARCH("High",K72))),AND(ISNUMBER(SEARCH("High",E72)),ISNUMBER(SEARCH("Medium",K72)))), "P3 - Medium Priority", "P4 - Low Priority")))))</f>
        <v/>
      </c>
      <c r="Q72">
        <f>'Remediation Tracking'!S72</f>
        <v/>
      </c>
      <c r="R72">
        <f>'Remediation Tracking'!U72</f>
        <v/>
      </c>
      <c r="S72">
        <f>'Remediation Tracking'!Z72</f>
        <v/>
      </c>
      <c r="T72" s="22" t="n"/>
      <c r="U72">
        <f>'Remediation Tracking'!AE72</f>
        <v/>
      </c>
      <c r="V72">
        <f>'Remediation Tracking'!W72</f>
        <v/>
      </c>
      <c r="W72">
        <f>IF(AND(OR(R72="&lt;1 hour",R72="1-4 hours",R72="1 day"), OR(K72="Medium",K72="High",K72="Critical")), "Yes - Quick Win", "No")</f>
        <v/>
      </c>
    </row>
    <row r="73">
      <c r="A73">
        <f>IF(B73&lt;&gt;"", ROW()-2, "")</f>
        <v/>
      </c>
      <c r="B73">
        <f>'Remediation Tracking'!A73</f>
        <v/>
      </c>
      <c r="C73">
        <f>'Remediation Tracking'!D73</f>
        <v/>
      </c>
      <c r="D73">
        <f>'Remediation Tracking'!E73</f>
        <v/>
      </c>
      <c r="E73">
        <f>'Remediation Tracking'!F73</f>
        <v/>
      </c>
      <c r="F73">
        <f>'Remediation Tracking'!C73</f>
        <v/>
      </c>
      <c r="G73">
        <f>'Remediation Tracking'!H73</f>
        <v/>
      </c>
      <c r="H73">
        <f>'Remediation Tracking'!I73</f>
        <v/>
      </c>
      <c r="I73">
        <f>'Remediation Tracking'!G73</f>
        <v/>
      </c>
      <c r="J73">
        <f>'Remediation Tracking'!J73</f>
        <v/>
      </c>
      <c r="K73">
        <f>'Remediation Tracking'!L73</f>
        <v/>
      </c>
      <c r="L73">
        <f>'Remediation Tracking'!K73</f>
        <v/>
      </c>
      <c r="M73" t="inlineStr">
        <is>
          <t>Medium</t>
        </is>
      </c>
      <c r="N73">
        <f>'Remediation Tracking'!M73</f>
        <v/>
      </c>
      <c r="O73" s="25">
        <f>IF(E73="", "", (IF(ISNUMBER(SEARCH("Critical",E73)),5,IF(ISNUMBER(SEARCH("High",E73)),4,IF(ISNUMBER(SEARCH("Medium",E73)),3,2)))*10) + (IF(ISNUMBER(SEARCH("Critical",J73)),5,IF(ISNUMBER(SEARCH("High",J73)),4,IF(ISNUMBER(SEARCH("Medium",J73)),3,2)))*8) + (IF(ISNUMBER(SEARCH("Very High",M73)),5,IF(ISNUMBER(SEARCH("Very Low",M73)),1,IF(ISNUMBER(SEARCH("High",M73)),4,IF(ISNUMBER(SEARCH("Medium",M73)),3,IF(ISNUMBER(SEARCH("Low",M73)),2,1)))))*6) + (IF(T73&lt;0, ABS(T73)/7*2, 0)))</f>
        <v/>
      </c>
      <c r="P73">
        <f>IF(O73="", "", IF(AND(ISNUMBER(SEARCH("Critical",E73)), OR(ISNUMBER(SEARCH("Critical",K73)),ISNUMBER(SEARCH("High",K73))), T73&lt;0), "P0 - Critical &amp; Urgent", IF(AND(ISNUMBER(SEARCH("Critical",E73)), OR(ISNUMBER(SEARCH("Critical",K73)),ISNUMBER(SEARCH("High",K73)))), "P1 - Critical", IF(OR(AND(ISNUMBER(SEARCH("High",E73)),ISNUMBER(SEARCH("High",K73))),AND(ISNUMBER(SEARCH("Critical",E73)),ISNUMBER(SEARCH("Medium",K73)))), "P2 - High Priority", IF(OR(AND(ISNUMBER(SEARCH("Medium",E73)),ISNUMBER(SEARCH("High",K73))),AND(ISNUMBER(SEARCH("High",E73)),ISNUMBER(SEARCH("Medium",K73)))), "P3 - Medium Priority", "P4 - Low Priority")))))</f>
        <v/>
      </c>
      <c r="Q73">
        <f>'Remediation Tracking'!S73</f>
        <v/>
      </c>
      <c r="R73">
        <f>'Remediation Tracking'!U73</f>
        <v/>
      </c>
      <c r="S73">
        <f>'Remediation Tracking'!Z73</f>
        <v/>
      </c>
      <c r="T73" s="22" t="n"/>
      <c r="U73">
        <f>'Remediation Tracking'!AE73</f>
        <v/>
      </c>
      <c r="V73">
        <f>'Remediation Tracking'!W73</f>
        <v/>
      </c>
      <c r="W73">
        <f>IF(AND(OR(R73="&lt;1 hour",R73="1-4 hours",R73="1 day"), OR(K73="Medium",K73="High",K73="Critical")), "Yes - Quick Win", "No")</f>
        <v/>
      </c>
    </row>
    <row r="74">
      <c r="A74">
        <f>IF(B74&lt;&gt;"", ROW()-2, "")</f>
        <v/>
      </c>
      <c r="B74">
        <f>'Remediation Tracking'!A74</f>
        <v/>
      </c>
      <c r="C74">
        <f>'Remediation Tracking'!D74</f>
        <v/>
      </c>
      <c r="D74">
        <f>'Remediation Tracking'!E74</f>
        <v/>
      </c>
      <c r="E74">
        <f>'Remediation Tracking'!F74</f>
        <v/>
      </c>
      <c r="F74">
        <f>'Remediation Tracking'!C74</f>
        <v/>
      </c>
      <c r="G74">
        <f>'Remediation Tracking'!H74</f>
        <v/>
      </c>
      <c r="H74">
        <f>'Remediation Tracking'!I74</f>
        <v/>
      </c>
      <c r="I74">
        <f>'Remediation Tracking'!G74</f>
        <v/>
      </c>
      <c r="J74">
        <f>'Remediation Tracking'!J74</f>
        <v/>
      </c>
      <c r="K74">
        <f>'Remediation Tracking'!L74</f>
        <v/>
      </c>
      <c r="L74">
        <f>'Remediation Tracking'!K74</f>
        <v/>
      </c>
      <c r="M74" t="inlineStr">
        <is>
          <t>Medium</t>
        </is>
      </c>
      <c r="N74">
        <f>'Remediation Tracking'!M74</f>
        <v/>
      </c>
      <c r="O74" s="25">
        <f>IF(E74="", "", (IF(ISNUMBER(SEARCH("Critical",E74)),5,IF(ISNUMBER(SEARCH("High",E74)),4,IF(ISNUMBER(SEARCH("Medium",E74)),3,2)))*10) + (IF(ISNUMBER(SEARCH("Critical",J74)),5,IF(ISNUMBER(SEARCH("High",J74)),4,IF(ISNUMBER(SEARCH("Medium",J74)),3,2)))*8) + (IF(ISNUMBER(SEARCH("Very High",M74)),5,IF(ISNUMBER(SEARCH("Very Low",M74)),1,IF(ISNUMBER(SEARCH("High",M74)),4,IF(ISNUMBER(SEARCH("Medium",M74)),3,IF(ISNUMBER(SEARCH("Low",M74)),2,1)))))*6) + (IF(T74&lt;0, ABS(T74)/7*2, 0)))</f>
        <v/>
      </c>
      <c r="P74">
        <f>IF(O74="", "", IF(AND(ISNUMBER(SEARCH("Critical",E74)), OR(ISNUMBER(SEARCH("Critical",K74)),ISNUMBER(SEARCH("High",K74))), T74&lt;0), "P0 - Critical &amp; Urgent", IF(AND(ISNUMBER(SEARCH("Critical",E74)), OR(ISNUMBER(SEARCH("Critical",K74)),ISNUMBER(SEARCH("High",K74)))), "P1 - Critical", IF(OR(AND(ISNUMBER(SEARCH("High",E74)),ISNUMBER(SEARCH("High",K74))),AND(ISNUMBER(SEARCH("Critical",E74)),ISNUMBER(SEARCH("Medium",K74)))), "P2 - High Priority", IF(OR(AND(ISNUMBER(SEARCH("Medium",E74)),ISNUMBER(SEARCH("High",K74))),AND(ISNUMBER(SEARCH("High",E74)),ISNUMBER(SEARCH("Medium",K74)))), "P3 - Medium Priority", "P4 - Low Priority")))))</f>
        <v/>
      </c>
      <c r="Q74">
        <f>'Remediation Tracking'!S74</f>
        <v/>
      </c>
      <c r="R74">
        <f>'Remediation Tracking'!U74</f>
        <v/>
      </c>
      <c r="S74">
        <f>'Remediation Tracking'!Z74</f>
        <v/>
      </c>
      <c r="T74" s="22" t="n"/>
      <c r="U74">
        <f>'Remediation Tracking'!AE74</f>
        <v/>
      </c>
      <c r="V74">
        <f>'Remediation Tracking'!W74</f>
        <v/>
      </c>
      <c r="W74">
        <f>IF(AND(OR(R74="&lt;1 hour",R74="1-4 hours",R74="1 day"), OR(K74="Medium",K74="High",K74="Critical")), "Yes - Quick Win", "No")</f>
        <v/>
      </c>
    </row>
    <row r="75">
      <c r="A75">
        <f>IF(B75&lt;&gt;"", ROW()-2, "")</f>
        <v/>
      </c>
      <c r="B75">
        <f>'Remediation Tracking'!A75</f>
        <v/>
      </c>
      <c r="C75">
        <f>'Remediation Tracking'!D75</f>
        <v/>
      </c>
      <c r="D75">
        <f>'Remediation Tracking'!E75</f>
        <v/>
      </c>
      <c r="E75">
        <f>'Remediation Tracking'!F75</f>
        <v/>
      </c>
      <c r="F75">
        <f>'Remediation Tracking'!C75</f>
        <v/>
      </c>
      <c r="G75">
        <f>'Remediation Tracking'!H75</f>
        <v/>
      </c>
      <c r="H75">
        <f>'Remediation Tracking'!I75</f>
        <v/>
      </c>
      <c r="I75">
        <f>'Remediation Tracking'!G75</f>
        <v/>
      </c>
      <c r="J75">
        <f>'Remediation Tracking'!J75</f>
        <v/>
      </c>
      <c r="K75">
        <f>'Remediation Tracking'!L75</f>
        <v/>
      </c>
      <c r="L75">
        <f>'Remediation Tracking'!K75</f>
        <v/>
      </c>
      <c r="M75" t="inlineStr">
        <is>
          <t>Medium</t>
        </is>
      </c>
      <c r="N75">
        <f>'Remediation Tracking'!M75</f>
        <v/>
      </c>
      <c r="O75" s="25">
        <f>IF(E75="", "", (IF(ISNUMBER(SEARCH("Critical",E75)),5,IF(ISNUMBER(SEARCH("High",E75)),4,IF(ISNUMBER(SEARCH("Medium",E75)),3,2)))*10) + (IF(ISNUMBER(SEARCH("Critical",J75)),5,IF(ISNUMBER(SEARCH("High",J75)),4,IF(ISNUMBER(SEARCH("Medium",J75)),3,2)))*8) + (IF(ISNUMBER(SEARCH("Very High",M75)),5,IF(ISNUMBER(SEARCH("Very Low",M75)),1,IF(ISNUMBER(SEARCH("High",M75)),4,IF(ISNUMBER(SEARCH("Medium",M75)),3,IF(ISNUMBER(SEARCH("Low",M75)),2,1)))))*6) + (IF(T75&lt;0, ABS(T75)/7*2, 0)))</f>
        <v/>
      </c>
      <c r="P75">
        <f>IF(O75="", "", IF(AND(ISNUMBER(SEARCH("Critical",E75)), OR(ISNUMBER(SEARCH("Critical",K75)),ISNUMBER(SEARCH("High",K75))), T75&lt;0), "P0 - Critical &amp; Urgent", IF(AND(ISNUMBER(SEARCH("Critical",E75)), OR(ISNUMBER(SEARCH("Critical",K75)),ISNUMBER(SEARCH("High",K75)))), "P1 - Critical", IF(OR(AND(ISNUMBER(SEARCH("High",E75)),ISNUMBER(SEARCH("High",K75))),AND(ISNUMBER(SEARCH("Critical",E75)),ISNUMBER(SEARCH("Medium",K75)))), "P2 - High Priority", IF(OR(AND(ISNUMBER(SEARCH("Medium",E75)),ISNUMBER(SEARCH("High",K75))),AND(ISNUMBER(SEARCH("High",E75)),ISNUMBER(SEARCH("Medium",K75)))), "P3 - Medium Priority", "P4 - Low Priority")))))</f>
        <v/>
      </c>
      <c r="Q75">
        <f>'Remediation Tracking'!S75</f>
        <v/>
      </c>
      <c r="R75">
        <f>'Remediation Tracking'!U75</f>
        <v/>
      </c>
      <c r="S75">
        <f>'Remediation Tracking'!Z75</f>
        <v/>
      </c>
      <c r="T75" s="22" t="n"/>
      <c r="U75">
        <f>'Remediation Tracking'!AE75</f>
        <v/>
      </c>
      <c r="V75">
        <f>'Remediation Tracking'!W75</f>
        <v/>
      </c>
      <c r="W75">
        <f>IF(AND(OR(R75="&lt;1 hour",R75="1-4 hours",R75="1 day"), OR(K75="Medium",K75="High",K75="Critical")), "Yes - Quick Win", "No")</f>
        <v/>
      </c>
    </row>
    <row r="76">
      <c r="A76">
        <f>IF(B76&lt;&gt;"", ROW()-2, "")</f>
        <v/>
      </c>
      <c r="B76">
        <f>'Remediation Tracking'!A76</f>
        <v/>
      </c>
      <c r="C76">
        <f>'Remediation Tracking'!D76</f>
        <v/>
      </c>
      <c r="D76">
        <f>'Remediation Tracking'!E76</f>
        <v/>
      </c>
      <c r="E76">
        <f>'Remediation Tracking'!F76</f>
        <v/>
      </c>
      <c r="F76">
        <f>'Remediation Tracking'!C76</f>
        <v/>
      </c>
      <c r="G76">
        <f>'Remediation Tracking'!H76</f>
        <v/>
      </c>
      <c r="H76">
        <f>'Remediation Tracking'!I76</f>
        <v/>
      </c>
      <c r="I76">
        <f>'Remediation Tracking'!G76</f>
        <v/>
      </c>
      <c r="J76">
        <f>'Remediation Tracking'!J76</f>
        <v/>
      </c>
      <c r="K76">
        <f>'Remediation Tracking'!L76</f>
        <v/>
      </c>
      <c r="L76">
        <f>'Remediation Tracking'!K76</f>
        <v/>
      </c>
      <c r="M76" t="inlineStr">
        <is>
          <t>Medium</t>
        </is>
      </c>
      <c r="N76">
        <f>'Remediation Tracking'!M76</f>
        <v/>
      </c>
      <c r="O76" s="25">
        <f>IF(E76="", "", (IF(ISNUMBER(SEARCH("Critical",E76)),5,IF(ISNUMBER(SEARCH("High",E76)),4,IF(ISNUMBER(SEARCH("Medium",E76)),3,2)))*10) + (IF(ISNUMBER(SEARCH("Critical",J76)),5,IF(ISNUMBER(SEARCH("High",J76)),4,IF(ISNUMBER(SEARCH("Medium",J76)),3,2)))*8) + (IF(ISNUMBER(SEARCH("Very High",M76)),5,IF(ISNUMBER(SEARCH("Very Low",M76)),1,IF(ISNUMBER(SEARCH("High",M76)),4,IF(ISNUMBER(SEARCH("Medium",M76)),3,IF(ISNUMBER(SEARCH("Low",M76)),2,1)))))*6) + (IF(T76&lt;0, ABS(T76)/7*2, 0)))</f>
        <v/>
      </c>
      <c r="P76">
        <f>IF(O76="", "", IF(AND(ISNUMBER(SEARCH("Critical",E76)), OR(ISNUMBER(SEARCH("Critical",K76)),ISNUMBER(SEARCH("High",K76))), T76&lt;0), "P0 - Critical &amp; Urgent", IF(AND(ISNUMBER(SEARCH("Critical",E76)), OR(ISNUMBER(SEARCH("Critical",K76)),ISNUMBER(SEARCH("High",K76)))), "P1 - Critical", IF(OR(AND(ISNUMBER(SEARCH("High",E76)),ISNUMBER(SEARCH("High",K76))),AND(ISNUMBER(SEARCH("Critical",E76)),ISNUMBER(SEARCH("Medium",K76)))), "P2 - High Priority", IF(OR(AND(ISNUMBER(SEARCH("Medium",E76)),ISNUMBER(SEARCH("High",K76))),AND(ISNUMBER(SEARCH("High",E76)),ISNUMBER(SEARCH("Medium",K76)))), "P3 - Medium Priority", "P4 - Low Priority")))))</f>
        <v/>
      </c>
      <c r="Q76">
        <f>'Remediation Tracking'!S76</f>
        <v/>
      </c>
      <c r="R76">
        <f>'Remediation Tracking'!U76</f>
        <v/>
      </c>
      <c r="S76">
        <f>'Remediation Tracking'!Z76</f>
        <v/>
      </c>
      <c r="T76" s="22" t="n"/>
      <c r="U76">
        <f>'Remediation Tracking'!AE76</f>
        <v/>
      </c>
      <c r="V76">
        <f>'Remediation Tracking'!W76</f>
        <v/>
      </c>
      <c r="W76">
        <f>IF(AND(OR(R76="&lt;1 hour",R76="1-4 hours",R76="1 day"), OR(K76="Medium",K76="High",K76="Critical")), "Yes - Quick Win", "No")</f>
        <v/>
      </c>
    </row>
    <row r="77">
      <c r="A77">
        <f>IF(B77&lt;&gt;"", ROW()-2, "")</f>
        <v/>
      </c>
      <c r="B77">
        <f>'Remediation Tracking'!A77</f>
        <v/>
      </c>
      <c r="C77">
        <f>'Remediation Tracking'!D77</f>
        <v/>
      </c>
      <c r="D77">
        <f>'Remediation Tracking'!E77</f>
        <v/>
      </c>
      <c r="E77">
        <f>'Remediation Tracking'!F77</f>
        <v/>
      </c>
      <c r="F77">
        <f>'Remediation Tracking'!C77</f>
        <v/>
      </c>
      <c r="G77">
        <f>'Remediation Tracking'!H77</f>
        <v/>
      </c>
      <c r="H77">
        <f>'Remediation Tracking'!I77</f>
        <v/>
      </c>
      <c r="I77">
        <f>'Remediation Tracking'!G77</f>
        <v/>
      </c>
      <c r="J77">
        <f>'Remediation Tracking'!J77</f>
        <v/>
      </c>
      <c r="K77">
        <f>'Remediation Tracking'!L77</f>
        <v/>
      </c>
      <c r="L77">
        <f>'Remediation Tracking'!K77</f>
        <v/>
      </c>
      <c r="M77" t="inlineStr">
        <is>
          <t>Medium</t>
        </is>
      </c>
      <c r="N77">
        <f>'Remediation Tracking'!M77</f>
        <v/>
      </c>
      <c r="O77" s="25">
        <f>IF(E77="", "", (IF(ISNUMBER(SEARCH("Critical",E77)),5,IF(ISNUMBER(SEARCH("High",E77)),4,IF(ISNUMBER(SEARCH("Medium",E77)),3,2)))*10) + (IF(ISNUMBER(SEARCH("Critical",J77)),5,IF(ISNUMBER(SEARCH("High",J77)),4,IF(ISNUMBER(SEARCH("Medium",J77)),3,2)))*8) + (IF(ISNUMBER(SEARCH("Very High",M77)),5,IF(ISNUMBER(SEARCH("Very Low",M77)),1,IF(ISNUMBER(SEARCH("High",M77)),4,IF(ISNUMBER(SEARCH("Medium",M77)),3,IF(ISNUMBER(SEARCH("Low",M77)),2,1)))))*6) + (IF(T77&lt;0, ABS(T77)/7*2, 0)))</f>
        <v/>
      </c>
      <c r="P77">
        <f>IF(O77="", "", IF(AND(ISNUMBER(SEARCH("Critical",E77)), OR(ISNUMBER(SEARCH("Critical",K77)),ISNUMBER(SEARCH("High",K77))), T77&lt;0), "P0 - Critical &amp; Urgent", IF(AND(ISNUMBER(SEARCH("Critical",E77)), OR(ISNUMBER(SEARCH("Critical",K77)),ISNUMBER(SEARCH("High",K77)))), "P1 - Critical", IF(OR(AND(ISNUMBER(SEARCH("High",E77)),ISNUMBER(SEARCH("High",K77))),AND(ISNUMBER(SEARCH("Critical",E77)),ISNUMBER(SEARCH("Medium",K77)))), "P2 - High Priority", IF(OR(AND(ISNUMBER(SEARCH("Medium",E77)),ISNUMBER(SEARCH("High",K77))),AND(ISNUMBER(SEARCH("High",E77)),ISNUMBER(SEARCH("Medium",K77)))), "P3 - Medium Priority", "P4 - Low Priority")))))</f>
        <v/>
      </c>
      <c r="Q77">
        <f>'Remediation Tracking'!S77</f>
        <v/>
      </c>
      <c r="R77">
        <f>'Remediation Tracking'!U77</f>
        <v/>
      </c>
      <c r="S77">
        <f>'Remediation Tracking'!Z77</f>
        <v/>
      </c>
      <c r="T77" s="22" t="n"/>
      <c r="U77">
        <f>'Remediation Tracking'!AE77</f>
        <v/>
      </c>
      <c r="V77">
        <f>'Remediation Tracking'!W77</f>
        <v/>
      </c>
      <c r="W77">
        <f>IF(AND(OR(R77="&lt;1 hour",R77="1-4 hours",R77="1 day"), OR(K77="Medium",K77="High",K77="Critical")), "Yes - Quick Win", "No")</f>
        <v/>
      </c>
    </row>
    <row r="78">
      <c r="A78">
        <f>IF(B78&lt;&gt;"", ROW()-2, "")</f>
        <v/>
      </c>
      <c r="B78">
        <f>'Remediation Tracking'!A78</f>
        <v/>
      </c>
      <c r="C78">
        <f>'Remediation Tracking'!D78</f>
        <v/>
      </c>
      <c r="D78">
        <f>'Remediation Tracking'!E78</f>
        <v/>
      </c>
      <c r="E78">
        <f>'Remediation Tracking'!F78</f>
        <v/>
      </c>
      <c r="F78">
        <f>'Remediation Tracking'!C78</f>
        <v/>
      </c>
      <c r="G78">
        <f>'Remediation Tracking'!H78</f>
        <v/>
      </c>
      <c r="H78">
        <f>'Remediation Tracking'!I78</f>
        <v/>
      </c>
      <c r="I78">
        <f>'Remediation Tracking'!G78</f>
        <v/>
      </c>
      <c r="J78">
        <f>'Remediation Tracking'!J78</f>
        <v/>
      </c>
      <c r="K78">
        <f>'Remediation Tracking'!L78</f>
        <v/>
      </c>
      <c r="L78">
        <f>'Remediation Tracking'!K78</f>
        <v/>
      </c>
      <c r="M78" t="inlineStr">
        <is>
          <t>Medium</t>
        </is>
      </c>
      <c r="N78">
        <f>'Remediation Tracking'!M78</f>
        <v/>
      </c>
      <c r="O78" s="25">
        <f>IF(E78="", "", (IF(ISNUMBER(SEARCH("Critical",E78)),5,IF(ISNUMBER(SEARCH("High",E78)),4,IF(ISNUMBER(SEARCH("Medium",E78)),3,2)))*10) + (IF(ISNUMBER(SEARCH("Critical",J78)),5,IF(ISNUMBER(SEARCH("High",J78)),4,IF(ISNUMBER(SEARCH("Medium",J78)),3,2)))*8) + (IF(ISNUMBER(SEARCH("Very High",M78)),5,IF(ISNUMBER(SEARCH("Very Low",M78)),1,IF(ISNUMBER(SEARCH("High",M78)),4,IF(ISNUMBER(SEARCH("Medium",M78)),3,IF(ISNUMBER(SEARCH("Low",M78)),2,1)))))*6) + (IF(T78&lt;0, ABS(T78)/7*2, 0)))</f>
        <v/>
      </c>
      <c r="P78">
        <f>IF(O78="", "", IF(AND(ISNUMBER(SEARCH("Critical",E78)), OR(ISNUMBER(SEARCH("Critical",K78)),ISNUMBER(SEARCH("High",K78))), T78&lt;0), "P0 - Critical &amp; Urgent", IF(AND(ISNUMBER(SEARCH("Critical",E78)), OR(ISNUMBER(SEARCH("Critical",K78)),ISNUMBER(SEARCH("High",K78)))), "P1 - Critical", IF(OR(AND(ISNUMBER(SEARCH("High",E78)),ISNUMBER(SEARCH("High",K78))),AND(ISNUMBER(SEARCH("Critical",E78)),ISNUMBER(SEARCH("Medium",K78)))), "P2 - High Priority", IF(OR(AND(ISNUMBER(SEARCH("Medium",E78)),ISNUMBER(SEARCH("High",K78))),AND(ISNUMBER(SEARCH("High",E78)),ISNUMBER(SEARCH("Medium",K78)))), "P3 - Medium Priority", "P4 - Low Priority")))))</f>
        <v/>
      </c>
      <c r="Q78">
        <f>'Remediation Tracking'!S78</f>
        <v/>
      </c>
      <c r="R78">
        <f>'Remediation Tracking'!U78</f>
        <v/>
      </c>
      <c r="S78">
        <f>'Remediation Tracking'!Z78</f>
        <v/>
      </c>
      <c r="T78" s="22" t="n"/>
      <c r="U78">
        <f>'Remediation Tracking'!AE78</f>
        <v/>
      </c>
      <c r="V78">
        <f>'Remediation Tracking'!W78</f>
        <v/>
      </c>
      <c r="W78">
        <f>IF(AND(OR(R78="&lt;1 hour",R78="1-4 hours",R78="1 day"), OR(K78="Medium",K78="High",K78="Critical")), "Yes - Quick Win", "No")</f>
        <v/>
      </c>
    </row>
    <row r="79">
      <c r="A79">
        <f>IF(B79&lt;&gt;"", ROW()-2, "")</f>
        <v/>
      </c>
      <c r="B79">
        <f>'Remediation Tracking'!A79</f>
        <v/>
      </c>
      <c r="C79">
        <f>'Remediation Tracking'!D79</f>
        <v/>
      </c>
      <c r="D79">
        <f>'Remediation Tracking'!E79</f>
        <v/>
      </c>
      <c r="E79">
        <f>'Remediation Tracking'!F79</f>
        <v/>
      </c>
      <c r="F79">
        <f>'Remediation Tracking'!C79</f>
        <v/>
      </c>
      <c r="G79">
        <f>'Remediation Tracking'!H79</f>
        <v/>
      </c>
      <c r="H79">
        <f>'Remediation Tracking'!I79</f>
        <v/>
      </c>
      <c r="I79">
        <f>'Remediation Tracking'!G79</f>
        <v/>
      </c>
      <c r="J79">
        <f>'Remediation Tracking'!J79</f>
        <v/>
      </c>
      <c r="K79">
        <f>'Remediation Tracking'!L79</f>
        <v/>
      </c>
      <c r="L79">
        <f>'Remediation Tracking'!K79</f>
        <v/>
      </c>
      <c r="M79" t="inlineStr">
        <is>
          <t>Medium</t>
        </is>
      </c>
      <c r="N79">
        <f>'Remediation Tracking'!M79</f>
        <v/>
      </c>
      <c r="O79" s="25">
        <f>IF(E79="", "", (IF(ISNUMBER(SEARCH("Critical",E79)),5,IF(ISNUMBER(SEARCH("High",E79)),4,IF(ISNUMBER(SEARCH("Medium",E79)),3,2)))*10) + (IF(ISNUMBER(SEARCH("Critical",J79)),5,IF(ISNUMBER(SEARCH("High",J79)),4,IF(ISNUMBER(SEARCH("Medium",J79)),3,2)))*8) + (IF(ISNUMBER(SEARCH("Very High",M79)),5,IF(ISNUMBER(SEARCH("Very Low",M79)),1,IF(ISNUMBER(SEARCH("High",M79)),4,IF(ISNUMBER(SEARCH("Medium",M79)),3,IF(ISNUMBER(SEARCH("Low",M79)),2,1)))))*6) + (IF(T79&lt;0, ABS(T79)/7*2, 0)))</f>
        <v/>
      </c>
      <c r="P79">
        <f>IF(O79="", "", IF(AND(ISNUMBER(SEARCH("Critical",E79)), OR(ISNUMBER(SEARCH("Critical",K79)),ISNUMBER(SEARCH("High",K79))), T79&lt;0), "P0 - Critical &amp; Urgent", IF(AND(ISNUMBER(SEARCH("Critical",E79)), OR(ISNUMBER(SEARCH("Critical",K79)),ISNUMBER(SEARCH("High",K79)))), "P1 - Critical", IF(OR(AND(ISNUMBER(SEARCH("High",E79)),ISNUMBER(SEARCH("High",K79))),AND(ISNUMBER(SEARCH("Critical",E79)),ISNUMBER(SEARCH("Medium",K79)))), "P2 - High Priority", IF(OR(AND(ISNUMBER(SEARCH("Medium",E79)),ISNUMBER(SEARCH("High",K79))),AND(ISNUMBER(SEARCH("High",E79)),ISNUMBER(SEARCH("Medium",K79)))), "P3 - Medium Priority", "P4 - Low Priority")))))</f>
        <v/>
      </c>
      <c r="Q79">
        <f>'Remediation Tracking'!S79</f>
        <v/>
      </c>
      <c r="R79">
        <f>'Remediation Tracking'!U79</f>
        <v/>
      </c>
      <c r="S79">
        <f>'Remediation Tracking'!Z79</f>
        <v/>
      </c>
      <c r="T79" s="22" t="n"/>
      <c r="U79">
        <f>'Remediation Tracking'!AE79</f>
        <v/>
      </c>
      <c r="V79">
        <f>'Remediation Tracking'!W79</f>
        <v/>
      </c>
      <c r="W79">
        <f>IF(AND(OR(R79="&lt;1 hour",R79="1-4 hours",R79="1 day"), OR(K79="Medium",K79="High",K79="Critical")), "Yes - Quick Win", "No")</f>
        <v/>
      </c>
    </row>
    <row r="80">
      <c r="A80">
        <f>IF(B80&lt;&gt;"", ROW()-2, "")</f>
        <v/>
      </c>
      <c r="B80">
        <f>'Remediation Tracking'!A80</f>
        <v/>
      </c>
      <c r="C80">
        <f>'Remediation Tracking'!D80</f>
        <v/>
      </c>
      <c r="D80">
        <f>'Remediation Tracking'!E80</f>
        <v/>
      </c>
      <c r="E80">
        <f>'Remediation Tracking'!F80</f>
        <v/>
      </c>
      <c r="F80">
        <f>'Remediation Tracking'!C80</f>
        <v/>
      </c>
      <c r="G80">
        <f>'Remediation Tracking'!H80</f>
        <v/>
      </c>
      <c r="H80">
        <f>'Remediation Tracking'!I80</f>
        <v/>
      </c>
      <c r="I80">
        <f>'Remediation Tracking'!G80</f>
        <v/>
      </c>
      <c r="J80">
        <f>'Remediation Tracking'!J80</f>
        <v/>
      </c>
      <c r="K80">
        <f>'Remediation Tracking'!L80</f>
        <v/>
      </c>
      <c r="L80">
        <f>'Remediation Tracking'!K80</f>
        <v/>
      </c>
      <c r="M80" t="inlineStr">
        <is>
          <t>Medium</t>
        </is>
      </c>
      <c r="N80">
        <f>'Remediation Tracking'!M80</f>
        <v/>
      </c>
      <c r="O80" s="25">
        <f>IF(E80="", "", (IF(ISNUMBER(SEARCH("Critical",E80)),5,IF(ISNUMBER(SEARCH("High",E80)),4,IF(ISNUMBER(SEARCH("Medium",E80)),3,2)))*10) + (IF(ISNUMBER(SEARCH("Critical",J80)),5,IF(ISNUMBER(SEARCH("High",J80)),4,IF(ISNUMBER(SEARCH("Medium",J80)),3,2)))*8) + (IF(ISNUMBER(SEARCH("Very High",M80)),5,IF(ISNUMBER(SEARCH("Very Low",M80)),1,IF(ISNUMBER(SEARCH("High",M80)),4,IF(ISNUMBER(SEARCH("Medium",M80)),3,IF(ISNUMBER(SEARCH("Low",M80)),2,1)))))*6) + (IF(T80&lt;0, ABS(T80)/7*2, 0)))</f>
        <v/>
      </c>
      <c r="P80">
        <f>IF(O80="", "", IF(AND(ISNUMBER(SEARCH("Critical",E80)), OR(ISNUMBER(SEARCH("Critical",K80)),ISNUMBER(SEARCH("High",K80))), T80&lt;0), "P0 - Critical &amp; Urgent", IF(AND(ISNUMBER(SEARCH("Critical",E80)), OR(ISNUMBER(SEARCH("Critical",K80)),ISNUMBER(SEARCH("High",K80)))), "P1 - Critical", IF(OR(AND(ISNUMBER(SEARCH("High",E80)),ISNUMBER(SEARCH("High",K80))),AND(ISNUMBER(SEARCH("Critical",E80)),ISNUMBER(SEARCH("Medium",K80)))), "P2 - High Priority", IF(OR(AND(ISNUMBER(SEARCH("Medium",E80)),ISNUMBER(SEARCH("High",K80))),AND(ISNUMBER(SEARCH("High",E80)),ISNUMBER(SEARCH("Medium",K80)))), "P3 - Medium Priority", "P4 - Low Priority")))))</f>
        <v/>
      </c>
      <c r="Q80">
        <f>'Remediation Tracking'!S80</f>
        <v/>
      </c>
      <c r="R80">
        <f>'Remediation Tracking'!U80</f>
        <v/>
      </c>
      <c r="S80">
        <f>'Remediation Tracking'!Z80</f>
        <v/>
      </c>
      <c r="T80" s="22" t="n"/>
      <c r="U80">
        <f>'Remediation Tracking'!AE80</f>
        <v/>
      </c>
      <c r="V80">
        <f>'Remediation Tracking'!W80</f>
        <v/>
      </c>
      <c r="W80">
        <f>IF(AND(OR(R80="&lt;1 hour",R80="1-4 hours",R80="1 day"), OR(K80="Medium",K80="High",K80="Critical")), "Yes - Quick Win", "No")</f>
        <v/>
      </c>
    </row>
    <row r="81">
      <c r="A81">
        <f>IF(B81&lt;&gt;"", ROW()-2, "")</f>
        <v/>
      </c>
      <c r="B81">
        <f>'Remediation Tracking'!A81</f>
        <v/>
      </c>
      <c r="C81">
        <f>'Remediation Tracking'!D81</f>
        <v/>
      </c>
      <c r="D81">
        <f>'Remediation Tracking'!E81</f>
        <v/>
      </c>
      <c r="E81">
        <f>'Remediation Tracking'!F81</f>
        <v/>
      </c>
      <c r="F81">
        <f>'Remediation Tracking'!C81</f>
        <v/>
      </c>
      <c r="G81">
        <f>'Remediation Tracking'!H81</f>
        <v/>
      </c>
      <c r="H81">
        <f>'Remediation Tracking'!I81</f>
        <v/>
      </c>
      <c r="I81">
        <f>'Remediation Tracking'!G81</f>
        <v/>
      </c>
      <c r="J81">
        <f>'Remediation Tracking'!J81</f>
        <v/>
      </c>
      <c r="K81">
        <f>'Remediation Tracking'!L81</f>
        <v/>
      </c>
      <c r="L81">
        <f>'Remediation Tracking'!K81</f>
        <v/>
      </c>
      <c r="M81" t="inlineStr">
        <is>
          <t>Medium</t>
        </is>
      </c>
      <c r="N81">
        <f>'Remediation Tracking'!M81</f>
        <v/>
      </c>
      <c r="O81" s="25">
        <f>IF(E81="", "", (IF(ISNUMBER(SEARCH("Critical",E81)),5,IF(ISNUMBER(SEARCH("High",E81)),4,IF(ISNUMBER(SEARCH("Medium",E81)),3,2)))*10) + (IF(ISNUMBER(SEARCH("Critical",J81)),5,IF(ISNUMBER(SEARCH("High",J81)),4,IF(ISNUMBER(SEARCH("Medium",J81)),3,2)))*8) + (IF(ISNUMBER(SEARCH("Very High",M81)),5,IF(ISNUMBER(SEARCH("Very Low",M81)),1,IF(ISNUMBER(SEARCH("High",M81)),4,IF(ISNUMBER(SEARCH("Medium",M81)),3,IF(ISNUMBER(SEARCH("Low",M81)),2,1)))))*6) + (IF(T81&lt;0, ABS(T81)/7*2, 0)))</f>
        <v/>
      </c>
      <c r="P81">
        <f>IF(O81="", "", IF(AND(ISNUMBER(SEARCH("Critical",E81)), OR(ISNUMBER(SEARCH("Critical",K81)),ISNUMBER(SEARCH("High",K81))), T81&lt;0), "P0 - Critical &amp; Urgent", IF(AND(ISNUMBER(SEARCH("Critical",E81)), OR(ISNUMBER(SEARCH("Critical",K81)),ISNUMBER(SEARCH("High",K81)))), "P1 - Critical", IF(OR(AND(ISNUMBER(SEARCH("High",E81)),ISNUMBER(SEARCH("High",K81))),AND(ISNUMBER(SEARCH("Critical",E81)),ISNUMBER(SEARCH("Medium",K81)))), "P2 - High Priority", IF(OR(AND(ISNUMBER(SEARCH("Medium",E81)),ISNUMBER(SEARCH("High",K81))),AND(ISNUMBER(SEARCH("High",E81)),ISNUMBER(SEARCH("Medium",K81)))), "P3 - Medium Priority", "P4 - Low Priority")))))</f>
        <v/>
      </c>
      <c r="Q81">
        <f>'Remediation Tracking'!S81</f>
        <v/>
      </c>
      <c r="R81">
        <f>'Remediation Tracking'!U81</f>
        <v/>
      </c>
      <c r="S81">
        <f>'Remediation Tracking'!Z81</f>
        <v/>
      </c>
      <c r="T81" s="22" t="n"/>
      <c r="U81">
        <f>'Remediation Tracking'!AE81</f>
        <v/>
      </c>
      <c r="V81">
        <f>'Remediation Tracking'!W81</f>
        <v/>
      </c>
      <c r="W81">
        <f>IF(AND(OR(R81="&lt;1 hour",R81="1-4 hours",R81="1 day"), OR(K81="Medium",K81="High",K81="Critical")), "Yes - Quick Win", "No")</f>
        <v/>
      </c>
    </row>
    <row r="82">
      <c r="A82">
        <f>IF(B82&lt;&gt;"", ROW()-2, "")</f>
        <v/>
      </c>
      <c r="B82">
        <f>'Remediation Tracking'!A82</f>
        <v/>
      </c>
      <c r="C82">
        <f>'Remediation Tracking'!D82</f>
        <v/>
      </c>
      <c r="D82">
        <f>'Remediation Tracking'!E82</f>
        <v/>
      </c>
      <c r="E82">
        <f>'Remediation Tracking'!F82</f>
        <v/>
      </c>
      <c r="F82">
        <f>'Remediation Tracking'!C82</f>
        <v/>
      </c>
      <c r="G82">
        <f>'Remediation Tracking'!H82</f>
        <v/>
      </c>
      <c r="H82">
        <f>'Remediation Tracking'!I82</f>
        <v/>
      </c>
      <c r="I82">
        <f>'Remediation Tracking'!G82</f>
        <v/>
      </c>
      <c r="J82">
        <f>'Remediation Tracking'!J82</f>
        <v/>
      </c>
      <c r="K82">
        <f>'Remediation Tracking'!L82</f>
        <v/>
      </c>
      <c r="L82">
        <f>'Remediation Tracking'!K82</f>
        <v/>
      </c>
      <c r="M82" t="inlineStr">
        <is>
          <t>Medium</t>
        </is>
      </c>
      <c r="N82">
        <f>'Remediation Tracking'!M82</f>
        <v/>
      </c>
      <c r="O82" s="25">
        <f>IF(E82="", "", (IF(ISNUMBER(SEARCH("Critical",E82)),5,IF(ISNUMBER(SEARCH("High",E82)),4,IF(ISNUMBER(SEARCH("Medium",E82)),3,2)))*10) + (IF(ISNUMBER(SEARCH("Critical",J82)),5,IF(ISNUMBER(SEARCH("High",J82)),4,IF(ISNUMBER(SEARCH("Medium",J82)),3,2)))*8) + (IF(ISNUMBER(SEARCH("Very High",M82)),5,IF(ISNUMBER(SEARCH("Very Low",M82)),1,IF(ISNUMBER(SEARCH("High",M82)),4,IF(ISNUMBER(SEARCH("Medium",M82)),3,IF(ISNUMBER(SEARCH("Low",M82)),2,1)))))*6) + (IF(T82&lt;0, ABS(T82)/7*2, 0)))</f>
        <v/>
      </c>
      <c r="P82">
        <f>IF(O82="", "", IF(AND(ISNUMBER(SEARCH("Critical",E82)), OR(ISNUMBER(SEARCH("Critical",K82)),ISNUMBER(SEARCH("High",K82))), T82&lt;0), "P0 - Critical &amp; Urgent", IF(AND(ISNUMBER(SEARCH("Critical",E82)), OR(ISNUMBER(SEARCH("Critical",K82)),ISNUMBER(SEARCH("High",K82)))), "P1 - Critical", IF(OR(AND(ISNUMBER(SEARCH("High",E82)),ISNUMBER(SEARCH("High",K82))),AND(ISNUMBER(SEARCH("Critical",E82)),ISNUMBER(SEARCH("Medium",K82)))), "P2 - High Priority", IF(OR(AND(ISNUMBER(SEARCH("Medium",E82)),ISNUMBER(SEARCH("High",K82))),AND(ISNUMBER(SEARCH("High",E82)),ISNUMBER(SEARCH("Medium",K82)))), "P3 - Medium Priority", "P4 - Low Priority")))))</f>
        <v/>
      </c>
      <c r="Q82">
        <f>'Remediation Tracking'!S82</f>
        <v/>
      </c>
      <c r="R82">
        <f>'Remediation Tracking'!U82</f>
        <v/>
      </c>
      <c r="S82">
        <f>'Remediation Tracking'!Z82</f>
        <v/>
      </c>
      <c r="T82" s="22" t="n"/>
      <c r="U82">
        <f>'Remediation Tracking'!AE82</f>
        <v/>
      </c>
      <c r="V82">
        <f>'Remediation Tracking'!W82</f>
        <v/>
      </c>
      <c r="W82">
        <f>IF(AND(OR(R82="&lt;1 hour",R82="1-4 hours",R82="1 day"), OR(K82="Medium",K82="High",K82="Critical")), "Yes - Quick Win", "No")</f>
        <v/>
      </c>
    </row>
    <row r="83">
      <c r="A83">
        <f>IF(B83&lt;&gt;"", ROW()-2, "")</f>
        <v/>
      </c>
      <c r="B83">
        <f>'Remediation Tracking'!A83</f>
        <v/>
      </c>
      <c r="C83">
        <f>'Remediation Tracking'!D83</f>
        <v/>
      </c>
      <c r="D83">
        <f>'Remediation Tracking'!E83</f>
        <v/>
      </c>
      <c r="E83">
        <f>'Remediation Tracking'!F83</f>
        <v/>
      </c>
      <c r="F83">
        <f>'Remediation Tracking'!C83</f>
        <v/>
      </c>
      <c r="G83">
        <f>'Remediation Tracking'!H83</f>
        <v/>
      </c>
      <c r="H83">
        <f>'Remediation Tracking'!I83</f>
        <v/>
      </c>
      <c r="I83">
        <f>'Remediation Tracking'!G83</f>
        <v/>
      </c>
      <c r="J83">
        <f>'Remediation Tracking'!J83</f>
        <v/>
      </c>
      <c r="K83">
        <f>'Remediation Tracking'!L83</f>
        <v/>
      </c>
      <c r="L83">
        <f>'Remediation Tracking'!K83</f>
        <v/>
      </c>
      <c r="M83" t="inlineStr">
        <is>
          <t>Medium</t>
        </is>
      </c>
      <c r="N83">
        <f>'Remediation Tracking'!M83</f>
        <v/>
      </c>
      <c r="O83" s="25">
        <f>IF(E83="", "", (IF(ISNUMBER(SEARCH("Critical",E83)),5,IF(ISNUMBER(SEARCH("High",E83)),4,IF(ISNUMBER(SEARCH("Medium",E83)),3,2)))*10) + (IF(ISNUMBER(SEARCH("Critical",J83)),5,IF(ISNUMBER(SEARCH("High",J83)),4,IF(ISNUMBER(SEARCH("Medium",J83)),3,2)))*8) + (IF(ISNUMBER(SEARCH("Very High",M83)),5,IF(ISNUMBER(SEARCH("Very Low",M83)),1,IF(ISNUMBER(SEARCH("High",M83)),4,IF(ISNUMBER(SEARCH("Medium",M83)),3,IF(ISNUMBER(SEARCH("Low",M83)),2,1)))))*6) + (IF(T83&lt;0, ABS(T83)/7*2, 0)))</f>
        <v/>
      </c>
      <c r="P83">
        <f>IF(O83="", "", IF(AND(ISNUMBER(SEARCH("Critical",E83)), OR(ISNUMBER(SEARCH("Critical",K83)),ISNUMBER(SEARCH("High",K83))), T83&lt;0), "P0 - Critical &amp; Urgent", IF(AND(ISNUMBER(SEARCH("Critical",E83)), OR(ISNUMBER(SEARCH("Critical",K83)),ISNUMBER(SEARCH("High",K83)))), "P1 - Critical", IF(OR(AND(ISNUMBER(SEARCH("High",E83)),ISNUMBER(SEARCH("High",K83))),AND(ISNUMBER(SEARCH("Critical",E83)),ISNUMBER(SEARCH("Medium",K83)))), "P2 - High Priority", IF(OR(AND(ISNUMBER(SEARCH("Medium",E83)),ISNUMBER(SEARCH("High",K83))),AND(ISNUMBER(SEARCH("High",E83)),ISNUMBER(SEARCH("Medium",K83)))), "P3 - Medium Priority", "P4 - Low Priority")))))</f>
        <v/>
      </c>
      <c r="Q83">
        <f>'Remediation Tracking'!S83</f>
        <v/>
      </c>
      <c r="R83">
        <f>'Remediation Tracking'!U83</f>
        <v/>
      </c>
      <c r="S83">
        <f>'Remediation Tracking'!Z83</f>
        <v/>
      </c>
      <c r="T83" s="22" t="n"/>
      <c r="U83">
        <f>'Remediation Tracking'!AE83</f>
        <v/>
      </c>
      <c r="V83">
        <f>'Remediation Tracking'!W83</f>
        <v/>
      </c>
      <c r="W83">
        <f>IF(AND(OR(R83="&lt;1 hour",R83="1-4 hours",R83="1 day"), OR(K83="Medium",K83="High",K83="Critical")), "Yes - Quick Win", "No")</f>
        <v/>
      </c>
    </row>
    <row r="84">
      <c r="A84">
        <f>IF(B84&lt;&gt;"", ROW()-2, "")</f>
        <v/>
      </c>
      <c r="B84">
        <f>'Remediation Tracking'!A84</f>
        <v/>
      </c>
      <c r="C84">
        <f>'Remediation Tracking'!D84</f>
        <v/>
      </c>
      <c r="D84">
        <f>'Remediation Tracking'!E84</f>
        <v/>
      </c>
      <c r="E84">
        <f>'Remediation Tracking'!F84</f>
        <v/>
      </c>
      <c r="F84">
        <f>'Remediation Tracking'!C84</f>
        <v/>
      </c>
      <c r="G84">
        <f>'Remediation Tracking'!H84</f>
        <v/>
      </c>
      <c r="H84">
        <f>'Remediation Tracking'!I84</f>
        <v/>
      </c>
      <c r="I84">
        <f>'Remediation Tracking'!G84</f>
        <v/>
      </c>
      <c r="J84">
        <f>'Remediation Tracking'!J84</f>
        <v/>
      </c>
      <c r="K84">
        <f>'Remediation Tracking'!L84</f>
        <v/>
      </c>
      <c r="L84">
        <f>'Remediation Tracking'!K84</f>
        <v/>
      </c>
      <c r="M84" t="inlineStr">
        <is>
          <t>Medium</t>
        </is>
      </c>
      <c r="N84">
        <f>'Remediation Tracking'!M84</f>
        <v/>
      </c>
      <c r="O84" s="25">
        <f>IF(E84="", "", (IF(ISNUMBER(SEARCH("Critical",E84)),5,IF(ISNUMBER(SEARCH("High",E84)),4,IF(ISNUMBER(SEARCH("Medium",E84)),3,2)))*10) + (IF(ISNUMBER(SEARCH("Critical",J84)),5,IF(ISNUMBER(SEARCH("High",J84)),4,IF(ISNUMBER(SEARCH("Medium",J84)),3,2)))*8) + (IF(ISNUMBER(SEARCH("Very High",M84)),5,IF(ISNUMBER(SEARCH("Very Low",M84)),1,IF(ISNUMBER(SEARCH("High",M84)),4,IF(ISNUMBER(SEARCH("Medium",M84)),3,IF(ISNUMBER(SEARCH("Low",M84)),2,1)))))*6) + (IF(T84&lt;0, ABS(T84)/7*2, 0)))</f>
        <v/>
      </c>
      <c r="P84">
        <f>IF(O84="", "", IF(AND(ISNUMBER(SEARCH("Critical",E84)), OR(ISNUMBER(SEARCH("Critical",K84)),ISNUMBER(SEARCH("High",K84))), T84&lt;0), "P0 - Critical &amp; Urgent", IF(AND(ISNUMBER(SEARCH("Critical",E84)), OR(ISNUMBER(SEARCH("Critical",K84)),ISNUMBER(SEARCH("High",K84)))), "P1 - Critical", IF(OR(AND(ISNUMBER(SEARCH("High",E84)),ISNUMBER(SEARCH("High",K84))),AND(ISNUMBER(SEARCH("Critical",E84)),ISNUMBER(SEARCH("Medium",K84)))), "P2 - High Priority", IF(OR(AND(ISNUMBER(SEARCH("Medium",E84)),ISNUMBER(SEARCH("High",K84))),AND(ISNUMBER(SEARCH("High",E84)),ISNUMBER(SEARCH("Medium",K84)))), "P3 - Medium Priority", "P4 - Low Priority")))))</f>
        <v/>
      </c>
      <c r="Q84">
        <f>'Remediation Tracking'!S84</f>
        <v/>
      </c>
      <c r="R84">
        <f>'Remediation Tracking'!U84</f>
        <v/>
      </c>
      <c r="S84">
        <f>'Remediation Tracking'!Z84</f>
        <v/>
      </c>
      <c r="T84" s="22" t="n"/>
      <c r="U84">
        <f>'Remediation Tracking'!AE84</f>
        <v/>
      </c>
      <c r="V84">
        <f>'Remediation Tracking'!W84</f>
        <v/>
      </c>
      <c r="W84">
        <f>IF(AND(OR(R84="&lt;1 hour",R84="1-4 hours",R84="1 day"), OR(K84="Medium",K84="High",K84="Critical")), "Yes - Quick Win", "No")</f>
        <v/>
      </c>
    </row>
    <row r="85">
      <c r="A85">
        <f>IF(B85&lt;&gt;"", ROW()-2, "")</f>
        <v/>
      </c>
      <c r="B85">
        <f>'Remediation Tracking'!A85</f>
        <v/>
      </c>
      <c r="C85">
        <f>'Remediation Tracking'!D85</f>
        <v/>
      </c>
      <c r="D85">
        <f>'Remediation Tracking'!E85</f>
        <v/>
      </c>
      <c r="E85">
        <f>'Remediation Tracking'!F85</f>
        <v/>
      </c>
      <c r="F85">
        <f>'Remediation Tracking'!C85</f>
        <v/>
      </c>
      <c r="G85">
        <f>'Remediation Tracking'!H85</f>
        <v/>
      </c>
      <c r="H85">
        <f>'Remediation Tracking'!I85</f>
        <v/>
      </c>
      <c r="I85">
        <f>'Remediation Tracking'!G85</f>
        <v/>
      </c>
      <c r="J85">
        <f>'Remediation Tracking'!J85</f>
        <v/>
      </c>
      <c r="K85">
        <f>'Remediation Tracking'!L85</f>
        <v/>
      </c>
      <c r="L85">
        <f>'Remediation Tracking'!K85</f>
        <v/>
      </c>
      <c r="M85" t="inlineStr">
        <is>
          <t>Medium</t>
        </is>
      </c>
      <c r="N85">
        <f>'Remediation Tracking'!M85</f>
        <v/>
      </c>
      <c r="O85" s="25">
        <f>IF(E85="", "", (IF(ISNUMBER(SEARCH("Critical",E85)),5,IF(ISNUMBER(SEARCH("High",E85)),4,IF(ISNUMBER(SEARCH("Medium",E85)),3,2)))*10) + (IF(ISNUMBER(SEARCH("Critical",J85)),5,IF(ISNUMBER(SEARCH("High",J85)),4,IF(ISNUMBER(SEARCH("Medium",J85)),3,2)))*8) + (IF(ISNUMBER(SEARCH("Very High",M85)),5,IF(ISNUMBER(SEARCH("Very Low",M85)),1,IF(ISNUMBER(SEARCH("High",M85)),4,IF(ISNUMBER(SEARCH("Medium",M85)),3,IF(ISNUMBER(SEARCH("Low",M85)),2,1)))))*6) + (IF(T85&lt;0, ABS(T85)/7*2, 0)))</f>
        <v/>
      </c>
      <c r="P85">
        <f>IF(O85="", "", IF(AND(ISNUMBER(SEARCH("Critical",E85)), OR(ISNUMBER(SEARCH("Critical",K85)),ISNUMBER(SEARCH("High",K85))), T85&lt;0), "P0 - Critical &amp; Urgent", IF(AND(ISNUMBER(SEARCH("Critical",E85)), OR(ISNUMBER(SEARCH("Critical",K85)),ISNUMBER(SEARCH("High",K85)))), "P1 - Critical", IF(OR(AND(ISNUMBER(SEARCH("High",E85)),ISNUMBER(SEARCH("High",K85))),AND(ISNUMBER(SEARCH("Critical",E85)),ISNUMBER(SEARCH("Medium",K85)))), "P2 - High Priority", IF(OR(AND(ISNUMBER(SEARCH("Medium",E85)),ISNUMBER(SEARCH("High",K85))),AND(ISNUMBER(SEARCH("High",E85)),ISNUMBER(SEARCH("Medium",K85)))), "P3 - Medium Priority", "P4 - Low Priority")))))</f>
        <v/>
      </c>
      <c r="Q85">
        <f>'Remediation Tracking'!S85</f>
        <v/>
      </c>
      <c r="R85">
        <f>'Remediation Tracking'!U85</f>
        <v/>
      </c>
      <c r="S85">
        <f>'Remediation Tracking'!Z85</f>
        <v/>
      </c>
      <c r="T85" s="22" t="n"/>
      <c r="U85">
        <f>'Remediation Tracking'!AE85</f>
        <v/>
      </c>
      <c r="V85">
        <f>'Remediation Tracking'!W85</f>
        <v/>
      </c>
      <c r="W85">
        <f>IF(AND(OR(R85="&lt;1 hour",R85="1-4 hours",R85="1 day"), OR(K85="Medium",K85="High",K85="Critical")), "Yes - Quick Win", "No")</f>
        <v/>
      </c>
    </row>
    <row r="86">
      <c r="A86">
        <f>IF(B86&lt;&gt;"", ROW()-2, "")</f>
        <v/>
      </c>
      <c r="B86">
        <f>'Remediation Tracking'!A86</f>
        <v/>
      </c>
      <c r="C86">
        <f>'Remediation Tracking'!D86</f>
        <v/>
      </c>
      <c r="D86">
        <f>'Remediation Tracking'!E86</f>
        <v/>
      </c>
      <c r="E86">
        <f>'Remediation Tracking'!F86</f>
        <v/>
      </c>
      <c r="F86">
        <f>'Remediation Tracking'!C86</f>
        <v/>
      </c>
      <c r="G86">
        <f>'Remediation Tracking'!H86</f>
        <v/>
      </c>
      <c r="H86">
        <f>'Remediation Tracking'!I86</f>
        <v/>
      </c>
      <c r="I86">
        <f>'Remediation Tracking'!G86</f>
        <v/>
      </c>
      <c r="J86">
        <f>'Remediation Tracking'!J86</f>
        <v/>
      </c>
      <c r="K86">
        <f>'Remediation Tracking'!L86</f>
        <v/>
      </c>
      <c r="L86">
        <f>'Remediation Tracking'!K86</f>
        <v/>
      </c>
      <c r="M86" t="inlineStr">
        <is>
          <t>Medium</t>
        </is>
      </c>
      <c r="N86">
        <f>'Remediation Tracking'!M86</f>
        <v/>
      </c>
      <c r="O86" s="25">
        <f>IF(E86="", "", (IF(ISNUMBER(SEARCH("Critical",E86)),5,IF(ISNUMBER(SEARCH("High",E86)),4,IF(ISNUMBER(SEARCH("Medium",E86)),3,2)))*10) + (IF(ISNUMBER(SEARCH("Critical",J86)),5,IF(ISNUMBER(SEARCH("High",J86)),4,IF(ISNUMBER(SEARCH("Medium",J86)),3,2)))*8) + (IF(ISNUMBER(SEARCH("Very High",M86)),5,IF(ISNUMBER(SEARCH("Very Low",M86)),1,IF(ISNUMBER(SEARCH("High",M86)),4,IF(ISNUMBER(SEARCH("Medium",M86)),3,IF(ISNUMBER(SEARCH("Low",M86)),2,1)))))*6) + (IF(T86&lt;0, ABS(T86)/7*2, 0)))</f>
        <v/>
      </c>
      <c r="P86">
        <f>IF(O86="", "", IF(AND(ISNUMBER(SEARCH("Critical",E86)), OR(ISNUMBER(SEARCH("Critical",K86)),ISNUMBER(SEARCH("High",K86))), T86&lt;0), "P0 - Critical &amp; Urgent", IF(AND(ISNUMBER(SEARCH("Critical",E86)), OR(ISNUMBER(SEARCH("Critical",K86)),ISNUMBER(SEARCH("High",K86)))), "P1 - Critical", IF(OR(AND(ISNUMBER(SEARCH("High",E86)),ISNUMBER(SEARCH("High",K86))),AND(ISNUMBER(SEARCH("Critical",E86)),ISNUMBER(SEARCH("Medium",K86)))), "P2 - High Priority", IF(OR(AND(ISNUMBER(SEARCH("Medium",E86)),ISNUMBER(SEARCH("High",K86))),AND(ISNUMBER(SEARCH("High",E86)),ISNUMBER(SEARCH("Medium",K86)))), "P3 - Medium Priority", "P4 - Low Priority")))))</f>
        <v/>
      </c>
      <c r="Q86">
        <f>'Remediation Tracking'!S86</f>
        <v/>
      </c>
      <c r="R86">
        <f>'Remediation Tracking'!U86</f>
        <v/>
      </c>
      <c r="S86">
        <f>'Remediation Tracking'!Z86</f>
        <v/>
      </c>
      <c r="T86" s="22" t="n"/>
      <c r="U86">
        <f>'Remediation Tracking'!AE86</f>
        <v/>
      </c>
      <c r="V86">
        <f>'Remediation Tracking'!W86</f>
        <v/>
      </c>
      <c r="W86">
        <f>IF(AND(OR(R86="&lt;1 hour",R86="1-4 hours",R86="1 day"), OR(K86="Medium",K86="High",K86="Critical")), "Yes - Quick Win", "No")</f>
        <v/>
      </c>
    </row>
    <row r="87">
      <c r="A87">
        <f>IF(B87&lt;&gt;"", ROW()-2, "")</f>
        <v/>
      </c>
      <c r="B87">
        <f>'Remediation Tracking'!A87</f>
        <v/>
      </c>
      <c r="C87">
        <f>'Remediation Tracking'!D87</f>
        <v/>
      </c>
      <c r="D87">
        <f>'Remediation Tracking'!E87</f>
        <v/>
      </c>
      <c r="E87">
        <f>'Remediation Tracking'!F87</f>
        <v/>
      </c>
      <c r="F87">
        <f>'Remediation Tracking'!C87</f>
        <v/>
      </c>
      <c r="G87">
        <f>'Remediation Tracking'!H87</f>
        <v/>
      </c>
      <c r="H87">
        <f>'Remediation Tracking'!I87</f>
        <v/>
      </c>
      <c r="I87">
        <f>'Remediation Tracking'!G87</f>
        <v/>
      </c>
      <c r="J87">
        <f>'Remediation Tracking'!J87</f>
        <v/>
      </c>
      <c r="K87">
        <f>'Remediation Tracking'!L87</f>
        <v/>
      </c>
      <c r="L87">
        <f>'Remediation Tracking'!K87</f>
        <v/>
      </c>
      <c r="M87" t="inlineStr">
        <is>
          <t>Medium</t>
        </is>
      </c>
      <c r="N87">
        <f>'Remediation Tracking'!M87</f>
        <v/>
      </c>
      <c r="O87" s="25">
        <f>IF(E87="", "", (IF(ISNUMBER(SEARCH("Critical",E87)),5,IF(ISNUMBER(SEARCH("High",E87)),4,IF(ISNUMBER(SEARCH("Medium",E87)),3,2)))*10) + (IF(ISNUMBER(SEARCH("Critical",J87)),5,IF(ISNUMBER(SEARCH("High",J87)),4,IF(ISNUMBER(SEARCH("Medium",J87)),3,2)))*8) + (IF(ISNUMBER(SEARCH("Very High",M87)),5,IF(ISNUMBER(SEARCH("Very Low",M87)),1,IF(ISNUMBER(SEARCH("High",M87)),4,IF(ISNUMBER(SEARCH("Medium",M87)),3,IF(ISNUMBER(SEARCH("Low",M87)),2,1)))))*6) + (IF(T87&lt;0, ABS(T87)/7*2, 0)))</f>
        <v/>
      </c>
      <c r="P87">
        <f>IF(O87="", "", IF(AND(ISNUMBER(SEARCH("Critical",E87)), OR(ISNUMBER(SEARCH("Critical",K87)),ISNUMBER(SEARCH("High",K87))), T87&lt;0), "P0 - Critical &amp; Urgent", IF(AND(ISNUMBER(SEARCH("Critical",E87)), OR(ISNUMBER(SEARCH("Critical",K87)),ISNUMBER(SEARCH("High",K87)))), "P1 - Critical", IF(OR(AND(ISNUMBER(SEARCH("High",E87)),ISNUMBER(SEARCH("High",K87))),AND(ISNUMBER(SEARCH("Critical",E87)),ISNUMBER(SEARCH("Medium",K87)))), "P2 - High Priority", IF(OR(AND(ISNUMBER(SEARCH("Medium",E87)),ISNUMBER(SEARCH("High",K87))),AND(ISNUMBER(SEARCH("High",E87)),ISNUMBER(SEARCH("Medium",K87)))), "P3 - Medium Priority", "P4 - Low Priority")))))</f>
        <v/>
      </c>
      <c r="Q87">
        <f>'Remediation Tracking'!S87</f>
        <v/>
      </c>
      <c r="R87">
        <f>'Remediation Tracking'!U87</f>
        <v/>
      </c>
      <c r="S87">
        <f>'Remediation Tracking'!Z87</f>
        <v/>
      </c>
      <c r="T87" s="22" t="n"/>
      <c r="U87">
        <f>'Remediation Tracking'!AE87</f>
        <v/>
      </c>
      <c r="V87">
        <f>'Remediation Tracking'!W87</f>
        <v/>
      </c>
      <c r="W87">
        <f>IF(AND(OR(R87="&lt;1 hour",R87="1-4 hours",R87="1 day"), OR(K87="Medium",K87="High",K87="Critical")), "Yes - Quick Win", "No")</f>
        <v/>
      </c>
    </row>
    <row r="88">
      <c r="A88">
        <f>IF(B88&lt;&gt;"", ROW()-2, "")</f>
        <v/>
      </c>
      <c r="B88">
        <f>'Remediation Tracking'!A88</f>
        <v/>
      </c>
      <c r="C88">
        <f>'Remediation Tracking'!D88</f>
        <v/>
      </c>
      <c r="D88">
        <f>'Remediation Tracking'!E88</f>
        <v/>
      </c>
      <c r="E88">
        <f>'Remediation Tracking'!F88</f>
        <v/>
      </c>
      <c r="F88">
        <f>'Remediation Tracking'!C88</f>
        <v/>
      </c>
      <c r="G88">
        <f>'Remediation Tracking'!H88</f>
        <v/>
      </c>
      <c r="H88">
        <f>'Remediation Tracking'!I88</f>
        <v/>
      </c>
      <c r="I88">
        <f>'Remediation Tracking'!G88</f>
        <v/>
      </c>
      <c r="J88">
        <f>'Remediation Tracking'!J88</f>
        <v/>
      </c>
      <c r="K88">
        <f>'Remediation Tracking'!L88</f>
        <v/>
      </c>
      <c r="L88">
        <f>'Remediation Tracking'!K88</f>
        <v/>
      </c>
      <c r="M88" t="inlineStr">
        <is>
          <t>Medium</t>
        </is>
      </c>
      <c r="N88">
        <f>'Remediation Tracking'!M88</f>
        <v/>
      </c>
      <c r="O88" s="25">
        <f>IF(E88="", "", (IF(ISNUMBER(SEARCH("Critical",E88)),5,IF(ISNUMBER(SEARCH("High",E88)),4,IF(ISNUMBER(SEARCH("Medium",E88)),3,2)))*10) + (IF(ISNUMBER(SEARCH("Critical",J88)),5,IF(ISNUMBER(SEARCH("High",J88)),4,IF(ISNUMBER(SEARCH("Medium",J88)),3,2)))*8) + (IF(ISNUMBER(SEARCH("Very High",M88)),5,IF(ISNUMBER(SEARCH("Very Low",M88)),1,IF(ISNUMBER(SEARCH("High",M88)),4,IF(ISNUMBER(SEARCH("Medium",M88)),3,IF(ISNUMBER(SEARCH("Low",M88)),2,1)))))*6) + (IF(T88&lt;0, ABS(T88)/7*2, 0)))</f>
        <v/>
      </c>
      <c r="P88">
        <f>IF(O88="", "", IF(AND(ISNUMBER(SEARCH("Critical",E88)), OR(ISNUMBER(SEARCH("Critical",K88)),ISNUMBER(SEARCH("High",K88))), T88&lt;0), "P0 - Critical &amp; Urgent", IF(AND(ISNUMBER(SEARCH("Critical",E88)), OR(ISNUMBER(SEARCH("Critical",K88)),ISNUMBER(SEARCH("High",K88)))), "P1 - Critical", IF(OR(AND(ISNUMBER(SEARCH("High",E88)),ISNUMBER(SEARCH("High",K88))),AND(ISNUMBER(SEARCH("Critical",E88)),ISNUMBER(SEARCH("Medium",K88)))), "P2 - High Priority", IF(OR(AND(ISNUMBER(SEARCH("Medium",E88)),ISNUMBER(SEARCH("High",K88))),AND(ISNUMBER(SEARCH("High",E88)),ISNUMBER(SEARCH("Medium",K88)))), "P3 - Medium Priority", "P4 - Low Priority")))))</f>
        <v/>
      </c>
      <c r="Q88">
        <f>'Remediation Tracking'!S88</f>
        <v/>
      </c>
      <c r="R88">
        <f>'Remediation Tracking'!U88</f>
        <v/>
      </c>
      <c r="S88">
        <f>'Remediation Tracking'!Z88</f>
        <v/>
      </c>
      <c r="T88" s="22" t="n"/>
      <c r="U88">
        <f>'Remediation Tracking'!AE88</f>
        <v/>
      </c>
      <c r="V88">
        <f>'Remediation Tracking'!W88</f>
        <v/>
      </c>
      <c r="W88">
        <f>IF(AND(OR(R88="&lt;1 hour",R88="1-4 hours",R88="1 day"), OR(K88="Medium",K88="High",K88="Critical")), "Yes - Quick Win", "No")</f>
        <v/>
      </c>
    </row>
    <row r="89">
      <c r="A89">
        <f>IF(B89&lt;&gt;"", ROW()-2, "")</f>
        <v/>
      </c>
      <c r="B89">
        <f>'Remediation Tracking'!A89</f>
        <v/>
      </c>
      <c r="C89">
        <f>'Remediation Tracking'!D89</f>
        <v/>
      </c>
      <c r="D89">
        <f>'Remediation Tracking'!E89</f>
        <v/>
      </c>
      <c r="E89">
        <f>'Remediation Tracking'!F89</f>
        <v/>
      </c>
      <c r="F89">
        <f>'Remediation Tracking'!C89</f>
        <v/>
      </c>
      <c r="G89">
        <f>'Remediation Tracking'!H89</f>
        <v/>
      </c>
      <c r="H89">
        <f>'Remediation Tracking'!I89</f>
        <v/>
      </c>
      <c r="I89">
        <f>'Remediation Tracking'!G89</f>
        <v/>
      </c>
      <c r="J89">
        <f>'Remediation Tracking'!J89</f>
        <v/>
      </c>
      <c r="K89">
        <f>'Remediation Tracking'!L89</f>
        <v/>
      </c>
      <c r="L89">
        <f>'Remediation Tracking'!K89</f>
        <v/>
      </c>
      <c r="M89" t="inlineStr">
        <is>
          <t>Medium</t>
        </is>
      </c>
      <c r="N89">
        <f>'Remediation Tracking'!M89</f>
        <v/>
      </c>
      <c r="O89" s="25">
        <f>IF(E89="", "", (IF(ISNUMBER(SEARCH("Critical",E89)),5,IF(ISNUMBER(SEARCH("High",E89)),4,IF(ISNUMBER(SEARCH("Medium",E89)),3,2)))*10) + (IF(ISNUMBER(SEARCH("Critical",J89)),5,IF(ISNUMBER(SEARCH("High",J89)),4,IF(ISNUMBER(SEARCH("Medium",J89)),3,2)))*8) + (IF(ISNUMBER(SEARCH("Very High",M89)),5,IF(ISNUMBER(SEARCH("Very Low",M89)),1,IF(ISNUMBER(SEARCH("High",M89)),4,IF(ISNUMBER(SEARCH("Medium",M89)),3,IF(ISNUMBER(SEARCH("Low",M89)),2,1)))))*6) + (IF(T89&lt;0, ABS(T89)/7*2, 0)))</f>
        <v/>
      </c>
      <c r="P89">
        <f>IF(O89="", "", IF(AND(ISNUMBER(SEARCH("Critical",E89)), OR(ISNUMBER(SEARCH("Critical",K89)),ISNUMBER(SEARCH("High",K89))), T89&lt;0), "P0 - Critical &amp; Urgent", IF(AND(ISNUMBER(SEARCH("Critical",E89)), OR(ISNUMBER(SEARCH("Critical",K89)),ISNUMBER(SEARCH("High",K89)))), "P1 - Critical", IF(OR(AND(ISNUMBER(SEARCH("High",E89)),ISNUMBER(SEARCH("High",K89))),AND(ISNUMBER(SEARCH("Critical",E89)),ISNUMBER(SEARCH("Medium",K89)))), "P2 - High Priority", IF(OR(AND(ISNUMBER(SEARCH("Medium",E89)),ISNUMBER(SEARCH("High",K89))),AND(ISNUMBER(SEARCH("High",E89)),ISNUMBER(SEARCH("Medium",K89)))), "P3 - Medium Priority", "P4 - Low Priority")))))</f>
        <v/>
      </c>
      <c r="Q89">
        <f>'Remediation Tracking'!S89</f>
        <v/>
      </c>
      <c r="R89">
        <f>'Remediation Tracking'!U89</f>
        <v/>
      </c>
      <c r="S89">
        <f>'Remediation Tracking'!Z89</f>
        <v/>
      </c>
      <c r="T89" s="22" t="n"/>
      <c r="U89">
        <f>'Remediation Tracking'!AE89</f>
        <v/>
      </c>
      <c r="V89">
        <f>'Remediation Tracking'!W89</f>
        <v/>
      </c>
      <c r="W89">
        <f>IF(AND(OR(R89="&lt;1 hour",R89="1-4 hours",R89="1 day"), OR(K89="Medium",K89="High",K89="Critical")), "Yes - Quick Win", "No")</f>
        <v/>
      </c>
    </row>
    <row r="90">
      <c r="A90">
        <f>IF(B90&lt;&gt;"", ROW()-2, "")</f>
        <v/>
      </c>
      <c r="B90">
        <f>'Remediation Tracking'!A90</f>
        <v/>
      </c>
      <c r="C90">
        <f>'Remediation Tracking'!D90</f>
        <v/>
      </c>
      <c r="D90">
        <f>'Remediation Tracking'!E90</f>
        <v/>
      </c>
      <c r="E90">
        <f>'Remediation Tracking'!F90</f>
        <v/>
      </c>
      <c r="F90">
        <f>'Remediation Tracking'!C90</f>
        <v/>
      </c>
      <c r="G90">
        <f>'Remediation Tracking'!H90</f>
        <v/>
      </c>
      <c r="H90">
        <f>'Remediation Tracking'!I90</f>
        <v/>
      </c>
      <c r="I90">
        <f>'Remediation Tracking'!G90</f>
        <v/>
      </c>
      <c r="J90">
        <f>'Remediation Tracking'!J90</f>
        <v/>
      </c>
      <c r="K90">
        <f>'Remediation Tracking'!L90</f>
        <v/>
      </c>
      <c r="L90">
        <f>'Remediation Tracking'!K90</f>
        <v/>
      </c>
      <c r="M90" t="inlineStr">
        <is>
          <t>Medium</t>
        </is>
      </c>
      <c r="N90">
        <f>'Remediation Tracking'!M90</f>
        <v/>
      </c>
      <c r="O90" s="25">
        <f>IF(E90="", "", (IF(ISNUMBER(SEARCH("Critical",E90)),5,IF(ISNUMBER(SEARCH("High",E90)),4,IF(ISNUMBER(SEARCH("Medium",E90)),3,2)))*10) + (IF(ISNUMBER(SEARCH("Critical",J90)),5,IF(ISNUMBER(SEARCH("High",J90)),4,IF(ISNUMBER(SEARCH("Medium",J90)),3,2)))*8) + (IF(ISNUMBER(SEARCH("Very High",M90)),5,IF(ISNUMBER(SEARCH("Very Low",M90)),1,IF(ISNUMBER(SEARCH("High",M90)),4,IF(ISNUMBER(SEARCH("Medium",M90)),3,IF(ISNUMBER(SEARCH("Low",M90)),2,1)))))*6) + (IF(T90&lt;0, ABS(T90)/7*2, 0)))</f>
        <v/>
      </c>
      <c r="P90">
        <f>IF(O90="", "", IF(AND(ISNUMBER(SEARCH("Critical",E90)), OR(ISNUMBER(SEARCH("Critical",K90)),ISNUMBER(SEARCH("High",K90))), T90&lt;0), "P0 - Critical &amp; Urgent", IF(AND(ISNUMBER(SEARCH("Critical",E90)), OR(ISNUMBER(SEARCH("Critical",K90)),ISNUMBER(SEARCH("High",K90)))), "P1 - Critical", IF(OR(AND(ISNUMBER(SEARCH("High",E90)),ISNUMBER(SEARCH("High",K90))),AND(ISNUMBER(SEARCH("Critical",E90)),ISNUMBER(SEARCH("Medium",K90)))), "P2 - High Priority", IF(OR(AND(ISNUMBER(SEARCH("Medium",E90)),ISNUMBER(SEARCH("High",K90))),AND(ISNUMBER(SEARCH("High",E90)),ISNUMBER(SEARCH("Medium",K90)))), "P3 - Medium Priority", "P4 - Low Priority")))))</f>
        <v/>
      </c>
      <c r="Q90">
        <f>'Remediation Tracking'!S90</f>
        <v/>
      </c>
      <c r="R90">
        <f>'Remediation Tracking'!U90</f>
        <v/>
      </c>
      <c r="S90">
        <f>'Remediation Tracking'!Z90</f>
        <v/>
      </c>
      <c r="T90" s="22" t="n"/>
      <c r="U90">
        <f>'Remediation Tracking'!AE90</f>
        <v/>
      </c>
      <c r="V90">
        <f>'Remediation Tracking'!W90</f>
        <v/>
      </c>
      <c r="W90">
        <f>IF(AND(OR(R90="&lt;1 hour",R90="1-4 hours",R90="1 day"), OR(K90="Medium",K90="High",K90="Critical")), "Yes - Quick Win", "No")</f>
        <v/>
      </c>
    </row>
    <row r="91">
      <c r="A91">
        <f>IF(B91&lt;&gt;"", ROW()-2, "")</f>
        <v/>
      </c>
      <c r="B91">
        <f>'Remediation Tracking'!A91</f>
        <v/>
      </c>
      <c r="C91">
        <f>'Remediation Tracking'!D91</f>
        <v/>
      </c>
      <c r="D91">
        <f>'Remediation Tracking'!E91</f>
        <v/>
      </c>
      <c r="E91">
        <f>'Remediation Tracking'!F91</f>
        <v/>
      </c>
      <c r="F91">
        <f>'Remediation Tracking'!C91</f>
        <v/>
      </c>
      <c r="G91">
        <f>'Remediation Tracking'!H91</f>
        <v/>
      </c>
      <c r="H91">
        <f>'Remediation Tracking'!I91</f>
        <v/>
      </c>
      <c r="I91">
        <f>'Remediation Tracking'!G91</f>
        <v/>
      </c>
      <c r="J91">
        <f>'Remediation Tracking'!J91</f>
        <v/>
      </c>
      <c r="K91">
        <f>'Remediation Tracking'!L91</f>
        <v/>
      </c>
      <c r="L91">
        <f>'Remediation Tracking'!K91</f>
        <v/>
      </c>
      <c r="M91" t="inlineStr">
        <is>
          <t>Medium</t>
        </is>
      </c>
      <c r="N91">
        <f>'Remediation Tracking'!M91</f>
        <v/>
      </c>
      <c r="O91" s="25">
        <f>IF(E91="", "", (IF(ISNUMBER(SEARCH("Critical",E91)),5,IF(ISNUMBER(SEARCH("High",E91)),4,IF(ISNUMBER(SEARCH("Medium",E91)),3,2)))*10) + (IF(ISNUMBER(SEARCH("Critical",J91)),5,IF(ISNUMBER(SEARCH("High",J91)),4,IF(ISNUMBER(SEARCH("Medium",J91)),3,2)))*8) + (IF(ISNUMBER(SEARCH("Very High",M91)),5,IF(ISNUMBER(SEARCH("Very Low",M91)),1,IF(ISNUMBER(SEARCH("High",M91)),4,IF(ISNUMBER(SEARCH("Medium",M91)),3,IF(ISNUMBER(SEARCH("Low",M91)),2,1)))))*6) + (IF(T91&lt;0, ABS(T91)/7*2, 0)))</f>
        <v/>
      </c>
      <c r="P91">
        <f>IF(O91="", "", IF(AND(ISNUMBER(SEARCH("Critical",E91)), OR(ISNUMBER(SEARCH("Critical",K91)),ISNUMBER(SEARCH("High",K91))), T91&lt;0), "P0 - Critical &amp; Urgent", IF(AND(ISNUMBER(SEARCH("Critical",E91)), OR(ISNUMBER(SEARCH("Critical",K91)),ISNUMBER(SEARCH("High",K91)))), "P1 - Critical", IF(OR(AND(ISNUMBER(SEARCH("High",E91)),ISNUMBER(SEARCH("High",K91))),AND(ISNUMBER(SEARCH("Critical",E91)),ISNUMBER(SEARCH("Medium",K91)))), "P2 - High Priority", IF(OR(AND(ISNUMBER(SEARCH("Medium",E91)),ISNUMBER(SEARCH("High",K91))),AND(ISNUMBER(SEARCH("High",E91)),ISNUMBER(SEARCH("Medium",K91)))), "P3 - Medium Priority", "P4 - Low Priority")))))</f>
        <v/>
      </c>
      <c r="Q91">
        <f>'Remediation Tracking'!S91</f>
        <v/>
      </c>
      <c r="R91">
        <f>'Remediation Tracking'!U91</f>
        <v/>
      </c>
      <c r="S91">
        <f>'Remediation Tracking'!Z91</f>
        <v/>
      </c>
      <c r="T91" s="22" t="n"/>
      <c r="U91">
        <f>'Remediation Tracking'!AE91</f>
        <v/>
      </c>
      <c r="V91">
        <f>'Remediation Tracking'!W91</f>
        <v/>
      </c>
      <c r="W91">
        <f>IF(AND(OR(R91="&lt;1 hour",R91="1-4 hours",R91="1 day"), OR(K91="Medium",K91="High",K91="Critical")), "Yes - Quick Win", "No")</f>
        <v/>
      </c>
    </row>
    <row r="92">
      <c r="A92">
        <f>IF(B92&lt;&gt;"", ROW()-2, "")</f>
        <v/>
      </c>
      <c r="B92">
        <f>'Remediation Tracking'!A92</f>
        <v/>
      </c>
      <c r="C92">
        <f>'Remediation Tracking'!D92</f>
        <v/>
      </c>
      <c r="D92">
        <f>'Remediation Tracking'!E92</f>
        <v/>
      </c>
      <c r="E92">
        <f>'Remediation Tracking'!F92</f>
        <v/>
      </c>
      <c r="F92">
        <f>'Remediation Tracking'!C92</f>
        <v/>
      </c>
      <c r="G92">
        <f>'Remediation Tracking'!H92</f>
        <v/>
      </c>
      <c r="H92">
        <f>'Remediation Tracking'!I92</f>
        <v/>
      </c>
      <c r="I92">
        <f>'Remediation Tracking'!G92</f>
        <v/>
      </c>
      <c r="J92">
        <f>'Remediation Tracking'!J92</f>
        <v/>
      </c>
      <c r="K92">
        <f>'Remediation Tracking'!L92</f>
        <v/>
      </c>
      <c r="L92">
        <f>'Remediation Tracking'!K92</f>
        <v/>
      </c>
      <c r="M92" t="inlineStr">
        <is>
          <t>Medium</t>
        </is>
      </c>
      <c r="N92">
        <f>'Remediation Tracking'!M92</f>
        <v/>
      </c>
      <c r="O92" s="25">
        <f>IF(E92="", "", (IF(ISNUMBER(SEARCH("Critical",E92)),5,IF(ISNUMBER(SEARCH("High",E92)),4,IF(ISNUMBER(SEARCH("Medium",E92)),3,2)))*10) + (IF(ISNUMBER(SEARCH("Critical",J92)),5,IF(ISNUMBER(SEARCH("High",J92)),4,IF(ISNUMBER(SEARCH("Medium",J92)),3,2)))*8) + (IF(ISNUMBER(SEARCH("Very High",M92)),5,IF(ISNUMBER(SEARCH("Very Low",M92)),1,IF(ISNUMBER(SEARCH("High",M92)),4,IF(ISNUMBER(SEARCH("Medium",M92)),3,IF(ISNUMBER(SEARCH("Low",M92)),2,1)))))*6) + (IF(T92&lt;0, ABS(T92)/7*2, 0)))</f>
        <v/>
      </c>
      <c r="P92">
        <f>IF(O92="", "", IF(AND(ISNUMBER(SEARCH("Critical",E92)), OR(ISNUMBER(SEARCH("Critical",K92)),ISNUMBER(SEARCH("High",K92))), T92&lt;0), "P0 - Critical &amp; Urgent", IF(AND(ISNUMBER(SEARCH("Critical",E92)), OR(ISNUMBER(SEARCH("Critical",K92)),ISNUMBER(SEARCH("High",K92)))), "P1 - Critical", IF(OR(AND(ISNUMBER(SEARCH("High",E92)),ISNUMBER(SEARCH("High",K92))),AND(ISNUMBER(SEARCH("Critical",E92)),ISNUMBER(SEARCH("Medium",K92)))), "P2 - High Priority", IF(OR(AND(ISNUMBER(SEARCH("Medium",E92)),ISNUMBER(SEARCH("High",K92))),AND(ISNUMBER(SEARCH("High",E92)),ISNUMBER(SEARCH("Medium",K92)))), "P3 - Medium Priority", "P4 - Low Priority")))))</f>
        <v/>
      </c>
      <c r="Q92">
        <f>'Remediation Tracking'!S92</f>
        <v/>
      </c>
      <c r="R92">
        <f>'Remediation Tracking'!U92</f>
        <v/>
      </c>
      <c r="S92">
        <f>'Remediation Tracking'!Z92</f>
        <v/>
      </c>
      <c r="T92" s="22" t="n"/>
      <c r="U92">
        <f>'Remediation Tracking'!AE92</f>
        <v/>
      </c>
      <c r="V92">
        <f>'Remediation Tracking'!W92</f>
        <v/>
      </c>
      <c r="W92">
        <f>IF(AND(OR(R92="&lt;1 hour",R92="1-4 hours",R92="1 day"), OR(K92="Medium",K92="High",K92="Critical")), "Yes - Quick Win", "No")</f>
        <v/>
      </c>
    </row>
    <row r="93">
      <c r="A93">
        <f>IF(B93&lt;&gt;"", ROW()-2, "")</f>
        <v/>
      </c>
      <c r="B93">
        <f>'Remediation Tracking'!A93</f>
        <v/>
      </c>
      <c r="C93">
        <f>'Remediation Tracking'!D93</f>
        <v/>
      </c>
      <c r="D93">
        <f>'Remediation Tracking'!E93</f>
        <v/>
      </c>
      <c r="E93">
        <f>'Remediation Tracking'!F93</f>
        <v/>
      </c>
      <c r="F93">
        <f>'Remediation Tracking'!C93</f>
        <v/>
      </c>
      <c r="G93">
        <f>'Remediation Tracking'!H93</f>
        <v/>
      </c>
      <c r="H93">
        <f>'Remediation Tracking'!I93</f>
        <v/>
      </c>
      <c r="I93">
        <f>'Remediation Tracking'!G93</f>
        <v/>
      </c>
      <c r="J93">
        <f>'Remediation Tracking'!J93</f>
        <v/>
      </c>
      <c r="K93">
        <f>'Remediation Tracking'!L93</f>
        <v/>
      </c>
      <c r="L93">
        <f>'Remediation Tracking'!K93</f>
        <v/>
      </c>
      <c r="M93" t="inlineStr">
        <is>
          <t>Medium</t>
        </is>
      </c>
      <c r="N93">
        <f>'Remediation Tracking'!M93</f>
        <v/>
      </c>
      <c r="O93" s="25">
        <f>IF(E93="", "", (IF(ISNUMBER(SEARCH("Critical",E93)),5,IF(ISNUMBER(SEARCH("High",E93)),4,IF(ISNUMBER(SEARCH("Medium",E93)),3,2)))*10) + (IF(ISNUMBER(SEARCH("Critical",J93)),5,IF(ISNUMBER(SEARCH("High",J93)),4,IF(ISNUMBER(SEARCH("Medium",J93)),3,2)))*8) + (IF(ISNUMBER(SEARCH("Very High",M93)),5,IF(ISNUMBER(SEARCH("Very Low",M93)),1,IF(ISNUMBER(SEARCH("High",M93)),4,IF(ISNUMBER(SEARCH("Medium",M93)),3,IF(ISNUMBER(SEARCH("Low",M93)),2,1)))))*6) + (IF(T93&lt;0, ABS(T93)/7*2, 0)))</f>
        <v/>
      </c>
      <c r="P93">
        <f>IF(O93="", "", IF(AND(ISNUMBER(SEARCH("Critical",E93)), OR(ISNUMBER(SEARCH("Critical",K93)),ISNUMBER(SEARCH("High",K93))), T93&lt;0), "P0 - Critical &amp; Urgent", IF(AND(ISNUMBER(SEARCH("Critical",E93)), OR(ISNUMBER(SEARCH("Critical",K93)),ISNUMBER(SEARCH("High",K93)))), "P1 - Critical", IF(OR(AND(ISNUMBER(SEARCH("High",E93)),ISNUMBER(SEARCH("High",K93))),AND(ISNUMBER(SEARCH("Critical",E93)),ISNUMBER(SEARCH("Medium",K93)))), "P2 - High Priority", IF(OR(AND(ISNUMBER(SEARCH("Medium",E93)),ISNUMBER(SEARCH("High",K93))),AND(ISNUMBER(SEARCH("High",E93)),ISNUMBER(SEARCH("Medium",K93)))), "P3 - Medium Priority", "P4 - Low Priority")))))</f>
        <v/>
      </c>
      <c r="Q93">
        <f>'Remediation Tracking'!S93</f>
        <v/>
      </c>
      <c r="R93">
        <f>'Remediation Tracking'!U93</f>
        <v/>
      </c>
      <c r="S93">
        <f>'Remediation Tracking'!Z93</f>
        <v/>
      </c>
      <c r="T93" s="22" t="n"/>
      <c r="U93">
        <f>'Remediation Tracking'!AE93</f>
        <v/>
      </c>
      <c r="V93">
        <f>'Remediation Tracking'!W93</f>
        <v/>
      </c>
      <c r="W93">
        <f>IF(AND(OR(R93="&lt;1 hour",R93="1-4 hours",R93="1 day"), OR(K93="Medium",K93="High",K93="Critical")), "Yes - Quick Win", "No")</f>
        <v/>
      </c>
    </row>
    <row r="94">
      <c r="A94">
        <f>IF(B94&lt;&gt;"", ROW()-2, "")</f>
        <v/>
      </c>
      <c r="B94">
        <f>'Remediation Tracking'!A94</f>
        <v/>
      </c>
      <c r="C94">
        <f>'Remediation Tracking'!D94</f>
        <v/>
      </c>
      <c r="D94">
        <f>'Remediation Tracking'!E94</f>
        <v/>
      </c>
      <c r="E94">
        <f>'Remediation Tracking'!F94</f>
        <v/>
      </c>
      <c r="F94">
        <f>'Remediation Tracking'!C94</f>
        <v/>
      </c>
      <c r="G94">
        <f>'Remediation Tracking'!H94</f>
        <v/>
      </c>
      <c r="H94">
        <f>'Remediation Tracking'!I94</f>
        <v/>
      </c>
      <c r="I94">
        <f>'Remediation Tracking'!G94</f>
        <v/>
      </c>
      <c r="J94">
        <f>'Remediation Tracking'!J94</f>
        <v/>
      </c>
      <c r="K94">
        <f>'Remediation Tracking'!L94</f>
        <v/>
      </c>
      <c r="L94">
        <f>'Remediation Tracking'!K94</f>
        <v/>
      </c>
      <c r="M94" t="inlineStr">
        <is>
          <t>Medium</t>
        </is>
      </c>
      <c r="N94">
        <f>'Remediation Tracking'!M94</f>
        <v/>
      </c>
      <c r="O94" s="25">
        <f>IF(E94="", "", (IF(ISNUMBER(SEARCH("Critical",E94)),5,IF(ISNUMBER(SEARCH("High",E94)),4,IF(ISNUMBER(SEARCH("Medium",E94)),3,2)))*10) + (IF(ISNUMBER(SEARCH("Critical",J94)),5,IF(ISNUMBER(SEARCH("High",J94)),4,IF(ISNUMBER(SEARCH("Medium",J94)),3,2)))*8) + (IF(ISNUMBER(SEARCH("Very High",M94)),5,IF(ISNUMBER(SEARCH("Very Low",M94)),1,IF(ISNUMBER(SEARCH("High",M94)),4,IF(ISNUMBER(SEARCH("Medium",M94)),3,IF(ISNUMBER(SEARCH("Low",M94)),2,1)))))*6) + (IF(T94&lt;0, ABS(T94)/7*2, 0)))</f>
        <v/>
      </c>
      <c r="P94">
        <f>IF(O94="", "", IF(AND(ISNUMBER(SEARCH("Critical",E94)), OR(ISNUMBER(SEARCH("Critical",K94)),ISNUMBER(SEARCH("High",K94))), T94&lt;0), "P0 - Critical &amp; Urgent", IF(AND(ISNUMBER(SEARCH("Critical",E94)), OR(ISNUMBER(SEARCH("Critical",K94)),ISNUMBER(SEARCH("High",K94)))), "P1 - Critical", IF(OR(AND(ISNUMBER(SEARCH("High",E94)),ISNUMBER(SEARCH("High",K94))),AND(ISNUMBER(SEARCH("Critical",E94)),ISNUMBER(SEARCH("Medium",K94)))), "P2 - High Priority", IF(OR(AND(ISNUMBER(SEARCH("Medium",E94)),ISNUMBER(SEARCH("High",K94))),AND(ISNUMBER(SEARCH("High",E94)),ISNUMBER(SEARCH("Medium",K94)))), "P3 - Medium Priority", "P4 - Low Priority")))))</f>
        <v/>
      </c>
      <c r="Q94">
        <f>'Remediation Tracking'!S94</f>
        <v/>
      </c>
      <c r="R94">
        <f>'Remediation Tracking'!U94</f>
        <v/>
      </c>
      <c r="S94">
        <f>'Remediation Tracking'!Z94</f>
        <v/>
      </c>
      <c r="T94" s="22" t="n"/>
      <c r="U94">
        <f>'Remediation Tracking'!AE94</f>
        <v/>
      </c>
      <c r="V94">
        <f>'Remediation Tracking'!W94</f>
        <v/>
      </c>
      <c r="W94">
        <f>IF(AND(OR(R94="&lt;1 hour",R94="1-4 hours",R94="1 day"), OR(K94="Medium",K94="High",K94="Critical")), "Yes - Quick Win", "No")</f>
        <v/>
      </c>
    </row>
    <row r="95">
      <c r="A95">
        <f>IF(B95&lt;&gt;"", ROW()-2, "")</f>
        <v/>
      </c>
      <c r="B95">
        <f>'Remediation Tracking'!A95</f>
        <v/>
      </c>
      <c r="C95">
        <f>'Remediation Tracking'!D95</f>
        <v/>
      </c>
      <c r="D95">
        <f>'Remediation Tracking'!E95</f>
        <v/>
      </c>
      <c r="E95">
        <f>'Remediation Tracking'!F95</f>
        <v/>
      </c>
      <c r="F95">
        <f>'Remediation Tracking'!C95</f>
        <v/>
      </c>
      <c r="G95">
        <f>'Remediation Tracking'!H95</f>
        <v/>
      </c>
      <c r="H95">
        <f>'Remediation Tracking'!I95</f>
        <v/>
      </c>
      <c r="I95">
        <f>'Remediation Tracking'!G95</f>
        <v/>
      </c>
      <c r="J95">
        <f>'Remediation Tracking'!J95</f>
        <v/>
      </c>
      <c r="K95">
        <f>'Remediation Tracking'!L95</f>
        <v/>
      </c>
      <c r="L95">
        <f>'Remediation Tracking'!K95</f>
        <v/>
      </c>
      <c r="M95" t="inlineStr">
        <is>
          <t>Medium</t>
        </is>
      </c>
      <c r="N95">
        <f>'Remediation Tracking'!M95</f>
        <v/>
      </c>
      <c r="O95" s="25">
        <f>IF(E95="", "", (IF(ISNUMBER(SEARCH("Critical",E95)),5,IF(ISNUMBER(SEARCH("High",E95)),4,IF(ISNUMBER(SEARCH("Medium",E95)),3,2)))*10) + (IF(ISNUMBER(SEARCH("Critical",J95)),5,IF(ISNUMBER(SEARCH("High",J95)),4,IF(ISNUMBER(SEARCH("Medium",J95)),3,2)))*8) + (IF(ISNUMBER(SEARCH("Very High",M95)),5,IF(ISNUMBER(SEARCH("Very Low",M95)),1,IF(ISNUMBER(SEARCH("High",M95)),4,IF(ISNUMBER(SEARCH("Medium",M95)),3,IF(ISNUMBER(SEARCH("Low",M95)),2,1)))))*6) + (IF(T95&lt;0, ABS(T95)/7*2, 0)))</f>
        <v/>
      </c>
      <c r="P95">
        <f>IF(O95="", "", IF(AND(ISNUMBER(SEARCH("Critical",E95)), OR(ISNUMBER(SEARCH("Critical",K95)),ISNUMBER(SEARCH("High",K95))), T95&lt;0), "P0 - Critical &amp; Urgent", IF(AND(ISNUMBER(SEARCH("Critical",E95)), OR(ISNUMBER(SEARCH("Critical",K95)),ISNUMBER(SEARCH("High",K95)))), "P1 - Critical", IF(OR(AND(ISNUMBER(SEARCH("High",E95)),ISNUMBER(SEARCH("High",K95))),AND(ISNUMBER(SEARCH("Critical",E95)),ISNUMBER(SEARCH("Medium",K95)))), "P2 - High Priority", IF(OR(AND(ISNUMBER(SEARCH("Medium",E95)),ISNUMBER(SEARCH("High",K95))),AND(ISNUMBER(SEARCH("High",E95)),ISNUMBER(SEARCH("Medium",K95)))), "P3 - Medium Priority", "P4 - Low Priority")))))</f>
        <v/>
      </c>
      <c r="Q95">
        <f>'Remediation Tracking'!S95</f>
        <v/>
      </c>
      <c r="R95">
        <f>'Remediation Tracking'!U95</f>
        <v/>
      </c>
      <c r="S95">
        <f>'Remediation Tracking'!Z95</f>
        <v/>
      </c>
      <c r="T95" s="22" t="n"/>
      <c r="U95">
        <f>'Remediation Tracking'!AE95</f>
        <v/>
      </c>
      <c r="V95">
        <f>'Remediation Tracking'!W95</f>
        <v/>
      </c>
      <c r="W95">
        <f>IF(AND(OR(R95="&lt;1 hour",R95="1-4 hours",R95="1 day"), OR(K95="Medium",K95="High",K95="Critical")), "Yes - Quick Win", "No")</f>
        <v/>
      </c>
    </row>
    <row r="96">
      <c r="A96">
        <f>IF(B96&lt;&gt;"", ROW()-2, "")</f>
        <v/>
      </c>
      <c r="B96">
        <f>'Remediation Tracking'!A96</f>
        <v/>
      </c>
      <c r="C96">
        <f>'Remediation Tracking'!D96</f>
        <v/>
      </c>
      <c r="D96">
        <f>'Remediation Tracking'!E96</f>
        <v/>
      </c>
      <c r="E96">
        <f>'Remediation Tracking'!F96</f>
        <v/>
      </c>
      <c r="F96">
        <f>'Remediation Tracking'!C96</f>
        <v/>
      </c>
      <c r="G96">
        <f>'Remediation Tracking'!H96</f>
        <v/>
      </c>
      <c r="H96">
        <f>'Remediation Tracking'!I96</f>
        <v/>
      </c>
      <c r="I96">
        <f>'Remediation Tracking'!G96</f>
        <v/>
      </c>
      <c r="J96">
        <f>'Remediation Tracking'!J96</f>
        <v/>
      </c>
      <c r="K96">
        <f>'Remediation Tracking'!L96</f>
        <v/>
      </c>
      <c r="L96">
        <f>'Remediation Tracking'!K96</f>
        <v/>
      </c>
      <c r="M96" t="inlineStr">
        <is>
          <t>Medium</t>
        </is>
      </c>
      <c r="N96">
        <f>'Remediation Tracking'!M96</f>
        <v/>
      </c>
      <c r="O96" s="25">
        <f>IF(E96="", "", (IF(ISNUMBER(SEARCH("Critical",E96)),5,IF(ISNUMBER(SEARCH("High",E96)),4,IF(ISNUMBER(SEARCH("Medium",E96)),3,2)))*10) + (IF(ISNUMBER(SEARCH("Critical",J96)),5,IF(ISNUMBER(SEARCH("High",J96)),4,IF(ISNUMBER(SEARCH("Medium",J96)),3,2)))*8) + (IF(ISNUMBER(SEARCH("Very High",M96)),5,IF(ISNUMBER(SEARCH("Very Low",M96)),1,IF(ISNUMBER(SEARCH("High",M96)),4,IF(ISNUMBER(SEARCH("Medium",M96)),3,IF(ISNUMBER(SEARCH("Low",M96)),2,1)))))*6) + (IF(T96&lt;0, ABS(T96)/7*2, 0)))</f>
        <v/>
      </c>
      <c r="P96">
        <f>IF(O96="", "", IF(AND(ISNUMBER(SEARCH("Critical",E96)), OR(ISNUMBER(SEARCH("Critical",K96)),ISNUMBER(SEARCH("High",K96))), T96&lt;0), "P0 - Critical &amp; Urgent", IF(AND(ISNUMBER(SEARCH("Critical",E96)), OR(ISNUMBER(SEARCH("Critical",K96)),ISNUMBER(SEARCH("High",K96)))), "P1 - Critical", IF(OR(AND(ISNUMBER(SEARCH("High",E96)),ISNUMBER(SEARCH("High",K96))),AND(ISNUMBER(SEARCH("Critical",E96)),ISNUMBER(SEARCH("Medium",K96)))), "P2 - High Priority", IF(OR(AND(ISNUMBER(SEARCH("Medium",E96)),ISNUMBER(SEARCH("High",K96))),AND(ISNUMBER(SEARCH("High",E96)),ISNUMBER(SEARCH("Medium",K96)))), "P3 - Medium Priority", "P4 - Low Priority")))))</f>
        <v/>
      </c>
      <c r="Q96">
        <f>'Remediation Tracking'!S96</f>
        <v/>
      </c>
      <c r="R96">
        <f>'Remediation Tracking'!U96</f>
        <v/>
      </c>
      <c r="S96">
        <f>'Remediation Tracking'!Z96</f>
        <v/>
      </c>
      <c r="T96" s="22" t="n"/>
      <c r="U96">
        <f>'Remediation Tracking'!AE96</f>
        <v/>
      </c>
      <c r="V96">
        <f>'Remediation Tracking'!W96</f>
        <v/>
      </c>
      <c r="W96">
        <f>IF(AND(OR(R96="&lt;1 hour",R96="1-4 hours",R96="1 day"), OR(K96="Medium",K96="High",K96="Critical")), "Yes - Quick Win", "No")</f>
        <v/>
      </c>
    </row>
    <row r="97">
      <c r="A97">
        <f>IF(B97&lt;&gt;"", ROW()-2, "")</f>
        <v/>
      </c>
      <c r="B97">
        <f>'Remediation Tracking'!A97</f>
        <v/>
      </c>
      <c r="C97">
        <f>'Remediation Tracking'!D97</f>
        <v/>
      </c>
      <c r="D97">
        <f>'Remediation Tracking'!E97</f>
        <v/>
      </c>
      <c r="E97">
        <f>'Remediation Tracking'!F97</f>
        <v/>
      </c>
      <c r="F97">
        <f>'Remediation Tracking'!C97</f>
        <v/>
      </c>
      <c r="G97">
        <f>'Remediation Tracking'!H97</f>
        <v/>
      </c>
      <c r="H97">
        <f>'Remediation Tracking'!I97</f>
        <v/>
      </c>
      <c r="I97">
        <f>'Remediation Tracking'!G97</f>
        <v/>
      </c>
      <c r="J97">
        <f>'Remediation Tracking'!J97</f>
        <v/>
      </c>
      <c r="K97">
        <f>'Remediation Tracking'!L97</f>
        <v/>
      </c>
      <c r="L97">
        <f>'Remediation Tracking'!K97</f>
        <v/>
      </c>
      <c r="M97" t="inlineStr">
        <is>
          <t>Medium</t>
        </is>
      </c>
      <c r="N97">
        <f>'Remediation Tracking'!M97</f>
        <v/>
      </c>
      <c r="O97" s="25">
        <f>IF(E97="", "", (IF(ISNUMBER(SEARCH("Critical",E97)),5,IF(ISNUMBER(SEARCH("High",E97)),4,IF(ISNUMBER(SEARCH("Medium",E97)),3,2)))*10) + (IF(ISNUMBER(SEARCH("Critical",J97)),5,IF(ISNUMBER(SEARCH("High",J97)),4,IF(ISNUMBER(SEARCH("Medium",J97)),3,2)))*8) + (IF(ISNUMBER(SEARCH("Very High",M97)),5,IF(ISNUMBER(SEARCH("Very Low",M97)),1,IF(ISNUMBER(SEARCH("High",M97)),4,IF(ISNUMBER(SEARCH("Medium",M97)),3,IF(ISNUMBER(SEARCH("Low",M97)),2,1)))))*6) + (IF(T97&lt;0, ABS(T97)/7*2, 0)))</f>
        <v/>
      </c>
      <c r="P97">
        <f>IF(O97="", "", IF(AND(ISNUMBER(SEARCH("Critical",E97)), OR(ISNUMBER(SEARCH("Critical",K97)),ISNUMBER(SEARCH("High",K97))), T97&lt;0), "P0 - Critical &amp; Urgent", IF(AND(ISNUMBER(SEARCH("Critical",E97)), OR(ISNUMBER(SEARCH("Critical",K97)),ISNUMBER(SEARCH("High",K97)))), "P1 - Critical", IF(OR(AND(ISNUMBER(SEARCH("High",E97)),ISNUMBER(SEARCH("High",K97))),AND(ISNUMBER(SEARCH("Critical",E97)),ISNUMBER(SEARCH("Medium",K97)))), "P2 - High Priority", IF(OR(AND(ISNUMBER(SEARCH("Medium",E97)),ISNUMBER(SEARCH("High",K97))),AND(ISNUMBER(SEARCH("High",E97)),ISNUMBER(SEARCH("Medium",K97)))), "P3 - Medium Priority", "P4 - Low Priority")))))</f>
        <v/>
      </c>
      <c r="Q97">
        <f>'Remediation Tracking'!S97</f>
        <v/>
      </c>
      <c r="R97">
        <f>'Remediation Tracking'!U97</f>
        <v/>
      </c>
      <c r="S97">
        <f>'Remediation Tracking'!Z97</f>
        <v/>
      </c>
      <c r="T97" s="22" t="n"/>
      <c r="U97">
        <f>'Remediation Tracking'!AE97</f>
        <v/>
      </c>
      <c r="V97">
        <f>'Remediation Tracking'!W97</f>
        <v/>
      </c>
      <c r="W97">
        <f>IF(AND(OR(R97="&lt;1 hour",R97="1-4 hours",R97="1 day"), OR(K97="Medium",K97="High",K97="Critical")), "Yes - Quick Win", "No")</f>
        <v/>
      </c>
    </row>
    <row r="98">
      <c r="A98">
        <f>IF(B98&lt;&gt;"", ROW()-2, "")</f>
        <v/>
      </c>
      <c r="B98">
        <f>'Remediation Tracking'!A98</f>
        <v/>
      </c>
      <c r="C98">
        <f>'Remediation Tracking'!D98</f>
        <v/>
      </c>
      <c r="D98">
        <f>'Remediation Tracking'!E98</f>
        <v/>
      </c>
      <c r="E98">
        <f>'Remediation Tracking'!F98</f>
        <v/>
      </c>
      <c r="F98">
        <f>'Remediation Tracking'!C98</f>
        <v/>
      </c>
      <c r="G98">
        <f>'Remediation Tracking'!H98</f>
        <v/>
      </c>
      <c r="H98">
        <f>'Remediation Tracking'!I98</f>
        <v/>
      </c>
      <c r="I98">
        <f>'Remediation Tracking'!G98</f>
        <v/>
      </c>
      <c r="J98">
        <f>'Remediation Tracking'!J98</f>
        <v/>
      </c>
      <c r="K98">
        <f>'Remediation Tracking'!L98</f>
        <v/>
      </c>
      <c r="L98">
        <f>'Remediation Tracking'!K98</f>
        <v/>
      </c>
      <c r="M98" t="inlineStr">
        <is>
          <t>Medium</t>
        </is>
      </c>
      <c r="N98">
        <f>'Remediation Tracking'!M98</f>
        <v/>
      </c>
      <c r="O98" s="25">
        <f>IF(E98="", "", (IF(ISNUMBER(SEARCH("Critical",E98)),5,IF(ISNUMBER(SEARCH("High",E98)),4,IF(ISNUMBER(SEARCH("Medium",E98)),3,2)))*10) + (IF(ISNUMBER(SEARCH("Critical",J98)),5,IF(ISNUMBER(SEARCH("High",J98)),4,IF(ISNUMBER(SEARCH("Medium",J98)),3,2)))*8) + (IF(ISNUMBER(SEARCH("Very High",M98)),5,IF(ISNUMBER(SEARCH("Very Low",M98)),1,IF(ISNUMBER(SEARCH("High",M98)),4,IF(ISNUMBER(SEARCH("Medium",M98)),3,IF(ISNUMBER(SEARCH("Low",M98)),2,1)))))*6) + (IF(T98&lt;0, ABS(T98)/7*2, 0)))</f>
        <v/>
      </c>
      <c r="P98">
        <f>IF(O98="", "", IF(AND(ISNUMBER(SEARCH("Critical",E98)), OR(ISNUMBER(SEARCH("Critical",K98)),ISNUMBER(SEARCH("High",K98))), T98&lt;0), "P0 - Critical &amp; Urgent", IF(AND(ISNUMBER(SEARCH("Critical",E98)), OR(ISNUMBER(SEARCH("Critical",K98)),ISNUMBER(SEARCH("High",K98)))), "P1 - Critical", IF(OR(AND(ISNUMBER(SEARCH("High",E98)),ISNUMBER(SEARCH("High",K98))),AND(ISNUMBER(SEARCH("Critical",E98)),ISNUMBER(SEARCH("Medium",K98)))), "P2 - High Priority", IF(OR(AND(ISNUMBER(SEARCH("Medium",E98)),ISNUMBER(SEARCH("High",K98))),AND(ISNUMBER(SEARCH("High",E98)),ISNUMBER(SEARCH("Medium",K98)))), "P3 - Medium Priority", "P4 - Low Priority")))))</f>
        <v/>
      </c>
      <c r="Q98">
        <f>'Remediation Tracking'!S98</f>
        <v/>
      </c>
      <c r="R98">
        <f>'Remediation Tracking'!U98</f>
        <v/>
      </c>
      <c r="S98">
        <f>'Remediation Tracking'!Z98</f>
        <v/>
      </c>
      <c r="T98" s="22" t="n"/>
      <c r="U98">
        <f>'Remediation Tracking'!AE98</f>
        <v/>
      </c>
      <c r="V98">
        <f>'Remediation Tracking'!W98</f>
        <v/>
      </c>
      <c r="W98">
        <f>IF(AND(OR(R98="&lt;1 hour",R98="1-4 hours",R98="1 day"), OR(K98="Medium",K98="High",K98="Critical")), "Yes - Quick Win", "No")</f>
        <v/>
      </c>
    </row>
    <row r="99">
      <c r="A99">
        <f>IF(B99&lt;&gt;"", ROW()-2, "")</f>
        <v/>
      </c>
      <c r="B99">
        <f>'Remediation Tracking'!A99</f>
        <v/>
      </c>
      <c r="C99">
        <f>'Remediation Tracking'!D99</f>
        <v/>
      </c>
      <c r="D99">
        <f>'Remediation Tracking'!E99</f>
        <v/>
      </c>
      <c r="E99">
        <f>'Remediation Tracking'!F99</f>
        <v/>
      </c>
      <c r="F99">
        <f>'Remediation Tracking'!C99</f>
        <v/>
      </c>
      <c r="G99">
        <f>'Remediation Tracking'!H99</f>
        <v/>
      </c>
      <c r="H99">
        <f>'Remediation Tracking'!I99</f>
        <v/>
      </c>
      <c r="I99">
        <f>'Remediation Tracking'!G99</f>
        <v/>
      </c>
      <c r="J99">
        <f>'Remediation Tracking'!J99</f>
        <v/>
      </c>
      <c r="K99">
        <f>'Remediation Tracking'!L99</f>
        <v/>
      </c>
      <c r="L99">
        <f>'Remediation Tracking'!K99</f>
        <v/>
      </c>
      <c r="M99" t="inlineStr">
        <is>
          <t>Medium</t>
        </is>
      </c>
      <c r="N99">
        <f>'Remediation Tracking'!M99</f>
        <v/>
      </c>
      <c r="O99" s="25">
        <f>IF(E99="", "", (IF(ISNUMBER(SEARCH("Critical",E99)),5,IF(ISNUMBER(SEARCH("High",E99)),4,IF(ISNUMBER(SEARCH("Medium",E99)),3,2)))*10) + (IF(ISNUMBER(SEARCH("Critical",J99)),5,IF(ISNUMBER(SEARCH("High",J99)),4,IF(ISNUMBER(SEARCH("Medium",J99)),3,2)))*8) + (IF(ISNUMBER(SEARCH("Very High",M99)),5,IF(ISNUMBER(SEARCH("Very Low",M99)),1,IF(ISNUMBER(SEARCH("High",M99)),4,IF(ISNUMBER(SEARCH("Medium",M99)),3,IF(ISNUMBER(SEARCH("Low",M99)),2,1)))))*6) + (IF(T99&lt;0, ABS(T99)/7*2, 0)))</f>
        <v/>
      </c>
      <c r="P99">
        <f>IF(O99="", "", IF(AND(ISNUMBER(SEARCH("Critical",E99)), OR(ISNUMBER(SEARCH("Critical",K99)),ISNUMBER(SEARCH("High",K99))), T99&lt;0), "P0 - Critical &amp; Urgent", IF(AND(ISNUMBER(SEARCH("Critical",E99)), OR(ISNUMBER(SEARCH("Critical",K99)),ISNUMBER(SEARCH("High",K99)))), "P1 - Critical", IF(OR(AND(ISNUMBER(SEARCH("High",E99)),ISNUMBER(SEARCH("High",K99))),AND(ISNUMBER(SEARCH("Critical",E99)),ISNUMBER(SEARCH("Medium",K99)))), "P2 - High Priority", IF(OR(AND(ISNUMBER(SEARCH("Medium",E99)),ISNUMBER(SEARCH("High",K99))),AND(ISNUMBER(SEARCH("High",E99)),ISNUMBER(SEARCH("Medium",K99)))), "P3 - Medium Priority", "P4 - Low Priority")))))</f>
        <v/>
      </c>
      <c r="Q99">
        <f>'Remediation Tracking'!S99</f>
        <v/>
      </c>
      <c r="R99">
        <f>'Remediation Tracking'!U99</f>
        <v/>
      </c>
      <c r="S99">
        <f>'Remediation Tracking'!Z99</f>
        <v/>
      </c>
      <c r="T99" s="22" t="n"/>
      <c r="U99">
        <f>'Remediation Tracking'!AE99</f>
        <v/>
      </c>
      <c r="V99">
        <f>'Remediation Tracking'!W99</f>
        <v/>
      </c>
      <c r="W99">
        <f>IF(AND(OR(R99="&lt;1 hour",R99="1-4 hours",R99="1 day"), OR(K99="Medium",K99="High",K99="Critical")), "Yes - Quick Win", "No")</f>
        <v/>
      </c>
    </row>
    <row r="100">
      <c r="A100">
        <f>IF(B100&lt;&gt;"", ROW()-2, "")</f>
        <v/>
      </c>
      <c r="B100">
        <f>'Remediation Tracking'!A100</f>
        <v/>
      </c>
      <c r="C100">
        <f>'Remediation Tracking'!D100</f>
        <v/>
      </c>
      <c r="D100">
        <f>'Remediation Tracking'!E100</f>
        <v/>
      </c>
      <c r="E100">
        <f>'Remediation Tracking'!F100</f>
        <v/>
      </c>
      <c r="F100">
        <f>'Remediation Tracking'!C100</f>
        <v/>
      </c>
      <c r="G100">
        <f>'Remediation Tracking'!H100</f>
        <v/>
      </c>
      <c r="H100">
        <f>'Remediation Tracking'!I100</f>
        <v/>
      </c>
      <c r="I100">
        <f>'Remediation Tracking'!G100</f>
        <v/>
      </c>
      <c r="J100">
        <f>'Remediation Tracking'!J100</f>
        <v/>
      </c>
      <c r="K100">
        <f>'Remediation Tracking'!L100</f>
        <v/>
      </c>
      <c r="L100">
        <f>'Remediation Tracking'!K100</f>
        <v/>
      </c>
      <c r="M100" t="inlineStr">
        <is>
          <t>Medium</t>
        </is>
      </c>
      <c r="N100">
        <f>'Remediation Tracking'!M100</f>
        <v/>
      </c>
      <c r="O100" s="25">
        <f>IF(E100="", "", (IF(ISNUMBER(SEARCH("Critical",E100)),5,IF(ISNUMBER(SEARCH("High",E100)),4,IF(ISNUMBER(SEARCH("Medium",E100)),3,2)))*10) + (IF(ISNUMBER(SEARCH("Critical",J100)),5,IF(ISNUMBER(SEARCH("High",J100)),4,IF(ISNUMBER(SEARCH("Medium",J100)),3,2)))*8) + (IF(ISNUMBER(SEARCH("Very High",M100)),5,IF(ISNUMBER(SEARCH("Very Low",M100)),1,IF(ISNUMBER(SEARCH("High",M100)),4,IF(ISNUMBER(SEARCH("Medium",M100)),3,IF(ISNUMBER(SEARCH("Low",M100)),2,1)))))*6) + (IF(T100&lt;0, ABS(T100)/7*2, 0)))</f>
        <v/>
      </c>
      <c r="P100">
        <f>IF(O100="", "", IF(AND(ISNUMBER(SEARCH("Critical",E100)), OR(ISNUMBER(SEARCH("Critical",K100)),ISNUMBER(SEARCH("High",K100))), T100&lt;0), "P0 - Critical &amp; Urgent", IF(AND(ISNUMBER(SEARCH("Critical",E100)), OR(ISNUMBER(SEARCH("Critical",K100)),ISNUMBER(SEARCH("High",K100)))), "P1 - Critical", IF(OR(AND(ISNUMBER(SEARCH("High",E100)),ISNUMBER(SEARCH("High",K100))),AND(ISNUMBER(SEARCH("Critical",E100)),ISNUMBER(SEARCH("Medium",K100)))), "P2 - High Priority", IF(OR(AND(ISNUMBER(SEARCH("Medium",E100)),ISNUMBER(SEARCH("High",K100))),AND(ISNUMBER(SEARCH("High",E100)),ISNUMBER(SEARCH("Medium",K100)))), "P3 - Medium Priority", "P4 - Low Priority")))))</f>
        <v/>
      </c>
      <c r="Q100">
        <f>'Remediation Tracking'!S100</f>
        <v/>
      </c>
      <c r="R100">
        <f>'Remediation Tracking'!U100</f>
        <v/>
      </c>
      <c r="S100">
        <f>'Remediation Tracking'!Z100</f>
        <v/>
      </c>
      <c r="T100" s="22" t="n"/>
      <c r="U100">
        <f>'Remediation Tracking'!AE100</f>
        <v/>
      </c>
      <c r="V100">
        <f>'Remediation Tracking'!W100</f>
        <v/>
      </c>
      <c r="W100">
        <f>IF(AND(OR(R100="&lt;1 hour",R100="1-4 hours",R100="1 day"), OR(K100="Medium",K100="High",K100="Critical")), "Yes - Quick Win", "No")</f>
        <v/>
      </c>
    </row>
    <row r="101">
      <c r="A101">
        <f>IF(B101&lt;&gt;"", ROW()-2, "")</f>
        <v/>
      </c>
      <c r="B101">
        <f>'Remediation Tracking'!A101</f>
        <v/>
      </c>
      <c r="C101">
        <f>'Remediation Tracking'!D101</f>
        <v/>
      </c>
      <c r="D101">
        <f>'Remediation Tracking'!E101</f>
        <v/>
      </c>
      <c r="E101">
        <f>'Remediation Tracking'!F101</f>
        <v/>
      </c>
      <c r="F101">
        <f>'Remediation Tracking'!C101</f>
        <v/>
      </c>
      <c r="G101">
        <f>'Remediation Tracking'!H101</f>
        <v/>
      </c>
      <c r="H101">
        <f>'Remediation Tracking'!I101</f>
        <v/>
      </c>
      <c r="I101">
        <f>'Remediation Tracking'!G101</f>
        <v/>
      </c>
      <c r="J101">
        <f>'Remediation Tracking'!J101</f>
        <v/>
      </c>
      <c r="K101">
        <f>'Remediation Tracking'!L101</f>
        <v/>
      </c>
      <c r="L101">
        <f>'Remediation Tracking'!K101</f>
        <v/>
      </c>
      <c r="M101" t="inlineStr">
        <is>
          <t>Medium</t>
        </is>
      </c>
      <c r="N101">
        <f>'Remediation Tracking'!M101</f>
        <v/>
      </c>
      <c r="O101" s="25">
        <f>IF(E101="", "", (IF(ISNUMBER(SEARCH("Critical",E101)),5,IF(ISNUMBER(SEARCH("High",E101)),4,IF(ISNUMBER(SEARCH("Medium",E101)),3,2)))*10) + (IF(ISNUMBER(SEARCH("Critical",J101)),5,IF(ISNUMBER(SEARCH("High",J101)),4,IF(ISNUMBER(SEARCH("Medium",J101)),3,2)))*8) + (IF(ISNUMBER(SEARCH("Very High",M101)),5,IF(ISNUMBER(SEARCH("Very Low",M101)),1,IF(ISNUMBER(SEARCH("High",M101)),4,IF(ISNUMBER(SEARCH("Medium",M101)),3,IF(ISNUMBER(SEARCH("Low",M101)),2,1)))))*6) + (IF(T101&lt;0, ABS(T101)/7*2, 0)))</f>
        <v/>
      </c>
      <c r="P101">
        <f>IF(O101="", "", IF(AND(ISNUMBER(SEARCH("Critical",E101)), OR(ISNUMBER(SEARCH("Critical",K101)),ISNUMBER(SEARCH("High",K101))), T101&lt;0), "P0 - Critical &amp; Urgent", IF(AND(ISNUMBER(SEARCH("Critical",E101)), OR(ISNUMBER(SEARCH("Critical",K101)),ISNUMBER(SEARCH("High",K101)))), "P1 - Critical", IF(OR(AND(ISNUMBER(SEARCH("High",E101)),ISNUMBER(SEARCH("High",K101))),AND(ISNUMBER(SEARCH("Critical",E101)),ISNUMBER(SEARCH("Medium",K101)))), "P2 - High Priority", IF(OR(AND(ISNUMBER(SEARCH("Medium",E101)),ISNUMBER(SEARCH("High",K101))),AND(ISNUMBER(SEARCH("High",E101)),ISNUMBER(SEARCH("Medium",K101)))), "P3 - Medium Priority", "P4 - Low Priority")))))</f>
        <v/>
      </c>
      <c r="Q101">
        <f>'Remediation Tracking'!S101</f>
        <v/>
      </c>
      <c r="R101">
        <f>'Remediation Tracking'!U101</f>
        <v/>
      </c>
      <c r="S101">
        <f>'Remediation Tracking'!Z101</f>
        <v/>
      </c>
      <c r="T101" s="22" t="n"/>
      <c r="U101">
        <f>'Remediation Tracking'!AE101</f>
        <v/>
      </c>
      <c r="V101">
        <f>'Remediation Tracking'!W101</f>
        <v/>
      </c>
      <c r="W101">
        <f>IF(AND(OR(R101="&lt;1 hour",R101="1-4 hours",R101="1 day"), OR(K101="Medium",K101="High",K101="Critical")), "Yes - Quick Win", "No")</f>
        <v/>
      </c>
    </row>
    <row r="102">
      <c r="A102">
        <f>IF(B102&lt;&gt;"", ROW()-2, "")</f>
        <v/>
      </c>
      <c r="B102">
        <f>'Remediation Tracking'!A102</f>
        <v/>
      </c>
      <c r="C102">
        <f>'Remediation Tracking'!D102</f>
        <v/>
      </c>
      <c r="D102">
        <f>'Remediation Tracking'!E102</f>
        <v/>
      </c>
      <c r="E102">
        <f>'Remediation Tracking'!F102</f>
        <v/>
      </c>
      <c r="F102">
        <f>'Remediation Tracking'!C102</f>
        <v/>
      </c>
      <c r="G102">
        <f>'Remediation Tracking'!H102</f>
        <v/>
      </c>
      <c r="H102">
        <f>'Remediation Tracking'!I102</f>
        <v/>
      </c>
      <c r="I102">
        <f>'Remediation Tracking'!G102</f>
        <v/>
      </c>
      <c r="J102">
        <f>'Remediation Tracking'!J102</f>
        <v/>
      </c>
      <c r="K102">
        <f>'Remediation Tracking'!L102</f>
        <v/>
      </c>
      <c r="L102">
        <f>'Remediation Tracking'!K102</f>
        <v/>
      </c>
      <c r="M102" t="inlineStr">
        <is>
          <t>Medium</t>
        </is>
      </c>
      <c r="N102">
        <f>'Remediation Tracking'!M102</f>
        <v/>
      </c>
      <c r="O102" s="25">
        <f>IF(E102="", "", (IF(ISNUMBER(SEARCH("Critical",E102)),5,IF(ISNUMBER(SEARCH("High",E102)),4,IF(ISNUMBER(SEARCH("Medium",E102)),3,2)))*10) + (IF(ISNUMBER(SEARCH("Critical",J102)),5,IF(ISNUMBER(SEARCH("High",J102)),4,IF(ISNUMBER(SEARCH("Medium",J102)),3,2)))*8) + (IF(ISNUMBER(SEARCH("Very High",M102)),5,IF(ISNUMBER(SEARCH("Very Low",M102)),1,IF(ISNUMBER(SEARCH("High",M102)),4,IF(ISNUMBER(SEARCH("Medium",M102)),3,IF(ISNUMBER(SEARCH("Low",M102)),2,1)))))*6) + (IF(T102&lt;0, ABS(T102)/7*2, 0)))</f>
        <v/>
      </c>
      <c r="P102">
        <f>IF(O102="", "", IF(AND(ISNUMBER(SEARCH("Critical",E102)), OR(ISNUMBER(SEARCH("Critical",K102)),ISNUMBER(SEARCH("High",K102))), T102&lt;0), "P0 - Critical &amp; Urgent", IF(AND(ISNUMBER(SEARCH("Critical",E102)), OR(ISNUMBER(SEARCH("Critical",K102)),ISNUMBER(SEARCH("High",K102)))), "P1 - Critical", IF(OR(AND(ISNUMBER(SEARCH("High",E102)),ISNUMBER(SEARCH("High",K102))),AND(ISNUMBER(SEARCH("Critical",E102)),ISNUMBER(SEARCH("Medium",K102)))), "P2 - High Priority", IF(OR(AND(ISNUMBER(SEARCH("Medium",E102)),ISNUMBER(SEARCH("High",K102))),AND(ISNUMBER(SEARCH("High",E102)),ISNUMBER(SEARCH("Medium",K102)))), "P3 - Medium Priority", "P4 - Low Priority")))))</f>
        <v/>
      </c>
      <c r="Q102">
        <f>'Remediation Tracking'!S102</f>
        <v/>
      </c>
      <c r="R102">
        <f>'Remediation Tracking'!U102</f>
        <v/>
      </c>
      <c r="S102">
        <f>'Remediation Tracking'!Z102</f>
        <v/>
      </c>
      <c r="T102" s="22" t="n"/>
      <c r="U102">
        <f>'Remediation Tracking'!AE102</f>
        <v/>
      </c>
      <c r="V102">
        <f>'Remediation Tracking'!W102</f>
        <v/>
      </c>
      <c r="W102">
        <f>IF(AND(OR(R102="&lt;1 hour",R102="1-4 hours",R102="1 day"), OR(K102="Medium",K102="High",K102="Critical")), "Yes - Quick Win", "No")</f>
        <v/>
      </c>
    </row>
  </sheetData>
  <mergeCells count="1">
    <mergeCell ref="A1:Y1"/>
  </mergeCells>
  <conditionalFormatting sqref="P3:P102">
    <cfRule type="cellIs" priority="1" operator="equal" dxfId="0">
      <formula>"P0 - Critical &amp; Urgent"</formula>
    </cfRule>
    <cfRule type="cellIs" priority="2" operator="equal" dxfId="0">
      <formula>"P1 - Critical"</formula>
    </cfRule>
    <cfRule type="cellIs" priority="3" operator="equal" dxfId="1">
      <formula>"P2 - High Priority"</formula>
    </cfRule>
    <cfRule type="cellIs" priority="4" operator="equal" dxfId="1">
      <formula>"P3 - Medium Priority"</formula>
    </cfRule>
  </conditionalFormatting>
  <conditionalFormatting sqref="A3:Y102">
    <cfRule type="expression" priority="5" dxfId="10">
      <formula>$W3="Yes - Quick Win"</formula>
    </cfRule>
  </conditionalFormatting>
  <conditionalFormatting sqref="T3:T102">
    <cfRule type="cellIs" priority="6" operator="lessThan" dxfId="0">
      <formula>0</formula>
    </cfRule>
  </conditionalFormatting>
  <conditionalFormatting sqref="U3:U102">
    <cfRule type="cellIs" priority="7" operator="equal" dxfId="2">
      <formula>"❌ Blocked"</formula>
    </cfRule>
  </conditionalFormatting>
  <dataValidations count="1">
    <dataValidation sqref="M3:M102" showDropDown="0" showInputMessage="0" showErrorMessage="1" allowBlank="1" errorTitle="Invalid Entry" error="Please select from the dropdown list." type="list">
      <formula1>"Very High,High,Medium,Low,Very Low"</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1" t="inlineStr">
        <is>
          <t>EVIDENCE REGISTER</t>
        </is>
      </c>
    </row>
    <row r="2">
      <c r="A2" s="26" t="inlineStr">
        <is>
          <t>List all evidence files/documents referenced in this assessment (audit traceability).</t>
        </is>
      </c>
    </row>
    <row r="4">
      <c r="A4" s="27" t="inlineStr">
        <is>
          <t>Evidence ID</t>
        </is>
      </c>
      <c r="B4" s="27" t="inlineStr">
        <is>
          <t>Assessment Area</t>
        </is>
      </c>
      <c r="C4" s="27" t="inlineStr">
        <is>
          <t>Evidence Type</t>
        </is>
      </c>
      <c r="D4" s="27" t="inlineStr">
        <is>
          <t>Description</t>
        </is>
      </c>
      <c r="E4" s="27" t="inlineStr">
        <is>
          <t>Location/Path</t>
        </is>
      </c>
      <c r="F4" s="27" t="inlineStr">
        <is>
          <t>Date Collected</t>
        </is>
      </c>
      <c r="G4" s="27" t="inlineStr">
        <is>
          <t>Collected By</t>
        </is>
      </c>
      <c r="H4" s="27" t="inlineStr">
        <is>
          <t>Verification Status</t>
        </is>
      </c>
    </row>
    <row r="5">
      <c r="A5" s="28" t="inlineStr">
        <is>
          <t>EV-001</t>
        </is>
      </c>
      <c r="B5" s="29" t="n"/>
      <c r="C5" s="29" t="n"/>
      <c r="D5" s="29" t="n"/>
      <c r="E5" s="29" t="n"/>
      <c r="F5" s="29" t="n"/>
      <c r="G5" s="29" t="n"/>
      <c r="H5" s="29" t="n"/>
    </row>
    <row r="6">
      <c r="A6" s="28" t="inlineStr">
        <is>
          <t>EV-002</t>
        </is>
      </c>
      <c r="B6" s="29" t="n"/>
      <c r="C6" s="29" t="n"/>
      <c r="D6" s="29" t="n"/>
      <c r="E6" s="29" t="n"/>
      <c r="F6" s="29" t="n"/>
      <c r="G6" s="29" t="n"/>
      <c r="H6" s="29" t="n"/>
    </row>
    <row r="7">
      <c r="A7" s="28" t="inlineStr">
        <is>
          <t>EV-003</t>
        </is>
      </c>
      <c r="B7" s="29" t="n"/>
      <c r="C7" s="29" t="n"/>
      <c r="D7" s="29" t="n"/>
      <c r="E7" s="29" t="n"/>
      <c r="F7" s="29" t="n"/>
      <c r="G7" s="29" t="n"/>
      <c r="H7" s="29" t="n"/>
    </row>
    <row r="8">
      <c r="A8" s="28" t="inlineStr">
        <is>
          <t>EV-004</t>
        </is>
      </c>
      <c r="B8" s="29" t="n"/>
      <c r="C8" s="29" t="n"/>
      <c r="D8" s="29" t="n"/>
      <c r="E8" s="29" t="n"/>
      <c r="F8" s="29" t="n"/>
      <c r="G8" s="29" t="n"/>
      <c r="H8" s="29" t="n"/>
    </row>
    <row r="9">
      <c r="A9" s="28" t="inlineStr">
        <is>
          <t>EV-005</t>
        </is>
      </c>
      <c r="B9" s="29" t="n"/>
      <c r="C9" s="29" t="n"/>
      <c r="D9" s="29" t="n"/>
      <c r="E9" s="29" t="n"/>
      <c r="F9" s="29" t="n"/>
      <c r="G9" s="29" t="n"/>
      <c r="H9" s="29" t="n"/>
    </row>
    <row r="10">
      <c r="A10" s="28" t="inlineStr">
        <is>
          <t>EV-006</t>
        </is>
      </c>
      <c r="B10" s="29" t="n"/>
      <c r="C10" s="29" t="n"/>
      <c r="D10" s="29" t="n"/>
      <c r="E10" s="29" t="n"/>
      <c r="F10" s="29" t="n"/>
      <c r="G10" s="29" t="n"/>
      <c r="H10" s="29" t="n"/>
    </row>
    <row r="11">
      <c r="A11" s="28" t="inlineStr">
        <is>
          <t>EV-007</t>
        </is>
      </c>
      <c r="B11" s="29" t="n"/>
      <c r="C11" s="29" t="n"/>
      <c r="D11" s="29" t="n"/>
      <c r="E11" s="29" t="n"/>
      <c r="F11" s="29" t="n"/>
      <c r="G11" s="29" t="n"/>
      <c r="H11" s="29" t="n"/>
    </row>
    <row r="12">
      <c r="A12" s="28" t="inlineStr">
        <is>
          <t>EV-008</t>
        </is>
      </c>
      <c r="B12" s="29" t="n"/>
      <c r="C12" s="29" t="n"/>
      <c r="D12" s="29" t="n"/>
      <c r="E12" s="29" t="n"/>
      <c r="F12" s="29" t="n"/>
      <c r="G12" s="29" t="n"/>
      <c r="H12" s="29" t="n"/>
    </row>
    <row r="13">
      <c r="A13" s="28" t="inlineStr">
        <is>
          <t>EV-009</t>
        </is>
      </c>
      <c r="B13" s="29" t="n"/>
      <c r="C13" s="29" t="n"/>
      <c r="D13" s="29" t="n"/>
      <c r="E13" s="29" t="n"/>
      <c r="F13" s="29" t="n"/>
      <c r="G13" s="29" t="n"/>
      <c r="H13" s="29" t="n"/>
    </row>
    <row r="14">
      <c r="A14" s="28" t="inlineStr">
        <is>
          <t>EV-010</t>
        </is>
      </c>
      <c r="B14" s="29" t="n"/>
      <c r="C14" s="29" t="n"/>
      <c r="D14" s="29" t="n"/>
      <c r="E14" s="29" t="n"/>
      <c r="F14" s="29" t="n"/>
      <c r="G14" s="29" t="n"/>
      <c r="H14" s="29" t="n"/>
    </row>
    <row r="15">
      <c r="A15" s="28" t="inlineStr">
        <is>
          <t>EV-011</t>
        </is>
      </c>
      <c r="B15" s="29" t="n"/>
      <c r="C15" s="29" t="n"/>
      <c r="D15" s="29" t="n"/>
      <c r="E15" s="29" t="n"/>
      <c r="F15" s="29" t="n"/>
      <c r="G15" s="29" t="n"/>
      <c r="H15" s="29" t="n"/>
    </row>
    <row r="16">
      <c r="A16" s="28" t="inlineStr">
        <is>
          <t>EV-012</t>
        </is>
      </c>
      <c r="B16" s="29" t="n"/>
      <c r="C16" s="29" t="n"/>
      <c r="D16" s="29" t="n"/>
      <c r="E16" s="29" t="n"/>
      <c r="F16" s="29" t="n"/>
      <c r="G16" s="29" t="n"/>
      <c r="H16" s="29" t="n"/>
    </row>
    <row r="17">
      <c r="A17" s="28" t="inlineStr">
        <is>
          <t>EV-013</t>
        </is>
      </c>
      <c r="B17" s="29" t="n"/>
      <c r="C17" s="29" t="n"/>
      <c r="D17" s="29" t="n"/>
      <c r="E17" s="29" t="n"/>
      <c r="F17" s="29" t="n"/>
      <c r="G17" s="29" t="n"/>
      <c r="H17" s="29" t="n"/>
    </row>
    <row r="18">
      <c r="A18" s="28" t="inlineStr">
        <is>
          <t>EV-014</t>
        </is>
      </c>
      <c r="B18" s="29" t="n"/>
      <c r="C18" s="29" t="n"/>
      <c r="D18" s="29" t="n"/>
      <c r="E18" s="29" t="n"/>
      <c r="F18" s="29" t="n"/>
      <c r="G18" s="29" t="n"/>
      <c r="H18" s="29" t="n"/>
    </row>
    <row r="19">
      <c r="A19" s="28" t="inlineStr">
        <is>
          <t>EV-015</t>
        </is>
      </c>
      <c r="B19" s="29" t="n"/>
      <c r="C19" s="29" t="n"/>
      <c r="D19" s="29" t="n"/>
      <c r="E19" s="29" t="n"/>
      <c r="F19" s="29" t="n"/>
      <c r="G19" s="29" t="n"/>
      <c r="H19" s="29" t="n"/>
    </row>
    <row r="20">
      <c r="A20" s="28" t="inlineStr">
        <is>
          <t>EV-016</t>
        </is>
      </c>
      <c r="B20" s="29" t="n"/>
      <c r="C20" s="29" t="n"/>
      <c r="D20" s="29" t="n"/>
      <c r="E20" s="29" t="n"/>
      <c r="F20" s="29" t="n"/>
      <c r="G20" s="29" t="n"/>
      <c r="H20" s="29" t="n"/>
    </row>
    <row r="21">
      <c r="A21" s="28" t="inlineStr">
        <is>
          <t>EV-017</t>
        </is>
      </c>
      <c r="B21" s="29" t="n"/>
      <c r="C21" s="29" t="n"/>
      <c r="D21" s="29" t="n"/>
      <c r="E21" s="29" t="n"/>
      <c r="F21" s="29" t="n"/>
      <c r="G21" s="29" t="n"/>
      <c r="H21" s="29" t="n"/>
    </row>
    <row r="22">
      <c r="A22" s="28" t="inlineStr">
        <is>
          <t>EV-018</t>
        </is>
      </c>
      <c r="B22" s="29" t="n"/>
      <c r="C22" s="29" t="n"/>
      <c r="D22" s="29" t="n"/>
      <c r="E22" s="29" t="n"/>
      <c r="F22" s="29" t="n"/>
      <c r="G22" s="29" t="n"/>
      <c r="H22" s="29" t="n"/>
    </row>
    <row r="23">
      <c r="A23" s="28" t="inlineStr">
        <is>
          <t>EV-019</t>
        </is>
      </c>
      <c r="B23" s="29" t="n"/>
      <c r="C23" s="29" t="n"/>
      <c r="D23" s="29" t="n"/>
      <c r="E23" s="29" t="n"/>
      <c r="F23" s="29" t="n"/>
      <c r="G23" s="29" t="n"/>
      <c r="H23" s="29" t="n"/>
    </row>
    <row r="24">
      <c r="A24" s="28" t="inlineStr">
        <is>
          <t>EV-020</t>
        </is>
      </c>
      <c r="B24" s="29" t="n"/>
      <c r="C24" s="29" t="n"/>
      <c r="D24" s="29" t="n"/>
      <c r="E24" s="29" t="n"/>
      <c r="F24" s="29" t="n"/>
      <c r="G24" s="29" t="n"/>
      <c r="H24" s="29" t="n"/>
    </row>
    <row r="25">
      <c r="A25" s="28" t="inlineStr">
        <is>
          <t>EV-021</t>
        </is>
      </c>
      <c r="B25" s="29" t="n"/>
      <c r="C25" s="29" t="n"/>
      <c r="D25" s="29" t="n"/>
      <c r="E25" s="29" t="n"/>
      <c r="F25" s="29" t="n"/>
      <c r="G25" s="29" t="n"/>
      <c r="H25" s="29" t="n"/>
    </row>
    <row r="26">
      <c r="A26" s="28" t="inlineStr">
        <is>
          <t>EV-022</t>
        </is>
      </c>
      <c r="B26" s="29" t="n"/>
      <c r="C26" s="29" t="n"/>
      <c r="D26" s="29" t="n"/>
      <c r="E26" s="29" t="n"/>
      <c r="F26" s="29" t="n"/>
      <c r="G26" s="29" t="n"/>
      <c r="H26" s="29" t="n"/>
    </row>
    <row r="27">
      <c r="A27" s="28" t="inlineStr">
        <is>
          <t>EV-023</t>
        </is>
      </c>
      <c r="B27" s="29" t="n"/>
      <c r="C27" s="29" t="n"/>
      <c r="D27" s="29" t="n"/>
      <c r="E27" s="29" t="n"/>
      <c r="F27" s="29" t="n"/>
      <c r="G27" s="29" t="n"/>
      <c r="H27" s="29" t="n"/>
    </row>
    <row r="28">
      <c r="A28" s="28" t="inlineStr">
        <is>
          <t>EV-024</t>
        </is>
      </c>
      <c r="B28" s="29" t="n"/>
      <c r="C28" s="29" t="n"/>
      <c r="D28" s="29" t="n"/>
      <c r="E28" s="29" t="n"/>
      <c r="F28" s="29" t="n"/>
      <c r="G28" s="29" t="n"/>
      <c r="H28" s="29" t="n"/>
    </row>
    <row r="29">
      <c r="A29" s="28" t="inlineStr">
        <is>
          <t>EV-025</t>
        </is>
      </c>
      <c r="B29" s="29" t="n"/>
      <c r="C29" s="29" t="n"/>
      <c r="D29" s="29" t="n"/>
      <c r="E29" s="29" t="n"/>
      <c r="F29" s="29" t="n"/>
      <c r="G29" s="29" t="n"/>
      <c r="H29" s="29" t="n"/>
    </row>
    <row r="30">
      <c r="A30" s="28" t="inlineStr">
        <is>
          <t>EV-026</t>
        </is>
      </c>
      <c r="B30" s="29" t="n"/>
      <c r="C30" s="29" t="n"/>
      <c r="D30" s="29" t="n"/>
      <c r="E30" s="29" t="n"/>
      <c r="F30" s="29" t="n"/>
      <c r="G30" s="29" t="n"/>
      <c r="H30" s="29" t="n"/>
    </row>
    <row r="31">
      <c r="A31" s="28" t="inlineStr">
        <is>
          <t>EV-027</t>
        </is>
      </c>
      <c r="B31" s="29" t="n"/>
      <c r="C31" s="29" t="n"/>
      <c r="D31" s="29" t="n"/>
      <c r="E31" s="29" t="n"/>
      <c r="F31" s="29" t="n"/>
      <c r="G31" s="29" t="n"/>
      <c r="H31" s="29" t="n"/>
    </row>
    <row r="32">
      <c r="A32" s="28" t="inlineStr">
        <is>
          <t>EV-028</t>
        </is>
      </c>
      <c r="B32" s="29" t="n"/>
      <c r="C32" s="29" t="n"/>
      <c r="D32" s="29" t="n"/>
      <c r="E32" s="29" t="n"/>
      <c r="F32" s="29" t="n"/>
      <c r="G32" s="29" t="n"/>
      <c r="H32" s="29" t="n"/>
    </row>
    <row r="33">
      <c r="A33" s="28" t="inlineStr">
        <is>
          <t>EV-029</t>
        </is>
      </c>
      <c r="B33" s="29" t="n"/>
      <c r="C33" s="29" t="n"/>
      <c r="D33" s="29" t="n"/>
      <c r="E33" s="29" t="n"/>
      <c r="F33" s="29" t="n"/>
      <c r="G33" s="29" t="n"/>
      <c r="H33" s="29" t="n"/>
    </row>
    <row r="34">
      <c r="A34" s="28" t="inlineStr">
        <is>
          <t>EV-030</t>
        </is>
      </c>
      <c r="B34" s="29" t="n"/>
      <c r="C34" s="29" t="n"/>
      <c r="D34" s="29" t="n"/>
      <c r="E34" s="29" t="n"/>
      <c r="F34" s="29" t="n"/>
      <c r="G34" s="29" t="n"/>
      <c r="H34" s="29" t="n"/>
    </row>
    <row r="35">
      <c r="A35" s="28" t="inlineStr">
        <is>
          <t>EV-031</t>
        </is>
      </c>
      <c r="B35" s="29" t="n"/>
      <c r="C35" s="29" t="n"/>
      <c r="D35" s="29" t="n"/>
      <c r="E35" s="29" t="n"/>
      <c r="F35" s="29" t="n"/>
      <c r="G35" s="29" t="n"/>
      <c r="H35" s="29" t="n"/>
    </row>
    <row r="36">
      <c r="A36" s="28" t="inlineStr">
        <is>
          <t>EV-032</t>
        </is>
      </c>
      <c r="B36" s="29" t="n"/>
      <c r="C36" s="29" t="n"/>
      <c r="D36" s="29" t="n"/>
      <c r="E36" s="29" t="n"/>
      <c r="F36" s="29" t="n"/>
      <c r="G36" s="29" t="n"/>
      <c r="H36" s="29" t="n"/>
    </row>
    <row r="37">
      <c r="A37" s="28" t="inlineStr">
        <is>
          <t>EV-033</t>
        </is>
      </c>
      <c r="B37" s="29" t="n"/>
      <c r="C37" s="29" t="n"/>
      <c r="D37" s="29" t="n"/>
      <c r="E37" s="29" t="n"/>
      <c r="F37" s="29" t="n"/>
      <c r="G37" s="29" t="n"/>
      <c r="H37" s="29" t="n"/>
    </row>
    <row r="38">
      <c r="A38" s="28" t="inlineStr">
        <is>
          <t>EV-034</t>
        </is>
      </c>
      <c r="B38" s="29" t="n"/>
      <c r="C38" s="29" t="n"/>
      <c r="D38" s="29" t="n"/>
      <c r="E38" s="29" t="n"/>
      <c r="F38" s="29" t="n"/>
      <c r="G38" s="29" t="n"/>
      <c r="H38" s="29" t="n"/>
    </row>
    <row r="39">
      <c r="A39" s="28" t="inlineStr">
        <is>
          <t>EV-035</t>
        </is>
      </c>
      <c r="B39" s="29" t="n"/>
      <c r="C39" s="29" t="n"/>
      <c r="D39" s="29" t="n"/>
      <c r="E39" s="29" t="n"/>
      <c r="F39" s="29" t="n"/>
      <c r="G39" s="29" t="n"/>
      <c r="H39" s="29" t="n"/>
    </row>
    <row r="40">
      <c r="A40" s="28" t="inlineStr">
        <is>
          <t>EV-036</t>
        </is>
      </c>
      <c r="B40" s="29" t="n"/>
      <c r="C40" s="29" t="n"/>
      <c r="D40" s="29" t="n"/>
      <c r="E40" s="29" t="n"/>
      <c r="F40" s="29" t="n"/>
      <c r="G40" s="29" t="n"/>
      <c r="H40" s="29" t="n"/>
    </row>
    <row r="41">
      <c r="A41" s="28" t="inlineStr">
        <is>
          <t>EV-037</t>
        </is>
      </c>
      <c r="B41" s="29" t="n"/>
      <c r="C41" s="29" t="n"/>
      <c r="D41" s="29" t="n"/>
      <c r="E41" s="29" t="n"/>
      <c r="F41" s="29" t="n"/>
      <c r="G41" s="29" t="n"/>
      <c r="H41" s="29" t="n"/>
    </row>
    <row r="42">
      <c r="A42" s="28" t="inlineStr">
        <is>
          <t>EV-038</t>
        </is>
      </c>
      <c r="B42" s="29" t="n"/>
      <c r="C42" s="29" t="n"/>
      <c r="D42" s="29" t="n"/>
      <c r="E42" s="29" t="n"/>
      <c r="F42" s="29" t="n"/>
      <c r="G42" s="29" t="n"/>
      <c r="H42" s="29" t="n"/>
    </row>
    <row r="43">
      <c r="A43" s="28" t="inlineStr">
        <is>
          <t>EV-039</t>
        </is>
      </c>
      <c r="B43" s="29" t="n"/>
      <c r="C43" s="29" t="n"/>
      <c r="D43" s="29" t="n"/>
      <c r="E43" s="29" t="n"/>
      <c r="F43" s="29" t="n"/>
      <c r="G43" s="29" t="n"/>
      <c r="H43" s="29" t="n"/>
    </row>
    <row r="44">
      <c r="A44" s="28" t="inlineStr">
        <is>
          <t>EV-040</t>
        </is>
      </c>
      <c r="B44" s="29" t="n"/>
      <c r="C44" s="29" t="n"/>
      <c r="D44" s="29" t="n"/>
      <c r="E44" s="29" t="n"/>
      <c r="F44" s="29" t="n"/>
      <c r="G44" s="29" t="n"/>
      <c r="H44" s="29" t="n"/>
    </row>
    <row r="45">
      <c r="A45" s="28" t="inlineStr">
        <is>
          <t>EV-041</t>
        </is>
      </c>
      <c r="B45" s="29" t="n"/>
      <c r="C45" s="29" t="n"/>
      <c r="D45" s="29" t="n"/>
      <c r="E45" s="29" t="n"/>
      <c r="F45" s="29" t="n"/>
      <c r="G45" s="29" t="n"/>
      <c r="H45" s="29" t="n"/>
    </row>
    <row r="46">
      <c r="A46" s="28" t="inlineStr">
        <is>
          <t>EV-042</t>
        </is>
      </c>
      <c r="B46" s="29" t="n"/>
      <c r="C46" s="29" t="n"/>
      <c r="D46" s="29" t="n"/>
      <c r="E46" s="29" t="n"/>
      <c r="F46" s="29" t="n"/>
      <c r="G46" s="29" t="n"/>
      <c r="H46" s="29" t="n"/>
    </row>
    <row r="47">
      <c r="A47" s="28" t="inlineStr">
        <is>
          <t>EV-043</t>
        </is>
      </c>
      <c r="B47" s="29" t="n"/>
      <c r="C47" s="29" t="n"/>
      <c r="D47" s="29" t="n"/>
      <c r="E47" s="29" t="n"/>
      <c r="F47" s="29" t="n"/>
      <c r="G47" s="29" t="n"/>
      <c r="H47" s="29" t="n"/>
    </row>
    <row r="48">
      <c r="A48" s="28" t="inlineStr">
        <is>
          <t>EV-044</t>
        </is>
      </c>
      <c r="B48" s="29" t="n"/>
      <c r="C48" s="29" t="n"/>
      <c r="D48" s="29" t="n"/>
      <c r="E48" s="29" t="n"/>
      <c r="F48" s="29" t="n"/>
      <c r="G48" s="29" t="n"/>
      <c r="H48" s="29" t="n"/>
    </row>
    <row r="49">
      <c r="A49" s="28" t="inlineStr">
        <is>
          <t>EV-045</t>
        </is>
      </c>
      <c r="B49" s="29" t="n"/>
      <c r="C49" s="29" t="n"/>
      <c r="D49" s="29" t="n"/>
      <c r="E49" s="29" t="n"/>
      <c r="F49" s="29" t="n"/>
      <c r="G49" s="29" t="n"/>
      <c r="H49" s="29" t="n"/>
    </row>
    <row r="50">
      <c r="A50" s="28" t="inlineStr">
        <is>
          <t>EV-046</t>
        </is>
      </c>
      <c r="B50" s="29" t="n"/>
      <c r="C50" s="29" t="n"/>
      <c r="D50" s="29" t="n"/>
      <c r="E50" s="29" t="n"/>
      <c r="F50" s="29" t="n"/>
      <c r="G50" s="29" t="n"/>
      <c r="H50" s="29" t="n"/>
    </row>
    <row r="51">
      <c r="A51" s="28" t="inlineStr">
        <is>
          <t>EV-047</t>
        </is>
      </c>
      <c r="B51" s="29" t="n"/>
      <c r="C51" s="29" t="n"/>
      <c r="D51" s="29" t="n"/>
      <c r="E51" s="29" t="n"/>
      <c r="F51" s="29" t="n"/>
      <c r="G51" s="29" t="n"/>
      <c r="H51" s="29" t="n"/>
    </row>
    <row r="52">
      <c r="A52" s="28" t="inlineStr">
        <is>
          <t>EV-048</t>
        </is>
      </c>
      <c r="B52" s="29" t="n"/>
      <c r="C52" s="29" t="n"/>
      <c r="D52" s="29" t="n"/>
      <c r="E52" s="29" t="n"/>
      <c r="F52" s="29" t="n"/>
      <c r="G52" s="29" t="n"/>
      <c r="H52" s="29" t="n"/>
    </row>
    <row r="53">
      <c r="A53" s="28" t="inlineStr">
        <is>
          <t>EV-049</t>
        </is>
      </c>
      <c r="B53" s="29" t="n"/>
      <c r="C53" s="29" t="n"/>
      <c r="D53" s="29" t="n"/>
      <c r="E53" s="29" t="n"/>
      <c r="F53" s="29" t="n"/>
      <c r="G53" s="29" t="n"/>
      <c r="H53" s="29" t="n"/>
    </row>
    <row r="54">
      <c r="A54" s="28" t="inlineStr">
        <is>
          <t>EV-050</t>
        </is>
      </c>
      <c r="B54" s="29" t="n"/>
      <c r="C54" s="29" t="n"/>
      <c r="D54" s="29" t="n"/>
      <c r="E54" s="29" t="n"/>
      <c r="F54" s="29" t="n"/>
      <c r="G54" s="29" t="n"/>
      <c r="H54" s="29" t="n"/>
    </row>
    <row r="55">
      <c r="A55" s="28" t="inlineStr">
        <is>
          <t>EV-051</t>
        </is>
      </c>
      <c r="B55" s="29" t="n"/>
      <c r="C55" s="29" t="n"/>
      <c r="D55" s="29" t="n"/>
      <c r="E55" s="29" t="n"/>
      <c r="F55" s="29" t="n"/>
      <c r="G55" s="29" t="n"/>
      <c r="H55" s="29" t="n"/>
    </row>
    <row r="56">
      <c r="A56" s="28" t="inlineStr">
        <is>
          <t>EV-052</t>
        </is>
      </c>
      <c r="B56" s="29" t="n"/>
      <c r="C56" s="29" t="n"/>
      <c r="D56" s="29" t="n"/>
      <c r="E56" s="29" t="n"/>
      <c r="F56" s="29" t="n"/>
      <c r="G56" s="29" t="n"/>
      <c r="H56" s="29" t="n"/>
    </row>
    <row r="57">
      <c r="A57" s="28" t="inlineStr">
        <is>
          <t>EV-053</t>
        </is>
      </c>
      <c r="B57" s="29" t="n"/>
      <c r="C57" s="29" t="n"/>
      <c r="D57" s="29" t="n"/>
      <c r="E57" s="29" t="n"/>
      <c r="F57" s="29" t="n"/>
      <c r="G57" s="29" t="n"/>
      <c r="H57" s="29" t="n"/>
    </row>
    <row r="58">
      <c r="A58" s="28" t="inlineStr">
        <is>
          <t>EV-054</t>
        </is>
      </c>
      <c r="B58" s="29" t="n"/>
      <c r="C58" s="29" t="n"/>
      <c r="D58" s="29" t="n"/>
      <c r="E58" s="29" t="n"/>
      <c r="F58" s="29" t="n"/>
      <c r="G58" s="29" t="n"/>
      <c r="H58" s="29" t="n"/>
    </row>
    <row r="59">
      <c r="A59" s="28" t="inlineStr">
        <is>
          <t>EV-055</t>
        </is>
      </c>
      <c r="B59" s="29" t="n"/>
      <c r="C59" s="29" t="n"/>
      <c r="D59" s="29" t="n"/>
      <c r="E59" s="29" t="n"/>
      <c r="F59" s="29" t="n"/>
      <c r="G59" s="29" t="n"/>
      <c r="H59" s="29" t="n"/>
    </row>
    <row r="60">
      <c r="A60" s="28" t="inlineStr">
        <is>
          <t>EV-056</t>
        </is>
      </c>
      <c r="B60" s="29" t="n"/>
      <c r="C60" s="29" t="n"/>
      <c r="D60" s="29" t="n"/>
      <c r="E60" s="29" t="n"/>
      <c r="F60" s="29" t="n"/>
      <c r="G60" s="29" t="n"/>
      <c r="H60" s="29" t="n"/>
    </row>
    <row r="61">
      <c r="A61" s="28" t="inlineStr">
        <is>
          <t>EV-057</t>
        </is>
      </c>
      <c r="B61" s="29" t="n"/>
      <c r="C61" s="29" t="n"/>
      <c r="D61" s="29" t="n"/>
      <c r="E61" s="29" t="n"/>
      <c r="F61" s="29" t="n"/>
      <c r="G61" s="29" t="n"/>
      <c r="H61" s="29" t="n"/>
    </row>
    <row r="62">
      <c r="A62" s="28" t="inlineStr">
        <is>
          <t>EV-058</t>
        </is>
      </c>
      <c r="B62" s="29" t="n"/>
      <c r="C62" s="29" t="n"/>
      <c r="D62" s="29" t="n"/>
      <c r="E62" s="29" t="n"/>
      <c r="F62" s="29" t="n"/>
      <c r="G62" s="29" t="n"/>
      <c r="H62" s="29" t="n"/>
    </row>
    <row r="63">
      <c r="A63" s="28" t="inlineStr">
        <is>
          <t>EV-059</t>
        </is>
      </c>
      <c r="B63" s="29" t="n"/>
      <c r="C63" s="29" t="n"/>
      <c r="D63" s="29" t="n"/>
      <c r="E63" s="29" t="n"/>
      <c r="F63" s="29" t="n"/>
      <c r="G63" s="29" t="n"/>
      <c r="H63" s="29" t="n"/>
    </row>
    <row r="64">
      <c r="A64" s="28" t="inlineStr">
        <is>
          <t>EV-060</t>
        </is>
      </c>
      <c r="B64" s="29" t="n"/>
      <c r="C64" s="29" t="n"/>
      <c r="D64" s="29" t="n"/>
      <c r="E64" s="29" t="n"/>
      <c r="F64" s="29" t="n"/>
      <c r="G64" s="29" t="n"/>
      <c r="H64" s="29" t="n"/>
    </row>
    <row r="65">
      <c r="A65" s="28" t="inlineStr">
        <is>
          <t>EV-061</t>
        </is>
      </c>
      <c r="B65" s="29" t="n"/>
      <c r="C65" s="29" t="n"/>
      <c r="D65" s="29" t="n"/>
      <c r="E65" s="29" t="n"/>
      <c r="F65" s="29" t="n"/>
      <c r="G65" s="29" t="n"/>
      <c r="H65" s="29" t="n"/>
    </row>
    <row r="66">
      <c r="A66" s="28" t="inlineStr">
        <is>
          <t>EV-062</t>
        </is>
      </c>
      <c r="B66" s="29" t="n"/>
      <c r="C66" s="29" t="n"/>
      <c r="D66" s="29" t="n"/>
      <c r="E66" s="29" t="n"/>
      <c r="F66" s="29" t="n"/>
      <c r="G66" s="29" t="n"/>
      <c r="H66" s="29" t="n"/>
    </row>
    <row r="67">
      <c r="A67" s="28" t="inlineStr">
        <is>
          <t>EV-063</t>
        </is>
      </c>
      <c r="B67" s="29" t="n"/>
      <c r="C67" s="29" t="n"/>
      <c r="D67" s="29" t="n"/>
      <c r="E67" s="29" t="n"/>
      <c r="F67" s="29" t="n"/>
      <c r="G67" s="29" t="n"/>
      <c r="H67" s="29" t="n"/>
    </row>
    <row r="68">
      <c r="A68" s="28" t="inlineStr">
        <is>
          <t>EV-064</t>
        </is>
      </c>
      <c r="B68" s="29" t="n"/>
      <c r="C68" s="29" t="n"/>
      <c r="D68" s="29" t="n"/>
      <c r="E68" s="29" t="n"/>
      <c r="F68" s="29" t="n"/>
      <c r="G68" s="29" t="n"/>
      <c r="H68" s="29" t="n"/>
    </row>
    <row r="69">
      <c r="A69" s="28" t="inlineStr">
        <is>
          <t>EV-065</t>
        </is>
      </c>
      <c r="B69" s="29" t="n"/>
      <c r="C69" s="29" t="n"/>
      <c r="D69" s="29" t="n"/>
      <c r="E69" s="29" t="n"/>
      <c r="F69" s="29" t="n"/>
      <c r="G69" s="29" t="n"/>
      <c r="H69" s="29" t="n"/>
    </row>
    <row r="70">
      <c r="A70" s="28" t="inlineStr">
        <is>
          <t>EV-066</t>
        </is>
      </c>
      <c r="B70" s="29" t="n"/>
      <c r="C70" s="29" t="n"/>
      <c r="D70" s="29" t="n"/>
      <c r="E70" s="29" t="n"/>
      <c r="F70" s="29" t="n"/>
      <c r="G70" s="29" t="n"/>
      <c r="H70" s="29" t="n"/>
    </row>
    <row r="71">
      <c r="A71" s="28" t="inlineStr">
        <is>
          <t>EV-067</t>
        </is>
      </c>
      <c r="B71" s="29" t="n"/>
      <c r="C71" s="29" t="n"/>
      <c r="D71" s="29" t="n"/>
      <c r="E71" s="29" t="n"/>
      <c r="F71" s="29" t="n"/>
      <c r="G71" s="29" t="n"/>
      <c r="H71" s="29" t="n"/>
    </row>
    <row r="72">
      <c r="A72" s="28" t="inlineStr">
        <is>
          <t>EV-068</t>
        </is>
      </c>
      <c r="B72" s="29" t="n"/>
      <c r="C72" s="29" t="n"/>
      <c r="D72" s="29" t="n"/>
      <c r="E72" s="29" t="n"/>
      <c r="F72" s="29" t="n"/>
      <c r="G72" s="29" t="n"/>
      <c r="H72" s="29" t="n"/>
    </row>
    <row r="73">
      <c r="A73" s="28" t="inlineStr">
        <is>
          <t>EV-069</t>
        </is>
      </c>
      <c r="B73" s="29" t="n"/>
      <c r="C73" s="29" t="n"/>
      <c r="D73" s="29" t="n"/>
      <c r="E73" s="29" t="n"/>
      <c r="F73" s="29" t="n"/>
      <c r="G73" s="29" t="n"/>
      <c r="H73" s="29" t="n"/>
    </row>
    <row r="74">
      <c r="A74" s="28" t="inlineStr">
        <is>
          <t>EV-070</t>
        </is>
      </c>
      <c r="B74" s="29" t="n"/>
      <c r="C74" s="29" t="n"/>
      <c r="D74" s="29" t="n"/>
      <c r="E74" s="29" t="n"/>
      <c r="F74" s="29" t="n"/>
      <c r="G74" s="29" t="n"/>
      <c r="H74" s="29" t="n"/>
    </row>
    <row r="75">
      <c r="A75" s="28" t="inlineStr">
        <is>
          <t>EV-071</t>
        </is>
      </c>
      <c r="B75" s="29" t="n"/>
      <c r="C75" s="29" t="n"/>
      <c r="D75" s="29" t="n"/>
      <c r="E75" s="29" t="n"/>
      <c r="F75" s="29" t="n"/>
      <c r="G75" s="29" t="n"/>
      <c r="H75" s="29" t="n"/>
    </row>
    <row r="76">
      <c r="A76" s="28" t="inlineStr">
        <is>
          <t>EV-072</t>
        </is>
      </c>
      <c r="B76" s="29" t="n"/>
      <c r="C76" s="29" t="n"/>
      <c r="D76" s="29" t="n"/>
      <c r="E76" s="29" t="n"/>
      <c r="F76" s="29" t="n"/>
      <c r="G76" s="29" t="n"/>
      <c r="H76" s="29" t="n"/>
    </row>
    <row r="77">
      <c r="A77" s="28" t="inlineStr">
        <is>
          <t>EV-073</t>
        </is>
      </c>
      <c r="B77" s="29" t="n"/>
      <c r="C77" s="29" t="n"/>
      <c r="D77" s="29" t="n"/>
      <c r="E77" s="29" t="n"/>
      <c r="F77" s="29" t="n"/>
      <c r="G77" s="29" t="n"/>
      <c r="H77" s="29" t="n"/>
    </row>
    <row r="78">
      <c r="A78" s="28" t="inlineStr">
        <is>
          <t>EV-074</t>
        </is>
      </c>
      <c r="B78" s="29" t="n"/>
      <c r="C78" s="29" t="n"/>
      <c r="D78" s="29" t="n"/>
      <c r="E78" s="29" t="n"/>
      <c r="F78" s="29" t="n"/>
      <c r="G78" s="29" t="n"/>
      <c r="H78" s="29" t="n"/>
    </row>
    <row r="79">
      <c r="A79" s="28" t="inlineStr">
        <is>
          <t>EV-075</t>
        </is>
      </c>
      <c r="B79" s="29" t="n"/>
      <c r="C79" s="29" t="n"/>
      <c r="D79" s="29" t="n"/>
      <c r="E79" s="29" t="n"/>
      <c r="F79" s="29" t="n"/>
      <c r="G79" s="29" t="n"/>
      <c r="H79" s="29" t="n"/>
    </row>
    <row r="80">
      <c r="A80" s="28" t="inlineStr">
        <is>
          <t>EV-076</t>
        </is>
      </c>
      <c r="B80" s="29" t="n"/>
      <c r="C80" s="29" t="n"/>
      <c r="D80" s="29" t="n"/>
      <c r="E80" s="29" t="n"/>
      <c r="F80" s="29" t="n"/>
      <c r="G80" s="29" t="n"/>
      <c r="H80" s="29" t="n"/>
    </row>
    <row r="81">
      <c r="A81" s="28" t="inlineStr">
        <is>
          <t>EV-077</t>
        </is>
      </c>
      <c r="B81" s="29" t="n"/>
      <c r="C81" s="29" t="n"/>
      <c r="D81" s="29" t="n"/>
      <c r="E81" s="29" t="n"/>
      <c r="F81" s="29" t="n"/>
      <c r="G81" s="29" t="n"/>
      <c r="H81" s="29" t="n"/>
    </row>
    <row r="82">
      <c r="A82" s="28" t="inlineStr">
        <is>
          <t>EV-078</t>
        </is>
      </c>
      <c r="B82" s="29" t="n"/>
      <c r="C82" s="29" t="n"/>
      <c r="D82" s="29" t="n"/>
      <c r="E82" s="29" t="n"/>
      <c r="F82" s="29" t="n"/>
      <c r="G82" s="29" t="n"/>
      <c r="H82" s="29" t="n"/>
    </row>
    <row r="83">
      <c r="A83" s="28" t="inlineStr">
        <is>
          <t>EV-079</t>
        </is>
      </c>
      <c r="B83" s="29" t="n"/>
      <c r="C83" s="29" t="n"/>
      <c r="D83" s="29" t="n"/>
      <c r="E83" s="29" t="n"/>
      <c r="F83" s="29" t="n"/>
      <c r="G83" s="29" t="n"/>
      <c r="H83" s="29" t="n"/>
    </row>
    <row r="84">
      <c r="A84" s="28" t="inlineStr">
        <is>
          <t>EV-080</t>
        </is>
      </c>
      <c r="B84" s="29" t="n"/>
      <c r="C84" s="29" t="n"/>
      <c r="D84" s="29" t="n"/>
      <c r="E84" s="29" t="n"/>
      <c r="F84" s="29" t="n"/>
      <c r="G84" s="29" t="n"/>
      <c r="H84" s="29" t="n"/>
    </row>
    <row r="85">
      <c r="A85" s="28" t="inlineStr">
        <is>
          <t>EV-081</t>
        </is>
      </c>
      <c r="B85" s="29" t="n"/>
      <c r="C85" s="29" t="n"/>
      <c r="D85" s="29" t="n"/>
      <c r="E85" s="29" t="n"/>
      <c r="F85" s="29" t="n"/>
      <c r="G85" s="29" t="n"/>
      <c r="H85" s="29" t="n"/>
    </row>
    <row r="86">
      <c r="A86" s="28" t="inlineStr">
        <is>
          <t>EV-082</t>
        </is>
      </c>
      <c r="B86" s="29" t="n"/>
      <c r="C86" s="29" t="n"/>
      <c r="D86" s="29" t="n"/>
      <c r="E86" s="29" t="n"/>
      <c r="F86" s="29" t="n"/>
      <c r="G86" s="29" t="n"/>
      <c r="H86" s="29" t="n"/>
    </row>
    <row r="87">
      <c r="A87" s="28" t="inlineStr">
        <is>
          <t>EV-083</t>
        </is>
      </c>
      <c r="B87" s="29" t="n"/>
      <c r="C87" s="29" t="n"/>
      <c r="D87" s="29" t="n"/>
      <c r="E87" s="29" t="n"/>
      <c r="F87" s="29" t="n"/>
      <c r="G87" s="29" t="n"/>
      <c r="H87" s="29" t="n"/>
    </row>
    <row r="88">
      <c r="A88" s="28" t="inlineStr">
        <is>
          <t>EV-084</t>
        </is>
      </c>
      <c r="B88" s="29" t="n"/>
      <c r="C88" s="29" t="n"/>
      <c r="D88" s="29" t="n"/>
      <c r="E88" s="29" t="n"/>
      <c r="F88" s="29" t="n"/>
      <c r="G88" s="29" t="n"/>
      <c r="H88" s="29" t="n"/>
    </row>
    <row r="89">
      <c r="A89" s="28" t="inlineStr">
        <is>
          <t>EV-085</t>
        </is>
      </c>
      <c r="B89" s="29" t="n"/>
      <c r="C89" s="29" t="n"/>
      <c r="D89" s="29" t="n"/>
      <c r="E89" s="29" t="n"/>
      <c r="F89" s="29" t="n"/>
      <c r="G89" s="29" t="n"/>
      <c r="H89" s="29" t="n"/>
    </row>
    <row r="90">
      <c r="A90" s="28" t="inlineStr">
        <is>
          <t>EV-086</t>
        </is>
      </c>
      <c r="B90" s="29" t="n"/>
      <c r="C90" s="29" t="n"/>
      <c r="D90" s="29" t="n"/>
      <c r="E90" s="29" t="n"/>
      <c r="F90" s="29" t="n"/>
      <c r="G90" s="29" t="n"/>
      <c r="H90" s="29" t="n"/>
    </row>
    <row r="91">
      <c r="A91" s="28" t="inlineStr">
        <is>
          <t>EV-087</t>
        </is>
      </c>
      <c r="B91" s="29" t="n"/>
      <c r="C91" s="29" t="n"/>
      <c r="D91" s="29" t="n"/>
      <c r="E91" s="29" t="n"/>
      <c r="F91" s="29" t="n"/>
      <c r="G91" s="29" t="n"/>
      <c r="H91" s="29" t="n"/>
    </row>
    <row r="92">
      <c r="A92" s="28" t="inlineStr">
        <is>
          <t>EV-088</t>
        </is>
      </c>
      <c r="B92" s="29" t="n"/>
      <c r="C92" s="29" t="n"/>
      <c r="D92" s="29" t="n"/>
      <c r="E92" s="29" t="n"/>
      <c r="F92" s="29" t="n"/>
      <c r="G92" s="29" t="n"/>
      <c r="H92" s="29" t="n"/>
    </row>
    <row r="93">
      <c r="A93" s="28" t="inlineStr">
        <is>
          <t>EV-089</t>
        </is>
      </c>
      <c r="B93" s="29" t="n"/>
      <c r="C93" s="29" t="n"/>
      <c r="D93" s="29" t="n"/>
      <c r="E93" s="29" t="n"/>
      <c r="F93" s="29" t="n"/>
      <c r="G93" s="29" t="n"/>
      <c r="H93" s="29" t="n"/>
    </row>
    <row r="94">
      <c r="A94" s="28" t="inlineStr">
        <is>
          <t>EV-090</t>
        </is>
      </c>
      <c r="B94" s="29" t="n"/>
      <c r="C94" s="29" t="n"/>
      <c r="D94" s="29" t="n"/>
      <c r="E94" s="29" t="n"/>
      <c r="F94" s="29" t="n"/>
      <c r="G94" s="29" t="n"/>
      <c r="H94" s="29" t="n"/>
    </row>
    <row r="95">
      <c r="A95" s="28" t="inlineStr">
        <is>
          <t>EV-091</t>
        </is>
      </c>
      <c r="B95" s="29" t="n"/>
      <c r="C95" s="29" t="n"/>
      <c r="D95" s="29" t="n"/>
      <c r="E95" s="29" t="n"/>
      <c r="F95" s="29" t="n"/>
      <c r="G95" s="29" t="n"/>
      <c r="H95" s="29" t="n"/>
    </row>
    <row r="96">
      <c r="A96" s="28" t="inlineStr">
        <is>
          <t>EV-092</t>
        </is>
      </c>
      <c r="B96" s="29" t="n"/>
      <c r="C96" s="29" t="n"/>
      <c r="D96" s="29" t="n"/>
      <c r="E96" s="29" t="n"/>
      <c r="F96" s="29" t="n"/>
      <c r="G96" s="29" t="n"/>
      <c r="H96" s="29" t="n"/>
    </row>
    <row r="97">
      <c r="A97" s="28" t="inlineStr">
        <is>
          <t>EV-093</t>
        </is>
      </c>
      <c r="B97" s="29" t="n"/>
      <c r="C97" s="29" t="n"/>
      <c r="D97" s="29" t="n"/>
      <c r="E97" s="29" t="n"/>
      <c r="F97" s="29" t="n"/>
      <c r="G97" s="29" t="n"/>
      <c r="H97" s="29" t="n"/>
    </row>
    <row r="98">
      <c r="A98" s="28" t="inlineStr">
        <is>
          <t>EV-094</t>
        </is>
      </c>
      <c r="B98" s="29" t="n"/>
      <c r="C98" s="29" t="n"/>
      <c r="D98" s="29" t="n"/>
      <c r="E98" s="29" t="n"/>
      <c r="F98" s="29" t="n"/>
      <c r="G98" s="29" t="n"/>
      <c r="H98" s="29" t="n"/>
    </row>
    <row r="99">
      <c r="A99" s="28" t="inlineStr">
        <is>
          <t>EV-095</t>
        </is>
      </c>
      <c r="B99" s="29" t="n"/>
      <c r="C99" s="29" t="n"/>
      <c r="D99" s="29" t="n"/>
      <c r="E99" s="29" t="n"/>
      <c r="F99" s="29" t="n"/>
      <c r="G99" s="29" t="n"/>
      <c r="H99" s="29" t="n"/>
    </row>
    <row r="100">
      <c r="A100" s="28" t="inlineStr">
        <is>
          <t>EV-096</t>
        </is>
      </c>
      <c r="B100" s="29" t="n"/>
      <c r="C100" s="29" t="n"/>
      <c r="D100" s="29" t="n"/>
      <c r="E100" s="29" t="n"/>
      <c r="F100" s="29" t="n"/>
      <c r="G100" s="29" t="n"/>
      <c r="H100" s="29" t="n"/>
    </row>
    <row r="101">
      <c r="A101" s="28" t="inlineStr">
        <is>
          <t>EV-097</t>
        </is>
      </c>
      <c r="B101" s="29" t="n"/>
      <c r="C101" s="29" t="n"/>
      <c r="D101" s="29" t="n"/>
      <c r="E101" s="29" t="n"/>
      <c r="F101" s="29" t="n"/>
      <c r="G101" s="29" t="n"/>
      <c r="H101" s="29" t="n"/>
    </row>
    <row r="102">
      <c r="A102" s="28" t="inlineStr">
        <is>
          <t>EV-098</t>
        </is>
      </c>
      <c r="B102" s="29" t="n"/>
      <c r="C102" s="29" t="n"/>
      <c r="D102" s="29" t="n"/>
      <c r="E102" s="29" t="n"/>
      <c r="F102" s="29" t="n"/>
      <c r="G102" s="29" t="n"/>
      <c r="H102" s="29" t="n"/>
    </row>
    <row r="103">
      <c r="A103" s="28" t="inlineStr">
        <is>
          <t>EV-099</t>
        </is>
      </c>
      <c r="B103" s="29" t="n"/>
      <c r="C103" s="29" t="n"/>
      <c r="D103" s="29" t="n"/>
      <c r="E103" s="29" t="n"/>
      <c r="F103" s="29" t="n"/>
      <c r="G103" s="29" t="n"/>
      <c r="H103" s="29" t="n"/>
    </row>
    <row r="104">
      <c r="A104" s="28" t="inlineStr">
        <is>
          <t>EV-100</t>
        </is>
      </c>
      <c r="B104" s="29" t="n"/>
      <c r="C104" s="29" t="n"/>
      <c r="D104" s="29" t="n"/>
      <c r="E104" s="29" t="n"/>
      <c r="F104" s="29" t="n"/>
      <c r="G104" s="29" t="n"/>
      <c r="H104" s="29"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1" type="list">
      <formula1>"Configuration file,Screenshot,Network scan,Documentation,Vendor spec,Certificate inventory,Audit log,Compliance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1" type="list">
      <formula1>"Verified,Pending verification,Not verified,Requires update"</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40" customWidth="1" min="1" max="1"/>
    <col width="14" customWidth="1" min="2" max="2"/>
    <col width="14" customWidth="1" min="3" max="3"/>
    <col width="14" customWidth="1" min="4" max="4"/>
    <col width="16" customWidth="1" min="5" max="5"/>
    <col width="10" customWidth="1" min="6" max="6"/>
    <col width="14" customWidth="1" min="7" max="7"/>
  </cols>
  <sheetData>
    <row r="1" ht="35" customHeight="1">
      <c r="A1" s="30" t="inlineStr">
        <is>
          <t>SECURITY HARDENING — SUMMARY DASHBOARD</t>
        </is>
      </c>
    </row>
    <row r="2">
      <c r="A2" s="31" t="inlineStr">
        <is>
          <t>Executive summary of hardening standards compliance, control implementation, exception management, and remediation status</t>
        </is>
      </c>
    </row>
    <row r="4" ht="20" customHeight="1">
      <c r="A4" s="32" t="inlineStr">
        <is>
          <t>TABLE 1 — HARDENING COMPLIANCE ASSESSMENT BY AREA</t>
        </is>
      </c>
    </row>
    <row r="5" ht="18" customHeight="1">
      <c r="A5" s="33" t="inlineStr">
        <is>
          <t>Assessment Area</t>
        </is>
      </c>
      <c r="B5" s="33" t="inlineStr">
        <is>
          <t>Total Items</t>
        </is>
      </c>
      <c r="C5" s="33" t="inlineStr">
        <is>
          <t>Compliant</t>
        </is>
      </c>
      <c r="D5" s="33" t="inlineStr">
        <is>
          <t>Partial</t>
        </is>
      </c>
      <c r="E5" s="33" t="inlineStr">
        <is>
          <t>Non-Compliant</t>
        </is>
      </c>
      <c r="F5" s="33" t="inlineStr">
        <is>
          <t>N/A</t>
        </is>
      </c>
      <c r="G5" s="33" t="inlineStr">
        <is>
          <t>Compliance %</t>
        </is>
      </c>
    </row>
    <row r="6">
      <c r="A6" s="34" t="inlineStr">
        <is>
          <t>Asset Hardening Assessment</t>
        </is>
      </c>
      <c r="B6" s="35">
        <f>COUNTA('Asset Hardening Assessment'!A:A)-1</f>
        <v/>
      </c>
      <c r="C6" s="35">
        <f>COUNTIF('Asset Hardening Assessment'!U:U,"✅ Fully Compliant")+COUNTIF('Asset Hardening Assessment'!U:U,"✅ Compliant")</f>
        <v/>
      </c>
      <c r="D6" s="35">
        <f>COUNTIF('Asset Hardening Assessment'!U:U,"⚠️ Substantially Compliant")+COUNTIF('Asset Hardening Assessment'!U:U,"⚠️ Partially Compliant")</f>
        <v/>
      </c>
      <c r="E6" s="35">
        <f>COUNTIF('Asset Hardening Assessment'!U:U,"❌ Non-Compliant")</f>
        <v/>
      </c>
      <c r="F6" s="35">
        <f>0</f>
        <v/>
      </c>
      <c r="G6" s="36">
        <f>IF((B6-F6)=0,0,C6/(B6-F6))</f>
        <v/>
      </c>
    </row>
    <row r="7">
      <c r="A7" s="34" t="inlineStr">
        <is>
          <t>Control Compliance Detail</t>
        </is>
      </c>
      <c r="B7" s="35">
        <f>COUNTA('Control Compliance Detail'!B:B)-1</f>
        <v/>
      </c>
      <c r="C7" s="35">
        <f>COUNTIF('Control Compliance Detail'!Q:Q,"✅ Pass")</f>
        <v/>
      </c>
      <c r="D7" s="35">
        <f>COUNTIF('Control Compliance Detail'!Q:Q,"⚠️ Partial")</f>
        <v/>
      </c>
      <c r="E7" s="35">
        <f>COUNTIF('Control Compliance Detail'!Q:Q,"❌ Fail")</f>
        <v/>
      </c>
      <c r="F7" s="35">
        <f>COUNTIF('Control Compliance Detail'!Q:Q,"➖ N/A")</f>
        <v/>
      </c>
      <c r="G7" s="36">
        <f>IF((B7-F7)=0,0,C7/(B7-F7))</f>
        <v/>
      </c>
    </row>
    <row r="8">
      <c r="A8" s="34" t="inlineStr">
        <is>
          <t>Exception Management</t>
        </is>
      </c>
      <c r="B8" s="35">
        <f>COUNTA('Exception Management'!B:B)-2</f>
        <v/>
      </c>
      <c r="C8" s="35">
        <f>COUNTIF('Exception Management'!W:W,"✅ Approved")+COUNTIF('Exception Management'!W:W,"⚠️ Conditionally Approved")+COUNTIF('Exception Management'!W:W,"✅ Closed")</f>
        <v/>
      </c>
      <c r="D8" s="35">
        <f>COUNTIF('Exception Management'!W:W,"⏳ Pending Review")+COUNTIF('Exception Management'!W:W,"⏳ Under Review")</f>
        <v/>
      </c>
      <c r="E8" s="35">
        <f>COUNTIF('Exception Management'!W:W,"❌ Rejected")+COUNTIF('Exception Management'!W:W,"⏰ Expired")</f>
        <v/>
      </c>
      <c r="F8" s="35">
        <f>0</f>
        <v/>
      </c>
      <c r="G8" s="36">
        <f>IF((B8-F8)=0,0,C8/(B8-F8))</f>
        <v/>
      </c>
    </row>
    <row r="9">
      <c r="A9" s="34" t="inlineStr">
        <is>
          <t>Remediation Tracking</t>
        </is>
      </c>
      <c r="B9" s="35">
        <f>COUNTA('Remediation Tracking'!B:B)-2</f>
        <v/>
      </c>
      <c r="C9" s="35">
        <f>COUNTIF('Remediation Tracking'!AE:AE,"✅ Completed")+COUNTIF('Remediation Tracking'!AE:AE,"✅ Closed - Fixed")+COUNTIF('Remediation Tracking'!AE:AE,"⚠️ Closed - Exception")+COUNTIF('Remediation Tracking'!AE:AE,"➖ Closed - Not Required")</f>
        <v/>
      </c>
      <c r="D9" s="35">
        <f>COUNTIF('Remediation Tracking'!AE:AE,"Planning")+COUNTIF('Remediation Tracking'!AE:AE,"✅ Approved")+COUNTIF('Remediation Tracking'!AE:AE,"⏳ In Progress")+COUNTIF('Remediation Tracking'!AE:AE,"⏳ Verification")</f>
        <v/>
      </c>
      <c r="E9" s="35">
        <f>COUNTIF('Remediation Tracking'!AE:AE,"Identified")+COUNTIF('Remediation Tracking'!AE:AE,"❌ Blocked")+COUNTIF('Remediation Tracking'!AE:AE,"⚠️ Deferred")</f>
        <v/>
      </c>
      <c r="F9" s="35">
        <f>0</f>
        <v/>
      </c>
      <c r="G9" s="36">
        <f>IF((B9-F9)=0,0,C9/(B9-F9))</f>
        <v/>
      </c>
    </row>
    <row r="10">
      <c r="A10" s="37" t="inlineStr">
        <is>
          <t>TOTAL</t>
        </is>
      </c>
      <c r="B10" s="33">
        <f>SUM(B6:B9)</f>
        <v/>
      </c>
      <c r="C10" s="33">
        <f>SUM(C6:C9)</f>
        <v/>
      </c>
      <c r="D10" s="33">
        <f>SUM(D6:D9)</f>
        <v/>
      </c>
      <c r="E10" s="33">
        <f>SUM(E6:E9)</f>
        <v/>
      </c>
      <c r="F10" s="33">
        <f>SUM(F6:F9)</f>
        <v/>
      </c>
      <c r="G10" s="38">
        <f>IF((B10-F10)=0,0,C10/(B10-F10))</f>
        <v/>
      </c>
    </row>
    <row r="12">
      <c r="A12" s="32" t="inlineStr">
        <is>
          <t>TABLE 2 — KEY HARDENING PERFORMANCE INDICATORS</t>
        </is>
      </c>
    </row>
    <row r="13">
      <c r="A13" s="33" t="inlineStr">
        <is>
          <t>KPI</t>
        </is>
      </c>
      <c r="B13" s="33" t="inlineStr">
        <is>
          <t>Value</t>
        </is>
      </c>
      <c r="C13" s="33" t="inlineStr">
        <is>
          <t>Target</t>
        </is>
      </c>
      <c r="D13" s="33" t="inlineStr">
        <is>
          <t>Notes</t>
        </is>
      </c>
    </row>
    <row r="14">
      <c r="A14" s="39" t="inlineStr">
        <is>
          <t>Assets Fully/Substantially Compliant %</t>
        </is>
      </c>
      <c r="B14" s="36">
        <f>IF(B6=0,0,(C6+D6)/B6)</f>
        <v/>
      </c>
      <c r="C14" s="40" t="inlineStr">
        <is>
          <t>≥95%</t>
        </is>
      </c>
      <c r="D14" s="41" t="inlineStr">
        <is>
          <t>% of assessed assets at Compliant or Substantially Compliant status</t>
        </is>
      </c>
    </row>
    <row r="15">
      <c r="A15" s="39" t="inlineStr">
        <is>
          <t>Control Pass Rate %</t>
        </is>
      </c>
      <c r="B15" s="36">
        <f>IF(B7=0,0,C7/(B7-F7))</f>
        <v/>
      </c>
      <c r="C15" s="40" t="inlineStr">
        <is>
          <t>≥95%</t>
        </is>
      </c>
      <c r="D15" s="41" t="inlineStr">
        <is>
          <t>% of applicable controls with ✅ Pass status</t>
        </is>
      </c>
    </row>
    <row r="16">
      <c r="A16" s="39" t="inlineStr">
        <is>
          <t>Active Approved Exceptions</t>
        </is>
      </c>
      <c r="B16" s="35">
        <f>COUNTIF('Exception Management'!W:W,"✅ Approved")+COUNTIF('Exception Management'!W:W,"⚠️ Conditionally Approved")</f>
        <v/>
      </c>
      <c r="C16" s="40" t="inlineStr">
        <is>
          <t>&lt;5% of controls</t>
        </is>
      </c>
      <c r="D16" s="41" t="inlineStr">
        <is>
          <t>Exceptions in approved status — should be minimised</t>
        </is>
      </c>
    </row>
    <row r="17">
      <c r="A17" s="39" t="inlineStr">
        <is>
          <t>Expired Exceptions</t>
        </is>
      </c>
      <c r="B17" s="35">
        <f>COUNTIF('Exception Management'!W:W,"⏰ Expired")</f>
        <v/>
      </c>
      <c r="C17" s="40" t="inlineStr">
        <is>
          <t>0</t>
        </is>
      </c>
      <c r="D17" s="41" t="inlineStr">
        <is>
          <t>Exceptions past valid-until date — require immediate renewal or closure</t>
        </is>
      </c>
    </row>
    <row r="18">
      <c r="A18" s="39" t="inlineStr">
        <is>
          <t>Open Remediation Items</t>
        </is>
      </c>
      <c r="B18" s="35">
        <f>COUNTIF('Remediation Tracking'!AE:AE,"Identified")+COUNTIF('Remediation Tracking'!AE:AE,"❌ Blocked")+COUNTIF('Remediation Tracking'!AE:AE,"⚠️ Deferred")</f>
        <v/>
      </c>
      <c r="C18" s="40" t="inlineStr">
        <is>
          <t>0</t>
        </is>
      </c>
      <c r="D18" s="41" t="inlineStr">
        <is>
          <t>Remediation items not yet in progress</t>
        </is>
      </c>
    </row>
    <row r="19">
      <c r="A19" s="39" t="inlineStr">
        <is>
          <t>Critical Assets Non-Compliant</t>
        </is>
      </c>
      <c r="B19" s="35">
        <f>COUNTIFS('Asset Hardening Assessment'!D:D,"Critical",'Asset Hardening Assessment'!U:U,"❌ Non-Compliant")</f>
        <v/>
      </c>
      <c r="C19" s="40" t="inlineStr">
        <is>
          <t>0</t>
        </is>
      </c>
      <c r="D19" s="41" t="inlineStr">
        <is>
          <t>Critical tier assets with Non-Compliant status — zero tolerance</t>
        </is>
      </c>
    </row>
    <row r="22">
      <c r="A22" s="42" t="inlineStr">
        <is>
          <t>TABLE 3 — KEY FINDINGS AND RECOMMENDED ACTIONS</t>
        </is>
      </c>
    </row>
    <row r="23">
      <c r="A23" s="33" t="inlineStr">
        <is>
          <t>#</t>
        </is>
      </c>
      <c r="B23" s="33" t="inlineStr">
        <is>
          <t>Finding</t>
        </is>
      </c>
      <c r="C23" s="33" t="inlineStr">
        <is>
          <t>Priority</t>
        </is>
      </c>
      <c r="D23" s="33" t="inlineStr">
        <is>
          <t>Recommended Action</t>
        </is>
      </c>
      <c r="E23" s="43" t="n"/>
      <c r="F23" s="43" t="n"/>
      <c r="G23" s="44" t="n"/>
    </row>
    <row r="24" ht="45" customHeight="1">
      <c r="A24" s="45" t="inlineStr">
        <is>
          <t>1</t>
        </is>
      </c>
      <c r="B24" s="17" t="inlineStr">
        <is>
          <t>Asset Hardening Assessment — assets with '❌ Non-Compliant' status have failed to meet the minimum hardening standard and present unacceptable security risk</t>
        </is>
      </c>
      <c r="C24" s="46" t="inlineStr">
        <is>
          <t>Critical</t>
        </is>
      </c>
      <c r="D24" s="17" t="inlineStr">
        <is>
          <t>Identify all Non-Compliant assets immediately; assign remediation owners; establish 3-day resolution target for Critical assets and 7 days for High tier</t>
        </is>
      </c>
    </row>
    <row r="25" ht="45" customHeight="1">
      <c r="A25" s="45" t="inlineStr">
        <is>
          <t>2</t>
        </is>
      </c>
      <c r="B25" s="17" t="inlineStr">
        <is>
          <t>Control Compliance Detail — controls with '❌ Fail' status represent specific configuration gaps that directly increase attack surface</t>
        </is>
      </c>
      <c r="C25" s="47" t="inlineStr">
        <is>
          <t>High</t>
        </is>
      </c>
      <c r="D25" s="17" t="inlineStr">
        <is>
          <t>Prioritise Fail controls by severity (Critical first); create remediation plans in Remediation Tracking; verify fixes with automated re-scan</t>
        </is>
      </c>
    </row>
    <row r="26" ht="45" customHeight="1">
      <c r="A26" s="45" t="inlineStr">
        <is>
          <t>3</t>
        </is>
      </c>
      <c r="B26" s="17" t="inlineStr">
        <is>
          <t>Exception Management — expired exceptions ('⏰ Expired') represent unapproved deviations from hardening requirements that must be resolved immediately</t>
        </is>
      </c>
      <c r="C26" s="47" t="inlineStr">
        <is>
          <t>High</t>
        </is>
      </c>
      <c r="D26" s="17" t="inlineStr">
        <is>
          <t>Review all expired exceptions within 5 business days; either renew with CISO approval or remediate the underlying gap</t>
        </is>
      </c>
    </row>
    <row r="27" ht="45" customHeight="1">
      <c r="A27" s="45" t="inlineStr">
        <is>
          <t>4</t>
        </is>
      </c>
      <c r="B27" s="17" t="inlineStr">
        <is>
          <t>Remediation Tracking — items in 'Identified' or '❌ Blocked' status are not progressing toward resolution and may represent systemic organisational barriers</t>
        </is>
      </c>
      <c r="C27" s="48" t="inlineStr">
        <is>
          <t>Medium</t>
        </is>
      </c>
      <c r="D27" s="17" t="inlineStr">
        <is>
          <t>Review stalled remediations with asset owners; resolve blockers or escalate to management; ensure all items have target completion dates and assigned owners</t>
        </is>
      </c>
    </row>
  </sheetData>
  <mergeCells count="17">
    <mergeCell ref="D23:G23"/>
    <mergeCell ref="D18:G18"/>
    <mergeCell ref="A1:G1"/>
    <mergeCell ref="D17:G17"/>
    <mergeCell ref="D26:G26"/>
    <mergeCell ref="D25:G25"/>
    <mergeCell ref="A22:G22"/>
    <mergeCell ref="A12:G12"/>
    <mergeCell ref="A4:G4"/>
    <mergeCell ref="D16:G16"/>
    <mergeCell ref="D24:G24"/>
    <mergeCell ref="A2:G2"/>
    <mergeCell ref="D15:G15"/>
    <mergeCell ref="D19:G19"/>
    <mergeCell ref="D13:G13"/>
    <mergeCell ref="D27:G27"/>
    <mergeCell ref="D14:G14"/>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0" t="inlineStr">
        <is>
          <t>ASSESSMENT APPROVAL AND SIGN-OFF</t>
        </is>
      </c>
    </row>
    <row r="3">
      <c r="A3" s="49" t="inlineStr">
        <is>
          <t>ASSESSMENT SUMMARY</t>
        </is>
      </c>
    </row>
    <row r="4">
      <c r="A4" s="50" t="inlineStr">
        <is>
          <t>Document:</t>
        </is>
      </c>
      <c r="B4" s="6" t="inlineStr">
        <is>
          <t>ISMS-IMP-A.8.9.4 - Security Hardening Assessment</t>
        </is>
      </c>
    </row>
    <row r="5">
      <c r="A5" s="50" t="inlineStr">
        <is>
          <t>Assessment Period:</t>
        </is>
      </c>
      <c r="B5" s="51" t="inlineStr"/>
    </row>
    <row r="6">
      <c r="A6" s="50" t="inlineStr">
        <is>
          <t>Overall Compliance:</t>
        </is>
      </c>
      <c r="B6" s="6">
        <f>'Summary Dashboard'!G10</f>
        <v/>
      </c>
    </row>
    <row r="7">
      <c r="A7" s="50" t="inlineStr">
        <is>
          <t>Assessment Status:</t>
        </is>
      </c>
      <c r="B7" s="51" t="inlineStr"/>
    </row>
    <row r="10">
      <c r="A10" s="49" t="inlineStr">
        <is>
          <t>COMPLETED BY (ASSESSOR)</t>
        </is>
      </c>
    </row>
    <row r="11">
      <c r="A11" s="50" t="inlineStr">
        <is>
          <t>Name:</t>
        </is>
      </c>
      <c r="B11" s="51" t="n"/>
    </row>
    <row r="12">
      <c r="A12" s="50" t="inlineStr">
        <is>
          <t>Title:</t>
        </is>
      </c>
      <c r="B12" s="51" t="n"/>
    </row>
    <row r="13">
      <c r="A13" s="50" t="inlineStr">
        <is>
          <t>Date:</t>
        </is>
      </c>
      <c r="B13" s="51" t="n"/>
    </row>
    <row r="14">
      <c r="A14" s="50" t="inlineStr">
        <is>
          <t>Signature:</t>
        </is>
      </c>
      <c r="B14" s="51" t="n"/>
    </row>
    <row r="15">
      <c r="A15" s="50" t="inlineStr">
        <is>
          <t>Comments:</t>
        </is>
      </c>
      <c r="B15" s="51" t="n"/>
    </row>
    <row r="17">
      <c r="A17" s="49" t="inlineStr">
        <is>
          <t>REVIEWED BY (INFORMATION SECURITY OFFICER)</t>
        </is>
      </c>
    </row>
    <row r="18">
      <c r="A18" s="50" t="inlineStr">
        <is>
          <t>Name:</t>
        </is>
      </c>
      <c r="B18" s="51" t="n"/>
    </row>
    <row r="19">
      <c r="A19" s="50" t="inlineStr">
        <is>
          <t>Title:</t>
        </is>
      </c>
      <c r="B19" s="51" t="n"/>
    </row>
    <row r="20">
      <c r="A20" s="50" t="inlineStr">
        <is>
          <t>Date:</t>
        </is>
      </c>
      <c r="B20" s="51" t="n"/>
    </row>
    <row r="21">
      <c r="A21" s="50" t="inlineStr">
        <is>
          <t>Signature:</t>
        </is>
      </c>
      <c r="B21" s="51" t="n"/>
    </row>
    <row r="22">
      <c r="A22" s="50" t="inlineStr">
        <is>
          <t>Comments:</t>
        </is>
      </c>
      <c r="B22" s="51" t="n"/>
    </row>
    <row r="24">
      <c r="A24" s="52" t="inlineStr">
        <is>
          <t>APPROVED BY (CISO)</t>
        </is>
      </c>
    </row>
    <row r="25">
      <c r="A25" s="50" t="inlineStr">
        <is>
          <t>Name:</t>
        </is>
      </c>
      <c r="B25" s="51" t="n"/>
    </row>
    <row r="26">
      <c r="A26" s="50" t="inlineStr">
        <is>
          <t>Title:</t>
        </is>
      </c>
      <c r="B26" s="51" t="n"/>
    </row>
    <row r="27">
      <c r="A27" s="50" t="inlineStr">
        <is>
          <t>Date:</t>
        </is>
      </c>
      <c r="B27" s="51" t="n"/>
    </row>
    <row r="28">
      <c r="A28" s="50" t="inlineStr">
        <is>
          <t>Signature:</t>
        </is>
      </c>
      <c r="B28" s="51" t="n"/>
    </row>
    <row r="29">
      <c r="A29" s="50" t="inlineStr">
        <is>
          <t>Comments:</t>
        </is>
      </c>
      <c r="B29" s="51" t="n"/>
    </row>
    <row r="31">
      <c r="A31" s="50" t="inlineStr">
        <is>
          <t>FINAL DECISION:</t>
        </is>
      </c>
      <c r="B31" s="51" t="n"/>
    </row>
    <row r="34">
      <c r="A34" s="49" t="inlineStr">
        <is>
          <t>NEXT REVIEW DETAILS</t>
        </is>
      </c>
    </row>
    <row r="35">
      <c r="A35" s="50" t="inlineStr">
        <is>
          <t>Next Review Date:</t>
        </is>
      </c>
      <c r="B35" s="51" t="n"/>
    </row>
    <row r="36">
      <c r="A36" s="50" t="inlineStr">
        <is>
          <t>Review Responsible:</t>
        </is>
      </c>
      <c r="B36" s="51" t="n"/>
    </row>
    <row r="37">
      <c r="A37" s="50" t="inlineStr">
        <is>
          <t>Special Considerations:</t>
        </is>
      </c>
      <c r="B37" s="51"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0"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ISMS-IMP-A.8.9.4 — Security Hardening Assessment</dc:title>
  <dc:description xmlns:dc="http://purl.org/dc/elements/1.1/">ISMS Implementation Workbook — ISMS-IMP-A.8.9.4</dc:description>
  <dc:subject xmlns:dc="http://purl.org/dc/elements/1.1/">ISO/IEC 27001:2022 — Control A.8.9: Configuration Management</dc:subject>
  <dcterms:created xmlns:dcterms="http://purl.org/dc/terms/" xmlns:xsi="http://www.w3.org/2001/XMLSchema-instance" xsi:type="dcterms:W3CDTF">2026-03-01T10:18:36Z</dcterms:created>
  <dcterms:modified xmlns:dcterms="http://purl.org/dc/terms/" xmlns:xsi="http://www.w3.org/2001/XMLSchema-instance" xsi:type="dcterms:W3CDTF">2026-03-01T10:18:36Z</dcterms:modified>
</cp:coreProperties>
</file>