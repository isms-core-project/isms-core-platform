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Request Register" sheetId="2" state="visible" r:id="rId2"/>
    <sheet xmlns:r="http://schemas.openxmlformats.org/officeDocument/2006/relationships" name="Change Approval Workflow" sheetId="3" state="visible" r:id="rId3"/>
    <sheet xmlns:r="http://schemas.openxmlformats.org/officeDocument/2006/relationships" name="Impact Assessment" sheetId="4" state="visible" r:id="rId4"/>
    <sheet xmlns:r="http://schemas.openxmlformats.org/officeDocument/2006/relationships" name="Testing Validation" sheetId="5" state="visible" r:id="rId5"/>
    <sheet xmlns:r="http://schemas.openxmlformats.org/officeDocument/2006/relationships" name="Implementation Log" sheetId="6" state="visible" r:id="rId6"/>
    <sheet xmlns:r="http://schemas.openxmlformats.org/officeDocument/2006/relationships" name="Rollback Capability" sheetId="7" state="visible" r:id="rId7"/>
    <sheet xmlns:r="http://schemas.openxmlformats.org/officeDocument/2006/relationships" name="Emergency Changes" sheetId="8" state="visible" r:id="rId8"/>
    <sheet xmlns:r="http://schemas.openxmlformats.org/officeDocument/2006/relationships" name="Change Success Metric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i val="1"/>
      <sz val="11"/>
    </font>
    <font>
      <name val="Calibri"/>
      <sz val="11"/>
    </font>
    <font>
      <name val="Calibri"/>
      <b val="1"/>
      <color rgb="00FFFFFF"/>
      <sz val="12"/>
    </font>
    <font>
      <name val="Calibri"/>
      <i val="1"/>
      <color rgb="00666666"/>
      <sz val="10"/>
    </font>
    <font>
      <i val="1"/>
    </font>
    <font>
      <name val="Calibri"/>
      <b val="1"/>
      <color rgb="00FFFFFF"/>
      <sz val="11"/>
    </font>
    <font>
      <color rgb="00808080"/>
    </font>
    <font>
      <b val="1"/>
      <color rgb="00FFFFFF"/>
      <sz val="14"/>
    </font>
    <font>
      <name val="Calibri"/>
      <i val="1"/>
      <color rgb="00003366"/>
      <sz val="10"/>
    </font>
    <font>
      <b val="1"/>
      <color rgb="00FFFFFF"/>
      <sz val="11"/>
    </font>
    <font>
      <b val="1"/>
      <color rgb="00000000"/>
      <sz val="10"/>
    </font>
    <font>
      <color rgb="00000000"/>
      <sz val="10"/>
    </font>
    <font>
      <color rgb="000000FF"/>
      <sz val="10"/>
    </font>
    <font>
      <i val="1"/>
      <color rgb="00000000"/>
      <sz val="9"/>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164" fontId="6" fillId="10" borderId="1" applyAlignment="1" pivotButton="0" quotePrefix="0" xfId="0">
      <alignment horizontal="left" vertical="top"/>
    </xf>
    <xf numFmtId="0" fontId="8" fillId="12" borderId="1" applyAlignment="1" pivotButton="0" quotePrefix="0" xfId="0">
      <alignment horizontal="left" vertical="center"/>
    </xf>
    <xf numFmtId="0" fontId="7" fillId="0" borderId="0" pivotButton="0" quotePrefix="0" xfId="0"/>
    <xf numFmtId="0" fontId="7" fillId="10" borderId="0" pivotButton="0" quotePrefix="0" xfId="0"/>
    <xf numFmtId="0" fontId="9" fillId="0" borderId="0" applyAlignment="1" pivotButton="0" quotePrefix="0" xfId="0">
      <alignment horizontal="center"/>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1" borderId="0" pivotButton="0" quotePrefix="0" xfId="0"/>
    <xf numFmtId="0" fontId="0" fillId="11" borderId="1" applyAlignment="1" pivotButton="0" quotePrefix="0" xfId="0">
      <alignment horizontal="left" vertical="center" wrapText="1"/>
    </xf>
    <xf numFmtId="0" fontId="13" fillId="8" borderId="0" applyAlignment="1" pivotButton="0" quotePrefix="0" xfId="0">
      <alignment horizontal="center" vertical="center" wrapText="1"/>
    </xf>
    <xf numFmtId="0" fontId="14" fillId="0" borderId="0" applyAlignment="1" pivotButton="0" quotePrefix="0" xfId="0">
      <alignment horizontal="left" vertical="center"/>
    </xf>
    <xf numFmtId="0" fontId="15" fillId="12" borderId="0" applyAlignment="1" pivotButton="0" quotePrefix="0" xfId="0">
      <alignment horizontal="center" vertical="center"/>
    </xf>
    <xf numFmtId="0" fontId="16" fillId="9" borderId="1" applyAlignment="1" pivotButton="0" quotePrefix="0" xfId="0">
      <alignment horizontal="center" vertical="center"/>
    </xf>
    <xf numFmtId="0" fontId="17" fillId="0" borderId="1" applyAlignment="1" pivotButton="0" quotePrefix="0" xfId="0">
      <alignment horizontal="left" vertical="center"/>
    </xf>
    <xf numFmtId="0" fontId="18" fillId="0" borderId="1" applyAlignment="1" pivotButton="0" quotePrefix="0" xfId="0">
      <alignment horizontal="center" vertical="center"/>
    </xf>
    <xf numFmtId="165" fontId="18" fillId="0" borderId="1" applyAlignment="1" pivotButton="0" quotePrefix="0" xfId="0">
      <alignment horizontal="center" vertical="center"/>
    </xf>
    <xf numFmtId="0" fontId="16" fillId="9" borderId="1" applyAlignment="1" pivotButton="0" quotePrefix="0" xfId="0">
      <alignment horizontal="left" vertical="center"/>
    </xf>
    <xf numFmtId="165" fontId="16" fillId="9" borderId="1" applyAlignment="1" pivotButton="0" quotePrefix="0" xfId="0">
      <alignment horizontal="center" vertical="center"/>
    </xf>
    <xf numFmtId="0" fontId="0" fillId="0" borderId="4" pivotButton="0" quotePrefix="0" xfId="0"/>
    <xf numFmtId="0" fontId="0" fillId="0" borderId="5" pivotButton="0" quotePrefix="0" xfId="0"/>
    <xf numFmtId="0" fontId="17" fillId="0" borderId="1" applyAlignment="1" pivotButton="0" quotePrefix="0" xfId="0">
      <alignment horizontal="center" vertical="center"/>
    </xf>
    <xf numFmtId="0" fontId="19" fillId="0" borderId="1" applyAlignment="1" pivotButton="0" quotePrefix="0" xfId="0">
      <alignment horizontal="left" vertical="top" wrapText="1"/>
    </xf>
    <xf numFmtId="165" fontId="17" fillId="0" borderId="1" applyAlignment="1" pivotButton="0" quotePrefix="0" xfId="0">
      <alignment horizontal="center" vertical="center"/>
    </xf>
    <xf numFmtId="0" fontId="15" fillId="13" borderId="0" applyAlignment="1" pivotButton="0" quotePrefix="0" xfId="0">
      <alignment horizontal="left" vertical="center"/>
    </xf>
    <xf numFmtId="0" fontId="17" fillId="11" borderId="1" applyAlignment="1" pivotButton="0" quotePrefix="0" xfId="0">
      <alignment horizontal="left" vertical="center"/>
    </xf>
    <xf numFmtId="0" fontId="17" fillId="11" borderId="1" applyAlignment="1" pivotButton="0" quotePrefix="0" xfId="0">
      <alignment horizontal="center" vertical="center"/>
    </xf>
    <xf numFmtId="0" fontId="19" fillId="11" borderId="1" applyAlignment="1" pivotButton="0" quotePrefix="0" xfId="0">
      <alignment horizontal="left" vertical="top" wrapText="1"/>
    </xf>
    <xf numFmtId="0" fontId="0" fillId="11" borderId="1" pivotButton="0" quotePrefix="0" xfId="0"/>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 fillId="8" borderId="1" applyAlignment="1" pivotButton="0" quotePrefix="0" xfId="0">
      <alignment horizontal="center" vertical="center"/>
    </xf>
    <xf numFmtId="0" fontId="15" fillId="12" borderId="1" pivotButton="0" quotePrefix="0" xfId="0"/>
    <xf numFmtId="0" fontId="20" fillId="0" borderId="0" pivotButton="0" quotePrefix="0" xfId="0"/>
    <xf numFmtId="0" fontId="15" fillId="8" borderId="1" pivotButton="0" quotePrefix="0" xfId="0"/>
  </cellXfs>
  <cellStyles count="1">
    <cellStyle name="Normal" xfId="0" builtinId="0" hidden="0"/>
  </cellStyles>
  <dxfs count="11">
    <dxf>
      <font>
        <color rgb="00FFA500"/>
      </font>
    </dxf>
    <dxf>
      <font>
        <b val="1"/>
        <color rgb="009C0006"/>
      </font>
    </dxf>
    <dxf>
      <font>
        <b val="1"/>
      </font>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FFC7CE"/>
          <bgColor rgb="00FFC7CE"/>
        </patternFill>
      </fill>
    </dxf>
    <dxf>
      <font>
        <b val="1"/>
        <color rgb="00006100"/>
      </font>
    </dxf>
    <dxf>
      <font>
        <b val="1"/>
        <color rgb="00FFFFFF"/>
      </font>
      <fill>
        <patternFill patternType="solid">
          <fgColor rgb="00C00000"/>
          <bgColor rgb="00C00000"/>
        </patternFill>
      </fill>
    </dxf>
    <dxf>
      <font>
        <b val="1"/>
      </font>
      <fill>
        <patternFill patternType="solid">
          <fgColor rgb="00C6EFCE"/>
          <bgColor rgb="00C6EFCE"/>
        </patternFill>
      </fill>
    </dxf>
    <dxf>
      <font>
        <color rgb="00006100"/>
      </font>
    </dxf>
    <dxf>
      <font>
        <b val="1"/>
        <color rgb="009C65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ISMS-IMP-A.8.9.2  -  Change Control
ISO/IEC 27001:2022 - Control A.8.9: Configuration Management</t>
        </is>
      </c>
    </row>
    <row r="3">
      <c r="A3" s="2" t="inlineStr">
        <is>
          <t>Document Information</t>
        </is>
      </c>
    </row>
    <row r="4">
      <c r="A4" s="3" t="inlineStr">
        <is>
          <t>Document ID</t>
        </is>
      </c>
      <c r="B4" t="inlineStr">
        <is>
          <t>ISMS-IMP-A.8.9.2</t>
        </is>
      </c>
    </row>
    <row r="5">
      <c r="A5" s="3" t="inlineStr">
        <is>
          <t>Workbook Title</t>
        </is>
      </c>
      <c r="B5" t="inlineStr">
        <is>
          <t>Change Control</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15" customWidth="1" min="3" max="3"/>
    <col width="15" customWidth="1" min="4" max="4"/>
    <col width="35" customWidth="1" min="5" max="5"/>
    <col width="20" customWidth="1" min="6" max="6"/>
    <col width="20" customWidth="1" min="7" max="7"/>
    <col width="15" customWidth="1" min="8" max="8"/>
    <col width="15" customWidth="1" min="9" max="9"/>
    <col width="18" customWidth="1" min="10" max="10"/>
    <col width="18" customWidth="1" min="11" max="11"/>
    <col width="12" customWidth="1" min="12" max="12"/>
    <col width="18" customWidth="1" min="13" max="13"/>
    <col width="40" customWidth="1" min="14" max="14"/>
  </cols>
  <sheetData>
    <row r="1" ht="35" customHeight="1">
      <c r="A1" s="11" t="inlineStr">
        <is>
          <t>CHANGE REQUEST REGISTER - CONFIGURATION CHANGE TRACKING</t>
        </is>
      </c>
    </row>
    <row r="2">
      <c r="A2" s="12" t="inlineStr">
        <is>
          <t>Change ID</t>
        </is>
      </c>
      <c r="B2" s="12" t="inlineStr">
        <is>
          <t>Change Title</t>
        </is>
      </c>
      <c r="C2" s="12" t="inlineStr">
        <is>
          <t>Change Type</t>
        </is>
      </c>
      <c r="D2" s="12" t="inlineStr">
        <is>
          <t>Priority</t>
        </is>
      </c>
      <c r="E2" s="12" t="inlineStr">
        <is>
          <t>Affected Systems/Assets</t>
        </is>
      </c>
      <c r="F2" s="12" t="inlineStr">
        <is>
          <t>Requestor Name</t>
        </is>
      </c>
      <c r="G2" s="12" t="inlineStr">
        <is>
          <t>Requestor Contact</t>
        </is>
      </c>
      <c r="H2" s="12" t="inlineStr">
        <is>
          <t>Request Date</t>
        </is>
      </c>
      <c r="I2" s="12" t="inlineStr">
        <is>
          <t>Required Implementation Date</t>
        </is>
      </c>
      <c r="J2" s="12" t="inlineStr">
        <is>
          <t>Change Status</t>
        </is>
      </c>
      <c r="K2" s="12" t="inlineStr">
        <is>
          <t>Current Phase</t>
        </is>
      </c>
      <c r="L2" s="12" t="inlineStr">
        <is>
          <t>Days in Current Phase</t>
        </is>
      </c>
      <c r="M2" s="12" t="inlineStr">
        <is>
          <t>Overall Status Indicator</t>
        </is>
      </c>
      <c r="N2" s="12" t="inlineStr">
        <is>
          <t>Notes</t>
        </is>
      </c>
    </row>
    <row r="4">
      <c r="A4" s="13" t="inlineStr">
        <is>
          <t>CRQ-2026-0001</t>
        </is>
      </c>
      <c r="B4" s="13" t="inlineStr">
        <is>
          <t>Disable legacy TLS 1.0/1.1 on all web servers</t>
        </is>
      </c>
      <c r="C4" s="13" t="inlineStr">
        <is>
          <t>Normal</t>
        </is>
      </c>
      <c r="D4" s="13" t="inlineStr">
        <is>
          <t>P2-High</t>
        </is>
      </c>
      <c r="E4" s="13" t="inlineStr">
        <is>
          <t>All production web servers (12 hosts)</t>
        </is>
      </c>
      <c r="F4" s="13" t="inlineStr">
        <is>
          <t>J. Smith</t>
        </is>
      </c>
      <c r="G4" s="13" t="inlineStr">
        <is>
          <t>j.smith@company.com</t>
        </is>
      </c>
      <c r="H4" s="13" t="inlineStr">
        <is>
          <t>05.01.2026</t>
        </is>
      </c>
      <c r="I4" s="13" t="inlineStr">
        <is>
          <t>20.01.2026</t>
        </is>
      </c>
      <c r="J4" s="13" t="inlineStr">
        <is>
          <t>✅ Completed</t>
        </is>
      </c>
      <c r="K4" s="13" t="inlineStr"/>
      <c r="L4" s="13" t="inlineStr"/>
      <c r="M4" s="13" t="inlineStr"/>
      <c r="N4" s="13" t="inlineStr">
        <is>
          <t>Completed ahead of schedule</t>
        </is>
      </c>
    </row>
    <row r="5">
      <c r="A5" s="14" t="n"/>
      <c r="B5" s="14" t="n"/>
      <c r="C5" s="14" t="n"/>
      <c r="D5" s="14" t="n"/>
      <c r="E5" s="14" t="n"/>
      <c r="F5" s="14" t="n"/>
      <c r="G5" s="14" t="n"/>
      <c r="H5" s="14" t="n"/>
      <c r="I5" s="14" t="n"/>
      <c r="J5" s="14" t="n"/>
      <c r="K5" s="13">
        <f>IF(J5="Draft","Planning",IF(J5="Submitted","Approval",IF(OR(J5="Approved",J5="In Testing"),"Testing",IF(J5="Scheduled","Pre-Implementation",IF(J5="Implementing","Implementation",IF(OR(J5="Completed",J5="Failed",J5="Rolled Back",J5="Cancelled"),"Closed","Unknown"))))))</f>
        <v/>
      </c>
      <c r="L5" s="13">
        <f>IF(H5="","",TODAY()-H5)</f>
        <v/>
      </c>
      <c r="M5" s="13">
        <f>IF(OR(J5="Completed",J5="Cancelled"),"Complete",IF(L5&gt;30,"Delayed",IF(L5&gt;14,"At Risk","On Track")))</f>
        <v/>
      </c>
      <c r="N5" s="14" t="n"/>
    </row>
    <row r="6">
      <c r="A6" s="14" t="n"/>
      <c r="B6" s="14" t="n"/>
      <c r="C6" s="14" t="n"/>
      <c r="D6" s="14" t="n"/>
      <c r="E6" s="14" t="n"/>
      <c r="F6" s="14" t="n"/>
      <c r="G6" s="14" t="n"/>
      <c r="H6" s="14" t="n"/>
      <c r="I6" s="14" t="n"/>
      <c r="J6" s="14" t="n"/>
      <c r="K6" s="13">
        <f>IF(J6="Draft","Planning",IF(J6="Submitted","Approval",IF(OR(J6="Approved",J6="In Testing"),"Testing",IF(J6="Scheduled","Pre-Implementation",IF(J6="Implementing","Implementation",IF(OR(J6="Completed",J6="Failed",J6="Rolled Back",J6="Cancelled"),"Closed","Unknown"))))))</f>
        <v/>
      </c>
      <c r="L6" s="13">
        <f>IF(H6="","",TODAY()-H6)</f>
        <v/>
      </c>
      <c r="M6" s="13">
        <f>IF(OR(J6="Completed",J6="Cancelled"),"Complete",IF(L6&gt;30,"Delayed",IF(L6&gt;14,"At Risk","On Track")))</f>
        <v/>
      </c>
      <c r="N6" s="14" t="n"/>
    </row>
    <row r="7">
      <c r="A7" s="14" t="n"/>
      <c r="B7" s="14" t="n"/>
      <c r="C7" s="14" t="n"/>
      <c r="D7" s="14" t="n"/>
      <c r="E7" s="14" t="n"/>
      <c r="F7" s="14" t="n"/>
      <c r="G7" s="14" t="n"/>
      <c r="H7" s="14" t="n"/>
      <c r="I7" s="14" t="n"/>
      <c r="J7" s="14" t="n"/>
      <c r="K7" s="13">
        <f>IF(J7="Draft","Planning",IF(J7="Submitted","Approval",IF(OR(J7="Approved",J7="In Testing"),"Testing",IF(J7="Scheduled","Pre-Implementation",IF(J7="Implementing","Implementation",IF(OR(J7="Completed",J7="Failed",J7="Rolled Back",J7="Cancelled"),"Closed","Unknown"))))))</f>
        <v/>
      </c>
      <c r="L7" s="13">
        <f>IF(H7="","",TODAY()-H7)</f>
        <v/>
      </c>
      <c r="M7" s="13">
        <f>IF(OR(J7="Completed",J7="Cancelled"),"Complete",IF(L7&gt;30,"Delayed",IF(L7&gt;14,"At Risk","On Track")))</f>
        <v/>
      </c>
      <c r="N7" s="14" t="n"/>
    </row>
    <row r="8">
      <c r="A8" s="14" t="n"/>
      <c r="B8" s="14" t="n"/>
      <c r="C8" s="14" t="n"/>
      <c r="D8" s="14" t="n"/>
      <c r="E8" s="14" t="n"/>
      <c r="F8" s="14" t="n"/>
      <c r="G8" s="14" t="n"/>
      <c r="H8" s="14" t="n"/>
      <c r="I8" s="14" t="n"/>
      <c r="J8" s="14" t="n"/>
      <c r="K8" s="13">
        <f>IF(J8="Draft","Planning",IF(J8="Submitted","Approval",IF(OR(J8="Approved",J8="In Testing"),"Testing",IF(J8="Scheduled","Pre-Implementation",IF(J8="Implementing","Implementation",IF(OR(J8="Completed",J8="Failed",J8="Rolled Back",J8="Cancelled"),"Closed","Unknown"))))))</f>
        <v/>
      </c>
      <c r="L8" s="13">
        <f>IF(H8="","",TODAY()-H8)</f>
        <v/>
      </c>
      <c r="M8" s="13">
        <f>IF(OR(J8="Completed",J8="Cancelled"),"Complete",IF(L8&gt;30,"Delayed",IF(L8&gt;14,"At Risk","On Track")))</f>
        <v/>
      </c>
      <c r="N8" s="14" t="n"/>
    </row>
    <row r="9">
      <c r="A9" s="14" t="n"/>
      <c r="B9" s="14" t="n"/>
      <c r="C9" s="14" t="n"/>
      <c r="D9" s="14" t="n"/>
      <c r="E9" s="14" t="n"/>
      <c r="F9" s="14" t="n"/>
      <c r="G9" s="14" t="n"/>
      <c r="H9" s="14" t="n"/>
      <c r="I9" s="14" t="n"/>
      <c r="J9" s="14" t="n"/>
      <c r="K9" s="13">
        <f>IF(J9="Draft","Planning",IF(J9="Submitted","Approval",IF(OR(J9="Approved",J9="In Testing"),"Testing",IF(J9="Scheduled","Pre-Implementation",IF(J9="Implementing","Implementation",IF(OR(J9="Completed",J9="Failed",J9="Rolled Back",J9="Cancelled"),"Closed","Unknown"))))))</f>
        <v/>
      </c>
      <c r="L9" s="13">
        <f>IF(H9="","",TODAY()-H9)</f>
        <v/>
      </c>
      <c r="M9" s="13">
        <f>IF(OR(J9="Completed",J9="Cancelled"),"Complete",IF(L9&gt;30,"Delayed",IF(L9&gt;14,"At Risk","On Track")))</f>
        <v/>
      </c>
      <c r="N9" s="14" t="n"/>
    </row>
    <row r="10">
      <c r="A10" s="14" t="n"/>
      <c r="B10" s="14" t="n"/>
      <c r="C10" s="14" t="n"/>
      <c r="D10" s="14" t="n"/>
      <c r="E10" s="14" t="n"/>
      <c r="F10" s="14" t="n"/>
      <c r="G10" s="14" t="n"/>
      <c r="H10" s="14" t="n"/>
      <c r="I10" s="14" t="n"/>
      <c r="J10" s="14" t="n"/>
      <c r="K10" s="13">
        <f>IF(J10="Draft","Planning",IF(J10="Submitted","Approval",IF(OR(J10="Approved",J10="In Testing"),"Testing",IF(J10="Scheduled","Pre-Implementation",IF(J10="Implementing","Implementation",IF(OR(J10="Completed",J10="Failed",J10="Rolled Back",J10="Cancelled"),"Closed","Unknown"))))))</f>
        <v/>
      </c>
      <c r="L10" s="13">
        <f>IF(H10="","",TODAY()-H10)</f>
        <v/>
      </c>
      <c r="M10" s="13">
        <f>IF(OR(J10="Completed",J10="Cancelled"),"Complete",IF(L10&gt;30,"Delayed",IF(L10&gt;14,"At Risk","On Track")))</f>
        <v/>
      </c>
      <c r="N10" s="14" t="n"/>
    </row>
    <row r="11">
      <c r="A11" s="14" t="n"/>
      <c r="B11" s="14" t="n"/>
      <c r="C11" s="14" t="n"/>
      <c r="D11" s="14" t="n"/>
      <c r="E11" s="14" t="n"/>
      <c r="F11" s="14" t="n"/>
      <c r="G11" s="14" t="n"/>
      <c r="H11" s="14" t="n"/>
      <c r="I11" s="14" t="n"/>
      <c r="J11" s="14" t="n"/>
      <c r="K11" s="13">
        <f>IF(J11="Draft","Planning",IF(J11="Submitted","Approval",IF(OR(J11="Approved",J11="In Testing"),"Testing",IF(J11="Scheduled","Pre-Implementation",IF(J11="Implementing","Implementation",IF(OR(J11="Completed",J11="Failed",J11="Rolled Back",J11="Cancelled"),"Closed","Unknown"))))))</f>
        <v/>
      </c>
      <c r="L11" s="13">
        <f>IF(H11="","",TODAY()-H11)</f>
        <v/>
      </c>
      <c r="M11" s="13">
        <f>IF(OR(J11="Completed",J11="Cancelled"),"Complete",IF(L11&gt;30,"Delayed",IF(L11&gt;14,"At Risk","On Track")))</f>
        <v/>
      </c>
      <c r="N11" s="14" t="n"/>
    </row>
    <row r="12">
      <c r="A12" s="14" t="n"/>
      <c r="B12" s="14" t="n"/>
      <c r="C12" s="14" t="n"/>
      <c r="D12" s="14" t="n"/>
      <c r="E12" s="14" t="n"/>
      <c r="F12" s="14" t="n"/>
      <c r="G12" s="14" t="n"/>
      <c r="H12" s="14" t="n"/>
      <c r="I12" s="14" t="n"/>
      <c r="J12" s="14" t="n"/>
      <c r="K12" s="13">
        <f>IF(J12="Draft","Planning",IF(J12="Submitted","Approval",IF(OR(J12="Approved",J12="In Testing"),"Testing",IF(J12="Scheduled","Pre-Implementation",IF(J12="Implementing","Implementation",IF(OR(J12="Completed",J12="Failed",J12="Rolled Back",J12="Cancelled"),"Closed","Unknown"))))))</f>
        <v/>
      </c>
      <c r="L12" s="13">
        <f>IF(H12="","",TODAY()-H12)</f>
        <v/>
      </c>
      <c r="M12" s="13">
        <f>IF(OR(J12="Completed",J12="Cancelled"),"Complete",IF(L12&gt;30,"Delayed",IF(L12&gt;14,"At Risk","On Track")))</f>
        <v/>
      </c>
      <c r="N12" s="14" t="n"/>
    </row>
    <row r="13">
      <c r="A13" s="14" t="n"/>
      <c r="B13" s="14" t="n"/>
      <c r="C13" s="14" t="n"/>
      <c r="D13" s="14" t="n"/>
      <c r="E13" s="14" t="n"/>
      <c r="F13" s="14" t="n"/>
      <c r="G13" s="14" t="n"/>
      <c r="H13" s="14" t="n"/>
      <c r="I13" s="14" t="n"/>
      <c r="J13" s="14" t="n"/>
      <c r="K13" s="13">
        <f>IF(J13="Draft","Planning",IF(J13="Submitted","Approval",IF(OR(J13="Approved",J13="In Testing"),"Testing",IF(J13="Scheduled","Pre-Implementation",IF(J13="Implementing","Implementation",IF(OR(J13="Completed",J13="Failed",J13="Rolled Back",J13="Cancelled"),"Closed","Unknown"))))))</f>
        <v/>
      </c>
      <c r="L13" s="13">
        <f>IF(H13="","",TODAY()-H13)</f>
        <v/>
      </c>
      <c r="M13" s="13">
        <f>IF(OR(J13="Completed",J13="Cancelled"),"Complete",IF(L13&gt;30,"Delayed",IF(L13&gt;14,"At Risk","On Track")))</f>
        <v/>
      </c>
      <c r="N13" s="14" t="n"/>
    </row>
    <row r="14">
      <c r="A14" s="14" t="n"/>
      <c r="B14" s="14" t="n"/>
      <c r="C14" s="14" t="n"/>
      <c r="D14" s="14" t="n"/>
      <c r="E14" s="14" t="n"/>
      <c r="F14" s="14" t="n"/>
      <c r="G14" s="14" t="n"/>
      <c r="H14" s="14" t="n"/>
      <c r="I14" s="14" t="n"/>
      <c r="J14" s="14" t="n"/>
      <c r="K14" s="13">
        <f>IF(J14="Draft","Planning",IF(J14="Submitted","Approval",IF(OR(J14="Approved",J14="In Testing"),"Testing",IF(J14="Scheduled","Pre-Implementation",IF(J14="Implementing","Implementation",IF(OR(J14="Completed",J14="Failed",J14="Rolled Back",J14="Cancelled"),"Closed","Unknown"))))))</f>
        <v/>
      </c>
      <c r="L14" s="13">
        <f>IF(H14="","",TODAY()-H14)</f>
        <v/>
      </c>
      <c r="M14" s="13">
        <f>IF(OR(J14="Completed",J14="Cancelled"),"Complete",IF(L14&gt;30,"Delayed",IF(L14&gt;14,"At Risk","On Track")))</f>
        <v/>
      </c>
      <c r="N14" s="14" t="n"/>
    </row>
    <row r="15">
      <c r="A15" s="14" t="n"/>
      <c r="B15" s="14" t="n"/>
      <c r="C15" s="14" t="n"/>
      <c r="D15" s="14" t="n"/>
      <c r="E15" s="14" t="n"/>
      <c r="F15" s="14" t="n"/>
      <c r="G15" s="14" t="n"/>
      <c r="H15" s="14" t="n"/>
      <c r="I15" s="14" t="n"/>
      <c r="J15" s="14" t="n"/>
      <c r="K15" s="13">
        <f>IF(J15="Draft","Planning",IF(J15="Submitted","Approval",IF(OR(J15="Approved",J15="In Testing"),"Testing",IF(J15="Scheduled","Pre-Implementation",IF(J15="Implementing","Implementation",IF(OR(J15="Completed",J15="Failed",J15="Rolled Back",J15="Cancelled"),"Closed","Unknown"))))))</f>
        <v/>
      </c>
      <c r="L15" s="13">
        <f>IF(H15="","",TODAY()-H15)</f>
        <v/>
      </c>
      <c r="M15" s="13">
        <f>IF(OR(J15="Completed",J15="Cancelled"),"Complete",IF(L15&gt;30,"Delayed",IF(L15&gt;14,"At Risk","On Track")))</f>
        <v/>
      </c>
      <c r="N15" s="14" t="n"/>
    </row>
    <row r="16">
      <c r="A16" s="14" t="n"/>
      <c r="B16" s="14" t="n"/>
      <c r="C16" s="14" t="n"/>
      <c r="D16" s="14" t="n"/>
      <c r="E16" s="14" t="n"/>
      <c r="F16" s="14" t="n"/>
      <c r="G16" s="14" t="n"/>
      <c r="H16" s="14" t="n"/>
      <c r="I16" s="14" t="n"/>
      <c r="J16" s="14" t="n"/>
      <c r="K16" s="13">
        <f>IF(J16="Draft","Planning",IF(J16="Submitted","Approval",IF(OR(J16="Approved",J16="In Testing"),"Testing",IF(J16="Scheduled","Pre-Implementation",IF(J16="Implementing","Implementation",IF(OR(J16="Completed",J16="Failed",J16="Rolled Back",J16="Cancelled"),"Closed","Unknown"))))))</f>
        <v/>
      </c>
      <c r="L16" s="13">
        <f>IF(H16="","",TODAY()-H16)</f>
        <v/>
      </c>
      <c r="M16" s="13">
        <f>IF(OR(J16="Completed",J16="Cancelled"),"Complete",IF(L16&gt;30,"Delayed",IF(L16&gt;14,"At Risk","On Track")))</f>
        <v/>
      </c>
      <c r="N16" s="14" t="n"/>
    </row>
    <row r="17">
      <c r="A17" s="14" t="n"/>
      <c r="B17" s="14" t="n"/>
      <c r="C17" s="14" t="n"/>
      <c r="D17" s="14" t="n"/>
      <c r="E17" s="14" t="n"/>
      <c r="F17" s="14" t="n"/>
      <c r="G17" s="14" t="n"/>
      <c r="H17" s="14" t="n"/>
      <c r="I17" s="14" t="n"/>
      <c r="J17" s="14" t="n"/>
      <c r="K17" s="13">
        <f>IF(J17="Draft","Planning",IF(J17="Submitted","Approval",IF(OR(J17="Approved",J17="In Testing"),"Testing",IF(J17="Scheduled","Pre-Implementation",IF(J17="Implementing","Implementation",IF(OR(J17="Completed",J17="Failed",J17="Rolled Back",J17="Cancelled"),"Closed","Unknown"))))))</f>
        <v/>
      </c>
      <c r="L17" s="13">
        <f>IF(H17="","",TODAY()-H17)</f>
        <v/>
      </c>
      <c r="M17" s="13">
        <f>IF(OR(J17="Completed",J17="Cancelled"),"Complete",IF(L17&gt;30,"Delayed",IF(L17&gt;14,"At Risk","On Track")))</f>
        <v/>
      </c>
      <c r="N17" s="14" t="n"/>
    </row>
    <row r="18">
      <c r="A18" s="14" t="n"/>
      <c r="B18" s="14" t="n"/>
      <c r="C18" s="14" t="n"/>
      <c r="D18" s="14" t="n"/>
      <c r="E18" s="14" t="n"/>
      <c r="F18" s="14" t="n"/>
      <c r="G18" s="14" t="n"/>
      <c r="H18" s="14" t="n"/>
      <c r="I18" s="14" t="n"/>
      <c r="J18" s="14" t="n"/>
      <c r="K18" s="13">
        <f>IF(J18="Draft","Planning",IF(J18="Submitted","Approval",IF(OR(J18="Approved",J18="In Testing"),"Testing",IF(J18="Scheduled","Pre-Implementation",IF(J18="Implementing","Implementation",IF(OR(J18="Completed",J18="Failed",J18="Rolled Back",J18="Cancelled"),"Closed","Unknown"))))))</f>
        <v/>
      </c>
      <c r="L18" s="13">
        <f>IF(H18="","",TODAY()-H18)</f>
        <v/>
      </c>
      <c r="M18" s="13">
        <f>IF(OR(J18="Completed",J18="Cancelled"),"Complete",IF(L18&gt;30,"Delayed",IF(L18&gt;14,"At Risk","On Track")))</f>
        <v/>
      </c>
      <c r="N18" s="14" t="n"/>
    </row>
    <row r="19">
      <c r="A19" s="14" t="n"/>
      <c r="B19" s="14" t="n"/>
      <c r="C19" s="14" t="n"/>
      <c r="D19" s="14" t="n"/>
      <c r="E19" s="14" t="n"/>
      <c r="F19" s="14" t="n"/>
      <c r="G19" s="14" t="n"/>
      <c r="H19" s="14" t="n"/>
      <c r="I19" s="14" t="n"/>
      <c r="J19" s="14" t="n"/>
      <c r="K19" s="13">
        <f>IF(J19="Draft","Planning",IF(J19="Submitted","Approval",IF(OR(J19="Approved",J19="In Testing"),"Testing",IF(J19="Scheduled","Pre-Implementation",IF(J19="Implementing","Implementation",IF(OR(J19="Completed",J19="Failed",J19="Rolled Back",J19="Cancelled"),"Closed","Unknown"))))))</f>
        <v/>
      </c>
      <c r="L19" s="13">
        <f>IF(H19="","",TODAY()-H19)</f>
        <v/>
      </c>
      <c r="M19" s="13">
        <f>IF(OR(J19="Completed",J19="Cancelled"),"Complete",IF(L19&gt;30,"Delayed",IF(L19&gt;14,"At Risk","On Track")))</f>
        <v/>
      </c>
      <c r="N19" s="14" t="n"/>
    </row>
    <row r="20">
      <c r="A20" s="14" t="n"/>
      <c r="B20" s="14" t="n"/>
      <c r="C20" s="14" t="n"/>
      <c r="D20" s="14" t="n"/>
      <c r="E20" s="14" t="n"/>
      <c r="F20" s="14" t="n"/>
      <c r="G20" s="14" t="n"/>
      <c r="H20" s="14" t="n"/>
      <c r="I20" s="14" t="n"/>
      <c r="J20" s="14" t="n"/>
      <c r="K20" s="13">
        <f>IF(J20="Draft","Planning",IF(J20="Submitted","Approval",IF(OR(J20="Approved",J20="In Testing"),"Testing",IF(J20="Scheduled","Pre-Implementation",IF(J20="Implementing","Implementation",IF(OR(J20="Completed",J20="Failed",J20="Rolled Back",J20="Cancelled"),"Closed","Unknown"))))))</f>
        <v/>
      </c>
      <c r="L20" s="13">
        <f>IF(H20="","",TODAY()-H20)</f>
        <v/>
      </c>
      <c r="M20" s="13">
        <f>IF(OR(J20="Completed",J20="Cancelled"),"Complete",IF(L20&gt;30,"Delayed",IF(L20&gt;14,"At Risk","On Track")))</f>
        <v/>
      </c>
      <c r="N20" s="14" t="n"/>
    </row>
    <row r="21">
      <c r="A21" s="14" t="n"/>
      <c r="B21" s="14" t="n"/>
      <c r="C21" s="14" t="n"/>
      <c r="D21" s="14" t="n"/>
      <c r="E21" s="14" t="n"/>
      <c r="F21" s="14" t="n"/>
      <c r="G21" s="14" t="n"/>
      <c r="H21" s="14" t="n"/>
      <c r="I21" s="14" t="n"/>
      <c r="J21" s="14" t="n"/>
      <c r="K21" s="13">
        <f>IF(J21="Draft","Planning",IF(J21="Submitted","Approval",IF(OR(J21="Approved",J21="In Testing"),"Testing",IF(J21="Scheduled","Pre-Implementation",IF(J21="Implementing","Implementation",IF(OR(J21="Completed",J21="Failed",J21="Rolled Back",J21="Cancelled"),"Closed","Unknown"))))))</f>
        <v/>
      </c>
      <c r="L21" s="13">
        <f>IF(H21="","",TODAY()-H21)</f>
        <v/>
      </c>
      <c r="M21" s="13">
        <f>IF(OR(J21="Completed",J21="Cancelled"),"Complete",IF(L21&gt;30,"Delayed",IF(L21&gt;14,"At Risk","On Track")))</f>
        <v/>
      </c>
      <c r="N21" s="14" t="n"/>
    </row>
    <row r="22">
      <c r="A22" s="14" t="n"/>
      <c r="B22" s="14" t="n"/>
      <c r="C22" s="14" t="n"/>
      <c r="D22" s="14" t="n"/>
      <c r="E22" s="14" t="n"/>
      <c r="F22" s="14" t="n"/>
      <c r="G22" s="14" t="n"/>
      <c r="H22" s="14" t="n"/>
      <c r="I22" s="14" t="n"/>
      <c r="J22" s="14" t="n"/>
      <c r="K22" s="13">
        <f>IF(J22="Draft","Planning",IF(J22="Submitted","Approval",IF(OR(J22="Approved",J22="In Testing"),"Testing",IF(J22="Scheduled","Pre-Implementation",IF(J22="Implementing","Implementation",IF(OR(J22="Completed",J22="Failed",J22="Rolled Back",J22="Cancelled"),"Closed","Unknown"))))))</f>
        <v/>
      </c>
      <c r="L22" s="13">
        <f>IF(H22="","",TODAY()-H22)</f>
        <v/>
      </c>
      <c r="M22" s="13">
        <f>IF(OR(J22="Completed",J22="Cancelled"),"Complete",IF(L22&gt;30,"Delayed",IF(L22&gt;14,"At Risk","On Track")))</f>
        <v/>
      </c>
      <c r="N22" s="14" t="n"/>
    </row>
    <row r="23">
      <c r="A23" s="14" t="n"/>
      <c r="B23" s="14" t="n"/>
      <c r="C23" s="14" t="n"/>
      <c r="D23" s="14" t="n"/>
      <c r="E23" s="14" t="n"/>
      <c r="F23" s="14" t="n"/>
      <c r="G23" s="14" t="n"/>
      <c r="H23" s="14" t="n"/>
      <c r="I23" s="14" t="n"/>
      <c r="J23" s="14" t="n"/>
      <c r="K23" s="13">
        <f>IF(J23="Draft","Planning",IF(J23="Submitted","Approval",IF(OR(J23="Approved",J23="In Testing"),"Testing",IF(J23="Scheduled","Pre-Implementation",IF(J23="Implementing","Implementation",IF(OR(J23="Completed",J23="Failed",J23="Rolled Back",J23="Cancelled"),"Closed","Unknown"))))))</f>
        <v/>
      </c>
      <c r="L23" s="13">
        <f>IF(H23="","",TODAY()-H23)</f>
        <v/>
      </c>
      <c r="M23" s="13">
        <f>IF(OR(J23="Completed",J23="Cancelled"),"Complete",IF(L23&gt;30,"Delayed",IF(L23&gt;14,"At Risk","On Track")))</f>
        <v/>
      </c>
      <c r="N23" s="14" t="n"/>
    </row>
    <row r="24">
      <c r="A24" s="14" t="n"/>
      <c r="B24" s="14" t="n"/>
      <c r="C24" s="14" t="n"/>
      <c r="D24" s="14" t="n"/>
      <c r="E24" s="14" t="n"/>
      <c r="F24" s="14" t="n"/>
      <c r="G24" s="14" t="n"/>
      <c r="H24" s="14" t="n"/>
      <c r="I24" s="14" t="n"/>
      <c r="J24" s="14" t="n"/>
      <c r="K24" s="13">
        <f>IF(J24="Draft","Planning",IF(J24="Submitted","Approval",IF(OR(J24="Approved",J24="In Testing"),"Testing",IF(J24="Scheduled","Pre-Implementation",IF(J24="Implementing","Implementation",IF(OR(J24="Completed",J24="Failed",J24="Rolled Back",J24="Cancelled"),"Closed","Unknown"))))))</f>
        <v/>
      </c>
      <c r="L24" s="13">
        <f>IF(H24="","",TODAY()-H24)</f>
        <v/>
      </c>
      <c r="M24" s="13">
        <f>IF(OR(J24="Completed",J24="Cancelled"),"Complete",IF(L24&gt;30,"Delayed",IF(L24&gt;14,"At Risk","On Track")))</f>
        <v/>
      </c>
      <c r="N24" s="14" t="n"/>
    </row>
    <row r="25">
      <c r="A25" s="14" t="n"/>
      <c r="B25" s="14" t="n"/>
      <c r="C25" s="14" t="n"/>
      <c r="D25" s="14" t="n"/>
      <c r="E25" s="14" t="n"/>
      <c r="F25" s="14" t="n"/>
      <c r="G25" s="14" t="n"/>
      <c r="H25" s="14" t="n"/>
      <c r="I25" s="14" t="n"/>
      <c r="J25" s="14" t="n"/>
      <c r="K25" s="13">
        <f>IF(J25="Draft","Planning",IF(J25="Submitted","Approval",IF(OR(J25="Approved",J25="In Testing"),"Testing",IF(J25="Scheduled","Pre-Implementation",IF(J25="Implementing","Implementation",IF(OR(J25="Completed",J25="Failed",J25="Rolled Back",J25="Cancelled"),"Closed","Unknown"))))))</f>
        <v/>
      </c>
      <c r="L25" s="13">
        <f>IF(H25="","",TODAY()-H25)</f>
        <v/>
      </c>
      <c r="M25" s="13">
        <f>IF(OR(J25="Completed",J25="Cancelled"),"Complete",IF(L25&gt;30,"Delayed",IF(L25&gt;14,"At Risk","On Track")))</f>
        <v/>
      </c>
      <c r="N25" s="14" t="n"/>
    </row>
    <row r="26">
      <c r="A26" s="14" t="n"/>
      <c r="B26" s="14" t="n"/>
      <c r="C26" s="14" t="n"/>
      <c r="D26" s="14" t="n"/>
      <c r="E26" s="14" t="n"/>
      <c r="F26" s="14" t="n"/>
      <c r="G26" s="14" t="n"/>
      <c r="H26" s="14" t="n"/>
      <c r="I26" s="14" t="n"/>
      <c r="J26" s="14" t="n"/>
      <c r="K26" s="13">
        <f>IF(J26="Draft","Planning",IF(J26="Submitted","Approval",IF(OR(J26="Approved",J26="In Testing"),"Testing",IF(J26="Scheduled","Pre-Implementation",IF(J26="Implementing","Implementation",IF(OR(J26="Completed",J26="Failed",J26="Rolled Back",J26="Cancelled"),"Closed","Unknown"))))))</f>
        <v/>
      </c>
      <c r="L26" s="13">
        <f>IF(H26="","",TODAY()-H26)</f>
        <v/>
      </c>
      <c r="M26" s="13">
        <f>IF(OR(J26="Completed",J26="Cancelled"),"Complete",IF(L26&gt;30,"Delayed",IF(L26&gt;14,"At Risk","On Track")))</f>
        <v/>
      </c>
      <c r="N26" s="14" t="n"/>
    </row>
    <row r="27">
      <c r="A27" s="14" t="n"/>
      <c r="B27" s="14" t="n"/>
      <c r="C27" s="14" t="n"/>
      <c r="D27" s="14" t="n"/>
      <c r="E27" s="14" t="n"/>
      <c r="F27" s="14" t="n"/>
      <c r="G27" s="14" t="n"/>
      <c r="H27" s="14" t="n"/>
      <c r="I27" s="14" t="n"/>
      <c r="J27" s="14" t="n"/>
      <c r="K27" s="13">
        <f>IF(J27="Draft","Planning",IF(J27="Submitted","Approval",IF(OR(J27="Approved",J27="In Testing"),"Testing",IF(J27="Scheduled","Pre-Implementation",IF(J27="Implementing","Implementation",IF(OR(J27="Completed",J27="Failed",J27="Rolled Back",J27="Cancelled"),"Closed","Unknown"))))))</f>
        <v/>
      </c>
      <c r="L27" s="13">
        <f>IF(H27="","",TODAY()-H27)</f>
        <v/>
      </c>
      <c r="M27" s="13">
        <f>IF(OR(J27="Completed",J27="Cancelled"),"Complete",IF(L27&gt;30,"Delayed",IF(L27&gt;14,"At Risk","On Track")))</f>
        <v/>
      </c>
      <c r="N27" s="14" t="n"/>
    </row>
    <row r="28">
      <c r="A28" s="14" t="n"/>
      <c r="B28" s="14" t="n"/>
      <c r="C28" s="14" t="n"/>
      <c r="D28" s="14" t="n"/>
      <c r="E28" s="14" t="n"/>
      <c r="F28" s="14" t="n"/>
      <c r="G28" s="14" t="n"/>
      <c r="H28" s="14" t="n"/>
      <c r="I28" s="14" t="n"/>
      <c r="J28" s="14" t="n"/>
      <c r="K28" s="13">
        <f>IF(J28="Draft","Planning",IF(J28="Submitted","Approval",IF(OR(J28="Approved",J28="In Testing"),"Testing",IF(J28="Scheduled","Pre-Implementation",IF(J28="Implementing","Implementation",IF(OR(J28="Completed",J28="Failed",J28="Rolled Back",J28="Cancelled"),"Closed","Unknown"))))))</f>
        <v/>
      </c>
      <c r="L28" s="13">
        <f>IF(H28="","",TODAY()-H28)</f>
        <v/>
      </c>
      <c r="M28" s="13">
        <f>IF(OR(J28="Completed",J28="Cancelled"),"Complete",IF(L28&gt;30,"Delayed",IF(L28&gt;14,"At Risk","On Track")))</f>
        <v/>
      </c>
      <c r="N28" s="14" t="n"/>
    </row>
    <row r="29">
      <c r="A29" s="14" t="n"/>
      <c r="B29" s="14" t="n"/>
      <c r="C29" s="14" t="n"/>
      <c r="D29" s="14" t="n"/>
      <c r="E29" s="14" t="n"/>
      <c r="F29" s="14" t="n"/>
      <c r="G29" s="14" t="n"/>
      <c r="H29" s="14" t="n"/>
      <c r="I29" s="14" t="n"/>
      <c r="J29" s="14" t="n"/>
      <c r="K29" s="13">
        <f>IF(J29="Draft","Planning",IF(J29="Submitted","Approval",IF(OR(J29="Approved",J29="In Testing"),"Testing",IF(J29="Scheduled","Pre-Implementation",IF(J29="Implementing","Implementation",IF(OR(J29="Completed",J29="Failed",J29="Rolled Back",J29="Cancelled"),"Closed","Unknown"))))))</f>
        <v/>
      </c>
      <c r="L29" s="13">
        <f>IF(H29="","",TODAY()-H29)</f>
        <v/>
      </c>
      <c r="M29" s="13">
        <f>IF(OR(J29="Completed",J29="Cancelled"),"Complete",IF(L29&gt;30,"Delayed",IF(L29&gt;14,"At Risk","On Track")))</f>
        <v/>
      </c>
      <c r="N29" s="14" t="n"/>
    </row>
    <row r="30">
      <c r="A30" s="14" t="n"/>
      <c r="B30" s="14" t="n"/>
      <c r="C30" s="14" t="n"/>
      <c r="D30" s="14" t="n"/>
      <c r="E30" s="14" t="n"/>
      <c r="F30" s="14" t="n"/>
      <c r="G30" s="14" t="n"/>
      <c r="H30" s="14" t="n"/>
      <c r="I30" s="14" t="n"/>
      <c r="J30" s="14" t="n"/>
      <c r="K30" s="13">
        <f>IF(J30="Draft","Planning",IF(J30="Submitted","Approval",IF(OR(J30="Approved",J30="In Testing"),"Testing",IF(J30="Scheduled","Pre-Implementation",IF(J30="Implementing","Implementation",IF(OR(J30="Completed",J30="Failed",J30="Rolled Back",J30="Cancelled"),"Closed","Unknown"))))))</f>
        <v/>
      </c>
      <c r="L30" s="13">
        <f>IF(H30="","",TODAY()-H30)</f>
        <v/>
      </c>
      <c r="M30" s="13">
        <f>IF(OR(J30="Completed",J30="Cancelled"),"Complete",IF(L30&gt;30,"Delayed",IF(L30&gt;14,"At Risk","On Track")))</f>
        <v/>
      </c>
      <c r="N30" s="14" t="n"/>
    </row>
    <row r="31">
      <c r="A31" s="14" t="n"/>
      <c r="B31" s="14" t="n"/>
      <c r="C31" s="14" t="n"/>
      <c r="D31" s="14" t="n"/>
      <c r="E31" s="14" t="n"/>
      <c r="F31" s="14" t="n"/>
      <c r="G31" s="14" t="n"/>
      <c r="H31" s="14" t="n"/>
      <c r="I31" s="14" t="n"/>
      <c r="J31" s="14" t="n"/>
      <c r="K31" s="13">
        <f>IF(J31="Draft","Planning",IF(J31="Submitted","Approval",IF(OR(J31="Approved",J31="In Testing"),"Testing",IF(J31="Scheduled","Pre-Implementation",IF(J31="Implementing","Implementation",IF(OR(J31="Completed",J31="Failed",J31="Rolled Back",J31="Cancelled"),"Closed","Unknown"))))))</f>
        <v/>
      </c>
      <c r="L31" s="13">
        <f>IF(H31="","",TODAY()-H31)</f>
        <v/>
      </c>
      <c r="M31" s="13">
        <f>IF(OR(J31="Completed",J31="Cancelled"),"Complete",IF(L31&gt;30,"Delayed",IF(L31&gt;14,"At Risk","On Track")))</f>
        <v/>
      </c>
      <c r="N31" s="14" t="n"/>
    </row>
    <row r="32">
      <c r="A32" s="14" t="n"/>
      <c r="B32" s="14" t="n"/>
      <c r="C32" s="14" t="n"/>
      <c r="D32" s="14" t="n"/>
      <c r="E32" s="14" t="n"/>
      <c r="F32" s="14" t="n"/>
      <c r="G32" s="14" t="n"/>
      <c r="H32" s="14" t="n"/>
      <c r="I32" s="14" t="n"/>
      <c r="J32" s="14" t="n"/>
      <c r="K32" s="13">
        <f>IF(J32="Draft","Planning",IF(J32="Submitted","Approval",IF(OR(J32="Approved",J32="In Testing"),"Testing",IF(J32="Scheduled","Pre-Implementation",IF(J32="Implementing","Implementation",IF(OR(J32="Completed",J32="Failed",J32="Rolled Back",J32="Cancelled"),"Closed","Unknown"))))))</f>
        <v/>
      </c>
      <c r="L32" s="13">
        <f>IF(H32="","",TODAY()-H32)</f>
        <v/>
      </c>
      <c r="M32" s="13">
        <f>IF(OR(J32="Completed",J32="Cancelled"),"Complete",IF(L32&gt;30,"Delayed",IF(L32&gt;14,"At Risk","On Track")))</f>
        <v/>
      </c>
      <c r="N32" s="14" t="n"/>
    </row>
    <row r="33">
      <c r="A33" s="14" t="n"/>
      <c r="B33" s="14" t="n"/>
      <c r="C33" s="14" t="n"/>
      <c r="D33" s="14" t="n"/>
      <c r="E33" s="14" t="n"/>
      <c r="F33" s="14" t="n"/>
      <c r="G33" s="14" t="n"/>
      <c r="H33" s="14" t="n"/>
      <c r="I33" s="14" t="n"/>
      <c r="J33" s="14" t="n"/>
      <c r="K33" s="13">
        <f>IF(J33="Draft","Planning",IF(J33="Submitted","Approval",IF(OR(J33="Approved",J33="In Testing"),"Testing",IF(J33="Scheduled","Pre-Implementation",IF(J33="Implementing","Implementation",IF(OR(J33="Completed",J33="Failed",J33="Rolled Back",J33="Cancelled"),"Closed","Unknown"))))))</f>
        <v/>
      </c>
      <c r="L33" s="13">
        <f>IF(H33="","",TODAY()-H33)</f>
        <v/>
      </c>
      <c r="M33" s="13">
        <f>IF(OR(J33="Completed",J33="Cancelled"),"Complete",IF(L33&gt;30,"Delayed",IF(L33&gt;14,"At Risk","On Track")))</f>
        <v/>
      </c>
      <c r="N33" s="14" t="n"/>
    </row>
    <row r="34">
      <c r="A34" s="14" t="n"/>
      <c r="B34" s="14" t="n"/>
      <c r="C34" s="14" t="n"/>
      <c r="D34" s="14" t="n"/>
      <c r="E34" s="14" t="n"/>
      <c r="F34" s="14" t="n"/>
      <c r="G34" s="14" t="n"/>
      <c r="H34" s="14" t="n"/>
      <c r="I34" s="14" t="n"/>
      <c r="J34" s="14" t="n"/>
      <c r="K34" s="13">
        <f>IF(J34="Draft","Planning",IF(J34="Submitted","Approval",IF(OR(J34="Approved",J34="In Testing"),"Testing",IF(J34="Scheduled","Pre-Implementation",IF(J34="Implementing","Implementation",IF(OR(J34="Completed",J34="Failed",J34="Rolled Back",J34="Cancelled"),"Closed","Unknown"))))))</f>
        <v/>
      </c>
      <c r="L34" s="13">
        <f>IF(H34="","",TODAY()-H34)</f>
        <v/>
      </c>
      <c r="M34" s="13">
        <f>IF(OR(J34="Completed",J34="Cancelled"),"Complete",IF(L34&gt;30,"Delayed",IF(L34&gt;14,"At Risk","On Track")))</f>
        <v/>
      </c>
      <c r="N34" s="14" t="n"/>
    </row>
    <row r="35">
      <c r="A35" s="14" t="n"/>
      <c r="B35" s="14" t="n"/>
      <c r="C35" s="14" t="n"/>
      <c r="D35" s="14" t="n"/>
      <c r="E35" s="14" t="n"/>
      <c r="F35" s="14" t="n"/>
      <c r="G35" s="14" t="n"/>
      <c r="H35" s="14" t="n"/>
      <c r="I35" s="14" t="n"/>
      <c r="J35" s="14" t="n"/>
      <c r="K35" s="13">
        <f>IF(J35="Draft","Planning",IF(J35="Submitted","Approval",IF(OR(J35="Approved",J35="In Testing"),"Testing",IF(J35="Scheduled","Pre-Implementation",IF(J35="Implementing","Implementation",IF(OR(J35="Completed",J35="Failed",J35="Rolled Back",J35="Cancelled"),"Closed","Unknown"))))))</f>
        <v/>
      </c>
      <c r="L35" s="13">
        <f>IF(H35="","",TODAY()-H35)</f>
        <v/>
      </c>
      <c r="M35" s="13">
        <f>IF(OR(J35="Completed",J35="Cancelled"),"Complete",IF(L35&gt;30,"Delayed",IF(L35&gt;14,"At Risk","On Track")))</f>
        <v/>
      </c>
      <c r="N35" s="14" t="n"/>
    </row>
    <row r="36">
      <c r="A36" s="14" t="n"/>
      <c r="B36" s="14" t="n"/>
      <c r="C36" s="14" t="n"/>
      <c r="D36" s="14" t="n"/>
      <c r="E36" s="14" t="n"/>
      <c r="F36" s="14" t="n"/>
      <c r="G36" s="14" t="n"/>
      <c r="H36" s="14" t="n"/>
      <c r="I36" s="14" t="n"/>
      <c r="J36" s="14" t="n"/>
      <c r="K36" s="13">
        <f>IF(J36="Draft","Planning",IF(J36="Submitted","Approval",IF(OR(J36="Approved",J36="In Testing"),"Testing",IF(J36="Scheduled","Pre-Implementation",IF(J36="Implementing","Implementation",IF(OR(J36="Completed",J36="Failed",J36="Rolled Back",J36="Cancelled"),"Closed","Unknown"))))))</f>
        <v/>
      </c>
      <c r="L36" s="13">
        <f>IF(H36="","",TODAY()-H36)</f>
        <v/>
      </c>
      <c r="M36" s="13">
        <f>IF(OR(J36="Completed",J36="Cancelled"),"Complete",IF(L36&gt;30,"Delayed",IF(L36&gt;14,"At Risk","On Track")))</f>
        <v/>
      </c>
      <c r="N36" s="14" t="n"/>
    </row>
    <row r="37">
      <c r="A37" s="14" t="n"/>
      <c r="B37" s="14" t="n"/>
      <c r="C37" s="14" t="n"/>
      <c r="D37" s="14" t="n"/>
      <c r="E37" s="14" t="n"/>
      <c r="F37" s="14" t="n"/>
      <c r="G37" s="14" t="n"/>
      <c r="H37" s="14" t="n"/>
      <c r="I37" s="14" t="n"/>
      <c r="J37" s="14" t="n"/>
      <c r="K37" s="13">
        <f>IF(J37="Draft","Planning",IF(J37="Submitted","Approval",IF(OR(J37="Approved",J37="In Testing"),"Testing",IF(J37="Scheduled","Pre-Implementation",IF(J37="Implementing","Implementation",IF(OR(J37="Completed",J37="Failed",J37="Rolled Back",J37="Cancelled"),"Closed","Unknown"))))))</f>
        <v/>
      </c>
      <c r="L37" s="13">
        <f>IF(H37="","",TODAY()-H37)</f>
        <v/>
      </c>
      <c r="M37" s="13">
        <f>IF(OR(J37="Completed",J37="Cancelled"),"Complete",IF(L37&gt;30,"Delayed",IF(L37&gt;14,"At Risk","On Track")))</f>
        <v/>
      </c>
      <c r="N37" s="14" t="n"/>
    </row>
    <row r="38">
      <c r="A38" s="14" t="n"/>
      <c r="B38" s="14" t="n"/>
      <c r="C38" s="14" t="n"/>
      <c r="D38" s="14" t="n"/>
      <c r="E38" s="14" t="n"/>
      <c r="F38" s="14" t="n"/>
      <c r="G38" s="14" t="n"/>
      <c r="H38" s="14" t="n"/>
      <c r="I38" s="14" t="n"/>
      <c r="J38" s="14" t="n"/>
      <c r="K38" s="13">
        <f>IF(J38="Draft","Planning",IF(J38="Submitted","Approval",IF(OR(J38="Approved",J38="In Testing"),"Testing",IF(J38="Scheduled","Pre-Implementation",IF(J38="Implementing","Implementation",IF(OR(J38="Completed",J38="Failed",J38="Rolled Back",J38="Cancelled"),"Closed","Unknown"))))))</f>
        <v/>
      </c>
      <c r="L38" s="13">
        <f>IF(H38="","",TODAY()-H38)</f>
        <v/>
      </c>
      <c r="M38" s="13">
        <f>IF(OR(J38="Completed",J38="Cancelled"),"Complete",IF(L38&gt;30,"Delayed",IF(L38&gt;14,"At Risk","On Track")))</f>
        <v/>
      </c>
      <c r="N38" s="14" t="n"/>
    </row>
    <row r="39">
      <c r="A39" s="14" t="n"/>
      <c r="B39" s="14" t="n"/>
      <c r="C39" s="14" t="n"/>
      <c r="D39" s="14" t="n"/>
      <c r="E39" s="14" t="n"/>
      <c r="F39" s="14" t="n"/>
      <c r="G39" s="14" t="n"/>
      <c r="H39" s="14" t="n"/>
      <c r="I39" s="14" t="n"/>
      <c r="J39" s="14" t="n"/>
      <c r="K39" s="13">
        <f>IF(J39="Draft","Planning",IF(J39="Submitted","Approval",IF(OR(J39="Approved",J39="In Testing"),"Testing",IF(J39="Scheduled","Pre-Implementation",IF(J39="Implementing","Implementation",IF(OR(J39="Completed",J39="Failed",J39="Rolled Back",J39="Cancelled"),"Closed","Unknown"))))))</f>
        <v/>
      </c>
      <c r="L39" s="13">
        <f>IF(H39="","",TODAY()-H39)</f>
        <v/>
      </c>
      <c r="M39" s="13">
        <f>IF(OR(J39="Completed",J39="Cancelled"),"Complete",IF(L39&gt;30,"Delayed",IF(L39&gt;14,"At Risk","On Track")))</f>
        <v/>
      </c>
      <c r="N39" s="14" t="n"/>
    </row>
    <row r="40">
      <c r="A40" s="14" t="n"/>
      <c r="B40" s="14" t="n"/>
      <c r="C40" s="14" t="n"/>
      <c r="D40" s="14" t="n"/>
      <c r="E40" s="14" t="n"/>
      <c r="F40" s="14" t="n"/>
      <c r="G40" s="14" t="n"/>
      <c r="H40" s="14" t="n"/>
      <c r="I40" s="14" t="n"/>
      <c r="J40" s="14" t="n"/>
      <c r="K40" s="13">
        <f>IF(J40="Draft","Planning",IF(J40="Submitted","Approval",IF(OR(J40="Approved",J40="In Testing"),"Testing",IF(J40="Scheduled","Pre-Implementation",IF(J40="Implementing","Implementation",IF(OR(J40="Completed",J40="Failed",J40="Rolled Back",J40="Cancelled"),"Closed","Unknown"))))))</f>
        <v/>
      </c>
      <c r="L40" s="13">
        <f>IF(H40="","",TODAY()-H40)</f>
        <v/>
      </c>
      <c r="M40" s="13">
        <f>IF(OR(J40="Completed",J40="Cancelled"),"Complete",IF(L40&gt;30,"Delayed",IF(L40&gt;14,"At Risk","On Track")))</f>
        <v/>
      </c>
      <c r="N40" s="14" t="n"/>
    </row>
    <row r="41">
      <c r="A41" s="14" t="n"/>
      <c r="B41" s="14" t="n"/>
      <c r="C41" s="14" t="n"/>
      <c r="D41" s="14" t="n"/>
      <c r="E41" s="14" t="n"/>
      <c r="F41" s="14" t="n"/>
      <c r="G41" s="14" t="n"/>
      <c r="H41" s="14" t="n"/>
      <c r="I41" s="14" t="n"/>
      <c r="J41" s="14" t="n"/>
      <c r="K41" s="13">
        <f>IF(J41="Draft","Planning",IF(J41="Submitted","Approval",IF(OR(J41="Approved",J41="In Testing"),"Testing",IF(J41="Scheduled","Pre-Implementation",IF(J41="Implementing","Implementation",IF(OR(J41="Completed",J41="Failed",J41="Rolled Back",J41="Cancelled"),"Closed","Unknown"))))))</f>
        <v/>
      </c>
      <c r="L41" s="13">
        <f>IF(H41="","",TODAY()-H41)</f>
        <v/>
      </c>
      <c r="M41" s="13">
        <f>IF(OR(J41="Completed",J41="Cancelled"),"Complete",IF(L41&gt;30,"Delayed",IF(L41&gt;14,"At Risk","On Track")))</f>
        <v/>
      </c>
      <c r="N41" s="14" t="n"/>
    </row>
    <row r="42">
      <c r="A42" s="14" t="n"/>
      <c r="B42" s="14" t="n"/>
      <c r="C42" s="14" t="n"/>
      <c r="D42" s="14" t="n"/>
      <c r="E42" s="14" t="n"/>
      <c r="F42" s="14" t="n"/>
      <c r="G42" s="14" t="n"/>
      <c r="H42" s="14" t="n"/>
      <c r="I42" s="14" t="n"/>
      <c r="J42" s="14" t="n"/>
      <c r="K42" s="13">
        <f>IF(J42="Draft","Planning",IF(J42="Submitted","Approval",IF(OR(J42="Approved",J42="In Testing"),"Testing",IF(J42="Scheduled","Pre-Implementation",IF(J42="Implementing","Implementation",IF(OR(J42="Completed",J42="Failed",J42="Rolled Back",J42="Cancelled"),"Closed","Unknown"))))))</f>
        <v/>
      </c>
      <c r="L42" s="13">
        <f>IF(H42="","",TODAY()-H42)</f>
        <v/>
      </c>
      <c r="M42" s="13">
        <f>IF(OR(J42="Completed",J42="Cancelled"),"Complete",IF(L42&gt;30,"Delayed",IF(L42&gt;14,"At Risk","On Track")))</f>
        <v/>
      </c>
      <c r="N42" s="14" t="n"/>
    </row>
    <row r="43">
      <c r="A43" s="14" t="n"/>
      <c r="B43" s="14" t="n"/>
      <c r="C43" s="14" t="n"/>
      <c r="D43" s="14" t="n"/>
      <c r="E43" s="14" t="n"/>
      <c r="F43" s="14" t="n"/>
      <c r="G43" s="14" t="n"/>
      <c r="H43" s="14" t="n"/>
      <c r="I43" s="14" t="n"/>
      <c r="J43" s="14" t="n"/>
      <c r="K43" s="13">
        <f>IF(J43="Draft","Planning",IF(J43="Submitted","Approval",IF(OR(J43="Approved",J43="In Testing"),"Testing",IF(J43="Scheduled","Pre-Implementation",IF(J43="Implementing","Implementation",IF(OR(J43="Completed",J43="Failed",J43="Rolled Back",J43="Cancelled"),"Closed","Unknown"))))))</f>
        <v/>
      </c>
      <c r="L43" s="13">
        <f>IF(H43="","",TODAY()-H43)</f>
        <v/>
      </c>
      <c r="M43" s="13">
        <f>IF(OR(J43="Completed",J43="Cancelled"),"Complete",IF(L43&gt;30,"Delayed",IF(L43&gt;14,"At Risk","On Track")))</f>
        <v/>
      </c>
      <c r="N43" s="14" t="n"/>
    </row>
    <row r="44">
      <c r="A44" s="14" t="n"/>
      <c r="B44" s="14" t="n"/>
      <c r="C44" s="14" t="n"/>
      <c r="D44" s="14" t="n"/>
      <c r="E44" s="14" t="n"/>
      <c r="F44" s="14" t="n"/>
      <c r="G44" s="14" t="n"/>
      <c r="H44" s="14" t="n"/>
      <c r="I44" s="14" t="n"/>
      <c r="J44" s="14" t="n"/>
      <c r="K44" s="13">
        <f>IF(J44="Draft","Planning",IF(J44="Submitted","Approval",IF(OR(J44="Approved",J44="In Testing"),"Testing",IF(J44="Scheduled","Pre-Implementation",IF(J44="Implementing","Implementation",IF(OR(J44="Completed",J44="Failed",J44="Rolled Back",J44="Cancelled"),"Closed","Unknown"))))))</f>
        <v/>
      </c>
      <c r="L44" s="13">
        <f>IF(H44="","",TODAY()-H44)</f>
        <v/>
      </c>
      <c r="M44" s="13">
        <f>IF(OR(J44="Completed",J44="Cancelled"),"Complete",IF(L44&gt;30,"Delayed",IF(L44&gt;14,"At Risk","On Track")))</f>
        <v/>
      </c>
      <c r="N44" s="14" t="n"/>
    </row>
    <row r="45">
      <c r="A45" s="14" t="n"/>
      <c r="B45" s="14" t="n"/>
      <c r="C45" s="14" t="n"/>
      <c r="D45" s="14" t="n"/>
      <c r="E45" s="14" t="n"/>
      <c r="F45" s="14" t="n"/>
      <c r="G45" s="14" t="n"/>
      <c r="H45" s="14" t="n"/>
      <c r="I45" s="14" t="n"/>
      <c r="J45" s="14" t="n"/>
      <c r="K45" s="13">
        <f>IF(J45="Draft","Planning",IF(J45="Submitted","Approval",IF(OR(J45="Approved",J45="In Testing"),"Testing",IF(J45="Scheduled","Pre-Implementation",IF(J45="Implementing","Implementation",IF(OR(J45="Completed",J45="Failed",J45="Rolled Back",J45="Cancelled"),"Closed","Unknown"))))))</f>
        <v/>
      </c>
      <c r="L45" s="13">
        <f>IF(H45="","",TODAY()-H45)</f>
        <v/>
      </c>
      <c r="M45" s="13">
        <f>IF(OR(J45="Completed",J45="Cancelled"),"Complete",IF(L45&gt;30,"Delayed",IF(L45&gt;14,"At Risk","On Track")))</f>
        <v/>
      </c>
      <c r="N45" s="14" t="n"/>
    </row>
    <row r="46">
      <c r="A46" s="14" t="n"/>
      <c r="B46" s="14" t="n"/>
      <c r="C46" s="14" t="n"/>
      <c r="D46" s="14" t="n"/>
      <c r="E46" s="14" t="n"/>
      <c r="F46" s="14" t="n"/>
      <c r="G46" s="14" t="n"/>
      <c r="H46" s="14" t="n"/>
      <c r="I46" s="14" t="n"/>
      <c r="J46" s="14" t="n"/>
      <c r="K46" s="13">
        <f>IF(J46="Draft","Planning",IF(J46="Submitted","Approval",IF(OR(J46="Approved",J46="In Testing"),"Testing",IF(J46="Scheduled","Pre-Implementation",IF(J46="Implementing","Implementation",IF(OR(J46="Completed",J46="Failed",J46="Rolled Back",J46="Cancelled"),"Closed","Unknown"))))))</f>
        <v/>
      </c>
      <c r="L46" s="13">
        <f>IF(H46="","",TODAY()-H46)</f>
        <v/>
      </c>
      <c r="M46" s="13">
        <f>IF(OR(J46="Completed",J46="Cancelled"),"Complete",IF(L46&gt;30,"Delayed",IF(L46&gt;14,"At Risk","On Track")))</f>
        <v/>
      </c>
      <c r="N46" s="14" t="n"/>
    </row>
    <row r="47">
      <c r="A47" s="14" t="n"/>
      <c r="B47" s="14" t="n"/>
      <c r="C47" s="14" t="n"/>
      <c r="D47" s="14" t="n"/>
      <c r="E47" s="14" t="n"/>
      <c r="F47" s="14" t="n"/>
      <c r="G47" s="14" t="n"/>
      <c r="H47" s="14" t="n"/>
      <c r="I47" s="14" t="n"/>
      <c r="J47" s="14" t="n"/>
      <c r="K47" s="13">
        <f>IF(J47="Draft","Planning",IF(J47="Submitted","Approval",IF(OR(J47="Approved",J47="In Testing"),"Testing",IF(J47="Scheduled","Pre-Implementation",IF(J47="Implementing","Implementation",IF(OR(J47="Completed",J47="Failed",J47="Rolled Back",J47="Cancelled"),"Closed","Unknown"))))))</f>
        <v/>
      </c>
      <c r="L47" s="13">
        <f>IF(H47="","",TODAY()-H47)</f>
        <v/>
      </c>
      <c r="M47" s="13">
        <f>IF(OR(J47="Completed",J47="Cancelled"),"Complete",IF(L47&gt;30,"Delayed",IF(L47&gt;14,"At Risk","On Track")))</f>
        <v/>
      </c>
      <c r="N47" s="14" t="n"/>
    </row>
    <row r="48">
      <c r="A48" s="14" t="n"/>
      <c r="B48" s="14" t="n"/>
      <c r="C48" s="14" t="n"/>
      <c r="D48" s="14" t="n"/>
      <c r="E48" s="14" t="n"/>
      <c r="F48" s="14" t="n"/>
      <c r="G48" s="14" t="n"/>
      <c r="H48" s="14" t="n"/>
      <c r="I48" s="14" t="n"/>
      <c r="J48" s="14" t="n"/>
      <c r="K48" s="13">
        <f>IF(J48="Draft","Planning",IF(J48="Submitted","Approval",IF(OR(J48="Approved",J48="In Testing"),"Testing",IF(J48="Scheduled","Pre-Implementation",IF(J48="Implementing","Implementation",IF(OR(J48="Completed",J48="Failed",J48="Rolled Back",J48="Cancelled"),"Closed","Unknown"))))))</f>
        <v/>
      </c>
      <c r="L48" s="13">
        <f>IF(H48="","",TODAY()-H48)</f>
        <v/>
      </c>
      <c r="M48" s="13">
        <f>IF(OR(J48="Completed",J48="Cancelled"),"Complete",IF(L48&gt;30,"Delayed",IF(L48&gt;14,"At Risk","On Track")))</f>
        <v/>
      </c>
      <c r="N48" s="14" t="n"/>
    </row>
    <row r="49">
      <c r="A49" s="14" t="n"/>
      <c r="B49" s="14" t="n"/>
      <c r="C49" s="14" t="n"/>
      <c r="D49" s="14" t="n"/>
      <c r="E49" s="14" t="n"/>
      <c r="F49" s="14" t="n"/>
      <c r="G49" s="14" t="n"/>
      <c r="H49" s="14" t="n"/>
      <c r="I49" s="14" t="n"/>
      <c r="J49" s="14" t="n"/>
      <c r="K49" s="13">
        <f>IF(J49="Draft","Planning",IF(J49="Submitted","Approval",IF(OR(J49="Approved",J49="In Testing"),"Testing",IF(J49="Scheduled","Pre-Implementation",IF(J49="Implementing","Implementation",IF(OR(J49="Completed",J49="Failed",J49="Rolled Back",J49="Cancelled"),"Closed","Unknown"))))))</f>
        <v/>
      </c>
      <c r="L49" s="13">
        <f>IF(H49="","",TODAY()-H49)</f>
        <v/>
      </c>
      <c r="M49" s="13">
        <f>IF(OR(J49="Completed",J49="Cancelled"),"Complete",IF(L49&gt;30,"Delayed",IF(L49&gt;14,"At Risk","On Track")))</f>
        <v/>
      </c>
      <c r="N49" s="14" t="n"/>
    </row>
    <row r="50">
      <c r="A50" s="14" t="n"/>
      <c r="B50" s="14" t="n"/>
      <c r="C50" s="14" t="n"/>
      <c r="D50" s="14" t="n"/>
      <c r="E50" s="14" t="n"/>
      <c r="F50" s="14" t="n"/>
      <c r="G50" s="14" t="n"/>
      <c r="H50" s="14" t="n"/>
      <c r="I50" s="14" t="n"/>
      <c r="J50" s="14" t="n"/>
      <c r="K50" s="13">
        <f>IF(J50="Draft","Planning",IF(J50="Submitted","Approval",IF(OR(J50="Approved",J50="In Testing"),"Testing",IF(J50="Scheduled","Pre-Implementation",IF(J50="Implementing","Implementation",IF(OR(J50="Completed",J50="Failed",J50="Rolled Back",J50="Cancelled"),"Closed","Unknown"))))))</f>
        <v/>
      </c>
      <c r="L50" s="13">
        <f>IF(H50="","",TODAY()-H50)</f>
        <v/>
      </c>
      <c r="M50" s="13">
        <f>IF(OR(J50="Completed",J50="Cancelled"),"Complete",IF(L50&gt;30,"Delayed",IF(L50&gt;14,"At Risk","On Track")))</f>
        <v/>
      </c>
      <c r="N50" s="14" t="n"/>
    </row>
    <row r="51">
      <c r="A51" s="14" t="n"/>
      <c r="B51" s="14" t="n"/>
      <c r="C51" s="14" t="n"/>
      <c r="D51" s="14" t="n"/>
      <c r="E51" s="14" t="n"/>
      <c r="F51" s="14" t="n"/>
      <c r="G51" s="14" t="n"/>
      <c r="H51" s="14" t="n"/>
      <c r="I51" s="14" t="n"/>
      <c r="J51" s="14" t="n"/>
      <c r="K51" s="13">
        <f>IF(J51="Draft","Planning",IF(J51="Submitted","Approval",IF(OR(J51="Approved",J51="In Testing"),"Testing",IF(J51="Scheduled","Pre-Implementation",IF(J51="Implementing","Implementation",IF(OR(J51="Completed",J51="Failed",J51="Rolled Back",J51="Cancelled"),"Closed","Unknown"))))))</f>
        <v/>
      </c>
      <c r="L51" s="13">
        <f>IF(H51="","",TODAY()-H51)</f>
        <v/>
      </c>
      <c r="M51" s="13">
        <f>IF(OR(J51="Completed",J51="Cancelled"),"Complete",IF(L51&gt;30,"Delayed",IF(L51&gt;14,"At Risk","On Track")))</f>
        <v/>
      </c>
      <c r="N51" s="14" t="n"/>
    </row>
    <row r="52">
      <c r="A52" s="14" t="n"/>
      <c r="B52" s="14" t="n"/>
      <c r="C52" s="14" t="n"/>
      <c r="D52" s="14" t="n"/>
      <c r="E52" s="14" t="n"/>
      <c r="F52" s="14" t="n"/>
      <c r="G52" s="14" t="n"/>
      <c r="H52" s="14" t="n"/>
      <c r="I52" s="14" t="n"/>
      <c r="J52" s="14" t="n"/>
      <c r="K52" s="13">
        <f>IF(J52="Draft","Planning",IF(J52="Submitted","Approval",IF(OR(J52="Approved",J52="In Testing"),"Testing",IF(J52="Scheduled","Pre-Implementation",IF(J52="Implementing","Implementation",IF(OR(J52="Completed",J52="Failed",J52="Rolled Back",J52="Cancelled"),"Closed","Unknown"))))))</f>
        <v/>
      </c>
      <c r="L52" s="13">
        <f>IF(H52="","",TODAY()-H52)</f>
        <v/>
      </c>
      <c r="M52" s="13">
        <f>IF(OR(J52="Completed",J52="Cancelled"),"Complete",IF(L52&gt;30,"Delayed",IF(L52&gt;14,"At Risk","On Track")))</f>
        <v/>
      </c>
      <c r="N52" s="14" t="n"/>
    </row>
    <row r="53">
      <c r="A53" s="14" t="n"/>
      <c r="B53" s="14" t="n"/>
      <c r="C53" s="14" t="n"/>
      <c r="D53" s="14" t="n"/>
      <c r="E53" s="14" t="n"/>
      <c r="F53" s="14" t="n"/>
      <c r="G53" s="14" t="n"/>
      <c r="H53" s="14" t="n"/>
      <c r="I53" s="14" t="n"/>
      <c r="J53" s="14" t="n"/>
      <c r="K53" s="13">
        <f>IF(J53="Draft","Planning",IF(J53="Submitted","Approval",IF(OR(J53="Approved",J53="In Testing"),"Testing",IF(J53="Scheduled","Pre-Implementation",IF(J53="Implementing","Implementation",IF(OR(J53="Completed",J53="Failed",J53="Rolled Back",J53="Cancelled"),"Closed","Unknown"))))))</f>
        <v/>
      </c>
      <c r="L53" s="13">
        <f>IF(H53="","",TODAY()-H53)</f>
        <v/>
      </c>
      <c r="M53" s="13">
        <f>IF(OR(J53="Completed",J53="Cancelled"),"Complete",IF(L53&gt;30,"Delayed",IF(L53&gt;14,"At Risk","On Track")))</f>
        <v/>
      </c>
      <c r="N53" s="14" t="n"/>
    </row>
    <row r="54">
      <c r="A54" s="14" t="n"/>
      <c r="B54" s="14" t="n"/>
      <c r="C54" s="14" t="n"/>
      <c r="D54" s="14" t="n"/>
      <c r="E54" s="14" t="n"/>
      <c r="F54" s="14" t="n"/>
      <c r="G54" s="14" t="n"/>
      <c r="H54" s="14" t="n"/>
      <c r="I54" s="14" t="n"/>
      <c r="J54" s="14" t="n"/>
      <c r="K54" s="13">
        <f>IF(J54="Draft","Planning",IF(J54="Submitted","Approval",IF(OR(J54="Approved",J54="In Testing"),"Testing",IF(J54="Scheduled","Pre-Implementation",IF(J54="Implementing","Implementation",IF(OR(J54="Completed",J54="Failed",J54="Rolled Back",J54="Cancelled"),"Closed","Unknown"))))))</f>
        <v/>
      </c>
      <c r="L54" s="13">
        <f>IF(H54="","",TODAY()-H54)</f>
        <v/>
      </c>
      <c r="M54" s="13">
        <f>IF(OR(J54="Completed",J54="Cancelled"),"Complete",IF(L54&gt;30,"Delayed",IF(L54&gt;14,"At Risk","On Track")))</f>
        <v/>
      </c>
      <c r="N54" s="14" t="n"/>
    </row>
  </sheetData>
  <mergeCells count="1">
    <mergeCell ref="A1:N1"/>
  </mergeCells>
  <conditionalFormatting sqref="C4:C54">
    <cfRule type="cellIs" priority="1" operator="equal" dxfId="0">
      <formula>"Emergency"</formula>
    </cfRule>
    <cfRule type="cellIs" priority="2" operator="equal" dxfId="1">
      <formula>"Hot Fix"</formula>
    </cfRule>
  </conditionalFormatting>
  <conditionalFormatting sqref="D4:D54">
    <cfRule type="cellIs" priority="3" operator="equal" dxfId="2">
      <formula>"P1-Critical"</formula>
    </cfRule>
    <cfRule type="cellIs" priority="4" operator="equal" dxfId="3">
      <formula>"P2-High"</formula>
    </cfRule>
  </conditionalFormatting>
  <conditionalFormatting sqref="J4:J54">
    <cfRule type="cellIs" priority="5" operator="equal" dxfId="4">
      <formula>"Completed"</formula>
    </cfRule>
    <cfRule type="cellIs" priority="6" operator="equal" dxfId="5">
      <formula>"Failed"</formula>
    </cfRule>
  </conditionalFormatting>
  <conditionalFormatting sqref="M4:M54">
    <cfRule type="cellIs" priority="7" operator="equal" dxfId="6">
      <formula>"Complete"</formula>
    </cfRule>
    <cfRule type="cellIs" priority="8" operator="equal" dxfId="1">
      <formula>"Delayed"</formula>
    </cfRule>
  </conditionalFormatting>
  <dataValidations count="3">
    <dataValidation sqref="C4:C54" showDropDown="0" showInputMessage="0" showErrorMessage="0" allowBlank="0" errorTitle="Invalid Entry" error="Invalid entry" promptTitle="Selection Required" prompt="Please select from the dropdown" type="list">
      <formula1>"Standard,Normal,Emergency,Hot Fix"</formula1>
    </dataValidation>
    <dataValidation sqref="D4:D54" showDropDown="0" showInputMessage="0" showErrorMessage="0" allowBlank="0" errorTitle="Invalid Entry" error="Invalid entry" promptTitle="Selection Required" prompt="Please select from the dropdown" type="list">
      <formula1>"P1-Critical,P2-High,P3-Medium,P4-Low"</formula1>
    </dataValidation>
    <dataValidation sqref="J4:J54" showDropDown="0" showInputMessage="0" showErrorMessage="0" allowBlank="0" errorTitle="Invalid Entry" error="Invalid entry" promptTitle="Selection Required" prompt="Please select from the dropdown" type="list">
      <formula1>"Draft,Submitted,✅ Approved,In Testing,Scheduled,⏳ Implementing,✅ Completed,❌ Failed,Rolled Back,❌ 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20" customWidth="1" min="4" max="4"/>
    <col width="18" customWidth="1" min="5" max="5"/>
    <col width="15" customWidth="1" min="6" max="6"/>
    <col width="20" customWidth="1" min="7" max="7"/>
    <col width="18" customWidth="1" min="8" max="8"/>
    <col width="15" customWidth="1" min="9" max="9"/>
    <col width="20" customWidth="1" min="10" max="10"/>
    <col width="18" customWidth="1" min="11" max="11"/>
    <col width="15" customWidth="1" min="12" max="12"/>
    <col width="25" customWidth="1" min="13" max="13"/>
    <col width="30" customWidth="1" min="14" max="14"/>
    <col width="18" customWidth="1" min="15" max="15"/>
    <col width="15" customWidth="1" min="16" max="16"/>
    <col width="40" customWidth="1" min="17" max="17"/>
  </cols>
  <sheetData>
    <row r="1" ht="35" customHeight="1">
      <c r="A1" s="11" t="inlineStr">
        <is>
          <t>CHANGE APPROVAL WORKFLOW TRACKING</t>
        </is>
      </c>
    </row>
    <row r="2">
      <c r="A2" s="12" t="inlineStr">
        <is>
          <t>Change ID</t>
        </is>
      </c>
      <c r="B2" s="12" t="inlineStr">
        <is>
          <t>Change Title</t>
        </is>
      </c>
      <c r="C2" s="12" t="inlineStr">
        <is>
          <t>Approval Tier Required</t>
        </is>
      </c>
      <c r="D2" s="12" t="inlineStr">
        <is>
          <t>Tier 1 Approver Name</t>
        </is>
      </c>
      <c r="E2" s="12" t="inlineStr">
        <is>
          <t>Tier 1 Approval Status</t>
        </is>
      </c>
      <c r="F2" s="12" t="inlineStr">
        <is>
          <t>Tier 1 Approval Date</t>
        </is>
      </c>
      <c r="G2" s="12" t="inlineStr">
        <is>
          <t>Tier 2 Approver Name</t>
        </is>
      </c>
      <c r="H2" s="12" t="inlineStr">
        <is>
          <t>Tier 2 Approval Status</t>
        </is>
      </c>
      <c r="I2" s="12" t="inlineStr">
        <is>
          <t>Tier 2 Approval Date</t>
        </is>
      </c>
      <c r="J2" s="12" t="inlineStr">
        <is>
          <t>Tier 3 Approver Name</t>
        </is>
      </c>
      <c r="K2" s="12" t="inlineStr">
        <is>
          <t>Tier 3 Approval Status</t>
        </is>
      </c>
      <c r="L2" s="12" t="inlineStr">
        <is>
          <t>Tier 3 Approval Date</t>
        </is>
      </c>
      <c r="M2" s="12" t="inlineStr">
        <is>
          <t>Approval Method</t>
        </is>
      </c>
      <c r="N2" s="12" t="inlineStr">
        <is>
          <t>Approval Reference</t>
        </is>
      </c>
      <c r="O2" s="12" t="inlineStr">
        <is>
          <t>Overall Approval Status</t>
        </is>
      </c>
      <c r="P2" s="12" t="inlineStr">
        <is>
          <t>Days to Full Approval</t>
        </is>
      </c>
      <c r="Q2" s="12" t="inlineStr">
        <is>
          <t>Notes</t>
        </is>
      </c>
    </row>
    <row r="4">
      <c r="A4" s="13" t="inlineStr">
        <is>
          <t>CRQ-2026-0001</t>
        </is>
      </c>
      <c r="B4" s="13" t="inlineStr">
        <is>
          <t>Disable legacy TLS 1.0/1.1 on all web servers</t>
        </is>
      </c>
      <c r="C4" s="13" t="inlineStr">
        <is>
          <t>Two-Tier</t>
        </is>
      </c>
      <c r="D4" s="13" t="inlineStr">
        <is>
          <t>J. Smith (Team Lead)</t>
        </is>
      </c>
      <c r="E4" s="13" t="inlineStr">
        <is>
          <t>✅ Approved</t>
        </is>
      </c>
      <c r="F4" s="13" t="inlineStr">
        <is>
          <t>08.01.2026</t>
        </is>
      </c>
      <c r="G4" s="13" t="inlineStr">
        <is>
          <t>A. Johnson (CISO)</t>
        </is>
      </c>
      <c r="H4" s="13" t="inlineStr">
        <is>
          <t>✅ Approved</t>
        </is>
      </c>
      <c r="I4" s="13" t="inlineStr">
        <is>
          <t>10.01.2026</t>
        </is>
      </c>
      <c r="J4" s="13" t="inlineStr"/>
      <c r="K4" s="13" t="inlineStr">
        <is>
          <t>➖ N/A</t>
        </is>
      </c>
      <c r="L4" s="13" t="inlineStr"/>
      <c r="M4" s="13" t="inlineStr">
        <is>
          <t>CAB Meeting</t>
        </is>
      </c>
      <c r="N4" s="13" t="inlineStr">
        <is>
          <t>CAB-2026-JAN-W2</t>
        </is>
      </c>
      <c r="O4" s="13" t="inlineStr"/>
      <c r="P4" s="13" t="inlineStr"/>
      <c r="Q4" s="13" t="inlineStr">
        <is>
          <t>Approved at January CAB</t>
        </is>
      </c>
    </row>
    <row r="5">
      <c r="A5" s="14" t="n"/>
      <c r="B5" s="14" t="n"/>
      <c r="C5" s="14" t="n"/>
      <c r="D5" s="14" t="n"/>
      <c r="E5" s="14" t="n"/>
      <c r="F5" s="14" t="n"/>
      <c r="G5" s="14" t="n"/>
      <c r="H5" s="14" t="n"/>
      <c r="I5" s="14" t="n"/>
      <c r="J5" s="14" t="n"/>
      <c r="K5" s="14" t="n"/>
      <c r="L5" s="14" t="n"/>
      <c r="M5" s="14" t="n"/>
      <c r="N5" s="14" t="n"/>
      <c r="O5" s="13">
        <f>IF(C5="Single-Tier",IF(E5="Approved","Approved",IF(E5="Rejected","Rejected","Pending")),IF(C5="Two-Tier",IF(AND(E5="Approved",H5="Approved"),"Approved",IF(OR(E5="Rejected",H5="Rejected"),"Rejected","Pending")),IF(C5="Three-Tier",IF(AND(E5="Approved",H5="Approved",K5="Approved"),"Approved",IF(OR(E5="Rejected",H5="Rejected",K5="Rejected"),"Rejected","Pending")),"Unknown")))</f>
        <v/>
      </c>
      <c r="P5" s="13">
        <f>IF(O5="Approved",IF(C5="Single-Tier",IF(F5="","",F5-TODAY()+365),IF(C5="Two-Tier",IF(I5="","",I5-TODAY()+365),IF(L5="","",L5-TODAY()+365))),"")</f>
        <v/>
      </c>
      <c r="Q5" s="14" t="n"/>
    </row>
    <row r="6">
      <c r="A6" s="14" t="n"/>
      <c r="B6" s="14" t="n"/>
      <c r="C6" s="14" t="n"/>
      <c r="D6" s="14" t="n"/>
      <c r="E6" s="14" t="n"/>
      <c r="F6" s="14" t="n"/>
      <c r="G6" s="14" t="n"/>
      <c r="H6" s="14" t="n"/>
      <c r="I6" s="14" t="n"/>
      <c r="J6" s="14" t="n"/>
      <c r="K6" s="14" t="n"/>
      <c r="L6" s="14" t="n"/>
      <c r="M6" s="14" t="n"/>
      <c r="N6" s="14" t="n"/>
      <c r="O6" s="13">
        <f>IF(C6="Single-Tier",IF(E6="Approved","Approved",IF(E6="Rejected","Rejected","Pending")),IF(C6="Two-Tier",IF(AND(E6="Approved",H6="Approved"),"Approved",IF(OR(E6="Rejected",H6="Rejected"),"Rejected","Pending")),IF(C6="Three-Tier",IF(AND(E6="Approved",H6="Approved",K6="Approved"),"Approved",IF(OR(E6="Rejected",H6="Rejected",K6="Rejected"),"Rejected","Pending")),"Unknown")))</f>
        <v/>
      </c>
      <c r="P6" s="13">
        <f>IF(O6="Approved",IF(C6="Single-Tier",IF(F6="","",F6-TODAY()+365),IF(C6="Two-Tier",IF(I6="","",I6-TODAY()+365),IF(L6="","",L6-TODAY()+365))),"")</f>
        <v/>
      </c>
      <c r="Q6" s="14" t="n"/>
    </row>
    <row r="7">
      <c r="A7" s="14" t="n"/>
      <c r="B7" s="14" t="n"/>
      <c r="C7" s="14" t="n"/>
      <c r="D7" s="14" t="n"/>
      <c r="E7" s="14" t="n"/>
      <c r="F7" s="14" t="n"/>
      <c r="G7" s="14" t="n"/>
      <c r="H7" s="14" t="n"/>
      <c r="I7" s="14" t="n"/>
      <c r="J7" s="14" t="n"/>
      <c r="K7" s="14" t="n"/>
      <c r="L7" s="14" t="n"/>
      <c r="M7" s="14" t="n"/>
      <c r="N7" s="14" t="n"/>
      <c r="O7" s="13">
        <f>IF(C7="Single-Tier",IF(E7="Approved","Approved",IF(E7="Rejected","Rejected","Pending")),IF(C7="Two-Tier",IF(AND(E7="Approved",H7="Approved"),"Approved",IF(OR(E7="Rejected",H7="Rejected"),"Rejected","Pending")),IF(C7="Three-Tier",IF(AND(E7="Approved",H7="Approved",K7="Approved"),"Approved",IF(OR(E7="Rejected",H7="Rejected",K7="Rejected"),"Rejected","Pending")),"Unknown")))</f>
        <v/>
      </c>
      <c r="P7" s="13">
        <f>IF(O7="Approved",IF(C7="Single-Tier",IF(F7="","",F7-TODAY()+365),IF(C7="Two-Tier",IF(I7="","",I7-TODAY()+365),IF(L7="","",L7-TODAY()+365))),"")</f>
        <v/>
      </c>
      <c r="Q7" s="14" t="n"/>
    </row>
    <row r="8">
      <c r="A8" s="14" t="n"/>
      <c r="B8" s="14" t="n"/>
      <c r="C8" s="14" t="n"/>
      <c r="D8" s="14" t="n"/>
      <c r="E8" s="14" t="n"/>
      <c r="F8" s="14" t="n"/>
      <c r="G8" s="14" t="n"/>
      <c r="H8" s="14" t="n"/>
      <c r="I8" s="14" t="n"/>
      <c r="J8" s="14" t="n"/>
      <c r="K8" s="14" t="n"/>
      <c r="L8" s="14" t="n"/>
      <c r="M8" s="14" t="n"/>
      <c r="N8" s="14" t="n"/>
      <c r="O8" s="13">
        <f>IF(C8="Single-Tier",IF(E8="Approved","Approved",IF(E8="Rejected","Rejected","Pending")),IF(C8="Two-Tier",IF(AND(E8="Approved",H8="Approved"),"Approved",IF(OR(E8="Rejected",H8="Rejected"),"Rejected","Pending")),IF(C8="Three-Tier",IF(AND(E8="Approved",H8="Approved",K8="Approved"),"Approved",IF(OR(E8="Rejected",H8="Rejected",K8="Rejected"),"Rejected","Pending")),"Unknown")))</f>
        <v/>
      </c>
      <c r="P8" s="13">
        <f>IF(O8="Approved",IF(C8="Single-Tier",IF(F8="","",F8-TODAY()+365),IF(C8="Two-Tier",IF(I8="","",I8-TODAY()+365),IF(L8="","",L8-TODAY()+365))),"")</f>
        <v/>
      </c>
      <c r="Q8" s="14" t="n"/>
    </row>
    <row r="9">
      <c r="A9" s="14" t="n"/>
      <c r="B9" s="14" t="n"/>
      <c r="C9" s="14" t="n"/>
      <c r="D9" s="14" t="n"/>
      <c r="E9" s="14" t="n"/>
      <c r="F9" s="14" t="n"/>
      <c r="G9" s="14" t="n"/>
      <c r="H9" s="14" t="n"/>
      <c r="I9" s="14" t="n"/>
      <c r="J9" s="14" t="n"/>
      <c r="K9" s="14" t="n"/>
      <c r="L9" s="14" t="n"/>
      <c r="M9" s="14" t="n"/>
      <c r="N9" s="14" t="n"/>
      <c r="O9" s="13">
        <f>IF(C9="Single-Tier",IF(E9="Approved","Approved",IF(E9="Rejected","Rejected","Pending")),IF(C9="Two-Tier",IF(AND(E9="Approved",H9="Approved"),"Approved",IF(OR(E9="Rejected",H9="Rejected"),"Rejected","Pending")),IF(C9="Three-Tier",IF(AND(E9="Approved",H9="Approved",K9="Approved"),"Approved",IF(OR(E9="Rejected",H9="Rejected",K9="Rejected"),"Rejected","Pending")),"Unknown")))</f>
        <v/>
      </c>
      <c r="P9" s="13">
        <f>IF(O9="Approved",IF(C9="Single-Tier",IF(F9="","",F9-TODAY()+365),IF(C9="Two-Tier",IF(I9="","",I9-TODAY()+365),IF(L9="","",L9-TODAY()+365))),"")</f>
        <v/>
      </c>
      <c r="Q9" s="14" t="n"/>
    </row>
    <row r="10">
      <c r="A10" s="14" t="n"/>
      <c r="B10" s="14" t="n"/>
      <c r="C10" s="14" t="n"/>
      <c r="D10" s="14" t="n"/>
      <c r="E10" s="14" t="n"/>
      <c r="F10" s="14" t="n"/>
      <c r="G10" s="14" t="n"/>
      <c r="H10" s="14" t="n"/>
      <c r="I10" s="14" t="n"/>
      <c r="J10" s="14" t="n"/>
      <c r="K10" s="14" t="n"/>
      <c r="L10" s="14" t="n"/>
      <c r="M10" s="14" t="n"/>
      <c r="N10" s="14" t="n"/>
      <c r="O10" s="13">
        <f>IF(C10="Single-Tier",IF(E10="Approved","Approved",IF(E10="Rejected","Rejected","Pending")),IF(C10="Two-Tier",IF(AND(E10="Approved",H10="Approved"),"Approved",IF(OR(E10="Rejected",H10="Rejected"),"Rejected","Pending")),IF(C10="Three-Tier",IF(AND(E10="Approved",H10="Approved",K10="Approved"),"Approved",IF(OR(E10="Rejected",H10="Rejected",K10="Rejected"),"Rejected","Pending")),"Unknown")))</f>
        <v/>
      </c>
      <c r="P10" s="13">
        <f>IF(O10="Approved",IF(C10="Single-Tier",IF(F10="","",F10-TODAY()+365),IF(C10="Two-Tier",IF(I10="","",I10-TODAY()+365),IF(L10="","",L10-TODAY()+365))),"")</f>
        <v/>
      </c>
      <c r="Q10" s="14" t="n"/>
    </row>
    <row r="11">
      <c r="A11" s="14" t="n"/>
      <c r="B11" s="14" t="n"/>
      <c r="C11" s="14" t="n"/>
      <c r="D11" s="14" t="n"/>
      <c r="E11" s="14" t="n"/>
      <c r="F11" s="14" t="n"/>
      <c r="G11" s="14" t="n"/>
      <c r="H11" s="14" t="n"/>
      <c r="I11" s="14" t="n"/>
      <c r="J11" s="14" t="n"/>
      <c r="K11" s="14" t="n"/>
      <c r="L11" s="14" t="n"/>
      <c r="M11" s="14" t="n"/>
      <c r="N11" s="14" t="n"/>
      <c r="O11" s="13">
        <f>IF(C11="Single-Tier",IF(E11="Approved","Approved",IF(E11="Rejected","Rejected","Pending")),IF(C11="Two-Tier",IF(AND(E11="Approved",H11="Approved"),"Approved",IF(OR(E11="Rejected",H11="Rejected"),"Rejected","Pending")),IF(C11="Three-Tier",IF(AND(E11="Approved",H11="Approved",K11="Approved"),"Approved",IF(OR(E11="Rejected",H11="Rejected",K11="Rejected"),"Rejected","Pending")),"Unknown")))</f>
        <v/>
      </c>
      <c r="P11" s="13">
        <f>IF(O11="Approved",IF(C11="Single-Tier",IF(F11="","",F11-TODAY()+365),IF(C11="Two-Tier",IF(I11="","",I11-TODAY()+365),IF(L11="","",L11-TODAY()+365))),"")</f>
        <v/>
      </c>
      <c r="Q11" s="14" t="n"/>
    </row>
    <row r="12">
      <c r="A12" s="14" t="n"/>
      <c r="B12" s="14" t="n"/>
      <c r="C12" s="14" t="n"/>
      <c r="D12" s="14" t="n"/>
      <c r="E12" s="14" t="n"/>
      <c r="F12" s="14" t="n"/>
      <c r="G12" s="14" t="n"/>
      <c r="H12" s="14" t="n"/>
      <c r="I12" s="14" t="n"/>
      <c r="J12" s="14" t="n"/>
      <c r="K12" s="14" t="n"/>
      <c r="L12" s="14" t="n"/>
      <c r="M12" s="14" t="n"/>
      <c r="N12" s="14" t="n"/>
      <c r="O12" s="13">
        <f>IF(C12="Single-Tier",IF(E12="Approved","Approved",IF(E12="Rejected","Rejected","Pending")),IF(C12="Two-Tier",IF(AND(E12="Approved",H12="Approved"),"Approved",IF(OR(E12="Rejected",H12="Rejected"),"Rejected","Pending")),IF(C12="Three-Tier",IF(AND(E12="Approved",H12="Approved",K12="Approved"),"Approved",IF(OR(E12="Rejected",H12="Rejected",K12="Rejected"),"Rejected","Pending")),"Unknown")))</f>
        <v/>
      </c>
      <c r="P12" s="13">
        <f>IF(O12="Approved",IF(C12="Single-Tier",IF(F12="","",F12-TODAY()+365),IF(C12="Two-Tier",IF(I12="","",I12-TODAY()+365),IF(L12="","",L12-TODAY()+365))),"")</f>
        <v/>
      </c>
      <c r="Q12" s="14" t="n"/>
    </row>
    <row r="13">
      <c r="A13" s="14" t="n"/>
      <c r="B13" s="14" t="n"/>
      <c r="C13" s="14" t="n"/>
      <c r="D13" s="14" t="n"/>
      <c r="E13" s="14" t="n"/>
      <c r="F13" s="14" t="n"/>
      <c r="G13" s="14" t="n"/>
      <c r="H13" s="14" t="n"/>
      <c r="I13" s="14" t="n"/>
      <c r="J13" s="14" t="n"/>
      <c r="K13" s="14" t="n"/>
      <c r="L13" s="14" t="n"/>
      <c r="M13" s="14" t="n"/>
      <c r="N13" s="14" t="n"/>
      <c r="O13" s="13">
        <f>IF(C13="Single-Tier",IF(E13="Approved","Approved",IF(E13="Rejected","Rejected","Pending")),IF(C13="Two-Tier",IF(AND(E13="Approved",H13="Approved"),"Approved",IF(OR(E13="Rejected",H13="Rejected"),"Rejected","Pending")),IF(C13="Three-Tier",IF(AND(E13="Approved",H13="Approved",K13="Approved"),"Approved",IF(OR(E13="Rejected",H13="Rejected",K13="Rejected"),"Rejected","Pending")),"Unknown")))</f>
        <v/>
      </c>
      <c r="P13" s="13">
        <f>IF(O13="Approved",IF(C13="Single-Tier",IF(F13="","",F13-TODAY()+365),IF(C13="Two-Tier",IF(I13="","",I13-TODAY()+365),IF(L13="","",L13-TODAY()+365))),"")</f>
        <v/>
      </c>
      <c r="Q13" s="14" t="n"/>
    </row>
    <row r="14">
      <c r="A14" s="14" t="n"/>
      <c r="B14" s="14" t="n"/>
      <c r="C14" s="14" t="n"/>
      <c r="D14" s="14" t="n"/>
      <c r="E14" s="14" t="n"/>
      <c r="F14" s="14" t="n"/>
      <c r="G14" s="14" t="n"/>
      <c r="H14" s="14" t="n"/>
      <c r="I14" s="14" t="n"/>
      <c r="J14" s="14" t="n"/>
      <c r="K14" s="14" t="n"/>
      <c r="L14" s="14" t="n"/>
      <c r="M14" s="14" t="n"/>
      <c r="N14" s="14" t="n"/>
      <c r="O14" s="13">
        <f>IF(C14="Single-Tier",IF(E14="Approved","Approved",IF(E14="Rejected","Rejected","Pending")),IF(C14="Two-Tier",IF(AND(E14="Approved",H14="Approved"),"Approved",IF(OR(E14="Rejected",H14="Rejected"),"Rejected","Pending")),IF(C14="Three-Tier",IF(AND(E14="Approved",H14="Approved",K14="Approved"),"Approved",IF(OR(E14="Rejected",H14="Rejected",K14="Rejected"),"Rejected","Pending")),"Unknown")))</f>
        <v/>
      </c>
      <c r="P14" s="13">
        <f>IF(O14="Approved",IF(C14="Single-Tier",IF(F14="","",F14-TODAY()+365),IF(C14="Two-Tier",IF(I14="","",I14-TODAY()+365),IF(L14="","",L14-TODAY()+365))),"")</f>
        <v/>
      </c>
      <c r="Q14" s="14" t="n"/>
    </row>
    <row r="15">
      <c r="A15" s="14" t="n"/>
      <c r="B15" s="14" t="n"/>
      <c r="C15" s="14" t="n"/>
      <c r="D15" s="14" t="n"/>
      <c r="E15" s="14" t="n"/>
      <c r="F15" s="14" t="n"/>
      <c r="G15" s="14" t="n"/>
      <c r="H15" s="14" t="n"/>
      <c r="I15" s="14" t="n"/>
      <c r="J15" s="14" t="n"/>
      <c r="K15" s="14" t="n"/>
      <c r="L15" s="14" t="n"/>
      <c r="M15" s="14" t="n"/>
      <c r="N15" s="14" t="n"/>
      <c r="O15" s="13">
        <f>IF(C15="Single-Tier",IF(E15="Approved","Approved",IF(E15="Rejected","Rejected","Pending")),IF(C15="Two-Tier",IF(AND(E15="Approved",H15="Approved"),"Approved",IF(OR(E15="Rejected",H15="Rejected"),"Rejected","Pending")),IF(C15="Three-Tier",IF(AND(E15="Approved",H15="Approved",K15="Approved"),"Approved",IF(OR(E15="Rejected",H15="Rejected",K15="Rejected"),"Rejected","Pending")),"Unknown")))</f>
        <v/>
      </c>
      <c r="P15" s="13">
        <f>IF(O15="Approved",IF(C15="Single-Tier",IF(F15="","",F15-TODAY()+365),IF(C15="Two-Tier",IF(I15="","",I15-TODAY()+365),IF(L15="","",L15-TODAY()+365))),"")</f>
        <v/>
      </c>
      <c r="Q15" s="14" t="n"/>
    </row>
    <row r="16">
      <c r="A16" s="14" t="n"/>
      <c r="B16" s="14" t="n"/>
      <c r="C16" s="14" t="n"/>
      <c r="D16" s="14" t="n"/>
      <c r="E16" s="14" t="n"/>
      <c r="F16" s="14" t="n"/>
      <c r="G16" s="14" t="n"/>
      <c r="H16" s="14" t="n"/>
      <c r="I16" s="14" t="n"/>
      <c r="J16" s="14" t="n"/>
      <c r="K16" s="14" t="n"/>
      <c r="L16" s="14" t="n"/>
      <c r="M16" s="14" t="n"/>
      <c r="N16" s="14" t="n"/>
      <c r="O16" s="13">
        <f>IF(C16="Single-Tier",IF(E16="Approved","Approved",IF(E16="Rejected","Rejected","Pending")),IF(C16="Two-Tier",IF(AND(E16="Approved",H16="Approved"),"Approved",IF(OR(E16="Rejected",H16="Rejected"),"Rejected","Pending")),IF(C16="Three-Tier",IF(AND(E16="Approved",H16="Approved",K16="Approved"),"Approved",IF(OR(E16="Rejected",H16="Rejected",K16="Rejected"),"Rejected","Pending")),"Unknown")))</f>
        <v/>
      </c>
      <c r="P16" s="13">
        <f>IF(O16="Approved",IF(C16="Single-Tier",IF(F16="","",F16-TODAY()+365),IF(C16="Two-Tier",IF(I16="","",I16-TODAY()+365),IF(L16="","",L16-TODAY()+365))),"")</f>
        <v/>
      </c>
      <c r="Q16" s="14" t="n"/>
    </row>
    <row r="17">
      <c r="A17" s="14" t="n"/>
      <c r="B17" s="14" t="n"/>
      <c r="C17" s="14" t="n"/>
      <c r="D17" s="14" t="n"/>
      <c r="E17" s="14" t="n"/>
      <c r="F17" s="14" t="n"/>
      <c r="G17" s="14" t="n"/>
      <c r="H17" s="14" t="n"/>
      <c r="I17" s="14" t="n"/>
      <c r="J17" s="14" t="n"/>
      <c r="K17" s="14" t="n"/>
      <c r="L17" s="14" t="n"/>
      <c r="M17" s="14" t="n"/>
      <c r="N17" s="14" t="n"/>
      <c r="O17" s="13">
        <f>IF(C17="Single-Tier",IF(E17="Approved","Approved",IF(E17="Rejected","Rejected","Pending")),IF(C17="Two-Tier",IF(AND(E17="Approved",H17="Approved"),"Approved",IF(OR(E17="Rejected",H17="Rejected"),"Rejected","Pending")),IF(C17="Three-Tier",IF(AND(E17="Approved",H17="Approved",K17="Approved"),"Approved",IF(OR(E17="Rejected",H17="Rejected",K17="Rejected"),"Rejected","Pending")),"Unknown")))</f>
        <v/>
      </c>
      <c r="P17" s="13">
        <f>IF(O17="Approved",IF(C17="Single-Tier",IF(F17="","",F17-TODAY()+365),IF(C17="Two-Tier",IF(I17="","",I17-TODAY()+365),IF(L17="","",L17-TODAY()+365))),"")</f>
        <v/>
      </c>
      <c r="Q17" s="14" t="n"/>
    </row>
    <row r="18">
      <c r="A18" s="14" t="n"/>
      <c r="B18" s="14" t="n"/>
      <c r="C18" s="14" t="n"/>
      <c r="D18" s="14" t="n"/>
      <c r="E18" s="14" t="n"/>
      <c r="F18" s="14" t="n"/>
      <c r="G18" s="14" t="n"/>
      <c r="H18" s="14" t="n"/>
      <c r="I18" s="14" t="n"/>
      <c r="J18" s="14" t="n"/>
      <c r="K18" s="14" t="n"/>
      <c r="L18" s="14" t="n"/>
      <c r="M18" s="14" t="n"/>
      <c r="N18" s="14" t="n"/>
      <c r="O18" s="13">
        <f>IF(C18="Single-Tier",IF(E18="Approved","Approved",IF(E18="Rejected","Rejected","Pending")),IF(C18="Two-Tier",IF(AND(E18="Approved",H18="Approved"),"Approved",IF(OR(E18="Rejected",H18="Rejected"),"Rejected","Pending")),IF(C18="Three-Tier",IF(AND(E18="Approved",H18="Approved",K18="Approved"),"Approved",IF(OR(E18="Rejected",H18="Rejected",K18="Rejected"),"Rejected","Pending")),"Unknown")))</f>
        <v/>
      </c>
      <c r="P18" s="13">
        <f>IF(O18="Approved",IF(C18="Single-Tier",IF(F18="","",F18-TODAY()+365),IF(C18="Two-Tier",IF(I18="","",I18-TODAY()+365),IF(L18="","",L18-TODAY()+365))),"")</f>
        <v/>
      </c>
      <c r="Q18" s="14" t="n"/>
    </row>
    <row r="19">
      <c r="A19" s="14" t="n"/>
      <c r="B19" s="14" t="n"/>
      <c r="C19" s="14" t="n"/>
      <c r="D19" s="14" t="n"/>
      <c r="E19" s="14" t="n"/>
      <c r="F19" s="14" t="n"/>
      <c r="G19" s="14" t="n"/>
      <c r="H19" s="14" t="n"/>
      <c r="I19" s="14" t="n"/>
      <c r="J19" s="14" t="n"/>
      <c r="K19" s="14" t="n"/>
      <c r="L19" s="14" t="n"/>
      <c r="M19" s="14" t="n"/>
      <c r="N19" s="14" t="n"/>
      <c r="O19" s="13">
        <f>IF(C19="Single-Tier",IF(E19="Approved","Approved",IF(E19="Rejected","Rejected","Pending")),IF(C19="Two-Tier",IF(AND(E19="Approved",H19="Approved"),"Approved",IF(OR(E19="Rejected",H19="Rejected"),"Rejected","Pending")),IF(C19="Three-Tier",IF(AND(E19="Approved",H19="Approved",K19="Approved"),"Approved",IF(OR(E19="Rejected",H19="Rejected",K19="Rejected"),"Rejected","Pending")),"Unknown")))</f>
        <v/>
      </c>
      <c r="P19" s="13">
        <f>IF(O19="Approved",IF(C19="Single-Tier",IF(F19="","",F19-TODAY()+365),IF(C19="Two-Tier",IF(I19="","",I19-TODAY()+365),IF(L19="","",L19-TODAY()+365))),"")</f>
        <v/>
      </c>
      <c r="Q19" s="14" t="n"/>
    </row>
    <row r="20">
      <c r="A20" s="14" t="n"/>
      <c r="B20" s="14" t="n"/>
      <c r="C20" s="14" t="n"/>
      <c r="D20" s="14" t="n"/>
      <c r="E20" s="14" t="n"/>
      <c r="F20" s="14" t="n"/>
      <c r="G20" s="14" t="n"/>
      <c r="H20" s="14" t="n"/>
      <c r="I20" s="14" t="n"/>
      <c r="J20" s="14" t="n"/>
      <c r="K20" s="14" t="n"/>
      <c r="L20" s="14" t="n"/>
      <c r="M20" s="14" t="n"/>
      <c r="N20" s="14" t="n"/>
      <c r="O20" s="13">
        <f>IF(C20="Single-Tier",IF(E20="Approved","Approved",IF(E20="Rejected","Rejected","Pending")),IF(C20="Two-Tier",IF(AND(E20="Approved",H20="Approved"),"Approved",IF(OR(E20="Rejected",H20="Rejected"),"Rejected","Pending")),IF(C20="Three-Tier",IF(AND(E20="Approved",H20="Approved",K20="Approved"),"Approved",IF(OR(E20="Rejected",H20="Rejected",K20="Rejected"),"Rejected","Pending")),"Unknown")))</f>
        <v/>
      </c>
      <c r="P20" s="13">
        <f>IF(O20="Approved",IF(C20="Single-Tier",IF(F20="","",F20-TODAY()+365),IF(C20="Two-Tier",IF(I20="","",I20-TODAY()+365),IF(L20="","",L20-TODAY()+365))),"")</f>
        <v/>
      </c>
      <c r="Q20" s="14" t="n"/>
    </row>
    <row r="21">
      <c r="A21" s="14" t="n"/>
      <c r="B21" s="14" t="n"/>
      <c r="C21" s="14" t="n"/>
      <c r="D21" s="14" t="n"/>
      <c r="E21" s="14" t="n"/>
      <c r="F21" s="14" t="n"/>
      <c r="G21" s="14" t="n"/>
      <c r="H21" s="14" t="n"/>
      <c r="I21" s="14" t="n"/>
      <c r="J21" s="14" t="n"/>
      <c r="K21" s="14" t="n"/>
      <c r="L21" s="14" t="n"/>
      <c r="M21" s="14" t="n"/>
      <c r="N21" s="14" t="n"/>
      <c r="O21" s="13">
        <f>IF(C21="Single-Tier",IF(E21="Approved","Approved",IF(E21="Rejected","Rejected","Pending")),IF(C21="Two-Tier",IF(AND(E21="Approved",H21="Approved"),"Approved",IF(OR(E21="Rejected",H21="Rejected"),"Rejected","Pending")),IF(C21="Three-Tier",IF(AND(E21="Approved",H21="Approved",K21="Approved"),"Approved",IF(OR(E21="Rejected",H21="Rejected",K21="Rejected"),"Rejected","Pending")),"Unknown")))</f>
        <v/>
      </c>
      <c r="P21" s="13">
        <f>IF(O21="Approved",IF(C21="Single-Tier",IF(F21="","",F21-TODAY()+365),IF(C21="Two-Tier",IF(I21="","",I21-TODAY()+365),IF(L21="","",L21-TODAY()+365))),"")</f>
        <v/>
      </c>
      <c r="Q21" s="14" t="n"/>
    </row>
    <row r="22">
      <c r="A22" s="14" t="n"/>
      <c r="B22" s="14" t="n"/>
      <c r="C22" s="14" t="n"/>
      <c r="D22" s="14" t="n"/>
      <c r="E22" s="14" t="n"/>
      <c r="F22" s="14" t="n"/>
      <c r="G22" s="14" t="n"/>
      <c r="H22" s="14" t="n"/>
      <c r="I22" s="14" t="n"/>
      <c r="J22" s="14" t="n"/>
      <c r="K22" s="14" t="n"/>
      <c r="L22" s="14" t="n"/>
      <c r="M22" s="14" t="n"/>
      <c r="N22" s="14" t="n"/>
      <c r="O22" s="13">
        <f>IF(C22="Single-Tier",IF(E22="Approved","Approved",IF(E22="Rejected","Rejected","Pending")),IF(C22="Two-Tier",IF(AND(E22="Approved",H22="Approved"),"Approved",IF(OR(E22="Rejected",H22="Rejected"),"Rejected","Pending")),IF(C22="Three-Tier",IF(AND(E22="Approved",H22="Approved",K22="Approved"),"Approved",IF(OR(E22="Rejected",H22="Rejected",K22="Rejected"),"Rejected","Pending")),"Unknown")))</f>
        <v/>
      </c>
      <c r="P22" s="13">
        <f>IF(O22="Approved",IF(C22="Single-Tier",IF(F22="","",F22-TODAY()+365),IF(C22="Two-Tier",IF(I22="","",I22-TODAY()+365),IF(L22="","",L22-TODAY()+365))),"")</f>
        <v/>
      </c>
      <c r="Q22" s="14" t="n"/>
    </row>
    <row r="23">
      <c r="A23" s="14" t="n"/>
      <c r="B23" s="14" t="n"/>
      <c r="C23" s="14" t="n"/>
      <c r="D23" s="14" t="n"/>
      <c r="E23" s="14" t="n"/>
      <c r="F23" s="14" t="n"/>
      <c r="G23" s="14" t="n"/>
      <c r="H23" s="14" t="n"/>
      <c r="I23" s="14" t="n"/>
      <c r="J23" s="14" t="n"/>
      <c r="K23" s="14" t="n"/>
      <c r="L23" s="14" t="n"/>
      <c r="M23" s="14" t="n"/>
      <c r="N23" s="14" t="n"/>
      <c r="O23" s="13">
        <f>IF(C23="Single-Tier",IF(E23="Approved","Approved",IF(E23="Rejected","Rejected","Pending")),IF(C23="Two-Tier",IF(AND(E23="Approved",H23="Approved"),"Approved",IF(OR(E23="Rejected",H23="Rejected"),"Rejected","Pending")),IF(C23="Three-Tier",IF(AND(E23="Approved",H23="Approved",K23="Approved"),"Approved",IF(OR(E23="Rejected",H23="Rejected",K23="Rejected"),"Rejected","Pending")),"Unknown")))</f>
        <v/>
      </c>
      <c r="P23" s="13">
        <f>IF(O23="Approved",IF(C23="Single-Tier",IF(F23="","",F23-TODAY()+365),IF(C23="Two-Tier",IF(I23="","",I23-TODAY()+365),IF(L23="","",L23-TODAY()+365))),"")</f>
        <v/>
      </c>
      <c r="Q23" s="14" t="n"/>
    </row>
    <row r="24">
      <c r="A24" s="14" t="n"/>
      <c r="B24" s="14" t="n"/>
      <c r="C24" s="14" t="n"/>
      <c r="D24" s="14" t="n"/>
      <c r="E24" s="14" t="n"/>
      <c r="F24" s="14" t="n"/>
      <c r="G24" s="14" t="n"/>
      <c r="H24" s="14" t="n"/>
      <c r="I24" s="14" t="n"/>
      <c r="J24" s="14" t="n"/>
      <c r="K24" s="14" t="n"/>
      <c r="L24" s="14" t="n"/>
      <c r="M24" s="14" t="n"/>
      <c r="N24" s="14" t="n"/>
      <c r="O24" s="13">
        <f>IF(C24="Single-Tier",IF(E24="Approved","Approved",IF(E24="Rejected","Rejected","Pending")),IF(C24="Two-Tier",IF(AND(E24="Approved",H24="Approved"),"Approved",IF(OR(E24="Rejected",H24="Rejected"),"Rejected","Pending")),IF(C24="Three-Tier",IF(AND(E24="Approved",H24="Approved",K24="Approved"),"Approved",IF(OR(E24="Rejected",H24="Rejected",K24="Rejected"),"Rejected","Pending")),"Unknown")))</f>
        <v/>
      </c>
      <c r="P24" s="13">
        <f>IF(O24="Approved",IF(C24="Single-Tier",IF(F24="","",F24-TODAY()+365),IF(C24="Two-Tier",IF(I24="","",I24-TODAY()+365),IF(L24="","",L24-TODAY()+365))),"")</f>
        <v/>
      </c>
      <c r="Q24" s="14" t="n"/>
    </row>
    <row r="25">
      <c r="A25" s="14" t="n"/>
      <c r="B25" s="14" t="n"/>
      <c r="C25" s="14" t="n"/>
      <c r="D25" s="14" t="n"/>
      <c r="E25" s="14" t="n"/>
      <c r="F25" s="14" t="n"/>
      <c r="G25" s="14" t="n"/>
      <c r="H25" s="14" t="n"/>
      <c r="I25" s="14" t="n"/>
      <c r="J25" s="14" t="n"/>
      <c r="K25" s="14" t="n"/>
      <c r="L25" s="14" t="n"/>
      <c r="M25" s="14" t="n"/>
      <c r="N25" s="14" t="n"/>
      <c r="O25" s="13">
        <f>IF(C25="Single-Tier",IF(E25="Approved","Approved",IF(E25="Rejected","Rejected","Pending")),IF(C25="Two-Tier",IF(AND(E25="Approved",H25="Approved"),"Approved",IF(OR(E25="Rejected",H25="Rejected"),"Rejected","Pending")),IF(C25="Three-Tier",IF(AND(E25="Approved",H25="Approved",K25="Approved"),"Approved",IF(OR(E25="Rejected",H25="Rejected",K25="Rejected"),"Rejected","Pending")),"Unknown")))</f>
        <v/>
      </c>
      <c r="P25" s="13">
        <f>IF(O25="Approved",IF(C25="Single-Tier",IF(F25="","",F25-TODAY()+365),IF(C25="Two-Tier",IF(I25="","",I25-TODAY()+365),IF(L25="","",L25-TODAY()+365))),"")</f>
        <v/>
      </c>
      <c r="Q25" s="14" t="n"/>
    </row>
    <row r="26">
      <c r="A26" s="14" t="n"/>
      <c r="B26" s="14" t="n"/>
      <c r="C26" s="14" t="n"/>
      <c r="D26" s="14" t="n"/>
      <c r="E26" s="14" t="n"/>
      <c r="F26" s="14" t="n"/>
      <c r="G26" s="14" t="n"/>
      <c r="H26" s="14" t="n"/>
      <c r="I26" s="14" t="n"/>
      <c r="J26" s="14" t="n"/>
      <c r="K26" s="14" t="n"/>
      <c r="L26" s="14" t="n"/>
      <c r="M26" s="14" t="n"/>
      <c r="N26" s="14" t="n"/>
      <c r="O26" s="13">
        <f>IF(C26="Single-Tier",IF(E26="Approved","Approved",IF(E26="Rejected","Rejected","Pending")),IF(C26="Two-Tier",IF(AND(E26="Approved",H26="Approved"),"Approved",IF(OR(E26="Rejected",H26="Rejected"),"Rejected","Pending")),IF(C26="Three-Tier",IF(AND(E26="Approved",H26="Approved",K26="Approved"),"Approved",IF(OR(E26="Rejected",H26="Rejected",K26="Rejected"),"Rejected","Pending")),"Unknown")))</f>
        <v/>
      </c>
      <c r="P26" s="13">
        <f>IF(O26="Approved",IF(C26="Single-Tier",IF(F26="","",F26-TODAY()+365),IF(C26="Two-Tier",IF(I26="","",I26-TODAY()+365),IF(L26="","",L26-TODAY()+365))),"")</f>
        <v/>
      </c>
      <c r="Q26" s="14" t="n"/>
    </row>
    <row r="27">
      <c r="A27" s="14" t="n"/>
      <c r="B27" s="14" t="n"/>
      <c r="C27" s="14" t="n"/>
      <c r="D27" s="14" t="n"/>
      <c r="E27" s="14" t="n"/>
      <c r="F27" s="14" t="n"/>
      <c r="G27" s="14" t="n"/>
      <c r="H27" s="14" t="n"/>
      <c r="I27" s="14" t="n"/>
      <c r="J27" s="14" t="n"/>
      <c r="K27" s="14" t="n"/>
      <c r="L27" s="14" t="n"/>
      <c r="M27" s="14" t="n"/>
      <c r="N27" s="14" t="n"/>
      <c r="O27" s="13">
        <f>IF(C27="Single-Tier",IF(E27="Approved","Approved",IF(E27="Rejected","Rejected","Pending")),IF(C27="Two-Tier",IF(AND(E27="Approved",H27="Approved"),"Approved",IF(OR(E27="Rejected",H27="Rejected"),"Rejected","Pending")),IF(C27="Three-Tier",IF(AND(E27="Approved",H27="Approved",K27="Approved"),"Approved",IF(OR(E27="Rejected",H27="Rejected",K27="Rejected"),"Rejected","Pending")),"Unknown")))</f>
        <v/>
      </c>
      <c r="P27" s="13">
        <f>IF(O27="Approved",IF(C27="Single-Tier",IF(F27="","",F27-TODAY()+365),IF(C27="Two-Tier",IF(I27="","",I27-TODAY()+365),IF(L27="","",L27-TODAY()+365))),"")</f>
        <v/>
      </c>
      <c r="Q27" s="14" t="n"/>
    </row>
    <row r="28">
      <c r="A28" s="14" t="n"/>
      <c r="B28" s="14" t="n"/>
      <c r="C28" s="14" t="n"/>
      <c r="D28" s="14" t="n"/>
      <c r="E28" s="14" t="n"/>
      <c r="F28" s="14" t="n"/>
      <c r="G28" s="14" t="n"/>
      <c r="H28" s="14" t="n"/>
      <c r="I28" s="14" t="n"/>
      <c r="J28" s="14" t="n"/>
      <c r="K28" s="14" t="n"/>
      <c r="L28" s="14" t="n"/>
      <c r="M28" s="14" t="n"/>
      <c r="N28" s="14" t="n"/>
      <c r="O28" s="13">
        <f>IF(C28="Single-Tier",IF(E28="Approved","Approved",IF(E28="Rejected","Rejected","Pending")),IF(C28="Two-Tier",IF(AND(E28="Approved",H28="Approved"),"Approved",IF(OR(E28="Rejected",H28="Rejected"),"Rejected","Pending")),IF(C28="Three-Tier",IF(AND(E28="Approved",H28="Approved",K28="Approved"),"Approved",IF(OR(E28="Rejected",H28="Rejected",K28="Rejected"),"Rejected","Pending")),"Unknown")))</f>
        <v/>
      </c>
      <c r="P28" s="13">
        <f>IF(O28="Approved",IF(C28="Single-Tier",IF(F28="","",F28-TODAY()+365),IF(C28="Two-Tier",IF(I28="","",I28-TODAY()+365),IF(L28="","",L28-TODAY()+365))),"")</f>
        <v/>
      </c>
      <c r="Q28" s="14" t="n"/>
    </row>
    <row r="29">
      <c r="A29" s="14" t="n"/>
      <c r="B29" s="14" t="n"/>
      <c r="C29" s="14" t="n"/>
      <c r="D29" s="14" t="n"/>
      <c r="E29" s="14" t="n"/>
      <c r="F29" s="14" t="n"/>
      <c r="G29" s="14" t="n"/>
      <c r="H29" s="14" t="n"/>
      <c r="I29" s="14" t="n"/>
      <c r="J29" s="14" t="n"/>
      <c r="K29" s="14" t="n"/>
      <c r="L29" s="14" t="n"/>
      <c r="M29" s="14" t="n"/>
      <c r="N29" s="14" t="n"/>
      <c r="O29" s="13">
        <f>IF(C29="Single-Tier",IF(E29="Approved","Approved",IF(E29="Rejected","Rejected","Pending")),IF(C29="Two-Tier",IF(AND(E29="Approved",H29="Approved"),"Approved",IF(OR(E29="Rejected",H29="Rejected"),"Rejected","Pending")),IF(C29="Three-Tier",IF(AND(E29="Approved",H29="Approved",K29="Approved"),"Approved",IF(OR(E29="Rejected",H29="Rejected",K29="Rejected"),"Rejected","Pending")),"Unknown")))</f>
        <v/>
      </c>
      <c r="P29" s="13">
        <f>IF(O29="Approved",IF(C29="Single-Tier",IF(F29="","",F29-TODAY()+365),IF(C29="Two-Tier",IF(I29="","",I29-TODAY()+365),IF(L29="","",L29-TODAY()+365))),"")</f>
        <v/>
      </c>
      <c r="Q29" s="14" t="n"/>
    </row>
    <row r="30">
      <c r="A30" s="14" t="n"/>
      <c r="B30" s="14" t="n"/>
      <c r="C30" s="14" t="n"/>
      <c r="D30" s="14" t="n"/>
      <c r="E30" s="14" t="n"/>
      <c r="F30" s="14" t="n"/>
      <c r="G30" s="14" t="n"/>
      <c r="H30" s="14" t="n"/>
      <c r="I30" s="14" t="n"/>
      <c r="J30" s="14" t="n"/>
      <c r="K30" s="14" t="n"/>
      <c r="L30" s="14" t="n"/>
      <c r="M30" s="14" t="n"/>
      <c r="N30" s="14" t="n"/>
      <c r="O30" s="13">
        <f>IF(C30="Single-Tier",IF(E30="Approved","Approved",IF(E30="Rejected","Rejected","Pending")),IF(C30="Two-Tier",IF(AND(E30="Approved",H30="Approved"),"Approved",IF(OR(E30="Rejected",H30="Rejected"),"Rejected","Pending")),IF(C30="Three-Tier",IF(AND(E30="Approved",H30="Approved",K30="Approved"),"Approved",IF(OR(E30="Rejected",H30="Rejected",K30="Rejected"),"Rejected","Pending")),"Unknown")))</f>
        <v/>
      </c>
      <c r="P30" s="13">
        <f>IF(O30="Approved",IF(C30="Single-Tier",IF(F30="","",F30-TODAY()+365),IF(C30="Two-Tier",IF(I30="","",I30-TODAY()+365),IF(L30="","",L30-TODAY()+365))),"")</f>
        <v/>
      </c>
      <c r="Q30" s="14" t="n"/>
    </row>
    <row r="31">
      <c r="A31" s="14" t="n"/>
      <c r="B31" s="14" t="n"/>
      <c r="C31" s="14" t="n"/>
      <c r="D31" s="14" t="n"/>
      <c r="E31" s="14" t="n"/>
      <c r="F31" s="14" t="n"/>
      <c r="G31" s="14" t="n"/>
      <c r="H31" s="14" t="n"/>
      <c r="I31" s="14" t="n"/>
      <c r="J31" s="14" t="n"/>
      <c r="K31" s="14" t="n"/>
      <c r="L31" s="14" t="n"/>
      <c r="M31" s="14" t="n"/>
      <c r="N31" s="14" t="n"/>
      <c r="O31" s="13">
        <f>IF(C31="Single-Tier",IF(E31="Approved","Approved",IF(E31="Rejected","Rejected","Pending")),IF(C31="Two-Tier",IF(AND(E31="Approved",H31="Approved"),"Approved",IF(OR(E31="Rejected",H31="Rejected"),"Rejected","Pending")),IF(C31="Three-Tier",IF(AND(E31="Approved",H31="Approved",K31="Approved"),"Approved",IF(OR(E31="Rejected",H31="Rejected",K31="Rejected"),"Rejected","Pending")),"Unknown")))</f>
        <v/>
      </c>
      <c r="P31" s="13">
        <f>IF(O31="Approved",IF(C31="Single-Tier",IF(F31="","",F31-TODAY()+365),IF(C31="Two-Tier",IF(I31="","",I31-TODAY()+365),IF(L31="","",L31-TODAY()+365))),"")</f>
        <v/>
      </c>
      <c r="Q31" s="14" t="n"/>
    </row>
    <row r="32">
      <c r="A32" s="14" t="n"/>
      <c r="B32" s="14" t="n"/>
      <c r="C32" s="14" t="n"/>
      <c r="D32" s="14" t="n"/>
      <c r="E32" s="14" t="n"/>
      <c r="F32" s="14" t="n"/>
      <c r="G32" s="14" t="n"/>
      <c r="H32" s="14" t="n"/>
      <c r="I32" s="14" t="n"/>
      <c r="J32" s="14" t="n"/>
      <c r="K32" s="14" t="n"/>
      <c r="L32" s="14" t="n"/>
      <c r="M32" s="14" t="n"/>
      <c r="N32" s="14" t="n"/>
      <c r="O32" s="13">
        <f>IF(C32="Single-Tier",IF(E32="Approved","Approved",IF(E32="Rejected","Rejected","Pending")),IF(C32="Two-Tier",IF(AND(E32="Approved",H32="Approved"),"Approved",IF(OR(E32="Rejected",H32="Rejected"),"Rejected","Pending")),IF(C32="Three-Tier",IF(AND(E32="Approved",H32="Approved",K32="Approved"),"Approved",IF(OR(E32="Rejected",H32="Rejected",K32="Rejected"),"Rejected","Pending")),"Unknown")))</f>
        <v/>
      </c>
      <c r="P32" s="13">
        <f>IF(O32="Approved",IF(C32="Single-Tier",IF(F32="","",F32-TODAY()+365),IF(C32="Two-Tier",IF(I32="","",I32-TODAY()+365),IF(L32="","",L32-TODAY()+365))),"")</f>
        <v/>
      </c>
      <c r="Q32" s="14" t="n"/>
    </row>
    <row r="33">
      <c r="A33" s="14" t="n"/>
      <c r="B33" s="14" t="n"/>
      <c r="C33" s="14" t="n"/>
      <c r="D33" s="14" t="n"/>
      <c r="E33" s="14" t="n"/>
      <c r="F33" s="14" t="n"/>
      <c r="G33" s="14" t="n"/>
      <c r="H33" s="14" t="n"/>
      <c r="I33" s="14" t="n"/>
      <c r="J33" s="14" t="n"/>
      <c r="K33" s="14" t="n"/>
      <c r="L33" s="14" t="n"/>
      <c r="M33" s="14" t="n"/>
      <c r="N33" s="14" t="n"/>
      <c r="O33" s="13">
        <f>IF(C33="Single-Tier",IF(E33="Approved","Approved",IF(E33="Rejected","Rejected","Pending")),IF(C33="Two-Tier",IF(AND(E33="Approved",H33="Approved"),"Approved",IF(OR(E33="Rejected",H33="Rejected"),"Rejected","Pending")),IF(C33="Three-Tier",IF(AND(E33="Approved",H33="Approved",K33="Approved"),"Approved",IF(OR(E33="Rejected",H33="Rejected",K33="Rejected"),"Rejected","Pending")),"Unknown")))</f>
        <v/>
      </c>
      <c r="P33" s="13">
        <f>IF(O33="Approved",IF(C33="Single-Tier",IF(F33="","",F33-TODAY()+365),IF(C33="Two-Tier",IF(I33="","",I33-TODAY()+365),IF(L33="","",L33-TODAY()+365))),"")</f>
        <v/>
      </c>
      <c r="Q33" s="14" t="n"/>
    </row>
    <row r="34">
      <c r="A34" s="14" t="n"/>
      <c r="B34" s="14" t="n"/>
      <c r="C34" s="14" t="n"/>
      <c r="D34" s="14" t="n"/>
      <c r="E34" s="14" t="n"/>
      <c r="F34" s="14" t="n"/>
      <c r="G34" s="14" t="n"/>
      <c r="H34" s="14" t="n"/>
      <c r="I34" s="14" t="n"/>
      <c r="J34" s="14" t="n"/>
      <c r="K34" s="14" t="n"/>
      <c r="L34" s="14" t="n"/>
      <c r="M34" s="14" t="n"/>
      <c r="N34" s="14" t="n"/>
      <c r="O34" s="13">
        <f>IF(C34="Single-Tier",IF(E34="Approved","Approved",IF(E34="Rejected","Rejected","Pending")),IF(C34="Two-Tier",IF(AND(E34="Approved",H34="Approved"),"Approved",IF(OR(E34="Rejected",H34="Rejected"),"Rejected","Pending")),IF(C34="Three-Tier",IF(AND(E34="Approved",H34="Approved",K34="Approved"),"Approved",IF(OR(E34="Rejected",H34="Rejected",K34="Rejected"),"Rejected","Pending")),"Unknown")))</f>
        <v/>
      </c>
      <c r="P34" s="13">
        <f>IF(O34="Approved",IF(C34="Single-Tier",IF(F34="","",F34-TODAY()+365),IF(C34="Two-Tier",IF(I34="","",I34-TODAY()+365),IF(L34="","",L34-TODAY()+365))),"")</f>
        <v/>
      </c>
      <c r="Q34" s="14" t="n"/>
    </row>
    <row r="35">
      <c r="A35" s="14" t="n"/>
      <c r="B35" s="14" t="n"/>
      <c r="C35" s="14" t="n"/>
      <c r="D35" s="14" t="n"/>
      <c r="E35" s="14" t="n"/>
      <c r="F35" s="14" t="n"/>
      <c r="G35" s="14" t="n"/>
      <c r="H35" s="14" t="n"/>
      <c r="I35" s="14" t="n"/>
      <c r="J35" s="14" t="n"/>
      <c r="K35" s="14" t="n"/>
      <c r="L35" s="14" t="n"/>
      <c r="M35" s="14" t="n"/>
      <c r="N35" s="14" t="n"/>
      <c r="O35" s="13">
        <f>IF(C35="Single-Tier",IF(E35="Approved","Approved",IF(E35="Rejected","Rejected","Pending")),IF(C35="Two-Tier",IF(AND(E35="Approved",H35="Approved"),"Approved",IF(OR(E35="Rejected",H35="Rejected"),"Rejected","Pending")),IF(C35="Three-Tier",IF(AND(E35="Approved",H35="Approved",K35="Approved"),"Approved",IF(OR(E35="Rejected",H35="Rejected",K35="Rejected"),"Rejected","Pending")),"Unknown")))</f>
        <v/>
      </c>
      <c r="P35" s="13">
        <f>IF(O35="Approved",IF(C35="Single-Tier",IF(F35="","",F35-TODAY()+365),IF(C35="Two-Tier",IF(I35="","",I35-TODAY()+365),IF(L35="","",L35-TODAY()+365))),"")</f>
        <v/>
      </c>
      <c r="Q35" s="14" t="n"/>
    </row>
    <row r="36">
      <c r="A36" s="14" t="n"/>
      <c r="B36" s="14" t="n"/>
      <c r="C36" s="14" t="n"/>
      <c r="D36" s="14" t="n"/>
      <c r="E36" s="14" t="n"/>
      <c r="F36" s="14" t="n"/>
      <c r="G36" s="14" t="n"/>
      <c r="H36" s="14" t="n"/>
      <c r="I36" s="14" t="n"/>
      <c r="J36" s="14" t="n"/>
      <c r="K36" s="14" t="n"/>
      <c r="L36" s="14" t="n"/>
      <c r="M36" s="14" t="n"/>
      <c r="N36" s="14" t="n"/>
      <c r="O36" s="13">
        <f>IF(C36="Single-Tier",IF(E36="Approved","Approved",IF(E36="Rejected","Rejected","Pending")),IF(C36="Two-Tier",IF(AND(E36="Approved",H36="Approved"),"Approved",IF(OR(E36="Rejected",H36="Rejected"),"Rejected","Pending")),IF(C36="Three-Tier",IF(AND(E36="Approved",H36="Approved",K36="Approved"),"Approved",IF(OR(E36="Rejected",H36="Rejected",K36="Rejected"),"Rejected","Pending")),"Unknown")))</f>
        <v/>
      </c>
      <c r="P36" s="13">
        <f>IF(O36="Approved",IF(C36="Single-Tier",IF(F36="","",F36-TODAY()+365),IF(C36="Two-Tier",IF(I36="","",I36-TODAY()+365),IF(L36="","",L36-TODAY()+365))),"")</f>
        <v/>
      </c>
      <c r="Q36" s="14" t="n"/>
    </row>
    <row r="37">
      <c r="A37" s="14" t="n"/>
      <c r="B37" s="14" t="n"/>
      <c r="C37" s="14" t="n"/>
      <c r="D37" s="14" t="n"/>
      <c r="E37" s="14" t="n"/>
      <c r="F37" s="14" t="n"/>
      <c r="G37" s="14" t="n"/>
      <c r="H37" s="14" t="n"/>
      <c r="I37" s="14" t="n"/>
      <c r="J37" s="14" t="n"/>
      <c r="K37" s="14" t="n"/>
      <c r="L37" s="14" t="n"/>
      <c r="M37" s="14" t="n"/>
      <c r="N37" s="14" t="n"/>
      <c r="O37" s="13">
        <f>IF(C37="Single-Tier",IF(E37="Approved","Approved",IF(E37="Rejected","Rejected","Pending")),IF(C37="Two-Tier",IF(AND(E37="Approved",H37="Approved"),"Approved",IF(OR(E37="Rejected",H37="Rejected"),"Rejected","Pending")),IF(C37="Three-Tier",IF(AND(E37="Approved",H37="Approved",K37="Approved"),"Approved",IF(OR(E37="Rejected",H37="Rejected",K37="Rejected"),"Rejected","Pending")),"Unknown")))</f>
        <v/>
      </c>
      <c r="P37" s="13">
        <f>IF(O37="Approved",IF(C37="Single-Tier",IF(F37="","",F37-TODAY()+365),IF(C37="Two-Tier",IF(I37="","",I37-TODAY()+365),IF(L37="","",L37-TODAY()+365))),"")</f>
        <v/>
      </c>
      <c r="Q37" s="14" t="n"/>
    </row>
    <row r="38">
      <c r="A38" s="14" t="n"/>
      <c r="B38" s="14" t="n"/>
      <c r="C38" s="14" t="n"/>
      <c r="D38" s="14" t="n"/>
      <c r="E38" s="14" t="n"/>
      <c r="F38" s="14" t="n"/>
      <c r="G38" s="14" t="n"/>
      <c r="H38" s="14" t="n"/>
      <c r="I38" s="14" t="n"/>
      <c r="J38" s="14" t="n"/>
      <c r="K38" s="14" t="n"/>
      <c r="L38" s="14" t="n"/>
      <c r="M38" s="14" t="n"/>
      <c r="N38" s="14" t="n"/>
      <c r="O38" s="13">
        <f>IF(C38="Single-Tier",IF(E38="Approved","Approved",IF(E38="Rejected","Rejected","Pending")),IF(C38="Two-Tier",IF(AND(E38="Approved",H38="Approved"),"Approved",IF(OR(E38="Rejected",H38="Rejected"),"Rejected","Pending")),IF(C38="Three-Tier",IF(AND(E38="Approved",H38="Approved",K38="Approved"),"Approved",IF(OR(E38="Rejected",H38="Rejected",K38="Rejected"),"Rejected","Pending")),"Unknown")))</f>
        <v/>
      </c>
      <c r="P38" s="13">
        <f>IF(O38="Approved",IF(C38="Single-Tier",IF(F38="","",F38-TODAY()+365),IF(C38="Two-Tier",IF(I38="","",I38-TODAY()+365),IF(L38="","",L38-TODAY()+365))),"")</f>
        <v/>
      </c>
      <c r="Q38" s="14" t="n"/>
    </row>
    <row r="39">
      <c r="A39" s="14" t="n"/>
      <c r="B39" s="14" t="n"/>
      <c r="C39" s="14" t="n"/>
      <c r="D39" s="14" t="n"/>
      <c r="E39" s="14" t="n"/>
      <c r="F39" s="14" t="n"/>
      <c r="G39" s="14" t="n"/>
      <c r="H39" s="14" t="n"/>
      <c r="I39" s="14" t="n"/>
      <c r="J39" s="14" t="n"/>
      <c r="K39" s="14" t="n"/>
      <c r="L39" s="14" t="n"/>
      <c r="M39" s="14" t="n"/>
      <c r="N39" s="14" t="n"/>
      <c r="O39" s="13">
        <f>IF(C39="Single-Tier",IF(E39="Approved","Approved",IF(E39="Rejected","Rejected","Pending")),IF(C39="Two-Tier",IF(AND(E39="Approved",H39="Approved"),"Approved",IF(OR(E39="Rejected",H39="Rejected"),"Rejected","Pending")),IF(C39="Three-Tier",IF(AND(E39="Approved",H39="Approved",K39="Approved"),"Approved",IF(OR(E39="Rejected",H39="Rejected",K39="Rejected"),"Rejected","Pending")),"Unknown")))</f>
        <v/>
      </c>
      <c r="P39" s="13">
        <f>IF(O39="Approved",IF(C39="Single-Tier",IF(F39="","",F39-TODAY()+365),IF(C39="Two-Tier",IF(I39="","",I39-TODAY()+365),IF(L39="","",L39-TODAY()+365))),"")</f>
        <v/>
      </c>
      <c r="Q39" s="14" t="n"/>
    </row>
    <row r="40">
      <c r="A40" s="14" t="n"/>
      <c r="B40" s="14" t="n"/>
      <c r="C40" s="14" t="n"/>
      <c r="D40" s="14" t="n"/>
      <c r="E40" s="14" t="n"/>
      <c r="F40" s="14" t="n"/>
      <c r="G40" s="14" t="n"/>
      <c r="H40" s="14" t="n"/>
      <c r="I40" s="14" t="n"/>
      <c r="J40" s="14" t="n"/>
      <c r="K40" s="14" t="n"/>
      <c r="L40" s="14" t="n"/>
      <c r="M40" s="14" t="n"/>
      <c r="N40" s="14" t="n"/>
      <c r="O40" s="13">
        <f>IF(C40="Single-Tier",IF(E40="Approved","Approved",IF(E40="Rejected","Rejected","Pending")),IF(C40="Two-Tier",IF(AND(E40="Approved",H40="Approved"),"Approved",IF(OR(E40="Rejected",H40="Rejected"),"Rejected","Pending")),IF(C40="Three-Tier",IF(AND(E40="Approved",H40="Approved",K40="Approved"),"Approved",IF(OR(E40="Rejected",H40="Rejected",K40="Rejected"),"Rejected","Pending")),"Unknown")))</f>
        <v/>
      </c>
      <c r="P40" s="13">
        <f>IF(O40="Approved",IF(C40="Single-Tier",IF(F40="","",F40-TODAY()+365),IF(C40="Two-Tier",IF(I40="","",I40-TODAY()+365),IF(L40="","",L40-TODAY()+365))),"")</f>
        <v/>
      </c>
      <c r="Q40" s="14" t="n"/>
    </row>
    <row r="41">
      <c r="A41" s="14" t="n"/>
      <c r="B41" s="14" t="n"/>
      <c r="C41" s="14" t="n"/>
      <c r="D41" s="14" t="n"/>
      <c r="E41" s="14" t="n"/>
      <c r="F41" s="14" t="n"/>
      <c r="G41" s="14" t="n"/>
      <c r="H41" s="14" t="n"/>
      <c r="I41" s="14" t="n"/>
      <c r="J41" s="14" t="n"/>
      <c r="K41" s="14" t="n"/>
      <c r="L41" s="14" t="n"/>
      <c r="M41" s="14" t="n"/>
      <c r="N41" s="14" t="n"/>
      <c r="O41" s="13">
        <f>IF(C41="Single-Tier",IF(E41="Approved","Approved",IF(E41="Rejected","Rejected","Pending")),IF(C41="Two-Tier",IF(AND(E41="Approved",H41="Approved"),"Approved",IF(OR(E41="Rejected",H41="Rejected"),"Rejected","Pending")),IF(C41="Three-Tier",IF(AND(E41="Approved",H41="Approved",K41="Approved"),"Approved",IF(OR(E41="Rejected",H41="Rejected",K41="Rejected"),"Rejected","Pending")),"Unknown")))</f>
        <v/>
      </c>
      <c r="P41" s="13">
        <f>IF(O41="Approved",IF(C41="Single-Tier",IF(F41="","",F41-TODAY()+365),IF(C41="Two-Tier",IF(I41="","",I41-TODAY()+365),IF(L41="","",L41-TODAY()+365))),"")</f>
        <v/>
      </c>
      <c r="Q41" s="14" t="n"/>
    </row>
    <row r="42">
      <c r="A42" s="14" t="n"/>
      <c r="B42" s="14" t="n"/>
      <c r="C42" s="14" t="n"/>
      <c r="D42" s="14" t="n"/>
      <c r="E42" s="14" t="n"/>
      <c r="F42" s="14" t="n"/>
      <c r="G42" s="14" t="n"/>
      <c r="H42" s="14" t="n"/>
      <c r="I42" s="14" t="n"/>
      <c r="J42" s="14" t="n"/>
      <c r="K42" s="14" t="n"/>
      <c r="L42" s="14" t="n"/>
      <c r="M42" s="14" t="n"/>
      <c r="N42" s="14" t="n"/>
      <c r="O42" s="13">
        <f>IF(C42="Single-Tier",IF(E42="Approved","Approved",IF(E42="Rejected","Rejected","Pending")),IF(C42="Two-Tier",IF(AND(E42="Approved",H42="Approved"),"Approved",IF(OR(E42="Rejected",H42="Rejected"),"Rejected","Pending")),IF(C42="Three-Tier",IF(AND(E42="Approved",H42="Approved",K42="Approved"),"Approved",IF(OR(E42="Rejected",H42="Rejected",K42="Rejected"),"Rejected","Pending")),"Unknown")))</f>
        <v/>
      </c>
      <c r="P42" s="13">
        <f>IF(O42="Approved",IF(C42="Single-Tier",IF(F42="","",F42-TODAY()+365),IF(C42="Two-Tier",IF(I42="","",I42-TODAY()+365),IF(L42="","",L42-TODAY()+365))),"")</f>
        <v/>
      </c>
      <c r="Q42" s="14" t="n"/>
    </row>
    <row r="43">
      <c r="A43" s="14" t="n"/>
      <c r="B43" s="14" t="n"/>
      <c r="C43" s="14" t="n"/>
      <c r="D43" s="14" t="n"/>
      <c r="E43" s="14" t="n"/>
      <c r="F43" s="14" t="n"/>
      <c r="G43" s="14" t="n"/>
      <c r="H43" s="14" t="n"/>
      <c r="I43" s="14" t="n"/>
      <c r="J43" s="14" t="n"/>
      <c r="K43" s="14" t="n"/>
      <c r="L43" s="14" t="n"/>
      <c r="M43" s="14" t="n"/>
      <c r="N43" s="14" t="n"/>
      <c r="O43" s="13">
        <f>IF(C43="Single-Tier",IF(E43="Approved","Approved",IF(E43="Rejected","Rejected","Pending")),IF(C43="Two-Tier",IF(AND(E43="Approved",H43="Approved"),"Approved",IF(OR(E43="Rejected",H43="Rejected"),"Rejected","Pending")),IF(C43="Three-Tier",IF(AND(E43="Approved",H43="Approved",K43="Approved"),"Approved",IF(OR(E43="Rejected",H43="Rejected",K43="Rejected"),"Rejected","Pending")),"Unknown")))</f>
        <v/>
      </c>
      <c r="P43" s="13">
        <f>IF(O43="Approved",IF(C43="Single-Tier",IF(F43="","",F43-TODAY()+365),IF(C43="Two-Tier",IF(I43="","",I43-TODAY()+365),IF(L43="","",L43-TODAY()+365))),"")</f>
        <v/>
      </c>
      <c r="Q43" s="14" t="n"/>
    </row>
    <row r="44">
      <c r="A44" s="14" t="n"/>
      <c r="B44" s="14" t="n"/>
      <c r="C44" s="14" t="n"/>
      <c r="D44" s="14" t="n"/>
      <c r="E44" s="14" t="n"/>
      <c r="F44" s="14" t="n"/>
      <c r="G44" s="14" t="n"/>
      <c r="H44" s="14" t="n"/>
      <c r="I44" s="14" t="n"/>
      <c r="J44" s="14" t="n"/>
      <c r="K44" s="14" t="n"/>
      <c r="L44" s="14" t="n"/>
      <c r="M44" s="14" t="n"/>
      <c r="N44" s="14" t="n"/>
      <c r="O44" s="13">
        <f>IF(C44="Single-Tier",IF(E44="Approved","Approved",IF(E44="Rejected","Rejected","Pending")),IF(C44="Two-Tier",IF(AND(E44="Approved",H44="Approved"),"Approved",IF(OR(E44="Rejected",H44="Rejected"),"Rejected","Pending")),IF(C44="Three-Tier",IF(AND(E44="Approved",H44="Approved",K44="Approved"),"Approved",IF(OR(E44="Rejected",H44="Rejected",K44="Rejected"),"Rejected","Pending")),"Unknown")))</f>
        <v/>
      </c>
      <c r="P44" s="13">
        <f>IF(O44="Approved",IF(C44="Single-Tier",IF(F44="","",F44-TODAY()+365),IF(C44="Two-Tier",IF(I44="","",I44-TODAY()+365),IF(L44="","",L44-TODAY()+365))),"")</f>
        <v/>
      </c>
      <c r="Q44" s="14" t="n"/>
    </row>
    <row r="45">
      <c r="A45" s="14" t="n"/>
      <c r="B45" s="14" t="n"/>
      <c r="C45" s="14" t="n"/>
      <c r="D45" s="14" t="n"/>
      <c r="E45" s="14" t="n"/>
      <c r="F45" s="14" t="n"/>
      <c r="G45" s="14" t="n"/>
      <c r="H45" s="14" t="n"/>
      <c r="I45" s="14" t="n"/>
      <c r="J45" s="14" t="n"/>
      <c r="K45" s="14" t="n"/>
      <c r="L45" s="14" t="n"/>
      <c r="M45" s="14" t="n"/>
      <c r="N45" s="14" t="n"/>
      <c r="O45" s="13">
        <f>IF(C45="Single-Tier",IF(E45="Approved","Approved",IF(E45="Rejected","Rejected","Pending")),IF(C45="Two-Tier",IF(AND(E45="Approved",H45="Approved"),"Approved",IF(OR(E45="Rejected",H45="Rejected"),"Rejected","Pending")),IF(C45="Three-Tier",IF(AND(E45="Approved",H45="Approved",K45="Approved"),"Approved",IF(OR(E45="Rejected",H45="Rejected",K45="Rejected"),"Rejected","Pending")),"Unknown")))</f>
        <v/>
      </c>
      <c r="P45" s="13">
        <f>IF(O45="Approved",IF(C45="Single-Tier",IF(F45="","",F45-TODAY()+365),IF(C45="Two-Tier",IF(I45="","",I45-TODAY()+365),IF(L45="","",L45-TODAY()+365))),"")</f>
        <v/>
      </c>
      <c r="Q45" s="14" t="n"/>
    </row>
    <row r="46">
      <c r="A46" s="14" t="n"/>
      <c r="B46" s="14" t="n"/>
      <c r="C46" s="14" t="n"/>
      <c r="D46" s="14" t="n"/>
      <c r="E46" s="14" t="n"/>
      <c r="F46" s="14" t="n"/>
      <c r="G46" s="14" t="n"/>
      <c r="H46" s="14" t="n"/>
      <c r="I46" s="14" t="n"/>
      <c r="J46" s="14" t="n"/>
      <c r="K46" s="14" t="n"/>
      <c r="L46" s="14" t="n"/>
      <c r="M46" s="14" t="n"/>
      <c r="N46" s="14" t="n"/>
      <c r="O46" s="13">
        <f>IF(C46="Single-Tier",IF(E46="Approved","Approved",IF(E46="Rejected","Rejected","Pending")),IF(C46="Two-Tier",IF(AND(E46="Approved",H46="Approved"),"Approved",IF(OR(E46="Rejected",H46="Rejected"),"Rejected","Pending")),IF(C46="Three-Tier",IF(AND(E46="Approved",H46="Approved",K46="Approved"),"Approved",IF(OR(E46="Rejected",H46="Rejected",K46="Rejected"),"Rejected","Pending")),"Unknown")))</f>
        <v/>
      </c>
      <c r="P46" s="13">
        <f>IF(O46="Approved",IF(C46="Single-Tier",IF(F46="","",F46-TODAY()+365),IF(C46="Two-Tier",IF(I46="","",I46-TODAY()+365),IF(L46="","",L46-TODAY()+365))),"")</f>
        <v/>
      </c>
      <c r="Q46" s="14" t="n"/>
    </row>
    <row r="47">
      <c r="A47" s="14" t="n"/>
      <c r="B47" s="14" t="n"/>
      <c r="C47" s="14" t="n"/>
      <c r="D47" s="14" t="n"/>
      <c r="E47" s="14" t="n"/>
      <c r="F47" s="14" t="n"/>
      <c r="G47" s="14" t="n"/>
      <c r="H47" s="14" t="n"/>
      <c r="I47" s="14" t="n"/>
      <c r="J47" s="14" t="n"/>
      <c r="K47" s="14" t="n"/>
      <c r="L47" s="14" t="n"/>
      <c r="M47" s="14" t="n"/>
      <c r="N47" s="14" t="n"/>
      <c r="O47" s="13">
        <f>IF(C47="Single-Tier",IF(E47="Approved","Approved",IF(E47="Rejected","Rejected","Pending")),IF(C47="Two-Tier",IF(AND(E47="Approved",H47="Approved"),"Approved",IF(OR(E47="Rejected",H47="Rejected"),"Rejected","Pending")),IF(C47="Three-Tier",IF(AND(E47="Approved",H47="Approved",K47="Approved"),"Approved",IF(OR(E47="Rejected",H47="Rejected",K47="Rejected"),"Rejected","Pending")),"Unknown")))</f>
        <v/>
      </c>
      <c r="P47" s="13">
        <f>IF(O47="Approved",IF(C47="Single-Tier",IF(F47="","",F47-TODAY()+365),IF(C47="Two-Tier",IF(I47="","",I47-TODAY()+365),IF(L47="","",L47-TODAY()+365))),"")</f>
        <v/>
      </c>
      <c r="Q47" s="14" t="n"/>
    </row>
    <row r="48">
      <c r="A48" s="14" t="n"/>
      <c r="B48" s="14" t="n"/>
      <c r="C48" s="14" t="n"/>
      <c r="D48" s="14" t="n"/>
      <c r="E48" s="14" t="n"/>
      <c r="F48" s="14" t="n"/>
      <c r="G48" s="14" t="n"/>
      <c r="H48" s="14" t="n"/>
      <c r="I48" s="14" t="n"/>
      <c r="J48" s="14" t="n"/>
      <c r="K48" s="14" t="n"/>
      <c r="L48" s="14" t="n"/>
      <c r="M48" s="14" t="n"/>
      <c r="N48" s="14" t="n"/>
      <c r="O48" s="13">
        <f>IF(C48="Single-Tier",IF(E48="Approved","Approved",IF(E48="Rejected","Rejected","Pending")),IF(C48="Two-Tier",IF(AND(E48="Approved",H48="Approved"),"Approved",IF(OR(E48="Rejected",H48="Rejected"),"Rejected","Pending")),IF(C48="Three-Tier",IF(AND(E48="Approved",H48="Approved",K48="Approved"),"Approved",IF(OR(E48="Rejected",H48="Rejected",K48="Rejected"),"Rejected","Pending")),"Unknown")))</f>
        <v/>
      </c>
      <c r="P48" s="13">
        <f>IF(O48="Approved",IF(C48="Single-Tier",IF(F48="","",F48-TODAY()+365),IF(C48="Two-Tier",IF(I48="","",I48-TODAY()+365),IF(L48="","",L48-TODAY()+365))),"")</f>
        <v/>
      </c>
      <c r="Q48" s="14" t="n"/>
    </row>
    <row r="49">
      <c r="A49" s="14" t="n"/>
      <c r="B49" s="14" t="n"/>
      <c r="C49" s="14" t="n"/>
      <c r="D49" s="14" t="n"/>
      <c r="E49" s="14" t="n"/>
      <c r="F49" s="14" t="n"/>
      <c r="G49" s="14" t="n"/>
      <c r="H49" s="14" t="n"/>
      <c r="I49" s="14" t="n"/>
      <c r="J49" s="14" t="n"/>
      <c r="K49" s="14" t="n"/>
      <c r="L49" s="14" t="n"/>
      <c r="M49" s="14" t="n"/>
      <c r="N49" s="14" t="n"/>
      <c r="O49" s="13">
        <f>IF(C49="Single-Tier",IF(E49="Approved","Approved",IF(E49="Rejected","Rejected","Pending")),IF(C49="Two-Tier",IF(AND(E49="Approved",H49="Approved"),"Approved",IF(OR(E49="Rejected",H49="Rejected"),"Rejected","Pending")),IF(C49="Three-Tier",IF(AND(E49="Approved",H49="Approved",K49="Approved"),"Approved",IF(OR(E49="Rejected",H49="Rejected",K49="Rejected"),"Rejected","Pending")),"Unknown")))</f>
        <v/>
      </c>
      <c r="P49" s="13">
        <f>IF(O49="Approved",IF(C49="Single-Tier",IF(F49="","",F49-TODAY()+365),IF(C49="Two-Tier",IF(I49="","",I49-TODAY()+365),IF(L49="","",L49-TODAY()+365))),"")</f>
        <v/>
      </c>
      <c r="Q49" s="14" t="n"/>
    </row>
    <row r="50">
      <c r="A50" s="14" t="n"/>
      <c r="B50" s="14" t="n"/>
      <c r="C50" s="14" t="n"/>
      <c r="D50" s="14" t="n"/>
      <c r="E50" s="14" t="n"/>
      <c r="F50" s="14" t="n"/>
      <c r="G50" s="14" t="n"/>
      <c r="H50" s="14" t="n"/>
      <c r="I50" s="14" t="n"/>
      <c r="J50" s="14" t="n"/>
      <c r="K50" s="14" t="n"/>
      <c r="L50" s="14" t="n"/>
      <c r="M50" s="14" t="n"/>
      <c r="N50" s="14" t="n"/>
      <c r="O50" s="13">
        <f>IF(C50="Single-Tier",IF(E50="Approved","Approved",IF(E50="Rejected","Rejected","Pending")),IF(C50="Two-Tier",IF(AND(E50="Approved",H50="Approved"),"Approved",IF(OR(E50="Rejected",H50="Rejected"),"Rejected","Pending")),IF(C50="Three-Tier",IF(AND(E50="Approved",H50="Approved",K50="Approved"),"Approved",IF(OR(E50="Rejected",H50="Rejected",K50="Rejected"),"Rejected","Pending")),"Unknown")))</f>
        <v/>
      </c>
      <c r="P50" s="13">
        <f>IF(O50="Approved",IF(C50="Single-Tier",IF(F50="","",F50-TODAY()+365),IF(C50="Two-Tier",IF(I50="","",I50-TODAY()+365),IF(L50="","",L50-TODAY()+365))),"")</f>
        <v/>
      </c>
      <c r="Q50" s="14" t="n"/>
    </row>
    <row r="51">
      <c r="A51" s="14" t="n"/>
      <c r="B51" s="14" t="n"/>
      <c r="C51" s="14" t="n"/>
      <c r="D51" s="14" t="n"/>
      <c r="E51" s="14" t="n"/>
      <c r="F51" s="14" t="n"/>
      <c r="G51" s="14" t="n"/>
      <c r="H51" s="14" t="n"/>
      <c r="I51" s="14" t="n"/>
      <c r="J51" s="14" t="n"/>
      <c r="K51" s="14" t="n"/>
      <c r="L51" s="14" t="n"/>
      <c r="M51" s="14" t="n"/>
      <c r="N51" s="14" t="n"/>
      <c r="O51" s="13">
        <f>IF(C51="Single-Tier",IF(E51="Approved","Approved",IF(E51="Rejected","Rejected","Pending")),IF(C51="Two-Tier",IF(AND(E51="Approved",H51="Approved"),"Approved",IF(OR(E51="Rejected",H51="Rejected"),"Rejected","Pending")),IF(C51="Three-Tier",IF(AND(E51="Approved",H51="Approved",K51="Approved"),"Approved",IF(OR(E51="Rejected",H51="Rejected",K51="Rejected"),"Rejected","Pending")),"Unknown")))</f>
        <v/>
      </c>
      <c r="P51" s="13">
        <f>IF(O51="Approved",IF(C51="Single-Tier",IF(F51="","",F51-TODAY()+365),IF(C51="Two-Tier",IF(I51="","",I51-TODAY()+365),IF(L51="","",L51-TODAY()+365))),"")</f>
        <v/>
      </c>
      <c r="Q51" s="14" t="n"/>
    </row>
    <row r="52">
      <c r="A52" s="14" t="n"/>
      <c r="B52" s="14" t="n"/>
      <c r="C52" s="14" t="n"/>
      <c r="D52" s="14" t="n"/>
      <c r="E52" s="14" t="n"/>
      <c r="F52" s="14" t="n"/>
      <c r="G52" s="14" t="n"/>
      <c r="H52" s="14" t="n"/>
      <c r="I52" s="14" t="n"/>
      <c r="J52" s="14" t="n"/>
      <c r="K52" s="14" t="n"/>
      <c r="L52" s="14" t="n"/>
      <c r="M52" s="14" t="n"/>
      <c r="N52" s="14" t="n"/>
      <c r="O52" s="13">
        <f>IF(C52="Single-Tier",IF(E52="Approved","Approved",IF(E52="Rejected","Rejected","Pending")),IF(C52="Two-Tier",IF(AND(E52="Approved",H52="Approved"),"Approved",IF(OR(E52="Rejected",H52="Rejected"),"Rejected","Pending")),IF(C52="Three-Tier",IF(AND(E52="Approved",H52="Approved",K52="Approved"),"Approved",IF(OR(E52="Rejected",H52="Rejected",K52="Rejected"),"Rejected","Pending")),"Unknown")))</f>
        <v/>
      </c>
      <c r="P52" s="13">
        <f>IF(O52="Approved",IF(C52="Single-Tier",IF(F52="","",F52-TODAY()+365),IF(C52="Two-Tier",IF(I52="","",I52-TODAY()+365),IF(L52="","",L52-TODAY()+365))),"")</f>
        <v/>
      </c>
      <c r="Q52" s="14" t="n"/>
    </row>
    <row r="53">
      <c r="A53" s="14" t="n"/>
      <c r="B53" s="14" t="n"/>
      <c r="C53" s="14" t="n"/>
      <c r="D53" s="14" t="n"/>
      <c r="E53" s="14" t="n"/>
      <c r="F53" s="14" t="n"/>
      <c r="G53" s="14" t="n"/>
      <c r="H53" s="14" t="n"/>
      <c r="I53" s="14" t="n"/>
      <c r="J53" s="14" t="n"/>
      <c r="K53" s="14" t="n"/>
      <c r="L53" s="14" t="n"/>
      <c r="M53" s="14" t="n"/>
      <c r="N53" s="14" t="n"/>
      <c r="O53" s="13">
        <f>IF(C53="Single-Tier",IF(E53="Approved","Approved",IF(E53="Rejected","Rejected","Pending")),IF(C53="Two-Tier",IF(AND(E53="Approved",H53="Approved"),"Approved",IF(OR(E53="Rejected",H53="Rejected"),"Rejected","Pending")),IF(C53="Three-Tier",IF(AND(E53="Approved",H53="Approved",K53="Approved"),"Approved",IF(OR(E53="Rejected",H53="Rejected",K53="Rejected"),"Rejected","Pending")),"Unknown")))</f>
        <v/>
      </c>
      <c r="P53" s="13">
        <f>IF(O53="Approved",IF(C53="Single-Tier",IF(F53="","",F53-TODAY()+365),IF(C53="Two-Tier",IF(I53="","",I53-TODAY()+365),IF(L53="","",L53-TODAY()+365))),"")</f>
        <v/>
      </c>
      <c r="Q53" s="14" t="n"/>
    </row>
    <row r="54">
      <c r="A54" s="14" t="n"/>
      <c r="B54" s="14" t="n"/>
      <c r="C54" s="14" t="n"/>
      <c r="D54" s="14" t="n"/>
      <c r="E54" s="14" t="n"/>
      <c r="F54" s="14" t="n"/>
      <c r="G54" s="14" t="n"/>
      <c r="H54" s="14" t="n"/>
      <c r="I54" s="14" t="n"/>
      <c r="J54" s="14" t="n"/>
      <c r="K54" s="14" t="n"/>
      <c r="L54" s="14" t="n"/>
      <c r="M54" s="14" t="n"/>
      <c r="N54" s="14" t="n"/>
      <c r="O54" s="13">
        <f>IF(C54="Single-Tier",IF(E54="Approved","Approved",IF(E54="Rejected","Rejected","Pending")),IF(C54="Two-Tier",IF(AND(E54="Approved",H54="Approved"),"Approved",IF(OR(E54="Rejected",H54="Rejected"),"Rejected","Pending")),IF(C54="Three-Tier",IF(AND(E54="Approved",H54="Approved",K54="Approved"),"Approved",IF(OR(E54="Rejected",H54="Rejected",K54="Rejected"),"Rejected","Pending")),"Unknown")))</f>
        <v/>
      </c>
      <c r="P54" s="13">
        <f>IF(O54="Approved",IF(C54="Single-Tier",IF(F54="","",F54-TODAY()+365),IF(C54="Two-Tier",IF(I54="","",I54-TODAY()+365),IF(L54="","",L54-TODAY()+365))),"")</f>
        <v/>
      </c>
      <c r="Q54" s="14" t="n"/>
    </row>
  </sheetData>
  <mergeCells count="1">
    <mergeCell ref="A1:Q1"/>
  </mergeCells>
  <conditionalFormatting sqref="E4:E54">
    <cfRule type="cellIs" priority="1" operator="equal" dxfId="4">
      <formula>"Approved"</formula>
    </cfRule>
    <cfRule type="cellIs" priority="2" operator="equal" dxfId="5">
      <formula>"Rejected"</formula>
    </cfRule>
  </conditionalFormatting>
  <conditionalFormatting sqref="H4:H54">
    <cfRule type="cellIs" priority="3" operator="equal" dxfId="4">
      <formula>"Approved"</formula>
    </cfRule>
    <cfRule type="cellIs" priority="4" operator="equal" dxfId="5">
      <formula>"Rejected"</formula>
    </cfRule>
  </conditionalFormatting>
  <conditionalFormatting sqref="K4:K54">
    <cfRule type="cellIs" priority="5" operator="equal" dxfId="4">
      <formula>"Approved"</formula>
    </cfRule>
    <cfRule type="cellIs" priority="6" operator="equal" dxfId="5">
      <formula>"Rejected"</formula>
    </cfRule>
  </conditionalFormatting>
  <dataValidations count="5">
    <dataValidation sqref="C4:C54" showDropDown="0" showInputMessage="0" showErrorMessage="0" allowBlank="0" errorTitle="Invalid Entry" error="Invalid entry" promptTitle="Selection Required" prompt="Please select from the dropdown" type="list">
      <formula1>"Single-Tier,Two-Tier,Three-Tier,Emergency"</formula1>
    </dataValidation>
    <dataValidation sqref="E4:E54" showDropDown="0" showInputMessage="0" showErrorMessage="0" allowBlank="1" errorTitle="Invalid Entry" error="Invalid entry" promptTitle="Selection Required" prompt="Please select from the dropdown" type="list">
      <formula1>"⏳ Pending,✅ Approved,❌ Rejected,➖ N/A"</formula1>
    </dataValidation>
    <dataValidation sqref="H4:H54" showDropDown="0" showInputMessage="0" showErrorMessage="0" allowBlank="1" errorTitle="Invalid Entry" error="Invalid entry" promptTitle="Selection Required" prompt="Please select from the dropdown" type="list">
      <formula1>"⏳ Pending,✅ Approved,❌ Rejected,➖ N/A"</formula1>
    </dataValidation>
    <dataValidation sqref="K4:K54" showDropDown="0" showInputMessage="0" showErrorMessage="0" allowBlank="1" errorTitle="Invalid Entry" error="Invalid entry" promptTitle="Selection Required" prompt="Please select from the dropdown" type="list">
      <formula1>"⏳ Pending,✅ Approved,❌ Rejected,➖ N/A"</formula1>
    </dataValidation>
    <dataValidation sqref="M4:M54" showDropDown="0" showInputMessage="0" showErrorMessage="0" allowBlank="1" errorTitle="Invalid Entry" error="Invalid entry" promptTitle="Selection Required" prompt="Please select from the dropdown" type="list">
      <formula1>"CAB Meeting,Email Approval,Emergency Verbal,Automated (Standard),Not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2" customWidth="1" min="3" max="3"/>
    <col width="35" customWidth="1" min="4" max="4"/>
    <col width="15" customWidth="1" min="5" max="5"/>
    <col width="15" customWidth="1" min="6" max="6"/>
    <col width="20" customWidth="1" min="7" max="7"/>
    <col width="15" customWidth="1" min="8" max="8"/>
    <col width="35" customWidth="1" min="9" max="9"/>
    <col width="35" customWidth="1" min="10" max="10"/>
    <col width="15" customWidth="1" min="11" max="11"/>
    <col width="20" customWidth="1" min="12" max="12"/>
    <col width="35" customWidth="1" min="13" max="13"/>
    <col width="35" customWidth="1" min="14" max="14"/>
    <col width="12" customWidth="1" min="15" max="15"/>
    <col width="25" customWidth="1" min="16" max="16"/>
    <col width="15" customWidth="1" min="17" max="17"/>
  </cols>
  <sheetData>
    <row r="1" ht="35" customHeight="1">
      <c r="A1" s="11" t="inlineStr">
        <is>
          <t>IMPACT ASSESSMENT - RISK ANALYSIS PER CHANGE</t>
        </is>
      </c>
    </row>
    <row r="2">
      <c r="A2" s="12" t="inlineStr">
        <is>
          <t>Change ID</t>
        </is>
      </c>
      <c r="B2" s="12" t="inlineStr">
        <is>
          <t>Change Title</t>
        </is>
      </c>
      <c r="C2" s="12" t="inlineStr">
        <is>
          <t>Affected Systems Count</t>
        </is>
      </c>
      <c r="D2" s="12" t="inlineStr">
        <is>
          <t>Affected Systems Detail</t>
        </is>
      </c>
      <c r="E2" s="12" t="inlineStr">
        <is>
          <t>User Impact</t>
        </is>
      </c>
      <c r="F2" s="12" t="inlineStr">
        <is>
          <t>User Count Affected</t>
        </is>
      </c>
      <c r="G2" s="12" t="inlineStr">
        <is>
          <t>Service Downtime Required</t>
        </is>
      </c>
      <c r="H2" s="12" t="inlineStr">
        <is>
          <t>Risk Level</t>
        </is>
      </c>
      <c r="I2" s="12" t="inlineStr">
        <is>
          <t>Risk Description</t>
        </is>
      </c>
      <c r="J2" s="12" t="inlineStr">
        <is>
          <t>Mitigation Strategies</t>
        </is>
      </c>
      <c r="K2" s="12" t="inlineStr">
        <is>
          <t>Rollback Required</t>
        </is>
      </c>
      <c r="L2" s="12" t="inlineStr">
        <is>
          <t>Estimated Rollback Time</t>
        </is>
      </c>
      <c r="M2" s="12" t="inlineStr">
        <is>
          <t>Dependencies</t>
        </is>
      </c>
      <c r="N2" s="12" t="inlineStr">
        <is>
          <t>Business Justification</t>
        </is>
      </c>
      <c r="O2" s="12" t="inlineStr">
        <is>
          <t>Risk Score</t>
        </is>
      </c>
      <c r="P2" s="12" t="inlineStr">
        <is>
          <t>Assessment Completed By</t>
        </is>
      </c>
      <c r="Q2" s="12" t="inlineStr">
        <is>
          <t>Assessment Date</t>
        </is>
      </c>
    </row>
    <row r="4">
      <c r="A4" s="13" t="inlineStr">
        <is>
          <t>CRQ-2026-0001</t>
        </is>
      </c>
      <c r="B4" s="13" t="inlineStr">
        <is>
          <t>Disable legacy TLS 1.0/1.1 on all web servers</t>
        </is>
      </c>
      <c r="C4" s="13" t="n">
        <v>12</v>
      </c>
      <c r="D4" s="13" t="inlineStr">
        <is>
          <t>prod-web-01 through prod-web-12 (all production web servers)</t>
        </is>
      </c>
      <c r="E4" s="13" t="inlineStr">
        <is>
          <t>Minimal</t>
        </is>
      </c>
      <c r="F4" s="13" t="n">
        <v>50</v>
      </c>
      <c r="G4" s="13" t="inlineStr">
        <is>
          <t>None</t>
        </is>
      </c>
      <c r="H4" s="13" t="inlineStr">
        <is>
          <t>Low</t>
        </is>
      </c>
      <c r="I4" s="13" t="inlineStr">
        <is>
          <t>Minor risk — disabling deprecated protocol; all clients already support TLS 1.2+</t>
        </is>
      </c>
      <c r="J4" s="13" t="inlineStr">
        <is>
          <t>Pre-validate client TLS support; communicate maintenance window to stakeholders</t>
        </is>
      </c>
      <c r="K4" s="13" t="inlineStr">
        <is>
          <t>Yes</t>
        </is>
      </c>
      <c r="L4" s="13" t="inlineStr">
        <is>
          <t>30 minutes</t>
        </is>
      </c>
      <c r="M4" s="13" t="inlineStr">
        <is>
          <t>None identified</t>
        </is>
      </c>
      <c r="N4" s="13" t="inlineStr">
        <is>
          <t>Security compliance requirement — disable deprecated ciphers to meet CIS baseline</t>
        </is>
      </c>
      <c r="O4" s="13" t="inlineStr"/>
      <c r="P4" s="13" t="inlineStr">
        <is>
          <t>J. Smith</t>
        </is>
      </c>
      <c r="Q4" s="13" t="inlineStr">
        <is>
          <t>03.01.2026</t>
        </is>
      </c>
    </row>
    <row r="5">
      <c r="A5" s="14" t="n"/>
      <c r="B5" s="14" t="n"/>
      <c r="C5" s="14" t="n"/>
      <c r="D5" s="14" t="n"/>
      <c r="E5" s="14" t="n"/>
      <c r="F5" s="14" t="n"/>
      <c r="G5" s="14" t="n"/>
      <c r="H5" s="14" t="n"/>
      <c r="I5" s="14" t="n"/>
      <c r="J5" s="14" t="n"/>
      <c r="K5" s="14" t="n"/>
      <c r="L5" s="14" t="n"/>
      <c r="M5" s="14" t="n"/>
      <c r="N5" s="14" t="n"/>
      <c r="O5" s="13">
        <f>IF(H5="Low",1,IF(H5="Medium",2,IF(H5="High",3,IF(H5="Critical",4,0))))*IF(E5="None",1,IF(E5="Minimal",2,IF(E5="Moderate",3,IF(E5="Significant",4,IF(E5="Severe",5,0)))))</f>
        <v/>
      </c>
      <c r="P5" s="14" t="n"/>
      <c r="Q5" s="14" t="n"/>
    </row>
    <row r="6">
      <c r="A6" s="14" t="n"/>
      <c r="B6" s="14" t="n"/>
      <c r="C6" s="14" t="n"/>
      <c r="D6" s="14" t="n"/>
      <c r="E6" s="14" t="n"/>
      <c r="F6" s="14" t="n"/>
      <c r="G6" s="14" t="n"/>
      <c r="H6" s="14" t="n"/>
      <c r="I6" s="14" t="n"/>
      <c r="J6" s="14" t="n"/>
      <c r="K6" s="14" t="n"/>
      <c r="L6" s="14" t="n"/>
      <c r="M6" s="14" t="n"/>
      <c r="N6" s="14" t="n"/>
      <c r="O6" s="13">
        <f>IF(H6="Low",1,IF(H6="Medium",2,IF(H6="High",3,IF(H6="Critical",4,0))))*IF(E6="None",1,IF(E6="Minimal",2,IF(E6="Moderate",3,IF(E6="Significant",4,IF(E6="Severe",5,0)))))</f>
        <v/>
      </c>
      <c r="P6" s="14" t="n"/>
      <c r="Q6" s="14" t="n"/>
    </row>
    <row r="7">
      <c r="A7" s="14" t="n"/>
      <c r="B7" s="14" t="n"/>
      <c r="C7" s="14" t="n"/>
      <c r="D7" s="14" t="n"/>
      <c r="E7" s="14" t="n"/>
      <c r="F7" s="14" t="n"/>
      <c r="G7" s="14" t="n"/>
      <c r="H7" s="14" t="n"/>
      <c r="I7" s="14" t="n"/>
      <c r="J7" s="14" t="n"/>
      <c r="K7" s="14" t="n"/>
      <c r="L7" s="14" t="n"/>
      <c r="M7" s="14" t="n"/>
      <c r="N7" s="14" t="n"/>
      <c r="O7" s="13">
        <f>IF(H7="Low",1,IF(H7="Medium",2,IF(H7="High",3,IF(H7="Critical",4,0))))*IF(E7="None",1,IF(E7="Minimal",2,IF(E7="Moderate",3,IF(E7="Significant",4,IF(E7="Severe",5,0)))))</f>
        <v/>
      </c>
      <c r="P7" s="14" t="n"/>
      <c r="Q7" s="14" t="n"/>
    </row>
    <row r="8">
      <c r="A8" s="14" t="n"/>
      <c r="B8" s="14" t="n"/>
      <c r="C8" s="14" t="n"/>
      <c r="D8" s="14" t="n"/>
      <c r="E8" s="14" t="n"/>
      <c r="F8" s="14" t="n"/>
      <c r="G8" s="14" t="n"/>
      <c r="H8" s="14" t="n"/>
      <c r="I8" s="14" t="n"/>
      <c r="J8" s="14" t="n"/>
      <c r="K8" s="14" t="n"/>
      <c r="L8" s="14" t="n"/>
      <c r="M8" s="14" t="n"/>
      <c r="N8" s="14" t="n"/>
      <c r="O8" s="13">
        <f>IF(H8="Low",1,IF(H8="Medium",2,IF(H8="High",3,IF(H8="Critical",4,0))))*IF(E8="None",1,IF(E8="Minimal",2,IF(E8="Moderate",3,IF(E8="Significant",4,IF(E8="Severe",5,0)))))</f>
        <v/>
      </c>
      <c r="P8" s="14" t="n"/>
      <c r="Q8" s="14" t="n"/>
    </row>
    <row r="9">
      <c r="A9" s="14" t="n"/>
      <c r="B9" s="14" t="n"/>
      <c r="C9" s="14" t="n"/>
      <c r="D9" s="14" t="n"/>
      <c r="E9" s="14" t="n"/>
      <c r="F9" s="14" t="n"/>
      <c r="G9" s="14" t="n"/>
      <c r="H9" s="14" t="n"/>
      <c r="I9" s="14" t="n"/>
      <c r="J9" s="14" t="n"/>
      <c r="K9" s="14" t="n"/>
      <c r="L9" s="14" t="n"/>
      <c r="M9" s="14" t="n"/>
      <c r="N9" s="14" t="n"/>
      <c r="O9" s="13">
        <f>IF(H9="Low",1,IF(H9="Medium",2,IF(H9="High",3,IF(H9="Critical",4,0))))*IF(E9="None",1,IF(E9="Minimal",2,IF(E9="Moderate",3,IF(E9="Significant",4,IF(E9="Severe",5,0)))))</f>
        <v/>
      </c>
      <c r="P9" s="14" t="n"/>
      <c r="Q9" s="14" t="n"/>
    </row>
    <row r="10">
      <c r="A10" s="14" t="n"/>
      <c r="B10" s="14" t="n"/>
      <c r="C10" s="14" t="n"/>
      <c r="D10" s="14" t="n"/>
      <c r="E10" s="14" t="n"/>
      <c r="F10" s="14" t="n"/>
      <c r="G10" s="14" t="n"/>
      <c r="H10" s="14" t="n"/>
      <c r="I10" s="14" t="n"/>
      <c r="J10" s="14" t="n"/>
      <c r="K10" s="14" t="n"/>
      <c r="L10" s="14" t="n"/>
      <c r="M10" s="14" t="n"/>
      <c r="N10" s="14" t="n"/>
      <c r="O10" s="13">
        <f>IF(H10="Low",1,IF(H10="Medium",2,IF(H10="High",3,IF(H10="Critical",4,0))))*IF(E10="None",1,IF(E10="Minimal",2,IF(E10="Moderate",3,IF(E10="Significant",4,IF(E10="Severe",5,0)))))</f>
        <v/>
      </c>
      <c r="P10" s="14" t="n"/>
      <c r="Q10" s="14" t="n"/>
    </row>
    <row r="11">
      <c r="A11" s="14" t="n"/>
      <c r="B11" s="14" t="n"/>
      <c r="C11" s="14" t="n"/>
      <c r="D11" s="14" t="n"/>
      <c r="E11" s="14" t="n"/>
      <c r="F11" s="14" t="n"/>
      <c r="G11" s="14" t="n"/>
      <c r="H11" s="14" t="n"/>
      <c r="I11" s="14" t="n"/>
      <c r="J11" s="14" t="n"/>
      <c r="K11" s="14" t="n"/>
      <c r="L11" s="14" t="n"/>
      <c r="M11" s="14" t="n"/>
      <c r="N11" s="14" t="n"/>
      <c r="O11" s="13">
        <f>IF(H11="Low",1,IF(H11="Medium",2,IF(H11="High",3,IF(H11="Critical",4,0))))*IF(E11="None",1,IF(E11="Minimal",2,IF(E11="Moderate",3,IF(E11="Significant",4,IF(E11="Severe",5,0)))))</f>
        <v/>
      </c>
      <c r="P11" s="14" t="n"/>
      <c r="Q11" s="14" t="n"/>
    </row>
    <row r="12">
      <c r="A12" s="14" t="n"/>
      <c r="B12" s="14" t="n"/>
      <c r="C12" s="14" t="n"/>
      <c r="D12" s="14" t="n"/>
      <c r="E12" s="14" t="n"/>
      <c r="F12" s="14" t="n"/>
      <c r="G12" s="14" t="n"/>
      <c r="H12" s="14" t="n"/>
      <c r="I12" s="14" t="n"/>
      <c r="J12" s="14" t="n"/>
      <c r="K12" s="14" t="n"/>
      <c r="L12" s="14" t="n"/>
      <c r="M12" s="14" t="n"/>
      <c r="N12" s="14" t="n"/>
      <c r="O12" s="13">
        <f>IF(H12="Low",1,IF(H12="Medium",2,IF(H12="High",3,IF(H12="Critical",4,0))))*IF(E12="None",1,IF(E12="Minimal",2,IF(E12="Moderate",3,IF(E12="Significant",4,IF(E12="Severe",5,0)))))</f>
        <v/>
      </c>
      <c r="P12" s="14" t="n"/>
      <c r="Q12" s="14" t="n"/>
    </row>
    <row r="13">
      <c r="A13" s="14" t="n"/>
      <c r="B13" s="14" t="n"/>
      <c r="C13" s="14" t="n"/>
      <c r="D13" s="14" t="n"/>
      <c r="E13" s="14" t="n"/>
      <c r="F13" s="14" t="n"/>
      <c r="G13" s="14" t="n"/>
      <c r="H13" s="14" t="n"/>
      <c r="I13" s="14" t="n"/>
      <c r="J13" s="14" t="n"/>
      <c r="K13" s="14" t="n"/>
      <c r="L13" s="14" t="n"/>
      <c r="M13" s="14" t="n"/>
      <c r="N13" s="14" t="n"/>
      <c r="O13" s="13">
        <f>IF(H13="Low",1,IF(H13="Medium",2,IF(H13="High",3,IF(H13="Critical",4,0))))*IF(E13="None",1,IF(E13="Minimal",2,IF(E13="Moderate",3,IF(E13="Significant",4,IF(E13="Severe",5,0)))))</f>
        <v/>
      </c>
      <c r="P13" s="14" t="n"/>
      <c r="Q13" s="14" t="n"/>
    </row>
    <row r="14">
      <c r="A14" s="14" t="n"/>
      <c r="B14" s="14" t="n"/>
      <c r="C14" s="14" t="n"/>
      <c r="D14" s="14" t="n"/>
      <c r="E14" s="14" t="n"/>
      <c r="F14" s="14" t="n"/>
      <c r="G14" s="14" t="n"/>
      <c r="H14" s="14" t="n"/>
      <c r="I14" s="14" t="n"/>
      <c r="J14" s="14" t="n"/>
      <c r="K14" s="14" t="n"/>
      <c r="L14" s="14" t="n"/>
      <c r="M14" s="14" t="n"/>
      <c r="N14" s="14" t="n"/>
      <c r="O14" s="13">
        <f>IF(H14="Low",1,IF(H14="Medium",2,IF(H14="High",3,IF(H14="Critical",4,0))))*IF(E14="None",1,IF(E14="Minimal",2,IF(E14="Moderate",3,IF(E14="Significant",4,IF(E14="Severe",5,0)))))</f>
        <v/>
      </c>
      <c r="P14" s="14" t="n"/>
      <c r="Q14" s="14" t="n"/>
    </row>
    <row r="15">
      <c r="A15" s="14" t="n"/>
      <c r="B15" s="14" t="n"/>
      <c r="C15" s="14" t="n"/>
      <c r="D15" s="14" t="n"/>
      <c r="E15" s="14" t="n"/>
      <c r="F15" s="14" t="n"/>
      <c r="G15" s="14" t="n"/>
      <c r="H15" s="14" t="n"/>
      <c r="I15" s="14" t="n"/>
      <c r="J15" s="14" t="n"/>
      <c r="K15" s="14" t="n"/>
      <c r="L15" s="14" t="n"/>
      <c r="M15" s="14" t="n"/>
      <c r="N15" s="14" t="n"/>
      <c r="O15" s="13">
        <f>IF(H15="Low",1,IF(H15="Medium",2,IF(H15="High",3,IF(H15="Critical",4,0))))*IF(E15="None",1,IF(E15="Minimal",2,IF(E15="Moderate",3,IF(E15="Significant",4,IF(E15="Severe",5,0)))))</f>
        <v/>
      </c>
      <c r="P15" s="14" t="n"/>
      <c r="Q15" s="14" t="n"/>
    </row>
    <row r="16">
      <c r="A16" s="14" t="n"/>
      <c r="B16" s="14" t="n"/>
      <c r="C16" s="14" t="n"/>
      <c r="D16" s="14" t="n"/>
      <c r="E16" s="14" t="n"/>
      <c r="F16" s="14" t="n"/>
      <c r="G16" s="14" t="n"/>
      <c r="H16" s="14" t="n"/>
      <c r="I16" s="14" t="n"/>
      <c r="J16" s="14" t="n"/>
      <c r="K16" s="14" t="n"/>
      <c r="L16" s="14" t="n"/>
      <c r="M16" s="14" t="n"/>
      <c r="N16" s="14" t="n"/>
      <c r="O16" s="13">
        <f>IF(H16="Low",1,IF(H16="Medium",2,IF(H16="High",3,IF(H16="Critical",4,0))))*IF(E16="None",1,IF(E16="Minimal",2,IF(E16="Moderate",3,IF(E16="Significant",4,IF(E16="Severe",5,0)))))</f>
        <v/>
      </c>
      <c r="P16" s="14" t="n"/>
      <c r="Q16" s="14" t="n"/>
    </row>
    <row r="17">
      <c r="A17" s="14" t="n"/>
      <c r="B17" s="14" t="n"/>
      <c r="C17" s="14" t="n"/>
      <c r="D17" s="14" t="n"/>
      <c r="E17" s="14" t="n"/>
      <c r="F17" s="14" t="n"/>
      <c r="G17" s="14" t="n"/>
      <c r="H17" s="14" t="n"/>
      <c r="I17" s="14" t="n"/>
      <c r="J17" s="14" t="n"/>
      <c r="K17" s="14" t="n"/>
      <c r="L17" s="14" t="n"/>
      <c r="M17" s="14" t="n"/>
      <c r="N17" s="14" t="n"/>
      <c r="O17" s="13">
        <f>IF(H17="Low",1,IF(H17="Medium",2,IF(H17="High",3,IF(H17="Critical",4,0))))*IF(E17="None",1,IF(E17="Minimal",2,IF(E17="Moderate",3,IF(E17="Significant",4,IF(E17="Severe",5,0)))))</f>
        <v/>
      </c>
      <c r="P17" s="14" t="n"/>
      <c r="Q17" s="14" t="n"/>
    </row>
    <row r="18">
      <c r="A18" s="14" t="n"/>
      <c r="B18" s="14" t="n"/>
      <c r="C18" s="14" t="n"/>
      <c r="D18" s="14" t="n"/>
      <c r="E18" s="14" t="n"/>
      <c r="F18" s="14" t="n"/>
      <c r="G18" s="14" t="n"/>
      <c r="H18" s="14" t="n"/>
      <c r="I18" s="14" t="n"/>
      <c r="J18" s="14" t="n"/>
      <c r="K18" s="14" t="n"/>
      <c r="L18" s="14" t="n"/>
      <c r="M18" s="14" t="n"/>
      <c r="N18" s="14" t="n"/>
      <c r="O18" s="13">
        <f>IF(H18="Low",1,IF(H18="Medium",2,IF(H18="High",3,IF(H18="Critical",4,0))))*IF(E18="None",1,IF(E18="Minimal",2,IF(E18="Moderate",3,IF(E18="Significant",4,IF(E18="Severe",5,0)))))</f>
        <v/>
      </c>
      <c r="P18" s="14" t="n"/>
      <c r="Q18" s="14" t="n"/>
    </row>
    <row r="19">
      <c r="A19" s="14" t="n"/>
      <c r="B19" s="14" t="n"/>
      <c r="C19" s="14" t="n"/>
      <c r="D19" s="14" t="n"/>
      <c r="E19" s="14" t="n"/>
      <c r="F19" s="14" t="n"/>
      <c r="G19" s="14" t="n"/>
      <c r="H19" s="14" t="n"/>
      <c r="I19" s="14" t="n"/>
      <c r="J19" s="14" t="n"/>
      <c r="K19" s="14" t="n"/>
      <c r="L19" s="14" t="n"/>
      <c r="M19" s="14" t="n"/>
      <c r="N19" s="14" t="n"/>
      <c r="O19" s="13">
        <f>IF(H19="Low",1,IF(H19="Medium",2,IF(H19="High",3,IF(H19="Critical",4,0))))*IF(E19="None",1,IF(E19="Minimal",2,IF(E19="Moderate",3,IF(E19="Significant",4,IF(E19="Severe",5,0)))))</f>
        <v/>
      </c>
      <c r="P19" s="14" t="n"/>
      <c r="Q19" s="14" t="n"/>
    </row>
    <row r="20">
      <c r="A20" s="14" t="n"/>
      <c r="B20" s="14" t="n"/>
      <c r="C20" s="14" t="n"/>
      <c r="D20" s="14" t="n"/>
      <c r="E20" s="14" t="n"/>
      <c r="F20" s="14" t="n"/>
      <c r="G20" s="14" t="n"/>
      <c r="H20" s="14" t="n"/>
      <c r="I20" s="14" t="n"/>
      <c r="J20" s="14" t="n"/>
      <c r="K20" s="14" t="n"/>
      <c r="L20" s="14" t="n"/>
      <c r="M20" s="14" t="n"/>
      <c r="N20" s="14" t="n"/>
      <c r="O20" s="13">
        <f>IF(H20="Low",1,IF(H20="Medium",2,IF(H20="High",3,IF(H20="Critical",4,0))))*IF(E20="None",1,IF(E20="Minimal",2,IF(E20="Moderate",3,IF(E20="Significant",4,IF(E20="Severe",5,0)))))</f>
        <v/>
      </c>
      <c r="P20" s="14" t="n"/>
      <c r="Q20" s="14" t="n"/>
    </row>
    <row r="21">
      <c r="A21" s="14" t="n"/>
      <c r="B21" s="14" t="n"/>
      <c r="C21" s="14" t="n"/>
      <c r="D21" s="14" t="n"/>
      <c r="E21" s="14" t="n"/>
      <c r="F21" s="14" t="n"/>
      <c r="G21" s="14" t="n"/>
      <c r="H21" s="14" t="n"/>
      <c r="I21" s="14" t="n"/>
      <c r="J21" s="14" t="n"/>
      <c r="K21" s="14" t="n"/>
      <c r="L21" s="14" t="n"/>
      <c r="M21" s="14" t="n"/>
      <c r="N21" s="14" t="n"/>
      <c r="O21" s="13">
        <f>IF(H21="Low",1,IF(H21="Medium",2,IF(H21="High",3,IF(H21="Critical",4,0))))*IF(E21="None",1,IF(E21="Minimal",2,IF(E21="Moderate",3,IF(E21="Significant",4,IF(E21="Severe",5,0)))))</f>
        <v/>
      </c>
      <c r="P21" s="14" t="n"/>
      <c r="Q21" s="14" t="n"/>
    </row>
    <row r="22">
      <c r="A22" s="14" t="n"/>
      <c r="B22" s="14" t="n"/>
      <c r="C22" s="14" t="n"/>
      <c r="D22" s="14" t="n"/>
      <c r="E22" s="14" t="n"/>
      <c r="F22" s="14" t="n"/>
      <c r="G22" s="14" t="n"/>
      <c r="H22" s="14" t="n"/>
      <c r="I22" s="14" t="n"/>
      <c r="J22" s="14" t="n"/>
      <c r="K22" s="14" t="n"/>
      <c r="L22" s="14" t="n"/>
      <c r="M22" s="14" t="n"/>
      <c r="N22" s="14" t="n"/>
      <c r="O22" s="13">
        <f>IF(H22="Low",1,IF(H22="Medium",2,IF(H22="High",3,IF(H22="Critical",4,0))))*IF(E22="None",1,IF(E22="Minimal",2,IF(E22="Moderate",3,IF(E22="Significant",4,IF(E22="Severe",5,0)))))</f>
        <v/>
      </c>
      <c r="P22" s="14" t="n"/>
      <c r="Q22" s="14" t="n"/>
    </row>
    <row r="23">
      <c r="A23" s="14" t="n"/>
      <c r="B23" s="14" t="n"/>
      <c r="C23" s="14" t="n"/>
      <c r="D23" s="14" t="n"/>
      <c r="E23" s="14" t="n"/>
      <c r="F23" s="14" t="n"/>
      <c r="G23" s="14" t="n"/>
      <c r="H23" s="14" t="n"/>
      <c r="I23" s="14" t="n"/>
      <c r="J23" s="14" t="n"/>
      <c r="K23" s="14" t="n"/>
      <c r="L23" s="14" t="n"/>
      <c r="M23" s="14" t="n"/>
      <c r="N23" s="14" t="n"/>
      <c r="O23" s="13">
        <f>IF(H23="Low",1,IF(H23="Medium",2,IF(H23="High",3,IF(H23="Critical",4,0))))*IF(E23="None",1,IF(E23="Minimal",2,IF(E23="Moderate",3,IF(E23="Significant",4,IF(E23="Severe",5,0)))))</f>
        <v/>
      </c>
      <c r="P23" s="14" t="n"/>
      <c r="Q23" s="14" t="n"/>
    </row>
    <row r="24">
      <c r="A24" s="14" t="n"/>
      <c r="B24" s="14" t="n"/>
      <c r="C24" s="14" t="n"/>
      <c r="D24" s="14" t="n"/>
      <c r="E24" s="14" t="n"/>
      <c r="F24" s="14" t="n"/>
      <c r="G24" s="14" t="n"/>
      <c r="H24" s="14" t="n"/>
      <c r="I24" s="14" t="n"/>
      <c r="J24" s="14" t="n"/>
      <c r="K24" s="14" t="n"/>
      <c r="L24" s="14" t="n"/>
      <c r="M24" s="14" t="n"/>
      <c r="N24" s="14" t="n"/>
      <c r="O24" s="13">
        <f>IF(H24="Low",1,IF(H24="Medium",2,IF(H24="High",3,IF(H24="Critical",4,0))))*IF(E24="None",1,IF(E24="Minimal",2,IF(E24="Moderate",3,IF(E24="Significant",4,IF(E24="Severe",5,0)))))</f>
        <v/>
      </c>
      <c r="P24" s="14" t="n"/>
      <c r="Q24" s="14" t="n"/>
    </row>
    <row r="25">
      <c r="A25" s="14" t="n"/>
      <c r="B25" s="14" t="n"/>
      <c r="C25" s="14" t="n"/>
      <c r="D25" s="14" t="n"/>
      <c r="E25" s="14" t="n"/>
      <c r="F25" s="14" t="n"/>
      <c r="G25" s="14" t="n"/>
      <c r="H25" s="14" t="n"/>
      <c r="I25" s="14" t="n"/>
      <c r="J25" s="14" t="n"/>
      <c r="K25" s="14" t="n"/>
      <c r="L25" s="14" t="n"/>
      <c r="M25" s="14" t="n"/>
      <c r="N25" s="14" t="n"/>
      <c r="O25" s="13">
        <f>IF(H25="Low",1,IF(H25="Medium",2,IF(H25="High",3,IF(H25="Critical",4,0))))*IF(E25="None",1,IF(E25="Minimal",2,IF(E25="Moderate",3,IF(E25="Significant",4,IF(E25="Severe",5,0)))))</f>
        <v/>
      </c>
      <c r="P25" s="14" t="n"/>
      <c r="Q25" s="14" t="n"/>
    </row>
    <row r="26">
      <c r="A26" s="14" t="n"/>
      <c r="B26" s="14" t="n"/>
      <c r="C26" s="14" t="n"/>
      <c r="D26" s="14" t="n"/>
      <c r="E26" s="14" t="n"/>
      <c r="F26" s="14" t="n"/>
      <c r="G26" s="14" t="n"/>
      <c r="H26" s="14" t="n"/>
      <c r="I26" s="14" t="n"/>
      <c r="J26" s="14" t="n"/>
      <c r="K26" s="14" t="n"/>
      <c r="L26" s="14" t="n"/>
      <c r="M26" s="14" t="n"/>
      <c r="N26" s="14" t="n"/>
      <c r="O26" s="13">
        <f>IF(H26="Low",1,IF(H26="Medium",2,IF(H26="High",3,IF(H26="Critical",4,0))))*IF(E26="None",1,IF(E26="Minimal",2,IF(E26="Moderate",3,IF(E26="Significant",4,IF(E26="Severe",5,0)))))</f>
        <v/>
      </c>
      <c r="P26" s="14" t="n"/>
      <c r="Q26" s="14" t="n"/>
    </row>
    <row r="27">
      <c r="A27" s="14" t="n"/>
      <c r="B27" s="14" t="n"/>
      <c r="C27" s="14" t="n"/>
      <c r="D27" s="14" t="n"/>
      <c r="E27" s="14" t="n"/>
      <c r="F27" s="14" t="n"/>
      <c r="G27" s="14" t="n"/>
      <c r="H27" s="14" t="n"/>
      <c r="I27" s="14" t="n"/>
      <c r="J27" s="14" t="n"/>
      <c r="K27" s="14" t="n"/>
      <c r="L27" s="14" t="n"/>
      <c r="M27" s="14" t="n"/>
      <c r="N27" s="14" t="n"/>
      <c r="O27" s="13">
        <f>IF(H27="Low",1,IF(H27="Medium",2,IF(H27="High",3,IF(H27="Critical",4,0))))*IF(E27="None",1,IF(E27="Minimal",2,IF(E27="Moderate",3,IF(E27="Significant",4,IF(E27="Severe",5,0)))))</f>
        <v/>
      </c>
      <c r="P27" s="14" t="n"/>
      <c r="Q27" s="14" t="n"/>
    </row>
    <row r="28">
      <c r="A28" s="14" t="n"/>
      <c r="B28" s="14" t="n"/>
      <c r="C28" s="14" t="n"/>
      <c r="D28" s="14" t="n"/>
      <c r="E28" s="14" t="n"/>
      <c r="F28" s="14" t="n"/>
      <c r="G28" s="14" t="n"/>
      <c r="H28" s="14" t="n"/>
      <c r="I28" s="14" t="n"/>
      <c r="J28" s="14" t="n"/>
      <c r="K28" s="14" t="n"/>
      <c r="L28" s="14" t="n"/>
      <c r="M28" s="14" t="n"/>
      <c r="N28" s="14" t="n"/>
      <c r="O28" s="13">
        <f>IF(H28="Low",1,IF(H28="Medium",2,IF(H28="High",3,IF(H28="Critical",4,0))))*IF(E28="None",1,IF(E28="Minimal",2,IF(E28="Moderate",3,IF(E28="Significant",4,IF(E28="Severe",5,0)))))</f>
        <v/>
      </c>
      <c r="P28" s="14" t="n"/>
      <c r="Q28" s="14" t="n"/>
    </row>
    <row r="29">
      <c r="A29" s="14" t="n"/>
      <c r="B29" s="14" t="n"/>
      <c r="C29" s="14" t="n"/>
      <c r="D29" s="14" t="n"/>
      <c r="E29" s="14" t="n"/>
      <c r="F29" s="14" t="n"/>
      <c r="G29" s="14" t="n"/>
      <c r="H29" s="14" t="n"/>
      <c r="I29" s="14" t="n"/>
      <c r="J29" s="14" t="n"/>
      <c r="K29" s="14" t="n"/>
      <c r="L29" s="14" t="n"/>
      <c r="M29" s="14" t="n"/>
      <c r="N29" s="14" t="n"/>
      <c r="O29" s="13">
        <f>IF(H29="Low",1,IF(H29="Medium",2,IF(H29="High",3,IF(H29="Critical",4,0))))*IF(E29="None",1,IF(E29="Minimal",2,IF(E29="Moderate",3,IF(E29="Significant",4,IF(E29="Severe",5,0)))))</f>
        <v/>
      </c>
      <c r="P29" s="14" t="n"/>
      <c r="Q29" s="14" t="n"/>
    </row>
    <row r="30">
      <c r="A30" s="14" t="n"/>
      <c r="B30" s="14" t="n"/>
      <c r="C30" s="14" t="n"/>
      <c r="D30" s="14" t="n"/>
      <c r="E30" s="14" t="n"/>
      <c r="F30" s="14" t="n"/>
      <c r="G30" s="14" t="n"/>
      <c r="H30" s="14" t="n"/>
      <c r="I30" s="14" t="n"/>
      <c r="J30" s="14" t="n"/>
      <c r="K30" s="14" t="n"/>
      <c r="L30" s="14" t="n"/>
      <c r="M30" s="14" t="n"/>
      <c r="N30" s="14" t="n"/>
      <c r="O30" s="13">
        <f>IF(H30="Low",1,IF(H30="Medium",2,IF(H30="High",3,IF(H30="Critical",4,0))))*IF(E30="None",1,IF(E30="Minimal",2,IF(E30="Moderate",3,IF(E30="Significant",4,IF(E30="Severe",5,0)))))</f>
        <v/>
      </c>
      <c r="P30" s="14" t="n"/>
      <c r="Q30" s="14" t="n"/>
    </row>
    <row r="31">
      <c r="A31" s="14" t="n"/>
      <c r="B31" s="14" t="n"/>
      <c r="C31" s="14" t="n"/>
      <c r="D31" s="14" t="n"/>
      <c r="E31" s="14" t="n"/>
      <c r="F31" s="14" t="n"/>
      <c r="G31" s="14" t="n"/>
      <c r="H31" s="14" t="n"/>
      <c r="I31" s="14" t="n"/>
      <c r="J31" s="14" t="n"/>
      <c r="K31" s="14" t="n"/>
      <c r="L31" s="14" t="n"/>
      <c r="M31" s="14" t="n"/>
      <c r="N31" s="14" t="n"/>
      <c r="O31" s="13">
        <f>IF(H31="Low",1,IF(H31="Medium",2,IF(H31="High",3,IF(H31="Critical",4,0))))*IF(E31="None",1,IF(E31="Minimal",2,IF(E31="Moderate",3,IF(E31="Significant",4,IF(E31="Severe",5,0)))))</f>
        <v/>
      </c>
      <c r="P31" s="14" t="n"/>
      <c r="Q31" s="14" t="n"/>
    </row>
    <row r="32">
      <c r="A32" s="14" t="n"/>
      <c r="B32" s="14" t="n"/>
      <c r="C32" s="14" t="n"/>
      <c r="D32" s="14" t="n"/>
      <c r="E32" s="14" t="n"/>
      <c r="F32" s="14" t="n"/>
      <c r="G32" s="14" t="n"/>
      <c r="H32" s="14" t="n"/>
      <c r="I32" s="14" t="n"/>
      <c r="J32" s="14" t="n"/>
      <c r="K32" s="14" t="n"/>
      <c r="L32" s="14" t="n"/>
      <c r="M32" s="14" t="n"/>
      <c r="N32" s="14" t="n"/>
      <c r="O32" s="13">
        <f>IF(H32="Low",1,IF(H32="Medium",2,IF(H32="High",3,IF(H32="Critical",4,0))))*IF(E32="None",1,IF(E32="Minimal",2,IF(E32="Moderate",3,IF(E32="Significant",4,IF(E32="Severe",5,0)))))</f>
        <v/>
      </c>
      <c r="P32" s="14" t="n"/>
      <c r="Q32" s="14" t="n"/>
    </row>
    <row r="33">
      <c r="A33" s="14" t="n"/>
      <c r="B33" s="14" t="n"/>
      <c r="C33" s="14" t="n"/>
      <c r="D33" s="14" t="n"/>
      <c r="E33" s="14" t="n"/>
      <c r="F33" s="14" t="n"/>
      <c r="G33" s="14" t="n"/>
      <c r="H33" s="14" t="n"/>
      <c r="I33" s="14" t="n"/>
      <c r="J33" s="14" t="n"/>
      <c r="K33" s="14" t="n"/>
      <c r="L33" s="14" t="n"/>
      <c r="M33" s="14" t="n"/>
      <c r="N33" s="14" t="n"/>
      <c r="O33" s="13">
        <f>IF(H33="Low",1,IF(H33="Medium",2,IF(H33="High",3,IF(H33="Critical",4,0))))*IF(E33="None",1,IF(E33="Minimal",2,IF(E33="Moderate",3,IF(E33="Significant",4,IF(E33="Severe",5,0)))))</f>
        <v/>
      </c>
      <c r="P33" s="14" t="n"/>
      <c r="Q33" s="14" t="n"/>
    </row>
    <row r="34">
      <c r="A34" s="14" t="n"/>
      <c r="B34" s="14" t="n"/>
      <c r="C34" s="14" t="n"/>
      <c r="D34" s="14" t="n"/>
      <c r="E34" s="14" t="n"/>
      <c r="F34" s="14" t="n"/>
      <c r="G34" s="14" t="n"/>
      <c r="H34" s="14" t="n"/>
      <c r="I34" s="14" t="n"/>
      <c r="J34" s="14" t="n"/>
      <c r="K34" s="14" t="n"/>
      <c r="L34" s="14" t="n"/>
      <c r="M34" s="14" t="n"/>
      <c r="N34" s="14" t="n"/>
      <c r="O34" s="13">
        <f>IF(H34="Low",1,IF(H34="Medium",2,IF(H34="High",3,IF(H34="Critical",4,0))))*IF(E34="None",1,IF(E34="Minimal",2,IF(E34="Moderate",3,IF(E34="Significant",4,IF(E34="Severe",5,0)))))</f>
        <v/>
      </c>
      <c r="P34" s="14" t="n"/>
      <c r="Q34" s="14" t="n"/>
    </row>
    <row r="35">
      <c r="A35" s="14" t="n"/>
      <c r="B35" s="14" t="n"/>
      <c r="C35" s="14" t="n"/>
      <c r="D35" s="14" t="n"/>
      <c r="E35" s="14" t="n"/>
      <c r="F35" s="14" t="n"/>
      <c r="G35" s="14" t="n"/>
      <c r="H35" s="14" t="n"/>
      <c r="I35" s="14" t="n"/>
      <c r="J35" s="14" t="n"/>
      <c r="K35" s="14" t="n"/>
      <c r="L35" s="14" t="n"/>
      <c r="M35" s="14" t="n"/>
      <c r="N35" s="14" t="n"/>
      <c r="O35" s="13">
        <f>IF(H35="Low",1,IF(H35="Medium",2,IF(H35="High",3,IF(H35="Critical",4,0))))*IF(E35="None",1,IF(E35="Minimal",2,IF(E35="Moderate",3,IF(E35="Significant",4,IF(E35="Severe",5,0)))))</f>
        <v/>
      </c>
      <c r="P35" s="14" t="n"/>
      <c r="Q35" s="14" t="n"/>
    </row>
    <row r="36">
      <c r="A36" s="14" t="n"/>
      <c r="B36" s="14" t="n"/>
      <c r="C36" s="14" t="n"/>
      <c r="D36" s="14" t="n"/>
      <c r="E36" s="14" t="n"/>
      <c r="F36" s="14" t="n"/>
      <c r="G36" s="14" t="n"/>
      <c r="H36" s="14" t="n"/>
      <c r="I36" s="14" t="n"/>
      <c r="J36" s="14" t="n"/>
      <c r="K36" s="14" t="n"/>
      <c r="L36" s="14" t="n"/>
      <c r="M36" s="14" t="n"/>
      <c r="N36" s="14" t="n"/>
      <c r="O36" s="13">
        <f>IF(H36="Low",1,IF(H36="Medium",2,IF(H36="High",3,IF(H36="Critical",4,0))))*IF(E36="None",1,IF(E36="Minimal",2,IF(E36="Moderate",3,IF(E36="Significant",4,IF(E36="Severe",5,0)))))</f>
        <v/>
      </c>
      <c r="P36" s="14" t="n"/>
      <c r="Q36" s="14" t="n"/>
    </row>
    <row r="37">
      <c r="A37" s="14" t="n"/>
      <c r="B37" s="14" t="n"/>
      <c r="C37" s="14" t="n"/>
      <c r="D37" s="14" t="n"/>
      <c r="E37" s="14" t="n"/>
      <c r="F37" s="14" t="n"/>
      <c r="G37" s="14" t="n"/>
      <c r="H37" s="14" t="n"/>
      <c r="I37" s="14" t="n"/>
      <c r="J37" s="14" t="n"/>
      <c r="K37" s="14" t="n"/>
      <c r="L37" s="14" t="n"/>
      <c r="M37" s="14" t="n"/>
      <c r="N37" s="14" t="n"/>
      <c r="O37" s="13">
        <f>IF(H37="Low",1,IF(H37="Medium",2,IF(H37="High",3,IF(H37="Critical",4,0))))*IF(E37="None",1,IF(E37="Minimal",2,IF(E37="Moderate",3,IF(E37="Significant",4,IF(E37="Severe",5,0)))))</f>
        <v/>
      </c>
      <c r="P37" s="14" t="n"/>
      <c r="Q37" s="14" t="n"/>
    </row>
    <row r="38">
      <c r="A38" s="14" t="n"/>
      <c r="B38" s="14" t="n"/>
      <c r="C38" s="14" t="n"/>
      <c r="D38" s="14" t="n"/>
      <c r="E38" s="14" t="n"/>
      <c r="F38" s="14" t="n"/>
      <c r="G38" s="14" t="n"/>
      <c r="H38" s="14" t="n"/>
      <c r="I38" s="14" t="n"/>
      <c r="J38" s="14" t="n"/>
      <c r="K38" s="14" t="n"/>
      <c r="L38" s="14" t="n"/>
      <c r="M38" s="14" t="n"/>
      <c r="N38" s="14" t="n"/>
      <c r="O38" s="13">
        <f>IF(H38="Low",1,IF(H38="Medium",2,IF(H38="High",3,IF(H38="Critical",4,0))))*IF(E38="None",1,IF(E38="Minimal",2,IF(E38="Moderate",3,IF(E38="Significant",4,IF(E38="Severe",5,0)))))</f>
        <v/>
      </c>
      <c r="P38" s="14" t="n"/>
      <c r="Q38" s="14" t="n"/>
    </row>
    <row r="39">
      <c r="A39" s="14" t="n"/>
      <c r="B39" s="14" t="n"/>
      <c r="C39" s="14" t="n"/>
      <c r="D39" s="14" t="n"/>
      <c r="E39" s="14" t="n"/>
      <c r="F39" s="14" t="n"/>
      <c r="G39" s="14" t="n"/>
      <c r="H39" s="14" t="n"/>
      <c r="I39" s="14" t="n"/>
      <c r="J39" s="14" t="n"/>
      <c r="K39" s="14" t="n"/>
      <c r="L39" s="14" t="n"/>
      <c r="M39" s="14" t="n"/>
      <c r="N39" s="14" t="n"/>
      <c r="O39" s="13">
        <f>IF(H39="Low",1,IF(H39="Medium",2,IF(H39="High",3,IF(H39="Critical",4,0))))*IF(E39="None",1,IF(E39="Minimal",2,IF(E39="Moderate",3,IF(E39="Significant",4,IF(E39="Severe",5,0)))))</f>
        <v/>
      </c>
      <c r="P39" s="14" t="n"/>
      <c r="Q39" s="14" t="n"/>
    </row>
    <row r="40">
      <c r="A40" s="14" t="n"/>
      <c r="B40" s="14" t="n"/>
      <c r="C40" s="14" t="n"/>
      <c r="D40" s="14" t="n"/>
      <c r="E40" s="14" t="n"/>
      <c r="F40" s="14" t="n"/>
      <c r="G40" s="14" t="n"/>
      <c r="H40" s="14" t="n"/>
      <c r="I40" s="14" t="n"/>
      <c r="J40" s="14" t="n"/>
      <c r="K40" s="14" t="n"/>
      <c r="L40" s="14" t="n"/>
      <c r="M40" s="14" t="n"/>
      <c r="N40" s="14" t="n"/>
      <c r="O40" s="13">
        <f>IF(H40="Low",1,IF(H40="Medium",2,IF(H40="High",3,IF(H40="Critical",4,0))))*IF(E40="None",1,IF(E40="Minimal",2,IF(E40="Moderate",3,IF(E40="Significant",4,IF(E40="Severe",5,0)))))</f>
        <v/>
      </c>
      <c r="P40" s="14" t="n"/>
      <c r="Q40" s="14" t="n"/>
    </row>
    <row r="41">
      <c r="A41" s="14" t="n"/>
      <c r="B41" s="14" t="n"/>
      <c r="C41" s="14" t="n"/>
      <c r="D41" s="14" t="n"/>
      <c r="E41" s="14" t="n"/>
      <c r="F41" s="14" t="n"/>
      <c r="G41" s="14" t="n"/>
      <c r="H41" s="14" t="n"/>
      <c r="I41" s="14" t="n"/>
      <c r="J41" s="14" t="n"/>
      <c r="K41" s="14" t="n"/>
      <c r="L41" s="14" t="n"/>
      <c r="M41" s="14" t="n"/>
      <c r="N41" s="14" t="n"/>
      <c r="O41" s="13">
        <f>IF(H41="Low",1,IF(H41="Medium",2,IF(H41="High",3,IF(H41="Critical",4,0))))*IF(E41="None",1,IF(E41="Minimal",2,IF(E41="Moderate",3,IF(E41="Significant",4,IF(E41="Severe",5,0)))))</f>
        <v/>
      </c>
      <c r="P41" s="14" t="n"/>
      <c r="Q41" s="14" t="n"/>
    </row>
    <row r="42">
      <c r="A42" s="14" t="n"/>
      <c r="B42" s="14" t="n"/>
      <c r="C42" s="14" t="n"/>
      <c r="D42" s="14" t="n"/>
      <c r="E42" s="14" t="n"/>
      <c r="F42" s="14" t="n"/>
      <c r="G42" s="14" t="n"/>
      <c r="H42" s="14" t="n"/>
      <c r="I42" s="14" t="n"/>
      <c r="J42" s="14" t="n"/>
      <c r="K42" s="14" t="n"/>
      <c r="L42" s="14" t="n"/>
      <c r="M42" s="14" t="n"/>
      <c r="N42" s="14" t="n"/>
      <c r="O42" s="13">
        <f>IF(H42="Low",1,IF(H42="Medium",2,IF(H42="High",3,IF(H42="Critical",4,0))))*IF(E42="None",1,IF(E42="Minimal",2,IF(E42="Moderate",3,IF(E42="Significant",4,IF(E42="Severe",5,0)))))</f>
        <v/>
      </c>
      <c r="P42" s="14" t="n"/>
      <c r="Q42" s="14" t="n"/>
    </row>
    <row r="43">
      <c r="A43" s="14" t="n"/>
      <c r="B43" s="14" t="n"/>
      <c r="C43" s="14" t="n"/>
      <c r="D43" s="14" t="n"/>
      <c r="E43" s="14" t="n"/>
      <c r="F43" s="14" t="n"/>
      <c r="G43" s="14" t="n"/>
      <c r="H43" s="14" t="n"/>
      <c r="I43" s="14" t="n"/>
      <c r="J43" s="14" t="n"/>
      <c r="K43" s="14" t="n"/>
      <c r="L43" s="14" t="n"/>
      <c r="M43" s="14" t="n"/>
      <c r="N43" s="14" t="n"/>
      <c r="O43" s="13">
        <f>IF(H43="Low",1,IF(H43="Medium",2,IF(H43="High",3,IF(H43="Critical",4,0))))*IF(E43="None",1,IF(E43="Minimal",2,IF(E43="Moderate",3,IF(E43="Significant",4,IF(E43="Severe",5,0)))))</f>
        <v/>
      </c>
      <c r="P43" s="14" t="n"/>
      <c r="Q43" s="14" t="n"/>
    </row>
    <row r="44">
      <c r="A44" s="14" t="n"/>
      <c r="B44" s="14" t="n"/>
      <c r="C44" s="14" t="n"/>
      <c r="D44" s="14" t="n"/>
      <c r="E44" s="14" t="n"/>
      <c r="F44" s="14" t="n"/>
      <c r="G44" s="14" t="n"/>
      <c r="H44" s="14" t="n"/>
      <c r="I44" s="14" t="n"/>
      <c r="J44" s="14" t="n"/>
      <c r="K44" s="14" t="n"/>
      <c r="L44" s="14" t="n"/>
      <c r="M44" s="14" t="n"/>
      <c r="N44" s="14" t="n"/>
      <c r="O44" s="13">
        <f>IF(H44="Low",1,IF(H44="Medium",2,IF(H44="High",3,IF(H44="Critical",4,0))))*IF(E44="None",1,IF(E44="Minimal",2,IF(E44="Moderate",3,IF(E44="Significant",4,IF(E44="Severe",5,0)))))</f>
        <v/>
      </c>
      <c r="P44" s="14" t="n"/>
      <c r="Q44" s="14" t="n"/>
    </row>
    <row r="45">
      <c r="A45" s="14" t="n"/>
      <c r="B45" s="14" t="n"/>
      <c r="C45" s="14" t="n"/>
      <c r="D45" s="14" t="n"/>
      <c r="E45" s="14" t="n"/>
      <c r="F45" s="14" t="n"/>
      <c r="G45" s="14" t="n"/>
      <c r="H45" s="14" t="n"/>
      <c r="I45" s="14" t="n"/>
      <c r="J45" s="14" t="n"/>
      <c r="K45" s="14" t="n"/>
      <c r="L45" s="14" t="n"/>
      <c r="M45" s="14" t="n"/>
      <c r="N45" s="14" t="n"/>
      <c r="O45" s="13">
        <f>IF(H45="Low",1,IF(H45="Medium",2,IF(H45="High",3,IF(H45="Critical",4,0))))*IF(E45="None",1,IF(E45="Minimal",2,IF(E45="Moderate",3,IF(E45="Significant",4,IF(E45="Severe",5,0)))))</f>
        <v/>
      </c>
      <c r="P45" s="14" t="n"/>
      <c r="Q45" s="14" t="n"/>
    </row>
    <row r="46">
      <c r="A46" s="14" t="n"/>
      <c r="B46" s="14" t="n"/>
      <c r="C46" s="14" t="n"/>
      <c r="D46" s="14" t="n"/>
      <c r="E46" s="14" t="n"/>
      <c r="F46" s="14" t="n"/>
      <c r="G46" s="14" t="n"/>
      <c r="H46" s="14" t="n"/>
      <c r="I46" s="14" t="n"/>
      <c r="J46" s="14" t="n"/>
      <c r="K46" s="14" t="n"/>
      <c r="L46" s="14" t="n"/>
      <c r="M46" s="14" t="n"/>
      <c r="N46" s="14" t="n"/>
      <c r="O46" s="13">
        <f>IF(H46="Low",1,IF(H46="Medium",2,IF(H46="High",3,IF(H46="Critical",4,0))))*IF(E46="None",1,IF(E46="Minimal",2,IF(E46="Moderate",3,IF(E46="Significant",4,IF(E46="Severe",5,0)))))</f>
        <v/>
      </c>
      <c r="P46" s="14" t="n"/>
      <c r="Q46" s="14" t="n"/>
    </row>
    <row r="47">
      <c r="A47" s="14" t="n"/>
      <c r="B47" s="14" t="n"/>
      <c r="C47" s="14" t="n"/>
      <c r="D47" s="14" t="n"/>
      <c r="E47" s="14" t="n"/>
      <c r="F47" s="14" t="n"/>
      <c r="G47" s="14" t="n"/>
      <c r="H47" s="14" t="n"/>
      <c r="I47" s="14" t="n"/>
      <c r="J47" s="14" t="n"/>
      <c r="K47" s="14" t="n"/>
      <c r="L47" s="14" t="n"/>
      <c r="M47" s="14" t="n"/>
      <c r="N47" s="14" t="n"/>
      <c r="O47" s="13">
        <f>IF(H47="Low",1,IF(H47="Medium",2,IF(H47="High",3,IF(H47="Critical",4,0))))*IF(E47="None",1,IF(E47="Minimal",2,IF(E47="Moderate",3,IF(E47="Significant",4,IF(E47="Severe",5,0)))))</f>
        <v/>
      </c>
      <c r="P47" s="14" t="n"/>
      <c r="Q47" s="14" t="n"/>
    </row>
    <row r="48">
      <c r="A48" s="14" t="n"/>
      <c r="B48" s="14" t="n"/>
      <c r="C48" s="14" t="n"/>
      <c r="D48" s="14" t="n"/>
      <c r="E48" s="14" t="n"/>
      <c r="F48" s="14" t="n"/>
      <c r="G48" s="14" t="n"/>
      <c r="H48" s="14" t="n"/>
      <c r="I48" s="14" t="n"/>
      <c r="J48" s="14" t="n"/>
      <c r="K48" s="14" t="n"/>
      <c r="L48" s="14" t="n"/>
      <c r="M48" s="14" t="n"/>
      <c r="N48" s="14" t="n"/>
      <c r="O48" s="13">
        <f>IF(H48="Low",1,IF(H48="Medium",2,IF(H48="High",3,IF(H48="Critical",4,0))))*IF(E48="None",1,IF(E48="Minimal",2,IF(E48="Moderate",3,IF(E48="Significant",4,IF(E48="Severe",5,0)))))</f>
        <v/>
      </c>
      <c r="P48" s="14" t="n"/>
      <c r="Q48" s="14" t="n"/>
    </row>
    <row r="49">
      <c r="A49" s="14" t="n"/>
      <c r="B49" s="14" t="n"/>
      <c r="C49" s="14" t="n"/>
      <c r="D49" s="14" t="n"/>
      <c r="E49" s="14" t="n"/>
      <c r="F49" s="14" t="n"/>
      <c r="G49" s="14" t="n"/>
      <c r="H49" s="14" t="n"/>
      <c r="I49" s="14" t="n"/>
      <c r="J49" s="14" t="n"/>
      <c r="K49" s="14" t="n"/>
      <c r="L49" s="14" t="n"/>
      <c r="M49" s="14" t="n"/>
      <c r="N49" s="14" t="n"/>
      <c r="O49" s="13">
        <f>IF(H49="Low",1,IF(H49="Medium",2,IF(H49="High",3,IF(H49="Critical",4,0))))*IF(E49="None",1,IF(E49="Minimal",2,IF(E49="Moderate",3,IF(E49="Significant",4,IF(E49="Severe",5,0)))))</f>
        <v/>
      </c>
      <c r="P49" s="14" t="n"/>
      <c r="Q49" s="14" t="n"/>
    </row>
    <row r="50">
      <c r="A50" s="14" t="n"/>
      <c r="B50" s="14" t="n"/>
      <c r="C50" s="14" t="n"/>
      <c r="D50" s="14" t="n"/>
      <c r="E50" s="14" t="n"/>
      <c r="F50" s="14" t="n"/>
      <c r="G50" s="14" t="n"/>
      <c r="H50" s="14" t="n"/>
      <c r="I50" s="14" t="n"/>
      <c r="J50" s="14" t="n"/>
      <c r="K50" s="14" t="n"/>
      <c r="L50" s="14" t="n"/>
      <c r="M50" s="14" t="n"/>
      <c r="N50" s="14" t="n"/>
      <c r="O50" s="13">
        <f>IF(H50="Low",1,IF(H50="Medium",2,IF(H50="High",3,IF(H50="Critical",4,0))))*IF(E50="None",1,IF(E50="Minimal",2,IF(E50="Moderate",3,IF(E50="Significant",4,IF(E50="Severe",5,0)))))</f>
        <v/>
      </c>
      <c r="P50" s="14" t="n"/>
      <c r="Q50" s="14" t="n"/>
    </row>
    <row r="51">
      <c r="A51" s="14" t="n"/>
      <c r="B51" s="14" t="n"/>
      <c r="C51" s="14" t="n"/>
      <c r="D51" s="14" t="n"/>
      <c r="E51" s="14" t="n"/>
      <c r="F51" s="14" t="n"/>
      <c r="G51" s="14" t="n"/>
      <c r="H51" s="14" t="n"/>
      <c r="I51" s="14" t="n"/>
      <c r="J51" s="14" t="n"/>
      <c r="K51" s="14" t="n"/>
      <c r="L51" s="14" t="n"/>
      <c r="M51" s="14" t="n"/>
      <c r="N51" s="14" t="n"/>
      <c r="O51" s="13">
        <f>IF(H51="Low",1,IF(H51="Medium",2,IF(H51="High",3,IF(H51="Critical",4,0))))*IF(E51="None",1,IF(E51="Minimal",2,IF(E51="Moderate",3,IF(E51="Significant",4,IF(E51="Severe",5,0)))))</f>
        <v/>
      </c>
      <c r="P51" s="14" t="n"/>
      <c r="Q51" s="14" t="n"/>
    </row>
    <row r="52">
      <c r="A52" s="14" t="n"/>
      <c r="B52" s="14" t="n"/>
      <c r="C52" s="14" t="n"/>
      <c r="D52" s="14" t="n"/>
      <c r="E52" s="14" t="n"/>
      <c r="F52" s="14" t="n"/>
      <c r="G52" s="14" t="n"/>
      <c r="H52" s="14" t="n"/>
      <c r="I52" s="14" t="n"/>
      <c r="J52" s="14" t="n"/>
      <c r="K52" s="14" t="n"/>
      <c r="L52" s="14" t="n"/>
      <c r="M52" s="14" t="n"/>
      <c r="N52" s="14" t="n"/>
      <c r="O52" s="13">
        <f>IF(H52="Low",1,IF(H52="Medium",2,IF(H52="High",3,IF(H52="Critical",4,0))))*IF(E52="None",1,IF(E52="Minimal",2,IF(E52="Moderate",3,IF(E52="Significant",4,IF(E52="Severe",5,0)))))</f>
        <v/>
      </c>
      <c r="P52" s="14" t="n"/>
      <c r="Q52" s="14" t="n"/>
    </row>
    <row r="53">
      <c r="A53" s="14" t="n"/>
      <c r="B53" s="14" t="n"/>
      <c r="C53" s="14" t="n"/>
      <c r="D53" s="14" t="n"/>
      <c r="E53" s="14" t="n"/>
      <c r="F53" s="14" t="n"/>
      <c r="G53" s="14" t="n"/>
      <c r="H53" s="14" t="n"/>
      <c r="I53" s="14" t="n"/>
      <c r="J53" s="14" t="n"/>
      <c r="K53" s="14" t="n"/>
      <c r="L53" s="14" t="n"/>
      <c r="M53" s="14" t="n"/>
      <c r="N53" s="14" t="n"/>
      <c r="O53" s="13">
        <f>IF(H53="Low",1,IF(H53="Medium",2,IF(H53="High",3,IF(H53="Critical",4,0))))*IF(E53="None",1,IF(E53="Minimal",2,IF(E53="Moderate",3,IF(E53="Significant",4,IF(E53="Severe",5,0)))))</f>
        <v/>
      </c>
      <c r="P53" s="14" t="n"/>
      <c r="Q53" s="14" t="n"/>
    </row>
    <row r="54">
      <c r="A54" s="14" t="n"/>
      <c r="B54" s="14" t="n"/>
      <c r="C54" s="14" t="n"/>
      <c r="D54" s="14" t="n"/>
      <c r="E54" s="14" t="n"/>
      <c r="F54" s="14" t="n"/>
      <c r="G54" s="14" t="n"/>
      <c r="H54" s="14" t="n"/>
      <c r="I54" s="14" t="n"/>
      <c r="J54" s="14" t="n"/>
      <c r="K54" s="14" t="n"/>
      <c r="L54" s="14" t="n"/>
      <c r="M54" s="14" t="n"/>
      <c r="N54" s="14" t="n"/>
      <c r="O54" s="13">
        <f>IF(H54="Low",1,IF(H54="Medium",2,IF(H54="High",3,IF(H54="Critical",4,0))))*IF(E54="None",1,IF(E54="Minimal",2,IF(E54="Moderate",3,IF(E54="Significant",4,IF(E54="Severe",5,0)))))</f>
        <v/>
      </c>
      <c r="P54" s="14" t="n"/>
      <c r="Q54" s="14" t="n"/>
    </row>
  </sheetData>
  <mergeCells count="1">
    <mergeCell ref="A1:Q1"/>
  </mergeCells>
  <conditionalFormatting sqref="H4:H54">
    <cfRule type="cellIs" priority="1" operator="equal" dxfId="7">
      <formula>"Critical"</formula>
    </cfRule>
    <cfRule type="cellIs" priority="2" operator="equal" dxfId="5">
      <formula>"High"</formula>
    </cfRule>
  </conditionalFormatting>
  <conditionalFormatting sqref="O4:O54">
    <cfRule type="cellIs" priority="3" operator="greaterThanOrEqual" dxfId="5">
      <formula>12</formula>
    </cfRule>
    <cfRule type="cellIs" priority="4" operator="between" dxfId="3">
      <formula>6</formula>
      <formula>11</formula>
    </cfRule>
  </conditionalFormatting>
  <dataValidations count="4">
    <dataValidation sqref="E4:E54" showDropDown="0" showInputMessage="0" showErrorMessage="0" allowBlank="0" errorTitle="Invalid Entry" error="Invalid entry" promptTitle="Selection Required" prompt="Please select from the dropdown" type="list">
      <formula1>"None,Minimal,Moderate,Significant,Severe"</formula1>
    </dataValidation>
    <dataValidation sqref="G4:G54" showDropDown="0" showInputMessage="0" showErrorMessage="0" allowBlank="0" errorTitle="Invalid Entry" error="Invalid entry" promptTitle="Selection Required" prompt="Please select from the dropdown" type="list">
      <formula1>"None,&lt;1 hour,1-4 hours,4-8 hours,&gt;8 hours"</formula1>
    </dataValidation>
    <dataValidation sqref="H4:H54" showDropDown="0" showInputMessage="0" showErrorMessage="0" allowBlank="0" errorTitle="Invalid Entry" error="Invalid entry" promptTitle="Selection Required" prompt="Please select from the dropdown" type="list">
      <formula1>"Low,Medium,High,Critical"</formula1>
    </dataValidation>
    <dataValidation sqref="K4:K54"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20" customWidth="1" min="4" max="4"/>
    <col width="15" customWidth="1" min="5" max="5"/>
    <col width="15" customWidth="1" min="6" max="6"/>
    <col width="12" customWidth="1" min="7" max="7"/>
    <col width="30" customWidth="1" min="8" max="8"/>
    <col width="12" customWidth="1" min="9" max="9"/>
    <col width="12" customWidth="1" min="10" max="10"/>
    <col width="12" customWidth="1" min="11" max="11"/>
    <col width="12" customWidth="1" min="12" max="12"/>
    <col width="12" customWidth="1" min="13" max="13"/>
    <col width="12" customWidth="1" min="14" max="14"/>
    <col width="18" customWidth="1" min="15" max="15"/>
    <col width="18" customWidth="1" min="16" max="16"/>
    <col width="20" customWidth="1" min="17" max="17"/>
    <col width="15" customWidth="1" min="18" max="18"/>
    <col width="35" customWidth="1" min="19" max="19"/>
  </cols>
  <sheetData>
    <row r="1" ht="35" customHeight="1">
      <c r="A1" s="11" t="inlineStr">
        <is>
          <t>TESTING VALIDATION RECORDS</t>
        </is>
      </c>
    </row>
    <row r="2">
      <c r="A2" s="12" t="inlineStr">
        <is>
          <t>Change ID</t>
        </is>
      </c>
      <c r="B2" s="12" t="inlineStr">
        <is>
          <t>Change Title</t>
        </is>
      </c>
      <c r="C2" s="12" t="inlineStr">
        <is>
          <t>Testing Required</t>
        </is>
      </c>
      <c r="D2" s="12" t="inlineStr">
        <is>
          <t>Test Environment</t>
        </is>
      </c>
      <c r="E2" s="12" t="inlineStr">
        <is>
          <t>Test Start Date</t>
        </is>
      </c>
      <c r="F2" s="12" t="inlineStr">
        <is>
          <t>Test End Date</t>
        </is>
      </c>
      <c r="G2" s="12" t="inlineStr">
        <is>
          <t>Test Duration (Days)</t>
        </is>
      </c>
      <c r="H2" s="12" t="inlineStr">
        <is>
          <t>Test Plan Reference</t>
        </is>
      </c>
      <c r="I2" s="12" t="inlineStr">
        <is>
          <t>Test Cases Executed</t>
        </is>
      </c>
      <c r="J2" s="12" t="inlineStr">
        <is>
          <t>Test Cases Passed</t>
        </is>
      </c>
      <c r="K2" s="12" t="inlineStr">
        <is>
          <t>Test Cases Failed</t>
        </is>
      </c>
      <c r="L2" s="12" t="inlineStr">
        <is>
          <t>Test Pass Rate %</t>
        </is>
      </c>
      <c r="M2" s="12" t="inlineStr">
        <is>
          <t>Critical Issues Found</t>
        </is>
      </c>
      <c r="N2" s="12" t="inlineStr">
        <is>
          <t>Issues Resolved Before Deployment</t>
        </is>
      </c>
      <c r="O2" s="12" t="inlineStr">
        <is>
          <t>Testing Status</t>
        </is>
      </c>
      <c r="P2" s="12" t="inlineStr">
        <is>
          <t>Go/No-Go Decision</t>
        </is>
      </c>
      <c r="Q2" s="12" t="inlineStr">
        <is>
          <t>Decision Maker</t>
        </is>
      </c>
      <c r="R2" s="12" t="inlineStr">
        <is>
          <t>Decision Date</t>
        </is>
      </c>
      <c r="S2" s="12" t="inlineStr">
        <is>
          <t>Notes</t>
        </is>
      </c>
    </row>
    <row r="3">
      <c r="A3" s="14" t="n"/>
      <c r="B3" s="14" t="n"/>
      <c r="C3" s="14" t="n"/>
      <c r="D3" s="14" t="n"/>
      <c r="E3" s="14" t="n"/>
      <c r="F3" s="14" t="n"/>
      <c r="G3" s="13">
        <f>IF(OR(E3="",F3=""),"",F3-E3)</f>
        <v/>
      </c>
      <c r="H3" s="14" t="n"/>
      <c r="I3" s="14" t="n"/>
      <c r="J3" s="14" t="n"/>
      <c r="K3" s="14" t="n"/>
      <c r="L3" s="15">
        <f>IF(I3=0,"",J3/I3*100)</f>
        <v/>
      </c>
      <c r="M3" s="14" t="n"/>
      <c r="N3" s="14" t="n"/>
      <c r="O3" s="14" t="n"/>
      <c r="P3" s="14" t="n"/>
      <c r="Q3" s="14" t="n"/>
      <c r="R3" s="14" t="n"/>
      <c r="S3" s="14" t="n"/>
    </row>
    <row r="4">
      <c r="A4" s="14" t="n"/>
      <c r="B4" s="14" t="n"/>
      <c r="C4" s="14" t="n"/>
      <c r="D4" s="14" t="n"/>
      <c r="E4" s="14" t="n"/>
      <c r="F4" s="14" t="n"/>
      <c r="G4" s="13">
        <f>IF(OR(E4="",F4=""),"",F4-E4)</f>
        <v/>
      </c>
      <c r="H4" s="14" t="n"/>
      <c r="I4" s="14" t="n"/>
      <c r="J4" s="14" t="n"/>
      <c r="K4" s="14" t="n"/>
      <c r="L4" s="15">
        <f>IF(I4=0,"",J4/I4*100)</f>
        <v/>
      </c>
      <c r="M4" s="14" t="n"/>
      <c r="N4" s="14" t="n"/>
      <c r="O4" s="14" t="n"/>
      <c r="P4" s="14" t="n"/>
      <c r="Q4" s="14" t="n"/>
      <c r="R4" s="14" t="n"/>
      <c r="S4" s="14" t="n"/>
    </row>
    <row r="5">
      <c r="A5" s="14" t="n"/>
      <c r="B5" s="14" t="n"/>
      <c r="C5" s="14" t="n"/>
      <c r="D5" s="14" t="n"/>
      <c r="E5" s="14" t="n"/>
      <c r="F5" s="14" t="n"/>
      <c r="G5" s="13">
        <f>IF(OR(E5="",F5=""),"",F5-E5)</f>
        <v/>
      </c>
      <c r="H5" s="14" t="n"/>
      <c r="I5" s="14" t="n"/>
      <c r="J5" s="14" t="n"/>
      <c r="K5" s="14" t="n"/>
      <c r="L5" s="15">
        <f>IF(I5=0,"",J5/I5*100)</f>
        <v/>
      </c>
      <c r="M5" s="14" t="n"/>
      <c r="N5" s="14" t="n"/>
      <c r="O5" s="14" t="n"/>
      <c r="P5" s="14" t="n"/>
      <c r="Q5" s="14" t="n"/>
      <c r="R5" s="14" t="n"/>
      <c r="S5" s="14" t="n"/>
    </row>
    <row r="6">
      <c r="A6" s="14" t="n"/>
      <c r="B6" s="14" t="n"/>
      <c r="C6" s="14" t="n"/>
      <c r="D6" s="14" t="n"/>
      <c r="E6" s="14" t="n"/>
      <c r="F6" s="14" t="n"/>
      <c r="G6" s="13">
        <f>IF(OR(E6="",F6=""),"",F6-E6)</f>
        <v/>
      </c>
      <c r="H6" s="14" t="n"/>
      <c r="I6" s="14" t="n"/>
      <c r="J6" s="14" t="n"/>
      <c r="K6" s="14" t="n"/>
      <c r="L6" s="15">
        <f>IF(I6=0,"",J6/I6*100)</f>
        <v/>
      </c>
      <c r="M6" s="14" t="n"/>
      <c r="N6" s="14" t="n"/>
      <c r="O6" s="14" t="n"/>
      <c r="P6" s="14" t="n"/>
      <c r="Q6" s="14" t="n"/>
      <c r="R6" s="14" t="n"/>
      <c r="S6" s="14" t="n"/>
    </row>
    <row r="7">
      <c r="A7" s="14" t="n"/>
      <c r="B7" s="14" t="n"/>
      <c r="C7" s="14" t="n"/>
      <c r="D7" s="14" t="n"/>
      <c r="E7" s="14" t="n"/>
      <c r="F7" s="14" t="n"/>
      <c r="G7" s="13">
        <f>IF(OR(E7="",F7=""),"",F7-E7)</f>
        <v/>
      </c>
      <c r="H7" s="14" t="n"/>
      <c r="I7" s="14" t="n"/>
      <c r="J7" s="14" t="n"/>
      <c r="K7" s="14" t="n"/>
      <c r="L7" s="15">
        <f>IF(I7=0,"",J7/I7*100)</f>
        <v/>
      </c>
      <c r="M7" s="14" t="n"/>
      <c r="N7" s="14" t="n"/>
      <c r="O7" s="14" t="n"/>
      <c r="P7" s="14" t="n"/>
      <c r="Q7" s="14" t="n"/>
      <c r="R7" s="14" t="n"/>
      <c r="S7" s="14" t="n"/>
    </row>
    <row r="8">
      <c r="A8" s="14" t="n"/>
      <c r="B8" s="14" t="n"/>
      <c r="C8" s="14" t="n"/>
      <c r="D8" s="14" t="n"/>
      <c r="E8" s="14" t="n"/>
      <c r="F8" s="14" t="n"/>
      <c r="G8" s="13">
        <f>IF(OR(E8="",F8=""),"",F8-E8)</f>
        <v/>
      </c>
      <c r="H8" s="14" t="n"/>
      <c r="I8" s="14" t="n"/>
      <c r="J8" s="14" t="n"/>
      <c r="K8" s="14" t="n"/>
      <c r="L8" s="15">
        <f>IF(I8=0,"",J8/I8*100)</f>
        <v/>
      </c>
      <c r="M8" s="14" t="n"/>
      <c r="N8" s="14" t="n"/>
      <c r="O8" s="14" t="n"/>
      <c r="P8" s="14" t="n"/>
      <c r="Q8" s="14" t="n"/>
      <c r="R8" s="14" t="n"/>
      <c r="S8" s="14" t="n"/>
    </row>
    <row r="9">
      <c r="A9" s="14" t="n"/>
      <c r="B9" s="14" t="n"/>
      <c r="C9" s="14" t="n"/>
      <c r="D9" s="14" t="n"/>
      <c r="E9" s="14" t="n"/>
      <c r="F9" s="14" t="n"/>
      <c r="G9" s="13">
        <f>IF(OR(E9="",F9=""),"",F9-E9)</f>
        <v/>
      </c>
      <c r="H9" s="14" t="n"/>
      <c r="I9" s="14" t="n"/>
      <c r="J9" s="14" t="n"/>
      <c r="K9" s="14" t="n"/>
      <c r="L9" s="15">
        <f>IF(I9=0,"",J9/I9*100)</f>
        <v/>
      </c>
      <c r="M9" s="14" t="n"/>
      <c r="N9" s="14" t="n"/>
      <c r="O9" s="14" t="n"/>
      <c r="P9" s="14" t="n"/>
      <c r="Q9" s="14" t="n"/>
      <c r="R9" s="14" t="n"/>
      <c r="S9" s="14" t="n"/>
    </row>
    <row r="10">
      <c r="A10" s="14" t="n"/>
      <c r="B10" s="14" t="n"/>
      <c r="C10" s="14" t="n"/>
      <c r="D10" s="14" t="n"/>
      <c r="E10" s="14" t="n"/>
      <c r="F10" s="14" t="n"/>
      <c r="G10" s="13">
        <f>IF(OR(E10="",F10=""),"",F10-E10)</f>
        <v/>
      </c>
      <c r="H10" s="14" t="n"/>
      <c r="I10" s="14" t="n"/>
      <c r="J10" s="14" t="n"/>
      <c r="K10" s="14" t="n"/>
      <c r="L10" s="15">
        <f>IF(I10=0,"",J10/I10*100)</f>
        <v/>
      </c>
      <c r="M10" s="14" t="n"/>
      <c r="N10" s="14" t="n"/>
      <c r="O10" s="14" t="n"/>
      <c r="P10" s="14" t="n"/>
      <c r="Q10" s="14" t="n"/>
      <c r="R10" s="14" t="n"/>
      <c r="S10" s="14" t="n"/>
    </row>
    <row r="11">
      <c r="A11" s="14" t="n"/>
      <c r="B11" s="14" t="n"/>
      <c r="C11" s="14" t="n"/>
      <c r="D11" s="14" t="n"/>
      <c r="E11" s="14" t="n"/>
      <c r="F11" s="14" t="n"/>
      <c r="G11" s="13">
        <f>IF(OR(E11="",F11=""),"",F11-E11)</f>
        <v/>
      </c>
      <c r="H11" s="14" t="n"/>
      <c r="I11" s="14" t="n"/>
      <c r="J11" s="14" t="n"/>
      <c r="K11" s="14" t="n"/>
      <c r="L11" s="15">
        <f>IF(I11=0,"",J11/I11*100)</f>
        <v/>
      </c>
      <c r="M11" s="14" t="n"/>
      <c r="N11" s="14" t="n"/>
      <c r="O11" s="14" t="n"/>
      <c r="P11" s="14" t="n"/>
      <c r="Q11" s="14" t="n"/>
      <c r="R11" s="14" t="n"/>
      <c r="S11" s="14" t="n"/>
    </row>
    <row r="12">
      <c r="A12" s="14" t="n"/>
      <c r="B12" s="14" t="n"/>
      <c r="C12" s="14" t="n"/>
      <c r="D12" s="14" t="n"/>
      <c r="E12" s="14" t="n"/>
      <c r="F12" s="14" t="n"/>
      <c r="G12" s="13">
        <f>IF(OR(E12="",F12=""),"",F12-E12)</f>
        <v/>
      </c>
      <c r="H12" s="14" t="n"/>
      <c r="I12" s="14" t="n"/>
      <c r="J12" s="14" t="n"/>
      <c r="K12" s="14" t="n"/>
      <c r="L12" s="15">
        <f>IF(I12=0,"",J12/I12*100)</f>
        <v/>
      </c>
      <c r="M12" s="14" t="n"/>
      <c r="N12" s="14" t="n"/>
      <c r="O12" s="14" t="n"/>
      <c r="P12" s="14" t="n"/>
      <c r="Q12" s="14" t="n"/>
      <c r="R12" s="14" t="n"/>
      <c r="S12" s="14" t="n"/>
    </row>
    <row r="13">
      <c r="A13" s="14" t="n"/>
      <c r="B13" s="14" t="n"/>
      <c r="C13" s="14" t="n"/>
      <c r="D13" s="14" t="n"/>
      <c r="E13" s="14" t="n"/>
      <c r="F13" s="14" t="n"/>
      <c r="G13" s="13">
        <f>IF(OR(E13="",F13=""),"",F13-E13)</f>
        <v/>
      </c>
      <c r="H13" s="14" t="n"/>
      <c r="I13" s="14" t="n"/>
      <c r="J13" s="14" t="n"/>
      <c r="K13" s="14" t="n"/>
      <c r="L13" s="15">
        <f>IF(I13=0,"",J13/I13*100)</f>
        <v/>
      </c>
      <c r="M13" s="14" t="n"/>
      <c r="N13" s="14" t="n"/>
      <c r="O13" s="14" t="n"/>
      <c r="P13" s="14" t="n"/>
      <c r="Q13" s="14" t="n"/>
      <c r="R13" s="14" t="n"/>
      <c r="S13" s="14" t="n"/>
    </row>
    <row r="14">
      <c r="A14" s="14" t="n"/>
      <c r="B14" s="14" t="n"/>
      <c r="C14" s="14" t="n"/>
      <c r="D14" s="14" t="n"/>
      <c r="E14" s="14" t="n"/>
      <c r="F14" s="14" t="n"/>
      <c r="G14" s="13">
        <f>IF(OR(E14="",F14=""),"",F14-E14)</f>
        <v/>
      </c>
      <c r="H14" s="14" t="n"/>
      <c r="I14" s="14" t="n"/>
      <c r="J14" s="14" t="n"/>
      <c r="K14" s="14" t="n"/>
      <c r="L14" s="15">
        <f>IF(I14=0,"",J14/I14*100)</f>
        <v/>
      </c>
      <c r="M14" s="14" t="n"/>
      <c r="N14" s="14" t="n"/>
      <c r="O14" s="14" t="n"/>
      <c r="P14" s="14" t="n"/>
      <c r="Q14" s="14" t="n"/>
      <c r="R14" s="14" t="n"/>
      <c r="S14" s="14" t="n"/>
    </row>
    <row r="15">
      <c r="A15" s="14" t="n"/>
      <c r="B15" s="14" t="n"/>
      <c r="C15" s="14" t="n"/>
      <c r="D15" s="14" t="n"/>
      <c r="E15" s="14" t="n"/>
      <c r="F15" s="14" t="n"/>
      <c r="G15" s="13">
        <f>IF(OR(E15="",F15=""),"",F15-E15)</f>
        <v/>
      </c>
      <c r="H15" s="14" t="n"/>
      <c r="I15" s="14" t="n"/>
      <c r="J15" s="14" t="n"/>
      <c r="K15" s="14" t="n"/>
      <c r="L15" s="15">
        <f>IF(I15=0,"",J15/I15*100)</f>
        <v/>
      </c>
      <c r="M15" s="14" t="n"/>
      <c r="N15" s="14" t="n"/>
      <c r="O15" s="14" t="n"/>
      <c r="P15" s="14" t="n"/>
      <c r="Q15" s="14" t="n"/>
      <c r="R15" s="14" t="n"/>
      <c r="S15" s="14" t="n"/>
    </row>
    <row r="16">
      <c r="A16" s="14" t="n"/>
      <c r="B16" s="14" t="n"/>
      <c r="C16" s="14" t="n"/>
      <c r="D16" s="14" t="n"/>
      <c r="E16" s="14" t="n"/>
      <c r="F16" s="14" t="n"/>
      <c r="G16" s="13">
        <f>IF(OR(E16="",F16=""),"",F16-E16)</f>
        <v/>
      </c>
      <c r="H16" s="14" t="n"/>
      <c r="I16" s="14" t="n"/>
      <c r="J16" s="14" t="n"/>
      <c r="K16" s="14" t="n"/>
      <c r="L16" s="15">
        <f>IF(I16=0,"",J16/I16*100)</f>
        <v/>
      </c>
      <c r="M16" s="14" t="n"/>
      <c r="N16" s="14" t="n"/>
      <c r="O16" s="14" t="n"/>
      <c r="P16" s="14" t="n"/>
      <c r="Q16" s="14" t="n"/>
      <c r="R16" s="14" t="n"/>
      <c r="S16" s="14" t="n"/>
    </row>
    <row r="17">
      <c r="A17" s="14" t="n"/>
      <c r="B17" s="14" t="n"/>
      <c r="C17" s="14" t="n"/>
      <c r="D17" s="14" t="n"/>
      <c r="E17" s="14" t="n"/>
      <c r="F17" s="14" t="n"/>
      <c r="G17" s="13">
        <f>IF(OR(E17="",F17=""),"",F17-E17)</f>
        <v/>
      </c>
      <c r="H17" s="14" t="n"/>
      <c r="I17" s="14" t="n"/>
      <c r="J17" s="14" t="n"/>
      <c r="K17" s="14" t="n"/>
      <c r="L17" s="15">
        <f>IF(I17=0,"",J17/I17*100)</f>
        <v/>
      </c>
      <c r="M17" s="14" t="n"/>
      <c r="N17" s="14" t="n"/>
      <c r="O17" s="14" t="n"/>
      <c r="P17" s="14" t="n"/>
      <c r="Q17" s="14" t="n"/>
      <c r="R17" s="14" t="n"/>
      <c r="S17" s="14" t="n"/>
    </row>
    <row r="18">
      <c r="A18" s="14" t="n"/>
      <c r="B18" s="14" t="n"/>
      <c r="C18" s="14" t="n"/>
      <c r="D18" s="14" t="n"/>
      <c r="E18" s="14" t="n"/>
      <c r="F18" s="14" t="n"/>
      <c r="G18" s="13">
        <f>IF(OR(E18="",F18=""),"",F18-E18)</f>
        <v/>
      </c>
      <c r="H18" s="14" t="n"/>
      <c r="I18" s="14" t="n"/>
      <c r="J18" s="14" t="n"/>
      <c r="K18" s="14" t="n"/>
      <c r="L18" s="15">
        <f>IF(I18=0,"",J18/I18*100)</f>
        <v/>
      </c>
      <c r="M18" s="14" t="n"/>
      <c r="N18" s="14" t="n"/>
      <c r="O18" s="14" t="n"/>
      <c r="P18" s="14" t="n"/>
      <c r="Q18" s="14" t="n"/>
      <c r="R18" s="14" t="n"/>
      <c r="S18" s="14" t="n"/>
    </row>
    <row r="19">
      <c r="A19" s="14" t="n"/>
      <c r="B19" s="14" t="n"/>
      <c r="C19" s="14" t="n"/>
      <c r="D19" s="14" t="n"/>
      <c r="E19" s="14" t="n"/>
      <c r="F19" s="14" t="n"/>
      <c r="G19" s="13">
        <f>IF(OR(E19="",F19=""),"",F19-E19)</f>
        <v/>
      </c>
      <c r="H19" s="14" t="n"/>
      <c r="I19" s="14" t="n"/>
      <c r="J19" s="14" t="n"/>
      <c r="K19" s="14" t="n"/>
      <c r="L19" s="15">
        <f>IF(I19=0,"",J19/I19*100)</f>
        <v/>
      </c>
      <c r="M19" s="14" t="n"/>
      <c r="N19" s="14" t="n"/>
      <c r="O19" s="14" t="n"/>
      <c r="P19" s="14" t="n"/>
      <c r="Q19" s="14" t="n"/>
      <c r="R19" s="14" t="n"/>
      <c r="S19" s="14" t="n"/>
    </row>
    <row r="20">
      <c r="A20" s="14" t="n"/>
      <c r="B20" s="14" t="n"/>
      <c r="C20" s="14" t="n"/>
      <c r="D20" s="14" t="n"/>
      <c r="E20" s="14" t="n"/>
      <c r="F20" s="14" t="n"/>
      <c r="G20" s="13">
        <f>IF(OR(E20="",F20=""),"",F20-E20)</f>
        <v/>
      </c>
      <c r="H20" s="14" t="n"/>
      <c r="I20" s="14" t="n"/>
      <c r="J20" s="14" t="n"/>
      <c r="K20" s="14" t="n"/>
      <c r="L20" s="15">
        <f>IF(I20=0,"",J20/I20*100)</f>
        <v/>
      </c>
      <c r="M20" s="14" t="n"/>
      <c r="N20" s="14" t="n"/>
      <c r="O20" s="14" t="n"/>
      <c r="P20" s="14" t="n"/>
      <c r="Q20" s="14" t="n"/>
      <c r="R20" s="14" t="n"/>
      <c r="S20" s="14" t="n"/>
    </row>
    <row r="21">
      <c r="A21" s="14" t="n"/>
      <c r="B21" s="14" t="n"/>
      <c r="C21" s="14" t="n"/>
      <c r="D21" s="14" t="n"/>
      <c r="E21" s="14" t="n"/>
      <c r="F21" s="14" t="n"/>
      <c r="G21" s="13">
        <f>IF(OR(E21="",F21=""),"",F21-E21)</f>
        <v/>
      </c>
      <c r="H21" s="14" t="n"/>
      <c r="I21" s="14" t="n"/>
      <c r="J21" s="14" t="n"/>
      <c r="K21" s="14" t="n"/>
      <c r="L21" s="15">
        <f>IF(I21=0,"",J21/I21*100)</f>
        <v/>
      </c>
      <c r="M21" s="14" t="n"/>
      <c r="N21" s="14" t="n"/>
      <c r="O21" s="14" t="n"/>
      <c r="P21" s="14" t="n"/>
      <c r="Q21" s="14" t="n"/>
      <c r="R21" s="14" t="n"/>
      <c r="S21" s="14" t="n"/>
    </row>
    <row r="22">
      <c r="A22" s="14" t="n"/>
      <c r="B22" s="14" t="n"/>
      <c r="C22" s="14" t="n"/>
      <c r="D22" s="14" t="n"/>
      <c r="E22" s="14" t="n"/>
      <c r="F22" s="14" t="n"/>
      <c r="G22" s="13">
        <f>IF(OR(E22="",F22=""),"",F22-E22)</f>
        <v/>
      </c>
      <c r="H22" s="14" t="n"/>
      <c r="I22" s="14" t="n"/>
      <c r="J22" s="14" t="n"/>
      <c r="K22" s="14" t="n"/>
      <c r="L22" s="15">
        <f>IF(I22=0,"",J22/I22*100)</f>
        <v/>
      </c>
      <c r="M22" s="14" t="n"/>
      <c r="N22" s="14" t="n"/>
      <c r="O22" s="14" t="n"/>
      <c r="P22" s="14" t="n"/>
      <c r="Q22" s="14" t="n"/>
      <c r="R22" s="14" t="n"/>
      <c r="S22" s="14" t="n"/>
    </row>
    <row r="23">
      <c r="A23" s="14" t="n"/>
      <c r="B23" s="14" t="n"/>
      <c r="C23" s="14" t="n"/>
      <c r="D23" s="14" t="n"/>
      <c r="E23" s="14" t="n"/>
      <c r="F23" s="14" t="n"/>
      <c r="G23" s="13">
        <f>IF(OR(E23="",F23=""),"",F23-E23)</f>
        <v/>
      </c>
      <c r="H23" s="14" t="n"/>
      <c r="I23" s="14" t="n"/>
      <c r="J23" s="14" t="n"/>
      <c r="K23" s="14" t="n"/>
      <c r="L23" s="15">
        <f>IF(I23=0,"",J23/I23*100)</f>
        <v/>
      </c>
      <c r="M23" s="14" t="n"/>
      <c r="N23" s="14" t="n"/>
      <c r="O23" s="14" t="n"/>
      <c r="P23" s="14" t="n"/>
      <c r="Q23" s="14" t="n"/>
      <c r="R23" s="14" t="n"/>
      <c r="S23" s="14" t="n"/>
    </row>
    <row r="24">
      <c r="A24" s="14" t="n"/>
      <c r="B24" s="14" t="n"/>
      <c r="C24" s="14" t="n"/>
      <c r="D24" s="14" t="n"/>
      <c r="E24" s="14" t="n"/>
      <c r="F24" s="14" t="n"/>
      <c r="G24" s="13">
        <f>IF(OR(E24="",F24=""),"",F24-E24)</f>
        <v/>
      </c>
      <c r="H24" s="14" t="n"/>
      <c r="I24" s="14" t="n"/>
      <c r="J24" s="14" t="n"/>
      <c r="K24" s="14" t="n"/>
      <c r="L24" s="15">
        <f>IF(I24=0,"",J24/I24*100)</f>
        <v/>
      </c>
      <c r="M24" s="14" t="n"/>
      <c r="N24" s="14" t="n"/>
      <c r="O24" s="14" t="n"/>
      <c r="P24" s="14" t="n"/>
      <c r="Q24" s="14" t="n"/>
      <c r="R24" s="14" t="n"/>
      <c r="S24" s="14" t="n"/>
    </row>
    <row r="25">
      <c r="A25" s="14" t="n"/>
      <c r="B25" s="14" t="n"/>
      <c r="C25" s="14" t="n"/>
      <c r="D25" s="14" t="n"/>
      <c r="E25" s="14" t="n"/>
      <c r="F25" s="14" t="n"/>
      <c r="G25" s="13">
        <f>IF(OR(E25="",F25=""),"",F25-E25)</f>
        <v/>
      </c>
      <c r="H25" s="14" t="n"/>
      <c r="I25" s="14" t="n"/>
      <c r="J25" s="14" t="n"/>
      <c r="K25" s="14" t="n"/>
      <c r="L25" s="15">
        <f>IF(I25=0,"",J25/I25*100)</f>
        <v/>
      </c>
      <c r="M25" s="14" t="n"/>
      <c r="N25" s="14" t="n"/>
      <c r="O25" s="14" t="n"/>
      <c r="P25" s="14" t="n"/>
      <c r="Q25" s="14" t="n"/>
      <c r="R25" s="14" t="n"/>
      <c r="S25" s="14" t="n"/>
    </row>
    <row r="26">
      <c r="A26" s="14" t="n"/>
      <c r="B26" s="14" t="n"/>
      <c r="C26" s="14" t="n"/>
      <c r="D26" s="14" t="n"/>
      <c r="E26" s="14" t="n"/>
      <c r="F26" s="14" t="n"/>
      <c r="G26" s="13">
        <f>IF(OR(E26="",F26=""),"",F26-E26)</f>
        <v/>
      </c>
      <c r="H26" s="14" t="n"/>
      <c r="I26" s="14" t="n"/>
      <c r="J26" s="14" t="n"/>
      <c r="K26" s="14" t="n"/>
      <c r="L26" s="15">
        <f>IF(I26=0,"",J26/I26*100)</f>
        <v/>
      </c>
      <c r="M26" s="14" t="n"/>
      <c r="N26" s="14" t="n"/>
      <c r="O26" s="14" t="n"/>
      <c r="P26" s="14" t="n"/>
      <c r="Q26" s="14" t="n"/>
      <c r="R26" s="14" t="n"/>
      <c r="S26" s="14" t="n"/>
    </row>
    <row r="27">
      <c r="A27" s="14" t="n"/>
      <c r="B27" s="14" t="n"/>
      <c r="C27" s="14" t="n"/>
      <c r="D27" s="14" t="n"/>
      <c r="E27" s="14" t="n"/>
      <c r="F27" s="14" t="n"/>
      <c r="G27" s="13">
        <f>IF(OR(E27="",F27=""),"",F27-E27)</f>
        <v/>
      </c>
      <c r="H27" s="14" t="n"/>
      <c r="I27" s="14" t="n"/>
      <c r="J27" s="14" t="n"/>
      <c r="K27" s="14" t="n"/>
      <c r="L27" s="15">
        <f>IF(I27=0,"",J27/I27*100)</f>
        <v/>
      </c>
      <c r="M27" s="14" t="n"/>
      <c r="N27" s="14" t="n"/>
      <c r="O27" s="14" t="n"/>
      <c r="P27" s="14" t="n"/>
      <c r="Q27" s="14" t="n"/>
      <c r="R27" s="14" t="n"/>
      <c r="S27" s="14" t="n"/>
    </row>
    <row r="28">
      <c r="A28" s="14" t="n"/>
      <c r="B28" s="14" t="n"/>
      <c r="C28" s="14" t="n"/>
      <c r="D28" s="14" t="n"/>
      <c r="E28" s="14" t="n"/>
      <c r="F28" s="14" t="n"/>
      <c r="G28" s="13">
        <f>IF(OR(E28="",F28=""),"",F28-E28)</f>
        <v/>
      </c>
      <c r="H28" s="14" t="n"/>
      <c r="I28" s="14" t="n"/>
      <c r="J28" s="14" t="n"/>
      <c r="K28" s="14" t="n"/>
      <c r="L28" s="15">
        <f>IF(I28=0,"",J28/I28*100)</f>
        <v/>
      </c>
      <c r="M28" s="14" t="n"/>
      <c r="N28" s="14" t="n"/>
      <c r="O28" s="14" t="n"/>
      <c r="P28" s="14" t="n"/>
      <c r="Q28" s="14" t="n"/>
      <c r="R28" s="14" t="n"/>
      <c r="S28" s="14" t="n"/>
    </row>
    <row r="29">
      <c r="A29" s="14" t="n"/>
      <c r="B29" s="14" t="n"/>
      <c r="C29" s="14" t="n"/>
      <c r="D29" s="14" t="n"/>
      <c r="E29" s="14" t="n"/>
      <c r="F29" s="14" t="n"/>
      <c r="G29" s="13">
        <f>IF(OR(E29="",F29=""),"",F29-E29)</f>
        <v/>
      </c>
      <c r="H29" s="14" t="n"/>
      <c r="I29" s="14" t="n"/>
      <c r="J29" s="14" t="n"/>
      <c r="K29" s="14" t="n"/>
      <c r="L29" s="15">
        <f>IF(I29=0,"",J29/I29*100)</f>
        <v/>
      </c>
      <c r="M29" s="14" t="n"/>
      <c r="N29" s="14" t="n"/>
      <c r="O29" s="14" t="n"/>
      <c r="P29" s="14" t="n"/>
      <c r="Q29" s="14" t="n"/>
      <c r="R29" s="14" t="n"/>
      <c r="S29" s="14" t="n"/>
    </row>
    <row r="30">
      <c r="A30" s="14" t="n"/>
      <c r="B30" s="14" t="n"/>
      <c r="C30" s="14" t="n"/>
      <c r="D30" s="14" t="n"/>
      <c r="E30" s="14" t="n"/>
      <c r="F30" s="14" t="n"/>
      <c r="G30" s="13">
        <f>IF(OR(E30="",F30=""),"",F30-E30)</f>
        <v/>
      </c>
      <c r="H30" s="14" t="n"/>
      <c r="I30" s="14" t="n"/>
      <c r="J30" s="14" t="n"/>
      <c r="K30" s="14" t="n"/>
      <c r="L30" s="15">
        <f>IF(I30=0,"",J30/I30*100)</f>
        <v/>
      </c>
      <c r="M30" s="14" t="n"/>
      <c r="N30" s="14" t="n"/>
      <c r="O30" s="14" t="n"/>
      <c r="P30" s="14" t="n"/>
      <c r="Q30" s="14" t="n"/>
      <c r="R30" s="14" t="n"/>
      <c r="S30" s="14" t="n"/>
    </row>
    <row r="31">
      <c r="A31" s="14" t="n"/>
      <c r="B31" s="14" t="n"/>
      <c r="C31" s="14" t="n"/>
      <c r="D31" s="14" t="n"/>
      <c r="E31" s="14" t="n"/>
      <c r="F31" s="14" t="n"/>
      <c r="G31" s="13">
        <f>IF(OR(E31="",F31=""),"",F31-E31)</f>
        <v/>
      </c>
      <c r="H31" s="14" t="n"/>
      <c r="I31" s="14" t="n"/>
      <c r="J31" s="14" t="n"/>
      <c r="K31" s="14" t="n"/>
      <c r="L31" s="15">
        <f>IF(I31=0,"",J31/I31*100)</f>
        <v/>
      </c>
      <c r="M31" s="14" t="n"/>
      <c r="N31" s="14" t="n"/>
      <c r="O31" s="14" t="n"/>
      <c r="P31" s="14" t="n"/>
      <c r="Q31" s="14" t="n"/>
      <c r="R31" s="14" t="n"/>
      <c r="S31" s="14" t="n"/>
    </row>
    <row r="32">
      <c r="A32" s="14" t="n"/>
      <c r="B32" s="14" t="n"/>
      <c r="C32" s="14" t="n"/>
      <c r="D32" s="14" t="n"/>
      <c r="E32" s="14" t="n"/>
      <c r="F32" s="14" t="n"/>
      <c r="G32" s="13">
        <f>IF(OR(E32="",F32=""),"",F32-E32)</f>
        <v/>
      </c>
      <c r="H32" s="14" t="n"/>
      <c r="I32" s="14" t="n"/>
      <c r="J32" s="14" t="n"/>
      <c r="K32" s="14" t="n"/>
      <c r="L32" s="15">
        <f>IF(I32=0,"",J32/I32*100)</f>
        <v/>
      </c>
      <c r="M32" s="14" t="n"/>
      <c r="N32" s="14" t="n"/>
      <c r="O32" s="14" t="n"/>
      <c r="P32" s="14" t="n"/>
      <c r="Q32" s="14" t="n"/>
      <c r="R32" s="14" t="n"/>
      <c r="S32" s="14" t="n"/>
    </row>
    <row r="33">
      <c r="A33" s="14" t="n"/>
      <c r="B33" s="14" t="n"/>
      <c r="C33" s="14" t="n"/>
      <c r="D33" s="14" t="n"/>
      <c r="E33" s="14" t="n"/>
      <c r="F33" s="14" t="n"/>
      <c r="G33" s="13">
        <f>IF(OR(E33="",F33=""),"",F33-E33)</f>
        <v/>
      </c>
      <c r="H33" s="14" t="n"/>
      <c r="I33" s="14" t="n"/>
      <c r="J33" s="14" t="n"/>
      <c r="K33" s="14" t="n"/>
      <c r="L33" s="15">
        <f>IF(I33=0,"",J33/I33*100)</f>
        <v/>
      </c>
      <c r="M33" s="14" t="n"/>
      <c r="N33" s="14" t="n"/>
      <c r="O33" s="14" t="n"/>
      <c r="P33" s="14" t="n"/>
      <c r="Q33" s="14" t="n"/>
      <c r="R33" s="14" t="n"/>
      <c r="S33" s="14" t="n"/>
    </row>
    <row r="34">
      <c r="A34" s="14" t="n"/>
      <c r="B34" s="14" t="n"/>
      <c r="C34" s="14" t="n"/>
      <c r="D34" s="14" t="n"/>
      <c r="E34" s="14" t="n"/>
      <c r="F34" s="14" t="n"/>
      <c r="G34" s="13">
        <f>IF(OR(E34="",F34=""),"",F34-E34)</f>
        <v/>
      </c>
      <c r="H34" s="14" t="n"/>
      <c r="I34" s="14" t="n"/>
      <c r="J34" s="14" t="n"/>
      <c r="K34" s="14" t="n"/>
      <c r="L34" s="15">
        <f>IF(I34=0,"",J34/I34*100)</f>
        <v/>
      </c>
      <c r="M34" s="14" t="n"/>
      <c r="N34" s="14" t="n"/>
      <c r="O34" s="14" t="n"/>
      <c r="P34" s="14" t="n"/>
      <c r="Q34" s="14" t="n"/>
      <c r="R34" s="14" t="n"/>
      <c r="S34" s="14" t="n"/>
    </row>
    <row r="35">
      <c r="A35" s="14" t="n"/>
      <c r="B35" s="14" t="n"/>
      <c r="C35" s="14" t="n"/>
      <c r="D35" s="14" t="n"/>
      <c r="E35" s="14" t="n"/>
      <c r="F35" s="14" t="n"/>
      <c r="G35" s="13">
        <f>IF(OR(E35="",F35=""),"",F35-E35)</f>
        <v/>
      </c>
      <c r="H35" s="14" t="n"/>
      <c r="I35" s="14" t="n"/>
      <c r="J35" s="14" t="n"/>
      <c r="K35" s="14" t="n"/>
      <c r="L35" s="15">
        <f>IF(I35=0,"",J35/I35*100)</f>
        <v/>
      </c>
      <c r="M35" s="14" t="n"/>
      <c r="N35" s="14" t="n"/>
      <c r="O35" s="14" t="n"/>
      <c r="P35" s="14" t="n"/>
      <c r="Q35" s="14" t="n"/>
      <c r="R35" s="14" t="n"/>
      <c r="S35" s="14" t="n"/>
    </row>
    <row r="36">
      <c r="A36" s="14" t="n"/>
      <c r="B36" s="14" t="n"/>
      <c r="C36" s="14" t="n"/>
      <c r="D36" s="14" t="n"/>
      <c r="E36" s="14" t="n"/>
      <c r="F36" s="14" t="n"/>
      <c r="G36" s="13">
        <f>IF(OR(E36="",F36=""),"",F36-E36)</f>
        <v/>
      </c>
      <c r="H36" s="14" t="n"/>
      <c r="I36" s="14" t="n"/>
      <c r="J36" s="14" t="n"/>
      <c r="K36" s="14" t="n"/>
      <c r="L36" s="15">
        <f>IF(I36=0,"",J36/I36*100)</f>
        <v/>
      </c>
      <c r="M36" s="14" t="n"/>
      <c r="N36" s="14" t="n"/>
      <c r="O36" s="14" t="n"/>
      <c r="P36" s="14" t="n"/>
      <c r="Q36" s="14" t="n"/>
      <c r="R36" s="14" t="n"/>
      <c r="S36" s="14" t="n"/>
    </row>
    <row r="37">
      <c r="A37" s="14" t="n"/>
      <c r="B37" s="14" t="n"/>
      <c r="C37" s="14" t="n"/>
      <c r="D37" s="14" t="n"/>
      <c r="E37" s="14" t="n"/>
      <c r="F37" s="14" t="n"/>
      <c r="G37" s="13">
        <f>IF(OR(E37="",F37=""),"",F37-E37)</f>
        <v/>
      </c>
      <c r="H37" s="14" t="n"/>
      <c r="I37" s="14" t="n"/>
      <c r="J37" s="14" t="n"/>
      <c r="K37" s="14" t="n"/>
      <c r="L37" s="15">
        <f>IF(I37=0,"",J37/I37*100)</f>
        <v/>
      </c>
      <c r="M37" s="14" t="n"/>
      <c r="N37" s="14" t="n"/>
      <c r="O37" s="14" t="n"/>
      <c r="P37" s="14" t="n"/>
      <c r="Q37" s="14" t="n"/>
      <c r="R37" s="14" t="n"/>
      <c r="S37" s="14" t="n"/>
    </row>
    <row r="38">
      <c r="A38" s="14" t="n"/>
      <c r="B38" s="14" t="n"/>
      <c r="C38" s="14" t="n"/>
      <c r="D38" s="14" t="n"/>
      <c r="E38" s="14" t="n"/>
      <c r="F38" s="14" t="n"/>
      <c r="G38" s="13">
        <f>IF(OR(E38="",F38=""),"",F38-E38)</f>
        <v/>
      </c>
      <c r="H38" s="14" t="n"/>
      <c r="I38" s="14" t="n"/>
      <c r="J38" s="14" t="n"/>
      <c r="K38" s="14" t="n"/>
      <c r="L38" s="15">
        <f>IF(I38=0,"",J38/I38*100)</f>
        <v/>
      </c>
      <c r="M38" s="14" t="n"/>
      <c r="N38" s="14" t="n"/>
      <c r="O38" s="14" t="n"/>
      <c r="P38" s="14" t="n"/>
      <c r="Q38" s="14" t="n"/>
      <c r="R38" s="14" t="n"/>
      <c r="S38" s="14" t="n"/>
    </row>
    <row r="39">
      <c r="A39" s="14" t="n"/>
      <c r="B39" s="14" t="n"/>
      <c r="C39" s="14" t="n"/>
      <c r="D39" s="14" t="n"/>
      <c r="E39" s="14" t="n"/>
      <c r="F39" s="14" t="n"/>
      <c r="G39" s="13">
        <f>IF(OR(E39="",F39=""),"",F39-E39)</f>
        <v/>
      </c>
      <c r="H39" s="14" t="n"/>
      <c r="I39" s="14" t="n"/>
      <c r="J39" s="14" t="n"/>
      <c r="K39" s="14" t="n"/>
      <c r="L39" s="15">
        <f>IF(I39=0,"",J39/I39*100)</f>
        <v/>
      </c>
      <c r="M39" s="14" t="n"/>
      <c r="N39" s="14" t="n"/>
      <c r="O39" s="14" t="n"/>
      <c r="P39" s="14" t="n"/>
      <c r="Q39" s="14" t="n"/>
      <c r="R39" s="14" t="n"/>
      <c r="S39" s="14" t="n"/>
    </row>
    <row r="40">
      <c r="A40" s="14" t="n"/>
      <c r="B40" s="14" t="n"/>
      <c r="C40" s="14" t="n"/>
      <c r="D40" s="14" t="n"/>
      <c r="E40" s="14" t="n"/>
      <c r="F40" s="14" t="n"/>
      <c r="G40" s="13">
        <f>IF(OR(E40="",F40=""),"",F40-E40)</f>
        <v/>
      </c>
      <c r="H40" s="14" t="n"/>
      <c r="I40" s="14" t="n"/>
      <c r="J40" s="14" t="n"/>
      <c r="K40" s="14" t="n"/>
      <c r="L40" s="15">
        <f>IF(I40=0,"",J40/I40*100)</f>
        <v/>
      </c>
      <c r="M40" s="14" t="n"/>
      <c r="N40" s="14" t="n"/>
      <c r="O40" s="14" t="n"/>
      <c r="P40" s="14" t="n"/>
      <c r="Q40" s="14" t="n"/>
      <c r="R40" s="14" t="n"/>
      <c r="S40" s="14" t="n"/>
    </row>
    <row r="41">
      <c r="A41" s="14" t="n"/>
      <c r="B41" s="14" t="n"/>
      <c r="C41" s="14" t="n"/>
      <c r="D41" s="14" t="n"/>
      <c r="E41" s="14" t="n"/>
      <c r="F41" s="14" t="n"/>
      <c r="G41" s="13">
        <f>IF(OR(E41="",F41=""),"",F41-E41)</f>
        <v/>
      </c>
      <c r="H41" s="14" t="n"/>
      <c r="I41" s="14" t="n"/>
      <c r="J41" s="14" t="n"/>
      <c r="K41" s="14" t="n"/>
      <c r="L41" s="15">
        <f>IF(I41=0,"",J41/I41*100)</f>
        <v/>
      </c>
      <c r="M41" s="14" t="n"/>
      <c r="N41" s="14" t="n"/>
      <c r="O41" s="14" t="n"/>
      <c r="P41" s="14" t="n"/>
      <c r="Q41" s="14" t="n"/>
      <c r="R41" s="14" t="n"/>
      <c r="S41" s="14" t="n"/>
    </row>
    <row r="42">
      <c r="A42" s="14" t="n"/>
      <c r="B42" s="14" t="n"/>
      <c r="C42" s="14" t="n"/>
      <c r="D42" s="14" t="n"/>
      <c r="E42" s="14" t="n"/>
      <c r="F42" s="14" t="n"/>
      <c r="G42" s="13">
        <f>IF(OR(E42="",F42=""),"",F42-E42)</f>
        <v/>
      </c>
      <c r="H42" s="14" t="n"/>
      <c r="I42" s="14" t="n"/>
      <c r="J42" s="14" t="n"/>
      <c r="K42" s="14" t="n"/>
      <c r="L42" s="15">
        <f>IF(I42=0,"",J42/I42*100)</f>
        <v/>
      </c>
      <c r="M42" s="14" t="n"/>
      <c r="N42" s="14" t="n"/>
      <c r="O42" s="14" t="n"/>
      <c r="P42" s="14" t="n"/>
      <c r="Q42" s="14" t="n"/>
      <c r="R42" s="14" t="n"/>
      <c r="S42" s="14" t="n"/>
    </row>
    <row r="43">
      <c r="A43" s="14" t="n"/>
      <c r="B43" s="14" t="n"/>
      <c r="C43" s="14" t="n"/>
      <c r="D43" s="14" t="n"/>
      <c r="E43" s="14" t="n"/>
      <c r="F43" s="14" t="n"/>
      <c r="G43" s="13">
        <f>IF(OR(E43="",F43=""),"",F43-E43)</f>
        <v/>
      </c>
      <c r="H43" s="14" t="n"/>
      <c r="I43" s="14" t="n"/>
      <c r="J43" s="14" t="n"/>
      <c r="K43" s="14" t="n"/>
      <c r="L43" s="15">
        <f>IF(I43=0,"",J43/I43*100)</f>
        <v/>
      </c>
      <c r="M43" s="14" t="n"/>
      <c r="N43" s="14" t="n"/>
      <c r="O43" s="14" t="n"/>
      <c r="P43" s="14" t="n"/>
      <c r="Q43" s="14" t="n"/>
      <c r="R43" s="14" t="n"/>
      <c r="S43" s="14" t="n"/>
    </row>
    <row r="44">
      <c r="A44" s="14" t="n"/>
      <c r="B44" s="14" t="n"/>
      <c r="C44" s="14" t="n"/>
      <c r="D44" s="14" t="n"/>
      <c r="E44" s="14" t="n"/>
      <c r="F44" s="14" t="n"/>
      <c r="G44" s="13">
        <f>IF(OR(E44="",F44=""),"",F44-E44)</f>
        <v/>
      </c>
      <c r="H44" s="14" t="n"/>
      <c r="I44" s="14" t="n"/>
      <c r="J44" s="14" t="n"/>
      <c r="K44" s="14" t="n"/>
      <c r="L44" s="15">
        <f>IF(I44=0,"",J44/I44*100)</f>
        <v/>
      </c>
      <c r="M44" s="14" t="n"/>
      <c r="N44" s="14" t="n"/>
      <c r="O44" s="14" t="n"/>
      <c r="P44" s="14" t="n"/>
      <c r="Q44" s="14" t="n"/>
      <c r="R44" s="14" t="n"/>
      <c r="S44" s="14" t="n"/>
    </row>
    <row r="45">
      <c r="A45" s="14" t="n"/>
      <c r="B45" s="14" t="n"/>
      <c r="C45" s="14" t="n"/>
      <c r="D45" s="14" t="n"/>
      <c r="E45" s="14" t="n"/>
      <c r="F45" s="14" t="n"/>
      <c r="G45" s="13">
        <f>IF(OR(E45="",F45=""),"",F45-E45)</f>
        <v/>
      </c>
      <c r="H45" s="14" t="n"/>
      <c r="I45" s="14" t="n"/>
      <c r="J45" s="14" t="n"/>
      <c r="K45" s="14" t="n"/>
      <c r="L45" s="15">
        <f>IF(I45=0,"",J45/I45*100)</f>
        <v/>
      </c>
      <c r="M45" s="14" t="n"/>
      <c r="N45" s="14" t="n"/>
      <c r="O45" s="14" t="n"/>
      <c r="P45" s="14" t="n"/>
      <c r="Q45" s="14" t="n"/>
      <c r="R45" s="14" t="n"/>
      <c r="S45" s="14" t="n"/>
    </row>
    <row r="46">
      <c r="A46" s="14" t="n"/>
      <c r="B46" s="14" t="n"/>
      <c r="C46" s="14" t="n"/>
      <c r="D46" s="14" t="n"/>
      <c r="E46" s="14" t="n"/>
      <c r="F46" s="14" t="n"/>
      <c r="G46" s="13">
        <f>IF(OR(E46="",F46=""),"",F46-E46)</f>
        <v/>
      </c>
      <c r="H46" s="14" t="n"/>
      <c r="I46" s="14" t="n"/>
      <c r="J46" s="14" t="n"/>
      <c r="K46" s="14" t="n"/>
      <c r="L46" s="15">
        <f>IF(I46=0,"",J46/I46*100)</f>
        <v/>
      </c>
      <c r="M46" s="14" t="n"/>
      <c r="N46" s="14" t="n"/>
      <c r="O46" s="14" t="n"/>
      <c r="P46" s="14" t="n"/>
      <c r="Q46" s="14" t="n"/>
      <c r="R46" s="14" t="n"/>
      <c r="S46" s="14" t="n"/>
    </row>
    <row r="47">
      <c r="A47" s="14" t="n"/>
      <c r="B47" s="14" t="n"/>
      <c r="C47" s="14" t="n"/>
      <c r="D47" s="14" t="n"/>
      <c r="E47" s="14" t="n"/>
      <c r="F47" s="14" t="n"/>
      <c r="G47" s="13">
        <f>IF(OR(E47="",F47=""),"",F47-E47)</f>
        <v/>
      </c>
      <c r="H47" s="14" t="n"/>
      <c r="I47" s="14" t="n"/>
      <c r="J47" s="14" t="n"/>
      <c r="K47" s="14" t="n"/>
      <c r="L47" s="15">
        <f>IF(I47=0,"",J47/I47*100)</f>
        <v/>
      </c>
      <c r="M47" s="14" t="n"/>
      <c r="N47" s="14" t="n"/>
      <c r="O47" s="14" t="n"/>
      <c r="P47" s="14" t="n"/>
      <c r="Q47" s="14" t="n"/>
      <c r="R47" s="14" t="n"/>
      <c r="S47" s="14" t="n"/>
    </row>
    <row r="48">
      <c r="A48" s="14" t="n"/>
      <c r="B48" s="14" t="n"/>
      <c r="C48" s="14" t="n"/>
      <c r="D48" s="14" t="n"/>
      <c r="E48" s="14" t="n"/>
      <c r="F48" s="14" t="n"/>
      <c r="G48" s="13">
        <f>IF(OR(E48="",F48=""),"",F48-E48)</f>
        <v/>
      </c>
      <c r="H48" s="14" t="n"/>
      <c r="I48" s="14" t="n"/>
      <c r="J48" s="14" t="n"/>
      <c r="K48" s="14" t="n"/>
      <c r="L48" s="15">
        <f>IF(I48=0,"",J48/I48*100)</f>
        <v/>
      </c>
      <c r="M48" s="14" t="n"/>
      <c r="N48" s="14" t="n"/>
      <c r="O48" s="14" t="n"/>
      <c r="P48" s="14" t="n"/>
      <c r="Q48" s="14" t="n"/>
      <c r="R48" s="14" t="n"/>
      <c r="S48" s="14" t="n"/>
    </row>
    <row r="49">
      <c r="A49" s="14" t="n"/>
      <c r="B49" s="14" t="n"/>
      <c r="C49" s="14" t="n"/>
      <c r="D49" s="14" t="n"/>
      <c r="E49" s="14" t="n"/>
      <c r="F49" s="14" t="n"/>
      <c r="G49" s="13">
        <f>IF(OR(E49="",F49=""),"",F49-E49)</f>
        <v/>
      </c>
      <c r="H49" s="14" t="n"/>
      <c r="I49" s="14" t="n"/>
      <c r="J49" s="14" t="n"/>
      <c r="K49" s="14" t="n"/>
      <c r="L49" s="15">
        <f>IF(I49=0,"",J49/I49*100)</f>
        <v/>
      </c>
      <c r="M49" s="14" t="n"/>
      <c r="N49" s="14" t="n"/>
      <c r="O49" s="14" t="n"/>
      <c r="P49" s="14" t="n"/>
      <c r="Q49" s="14" t="n"/>
      <c r="R49" s="14" t="n"/>
      <c r="S49" s="14" t="n"/>
    </row>
    <row r="50">
      <c r="A50" s="14" t="n"/>
      <c r="B50" s="14" t="n"/>
      <c r="C50" s="14" t="n"/>
      <c r="D50" s="14" t="n"/>
      <c r="E50" s="14" t="n"/>
      <c r="F50" s="14" t="n"/>
      <c r="G50" s="13">
        <f>IF(OR(E50="",F50=""),"",F50-E50)</f>
        <v/>
      </c>
      <c r="H50" s="14" t="n"/>
      <c r="I50" s="14" t="n"/>
      <c r="J50" s="14" t="n"/>
      <c r="K50" s="14" t="n"/>
      <c r="L50" s="15">
        <f>IF(I50=0,"",J50/I50*100)</f>
        <v/>
      </c>
      <c r="M50" s="14" t="n"/>
      <c r="N50" s="14" t="n"/>
      <c r="O50" s="14" t="n"/>
      <c r="P50" s="14" t="n"/>
      <c r="Q50" s="14" t="n"/>
      <c r="R50" s="14" t="n"/>
      <c r="S50" s="14" t="n"/>
    </row>
    <row r="51">
      <c r="A51" s="14" t="n"/>
      <c r="B51" s="14" t="n"/>
      <c r="C51" s="14" t="n"/>
      <c r="D51" s="14" t="n"/>
      <c r="E51" s="14" t="n"/>
      <c r="F51" s="14" t="n"/>
      <c r="G51" s="13">
        <f>IF(OR(E51="",F51=""),"",F51-E51)</f>
        <v/>
      </c>
      <c r="H51" s="14" t="n"/>
      <c r="I51" s="14" t="n"/>
      <c r="J51" s="14" t="n"/>
      <c r="K51" s="14" t="n"/>
      <c r="L51" s="15">
        <f>IF(I51=0,"",J51/I51*100)</f>
        <v/>
      </c>
      <c r="M51" s="14" t="n"/>
      <c r="N51" s="14" t="n"/>
      <c r="O51" s="14" t="n"/>
      <c r="P51" s="14" t="n"/>
      <c r="Q51" s="14" t="n"/>
      <c r="R51" s="14" t="n"/>
      <c r="S51" s="14" t="n"/>
    </row>
    <row r="52">
      <c r="A52" s="14" t="n"/>
      <c r="B52" s="14" t="n"/>
      <c r="C52" s="14" t="n"/>
      <c r="D52" s="14" t="n"/>
      <c r="E52" s="14" t="n"/>
      <c r="F52" s="14" t="n"/>
      <c r="G52" s="13">
        <f>IF(OR(E52="",F52=""),"",F52-E52)</f>
        <v/>
      </c>
      <c r="H52" s="14" t="n"/>
      <c r="I52" s="14" t="n"/>
      <c r="J52" s="14" t="n"/>
      <c r="K52" s="14" t="n"/>
      <c r="L52" s="15">
        <f>IF(I52=0,"",J52/I52*100)</f>
        <v/>
      </c>
      <c r="M52" s="14" t="n"/>
      <c r="N52" s="14" t="n"/>
      <c r="O52" s="14" t="n"/>
      <c r="P52" s="14" t="n"/>
      <c r="Q52" s="14" t="n"/>
      <c r="R52" s="14" t="n"/>
      <c r="S52" s="14" t="n"/>
    </row>
    <row r="53">
      <c r="A53" s="14" t="n"/>
      <c r="B53" s="14" t="n"/>
      <c r="C53" s="14" t="n"/>
      <c r="D53" s="14" t="n"/>
      <c r="E53" s="14" t="n"/>
      <c r="F53" s="14" t="n"/>
      <c r="G53" s="13">
        <f>IF(OR(E53="",F53=""),"",F53-E53)</f>
        <v/>
      </c>
      <c r="H53" s="14" t="n"/>
      <c r="I53" s="14" t="n"/>
      <c r="J53" s="14" t="n"/>
      <c r="K53" s="14" t="n"/>
      <c r="L53" s="15">
        <f>IF(I53=0,"",J53/I53*100)</f>
        <v/>
      </c>
      <c r="M53" s="14" t="n"/>
      <c r="N53" s="14" t="n"/>
      <c r="O53" s="14" t="n"/>
      <c r="P53" s="14" t="n"/>
      <c r="Q53" s="14" t="n"/>
      <c r="R53" s="14" t="n"/>
      <c r="S53" s="14" t="n"/>
    </row>
  </sheetData>
  <mergeCells count="1">
    <mergeCell ref="A1:S1"/>
  </mergeCells>
  <conditionalFormatting sqref="L3:L53">
    <cfRule type="cellIs" priority="1" operator="greaterThanOrEqual" dxfId="4">
      <formula>95</formula>
    </cfRule>
    <cfRule type="cellIs" priority="2" operator="between" dxfId="3">
      <formula>80</formula>
      <formula>94.9</formula>
    </cfRule>
    <cfRule type="cellIs" priority="3" operator="lessThan" dxfId="5">
      <formula>80</formula>
    </cfRule>
  </conditionalFormatting>
  <conditionalFormatting sqref="P3:P53">
    <cfRule type="cellIs" priority="4" operator="equal" dxfId="8">
      <formula>"Go"</formula>
    </cfRule>
    <cfRule type="cellIs" priority="5" operator="equal" dxfId="2">
      <formula>"No-Go"</formula>
    </cfRule>
  </conditionalFormatting>
  <dataValidations count="4">
    <dataValidation sqref="C3:C53" showDropDown="0" showInputMessage="0" showErrorMessage="0" allowBlank="0" errorTitle="Invalid Entry" error="Invalid entry" promptTitle="Selection Required" prompt="Please select from the dropdown" type="list">
      <formula1>"Yes,No,N/A"</formula1>
    </dataValidation>
    <dataValidation sqref="D3:D53" showDropDown="0" showInputMessage="0" showErrorMessage="0" allowBlank="1" errorTitle="Invalid Entry" error="Invalid entry" promptTitle="Selection Required" prompt="Please select from the dropdown" type="list">
      <formula1>"Dev,Test,Staging,UAT,Production (Non-Critical),None"</formula1>
    </dataValidation>
    <dataValidation sqref="O3:O53" showDropDown="0" showInputMessage="0" showErrorMessage="0" allowBlank="0" errorTitle="Invalid Entry" error="Invalid entry" promptTitle="Selection Required" prompt="Please select from the dropdown" type="list">
      <formula1>"❌ Not Started,⏳ In Progress,✅ Completed,❌ Failed,⚡ Abbreviated (Emergency)"</formula1>
    </dataValidation>
    <dataValidation sqref="P3:P53" showDropDown="0" showInputMessage="0" showErrorMessage="0" allowBlank="1" errorTitle="Invalid Entry" error="Invalid entry" promptTitle="Selection Required" prompt="Please select from the dropdown" type="list">
      <formula1>"Go,No-Go,Go with Conditions,N/A"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0" customWidth="1" min="3" max="3"/>
    <col width="20" customWidth="1" min="4" max="4"/>
    <col width="20" customWidth="1" min="5" max="5"/>
    <col width="12" customWidth="1" min="6" max="6"/>
    <col width="20" customWidth="1" min="7" max="7"/>
    <col width="20" customWidth="1" min="8" max="8"/>
    <col width="40" customWidth="1" min="9" max="9"/>
    <col width="35" customWidth="1" min="10" max="10"/>
    <col width="20" customWidth="1" min="11" max="11"/>
    <col width="30" customWidth="1" min="12" max="12"/>
    <col width="35" customWidth="1" min="13" max="13"/>
    <col width="18" customWidth="1" min="14" max="14"/>
    <col width="18" customWidth="1" min="15" max="15"/>
    <col width="18" customWidth="1" min="16" max="16"/>
    <col width="15" customWidth="1" min="17" max="17"/>
    <col width="20" customWidth="1" min="18" max="18"/>
    <col width="35" customWidth="1" min="19" max="19"/>
  </cols>
  <sheetData>
    <row r="1" ht="35" customHeight="1">
      <c r="A1" s="11" t="inlineStr">
        <is>
          <t>IMPLEMENTATION LOG - CHANGE EXECUTION RECORDS</t>
        </is>
      </c>
    </row>
    <row r="2">
      <c r="A2" s="12" t="inlineStr">
        <is>
          <t>Change ID</t>
        </is>
      </c>
      <c r="B2" s="12" t="inlineStr">
        <is>
          <t>Change Title</t>
        </is>
      </c>
      <c r="C2" s="12" t="inlineStr">
        <is>
          <t>Scheduled Implementation Date/Time</t>
        </is>
      </c>
      <c r="D2" s="12" t="inlineStr">
        <is>
          <t>Actual Implementation Date/Time</t>
        </is>
      </c>
      <c r="E2" s="12" t="inlineStr">
        <is>
          <t>Implementation Completed Date/Time</t>
        </is>
      </c>
      <c r="F2" s="12" t="inlineStr">
        <is>
          <t>Implementation Duration (Hours)</t>
        </is>
      </c>
      <c r="G2" s="12" t="inlineStr">
        <is>
          <t>Implementer Name</t>
        </is>
      </c>
      <c r="H2" s="12" t="inlineStr">
        <is>
          <t>Implementation Method</t>
        </is>
      </c>
      <c r="I2" s="12" t="inlineStr">
        <is>
          <t>Implementation Steps Performed</t>
        </is>
      </c>
      <c r="J2" s="12" t="inlineStr">
        <is>
          <t>Deviations from Plan</t>
        </is>
      </c>
      <c r="K2" s="12" t="inlineStr">
        <is>
          <t>Post-Implementation Verification</t>
        </is>
      </c>
      <c r="L2" s="12" t="inlineStr">
        <is>
          <t>Verification Method</t>
        </is>
      </c>
      <c r="M2" s="12" t="inlineStr">
        <is>
          <t>Issues Encountered</t>
        </is>
      </c>
      <c r="N2" s="12" t="inlineStr">
        <is>
          <t>Issues Resolved</t>
        </is>
      </c>
      <c r="O2" s="12" t="inlineStr">
        <is>
          <t>Implementation Status</t>
        </is>
      </c>
      <c r="P2" s="12" t="inlineStr">
        <is>
          <t>Change Outcome</t>
        </is>
      </c>
      <c r="Q2" s="12" t="inlineStr">
        <is>
          <t>Rollback Triggered</t>
        </is>
      </c>
      <c r="R2" s="12" t="inlineStr">
        <is>
          <t>Rollback Completion Time</t>
        </is>
      </c>
      <c r="S2" s="12" t="inlineStr">
        <is>
          <t>Notes</t>
        </is>
      </c>
    </row>
    <row r="3">
      <c r="A3" s="14" t="n"/>
      <c r="B3" s="14" t="n"/>
      <c r="C3" s="14" t="n"/>
      <c r="D3" s="14" t="n"/>
      <c r="E3" s="14" t="n"/>
      <c r="F3" s="13">
        <f>IF(OR(D3="",E3=""),"",ROUND((E3-D3)*24,2))</f>
        <v/>
      </c>
      <c r="G3" s="14" t="n"/>
      <c r="H3" s="14" t="n"/>
      <c r="I3" s="14" t="n"/>
      <c r="J3" s="14" t="n"/>
      <c r="K3" s="14" t="n"/>
      <c r="L3" s="14" t="n"/>
      <c r="M3" s="14" t="n"/>
      <c r="N3" s="14" t="n"/>
      <c r="O3" s="14" t="n"/>
      <c r="P3" s="13">
        <f>IF(O3="Successful","Success",IF(O3="Failed","Failure",IF(O3="Rolled Back","Rollback Required","Unknown")))</f>
        <v/>
      </c>
      <c r="Q3" s="14" t="n"/>
      <c r="R3" s="14" t="n"/>
      <c r="S3" s="14" t="n"/>
    </row>
    <row r="4">
      <c r="A4" s="14" t="n"/>
      <c r="B4" s="14" t="n"/>
      <c r="C4" s="14" t="n"/>
      <c r="D4" s="14" t="n"/>
      <c r="E4" s="14" t="n"/>
      <c r="F4" s="13">
        <f>IF(OR(D4="",E4=""),"",ROUND((E4-D4)*24,2))</f>
        <v/>
      </c>
      <c r="G4" s="14" t="n"/>
      <c r="H4" s="14" t="n"/>
      <c r="I4" s="14" t="n"/>
      <c r="J4" s="14" t="n"/>
      <c r="K4" s="14" t="n"/>
      <c r="L4" s="14" t="n"/>
      <c r="M4" s="14" t="n"/>
      <c r="N4" s="14" t="n"/>
      <c r="O4" s="14" t="n"/>
      <c r="P4" s="13">
        <f>IF(O4="Successful","Success",IF(O4="Failed","Failure",IF(O4="Rolled Back","Rollback Required","Unknown")))</f>
        <v/>
      </c>
      <c r="Q4" s="14" t="n"/>
      <c r="R4" s="14" t="n"/>
      <c r="S4" s="14" t="n"/>
    </row>
    <row r="5">
      <c r="A5" s="14" t="n"/>
      <c r="B5" s="14" t="n"/>
      <c r="C5" s="14" t="n"/>
      <c r="D5" s="14" t="n"/>
      <c r="E5" s="14" t="n"/>
      <c r="F5" s="13">
        <f>IF(OR(D5="",E5=""),"",ROUND((E5-D5)*24,2))</f>
        <v/>
      </c>
      <c r="G5" s="14" t="n"/>
      <c r="H5" s="14" t="n"/>
      <c r="I5" s="14" t="n"/>
      <c r="J5" s="14" t="n"/>
      <c r="K5" s="14" t="n"/>
      <c r="L5" s="14" t="n"/>
      <c r="M5" s="14" t="n"/>
      <c r="N5" s="14" t="n"/>
      <c r="O5" s="14" t="n"/>
      <c r="P5" s="13">
        <f>IF(O5="Successful","Success",IF(O5="Failed","Failure",IF(O5="Rolled Back","Rollback Required","Unknown")))</f>
        <v/>
      </c>
      <c r="Q5" s="14" t="n"/>
      <c r="R5" s="14" t="n"/>
      <c r="S5" s="14" t="n"/>
    </row>
    <row r="6">
      <c r="A6" s="14" t="n"/>
      <c r="B6" s="14" t="n"/>
      <c r="C6" s="14" t="n"/>
      <c r="D6" s="14" t="n"/>
      <c r="E6" s="14" t="n"/>
      <c r="F6" s="13">
        <f>IF(OR(D6="",E6=""),"",ROUND((E6-D6)*24,2))</f>
        <v/>
      </c>
      <c r="G6" s="14" t="n"/>
      <c r="H6" s="14" t="n"/>
      <c r="I6" s="14" t="n"/>
      <c r="J6" s="14" t="n"/>
      <c r="K6" s="14" t="n"/>
      <c r="L6" s="14" t="n"/>
      <c r="M6" s="14" t="n"/>
      <c r="N6" s="14" t="n"/>
      <c r="O6" s="14" t="n"/>
      <c r="P6" s="13">
        <f>IF(O6="Successful","Success",IF(O6="Failed","Failure",IF(O6="Rolled Back","Rollback Required","Unknown")))</f>
        <v/>
      </c>
      <c r="Q6" s="14" t="n"/>
      <c r="R6" s="14" t="n"/>
      <c r="S6" s="14" t="n"/>
    </row>
    <row r="7">
      <c r="A7" s="14" t="n"/>
      <c r="B7" s="14" t="n"/>
      <c r="C7" s="14" t="n"/>
      <c r="D7" s="14" t="n"/>
      <c r="E7" s="14" t="n"/>
      <c r="F7" s="13">
        <f>IF(OR(D7="",E7=""),"",ROUND((E7-D7)*24,2))</f>
        <v/>
      </c>
      <c r="G7" s="14" t="n"/>
      <c r="H7" s="14" t="n"/>
      <c r="I7" s="14" t="n"/>
      <c r="J7" s="14" t="n"/>
      <c r="K7" s="14" t="n"/>
      <c r="L7" s="14" t="n"/>
      <c r="M7" s="14" t="n"/>
      <c r="N7" s="14" t="n"/>
      <c r="O7" s="14" t="n"/>
      <c r="P7" s="13">
        <f>IF(O7="Successful","Success",IF(O7="Failed","Failure",IF(O7="Rolled Back","Rollback Required","Unknown")))</f>
        <v/>
      </c>
      <c r="Q7" s="14" t="n"/>
      <c r="R7" s="14" t="n"/>
      <c r="S7" s="14" t="n"/>
    </row>
    <row r="8">
      <c r="A8" s="14" t="n"/>
      <c r="B8" s="14" t="n"/>
      <c r="C8" s="14" t="n"/>
      <c r="D8" s="14" t="n"/>
      <c r="E8" s="14" t="n"/>
      <c r="F8" s="13">
        <f>IF(OR(D8="",E8=""),"",ROUND((E8-D8)*24,2))</f>
        <v/>
      </c>
      <c r="G8" s="14" t="n"/>
      <c r="H8" s="14" t="n"/>
      <c r="I8" s="14" t="n"/>
      <c r="J8" s="14" t="n"/>
      <c r="K8" s="14" t="n"/>
      <c r="L8" s="14" t="n"/>
      <c r="M8" s="14" t="n"/>
      <c r="N8" s="14" t="n"/>
      <c r="O8" s="14" t="n"/>
      <c r="P8" s="13">
        <f>IF(O8="Successful","Success",IF(O8="Failed","Failure",IF(O8="Rolled Back","Rollback Required","Unknown")))</f>
        <v/>
      </c>
      <c r="Q8" s="14" t="n"/>
      <c r="R8" s="14" t="n"/>
      <c r="S8" s="14" t="n"/>
    </row>
    <row r="9">
      <c r="A9" s="14" t="n"/>
      <c r="B9" s="14" t="n"/>
      <c r="C9" s="14" t="n"/>
      <c r="D9" s="14" t="n"/>
      <c r="E9" s="14" t="n"/>
      <c r="F9" s="13">
        <f>IF(OR(D9="",E9=""),"",ROUND((E9-D9)*24,2))</f>
        <v/>
      </c>
      <c r="G9" s="14" t="n"/>
      <c r="H9" s="14" t="n"/>
      <c r="I9" s="14" t="n"/>
      <c r="J9" s="14" t="n"/>
      <c r="K9" s="14" t="n"/>
      <c r="L9" s="14" t="n"/>
      <c r="M9" s="14" t="n"/>
      <c r="N9" s="14" t="n"/>
      <c r="O9" s="14" t="n"/>
      <c r="P9" s="13">
        <f>IF(O9="Successful","Success",IF(O9="Failed","Failure",IF(O9="Rolled Back","Rollback Required","Unknown")))</f>
        <v/>
      </c>
      <c r="Q9" s="14" t="n"/>
      <c r="R9" s="14" t="n"/>
      <c r="S9" s="14" t="n"/>
    </row>
    <row r="10">
      <c r="A10" s="14" t="n"/>
      <c r="B10" s="14" t="n"/>
      <c r="C10" s="14" t="n"/>
      <c r="D10" s="14" t="n"/>
      <c r="E10" s="14" t="n"/>
      <c r="F10" s="13">
        <f>IF(OR(D10="",E10=""),"",ROUND((E10-D10)*24,2))</f>
        <v/>
      </c>
      <c r="G10" s="14" t="n"/>
      <c r="H10" s="14" t="n"/>
      <c r="I10" s="14" t="n"/>
      <c r="J10" s="14" t="n"/>
      <c r="K10" s="14" t="n"/>
      <c r="L10" s="14" t="n"/>
      <c r="M10" s="14" t="n"/>
      <c r="N10" s="14" t="n"/>
      <c r="O10" s="14" t="n"/>
      <c r="P10" s="13">
        <f>IF(O10="Successful","Success",IF(O10="Failed","Failure",IF(O10="Rolled Back","Rollback Required","Unknown")))</f>
        <v/>
      </c>
      <c r="Q10" s="14" t="n"/>
      <c r="R10" s="14" t="n"/>
      <c r="S10" s="14" t="n"/>
    </row>
    <row r="11">
      <c r="A11" s="14" t="n"/>
      <c r="B11" s="14" t="n"/>
      <c r="C11" s="14" t="n"/>
      <c r="D11" s="14" t="n"/>
      <c r="E11" s="14" t="n"/>
      <c r="F11" s="13">
        <f>IF(OR(D11="",E11=""),"",ROUND((E11-D11)*24,2))</f>
        <v/>
      </c>
      <c r="G11" s="14" t="n"/>
      <c r="H11" s="14" t="n"/>
      <c r="I11" s="14" t="n"/>
      <c r="J11" s="14" t="n"/>
      <c r="K11" s="14" t="n"/>
      <c r="L11" s="14" t="n"/>
      <c r="M11" s="14" t="n"/>
      <c r="N11" s="14" t="n"/>
      <c r="O11" s="14" t="n"/>
      <c r="P11" s="13">
        <f>IF(O11="Successful","Success",IF(O11="Failed","Failure",IF(O11="Rolled Back","Rollback Required","Unknown")))</f>
        <v/>
      </c>
      <c r="Q11" s="14" t="n"/>
      <c r="R11" s="14" t="n"/>
      <c r="S11" s="14" t="n"/>
    </row>
    <row r="12">
      <c r="A12" s="14" t="n"/>
      <c r="B12" s="14" t="n"/>
      <c r="C12" s="14" t="n"/>
      <c r="D12" s="14" t="n"/>
      <c r="E12" s="14" t="n"/>
      <c r="F12" s="13">
        <f>IF(OR(D12="",E12=""),"",ROUND((E12-D12)*24,2))</f>
        <v/>
      </c>
      <c r="G12" s="14" t="n"/>
      <c r="H12" s="14" t="n"/>
      <c r="I12" s="14" t="n"/>
      <c r="J12" s="14" t="n"/>
      <c r="K12" s="14" t="n"/>
      <c r="L12" s="14" t="n"/>
      <c r="M12" s="14" t="n"/>
      <c r="N12" s="14" t="n"/>
      <c r="O12" s="14" t="n"/>
      <c r="P12" s="13">
        <f>IF(O12="Successful","Success",IF(O12="Failed","Failure",IF(O12="Rolled Back","Rollback Required","Unknown")))</f>
        <v/>
      </c>
      <c r="Q12" s="14" t="n"/>
      <c r="R12" s="14" t="n"/>
      <c r="S12" s="14" t="n"/>
    </row>
    <row r="13">
      <c r="A13" s="14" t="n"/>
      <c r="B13" s="14" t="n"/>
      <c r="C13" s="14" t="n"/>
      <c r="D13" s="14" t="n"/>
      <c r="E13" s="14" t="n"/>
      <c r="F13" s="13">
        <f>IF(OR(D13="",E13=""),"",ROUND((E13-D13)*24,2))</f>
        <v/>
      </c>
      <c r="G13" s="14" t="n"/>
      <c r="H13" s="14" t="n"/>
      <c r="I13" s="14" t="n"/>
      <c r="J13" s="14" t="n"/>
      <c r="K13" s="14" t="n"/>
      <c r="L13" s="14" t="n"/>
      <c r="M13" s="14" t="n"/>
      <c r="N13" s="14" t="n"/>
      <c r="O13" s="14" t="n"/>
      <c r="P13" s="13">
        <f>IF(O13="Successful","Success",IF(O13="Failed","Failure",IF(O13="Rolled Back","Rollback Required","Unknown")))</f>
        <v/>
      </c>
      <c r="Q13" s="14" t="n"/>
      <c r="R13" s="14" t="n"/>
      <c r="S13" s="14" t="n"/>
    </row>
    <row r="14">
      <c r="A14" s="14" t="n"/>
      <c r="B14" s="14" t="n"/>
      <c r="C14" s="14" t="n"/>
      <c r="D14" s="14" t="n"/>
      <c r="E14" s="14" t="n"/>
      <c r="F14" s="13">
        <f>IF(OR(D14="",E14=""),"",ROUND((E14-D14)*24,2))</f>
        <v/>
      </c>
      <c r="G14" s="14" t="n"/>
      <c r="H14" s="14" t="n"/>
      <c r="I14" s="14" t="n"/>
      <c r="J14" s="14" t="n"/>
      <c r="K14" s="14" t="n"/>
      <c r="L14" s="14" t="n"/>
      <c r="M14" s="14" t="n"/>
      <c r="N14" s="14" t="n"/>
      <c r="O14" s="14" t="n"/>
      <c r="P14" s="13">
        <f>IF(O14="Successful","Success",IF(O14="Failed","Failure",IF(O14="Rolled Back","Rollback Required","Unknown")))</f>
        <v/>
      </c>
      <c r="Q14" s="14" t="n"/>
      <c r="R14" s="14" t="n"/>
      <c r="S14" s="14" t="n"/>
    </row>
    <row r="15">
      <c r="A15" s="14" t="n"/>
      <c r="B15" s="14" t="n"/>
      <c r="C15" s="14" t="n"/>
      <c r="D15" s="14" t="n"/>
      <c r="E15" s="14" t="n"/>
      <c r="F15" s="13">
        <f>IF(OR(D15="",E15=""),"",ROUND((E15-D15)*24,2))</f>
        <v/>
      </c>
      <c r="G15" s="14" t="n"/>
      <c r="H15" s="14" t="n"/>
      <c r="I15" s="14" t="n"/>
      <c r="J15" s="14" t="n"/>
      <c r="K15" s="14" t="n"/>
      <c r="L15" s="14" t="n"/>
      <c r="M15" s="14" t="n"/>
      <c r="N15" s="14" t="n"/>
      <c r="O15" s="14" t="n"/>
      <c r="P15" s="13">
        <f>IF(O15="Successful","Success",IF(O15="Failed","Failure",IF(O15="Rolled Back","Rollback Required","Unknown")))</f>
        <v/>
      </c>
      <c r="Q15" s="14" t="n"/>
      <c r="R15" s="14" t="n"/>
      <c r="S15" s="14" t="n"/>
    </row>
    <row r="16">
      <c r="A16" s="14" t="n"/>
      <c r="B16" s="14" t="n"/>
      <c r="C16" s="14" t="n"/>
      <c r="D16" s="14" t="n"/>
      <c r="E16" s="14" t="n"/>
      <c r="F16" s="13">
        <f>IF(OR(D16="",E16=""),"",ROUND((E16-D16)*24,2))</f>
        <v/>
      </c>
      <c r="G16" s="14" t="n"/>
      <c r="H16" s="14" t="n"/>
      <c r="I16" s="14" t="n"/>
      <c r="J16" s="14" t="n"/>
      <c r="K16" s="14" t="n"/>
      <c r="L16" s="14" t="n"/>
      <c r="M16" s="14" t="n"/>
      <c r="N16" s="14" t="n"/>
      <c r="O16" s="14" t="n"/>
      <c r="P16" s="13">
        <f>IF(O16="Successful","Success",IF(O16="Failed","Failure",IF(O16="Rolled Back","Rollback Required","Unknown")))</f>
        <v/>
      </c>
      <c r="Q16" s="14" t="n"/>
      <c r="R16" s="14" t="n"/>
      <c r="S16" s="14" t="n"/>
    </row>
    <row r="17">
      <c r="A17" s="14" t="n"/>
      <c r="B17" s="14" t="n"/>
      <c r="C17" s="14" t="n"/>
      <c r="D17" s="14" t="n"/>
      <c r="E17" s="14" t="n"/>
      <c r="F17" s="13">
        <f>IF(OR(D17="",E17=""),"",ROUND((E17-D17)*24,2))</f>
        <v/>
      </c>
      <c r="G17" s="14" t="n"/>
      <c r="H17" s="14" t="n"/>
      <c r="I17" s="14" t="n"/>
      <c r="J17" s="14" t="n"/>
      <c r="K17" s="14" t="n"/>
      <c r="L17" s="14" t="n"/>
      <c r="M17" s="14" t="n"/>
      <c r="N17" s="14" t="n"/>
      <c r="O17" s="14" t="n"/>
      <c r="P17" s="13">
        <f>IF(O17="Successful","Success",IF(O17="Failed","Failure",IF(O17="Rolled Back","Rollback Required","Unknown")))</f>
        <v/>
      </c>
      <c r="Q17" s="14" t="n"/>
      <c r="R17" s="14" t="n"/>
      <c r="S17" s="14" t="n"/>
    </row>
    <row r="18">
      <c r="A18" s="14" t="n"/>
      <c r="B18" s="14" t="n"/>
      <c r="C18" s="14" t="n"/>
      <c r="D18" s="14" t="n"/>
      <c r="E18" s="14" t="n"/>
      <c r="F18" s="13">
        <f>IF(OR(D18="",E18=""),"",ROUND((E18-D18)*24,2))</f>
        <v/>
      </c>
      <c r="G18" s="14" t="n"/>
      <c r="H18" s="14" t="n"/>
      <c r="I18" s="14" t="n"/>
      <c r="J18" s="14" t="n"/>
      <c r="K18" s="14" t="n"/>
      <c r="L18" s="14" t="n"/>
      <c r="M18" s="14" t="n"/>
      <c r="N18" s="14" t="n"/>
      <c r="O18" s="14" t="n"/>
      <c r="P18" s="13">
        <f>IF(O18="Successful","Success",IF(O18="Failed","Failure",IF(O18="Rolled Back","Rollback Required","Unknown")))</f>
        <v/>
      </c>
      <c r="Q18" s="14" t="n"/>
      <c r="R18" s="14" t="n"/>
      <c r="S18" s="14" t="n"/>
    </row>
    <row r="19">
      <c r="A19" s="14" t="n"/>
      <c r="B19" s="14" t="n"/>
      <c r="C19" s="14" t="n"/>
      <c r="D19" s="14" t="n"/>
      <c r="E19" s="14" t="n"/>
      <c r="F19" s="13">
        <f>IF(OR(D19="",E19=""),"",ROUND((E19-D19)*24,2))</f>
        <v/>
      </c>
      <c r="G19" s="14" t="n"/>
      <c r="H19" s="14" t="n"/>
      <c r="I19" s="14" t="n"/>
      <c r="J19" s="14" t="n"/>
      <c r="K19" s="14" t="n"/>
      <c r="L19" s="14" t="n"/>
      <c r="M19" s="14" t="n"/>
      <c r="N19" s="14" t="n"/>
      <c r="O19" s="14" t="n"/>
      <c r="P19" s="13">
        <f>IF(O19="Successful","Success",IF(O19="Failed","Failure",IF(O19="Rolled Back","Rollback Required","Unknown")))</f>
        <v/>
      </c>
      <c r="Q19" s="14" t="n"/>
      <c r="R19" s="14" t="n"/>
      <c r="S19" s="14" t="n"/>
    </row>
    <row r="20">
      <c r="A20" s="14" t="n"/>
      <c r="B20" s="14" t="n"/>
      <c r="C20" s="14" t="n"/>
      <c r="D20" s="14" t="n"/>
      <c r="E20" s="14" t="n"/>
      <c r="F20" s="13">
        <f>IF(OR(D20="",E20=""),"",ROUND((E20-D20)*24,2))</f>
        <v/>
      </c>
      <c r="G20" s="14" t="n"/>
      <c r="H20" s="14" t="n"/>
      <c r="I20" s="14" t="n"/>
      <c r="J20" s="14" t="n"/>
      <c r="K20" s="14" t="n"/>
      <c r="L20" s="14" t="n"/>
      <c r="M20" s="14" t="n"/>
      <c r="N20" s="14" t="n"/>
      <c r="O20" s="14" t="n"/>
      <c r="P20" s="13">
        <f>IF(O20="Successful","Success",IF(O20="Failed","Failure",IF(O20="Rolled Back","Rollback Required","Unknown")))</f>
        <v/>
      </c>
      <c r="Q20" s="14" t="n"/>
      <c r="R20" s="14" t="n"/>
      <c r="S20" s="14" t="n"/>
    </row>
    <row r="21">
      <c r="A21" s="14" t="n"/>
      <c r="B21" s="14" t="n"/>
      <c r="C21" s="14" t="n"/>
      <c r="D21" s="14" t="n"/>
      <c r="E21" s="14" t="n"/>
      <c r="F21" s="13">
        <f>IF(OR(D21="",E21=""),"",ROUND((E21-D21)*24,2))</f>
        <v/>
      </c>
      <c r="G21" s="14" t="n"/>
      <c r="H21" s="14" t="n"/>
      <c r="I21" s="14" t="n"/>
      <c r="J21" s="14" t="n"/>
      <c r="K21" s="14" t="n"/>
      <c r="L21" s="14" t="n"/>
      <c r="M21" s="14" t="n"/>
      <c r="N21" s="14" t="n"/>
      <c r="O21" s="14" t="n"/>
      <c r="P21" s="13">
        <f>IF(O21="Successful","Success",IF(O21="Failed","Failure",IF(O21="Rolled Back","Rollback Required","Unknown")))</f>
        <v/>
      </c>
      <c r="Q21" s="14" t="n"/>
      <c r="R21" s="14" t="n"/>
      <c r="S21" s="14" t="n"/>
    </row>
    <row r="22">
      <c r="A22" s="14" t="n"/>
      <c r="B22" s="14" t="n"/>
      <c r="C22" s="14" t="n"/>
      <c r="D22" s="14" t="n"/>
      <c r="E22" s="14" t="n"/>
      <c r="F22" s="13">
        <f>IF(OR(D22="",E22=""),"",ROUND((E22-D22)*24,2))</f>
        <v/>
      </c>
      <c r="G22" s="14" t="n"/>
      <c r="H22" s="14" t="n"/>
      <c r="I22" s="14" t="n"/>
      <c r="J22" s="14" t="n"/>
      <c r="K22" s="14" t="n"/>
      <c r="L22" s="14" t="n"/>
      <c r="M22" s="14" t="n"/>
      <c r="N22" s="14" t="n"/>
      <c r="O22" s="14" t="n"/>
      <c r="P22" s="13">
        <f>IF(O22="Successful","Success",IF(O22="Failed","Failure",IF(O22="Rolled Back","Rollback Required","Unknown")))</f>
        <v/>
      </c>
      <c r="Q22" s="14" t="n"/>
      <c r="R22" s="14" t="n"/>
      <c r="S22" s="14" t="n"/>
    </row>
    <row r="23">
      <c r="A23" s="14" t="n"/>
      <c r="B23" s="14" t="n"/>
      <c r="C23" s="14" t="n"/>
      <c r="D23" s="14" t="n"/>
      <c r="E23" s="14" t="n"/>
      <c r="F23" s="13">
        <f>IF(OR(D23="",E23=""),"",ROUND((E23-D23)*24,2))</f>
        <v/>
      </c>
      <c r="G23" s="14" t="n"/>
      <c r="H23" s="14" t="n"/>
      <c r="I23" s="14" t="n"/>
      <c r="J23" s="14" t="n"/>
      <c r="K23" s="14" t="n"/>
      <c r="L23" s="14" t="n"/>
      <c r="M23" s="14" t="n"/>
      <c r="N23" s="14" t="n"/>
      <c r="O23" s="14" t="n"/>
      <c r="P23" s="13">
        <f>IF(O23="Successful","Success",IF(O23="Failed","Failure",IF(O23="Rolled Back","Rollback Required","Unknown")))</f>
        <v/>
      </c>
      <c r="Q23" s="14" t="n"/>
      <c r="R23" s="14" t="n"/>
      <c r="S23" s="14" t="n"/>
    </row>
    <row r="24">
      <c r="A24" s="14" t="n"/>
      <c r="B24" s="14" t="n"/>
      <c r="C24" s="14" t="n"/>
      <c r="D24" s="14" t="n"/>
      <c r="E24" s="14" t="n"/>
      <c r="F24" s="13">
        <f>IF(OR(D24="",E24=""),"",ROUND((E24-D24)*24,2))</f>
        <v/>
      </c>
      <c r="G24" s="14" t="n"/>
      <c r="H24" s="14" t="n"/>
      <c r="I24" s="14" t="n"/>
      <c r="J24" s="14" t="n"/>
      <c r="K24" s="14" t="n"/>
      <c r="L24" s="14" t="n"/>
      <c r="M24" s="14" t="n"/>
      <c r="N24" s="14" t="n"/>
      <c r="O24" s="14" t="n"/>
      <c r="P24" s="13">
        <f>IF(O24="Successful","Success",IF(O24="Failed","Failure",IF(O24="Rolled Back","Rollback Required","Unknown")))</f>
        <v/>
      </c>
      <c r="Q24" s="14" t="n"/>
      <c r="R24" s="14" t="n"/>
      <c r="S24" s="14" t="n"/>
    </row>
    <row r="25">
      <c r="A25" s="14" t="n"/>
      <c r="B25" s="14" t="n"/>
      <c r="C25" s="14" t="n"/>
      <c r="D25" s="14" t="n"/>
      <c r="E25" s="14" t="n"/>
      <c r="F25" s="13">
        <f>IF(OR(D25="",E25=""),"",ROUND((E25-D25)*24,2))</f>
        <v/>
      </c>
      <c r="G25" s="14" t="n"/>
      <c r="H25" s="14" t="n"/>
      <c r="I25" s="14" t="n"/>
      <c r="J25" s="14" t="n"/>
      <c r="K25" s="14" t="n"/>
      <c r="L25" s="14" t="n"/>
      <c r="M25" s="14" t="n"/>
      <c r="N25" s="14" t="n"/>
      <c r="O25" s="14" t="n"/>
      <c r="P25" s="13">
        <f>IF(O25="Successful","Success",IF(O25="Failed","Failure",IF(O25="Rolled Back","Rollback Required","Unknown")))</f>
        <v/>
      </c>
      <c r="Q25" s="14" t="n"/>
      <c r="R25" s="14" t="n"/>
      <c r="S25" s="14" t="n"/>
    </row>
    <row r="26">
      <c r="A26" s="14" t="n"/>
      <c r="B26" s="14" t="n"/>
      <c r="C26" s="14" t="n"/>
      <c r="D26" s="14" t="n"/>
      <c r="E26" s="14" t="n"/>
      <c r="F26" s="13">
        <f>IF(OR(D26="",E26=""),"",ROUND((E26-D26)*24,2))</f>
        <v/>
      </c>
      <c r="G26" s="14" t="n"/>
      <c r="H26" s="14" t="n"/>
      <c r="I26" s="14" t="n"/>
      <c r="J26" s="14" t="n"/>
      <c r="K26" s="14" t="n"/>
      <c r="L26" s="14" t="n"/>
      <c r="M26" s="14" t="n"/>
      <c r="N26" s="14" t="n"/>
      <c r="O26" s="14" t="n"/>
      <c r="P26" s="13">
        <f>IF(O26="Successful","Success",IF(O26="Failed","Failure",IF(O26="Rolled Back","Rollback Required","Unknown")))</f>
        <v/>
      </c>
      <c r="Q26" s="14" t="n"/>
      <c r="R26" s="14" t="n"/>
      <c r="S26" s="14" t="n"/>
    </row>
    <row r="27">
      <c r="A27" s="14" t="n"/>
      <c r="B27" s="14" t="n"/>
      <c r="C27" s="14" t="n"/>
      <c r="D27" s="14" t="n"/>
      <c r="E27" s="14" t="n"/>
      <c r="F27" s="13">
        <f>IF(OR(D27="",E27=""),"",ROUND((E27-D27)*24,2))</f>
        <v/>
      </c>
      <c r="G27" s="14" t="n"/>
      <c r="H27" s="14" t="n"/>
      <c r="I27" s="14" t="n"/>
      <c r="J27" s="14" t="n"/>
      <c r="K27" s="14" t="n"/>
      <c r="L27" s="14" t="n"/>
      <c r="M27" s="14" t="n"/>
      <c r="N27" s="14" t="n"/>
      <c r="O27" s="14" t="n"/>
      <c r="P27" s="13">
        <f>IF(O27="Successful","Success",IF(O27="Failed","Failure",IF(O27="Rolled Back","Rollback Required","Unknown")))</f>
        <v/>
      </c>
      <c r="Q27" s="14" t="n"/>
      <c r="R27" s="14" t="n"/>
      <c r="S27" s="14" t="n"/>
    </row>
    <row r="28">
      <c r="A28" s="14" t="n"/>
      <c r="B28" s="14" t="n"/>
      <c r="C28" s="14" t="n"/>
      <c r="D28" s="14" t="n"/>
      <c r="E28" s="14" t="n"/>
      <c r="F28" s="13">
        <f>IF(OR(D28="",E28=""),"",ROUND((E28-D28)*24,2))</f>
        <v/>
      </c>
      <c r="G28" s="14" t="n"/>
      <c r="H28" s="14" t="n"/>
      <c r="I28" s="14" t="n"/>
      <c r="J28" s="14" t="n"/>
      <c r="K28" s="14" t="n"/>
      <c r="L28" s="14" t="n"/>
      <c r="M28" s="14" t="n"/>
      <c r="N28" s="14" t="n"/>
      <c r="O28" s="14" t="n"/>
      <c r="P28" s="13">
        <f>IF(O28="Successful","Success",IF(O28="Failed","Failure",IF(O28="Rolled Back","Rollback Required","Unknown")))</f>
        <v/>
      </c>
      <c r="Q28" s="14" t="n"/>
      <c r="R28" s="14" t="n"/>
      <c r="S28" s="14" t="n"/>
    </row>
    <row r="29">
      <c r="A29" s="14" t="n"/>
      <c r="B29" s="14" t="n"/>
      <c r="C29" s="14" t="n"/>
      <c r="D29" s="14" t="n"/>
      <c r="E29" s="14" t="n"/>
      <c r="F29" s="13">
        <f>IF(OR(D29="",E29=""),"",ROUND((E29-D29)*24,2))</f>
        <v/>
      </c>
      <c r="G29" s="14" t="n"/>
      <c r="H29" s="14" t="n"/>
      <c r="I29" s="14" t="n"/>
      <c r="J29" s="14" t="n"/>
      <c r="K29" s="14" t="n"/>
      <c r="L29" s="14" t="n"/>
      <c r="M29" s="14" t="n"/>
      <c r="N29" s="14" t="n"/>
      <c r="O29" s="14" t="n"/>
      <c r="P29" s="13">
        <f>IF(O29="Successful","Success",IF(O29="Failed","Failure",IF(O29="Rolled Back","Rollback Required","Unknown")))</f>
        <v/>
      </c>
      <c r="Q29" s="14" t="n"/>
      <c r="R29" s="14" t="n"/>
      <c r="S29" s="14" t="n"/>
    </row>
    <row r="30">
      <c r="A30" s="14" t="n"/>
      <c r="B30" s="14" t="n"/>
      <c r="C30" s="14" t="n"/>
      <c r="D30" s="14" t="n"/>
      <c r="E30" s="14" t="n"/>
      <c r="F30" s="13">
        <f>IF(OR(D30="",E30=""),"",ROUND((E30-D30)*24,2))</f>
        <v/>
      </c>
      <c r="G30" s="14" t="n"/>
      <c r="H30" s="14" t="n"/>
      <c r="I30" s="14" t="n"/>
      <c r="J30" s="14" t="n"/>
      <c r="K30" s="14" t="n"/>
      <c r="L30" s="14" t="n"/>
      <c r="M30" s="14" t="n"/>
      <c r="N30" s="14" t="n"/>
      <c r="O30" s="14" t="n"/>
      <c r="P30" s="13">
        <f>IF(O30="Successful","Success",IF(O30="Failed","Failure",IF(O30="Rolled Back","Rollback Required","Unknown")))</f>
        <v/>
      </c>
      <c r="Q30" s="14" t="n"/>
      <c r="R30" s="14" t="n"/>
      <c r="S30" s="14" t="n"/>
    </row>
    <row r="31">
      <c r="A31" s="14" t="n"/>
      <c r="B31" s="14" t="n"/>
      <c r="C31" s="14" t="n"/>
      <c r="D31" s="14" t="n"/>
      <c r="E31" s="14" t="n"/>
      <c r="F31" s="13">
        <f>IF(OR(D31="",E31=""),"",ROUND((E31-D31)*24,2))</f>
        <v/>
      </c>
      <c r="G31" s="14" t="n"/>
      <c r="H31" s="14" t="n"/>
      <c r="I31" s="14" t="n"/>
      <c r="J31" s="14" t="n"/>
      <c r="K31" s="14" t="n"/>
      <c r="L31" s="14" t="n"/>
      <c r="M31" s="14" t="n"/>
      <c r="N31" s="14" t="n"/>
      <c r="O31" s="14" t="n"/>
      <c r="P31" s="13">
        <f>IF(O31="Successful","Success",IF(O31="Failed","Failure",IF(O31="Rolled Back","Rollback Required","Unknown")))</f>
        <v/>
      </c>
      <c r="Q31" s="14" t="n"/>
      <c r="R31" s="14" t="n"/>
      <c r="S31" s="14" t="n"/>
    </row>
    <row r="32">
      <c r="A32" s="14" t="n"/>
      <c r="B32" s="14" t="n"/>
      <c r="C32" s="14" t="n"/>
      <c r="D32" s="14" t="n"/>
      <c r="E32" s="14" t="n"/>
      <c r="F32" s="13">
        <f>IF(OR(D32="",E32=""),"",ROUND((E32-D32)*24,2))</f>
        <v/>
      </c>
      <c r="G32" s="14" t="n"/>
      <c r="H32" s="14" t="n"/>
      <c r="I32" s="14" t="n"/>
      <c r="J32" s="14" t="n"/>
      <c r="K32" s="14" t="n"/>
      <c r="L32" s="14" t="n"/>
      <c r="M32" s="14" t="n"/>
      <c r="N32" s="14" t="n"/>
      <c r="O32" s="14" t="n"/>
      <c r="P32" s="13">
        <f>IF(O32="Successful","Success",IF(O32="Failed","Failure",IF(O32="Rolled Back","Rollback Required","Unknown")))</f>
        <v/>
      </c>
      <c r="Q32" s="14" t="n"/>
      <c r="R32" s="14" t="n"/>
      <c r="S32" s="14" t="n"/>
    </row>
    <row r="33">
      <c r="A33" s="14" t="n"/>
      <c r="B33" s="14" t="n"/>
      <c r="C33" s="14" t="n"/>
      <c r="D33" s="14" t="n"/>
      <c r="E33" s="14" t="n"/>
      <c r="F33" s="13">
        <f>IF(OR(D33="",E33=""),"",ROUND((E33-D33)*24,2))</f>
        <v/>
      </c>
      <c r="G33" s="14" t="n"/>
      <c r="H33" s="14" t="n"/>
      <c r="I33" s="14" t="n"/>
      <c r="J33" s="14" t="n"/>
      <c r="K33" s="14" t="n"/>
      <c r="L33" s="14" t="n"/>
      <c r="M33" s="14" t="n"/>
      <c r="N33" s="14" t="n"/>
      <c r="O33" s="14" t="n"/>
      <c r="P33" s="13">
        <f>IF(O33="Successful","Success",IF(O33="Failed","Failure",IF(O33="Rolled Back","Rollback Required","Unknown")))</f>
        <v/>
      </c>
      <c r="Q33" s="14" t="n"/>
      <c r="R33" s="14" t="n"/>
      <c r="S33" s="14" t="n"/>
    </row>
    <row r="34">
      <c r="A34" s="14" t="n"/>
      <c r="B34" s="14" t="n"/>
      <c r="C34" s="14" t="n"/>
      <c r="D34" s="14" t="n"/>
      <c r="E34" s="14" t="n"/>
      <c r="F34" s="13">
        <f>IF(OR(D34="",E34=""),"",ROUND((E34-D34)*24,2))</f>
        <v/>
      </c>
      <c r="G34" s="14" t="n"/>
      <c r="H34" s="14" t="n"/>
      <c r="I34" s="14" t="n"/>
      <c r="J34" s="14" t="n"/>
      <c r="K34" s="14" t="n"/>
      <c r="L34" s="14" t="n"/>
      <c r="M34" s="14" t="n"/>
      <c r="N34" s="14" t="n"/>
      <c r="O34" s="14" t="n"/>
      <c r="P34" s="13">
        <f>IF(O34="Successful","Success",IF(O34="Failed","Failure",IF(O34="Rolled Back","Rollback Required","Unknown")))</f>
        <v/>
      </c>
      <c r="Q34" s="14" t="n"/>
      <c r="R34" s="14" t="n"/>
      <c r="S34" s="14" t="n"/>
    </row>
    <row r="35">
      <c r="A35" s="14" t="n"/>
      <c r="B35" s="14" t="n"/>
      <c r="C35" s="14" t="n"/>
      <c r="D35" s="14" t="n"/>
      <c r="E35" s="14" t="n"/>
      <c r="F35" s="13">
        <f>IF(OR(D35="",E35=""),"",ROUND((E35-D35)*24,2))</f>
        <v/>
      </c>
      <c r="G35" s="14" t="n"/>
      <c r="H35" s="14" t="n"/>
      <c r="I35" s="14" t="n"/>
      <c r="J35" s="14" t="n"/>
      <c r="K35" s="14" t="n"/>
      <c r="L35" s="14" t="n"/>
      <c r="M35" s="14" t="n"/>
      <c r="N35" s="14" t="n"/>
      <c r="O35" s="14" t="n"/>
      <c r="P35" s="13">
        <f>IF(O35="Successful","Success",IF(O35="Failed","Failure",IF(O35="Rolled Back","Rollback Required","Unknown")))</f>
        <v/>
      </c>
      <c r="Q35" s="14" t="n"/>
      <c r="R35" s="14" t="n"/>
      <c r="S35" s="14" t="n"/>
    </row>
    <row r="36">
      <c r="A36" s="14" t="n"/>
      <c r="B36" s="14" t="n"/>
      <c r="C36" s="14" t="n"/>
      <c r="D36" s="14" t="n"/>
      <c r="E36" s="14" t="n"/>
      <c r="F36" s="13">
        <f>IF(OR(D36="",E36=""),"",ROUND((E36-D36)*24,2))</f>
        <v/>
      </c>
      <c r="G36" s="14" t="n"/>
      <c r="H36" s="14" t="n"/>
      <c r="I36" s="14" t="n"/>
      <c r="J36" s="14" t="n"/>
      <c r="K36" s="14" t="n"/>
      <c r="L36" s="14" t="n"/>
      <c r="M36" s="14" t="n"/>
      <c r="N36" s="14" t="n"/>
      <c r="O36" s="14" t="n"/>
      <c r="P36" s="13">
        <f>IF(O36="Successful","Success",IF(O36="Failed","Failure",IF(O36="Rolled Back","Rollback Required","Unknown")))</f>
        <v/>
      </c>
      <c r="Q36" s="14" t="n"/>
      <c r="R36" s="14" t="n"/>
      <c r="S36" s="14" t="n"/>
    </row>
    <row r="37">
      <c r="A37" s="14" t="n"/>
      <c r="B37" s="14" t="n"/>
      <c r="C37" s="14" t="n"/>
      <c r="D37" s="14" t="n"/>
      <c r="E37" s="14" t="n"/>
      <c r="F37" s="13">
        <f>IF(OR(D37="",E37=""),"",ROUND((E37-D37)*24,2))</f>
        <v/>
      </c>
      <c r="G37" s="14" t="n"/>
      <c r="H37" s="14" t="n"/>
      <c r="I37" s="14" t="n"/>
      <c r="J37" s="14" t="n"/>
      <c r="K37" s="14" t="n"/>
      <c r="L37" s="14" t="n"/>
      <c r="M37" s="14" t="n"/>
      <c r="N37" s="14" t="n"/>
      <c r="O37" s="14" t="n"/>
      <c r="P37" s="13">
        <f>IF(O37="Successful","Success",IF(O37="Failed","Failure",IF(O37="Rolled Back","Rollback Required","Unknown")))</f>
        <v/>
      </c>
      <c r="Q37" s="14" t="n"/>
      <c r="R37" s="14" t="n"/>
      <c r="S37" s="14" t="n"/>
    </row>
    <row r="38">
      <c r="A38" s="14" t="n"/>
      <c r="B38" s="14" t="n"/>
      <c r="C38" s="14" t="n"/>
      <c r="D38" s="14" t="n"/>
      <c r="E38" s="14" t="n"/>
      <c r="F38" s="13">
        <f>IF(OR(D38="",E38=""),"",ROUND((E38-D38)*24,2))</f>
        <v/>
      </c>
      <c r="G38" s="14" t="n"/>
      <c r="H38" s="14" t="n"/>
      <c r="I38" s="14" t="n"/>
      <c r="J38" s="14" t="n"/>
      <c r="K38" s="14" t="n"/>
      <c r="L38" s="14" t="n"/>
      <c r="M38" s="14" t="n"/>
      <c r="N38" s="14" t="n"/>
      <c r="O38" s="14" t="n"/>
      <c r="P38" s="13">
        <f>IF(O38="Successful","Success",IF(O38="Failed","Failure",IF(O38="Rolled Back","Rollback Required","Unknown")))</f>
        <v/>
      </c>
      <c r="Q38" s="14" t="n"/>
      <c r="R38" s="14" t="n"/>
      <c r="S38" s="14" t="n"/>
    </row>
    <row r="39">
      <c r="A39" s="14" t="n"/>
      <c r="B39" s="14" t="n"/>
      <c r="C39" s="14" t="n"/>
      <c r="D39" s="14" t="n"/>
      <c r="E39" s="14" t="n"/>
      <c r="F39" s="13">
        <f>IF(OR(D39="",E39=""),"",ROUND((E39-D39)*24,2))</f>
        <v/>
      </c>
      <c r="G39" s="14" t="n"/>
      <c r="H39" s="14" t="n"/>
      <c r="I39" s="14" t="n"/>
      <c r="J39" s="14" t="n"/>
      <c r="K39" s="14" t="n"/>
      <c r="L39" s="14" t="n"/>
      <c r="M39" s="14" t="n"/>
      <c r="N39" s="14" t="n"/>
      <c r="O39" s="14" t="n"/>
      <c r="P39" s="13">
        <f>IF(O39="Successful","Success",IF(O39="Failed","Failure",IF(O39="Rolled Back","Rollback Required","Unknown")))</f>
        <v/>
      </c>
      <c r="Q39" s="14" t="n"/>
      <c r="R39" s="14" t="n"/>
      <c r="S39" s="14" t="n"/>
    </row>
    <row r="40">
      <c r="A40" s="14" t="n"/>
      <c r="B40" s="14" t="n"/>
      <c r="C40" s="14" t="n"/>
      <c r="D40" s="14" t="n"/>
      <c r="E40" s="14" t="n"/>
      <c r="F40" s="13">
        <f>IF(OR(D40="",E40=""),"",ROUND((E40-D40)*24,2))</f>
        <v/>
      </c>
      <c r="G40" s="14" t="n"/>
      <c r="H40" s="14" t="n"/>
      <c r="I40" s="14" t="n"/>
      <c r="J40" s="14" t="n"/>
      <c r="K40" s="14" t="n"/>
      <c r="L40" s="14" t="n"/>
      <c r="M40" s="14" t="n"/>
      <c r="N40" s="14" t="n"/>
      <c r="O40" s="14" t="n"/>
      <c r="P40" s="13">
        <f>IF(O40="Successful","Success",IF(O40="Failed","Failure",IF(O40="Rolled Back","Rollback Required","Unknown")))</f>
        <v/>
      </c>
      <c r="Q40" s="14" t="n"/>
      <c r="R40" s="14" t="n"/>
      <c r="S40" s="14" t="n"/>
    </row>
    <row r="41">
      <c r="A41" s="14" t="n"/>
      <c r="B41" s="14" t="n"/>
      <c r="C41" s="14" t="n"/>
      <c r="D41" s="14" t="n"/>
      <c r="E41" s="14" t="n"/>
      <c r="F41" s="13">
        <f>IF(OR(D41="",E41=""),"",ROUND((E41-D41)*24,2))</f>
        <v/>
      </c>
      <c r="G41" s="14" t="n"/>
      <c r="H41" s="14" t="n"/>
      <c r="I41" s="14" t="n"/>
      <c r="J41" s="14" t="n"/>
      <c r="K41" s="14" t="n"/>
      <c r="L41" s="14" t="n"/>
      <c r="M41" s="14" t="n"/>
      <c r="N41" s="14" t="n"/>
      <c r="O41" s="14" t="n"/>
      <c r="P41" s="13">
        <f>IF(O41="Successful","Success",IF(O41="Failed","Failure",IF(O41="Rolled Back","Rollback Required","Unknown")))</f>
        <v/>
      </c>
      <c r="Q41" s="14" t="n"/>
      <c r="R41" s="14" t="n"/>
      <c r="S41" s="14" t="n"/>
    </row>
    <row r="42">
      <c r="A42" s="14" t="n"/>
      <c r="B42" s="14" t="n"/>
      <c r="C42" s="14" t="n"/>
      <c r="D42" s="14" t="n"/>
      <c r="E42" s="14" t="n"/>
      <c r="F42" s="13">
        <f>IF(OR(D42="",E42=""),"",ROUND((E42-D42)*24,2))</f>
        <v/>
      </c>
      <c r="G42" s="14" t="n"/>
      <c r="H42" s="14" t="n"/>
      <c r="I42" s="14" t="n"/>
      <c r="J42" s="14" t="n"/>
      <c r="K42" s="14" t="n"/>
      <c r="L42" s="14" t="n"/>
      <c r="M42" s="14" t="n"/>
      <c r="N42" s="14" t="n"/>
      <c r="O42" s="14" t="n"/>
      <c r="P42" s="13">
        <f>IF(O42="Successful","Success",IF(O42="Failed","Failure",IF(O42="Rolled Back","Rollback Required","Unknown")))</f>
        <v/>
      </c>
      <c r="Q42" s="14" t="n"/>
      <c r="R42" s="14" t="n"/>
      <c r="S42" s="14" t="n"/>
    </row>
    <row r="43">
      <c r="A43" s="14" t="n"/>
      <c r="B43" s="14" t="n"/>
      <c r="C43" s="14" t="n"/>
      <c r="D43" s="14" t="n"/>
      <c r="E43" s="14" t="n"/>
      <c r="F43" s="13">
        <f>IF(OR(D43="",E43=""),"",ROUND((E43-D43)*24,2))</f>
        <v/>
      </c>
      <c r="G43" s="14" t="n"/>
      <c r="H43" s="14" t="n"/>
      <c r="I43" s="14" t="n"/>
      <c r="J43" s="14" t="n"/>
      <c r="K43" s="14" t="n"/>
      <c r="L43" s="14" t="n"/>
      <c r="M43" s="14" t="n"/>
      <c r="N43" s="14" t="n"/>
      <c r="O43" s="14" t="n"/>
      <c r="P43" s="13">
        <f>IF(O43="Successful","Success",IF(O43="Failed","Failure",IF(O43="Rolled Back","Rollback Required","Unknown")))</f>
        <v/>
      </c>
      <c r="Q43" s="14" t="n"/>
      <c r="R43" s="14" t="n"/>
      <c r="S43" s="14" t="n"/>
    </row>
    <row r="44">
      <c r="A44" s="14" t="n"/>
      <c r="B44" s="14" t="n"/>
      <c r="C44" s="14" t="n"/>
      <c r="D44" s="14" t="n"/>
      <c r="E44" s="14" t="n"/>
      <c r="F44" s="13">
        <f>IF(OR(D44="",E44=""),"",ROUND((E44-D44)*24,2))</f>
        <v/>
      </c>
      <c r="G44" s="14" t="n"/>
      <c r="H44" s="14" t="n"/>
      <c r="I44" s="14" t="n"/>
      <c r="J44" s="14" t="n"/>
      <c r="K44" s="14" t="n"/>
      <c r="L44" s="14" t="n"/>
      <c r="M44" s="14" t="n"/>
      <c r="N44" s="14" t="n"/>
      <c r="O44" s="14" t="n"/>
      <c r="P44" s="13">
        <f>IF(O44="Successful","Success",IF(O44="Failed","Failure",IF(O44="Rolled Back","Rollback Required","Unknown")))</f>
        <v/>
      </c>
      <c r="Q44" s="14" t="n"/>
      <c r="R44" s="14" t="n"/>
      <c r="S44" s="14" t="n"/>
    </row>
    <row r="45">
      <c r="A45" s="14" t="n"/>
      <c r="B45" s="14" t="n"/>
      <c r="C45" s="14" t="n"/>
      <c r="D45" s="14" t="n"/>
      <c r="E45" s="14" t="n"/>
      <c r="F45" s="13">
        <f>IF(OR(D45="",E45=""),"",ROUND((E45-D45)*24,2))</f>
        <v/>
      </c>
      <c r="G45" s="14" t="n"/>
      <c r="H45" s="14" t="n"/>
      <c r="I45" s="14" t="n"/>
      <c r="J45" s="14" t="n"/>
      <c r="K45" s="14" t="n"/>
      <c r="L45" s="14" t="n"/>
      <c r="M45" s="14" t="n"/>
      <c r="N45" s="14" t="n"/>
      <c r="O45" s="14" t="n"/>
      <c r="P45" s="13">
        <f>IF(O45="Successful","Success",IF(O45="Failed","Failure",IF(O45="Rolled Back","Rollback Required","Unknown")))</f>
        <v/>
      </c>
      <c r="Q45" s="14" t="n"/>
      <c r="R45" s="14" t="n"/>
      <c r="S45" s="14" t="n"/>
    </row>
    <row r="46">
      <c r="A46" s="14" t="n"/>
      <c r="B46" s="14" t="n"/>
      <c r="C46" s="14" t="n"/>
      <c r="D46" s="14" t="n"/>
      <c r="E46" s="14" t="n"/>
      <c r="F46" s="13">
        <f>IF(OR(D46="",E46=""),"",ROUND((E46-D46)*24,2))</f>
        <v/>
      </c>
      <c r="G46" s="14" t="n"/>
      <c r="H46" s="14" t="n"/>
      <c r="I46" s="14" t="n"/>
      <c r="J46" s="14" t="n"/>
      <c r="K46" s="14" t="n"/>
      <c r="L46" s="14" t="n"/>
      <c r="M46" s="14" t="n"/>
      <c r="N46" s="14" t="n"/>
      <c r="O46" s="14" t="n"/>
      <c r="P46" s="13">
        <f>IF(O46="Successful","Success",IF(O46="Failed","Failure",IF(O46="Rolled Back","Rollback Required","Unknown")))</f>
        <v/>
      </c>
      <c r="Q46" s="14" t="n"/>
      <c r="R46" s="14" t="n"/>
      <c r="S46" s="14" t="n"/>
    </row>
    <row r="47">
      <c r="A47" s="14" t="n"/>
      <c r="B47" s="14" t="n"/>
      <c r="C47" s="14" t="n"/>
      <c r="D47" s="14" t="n"/>
      <c r="E47" s="14" t="n"/>
      <c r="F47" s="13">
        <f>IF(OR(D47="",E47=""),"",ROUND((E47-D47)*24,2))</f>
        <v/>
      </c>
      <c r="G47" s="14" t="n"/>
      <c r="H47" s="14" t="n"/>
      <c r="I47" s="14" t="n"/>
      <c r="J47" s="14" t="n"/>
      <c r="K47" s="14" t="n"/>
      <c r="L47" s="14" t="n"/>
      <c r="M47" s="14" t="n"/>
      <c r="N47" s="14" t="n"/>
      <c r="O47" s="14" t="n"/>
      <c r="P47" s="13">
        <f>IF(O47="Successful","Success",IF(O47="Failed","Failure",IF(O47="Rolled Back","Rollback Required","Unknown")))</f>
        <v/>
      </c>
      <c r="Q47" s="14" t="n"/>
      <c r="R47" s="14" t="n"/>
      <c r="S47" s="14" t="n"/>
    </row>
    <row r="48">
      <c r="A48" s="14" t="n"/>
      <c r="B48" s="14" t="n"/>
      <c r="C48" s="14" t="n"/>
      <c r="D48" s="14" t="n"/>
      <c r="E48" s="14" t="n"/>
      <c r="F48" s="13">
        <f>IF(OR(D48="",E48=""),"",ROUND((E48-D48)*24,2))</f>
        <v/>
      </c>
      <c r="G48" s="14" t="n"/>
      <c r="H48" s="14" t="n"/>
      <c r="I48" s="14" t="n"/>
      <c r="J48" s="14" t="n"/>
      <c r="K48" s="14" t="n"/>
      <c r="L48" s="14" t="n"/>
      <c r="M48" s="14" t="n"/>
      <c r="N48" s="14" t="n"/>
      <c r="O48" s="14" t="n"/>
      <c r="P48" s="13">
        <f>IF(O48="Successful","Success",IF(O48="Failed","Failure",IF(O48="Rolled Back","Rollback Required","Unknown")))</f>
        <v/>
      </c>
      <c r="Q48" s="14" t="n"/>
      <c r="R48" s="14" t="n"/>
      <c r="S48" s="14" t="n"/>
    </row>
    <row r="49">
      <c r="A49" s="14" t="n"/>
      <c r="B49" s="14" t="n"/>
      <c r="C49" s="14" t="n"/>
      <c r="D49" s="14" t="n"/>
      <c r="E49" s="14" t="n"/>
      <c r="F49" s="13">
        <f>IF(OR(D49="",E49=""),"",ROUND((E49-D49)*24,2))</f>
        <v/>
      </c>
      <c r="G49" s="14" t="n"/>
      <c r="H49" s="14" t="n"/>
      <c r="I49" s="14" t="n"/>
      <c r="J49" s="14" t="n"/>
      <c r="K49" s="14" t="n"/>
      <c r="L49" s="14" t="n"/>
      <c r="M49" s="14" t="n"/>
      <c r="N49" s="14" t="n"/>
      <c r="O49" s="14" t="n"/>
      <c r="P49" s="13">
        <f>IF(O49="Successful","Success",IF(O49="Failed","Failure",IF(O49="Rolled Back","Rollback Required","Unknown")))</f>
        <v/>
      </c>
      <c r="Q49" s="14" t="n"/>
      <c r="R49" s="14" t="n"/>
      <c r="S49" s="14" t="n"/>
    </row>
    <row r="50">
      <c r="A50" s="14" t="n"/>
      <c r="B50" s="14" t="n"/>
      <c r="C50" s="14" t="n"/>
      <c r="D50" s="14" t="n"/>
      <c r="E50" s="14" t="n"/>
      <c r="F50" s="13">
        <f>IF(OR(D50="",E50=""),"",ROUND((E50-D50)*24,2))</f>
        <v/>
      </c>
      <c r="G50" s="14" t="n"/>
      <c r="H50" s="14" t="n"/>
      <c r="I50" s="14" t="n"/>
      <c r="J50" s="14" t="n"/>
      <c r="K50" s="14" t="n"/>
      <c r="L50" s="14" t="n"/>
      <c r="M50" s="14" t="n"/>
      <c r="N50" s="14" t="n"/>
      <c r="O50" s="14" t="n"/>
      <c r="P50" s="13">
        <f>IF(O50="Successful","Success",IF(O50="Failed","Failure",IF(O50="Rolled Back","Rollback Required","Unknown")))</f>
        <v/>
      </c>
      <c r="Q50" s="14" t="n"/>
      <c r="R50" s="14" t="n"/>
      <c r="S50" s="14" t="n"/>
    </row>
    <row r="51">
      <c r="A51" s="14" t="n"/>
      <c r="B51" s="14" t="n"/>
      <c r="C51" s="14" t="n"/>
      <c r="D51" s="14" t="n"/>
      <c r="E51" s="14" t="n"/>
      <c r="F51" s="13">
        <f>IF(OR(D51="",E51=""),"",ROUND((E51-D51)*24,2))</f>
        <v/>
      </c>
      <c r="G51" s="14" t="n"/>
      <c r="H51" s="14" t="n"/>
      <c r="I51" s="14" t="n"/>
      <c r="J51" s="14" t="n"/>
      <c r="K51" s="14" t="n"/>
      <c r="L51" s="14" t="n"/>
      <c r="M51" s="14" t="n"/>
      <c r="N51" s="14" t="n"/>
      <c r="O51" s="14" t="n"/>
      <c r="P51" s="13">
        <f>IF(O51="Successful","Success",IF(O51="Failed","Failure",IF(O51="Rolled Back","Rollback Required","Unknown")))</f>
        <v/>
      </c>
      <c r="Q51" s="14" t="n"/>
      <c r="R51" s="14" t="n"/>
      <c r="S51" s="14" t="n"/>
    </row>
    <row r="52">
      <c r="A52" s="14" t="n"/>
      <c r="B52" s="14" t="n"/>
      <c r="C52" s="14" t="n"/>
      <c r="D52" s="14" t="n"/>
      <c r="E52" s="14" t="n"/>
      <c r="F52" s="13">
        <f>IF(OR(D52="",E52=""),"",ROUND((E52-D52)*24,2))</f>
        <v/>
      </c>
      <c r="G52" s="14" t="n"/>
      <c r="H52" s="14" t="n"/>
      <c r="I52" s="14" t="n"/>
      <c r="J52" s="14" t="n"/>
      <c r="K52" s="14" t="n"/>
      <c r="L52" s="14" t="n"/>
      <c r="M52" s="14" t="n"/>
      <c r="N52" s="14" t="n"/>
      <c r="O52" s="14" t="n"/>
      <c r="P52" s="13">
        <f>IF(O52="Successful","Success",IF(O52="Failed","Failure",IF(O52="Rolled Back","Rollback Required","Unknown")))</f>
        <v/>
      </c>
      <c r="Q52" s="14" t="n"/>
      <c r="R52" s="14" t="n"/>
      <c r="S52" s="14" t="n"/>
    </row>
    <row r="53">
      <c r="A53" s="14" t="n"/>
      <c r="B53" s="14" t="n"/>
      <c r="C53" s="14" t="n"/>
      <c r="D53" s="14" t="n"/>
      <c r="E53" s="14" t="n"/>
      <c r="F53" s="13">
        <f>IF(OR(D53="",E53=""),"",ROUND((E53-D53)*24,2))</f>
        <v/>
      </c>
      <c r="G53" s="14" t="n"/>
      <c r="H53" s="14" t="n"/>
      <c r="I53" s="14" t="n"/>
      <c r="J53" s="14" t="n"/>
      <c r="K53" s="14" t="n"/>
      <c r="L53" s="14" t="n"/>
      <c r="M53" s="14" t="n"/>
      <c r="N53" s="14" t="n"/>
      <c r="O53" s="14" t="n"/>
      <c r="P53" s="13">
        <f>IF(O53="Successful","Success",IF(O53="Failed","Failure",IF(O53="Rolled Back","Rollback Required","Unknown")))</f>
        <v/>
      </c>
      <c r="Q53" s="14" t="n"/>
      <c r="R53" s="14" t="n"/>
      <c r="S53" s="14" t="n"/>
    </row>
  </sheetData>
  <mergeCells count="1">
    <mergeCell ref="A1:S1"/>
  </mergeCells>
  <conditionalFormatting sqref="O3:O53">
    <cfRule type="cellIs" priority="1" operator="equal" dxfId="8">
      <formula>"Successful"</formula>
    </cfRule>
    <cfRule type="cellIs" priority="2" operator="equal" dxfId="2">
      <formula>"Failed"</formula>
    </cfRule>
  </conditionalFormatting>
  <conditionalFormatting sqref="Q3:Q53">
    <cfRule type="cellIs" priority="3" operator="equal" dxfId="5">
      <formula>"Yes"</formula>
    </cfRule>
  </conditionalFormatting>
  <dataValidations count="5">
    <dataValidation sqref="H3:H53" showDropDown="0" showInputMessage="0" showErrorMessage="0" allowBlank="0" errorTitle="Invalid Entry" error="Invalid entry" promptTitle="Selection Required" prompt="Please select from the dropdown" type="list">
      <formula1>"Manual,Automated Script,Semi-Automated,Assisted (Vendor)"</formula1>
    </dataValidation>
    <dataValidation sqref="K3:K53" showDropDown="0" showInputMessage="0" showErrorMessage="0" allowBlank="0" errorTitle="Invalid Entry" error="Invalid entry" promptTitle="Selection Required" prompt="Please select from the dropdown" type="list">
      <formula1>"✅ Successful,⚠️ Partial Success,❌ Failed,❓ Not Verified"</formula1>
    </dataValidation>
    <dataValidation sqref="N3:N53" showDropDown="0" showInputMessage="0" showErrorMessage="0" allowBlank="1" errorTitle="Invalid Entry" error="Invalid entry" promptTitle="Selection Required" prompt="Please select from the dropdown" type="list">
      <formula1>"Yes,No,Partially,N/A"</formula1>
    </dataValidation>
    <dataValidation sqref="O3:O53" showDropDown="0" showInputMessage="0" showErrorMessage="0" allowBlank="0" errorTitle="Invalid Entry" error="Invalid entry" promptTitle="Selection Required" prompt="Please select from the dropdown" type="list">
      <formula1>"✅ Successful,❌ Failed,Rolled Back,⏳ In Progress"</formula1>
    </dataValidation>
    <dataValidation sqref="Q3:Q53"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18" customWidth="1" min="4" max="4"/>
    <col width="40" customWidth="1" min="5" max="5"/>
    <col width="35" customWidth="1" min="6" max="6"/>
    <col width="20" customWidth="1" min="7" max="7"/>
    <col width="18" customWidth="1" min="8" max="8"/>
    <col width="15" customWidth="1" min="9" max="9"/>
    <col width="20" customWidth="1" min="10" max="10"/>
    <col width="35" customWidth="1" min="11" max="11"/>
    <col width="18" customWidth="1" min="12" max="12"/>
    <col width="15" customWidth="1" min="13" max="13"/>
    <col width="25" customWidth="1" min="14" max="14"/>
    <col width="20" customWidth="1" min="15" max="15"/>
    <col width="18" customWidth="1" min="16" max="16"/>
    <col width="35" customWidth="1" min="17" max="17"/>
  </cols>
  <sheetData>
    <row r="1" ht="35" customHeight="1">
      <c r="A1" s="11" t="inlineStr">
        <is>
          <t>ROLLBACK CAPABILITY ASSESSMENT</t>
        </is>
      </c>
    </row>
    <row r="2">
      <c r="A2" s="12" t="inlineStr">
        <is>
          <t>Change ID</t>
        </is>
      </c>
      <c r="B2" s="12" t="inlineStr">
        <is>
          <t>Change Title</t>
        </is>
      </c>
      <c r="C2" s="12" t="inlineStr">
        <is>
          <t>Rollback Required</t>
        </is>
      </c>
      <c r="D2" s="12" t="inlineStr">
        <is>
          <t>Rollback Procedure Documented</t>
        </is>
      </c>
      <c r="E2" s="12" t="inlineStr">
        <is>
          <t>Rollback Document Location</t>
        </is>
      </c>
      <c r="F2" s="12" t="inlineStr">
        <is>
          <t>Rollback Trigger Criteria</t>
        </is>
      </c>
      <c r="G2" s="12" t="inlineStr">
        <is>
          <t>Estimated Rollback Time</t>
        </is>
      </c>
      <c r="H2" s="12" t="inlineStr">
        <is>
          <t>Rollback Tested</t>
        </is>
      </c>
      <c r="I2" s="12" t="inlineStr">
        <is>
          <t>Rollback Test Date</t>
        </is>
      </c>
      <c r="J2" s="12" t="inlineStr">
        <is>
          <t>Rollback Test Results</t>
        </is>
      </c>
      <c r="K2" s="12" t="inlineStr">
        <is>
          <t>Rollback Dependencies</t>
        </is>
      </c>
      <c r="L2" s="12" t="inlineStr">
        <is>
          <t>Data Loss Risk on Rollback</t>
        </is>
      </c>
      <c r="M2" s="12" t="inlineStr">
        <is>
          <t>Data Backup Verified</t>
        </is>
      </c>
      <c r="N2" s="12" t="inlineStr">
        <is>
          <t>Rollback Approval Required</t>
        </is>
      </c>
      <c r="O2" s="12" t="inlineStr">
        <is>
          <t>Rollback Owner</t>
        </is>
      </c>
      <c r="P2" s="12" t="inlineStr">
        <is>
          <t>Rollback Readiness</t>
        </is>
      </c>
      <c r="Q2" s="12" t="inlineStr">
        <is>
          <t>Notes</t>
        </is>
      </c>
    </row>
    <row r="4">
      <c r="A4" s="13" t="inlineStr">
        <is>
          <t>CRQ-2026-0001</t>
        </is>
      </c>
      <c r="B4" s="13" t="inlineStr">
        <is>
          <t>Disable legacy TLS 1.0/1.1 on all web servers</t>
        </is>
      </c>
      <c r="C4" s="13" t="inlineStr">
        <is>
          <t>Yes</t>
        </is>
      </c>
      <c r="D4" s="13" t="inlineStr">
        <is>
          <t>Yes</t>
        </is>
      </c>
      <c r="E4" s="13" t="inlineStr">
        <is>
          <t>/docs/rollback/CRQ-2026-0001-rollback.pdf</t>
        </is>
      </c>
      <c r="F4" s="13" t="inlineStr">
        <is>
          <t>Any certificate validation failure or service degradation &gt;5%</t>
        </is>
      </c>
      <c r="G4" s="13" t="inlineStr">
        <is>
          <t>30 minutes</t>
        </is>
      </c>
      <c r="H4" s="13" t="inlineStr">
        <is>
          <t>Yes</t>
        </is>
      </c>
      <c r="I4" s="13" t="inlineStr">
        <is>
          <t>15.01.2026</t>
        </is>
      </c>
      <c r="J4" s="13" t="inlineStr">
        <is>
          <t>Successful</t>
        </is>
      </c>
      <c r="K4" s="13" t="inlineStr">
        <is>
          <t>None</t>
        </is>
      </c>
      <c r="L4" s="13" t="inlineStr">
        <is>
          <t>None</t>
        </is>
      </c>
      <c r="M4" s="13" t="inlineStr">
        <is>
          <t>Yes</t>
        </is>
      </c>
      <c r="N4" s="13" t="inlineStr">
        <is>
          <t>Change Manager</t>
        </is>
      </c>
      <c r="O4" s="13" t="inlineStr">
        <is>
          <t>J. Smith (Sec Ops)</t>
        </is>
      </c>
      <c r="P4" s="13" t="inlineStr"/>
      <c r="Q4" s="13" t="inlineStr">
        <is>
          <t>Rollback tested in staging on 14.01.2026</t>
        </is>
      </c>
    </row>
    <row r="5">
      <c r="A5" s="14" t="n"/>
      <c r="B5" s="14" t="n"/>
      <c r="C5" s="14" t="n"/>
      <c r="D5" s="14" t="n"/>
      <c r="E5" s="14" t="n"/>
      <c r="F5" s="14" t="n"/>
      <c r="G5" s="14" t="n"/>
      <c r="H5" s="14" t="n"/>
      <c r="I5" s="14" t="n"/>
      <c r="J5" s="14" t="n"/>
      <c r="K5" s="14" t="n"/>
      <c r="L5" s="14" t="n"/>
      <c r="M5" s="14" t="n"/>
      <c r="N5" s="14" t="n"/>
      <c r="O5" s="14" t="n"/>
      <c r="P5" s="13">
        <f>IF(C5="No","N/A",IF(AND(D5="Yes",H5="Yes",J5="Successful",M5="Yes"),"Ready",IF(AND(D5="Yes",OR(H5="No",J5="Not Tested")),"Not Ready","Partially Ready")))</f>
        <v/>
      </c>
      <c r="Q5" s="14" t="n"/>
    </row>
    <row r="6">
      <c r="A6" s="14" t="n"/>
      <c r="B6" s="14" t="n"/>
      <c r="C6" s="14" t="n"/>
      <c r="D6" s="14" t="n"/>
      <c r="E6" s="14" t="n"/>
      <c r="F6" s="14" t="n"/>
      <c r="G6" s="14" t="n"/>
      <c r="H6" s="14" t="n"/>
      <c r="I6" s="14" t="n"/>
      <c r="J6" s="14" t="n"/>
      <c r="K6" s="14" t="n"/>
      <c r="L6" s="14" t="n"/>
      <c r="M6" s="14" t="n"/>
      <c r="N6" s="14" t="n"/>
      <c r="O6" s="14" t="n"/>
      <c r="P6" s="13">
        <f>IF(C6="No","N/A",IF(AND(D6="Yes",H6="Yes",J6="Successful",M6="Yes"),"Ready",IF(AND(D6="Yes",OR(H6="No",J6="Not Tested")),"Not Ready","Partially Ready")))</f>
        <v/>
      </c>
      <c r="Q6" s="14" t="n"/>
    </row>
    <row r="7">
      <c r="A7" s="14" t="n"/>
      <c r="B7" s="14" t="n"/>
      <c r="C7" s="14" t="n"/>
      <c r="D7" s="14" t="n"/>
      <c r="E7" s="14" t="n"/>
      <c r="F7" s="14" t="n"/>
      <c r="G7" s="14" t="n"/>
      <c r="H7" s="14" t="n"/>
      <c r="I7" s="14" t="n"/>
      <c r="J7" s="14" t="n"/>
      <c r="K7" s="14" t="n"/>
      <c r="L7" s="14" t="n"/>
      <c r="M7" s="14" t="n"/>
      <c r="N7" s="14" t="n"/>
      <c r="O7" s="14" t="n"/>
      <c r="P7" s="13">
        <f>IF(C7="No","N/A",IF(AND(D7="Yes",H7="Yes",J7="Successful",M7="Yes"),"Ready",IF(AND(D7="Yes",OR(H7="No",J7="Not Tested")),"Not Ready","Partially Ready")))</f>
        <v/>
      </c>
      <c r="Q7" s="14" t="n"/>
    </row>
    <row r="8">
      <c r="A8" s="14" t="n"/>
      <c r="B8" s="14" t="n"/>
      <c r="C8" s="14" t="n"/>
      <c r="D8" s="14" t="n"/>
      <c r="E8" s="14" t="n"/>
      <c r="F8" s="14" t="n"/>
      <c r="G8" s="14" t="n"/>
      <c r="H8" s="14" t="n"/>
      <c r="I8" s="14" t="n"/>
      <c r="J8" s="14" t="n"/>
      <c r="K8" s="14" t="n"/>
      <c r="L8" s="14" t="n"/>
      <c r="M8" s="14" t="n"/>
      <c r="N8" s="14" t="n"/>
      <c r="O8" s="14" t="n"/>
      <c r="P8" s="13">
        <f>IF(C8="No","N/A",IF(AND(D8="Yes",H8="Yes",J8="Successful",M8="Yes"),"Ready",IF(AND(D8="Yes",OR(H8="No",J8="Not Tested")),"Not Ready","Partially Ready")))</f>
        <v/>
      </c>
      <c r="Q8" s="14" t="n"/>
    </row>
    <row r="9">
      <c r="A9" s="14" t="n"/>
      <c r="B9" s="14" t="n"/>
      <c r="C9" s="14" t="n"/>
      <c r="D9" s="14" t="n"/>
      <c r="E9" s="14" t="n"/>
      <c r="F9" s="14" t="n"/>
      <c r="G9" s="14" t="n"/>
      <c r="H9" s="14" t="n"/>
      <c r="I9" s="14" t="n"/>
      <c r="J9" s="14" t="n"/>
      <c r="K9" s="14" t="n"/>
      <c r="L9" s="14" t="n"/>
      <c r="M9" s="14" t="n"/>
      <c r="N9" s="14" t="n"/>
      <c r="O9" s="14" t="n"/>
      <c r="P9" s="13">
        <f>IF(C9="No","N/A",IF(AND(D9="Yes",H9="Yes",J9="Successful",M9="Yes"),"Ready",IF(AND(D9="Yes",OR(H9="No",J9="Not Tested")),"Not Ready","Partially Ready")))</f>
        <v/>
      </c>
      <c r="Q9" s="14" t="n"/>
    </row>
    <row r="10">
      <c r="A10" s="14" t="n"/>
      <c r="B10" s="14" t="n"/>
      <c r="C10" s="14" t="n"/>
      <c r="D10" s="14" t="n"/>
      <c r="E10" s="14" t="n"/>
      <c r="F10" s="14" t="n"/>
      <c r="G10" s="14" t="n"/>
      <c r="H10" s="14" t="n"/>
      <c r="I10" s="14" t="n"/>
      <c r="J10" s="14" t="n"/>
      <c r="K10" s="14" t="n"/>
      <c r="L10" s="14" t="n"/>
      <c r="M10" s="14" t="n"/>
      <c r="N10" s="14" t="n"/>
      <c r="O10" s="14" t="n"/>
      <c r="P10" s="13">
        <f>IF(C10="No","N/A",IF(AND(D10="Yes",H10="Yes",J10="Successful",M10="Yes"),"Ready",IF(AND(D10="Yes",OR(H10="No",J10="Not Tested")),"Not Ready","Partially Ready")))</f>
        <v/>
      </c>
      <c r="Q10" s="14" t="n"/>
    </row>
    <row r="11">
      <c r="A11" s="14" t="n"/>
      <c r="B11" s="14" t="n"/>
      <c r="C11" s="14" t="n"/>
      <c r="D11" s="14" t="n"/>
      <c r="E11" s="14" t="n"/>
      <c r="F11" s="14" t="n"/>
      <c r="G11" s="14" t="n"/>
      <c r="H11" s="14" t="n"/>
      <c r="I11" s="14" t="n"/>
      <c r="J11" s="14" t="n"/>
      <c r="K11" s="14" t="n"/>
      <c r="L11" s="14" t="n"/>
      <c r="M11" s="14" t="n"/>
      <c r="N11" s="14" t="n"/>
      <c r="O11" s="14" t="n"/>
      <c r="P11" s="13">
        <f>IF(C11="No","N/A",IF(AND(D11="Yes",H11="Yes",J11="Successful",M11="Yes"),"Ready",IF(AND(D11="Yes",OR(H11="No",J11="Not Tested")),"Not Ready","Partially Ready")))</f>
        <v/>
      </c>
      <c r="Q11" s="14" t="n"/>
    </row>
    <row r="12">
      <c r="A12" s="14" t="n"/>
      <c r="B12" s="14" t="n"/>
      <c r="C12" s="14" t="n"/>
      <c r="D12" s="14" t="n"/>
      <c r="E12" s="14" t="n"/>
      <c r="F12" s="14" t="n"/>
      <c r="G12" s="14" t="n"/>
      <c r="H12" s="14" t="n"/>
      <c r="I12" s="14" t="n"/>
      <c r="J12" s="14" t="n"/>
      <c r="K12" s="14" t="n"/>
      <c r="L12" s="14" t="n"/>
      <c r="M12" s="14" t="n"/>
      <c r="N12" s="14" t="n"/>
      <c r="O12" s="14" t="n"/>
      <c r="P12" s="13">
        <f>IF(C12="No","N/A",IF(AND(D12="Yes",H12="Yes",J12="Successful",M12="Yes"),"Ready",IF(AND(D12="Yes",OR(H12="No",J12="Not Tested")),"Not Ready","Partially Ready")))</f>
        <v/>
      </c>
      <c r="Q12" s="14" t="n"/>
    </row>
    <row r="13">
      <c r="A13" s="14" t="n"/>
      <c r="B13" s="14" t="n"/>
      <c r="C13" s="14" t="n"/>
      <c r="D13" s="14" t="n"/>
      <c r="E13" s="14" t="n"/>
      <c r="F13" s="14" t="n"/>
      <c r="G13" s="14" t="n"/>
      <c r="H13" s="14" t="n"/>
      <c r="I13" s="14" t="n"/>
      <c r="J13" s="14" t="n"/>
      <c r="K13" s="14" t="n"/>
      <c r="L13" s="14" t="n"/>
      <c r="M13" s="14" t="n"/>
      <c r="N13" s="14" t="n"/>
      <c r="O13" s="14" t="n"/>
      <c r="P13" s="13">
        <f>IF(C13="No","N/A",IF(AND(D13="Yes",H13="Yes",J13="Successful",M13="Yes"),"Ready",IF(AND(D13="Yes",OR(H13="No",J13="Not Tested")),"Not Ready","Partially Ready")))</f>
        <v/>
      </c>
      <c r="Q13" s="14" t="n"/>
    </row>
    <row r="14">
      <c r="A14" s="14" t="n"/>
      <c r="B14" s="14" t="n"/>
      <c r="C14" s="14" t="n"/>
      <c r="D14" s="14" t="n"/>
      <c r="E14" s="14" t="n"/>
      <c r="F14" s="14" t="n"/>
      <c r="G14" s="14" t="n"/>
      <c r="H14" s="14" t="n"/>
      <c r="I14" s="14" t="n"/>
      <c r="J14" s="14" t="n"/>
      <c r="K14" s="14" t="n"/>
      <c r="L14" s="14" t="n"/>
      <c r="M14" s="14" t="n"/>
      <c r="N14" s="14" t="n"/>
      <c r="O14" s="14" t="n"/>
      <c r="P14" s="13">
        <f>IF(C14="No","N/A",IF(AND(D14="Yes",H14="Yes",J14="Successful",M14="Yes"),"Ready",IF(AND(D14="Yes",OR(H14="No",J14="Not Tested")),"Not Ready","Partially Ready")))</f>
        <v/>
      </c>
      <c r="Q14" s="14" t="n"/>
    </row>
    <row r="15">
      <c r="A15" s="14" t="n"/>
      <c r="B15" s="14" t="n"/>
      <c r="C15" s="14" t="n"/>
      <c r="D15" s="14" t="n"/>
      <c r="E15" s="14" t="n"/>
      <c r="F15" s="14" t="n"/>
      <c r="G15" s="14" t="n"/>
      <c r="H15" s="14" t="n"/>
      <c r="I15" s="14" t="n"/>
      <c r="J15" s="14" t="n"/>
      <c r="K15" s="14" t="n"/>
      <c r="L15" s="14" t="n"/>
      <c r="M15" s="14" t="n"/>
      <c r="N15" s="14" t="n"/>
      <c r="O15" s="14" t="n"/>
      <c r="P15" s="13">
        <f>IF(C15="No","N/A",IF(AND(D15="Yes",H15="Yes",J15="Successful",M15="Yes"),"Ready",IF(AND(D15="Yes",OR(H15="No",J15="Not Tested")),"Not Ready","Partially Ready")))</f>
        <v/>
      </c>
      <c r="Q15" s="14" t="n"/>
    </row>
    <row r="16">
      <c r="A16" s="14" t="n"/>
      <c r="B16" s="14" t="n"/>
      <c r="C16" s="14" t="n"/>
      <c r="D16" s="14" t="n"/>
      <c r="E16" s="14" t="n"/>
      <c r="F16" s="14" t="n"/>
      <c r="G16" s="14" t="n"/>
      <c r="H16" s="14" t="n"/>
      <c r="I16" s="14" t="n"/>
      <c r="J16" s="14" t="n"/>
      <c r="K16" s="14" t="n"/>
      <c r="L16" s="14" t="n"/>
      <c r="M16" s="14" t="n"/>
      <c r="N16" s="14" t="n"/>
      <c r="O16" s="14" t="n"/>
      <c r="P16" s="13">
        <f>IF(C16="No","N/A",IF(AND(D16="Yes",H16="Yes",J16="Successful",M16="Yes"),"Ready",IF(AND(D16="Yes",OR(H16="No",J16="Not Tested")),"Not Ready","Partially Ready")))</f>
        <v/>
      </c>
      <c r="Q16" s="14" t="n"/>
    </row>
    <row r="17">
      <c r="A17" s="14" t="n"/>
      <c r="B17" s="14" t="n"/>
      <c r="C17" s="14" t="n"/>
      <c r="D17" s="14" t="n"/>
      <c r="E17" s="14" t="n"/>
      <c r="F17" s="14" t="n"/>
      <c r="G17" s="14" t="n"/>
      <c r="H17" s="14" t="n"/>
      <c r="I17" s="14" t="n"/>
      <c r="J17" s="14" t="n"/>
      <c r="K17" s="14" t="n"/>
      <c r="L17" s="14" t="n"/>
      <c r="M17" s="14" t="n"/>
      <c r="N17" s="14" t="n"/>
      <c r="O17" s="14" t="n"/>
      <c r="P17" s="13">
        <f>IF(C17="No","N/A",IF(AND(D17="Yes",H17="Yes",J17="Successful",M17="Yes"),"Ready",IF(AND(D17="Yes",OR(H17="No",J17="Not Tested")),"Not Ready","Partially Ready")))</f>
        <v/>
      </c>
      <c r="Q17" s="14" t="n"/>
    </row>
    <row r="18">
      <c r="A18" s="14" t="n"/>
      <c r="B18" s="14" t="n"/>
      <c r="C18" s="14" t="n"/>
      <c r="D18" s="14" t="n"/>
      <c r="E18" s="14" t="n"/>
      <c r="F18" s="14" t="n"/>
      <c r="G18" s="14" t="n"/>
      <c r="H18" s="14" t="n"/>
      <c r="I18" s="14" t="n"/>
      <c r="J18" s="14" t="n"/>
      <c r="K18" s="14" t="n"/>
      <c r="L18" s="14" t="n"/>
      <c r="M18" s="14" t="n"/>
      <c r="N18" s="14" t="n"/>
      <c r="O18" s="14" t="n"/>
      <c r="P18" s="13">
        <f>IF(C18="No","N/A",IF(AND(D18="Yes",H18="Yes",J18="Successful",M18="Yes"),"Ready",IF(AND(D18="Yes",OR(H18="No",J18="Not Tested")),"Not Ready","Partially Ready")))</f>
        <v/>
      </c>
      <c r="Q18" s="14" t="n"/>
    </row>
    <row r="19">
      <c r="A19" s="14" t="n"/>
      <c r="B19" s="14" t="n"/>
      <c r="C19" s="14" t="n"/>
      <c r="D19" s="14" t="n"/>
      <c r="E19" s="14" t="n"/>
      <c r="F19" s="14" t="n"/>
      <c r="G19" s="14" t="n"/>
      <c r="H19" s="14" t="n"/>
      <c r="I19" s="14" t="n"/>
      <c r="J19" s="14" t="n"/>
      <c r="K19" s="14" t="n"/>
      <c r="L19" s="14" t="n"/>
      <c r="M19" s="14" t="n"/>
      <c r="N19" s="14" t="n"/>
      <c r="O19" s="14" t="n"/>
      <c r="P19" s="13">
        <f>IF(C19="No","N/A",IF(AND(D19="Yes",H19="Yes",J19="Successful",M19="Yes"),"Ready",IF(AND(D19="Yes",OR(H19="No",J19="Not Tested")),"Not Ready","Partially Ready")))</f>
        <v/>
      </c>
      <c r="Q19" s="14" t="n"/>
    </row>
    <row r="20">
      <c r="A20" s="14" t="n"/>
      <c r="B20" s="14" t="n"/>
      <c r="C20" s="14" t="n"/>
      <c r="D20" s="14" t="n"/>
      <c r="E20" s="14" t="n"/>
      <c r="F20" s="14" t="n"/>
      <c r="G20" s="14" t="n"/>
      <c r="H20" s="14" t="n"/>
      <c r="I20" s="14" t="n"/>
      <c r="J20" s="14" t="n"/>
      <c r="K20" s="14" t="n"/>
      <c r="L20" s="14" t="n"/>
      <c r="M20" s="14" t="n"/>
      <c r="N20" s="14" t="n"/>
      <c r="O20" s="14" t="n"/>
      <c r="P20" s="13">
        <f>IF(C20="No","N/A",IF(AND(D20="Yes",H20="Yes",J20="Successful",M20="Yes"),"Ready",IF(AND(D20="Yes",OR(H20="No",J20="Not Tested")),"Not Ready","Partially Ready")))</f>
        <v/>
      </c>
      <c r="Q20" s="14" t="n"/>
    </row>
    <row r="21">
      <c r="A21" s="14" t="n"/>
      <c r="B21" s="14" t="n"/>
      <c r="C21" s="14" t="n"/>
      <c r="D21" s="14" t="n"/>
      <c r="E21" s="14" t="n"/>
      <c r="F21" s="14" t="n"/>
      <c r="G21" s="14" t="n"/>
      <c r="H21" s="14" t="n"/>
      <c r="I21" s="14" t="n"/>
      <c r="J21" s="14" t="n"/>
      <c r="K21" s="14" t="n"/>
      <c r="L21" s="14" t="n"/>
      <c r="M21" s="14" t="n"/>
      <c r="N21" s="14" t="n"/>
      <c r="O21" s="14" t="n"/>
      <c r="P21" s="13">
        <f>IF(C21="No","N/A",IF(AND(D21="Yes",H21="Yes",J21="Successful",M21="Yes"),"Ready",IF(AND(D21="Yes",OR(H21="No",J21="Not Tested")),"Not Ready","Partially Ready")))</f>
        <v/>
      </c>
      <c r="Q21" s="14" t="n"/>
    </row>
    <row r="22">
      <c r="A22" s="14" t="n"/>
      <c r="B22" s="14" t="n"/>
      <c r="C22" s="14" t="n"/>
      <c r="D22" s="14" t="n"/>
      <c r="E22" s="14" t="n"/>
      <c r="F22" s="14" t="n"/>
      <c r="G22" s="14" t="n"/>
      <c r="H22" s="14" t="n"/>
      <c r="I22" s="14" t="n"/>
      <c r="J22" s="14" t="n"/>
      <c r="K22" s="14" t="n"/>
      <c r="L22" s="14" t="n"/>
      <c r="M22" s="14" t="n"/>
      <c r="N22" s="14" t="n"/>
      <c r="O22" s="14" t="n"/>
      <c r="P22" s="13">
        <f>IF(C22="No","N/A",IF(AND(D22="Yes",H22="Yes",J22="Successful",M22="Yes"),"Ready",IF(AND(D22="Yes",OR(H22="No",J22="Not Tested")),"Not Ready","Partially Ready")))</f>
        <v/>
      </c>
      <c r="Q22" s="14" t="n"/>
    </row>
    <row r="23">
      <c r="A23" s="14" t="n"/>
      <c r="B23" s="14" t="n"/>
      <c r="C23" s="14" t="n"/>
      <c r="D23" s="14" t="n"/>
      <c r="E23" s="14" t="n"/>
      <c r="F23" s="14" t="n"/>
      <c r="G23" s="14" t="n"/>
      <c r="H23" s="14" t="n"/>
      <c r="I23" s="14" t="n"/>
      <c r="J23" s="14" t="n"/>
      <c r="K23" s="14" t="n"/>
      <c r="L23" s="14" t="n"/>
      <c r="M23" s="14" t="n"/>
      <c r="N23" s="14" t="n"/>
      <c r="O23" s="14" t="n"/>
      <c r="P23" s="13">
        <f>IF(C23="No","N/A",IF(AND(D23="Yes",H23="Yes",J23="Successful",M23="Yes"),"Ready",IF(AND(D23="Yes",OR(H23="No",J23="Not Tested")),"Not Ready","Partially Ready")))</f>
        <v/>
      </c>
      <c r="Q23" s="14" t="n"/>
    </row>
    <row r="24">
      <c r="A24" s="14" t="n"/>
      <c r="B24" s="14" t="n"/>
      <c r="C24" s="14" t="n"/>
      <c r="D24" s="14" t="n"/>
      <c r="E24" s="14" t="n"/>
      <c r="F24" s="14" t="n"/>
      <c r="G24" s="14" t="n"/>
      <c r="H24" s="14" t="n"/>
      <c r="I24" s="14" t="n"/>
      <c r="J24" s="14" t="n"/>
      <c r="K24" s="14" t="n"/>
      <c r="L24" s="14" t="n"/>
      <c r="M24" s="14" t="n"/>
      <c r="N24" s="14" t="n"/>
      <c r="O24" s="14" t="n"/>
      <c r="P24" s="13">
        <f>IF(C24="No","N/A",IF(AND(D24="Yes",H24="Yes",J24="Successful",M24="Yes"),"Ready",IF(AND(D24="Yes",OR(H24="No",J24="Not Tested")),"Not Ready","Partially Ready")))</f>
        <v/>
      </c>
      <c r="Q24" s="14" t="n"/>
    </row>
    <row r="25">
      <c r="A25" s="14" t="n"/>
      <c r="B25" s="14" t="n"/>
      <c r="C25" s="14" t="n"/>
      <c r="D25" s="14" t="n"/>
      <c r="E25" s="14" t="n"/>
      <c r="F25" s="14" t="n"/>
      <c r="G25" s="14" t="n"/>
      <c r="H25" s="14" t="n"/>
      <c r="I25" s="14" t="n"/>
      <c r="J25" s="14" t="n"/>
      <c r="K25" s="14" t="n"/>
      <c r="L25" s="14" t="n"/>
      <c r="M25" s="14" t="n"/>
      <c r="N25" s="14" t="n"/>
      <c r="O25" s="14" t="n"/>
      <c r="P25" s="13">
        <f>IF(C25="No","N/A",IF(AND(D25="Yes",H25="Yes",J25="Successful",M25="Yes"),"Ready",IF(AND(D25="Yes",OR(H25="No",J25="Not Tested")),"Not Ready","Partially Ready")))</f>
        <v/>
      </c>
      <c r="Q25" s="14" t="n"/>
    </row>
    <row r="26">
      <c r="A26" s="14" t="n"/>
      <c r="B26" s="14" t="n"/>
      <c r="C26" s="14" t="n"/>
      <c r="D26" s="14" t="n"/>
      <c r="E26" s="14" t="n"/>
      <c r="F26" s="14" t="n"/>
      <c r="G26" s="14" t="n"/>
      <c r="H26" s="14" t="n"/>
      <c r="I26" s="14" t="n"/>
      <c r="J26" s="14" t="n"/>
      <c r="K26" s="14" t="n"/>
      <c r="L26" s="14" t="n"/>
      <c r="M26" s="14" t="n"/>
      <c r="N26" s="14" t="n"/>
      <c r="O26" s="14" t="n"/>
      <c r="P26" s="13">
        <f>IF(C26="No","N/A",IF(AND(D26="Yes",H26="Yes",J26="Successful",M26="Yes"),"Ready",IF(AND(D26="Yes",OR(H26="No",J26="Not Tested")),"Not Ready","Partially Ready")))</f>
        <v/>
      </c>
      <c r="Q26" s="14" t="n"/>
    </row>
    <row r="27">
      <c r="A27" s="14" t="n"/>
      <c r="B27" s="14" t="n"/>
      <c r="C27" s="14" t="n"/>
      <c r="D27" s="14" t="n"/>
      <c r="E27" s="14" t="n"/>
      <c r="F27" s="14" t="n"/>
      <c r="G27" s="14" t="n"/>
      <c r="H27" s="14" t="n"/>
      <c r="I27" s="14" t="n"/>
      <c r="J27" s="14" t="n"/>
      <c r="K27" s="14" t="n"/>
      <c r="L27" s="14" t="n"/>
      <c r="M27" s="14" t="n"/>
      <c r="N27" s="14" t="n"/>
      <c r="O27" s="14" t="n"/>
      <c r="P27" s="13">
        <f>IF(C27="No","N/A",IF(AND(D27="Yes",H27="Yes",J27="Successful",M27="Yes"),"Ready",IF(AND(D27="Yes",OR(H27="No",J27="Not Tested")),"Not Ready","Partially Ready")))</f>
        <v/>
      </c>
      <c r="Q27" s="14" t="n"/>
    </row>
    <row r="28">
      <c r="A28" s="14" t="n"/>
      <c r="B28" s="14" t="n"/>
      <c r="C28" s="14" t="n"/>
      <c r="D28" s="14" t="n"/>
      <c r="E28" s="14" t="n"/>
      <c r="F28" s="14" t="n"/>
      <c r="G28" s="14" t="n"/>
      <c r="H28" s="14" t="n"/>
      <c r="I28" s="14" t="n"/>
      <c r="J28" s="14" t="n"/>
      <c r="K28" s="14" t="n"/>
      <c r="L28" s="14" t="n"/>
      <c r="M28" s="14" t="n"/>
      <c r="N28" s="14" t="n"/>
      <c r="O28" s="14" t="n"/>
      <c r="P28" s="13">
        <f>IF(C28="No","N/A",IF(AND(D28="Yes",H28="Yes",J28="Successful",M28="Yes"),"Ready",IF(AND(D28="Yes",OR(H28="No",J28="Not Tested")),"Not Ready","Partially Ready")))</f>
        <v/>
      </c>
      <c r="Q28" s="14" t="n"/>
    </row>
    <row r="29">
      <c r="A29" s="14" t="n"/>
      <c r="B29" s="14" t="n"/>
      <c r="C29" s="14" t="n"/>
      <c r="D29" s="14" t="n"/>
      <c r="E29" s="14" t="n"/>
      <c r="F29" s="14" t="n"/>
      <c r="G29" s="14" t="n"/>
      <c r="H29" s="14" t="n"/>
      <c r="I29" s="14" t="n"/>
      <c r="J29" s="14" t="n"/>
      <c r="K29" s="14" t="n"/>
      <c r="L29" s="14" t="n"/>
      <c r="M29" s="14" t="n"/>
      <c r="N29" s="14" t="n"/>
      <c r="O29" s="14" t="n"/>
      <c r="P29" s="13">
        <f>IF(C29="No","N/A",IF(AND(D29="Yes",H29="Yes",J29="Successful",M29="Yes"),"Ready",IF(AND(D29="Yes",OR(H29="No",J29="Not Tested")),"Not Ready","Partially Ready")))</f>
        <v/>
      </c>
      <c r="Q29" s="14" t="n"/>
    </row>
    <row r="30">
      <c r="A30" s="14" t="n"/>
      <c r="B30" s="14" t="n"/>
      <c r="C30" s="14" t="n"/>
      <c r="D30" s="14" t="n"/>
      <c r="E30" s="14" t="n"/>
      <c r="F30" s="14" t="n"/>
      <c r="G30" s="14" t="n"/>
      <c r="H30" s="14" t="n"/>
      <c r="I30" s="14" t="n"/>
      <c r="J30" s="14" t="n"/>
      <c r="K30" s="14" t="n"/>
      <c r="L30" s="14" t="n"/>
      <c r="M30" s="14" t="n"/>
      <c r="N30" s="14" t="n"/>
      <c r="O30" s="14" t="n"/>
      <c r="P30" s="13">
        <f>IF(C30="No","N/A",IF(AND(D30="Yes",H30="Yes",J30="Successful",M30="Yes"),"Ready",IF(AND(D30="Yes",OR(H30="No",J30="Not Tested")),"Not Ready","Partially Ready")))</f>
        <v/>
      </c>
      <c r="Q30" s="14" t="n"/>
    </row>
    <row r="31">
      <c r="A31" s="14" t="n"/>
      <c r="B31" s="14" t="n"/>
      <c r="C31" s="14" t="n"/>
      <c r="D31" s="14" t="n"/>
      <c r="E31" s="14" t="n"/>
      <c r="F31" s="14" t="n"/>
      <c r="G31" s="14" t="n"/>
      <c r="H31" s="14" t="n"/>
      <c r="I31" s="14" t="n"/>
      <c r="J31" s="14" t="n"/>
      <c r="K31" s="14" t="n"/>
      <c r="L31" s="14" t="n"/>
      <c r="M31" s="14" t="n"/>
      <c r="N31" s="14" t="n"/>
      <c r="O31" s="14" t="n"/>
      <c r="P31" s="13">
        <f>IF(C31="No","N/A",IF(AND(D31="Yes",H31="Yes",J31="Successful",M31="Yes"),"Ready",IF(AND(D31="Yes",OR(H31="No",J31="Not Tested")),"Not Ready","Partially Ready")))</f>
        <v/>
      </c>
      <c r="Q31" s="14" t="n"/>
    </row>
    <row r="32">
      <c r="A32" s="14" t="n"/>
      <c r="B32" s="14" t="n"/>
      <c r="C32" s="14" t="n"/>
      <c r="D32" s="14" t="n"/>
      <c r="E32" s="14" t="n"/>
      <c r="F32" s="14" t="n"/>
      <c r="G32" s="14" t="n"/>
      <c r="H32" s="14" t="n"/>
      <c r="I32" s="14" t="n"/>
      <c r="J32" s="14" t="n"/>
      <c r="K32" s="14" t="n"/>
      <c r="L32" s="14" t="n"/>
      <c r="M32" s="14" t="n"/>
      <c r="N32" s="14" t="n"/>
      <c r="O32" s="14" t="n"/>
      <c r="P32" s="13">
        <f>IF(C32="No","N/A",IF(AND(D32="Yes",H32="Yes",J32="Successful",M32="Yes"),"Ready",IF(AND(D32="Yes",OR(H32="No",J32="Not Tested")),"Not Ready","Partially Ready")))</f>
        <v/>
      </c>
      <c r="Q32" s="14" t="n"/>
    </row>
    <row r="33">
      <c r="A33" s="14" t="n"/>
      <c r="B33" s="14" t="n"/>
      <c r="C33" s="14" t="n"/>
      <c r="D33" s="14" t="n"/>
      <c r="E33" s="14" t="n"/>
      <c r="F33" s="14" t="n"/>
      <c r="G33" s="14" t="n"/>
      <c r="H33" s="14" t="n"/>
      <c r="I33" s="14" t="n"/>
      <c r="J33" s="14" t="n"/>
      <c r="K33" s="14" t="n"/>
      <c r="L33" s="14" t="n"/>
      <c r="M33" s="14" t="n"/>
      <c r="N33" s="14" t="n"/>
      <c r="O33" s="14" t="n"/>
      <c r="P33" s="13">
        <f>IF(C33="No","N/A",IF(AND(D33="Yes",H33="Yes",J33="Successful",M33="Yes"),"Ready",IF(AND(D33="Yes",OR(H33="No",J33="Not Tested")),"Not Ready","Partially Ready")))</f>
        <v/>
      </c>
      <c r="Q33" s="14" t="n"/>
    </row>
    <row r="34">
      <c r="A34" s="14" t="n"/>
      <c r="B34" s="14" t="n"/>
      <c r="C34" s="14" t="n"/>
      <c r="D34" s="14" t="n"/>
      <c r="E34" s="14" t="n"/>
      <c r="F34" s="14" t="n"/>
      <c r="G34" s="14" t="n"/>
      <c r="H34" s="14" t="n"/>
      <c r="I34" s="14" t="n"/>
      <c r="J34" s="14" t="n"/>
      <c r="K34" s="14" t="n"/>
      <c r="L34" s="14" t="n"/>
      <c r="M34" s="14" t="n"/>
      <c r="N34" s="14" t="n"/>
      <c r="O34" s="14" t="n"/>
      <c r="P34" s="13">
        <f>IF(C34="No","N/A",IF(AND(D34="Yes",H34="Yes",J34="Successful",M34="Yes"),"Ready",IF(AND(D34="Yes",OR(H34="No",J34="Not Tested")),"Not Ready","Partially Ready")))</f>
        <v/>
      </c>
      <c r="Q34" s="14" t="n"/>
    </row>
    <row r="35">
      <c r="A35" s="14" t="n"/>
      <c r="B35" s="14" t="n"/>
      <c r="C35" s="14" t="n"/>
      <c r="D35" s="14" t="n"/>
      <c r="E35" s="14" t="n"/>
      <c r="F35" s="14" t="n"/>
      <c r="G35" s="14" t="n"/>
      <c r="H35" s="14" t="n"/>
      <c r="I35" s="14" t="n"/>
      <c r="J35" s="14" t="n"/>
      <c r="K35" s="14" t="n"/>
      <c r="L35" s="14" t="n"/>
      <c r="M35" s="14" t="n"/>
      <c r="N35" s="14" t="n"/>
      <c r="O35" s="14" t="n"/>
      <c r="P35" s="13">
        <f>IF(C35="No","N/A",IF(AND(D35="Yes",H35="Yes",J35="Successful",M35="Yes"),"Ready",IF(AND(D35="Yes",OR(H35="No",J35="Not Tested")),"Not Ready","Partially Ready")))</f>
        <v/>
      </c>
      <c r="Q35" s="14" t="n"/>
    </row>
    <row r="36">
      <c r="A36" s="14" t="n"/>
      <c r="B36" s="14" t="n"/>
      <c r="C36" s="14" t="n"/>
      <c r="D36" s="14" t="n"/>
      <c r="E36" s="14" t="n"/>
      <c r="F36" s="14" t="n"/>
      <c r="G36" s="14" t="n"/>
      <c r="H36" s="14" t="n"/>
      <c r="I36" s="14" t="n"/>
      <c r="J36" s="14" t="n"/>
      <c r="K36" s="14" t="n"/>
      <c r="L36" s="14" t="n"/>
      <c r="M36" s="14" t="n"/>
      <c r="N36" s="14" t="n"/>
      <c r="O36" s="14" t="n"/>
      <c r="P36" s="13">
        <f>IF(C36="No","N/A",IF(AND(D36="Yes",H36="Yes",J36="Successful",M36="Yes"),"Ready",IF(AND(D36="Yes",OR(H36="No",J36="Not Tested")),"Not Ready","Partially Ready")))</f>
        <v/>
      </c>
      <c r="Q36" s="14" t="n"/>
    </row>
    <row r="37">
      <c r="A37" s="14" t="n"/>
      <c r="B37" s="14" t="n"/>
      <c r="C37" s="14" t="n"/>
      <c r="D37" s="14" t="n"/>
      <c r="E37" s="14" t="n"/>
      <c r="F37" s="14" t="n"/>
      <c r="G37" s="14" t="n"/>
      <c r="H37" s="14" t="n"/>
      <c r="I37" s="14" t="n"/>
      <c r="J37" s="14" t="n"/>
      <c r="K37" s="14" t="n"/>
      <c r="L37" s="14" t="n"/>
      <c r="M37" s="14" t="n"/>
      <c r="N37" s="14" t="n"/>
      <c r="O37" s="14" t="n"/>
      <c r="P37" s="13">
        <f>IF(C37="No","N/A",IF(AND(D37="Yes",H37="Yes",J37="Successful",M37="Yes"),"Ready",IF(AND(D37="Yes",OR(H37="No",J37="Not Tested")),"Not Ready","Partially Ready")))</f>
        <v/>
      </c>
      <c r="Q37" s="14" t="n"/>
    </row>
    <row r="38">
      <c r="A38" s="14" t="n"/>
      <c r="B38" s="14" t="n"/>
      <c r="C38" s="14" t="n"/>
      <c r="D38" s="14" t="n"/>
      <c r="E38" s="14" t="n"/>
      <c r="F38" s="14" t="n"/>
      <c r="G38" s="14" t="n"/>
      <c r="H38" s="14" t="n"/>
      <c r="I38" s="14" t="n"/>
      <c r="J38" s="14" t="n"/>
      <c r="K38" s="14" t="n"/>
      <c r="L38" s="14" t="n"/>
      <c r="M38" s="14" t="n"/>
      <c r="N38" s="14" t="n"/>
      <c r="O38" s="14" t="n"/>
      <c r="P38" s="13">
        <f>IF(C38="No","N/A",IF(AND(D38="Yes",H38="Yes",J38="Successful",M38="Yes"),"Ready",IF(AND(D38="Yes",OR(H38="No",J38="Not Tested")),"Not Ready","Partially Ready")))</f>
        <v/>
      </c>
      <c r="Q38" s="14" t="n"/>
    </row>
    <row r="39">
      <c r="A39" s="14" t="n"/>
      <c r="B39" s="14" t="n"/>
      <c r="C39" s="14" t="n"/>
      <c r="D39" s="14" t="n"/>
      <c r="E39" s="14" t="n"/>
      <c r="F39" s="14" t="n"/>
      <c r="G39" s="14" t="n"/>
      <c r="H39" s="14" t="n"/>
      <c r="I39" s="14" t="n"/>
      <c r="J39" s="14" t="n"/>
      <c r="K39" s="14" t="n"/>
      <c r="L39" s="14" t="n"/>
      <c r="M39" s="14" t="n"/>
      <c r="N39" s="14" t="n"/>
      <c r="O39" s="14" t="n"/>
      <c r="P39" s="13">
        <f>IF(C39="No","N/A",IF(AND(D39="Yes",H39="Yes",J39="Successful",M39="Yes"),"Ready",IF(AND(D39="Yes",OR(H39="No",J39="Not Tested")),"Not Ready","Partially Ready")))</f>
        <v/>
      </c>
      <c r="Q39" s="14" t="n"/>
    </row>
    <row r="40">
      <c r="A40" s="14" t="n"/>
      <c r="B40" s="14" t="n"/>
      <c r="C40" s="14" t="n"/>
      <c r="D40" s="14" t="n"/>
      <c r="E40" s="14" t="n"/>
      <c r="F40" s="14" t="n"/>
      <c r="G40" s="14" t="n"/>
      <c r="H40" s="14" t="n"/>
      <c r="I40" s="14" t="n"/>
      <c r="J40" s="14" t="n"/>
      <c r="K40" s="14" t="n"/>
      <c r="L40" s="14" t="n"/>
      <c r="M40" s="14" t="n"/>
      <c r="N40" s="14" t="n"/>
      <c r="O40" s="14" t="n"/>
      <c r="P40" s="13">
        <f>IF(C40="No","N/A",IF(AND(D40="Yes",H40="Yes",J40="Successful",M40="Yes"),"Ready",IF(AND(D40="Yes",OR(H40="No",J40="Not Tested")),"Not Ready","Partially Ready")))</f>
        <v/>
      </c>
      <c r="Q40" s="14" t="n"/>
    </row>
    <row r="41">
      <c r="A41" s="14" t="n"/>
      <c r="B41" s="14" t="n"/>
      <c r="C41" s="14" t="n"/>
      <c r="D41" s="14" t="n"/>
      <c r="E41" s="14" t="n"/>
      <c r="F41" s="14" t="n"/>
      <c r="G41" s="14" t="n"/>
      <c r="H41" s="14" t="n"/>
      <c r="I41" s="14" t="n"/>
      <c r="J41" s="14" t="n"/>
      <c r="K41" s="14" t="n"/>
      <c r="L41" s="14" t="n"/>
      <c r="M41" s="14" t="n"/>
      <c r="N41" s="14" t="n"/>
      <c r="O41" s="14" t="n"/>
      <c r="P41" s="13">
        <f>IF(C41="No","N/A",IF(AND(D41="Yes",H41="Yes",J41="Successful",M41="Yes"),"Ready",IF(AND(D41="Yes",OR(H41="No",J41="Not Tested")),"Not Ready","Partially Ready")))</f>
        <v/>
      </c>
      <c r="Q41" s="14" t="n"/>
    </row>
    <row r="42">
      <c r="A42" s="14" t="n"/>
      <c r="B42" s="14" t="n"/>
      <c r="C42" s="14" t="n"/>
      <c r="D42" s="14" t="n"/>
      <c r="E42" s="14" t="n"/>
      <c r="F42" s="14" t="n"/>
      <c r="G42" s="14" t="n"/>
      <c r="H42" s="14" t="n"/>
      <c r="I42" s="14" t="n"/>
      <c r="J42" s="14" t="n"/>
      <c r="K42" s="14" t="n"/>
      <c r="L42" s="14" t="n"/>
      <c r="M42" s="14" t="n"/>
      <c r="N42" s="14" t="n"/>
      <c r="O42" s="14" t="n"/>
      <c r="P42" s="13">
        <f>IF(C42="No","N/A",IF(AND(D42="Yes",H42="Yes",J42="Successful",M42="Yes"),"Ready",IF(AND(D42="Yes",OR(H42="No",J42="Not Tested")),"Not Ready","Partially Ready")))</f>
        <v/>
      </c>
      <c r="Q42" s="14" t="n"/>
    </row>
    <row r="43">
      <c r="A43" s="14" t="n"/>
      <c r="B43" s="14" t="n"/>
      <c r="C43" s="14" t="n"/>
      <c r="D43" s="14" t="n"/>
      <c r="E43" s="14" t="n"/>
      <c r="F43" s="14" t="n"/>
      <c r="G43" s="14" t="n"/>
      <c r="H43" s="14" t="n"/>
      <c r="I43" s="14" t="n"/>
      <c r="J43" s="14" t="n"/>
      <c r="K43" s="14" t="n"/>
      <c r="L43" s="14" t="n"/>
      <c r="M43" s="14" t="n"/>
      <c r="N43" s="14" t="n"/>
      <c r="O43" s="14" t="n"/>
      <c r="P43" s="13">
        <f>IF(C43="No","N/A",IF(AND(D43="Yes",H43="Yes",J43="Successful",M43="Yes"),"Ready",IF(AND(D43="Yes",OR(H43="No",J43="Not Tested")),"Not Ready","Partially Ready")))</f>
        <v/>
      </c>
      <c r="Q43" s="14" t="n"/>
    </row>
    <row r="44">
      <c r="A44" s="14" t="n"/>
      <c r="B44" s="14" t="n"/>
      <c r="C44" s="14" t="n"/>
      <c r="D44" s="14" t="n"/>
      <c r="E44" s="14" t="n"/>
      <c r="F44" s="14" t="n"/>
      <c r="G44" s="14" t="n"/>
      <c r="H44" s="14" t="n"/>
      <c r="I44" s="14" t="n"/>
      <c r="J44" s="14" t="n"/>
      <c r="K44" s="14" t="n"/>
      <c r="L44" s="14" t="n"/>
      <c r="M44" s="14" t="n"/>
      <c r="N44" s="14" t="n"/>
      <c r="O44" s="14" t="n"/>
      <c r="P44" s="13">
        <f>IF(C44="No","N/A",IF(AND(D44="Yes",H44="Yes",J44="Successful",M44="Yes"),"Ready",IF(AND(D44="Yes",OR(H44="No",J44="Not Tested")),"Not Ready","Partially Ready")))</f>
        <v/>
      </c>
      <c r="Q44" s="14" t="n"/>
    </row>
    <row r="45">
      <c r="A45" s="14" t="n"/>
      <c r="B45" s="14" t="n"/>
      <c r="C45" s="14" t="n"/>
      <c r="D45" s="14" t="n"/>
      <c r="E45" s="14" t="n"/>
      <c r="F45" s="14" t="n"/>
      <c r="G45" s="14" t="n"/>
      <c r="H45" s="14" t="n"/>
      <c r="I45" s="14" t="n"/>
      <c r="J45" s="14" t="n"/>
      <c r="K45" s="14" t="n"/>
      <c r="L45" s="14" t="n"/>
      <c r="M45" s="14" t="n"/>
      <c r="N45" s="14" t="n"/>
      <c r="O45" s="14" t="n"/>
      <c r="P45" s="13">
        <f>IF(C45="No","N/A",IF(AND(D45="Yes",H45="Yes",J45="Successful",M45="Yes"),"Ready",IF(AND(D45="Yes",OR(H45="No",J45="Not Tested")),"Not Ready","Partially Ready")))</f>
        <v/>
      </c>
      <c r="Q45" s="14" t="n"/>
    </row>
    <row r="46">
      <c r="A46" s="14" t="n"/>
      <c r="B46" s="14" t="n"/>
      <c r="C46" s="14" t="n"/>
      <c r="D46" s="14" t="n"/>
      <c r="E46" s="14" t="n"/>
      <c r="F46" s="14" t="n"/>
      <c r="G46" s="14" t="n"/>
      <c r="H46" s="14" t="n"/>
      <c r="I46" s="14" t="n"/>
      <c r="J46" s="14" t="n"/>
      <c r="K46" s="14" t="n"/>
      <c r="L46" s="14" t="n"/>
      <c r="M46" s="14" t="n"/>
      <c r="N46" s="14" t="n"/>
      <c r="O46" s="14" t="n"/>
      <c r="P46" s="13">
        <f>IF(C46="No","N/A",IF(AND(D46="Yes",H46="Yes",J46="Successful",M46="Yes"),"Ready",IF(AND(D46="Yes",OR(H46="No",J46="Not Tested")),"Not Ready","Partially Ready")))</f>
        <v/>
      </c>
      <c r="Q46" s="14" t="n"/>
    </row>
    <row r="47">
      <c r="A47" s="14" t="n"/>
      <c r="B47" s="14" t="n"/>
      <c r="C47" s="14" t="n"/>
      <c r="D47" s="14" t="n"/>
      <c r="E47" s="14" t="n"/>
      <c r="F47" s="14" t="n"/>
      <c r="G47" s="14" t="n"/>
      <c r="H47" s="14" t="n"/>
      <c r="I47" s="14" t="n"/>
      <c r="J47" s="14" t="n"/>
      <c r="K47" s="14" t="n"/>
      <c r="L47" s="14" t="n"/>
      <c r="M47" s="14" t="n"/>
      <c r="N47" s="14" t="n"/>
      <c r="O47" s="14" t="n"/>
      <c r="P47" s="13">
        <f>IF(C47="No","N/A",IF(AND(D47="Yes",H47="Yes",J47="Successful",M47="Yes"),"Ready",IF(AND(D47="Yes",OR(H47="No",J47="Not Tested")),"Not Ready","Partially Ready")))</f>
        <v/>
      </c>
      <c r="Q47" s="14" t="n"/>
    </row>
    <row r="48">
      <c r="A48" s="14" t="n"/>
      <c r="B48" s="14" t="n"/>
      <c r="C48" s="14" t="n"/>
      <c r="D48" s="14" t="n"/>
      <c r="E48" s="14" t="n"/>
      <c r="F48" s="14" t="n"/>
      <c r="G48" s="14" t="n"/>
      <c r="H48" s="14" t="n"/>
      <c r="I48" s="14" t="n"/>
      <c r="J48" s="14" t="n"/>
      <c r="K48" s="14" t="n"/>
      <c r="L48" s="14" t="n"/>
      <c r="M48" s="14" t="n"/>
      <c r="N48" s="14" t="n"/>
      <c r="O48" s="14" t="n"/>
      <c r="P48" s="13">
        <f>IF(C48="No","N/A",IF(AND(D48="Yes",H48="Yes",J48="Successful",M48="Yes"),"Ready",IF(AND(D48="Yes",OR(H48="No",J48="Not Tested")),"Not Ready","Partially Ready")))</f>
        <v/>
      </c>
      <c r="Q48" s="14" t="n"/>
    </row>
    <row r="49">
      <c r="A49" s="14" t="n"/>
      <c r="B49" s="14" t="n"/>
      <c r="C49" s="14" t="n"/>
      <c r="D49" s="14" t="n"/>
      <c r="E49" s="14" t="n"/>
      <c r="F49" s="14" t="n"/>
      <c r="G49" s="14" t="n"/>
      <c r="H49" s="14" t="n"/>
      <c r="I49" s="14" t="n"/>
      <c r="J49" s="14" t="n"/>
      <c r="K49" s="14" t="n"/>
      <c r="L49" s="14" t="n"/>
      <c r="M49" s="14" t="n"/>
      <c r="N49" s="14" t="n"/>
      <c r="O49" s="14" t="n"/>
      <c r="P49" s="13">
        <f>IF(C49="No","N/A",IF(AND(D49="Yes",H49="Yes",J49="Successful",M49="Yes"),"Ready",IF(AND(D49="Yes",OR(H49="No",J49="Not Tested")),"Not Ready","Partially Ready")))</f>
        <v/>
      </c>
      <c r="Q49" s="14" t="n"/>
    </row>
    <row r="50">
      <c r="A50" s="14" t="n"/>
      <c r="B50" s="14" t="n"/>
      <c r="C50" s="14" t="n"/>
      <c r="D50" s="14" t="n"/>
      <c r="E50" s="14" t="n"/>
      <c r="F50" s="14" t="n"/>
      <c r="G50" s="14" t="n"/>
      <c r="H50" s="14" t="n"/>
      <c r="I50" s="14" t="n"/>
      <c r="J50" s="14" t="n"/>
      <c r="K50" s="14" t="n"/>
      <c r="L50" s="14" t="n"/>
      <c r="M50" s="14" t="n"/>
      <c r="N50" s="14" t="n"/>
      <c r="O50" s="14" t="n"/>
      <c r="P50" s="13">
        <f>IF(C50="No","N/A",IF(AND(D50="Yes",H50="Yes",J50="Successful",M50="Yes"),"Ready",IF(AND(D50="Yes",OR(H50="No",J50="Not Tested")),"Not Ready","Partially Ready")))</f>
        <v/>
      </c>
      <c r="Q50" s="14" t="n"/>
    </row>
    <row r="51">
      <c r="A51" s="14" t="n"/>
      <c r="B51" s="14" t="n"/>
      <c r="C51" s="14" t="n"/>
      <c r="D51" s="14" t="n"/>
      <c r="E51" s="14" t="n"/>
      <c r="F51" s="14" t="n"/>
      <c r="G51" s="14" t="n"/>
      <c r="H51" s="14" t="n"/>
      <c r="I51" s="14" t="n"/>
      <c r="J51" s="14" t="n"/>
      <c r="K51" s="14" t="n"/>
      <c r="L51" s="14" t="n"/>
      <c r="M51" s="14" t="n"/>
      <c r="N51" s="14" t="n"/>
      <c r="O51" s="14" t="n"/>
      <c r="P51" s="13">
        <f>IF(C51="No","N/A",IF(AND(D51="Yes",H51="Yes",J51="Successful",M51="Yes"),"Ready",IF(AND(D51="Yes",OR(H51="No",J51="Not Tested")),"Not Ready","Partially Ready")))</f>
        <v/>
      </c>
      <c r="Q51" s="14" t="n"/>
    </row>
    <row r="52">
      <c r="A52" s="14" t="n"/>
      <c r="B52" s="14" t="n"/>
      <c r="C52" s="14" t="n"/>
      <c r="D52" s="14" t="n"/>
      <c r="E52" s="14" t="n"/>
      <c r="F52" s="14" t="n"/>
      <c r="G52" s="14" t="n"/>
      <c r="H52" s="14" t="n"/>
      <c r="I52" s="14" t="n"/>
      <c r="J52" s="14" t="n"/>
      <c r="K52" s="14" t="n"/>
      <c r="L52" s="14" t="n"/>
      <c r="M52" s="14" t="n"/>
      <c r="N52" s="14" t="n"/>
      <c r="O52" s="14" t="n"/>
      <c r="P52" s="13">
        <f>IF(C52="No","N/A",IF(AND(D52="Yes",H52="Yes",J52="Successful",M52="Yes"),"Ready",IF(AND(D52="Yes",OR(H52="No",J52="Not Tested")),"Not Ready","Partially Ready")))</f>
        <v/>
      </c>
      <c r="Q52" s="14" t="n"/>
    </row>
    <row r="53">
      <c r="A53" s="14" t="n"/>
      <c r="B53" s="14" t="n"/>
      <c r="C53" s="14" t="n"/>
      <c r="D53" s="14" t="n"/>
      <c r="E53" s="14" t="n"/>
      <c r="F53" s="14" t="n"/>
      <c r="G53" s="14" t="n"/>
      <c r="H53" s="14" t="n"/>
      <c r="I53" s="14" t="n"/>
      <c r="J53" s="14" t="n"/>
      <c r="K53" s="14" t="n"/>
      <c r="L53" s="14" t="n"/>
      <c r="M53" s="14" t="n"/>
      <c r="N53" s="14" t="n"/>
      <c r="O53" s="14" t="n"/>
      <c r="P53" s="13">
        <f>IF(C53="No","N/A",IF(AND(D53="Yes",H53="Yes",J53="Successful",M53="Yes"),"Ready",IF(AND(D53="Yes",OR(H53="No",J53="Not Tested")),"Not Ready","Partially Ready")))</f>
        <v/>
      </c>
      <c r="Q53" s="14" t="n"/>
    </row>
    <row r="54">
      <c r="A54" s="14" t="n"/>
      <c r="B54" s="14" t="n"/>
      <c r="C54" s="14" t="n"/>
      <c r="D54" s="14" t="n"/>
      <c r="E54" s="14" t="n"/>
      <c r="F54" s="14" t="n"/>
      <c r="G54" s="14" t="n"/>
      <c r="H54" s="14" t="n"/>
      <c r="I54" s="14" t="n"/>
      <c r="J54" s="14" t="n"/>
      <c r="K54" s="14" t="n"/>
      <c r="L54" s="14" t="n"/>
      <c r="M54" s="14" t="n"/>
      <c r="N54" s="14" t="n"/>
      <c r="O54" s="14" t="n"/>
      <c r="P54" s="13">
        <f>IF(C54="No","N/A",IF(AND(D54="Yes",H54="Yes",J54="Successful",M54="Yes"),"Ready",IF(AND(D54="Yes",OR(H54="No",J54="Not Tested")),"Not Ready","Partially Ready")))</f>
        <v/>
      </c>
      <c r="Q54" s="14" t="n"/>
    </row>
  </sheetData>
  <mergeCells count="1">
    <mergeCell ref="A1:Q1"/>
  </mergeCells>
  <conditionalFormatting sqref="P4:P54">
    <cfRule type="cellIs" priority="1" operator="equal" dxfId="8">
      <formula>"Ready"</formula>
    </cfRule>
    <cfRule type="cellIs" priority="2" operator="equal" dxfId="2">
      <formula>"Not Ready"</formula>
    </cfRule>
    <cfRule type="cellIs" priority="3" operator="equal" dxfId="3">
      <formula>"Partially Ready"</formula>
    </cfRule>
  </conditionalFormatting>
  <conditionalFormatting sqref="J4:J54">
    <cfRule type="cellIs" priority="4" operator="equal" dxfId="4">
      <formula>"Successful"</formula>
    </cfRule>
    <cfRule type="cellIs" priority="5" operator="equal" dxfId="5">
      <formula>"Failed"</formula>
    </cfRule>
    <cfRule type="cellIs" priority="6" operator="equal" dxfId="5">
      <formula>"Not Tested"</formula>
    </cfRule>
  </conditionalFormatting>
  <conditionalFormatting sqref="L4:L54">
    <cfRule type="cellIs" priority="7" operator="equal" dxfId="5">
      <formula>"Significant"</formula>
    </cfRule>
    <cfRule type="cellIs" priority="8" operator="equal" dxfId="3">
      <formula>"Moderate"</formula>
    </cfRule>
  </conditionalFormatting>
  <dataValidations count="7">
    <dataValidation sqref="C4:C54" showDropDown="0" showInputMessage="0" showErrorMessage="0" allowBlank="0" errorTitle="Invalid Entry" error="Invalid entry" promptTitle="Selection Required" prompt="Please select from the dropdown" type="list">
      <formula1>"Yes,No"</formula1>
    </dataValidation>
    <dataValidation sqref="D4:D54" showDropDown="0" showInputMessage="0" showErrorMessage="0" allowBlank="0" errorTitle="Invalid Entry" error="Invalid entry" promptTitle="Selection Required" prompt="Please select from the dropdown" type="list">
      <formula1>"Yes,No,N/A"</formula1>
    </dataValidation>
    <dataValidation sqref="H4:H54" showDropDown="0" showInputMessage="0" showErrorMessage="0" allowBlank="0" errorTitle="Invalid Entry" error="Invalid entry" promptTitle="Selection Required" prompt="Please select from the dropdown" type="list">
      <formula1>"Yes,No,Partially,N/A"</formula1>
    </dataValidation>
    <dataValidation sqref="J4:J54" showDropDown="0" showInputMessage="0" showErrorMessage="0" allowBlank="1" errorTitle="Invalid Entry" error="Invalid entry" promptTitle="Selection Required" prompt="Please select from the dropdown" type="list">
      <formula1>"✅ Successful,❌ Failed,⚠️ Partially Successful,❓ Not Tested"</formula1>
    </dataValidation>
    <dataValidation sqref="L4:L54" showDropDown="0" showInputMessage="0" showErrorMessage="0" allowBlank="1" errorTitle="Invalid Entry" error="Invalid entry" promptTitle="Selection Required" prompt="Please select from the dropdown" type="list">
      <formula1>"None,Minimal,Moderate,Significant"</formula1>
    </dataValidation>
    <dataValidation sqref="M4:M54" showDropDown="0" showInputMessage="0" showErrorMessage="0" allowBlank="0" errorTitle="Invalid Entry" error="Invalid entry" promptTitle="Selection Required" prompt="Please select from the dropdown" type="list">
      <formula1>"Yes,No,N/A"</formula1>
    </dataValidation>
    <dataValidation sqref="N4:N54" showDropDown="0" showInputMessage="0" showErrorMessage="0" allowBlank="1" errorTitle="Invalid Entry" error="Invalid entry" promptTitle="Selection Required" prompt="Please select from the dropdown" type="list">
      <formula1>"Yes (same as forward),Yes (expedited),No (automatic)"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5" customWidth="1" min="3" max="3"/>
    <col width="40" customWidth="1" min="4" max="4"/>
    <col width="20" customWidth="1" min="5" max="5"/>
    <col width="20" customWidth="1" min="6" max="6"/>
    <col width="20" customWidth="1" min="7" max="7"/>
    <col width="12" customWidth="1" min="8" max="8"/>
    <col width="25" customWidth="1" min="9" max="9"/>
    <col width="30" customWidth="1" min="10" max="10"/>
    <col width="20" customWidth="1" min="11" max="11"/>
    <col width="15" customWidth="1" min="12" max="12"/>
    <col width="25" customWidth="1" min="13" max="13"/>
    <col width="18" customWidth="1" min="14" max="14"/>
    <col width="18" customWidth="1" min="15" max="15"/>
    <col width="40" customWidth="1" min="16" max="16"/>
    <col width="40" customWidth="1" min="17" max="17"/>
    <col width="35" customWidth="1" min="18" max="18"/>
  </cols>
  <sheetData>
    <row r="1" ht="35" customHeight="1">
      <c r="A1" s="11" t="inlineStr">
        <is>
          <t>EMERGENCY CHANGES - EXPEDITED PROCESS TRACKING</t>
        </is>
      </c>
    </row>
    <row r="2">
      <c r="A2" s="12" t="inlineStr">
        <is>
          <t>Change ID</t>
        </is>
      </c>
      <c r="B2" s="12" t="inlineStr">
        <is>
          <t>Change Title</t>
        </is>
      </c>
      <c r="C2" s="12" t="inlineStr">
        <is>
          <t>Emergency Type</t>
        </is>
      </c>
      <c r="D2" s="12" t="inlineStr">
        <is>
          <t>Business Impact if Not Implemented</t>
        </is>
      </c>
      <c r="E2" s="12" t="inlineStr">
        <is>
          <t>Emergency Declared By</t>
        </is>
      </c>
      <c r="F2" s="12" t="inlineStr">
        <is>
          <t>Emergency Declaration Time</t>
        </is>
      </c>
      <c r="G2" s="12" t="inlineStr">
        <is>
          <t>Implementation Time</t>
        </is>
      </c>
      <c r="H2" s="12" t="inlineStr">
        <is>
          <t>Time to Implement (Hours)</t>
        </is>
      </c>
      <c r="I2" s="12" t="inlineStr">
        <is>
          <t>Emergency Approval Method</t>
        </is>
      </c>
      <c r="J2" s="12" t="inlineStr">
        <is>
          <t>Emergency Approvers</t>
        </is>
      </c>
      <c r="K2" s="12" t="inlineStr">
        <is>
          <t>Post-Implementation Documentation Completed</t>
        </is>
      </c>
      <c r="L2" s="12" t="inlineStr">
        <is>
          <t>CAB Retrospective Review Date</t>
        </is>
      </c>
      <c r="M2" s="12" t="inlineStr">
        <is>
          <t>CAB Review Outcome</t>
        </is>
      </c>
      <c r="N2" s="12" t="inlineStr">
        <is>
          <t>Justification Valid</t>
        </is>
      </c>
      <c r="O2" s="12" t="inlineStr">
        <is>
          <t>Process Abuse Indicator</t>
        </is>
      </c>
      <c r="P2" s="12" t="inlineStr">
        <is>
          <t>Lessons Learned</t>
        </is>
      </c>
      <c r="Q2" s="12" t="inlineStr">
        <is>
          <t>Remediation Actions</t>
        </is>
      </c>
      <c r="R2" s="12" t="inlineStr">
        <is>
          <t>Notes</t>
        </is>
      </c>
    </row>
    <row r="3">
      <c r="A3" s="14" t="n"/>
      <c r="B3" s="14" t="n"/>
      <c r="C3" s="14" t="n"/>
      <c r="D3" s="14" t="n"/>
      <c r="E3" s="14" t="n"/>
      <c r="F3" s="14" t="n"/>
      <c r="G3" s="14" t="n"/>
      <c r="H3" s="13">
        <f>IF(OR(F3="",G3=""),"",ROUND((G3-F3)*24,2))</f>
        <v/>
      </c>
      <c r="I3" s="14" t="n"/>
      <c r="J3" s="14" t="n"/>
      <c r="K3" s="14" t="n"/>
      <c r="L3" s="14" t="n"/>
      <c r="M3" s="14" t="n"/>
      <c r="N3" s="14" t="n"/>
      <c r="O3" s="13">
        <f>IF(AND(H3&gt;48,N3="Questionable"),"Likely Abuse",IF(OR(H3&gt;72,N3="No"),"Questionable","Legitimate"))</f>
        <v/>
      </c>
      <c r="P3" s="14" t="n"/>
      <c r="Q3" s="14" t="n"/>
      <c r="R3" s="14" t="n"/>
    </row>
    <row r="4">
      <c r="A4" s="14" t="n"/>
      <c r="B4" s="14" t="n"/>
      <c r="C4" s="14" t="n"/>
      <c r="D4" s="14" t="n"/>
      <c r="E4" s="14" t="n"/>
      <c r="F4" s="14" t="n"/>
      <c r="G4" s="14" t="n"/>
      <c r="H4" s="13">
        <f>IF(OR(F4="",G4=""),"",ROUND((G4-F4)*24,2))</f>
        <v/>
      </c>
      <c r="I4" s="14" t="n"/>
      <c r="J4" s="14" t="n"/>
      <c r="K4" s="14" t="n"/>
      <c r="L4" s="14" t="n"/>
      <c r="M4" s="14" t="n"/>
      <c r="N4" s="14" t="n"/>
      <c r="O4" s="13">
        <f>IF(AND(H4&gt;48,N4="Questionable"),"Likely Abuse",IF(OR(H4&gt;72,N4="No"),"Questionable","Legitimate"))</f>
        <v/>
      </c>
      <c r="P4" s="14" t="n"/>
      <c r="Q4" s="14" t="n"/>
      <c r="R4" s="14" t="n"/>
    </row>
    <row r="5">
      <c r="A5" s="14" t="n"/>
      <c r="B5" s="14" t="n"/>
      <c r="C5" s="14" t="n"/>
      <c r="D5" s="14" t="n"/>
      <c r="E5" s="14" t="n"/>
      <c r="F5" s="14" t="n"/>
      <c r="G5" s="14" t="n"/>
      <c r="H5" s="13">
        <f>IF(OR(F5="",G5=""),"",ROUND((G5-F5)*24,2))</f>
        <v/>
      </c>
      <c r="I5" s="14" t="n"/>
      <c r="J5" s="14" t="n"/>
      <c r="K5" s="14" t="n"/>
      <c r="L5" s="14" t="n"/>
      <c r="M5" s="14" t="n"/>
      <c r="N5" s="14" t="n"/>
      <c r="O5" s="13">
        <f>IF(AND(H5&gt;48,N5="Questionable"),"Likely Abuse",IF(OR(H5&gt;72,N5="No"),"Questionable","Legitimate"))</f>
        <v/>
      </c>
      <c r="P5" s="14" t="n"/>
      <c r="Q5" s="14" t="n"/>
      <c r="R5" s="14" t="n"/>
    </row>
    <row r="6">
      <c r="A6" s="14" t="n"/>
      <c r="B6" s="14" t="n"/>
      <c r="C6" s="14" t="n"/>
      <c r="D6" s="14" t="n"/>
      <c r="E6" s="14" t="n"/>
      <c r="F6" s="14" t="n"/>
      <c r="G6" s="14" t="n"/>
      <c r="H6" s="13">
        <f>IF(OR(F6="",G6=""),"",ROUND((G6-F6)*24,2))</f>
        <v/>
      </c>
      <c r="I6" s="14" t="n"/>
      <c r="J6" s="14" t="n"/>
      <c r="K6" s="14" t="n"/>
      <c r="L6" s="14" t="n"/>
      <c r="M6" s="14" t="n"/>
      <c r="N6" s="14" t="n"/>
      <c r="O6" s="13">
        <f>IF(AND(H6&gt;48,N6="Questionable"),"Likely Abuse",IF(OR(H6&gt;72,N6="No"),"Questionable","Legitimate"))</f>
        <v/>
      </c>
      <c r="P6" s="14" t="n"/>
      <c r="Q6" s="14" t="n"/>
      <c r="R6" s="14" t="n"/>
    </row>
    <row r="7">
      <c r="A7" s="14" t="n"/>
      <c r="B7" s="14" t="n"/>
      <c r="C7" s="14" t="n"/>
      <c r="D7" s="14" t="n"/>
      <c r="E7" s="14" t="n"/>
      <c r="F7" s="14" t="n"/>
      <c r="G7" s="14" t="n"/>
      <c r="H7" s="13">
        <f>IF(OR(F7="",G7=""),"",ROUND((G7-F7)*24,2))</f>
        <v/>
      </c>
      <c r="I7" s="14" t="n"/>
      <c r="J7" s="14" t="n"/>
      <c r="K7" s="14" t="n"/>
      <c r="L7" s="14" t="n"/>
      <c r="M7" s="14" t="n"/>
      <c r="N7" s="14" t="n"/>
      <c r="O7" s="13">
        <f>IF(AND(H7&gt;48,N7="Questionable"),"Likely Abuse",IF(OR(H7&gt;72,N7="No"),"Questionable","Legitimate"))</f>
        <v/>
      </c>
      <c r="P7" s="14" t="n"/>
      <c r="Q7" s="14" t="n"/>
      <c r="R7" s="14" t="n"/>
    </row>
    <row r="8">
      <c r="A8" s="14" t="n"/>
      <c r="B8" s="14" t="n"/>
      <c r="C8" s="14" t="n"/>
      <c r="D8" s="14" t="n"/>
      <c r="E8" s="14" t="n"/>
      <c r="F8" s="14" t="n"/>
      <c r="G8" s="14" t="n"/>
      <c r="H8" s="13">
        <f>IF(OR(F8="",G8=""),"",ROUND((G8-F8)*24,2))</f>
        <v/>
      </c>
      <c r="I8" s="14" t="n"/>
      <c r="J8" s="14" t="n"/>
      <c r="K8" s="14" t="n"/>
      <c r="L8" s="14" t="n"/>
      <c r="M8" s="14" t="n"/>
      <c r="N8" s="14" t="n"/>
      <c r="O8" s="13">
        <f>IF(AND(H8&gt;48,N8="Questionable"),"Likely Abuse",IF(OR(H8&gt;72,N8="No"),"Questionable","Legitimate"))</f>
        <v/>
      </c>
      <c r="P8" s="14" t="n"/>
      <c r="Q8" s="14" t="n"/>
      <c r="R8" s="14" t="n"/>
    </row>
    <row r="9">
      <c r="A9" s="14" t="n"/>
      <c r="B9" s="14" t="n"/>
      <c r="C9" s="14" t="n"/>
      <c r="D9" s="14" t="n"/>
      <c r="E9" s="14" t="n"/>
      <c r="F9" s="14" t="n"/>
      <c r="G9" s="14" t="n"/>
      <c r="H9" s="13">
        <f>IF(OR(F9="",G9=""),"",ROUND((G9-F9)*24,2))</f>
        <v/>
      </c>
      <c r="I9" s="14" t="n"/>
      <c r="J9" s="14" t="n"/>
      <c r="K9" s="14" t="n"/>
      <c r="L9" s="14" t="n"/>
      <c r="M9" s="14" t="n"/>
      <c r="N9" s="14" t="n"/>
      <c r="O9" s="13">
        <f>IF(AND(H9&gt;48,N9="Questionable"),"Likely Abuse",IF(OR(H9&gt;72,N9="No"),"Questionable","Legitimate"))</f>
        <v/>
      </c>
      <c r="P9" s="14" t="n"/>
      <c r="Q9" s="14" t="n"/>
      <c r="R9" s="14" t="n"/>
    </row>
    <row r="10">
      <c r="A10" s="14" t="n"/>
      <c r="B10" s="14" t="n"/>
      <c r="C10" s="14" t="n"/>
      <c r="D10" s="14" t="n"/>
      <c r="E10" s="14" t="n"/>
      <c r="F10" s="14" t="n"/>
      <c r="G10" s="14" t="n"/>
      <c r="H10" s="13">
        <f>IF(OR(F10="",G10=""),"",ROUND((G10-F10)*24,2))</f>
        <v/>
      </c>
      <c r="I10" s="14" t="n"/>
      <c r="J10" s="14" t="n"/>
      <c r="K10" s="14" t="n"/>
      <c r="L10" s="14" t="n"/>
      <c r="M10" s="14" t="n"/>
      <c r="N10" s="14" t="n"/>
      <c r="O10" s="13">
        <f>IF(AND(H10&gt;48,N10="Questionable"),"Likely Abuse",IF(OR(H10&gt;72,N10="No"),"Questionable","Legitimate"))</f>
        <v/>
      </c>
      <c r="P10" s="14" t="n"/>
      <c r="Q10" s="14" t="n"/>
      <c r="R10" s="14" t="n"/>
    </row>
    <row r="11">
      <c r="A11" s="14" t="n"/>
      <c r="B11" s="14" t="n"/>
      <c r="C11" s="14" t="n"/>
      <c r="D11" s="14" t="n"/>
      <c r="E11" s="14" t="n"/>
      <c r="F11" s="14" t="n"/>
      <c r="G11" s="14" t="n"/>
      <c r="H11" s="13">
        <f>IF(OR(F11="",G11=""),"",ROUND((G11-F11)*24,2))</f>
        <v/>
      </c>
      <c r="I11" s="14" t="n"/>
      <c r="J11" s="14" t="n"/>
      <c r="K11" s="14" t="n"/>
      <c r="L11" s="14" t="n"/>
      <c r="M11" s="14" t="n"/>
      <c r="N11" s="14" t="n"/>
      <c r="O11" s="13">
        <f>IF(AND(H11&gt;48,N11="Questionable"),"Likely Abuse",IF(OR(H11&gt;72,N11="No"),"Questionable","Legitimate"))</f>
        <v/>
      </c>
      <c r="P11" s="14" t="n"/>
      <c r="Q11" s="14" t="n"/>
      <c r="R11" s="14" t="n"/>
    </row>
    <row r="12">
      <c r="A12" s="14" t="n"/>
      <c r="B12" s="14" t="n"/>
      <c r="C12" s="14" t="n"/>
      <c r="D12" s="14" t="n"/>
      <c r="E12" s="14" t="n"/>
      <c r="F12" s="14" t="n"/>
      <c r="G12" s="14" t="n"/>
      <c r="H12" s="13">
        <f>IF(OR(F12="",G12=""),"",ROUND((G12-F12)*24,2))</f>
        <v/>
      </c>
      <c r="I12" s="14" t="n"/>
      <c r="J12" s="14" t="n"/>
      <c r="K12" s="14" t="n"/>
      <c r="L12" s="14" t="n"/>
      <c r="M12" s="14" t="n"/>
      <c r="N12" s="14" t="n"/>
      <c r="O12" s="13">
        <f>IF(AND(H12&gt;48,N12="Questionable"),"Likely Abuse",IF(OR(H12&gt;72,N12="No"),"Questionable","Legitimate"))</f>
        <v/>
      </c>
      <c r="P12" s="14" t="n"/>
      <c r="Q12" s="14" t="n"/>
      <c r="R12" s="14" t="n"/>
    </row>
    <row r="13">
      <c r="A13" s="14" t="n"/>
      <c r="B13" s="14" t="n"/>
      <c r="C13" s="14" t="n"/>
      <c r="D13" s="14" t="n"/>
      <c r="E13" s="14" t="n"/>
      <c r="F13" s="14" t="n"/>
      <c r="G13" s="14" t="n"/>
      <c r="H13" s="13">
        <f>IF(OR(F13="",G13=""),"",ROUND((G13-F13)*24,2))</f>
        <v/>
      </c>
      <c r="I13" s="14" t="n"/>
      <c r="J13" s="14" t="n"/>
      <c r="K13" s="14" t="n"/>
      <c r="L13" s="14" t="n"/>
      <c r="M13" s="14" t="n"/>
      <c r="N13" s="14" t="n"/>
      <c r="O13" s="13">
        <f>IF(AND(H13&gt;48,N13="Questionable"),"Likely Abuse",IF(OR(H13&gt;72,N13="No"),"Questionable","Legitimate"))</f>
        <v/>
      </c>
      <c r="P13" s="14" t="n"/>
      <c r="Q13" s="14" t="n"/>
      <c r="R13" s="14" t="n"/>
    </row>
    <row r="14">
      <c r="A14" s="14" t="n"/>
      <c r="B14" s="14" t="n"/>
      <c r="C14" s="14" t="n"/>
      <c r="D14" s="14" t="n"/>
      <c r="E14" s="14" t="n"/>
      <c r="F14" s="14" t="n"/>
      <c r="G14" s="14" t="n"/>
      <c r="H14" s="13">
        <f>IF(OR(F14="",G14=""),"",ROUND((G14-F14)*24,2))</f>
        <v/>
      </c>
      <c r="I14" s="14" t="n"/>
      <c r="J14" s="14" t="n"/>
      <c r="K14" s="14" t="n"/>
      <c r="L14" s="14" t="n"/>
      <c r="M14" s="14" t="n"/>
      <c r="N14" s="14" t="n"/>
      <c r="O14" s="13">
        <f>IF(AND(H14&gt;48,N14="Questionable"),"Likely Abuse",IF(OR(H14&gt;72,N14="No"),"Questionable","Legitimate"))</f>
        <v/>
      </c>
      <c r="P14" s="14" t="n"/>
      <c r="Q14" s="14" t="n"/>
      <c r="R14" s="14" t="n"/>
    </row>
    <row r="15">
      <c r="A15" s="14" t="n"/>
      <c r="B15" s="14" t="n"/>
      <c r="C15" s="14" t="n"/>
      <c r="D15" s="14" t="n"/>
      <c r="E15" s="14" t="n"/>
      <c r="F15" s="14" t="n"/>
      <c r="G15" s="14" t="n"/>
      <c r="H15" s="13">
        <f>IF(OR(F15="",G15=""),"",ROUND((G15-F15)*24,2))</f>
        <v/>
      </c>
      <c r="I15" s="14" t="n"/>
      <c r="J15" s="14" t="n"/>
      <c r="K15" s="14" t="n"/>
      <c r="L15" s="14" t="n"/>
      <c r="M15" s="14" t="n"/>
      <c r="N15" s="14" t="n"/>
      <c r="O15" s="13">
        <f>IF(AND(H15&gt;48,N15="Questionable"),"Likely Abuse",IF(OR(H15&gt;72,N15="No"),"Questionable","Legitimate"))</f>
        <v/>
      </c>
      <c r="P15" s="14" t="n"/>
      <c r="Q15" s="14" t="n"/>
      <c r="R15" s="14" t="n"/>
    </row>
    <row r="16">
      <c r="A16" s="14" t="n"/>
      <c r="B16" s="14" t="n"/>
      <c r="C16" s="14" t="n"/>
      <c r="D16" s="14" t="n"/>
      <c r="E16" s="14" t="n"/>
      <c r="F16" s="14" t="n"/>
      <c r="G16" s="14" t="n"/>
      <c r="H16" s="13">
        <f>IF(OR(F16="",G16=""),"",ROUND((G16-F16)*24,2))</f>
        <v/>
      </c>
      <c r="I16" s="14" t="n"/>
      <c r="J16" s="14" t="n"/>
      <c r="K16" s="14" t="n"/>
      <c r="L16" s="14" t="n"/>
      <c r="M16" s="14" t="n"/>
      <c r="N16" s="14" t="n"/>
      <c r="O16" s="13">
        <f>IF(AND(H16&gt;48,N16="Questionable"),"Likely Abuse",IF(OR(H16&gt;72,N16="No"),"Questionable","Legitimate"))</f>
        <v/>
      </c>
      <c r="P16" s="14" t="n"/>
      <c r="Q16" s="14" t="n"/>
      <c r="R16" s="14" t="n"/>
    </row>
    <row r="17">
      <c r="A17" s="14" t="n"/>
      <c r="B17" s="14" t="n"/>
      <c r="C17" s="14" t="n"/>
      <c r="D17" s="14" t="n"/>
      <c r="E17" s="14" t="n"/>
      <c r="F17" s="14" t="n"/>
      <c r="G17" s="14" t="n"/>
      <c r="H17" s="13">
        <f>IF(OR(F17="",G17=""),"",ROUND((G17-F17)*24,2))</f>
        <v/>
      </c>
      <c r="I17" s="14" t="n"/>
      <c r="J17" s="14" t="n"/>
      <c r="K17" s="14" t="n"/>
      <c r="L17" s="14" t="n"/>
      <c r="M17" s="14" t="n"/>
      <c r="N17" s="14" t="n"/>
      <c r="O17" s="13">
        <f>IF(AND(H17&gt;48,N17="Questionable"),"Likely Abuse",IF(OR(H17&gt;72,N17="No"),"Questionable","Legitimate"))</f>
        <v/>
      </c>
      <c r="P17" s="14" t="n"/>
      <c r="Q17" s="14" t="n"/>
      <c r="R17" s="14" t="n"/>
    </row>
    <row r="18">
      <c r="A18" s="14" t="n"/>
      <c r="B18" s="14" t="n"/>
      <c r="C18" s="14" t="n"/>
      <c r="D18" s="14" t="n"/>
      <c r="E18" s="14" t="n"/>
      <c r="F18" s="14" t="n"/>
      <c r="G18" s="14" t="n"/>
      <c r="H18" s="13">
        <f>IF(OR(F18="",G18=""),"",ROUND((G18-F18)*24,2))</f>
        <v/>
      </c>
      <c r="I18" s="14" t="n"/>
      <c r="J18" s="14" t="n"/>
      <c r="K18" s="14" t="n"/>
      <c r="L18" s="14" t="n"/>
      <c r="M18" s="14" t="n"/>
      <c r="N18" s="14" t="n"/>
      <c r="O18" s="13">
        <f>IF(AND(H18&gt;48,N18="Questionable"),"Likely Abuse",IF(OR(H18&gt;72,N18="No"),"Questionable","Legitimate"))</f>
        <v/>
      </c>
      <c r="P18" s="14" t="n"/>
      <c r="Q18" s="14" t="n"/>
      <c r="R18" s="14" t="n"/>
    </row>
    <row r="19">
      <c r="A19" s="14" t="n"/>
      <c r="B19" s="14" t="n"/>
      <c r="C19" s="14" t="n"/>
      <c r="D19" s="14" t="n"/>
      <c r="E19" s="14" t="n"/>
      <c r="F19" s="14" t="n"/>
      <c r="G19" s="14" t="n"/>
      <c r="H19" s="13">
        <f>IF(OR(F19="",G19=""),"",ROUND((G19-F19)*24,2))</f>
        <v/>
      </c>
      <c r="I19" s="14" t="n"/>
      <c r="J19" s="14" t="n"/>
      <c r="K19" s="14" t="n"/>
      <c r="L19" s="14" t="n"/>
      <c r="M19" s="14" t="n"/>
      <c r="N19" s="14" t="n"/>
      <c r="O19" s="13">
        <f>IF(AND(H19&gt;48,N19="Questionable"),"Likely Abuse",IF(OR(H19&gt;72,N19="No"),"Questionable","Legitimate"))</f>
        <v/>
      </c>
      <c r="P19" s="14" t="n"/>
      <c r="Q19" s="14" t="n"/>
      <c r="R19" s="14" t="n"/>
    </row>
    <row r="20">
      <c r="A20" s="14" t="n"/>
      <c r="B20" s="14" t="n"/>
      <c r="C20" s="14" t="n"/>
      <c r="D20" s="14" t="n"/>
      <c r="E20" s="14" t="n"/>
      <c r="F20" s="14" t="n"/>
      <c r="G20" s="14" t="n"/>
      <c r="H20" s="13">
        <f>IF(OR(F20="",G20=""),"",ROUND((G20-F20)*24,2))</f>
        <v/>
      </c>
      <c r="I20" s="14" t="n"/>
      <c r="J20" s="14" t="n"/>
      <c r="K20" s="14" t="n"/>
      <c r="L20" s="14" t="n"/>
      <c r="M20" s="14" t="n"/>
      <c r="N20" s="14" t="n"/>
      <c r="O20" s="13">
        <f>IF(AND(H20&gt;48,N20="Questionable"),"Likely Abuse",IF(OR(H20&gt;72,N20="No"),"Questionable","Legitimate"))</f>
        <v/>
      </c>
      <c r="P20" s="14" t="n"/>
      <c r="Q20" s="14" t="n"/>
      <c r="R20" s="14" t="n"/>
    </row>
    <row r="21">
      <c r="A21" s="14" t="n"/>
      <c r="B21" s="14" t="n"/>
      <c r="C21" s="14" t="n"/>
      <c r="D21" s="14" t="n"/>
      <c r="E21" s="14" t="n"/>
      <c r="F21" s="14" t="n"/>
      <c r="G21" s="14" t="n"/>
      <c r="H21" s="13">
        <f>IF(OR(F21="",G21=""),"",ROUND((G21-F21)*24,2))</f>
        <v/>
      </c>
      <c r="I21" s="14" t="n"/>
      <c r="J21" s="14" t="n"/>
      <c r="K21" s="14" t="n"/>
      <c r="L21" s="14" t="n"/>
      <c r="M21" s="14" t="n"/>
      <c r="N21" s="14" t="n"/>
      <c r="O21" s="13">
        <f>IF(AND(H21&gt;48,N21="Questionable"),"Likely Abuse",IF(OR(H21&gt;72,N21="No"),"Questionable","Legitimate"))</f>
        <v/>
      </c>
      <c r="P21" s="14" t="n"/>
      <c r="Q21" s="14" t="n"/>
      <c r="R21" s="14" t="n"/>
    </row>
    <row r="22">
      <c r="A22" s="14" t="n"/>
      <c r="B22" s="14" t="n"/>
      <c r="C22" s="14" t="n"/>
      <c r="D22" s="14" t="n"/>
      <c r="E22" s="14" t="n"/>
      <c r="F22" s="14" t="n"/>
      <c r="G22" s="14" t="n"/>
      <c r="H22" s="13">
        <f>IF(OR(F22="",G22=""),"",ROUND((G22-F22)*24,2))</f>
        <v/>
      </c>
      <c r="I22" s="14" t="n"/>
      <c r="J22" s="14" t="n"/>
      <c r="K22" s="14" t="n"/>
      <c r="L22" s="14" t="n"/>
      <c r="M22" s="14" t="n"/>
      <c r="N22" s="14" t="n"/>
      <c r="O22" s="13">
        <f>IF(AND(H22&gt;48,N22="Questionable"),"Likely Abuse",IF(OR(H22&gt;72,N22="No"),"Questionable","Legitimate"))</f>
        <v/>
      </c>
      <c r="P22" s="14" t="n"/>
      <c r="Q22" s="14" t="n"/>
      <c r="R22" s="14" t="n"/>
    </row>
    <row r="23">
      <c r="A23" s="14" t="n"/>
      <c r="B23" s="14" t="n"/>
      <c r="C23" s="14" t="n"/>
      <c r="D23" s="14" t="n"/>
      <c r="E23" s="14" t="n"/>
      <c r="F23" s="14" t="n"/>
      <c r="G23" s="14" t="n"/>
      <c r="H23" s="13">
        <f>IF(OR(F23="",G23=""),"",ROUND((G23-F23)*24,2))</f>
        <v/>
      </c>
      <c r="I23" s="14" t="n"/>
      <c r="J23" s="14" t="n"/>
      <c r="K23" s="14" t="n"/>
      <c r="L23" s="14" t="n"/>
      <c r="M23" s="14" t="n"/>
      <c r="N23" s="14" t="n"/>
      <c r="O23" s="13">
        <f>IF(AND(H23&gt;48,N23="Questionable"),"Likely Abuse",IF(OR(H23&gt;72,N23="No"),"Questionable","Legitimate"))</f>
        <v/>
      </c>
      <c r="P23" s="14" t="n"/>
      <c r="Q23" s="14" t="n"/>
      <c r="R23" s="14" t="n"/>
    </row>
    <row r="24">
      <c r="A24" s="14" t="n"/>
      <c r="B24" s="14" t="n"/>
      <c r="C24" s="14" t="n"/>
      <c r="D24" s="14" t="n"/>
      <c r="E24" s="14" t="n"/>
      <c r="F24" s="14" t="n"/>
      <c r="G24" s="14" t="n"/>
      <c r="H24" s="13">
        <f>IF(OR(F24="",G24=""),"",ROUND((G24-F24)*24,2))</f>
        <v/>
      </c>
      <c r="I24" s="14" t="n"/>
      <c r="J24" s="14" t="n"/>
      <c r="K24" s="14" t="n"/>
      <c r="L24" s="14" t="n"/>
      <c r="M24" s="14" t="n"/>
      <c r="N24" s="14" t="n"/>
      <c r="O24" s="13">
        <f>IF(AND(H24&gt;48,N24="Questionable"),"Likely Abuse",IF(OR(H24&gt;72,N24="No"),"Questionable","Legitimate"))</f>
        <v/>
      </c>
      <c r="P24" s="14" t="n"/>
      <c r="Q24" s="14" t="n"/>
      <c r="R24" s="14" t="n"/>
    </row>
    <row r="25">
      <c r="A25" s="14" t="n"/>
      <c r="B25" s="14" t="n"/>
      <c r="C25" s="14" t="n"/>
      <c r="D25" s="14" t="n"/>
      <c r="E25" s="14" t="n"/>
      <c r="F25" s="14" t="n"/>
      <c r="G25" s="14" t="n"/>
      <c r="H25" s="13">
        <f>IF(OR(F25="",G25=""),"",ROUND((G25-F25)*24,2))</f>
        <v/>
      </c>
      <c r="I25" s="14" t="n"/>
      <c r="J25" s="14" t="n"/>
      <c r="K25" s="14" t="n"/>
      <c r="L25" s="14" t="n"/>
      <c r="M25" s="14" t="n"/>
      <c r="N25" s="14" t="n"/>
      <c r="O25" s="13">
        <f>IF(AND(H25&gt;48,N25="Questionable"),"Likely Abuse",IF(OR(H25&gt;72,N25="No"),"Questionable","Legitimate"))</f>
        <v/>
      </c>
      <c r="P25" s="14" t="n"/>
      <c r="Q25" s="14" t="n"/>
      <c r="R25" s="14" t="n"/>
    </row>
    <row r="26">
      <c r="A26" s="14" t="n"/>
      <c r="B26" s="14" t="n"/>
      <c r="C26" s="14" t="n"/>
      <c r="D26" s="14" t="n"/>
      <c r="E26" s="14" t="n"/>
      <c r="F26" s="14" t="n"/>
      <c r="G26" s="14" t="n"/>
      <c r="H26" s="13">
        <f>IF(OR(F26="",G26=""),"",ROUND((G26-F26)*24,2))</f>
        <v/>
      </c>
      <c r="I26" s="14" t="n"/>
      <c r="J26" s="14" t="n"/>
      <c r="K26" s="14" t="n"/>
      <c r="L26" s="14" t="n"/>
      <c r="M26" s="14" t="n"/>
      <c r="N26" s="14" t="n"/>
      <c r="O26" s="13">
        <f>IF(AND(H26&gt;48,N26="Questionable"),"Likely Abuse",IF(OR(H26&gt;72,N26="No"),"Questionable","Legitimate"))</f>
        <v/>
      </c>
      <c r="P26" s="14" t="n"/>
      <c r="Q26" s="14" t="n"/>
      <c r="R26" s="14" t="n"/>
    </row>
    <row r="27">
      <c r="A27" s="14" t="n"/>
      <c r="B27" s="14" t="n"/>
      <c r="C27" s="14" t="n"/>
      <c r="D27" s="14" t="n"/>
      <c r="E27" s="14" t="n"/>
      <c r="F27" s="14" t="n"/>
      <c r="G27" s="14" t="n"/>
      <c r="H27" s="13">
        <f>IF(OR(F27="",G27=""),"",ROUND((G27-F27)*24,2))</f>
        <v/>
      </c>
      <c r="I27" s="14" t="n"/>
      <c r="J27" s="14" t="n"/>
      <c r="K27" s="14" t="n"/>
      <c r="L27" s="14" t="n"/>
      <c r="M27" s="14" t="n"/>
      <c r="N27" s="14" t="n"/>
      <c r="O27" s="13">
        <f>IF(AND(H27&gt;48,N27="Questionable"),"Likely Abuse",IF(OR(H27&gt;72,N27="No"),"Questionable","Legitimate"))</f>
        <v/>
      </c>
      <c r="P27" s="14" t="n"/>
      <c r="Q27" s="14" t="n"/>
      <c r="R27" s="14" t="n"/>
    </row>
    <row r="28">
      <c r="A28" s="14" t="n"/>
      <c r="B28" s="14" t="n"/>
      <c r="C28" s="14" t="n"/>
      <c r="D28" s="14" t="n"/>
      <c r="E28" s="14" t="n"/>
      <c r="F28" s="14" t="n"/>
      <c r="G28" s="14" t="n"/>
      <c r="H28" s="13">
        <f>IF(OR(F28="",G28=""),"",ROUND((G28-F28)*24,2))</f>
        <v/>
      </c>
      <c r="I28" s="14" t="n"/>
      <c r="J28" s="14" t="n"/>
      <c r="K28" s="14" t="n"/>
      <c r="L28" s="14" t="n"/>
      <c r="M28" s="14" t="n"/>
      <c r="N28" s="14" t="n"/>
      <c r="O28" s="13">
        <f>IF(AND(H28&gt;48,N28="Questionable"),"Likely Abuse",IF(OR(H28&gt;72,N28="No"),"Questionable","Legitimate"))</f>
        <v/>
      </c>
      <c r="P28" s="14" t="n"/>
      <c r="Q28" s="14" t="n"/>
      <c r="R28" s="14" t="n"/>
    </row>
    <row r="29">
      <c r="A29" s="14" t="n"/>
      <c r="B29" s="14" t="n"/>
      <c r="C29" s="14" t="n"/>
      <c r="D29" s="14" t="n"/>
      <c r="E29" s="14" t="n"/>
      <c r="F29" s="14" t="n"/>
      <c r="G29" s="14" t="n"/>
      <c r="H29" s="13">
        <f>IF(OR(F29="",G29=""),"",ROUND((G29-F29)*24,2))</f>
        <v/>
      </c>
      <c r="I29" s="14" t="n"/>
      <c r="J29" s="14" t="n"/>
      <c r="K29" s="14" t="n"/>
      <c r="L29" s="14" t="n"/>
      <c r="M29" s="14" t="n"/>
      <c r="N29" s="14" t="n"/>
      <c r="O29" s="13">
        <f>IF(AND(H29&gt;48,N29="Questionable"),"Likely Abuse",IF(OR(H29&gt;72,N29="No"),"Questionable","Legitimate"))</f>
        <v/>
      </c>
      <c r="P29" s="14" t="n"/>
      <c r="Q29" s="14" t="n"/>
      <c r="R29" s="14" t="n"/>
    </row>
    <row r="30">
      <c r="A30" s="14" t="n"/>
      <c r="B30" s="14" t="n"/>
      <c r="C30" s="14" t="n"/>
      <c r="D30" s="14" t="n"/>
      <c r="E30" s="14" t="n"/>
      <c r="F30" s="14" t="n"/>
      <c r="G30" s="14" t="n"/>
      <c r="H30" s="13">
        <f>IF(OR(F30="",G30=""),"",ROUND((G30-F30)*24,2))</f>
        <v/>
      </c>
      <c r="I30" s="14" t="n"/>
      <c r="J30" s="14" t="n"/>
      <c r="K30" s="14" t="n"/>
      <c r="L30" s="14" t="n"/>
      <c r="M30" s="14" t="n"/>
      <c r="N30" s="14" t="n"/>
      <c r="O30" s="13">
        <f>IF(AND(H30&gt;48,N30="Questionable"),"Likely Abuse",IF(OR(H30&gt;72,N30="No"),"Questionable","Legitimate"))</f>
        <v/>
      </c>
      <c r="P30" s="14" t="n"/>
      <c r="Q30" s="14" t="n"/>
      <c r="R30" s="14" t="n"/>
    </row>
    <row r="31">
      <c r="A31" s="14" t="n"/>
      <c r="B31" s="14" t="n"/>
      <c r="C31" s="14" t="n"/>
      <c r="D31" s="14" t="n"/>
      <c r="E31" s="14" t="n"/>
      <c r="F31" s="14" t="n"/>
      <c r="G31" s="14" t="n"/>
      <c r="H31" s="13">
        <f>IF(OR(F31="",G31=""),"",ROUND((G31-F31)*24,2))</f>
        <v/>
      </c>
      <c r="I31" s="14" t="n"/>
      <c r="J31" s="14" t="n"/>
      <c r="K31" s="14" t="n"/>
      <c r="L31" s="14" t="n"/>
      <c r="M31" s="14" t="n"/>
      <c r="N31" s="14" t="n"/>
      <c r="O31" s="13">
        <f>IF(AND(H31&gt;48,N31="Questionable"),"Likely Abuse",IF(OR(H31&gt;72,N31="No"),"Questionable","Legitimate"))</f>
        <v/>
      </c>
      <c r="P31" s="14" t="n"/>
      <c r="Q31" s="14" t="n"/>
      <c r="R31" s="14" t="n"/>
    </row>
    <row r="32">
      <c r="A32" s="14" t="n"/>
      <c r="B32" s="14" t="n"/>
      <c r="C32" s="14" t="n"/>
      <c r="D32" s="14" t="n"/>
      <c r="E32" s="14" t="n"/>
      <c r="F32" s="14" t="n"/>
      <c r="G32" s="14" t="n"/>
      <c r="H32" s="13">
        <f>IF(OR(F32="",G32=""),"",ROUND((G32-F32)*24,2))</f>
        <v/>
      </c>
      <c r="I32" s="14" t="n"/>
      <c r="J32" s="14" t="n"/>
      <c r="K32" s="14" t="n"/>
      <c r="L32" s="14" t="n"/>
      <c r="M32" s="14" t="n"/>
      <c r="N32" s="14" t="n"/>
      <c r="O32" s="13">
        <f>IF(AND(H32&gt;48,N32="Questionable"),"Likely Abuse",IF(OR(H32&gt;72,N32="No"),"Questionable","Legitimate"))</f>
        <v/>
      </c>
      <c r="P32" s="14" t="n"/>
      <c r="Q32" s="14" t="n"/>
      <c r="R32" s="14" t="n"/>
    </row>
    <row r="33">
      <c r="A33" s="14" t="n"/>
      <c r="B33" s="14" t="n"/>
      <c r="C33" s="14" t="n"/>
      <c r="D33" s="14" t="n"/>
      <c r="E33" s="14" t="n"/>
      <c r="F33" s="14" t="n"/>
      <c r="G33" s="14" t="n"/>
      <c r="H33" s="13">
        <f>IF(OR(F33="",G33=""),"",ROUND((G33-F33)*24,2))</f>
        <v/>
      </c>
      <c r="I33" s="14" t="n"/>
      <c r="J33" s="14" t="n"/>
      <c r="K33" s="14" t="n"/>
      <c r="L33" s="14" t="n"/>
      <c r="M33" s="14" t="n"/>
      <c r="N33" s="14" t="n"/>
      <c r="O33" s="13">
        <f>IF(AND(H33&gt;48,N33="Questionable"),"Likely Abuse",IF(OR(H33&gt;72,N33="No"),"Questionable","Legitimate"))</f>
        <v/>
      </c>
      <c r="P33" s="14" t="n"/>
      <c r="Q33" s="14" t="n"/>
      <c r="R33" s="14" t="n"/>
    </row>
    <row r="34">
      <c r="A34" s="14" t="n"/>
      <c r="B34" s="14" t="n"/>
      <c r="C34" s="14" t="n"/>
      <c r="D34" s="14" t="n"/>
      <c r="E34" s="14" t="n"/>
      <c r="F34" s="14" t="n"/>
      <c r="G34" s="14" t="n"/>
      <c r="H34" s="13">
        <f>IF(OR(F34="",G34=""),"",ROUND((G34-F34)*24,2))</f>
        <v/>
      </c>
      <c r="I34" s="14" t="n"/>
      <c r="J34" s="14" t="n"/>
      <c r="K34" s="14" t="n"/>
      <c r="L34" s="14" t="n"/>
      <c r="M34" s="14" t="n"/>
      <c r="N34" s="14" t="n"/>
      <c r="O34" s="13">
        <f>IF(AND(H34&gt;48,N34="Questionable"),"Likely Abuse",IF(OR(H34&gt;72,N34="No"),"Questionable","Legitimate"))</f>
        <v/>
      </c>
      <c r="P34" s="14" t="n"/>
      <c r="Q34" s="14" t="n"/>
      <c r="R34" s="14" t="n"/>
    </row>
    <row r="35">
      <c r="A35" s="14" t="n"/>
      <c r="B35" s="14" t="n"/>
      <c r="C35" s="14" t="n"/>
      <c r="D35" s="14" t="n"/>
      <c r="E35" s="14" t="n"/>
      <c r="F35" s="14" t="n"/>
      <c r="G35" s="14" t="n"/>
      <c r="H35" s="13">
        <f>IF(OR(F35="",G35=""),"",ROUND((G35-F35)*24,2))</f>
        <v/>
      </c>
      <c r="I35" s="14" t="n"/>
      <c r="J35" s="14" t="n"/>
      <c r="K35" s="14" t="n"/>
      <c r="L35" s="14" t="n"/>
      <c r="M35" s="14" t="n"/>
      <c r="N35" s="14" t="n"/>
      <c r="O35" s="13">
        <f>IF(AND(H35&gt;48,N35="Questionable"),"Likely Abuse",IF(OR(H35&gt;72,N35="No"),"Questionable","Legitimate"))</f>
        <v/>
      </c>
      <c r="P35" s="14" t="n"/>
      <c r="Q35" s="14" t="n"/>
      <c r="R35" s="14" t="n"/>
    </row>
    <row r="36">
      <c r="A36" s="14" t="n"/>
      <c r="B36" s="14" t="n"/>
      <c r="C36" s="14" t="n"/>
      <c r="D36" s="14" t="n"/>
      <c r="E36" s="14" t="n"/>
      <c r="F36" s="14" t="n"/>
      <c r="G36" s="14" t="n"/>
      <c r="H36" s="13">
        <f>IF(OR(F36="",G36=""),"",ROUND((G36-F36)*24,2))</f>
        <v/>
      </c>
      <c r="I36" s="14" t="n"/>
      <c r="J36" s="14" t="n"/>
      <c r="K36" s="14" t="n"/>
      <c r="L36" s="14" t="n"/>
      <c r="M36" s="14" t="n"/>
      <c r="N36" s="14" t="n"/>
      <c r="O36" s="13">
        <f>IF(AND(H36&gt;48,N36="Questionable"),"Likely Abuse",IF(OR(H36&gt;72,N36="No"),"Questionable","Legitimate"))</f>
        <v/>
      </c>
      <c r="P36" s="14" t="n"/>
      <c r="Q36" s="14" t="n"/>
      <c r="R36" s="14" t="n"/>
    </row>
    <row r="37">
      <c r="A37" s="14" t="n"/>
      <c r="B37" s="14" t="n"/>
      <c r="C37" s="14" t="n"/>
      <c r="D37" s="14" t="n"/>
      <c r="E37" s="14" t="n"/>
      <c r="F37" s="14" t="n"/>
      <c r="G37" s="14" t="n"/>
      <c r="H37" s="13">
        <f>IF(OR(F37="",G37=""),"",ROUND((G37-F37)*24,2))</f>
        <v/>
      </c>
      <c r="I37" s="14" t="n"/>
      <c r="J37" s="14" t="n"/>
      <c r="K37" s="14" t="n"/>
      <c r="L37" s="14" t="n"/>
      <c r="M37" s="14" t="n"/>
      <c r="N37" s="14" t="n"/>
      <c r="O37" s="13">
        <f>IF(AND(H37&gt;48,N37="Questionable"),"Likely Abuse",IF(OR(H37&gt;72,N37="No"),"Questionable","Legitimate"))</f>
        <v/>
      </c>
      <c r="P37" s="14" t="n"/>
      <c r="Q37" s="14" t="n"/>
      <c r="R37" s="14" t="n"/>
    </row>
    <row r="38">
      <c r="A38" s="14" t="n"/>
      <c r="B38" s="14" t="n"/>
      <c r="C38" s="14" t="n"/>
      <c r="D38" s="14" t="n"/>
      <c r="E38" s="14" t="n"/>
      <c r="F38" s="14" t="n"/>
      <c r="G38" s="14" t="n"/>
      <c r="H38" s="13">
        <f>IF(OR(F38="",G38=""),"",ROUND((G38-F38)*24,2))</f>
        <v/>
      </c>
      <c r="I38" s="14" t="n"/>
      <c r="J38" s="14" t="n"/>
      <c r="K38" s="14" t="n"/>
      <c r="L38" s="14" t="n"/>
      <c r="M38" s="14" t="n"/>
      <c r="N38" s="14" t="n"/>
      <c r="O38" s="13">
        <f>IF(AND(H38&gt;48,N38="Questionable"),"Likely Abuse",IF(OR(H38&gt;72,N38="No"),"Questionable","Legitimate"))</f>
        <v/>
      </c>
      <c r="P38" s="14" t="n"/>
      <c r="Q38" s="14" t="n"/>
      <c r="R38" s="14" t="n"/>
    </row>
    <row r="39">
      <c r="A39" s="14" t="n"/>
      <c r="B39" s="14" t="n"/>
      <c r="C39" s="14" t="n"/>
      <c r="D39" s="14" t="n"/>
      <c r="E39" s="14" t="n"/>
      <c r="F39" s="14" t="n"/>
      <c r="G39" s="14" t="n"/>
      <c r="H39" s="13">
        <f>IF(OR(F39="",G39=""),"",ROUND((G39-F39)*24,2))</f>
        <v/>
      </c>
      <c r="I39" s="14" t="n"/>
      <c r="J39" s="14" t="n"/>
      <c r="K39" s="14" t="n"/>
      <c r="L39" s="14" t="n"/>
      <c r="M39" s="14" t="n"/>
      <c r="N39" s="14" t="n"/>
      <c r="O39" s="13">
        <f>IF(AND(H39&gt;48,N39="Questionable"),"Likely Abuse",IF(OR(H39&gt;72,N39="No"),"Questionable","Legitimate"))</f>
        <v/>
      </c>
      <c r="P39" s="14" t="n"/>
      <c r="Q39" s="14" t="n"/>
      <c r="R39" s="14" t="n"/>
    </row>
    <row r="40">
      <c r="A40" s="14" t="n"/>
      <c r="B40" s="14" t="n"/>
      <c r="C40" s="14" t="n"/>
      <c r="D40" s="14" t="n"/>
      <c r="E40" s="14" t="n"/>
      <c r="F40" s="14" t="n"/>
      <c r="G40" s="14" t="n"/>
      <c r="H40" s="13">
        <f>IF(OR(F40="",G40=""),"",ROUND((G40-F40)*24,2))</f>
        <v/>
      </c>
      <c r="I40" s="14" t="n"/>
      <c r="J40" s="14" t="n"/>
      <c r="K40" s="14" t="n"/>
      <c r="L40" s="14" t="n"/>
      <c r="M40" s="14" t="n"/>
      <c r="N40" s="14" t="n"/>
      <c r="O40" s="13">
        <f>IF(AND(H40&gt;48,N40="Questionable"),"Likely Abuse",IF(OR(H40&gt;72,N40="No"),"Questionable","Legitimate"))</f>
        <v/>
      </c>
      <c r="P40" s="14" t="n"/>
      <c r="Q40" s="14" t="n"/>
      <c r="R40" s="14" t="n"/>
    </row>
    <row r="41">
      <c r="A41" s="14" t="n"/>
      <c r="B41" s="14" t="n"/>
      <c r="C41" s="14" t="n"/>
      <c r="D41" s="14" t="n"/>
      <c r="E41" s="14" t="n"/>
      <c r="F41" s="14" t="n"/>
      <c r="G41" s="14" t="n"/>
      <c r="H41" s="13">
        <f>IF(OR(F41="",G41=""),"",ROUND((G41-F41)*24,2))</f>
        <v/>
      </c>
      <c r="I41" s="14" t="n"/>
      <c r="J41" s="14" t="n"/>
      <c r="K41" s="14" t="n"/>
      <c r="L41" s="14" t="n"/>
      <c r="M41" s="14" t="n"/>
      <c r="N41" s="14" t="n"/>
      <c r="O41" s="13">
        <f>IF(AND(H41&gt;48,N41="Questionable"),"Likely Abuse",IF(OR(H41&gt;72,N41="No"),"Questionable","Legitimate"))</f>
        <v/>
      </c>
      <c r="P41" s="14" t="n"/>
      <c r="Q41" s="14" t="n"/>
      <c r="R41" s="14" t="n"/>
    </row>
    <row r="42">
      <c r="A42" s="14" t="n"/>
      <c r="B42" s="14" t="n"/>
      <c r="C42" s="14" t="n"/>
      <c r="D42" s="14" t="n"/>
      <c r="E42" s="14" t="n"/>
      <c r="F42" s="14" t="n"/>
      <c r="G42" s="14" t="n"/>
      <c r="H42" s="13">
        <f>IF(OR(F42="",G42=""),"",ROUND((G42-F42)*24,2))</f>
        <v/>
      </c>
      <c r="I42" s="14" t="n"/>
      <c r="J42" s="14" t="n"/>
      <c r="K42" s="14" t="n"/>
      <c r="L42" s="14" t="n"/>
      <c r="M42" s="14" t="n"/>
      <c r="N42" s="14" t="n"/>
      <c r="O42" s="13">
        <f>IF(AND(H42&gt;48,N42="Questionable"),"Likely Abuse",IF(OR(H42&gt;72,N42="No"),"Questionable","Legitimate"))</f>
        <v/>
      </c>
      <c r="P42" s="14" t="n"/>
      <c r="Q42" s="14" t="n"/>
      <c r="R42" s="14" t="n"/>
    </row>
    <row r="43">
      <c r="A43" s="14" t="n"/>
      <c r="B43" s="14" t="n"/>
      <c r="C43" s="14" t="n"/>
      <c r="D43" s="14" t="n"/>
      <c r="E43" s="14" t="n"/>
      <c r="F43" s="14" t="n"/>
      <c r="G43" s="14" t="n"/>
      <c r="H43" s="13">
        <f>IF(OR(F43="",G43=""),"",ROUND((G43-F43)*24,2))</f>
        <v/>
      </c>
      <c r="I43" s="14" t="n"/>
      <c r="J43" s="14" t="n"/>
      <c r="K43" s="14" t="n"/>
      <c r="L43" s="14" t="n"/>
      <c r="M43" s="14" t="n"/>
      <c r="N43" s="14" t="n"/>
      <c r="O43" s="13">
        <f>IF(AND(H43&gt;48,N43="Questionable"),"Likely Abuse",IF(OR(H43&gt;72,N43="No"),"Questionable","Legitimate"))</f>
        <v/>
      </c>
      <c r="P43" s="14" t="n"/>
      <c r="Q43" s="14" t="n"/>
      <c r="R43" s="14" t="n"/>
    </row>
    <row r="44">
      <c r="A44" s="14" t="n"/>
      <c r="B44" s="14" t="n"/>
      <c r="C44" s="14" t="n"/>
      <c r="D44" s="14" t="n"/>
      <c r="E44" s="14" t="n"/>
      <c r="F44" s="14" t="n"/>
      <c r="G44" s="14" t="n"/>
      <c r="H44" s="13">
        <f>IF(OR(F44="",G44=""),"",ROUND((G44-F44)*24,2))</f>
        <v/>
      </c>
      <c r="I44" s="14" t="n"/>
      <c r="J44" s="14" t="n"/>
      <c r="K44" s="14" t="n"/>
      <c r="L44" s="14" t="n"/>
      <c r="M44" s="14" t="n"/>
      <c r="N44" s="14" t="n"/>
      <c r="O44" s="13">
        <f>IF(AND(H44&gt;48,N44="Questionable"),"Likely Abuse",IF(OR(H44&gt;72,N44="No"),"Questionable","Legitimate"))</f>
        <v/>
      </c>
      <c r="P44" s="14" t="n"/>
      <c r="Q44" s="14" t="n"/>
      <c r="R44" s="14" t="n"/>
    </row>
    <row r="45">
      <c r="A45" s="14" t="n"/>
      <c r="B45" s="14" t="n"/>
      <c r="C45" s="14" t="n"/>
      <c r="D45" s="14" t="n"/>
      <c r="E45" s="14" t="n"/>
      <c r="F45" s="14" t="n"/>
      <c r="G45" s="14" t="n"/>
      <c r="H45" s="13">
        <f>IF(OR(F45="",G45=""),"",ROUND((G45-F45)*24,2))</f>
        <v/>
      </c>
      <c r="I45" s="14" t="n"/>
      <c r="J45" s="14" t="n"/>
      <c r="K45" s="14" t="n"/>
      <c r="L45" s="14" t="n"/>
      <c r="M45" s="14" t="n"/>
      <c r="N45" s="14" t="n"/>
      <c r="O45" s="13">
        <f>IF(AND(H45&gt;48,N45="Questionable"),"Likely Abuse",IF(OR(H45&gt;72,N45="No"),"Questionable","Legitimate"))</f>
        <v/>
      </c>
      <c r="P45" s="14" t="n"/>
      <c r="Q45" s="14" t="n"/>
      <c r="R45" s="14" t="n"/>
    </row>
    <row r="46">
      <c r="A46" s="14" t="n"/>
      <c r="B46" s="14" t="n"/>
      <c r="C46" s="14" t="n"/>
      <c r="D46" s="14" t="n"/>
      <c r="E46" s="14" t="n"/>
      <c r="F46" s="14" t="n"/>
      <c r="G46" s="14" t="n"/>
      <c r="H46" s="13">
        <f>IF(OR(F46="",G46=""),"",ROUND((G46-F46)*24,2))</f>
        <v/>
      </c>
      <c r="I46" s="14" t="n"/>
      <c r="J46" s="14" t="n"/>
      <c r="K46" s="14" t="n"/>
      <c r="L46" s="14" t="n"/>
      <c r="M46" s="14" t="n"/>
      <c r="N46" s="14" t="n"/>
      <c r="O46" s="13">
        <f>IF(AND(H46&gt;48,N46="Questionable"),"Likely Abuse",IF(OR(H46&gt;72,N46="No"),"Questionable","Legitimate"))</f>
        <v/>
      </c>
      <c r="P46" s="14" t="n"/>
      <c r="Q46" s="14" t="n"/>
      <c r="R46" s="14" t="n"/>
    </row>
    <row r="47">
      <c r="A47" s="14" t="n"/>
      <c r="B47" s="14" t="n"/>
      <c r="C47" s="14" t="n"/>
      <c r="D47" s="14" t="n"/>
      <c r="E47" s="14" t="n"/>
      <c r="F47" s="14" t="n"/>
      <c r="G47" s="14" t="n"/>
      <c r="H47" s="13">
        <f>IF(OR(F47="",G47=""),"",ROUND((G47-F47)*24,2))</f>
        <v/>
      </c>
      <c r="I47" s="14" t="n"/>
      <c r="J47" s="14" t="n"/>
      <c r="K47" s="14" t="n"/>
      <c r="L47" s="14" t="n"/>
      <c r="M47" s="14" t="n"/>
      <c r="N47" s="14" t="n"/>
      <c r="O47" s="13">
        <f>IF(AND(H47&gt;48,N47="Questionable"),"Likely Abuse",IF(OR(H47&gt;72,N47="No"),"Questionable","Legitimate"))</f>
        <v/>
      </c>
      <c r="P47" s="14" t="n"/>
      <c r="Q47" s="14" t="n"/>
      <c r="R47" s="14" t="n"/>
    </row>
    <row r="48">
      <c r="A48" s="14" t="n"/>
      <c r="B48" s="14" t="n"/>
      <c r="C48" s="14" t="n"/>
      <c r="D48" s="14" t="n"/>
      <c r="E48" s="14" t="n"/>
      <c r="F48" s="14" t="n"/>
      <c r="G48" s="14" t="n"/>
      <c r="H48" s="13">
        <f>IF(OR(F48="",G48=""),"",ROUND((G48-F48)*24,2))</f>
        <v/>
      </c>
      <c r="I48" s="14" t="n"/>
      <c r="J48" s="14" t="n"/>
      <c r="K48" s="14" t="n"/>
      <c r="L48" s="14" t="n"/>
      <c r="M48" s="14" t="n"/>
      <c r="N48" s="14" t="n"/>
      <c r="O48" s="13">
        <f>IF(AND(H48&gt;48,N48="Questionable"),"Likely Abuse",IF(OR(H48&gt;72,N48="No"),"Questionable","Legitimate"))</f>
        <v/>
      </c>
      <c r="P48" s="14" t="n"/>
      <c r="Q48" s="14" t="n"/>
      <c r="R48" s="14" t="n"/>
    </row>
    <row r="49">
      <c r="A49" s="14" t="n"/>
      <c r="B49" s="14" t="n"/>
      <c r="C49" s="14" t="n"/>
      <c r="D49" s="14" t="n"/>
      <c r="E49" s="14" t="n"/>
      <c r="F49" s="14" t="n"/>
      <c r="G49" s="14" t="n"/>
      <c r="H49" s="13">
        <f>IF(OR(F49="",G49=""),"",ROUND((G49-F49)*24,2))</f>
        <v/>
      </c>
      <c r="I49" s="14" t="n"/>
      <c r="J49" s="14" t="n"/>
      <c r="K49" s="14" t="n"/>
      <c r="L49" s="14" t="n"/>
      <c r="M49" s="14" t="n"/>
      <c r="N49" s="14" t="n"/>
      <c r="O49" s="13">
        <f>IF(AND(H49&gt;48,N49="Questionable"),"Likely Abuse",IF(OR(H49&gt;72,N49="No"),"Questionable","Legitimate"))</f>
        <v/>
      </c>
      <c r="P49" s="14" t="n"/>
      <c r="Q49" s="14" t="n"/>
      <c r="R49" s="14" t="n"/>
    </row>
    <row r="50">
      <c r="A50" s="14" t="n"/>
      <c r="B50" s="14" t="n"/>
      <c r="C50" s="14" t="n"/>
      <c r="D50" s="14" t="n"/>
      <c r="E50" s="14" t="n"/>
      <c r="F50" s="14" t="n"/>
      <c r="G50" s="14" t="n"/>
      <c r="H50" s="13">
        <f>IF(OR(F50="",G50=""),"",ROUND((G50-F50)*24,2))</f>
        <v/>
      </c>
      <c r="I50" s="14" t="n"/>
      <c r="J50" s="14" t="n"/>
      <c r="K50" s="14" t="n"/>
      <c r="L50" s="14" t="n"/>
      <c r="M50" s="14" t="n"/>
      <c r="N50" s="14" t="n"/>
      <c r="O50" s="13">
        <f>IF(AND(H50&gt;48,N50="Questionable"),"Likely Abuse",IF(OR(H50&gt;72,N50="No"),"Questionable","Legitimate"))</f>
        <v/>
      </c>
      <c r="P50" s="14" t="n"/>
      <c r="Q50" s="14" t="n"/>
      <c r="R50" s="14" t="n"/>
    </row>
    <row r="51">
      <c r="A51" s="14" t="n"/>
      <c r="B51" s="14" t="n"/>
      <c r="C51" s="14" t="n"/>
      <c r="D51" s="14" t="n"/>
      <c r="E51" s="14" t="n"/>
      <c r="F51" s="14" t="n"/>
      <c r="G51" s="14" t="n"/>
      <c r="H51" s="13">
        <f>IF(OR(F51="",G51=""),"",ROUND((G51-F51)*24,2))</f>
        <v/>
      </c>
      <c r="I51" s="14" t="n"/>
      <c r="J51" s="14" t="n"/>
      <c r="K51" s="14" t="n"/>
      <c r="L51" s="14" t="n"/>
      <c r="M51" s="14" t="n"/>
      <c r="N51" s="14" t="n"/>
      <c r="O51" s="13">
        <f>IF(AND(H51&gt;48,N51="Questionable"),"Likely Abuse",IF(OR(H51&gt;72,N51="No"),"Questionable","Legitimate"))</f>
        <v/>
      </c>
      <c r="P51" s="14" t="n"/>
      <c r="Q51" s="14" t="n"/>
      <c r="R51" s="14" t="n"/>
    </row>
    <row r="52">
      <c r="A52" s="14" t="n"/>
      <c r="B52" s="14" t="n"/>
      <c r="C52" s="14" t="n"/>
      <c r="D52" s="14" t="n"/>
      <c r="E52" s="14" t="n"/>
      <c r="F52" s="14" t="n"/>
      <c r="G52" s="14" t="n"/>
      <c r="H52" s="13">
        <f>IF(OR(F52="",G52=""),"",ROUND((G52-F52)*24,2))</f>
        <v/>
      </c>
      <c r="I52" s="14" t="n"/>
      <c r="J52" s="14" t="n"/>
      <c r="K52" s="14" t="n"/>
      <c r="L52" s="14" t="n"/>
      <c r="M52" s="14" t="n"/>
      <c r="N52" s="14" t="n"/>
      <c r="O52" s="13">
        <f>IF(AND(H52&gt;48,N52="Questionable"),"Likely Abuse",IF(OR(H52&gt;72,N52="No"),"Questionable","Legitimate"))</f>
        <v/>
      </c>
      <c r="P52" s="14" t="n"/>
      <c r="Q52" s="14" t="n"/>
      <c r="R52" s="14" t="n"/>
    </row>
    <row r="53">
      <c r="A53" s="14" t="n"/>
      <c r="B53" s="14" t="n"/>
      <c r="C53" s="14" t="n"/>
      <c r="D53" s="14" t="n"/>
      <c r="E53" s="14" t="n"/>
      <c r="F53" s="14" t="n"/>
      <c r="G53" s="14" t="n"/>
      <c r="H53" s="13">
        <f>IF(OR(F53="",G53=""),"",ROUND((G53-F53)*24,2))</f>
        <v/>
      </c>
      <c r="I53" s="14" t="n"/>
      <c r="J53" s="14" t="n"/>
      <c r="K53" s="14" t="n"/>
      <c r="L53" s="14" t="n"/>
      <c r="M53" s="14" t="n"/>
      <c r="N53" s="14" t="n"/>
      <c r="O53" s="13">
        <f>IF(AND(H53&gt;48,N53="Questionable"),"Likely Abuse",IF(OR(H53&gt;72,N53="No"),"Questionable","Legitimate"))</f>
        <v/>
      </c>
      <c r="P53" s="14" t="n"/>
      <c r="Q53" s="14" t="n"/>
      <c r="R53" s="14" t="n"/>
    </row>
  </sheetData>
  <mergeCells count="1">
    <mergeCell ref="A1:R1"/>
  </mergeCells>
  <conditionalFormatting sqref="M3:M53">
    <cfRule type="cellIs" priority="1" operator="equal" dxfId="4">
      <formula>"Approved"</formula>
    </cfRule>
    <cfRule type="cellIs" priority="2" operator="equal" dxfId="2">
      <formula>"Disapproved (requires reversal)"</formula>
    </cfRule>
    <cfRule type="cellIs" priority="3" operator="equal" dxfId="3">
      <formula>"Not Yet Reviewed"</formula>
    </cfRule>
  </conditionalFormatting>
  <conditionalFormatting sqref="O3:O53">
    <cfRule type="cellIs" priority="4" operator="equal" dxfId="9">
      <formula>"Legitimate"</formula>
    </cfRule>
    <cfRule type="cellIs" priority="5" operator="equal" dxfId="10">
      <formula>"Questionable"</formula>
    </cfRule>
    <cfRule type="cellIs" priority="6" operator="equal" dxfId="1">
      <formula>"Likely Abuse"</formula>
    </cfRule>
  </conditionalFormatting>
  <conditionalFormatting sqref="K3:K53">
    <cfRule type="cellIs" priority="7" operator="equal" dxfId="5">
      <formula>"No"</formula>
    </cfRule>
    <cfRule type="cellIs" priority="8" operator="equal" dxfId="4">
      <formula>"Yes"</formula>
    </cfRule>
  </conditionalFormatting>
  <dataValidations count="5">
    <dataValidation sqref="C3:C53" showDropDown="0" showInputMessage="0" showErrorMessage="0" allowBlank="0" errorTitle="Invalid Entry" error="Invalid entry" promptTitle="Selection Required" prompt="Please select from the dropdown" type="list">
      <formula1>"Security Incident,Service Outage,Critical Bug,Vulnerability Remediation,Other"</formula1>
    </dataValidation>
    <dataValidation sqref="I3:I53" showDropDown="0" showInputMessage="0" showErrorMessage="0" allowBlank="0" errorTitle="Invalid Entry" error="Invalid entry" promptTitle="Selection Required" prompt="Please select from the dropdown" type="list">
      <formula1>"Verbal (CIO/CISO),Email (Expedited),CAB Chair Authorisation"</formula1>
    </dataValidation>
    <dataValidation sqref="K3:K53" showDropDown="0" showInputMessage="0" showErrorMessage="0" allowBlank="0" errorTitle="Invalid Entry" error="Invalid entry" promptTitle="Selection Required" prompt="Please select from the dropdown" type="list">
      <formula1>"Yes,No,In Progress"</formula1>
    </dataValidation>
    <dataValidation sqref="M3:M53" showDropDown="0" showInputMessage="0" showErrorMessage="0" allowBlank="0" errorTitle="Invalid Entry" error="Invalid entry" promptTitle="Selection Required" prompt="Please select from the dropdown" type="list">
      <formula1>"✅ Approved,⚠️ Approved with Remediation,❌ Disapproved (requires reversal),⏳ Not Yet Reviewed"</formula1>
    </dataValidation>
    <dataValidation sqref="N3:N53" showDropDown="0" showInputMessage="0" showErrorMessage="0" allowBlank="1" errorTitle="Invalid Entry" error="Invalid entry" promptTitle="Selection Required" prompt="Please select from the dropdown" type="list">
      <formula1>"Yes,No,Questionable"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CHANGE SUCCESS METRICS DASHBOARD</t>
        </is>
      </c>
    </row>
    <row r="3">
      <c r="A3" s="16" t="inlineStr">
        <is>
          <t>OVERALL CHANGE METRICS</t>
        </is>
      </c>
    </row>
    <row r="4">
      <c r="A4" s="12" t="inlineStr">
        <is>
          <t>Metric</t>
        </is>
      </c>
      <c r="B4" s="12" t="inlineStr">
        <is>
          <t>Value</t>
        </is>
      </c>
      <c r="C4" s="12" t="inlineStr">
        <is>
          <t>Target</t>
        </is>
      </c>
      <c r="D4" s="12" t="inlineStr">
        <is>
          <t>Status</t>
        </is>
      </c>
    </row>
    <row r="5">
      <c r="A5" s="17" t="inlineStr">
        <is>
          <t>Total Changes (All Types)</t>
        </is>
      </c>
      <c r="B5" s="13">
        <f>COUNTA('Change Request Register'!A3:A102)-COUNTBLANK('Change Request Register'!A3:A102)</f>
        <v/>
      </c>
      <c r="C5" s="18" t="inlineStr">
        <is>
          <t>N/A</t>
        </is>
      </c>
    </row>
    <row r="6">
      <c r="A6" s="17" t="inlineStr">
        <is>
          <t>Completed Changes</t>
        </is>
      </c>
      <c r="B6" s="13">
        <f>COUNTIF('Change Request Register'!J3:J102,"*Completed")</f>
        <v/>
      </c>
      <c r="C6" s="18" t="inlineStr">
        <is>
          <t>N/A</t>
        </is>
      </c>
    </row>
    <row r="7">
      <c r="A7" s="17" t="inlineStr">
        <is>
          <t>Failed Changes</t>
        </is>
      </c>
      <c r="B7" s="13">
        <f>COUNTIF('Change Request Register'!J3:J102,"*Failed")</f>
        <v/>
      </c>
      <c r="C7" s="18" t="inlineStr">
        <is>
          <t>&lt;5%</t>
        </is>
      </c>
      <c r="D7" s="13">
        <f>IF(B7=0,"N/A",IF(B7/B5*100&lt;5,"✓ Within Target","✗ Exceeds Target"))</f>
        <v/>
      </c>
    </row>
    <row r="8">
      <c r="A8" s="17" t="inlineStr">
        <is>
          <t>Rolled Back Changes</t>
        </is>
      </c>
      <c r="B8" s="13">
        <f>COUNTIF('Change Request Register'!J3:J102,"*Rolled Back")</f>
        <v/>
      </c>
      <c r="C8" s="18" t="inlineStr">
        <is>
          <t>&lt;3%</t>
        </is>
      </c>
      <c r="D8" s="13">
        <f>IF(B8=0,"N/A",IF(B8/B5*100&lt;3,"✓ Within Target","✗ Exceeds Target"))</f>
        <v/>
      </c>
    </row>
    <row r="9">
      <c r="A9" s="17" t="inlineStr">
        <is>
          <t>Changes in Progress</t>
        </is>
      </c>
      <c r="B9" s="13">
        <f>COUNTIF('Change Request Register'!J3:J102,"*Implementing")+COUNTIF('Change Request Register'!J3:J102,"*Scheduled")</f>
        <v/>
      </c>
      <c r="C9" s="18" t="inlineStr">
        <is>
          <t>N/A</t>
        </is>
      </c>
    </row>
    <row r="10">
      <c r="A10" s="17" t="inlineStr">
        <is>
          <t>Overall Success Rate %</t>
        </is>
      </c>
      <c r="B10" s="15">
        <f>IF((B6+B7+B8)=0,0,B6/(B6+B7+B8)*100)</f>
        <v/>
      </c>
      <c r="C10" s="18" t="inlineStr">
        <is>
          <t>≥95%</t>
        </is>
      </c>
      <c r="D10" s="13">
        <f>IF(B10&gt;=95,"✓ Compliant",IF(B10&gt;=90,"⚠ Partial","✗ Non-Compliant"))</f>
        <v/>
      </c>
    </row>
    <row r="12">
      <c r="A12" s="16" t="inlineStr">
        <is>
          <t>CHANGE TYPE DISTRIBUTION</t>
        </is>
      </c>
    </row>
    <row r="13">
      <c r="A13" s="12" t="inlineStr">
        <is>
          <t>Change Type</t>
        </is>
      </c>
      <c r="B13" s="12" t="inlineStr">
        <is>
          <t>Count</t>
        </is>
      </c>
      <c r="C13" s="12" t="inlineStr">
        <is>
          <t>Percentage</t>
        </is>
      </c>
      <c r="D13" s="12" t="inlineStr">
        <is>
          <t>Target %</t>
        </is>
      </c>
    </row>
    <row r="14">
      <c r="A14" s="17" t="inlineStr">
        <is>
          <t>Standard</t>
        </is>
      </c>
      <c r="B14" s="13">
        <f>COUNTIF('Change Request Register'!C3:C102,"Standard")</f>
        <v/>
      </c>
      <c r="C14" s="15">
        <f>IF($B$5=0,0,B14/$B$5*100)</f>
        <v/>
      </c>
      <c r="D14" s="17" t="inlineStr">
        <is>
          <t>40-50%</t>
        </is>
      </c>
    </row>
    <row r="15">
      <c r="A15" s="17" t="inlineStr">
        <is>
          <t>Normal</t>
        </is>
      </c>
      <c r="B15" s="13">
        <f>COUNTIF('Change Request Register'!C3:C102,"Normal")</f>
        <v/>
      </c>
      <c r="C15" s="15">
        <f>IF($B$5=0,0,B15/$B$5*100)</f>
        <v/>
      </c>
      <c r="D15" s="17" t="inlineStr">
        <is>
          <t>40-50%</t>
        </is>
      </c>
    </row>
    <row r="16">
      <c r="A16" s="17" t="inlineStr">
        <is>
          <t>Emergency</t>
        </is>
      </c>
      <c r="B16" s="13">
        <f>COUNTIF('Change Request Register'!C3:C102,"Emergency")</f>
        <v/>
      </c>
      <c r="C16" s="15">
        <f>IF($B$5=0,0,B16/$B$5*100)</f>
        <v/>
      </c>
      <c r="D16" s="17" t="inlineStr">
        <is>
          <t>&lt;8%</t>
        </is>
      </c>
    </row>
    <row r="17">
      <c r="A17" s="17" t="inlineStr">
        <is>
          <t>Hot Fix</t>
        </is>
      </c>
      <c r="B17" s="13">
        <f>COUNTIF('Change Request Register'!C3:C102,"Hot Fix")</f>
        <v/>
      </c>
      <c r="C17" s="15">
        <f>IF($B$5=0,0,B17/$B$5*100)</f>
        <v/>
      </c>
      <c r="D17" s="17" t="inlineStr">
        <is>
          <t>&lt;2%</t>
        </is>
      </c>
    </row>
    <row r="19">
      <c r="A19" s="16" t="inlineStr">
        <is>
          <t>SUCCESS RATE BY CHANGE TYPE</t>
        </is>
      </c>
    </row>
    <row r="20">
      <c r="A20" s="12" t="inlineStr">
        <is>
          <t>Change Type</t>
        </is>
      </c>
      <c r="B20" s="12" t="inlineStr">
        <is>
          <t>Total</t>
        </is>
      </c>
      <c r="C20" s="12" t="inlineStr">
        <is>
          <t>Successful</t>
        </is>
      </c>
      <c r="D20" s="12" t="inlineStr">
        <is>
          <t>Success Rate %</t>
        </is>
      </c>
    </row>
    <row r="21">
      <c r="A21" s="17" t="inlineStr">
        <is>
          <t>Standard</t>
        </is>
      </c>
      <c r="B21" s="13">
        <f>COUNTIF('Change Request Register'!C3:C102,"Standard")</f>
        <v/>
      </c>
      <c r="C21" s="13">
        <f>COUNTIFS('Change Request Register'!C3:C102,"Standard",'Change Request Register'!J3:J102,"*Completed")</f>
        <v/>
      </c>
      <c r="D21" s="15">
        <f>IF(B21=0,0,C21/B21*100)</f>
        <v/>
      </c>
    </row>
    <row r="22">
      <c r="A22" s="17" t="inlineStr">
        <is>
          <t>Normal</t>
        </is>
      </c>
      <c r="B22" s="13">
        <f>COUNTIF('Change Request Register'!C3:C102,"Normal")</f>
        <v/>
      </c>
      <c r="C22" s="13">
        <f>COUNTIFS('Change Request Register'!C3:C102,"Normal",'Change Request Register'!J3:J102,"*Completed")</f>
        <v/>
      </c>
      <c r="D22" s="15">
        <f>IF(B22=0,0,C22/B22*100)</f>
        <v/>
      </c>
    </row>
    <row r="23">
      <c r="A23" s="17" t="inlineStr">
        <is>
          <t>Emergency</t>
        </is>
      </c>
      <c r="B23" s="13">
        <f>COUNTIF('Change Request Register'!C3:C102,"Emergency")</f>
        <v/>
      </c>
      <c r="C23" s="13">
        <f>COUNTIFS('Change Request Register'!C3:C102,"Emergency",'Change Request Register'!J3:J102,"*Completed")</f>
        <v/>
      </c>
      <c r="D23" s="15">
        <f>IF(B23=0,0,C23/B23*100)</f>
        <v/>
      </c>
    </row>
    <row r="24">
      <c r="A24" s="17" t="inlineStr">
        <is>
          <t>Hot Fix</t>
        </is>
      </c>
      <c r="B24" s="13">
        <f>COUNTIF('Change Request Register'!C3:C102,"Hot Fix")</f>
        <v/>
      </c>
      <c r="C24" s="13">
        <f>COUNTIFS('Change Request Register'!C3:C102,"Hot Fix",'Change Request Register'!J3:J102,"*Completed")</f>
        <v/>
      </c>
      <c r="D24" s="15">
        <f>IF(B24=0,0,C24/B24*100)</f>
        <v/>
      </c>
    </row>
    <row r="26">
      <c r="A26" s="16" t="inlineStr">
        <is>
          <t>EMERGENCY CHANGE ANALYSIS</t>
        </is>
      </c>
    </row>
    <row r="27">
      <c r="A27" s="12" t="inlineStr">
        <is>
          <t>Metric</t>
        </is>
      </c>
      <c r="B27" s="12" t="inlineStr">
        <is>
          <t>Value</t>
        </is>
      </c>
      <c r="C27" s="12" t="inlineStr">
        <is>
          <t>Target</t>
        </is>
      </c>
      <c r="D27" s="12" t="inlineStr">
        <is>
          <t>Status</t>
        </is>
      </c>
    </row>
    <row r="28">
      <c r="A28" s="17" t="inlineStr">
        <is>
          <t>Total Emergency Changes</t>
        </is>
      </c>
      <c r="B28" s="13">
        <f>COUNTA('Emergency Changes'!A3:A52)-COUNTBLANK('Emergency Changes'!A3:A52)</f>
        <v/>
      </c>
      <c r="C28" s="18" t="inlineStr">
        <is>
          <t>N/A</t>
        </is>
      </c>
      <c r="D28" s="13" t="inlineStr"/>
    </row>
    <row r="29">
      <c r="A29" s="17" t="inlineStr">
        <is>
          <t>Emergency Changes %</t>
        </is>
      </c>
      <c r="B29" s="15">
        <f>IF($B$5=0,0,B28/$B$5*100)</f>
        <v/>
      </c>
      <c r="C29" s="18" t="inlineStr">
        <is>
          <t>&lt;10%</t>
        </is>
      </c>
      <c r="D29" s="13">
        <f>IF(B29&lt;10,"✓ Within Target",IF(B29&lt;15,"⚠ Warning","✗ Critical"))</f>
        <v/>
      </c>
    </row>
    <row r="30">
      <c r="A30" s="17" t="inlineStr">
        <is>
          <t>Emergency Changes Not Reviewed</t>
        </is>
      </c>
      <c r="B30" s="13">
        <f>COUNTIF('Emergency Changes'!M3:M52,"⏳ Not Yet Reviewed")</f>
        <v/>
      </c>
      <c r="C30" s="18" t="inlineStr">
        <is>
          <t>0</t>
        </is>
      </c>
      <c r="D30" s="13">
        <f>IF(B30=0,"✓ All Reviewed","✗ "&amp;B30&amp;" Pending")</f>
        <v/>
      </c>
    </row>
    <row r="31">
      <c r="A31" s="17" t="inlineStr">
        <is>
          <t>Process Abuse Flagged</t>
        </is>
      </c>
      <c r="B31" s="13">
        <f>COUNTIF('Emergency Changes'!O3:O52,"Likely Abuse")</f>
        <v/>
      </c>
      <c r="C31" s="18" t="inlineStr">
        <is>
          <t>0</t>
        </is>
      </c>
      <c r="D31" s="13">
        <f>IF(B31=0,"✓ None","✗ "&amp;B31&amp;" Flagged")</f>
        <v/>
      </c>
    </row>
    <row r="34">
      <c r="A34" s="19" t="inlineStr">
        <is>
          <t>NOTE: All metrics auto-calculated. Review monthly. Target: ≥95% success rate, &lt;10% emergency changes.</t>
        </is>
      </c>
    </row>
  </sheetData>
  <mergeCells count="6">
    <mergeCell ref="A1:D1"/>
    <mergeCell ref="A34:D34"/>
    <mergeCell ref="A12:D12"/>
    <mergeCell ref="A26:D26"/>
    <mergeCell ref="A3:D3"/>
    <mergeCell ref="A19:D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n"/>
      <c r="C5" s="24" t="n"/>
      <c r="D5" s="24" t="n"/>
      <c r="E5" s="24" t="n"/>
      <c r="F5" s="24" t="n"/>
      <c r="G5" s="24" t="n"/>
      <c r="H5" s="24" t="n"/>
    </row>
    <row r="6">
      <c r="A6" s="23" t="inlineStr">
        <is>
          <t>EV-002</t>
        </is>
      </c>
      <c r="B6" s="24" t="n"/>
      <c r="C6" s="24" t="n"/>
      <c r="D6" s="24" t="n"/>
      <c r="E6" s="24" t="n"/>
      <c r="F6" s="24" t="n"/>
      <c r="G6" s="24" t="n"/>
      <c r="H6" s="24" t="n"/>
    </row>
    <row r="7">
      <c r="A7" s="23" t="inlineStr">
        <is>
          <t>EV-003</t>
        </is>
      </c>
      <c r="B7" s="24" t="n"/>
      <c r="C7" s="24" t="n"/>
      <c r="D7" s="24" t="n"/>
      <c r="E7" s="24" t="n"/>
      <c r="F7" s="24" t="n"/>
      <c r="G7" s="24" t="n"/>
      <c r="H7" s="24" t="n"/>
    </row>
    <row r="8">
      <c r="A8" s="23" t="inlineStr">
        <is>
          <t>EV-004</t>
        </is>
      </c>
      <c r="B8" s="24" t="n"/>
      <c r="C8" s="24" t="n"/>
      <c r="D8" s="24" t="n"/>
      <c r="E8" s="24" t="n"/>
      <c r="F8" s="24" t="n"/>
      <c r="G8" s="24" t="n"/>
      <c r="H8" s="24" t="n"/>
    </row>
    <row r="9">
      <c r="A9" s="23" t="inlineStr">
        <is>
          <t>EV-005</t>
        </is>
      </c>
      <c r="B9" s="24" t="n"/>
      <c r="C9" s="24" t="n"/>
      <c r="D9" s="24" t="n"/>
      <c r="E9" s="24" t="n"/>
      <c r="F9" s="24" t="n"/>
      <c r="G9" s="24" t="n"/>
      <c r="H9" s="24" t="n"/>
    </row>
    <row r="10">
      <c r="A10" s="23" t="inlineStr">
        <is>
          <t>EV-006</t>
        </is>
      </c>
      <c r="B10" s="24" t="n"/>
      <c r="C10" s="24" t="n"/>
      <c r="D10" s="24" t="n"/>
      <c r="E10" s="24" t="n"/>
      <c r="F10" s="24" t="n"/>
      <c r="G10" s="24" t="n"/>
      <c r="H10" s="24" t="n"/>
    </row>
    <row r="11">
      <c r="A11" s="23" t="inlineStr">
        <is>
          <t>EV-007</t>
        </is>
      </c>
      <c r="B11" s="24" t="n"/>
      <c r="C11" s="24" t="n"/>
      <c r="D11" s="24" t="n"/>
      <c r="E11" s="24" t="n"/>
      <c r="F11" s="24" t="n"/>
      <c r="G11" s="24" t="n"/>
      <c r="H11" s="24" t="n"/>
    </row>
    <row r="12">
      <c r="A12" s="23" t="inlineStr">
        <is>
          <t>EV-008</t>
        </is>
      </c>
      <c r="B12" s="24" t="n"/>
      <c r="C12" s="24" t="n"/>
      <c r="D12" s="24" t="n"/>
      <c r="E12" s="24" t="n"/>
      <c r="F12" s="24" t="n"/>
      <c r="G12" s="24" t="n"/>
      <c r="H12" s="24" t="n"/>
    </row>
    <row r="13">
      <c r="A13" s="23" t="inlineStr">
        <is>
          <t>EV-009</t>
        </is>
      </c>
      <c r="B13" s="24" t="n"/>
      <c r="C13" s="24" t="n"/>
      <c r="D13" s="24" t="n"/>
      <c r="E13" s="24" t="n"/>
      <c r="F13" s="24" t="n"/>
      <c r="G13" s="24" t="n"/>
      <c r="H13" s="24" t="n"/>
    </row>
    <row r="14">
      <c r="A14" s="23" t="inlineStr">
        <is>
          <t>EV-010</t>
        </is>
      </c>
      <c r="B14" s="24" t="n"/>
      <c r="C14" s="24" t="n"/>
      <c r="D14" s="24" t="n"/>
      <c r="E14" s="24" t="n"/>
      <c r="F14" s="24" t="n"/>
      <c r="G14" s="24" t="n"/>
      <c r="H14" s="24" t="n"/>
    </row>
    <row r="15">
      <c r="A15" s="23" t="inlineStr">
        <is>
          <t>EV-011</t>
        </is>
      </c>
      <c r="B15" s="24" t="n"/>
      <c r="C15" s="24" t="n"/>
      <c r="D15" s="24" t="n"/>
      <c r="E15" s="24" t="n"/>
      <c r="F15" s="24" t="n"/>
      <c r="G15" s="24" t="n"/>
      <c r="H15" s="24" t="n"/>
    </row>
    <row r="16">
      <c r="A16" s="23" t="inlineStr">
        <is>
          <t>EV-012</t>
        </is>
      </c>
      <c r="B16" s="24" t="n"/>
      <c r="C16" s="24" t="n"/>
      <c r="D16" s="24" t="n"/>
      <c r="E16" s="24" t="n"/>
      <c r="F16" s="24" t="n"/>
      <c r="G16" s="24" t="n"/>
      <c r="H16" s="24" t="n"/>
    </row>
    <row r="17">
      <c r="A17" s="23" t="inlineStr">
        <is>
          <t>EV-013</t>
        </is>
      </c>
      <c r="B17" s="24" t="n"/>
      <c r="C17" s="24" t="n"/>
      <c r="D17" s="24" t="n"/>
      <c r="E17" s="24" t="n"/>
      <c r="F17" s="24" t="n"/>
      <c r="G17" s="24" t="n"/>
      <c r="H17" s="24" t="n"/>
    </row>
    <row r="18">
      <c r="A18" s="23" t="inlineStr">
        <is>
          <t>EV-014</t>
        </is>
      </c>
      <c r="B18" s="24" t="n"/>
      <c r="C18" s="24" t="n"/>
      <c r="D18" s="24" t="n"/>
      <c r="E18" s="24" t="n"/>
      <c r="F18" s="24" t="n"/>
      <c r="G18" s="24" t="n"/>
      <c r="H18" s="24" t="n"/>
    </row>
    <row r="19">
      <c r="A19" s="23" t="inlineStr">
        <is>
          <t>EV-015</t>
        </is>
      </c>
      <c r="B19" s="24" t="n"/>
      <c r="C19" s="24" t="n"/>
      <c r="D19" s="24" t="n"/>
      <c r="E19" s="24" t="n"/>
      <c r="F19" s="24" t="n"/>
      <c r="G19" s="24" t="n"/>
      <c r="H19" s="24" t="n"/>
    </row>
    <row r="20">
      <c r="A20" s="23" t="inlineStr">
        <is>
          <t>EV-016</t>
        </is>
      </c>
      <c r="B20" s="24" t="n"/>
      <c r="C20" s="24" t="n"/>
      <c r="D20" s="24" t="n"/>
      <c r="E20" s="24" t="n"/>
      <c r="F20" s="24" t="n"/>
      <c r="G20" s="24" t="n"/>
      <c r="H20" s="24" t="n"/>
    </row>
    <row r="21">
      <c r="A21" s="23" t="inlineStr">
        <is>
          <t>EV-017</t>
        </is>
      </c>
      <c r="B21" s="24" t="n"/>
      <c r="C21" s="24" t="n"/>
      <c r="D21" s="24" t="n"/>
      <c r="E21" s="24" t="n"/>
      <c r="F21" s="24" t="n"/>
      <c r="G21" s="24" t="n"/>
      <c r="H21" s="24" t="n"/>
    </row>
    <row r="22">
      <c r="A22" s="23" t="inlineStr">
        <is>
          <t>EV-018</t>
        </is>
      </c>
      <c r="B22" s="24" t="n"/>
      <c r="C22" s="24" t="n"/>
      <c r="D22" s="24" t="n"/>
      <c r="E22" s="24" t="n"/>
      <c r="F22" s="24" t="n"/>
      <c r="G22" s="24" t="n"/>
      <c r="H22" s="24" t="n"/>
    </row>
    <row r="23">
      <c r="A23" s="23" t="inlineStr">
        <is>
          <t>EV-019</t>
        </is>
      </c>
      <c r="B23" s="24" t="n"/>
      <c r="C23" s="24" t="n"/>
      <c r="D23" s="24" t="n"/>
      <c r="E23" s="24" t="n"/>
      <c r="F23" s="24" t="n"/>
      <c r="G23" s="24" t="n"/>
      <c r="H23" s="24" t="n"/>
    </row>
    <row r="24">
      <c r="A24" s="23" t="inlineStr">
        <is>
          <t>EV-020</t>
        </is>
      </c>
      <c r="B24" s="24" t="n"/>
      <c r="C24" s="24" t="n"/>
      <c r="D24" s="24" t="n"/>
      <c r="E24" s="24" t="n"/>
      <c r="F24" s="24" t="n"/>
      <c r="G24" s="24" t="n"/>
      <c r="H24" s="24" t="n"/>
    </row>
    <row r="25">
      <c r="A25" s="23" t="inlineStr">
        <is>
          <t>EV-021</t>
        </is>
      </c>
      <c r="B25" s="24" t="n"/>
      <c r="C25" s="24" t="n"/>
      <c r="D25" s="24" t="n"/>
      <c r="E25" s="24" t="n"/>
      <c r="F25" s="24" t="n"/>
      <c r="G25" s="24" t="n"/>
      <c r="H25" s="24" t="n"/>
    </row>
    <row r="26">
      <c r="A26" s="23" t="inlineStr">
        <is>
          <t>EV-022</t>
        </is>
      </c>
      <c r="B26" s="24" t="n"/>
      <c r="C26" s="24" t="n"/>
      <c r="D26" s="24" t="n"/>
      <c r="E26" s="24" t="n"/>
      <c r="F26" s="24" t="n"/>
      <c r="G26" s="24" t="n"/>
      <c r="H26" s="24" t="n"/>
    </row>
    <row r="27">
      <c r="A27" s="23" t="inlineStr">
        <is>
          <t>EV-023</t>
        </is>
      </c>
      <c r="B27" s="24" t="n"/>
      <c r="C27" s="24" t="n"/>
      <c r="D27" s="24" t="n"/>
      <c r="E27" s="24" t="n"/>
      <c r="F27" s="24" t="n"/>
      <c r="G27" s="24" t="n"/>
      <c r="H27" s="24" t="n"/>
    </row>
    <row r="28">
      <c r="A28" s="23" t="inlineStr">
        <is>
          <t>EV-024</t>
        </is>
      </c>
      <c r="B28" s="24" t="n"/>
      <c r="C28" s="24" t="n"/>
      <c r="D28" s="24" t="n"/>
      <c r="E28" s="24" t="n"/>
      <c r="F28" s="24" t="n"/>
      <c r="G28" s="24" t="n"/>
      <c r="H28" s="24" t="n"/>
    </row>
    <row r="29">
      <c r="A29" s="23" t="inlineStr">
        <is>
          <t>EV-025</t>
        </is>
      </c>
      <c r="B29" s="24" t="n"/>
      <c r="C29" s="24" t="n"/>
      <c r="D29" s="24" t="n"/>
      <c r="E29" s="24" t="n"/>
      <c r="F29" s="24" t="n"/>
      <c r="G29" s="24" t="n"/>
      <c r="H29" s="24" t="n"/>
    </row>
    <row r="30">
      <c r="A30" s="23" t="inlineStr">
        <is>
          <t>EV-026</t>
        </is>
      </c>
      <c r="B30" s="24" t="n"/>
      <c r="C30" s="24" t="n"/>
      <c r="D30" s="24" t="n"/>
      <c r="E30" s="24" t="n"/>
      <c r="F30" s="24" t="n"/>
      <c r="G30" s="24" t="n"/>
      <c r="H30" s="24" t="n"/>
    </row>
    <row r="31">
      <c r="A31" s="23" t="inlineStr">
        <is>
          <t>EV-027</t>
        </is>
      </c>
      <c r="B31" s="24" t="n"/>
      <c r="C31" s="24" t="n"/>
      <c r="D31" s="24" t="n"/>
      <c r="E31" s="24" t="n"/>
      <c r="F31" s="24" t="n"/>
      <c r="G31" s="24" t="n"/>
      <c r="H31" s="24" t="n"/>
    </row>
    <row r="32">
      <c r="A32" s="23" t="inlineStr">
        <is>
          <t>EV-028</t>
        </is>
      </c>
      <c r="B32" s="24" t="n"/>
      <c r="C32" s="24" t="n"/>
      <c r="D32" s="24" t="n"/>
      <c r="E32" s="24" t="n"/>
      <c r="F32" s="24" t="n"/>
      <c r="G32" s="24" t="n"/>
      <c r="H32" s="24" t="n"/>
    </row>
    <row r="33">
      <c r="A33" s="23" t="inlineStr">
        <is>
          <t>EV-029</t>
        </is>
      </c>
      <c r="B33" s="24" t="n"/>
      <c r="C33" s="24" t="n"/>
      <c r="D33" s="24" t="n"/>
      <c r="E33" s="24" t="n"/>
      <c r="F33" s="24" t="n"/>
      <c r="G33" s="24" t="n"/>
      <c r="H33" s="24" t="n"/>
    </row>
    <row r="34">
      <c r="A34" s="23" t="inlineStr">
        <is>
          <t>EV-030</t>
        </is>
      </c>
      <c r="B34" s="24" t="n"/>
      <c r="C34" s="24" t="n"/>
      <c r="D34" s="24" t="n"/>
      <c r="E34" s="24" t="n"/>
      <c r="F34" s="24" t="n"/>
      <c r="G34" s="24" t="n"/>
      <c r="H34" s="24" t="n"/>
    </row>
    <row r="35">
      <c r="A35" s="23" t="inlineStr">
        <is>
          <t>EV-031</t>
        </is>
      </c>
      <c r="B35" s="24" t="n"/>
      <c r="C35" s="24" t="n"/>
      <c r="D35" s="24" t="n"/>
      <c r="E35" s="24" t="n"/>
      <c r="F35" s="24" t="n"/>
      <c r="G35" s="24" t="n"/>
      <c r="H35" s="24" t="n"/>
    </row>
    <row r="36">
      <c r="A36" s="23" t="inlineStr">
        <is>
          <t>EV-032</t>
        </is>
      </c>
      <c r="B36" s="24" t="n"/>
      <c r="C36" s="24" t="n"/>
      <c r="D36" s="24" t="n"/>
      <c r="E36" s="24" t="n"/>
      <c r="F36" s="24" t="n"/>
      <c r="G36" s="24" t="n"/>
      <c r="H36" s="24" t="n"/>
    </row>
    <row r="37">
      <c r="A37" s="23" t="inlineStr">
        <is>
          <t>EV-033</t>
        </is>
      </c>
      <c r="B37" s="24" t="n"/>
      <c r="C37" s="24" t="n"/>
      <c r="D37" s="24" t="n"/>
      <c r="E37" s="24" t="n"/>
      <c r="F37" s="24" t="n"/>
      <c r="G37" s="24" t="n"/>
      <c r="H37" s="24" t="n"/>
    </row>
    <row r="38">
      <c r="A38" s="23" t="inlineStr">
        <is>
          <t>EV-034</t>
        </is>
      </c>
      <c r="B38" s="24" t="n"/>
      <c r="C38" s="24" t="n"/>
      <c r="D38" s="24" t="n"/>
      <c r="E38" s="24" t="n"/>
      <c r="F38" s="24" t="n"/>
      <c r="G38" s="24" t="n"/>
      <c r="H38" s="24" t="n"/>
    </row>
    <row r="39">
      <c r="A39" s="23" t="inlineStr">
        <is>
          <t>EV-035</t>
        </is>
      </c>
      <c r="B39" s="24" t="n"/>
      <c r="C39" s="24" t="n"/>
      <c r="D39" s="24" t="n"/>
      <c r="E39" s="24" t="n"/>
      <c r="F39" s="24" t="n"/>
      <c r="G39" s="24" t="n"/>
      <c r="H39" s="24" t="n"/>
    </row>
    <row r="40">
      <c r="A40" s="23" t="inlineStr">
        <is>
          <t>EV-036</t>
        </is>
      </c>
      <c r="B40" s="24" t="n"/>
      <c r="C40" s="24" t="n"/>
      <c r="D40" s="24" t="n"/>
      <c r="E40" s="24" t="n"/>
      <c r="F40" s="24" t="n"/>
      <c r="G40" s="24" t="n"/>
      <c r="H40" s="24" t="n"/>
    </row>
    <row r="41">
      <c r="A41" s="23" t="inlineStr">
        <is>
          <t>EV-037</t>
        </is>
      </c>
      <c r="B41" s="24" t="n"/>
      <c r="C41" s="24" t="n"/>
      <c r="D41" s="24" t="n"/>
      <c r="E41" s="24" t="n"/>
      <c r="F41" s="24" t="n"/>
      <c r="G41" s="24" t="n"/>
      <c r="H41" s="24" t="n"/>
    </row>
    <row r="42">
      <c r="A42" s="23" t="inlineStr">
        <is>
          <t>EV-038</t>
        </is>
      </c>
      <c r="B42" s="24" t="n"/>
      <c r="C42" s="24" t="n"/>
      <c r="D42" s="24" t="n"/>
      <c r="E42" s="24" t="n"/>
      <c r="F42" s="24" t="n"/>
      <c r="G42" s="24" t="n"/>
      <c r="H42" s="24" t="n"/>
    </row>
    <row r="43">
      <c r="A43" s="23" t="inlineStr">
        <is>
          <t>EV-039</t>
        </is>
      </c>
      <c r="B43" s="24" t="n"/>
      <c r="C43" s="24" t="n"/>
      <c r="D43" s="24" t="n"/>
      <c r="E43" s="24" t="n"/>
      <c r="F43" s="24" t="n"/>
      <c r="G43" s="24" t="n"/>
      <c r="H43" s="24" t="n"/>
    </row>
    <row r="44">
      <c r="A44" s="23" t="inlineStr">
        <is>
          <t>EV-040</t>
        </is>
      </c>
      <c r="B44" s="24" t="n"/>
      <c r="C44" s="24" t="n"/>
      <c r="D44" s="24" t="n"/>
      <c r="E44" s="24" t="n"/>
      <c r="F44" s="24" t="n"/>
      <c r="G44" s="24" t="n"/>
      <c r="H44" s="24" t="n"/>
    </row>
    <row r="45">
      <c r="A45" s="23" t="inlineStr">
        <is>
          <t>EV-041</t>
        </is>
      </c>
      <c r="B45" s="24" t="n"/>
      <c r="C45" s="24" t="n"/>
      <c r="D45" s="24" t="n"/>
      <c r="E45" s="24" t="n"/>
      <c r="F45" s="24" t="n"/>
      <c r="G45" s="24" t="n"/>
      <c r="H45" s="24" t="n"/>
    </row>
    <row r="46">
      <c r="A46" s="23" t="inlineStr">
        <is>
          <t>EV-042</t>
        </is>
      </c>
      <c r="B46" s="24" t="n"/>
      <c r="C46" s="24" t="n"/>
      <c r="D46" s="24" t="n"/>
      <c r="E46" s="24" t="n"/>
      <c r="F46" s="24" t="n"/>
      <c r="G46" s="24" t="n"/>
      <c r="H46" s="24" t="n"/>
    </row>
    <row r="47">
      <c r="A47" s="23" t="inlineStr">
        <is>
          <t>EV-043</t>
        </is>
      </c>
      <c r="B47" s="24" t="n"/>
      <c r="C47" s="24" t="n"/>
      <c r="D47" s="24" t="n"/>
      <c r="E47" s="24" t="n"/>
      <c r="F47" s="24" t="n"/>
      <c r="G47" s="24" t="n"/>
      <c r="H47" s="24" t="n"/>
    </row>
    <row r="48">
      <c r="A48" s="23" t="inlineStr">
        <is>
          <t>EV-044</t>
        </is>
      </c>
      <c r="B48" s="24" t="n"/>
      <c r="C48" s="24" t="n"/>
      <c r="D48" s="24" t="n"/>
      <c r="E48" s="24" t="n"/>
      <c r="F48" s="24" t="n"/>
      <c r="G48" s="24" t="n"/>
      <c r="H48" s="24" t="n"/>
    </row>
    <row r="49">
      <c r="A49" s="23" t="inlineStr">
        <is>
          <t>EV-045</t>
        </is>
      </c>
      <c r="B49" s="24" t="n"/>
      <c r="C49" s="24" t="n"/>
      <c r="D49" s="24" t="n"/>
      <c r="E49" s="24" t="n"/>
      <c r="F49" s="24" t="n"/>
      <c r="G49" s="24" t="n"/>
      <c r="H49" s="24" t="n"/>
    </row>
    <row r="50">
      <c r="A50" s="23" t="inlineStr">
        <is>
          <t>EV-046</t>
        </is>
      </c>
      <c r="B50" s="24" t="n"/>
      <c r="C50" s="24" t="n"/>
      <c r="D50" s="24" t="n"/>
      <c r="E50" s="24" t="n"/>
      <c r="F50" s="24" t="n"/>
      <c r="G50" s="24" t="n"/>
      <c r="H50" s="24" t="n"/>
    </row>
    <row r="51">
      <c r="A51" s="23" t="inlineStr">
        <is>
          <t>EV-047</t>
        </is>
      </c>
      <c r="B51" s="24" t="n"/>
      <c r="C51" s="24" t="n"/>
      <c r="D51" s="24" t="n"/>
      <c r="E51" s="24" t="n"/>
      <c r="F51" s="24" t="n"/>
      <c r="G51" s="24" t="n"/>
      <c r="H51" s="24" t="n"/>
    </row>
    <row r="52">
      <c r="A52" s="23" t="inlineStr">
        <is>
          <t>EV-048</t>
        </is>
      </c>
      <c r="B52" s="24" t="n"/>
      <c r="C52" s="24" t="n"/>
      <c r="D52" s="24" t="n"/>
      <c r="E52" s="24" t="n"/>
      <c r="F52" s="24" t="n"/>
      <c r="G52" s="24" t="n"/>
      <c r="H52" s="24" t="n"/>
    </row>
    <row r="53">
      <c r="A53" s="23" t="inlineStr">
        <is>
          <t>EV-049</t>
        </is>
      </c>
      <c r="B53" s="24" t="n"/>
      <c r="C53" s="24" t="n"/>
      <c r="D53" s="24" t="n"/>
      <c r="E53" s="24" t="n"/>
      <c r="F53" s="24" t="n"/>
      <c r="G53" s="24" t="n"/>
      <c r="H53" s="24" t="n"/>
    </row>
    <row r="54">
      <c r="A54" s="23" t="inlineStr">
        <is>
          <t>EV-050</t>
        </is>
      </c>
      <c r="B54" s="24" t="n"/>
      <c r="C54" s="24" t="n"/>
      <c r="D54" s="24" t="n"/>
      <c r="E54" s="24" t="n"/>
      <c r="F54" s="24" t="n"/>
      <c r="G54" s="24" t="n"/>
      <c r="H54" s="24" t="n"/>
    </row>
    <row r="55">
      <c r="A55" s="23" t="inlineStr">
        <is>
          <t>EV-051</t>
        </is>
      </c>
      <c r="B55" s="24" t="n"/>
      <c r="C55" s="24" t="n"/>
      <c r="D55" s="24" t="n"/>
      <c r="E55" s="24" t="n"/>
      <c r="F55" s="24" t="n"/>
      <c r="G55" s="24" t="n"/>
      <c r="H55" s="24" t="n"/>
    </row>
    <row r="56">
      <c r="A56" s="23" t="inlineStr">
        <is>
          <t>EV-052</t>
        </is>
      </c>
      <c r="B56" s="24" t="n"/>
      <c r="C56" s="24" t="n"/>
      <c r="D56" s="24" t="n"/>
      <c r="E56" s="24" t="n"/>
      <c r="F56" s="24" t="n"/>
      <c r="G56" s="24" t="n"/>
      <c r="H56" s="24" t="n"/>
    </row>
    <row r="57">
      <c r="A57" s="23" t="inlineStr">
        <is>
          <t>EV-053</t>
        </is>
      </c>
      <c r="B57" s="24" t="n"/>
      <c r="C57" s="24" t="n"/>
      <c r="D57" s="24" t="n"/>
      <c r="E57" s="24" t="n"/>
      <c r="F57" s="24" t="n"/>
      <c r="G57" s="24" t="n"/>
      <c r="H57" s="24" t="n"/>
    </row>
    <row r="58">
      <c r="A58" s="23" t="inlineStr">
        <is>
          <t>EV-054</t>
        </is>
      </c>
      <c r="B58" s="24" t="n"/>
      <c r="C58" s="24" t="n"/>
      <c r="D58" s="24" t="n"/>
      <c r="E58" s="24" t="n"/>
      <c r="F58" s="24" t="n"/>
      <c r="G58" s="24" t="n"/>
      <c r="H58" s="24" t="n"/>
    </row>
    <row r="59">
      <c r="A59" s="23" t="inlineStr">
        <is>
          <t>EV-055</t>
        </is>
      </c>
      <c r="B59" s="24" t="n"/>
      <c r="C59" s="24" t="n"/>
      <c r="D59" s="24" t="n"/>
      <c r="E59" s="24" t="n"/>
      <c r="F59" s="24" t="n"/>
      <c r="G59" s="24" t="n"/>
      <c r="H59" s="24" t="n"/>
    </row>
    <row r="60">
      <c r="A60" s="23" t="inlineStr">
        <is>
          <t>EV-056</t>
        </is>
      </c>
      <c r="B60" s="24" t="n"/>
      <c r="C60" s="24" t="n"/>
      <c r="D60" s="24" t="n"/>
      <c r="E60" s="24" t="n"/>
      <c r="F60" s="24" t="n"/>
      <c r="G60" s="24" t="n"/>
      <c r="H60" s="24" t="n"/>
    </row>
    <row r="61">
      <c r="A61" s="23" t="inlineStr">
        <is>
          <t>EV-057</t>
        </is>
      </c>
      <c r="B61" s="24" t="n"/>
      <c r="C61" s="24" t="n"/>
      <c r="D61" s="24" t="n"/>
      <c r="E61" s="24" t="n"/>
      <c r="F61" s="24" t="n"/>
      <c r="G61" s="24" t="n"/>
      <c r="H61" s="24" t="n"/>
    </row>
    <row r="62">
      <c r="A62" s="23" t="inlineStr">
        <is>
          <t>EV-058</t>
        </is>
      </c>
      <c r="B62" s="24" t="n"/>
      <c r="C62" s="24" t="n"/>
      <c r="D62" s="24" t="n"/>
      <c r="E62" s="24" t="n"/>
      <c r="F62" s="24" t="n"/>
      <c r="G62" s="24" t="n"/>
      <c r="H62" s="24" t="n"/>
    </row>
    <row r="63">
      <c r="A63" s="23" t="inlineStr">
        <is>
          <t>EV-059</t>
        </is>
      </c>
      <c r="B63" s="24" t="n"/>
      <c r="C63" s="24" t="n"/>
      <c r="D63" s="24" t="n"/>
      <c r="E63" s="24" t="n"/>
      <c r="F63" s="24" t="n"/>
      <c r="G63" s="24" t="n"/>
      <c r="H63" s="24" t="n"/>
    </row>
    <row r="64">
      <c r="A64" s="23" t="inlineStr">
        <is>
          <t>EV-060</t>
        </is>
      </c>
      <c r="B64" s="24" t="n"/>
      <c r="C64" s="24" t="n"/>
      <c r="D64" s="24" t="n"/>
      <c r="E64" s="24" t="n"/>
      <c r="F64" s="24" t="n"/>
      <c r="G64" s="24" t="n"/>
      <c r="H64" s="24" t="n"/>
    </row>
    <row r="65">
      <c r="A65" s="23" t="inlineStr">
        <is>
          <t>EV-061</t>
        </is>
      </c>
      <c r="B65" s="24" t="n"/>
      <c r="C65" s="24" t="n"/>
      <c r="D65" s="24" t="n"/>
      <c r="E65" s="24" t="n"/>
      <c r="F65" s="24" t="n"/>
      <c r="G65" s="24" t="n"/>
      <c r="H65" s="24" t="n"/>
    </row>
    <row r="66">
      <c r="A66" s="23" t="inlineStr">
        <is>
          <t>EV-062</t>
        </is>
      </c>
      <c r="B66" s="24" t="n"/>
      <c r="C66" s="24" t="n"/>
      <c r="D66" s="24" t="n"/>
      <c r="E66" s="24" t="n"/>
      <c r="F66" s="24" t="n"/>
      <c r="G66" s="24" t="n"/>
      <c r="H66" s="24" t="n"/>
    </row>
    <row r="67">
      <c r="A67" s="23" t="inlineStr">
        <is>
          <t>EV-063</t>
        </is>
      </c>
      <c r="B67" s="24" t="n"/>
      <c r="C67" s="24" t="n"/>
      <c r="D67" s="24" t="n"/>
      <c r="E67" s="24" t="n"/>
      <c r="F67" s="24" t="n"/>
      <c r="G67" s="24" t="n"/>
      <c r="H67" s="24" t="n"/>
    </row>
    <row r="68">
      <c r="A68" s="23" t="inlineStr">
        <is>
          <t>EV-064</t>
        </is>
      </c>
      <c r="B68" s="24" t="n"/>
      <c r="C68" s="24" t="n"/>
      <c r="D68" s="24" t="n"/>
      <c r="E68" s="24" t="n"/>
      <c r="F68" s="24" t="n"/>
      <c r="G68" s="24" t="n"/>
      <c r="H68" s="24" t="n"/>
    </row>
    <row r="69">
      <c r="A69" s="23" t="inlineStr">
        <is>
          <t>EV-065</t>
        </is>
      </c>
      <c r="B69" s="24" t="n"/>
      <c r="C69" s="24" t="n"/>
      <c r="D69" s="24" t="n"/>
      <c r="E69" s="24" t="n"/>
      <c r="F69" s="24" t="n"/>
      <c r="G69" s="24" t="n"/>
      <c r="H69" s="24" t="n"/>
    </row>
    <row r="70">
      <c r="A70" s="23" t="inlineStr">
        <is>
          <t>EV-066</t>
        </is>
      </c>
      <c r="B70" s="24" t="n"/>
      <c r="C70" s="24" t="n"/>
      <c r="D70" s="24" t="n"/>
      <c r="E70" s="24" t="n"/>
      <c r="F70" s="24" t="n"/>
      <c r="G70" s="24" t="n"/>
      <c r="H70" s="24" t="n"/>
    </row>
    <row r="71">
      <c r="A71" s="23" t="inlineStr">
        <is>
          <t>EV-067</t>
        </is>
      </c>
      <c r="B71" s="24" t="n"/>
      <c r="C71" s="24" t="n"/>
      <c r="D71" s="24" t="n"/>
      <c r="E71" s="24" t="n"/>
      <c r="F71" s="24" t="n"/>
      <c r="G71" s="24" t="n"/>
      <c r="H71" s="24" t="n"/>
    </row>
    <row r="72">
      <c r="A72" s="23" t="inlineStr">
        <is>
          <t>EV-068</t>
        </is>
      </c>
      <c r="B72" s="24" t="n"/>
      <c r="C72" s="24" t="n"/>
      <c r="D72" s="24" t="n"/>
      <c r="E72" s="24" t="n"/>
      <c r="F72" s="24" t="n"/>
      <c r="G72" s="24" t="n"/>
      <c r="H72" s="24" t="n"/>
    </row>
    <row r="73">
      <c r="A73" s="23" t="inlineStr">
        <is>
          <t>EV-069</t>
        </is>
      </c>
      <c r="B73" s="24" t="n"/>
      <c r="C73" s="24" t="n"/>
      <c r="D73" s="24" t="n"/>
      <c r="E73" s="24" t="n"/>
      <c r="F73" s="24" t="n"/>
      <c r="G73" s="24" t="n"/>
      <c r="H73" s="24" t="n"/>
    </row>
    <row r="74">
      <c r="A74" s="23" t="inlineStr">
        <is>
          <t>EV-070</t>
        </is>
      </c>
      <c r="B74" s="24" t="n"/>
      <c r="C74" s="24" t="n"/>
      <c r="D74" s="24" t="n"/>
      <c r="E74" s="24" t="n"/>
      <c r="F74" s="24" t="n"/>
      <c r="G74" s="24" t="n"/>
      <c r="H74" s="24" t="n"/>
    </row>
    <row r="75">
      <c r="A75" s="23" t="inlineStr">
        <is>
          <t>EV-071</t>
        </is>
      </c>
      <c r="B75" s="24" t="n"/>
      <c r="C75" s="24" t="n"/>
      <c r="D75" s="24" t="n"/>
      <c r="E75" s="24" t="n"/>
      <c r="F75" s="24" t="n"/>
      <c r="G75" s="24" t="n"/>
      <c r="H75" s="24" t="n"/>
    </row>
    <row r="76">
      <c r="A76" s="23" t="inlineStr">
        <is>
          <t>EV-072</t>
        </is>
      </c>
      <c r="B76" s="24" t="n"/>
      <c r="C76" s="24" t="n"/>
      <c r="D76" s="24" t="n"/>
      <c r="E76" s="24" t="n"/>
      <c r="F76" s="24" t="n"/>
      <c r="G76" s="24" t="n"/>
      <c r="H76" s="24" t="n"/>
    </row>
    <row r="77">
      <c r="A77" s="23" t="inlineStr">
        <is>
          <t>EV-073</t>
        </is>
      </c>
      <c r="B77" s="24" t="n"/>
      <c r="C77" s="24" t="n"/>
      <c r="D77" s="24" t="n"/>
      <c r="E77" s="24" t="n"/>
      <c r="F77" s="24" t="n"/>
      <c r="G77" s="24" t="n"/>
      <c r="H77" s="24" t="n"/>
    </row>
    <row r="78">
      <c r="A78" s="23" t="inlineStr">
        <is>
          <t>EV-074</t>
        </is>
      </c>
      <c r="B78" s="24" t="n"/>
      <c r="C78" s="24" t="n"/>
      <c r="D78" s="24" t="n"/>
      <c r="E78" s="24" t="n"/>
      <c r="F78" s="24" t="n"/>
      <c r="G78" s="24" t="n"/>
      <c r="H78" s="24" t="n"/>
    </row>
    <row r="79">
      <c r="A79" s="23" t="inlineStr">
        <is>
          <t>EV-075</t>
        </is>
      </c>
      <c r="B79" s="24" t="n"/>
      <c r="C79" s="24" t="n"/>
      <c r="D79" s="24" t="n"/>
      <c r="E79" s="24" t="n"/>
      <c r="F79" s="24" t="n"/>
      <c r="G79" s="24" t="n"/>
      <c r="H79" s="24" t="n"/>
    </row>
    <row r="80">
      <c r="A80" s="23" t="inlineStr">
        <is>
          <t>EV-076</t>
        </is>
      </c>
      <c r="B80" s="24" t="n"/>
      <c r="C80" s="24" t="n"/>
      <c r="D80" s="24" t="n"/>
      <c r="E80" s="24" t="n"/>
      <c r="F80" s="24" t="n"/>
      <c r="G80" s="24" t="n"/>
      <c r="H80" s="24" t="n"/>
    </row>
    <row r="81">
      <c r="A81" s="23" t="inlineStr">
        <is>
          <t>EV-077</t>
        </is>
      </c>
      <c r="B81" s="24" t="n"/>
      <c r="C81" s="24" t="n"/>
      <c r="D81" s="24" t="n"/>
      <c r="E81" s="24" t="n"/>
      <c r="F81" s="24" t="n"/>
      <c r="G81" s="24" t="n"/>
      <c r="H81" s="24" t="n"/>
    </row>
    <row r="82">
      <c r="A82" s="23" t="inlineStr">
        <is>
          <t>EV-078</t>
        </is>
      </c>
      <c r="B82" s="24" t="n"/>
      <c r="C82" s="24" t="n"/>
      <c r="D82" s="24" t="n"/>
      <c r="E82" s="24" t="n"/>
      <c r="F82" s="24" t="n"/>
      <c r="G82" s="24" t="n"/>
      <c r="H82" s="24" t="n"/>
    </row>
    <row r="83">
      <c r="A83" s="23" t="inlineStr">
        <is>
          <t>EV-079</t>
        </is>
      </c>
      <c r="B83" s="24" t="n"/>
      <c r="C83" s="24" t="n"/>
      <c r="D83" s="24" t="n"/>
      <c r="E83" s="24" t="n"/>
      <c r="F83" s="24" t="n"/>
      <c r="G83" s="24" t="n"/>
      <c r="H83" s="24" t="n"/>
    </row>
    <row r="84">
      <c r="A84" s="23" t="inlineStr">
        <is>
          <t>EV-080</t>
        </is>
      </c>
      <c r="B84" s="24" t="n"/>
      <c r="C84" s="24" t="n"/>
      <c r="D84" s="24" t="n"/>
      <c r="E84" s="24" t="n"/>
      <c r="F84" s="24" t="n"/>
      <c r="G84" s="24" t="n"/>
      <c r="H84" s="24" t="n"/>
    </row>
    <row r="85">
      <c r="A85" s="23" t="inlineStr">
        <is>
          <t>EV-081</t>
        </is>
      </c>
      <c r="B85" s="24" t="n"/>
      <c r="C85" s="24" t="n"/>
      <c r="D85" s="24" t="n"/>
      <c r="E85" s="24" t="n"/>
      <c r="F85" s="24" t="n"/>
      <c r="G85" s="24" t="n"/>
      <c r="H85" s="24" t="n"/>
    </row>
    <row r="86">
      <c r="A86" s="23" t="inlineStr">
        <is>
          <t>EV-082</t>
        </is>
      </c>
      <c r="B86" s="24" t="n"/>
      <c r="C86" s="24" t="n"/>
      <c r="D86" s="24" t="n"/>
      <c r="E86" s="24" t="n"/>
      <c r="F86" s="24" t="n"/>
      <c r="G86" s="24" t="n"/>
      <c r="H86" s="24" t="n"/>
    </row>
    <row r="87">
      <c r="A87" s="23" t="inlineStr">
        <is>
          <t>EV-083</t>
        </is>
      </c>
      <c r="B87" s="24" t="n"/>
      <c r="C87" s="24" t="n"/>
      <c r="D87" s="24" t="n"/>
      <c r="E87" s="24" t="n"/>
      <c r="F87" s="24" t="n"/>
      <c r="G87" s="24" t="n"/>
      <c r="H87" s="24" t="n"/>
    </row>
    <row r="88">
      <c r="A88" s="23" t="inlineStr">
        <is>
          <t>EV-084</t>
        </is>
      </c>
      <c r="B88" s="24" t="n"/>
      <c r="C88" s="24" t="n"/>
      <c r="D88" s="24" t="n"/>
      <c r="E88" s="24" t="n"/>
      <c r="F88" s="24" t="n"/>
      <c r="G88" s="24" t="n"/>
      <c r="H88" s="24" t="n"/>
    </row>
    <row r="89">
      <c r="A89" s="23" t="inlineStr">
        <is>
          <t>EV-085</t>
        </is>
      </c>
      <c r="B89" s="24" t="n"/>
      <c r="C89" s="24" t="n"/>
      <c r="D89" s="24" t="n"/>
      <c r="E89" s="24" t="n"/>
      <c r="F89" s="24" t="n"/>
      <c r="G89" s="24" t="n"/>
      <c r="H89" s="24" t="n"/>
    </row>
    <row r="90">
      <c r="A90" s="23" t="inlineStr">
        <is>
          <t>EV-086</t>
        </is>
      </c>
      <c r="B90" s="24" t="n"/>
      <c r="C90" s="24" t="n"/>
      <c r="D90" s="24" t="n"/>
      <c r="E90" s="24" t="n"/>
      <c r="F90" s="24" t="n"/>
      <c r="G90" s="24" t="n"/>
      <c r="H90" s="24" t="n"/>
    </row>
    <row r="91">
      <c r="A91" s="23" t="inlineStr">
        <is>
          <t>EV-087</t>
        </is>
      </c>
      <c r="B91" s="24" t="n"/>
      <c r="C91" s="24" t="n"/>
      <c r="D91" s="24" t="n"/>
      <c r="E91" s="24" t="n"/>
      <c r="F91" s="24" t="n"/>
      <c r="G91" s="24" t="n"/>
      <c r="H91" s="24" t="n"/>
    </row>
    <row r="92">
      <c r="A92" s="23" t="inlineStr">
        <is>
          <t>EV-088</t>
        </is>
      </c>
      <c r="B92" s="24" t="n"/>
      <c r="C92" s="24" t="n"/>
      <c r="D92" s="24" t="n"/>
      <c r="E92" s="24" t="n"/>
      <c r="F92" s="24" t="n"/>
      <c r="G92" s="24" t="n"/>
      <c r="H92" s="24" t="n"/>
    </row>
    <row r="93">
      <c r="A93" s="23" t="inlineStr">
        <is>
          <t>EV-089</t>
        </is>
      </c>
      <c r="B93" s="24" t="n"/>
      <c r="C93" s="24" t="n"/>
      <c r="D93" s="24" t="n"/>
      <c r="E93" s="24" t="n"/>
      <c r="F93" s="24" t="n"/>
      <c r="G93" s="24" t="n"/>
      <c r="H93" s="24" t="n"/>
    </row>
    <row r="94">
      <c r="A94" s="23" t="inlineStr">
        <is>
          <t>EV-090</t>
        </is>
      </c>
      <c r="B94" s="24" t="n"/>
      <c r="C94" s="24" t="n"/>
      <c r="D94" s="24" t="n"/>
      <c r="E94" s="24" t="n"/>
      <c r="F94" s="24" t="n"/>
      <c r="G94" s="24" t="n"/>
      <c r="H94" s="24" t="n"/>
    </row>
    <row r="95">
      <c r="A95" s="23" t="inlineStr">
        <is>
          <t>EV-091</t>
        </is>
      </c>
      <c r="B95" s="24" t="n"/>
      <c r="C95" s="24" t="n"/>
      <c r="D95" s="24" t="n"/>
      <c r="E95" s="24" t="n"/>
      <c r="F95" s="24" t="n"/>
      <c r="G95" s="24" t="n"/>
      <c r="H95" s="24" t="n"/>
    </row>
    <row r="96">
      <c r="A96" s="23" t="inlineStr">
        <is>
          <t>EV-092</t>
        </is>
      </c>
      <c r="B96" s="24" t="n"/>
      <c r="C96" s="24" t="n"/>
      <c r="D96" s="24" t="n"/>
      <c r="E96" s="24" t="n"/>
      <c r="F96" s="24" t="n"/>
      <c r="G96" s="24" t="n"/>
      <c r="H96" s="24" t="n"/>
    </row>
    <row r="97">
      <c r="A97" s="23" t="inlineStr">
        <is>
          <t>EV-093</t>
        </is>
      </c>
      <c r="B97" s="24" t="n"/>
      <c r="C97" s="24" t="n"/>
      <c r="D97" s="24" t="n"/>
      <c r="E97" s="24" t="n"/>
      <c r="F97" s="24" t="n"/>
      <c r="G97" s="24" t="n"/>
      <c r="H97" s="24" t="n"/>
    </row>
    <row r="98">
      <c r="A98" s="23" t="inlineStr">
        <is>
          <t>EV-094</t>
        </is>
      </c>
      <c r="B98" s="24" t="n"/>
      <c r="C98" s="24" t="n"/>
      <c r="D98" s="24" t="n"/>
      <c r="E98" s="24" t="n"/>
      <c r="F98" s="24" t="n"/>
      <c r="G98" s="24" t="n"/>
      <c r="H98" s="24" t="n"/>
    </row>
    <row r="99">
      <c r="A99" s="23" t="inlineStr">
        <is>
          <t>EV-095</t>
        </is>
      </c>
      <c r="B99" s="24" t="n"/>
      <c r="C99" s="24" t="n"/>
      <c r="D99" s="24" t="n"/>
      <c r="E99" s="24" t="n"/>
      <c r="F99" s="24" t="n"/>
      <c r="G99" s="24" t="n"/>
      <c r="H99" s="24" t="n"/>
    </row>
    <row r="100">
      <c r="A100" s="23" t="inlineStr">
        <is>
          <t>EV-096</t>
        </is>
      </c>
      <c r="B100" s="24" t="n"/>
      <c r="C100" s="24" t="n"/>
      <c r="D100" s="24" t="n"/>
      <c r="E100" s="24" t="n"/>
      <c r="F100" s="24" t="n"/>
      <c r="G100" s="24" t="n"/>
      <c r="H100" s="24" t="n"/>
    </row>
    <row r="101">
      <c r="A101" s="23" t="inlineStr">
        <is>
          <t>EV-097</t>
        </is>
      </c>
      <c r="B101" s="24" t="n"/>
      <c r="C101" s="24" t="n"/>
      <c r="D101" s="24" t="n"/>
      <c r="E101" s="24" t="n"/>
      <c r="F101" s="24" t="n"/>
      <c r="G101" s="24" t="n"/>
      <c r="H101" s="24" t="n"/>
    </row>
    <row r="102">
      <c r="A102" s="23" t="inlineStr">
        <is>
          <t>EV-098</t>
        </is>
      </c>
      <c r="B102" s="24" t="n"/>
      <c r="C102" s="24" t="n"/>
      <c r="D102" s="24" t="n"/>
      <c r="E102" s="24" t="n"/>
      <c r="F102" s="24" t="n"/>
      <c r="G102" s="24" t="n"/>
      <c r="H102" s="24" t="n"/>
    </row>
    <row r="103">
      <c r="A103" s="23" t="inlineStr">
        <is>
          <t>EV-099</t>
        </is>
      </c>
      <c r="B103" s="24" t="n"/>
      <c r="C103" s="24" t="n"/>
      <c r="D103" s="24" t="n"/>
      <c r="E103" s="24" t="n"/>
      <c r="F103" s="24" t="n"/>
      <c r="G103" s="24" t="n"/>
      <c r="H103" s="24" t="n"/>
    </row>
    <row r="104">
      <c r="A104" s="23" t="inlineStr">
        <is>
          <t>EV-100</t>
        </is>
      </c>
      <c r="B104" s="24" t="n"/>
      <c r="C104" s="24" t="n"/>
      <c r="D104" s="24" t="n"/>
      <c r="E104" s="24" t="n"/>
      <c r="F104" s="24" t="n"/>
      <c r="G104" s="24" t="n"/>
      <c r="H104"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5" t="inlineStr">
        <is>
          <t>CHANGE CONTROL — SUMMARY DASHBOARD</t>
        </is>
      </c>
    </row>
    <row r="2">
      <c r="A2" s="26" t="inlineStr">
        <is>
          <t>Summary Dashboard  |  Change Control Assessment  |  Generated: 20260307</t>
        </is>
      </c>
    </row>
    <row r="4">
      <c r="A4" s="27" t="inlineStr">
        <is>
          <t>TABLE 1 – COMPLIANCE ASSESSMENT SUMMARY</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Change Request Register</t>
        </is>
      </c>
      <c r="B6" s="30">
        <f>COUNTA('Change Request Register'!B5:B54)</f>
        <v/>
      </c>
      <c r="C6" s="30">
        <f>COUNTIF('Change Request Register'!J5:J54,"✅ Completed")</f>
        <v/>
      </c>
      <c r="D6" s="30">
        <f>COUNTIF('Change Request Register'!J5:J54,"In Testing")+COUNTIF('Change Request Register'!J5:J54,"Scheduled")+COUNTIF('Change Request Register'!J5:J54,"⏳ Implementing")</f>
        <v/>
      </c>
      <c r="E6" s="30">
        <f>COUNTIF('Change Request Register'!J5:J54,"❌ Failed")+COUNTIF('Change Request Register'!J5:J54,"Rolled Back")</f>
        <v/>
      </c>
      <c r="F6" s="30">
        <f>COUNTIF('Change Request Register'!J5:J54,"❌ Cancelled")</f>
        <v/>
      </c>
      <c r="G6" s="31">
        <f>IF((B6-F6)=0,0,C6/(B6-F6))</f>
        <v/>
      </c>
    </row>
    <row r="7">
      <c r="A7" s="29" t="inlineStr">
        <is>
          <t>Change Approval Workflow</t>
        </is>
      </c>
      <c r="B7" s="30">
        <f>COUNTA('Change Approval Workflow'!B5:B54)</f>
        <v/>
      </c>
      <c r="C7" s="30">
        <f>COUNTIF('Change Approval Workflow'!O5:O54,"Approved")</f>
        <v/>
      </c>
      <c r="D7" s="30">
        <f>COUNTIF('Change Approval Workflow'!O5:O54,"Pending")</f>
        <v/>
      </c>
      <c r="E7" s="30">
        <f>COUNTIF('Change Approval Workflow'!O5:O54,"Rejected")</f>
        <v/>
      </c>
      <c r="F7" s="30">
        <f>COUNTIF('Change Approval Workflow'!O5:O54,"Unknown")</f>
        <v/>
      </c>
      <c r="G7" s="31">
        <f>IF((B7-F7)=0,0,C7/(B7-F7))</f>
        <v/>
      </c>
    </row>
    <row r="8">
      <c r="A8" s="29" t="inlineStr">
        <is>
          <t>Impact Assessment</t>
        </is>
      </c>
      <c r="B8" s="30">
        <f>COUNTA('Impact Assessment'!B5:B54)</f>
        <v/>
      </c>
      <c r="C8" s="30">
        <f>COUNTIF('Impact Assessment'!H5:H54,"Low")</f>
        <v/>
      </c>
      <c r="D8" s="30">
        <f>COUNTIF('Impact Assessment'!H5:H54,"Medium")</f>
        <v/>
      </c>
      <c r="E8" s="30">
        <f>COUNTIF('Impact Assessment'!H5:H54,"High")+COUNTIF('Impact Assessment'!H5:H54,"Critical")</f>
        <v/>
      </c>
      <c r="F8" s="30">
        <f>0</f>
        <v/>
      </c>
      <c r="G8" s="31">
        <f>IF((B8-F8)=0,0,C8/(B8-F8))</f>
        <v/>
      </c>
    </row>
    <row r="9">
      <c r="A9" s="32" t="inlineStr">
        <is>
          <t>TOTAL</t>
        </is>
      </c>
      <c r="B9" s="28">
        <f>SUM(B6:B8)</f>
        <v/>
      </c>
      <c r="C9" s="28">
        <f>SUM(C6:C8)</f>
        <v/>
      </c>
      <c r="D9" s="28">
        <f>SUM(D6:D8)</f>
        <v/>
      </c>
      <c r="E9" s="28">
        <f>SUM(E6:E8)</f>
        <v/>
      </c>
      <c r="F9" s="28">
        <f>SUM(F6:F8)</f>
        <v/>
      </c>
      <c r="G9" s="33">
        <f>IF((B9-F9)=0,0,C9/(B9-F9))</f>
        <v/>
      </c>
    </row>
    <row r="11">
      <c r="A11" s="27" t="inlineStr">
        <is>
          <t>TABLE 2 – KEY METRICS</t>
        </is>
      </c>
    </row>
    <row r="12">
      <c r="A12" s="32" t="inlineStr">
        <is>
          <t>Metric</t>
        </is>
      </c>
      <c r="B12" s="28" t="inlineStr">
        <is>
          <t>Value</t>
        </is>
      </c>
      <c r="C12" s="32" t="inlineStr">
        <is>
          <t>What This Shows</t>
        </is>
      </c>
      <c r="D12" s="34" t="n"/>
      <c r="E12" s="34" t="n"/>
      <c r="F12" s="34" t="n"/>
      <c r="G12" s="35" t="n"/>
    </row>
    <row r="13">
      <c r="A13" s="29" t="inlineStr">
        <is>
          <t>Changes Completed Successfully</t>
        </is>
      </c>
      <c r="B13" s="36">
        <f>COUNTIF('Change Request Register'!J5:J54,"✅ Completed")</f>
        <v/>
      </c>
      <c r="C13" s="37" t="inlineStr">
        <is>
          <t>Total changes reaching Completed status (primary KPI for change success rate)</t>
        </is>
      </c>
      <c r="D13" s="6" t="n"/>
      <c r="E13" s="6" t="n"/>
      <c r="F13" s="6" t="n"/>
      <c r="G13" s="6" t="n"/>
    </row>
    <row r="14">
      <c r="A14" s="29" t="inlineStr">
        <is>
          <t>Change Success Rate</t>
        </is>
      </c>
      <c r="B14" s="38">
        <f>IF(COUNTA('Change Request Register'!B4:B54)=0,0,COUNTIF('Change Request Register'!J5:J54,"✅ Completed")/COUNTA('Change Request Register'!B4:B54))</f>
        <v/>
      </c>
      <c r="C14" s="37" t="inlineStr">
        <is>
          <t>% of all changes successfully completed (target: ≥95%)</t>
        </is>
      </c>
      <c r="D14" s="6" t="n"/>
      <c r="E14" s="6" t="n"/>
      <c r="F14" s="6" t="n"/>
      <c r="G14" s="6" t="n"/>
    </row>
    <row r="15">
      <c r="A15" s="29" t="inlineStr">
        <is>
          <t>Emergency Changes Raised</t>
        </is>
      </c>
      <c r="B15" s="36">
        <f>COUNTIF('Change Request Register'!C5:C54,"Emergency")</f>
        <v/>
      </c>
      <c r="C15" s="37" t="inlineStr">
        <is>
          <t>Count of expedited Emergency changes (target: &lt;10% of total changes)</t>
        </is>
      </c>
      <c r="D15" s="6" t="n"/>
      <c r="E15" s="6" t="n"/>
      <c r="F15" s="6" t="n"/>
      <c r="G15" s="6" t="n"/>
    </row>
    <row r="16">
      <c r="A16" s="29" t="inlineStr">
        <is>
          <t>High/Critical Risk Changes</t>
        </is>
      </c>
      <c r="B16" s="36">
        <f>COUNTIF('Change Request Register'!D5:D54,"P1-Critical")+COUNTIF('Change Request Register'!D5:D54,"P2-High")</f>
        <v/>
      </c>
      <c r="C16" s="37" t="inlineStr">
        <is>
          <t>Changes with P1-Critical or P2-High priority requiring close oversight</t>
        </is>
      </c>
      <c r="D16" s="6" t="n"/>
      <c r="E16" s="6" t="n"/>
      <c r="F16" s="6" t="n"/>
      <c r="G16" s="6" t="n"/>
    </row>
    <row r="17">
      <c r="A17" s="29" t="inlineStr">
        <is>
          <t>Failed or Rolled-Back Changes</t>
        </is>
      </c>
      <c r="B17" s="36">
        <f>COUNTIF('Change Request Register'!J5:J54,"❌ Failed")+COUNTIF('Change Request Register'!J5:J54,"Rolled Back")</f>
        <v/>
      </c>
      <c r="C17" s="37" t="inlineStr">
        <is>
          <t>Changes that failed or required rollback (target: 0; investigate root cause)</t>
        </is>
      </c>
      <c r="D17" s="6" t="n"/>
      <c r="E17" s="6" t="n"/>
      <c r="F17" s="6" t="n"/>
      <c r="G17" s="6" t="n"/>
    </row>
    <row r="18">
      <c r="A18" s="29" t="inlineStr">
        <is>
          <t>Pending Approvals</t>
        </is>
      </c>
      <c r="B18" s="36">
        <f>COUNTIF('Change Approval Workflow'!O5:O54,"Pending")</f>
        <v/>
      </c>
      <c r="C18" s="37" t="inlineStr">
        <is>
          <t>Changes awaiting approval sign-off (target: 0 pending at month-end)</t>
        </is>
      </c>
      <c r="D18" s="6" t="n"/>
      <c r="E18" s="6" t="n"/>
      <c r="F18" s="6" t="n"/>
      <c r="G18" s="6" t="n"/>
    </row>
    <row r="20">
      <c r="A20" s="39" t="inlineStr">
        <is>
          <t>TABLE 3 – KEY FINDINGS &amp; RECOMMENDATIONS</t>
        </is>
      </c>
    </row>
    <row r="21">
      <c r="A21" s="32" t="inlineStr">
        <is>
          <t>Finding</t>
        </is>
      </c>
      <c r="B21" s="28" t="inlineStr">
        <is>
          <t>Count</t>
        </is>
      </c>
      <c r="C21" s="32" t="inlineStr">
        <is>
          <t>Recommendation</t>
        </is>
      </c>
    </row>
    <row r="22">
      <c r="A22" s="40" t="inlineStr">
        <is>
          <t>Failed or Rolled-Back Changes</t>
        </is>
      </c>
      <c r="B22" s="41">
        <f>COUNTIF('Change Request Register'!J5:J54,"❌ Failed")+COUNTIF('Change Request Register'!J5:J54,"Rolled Back")</f>
        <v/>
      </c>
      <c r="C22" s="42" t="inlineStr">
        <is>
          <t>Conduct post-implementation review (PIR) for all failed changes; identify root causes and implement preventive controls</t>
        </is>
      </c>
      <c r="D22" s="43" t="n"/>
      <c r="E22" s="43" t="n"/>
      <c r="F22" s="43" t="n"/>
      <c r="G22" s="43" t="n"/>
    </row>
    <row r="23">
      <c r="A23" s="40" t="inlineStr">
        <is>
          <t>Emergency Changes (Unplanned)</t>
        </is>
      </c>
      <c r="B23" s="41">
        <f>COUNTIF('Change Request Register'!C5:C54,"Emergency")</f>
        <v/>
      </c>
      <c r="C23" s="42" t="inlineStr">
        <is>
          <t>Review emergency change frequency; if &gt;10% of total, strengthen normal change process to reduce urgent escalations</t>
        </is>
      </c>
      <c r="D23" s="43" t="n"/>
      <c r="E23" s="43" t="n"/>
      <c r="F23" s="43" t="n"/>
      <c r="G23" s="43" t="n"/>
    </row>
    <row r="24">
      <c r="A24" s="40" t="inlineStr">
        <is>
          <t>High-Risk Changes Pending Approval</t>
        </is>
      </c>
      <c r="B24" s="41">
        <f>COUNTIFS('Change Request Register'!D5:D54,"P1-Critical",'Change Approval Workflow'!O5:O54,"Pending")+COUNTIFS('Change Request Register'!D5:D54,"P2-High",'Change Approval Workflow'!O5:O54,"Pending")</f>
        <v/>
      </c>
      <c r="C24" s="42" t="inlineStr">
        <is>
          <t>Escalate P1/P2 pending approvals to CAB urgently; implement SLA-based escalation for approvals &gt;5 business days</t>
        </is>
      </c>
      <c r="D24" s="43" t="n"/>
      <c r="E24" s="43" t="n"/>
      <c r="F24" s="43" t="n"/>
      <c r="G24" s="43" t="n"/>
    </row>
    <row r="25">
      <c r="A25" s="40" t="inlineStr">
        <is>
          <t>Changes Without Impact Assessment</t>
        </is>
      </c>
      <c r="B25" s="41">
        <f>COUNTA('Change Request Register'!B5:B54)-COUNTA('Impact Assessment'!B4:B54)</f>
        <v/>
      </c>
      <c r="C25" s="42" t="inlineStr">
        <is>
          <t>Ensure all changes have a completed impact assessment before approval; make impact assessment mandatory in change template</t>
        </is>
      </c>
      <c r="D25" s="43" t="n"/>
      <c r="E25" s="43" t="n"/>
      <c r="F25" s="43" t="n"/>
      <c r="G25" s="43" t="n"/>
    </row>
    <row r="26">
      <c r="A26" s="44" t="inlineStr">
        <is>
          <t>TOTAL</t>
        </is>
      </c>
      <c r="B26" s="45">
        <f>SUM(B22:B25)</f>
        <v/>
      </c>
      <c r="C26" s="37" t="inlineStr">
        <is>
          <t>Total count of all key findings requiring attention</t>
        </is>
      </c>
      <c r="D26" s="6" t="n"/>
      <c r="E26" s="6" t="n"/>
      <c r="F26" s="6" t="n"/>
      <c r="G26" s="6" t="n"/>
    </row>
  </sheetData>
  <mergeCells count="18">
    <mergeCell ref="C21:G21"/>
    <mergeCell ref="C22:G22"/>
    <mergeCell ref="A1:G1"/>
    <mergeCell ref="C12:G12"/>
    <mergeCell ref="C24:G24"/>
    <mergeCell ref="C16:G16"/>
    <mergeCell ref="C18:G18"/>
    <mergeCell ref="C15:G15"/>
    <mergeCell ref="A4:G4"/>
    <mergeCell ref="C25:G25"/>
    <mergeCell ref="A20:G20"/>
    <mergeCell ref="A2:G2"/>
    <mergeCell ref="C14:G14"/>
    <mergeCell ref="C23:G23"/>
    <mergeCell ref="C13:G13"/>
    <mergeCell ref="A11:G11"/>
    <mergeCell ref="C17:G17"/>
    <mergeCell ref="C26:G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row>
    <row r="3">
      <c r="A3" s="47" t="inlineStr">
        <is>
          <t>ASSESSMENT SUMMARY</t>
        </is>
      </c>
    </row>
    <row r="4">
      <c r="A4" s="48" t="inlineStr">
        <is>
          <t>Document:</t>
        </is>
      </c>
      <c r="B4" s="6" t="inlineStr">
        <is>
          <t>ISMS-IMP-A.8.9.2 - Change Control Assessment</t>
        </is>
      </c>
    </row>
    <row r="5">
      <c r="A5" s="48" t="inlineStr">
        <is>
          <t>Assessment Period:</t>
        </is>
      </c>
      <c r="B5" s="43" t="inlineStr"/>
    </row>
    <row r="6">
      <c r="A6" s="48" t="inlineStr">
        <is>
          <t>Overall Compliance:</t>
        </is>
      </c>
      <c r="B6" s="6">
        <f>'Change Success Metrics'!B10</f>
        <v/>
      </c>
    </row>
    <row r="7">
      <c r="A7" s="48" t="inlineStr">
        <is>
          <t>Assessment Status:</t>
        </is>
      </c>
      <c r="B7" s="43" t="inlineStr"/>
    </row>
    <row r="10">
      <c r="A10" s="47" t="inlineStr">
        <is>
          <t>COMPLETED BY (ASSESSOR)</t>
        </is>
      </c>
    </row>
    <row r="11">
      <c r="A11" s="48" t="inlineStr">
        <is>
          <t>Name:</t>
        </is>
      </c>
      <c r="B11" s="43" t="n"/>
    </row>
    <row r="12">
      <c r="A12" s="48" t="inlineStr">
        <is>
          <t>Title:</t>
        </is>
      </c>
      <c r="B12" s="43" t="n"/>
    </row>
    <row r="13">
      <c r="A13" s="48" t="inlineStr">
        <is>
          <t>Date:</t>
        </is>
      </c>
      <c r="B13" s="43" t="n"/>
    </row>
    <row r="14">
      <c r="A14" s="48" t="inlineStr">
        <is>
          <t>Signature:</t>
        </is>
      </c>
      <c r="B14" s="43" t="n"/>
    </row>
    <row r="15">
      <c r="A15" s="48" t="inlineStr">
        <is>
          <t>Comments:</t>
        </is>
      </c>
      <c r="B15" s="43" t="n"/>
    </row>
    <row r="17">
      <c r="A17" s="47" t="inlineStr">
        <is>
          <t>REVIEWED BY (INFORMATION SECURITY OFFICER)</t>
        </is>
      </c>
    </row>
    <row r="18">
      <c r="A18" s="48" t="inlineStr">
        <is>
          <t>Name:</t>
        </is>
      </c>
      <c r="B18" s="43" t="n"/>
    </row>
    <row r="19">
      <c r="A19" s="48" t="inlineStr">
        <is>
          <t>Title:</t>
        </is>
      </c>
      <c r="B19" s="43" t="n"/>
    </row>
    <row r="20">
      <c r="A20" s="48" t="inlineStr">
        <is>
          <t>Date:</t>
        </is>
      </c>
      <c r="B20" s="43" t="n"/>
    </row>
    <row r="21">
      <c r="A21" s="48" t="inlineStr">
        <is>
          <t>Signature:</t>
        </is>
      </c>
      <c r="B21" s="43" t="n"/>
    </row>
    <row r="22">
      <c r="A22" s="48" t="inlineStr">
        <is>
          <t>Comments:</t>
        </is>
      </c>
      <c r="B22" s="43" t="n"/>
    </row>
    <row r="24">
      <c r="A24" s="49" t="inlineStr">
        <is>
          <t>APPROVED BY (CISO)</t>
        </is>
      </c>
    </row>
    <row r="25">
      <c r="A25" s="48" t="inlineStr">
        <is>
          <t>Name:</t>
        </is>
      </c>
      <c r="B25" s="43" t="n"/>
    </row>
    <row r="26">
      <c r="A26" s="48" t="inlineStr">
        <is>
          <t>Title:</t>
        </is>
      </c>
      <c r="B26" s="43" t="n"/>
    </row>
    <row r="27">
      <c r="A27" s="48" t="inlineStr">
        <is>
          <t>Date:</t>
        </is>
      </c>
      <c r="B27" s="43" t="n"/>
    </row>
    <row r="28">
      <c r="A28" s="48" t="inlineStr">
        <is>
          <t>Signature:</t>
        </is>
      </c>
      <c r="B28" s="43" t="n"/>
    </row>
    <row r="29">
      <c r="A29" s="48" t="inlineStr">
        <is>
          <t>Comments:</t>
        </is>
      </c>
      <c r="B29" s="43" t="n"/>
    </row>
    <row r="31">
      <c r="A31" s="48" t="inlineStr">
        <is>
          <t>FINAL DECISION:</t>
        </is>
      </c>
      <c r="B31" s="43" t="n"/>
    </row>
    <row r="34">
      <c r="A34" s="47" t="inlineStr">
        <is>
          <t>NEXT REVIEW DETAILS</t>
        </is>
      </c>
    </row>
    <row r="35">
      <c r="A35" s="48" t="inlineStr">
        <is>
          <t>Next Review Date:</t>
        </is>
      </c>
      <c r="B35" s="43" t="n"/>
    </row>
    <row r="36">
      <c r="A36" s="48" t="inlineStr">
        <is>
          <t>Review Responsible:</t>
        </is>
      </c>
      <c r="B36" s="43" t="n"/>
    </row>
    <row r="37">
      <c r="A37" s="48" t="inlineStr">
        <is>
          <t>Special Considerations:</t>
        </is>
      </c>
      <c r="B37" s="43"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ISMS-IMP-A.8.9.2 — Change Control</dc:title>
  <dc:description xmlns:dc="http://purl.org/dc/elements/1.1/">ISMS Implementation Workbook — ISMS-IMP-A.8.9.2</dc:description>
  <dc:subject xmlns:dc="http://purl.org/dc/elements/1.1/">ISO/IEC 27001:2022 — Control A.8.9: Configuration Management</dc:subject>
  <dcterms:created xmlns:dcterms="http://purl.org/dc/terms/" xmlns:xsi="http://www.w3.org/2001/XMLSchema-instance" xsi:type="dcterms:W3CDTF">2026-03-07T12:28:37Z</dcterms:created>
  <dcterms:modified xmlns:dcterms="http://purl.org/dc/terms/" xmlns:xsi="http://www.w3.org/2001/XMLSchema-instance" xsi:type="dcterms:W3CDTF">2026-03-07T11:28:37Z</dcterms:modified>
</cp:coreProperties>
</file>