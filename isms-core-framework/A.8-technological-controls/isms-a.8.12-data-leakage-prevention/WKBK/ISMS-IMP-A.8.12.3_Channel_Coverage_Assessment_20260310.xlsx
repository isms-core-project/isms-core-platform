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hannel Overview" sheetId="2" state="visible" r:id="rId2"/>
    <sheet xmlns:r="http://schemas.openxmlformats.org/officeDocument/2006/relationships" name="Email Channel" sheetId="3" state="visible" r:id="rId3"/>
    <sheet xmlns:r="http://schemas.openxmlformats.org/officeDocument/2006/relationships" name="Web Cloud Channel" sheetId="4" state="visible" r:id="rId4"/>
    <sheet xmlns:r="http://schemas.openxmlformats.org/officeDocument/2006/relationships" name="Endpoint Channel" sheetId="5" state="visible" r:id="rId5"/>
    <sheet xmlns:r="http://schemas.openxmlformats.org/officeDocument/2006/relationships" name="Network Channel" sheetId="6" state="visible" r:id="rId6"/>
    <sheet xmlns:r="http://schemas.openxmlformats.org/officeDocument/2006/relationships" name="Application Channel" sheetId="7" state="visible" r:id="rId7"/>
    <sheet xmlns:r="http://schemas.openxmlformats.org/officeDocument/2006/relationships" name="Mobile Channel" sheetId="8" state="visible" r:id="rId8"/>
    <sheet xmlns:r="http://schemas.openxmlformats.org/officeDocument/2006/relationships" name="Coverage Metrics" sheetId="9" state="visible" r:id="rId9"/>
    <sheet xmlns:r="http://schemas.openxmlformats.org/officeDocument/2006/relationships" name="Gap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b val="1"/>
      <color rgb="00FFFFFF"/>
      <sz val="12"/>
    </font>
    <font>
      <b val="1"/>
    </font>
    <font>
      <name val="Calibri"/>
      <sz val="10"/>
    </font>
    <font>
      <name val="Calibri"/>
      <b val="1"/>
      <sz val="11"/>
    </font>
    <font>
      <b val="1"/>
      <sz val="11"/>
    </font>
    <font>
      <name val="Calibri"/>
      <i val="1"/>
      <sz val="10"/>
    </font>
    <font>
      <b val="1"/>
      <sz val="12"/>
    </font>
    <font>
      <name val="Calibri"/>
      <i val="1"/>
    </font>
    <font>
      <name val="Calibri"/>
      <b val="1"/>
      <color rgb="00FFFFFF"/>
      <sz val="10"/>
    </font>
    <font>
      <name val="Calibri"/>
      <i val="1"/>
      <color rgb="00003366"/>
      <sz val="10"/>
    </font>
    <font>
      <name val="Calibri"/>
      <b val="1"/>
      <color rgb="00FFFFFF"/>
      <sz val="11"/>
    </font>
    <font>
      <name val="Calibri"/>
      <color rgb="00000000"/>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7" fillId="0" borderId="0" pivotButton="0" quotePrefix="0" xfId="0"/>
    <xf numFmtId="0" fontId="8" fillId="10" borderId="1" applyAlignment="1" pivotButton="0" quotePrefix="0" xfId="0">
      <alignment horizontal="left" vertical="center"/>
    </xf>
    <xf numFmtId="0" fontId="9" fillId="11" borderId="1" applyAlignment="1" pivotButton="0" quotePrefix="0" xfId="0">
      <alignment horizontal="center" vertical="center" wrapText="1"/>
    </xf>
    <xf numFmtId="0" fontId="8" fillId="0" borderId="1" applyAlignment="1" pivotButton="0" quotePrefix="0" xfId="0">
      <alignment horizontal="left" vertical="center"/>
    </xf>
    <xf numFmtId="0" fontId="10" fillId="0" borderId="0" pivotButton="0" quotePrefix="0" xfId="0"/>
    <xf numFmtId="0" fontId="11" fillId="12" borderId="1" applyAlignment="1" pivotButton="0" quotePrefix="0" xfId="0">
      <alignment horizontal="left" vertical="center"/>
    </xf>
    <xf numFmtId="164" fontId="0" fillId="0" borderId="0" pivotButton="0" quotePrefix="0" xfId="0"/>
    <xf numFmtId="164" fontId="8" fillId="10" borderId="1" applyAlignment="1" pivotButton="0" quotePrefix="0" xfId="0">
      <alignment horizontal="left" vertical="center"/>
    </xf>
    <xf numFmtId="0" fontId="12" fillId="0" borderId="0" pivotButton="0" quotePrefix="0" xfId="0"/>
    <xf numFmtId="164" fontId="8" fillId="0" borderId="1" applyAlignment="1" pivotButton="0" quotePrefix="0" xfId="0">
      <alignment horizontal="left" vertical="center"/>
    </xf>
    <xf numFmtId="0" fontId="1" fillId="8" borderId="1" applyAlignment="1" pivotButton="0" quotePrefix="0" xfId="0">
      <alignment horizontal="center" vertical="center" wrapText="1"/>
    </xf>
    <xf numFmtId="0" fontId="13" fillId="0" borderId="0" applyAlignment="1" pivotButton="0" quotePrefix="0" xfId="0">
      <alignment horizontal="left" vertical="center"/>
    </xf>
    <xf numFmtId="0" fontId="14" fillId="8" borderId="1" applyAlignment="1" pivotButton="0" quotePrefix="0" xfId="0">
      <alignment horizontal="center" vertical="center" wrapText="1"/>
    </xf>
    <xf numFmtId="0" fontId="0" fillId="12" borderId="1" pivotButton="0" quotePrefix="0" xfId="0"/>
    <xf numFmtId="0" fontId="0" fillId="10" borderId="1" pivotButton="0" quotePrefix="0" xfId="0"/>
    <xf numFmtId="0" fontId="1" fillId="8" borderId="0" applyAlignment="1" pivotButton="0" quotePrefix="0" xfId="0">
      <alignment horizontal="center" vertical="center" wrapText="1"/>
    </xf>
    <xf numFmtId="0" fontId="15" fillId="0" borderId="0" applyAlignment="1" pivotButton="0" quotePrefix="0" xfId="0">
      <alignment horizontal="left" vertical="center"/>
    </xf>
    <xf numFmtId="0" fontId="16" fillId="8" borderId="1" applyAlignment="1" pivotButton="0" quotePrefix="0" xfId="0">
      <alignment horizontal="left" vertical="center"/>
    </xf>
    <xf numFmtId="0" fontId="4" fillId="11" borderId="1" applyAlignment="1" pivotButton="0" quotePrefix="0" xfId="0">
      <alignment horizontal="center" vertical="center" wrapText="1"/>
    </xf>
    <xf numFmtId="0" fontId="17" fillId="0" borderId="1" pivotButton="0" quotePrefix="0" xfId="0"/>
    <xf numFmtId="165" fontId="17" fillId="0" borderId="1" pivotButton="0" quotePrefix="0" xfId="0"/>
    <xf numFmtId="0" fontId="4" fillId="11" borderId="1" pivotButton="0" quotePrefix="0" xfId="0"/>
    <xf numFmtId="165" fontId="4" fillId="11" borderId="1" pivotButton="0" quotePrefix="0" xfId="0"/>
    <xf numFmtId="0" fontId="8" fillId="0" borderId="1" pivotButton="0" quotePrefix="0" xfId="0"/>
    <xf numFmtId="0" fontId="16" fillId="13" borderId="1" applyAlignment="1" pivotButton="0" quotePrefix="0" xfId="0">
      <alignment horizontal="left" vertical="center"/>
    </xf>
    <xf numFmtId="0" fontId="8" fillId="10" borderId="1" pivotButton="0" quotePrefix="0" xfId="0"/>
    <xf numFmtId="0" fontId="15" fillId="0" borderId="1" applyAlignment="1" pivotButton="0" quotePrefix="0" xfId="0">
      <alignment horizontal="center" vertical="center"/>
    </xf>
    <xf numFmtId="0" fontId="16" fillId="9" borderId="1" pivotButton="0" quotePrefix="0" xfId="0"/>
    <xf numFmtId="165"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ISMS-IMP-A.8.12.3  -  Channel Coverage Assessment
ISO/IEC 27001:2022 - Control A.8.12: Data Leakage Prevention</t>
        </is>
      </c>
    </row>
    <row r="3">
      <c r="A3" s="2" t="inlineStr">
        <is>
          <t>Document Information</t>
        </is>
      </c>
    </row>
    <row r="4">
      <c r="A4" s="3" t="inlineStr">
        <is>
          <t>Document ID</t>
        </is>
      </c>
      <c r="B4" t="inlineStr">
        <is>
          <t>ISMS-IMP-A.8.12.3</t>
        </is>
      </c>
    </row>
    <row r="5">
      <c r="A5" s="3" t="inlineStr">
        <is>
          <t>Workbook Title</t>
        </is>
      </c>
      <c r="B5" t="inlineStr">
        <is>
          <t>Channel Coverage Assessment</t>
        </is>
      </c>
    </row>
    <row r="6">
      <c r="A6" s="3" t="inlineStr">
        <is>
          <t>Control Reference</t>
        </is>
      </c>
      <c r="B6" t="inlineStr">
        <is>
          <t>ISO/IEC 27001:2022 - Control A.8.12: Data Leakage Prevention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Channel Overview sheet first for a high-level assessment of all data egress channels.</t>
        </is>
      </c>
    </row>
    <row r="14">
      <c r="A14" t="inlineStr">
        <is>
          <t>2. Complete each channel-specific sheet (Email, Web/Cloud, Endpoint, Network, Application, Mobile).</t>
        </is>
      </c>
    </row>
    <row r="15">
      <c r="A15" t="inlineStr">
        <is>
          <t>3. Fill ALL yellow-highlighted cells with your organisation's specific information.</t>
        </is>
      </c>
    </row>
    <row r="16">
      <c r="A16" t="inlineStr">
        <is>
          <t>4. Use dropdown menus where provided — do not type free-form text in dropdown cells.</t>
        </is>
      </c>
    </row>
    <row r="17">
      <c r="A17" t="inlineStr">
        <is>
          <t>5. Document DLP deployment status, coverage percentages, and policy actions per channel.</t>
        </is>
      </c>
    </row>
    <row r="18">
      <c r="A18" t="inlineStr">
        <is>
          <t>6. Review the Coverage Metrics sheet for weighted channel coverage calculations.</t>
        </is>
      </c>
    </row>
    <row r="19">
      <c r="A19" t="inlineStr">
        <is>
          <t>7. Identify gaps in the Gap Analysis sheet and create remediation plans with owners and target dates.</t>
        </is>
      </c>
    </row>
    <row r="20">
      <c r="A20" t="inlineStr">
        <is>
          <t>8. Maintain the Evidence Register with all supporting documentation for audit traceability.</t>
        </is>
      </c>
    </row>
    <row r="21">
      <c r="A21" t="inlineStr">
        <is>
          <t>9. Review the Summary Dashboard for overall compliance scoring against ISO 27001:2022 A.8.12.</t>
        </is>
      </c>
    </row>
    <row r="22">
      <c r="A22" t="inlineStr">
        <is>
          <t>10. Obtain final approval and sign-off from DLP Administrator, ISO, and CISO.</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showGridLines="0" workbookViewId="0">
      <pane ySplit="5" topLeftCell="A6" activePane="bottomLeft" state="frozen"/>
      <selection pane="bottomLeft" activeCell="A1" sqref="A1"/>
    </sheetView>
  </sheetViews>
  <sheetFormatPr baseColWidth="8" defaultRowHeight="15"/>
  <cols>
    <col width="25" customWidth="1" min="1" max="1"/>
    <col width="20" customWidth="1" min="2" max="2"/>
    <col width="18" customWidth="1" min="3" max="3"/>
    <col width="15" customWidth="1" min="4" max="4"/>
    <col width="15" customWidth="1" min="5" max="5"/>
    <col width="15" customWidth="1" min="6" max="6"/>
    <col width="18" customWidth="1" min="7" max="7"/>
    <col width="18" customWidth="1" min="8" max="8"/>
    <col width="18" customWidth="1" min="9" max="9"/>
  </cols>
  <sheetData>
    <row r="1" ht="35" customHeight="1">
      <c r="A1" s="11" t="inlineStr">
        <is>
          <t>CHANNEL COVERAGE OVERVIEW</t>
        </is>
      </c>
    </row>
    <row r="2">
      <c r="A2" s="12" t="inlineStr">
        <is>
          <t>Summary of DLP protection across all data egress channels</t>
        </is>
      </c>
    </row>
    <row r="3">
      <c r="A3" s="13" t="inlineStr">
        <is>
          <t>Assessment Date:</t>
        </is>
      </c>
      <c r="B3" s="14" t="n"/>
      <c r="D3" s="13" t="inlineStr">
        <is>
          <t>Completed By:</t>
        </is>
      </c>
      <c r="E3" s="14" t="n"/>
    </row>
    <row r="5">
      <c r="A5" s="15" t="inlineStr">
        <is>
          <t>Channel Name</t>
        </is>
      </c>
      <c r="B5" s="15" t="inlineStr">
        <is>
          <t>Priority Tier</t>
        </is>
      </c>
      <c r="C5" s="15" t="inlineStr">
        <is>
          <t>DLP Deployed?</t>
        </is>
      </c>
      <c r="D5" s="15" t="inlineStr">
        <is>
          <t>Coverage %</t>
        </is>
      </c>
      <c r="E5" s="15" t="inlineStr">
        <is>
          <t>Users Protected</t>
        </is>
      </c>
      <c r="F5" s="15" t="inlineStr">
        <is>
          <t>Total Users</t>
        </is>
      </c>
      <c r="G5" s="15" t="inlineStr">
        <is>
          <t>Policy Action</t>
        </is>
      </c>
      <c r="H5" s="15" t="inlineStr">
        <is>
          <t>Gap Status</t>
        </is>
      </c>
      <c r="I5" s="15" t="inlineStr">
        <is>
          <t>Evidence ID</t>
        </is>
      </c>
    </row>
    <row r="6">
      <c r="A6" s="16" t="inlineStr">
        <is>
          <t>Email</t>
        </is>
      </c>
      <c r="B6" s="16" t="inlineStr">
        <is>
          <t>Tier 1</t>
        </is>
      </c>
      <c r="C6" s="14" t="inlineStr">
        <is>
          <t>[Input]</t>
        </is>
      </c>
      <c r="D6" s="16">
        <f>'Email Channel'!B57</f>
        <v/>
      </c>
      <c r="E6" s="14" t="inlineStr">
        <is>
          <t>[Input]</t>
        </is>
      </c>
      <c r="F6" s="14" t="inlineStr">
        <is>
          <t>[Input]</t>
        </is>
      </c>
      <c r="G6" s="14" t="inlineStr">
        <is>
          <t>[Input]</t>
        </is>
      </c>
      <c r="H6" s="16">
        <f>IF(D6&gt;=90,"✅ Compliant",IF(D6&gt;=70,"⚠️ Partial","❌ Gap"))</f>
        <v/>
      </c>
      <c r="I6" s="14" t="inlineStr">
        <is>
          <t>[Input]</t>
        </is>
      </c>
    </row>
    <row r="7">
      <c r="A7" s="16" t="inlineStr">
        <is>
          <t>Web/Cloud</t>
        </is>
      </c>
      <c r="B7" s="16" t="inlineStr">
        <is>
          <t>Tier 1</t>
        </is>
      </c>
      <c r="C7" s="14" t="inlineStr">
        <is>
          <t>[Input]</t>
        </is>
      </c>
      <c r="D7" s="16">
        <f>'Web Cloud Channel'!B57</f>
        <v/>
      </c>
      <c r="E7" s="14" t="inlineStr">
        <is>
          <t>[Input]</t>
        </is>
      </c>
      <c r="F7" s="14" t="inlineStr">
        <is>
          <t>[Input]</t>
        </is>
      </c>
      <c r="G7" s="14" t="inlineStr">
        <is>
          <t>[Input]</t>
        </is>
      </c>
      <c r="H7" s="16">
        <f>IF(D7&gt;=90,"✅ Compliant",IF(D7&gt;=70,"⚠️ Partial","❌ Gap"))</f>
        <v/>
      </c>
      <c r="I7" s="14" t="inlineStr">
        <is>
          <t>[Input]</t>
        </is>
      </c>
    </row>
    <row r="8">
      <c r="A8" s="16" t="inlineStr">
        <is>
          <t>Endpoint</t>
        </is>
      </c>
      <c r="B8" s="16" t="inlineStr">
        <is>
          <t>Tier 1</t>
        </is>
      </c>
      <c r="C8" s="14" t="inlineStr">
        <is>
          <t>[Input]</t>
        </is>
      </c>
      <c r="D8" s="16">
        <f>'Endpoint Channel'!L57</f>
        <v/>
      </c>
      <c r="E8" s="14" t="inlineStr">
        <is>
          <t>[Input]</t>
        </is>
      </c>
      <c r="F8" s="14" t="inlineStr">
        <is>
          <t>[Input]</t>
        </is>
      </c>
      <c r="G8" s="14" t="inlineStr">
        <is>
          <t>[Input]</t>
        </is>
      </c>
      <c r="H8" s="16">
        <f>IF(D8&gt;=90,"✅ Compliant",IF(D8&gt;=70,"⚠️ Partial","❌ Gap"))</f>
        <v/>
      </c>
      <c r="I8" s="14" t="inlineStr">
        <is>
          <t>[Input]</t>
        </is>
      </c>
    </row>
    <row r="9">
      <c r="A9" s="16" t="inlineStr">
        <is>
          <t>Network</t>
        </is>
      </c>
      <c r="B9" s="16" t="inlineStr">
        <is>
          <t>Tier 3</t>
        </is>
      </c>
      <c r="C9" s="14" t="inlineStr">
        <is>
          <t>[Input]</t>
        </is>
      </c>
      <c r="D9" s="16">
        <f>'Network Channel'!E57</f>
        <v/>
      </c>
      <c r="E9" s="14" t="inlineStr">
        <is>
          <t>[Input]</t>
        </is>
      </c>
      <c r="F9" s="14" t="inlineStr">
        <is>
          <t>[Input]</t>
        </is>
      </c>
      <c r="G9" s="14" t="inlineStr">
        <is>
          <t>[Input]</t>
        </is>
      </c>
      <c r="H9" s="16">
        <f>IF(D9&gt;=75,"✅ Compliant",IF(D9&gt;=60,"⚠️ Partial","❌ Gap"))</f>
        <v/>
      </c>
      <c r="I9" s="14" t="inlineStr">
        <is>
          <t>[Input]</t>
        </is>
      </c>
    </row>
    <row r="10">
      <c r="A10" s="16" t="inlineStr">
        <is>
          <t>Application</t>
        </is>
      </c>
      <c r="B10" s="16" t="inlineStr">
        <is>
          <t>Tier 2</t>
        </is>
      </c>
      <c r="C10" s="14" t="inlineStr">
        <is>
          <t>[Input]</t>
        </is>
      </c>
      <c r="D10" s="16">
        <f>'Application Channel'!E57</f>
        <v/>
      </c>
      <c r="E10" s="14" t="inlineStr">
        <is>
          <t>[Input]</t>
        </is>
      </c>
      <c r="F10" s="14" t="inlineStr">
        <is>
          <t>[Input]</t>
        </is>
      </c>
      <c r="G10" s="14" t="inlineStr">
        <is>
          <t>[Input]</t>
        </is>
      </c>
      <c r="H10" s="16">
        <f>IF(D10&gt;=80,"✅ Compliant",IF(D10&gt;=65,"⚠️ Partial","❌ Gap"))</f>
        <v/>
      </c>
      <c r="I10" s="14" t="inlineStr">
        <is>
          <t>[Input]</t>
        </is>
      </c>
    </row>
    <row r="11">
      <c r="A11" s="16" t="inlineStr">
        <is>
          <t>Mobile</t>
        </is>
      </c>
      <c r="B11" s="16" t="inlineStr">
        <is>
          <t>Tier 2</t>
        </is>
      </c>
      <c r="C11" s="14" t="inlineStr">
        <is>
          <t>[Input]</t>
        </is>
      </c>
      <c r="D11" s="16">
        <f>'Mobile Channel'!L57</f>
        <v/>
      </c>
      <c r="E11" s="14" t="inlineStr">
        <is>
          <t>[Input]</t>
        </is>
      </c>
      <c r="F11" s="14" t="inlineStr">
        <is>
          <t>[Input]</t>
        </is>
      </c>
      <c r="G11" s="14" t="inlineStr">
        <is>
          <t>[Input]</t>
        </is>
      </c>
      <c r="H11" s="16">
        <f>IF(D11&gt;=90,"✅ Compliant",IF(D11&gt;=70,"⚠️ Partial","❌ Gap"))</f>
        <v/>
      </c>
      <c r="I11" s="14" t="inlineStr">
        <is>
          <t>[Input]</t>
        </is>
      </c>
    </row>
  </sheetData>
  <mergeCells count="2">
    <mergeCell ref="A1:I1"/>
    <mergeCell ref="A2:I2"/>
  </mergeCells>
  <dataValidations count="2">
    <dataValidation sqref="C6 C7 C8 C9 C10 C11" showDropDown="1" showInputMessage="0" showErrorMessage="1" allowBlank="0" errorTitle="Invalid Entry" error="Invalid value. Select from dropdown." type="list">
      <formula1>"Yes,No,Partial,Planned,N/A"</formula1>
    </dataValidation>
    <dataValidation sqref="G6 G7 G8 G9 G10 G11" showDropDown="1" showInputMessage="0" showErrorMessage="0" allowBlank="0" type="list">
      <formula1>"Allow,Alert,Block,Quarantine,Encrypt"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7"/>
  <sheetViews>
    <sheetView showGridLines="0" workbookViewId="0">
      <pane ySplit="5" topLeftCell="A6" activePane="bottomLeft" state="frozen"/>
      <selection pane="bottomLeft" activeCell="A1" sqref="A1"/>
    </sheetView>
  </sheetViews>
  <sheetFormatPr baseColWidth="8" defaultRowHeight="15"/>
  <cols>
    <col width="25" customWidth="1" min="1" max="1"/>
    <col width="20" customWidth="1" min="2" max="2"/>
    <col width="25" customWidth="1" min="3" max="3"/>
    <col width="20" customWidth="1" min="4" max="4"/>
    <col width="18" customWidth="1" min="5" max="5"/>
    <col width="18" customWidth="1" min="6" max="6"/>
    <col width="18" customWidth="1" min="7" max="7"/>
    <col width="18" customWidth="1" min="8" max="8"/>
    <col width="18" customWidth="1" min="9" max="9"/>
    <col width="15" customWidth="1" min="10" max="10"/>
    <col width="18" customWidth="1" min="11" max="11"/>
    <col width="18" customWidth="1" min="12" max="12"/>
  </cols>
  <sheetData>
    <row r="1" ht="35" customHeight="1">
      <c r="A1" s="11" t="inlineStr">
        <is>
          <t>EMAIL CHANNEL PROTECTION ASSESSMENT</t>
        </is>
      </c>
    </row>
    <row r="2">
      <c r="A2" s="12" t="inlineStr">
        <is>
          <t>Evaluate DLP coverage for SMTP, M365, Gmail, Webmail</t>
        </is>
      </c>
    </row>
    <row r="3">
      <c r="A3" s="17" t="inlineStr">
        <is>
          <t>Does your organisation have DLP protection for all email systems?</t>
        </is>
      </c>
    </row>
    <row r="5">
      <c r="A5" s="15" t="inlineStr">
        <is>
          <t>Email System</t>
        </is>
      </c>
      <c r="B5" s="15" t="inlineStr">
        <is>
          <t>System Type</t>
        </is>
      </c>
      <c r="C5" s="15" t="inlineStr">
        <is>
          <t>DLP Solution</t>
        </is>
      </c>
      <c r="D5" s="15" t="inlineStr">
        <is>
          <t>Deployment Mode</t>
        </is>
      </c>
      <c r="E5" s="15" t="inlineStr">
        <is>
          <t>Content Inspection</t>
        </is>
      </c>
      <c r="F5" s="15" t="inlineStr">
        <is>
          <t>Attachment Scanning</t>
        </is>
      </c>
      <c r="G5" s="15" t="inlineStr">
        <is>
          <t>Encrypted Email Handling</t>
        </is>
      </c>
      <c r="H5" s="15" t="inlineStr">
        <is>
          <t>Policy Action</t>
        </is>
      </c>
      <c r="I5" s="15" t="inlineStr">
        <is>
          <t>External Email Protected</t>
        </is>
      </c>
      <c r="J5" s="15" t="inlineStr">
        <is>
          <t>Users Covered</t>
        </is>
      </c>
      <c r="K5" s="15" t="inlineStr">
        <is>
          <t>SIEM Integration</t>
        </is>
      </c>
      <c r="L5" s="15" t="inlineStr">
        <is>
          <t>Evidence ID</t>
        </is>
      </c>
    </row>
    <row r="6">
      <c r="A6" s="18" t="inlineStr">
        <is>
          <t>Exchange Online</t>
        </is>
      </c>
      <c r="B6" s="18" t="inlineStr">
        <is>
          <t>M365</t>
        </is>
      </c>
      <c r="C6" s="18" t="inlineStr">
        <is>
          <t>Microsoft Purview</t>
        </is>
      </c>
      <c r="D6" s="18" t="inlineStr">
        <is>
          <t>Cloud-Native</t>
        </is>
      </c>
      <c r="E6" s="18" t="inlineStr">
        <is>
          <t>Yes</t>
        </is>
      </c>
      <c r="F6" s="18" t="inlineStr">
        <is>
          <t>Yes</t>
        </is>
      </c>
      <c r="G6" s="18" t="inlineStr">
        <is>
          <t>Decrypt</t>
        </is>
      </c>
      <c r="H6" s="18" t="inlineStr">
        <is>
          <t>Block</t>
        </is>
      </c>
      <c r="I6" s="18" t="inlineStr">
        <is>
          <t>Yes</t>
        </is>
      </c>
      <c r="J6" s="18" t="inlineStr">
        <is>
          <t>850</t>
        </is>
      </c>
      <c r="K6" s="18" t="inlineStr">
        <is>
          <t>Yes</t>
        </is>
      </c>
      <c r="L6" s="18" t="inlineStr">
        <is>
          <t>A812-3-EMAIL-001</t>
        </is>
      </c>
    </row>
    <row r="7">
      <c r="A7" s="14" t="n"/>
      <c r="B7" s="14" t="n"/>
      <c r="C7" s="14" t="n"/>
      <c r="D7" s="14" t="n"/>
      <c r="E7" s="14" t="n"/>
      <c r="F7" s="14" t="n"/>
      <c r="G7" s="14" t="n"/>
      <c r="H7" s="14" t="n"/>
      <c r="I7" s="14" t="n"/>
      <c r="J7" s="14" t="n"/>
      <c r="K7" s="14" t="n"/>
      <c r="L7" s="14" t="n"/>
    </row>
    <row r="8">
      <c r="A8" s="14" t="n"/>
      <c r="B8" s="14" t="n"/>
      <c r="C8" s="14" t="n"/>
      <c r="D8" s="14" t="n"/>
      <c r="E8" s="14" t="n"/>
      <c r="F8" s="14" t="n"/>
      <c r="G8" s="14" t="n"/>
      <c r="H8" s="14" t="n"/>
      <c r="I8" s="14" t="n"/>
      <c r="J8" s="14" t="n"/>
      <c r="K8" s="14" t="n"/>
      <c r="L8" s="14" t="n"/>
    </row>
    <row r="9">
      <c r="A9" s="14" t="n"/>
      <c r="B9" s="14" t="n"/>
      <c r="C9" s="14" t="n"/>
      <c r="D9" s="14" t="n"/>
      <c r="E9" s="14" t="n"/>
      <c r="F9" s="14" t="n"/>
      <c r="G9" s="14" t="n"/>
      <c r="H9" s="14" t="n"/>
      <c r="I9" s="14" t="n"/>
      <c r="J9" s="14" t="n"/>
      <c r="K9" s="14" t="n"/>
      <c r="L9" s="14" t="n"/>
    </row>
    <row r="10">
      <c r="A10" s="14" t="n"/>
      <c r="B10" s="14" t="n"/>
      <c r="C10" s="14" t="n"/>
      <c r="D10" s="14" t="n"/>
      <c r="E10" s="14" t="n"/>
      <c r="F10" s="14" t="n"/>
      <c r="G10" s="14" t="n"/>
      <c r="H10" s="14" t="n"/>
      <c r="I10" s="14" t="n"/>
      <c r="J10" s="14" t="n"/>
      <c r="K10" s="14" t="n"/>
      <c r="L10" s="14" t="n"/>
    </row>
    <row r="11">
      <c r="A11" s="14" t="n"/>
      <c r="B11" s="14" t="n"/>
      <c r="C11" s="14" t="n"/>
      <c r="D11" s="14" t="n"/>
      <c r="E11" s="14" t="n"/>
      <c r="F11" s="14" t="n"/>
      <c r="G11" s="14" t="n"/>
      <c r="H11" s="14" t="n"/>
      <c r="I11" s="14" t="n"/>
      <c r="J11" s="14" t="n"/>
      <c r="K11" s="14" t="n"/>
      <c r="L11" s="14" t="n"/>
    </row>
    <row r="12">
      <c r="A12" s="14" t="n"/>
      <c r="B12" s="14" t="n"/>
      <c r="C12" s="14" t="n"/>
      <c r="D12" s="14" t="n"/>
      <c r="E12" s="14" t="n"/>
      <c r="F12" s="14" t="n"/>
      <c r="G12" s="14" t="n"/>
      <c r="H12" s="14" t="n"/>
      <c r="I12" s="14" t="n"/>
      <c r="J12" s="14" t="n"/>
      <c r="K12" s="14" t="n"/>
      <c r="L12" s="14" t="n"/>
    </row>
    <row r="13">
      <c r="A13" s="14" t="n"/>
      <c r="B13" s="14" t="n"/>
      <c r="C13" s="14" t="n"/>
      <c r="D13" s="14" t="n"/>
      <c r="E13" s="14" t="n"/>
      <c r="F13" s="14" t="n"/>
      <c r="G13" s="14" t="n"/>
      <c r="H13" s="14" t="n"/>
      <c r="I13" s="14" t="n"/>
      <c r="J13" s="14" t="n"/>
      <c r="K13" s="14" t="n"/>
      <c r="L13" s="14" t="n"/>
    </row>
    <row r="14">
      <c r="A14" s="14" t="n"/>
      <c r="B14" s="14" t="n"/>
      <c r="C14" s="14" t="n"/>
      <c r="D14" s="14" t="n"/>
      <c r="E14" s="14" t="n"/>
      <c r="F14" s="14" t="n"/>
      <c r="G14" s="14" t="n"/>
      <c r="H14" s="14" t="n"/>
      <c r="I14" s="14" t="n"/>
      <c r="J14" s="14" t="n"/>
      <c r="K14" s="14" t="n"/>
      <c r="L14" s="14" t="n"/>
    </row>
    <row r="15">
      <c r="A15" s="14" t="n"/>
      <c r="B15" s="14" t="n"/>
      <c r="C15" s="14" t="n"/>
      <c r="D15" s="14" t="n"/>
      <c r="E15" s="14" t="n"/>
      <c r="F15" s="14" t="n"/>
      <c r="G15" s="14" t="n"/>
      <c r="H15" s="14" t="n"/>
      <c r="I15" s="14" t="n"/>
      <c r="J15" s="14" t="n"/>
      <c r="K15" s="14" t="n"/>
      <c r="L15" s="14" t="n"/>
    </row>
    <row r="16">
      <c r="A16" s="14" t="n"/>
      <c r="B16" s="14" t="n"/>
      <c r="C16" s="14" t="n"/>
      <c r="D16" s="14" t="n"/>
      <c r="E16" s="14" t="n"/>
      <c r="F16" s="14" t="n"/>
      <c r="G16" s="14" t="n"/>
      <c r="H16" s="14" t="n"/>
      <c r="I16" s="14" t="n"/>
      <c r="J16" s="14" t="n"/>
      <c r="K16" s="14" t="n"/>
      <c r="L16" s="14" t="n"/>
    </row>
    <row r="17">
      <c r="A17" s="14" t="n"/>
      <c r="B17" s="14" t="n"/>
      <c r="C17" s="14" t="n"/>
      <c r="D17" s="14" t="n"/>
      <c r="E17" s="14" t="n"/>
      <c r="F17" s="14" t="n"/>
      <c r="G17" s="14" t="n"/>
      <c r="H17" s="14" t="n"/>
      <c r="I17" s="14" t="n"/>
      <c r="J17" s="14" t="n"/>
      <c r="K17" s="14" t="n"/>
      <c r="L17" s="14" t="n"/>
    </row>
    <row r="18">
      <c r="A18" s="14" t="n"/>
      <c r="B18" s="14" t="n"/>
      <c r="C18" s="14" t="n"/>
      <c r="D18" s="14" t="n"/>
      <c r="E18" s="14" t="n"/>
      <c r="F18" s="14" t="n"/>
      <c r="G18" s="14" t="n"/>
      <c r="H18" s="14" t="n"/>
      <c r="I18" s="14" t="n"/>
      <c r="J18" s="14" t="n"/>
      <c r="K18" s="14" t="n"/>
      <c r="L18" s="14" t="n"/>
    </row>
    <row r="19">
      <c r="A19" s="14" t="n"/>
      <c r="B19" s="14" t="n"/>
      <c r="C19" s="14" t="n"/>
      <c r="D19" s="14" t="n"/>
      <c r="E19" s="14" t="n"/>
      <c r="F19" s="14" t="n"/>
      <c r="G19" s="14" t="n"/>
      <c r="H19" s="14" t="n"/>
      <c r="I19" s="14" t="n"/>
      <c r="J19" s="14" t="n"/>
      <c r="K19" s="14" t="n"/>
      <c r="L19" s="14" t="n"/>
    </row>
    <row r="20">
      <c r="A20" s="14" t="n"/>
      <c r="B20" s="14" t="n"/>
      <c r="C20" s="14" t="n"/>
      <c r="D20" s="14" t="n"/>
      <c r="E20" s="14" t="n"/>
      <c r="F20" s="14" t="n"/>
      <c r="G20" s="14" t="n"/>
      <c r="H20" s="14" t="n"/>
      <c r="I20" s="14" t="n"/>
      <c r="J20" s="14" t="n"/>
      <c r="K20" s="14" t="n"/>
      <c r="L20" s="14" t="n"/>
    </row>
    <row r="21">
      <c r="A21" s="14" t="n"/>
      <c r="B21" s="14" t="n"/>
      <c r="C21" s="14" t="n"/>
      <c r="D21" s="14" t="n"/>
      <c r="E21" s="14" t="n"/>
      <c r="F21" s="14" t="n"/>
      <c r="G21" s="14" t="n"/>
      <c r="H21" s="14" t="n"/>
      <c r="I21" s="14" t="n"/>
      <c r="J21" s="14" t="n"/>
      <c r="K21" s="14" t="n"/>
      <c r="L21" s="14" t="n"/>
    </row>
    <row r="22">
      <c r="A22" s="14" t="n"/>
      <c r="B22" s="14" t="n"/>
      <c r="C22" s="14" t="n"/>
      <c r="D22" s="14" t="n"/>
      <c r="E22" s="14" t="n"/>
      <c r="F22" s="14" t="n"/>
      <c r="G22" s="14" t="n"/>
      <c r="H22" s="14" t="n"/>
      <c r="I22" s="14" t="n"/>
      <c r="J22" s="14" t="n"/>
      <c r="K22" s="14" t="n"/>
      <c r="L22" s="14" t="n"/>
    </row>
    <row r="23">
      <c r="A23" s="14" t="n"/>
      <c r="B23" s="14" t="n"/>
      <c r="C23" s="14" t="n"/>
      <c r="D23" s="14" t="n"/>
      <c r="E23" s="14" t="n"/>
      <c r="F23" s="14" t="n"/>
      <c r="G23" s="14" t="n"/>
      <c r="H23" s="14" t="n"/>
      <c r="I23" s="14" t="n"/>
      <c r="J23" s="14" t="n"/>
      <c r="K23" s="14" t="n"/>
      <c r="L23" s="14" t="n"/>
    </row>
    <row r="24">
      <c r="A24" s="14" t="n"/>
      <c r="B24" s="14" t="n"/>
      <c r="C24" s="14" t="n"/>
      <c r="D24" s="14" t="n"/>
      <c r="E24" s="14" t="n"/>
      <c r="F24" s="14" t="n"/>
      <c r="G24" s="14" t="n"/>
      <c r="H24" s="14" t="n"/>
      <c r="I24" s="14" t="n"/>
      <c r="J24" s="14" t="n"/>
      <c r="K24" s="14" t="n"/>
      <c r="L24" s="14" t="n"/>
    </row>
    <row r="25">
      <c r="A25" s="14" t="n"/>
      <c r="B25" s="14" t="n"/>
      <c r="C25" s="14" t="n"/>
      <c r="D25" s="14" t="n"/>
      <c r="E25" s="14" t="n"/>
      <c r="F25" s="14" t="n"/>
      <c r="G25" s="14" t="n"/>
      <c r="H25" s="14" t="n"/>
      <c r="I25" s="14" t="n"/>
      <c r="J25" s="14" t="n"/>
      <c r="K25" s="14" t="n"/>
      <c r="L25" s="14" t="n"/>
    </row>
    <row r="26">
      <c r="A26" s="14" t="n"/>
      <c r="B26" s="14" t="n"/>
      <c r="C26" s="14" t="n"/>
      <c r="D26" s="14" t="n"/>
      <c r="E26" s="14" t="n"/>
      <c r="F26" s="14" t="n"/>
      <c r="G26" s="14" t="n"/>
      <c r="H26" s="14" t="n"/>
      <c r="I26" s="14" t="n"/>
      <c r="J26" s="14" t="n"/>
      <c r="K26" s="14" t="n"/>
      <c r="L26" s="14" t="n"/>
    </row>
    <row r="27">
      <c r="A27" s="14" t="n"/>
      <c r="B27" s="14" t="n"/>
      <c r="C27" s="14" t="n"/>
      <c r="D27" s="14" t="n"/>
      <c r="E27" s="14" t="n"/>
      <c r="F27" s="14" t="n"/>
      <c r="G27" s="14" t="n"/>
      <c r="H27" s="14" t="n"/>
      <c r="I27" s="14" t="n"/>
      <c r="J27" s="14" t="n"/>
      <c r="K27" s="14" t="n"/>
      <c r="L27" s="14" t="n"/>
    </row>
    <row r="28">
      <c r="A28" s="14" t="n"/>
      <c r="B28" s="14" t="n"/>
      <c r="C28" s="14" t="n"/>
      <c r="D28" s="14" t="n"/>
      <c r="E28" s="14" t="n"/>
      <c r="F28" s="14" t="n"/>
      <c r="G28" s="14" t="n"/>
      <c r="H28" s="14" t="n"/>
      <c r="I28" s="14" t="n"/>
      <c r="J28" s="14" t="n"/>
      <c r="K28" s="14" t="n"/>
      <c r="L28" s="14" t="n"/>
    </row>
    <row r="29">
      <c r="A29" s="14" t="n"/>
      <c r="B29" s="14" t="n"/>
      <c r="C29" s="14" t="n"/>
      <c r="D29" s="14" t="n"/>
      <c r="E29" s="14" t="n"/>
      <c r="F29" s="14" t="n"/>
      <c r="G29" s="14" t="n"/>
      <c r="H29" s="14" t="n"/>
      <c r="I29" s="14" t="n"/>
      <c r="J29" s="14" t="n"/>
      <c r="K29" s="14" t="n"/>
      <c r="L29" s="14" t="n"/>
    </row>
    <row r="30">
      <c r="A30" s="14" t="n"/>
      <c r="B30" s="14" t="n"/>
      <c r="C30" s="14" t="n"/>
      <c r="D30" s="14" t="n"/>
      <c r="E30" s="14" t="n"/>
      <c r="F30" s="14" t="n"/>
      <c r="G30" s="14" t="n"/>
      <c r="H30" s="14" t="n"/>
      <c r="I30" s="14" t="n"/>
      <c r="J30" s="14" t="n"/>
      <c r="K30" s="14" t="n"/>
      <c r="L30" s="14" t="n"/>
    </row>
    <row r="31">
      <c r="A31" s="14" t="n"/>
      <c r="B31" s="14" t="n"/>
      <c r="C31" s="14" t="n"/>
      <c r="D31" s="14" t="n"/>
      <c r="E31" s="14" t="n"/>
      <c r="F31" s="14" t="n"/>
      <c r="G31" s="14" t="n"/>
      <c r="H31" s="14" t="n"/>
      <c r="I31" s="14" t="n"/>
      <c r="J31" s="14" t="n"/>
      <c r="K31" s="14" t="n"/>
      <c r="L31" s="14" t="n"/>
    </row>
    <row r="32">
      <c r="A32" s="14" t="n"/>
      <c r="B32" s="14" t="n"/>
      <c r="C32" s="14" t="n"/>
      <c r="D32" s="14" t="n"/>
      <c r="E32" s="14" t="n"/>
      <c r="F32" s="14" t="n"/>
      <c r="G32" s="14" t="n"/>
      <c r="H32" s="14" t="n"/>
      <c r="I32" s="14" t="n"/>
      <c r="J32" s="14" t="n"/>
      <c r="K32" s="14" t="n"/>
      <c r="L32" s="14" t="n"/>
    </row>
    <row r="33">
      <c r="A33" s="14" t="n"/>
      <c r="B33" s="14" t="n"/>
      <c r="C33" s="14" t="n"/>
      <c r="D33" s="14" t="n"/>
      <c r="E33" s="14" t="n"/>
      <c r="F33" s="14" t="n"/>
      <c r="G33" s="14" t="n"/>
      <c r="H33" s="14" t="n"/>
      <c r="I33" s="14" t="n"/>
      <c r="J33" s="14" t="n"/>
      <c r="K33" s="14" t="n"/>
      <c r="L33" s="14" t="n"/>
    </row>
    <row r="34">
      <c r="A34" s="14" t="n"/>
      <c r="B34" s="14" t="n"/>
      <c r="C34" s="14" t="n"/>
      <c r="D34" s="14" t="n"/>
      <c r="E34" s="14" t="n"/>
      <c r="F34" s="14" t="n"/>
      <c r="G34" s="14" t="n"/>
      <c r="H34" s="14" t="n"/>
      <c r="I34" s="14" t="n"/>
      <c r="J34" s="14" t="n"/>
      <c r="K34" s="14" t="n"/>
      <c r="L34" s="14" t="n"/>
    </row>
    <row r="35">
      <c r="A35" s="14" t="n"/>
      <c r="B35" s="14" t="n"/>
      <c r="C35" s="14" t="n"/>
      <c r="D35" s="14" t="n"/>
      <c r="E35" s="14" t="n"/>
      <c r="F35" s="14" t="n"/>
      <c r="G35" s="14" t="n"/>
      <c r="H35" s="14" t="n"/>
      <c r="I35" s="14" t="n"/>
      <c r="J35" s="14" t="n"/>
      <c r="K35" s="14" t="n"/>
      <c r="L35" s="14" t="n"/>
    </row>
    <row r="36">
      <c r="A36" s="14" t="n"/>
      <c r="B36" s="14" t="n"/>
      <c r="C36" s="14" t="n"/>
      <c r="D36" s="14" t="n"/>
      <c r="E36" s="14" t="n"/>
      <c r="F36" s="14" t="n"/>
      <c r="G36" s="14" t="n"/>
      <c r="H36" s="14" t="n"/>
      <c r="I36" s="14" t="n"/>
      <c r="J36" s="14" t="n"/>
      <c r="K36" s="14" t="n"/>
      <c r="L36" s="14" t="n"/>
    </row>
    <row r="37">
      <c r="A37" s="14" t="n"/>
      <c r="B37" s="14" t="n"/>
      <c r="C37" s="14" t="n"/>
      <c r="D37" s="14" t="n"/>
      <c r="E37" s="14" t="n"/>
      <c r="F37" s="14" t="n"/>
      <c r="G37" s="14" t="n"/>
      <c r="H37" s="14" t="n"/>
      <c r="I37" s="14" t="n"/>
      <c r="J37" s="14" t="n"/>
      <c r="K37" s="14" t="n"/>
      <c r="L37" s="14" t="n"/>
    </row>
    <row r="38">
      <c r="A38" s="14" t="n"/>
      <c r="B38" s="14" t="n"/>
      <c r="C38" s="14" t="n"/>
      <c r="D38" s="14" t="n"/>
      <c r="E38" s="14" t="n"/>
      <c r="F38" s="14" t="n"/>
      <c r="G38" s="14" t="n"/>
      <c r="H38" s="14" t="n"/>
      <c r="I38" s="14" t="n"/>
      <c r="J38" s="14" t="n"/>
      <c r="K38" s="14" t="n"/>
      <c r="L38" s="14" t="n"/>
    </row>
    <row r="39">
      <c r="A39" s="14" t="n"/>
      <c r="B39" s="14" t="n"/>
      <c r="C39" s="14" t="n"/>
      <c r="D39" s="14" t="n"/>
      <c r="E39" s="14" t="n"/>
      <c r="F39" s="14" t="n"/>
      <c r="G39" s="14" t="n"/>
      <c r="H39" s="14" t="n"/>
      <c r="I39" s="14" t="n"/>
      <c r="J39" s="14" t="n"/>
      <c r="K39" s="14" t="n"/>
      <c r="L39" s="14" t="n"/>
    </row>
    <row r="40">
      <c r="A40" s="14" t="n"/>
      <c r="B40" s="14" t="n"/>
      <c r="C40" s="14" t="n"/>
      <c r="D40" s="14" t="n"/>
      <c r="E40" s="14" t="n"/>
      <c r="F40" s="14" t="n"/>
      <c r="G40" s="14" t="n"/>
      <c r="H40" s="14" t="n"/>
      <c r="I40" s="14" t="n"/>
      <c r="J40" s="14" t="n"/>
      <c r="K40" s="14" t="n"/>
      <c r="L40" s="14" t="n"/>
    </row>
    <row r="41">
      <c r="A41" s="14" t="n"/>
      <c r="B41" s="14" t="n"/>
      <c r="C41" s="14" t="n"/>
      <c r="D41" s="14" t="n"/>
      <c r="E41" s="14" t="n"/>
      <c r="F41" s="14" t="n"/>
      <c r="G41" s="14" t="n"/>
      <c r="H41" s="14" t="n"/>
      <c r="I41" s="14" t="n"/>
      <c r="J41" s="14" t="n"/>
      <c r="K41" s="14" t="n"/>
      <c r="L41" s="14" t="n"/>
    </row>
    <row r="42">
      <c r="A42" s="14" t="n"/>
      <c r="B42" s="14" t="n"/>
      <c r="C42" s="14" t="n"/>
      <c r="D42" s="14" t="n"/>
      <c r="E42" s="14" t="n"/>
      <c r="F42" s="14" t="n"/>
      <c r="G42" s="14" t="n"/>
      <c r="H42" s="14" t="n"/>
      <c r="I42" s="14" t="n"/>
      <c r="J42" s="14" t="n"/>
      <c r="K42" s="14" t="n"/>
      <c r="L42" s="14" t="n"/>
    </row>
    <row r="43">
      <c r="A43" s="14" t="n"/>
      <c r="B43" s="14" t="n"/>
      <c r="C43" s="14" t="n"/>
      <c r="D43" s="14" t="n"/>
      <c r="E43" s="14" t="n"/>
      <c r="F43" s="14" t="n"/>
      <c r="G43" s="14" t="n"/>
      <c r="H43" s="14" t="n"/>
      <c r="I43" s="14" t="n"/>
      <c r="J43" s="14" t="n"/>
      <c r="K43" s="14" t="n"/>
      <c r="L43" s="14" t="n"/>
    </row>
    <row r="44">
      <c r="A44" s="14" t="n"/>
      <c r="B44" s="14" t="n"/>
      <c r="C44" s="14" t="n"/>
      <c r="D44" s="14" t="n"/>
      <c r="E44" s="14" t="n"/>
      <c r="F44" s="14" t="n"/>
      <c r="G44" s="14" t="n"/>
      <c r="H44" s="14" t="n"/>
      <c r="I44" s="14" t="n"/>
      <c r="J44" s="14" t="n"/>
      <c r="K44" s="14" t="n"/>
      <c r="L44" s="14" t="n"/>
    </row>
    <row r="45">
      <c r="A45" s="14" t="n"/>
      <c r="B45" s="14" t="n"/>
      <c r="C45" s="14" t="n"/>
      <c r="D45" s="14" t="n"/>
      <c r="E45" s="14" t="n"/>
      <c r="F45" s="14" t="n"/>
      <c r="G45" s="14" t="n"/>
      <c r="H45" s="14" t="n"/>
      <c r="I45" s="14" t="n"/>
      <c r="J45" s="14" t="n"/>
      <c r="K45" s="14" t="n"/>
      <c r="L45" s="14" t="n"/>
    </row>
    <row r="46">
      <c r="A46" s="14" t="n"/>
      <c r="B46" s="14" t="n"/>
      <c r="C46" s="14" t="n"/>
      <c r="D46" s="14" t="n"/>
      <c r="E46" s="14" t="n"/>
      <c r="F46" s="14" t="n"/>
      <c r="G46" s="14" t="n"/>
      <c r="H46" s="14" t="n"/>
      <c r="I46" s="14" t="n"/>
      <c r="J46" s="14" t="n"/>
      <c r="K46" s="14" t="n"/>
      <c r="L46" s="14" t="n"/>
    </row>
    <row r="47">
      <c r="A47" s="14" t="n"/>
      <c r="B47" s="14" t="n"/>
      <c r="C47" s="14" t="n"/>
      <c r="D47" s="14" t="n"/>
      <c r="E47" s="14" t="n"/>
      <c r="F47" s="14" t="n"/>
      <c r="G47" s="14" t="n"/>
      <c r="H47" s="14" t="n"/>
      <c r="I47" s="14" t="n"/>
      <c r="J47" s="14" t="n"/>
      <c r="K47" s="14" t="n"/>
      <c r="L47" s="14" t="n"/>
    </row>
    <row r="48">
      <c r="A48" s="14" t="n"/>
      <c r="B48" s="14" t="n"/>
      <c r="C48" s="14" t="n"/>
      <c r="D48" s="14" t="n"/>
      <c r="E48" s="14" t="n"/>
      <c r="F48" s="14" t="n"/>
      <c r="G48" s="14" t="n"/>
      <c r="H48" s="14" t="n"/>
      <c r="I48" s="14" t="n"/>
      <c r="J48" s="14" t="n"/>
      <c r="K48" s="14" t="n"/>
      <c r="L48" s="14" t="n"/>
    </row>
    <row r="49">
      <c r="A49" s="14" t="n"/>
      <c r="B49" s="14" t="n"/>
      <c r="C49" s="14" t="n"/>
      <c r="D49" s="14" t="n"/>
      <c r="E49" s="14" t="n"/>
      <c r="F49" s="14" t="n"/>
      <c r="G49" s="14" t="n"/>
      <c r="H49" s="14" t="n"/>
      <c r="I49" s="14" t="n"/>
      <c r="J49" s="14" t="n"/>
      <c r="K49" s="14" t="n"/>
      <c r="L49" s="14" t="n"/>
    </row>
    <row r="50">
      <c r="A50" s="14" t="n"/>
      <c r="B50" s="14" t="n"/>
      <c r="C50" s="14" t="n"/>
      <c r="D50" s="14" t="n"/>
      <c r="E50" s="14" t="n"/>
      <c r="F50" s="14" t="n"/>
      <c r="G50" s="14" t="n"/>
      <c r="H50" s="14" t="n"/>
      <c r="I50" s="14" t="n"/>
      <c r="J50" s="14" t="n"/>
      <c r="K50" s="14" t="n"/>
      <c r="L50" s="14" t="n"/>
    </row>
    <row r="51">
      <c r="A51" s="14" t="n"/>
      <c r="B51" s="14" t="n"/>
      <c r="C51" s="14" t="n"/>
      <c r="D51" s="14" t="n"/>
      <c r="E51" s="14" t="n"/>
      <c r="F51" s="14" t="n"/>
      <c r="G51" s="14" t="n"/>
      <c r="H51" s="14" t="n"/>
      <c r="I51" s="14" t="n"/>
      <c r="J51" s="14" t="n"/>
      <c r="K51" s="14" t="n"/>
      <c r="L51" s="14" t="n"/>
    </row>
    <row r="52">
      <c r="A52" s="14" t="n"/>
      <c r="B52" s="14" t="n"/>
      <c r="C52" s="14" t="n"/>
      <c r="D52" s="14" t="n"/>
      <c r="E52" s="14" t="n"/>
      <c r="F52" s="14" t="n"/>
      <c r="G52" s="14" t="n"/>
      <c r="H52" s="14" t="n"/>
      <c r="I52" s="14" t="n"/>
      <c r="J52" s="14" t="n"/>
      <c r="K52" s="14" t="n"/>
      <c r="L52" s="14" t="n"/>
    </row>
    <row r="53">
      <c r="A53" s="14" t="n"/>
      <c r="B53" s="14" t="n"/>
      <c r="C53" s="14" t="n"/>
      <c r="D53" s="14" t="n"/>
      <c r="E53" s="14" t="n"/>
      <c r="F53" s="14" t="n"/>
      <c r="G53" s="14" t="n"/>
      <c r="H53" s="14" t="n"/>
      <c r="I53" s="14" t="n"/>
      <c r="J53" s="14" t="n"/>
      <c r="K53" s="14" t="n"/>
      <c r="L53" s="14" t="n"/>
    </row>
    <row r="54">
      <c r="A54" s="14" t="n"/>
      <c r="B54" s="14" t="n"/>
      <c r="C54" s="14" t="n"/>
      <c r="D54" s="14" t="n"/>
      <c r="E54" s="14" t="n"/>
      <c r="F54" s="14" t="n"/>
      <c r="G54" s="14" t="n"/>
      <c r="H54" s="14" t="n"/>
      <c r="I54" s="14" t="n"/>
      <c r="J54" s="14" t="n"/>
      <c r="K54" s="14" t="n"/>
      <c r="L54" s="14" t="n"/>
    </row>
    <row r="55">
      <c r="A55" s="14" t="n"/>
      <c r="B55" s="14" t="n"/>
      <c r="C55" s="14" t="n"/>
      <c r="D55" s="14" t="n"/>
      <c r="E55" s="14" t="n"/>
      <c r="F55" s="14" t="n"/>
      <c r="G55" s="14" t="n"/>
      <c r="H55" s="14" t="n"/>
      <c r="I55" s="14" t="n"/>
      <c r="J55" s="14" t="n"/>
      <c r="K55" s="14" t="n"/>
      <c r="L55" s="14" t="n"/>
    </row>
    <row r="56">
      <c r="A56" s="14" t="n"/>
      <c r="B56" s="14" t="n"/>
      <c r="C56" s="14" t="n"/>
      <c r="D56" s="14" t="n"/>
      <c r="E56" s="14" t="n"/>
      <c r="F56" s="14" t="n"/>
      <c r="G56" s="14" t="n"/>
      <c r="H56" s="14" t="n"/>
      <c r="I56" s="14" t="n"/>
      <c r="J56" s="14" t="n"/>
      <c r="K56" s="14" t="n"/>
      <c r="L56" s="14" t="n"/>
    </row>
    <row r="57">
      <c r="A57" s="13" t="inlineStr">
        <is>
          <t>Email Channel Coverage %</t>
        </is>
      </c>
      <c r="B57" s="19">
        <f>(COUNTIF(E7:E56,"Yes")/COUNTA(A7:A56))*100</f>
        <v/>
      </c>
    </row>
  </sheetData>
  <mergeCells count="3">
    <mergeCell ref="A3:L3"/>
    <mergeCell ref="A2:L2"/>
    <mergeCell ref="A1:L1"/>
  </mergeCells>
  <dataValidations count="5">
    <dataValidation sqref="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I7 I8 I9 I10 I11 I12 I13 I14 I15 I16 I17 I18 I19 I20 I21 I22 I23 I24 I25 I26 I27 I28 I29 I30 I31 I32 I33 I34 I35 I36 I37 I38 I39 I40 I41 I42 I43 I44 I45 I46 I47 I48 I49 I50 I51 I52 I53 I54 I55 I56 K7 K8 K9 K10 K11 K12 K13 K14 K15 K16 K17 K18 K19 K20 K21 K22 K23 K24 K25 K26 K27 K28 K29 K30 K31 K32 K33 K34 K35 K36 K37 K38 K39 K40 K41 K42 K43 K44 K45 K46 K47 K48 K49 K50 K51 K52 K53 K54 K55 K56" showDropDown="1" showInputMessage="0" showErrorMessage="1" allowBlank="0" errorTitle="Invalid Entry" error="Invalid value. Select from dropdown." type="list">
      <formula1>"Yes,No,Partial,Planned,N/A"</formula1>
    </dataValidation>
    <dataValidation sqref="B7 B8 B9 B10 B11 B12 B13 B14 B15 B16 B17 B18 B19 B20 B21 B22 B23 B24 B25 B26 B27 B28 B29 B30 B31 B32 B33 B34 B35 B36 B37 B38 B39 B40 B41 B42 B43 B44 B45 B46 B47 B48 B49 B50 B51 B52 B53 B54 B55 B56" showDropDown="1" showInputMessage="0" showErrorMessage="0" allowBlank="0" type="list">
      <formula1>"SMTP,M365,Gmail,Webmail,Other"</formula1>
    </dataValidation>
    <dataValidation sqref="D7 D8 D9 D10 D11 D12 D13 D14 D15 D16 D17 D18 D19 D20 D21 D22 D23 D24 D25 D26 D27 D28 D29 D30 D31 D32 D33 D34 D35 D36 D37 D38 D39 D40 D41 D42 D43 D44 D45 D46 D47 D48 D49 D50 D51 D52 D53 D54 D55 D56" showDropDown="1" showInputMessage="0" showErrorMessage="0" allowBlank="0" type="list">
      <formula1>"Inline,Monitor,Cloud-Native,CASB"</formula1>
    </dataValidation>
    <dataValidation sqref="H7 H8 H9 H10 H11 H12 H13 H14 H15 H16 H17 H18 H19 H20 H21 H22 H23 H24 H25 H26 H27 H28 H29 H30 H31 H32 H33 H34 H35 H36 H37 H38 H39 H40 H41 H42 H43 H44 H45 H46 H47 H48 H49 H50 H51 H52 H53 H54 H55 H56" showDropDown="1" showInputMessage="0" showErrorMessage="0" allowBlank="0" type="list">
      <formula1>"Allow,Alert,Block,Quarantine,Encrypt"</formula1>
    </dataValidation>
    <dataValidation sqref="G7 G8 G9 G10 G11 G12 G13 G14 G15 G16 G17 G18 G19 G20 G21 G22 G23 G24 G25 G26 G27 G28 G29 G30 G31 G32 G33 G34 G35 G36 G37 G38 G39 G40 G41 G42 G43 G44 G45 G46 G47 G48 G49 G50 G51 G52 G53 G54 G55 G56" showDropDown="1" showInputMessage="0" showErrorMessage="0" allowBlank="0" type="list">
      <formula1>"Decrypt,Quarantine,Allow,Block"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7"/>
  <sheetViews>
    <sheetView showGridLines="0" workbookViewId="0">
      <pane ySplit="5" topLeftCell="A6" activePane="bottomLeft" state="frozen"/>
      <selection pane="bottomLeft" activeCell="A1" sqref="A1"/>
    </sheetView>
  </sheetViews>
  <sheetFormatPr baseColWidth="8" defaultRowHeight="15"/>
  <cols>
    <col width="30" customWidth="1" min="1" max="1"/>
    <col width="25" customWidth="1" min="2" max="2"/>
    <col width="25" customWidth="1" min="3" max="3"/>
    <col width="20" customWidth="1" min="4" max="4"/>
    <col width="18" customWidth="1" min="5" max="5"/>
    <col width="18" customWidth="1" min="6" max="6"/>
    <col width="18" customWidth="1" min="7" max="7"/>
    <col width="18" customWidth="1" min="8" max="8"/>
    <col width="15" customWidth="1" min="9" max="9"/>
    <col width="18" customWidth="1" min="10" max="10"/>
    <col width="18" customWidth="1" min="11" max="11"/>
  </cols>
  <sheetData>
    <row r="1" ht="35" customHeight="1">
      <c r="A1" s="11" t="inlineStr">
        <is>
          <t>WEB/CLOUD CHANNEL PROTECTION ASSESSMENT</t>
        </is>
      </c>
    </row>
    <row r="2">
      <c r="A2" s="12" t="inlineStr">
        <is>
          <t>Evaluate DLP coverage for web uploads, cloud storage, SaaS applications</t>
        </is>
      </c>
    </row>
    <row r="3">
      <c r="A3" s="17" t="inlineStr">
        <is>
          <t>Does your organisation protect against data exfiltration via web and cloud services?</t>
        </is>
      </c>
    </row>
    <row r="5">
      <c r="A5" s="15" t="inlineStr">
        <is>
          <t>Service/Application</t>
        </is>
      </c>
      <c r="B5" s="15" t="inlineStr">
        <is>
          <t>Service Type</t>
        </is>
      </c>
      <c r="C5" s="15" t="inlineStr">
        <is>
          <t>DLP Solution</t>
        </is>
      </c>
      <c r="D5" s="15" t="inlineStr">
        <is>
          <t>Protection Method</t>
        </is>
      </c>
      <c r="E5" s="15" t="inlineStr">
        <is>
          <t>SSL/TLS Inspection</t>
        </is>
      </c>
      <c r="F5" s="15" t="inlineStr">
        <is>
          <t>Upload Blocking</t>
        </is>
      </c>
      <c r="G5" s="15" t="inlineStr">
        <is>
          <t>Download Monitoring</t>
        </is>
      </c>
      <c r="H5" s="15" t="inlineStr">
        <is>
          <t>Policy Action</t>
        </is>
      </c>
      <c r="I5" s="15" t="inlineStr">
        <is>
          <t>Users Covered</t>
        </is>
      </c>
      <c r="J5" s="15" t="inlineStr">
        <is>
          <t>SIEM Integration</t>
        </is>
      </c>
      <c r="K5" s="15" t="inlineStr">
        <is>
          <t>Evidence ID</t>
        </is>
      </c>
    </row>
    <row r="6">
      <c r="A6" s="18" t="inlineStr">
        <is>
          <t>OneDrive</t>
        </is>
      </c>
      <c r="B6" s="18" t="inlineStr">
        <is>
          <t>Cloud Storage</t>
        </is>
      </c>
      <c r="C6" s="18" t="inlineStr">
        <is>
          <t>Microsoft Purview</t>
        </is>
      </c>
      <c r="D6" s="18" t="inlineStr">
        <is>
          <t>Cloud-Native</t>
        </is>
      </c>
      <c r="E6" s="18" t="inlineStr">
        <is>
          <t>Yes</t>
        </is>
      </c>
      <c r="F6" s="18" t="inlineStr">
        <is>
          <t>Yes</t>
        </is>
      </c>
      <c r="G6" s="18" t="inlineStr">
        <is>
          <t>Yes</t>
        </is>
      </c>
      <c r="H6" s="18" t="inlineStr">
        <is>
          <t>Block</t>
        </is>
      </c>
      <c r="I6" s="18" t="inlineStr">
        <is>
          <t>850</t>
        </is>
      </c>
      <c r="J6" s="18" t="inlineStr">
        <is>
          <t>Yes</t>
        </is>
      </c>
      <c r="K6" s="18" t="inlineStr">
        <is>
          <t>A812-3-WEB-001</t>
        </is>
      </c>
    </row>
    <row r="7">
      <c r="A7" s="14" t="n"/>
      <c r="B7" s="14" t="n"/>
      <c r="C7" s="14" t="n"/>
      <c r="D7" s="14" t="n"/>
      <c r="E7" s="14" t="n"/>
      <c r="F7" s="14" t="n"/>
      <c r="G7" s="14" t="n"/>
      <c r="H7" s="14" t="n"/>
      <c r="I7" s="14" t="n"/>
      <c r="J7" s="14" t="n"/>
      <c r="K7" s="14" t="n"/>
    </row>
    <row r="8">
      <c r="A8" s="14" t="n"/>
      <c r="B8" s="14" t="n"/>
      <c r="C8" s="14" t="n"/>
      <c r="D8" s="14" t="n"/>
      <c r="E8" s="14" t="n"/>
      <c r="F8" s="14" t="n"/>
      <c r="G8" s="14" t="n"/>
      <c r="H8" s="14" t="n"/>
      <c r="I8" s="14" t="n"/>
      <c r="J8" s="14" t="n"/>
      <c r="K8" s="14" t="n"/>
    </row>
    <row r="9">
      <c r="A9" s="14" t="n"/>
      <c r="B9" s="14" t="n"/>
      <c r="C9" s="14" t="n"/>
      <c r="D9" s="14" t="n"/>
      <c r="E9" s="14" t="n"/>
      <c r="F9" s="14" t="n"/>
      <c r="G9" s="14" t="n"/>
      <c r="H9" s="14" t="n"/>
      <c r="I9" s="14" t="n"/>
      <c r="J9" s="14" t="n"/>
      <c r="K9" s="14" t="n"/>
    </row>
    <row r="10">
      <c r="A10" s="14" t="n"/>
      <c r="B10" s="14" t="n"/>
      <c r="C10" s="14" t="n"/>
      <c r="D10" s="14" t="n"/>
      <c r="E10" s="14" t="n"/>
      <c r="F10" s="14" t="n"/>
      <c r="G10" s="14" t="n"/>
      <c r="H10" s="14" t="n"/>
      <c r="I10" s="14" t="n"/>
      <c r="J10" s="14" t="n"/>
      <c r="K10" s="14" t="n"/>
    </row>
    <row r="11">
      <c r="A11" s="14" t="n"/>
      <c r="B11" s="14" t="n"/>
      <c r="C11" s="14" t="n"/>
      <c r="D11" s="14" t="n"/>
      <c r="E11" s="14" t="n"/>
      <c r="F11" s="14" t="n"/>
      <c r="G11" s="14" t="n"/>
      <c r="H11" s="14" t="n"/>
      <c r="I11" s="14" t="n"/>
      <c r="J11" s="14" t="n"/>
      <c r="K11" s="14" t="n"/>
    </row>
    <row r="12">
      <c r="A12" s="14" t="n"/>
      <c r="B12" s="14" t="n"/>
      <c r="C12" s="14" t="n"/>
      <c r="D12" s="14" t="n"/>
      <c r="E12" s="14" t="n"/>
      <c r="F12" s="14" t="n"/>
      <c r="G12" s="14" t="n"/>
      <c r="H12" s="14" t="n"/>
      <c r="I12" s="14" t="n"/>
      <c r="J12" s="14" t="n"/>
      <c r="K12" s="14" t="n"/>
    </row>
    <row r="13">
      <c r="A13" s="14" t="n"/>
      <c r="B13" s="14" t="n"/>
      <c r="C13" s="14" t="n"/>
      <c r="D13" s="14" t="n"/>
      <c r="E13" s="14" t="n"/>
      <c r="F13" s="14" t="n"/>
      <c r="G13" s="14" t="n"/>
      <c r="H13" s="14" t="n"/>
      <c r="I13" s="14" t="n"/>
      <c r="J13" s="14" t="n"/>
      <c r="K13" s="14" t="n"/>
    </row>
    <row r="14">
      <c r="A14" s="14" t="n"/>
      <c r="B14" s="14" t="n"/>
      <c r="C14" s="14" t="n"/>
      <c r="D14" s="14" t="n"/>
      <c r="E14" s="14" t="n"/>
      <c r="F14" s="14" t="n"/>
      <c r="G14" s="14" t="n"/>
      <c r="H14" s="14" t="n"/>
      <c r="I14" s="14" t="n"/>
      <c r="J14" s="14" t="n"/>
      <c r="K14" s="14" t="n"/>
    </row>
    <row r="15">
      <c r="A15" s="14" t="n"/>
      <c r="B15" s="14" t="n"/>
      <c r="C15" s="14" t="n"/>
      <c r="D15" s="14" t="n"/>
      <c r="E15" s="14" t="n"/>
      <c r="F15" s="14" t="n"/>
      <c r="G15" s="14" t="n"/>
      <c r="H15" s="14" t="n"/>
      <c r="I15" s="14" t="n"/>
      <c r="J15" s="14" t="n"/>
      <c r="K15" s="14" t="n"/>
    </row>
    <row r="16">
      <c r="A16" s="14" t="n"/>
      <c r="B16" s="14" t="n"/>
      <c r="C16" s="14" t="n"/>
      <c r="D16" s="14" t="n"/>
      <c r="E16" s="14" t="n"/>
      <c r="F16" s="14" t="n"/>
      <c r="G16" s="14" t="n"/>
      <c r="H16" s="14" t="n"/>
      <c r="I16" s="14" t="n"/>
      <c r="J16" s="14" t="n"/>
      <c r="K16" s="14" t="n"/>
    </row>
    <row r="17">
      <c r="A17" s="14" t="n"/>
      <c r="B17" s="14" t="n"/>
      <c r="C17" s="14" t="n"/>
      <c r="D17" s="14" t="n"/>
      <c r="E17" s="14" t="n"/>
      <c r="F17" s="14" t="n"/>
      <c r="G17" s="14" t="n"/>
      <c r="H17" s="14" t="n"/>
      <c r="I17" s="14" t="n"/>
      <c r="J17" s="14" t="n"/>
      <c r="K17" s="14" t="n"/>
    </row>
    <row r="18">
      <c r="A18" s="14" t="n"/>
      <c r="B18" s="14" t="n"/>
      <c r="C18" s="14" t="n"/>
      <c r="D18" s="14" t="n"/>
      <c r="E18" s="14" t="n"/>
      <c r="F18" s="14" t="n"/>
      <c r="G18" s="14" t="n"/>
      <c r="H18" s="14" t="n"/>
      <c r="I18" s="14" t="n"/>
      <c r="J18" s="14" t="n"/>
      <c r="K18" s="14" t="n"/>
    </row>
    <row r="19">
      <c r="A19" s="14" t="n"/>
      <c r="B19" s="14" t="n"/>
      <c r="C19" s="14" t="n"/>
      <c r="D19" s="14" t="n"/>
      <c r="E19" s="14" t="n"/>
      <c r="F19" s="14" t="n"/>
      <c r="G19" s="14" t="n"/>
      <c r="H19" s="14" t="n"/>
      <c r="I19" s="14" t="n"/>
      <c r="J19" s="14" t="n"/>
      <c r="K19" s="14" t="n"/>
    </row>
    <row r="20">
      <c r="A20" s="14" t="n"/>
      <c r="B20" s="14" t="n"/>
      <c r="C20" s="14" t="n"/>
      <c r="D20" s="14" t="n"/>
      <c r="E20" s="14" t="n"/>
      <c r="F20" s="14" t="n"/>
      <c r="G20" s="14" t="n"/>
      <c r="H20" s="14" t="n"/>
      <c r="I20" s="14" t="n"/>
      <c r="J20" s="14" t="n"/>
      <c r="K20" s="14" t="n"/>
    </row>
    <row r="21">
      <c r="A21" s="14" t="n"/>
      <c r="B21" s="14" t="n"/>
      <c r="C21" s="14" t="n"/>
      <c r="D21" s="14" t="n"/>
      <c r="E21" s="14" t="n"/>
      <c r="F21" s="14" t="n"/>
      <c r="G21" s="14" t="n"/>
      <c r="H21" s="14" t="n"/>
      <c r="I21" s="14" t="n"/>
      <c r="J21" s="14" t="n"/>
      <c r="K21" s="14" t="n"/>
    </row>
    <row r="22">
      <c r="A22" s="14" t="n"/>
      <c r="B22" s="14" t="n"/>
      <c r="C22" s="14" t="n"/>
      <c r="D22" s="14" t="n"/>
      <c r="E22" s="14" t="n"/>
      <c r="F22" s="14" t="n"/>
      <c r="G22" s="14" t="n"/>
      <c r="H22" s="14" t="n"/>
      <c r="I22" s="14" t="n"/>
      <c r="J22" s="14" t="n"/>
      <c r="K22" s="14" t="n"/>
    </row>
    <row r="23">
      <c r="A23" s="14" t="n"/>
      <c r="B23" s="14" t="n"/>
      <c r="C23" s="14" t="n"/>
      <c r="D23" s="14" t="n"/>
      <c r="E23" s="14" t="n"/>
      <c r="F23" s="14" t="n"/>
      <c r="G23" s="14" t="n"/>
      <c r="H23" s="14" t="n"/>
      <c r="I23" s="14" t="n"/>
      <c r="J23" s="14" t="n"/>
      <c r="K23" s="14" t="n"/>
    </row>
    <row r="24">
      <c r="A24" s="14" t="n"/>
      <c r="B24" s="14" t="n"/>
      <c r="C24" s="14" t="n"/>
      <c r="D24" s="14" t="n"/>
      <c r="E24" s="14" t="n"/>
      <c r="F24" s="14" t="n"/>
      <c r="G24" s="14" t="n"/>
      <c r="H24" s="14" t="n"/>
      <c r="I24" s="14" t="n"/>
      <c r="J24" s="14" t="n"/>
      <c r="K24" s="14" t="n"/>
    </row>
    <row r="25">
      <c r="A25" s="14" t="n"/>
      <c r="B25" s="14" t="n"/>
      <c r="C25" s="14" t="n"/>
      <c r="D25" s="14" t="n"/>
      <c r="E25" s="14" t="n"/>
      <c r="F25" s="14" t="n"/>
      <c r="G25" s="14" t="n"/>
      <c r="H25" s="14" t="n"/>
      <c r="I25" s="14" t="n"/>
      <c r="J25" s="14" t="n"/>
      <c r="K25" s="14" t="n"/>
    </row>
    <row r="26">
      <c r="A26" s="14" t="n"/>
      <c r="B26" s="14" t="n"/>
      <c r="C26" s="14" t="n"/>
      <c r="D26" s="14" t="n"/>
      <c r="E26" s="14" t="n"/>
      <c r="F26" s="14" t="n"/>
      <c r="G26" s="14" t="n"/>
      <c r="H26" s="14" t="n"/>
      <c r="I26" s="14" t="n"/>
      <c r="J26" s="14" t="n"/>
      <c r="K26" s="14" t="n"/>
    </row>
    <row r="27">
      <c r="A27" s="14" t="n"/>
      <c r="B27" s="14" t="n"/>
      <c r="C27" s="14" t="n"/>
      <c r="D27" s="14" t="n"/>
      <c r="E27" s="14" t="n"/>
      <c r="F27" s="14" t="n"/>
      <c r="G27" s="14" t="n"/>
      <c r="H27" s="14" t="n"/>
      <c r="I27" s="14" t="n"/>
      <c r="J27" s="14" t="n"/>
      <c r="K27" s="14" t="n"/>
    </row>
    <row r="28">
      <c r="A28" s="14" t="n"/>
      <c r="B28" s="14" t="n"/>
      <c r="C28" s="14" t="n"/>
      <c r="D28" s="14" t="n"/>
      <c r="E28" s="14" t="n"/>
      <c r="F28" s="14" t="n"/>
      <c r="G28" s="14" t="n"/>
      <c r="H28" s="14" t="n"/>
      <c r="I28" s="14" t="n"/>
      <c r="J28" s="14" t="n"/>
      <c r="K28" s="14" t="n"/>
    </row>
    <row r="29">
      <c r="A29" s="14" t="n"/>
      <c r="B29" s="14" t="n"/>
      <c r="C29" s="14" t="n"/>
      <c r="D29" s="14" t="n"/>
      <c r="E29" s="14" t="n"/>
      <c r="F29" s="14" t="n"/>
      <c r="G29" s="14" t="n"/>
      <c r="H29" s="14" t="n"/>
      <c r="I29" s="14" t="n"/>
      <c r="J29" s="14" t="n"/>
      <c r="K29" s="14" t="n"/>
    </row>
    <row r="30">
      <c r="A30" s="14" t="n"/>
      <c r="B30" s="14" t="n"/>
      <c r="C30" s="14" t="n"/>
      <c r="D30" s="14" t="n"/>
      <c r="E30" s="14" t="n"/>
      <c r="F30" s="14" t="n"/>
      <c r="G30" s="14" t="n"/>
      <c r="H30" s="14" t="n"/>
      <c r="I30" s="14" t="n"/>
      <c r="J30" s="14" t="n"/>
      <c r="K30" s="14" t="n"/>
    </row>
    <row r="31">
      <c r="A31" s="14" t="n"/>
      <c r="B31" s="14" t="n"/>
      <c r="C31" s="14" t="n"/>
      <c r="D31" s="14" t="n"/>
      <c r="E31" s="14" t="n"/>
      <c r="F31" s="14" t="n"/>
      <c r="G31" s="14" t="n"/>
      <c r="H31" s="14" t="n"/>
      <c r="I31" s="14" t="n"/>
      <c r="J31" s="14" t="n"/>
      <c r="K31" s="14" t="n"/>
    </row>
    <row r="32">
      <c r="A32" s="14" t="n"/>
      <c r="B32" s="14" t="n"/>
      <c r="C32" s="14" t="n"/>
      <c r="D32" s="14" t="n"/>
      <c r="E32" s="14" t="n"/>
      <c r="F32" s="14" t="n"/>
      <c r="G32" s="14" t="n"/>
      <c r="H32" s="14" t="n"/>
      <c r="I32" s="14" t="n"/>
      <c r="J32" s="14" t="n"/>
      <c r="K32" s="14" t="n"/>
    </row>
    <row r="33">
      <c r="A33" s="14" t="n"/>
      <c r="B33" s="14" t="n"/>
      <c r="C33" s="14" t="n"/>
      <c r="D33" s="14" t="n"/>
      <c r="E33" s="14" t="n"/>
      <c r="F33" s="14" t="n"/>
      <c r="G33" s="14" t="n"/>
      <c r="H33" s="14" t="n"/>
      <c r="I33" s="14" t="n"/>
      <c r="J33" s="14" t="n"/>
      <c r="K33" s="14" t="n"/>
    </row>
    <row r="34">
      <c r="A34" s="14" t="n"/>
      <c r="B34" s="14" t="n"/>
      <c r="C34" s="14" t="n"/>
      <c r="D34" s="14" t="n"/>
      <c r="E34" s="14" t="n"/>
      <c r="F34" s="14" t="n"/>
      <c r="G34" s="14" t="n"/>
      <c r="H34" s="14" t="n"/>
      <c r="I34" s="14" t="n"/>
      <c r="J34" s="14" t="n"/>
      <c r="K34" s="14" t="n"/>
    </row>
    <row r="35">
      <c r="A35" s="14" t="n"/>
      <c r="B35" s="14" t="n"/>
      <c r="C35" s="14" t="n"/>
      <c r="D35" s="14" t="n"/>
      <c r="E35" s="14" t="n"/>
      <c r="F35" s="14" t="n"/>
      <c r="G35" s="14" t="n"/>
      <c r="H35" s="14" t="n"/>
      <c r="I35" s="14" t="n"/>
      <c r="J35" s="14" t="n"/>
      <c r="K35" s="14" t="n"/>
    </row>
    <row r="36">
      <c r="A36" s="14" t="n"/>
      <c r="B36" s="14" t="n"/>
      <c r="C36" s="14" t="n"/>
      <c r="D36" s="14" t="n"/>
      <c r="E36" s="14" t="n"/>
      <c r="F36" s="14" t="n"/>
      <c r="G36" s="14" t="n"/>
      <c r="H36" s="14" t="n"/>
      <c r="I36" s="14" t="n"/>
      <c r="J36" s="14" t="n"/>
      <c r="K36" s="14" t="n"/>
    </row>
    <row r="37">
      <c r="A37" s="14" t="n"/>
      <c r="B37" s="14" t="n"/>
      <c r="C37" s="14" t="n"/>
      <c r="D37" s="14" t="n"/>
      <c r="E37" s="14" t="n"/>
      <c r="F37" s="14" t="n"/>
      <c r="G37" s="14" t="n"/>
      <c r="H37" s="14" t="n"/>
      <c r="I37" s="14" t="n"/>
      <c r="J37" s="14" t="n"/>
      <c r="K37" s="14" t="n"/>
    </row>
    <row r="38">
      <c r="A38" s="14" t="n"/>
      <c r="B38" s="14" t="n"/>
      <c r="C38" s="14" t="n"/>
      <c r="D38" s="14" t="n"/>
      <c r="E38" s="14" t="n"/>
      <c r="F38" s="14" t="n"/>
      <c r="G38" s="14" t="n"/>
      <c r="H38" s="14" t="n"/>
      <c r="I38" s="14" t="n"/>
      <c r="J38" s="14" t="n"/>
      <c r="K38" s="14" t="n"/>
    </row>
    <row r="39">
      <c r="A39" s="14" t="n"/>
      <c r="B39" s="14" t="n"/>
      <c r="C39" s="14" t="n"/>
      <c r="D39" s="14" t="n"/>
      <c r="E39" s="14" t="n"/>
      <c r="F39" s="14" t="n"/>
      <c r="G39" s="14" t="n"/>
      <c r="H39" s="14" t="n"/>
      <c r="I39" s="14" t="n"/>
      <c r="J39" s="14" t="n"/>
      <c r="K39" s="14" t="n"/>
    </row>
    <row r="40">
      <c r="A40" s="14" t="n"/>
      <c r="B40" s="14" t="n"/>
      <c r="C40" s="14" t="n"/>
      <c r="D40" s="14" t="n"/>
      <c r="E40" s="14" t="n"/>
      <c r="F40" s="14" t="n"/>
      <c r="G40" s="14" t="n"/>
      <c r="H40" s="14" t="n"/>
      <c r="I40" s="14" t="n"/>
      <c r="J40" s="14" t="n"/>
      <c r="K40" s="14" t="n"/>
    </row>
    <row r="41">
      <c r="A41" s="14" t="n"/>
      <c r="B41" s="14" t="n"/>
      <c r="C41" s="14" t="n"/>
      <c r="D41" s="14" t="n"/>
      <c r="E41" s="14" t="n"/>
      <c r="F41" s="14" t="n"/>
      <c r="G41" s="14" t="n"/>
      <c r="H41" s="14" t="n"/>
      <c r="I41" s="14" t="n"/>
      <c r="J41" s="14" t="n"/>
      <c r="K41" s="14" t="n"/>
    </row>
    <row r="42">
      <c r="A42" s="14" t="n"/>
      <c r="B42" s="14" t="n"/>
      <c r="C42" s="14" t="n"/>
      <c r="D42" s="14" t="n"/>
      <c r="E42" s="14" t="n"/>
      <c r="F42" s="14" t="n"/>
      <c r="G42" s="14" t="n"/>
      <c r="H42" s="14" t="n"/>
      <c r="I42" s="14" t="n"/>
      <c r="J42" s="14" t="n"/>
      <c r="K42" s="14" t="n"/>
    </row>
    <row r="43">
      <c r="A43" s="14" t="n"/>
      <c r="B43" s="14" t="n"/>
      <c r="C43" s="14" t="n"/>
      <c r="D43" s="14" t="n"/>
      <c r="E43" s="14" t="n"/>
      <c r="F43" s="14" t="n"/>
      <c r="G43" s="14" t="n"/>
      <c r="H43" s="14" t="n"/>
      <c r="I43" s="14" t="n"/>
      <c r="J43" s="14" t="n"/>
      <c r="K43" s="14" t="n"/>
    </row>
    <row r="44">
      <c r="A44" s="14" t="n"/>
      <c r="B44" s="14" t="n"/>
      <c r="C44" s="14" t="n"/>
      <c r="D44" s="14" t="n"/>
      <c r="E44" s="14" t="n"/>
      <c r="F44" s="14" t="n"/>
      <c r="G44" s="14" t="n"/>
      <c r="H44" s="14" t="n"/>
      <c r="I44" s="14" t="n"/>
      <c r="J44" s="14" t="n"/>
      <c r="K44" s="14" t="n"/>
    </row>
    <row r="45">
      <c r="A45" s="14" t="n"/>
      <c r="B45" s="14" t="n"/>
      <c r="C45" s="14" t="n"/>
      <c r="D45" s="14" t="n"/>
      <c r="E45" s="14" t="n"/>
      <c r="F45" s="14" t="n"/>
      <c r="G45" s="14" t="n"/>
      <c r="H45" s="14" t="n"/>
      <c r="I45" s="14" t="n"/>
      <c r="J45" s="14" t="n"/>
      <c r="K45" s="14" t="n"/>
    </row>
    <row r="46">
      <c r="A46" s="14" t="n"/>
      <c r="B46" s="14" t="n"/>
      <c r="C46" s="14" t="n"/>
      <c r="D46" s="14" t="n"/>
      <c r="E46" s="14" t="n"/>
      <c r="F46" s="14" t="n"/>
      <c r="G46" s="14" t="n"/>
      <c r="H46" s="14" t="n"/>
      <c r="I46" s="14" t="n"/>
      <c r="J46" s="14" t="n"/>
      <c r="K46" s="14" t="n"/>
    </row>
    <row r="47">
      <c r="A47" s="14" t="n"/>
      <c r="B47" s="14" t="n"/>
      <c r="C47" s="14" t="n"/>
      <c r="D47" s="14" t="n"/>
      <c r="E47" s="14" t="n"/>
      <c r="F47" s="14" t="n"/>
      <c r="G47" s="14" t="n"/>
      <c r="H47" s="14" t="n"/>
      <c r="I47" s="14" t="n"/>
      <c r="J47" s="14" t="n"/>
      <c r="K47" s="14" t="n"/>
    </row>
    <row r="48">
      <c r="A48" s="14" t="n"/>
      <c r="B48" s="14" t="n"/>
      <c r="C48" s="14" t="n"/>
      <c r="D48" s="14" t="n"/>
      <c r="E48" s="14" t="n"/>
      <c r="F48" s="14" t="n"/>
      <c r="G48" s="14" t="n"/>
      <c r="H48" s="14" t="n"/>
      <c r="I48" s="14" t="n"/>
      <c r="J48" s="14" t="n"/>
      <c r="K48" s="14" t="n"/>
    </row>
    <row r="49">
      <c r="A49" s="14" t="n"/>
      <c r="B49" s="14" t="n"/>
      <c r="C49" s="14" t="n"/>
      <c r="D49" s="14" t="n"/>
      <c r="E49" s="14" t="n"/>
      <c r="F49" s="14" t="n"/>
      <c r="G49" s="14" t="n"/>
      <c r="H49" s="14" t="n"/>
      <c r="I49" s="14" t="n"/>
      <c r="J49" s="14" t="n"/>
      <c r="K49" s="14" t="n"/>
    </row>
    <row r="50">
      <c r="A50" s="14" t="n"/>
      <c r="B50" s="14" t="n"/>
      <c r="C50" s="14" t="n"/>
      <c r="D50" s="14" t="n"/>
      <c r="E50" s="14" t="n"/>
      <c r="F50" s="14" t="n"/>
      <c r="G50" s="14" t="n"/>
      <c r="H50" s="14" t="n"/>
      <c r="I50" s="14" t="n"/>
      <c r="J50" s="14" t="n"/>
      <c r="K50" s="14" t="n"/>
    </row>
    <row r="51">
      <c r="A51" s="14" t="n"/>
      <c r="B51" s="14" t="n"/>
      <c r="C51" s="14" t="n"/>
      <c r="D51" s="14" t="n"/>
      <c r="E51" s="14" t="n"/>
      <c r="F51" s="14" t="n"/>
      <c r="G51" s="14" t="n"/>
      <c r="H51" s="14" t="n"/>
      <c r="I51" s="14" t="n"/>
      <c r="J51" s="14" t="n"/>
      <c r="K51" s="14" t="n"/>
    </row>
    <row r="52">
      <c r="A52" s="14" t="n"/>
      <c r="B52" s="14" t="n"/>
      <c r="C52" s="14" t="n"/>
      <c r="D52" s="14" t="n"/>
      <c r="E52" s="14" t="n"/>
      <c r="F52" s="14" t="n"/>
      <c r="G52" s="14" t="n"/>
      <c r="H52" s="14" t="n"/>
      <c r="I52" s="14" t="n"/>
      <c r="J52" s="14" t="n"/>
      <c r="K52" s="14" t="n"/>
    </row>
    <row r="53">
      <c r="A53" s="14" t="n"/>
      <c r="B53" s="14" t="n"/>
      <c r="C53" s="14" t="n"/>
      <c r="D53" s="14" t="n"/>
      <c r="E53" s="14" t="n"/>
      <c r="F53" s="14" t="n"/>
      <c r="G53" s="14" t="n"/>
      <c r="H53" s="14" t="n"/>
      <c r="I53" s="14" t="n"/>
      <c r="J53" s="14" t="n"/>
      <c r="K53" s="14" t="n"/>
    </row>
    <row r="54">
      <c r="A54" s="14" t="n"/>
      <c r="B54" s="14" t="n"/>
      <c r="C54" s="14" t="n"/>
      <c r="D54" s="14" t="n"/>
      <c r="E54" s="14" t="n"/>
      <c r="F54" s="14" t="n"/>
      <c r="G54" s="14" t="n"/>
      <c r="H54" s="14" t="n"/>
      <c r="I54" s="14" t="n"/>
      <c r="J54" s="14" t="n"/>
      <c r="K54" s="14" t="n"/>
    </row>
    <row r="55">
      <c r="A55" s="14" t="n"/>
      <c r="B55" s="14" t="n"/>
      <c r="C55" s="14" t="n"/>
      <c r="D55" s="14" t="n"/>
      <c r="E55" s="14" t="n"/>
      <c r="F55" s="14" t="n"/>
      <c r="G55" s="14" t="n"/>
      <c r="H55" s="14" t="n"/>
      <c r="I55" s="14" t="n"/>
      <c r="J55" s="14" t="n"/>
      <c r="K55" s="14" t="n"/>
    </row>
    <row r="56">
      <c r="A56" s="14" t="n"/>
      <c r="B56" s="14" t="n"/>
      <c r="C56" s="14" t="n"/>
      <c r="D56" s="14" t="n"/>
      <c r="E56" s="14" t="n"/>
      <c r="F56" s="14" t="n"/>
      <c r="G56" s="14" t="n"/>
      <c r="H56" s="14" t="n"/>
      <c r="I56" s="14" t="n"/>
      <c r="J56" s="14" t="n"/>
      <c r="K56" s="14" t="n"/>
    </row>
    <row r="57">
      <c r="A57" s="13" t="inlineStr">
        <is>
          <t>Web/Cloud Channel Coverage %</t>
        </is>
      </c>
      <c r="B57" s="19">
        <f>(COUNTIF(E7:E56,"Yes")/COUNTA(A7:A56))*100</f>
        <v/>
      </c>
    </row>
  </sheetData>
  <mergeCells count="3">
    <mergeCell ref="A2:K2"/>
    <mergeCell ref="A1:K1"/>
    <mergeCell ref="A3:K3"/>
  </mergeCells>
  <dataValidations count="4">
    <dataValidation sqref="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G7 G8 G9 G10 G11 G12 G13 G14 G15 G16 G17 G18 G19 G20 G21 G22 G23 G24 G25 G26 G27 G28 G29 G30 G31 G32 G33 G34 G35 G36 G37 G38 G39 G40 G41 G42 G43 G44 G45 G46 G47 G48 G49 G50 G51 G52 G53 G54 G55 G56 J7 J8 J9 J10 J11 J12 J13 J14 J15 J16 J17 J18 J19 J20 J21 J22 J23 J24 J25 J26 J27 J28 J29 J30 J31 J32 J33 J34 J35 J36 J37 J38 J39 J40 J41 J42 J43 J44 J45 J46 J47 J48 J49 J50 J51 J52 J53 J54 J55 J56" showDropDown="1" showInputMessage="0" showErrorMessage="1" allowBlank="0" errorTitle="Invalid Entry" error="Invalid value. Select from dropdown."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showDropDown="1" showInputMessage="0" showErrorMessage="0" allowBlank="0" type="list">
      <formula1>"Allow,Alert,Block,Quarantine,Encrypt"</formula1>
    </dataValidation>
    <dataValidation sqref="B7 B8 B9 B10 B11 B12 B13 B14 B15 B16 B17 B18 B19 B20 B21 B22 B23 B24 B25 B26 B27 B28 B29 B30 B31 B32 B33 B34 B35 B36 B37 B38 B39 B40 B41 B42 B43 B44 B45 B46 B47 B48 B49 B50 B51 B52 B53 B54 B55 B56" showDropDown="1" showInputMessage="0" showErrorMessage="0" allowBlank="0" type="list">
      <formula1>"Cloud Storage,SaaS,Web Upload,Code Repo,Social Media"</formula1>
    </dataValidation>
    <dataValidation sqref="D7 D8 D9 D10 D11 D12 D13 D14 D15 D16 D17 D18 D19 D20 D21 D22 D23 D24 D25 D26 D27 D28 D29 D30 D31 D32 D33 D34 D35 D36 D37 D38 D39 D40 D41 D42 D43 D44 D45 D46 D47 D48 D49 D50 D51 D52 D53 D54 D55 D56" showDropDown="1" showInputMessage="0" showErrorMessage="0" allowBlank="0" type="list">
      <formula1>"Proxy,CASB,Cloud-Native,Endpoint"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7"/>
  <sheetViews>
    <sheetView showGridLines="0" workbookViewId="0">
      <pane ySplit="5" topLeftCell="A6"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5" customWidth="1" min="10" max="10"/>
    <col width="15" customWidth="1" min="11" max="11"/>
    <col width="15" customWidth="1" min="12" max="12"/>
    <col width="18" customWidth="1" min="13" max="13"/>
  </cols>
  <sheetData>
    <row r="1" ht="35" customHeight="1">
      <c r="A1" s="11" t="inlineStr">
        <is>
          <t>ENDPOINT CHANNEL PROTECTION ASSESSMENT</t>
        </is>
      </c>
    </row>
    <row r="2">
      <c r="A2" s="12" t="inlineStr">
        <is>
          <t>Evaluate endpoint DLP agent coverage and controls</t>
        </is>
      </c>
    </row>
    <row r="3">
      <c r="A3" s="17" t="inlineStr">
        <is>
          <t>Does your organisation have endpoint DLP agents protecting USB, print, and other local channels?</t>
        </is>
      </c>
    </row>
    <row r="5">
      <c r="A5" s="15" t="inlineStr">
        <is>
          <t>Endpoint Type</t>
        </is>
      </c>
      <c r="B5" s="15" t="inlineStr">
        <is>
          <t>OS Version</t>
        </is>
      </c>
      <c r="C5" s="15" t="inlineStr">
        <is>
          <t>DLP Agent Installed</t>
        </is>
      </c>
      <c r="D5" s="15" t="inlineStr">
        <is>
          <t>USB Control</t>
        </is>
      </c>
      <c r="E5" s="15" t="inlineStr">
        <is>
          <t>Print Control</t>
        </is>
      </c>
      <c r="F5" s="15" t="inlineStr">
        <is>
          <t>Clipboard Control</t>
        </is>
      </c>
      <c r="G5" s="15" t="inlineStr">
        <is>
          <t>Screen Capture Control</t>
        </is>
      </c>
      <c r="H5" s="15" t="inlineStr">
        <is>
          <t>Bluetooth Control</t>
        </is>
      </c>
      <c r="I5" s="15" t="inlineStr">
        <is>
          <t>Application Control</t>
        </is>
      </c>
      <c r="J5" s="15" t="inlineStr">
        <is>
          <t>Devices Covered</t>
        </is>
      </c>
      <c r="K5" s="15" t="inlineStr">
        <is>
          <t>Total Devices</t>
        </is>
      </c>
      <c r="L5" s="15" t="inlineStr">
        <is>
          <t>Coverage %</t>
        </is>
      </c>
      <c r="M5" s="15" t="inlineStr">
        <is>
          <t>Evidence ID</t>
        </is>
      </c>
    </row>
    <row r="6">
      <c r="A6" s="18" t="inlineStr">
        <is>
          <t>Windows Desktop</t>
        </is>
      </c>
      <c r="B6" s="18" t="inlineStr">
        <is>
          <t>Win 11</t>
        </is>
      </c>
      <c r="C6" s="18" t="inlineStr">
        <is>
          <t>Yes</t>
        </is>
      </c>
      <c r="D6" s="18" t="inlineStr">
        <is>
          <t>Allow Approved</t>
        </is>
      </c>
      <c r="E6" s="18" t="inlineStr">
        <is>
          <t>Watermark</t>
        </is>
      </c>
      <c r="F6" s="18" t="inlineStr">
        <is>
          <t>Block</t>
        </is>
      </c>
      <c r="G6" s="18" t="inlineStr">
        <is>
          <t>Block</t>
        </is>
      </c>
      <c r="H6" s="18" t="inlineStr">
        <is>
          <t>Monitor</t>
        </is>
      </c>
      <c r="I6" s="18" t="inlineStr">
        <is>
          <t>Whitelist</t>
        </is>
      </c>
      <c r="J6" s="18" t="inlineStr">
        <is>
          <t>850</t>
        </is>
      </c>
      <c r="K6" s="18" t="inlineStr">
        <is>
          <t>900</t>
        </is>
      </c>
      <c r="L6" s="18">
        <f>J6/K6*100</f>
        <v/>
      </c>
      <c r="M6" s="18" t="inlineStr">
        <is>
          <t>A812-3-EPT-001</t>
        </is>
      </c>
    </row>
    <row r="7">
      <c r="A7" s="14" t="n"/>
      <c r="B7" s="14" t="n"/>
      <c r="C7" s="14" t="n"/>
      <c r="D7" s="14" t="n"/>
      <c r="E7" s="14" t="n"/>
      <c r="F7" s="14" t="n"/>
      <c r="G7" s="14" t="n"/>
      <c r="H7" s="14" t="n"/>
      <c r="I7" s="14" t="n"/>
      <c r="J7" s="14" t="n"/>
      <c r="K7" s="14" t="n"/>
      <c r="L7" s="20">
        <f>J7/K7*100</f>
        <v/>
      </c>
      <c r="M7" s="14" t="n"/>
    </row>
    <row r="8">
      <c r="A8" s="14" t="n"/>
      <c r="B8" s="14" t="n"/>
      <c r="C8" s="14" t="n"/>
      <c r="D8" s="14" t="n"/>
      <c r="E8" s="14" t="n"/>
      <c r="F8" s="14" t="n"/>
      <c r="G8" s="14" t="n"/>
      <c r="H8" s="14" t="n"/>
      <c r="I8" s="14" t="n"/>
      <c r="J8" s="14" t="n"/>
      <c r="K8" s="14" t="n"/>
      <c r="L8" s="20">
        <f>J8/K8*100</f>
        <v/>
      </c>
      <c r="M8" s="14" t="n"/>
    </row>
    <row r="9">
      <c r="A9" s="14" t="n"/>
      <c r="B9" s="14" t="n"/>
      <c r="C9" s="14" t="n"/>
      <c r="D9" s="14" t="n"/>
      <c r="E9" s="14" t="n"/>
      <c r="F9" s="14" t="n"/>
      <c r="G9" s="14" t="n"/>
      <c r="H9" s="14" t="n"/>
      <c r="I9" s="14" t="n"/>
      <c r="J9" s="14" t="n"/>
      <c r="K9" s="14" t="n"/>
      <c r="L9" s="20">
        <f>J9/K9*100</f>
        <v/>
      </c>
      <c r="M9" s="14" t="n"/>
    </row>
    <row r="10">
      <c r="A10" s="14" t="n"/>
      <c r="B10" s="14" t="n"/>
      <c r="C10" s="14" t="n"/>
      <c r="D10" s="14" t="n"/>
      <c r="E10" s="14" t="n"/>
      <c r="F10" s="14" t="n"/>
      <c r="G10" s="14" t="n"/>
      <c r="H10" s="14" t="n"/>
      <c r="I10" s="14" t="n"/>
      <c r="J10" s="14" t="n"/>
      <c r="K10" s="14" t="n"/>
      <c r="L10" s="20">
        <f>J10/K10*100</f>
        <v/>
      </c>
      <c r="M10" s="14" t="n"/>
    </row>
    <row r="11">
      <c r="A11" s="14" t="n"/>
      <c r="B11" s="14" t="n"/>
      <c r="C11" s="14" t="n"/>
      <c r="D11" s="14" t="n"/>
      <c r="E11" s="14" t="n"/>
      <c r="F11" s="14" t="n"/>
      <c r="G11" s="14" t="n"/>
      <c r="H11" s="14" t="n"/>
      <c r="I11" s="14" t="n"/>
      <c r="J11" s="14" t="n"/>
      <c r="K11" s="14" t="n"/>
      <c r="L11" s="20">
        <f>J11/K11*100</f>
        <v/>
      </c>
      <c r="M11" s="14" t="n"/>
    </row>
    <row r="12">
      <c r="A12" s="14" t="n"/>
      <c r="B12" s="14" t="n"/>
      <c r="C12" s="14" t="n"/>
      <c r="D12" s="14" t="n"/>
      <c r="E12" s="14" t="n"/>
      <c r="F12" s="14" t="n"/>
      <c r="G12" s="14" t="n"/>
      <c r="H12" s="14" t="n"/>
      <c r="I12" s="14" t="n"/>
      <c r="J12" s="14" t="n"/>
      <c r="K12" s="14" t="n"/>
      <c r="L12" s="20">
        <f>J12/K12*100</f>
        <v/>
      </c>
      <c r="M12" s="14" t="n"/>
    </row>
    <row r="13">
      <c r="A13" s="14" t="n"/>
      <c r="B13" s="14" t="n"/>
      <c r="C13" s="14" t="n"/>
      <c r="D13" s="14" t="n"/>
      <c r="E13" s="14" t="n"/>
      <c r="F13" s="14" t="n"/>
      <c r="G13" s="14" t="n"/>
      <c r="H13" s="14" t="n"/>
      <c r="I13" s="14" t="n"/>
      <c r="J13" s="14" t="n"/>
      <c r="K13" s="14" t="n"/>
      <c r="L13" s="20">
        <f>J13/K13*100</f>
        <v/>
      </c>
      <c r="M13" s="14" t="n"/>
    </row>
    <row r="14">
      <c r="A14" s="14" t="n"/>
      <c r="B14" s="14" t="n"/>
      <c r="C14" s="14" t="n"/>
      <c r="D14" s="14" t="n"/>
      <c r="E14" s="14" t="n"/>
      <c r="F14" s="14" t="n"/>
      <c r="G14" s="14" t="n"/>
      <c r="H14" s="14" t="n"/>
      <c r="I14" s="14" t="n"/>
      <c r="J14" s="14" t="n"/>
      <c r="K14" s="14" t="n"/>
      <c r="L14" s="20">
        <f>J14/K14*100</f>
        <v/>
      </c>
      <c r="M14" s="14" t="n"/>
    </row>
    <row r="15">
      <c r="A15" s="14" t="n"/>
      <c r="B15" s="14" t="n"/>
      <c r="C15" s="14" t="n"/>
      <c r="D15" s="14" t="n"/>
      <c r="E15" s="14" t="n"/>
      <c r="F15" s="14" t="n"/>
      <c r="G15" s="14" t="n"/>
      <c r="H15" s="14" t="n"/>
      <c r="I15" s="14" t="n"/>
      <c r="J15" s="14" t="n"/>
      <c r="K15" s="14" t="n"/>
      <c r="L15" s="20">
        <f>J15/K15*100</f>
        <v/>
      </c>
      <c r="M15" s="14" t="n"/>
    </row>
    <row r="16">
      <c r="A16" s="14" t="n"/>
      <c r="B16" s="14" t="n"/>
      <c r="C16" s="14" t="n"/>
      <c r="D16" s="14" t="n"/>
      <c r="E16" s="14" t="n"/>
      <c r="F16" s="14" t="n"/>
      <c r="G16" s="14" t="n"/>
      <c r="H16" s="14" t="n"/>
      <c r="I16" s="14" t="n"/>
      <c r="J16" s="14" t="n"/>
      <c r="K16" s="14" t="n"/>
      <c r="L16" s="20">
        <f>J16/K16*100</f>
        <v/>
      </c>
      <c r="M16" s="14" t="n"/>
    </row>
    <row r="17">
      <c r="A17" s="14" t="n"/>
      <c r="B17" s="14" t="n"/>
      <c r="C17" s="14" t="n"/>
      <c r="D17" s="14" t="n"/>
      <c r="E17" s="14" t="n"/>
      <c r="F17" s="14" t="n"/>
      <c r="G17" s="14" t="n"/>
      <c r="H17" s="14" t="n"/>
      <c r="I17" s="14" t="n"/>
      <c r="J17" s="14" t="n"/>
      <c r="K17" s="14" t="n"/>
      <c r="L17" s="20">
        <f>J17/K17*100</f>
        <v/>
      </c>
      <c r="M17" s="14" t="n"/>
    </row>
    <row r="18">
      <c r="A18" s="14" t="n"/>
      <c r="B18" s="14" t="n"/>
      <c r="C18" s="14" t="n"/>
      <c r="D18" s="14" t="n"/>
      <c r="E18" s="14" t="n"/>
      <c r="F18" s="14" t="n"/>
      <c r="G18" s="14" t="n"/>
      <c r="H18" s="14" t="n"/>
      <c r="I18" s="14" t="n"/>
      <c r="J18" s="14" t="n"/>
      <c r="K18" s="14" t="n"/>
      <c r="L18" s="20">
        <f>J18/K18*100</f>
        <v/>
      </c>
      <c r="M18" s="14" t="n"/>
    </row>
    <row r="19">
      <c r="A19" s="14" t="n"/>
      <c r="B19" s="14" t="n"/>
      <c r="C19" s="14" t="n"/>
      <c r="D19" s="14" t="n"/>
      <c r="E19" s="14" t="n"/>
      <c r="F19" s="14" t="n"/>
      <c r="G19" s="14" t="n"/>
      <c r="H19" s="14" t="n"/>
      <c r="I19" s="14" t="n"/>
      <c r="J19" s="14" t="n"/>
      <c r="K19" s="14" t="n"/>
      <c r="L19" s="20">
        <f>J19/K19*100</f>
        <v/>
      </c>
      <c r="M19" s="14" t="n"/>
    </row>
    <row r="20">
      <c r="A20" s="14" t="n"/>
      <c r="B20" s="14" t="n"/>
      <c r="C20" s="14" t="n"/>
      <c r="D20" s="14" t="n"/>
      <c r="E20" s="14" t="n"/>
      <c r="F20" s="14" t="n"/>
      <c r="G20" s="14" t="n"/>
      <c r="H20" s="14" t="n"/>
      <c r="I20" s="14" t="n"/>
      <c r="J20" s="14" t="n"/>
      <c r="K20" s="14" t="n"/>
      <c r="L20" s="20">
        <f>J20/K20*100</f>
        <v/>
      </c>
      <c r="M20" s="14" t="n"/>
    </row>
    <row r="21">
      <c r="A21" s="14" t="n"/>
      <c r="B21" s="14" t="n"/>
      <c r="C21" s="14" t="n"/>
      <c r="D21" s="14" t="n"/>
      <c r="E21" s="14" t="n"/>
      <c r="F21" s="14" t="n"/>
      <c r="G21" s="14" t="n"/>
      <c r="H21" s="14" t="n"/>
      <c r="I21" s="14" t="n"/>
      <c r="J21" s="14" t="n"/>
      <c r="K21" s="14" t="n"/>
      <c r="L21" s="20">
        <f>J21/K21*100</f>
        <v/>
      </c>
      <c r="M21" s="14" t="n"/>
    </row>
    <row r="22">
      <c r="A22" s="14" t="n"/>
      <c r="B22" s="14" t="n"/>
      <c r="C22" s="14" t="n"/>
      <c r="D22" s="14" t="n"/>
      <c r="E22" s="14" t="n"/>
      <c r="F22" s="14" t="n"/>
      <c r="G22" s="14" t="n"/>
      <c r="H22" s="14" t="n"/>
      <c r="I22" s="14" t="n"/>
      <c r="J22" s="14" t="n"/>
      <c r="K22" s="14" t="n"/>
      <c r="L22" s="20">
        <f>J22/K22*100</f>
        <v/>
      </c>
      <c r="M22" s="14" t="n"/>
    </row>
    <row r="23">
      <c r="A23" s="14" t="n"/>
      <c r="B23" s="14" t="n"/>
      <c r="C23" s="14" t="n"/>
      <c r="D23" s="14" t="n"/>
      <c r="E23" s="14" t="n"/>
      <c r="F23" s="14" t="n"/>
      <c r="G23" s="14" t="n"/>
      <c r="H23" s="14" t="n"/>
      <c r="I23" s="14" t="n"/>
      <c r="J23" s="14" t="n"/>
      <c r="K23" s="14" t="n"/>
      <c r="L23" s="20">
        <f>J23/K23*100</f>
        <v/>
      </c>
      <c r="M23" s="14" t="n"/>
    </row>
    <row r="24">
      <c r="A24" s="14" t="n"/>
      <c r="B24" s="14" t="n"/>
      <c r="C24" s="14" t="n"/>
      <c r="D24" s="14" t="n"/>
      <c r="E24" s="14" t="n"/>
      <c r="F24" s="14" t="n"/>
      <c r="G24" s="14" t="n"/>
      <c r="H24" s="14" t="n"/>
      <c r="I24" s="14" t="n"/>
      <c r="J24" s="14" t="n"/>
      <c r="K24" s="14" t="n"/>
      <c r="L24" s="20">
        <f>J24/K24*100</f>
        <v/>
      </c>
      <c r="M24" s="14" t="n"/>
    </row>
    <row r="25">
      <c r="A25" s="14" t="n"/>
      <c r="B25" s="14" t="n"/>
      <c r="C25" s="14" t="n"/>
      <c r="D25" s="14" t="n"/>
      <c r="E25" s="14" t="n"/>
      <c r="F25" s="14" t="n"/>
      <c r="G25" s="14" t="n"/>
      <c r="H25" s="14" t="n"/>
      <c r="I25" s="14" t="n"/>
      <c r="J25" s="14" t="n"/>
      <c r="K25" s="14" t="n"/>
      <c r="L25" s="20">
        <f>J25/K25*100</f>
        <v/>
      </c>
      <c r="M25" s="14" t="n"/>
    </row>
    <row r="26">
      <c r="A26" s="14" t="n"/>
      <c r="B26" s="14" t="n"/>
      <c r="C26" s="14" t="n"/>
      <c r="D26" s="14" t="n"/>
      <c r="E26" s="14" t="n"/>
      <c r="F26" s="14" t="n"/>
      <c r="G26" s="14" t="n"/>
      <c r="H26" s="14" t="n"/>
      <c r="I26" s="14" t="n"/>
      <c r="J26" s="14" t="n"/>
      <c r="K26" s="14" t="n"/>
      <c r="L26" s="20">
        <f>J26/K26*100</f>
        <v/>
      </c>
      <c r="M26" s="14" t="n"/>
    </row>
    <row r="27">
      <c r="A27" s="14" t="n"/>
      <c r="B27" s="14" t="n"/>
      <c r="C27" s="14" t="n"/>
      <c r="D27" s="14" t="n"/>
      <c r="E27" s="14" t="n"/>
      <c r="F27" s="14" t="n"/>
      <c r="G27" s="14" t="n"/>
      <c r="H27" s="14" t="n"/>
      <c r="I27" s="14" t="n"/>
      <c r="J27" s="14" t="n"/>
      <c r="K27" s="14" t="n"/>
      <c r="L27" s="20">
        <f>J27/K27*100</f>
        <v/>
      </c>
      <c r="M27" s="14" t="n"/>
    </row>
    <row r="28">
      <c r="A28" s="14" t="n"/>
      <c r="B28" s="14" t="n"/>
      <c r="C28" s="14" t="n"/>
      <c r="D28" s="14" t="n"/>
      <c r="E28" s="14" t="n"/>
      <c r="F28" s="14" t="n"/>
      <c r="G28" s="14" t="n"/>
      <c r="H28" s="14" t="n"/>
      <c r="I28" s="14" t="n"/>
      <c r="J28" s="14" t="n"/>
      <c r="K28" s="14" t="n"/>
      <c r="L28" s="20">
        <f>J28/K28*100</f>
        <v/>
      </c>
      <c r="M28" s="14" t="n"/>
    </row>
    <row r="29">
      <c r="A29" s="14" t="n"/>
      <c r="B29" s="14" t="n"/>
      <c r="C29" s="14" t="n"/>
      <c r="D29" s="14" t="n"/>
      <c r="E29" s="14" t="n"/>
      <c r="F29" s="14" t="n"/>
      <c r="G29" s="14" t="n"/>
      <c r="H29" s="14" t="n"/>
      <c r="I29" s="14" t="n"/>
      <c r="J29" s="14" t="n"/>
      <c r="K29" s="14" t="n"/>
      <c r="L29" s="20">
        <f>J29/K29*100</f>
        <v/>
      </c>
      <c r="M29" s="14" t="n"/>
    </row>
    <row r="30">
      <c r="A30" s="14" t="n"/>
      <c r="B30" s="14" t="n"/>
      <c r="C30" s="14" t="n"/>
      <c r="D30" s="14" t="n"/>
      <c r="E30" s="14" t="n"/>
      <c r="F30" s="14" t="n"/>
      <c r="G30" s="14" t="n"/>
      <c r="H30" s="14" t="n"/>
      <c r="I30" s="14" t="n"/>
      <c r="J30" s="14" t="n"/>
      <c r="K30" s="14" t="n"/>
      <c r="L30" s="20">
        <f>J30/K30*100</f>
        <v/>
      </c>
      <c r="M30" s="14" t="n"/>
    </row>
    <row r="31">
      <c r="A31" s="14" t="n"/>
      <c r="B31" s="14" t="n"/>
      <c r="C31" s="14" t="n"/>
      <c r="D31" s="14" t="n"/>
      <c r="E31" s="14" t="n"/>
      <c r="F31" s="14" t="n"/>
      <c r="G31" s="14" t="n"/>
      <c r="H31" s="14" t="n"/>
      <c r="I31" s="14" t="n"/>
      <c r="J31" s="14" t="n"/>
      <c r="K31" s="14" t="n"/>
      <c r="L31" s="20">
        <f>J31/K31*100</f>
        <v/>
      </c>
      <c r="M31" s="14" t="n"/>
    </row>
    <row r="32">
      <c r="A32" s="14" t="n"/>
      <c r="B32" s="14" t="n"/>
      <c r="C32" s="14" t="n"/>
      <c r="D32" s="14" t="n"/>
      <c r="E32" s="14" t="n"/>
      <c r="F32" s="14" t="n"/>
      <c r="G32" s="14" t="n"/>
      <c r="H32" s="14" t="n"/>
      <c r="I32" s="14" t="n"/>
      <c r="J32" s="14" t="n"/>
      <c r="K32" s="14" t="n"/>
      <c r="L32" s="20">
        <f>J32/K32*100</f>
        <v/>
      </c>
      <c r="M32" s="14" t="n"/>
    </row>
    <row r="33">
      <c r="A33" s="14" t="n"/>
      <c r="B33" s="14" t="n"/>
      <c r="C33" s="14" t="n"/>
      <c r="D33" s="14" t="n"/>
      <c r="E33" s="14" t="n"/>
      <c r="F33" s="14" t="n"/>
      <c r="G33" s="14" t="n"/>
      <c r="H33" s="14" t="n"/>
      <c r="I33" s="14" t="n"/>
      <c r="J33" s="14" t="n"/>
      <c r="K33" s="14" t="n"/>
      <c r="L33" s="20">
        <f>J33/K33*100</f>
        <v/>
      </c>
      <c r="M33" s="14" t="n"/>
    </row>
    <row r="34">
      <c r="A34" s="14" t="n"/>
      <c r="B34" s="14" t="n"/>
      <c r="C34" s="14" t="n"/>
      <c r="D34" s="14" t="n"/>
      <c r="E34" s="14" t="n"/>
      <c r="F34" s="14" t="n"/>
      <c r="G34" s="14" t="n"/>
      <c r="H34" s="14" t="n"/>
      <c r="I34" s="14" t="n"/>
      <c r="J34" s="14" t="n"/>
      <c r="K34" s="14" t="n"/>
      <c r="L34" s="20">
        <f>J34/K34*100</f>
        <v/>
      </c>
      <c r="M34" s="14" t="n"/>
    </row>
    <row r="35">
      <c r="A35" s="14" t="n"/>
      <c r="B35" s="14" t="n"/>
      <c r="C35" s="14" t="n"/>
      <c r="D35" s="14" t="n"/>
      <c r="E35" s="14" t="n"/>
      <c r="F35" s="14" t="n"/>
      <c r="G35" s="14" t="n"/>
      <c r="H35" s="14" t="n"/>
      <c r="I35" s="14" t="n"/>
      <c r="J35" s="14" t="n"/>
      <c r="K35" s="14" t="n"/>
      <c r="L35" s="20">
        <f>J35/K35*100</f>
        <v/>
      </c>
      <c r="M35" s="14" t="n"/>
    </row>
    <row r="36">
      <c r="A36" s="14" t="n"/>
      <c r="B36" s="14" t="n"/>
      <c r="C36" s="14" t="n"/>
      <c r="D36" s="14" t="n"/>
      <c r="E36" s="14" t="n"/>
      <c r="F36" s="14" t="n"/>
      <c r="G36" s="14" t="n"/>
      <c r="H36" s="14" t="n"/>
      <c r="I36" s="14" t="n"/>
      <c r="J36" s="14" t="n"/>
      <c r="K36" s="14" t="n"/>
      <c r="L36" s="20">
        <f>J36/K36*100</f>
        <v/>
      </c>
      <c r="M36" s="14" t="n"/>
    </row>
    <row r="37">
      <c r="A37" s="14" t="n"/>
      <c r="B37" s="14" t="n"/>
      <c r="C37" s="14" t="n"/>
      <c r="D37" s="14" t="n"/>
      <c r="E37" s="14" t="n"/>
      <c r="F37" s="14" t="n"/>
      <c r="G37" s="14" t="n"/>
      <c r="H37" s="14" t="n"/>
      <c r="I37" s="14" t="n"/>
      <c r="J37" s="14" t="n"/>
      <c r="K37" s="14" t="n"/>
      <c r="L37" s="20">
        <f>J37/K37*100</f>
        <v/>
      </c>
      <c r="M37" s="14" t="n"/>
    </row>
    <row r="38">
      <c r="A38" s="14" t="n"/>
      <c r="B38" s="14" t="n"/>
      <c r="C38" s="14" t="n"/>
      <c r="D38" s="14" t="n"/>
      <c r="E38" s="14" t="n"/>
      <c r="F38" s="14" t="n"/>
      <c r="G38" s="14" t="n"/>
      <c r="H38" s="14" t="n"/>
      <c r="I38" s="14" t="n"/>
      <c r="J38" s="14" t="n"/>
      <c r="K38" s="14" t="n"/>
      <c r="L38" s="20">
        <f>J38/K38*100</f>
        <v/>
      </c>
      <c r="M38" s="14" t="n"/>
    </row>
    <row r="39">
      <c r="A39" s="14" t="n"/>
      <c r="B39" s="14" t="n"/>
      <c r="C39" s="14" t="n"/>
      <c r="D39" s="14" t="n"/>
      <c r="E39" s="14" t="n"/>
      <c r="F39" s="14" t="n"/>
      <c r="G39" s="14" t="n"/>
      <c r="H39" s="14" t="n"/>
      <c r="I39" s="14" t="n"/>
      <c r="J39" s="14" t="n"/>
      <c r="K39" s="14" t="n"/>
      <c r="L39" s="20">
        <f>J39/K39*100</f>
        <v/>
      </c>
      <c r="M39" s="14" t="n"/>
    </row>
    <row r="40">
      <c r="A40" s="14" t="n"/>
      <c r="B40" s="14" t="n"/>
      <c r="C40" s="14" t="n"/>
      <c r="D40" s="14" t="n"/>
      <c r="E40" s="14" t="n"/>
      <c r="F40" s="14" t="n"/>
      <c r="G40" s="14" t="n"/>
      <c r="H40" s="14" t="n"/>
      <c r="I40" s="14" t="n"/>
      <c r="J40" s="14" t="n"/>
      <c r="K40" s="14" t="n"/>
      <c r="L40" s="20">
        <f>J40/K40*100</f>
        <v/>
      </c>
      <c r="M40" s="14" t="n"/>
    </row>
    <row r="41">
      <c r="A41" s="14" t="n"/>
      <c r="B41" s="14" t="n"/>
      <c r="C41" s="14" t="n"/>
      <c r="D41" s="14" t="n"/>
      <c r="E41" s="14" t="n"/>
      <c r="F41" s="14" t="n"/>
      <c r="G41" s="14" t="n"/>
      <c r="H41" s="14" t="n"/>
      <c r="I41" s="14" t="n"/>
      <c r="J41" s="14" t="n"/>
      <c r="K41" s="14" t="n"/>
      <c r="L41" s="20">
        <f>J41/K41*100</f>
        <v/>
      </c>
      <c r="M41" s="14" t="n"/>
    </row>
    <row r="42">
      <c r="A42" s="14" t="n"/>
      <c r="B42" s="14" t="n"/>
      <c r="C42" s="14" t="n"/>
      <c r="D42" s="14" t="n"/>
      <c r="E42" s="14" t="n"/>
      <c r="F42" s="14" t="n"/>
      <c r="G42" s="14" t="n"/>
      <c r="H42" s="14" t="n"/>
      <c r="I42" s="14" t="n"/>
      <c r="J42" s="14" t="n"/>
      <c r="K42" s="14" t="n"/>
      <c r="L42" s="20">
        <f>J42/K42*100</f>
        <v/>
      </c>
      <c r="M42" s="14" t="n"/>
    </row>
    <row r="43">
      <c r="A43" s="14" t="n"/>
      <c r="B43" s="14" t="n"/>
      <c r="C43" s="14" t="n"/>
      <c r="D43" s="14" t="n"/>
      <c r="E43" s="14" t="n"/>
      <c r="F43" s="14" t="n"/>
      <c r="G43" s="14" t="n"/>
      <c r="H43" s="14" t="n"/>
      <c r="I43" s="14" t="n"/>
      <c r="J43" s="14" t="n"/>
      <c r="K43" s="14" t="n"/>
      <c r="L43" s="20">
        <f>J43/K43*100</f>
        <v/>
      </c>
      <c r="M43" s="14" t="n"/>
    </row>
    <row r="44">
      <c r="A44" s="14" t="n"/>
      <c r="B44" s="14" t="n"/>
      <c r="C44" s="14" t="n"/>
      <c r="D44" s="14" t="n"/>
      <c r="E44" s="14" t="n"/>
      <c r="F44" s="14" t="n"/>
      <c r="G44" s="14" t="n"/>
      <c r="H44" s="14" t="n"/>
      <c r="I44" s="14" t="n"/>
      <c r="J44" s="14" t="n"/>
      <c r="K44" s="14" t="n"/>
      <c r="L44" s="20">
        <f>J44/K44*100</f>
        <v/>
      </c>
      <c r="M44" s="14" t="n"/>
    </row>
    <row r="45">
      <c r="A45" s="14" t="n"/>
      <c r="B45" s="14" t="n"/>
      <c r="C45" s="14" t="n"/>
      <c r="D45" s="14" t="n"/>
      <c r="E45" s="14" t="n"/>
      <c r="F45" s="14" t="n"/>
      <c r="G45" s="14" t="n"/>
      <c r="H45" s="14" t="n"/>
      <c r="I45" s="14" t="n"/>
      <c r="J45" s="14" t="n"/>
      <c r="K45" s="14" t="n"/>
      <c r="L45" s="20">
        <f>J45/K45*100</f>
        <v/>
      </c>
      <c r="M45" s="14" t="n"/>
    </row>
    <row r="46">
      <c r="A46" s="14" t="n"/>
      <c r="B46" s="14" t="n"/>
      <c r="C46" s="14" t="n"/>
      <c r="D46" s="14" t="n"/>
      <c r="E46" s="14" t="n"/>
      <c r="F46" s="14" t="n"/>
      <c r="G46" s="14" t="n"/>
      <c r="H46" s="14" t="n"/>
      <c r="I46" s="14" t="n"/>
      <c r="J46" s="14" t="n"/>
      <c r="K46" s="14" t="n"/>
      <c r="L46" s="20">
        <f>J46/K46*100</f>
        <v/>
      </c>
      <c r="M46" s="14" t="n"/>
    </row>
    <row r="47">
      <c r="A47" s="14" t="n"/>
      <c r="B47" s="14" t="n"/>
      <c r="C47" s="14" t="n"/>
      <c r="D47" s="14" t="n"/>
      <c r="E47" s="14" t="n"/>
      <c r="F47" s="14" t="n"/>
      <c r="G47" s="14" t="n"/>
      <c r="H47" s="14" t="n"/>
      <c r="I47" s="14" t="n"/>
      <c r="J47" s="14" t="n"/>
      <c r="K47" s="14" t="n"/>
      <c r="L47" s="20">
        <f>J47/K47*100</f>
        <v/>
      </c>
      <c r="M47" s="14" t="n"/>
    </row>
    <row r="48">
      <c r="A48" s="14" t="n"/>
      <c r="B48" s="14" t="n"/>
      <c r="C48" s="14" t="n"/>
      <c r="D48" s="14" t="n"/>
      <c r="E48" s="14" t="n"/>
      <c r="F48" s="14" t="n"/>
      <c r="G48" s="14" t="n"/>
      <c r="H48" s="14" t="n"/>
      <c r="I48" s="14" t="n"/>
      <c r="J48" s="14" t="n"/>
      <c r="K48" s="14" t="n"/>
      <c r="L48" s="20">
        <f>J48/K48*100</f>
        <v/>
      </c>
      <c r="M48" s="14" t="n"/>
    </row>
    <row r="49">
      <c r="A49" s="14" t="n"/>
      <c r="B49" s="14" t="n"/>
      <c r="C49" s="14" t="n"/>
      <c r="D49" s="14" t="n"/>
      <c r="E49" s="14" t="n"/>
      <c r="F49" s="14" t="n"/>
      <c r="G49" s="14" t="n"/>
      <c r="H49" s="14" t="n"/>
      <c r="I49" s="14" t="n"/>
      <c r="J49" s="14" t="n"/>
      <c r="K49" s="14" t="n"/>
      <c r="L49" s="20">
        <f>J49/K49*100</f>
        <v/>
      </c>
      <c r="M49" s="14" t="n"/>
    </row>
    <row r="50">
      <c r="A50" s="14" t="n"/>
      <c r="B50" s="14" t="n"/>
      <c r="C50" s="14" t="n"/>
      <c r="D50" s="14" t="n"/>
      <c r="E50" s="14" t="n"/>
      <c r="F50" s="14" t="n"/>
      <c r="G50" s="14" t="n"/>
      <c r="H50" s="14" t="n"/>
      <c r="I50" s="14" t="n"/>
      <c r="J50" s="14" t="n"/>
      <c r="K50" s="14" t="n"/>
      <c r="L50" s="20">
        <f>J50/K50*100</f>
        <v/>
      </c>
      <c r="M50" s="14" t="n"/>
    </row>
    <row r="51">
      <c r="A51" s="14" t="n"/>
      <c r="B51" s="14" t="n"/>
      <c r="C51" s="14" t="n"/>
      <c r="D51" s="14" t="n"/>
      <c r="E51" s="14" t="n"/>
      <c r="F51" s="14" t="n"/>
      <c r="G51" s="14" t="n"/>
      <c r="H51" s="14" t="n"/>
      <c r="I51" s="14" t="n"/>
      <c r="J51" s="14" t="n"/>
      <c r="K51" s="14" t="n"/>
      <c r="L51" s="20">
        <f>J51/K51*100</f>
        <v/>
      </c>
      <c r="M51" s="14" t="n"/>
    </row>
    <row r="52">
      <c r="A52" s="14" t="n"/>
      <c r="B52" s="14" t="n"/>
      <c r="C52" s="14" t="n"/>
      <c r="D52" s="14" t="n"/>
      <c r="E52" s="14" t="n"/>
      <c r="F52" s="14" t="n"/>
      <c r="G52" s="14" t="n"/>
      <c r="H52" s="14" t="n"/>
      <c r="I52" s="14" t="n"/>
      <c r="J52" s="14" t="n"/>
      <c r="K52" s="14" t="n"/>
      <c r="L52" s="20">
        <f>J52/K52*100</f>
        <v/>
      </c>
      <c r="M52" s="14" t="n"/>
    </row>
    <row r="53">
      <c r="A53" s="14" t="n"/>
      <c r="B53" s="14" t="n"/>
      <c r="C53" s="14" t="n"/>
      <c r="D53" s="14" t="n"/>
      <c r="E53" s="14" t="n"/>
      <c r="F53" s="14" t="n"/>
      <c r="G53" s="14" t="n"/>
      <c r="H53" s="14" t="n"/>
      <c r="I53" s="14" t="n"/>
      <c r="J53" s="14" t="n"/>
      <c r="K53" s="14" t="n"/>
      <c r="L53" s="20">
        <f>J53/K53*100</f>
        <v/>
      </c>
      <c r="M53" s="14" t="n"/>
    </row>
    <row r="54">
      <c r="A54" s="14" t="n"/>
      <c r="B54" s="14" t="n"/>
      <c r="C54" s="14" t="n"/>
      <c r="D54" s="14" t="n"/>
      <c r="E54" s="14" t="n"/>
      <c r="F54" s="14" t="n"/>
      <c r="G54" s="14" t="n"/>
      <c r="H54" s="14" t="n"/>
      <c r="I54" s="14" t="n"/>
      <c r="J54" s="14" t="n"/>
      <c r="K54" s="14" t="n"/>
      <c r="L54" s="20">
        <f>J54/K54*100</f>
        <v/>
      </c>
      <c r="M54" s="14" t="n"/>
    </row>
    <row r="55">
      <c r="A55" s="14" t="n"/>
      <c r="B55" s="14" t="n"/>
      <c r="C55" s="14" t="n"/>
      <c r="D55" s="14" t="n"/>
      <c r="E55" s="14" t="n"/>
      <c r="F55" s="14" t="n"/>
      <c r="G55" s="14" t="n"/>
      <c r="H55" s="14" t="n"/>
      <c r="I55" s="14" t="n"/>
      <c r="J55" s="14" t="n"/>
      <c r="K55" s="14" t="n"/>
      <c r="L55" s="20">
        <f>J55/K55*100</f>
        <v/>
      </c>
      <c r="M55" s="14" t="n"/>
    </row>
    <row r="56">
      <c r="A56" s="14" t="n"/>
      <c r="B56" s="14" t="n"/>
      <c r="C56" s="14" t="n"/>
      <c r="D56" s="14" t="n"/>
      <c r="E56" s="14" t="n"/>
      <c r="F56" s="14" t="n"/>
      <c r="G56" s="14" t="n"/>
      <c r="H56" s="14" t="n"/>
      <c r="I56" s="14" t="n"/>
      <c r="J56" s="14" t="n"/>
      <c r="K56" s="14" t="n"/>
      <c r="L56" s="20">
        <f>J56/K56*100</f>
        <v/>
      </c>
      <c r="M56" s="14" t="n"/>
    </row>
    <row r="57">
      <c r="A57" s="13" t="inlineStr">
        <is>
          <t>Endpoint Channel Coverage %</t>
        </is>
      </c>
      <c r="L57" s="19">
        <f>AVERAGE(L7:L56)</f>
        <v/>
      </c>
    </row>
  </sheetData>
  <mergeCells count="3">
    <mergeCell ref="A3:M3"/>
    <mergeCell ref="A2:M2"/>
    <mergeCell ref="A1:M1"/>
  </mergeCells>
  <dataValidations count="6">
    <dataValidation sqref="C7 C8 C9 C10 C11 C12 C13 C14 C15 C16 C17 C18 C19 C20 C21 C22 C23 C24 C25 C26 C27 C28 C29 C30 C31 C32 C33 C34 C35 C36 C37 C38 C39 C40 C41 C42 C43 C44 C45 C46 C47 C48 C49 C50 C51 C52 C53 C54 C55 C56" showDropDown="1" showInputMessage="0" showErrorMessage="1" allowBlank="0" errorTitle="Invalid Entry" error="Invalid value. Select from dropdown." type="list">
      <formula1>"Yes,No,Partial,Planned,N/A"</formula1>
    </dataValidation>
    <dataValidation sqref="A7 A8 A9 A10 A11 A12 A13 A14 A15 A16 A17 A18 A19 A20 A21 A22 A23 A24 A25 A26 A27 A28 A29 A30 A31 A32 A33 A34 A35 A36 A37 A38 A39 A40 A41 A42 A43 A44 A45 A46 A47 A48 A49 A50 A51 A52 A53 A54 A55 A56" showDropDown="1" showInputMessage="0" showErrorMessage="0" allowBlank="0" type="list">
      <formula1>"Windows Desktop,macOS,Linux,VDI,Thin Client"</formula1>
    </dataValidation>
    <dataValidation sqref="D7 D8 D9 D10 D11 D12 D13 D14 D15 D16 D17 D18 D19 D20 D21 D22 D23 D24 D25 D26 D27 D28 D29 D30 D31 D32 D33 D34 D35 D36 D37 D38 D39 D40 D41 D42 D43 D44 D45 D46 D47 D48 D49 D50 D51 D52 D53 D54 D55 D56" showDropDown="1" showInputMessage="0" showErrorMessage="0" allowBlank="0" type="list">
      <formula1>"Block All,Allow Approved,Monitor,None"</formula1>
    </dataValidation>
    <dataValidation sqref="E7 E8 E9 E10 E11 E12 E13 E14 E15 E16 E17 E18 E19 E20 E21 E22 E23 E24 E25 E26 E27 E28 E29 E30 E31 E32 E33 E34 E35 E36 E37 E38 E39 E40 E41 E42 E43 E44 E45 E46 E47 E48 E49 E50 E51 E52 E53 E54 E55 E56 G7 G8 G9 G10 G11 G12 G13 G14 G15 G16 G17 G18 G19 G20 G21 G22 G23 G24 G25 G26 G27 G28 G29 G30 G31 G32 G33 G34 G35 G36 G37 G38 G39 G40 G41 G42 G43 G44 G45 G46 G47 G48 G49 G50 G51 G52 G53 G54 G55 G56" showDropDown="1" showInputMessage="0" showErrorMessage="0" allowBlank="0" type="list">
      <formula1>"Block,Watermark,Monitor,None"</formula1>
    </dataValidation>
    <dataValidation sqref="F7 F8 F9 F10 F11 F12 F13 F14 F15 F16 F17 F18 F19 F20 F21 F22 F23 F24 F25 F26 F27 F28 F29 F30 F31 F32 F33 F34 F35 F36 F37 F38 F39 F40 F41 F42 F43 F44 F45 F46 F47 F48 F49 F50 F51 F52 F53 F54 F55 F56 H7 H8 H9 H10 H11 H12 H13 H14 H15 H16 H17 H18 H19 H20 H21 H22 H23 H24 H25 H26 H27 H28 H29 H30 H31 H32 H33 H34 H35 H36 H37 H38 H39 H40 H41 H42 H43 H44 H45 H46 H47 H48 H49 H50 H51 H52 H53 H54 H55 H56" showDropDown="1" showInputMessage="0" showErrorMessage="0" allowBlank="0" type="list">
      <formula1>"Block,Monitor,None"</formula1>
    </dataValidation>
    <dataValidation sqref="I7 I8 I9 I10 I11 I12 I13 I14 I15 I16 I17 I18 I19 I20 I21 I22 I23 I24 I25 I26 I27 I28 I29 I30 I31 I32 I33 I34 I35 I36 I37 I38 I39 I40 I41 I42 I43 I44 I45 I46 I47 I48 I49 I50 I51 I52 I53 I54 I55 I56" showDropDown="1" showInputMessage="0" showErrorMessage="0" allowBlank="0" type="list">
      <formula1>"Whitelist,Blacklist,Monitor,None"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7"/>
  <sheetViews>
    <sheetView showGridLines="0" workbookViewId="0">
      <pane ySplit="5" topLeftCell="A6" activePane="bottomLeft" state="frozen"/>
      <selection pane="bottomLeft" activeCell="A1" sqref="A1"/>
    </sheetView>
  </sheetViews>
  <sheetFormatPr baseColWidth="8" defaultRowHeight="15"/>
  <cols>
    <col width="20" customWidth="1" min="1" max="1"/>
    <col width="30" customWidth="1" min="2" max="2"/>
    <col width="25" customWidth="1" min="3" max="3"/>
    <col width="20" customWidth="1" min="4" max="4"/>
    <col width="18" customWidth="1" min="5" max="5"/>
    <col width="18" customWidth="1" min="6" max="6"/>
    <col width="18" customWidth="1" min="7" max="7"/>
    <col width="18" customWidth="1" min="8" max="8"/>
    <col width="18" customWidth="1" min="9" max="9"/>
  </cols>
  <sheetData>
    <row r="1" ht="35" customHeight="1">
      <c r="A1" s="11" t="inlineStr">
        <is>
          <t>NETWORK CHANNEL PROTECTION ASSESSMENT</t>
        </is>
      </c>
    </row>
    <row r="2">
      <c r="A2" s="12" t="inlineStr">
        <is>
          <t>Evaluate network DLP coverage for SMB, FTP, NFS, SCP</t>
        </is>
      </c>
    </row>
    <row r="3">
      <c r="A3" s="17" t="inlineStr">
        <is>
          <t>Does your organisation monitor/block file transfers via network protocols?</t>
        </is>
      </c>
    </row>
    <row r="5">
      <c r="A5" s="15" t="inlineStr">
        <is>
          <t>Protocol</t>
        </is>
      </c>
      <c r="B5" s="15" t="inlineStr">
        <is>
          <t>Business Use Case</t>
        </is>
      </c>
      <c r="C5" s="15" t="inlineStr">
        <is>
          <t>DLP Solution</t>
        </is>
      </c>
      <c r="D5" s="15" t="inlineStr">
        <is>
          <t>Detection Method</t>
        </is>
      </c>
      <c r="E5" s="15" t="inlineStr">
        <is>
          <t>Content Inspection</t>
        </is>
      </c>
      <c r="F5" s="15" t="inlineStr">
        <is>
          <t>Policy Action</t>
        </is>
      </c>
      <c r="G5" s="15" t="inlineStr">
        <is>
          <t>Encryption Handling</t>
        </is>
      </c>
      <c r="H5" s="15" t="inlineStr">
        <is>
          <t>SIEM Integration</t>
        </is>
      </c>
      <c r="I5" s="15" t="inlineStr">
        <is>
          <t>Evidence ID</t>
        </is>
      </c>
    </row>
    <row r="6">
      <c r="A6" s="18" t="inlineStr">
        <is>
          <t>SMB/CIFS</t>
        </is>
      </c>
      <c r="B6" s="18" t="inlineStr">
        <is>
          <t>Internal file shares</t>
        </is>
      </c>
      <c r="C6" s="18" t="inlineStr">
        <is>
          <t>Forcepoint DLP</t>
        </is>
      </c>
      <c r="D6" s="18" t="inlineStr">
        <is>
          <t>Inline</t>
        </is>
      </c>
      <c r="E6" s="18" t="inlineStr">
        <is>
          <t>Yes</t>
        </is>
      </c>
      <c r="F6" s="18" t="inlineStr">
        <is>
          <t>Alert</t>
        </is>
      </c>
      <c r="G6" s="18" t="inlineStr">
        <is>
          <t>Allow</t>
        </is>
      </c>
      <c r="H6" s="18" t="inlineStr">
        <is>
          <t>Yes</t>
        </is>
      </c>
      <c r="I6" s="18" t="inlineStr">
        <is>
          <t>A812-3-NET-001</t>
        </is>
      </c>
    </row>
    <row r="7">
      <c r="A7" s="14" t="n"/>
      <c r="B7" s="14" t="n"/>
      <c r="C7" s="14" t="n"/>
      <c r="D7" s="14" t="n"/>
      <c r="E7" s="14" t="n"/>
      <c r="F7" s="14" t="n"/>
      <c r="G7" s="14" t="n"/>
      <c r="H7" s="14" t="n"/>
      <c r="I7" s="14" t="n"/>
    </row>
    <row r="8">
      <c r="A8" s="14" t="n"/>
      <c r="B8" s="14" t="n"/>
      <c r="C8" s="14" t="n"/>
      <c r="D8" s="14" t="n"/>
      <c r="E8" s="14" t="n"/>
      <c r="F8" s="14" t="n"/>
      <c r="G8" s="14" t="n"/>
      <c r="H8" s="14" t="n"/>
      <c r="I8" s="14" t="n"/>
    </row>
    <row r="9">
      <c r="A9" s="14" t="n"/>
      <c r="B9" s="14" t="n"/>
      <c r="C9" s="14" t="n"/>
      <c r="D9" s="14" t="n"/>
      <c r="E9" s="14" t="n"/>
      <c r="F9" s="14" t="n"/>
      <c r="G9" s="14" t="n"/>
      <c r="H9" s="14" t="n"/>
      <c r="I9" s="14" t="n"/>
    </row>
    <row r="10">
      <c r="A10" s="14" t="n"/>
      <c r="B10" s="14" t="n"/>
      <c r="C10" s="14" t="n"/>
      <c r="D10" s="14" t="n"/>
      <c r="E10" s="14" t="n"/>
      <c r="F10" s="14" t="n"/>
      <c r="G10" s="14" t="n"/>
      <c r="H10" s="14" t="n"/>
      <c r="I10" s="14" t="n"/>
    </row>
    <row r="11">
      <c r="A11" s="14" t="n"/>
      <c r="B11" s="14" t="n"/>
      <c r="C11" s="14" t="n"/>
      <c r="D11" s="14" t="n"/>
      <c r="E11" s="14" t="n"/>
      <c r="F11" s="14" t="n"/>
      <c r="G11" s="14" t="n"/>
      <c r="H11" s="14" t="n"/>
      <c r="I11" s="14" t="n"/>
    </row>
    <row r="12">
      <c r="A12" s="14" t="n"/>
      <c r="B12" s="14" t="n"/>
      <c r="C12" s="14" t="n"/>
      <c r="D12" s="14" t="n"/>
      <c r="E12" s="14" t="n"/>
      <c r="F12" s="14" t="n"/>
      <c r="G12" s="14" t="n"/>
      <c r="H12" s="14" t="n"/>
      <c r="I12" s="14" t="n"/>
    </row>
    <row r="13">
      <c r="A13" s="14" t="n"/>
      <c r="B13" s="14" t="n"/>
      <c r="C13" s="14" t="n"/>
      <c r="D13" s="14" t="n"/>
      <c r="E13" s="14" t="n"/>
      <c r="F13" s="14" t="n"/>
      <c r="G13" s="14" t="n"/>
      <c r="H13" s="14" t="n"/>
      <c r="I13" s="14" t="n"/>
    </row>
    <row r="14">
      <c r="A14" s="14" t="n"/>
      <c r="B14" s="14" t="n"/>
      <c r="C14" s="14" t="n"/>
      <c r="D14" s="14" t="n"/>
      <c r="E14" s="14" t="n"/>
      <c r="F14" s="14" t="n"/>
      <c r="G14" s="14" t="n"/>
      <c r="H14" s="14" t="n"/>
      <c r="I14" s="14" t="n"/>
    </row>
    <row r="15">
      <c r="A15" s="14" t="n"/>
      <c r="B15" s="14" t="n"/>
      <c r="C15" s="14" t="n"/>
      <c r="D15" s="14" t="n"/>
      <c r="E15" s="14" t="n"/>
      <c r="F15" s="14" t="n"/>
      <c r="G15" s="14" t="n"/>
      <c r="H15" s="14" t="n"/>
      <c r="I15" s="14" t="n"/>
    </row>
    <row r="16">
      <c r="A16" s="14" t="n"/>
      <c r="B16" s="14" t="n"/>
      <c r="C16" s="14" t="n"/>
      <c r="D16" s="14" t="n"/>
      <c r="E16" s="14" t="n"/>
      <c r="F16" s="14" t="n"/>
      <c r="G16" s="14" t="n"/>
      <c r="H16" s="14" t="n"/>
      <c r="I16" s="14" t="n"/>
    </row>
    <row r="17">
      <c r="A17" s="14" t="n"/>
      <c r="B17" s="14" t="n"/>
      <c r="C17" s="14" t="n"/>
      <c r="D17" s="14" t="n"/>
      <c r="E17" s="14" t="n"/>
      <c r="F17" s="14" t="n"/>
      <c r="G17" s="14" t="n"/>
      <c r="H17" s="14" t="n"/>
      <c r="I17" s="14" t="n"/>
    </row>
    <row r="18">
      <c r="A18" s="14" t="n"/>
      <c r="B18" s="14" t="n"/>
      <c r="C18" s="14" t="n"/>
      <c r="D18" s="14" t="n"/>
      <c r="E18" s="14" t="n"/>
      <c r="F18" s="14" t="n"/>
      <c r="G18" s="14" t="n"/>
      <c r="H18" s="14" t="n"/>
      <c r="I18" s="14" t="n"/>
    </row>
    <row r="19">
      <c r="A19" s="14" t="n"/>
      <c r="B19" s="14" t="n"/>
      <c r="C19" s="14" t="n"/>
      <c r="D19" s="14" t="n"/>
      <c r="E19" s="14" t="n"/>
      <c r="F19" s="14" t="n"/>
      <c r="G19" s="14" t="n"/>
      <c r="H19" s="14" t="n"/>
      <c r="I19" s="14" t="n"/>
    </row>
    <row r="20">
      <c r="A20" s="14" t="n"/>
      <c r="B20" s="14" t="n"/>
      <c r="C20" s="14" t="n"/>
      <c r="D20" s="14" t="n"/>
      <c r="E20" s="14" t="n"/>
      <c r="F20" s="14" t="n"/>
      <c r="G20" s="14" t="n"/>
      <c r="H20" s="14" t="n"/>
      <c r="I20" s="14" t="n"/>
    </row>
    <row r="21">
      <c r="A21" s="14" t="n"/>
      <c r="B21" s="14" t="n"/>
      <c r="C21" s="14" t="n"/>
      <c r="D21" s="14" t="n"/>
      <c r="E21" s="14" t="n"/>
      <c r="F21" s="14" t="n"/>
      <c r="G21" s="14" t="n"/>
      <c r="H21" s="14" t="n"/>
      <c r="I21" s="14" t="n"/>
    </row>
    <row r="22">
      <c r="A22" s="14" t="n"/>
      <c r="B22" s="14" t="n"/>
      <c r="C22" s="14" t="n"/>
      <c r="D22" s="14" t="n"/>
      <c r="E22" s="14" t="n"/>
      <c r="F22" s="14" t="n"/>
      <c r="G22" s="14" t="n"/>
      <c r="H22" s="14" t="n"/>
      <c r="I22" s="14" t="n"/>
    </row>
    <row r="23">
      <c r="A23" s="14" t="n"/>
      <c r="B23" s="14" t="n"/>
      <c r="C23" s="14" t="n"/>
      <c r="D23" s="14" t="n"/>
      <c r="E23" s="14" t="n"/>
      <c r="F23" s="14" t="n"/>
      <c r="G23" s="14" t="n"/>
      <c r="H23" s="14" t="n"/>
      <c r="I23" s="14" t="n"/>
    </row>
    <row r="24">
      <c r="A24" s="14" t="n"/>
      <c r="B24" s="14" t="n"/>
      <c r="C24" s="14" t="n"/>
      <c r="D24" s="14" t="n"/>
      <c r="E24" s="14" t="n"/>
      <c r="F24" s="14" t="n"/>
      <c r="G24" s="14" t="n"/>
      <c r="H24" s="14" t="n"/>
      <c r="I24" s="14" t="n"/>
    </row>
    <row r="25">
      <c r="A25" s="14" t="n"/>
      <c r="B25" s="14" t="n"/>
      <c r="C25" s="14" t="n"/>
      <c r="D25" s="14" t="n"/>
      <c r="E25" s="14" t="n"/>
      <c r="F25" s="14" t="n"/>
      <c r="G25" s="14" t="n"/>
      <c r="H25" s="14" t="n"/>
      <c r="I25" s="14" t="n"/>
    </row>
    <row r="26">
      <c r="A26" s="14" t="n"/>
      <c r="B26" s="14" t="n"/>
      <c r="C26" s="14" t="n"/>
      <c r="D26" s="14" t="n"/>
      <c r="E26" s="14" t="n"/>
      <c r="F26" s="14" t="n"/>
      <c r="G26" s="14" t="n"/>
      <c r="H26" s="14" t="n"/>
      <c r="I26" s="14" t="n"/>
    </row>
    <row r="27">
      <c r="A27" s="14" t="n"/>
      <c r="B27" s="14" t="n"/>
      <c r="C27" s="14" t="n"/>
      <c r="D27" s="14" t="n"/>
      <c r="E27" s="14" t="n"/>
      <c r="F27" s="14" t="n"/>
      <c r="G27" s="14" t="n"/>
      <c r="H27" s="14" t="n"/>
      <c r="I27" s="14" t="n"/>
    </row>
    <row r="28">
      <c r="A28" s="14" t="n"/>
      <c r="B28" s="14" t="n"/>
      <c r="C28" s="14" t="n"/>
      <c r="D28" s="14" t="n"/>
      <c r="E28" s="14" t="n"/>
      <c r="F28" s="14" t="n"/>
      <c r="G28" s="14" t="n"/>
      <c r="H28" s="14" t="n"/>
      <c r="I28" s="14" t="n"/>
    </row>
    <row r="29">
      <c r="A29" s="14" t="n"/>
      <c r="B29" s="14" t="n"/>
      <c r="C29" s="14" t="n"/>
      <c r="D29" s="14" t="n"/>
      <c r="E29" s="14" t="n"/>
      <c r="F29" s="14" t="n"/>
      <c r="G29" s="14" t="n"/>
      <c r="H29" s="14" t="n"/>
      <c r="I29" s="14" t="n"/>
    </row>
    <row r="30">
      <c r="A30" s="14" t="n"/>
      <c r="B30" s="14" t="n"/>
      <c r="C30" s="14" t="n"/>
      <c r="D30" s="14" t="n"/>
      <c r="E30" s="14" t="n"/>
      <c r="F30" s="14" t="n"/>
      <c r="G30" s="14" t="n"/>
      <c r="H30" s="14" t="n"/>
      <c r="I30" s="14" t="n"/>
    </row>
    <row r="31">
      <c r="A31" s="14" t="n"/>
      <c r="B31" s="14" t="n"/>
      <c r="C31" s="14" t="n"/>
      <c r="D31" s="14" t="n"/>
      <c r="E31" s="14" t="n"/>
      <c r="F31" s="14" t="n"/>
      <c r="G31" s="14" t="n"/>
      <c r="H31" s="14" t="n"/>
      <c r="I31" s="14" t="n"/>
    </row>
    <row r="32">
      <c r="A32" s="14" t="n"/>
      <c r="B32" s="14" t="n"/>
      <c r="C32" s="14" t="n"/>
      <c r="D32" s="14" t="n"/>
      <c r="E32" s="14" t="n"/>
      <c r="F32" s="14" t="n"/>
      <c r="G32" s="14" t="n"/>
      <c r="H32" s="14" t="n"/>
      <c r="I32" s="14" t="n"/>
    </row>
    <row r="33">
      <c r="A33" s="14" t="n"/>
      <c r="B33" s="14" t="n"/>
      <c r="C33" s="14" t="n"/>
      <c r="D33" s="14" t="n"/>
      <c r="E33" s="14" t="n"/>
      <c r="F33" s="14" t="n"/>
      <c r="G33" s="14" t="n"/>
      <c r="H33" s="14" t="n"/>
      <c r="I33" s="14" t="n"/>
    </row>
    <row r="34">
      <c r="A34" s="14" t="n"/>
      <c r="B34" s="14" t="n"/>
      <c r="C34" s="14" t="n"/>
      <c r="D34" s="14" t="n"/>
      <c r="E34" s="14" t="n"/>
      <c r="F34" s="14" t="n"/>
      <c r="G34" s="14" t="n"/>
      <c r="H34" s="14" t="n"/>
      <c r="I34" s="14" t="n"/>
    </row>
    <row r="35">
      <c r="A35" s="14" t="n"/>
      <c r="B35" s="14" t="n"/>
      <c r="C35" s="14" t="n"/>
      <c r="D35" s="14" t="n"/>
      <c r="E35" s="14" t="n"/>
      <c r="F35" s="14" t="n"/>
      <c r="G35" s="14" t="n"/>
      <c r="H35" s="14" t="n"/>
      <c r="I35" s="14" t="n"/>
    </row>
    <row r="36">
      <c r="A36" s="14" t="n"/>
      <c r="B36" s="14" t="n"/>
      <c r="C36" s="14" t="n"/>
      <c r="D36" s="14" t="n"/>
      <c r="E36" s="14" t="n"/>
      <c r="F36" s="14" t="n"/>
      <c r="G36" s="14" t="n"/>
      <c r="H36" s="14" t="n"/>
      <c r="I36" s="14" t="n"/>
    </row>
    <row r="37">
      <c r="A37" s="14" t="n"/>
      <c r="B37" s="14" t="n"/>
      <c r="C37" s="14" t="n"/>
      <c r="D37" s="14" t="n"/>
      <c r="E37" s="14" t="n"/>
      <c r="F37" s="14" t="n"/>
      <c r="G37" s="14" t="n"/>
      <c r="H37" s="14" t="n"/>
      <c r="I37" s="14" t="n"/>
    </row>
    <row r="38">
      <c r="A38" s="14" t="n"/>
      <c r="B38" s="14" t="n"/>
      <c r="C38" s="14" t="n"/>
      <c r="D38" s="14" t="n"/>
      <c r="E38" s="14" t="n"/>
      <c r="F38" s="14" t="n"/>
      <c r="G38" s="14" t="n"/>
      <c r="H38" s="14" t="n"/>
      <c r="I38" s="14" t="n"/>
    </row>
    <row r="39">
      <c r="A39" s="14" t="n"/>
      <c r="B39" s="14" t="n"/>
      <c r="C39" s="14" t="n"/>
      <c r="D39" s="14" t="n"/>
      <c r="E39" s="14" t="n"/>
      <c r="F39" s="14" t="n"/>
      <c r="G39" s="14" t="n"/>
      <c r="H39" s="14" t="n"/>
      <c r="I39" s="14" t="n"/>
    </row>
    <row r="40">
      <c r="A40" s="14" t="n"/>
      <c r="B40" s="14" t="n"/>
      <c r="C40" s="14" t="n"/>
      <c r="D40" s="14" t="n"/>
      <c r="E40" s="14" t="n"/>
      <c r="F40" s="14" t="n"/>
      <c r="G40" s="14" t="n"/>
      <c r="H40" s="14" t="n"/>
      <c r="I40" s="14" t="n"/>
    </row>
    <row r="41">
      <c r="A41" s="14" t="n"/>
      <c r="B41" s="14" t="n"/>
      <c r="C41" s="14" t="n"/>
      <c r="D41" s="14" t="n"/>
      <c r="E41" s="14" t="n"/>
      <c r="F41" s="14" t="n"/>
      <c r="G41" s="14" t="n"/>
      <c r="H41" s="14" t="n"/>
      <c r="I41" s="14" t="n"/>
    </row>
    <row r="42">
      <c r="A42" s="14" t="n"/>
      <c r="B42" s="14" t="n"/>
      <c r="C42" s="14" t="n"/>
      <c r="D42" s="14" t="n"/>
      <c r="E42" s="14" t="n"/>
      <c r="F42" s="14" t="n"/>
      <c r="G42" s="14" t="n"/>
      <c r="H42" s="14" t="n"/>
      <c r="I42" s="14" t="n"/>
    </row>
    <row r="43">
      <c r="A43" s="14" t="n"/>
      <c r="B43" s="14" t="n"/>
      <c r="C43" s="14" t="n"/>
      <c r="D43" s="14" t="n"/>
      <c r="E43" s="14" t="n"/>
      <c r="F43" s="14" t="n"/>
      <c r="G43" s="14" t="n"/>
      <c r="H43" s="14" t="n"/>
      <c r="I43" s="14" t="n"/>
    </row>
    <row r="44">
      <c r="A44" s="14" t="n"/>
      <c r="B44" s="14" t="n"/>
      <c r="C44" s="14" t="n"/>
      <c r="D44" s="14" t="n"/>
      <c r="E44" s="14" t="n"/>
      <c r="F44" s="14" t="n"/>
      <c r="G44" s="14" t="n"/>
      <c r="H44" s="14" t="n"/>
      <c r="I44" s="14" t="n"/>
    </row>
    <row r="45">
      <c r="A45" s="14" t="n"/>
      <c r="B45" s="14" t="n"/>
      <c r="C45" s="14" t="n"/>
      <c r="D45" s="14" t="n"/>
      <c r="E45" s="14" t="n"/>
      <c r="F45" s="14" t="n"/>
      <c r="G45" s="14" t="n"/>
      <c r="H45" s="14" t="n"/>
      <c r="I45" s="14" t="n"/>
    </row>
    <row r="46">
      <c r="A46" s="14" t="n"/>
      <c r="B46" s="14" t="n"/>
      <c r="C46" s="14" t="n"/>
      <c r="D46" s="14" t="n"/>
      <c r="E46" s="14" t="n"/>
      <c r="F46" s="14" t="n"/>
      <c r="G46" s="14" t="n"/>
      <c r="H46" s="14" t="n"/>
      <c r="I46" s="14" t="n"/>
    </row>
    <row r="47">
      <c r="A47" s="14" t="n"/>
      <c r="B47" s="14" t="n"/>
      <c r="C47" s="14" t="n"/>
      <c r="D47" s="14" t="n"/>
      <c r="E47" s="14" t="n"/>
      <c r="F47" s="14" t="n"/>
      <c r="G47" s="14" t="n"/>
      <c r="H47" s="14" t="n"/>
      <c r="I47" s="14" t="n"/>
    </row>
    <row r="48">
      <c r="A48" s="14" t="n"/>
      <c r="B48" s="14" t="n"/>
      <c r="C48" s="14" t="n"/>
      <c r="D48" s="14" t="n"/>
      <c r="E48" s="14" t="n"/>
      <c r="F48" s="14" t="n"/>
      <c r="G48" s="14" t="n"/>
      <c r="H48" s="14" t="n"/>
      <c r="I48" s="14" t="n"/>
    </row>
    <row r="49">
      <c r="A49" s="14" t="n"/>
      <c r="B49" s="14" t="n"/>
      <c r="C49" s="14" t="n"/>
      <c r="D49" s="14" t="n"/>
      <c r="E49" s="14" t="n"/>
      <c r="F49" s="14" t="n"/>
      <c r="G49" s="14" t="n"/>
      <c r="H49" s="14" t="n"/>
      <c r="I49" s="14" t="n"/>
    </row>
    <row r="50">
      <c r="A50" s="14" t="n"/>
      <c r="B50" s="14" t="n"/>
      <c r="C50" s="14" t="n"/>
      <c r="D50" s="14" t="n"/>
      <c r="E50" s="14" t="n"/>
      <c r="F50" s="14" t="n"/>
      <c r="G50" s="14" t="n"/>
      <c r="H50" s="14" t="n"/>
      <c r="I50" s="14" t="n"/>
    </row>
    <row r="51">
      <c r="A51" s="14" t="n"/>
      <c r="B51" s="14" t="n"/>
      <c r="C51" s="14" t="n"/>
      <c r="D51" s="14" t="n"/>
      <c r="E51" s="14" t="n"/>
      <c r="F51" s="14" t="n"/>
      <c r="G51" s="14" t="n"/>
      <c r="H51" s="14" t="n"/>
      <c r="I51" s="14" t="n"/>
    </row>
    <row r="52">
      <c r="A52" s="14" t="n"/>
      <c r="B52" s="14" t="n"/>
      <c r="C52" s="14" t="n"/>
      <c r="D52" s="14" t="n"/>
      <c r="E52" s="14" t="n"/>
      <c r="F52" s="14" t="n"/>
      <c r="G52" s="14" t="n"/>
      <c r="H52" s="14" t="n"/>
      <c r="I52" s="14" t="n"/>
    </row>
    <row r="53">
      <c r="A53" s="14" t="n"/>
      <c r="B53" s="14" t="n"/>
      <c r="C53" s="14" t="n"/>
      <c r="D53" s="14" t="n"/>
      <c r="E53" s="14" t="n"/>
      <c r="F53" s="14" t="n"/>
      <c r="G53" s="14" t="n"/>
      <c r="H53" s="14" t="n"/>
      <c r="I53" s="14" t="n"/>
    </row>
    <row r="54">
      <c r="A54" s="14" t="n"/>
      <c r="B54" s="14" t="n"/>
      <c r="C54" s="14" t="n"/>
      <c r="D54" s="14" t="n"/>
      <c r="E54" s="14" t="n"/>
      <c r="F54" s="14" t="n"/>
      <c r="G54" s="14" t="n"/>
      <c r="H54" s="14" t="n"/>
      <c r="I54" s="14" t="n"/>
    </row>
    <row r="55">
      <c r="A55" s="14" t="n"/>
      <c r="B55" s="14" t="n"/>
      <c r="C55" s="14" t="n"/>
      <c r="D55" s="14" t="n"/>
      <c r="E55" s="14" t="n"/>
      <c r="F55" s="14" t="n"/>
      <c r="G55" s="14" t="n"/>
      <c r="H55" s="14" t="n"/>
      <c r="I55" s="14" t="n"/>
    </row>
    <row r="56">
      <c r="A56" s="14" t="n"/>
      <c r="B56" s="14" t="n"/>
      <c r="C56" s="14" t="n"/>
      <c r="D56" s="14" t="n"/>
      <c r="E56" s="14" t="n"/>
      <c r="F56" s="14" t="n"/>
      <c r="G56" s="14" t="n"/>
      <c r="H56" s="14" t="n"/>
      <c r="I56" s="14" t="n"/>
    </row>
    <row r="57">
      <c r="A57" s="13" t="inlineStr">
        <is>
          <t>Network Channel Coverage %</t>
        </is>
      </c>
      <c r="E57" s="19">
        <f>(COUNTIF(E7:E56,"Yes")/COUNTA(A7:A56))*100</f>
        <v/>
      </c>
    </row>
  </sheetData>
  <mergeCells count="3">
    <mergeCell ref="A1:I1"/>
    <mergeCell ref="A3:I3"/>
    <mergeCell ref="A2:I2"/>
  </mergeCells>
  <dataValidations count="5">
    <dataValidation sqref="F7 F8 F9 F10 F11 F12 F13 F14 F15 F16 F17 F18 F19 F20 F21 F22 F23 F24 F25 F26 F27 F28 F29 F30 F31 F32 F33 F34 F35 F36 F37 F38 F39 F40 F41 F42 F43 F44 F45 F46 F47 F48 F49 F50 F51 F52 F53 F54 F55 F56" showDropDown="1" showInputMessage="0" showErrorMessage="0" allowBlank="0" type="list">
      <formula1>"Allow,Alert,Block,None"</formula1>
    </dataValidation>
    <dataValidation sqref="G7 G8 G9 G10 G11 G12 G13 G14 G15 G16 G17 G18 G19 G20 G21 G22 G23 G24 G25 G26 G27 G28 G29 G30 G31 G32 G33 G34 G35 G36 G37 G38 G39 G40 G41 G42 G43 G44 G45 G46 G47 G48 G49 G50 G51 G52 G53 G54 G55 G56" showDropDown="1" showInputMessage="0" showErrorMessage="0" allowBlank="0" type="list">
      <formula1>"Decrypt,Allow,Block"</formula1>
    </dataValidation>
    <dataValidation sqref="E7 E8 E9 E10 E11 E12 E13 E14 E15 E16 E17 E18 E19 E20 E21 E22 E23 E24 E25 E26 E27 E28 E29 E30 E31 E32 E33 E34 E35 E36 E37 E38 E39 E40 E41 E42 E43 E44 E45 E46 E47 E48 E49 E50 E51 E52 E53 E54 E55 E56 H7 H8 H9 H10 H11 H12 H13 H14 H15 H16 H17 H18 H19 H20 H21 H22 H23 H24 H25 H26 H27 H28 H29 H30 H31 H32 H33 H34 H35 H36 H37 H38 H39 H40 H41 H42 H43 H44 H45 H46 H47 H48 H49 H50 H51 H52 H53 H54 H55 H56" showDropDown="1" showInputMessage="0" showErrorMessage="1" allowBlank="0" errorTitle="Invalid Entry" error="Invalid value. Select from dropdown." type="list">
      <formula1>"Yes,No,Partial,Planned,N/A"</formula1>
    </dataValidation>
    <dataValidation sqref="A7 A8 A9 A10 A11 A12 A13 A14 A15 A16 A17 A18 A19 A20 A21 A22 A23 A24 A25 A26 A27 A28 A29 A30 A31 A32 A33 A34 A35 A36 A37 A38 A39 A40 A41 A42 A43 A44 A45 A46 A47 A48 A49 A50 A51 A52 A53 A54 A55 A56" showDropDown="1" showInputMessage="0" showErrorMessage="0" allowBlank="0" type="list">
      <formula1>"SMB/CIFS,FTP,SFTP,NFS,SCP,WebDAV,Rsync"</formula1>
    </dataValidation>
    <dataValidation sqref="D7 D8 D9 D10 D11 D12 D13 D14 D15 D16 D17 D18 D19 D20 D21 D22 D23 D24 D25 D26 D27 D28 D29 D30 D31 D32 D33 D34 D35 D36 D37 D38 D39 D40 D41 D42 D43 D44 D45 D46 D47 D48 D49 D50 D51 D52 D53 D54 D55 D56" showDropDown="1" showInputMessage="0" showErrorMessage="0" allowBlank="0" type="list">
      <formula1>"Inline,TAP,SPAN,Endpoint,None"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7"/>
  <sheetViews>
    <sheetView showGridLines="0" workbookViewId="0">
      <pane ySplit="5" topLeftCell="A6" activePane="bottomLeft" state="frozen"/>
      <selection pane="bottomLeft" activeCell="A1" sqref="A1"/>
    </sheetView>
  </sheetViews>
  <sheetFormatPr baseColWidth="8" defaultRowHeight="15"/>
  <cols>
    <col width="30" customWidth="1" min="1" max="1"/>
    <col width="20" customWidth="1" min="2" max="2"/>
    <col width="18" customWidth="1" min="3" max="3"/>
    <col width="25" customWidth="1" min="4" max="4"/>
    <col width="18" customWidth="1" min="5" max="5"/>
    <col width="18" customWidth="1" min="6" max="6"/>
    <col width="18" customWidth="1" min="7" max="7"/>
    <col width="18" customWidth="1" min="8" max="8"/>
    <col width="18" customWidth="1" min="9" max="9"/>
  </cols>
  <sheetData>
    <row r="1" ht="35" customHeight="1">
      <c r="A1" s="11" t="inlineStr">
        <is>
          <t>APPLICATION CHANNEL PROTECTION ASSESSMENT</t>
        </is>
      </c>
    </row>
    <row r="2">
      <c r="A2" s="12" t="inlineStr">
        <is>
          <t>Evaluate DLP controls in databases, APIs, reporting tools, CRM, ERP</t>
        </is>
      </c>
    </row>
    <row r="3">
      <c r="A3" s="17" t="inlineStr">
        <is>
          <t>Does your organisation have DLP controls for application-level data exports?</t>
        </is>
      </c>
    </row>
    <row r="5">
      <c r="A5" s="15" t="inlineStr">
        <is>
          <t>Application Name</t>
        </is>
      </c>
      <c r="B5" s="15" t="inlineStr">
        <is>
          <t>Application Type</t>
        </is>
      </c>
      <c r="C5" s="15" t="inlineStr">
        <is>
          <t>Data Export Capability</t>
        </is>
      </c>
      <c r="D5" s="15" t="inlineStr">
        <is>
          <t>DLP Control Method</t>
        </is>
      </c>
      <c r="E5" s="15" t="inlineStr">
        <is>
          <t>Bulk Export Detection</t>
        </is>
      </c>
      <c r="F5" s="15" t="inlineStr">
        <is>
          <t>Export Policy Action</t>
        </is>
      </c>
      <c r="G5" s="15" t="inlineStr">
        <is>
          <t>Audit Logging</t>
        </is>
      </c>
      <c r="H5" s="15" t="inlineStr">
        <is>
          <t>SIEM Integration</t>
        </is>
      </c>
      <c r="I5" s="15" t="inlineStr">
        <is>
          <t>Evidence ID</t>
        </is>
      </c>
    </row>
    <row r="6">
      <c r="A6" s="18" t="inlineStr">
        <is>
          <t>Oracle DB</t>
        </is>
      </c>
      <c r="B6" s="18" t="inlineStr">
        <is>
          <t>Database</t>
        </is>
      </c>
      <c r="C6" s="18" t="inlineStr">
        <is>
          <t>Yes</t>
        </is>
      </c>
      <c r="D6" s="18" t="inlineStr">
        <is>
          <t>DAM (Imperva)</t>
        </is>
      </c>
      <c r="E6" s="18" t="inlineStr">
        <is>
          <t>Yes</t>
        </is>
      </c>
      <c r="F6" s="18" t="inlineStr">
        <is>
          <t>Alert</t>
        </is>
      </c>
      <c r="G6" s="18" t="inlineStr">
        <is>
          <t>Yes</t>
        </is>
      </c>
      <c r="H6" s="18" t="inlineStr">
        <is>
          <t>Yes</t>
        </is>
      </c>
      <c r="I6" s="18" t="inlineStr">
        <is>
          <t>A812-3-APP-001</t>
        </is>
      </c>
    </row>
    <row r="7">
      <c r="A7" s="14" t="n"/>
      <c r="B7" s="14" t="n"/>
      <c r="C7" s="14" t="n"/>
      <c r="D7" s="14" t="n"/>
      <c r="E7" s="14" t="n"/>
      <c r="F7" s="14" t="n"/>
      <c r="G7" s="14" t="n"/>
      <c r="H7" s="14" t="n"/>
      <c r="I7" s="14" t="n"/>
    </row>
    <row r="8">
      <c r="A8" s="14" t="n"/>
      <c r="B8" s="14" t="n"/>
      <c r="C8" s="14" t="n"/>
      <c r="D8" s="14" t="n"/>
      <c r="E8" s="14" t="n"/>
      <c r="F8" s="14" t="n"/>
      <c r="G8" s="14" t="n"/>
      <c r="H8" s="14" t="n"/>
      <c r="I8" s="14" t="n"/>
    </row>
    <row r="9">
      <c r="A9" s="14" t="n"/>
      <c r="B9" s="14" t="n"/>
      <c r="C9" s="14" t="n"/>
      <c r="D9" s="14" t="n"/>
      <c r="E9" s="14" t="n"/>
      <c r="F9" s="14" t="n"/>
      <c r="G9" s="14" t="n"/>
      <c r="H9" s="14" t="n"/>
      <c r="I9" s="14" t="n"/>
    </row>
    <row r="10">
      <c r="A10" s="14" t="n"/>
      <c r="B10" s="14" t="n"/>
      <c r="C10" s="14" t="n"/>
      <c r="D10" s="14" t="n"/>
      <c r="E10" s="14" t="n"/>
      <c r="F10" s="14" t="n"/>
      <c r="G10" s="14" t="n"/>
      <c r="H10" s="14" t="n"/>
      <c r="I10" s="14" t="n"/>
    </row>
    <row r="11">
      <c r="A11" s="14" t="n"/>
      <c r="B11" s="14" t="n"/>
      <c r="C11" s="14" t="n"/>
      <c r="D11" s="14" t="n"/>
      <c r="E11" s="14" t="n"/>
      <c r="F11" s="14" t="n"/>
      <c r="G11" s="14" t="n"/>
      <c r="H11" s="14" t="n"/>
      <c r="I11" s="14" t="n"/>
    </row>
    <row r="12">
      <c r="A12" s="14" t="n"/>
      <c r="B12" s="14" t="n"/>
      <c r="C12" s="14" t="n"/>
      <c r="D12" s="14" t="n"/>
      <c r="E12" s="14" t="n"/>
      <c r="F12" s="14" t="n"/>
      <c r="G12" s="14" t="n"/>
      <c r="H12" s="14" t="n"/>
      <c r="I12" s="14" t="n"/>
    </row>
    <row r="13">
      <c r="A13" s="14" t="n"/>
      <c r="B13" s="14" t="n"/>
      <c r="C13" s="14" t="n"/>
      <c r="D13" s="14" t="n"/>
      <c r="E13" s="14" t="n"/>
      <c r="F13" s="14" t="n"/>
      <c r="G13" s="14" t="n"/>
      <c r="H13" s="14" t="n"/>
      <c r="I13" s="14" t="n"/>
    </row>
    <row r="14">
      <c r="A14" s="14" t="n"/>
      <c r="B14" s="14" t="n"/>
      <c r="C14" s="14" t="n"/>
      <c r="D14" s="14" t="n"/>
      <c r="E14" s="14" t="n"/>
      <c r="F14" s="14" t="n"/>
      <c r="G14" s="14" t="n"/>
      <c r="H14" s="14" t="n"/>
      <c r="I14" s="14" t="n"/>
    </row>
    <row r="15">
      <c r="A15" s="14" t="n"/>
      <c r="B15" s="14" t="n"/>
      <c r="C15" s="14" t="n"/>
      <c r="D15" s="14" t="n"/>
      <c r="E15" s="14" t="n"/>
      <c r="F15" s="14" t="n"/>
      <c r="G15" s="14" t="n"/>
      <c r="H15" s="14" t="n"/>
      <c r="I15" s="14" t="n"/>
    </row>
    <row r="16">
      <c r="A16" s="14" t="n"/>
      <c r="B16" s="14" t="n"/>
      <c r="C16" s="14" t="n"/>
      <c r="D16" s="14" t="n"/>
      <c r="E16" s="14" t="n"/>
      <c r="F16" s="14" t="n"/>
      <c r="G16" s="14" t="n"/>
      <c r="H16" s="14" t="n"/>
      <c r="I16" s="14" t="n"/>
    </row>
    <row r="17">
      <c r="A17" s="14" t="n"/>
      <c r="B17" s="14" t="n"/>
      <c r="C17" s="14" t="n"/>
      <c r="D17" s="14" t="n"/>
      <c r="E17" s="14" t="n"/>
      <c r="F17" s="14" t="n"/>
      <c r="G17" s="14" t="n"/>
      <c r="H17" s="14" t="n"/>
      <c r="I17" s="14" t="n"/>
    </row>
    <row r="18">
      <c r="A18" s="14" t="n"/>
      <c r="B18" s="14" t="n"/>
      <c r="C18" s="14" t="n"/>
      <c r="D18" s="14" t="n"/>
      <c r="E18" s="14" t="n"/>
      <c r="F18" s="14" t="n"/>
      <c r="G18" s="14" t="n"/>
      <c r="H18" s="14" t="n"/>
      <c r="I18" s="14" t="n"/>
    </row>
    <row r="19">
      <c r="A19" s="14" t="n"/>
      <c r="B19" s="14" t="n"/>
      <c r="C19" s="14" t="n"/>
      <c r="D19" s="14" t="n"/>
      <c r="E19" s="14" t="n"/>
      <c r="F19" s="14" t="n"/>
      <c r="G19" s="14" t="n"/>
      <c r="H19" s="14" t="n"/>
      <c r="I19" s="14" t="n"/>
    </row>
    <row r="20">
      <c r="A20" s="14" t="n"/>
      <c r="B20" s="14" t="n"/>
      <c r="C20" s="14" t="n"/>
      <c r="D20" s="14" t="n"/>
      <c r="E20" s="14" t="n"/>
      <c r="F20" s="14" t="n"/>
      <c r="G20" s="14" t="n"/>
      <c r="H20" s="14" t="n"/>
      <c r="I20" s="14" t="n"/>
    </row>
    <row r="21">
      <c r="A21" s="14" t="n"/>
      <c r="B21" s="14" t="n"/>
      <c r="C21" s="14" t="n"/>
      <c r="D21" s="14" t="n"/>
      <c r="E21" s="14" t="n"/>
      <c r="F21" s="14" t="n"/>
      <c r="G21" s="14" t="n"/>
      <c r="H21" s="14" t="n"/>
      <c r="I21" s="14" t="n"/>
    </row>
    <row r="22">
      <c r="A22" s="14" t="n"/>
      <c r="B22" s="14" t="n"/>
      <c r="C22" s="14" t="n"/>
      <c r="D22" s="14" t="n"/>
      <c r="E22" s="14" t="n"/>
      <c r="F22" s="14" t="n"/>
      <c r="G22" s="14" t="n"/>
      <c r="H22" s="14" t="n"/>
      <c r="I22" s="14" t="n"/>
    </row>
    <row r="23">
      <c r="A23" s="14" t="n"/>
      <c r="B23" s="14" t="n"/>
      <c r="C23" s="14" t="n"/>
      <c r="D23" s="14" t="n"/>
      <c r="E23" s="14" t="n"/>
      <c r="F23" s="14" t="n"/>
      <c r="G23" s="14" t="n"/>
      <c r="H23" s="14" t="n"/>
      <c r="I23" s="14" t="n"/>
    </row>
    <row r="24">
      <c r="A24" s="14" t="n"/>
      <c r="B24" s="14" t="n"/>
      <c r="C24" s="14" t="n"/>
      <c r="D24" s="14" t="n"/>
      <c r="E24" s="14" t="n"/>
      <c r="F24" s="14" t="n"/>
      <c r="G24" s="14" t="n"/>
      <c r="H24" s="14" t="n"/>
      <c r="I24" s="14" t="n"/>
    </row>
    <row r="25">
      <c r="A25" s="14" t="n"/>
      <c r="B25" s="14" t="n"/>
      <c r="C25" s="14" t="n"/>
      <c r="D25" s="14" t="n"/>
      <c r="E25" s="14" t="n"/>
      <c r="F25" s="14" t="n"/>
      <c r="G25" s="14" t="n"/>
      <c r="H25" s="14" t="n"/>
      <c r="I25" s="14" t="n"/>
    </row>
    <row r="26">
      <c r="A26" s="14" t="n"/>
      <c r="B26" s="14" t="n"/>
      <c r="C26" s="14" t="n"/>
      <c r="D26" s="14" t="n"/>
      <c r="E26" s="14" t="n"/>
      <c r="F26" s="14" t="n"/>
      <c r="G26" s="14" t="n"/>
      <c r="H26" s="14" t="n"/>
      <c r="I26" s="14" t="n"/>
    </row>
    <row r="27">
      <c r="A27" s="14" t="n"/>
      <c r="B27" s="14" t="n"/>
      <c r="C27" s="14" t="n"/>
      <c r="D27" s="14" t="n"/>
      <c r="E27" s="14" t="n"/>
      <c r="F27" s="14" t="n"/>
      <c r="G27" s="14" t="n"/>
      <c r="H27" s="14" t="n"/>
      <c r="I27" s="14" t="n"/>
    </row>
    <row r="28">
      <c r="A28" s="14" t="n"/>
      <c r="B28" s="14" t="n"/>
      <c r="C28" s="14" t="n"/>
      <c r="D28" s="14" t="n"/>
      <c r="E28" s="14" t="n"/>
      <c r="F28" s="14" t="n"/>
      <c r="G28" s="14" t="n"/>
      <c r="H28" s="14" t="n"/>
      <c r="I28" s="14" t="n"/>
    </row>
    <row r="29">
      <c r="A29" s="14" t="n"/>
      <c r="B29" s="14" t="n"/>
      <c r="C29" s="14" t="n"/>
      <c r="D29" s="14" t="n"/>
      <c r="E29" s="14" t="n"/>
      <c r="F29" s="14" t="n"/>
      <c r="G29" s="14" t="n"/>
      <c r="H29" s="14" t="n"/>
      <c r="I29" s="14" t="n"/>
    </row>
    <row r="30">
      <c r="A30" s="14" t="n"/>
      <c r="B30" s="14" t="n"/>
      <c r="C30" s="14" t="n"/>
      <c r="D30" s="14" t="n"/>
      <c r="E30" s="14" t="n"/>
      <c r="F30" s="14" t="n"/>
      <c r="G30" s="14" t="n"/>
      <c r="H30" s="14" t="n"/>
      <c r="I30" s="14" t="n"/>
    </row>
    <row r="31">
      <c r="A31" s="14" t="n"/>
      <c r="B31" s="14" t="n"/>
      <c r="C31" s="14" t="n"/>
      <c r="D31" s="14" t="n"/>
      <c r="E31" s="14" t="n"/>
      <c r="F31" s="14" t="n"/>
      <c r="G31" s="14" t="n"/>
      <c r="H31" s="14" t="n"/>
      <c r="I31" s="14" t="n"/>
    </row>
    <row r="32">
      <c r="A32" s="14" t="n"/>
      <c r="B32" s="14" t="n"/>
      <c r="C32" s="14" t="n"/>
      <c r="D32" s="14" t="n"/>
      <c r="E32" s="14" t="n"/>
      <c r="F32" s="14" t="n"/>
      <c r="G32" s="14" t="n"/>
      <c r="H32" s="14" t="n"/>
      <c r="I32" s="14" t="n"/>
    </row>
    <row r="33">
      <c r="A33" s="14" t="n"/>
      <c r="B33" s="14" t="n"/>
      <c r="C33" s="14" t="n"/>
      <c r="D33" s="14" t="n"/>
      <c r="E33" s="14" t="n"/>
      <c r="F33" s="14" t="n"/>
      <c r="G33" s="14" t="n"/>
      <c r="H33" s="14" t="n"/>
      <c r="I33" s="14" t="n"/>
    </row>
    <row r="34">
      <c r="A34" s="14" t="n"/>
      <c r="B34" s="14" t="n"/>
      <c r="C34" s="14" t="n"/>
      <c r="D34" s="14" t="n"/>
      <c r="E34" s="14" t="n"/>
      <c r="F34" s="14" t="n"/>
      <c r="G34" s="14" t="n"/>
      <c r="H34" s="14" t="n"/>
      <c r="I34" s="14" t="n"/>
    </row>
    <row r="35">
      <c r="A35" s="14" t="n"/>
      <c r="B35" s="14" t="n"/>
      <c r="C35" s="14" t="n"/>
      <c r="D35" s="14" t="n"/>
      <c r="E35" s="14" t="n"/>
      <c r="F35" s="14" t="n"/>
      <c r="G35" s="14" t="n"/>
      <c r="H35" s="14" t="n"/>
      <c r="I35" s="14" t="n"/>
    </row>
    <row r="36">
      <c r="A36" s="14" t="n"/>
      <c r="B36" s="14" t="n"/>
      <c r="C36" s="14" t="n"/>
      <c r="D36" s="14" t="n"/>
      <c r="E36" s="14" t="n"/>
      <c r="F36" s="14" t="n"/>
      <c r="G36" s="14" t="n"/>
      <c r="H36" s="14" t="n"/>
      <c r="I36" s="14" t="n"/>
    </row>
    <row r="37">
      <c r="A37" s="14" t="n"/>
      <c r="B37" s="14" t="n"/>
      <c r="C37" s="14" t="n"/>
      <c r="D37" s="14" t="n"/>
      <c r="E37" s="14" t="n"/>
      <c r="F37" s="14" t="n"/>
      <c r="G37" s="14" t="n"/>
      <c r="H37" s="14" t="n"/>
      <c r="I37" s="14" t="n"/>
    </row>
    <row r="38">
      <c r="A38" s="14" t="n"/>
      <c r="B38" s="14" t="n"/>
      <c r="C38" s="14" t="n"/>
      <c r="D38" s="14" t="n"/>
      <c r="E38" s="14" t="n"/>
      <c r="F38" s="14" t="n"/>
      <c r="G38" s="14" t="n"/>
      <c r="H38" s="14" t="n"/>
      <c r="I38" s="14" t="n"/>
    </row>
    <row r="39">
      <c r="A39" s="14" t="n"/>
      <c r="B39" s="14" t="n"/>
      <c r="C39" s="14" t="n"/>
      <c r="D39" s="14" t="n"/>
      <c r="E39" s="14" t="n"/>
      <c r="F39" s="14" t="n"/>
      <c r="G39" s="14" t="n"/>
      <c r="H39" s="14" t="n"/>
      <c r="I39" s="14" t="n"/>
    </row>
    <row r="40">
      <c r="A40" s="14" t="n"/>
      <c r="B40" s="14" t="n"/>
      <c r="C40" s="14" t="n"/>
      <c r="D40" s="14" t="n"/>
      <c r="E40" s="14" t="n"/>
      <c r="F40" s="14" t="n"/>
      <c r="G40" s="14" t="n"/>
      <c r="H40" s="14" t="n"/>
      <c r="I40" s="14" t="n"/>
    </row>
    <row r="41">
      <c r="A41" s="14" t="n"/>
      <c r="B41" s="14" t="n"/>
      <c r="C41" s="14" t="n"/>
      <c r="D41" s="14" t="n"/>
      <c r="E41" s="14" t="n"/>
      <c r="F41" s="14" t="n"/>
      <c r="G41" s="14" t="n"/>
      <c r="H41" s="14" t="n"/>
      <c r="I41" s="14" t="n"/>
    </row>
    <row r="42">
      <c r="A42" s="14" t="n"/>
      <c r="B42" s="14" t="n"/>
      <c r="C42" s="14" t="n"/>
      <c r="D42" s="14" t="n"/>
      <c r="E42" s="14" t="n"/>
      <c r="F42" s="14" t="n"/>
      <c r="G42" s="14" t="n"/>
      <c r="H42" s="14" t="n"/>
      <c r="I42" s="14" t="n"/>
    </row>
    <row r="43">
      <c r="A43" s="14" t="n"/>
      <c r="B43" s="14" t="n"/>
      <c r="C43" s="14" t="n"/>
      <c r="D43" s="14" t="n"/>
      <c r="E43" s="14" t="n"/>
      <c r="F43" s="14" t="n"/>
      <c r="G43" s="14" t="n"/>
      <c r="H43" s="14" t="n"/>
      <c r="I43" s="14" t="n"/>
    </row>
    <row r="44">
      <c r="A44" s="14" t="n"/>
      <c r="B44" s="14" t="n"/>
      <c r="C44" s="14" t="n"/>
      <c r="D44" s="14" t="n"/>
      <c r="E44" s="14" t="n"/>
      <c r="F44" s="14" t="n"/>
      <c r="G44" s="14" t="n"/>
      <c r="H44" s="14" t="n"/>
      <c r="I44" s="14" t="n"/>
    </row>
    <row r="45">
      <c r="A45" s="14" t="n"/>
      <c r="B45" s="14" t="n"/>
      <c r="C45" s="14" t="n"/>
      <c r="D45" s="14" t="n"/>
      <c r="E45" s="14" t="n"/>
      <c r="F45" s="14" t="n"/>
      <c r="G45" s="14" t="n"/>
      <c r="H45" s="14" t="n"/>
      <c r="I45" s="14" t="n"/>
    </row>
    <row r="46">
      <c r="A46" s="14" t="n"/>
      <c r="B46" s="14" t="n"/>
      <c r="C46" s="14" t="n"/>
      <c r="D46" s="14" t="n"/>
      <c r="E46" s="14" t="n"/>
      <c r="F46" s="14" t="n"/>
      <c r="G46" s="14" t="n"/>
      <c r="H46" s="14" t="n"/>
      <c r="I46" s="14" t="n"/>
    </row>
    <row r="47">
      <c r="A47" s="14" t="n"/>
      <c r="B47" s="14" t="n"/>
      <c r="C47" s="14" t="n"/>
      <c r="D47" s="14" t="n"/>
      <c r="E47" s="14" t="n"/>
      <c r="F47" s="14" t="n"/>
      <c r="G47" s="14" t="n"/>
      <c r="H47" s="14" t="n"/>
      <c r="I47" s="14" t="n"/>
    </row>
    <row r="48">
      <c r="A48" s="14" t="n"/>
      <c r="B48" s="14" t="n"/>
      <c r="C48" s="14" t="n"/>
      <c r="D48" s="14" t="n"/>
      <c r="E48" s="14" t="n"/>
      <c r="F48" s="14" t="n"/>
      <c r="G48" s="14" t="n"/>
      <c r="H48" s="14" t="n"/>
      <c r="I48" s="14" t="n"/>
    </row>
    <row r="49">
      <c r="A49" s="14" t="n"/>
      <c r="B49" s="14" t="n"/>
      <c r="C49" s="14" t="n"/>
      <c r="D49" s="14" t="n"/>
      <c r="E49" s="14" t="n"/>
      <c r="F49" s="14" t="n"/>
      <c r="G49" s="14" t="n"/>
      <c r="H49" s="14" t="n"/>
      <c r="I49" s="14" t="n"/>
    </row>
    <row r="50">
      <c r="A50" s="14" t="n"/>
      <c r="B50" s="14" t="n"/>
      <c r="C50" s="14" t="n"/>
      <c r="D50" s="14" t="n"/>
      <c r="E50" s="14" t="n"/>
      <c r="F50" s="14" t="n"/>
      <c r="G50" s="14" t="n"/>
      <c r="H50" s="14" t="n"/>
      <c r="I50" s="14" t="n"/>
    </row>
    <row r="51">
      <c r="A51" s="14" t="n"/>
      <c r="B51" s="14" t="n"/>
      <c r="C51" s="14" t="n"/>
      <c r="D51" s="14" t="n"/>
      <c r="E51" s="14" t="n"/>
      <c r="F51" s="14" t="n"/>
      <c r="G51" s="14" t="n"/>
      <c r="H51" s="14" t="n"/>
      <c r="I51" s="14" t="n"/>
    </row>
    <row r="52">
      <c r="A52" s="14" t="n"/>
      <c r="B52" s="14" t="n"/>
      <c r="C52" s="14" t="n"/>
      <c r="D52" s="14" t="n"/>
      <c r="E52" s="14" t="n"/>
      <c r="F52" s="14" t="n"/>
      <c r="G52" s="14" t="n"/>
      <c r="H52" s="14" t="n"/>
      <c r="I52" s="14" t="n"/>
    </row>
    <row r="53">
      <c r="A53" s="14" t="n"/>
      <c r="B53" s="14" t="n"/>
      <c r="C53" s="14" t="n"/>
      <c r="D53" s="14" t="n"/>
      <c r="E53" s="14" t="n"/>
      <c r="F53" s="14" t="n"/>
      <c r="G53" s="14" t="n"/>
      <c r="H53" s="14" t="n"/>
      <c r="I53" s="14" t="n"/>
    </row>
    <row r="54">
      <c r="A54" s="14" t="n"/>
      <c r="B54" s="14" t="n"/>
      <c r="C54" s="14" t="n"/>
      <c r="D54" s="14" t="n"/>
      <c r="E54" s="14" t="n"/>
      <c r="F54" s="14" t="n"/>
      <c r="G54" s="14" t="n"/>
      <c r="H54" s="14" t="n"/>
      <c r="I54" s="14" t="n"/>
    </row>
    <row r="55">
      <c r="A55" s="14" t="n"/>
      <c r="B55" s="14" t="n"/>
      <c r="C55" s="14" t="n"/>
      <c r="D55" s="14" t="n"/>
      <c r="E55" s="14" t="n"/>
      <c r="F55" s="14" t="n"/>
      <c r="G55" s="14" t="n"/>
      <c r="H55" s="14" t="n"/>
      <c r="I55" s="14" t="n"/>
    </row>
    <row r="56">
      <c r="A56" s="14" t="n"/>
      <c r="B56" s="14" t="n"/>
      <c r="C56" s="14" t="n"/>
      <c r="D56" s="14" t="n"/>
      <c r="E56" s="14" t="n"/>
      <c r="F56" s="14" t="n"/>
      <c r="G56" s="14" t="n"/>
      <c r="H56" s="14" t="n"/>
      <c r="I56" s="14" t="n"/>
    </row>
    <row r="57">
      <c r="A57" s="13" t="inlineStr">
        <is>
          <t>Application Channel Coverage %</t>
        </is>
      </c>
      <c r="E57" s="19">
        <f>(COUNTIF(E7:E56,"Yes")/COUNTA(A7:A56))*100</f>
        <v/>
      </c>
    </row>
  </sheetData>
  <mergeCells count="3">
    <mergeCell ref="A1:I1"/>
    <mergeCell ref="A3:I3"/>
    <mergeCell ref="A2:I2"/>
  </mergeCells>
  <dataValidations count="5">
    <dataValidation sqref="E7 E8 E9 E10 E11 E12 E13 E14 E15 E16 E17 E18 E19 E20 E21 E22 E23 E24 E25 E26 E27 E28 E29 E30 E31 E32 E33 E34 E35 E36 E37 E38 E39 E40 E41 E42 E43 E44 E45 E46 E47 E48 E49 E50 E51 E52 E53 E54 E55 E56 G7 G8 G9 G10 G11 G12 G13 G14 G15 G16 G17 G18 G19 G20 G21 G22 G23 G24 G25 G26 G27 G28 G29 G30 G31 G32 G33 G34 G35 G36 G37 G38 G39 G40 G41 G42 G43 G44 G45 G46 G47 G48 G49 G50 G51 G52 G53 G54 G55 G56 H7 H8 H9 H10 H11 H12 H13 H14 H15 H16 H17 H18 H19 H20 H21 H22 H23 H24 H25 H26 H27 H28 H29 H30 H31 H32 H33 H34 H35 H36 H37 H38 H39 H40 H41 H42 H43 H44 H45 H46 H47 H48 H49 H50 H51 H52 H53 H54 H55 H56" showDropDown="1" showInputMessage="0" showErrorMessage="1" allowBlank="0" errorTitle="Invalid Entry" error="Invalid value. Select from dropdown." type="list">
      <formula1>"Yes,No,Partial,Planned,N/A"</formula1>
    </dataValidation>
    <dataValidation sqref="B7 B8 B9 B10 B11 B12 B13 B14 B15 B16 B17 B18 B19 B20 B21 B22 B23 B24 B25 B26 B27 B28 B29 B30 B31 B32 B33 B34 B35 B36 B37 B38 B39 B40 B41 B42 B43 B44 B45 B46 B47 B48 B49 B50 B51 B52 B53 B54 B55 B56" showDropDown="1" showInputMessage="0" showErrorMessage="0" allowBlank="0" type="list">
      <formula1>"Database,API,Reporting,CRM,ERP,BI,Other"</formula1>
    </dataValidation>
    <dataValidation sqref="C7 C8 C9 C10 C11 C12 C13 C14 C15 C16 C17 C18 C19 C20 C21 C22 C23 C24 C25 C26 C27 C28 C29 C30 C31 C32 C33 C34 C35 C36 C37 C38 C39 C40 C41 C42 C43 C44 C45 C46 C47 C48 C49 C50 C51 C52 C53 C54 C55 C56" showDropDown="1" showInputMessage="0" showErrorMessage="0" allowBlank="0" type="list">
      <formula1>"Yes,No,Limited"</formula1>
    </dataValidation>
    <dataValidation sqref="D7 D8 D9 D10 D11 D12 D13 D14 D15 D16 D17 D18 D19 D20 D21 D22 D23 D24 D25 D26 D27 D28 D29 D30 D31 D32 D33 D34 D35 D36 D37 D38 D39 D40 D41 D42 D43 D44 D45 D46 D47 D48 D49 D50 D51 D52 D53 D54 D55 D56" showDropDown="1" showInputMessage="0" showErrorMessage="0" allowBlank="0" type="list">
      <formula1>"DAM,API Gateway,App Control,Endpoint,None"</formula1>
    </dataValidation>
    <dataValidation sqref="F7 F8 F9 F10 F11 F12 F13 F14 F15 F16 F17 F18 F19 F20 F21 F22 F23 F24 F25 F26 F27 F28 F29 F30 F31 F32 F33 F34 F35 F36 F37 F38 F39 F40 F41 F42 F43 F44 F45 F46 F47 F48 F49 F50 F51 F52 F53 F54 F55 F56" showDropDown="1" showInputMessage="0" showErrorMessage="0" allowBlank="0" type="list">
      <formula1>"Allow,Alert,Block,Approval Required"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7"/>
  <sheetViews>
    <sheetView showGridLines="0" workbookViewId="0">
      <pane ySplit="5" topLeftCell="A6" activePane="bottomLeft" state="frozen"/>
      <selection pane="bottomLeft" activeCell="A1" sqref="A1"/>
    </sheetView>
  </sheetViews>
  <sheetFormatPr baseColWidth="8" defaultRowHeight="15"/>
  <cols>
    <col width="18" customWidth="1" min="1" max="1"/>
    <col width="20" customWidth="1" min="2" max="2"/>
    <col width="25" customWidth="1" min="3" max="3"/>
    <col width="18" customWidth="1" min="4" max="4"/>
    <col width="18" customWidth="1" min="5" max="5"/>
    <col width="18" customWidth="1" min="6" max="6"/>
    <col width="18" customWidth="1" min="7" max="7"/>
    <col width="18" customWidth="1" min="8" max="8"/>
    <col width="18" customWidth="1" min="9" max="9"/>
    <col width="15" customWidth="1" min="10" max="10"/>
    <col width="15" customWidth="1" min="11" max="11"/>
    <col width="15" customWidth="1" min="12" max="12"/>
    <col width="18" customWidth="1" min="13" max="13"/>
  </cols>
  <sheetData>
    <row r="1" ht="35" customHeight="1">
      <c r="A1" s="11" t="inlineStr">
        <is>
          <t>MOBILE CHANNEL PROTECTION ASSESSMENT</t>
        </is>
      </c>
    </row>
    <row r="2">
      <c r="A2" s="12" t="inlineStr">
        <is>
          <t>Evaluate MDM/MAM DLP controls for corporate and BYOD devices</t>
        </is>
      </c>
    </row>
    <row r="3">
      <c r="A3" s="17" t="inlineStr">
        <is>
          <t>Does your organisation have DLP controls for mobile devices with corporate data access?</t>
        </is>
      </c>
    </row>
    <row r="5">
      <c r="A5" s="15" t="inlineStr">
        <is>
          <t>Device Ownership</t>
        </is>
      </c>
      <c r="B5" s="15" t="inlineStr">
        <is>
          <t>Mobile Platform</t>
        </is>
      </c>
      <c r="C5" s="15" t="inlineStr">
        <is>
          <t>MDM/MAM Solution</t>
        </is>
      </c>
      <c r="D5" s="15" t="inlineStr">
        <is>
          <t>Work Profile Enabled</t>
        </is>
      </c>
      <c r="E5" s="15" t="inlineStr">
        <is>
          <t>Copy-Paste Control</t>
        </is>
      </c>
      <c r="F5" s="15" t="inlineStr">
        <is>
          <t>Screenshot Control</t>
        </is>
      </c>
      <c r="G5" s="15" t="inlineStr">
        <is>
          <t>Camera Access Control</t>
        </is>
      </c>
      <c r="H5" s="15" t="inlineStr">
        <is>
          <t>Personal Cloud Block</t>
        </is>
      </c>
      <c r="I5" s="15" t="inlineStr">
        <is>
          <t>AirDrop/NFC Control</t>
        </is>
      </c>
      <c r="J5" s="15" t="inlineStr">
        <is>
          <t>Devices Enrolled</t>
        </is>
      </c>
      <c r="K5" s="15" t="inlineStr">
        <is>
          <t>Total Mobile Devices</t>
        </is>
      </c>
      <c r="L5" s="15" t="inlineStr">
        <is>
          <t>Coverage %</t>
        </is>
      </c>
      <c r="M5" s="15" t="inlineStr">
        <is>
          <t>Evidence ID</t>
        </is>
      </c>
    </row>
    <row r="6">
      <c r="A6" s="18" t="inlineStr">
        <is>
          <t>Corporate</t>
        </is>
      </c>
      <c r="B6" s="18" t="inlineStr">
        <is>
          <t>iOS</t>
        </is>
      </c>
      <c r="C6" s="18" t="inlineStr">
        <is>
          <t>Microsoft Intune</t>
        </is>
      </c>
      <c r="D6" s="18" t="inlineStr">
        <is>
          <t>Yes</t>
        </is>
      </c>
      <c r="E6" s="18" t="inlineStr">
        <is>
          <t>Block</t>
        </is>
      </c>
      <c r="F6" s="18" t="inlineStr">
        <is>
          <t>Block</t>
        </is>
      </c>
      <c r="G6" s="18" t="inlineStr">
        <is>
          <t>Block</t>
        </is>
      </c>
      <c r="H6" s="18" t="inlineStr">
        <is>
          <t>Yes</t>
        </is>
      </c>
      <c r="I6" s="18" t="inlineStr">
        <is>
          <t>Block</t>
        </is>
      </c>
      <c r="J6" s="18" t="inlineStr">
        <is>
          <t>200</t>
        </is>
      </c>
      <c r="K6" s="18" t="inlineStr">
        <is>
          <t>200</t>
        </is>
      </c>
      <c r="L6" s="18">
        <f>J6/K6*100</f>
        <v/>
      </c>
      <c r="M6" s="18" t="inlineStr">
        <is>
          <t>A812-3-MOB-001</t>
        </is>
      </c>
    </row>
    <row r="7">
      <c r="A7" s="14" t="n"/>
      <c r="B7" s="14" t="n"/>
      <c r="C7" s="14" t="n"/>
      <c r="D7" s="14" t="n"/>
      <c r="E7" s="14" t="n"/>
      <c r="F7" s="14" t="n"/>
      <c r="G7" s="14" t="n"/>
      <c r="H7" s="14" t="n"/>
      <c r="I7" s="14" t="n"/>
      <c r="J7" s="14" t="n"/>
      <c r="K7" s="14" t="n"/>
      <c r="L7" s="20">
        <f>J7/K7*100</f>
        <v/>
      </c>
      <c r="M7" s="14" t="n"/>
    </row>
    <row r="8">
      <c r="A8" s="14" t="n"/>
      <c r="B8" s="14" t="n"/>
      <c r="C8" s="14" t="n"/>
      <c r="D8" s="14" t="n"/>
      <c r="E8" s="14" t="n"/>
      <c r="F8" s="14" t="n"/>
      <c r="G8" s="14" t="n"/>
      <c r="H8" s="14" t="n"/>
      <c r="I8" s="14" t="n"/>
      <c r="J8" s="14" t="n"/>
      <c r="K8" s="14" t="n"/>
      <c r="L8" s="20">
        <f>J8/K8*100</f>
        <v/>
      </c>
      <c r="M8" s="14" t="n"/>
    </row>
    <row r="9">
      <c r="A9" s="14" t="n"/>
      <c r="B9" s="14" t="n"/>
      <c r="C9" s="14" t="n"/>
      <c r="D9" s="14" t="n"/>
      <c r="E9" s="14" t="n"/>
      <c r="F9" s="14" t="n"/>
      <c r="G9" s="14" t="n"/>
      <c r="H9" s="14" t="n"/>
      <c r="I9" s="14" t="n"/>
      <c r="J9" s="14" t="n"/>
      <c r="K9" s="14" t="n"/>
      <c r="L9" s="20">
        <f>J9/K9*100</f>
        <v/>
      </c>
      <c r="M9" s="14" t="n"/>
    </row>
    <row r="10">
      <c r="A10" s="14" t="n"/>
      <c r="B10" s="14" t="n"/>
      <c r="C10" s="14" t="n"/>
      <c r="D10" s="14" t="n"/>
      <c r="E10" s="14" t="n"/>
      <c r="F10" s="14" t="n"/>
      <c r="G10" s="14" t="n"/>
      <c r="H10" s="14" t="n"/>
      <c r="I10" s="14" t="n"/>
      <c r="J10" s="14" t="n"/>
      <c r="K10" s="14" t="n"/>
      <c r="L10" s="20">
        <f>J10/K10*100</f>
        <v/>
      </c>
      <c r="M10" s="14" t="n"/>
    </row>
    <row r="11">
      <c r="A11" s="14" t="n"/>
      <c r="B11" s="14" t="n"/>
      <c r="C11" s="14" t="n"/>
      <c r="D11" s="14" t="n"/>
      <c r="E11" s="14" t="n"/>
      <c r="F11" s="14" t="n"/>
      <c r="G11" s="14" t="n"/>
      <c r="H11" s="14" t="n"/>
      <c r="I11" s="14" t="n"/>
      <c r="J11" s="14" t="n"/>
      <c r="K11" s="14" t="n"/>
      <c r="L11" s="20">
        <f>J11/K11*100</f>
        <v/>
      </c>
      <c r="M11" s="14" t="n"/>
    </row>
    <row r="12">
      <c r="A12" s="14" t="n"/>
      <c r="B12" s="14" t="n"/>
      <c r="C12" s="14" t="n"/>
      <c r="D12" s="14" t="n"/>
      <c r="E12" s="14" t="n"/>
      <c r="F12" s="14" t="n"/>
      <c r="G12" s="14" t="n"/>
      <c r="H12" s="14" t="n"/>
      <c r="I12" s="14" t="n"/>
      <c r="J12" s="14" t="n"/>
      <c r="K12" s="14" t="n"/>
      <c r="L12" s="20">
        <f>J12/K12*100</f>
        <v/>
      </c>
      <c r="M12" s="14" t="n"/>
    </row>
    <row r="13">
      <c r="A13" s="14" t="n"/>
      <c r="B13" s="14" t="n"/>
      <c r="C13" s="14" t="n"/>
      <c r="D13" s="14" t="n"/>
      <c r="E13" s="14" t="n"/>
      <c r="F13" s="14" t="n"/>
      <c r="G13" s="14" t="n"/>
      <c r="H13" s="14" t="n"/>
      <c r="I13" s="14" t="n"/>
      <c r="J13" s="14" t="n"/>
      <c r="K13" s="14" t="n"/>
      <c r="L13" s="20">
        <f>J13/K13*100</f>
        <v/>
      </c>
      <c r="M13" s="14" t="n"/>
    </row>
    <row r="14">
      <c r="A14" s="14" t="n"/>
      <c r="B14" s="14" t="n"/>
      <c r="C14" s="14" t="n"/>
      <c r="D14" s="14" t="n"/>
      <c r="E14" s="14" t="n"/>
      <c r="F14" s="14" t="n"/>
      <c r="G14" s="14" t="n"/>
      <c r="H14" s="14" t="n"/>
      <c r="I14" s="14" t="n"/>
      <c r="J14" s="14" t="n"/>
      <c r="K14" s="14" t="n"/>
      <c r="L14" s="20">
        <f>J14/K14*100</f>
        <v/>
      </c>
      <c r="M14" s="14" t="n"/>
    </row>
    <row r="15">
      <c r="A15" s="14" t="n"/>
      <c r="B15" s="14" t="n"/>
      <c r="C15" s="14" t="n"/>
      <c r="D15" s="14" t="n"/>
      <c r="E15" s="14" t="n"/>
      <c r="F15" s="14" t="n"/>
      <c r="G15" s="14" t="n"/>
      <c r="H15" s="14" t="n"/>
      <c r="I15" s="14" t="n"/>
      <c r="J15" s="14" t="n"/>
      <c r="K15" s="14" t="n"/>
      <c r="L15" s="20">
        <f>J15/K15*100</f>
        <v/>
      </c>
      <c r="M15" s="14" t="n"/>
    </row>
    <row r="16">
      <c r="A16" s="14" t="n"/>
      <c r="B16" s="14" t="n"/>
      <c r="C16" s="14" t="n"/>
      <c r="D16" s="14" t="n"/>
      <c r="E16" s="14" t="n"/>
      <c r="F16" s="14" t="n"/>
      <c r="G16" s="14" t="n"/>
      <c r="H16" s="14" t="n"/>
      <c r="I16" s="14" t="n"/>
      <c r="J16" s="14" t="n"/>
      <c r="K16" s="14" t="n"/>
      <c r="L16" s="20">
        <f>J16/K16*100</f>
        <v/>
      </c>
      <c r="M16" s="14" t="n"/>
    </row>
    <row r="17">
      <c r="A17" s="14" t="n"/>
      <c r="B17" s="14" t="n"/>
      <c r="C17" s="14" t="n"/>
      <c r="D17" s="14" t="n"/>
      <c r="E17" s="14" t="n"/>
      <c r="F17" s="14" t="n"/>
      <c r="G17" s="14" t="n"/>
      <c r="H17" s="14" t="n"/>
      <c r="I17" s="14" t="n"/>
      <c r="J17" s="14" t="n"/>
      <c r="K17" s="14" t="n"/>
      <c r="L17" s="20">
        <f>J17/K17*100</f>
        <v/>
      </c>
      <c r="M17" s="14" t="n"/>
    </row>
    <row r="18">
      <c r="A18" s="14" t="n"/>
      <c r="B18" s="14" t="n"/>
      <c r="C18" s="14" t="n"/>
      <c r="D18" s="14" t="n"/>
      <c r="E18" s="14" t="n"/>
      <c r="F18" s="14" t="n"/>
      <c r="G18" s="14" t="n"/>
      <c r="H18" s="14" t="n"/>
      <c r="I18" s="14" t="n"/>
      <c r="J18" s="14" t="n"/>
      <c r="K18" s="14" t="n"/>
      <c r="L18" s="20">
        <f>J18/K18*100</f>
        <v/>
      </c>
      <c r="M18" s="14" t="n"/>
    </row>
    <row r="19">
      <c r="A19" s="14" t="n"/>
      <c r="B19" s="14" t="n"/>
      <c r="C19" s="14" t="n"/>
      <c r="D19" s="14" t="n"/>
      <c r="E19" s="14" t="n"/>
      <c r="F19" s="14" t="n"/>
      <c r="G19" s="14" t="n"/>
      <c r="H19" s="14" t="n"/>
      <c r="I19" s="14" t="n"/>
      <c r="J19" s="14" t="n"/>
      <c r="K19" s="14" t="n"/>
      <c r="L19" s="20">
        <f>J19/K19*100</f>
        <v/>
      </c>
      <c r="M19" s="14" t="n"/>
    </row>
    <row r="20">
      <c r="A20" s="14" t="n"/>
      <c r="B20" s="14" t="n"/>
      <c r="C20" s="14" t="n"/>
      <c r="D20" s="14" t="n"/>
      <c r="E20" s="14" t="n"/>
      <c r="F20" s="14" t="n"/>
      <c r="G20" s="14" t="n"/>
      <c r="H20" s="14" t="n"/>
      <c r="I20" s="14" t="n"/>
      <c r="J20" s="14" t="n"/>
      <c r="K20" s="14" t="n"/>
      <c r="L20" s="20">
        <f>J20/K20*100</f>
        <v/>
      </c>
      <c r="M20" s="14" t="n"/>
    </row>
    <row r="21">
      <c r="A21" s="14" t="n"/>
      <c r="B21" s="14" t="n"/>
      <c r="C21" s="14" t="n"/>
      <c r="D21" s="14" t="n"/>
      <c r="E21" s="14" t="n"/>
      <c r="F21" s="14" t="n"/>
      <c r="G21" s="14" t="n"/>
      <c r="H21" s="14" t="n"/>
      <c r="I21" s="14" t="n"/>
      <c r="J21" s="14" t="n"/>
      <c r="K21" s="14" t="n"/>
      <c r="L21" s="20">
        <f>J21/K21*100</f>
        <v/>
      </c>
      <c r="M21" s="14" t="n"/>
    </row>
    <row r="22">
      <c r="A22" s="14" t="n"/>
      <c r="B22" s="14" t="n"/>
      <c r="C22" s="14" t="n"/>
      <c r="D22" s="14" t="n"/>
      <c r="E22" s="14" t="n"/>
      <c r="F22" s="14" t="n"/>
      <c r="G22" s="14" t="n"/>
      <c r="H22" s="14" t="n"/>
      <c r="I22" s="14" t="n"/>
      <c r="J22" s="14" t="n"/>
      <c r="K22" s="14" t="n"/>
      <c r="L22" s="20">
        <f>J22/K22*100</f>
        <v/>
      </c>
      <c r="M22" s="14" t="n"/>
    </row>
    <row r="23">
      <c r="A23" s="14" t="n"/>
      <c r="B23" s="14" t="n"/>
      <c r="C23" s="14" t="n"/>
      <c r="D23" s="14" t="n"/>
      <c r="E23" s="14" t="n"/>
      <c r="F23" s="14" t="n"/>
      <c r="G23" s="14" t="n"/>
      <c r="H23" s="14" t="n"/>
      <c r="I23" s="14" t="n"/>
      <c r="J23" s="14" t="n"/>
      <c r="K23" s="14" t="n"/>
      <c r="L23" s="20">
        <f>J23/K23*100</f>
        <v/>
      </c>
      <c r="M23" s="14" t="n"/>
    </row>
    <row r="24">
      <c r="A24" s="14" t="n"/>
      <c r="B24" s="14" t="n"/>
      <c r="C24" s="14" t="n"/>
      <c r="D24" s="14" t="n"/>
      <c r="E24" s="14" t="n"/>
      <c r="F24" s="14" t="n"/>
      <c r="G24" s="14" t="n"/>
      <c r="H24" s="14" t="n"/>
      <c r="I24" s="14" t="n"/>
      <c r="J24" s="14" t="n"/>
      <c r="K24" s="14" t="n"/>
      <c r="L24" s="20">
        <f>J24/K24*100</f>
        <v/>
      </c>
      <c r="M24" s="14" t="n"/>
    </row>
    <row r="25">
      <c r="A25" s="14" t="n"/>
      <c r="B25" s="14" t="n"/>
      <c r="C25" s="14" t="n"/>
      <c r="D25" s="14" t="n"/>
      <c r="E25" s="14" t="n"/>
      <c r="F25" s="14" t="n"/>
      <c r="G25" s="14" t="n"/>
      <c r="H25" s="14" t="n"/>
      <c r="I25" s="14" t="n"/>
      <c r="J25" s="14" t="n"/>
      <c r="K25" s="14" t="n"/>
      <c r="L25" s="20">
        <f>J25/K25*100</f>
        <v/>
      </c>
      <c r="M25" s="14" t="n"/>
    </row>
    <row r="26">
      <c r="A26" s="14" t="n"/>
      <c r="B26" s="14" t="n"/>
      <c r="C26" s="14" t="n"/>
      <c r="D26" s="14" t="n"/>
      <c r="E26" s="14" t="n"/>
      <c r="F26" s="14" t="n"/>
      <c r="G26" s="14" t="n"/>
      <c r="H26" s="14" t="n"/>
      <c r="I26" s="14" t="n"/>
      <c r="J26" s="14" t="n"/>
      <c r="K26" s="14" t="n"/>
      <c r="L26" s="20">
        <f>J26/K26*100</f>
        <v/>
      </c>
      <c r="M26" s="14" t="n"/>
    </row>
    <row r="27">
      <c r="A27" s="14" t="n"/>
      <c r="B27" s="14" t="n"/>
      <c r="C27" s="14" t="n"/>
      <c r="D27" s="14" t="n"/>
      <c r="E27" s="14" t="n"/>
      <c r="F27" s="14" t="n"/>
      <c r="G27" s="14" t="n"/>
      <c r="H27" s="14" t="n"/>
      <c r="I27" s="14" t="n"/>
      <c r="J27" s="14" t="n"/>
      <c r="K27" s="14" t="n"/>
      <c r="L27" s="20">
        <f>J27/K27*100</f>
        <v/>
      </c>
      <c r="M27" s="14" t="n"/>
    </row>
    <row r="28">
      <c r="A28" s="14" t="n"/>
      <c r="B28" s="14" t="n"/>
      <c r="C28" s="14" t="n"/>
      <c r="D28" s="14" t="n"/>
      <c r="E28" s="14" t="n"/>
      <c r="F28" s="14" t="n"/>
      <c r="G28" s="14" t="n"/>
      <c r="H28" s="14" t="n"/>
      <c r="I28" s="14" t="n"/>
      <c r="J28" s="14" t="n"/>
      <c r="K28" s="14" t="n"/>
      <c r="L28" s="20">
        <f>J28/K28*100</f>
        <v/>
      </c>
      <c r="M28" s="14" t="n"/>
    </row>
    <row r="29">
      <c r="A29" s="14" t="n"/>
      <c r="B29" s="14" t="n"/>
      <c r="C29" s="14" t="n"/>
      <c r="D29" s="14" t="n"/>
      <c r="E29" s="14" t="n"/>
      <c r="F29" s="14" t="n"/>
      <c r="G29" s="14" t="n"/>
      <c r="H29" s="14" t="n"/>
      <c r="I29" s="14" t="n"/>
      <c r="J29" s="14" t="n"/>
      <c r="K29" s="14" t="n"/>
      <c r="L29" s="20">
        <f>J29/K29*100</f>
        <v/>
      </c>
      <c r="M29" s="14" t="n"/>
    </row>
    <row r="30">
      <c r="A30" s="14" t="n"/>
      <c r="B30" s="14" t="n"/>
      <c r="C30" s="14" t="n"/>
      <c r="D30" s="14" t="n"/>
      <c r="E30" s="14" t="n"/>
      <c r="F30" s="14" t="n"/>
      <c r="G30" s="14" t="n"/>
      <c r="H30" s="14" t="n"/>
      <c r="I30" s="14" t="n"/>
      <c r="J30" s="14" t="n"/>
      <c r="K30" s="14" t="n"/>
      <c r="L30" s="20">
        <f>J30/K30*100</f>
        <v/>
      </c>
      <c r="M30" s="14" t="n"/>
    </row>
    <row r="31">
      <c r="A31" s="14" t="n"/>
      <c r="B31" s="14" t="n"/>
      <c r="C31" s="14" t="n"/>
      <c r="D31" s="14" t="n"/>
      <c r="E31" s="14" t="n"/>
      <c r="F31" s="14" t="n"/>
      <c r="G31" s="14" t="n"/>
      <c r="H31" s="14" t="n"/>
      <c r="I31" s="14" t="n"/>
      <c r="J31" s="14" t="n"/>
      <c r="K31" s="14" t="n"/>
      <c r="L31" s="20">
        <f>J31/K31*100</f>
        <v/>
      </c>
      <c r="M31" s="14" t="n"/>
    </row>
    <row r="32">
      <c r="A32" s="14" t="n"/>
      <c r="B32" s="14" t="n"/>
      <c r="C32" s="14" t="n"/>
      <c r="D32" s="14" t="n"/>
      <c r="E32" s="14" t="n"/>
      <c r="F32" s="14" t="n"/>
      <c r="G32" s="14" t="n"/>
      <c r="H32" s="14" t="n"/>
      <c r="I32" s="14" t="n"/>
      <c r="J32" s="14" t="n"/>
      <c r="K32" s="14" t="n"/>
      <c r="L32" s="20">
        <f>J32/K32*100</f>
        <v/>
      </c>
      <c r="M32" s="14" t="n"/>
    </row>
    <row r="33">
      <c r="A33" s="14" t="n"/>
      <c r="B33" s="14" t="n"/>
      <c r="C33" s="14" t="n"/>
      <c r="D33" s="14" t="n"/>
      <c r="E33" s="14" t="n"/>
      <c r="F33" s="14" t="n"/>
      <c r="G33" s="14" t="n"/>
      <c r="H33" s="14" t="n"/>
      <c r="I33" s="14" t="n"/>
      <c r="J33" s="14" t="n"/>
      <c r="K33" s="14" t="n"/>
      <c r="L33" s="20">
        <f>J33/K33*100</f>
        <v/>
      </c>
      <c r="M33" s="14" t="n"/>
    </row>
    <row r="34">
      <c r="A34" s="14" t="n"/>
      <c r="B34" s="14" t="n"/>
      <c r="C34" s="14" t="n"/>
      <c r="D34" s="14" t="n"/>
      <c r="E34" s="14" t="n"/>
      <c r="F34" s="14" t="n"/>
      <c r="G34" s="14" t="n"/>
      <c r="H34" s="14" t="n"/>
      <c r="I34" s="14" t="n"/>
      <c r="J34" s="14" t="n"/>
      <c r="K34" s="14" t="n"/>
      <c r="L34" s="20">
        <f>J34/K34*100</f>
        <v/>
      </c>
      <c r="M34" s="14" t="n"/>
    </row>
    <row r="35">
      <c r="A35" s="14" t="n"/>
      <c r="B35" s="14" t="n"/>
      <c r="C35" s="14" t="n"/>
      <c r="D35" s="14" t="n"/>
      <c r="E35" s="14" t="n"/>
      <c r="F35" s="14" t="n"/>
      <c r="G35" s="14" t="n"/>
      <c r="H35" s="14" t="n"/>
      <c r="I35" s="14" t="n"/>
      <c r="J35" s="14" t="n"/>
      <c r="K35" s="14" t="n"/>
      <c r="L35" s="20">
        <f>J35/K35*100</f>
        <v/>
      </c>
      <c r="M35" s="14" t="n"/>
    </row>
    <row r="36">
      <c r="A36" s="14" t="n"/>
      <c r="B36" s="14" t="n"/>
      <c r="C36" s="14" t="n"/>
      <c r="D36" s="14" t="n"/>
      <c r="E36" s="14" t="n"/>
      <c r="F36" s="14" t="n"/>
      <c r="G36" s="14" t="n"/>
      <c r="H36" s="14" t="n"/>
      <c r="I36" s="14" t="n"/>
      <c r="J36" s="14" t="n"/>
      <c r="K36" s="14" t="n"/>
      <c r="L36" s="20">
        <f>J36/K36*100</f>
        <v/>
      </c>
      <c r="M36" s="14" t="n"/>
    </row>
    <row r="37">
      <c r="A37" s="14" t="n"/>
      <c r="B37" s="14" t="n"/>
      <c r="C37" s="14" t="n"/>
      <c r="D37" s="14" t="n"/>
      <c r="E37" s="14" t="n"/>
      <c r="F37" s="14" t="n"/>
      <c r="G37" s="14" t="n"/>
      <c r="H37" s="14" t="n"/>
      <c r="I37" s="14" t="n"/>
      <c r="J37" s="14" t="n"/>
      <c r="K37" s="14" t="n"/>
      <c r="L37" s="20">
        <f>J37/K37*100</f>
        <v/>
      </c>
      <c r="M37" s="14" t="n"/>
    </row>
    <row r="38">
      <c r="A38" s="14" t="n"/>
      <c r="B38" s="14" t="n"/>
      <c r="C38" s="14" t="n"/>
      <c r="D38" s="14" t="n"/>
      <c r="E38" s="14" t="n"/>
      <c r="F38" s="14" t="n"/>
      <c r="G38" s="14" t="n"/>
      <c r="H38" s="14" t="n"/>
      <c r="I38" s="14" t="n"/>
      <c r="J38" s="14" t="n"/>
      <c r="K38" s="14" t="n"/>
      <c r="L38" s="20">
        <f>J38/K38*100</f>
        <v/>
      </c>
      <c r="M38" s="14" t="n"/>
    </row>
    <row r="39">
      <c r="A39" s="14" t="n"/>
      <c r="B39" s="14" t="n"/>
      <c r="C39" s="14" t="n"/>
      <c r="D39" s="14" t="n"/>
      <c r="E39" s="14" t="n"/>
      <c r="F39" s="14" t="n"/>
      <c r="G39" s="14" t="n"/>
      <c r="H39" s="14" t="n"/>
      <c r="I39" s="14" t="n"/>
      <c r="J39" s="14" t="n"/>
      <c r="K39" s="14" t="n"/>
      <c r="L39" s="20">
        <f>J39/K39*100</f>
        <v/>
      </c>
      <c r="M39" s="14" t="n"/>
    </row>
    <row r="40">
      <c r="A40" s="14" t="n"/>
      <c r="B40" s="14" t="n"/>
      <c r="C40" s="14" t="n"/>
      <c r="D40" s="14" t="n"/>
      <c r="E40" s="14" t="n"/>
      <c r="F40" s="14" t="n"/>
      <c r="G40" s="14" t="n"/>
      <c r="H40" s="14" t="n"/>
      <c r="I40" s="14" t="n"/>
      <c r="J40" s="14" t="n"/>
      <c r="K40" s="14" t="n"/>
      <c r="L40" s="20">
        <f>J40/K40*100</f>
        <v/>
      </c>
      <c r="M40" s="14" t="n"/>
    </row>
    <row r="41">
      <c r="A41" s="14" t="n"/>
      <c r="B41" s="14" t="n"/>
      <c r="C41" s="14" t="n"/>
      <c r="D41" s="14" t="n"/>
      <c r="E41" s="14" t="n"/>
      <c r="F41" s="14" t="n"/>
      <c r="G41" s="14" t="n"/>
      <c r="H41" s="14" t="n"/>
      <c r="I41" s="14" t="n"/>
      <c r="J41" s="14" t="n"/>
      <c r="K41" s="14" t="n"/>
      <c r="L41" s="20">
        <f>J41/K41*100</f>
        <v/>
      </c>
      <c r="M41" s="14" t="n"/>
    </row>
    <row r="42">
      <c r="A42" s="14" t="n"/>
      <c r="B42" s="14" t="n"/>
      <c r="C42" s="14" t="n"/>
      <c r="D42" s="14" t="n"/>
      <c r="E42" s="14" t="n"/>
      <c r="F42" s="14" t="n"/>
      <c r="G42" s="14" t="n"/>
      <c r="H42" s="14" t="n"/>
      <c r="I42" s="14" t="n"/>
      <c r="J42" s="14" t="n"/>
      <c r="K42" s="14" t="n"/>
      <c r="L42" s="20">
        <f>J42/K42*100</f>
        <v/>
      </c>
      <c r="M42" s="14" t="n"/>
    </row>
    <row r="43">
      <c r="A43" s="14" t="n"/>
      <c r="B43" s="14" t="n"/>
      <c r="C43" s="14" t="n"/>
      <c r="D43" s="14" t="n"/>
      <c r="E43" s="14" t="n"/>
      <c r="F43" s="14" t="n"/>
      <c r="G43" s="14" t="n"/>
      <c r="H43" s="14" t="n"/>
      <c r="I43" s="14" t="n"/>
      <c r="J43" s="14" t="n"/>
      <c r="K43" s="14" t="n"/>
      <c r="L43" s="20">
        <f>J43/K43*100</f>
        <v/>
      </c>
      <c r="M43" s="14" t="n"/>
    </row>
    <row r="44">
      <c r="A44" s="14" t="n"/>
      <c r="B44" s="14" t="n"/>
      <c r="C44" s="14" t="n"/>
      <c r="D44" s="14" t="n"/>
      <c r="E44" s="14" t="n"/>
      <c r="F44" s="14" t="n"/>
      <c r="G44" s="14" t="n"/>
      <c r="H44" s="14" t="n"/>
      <c r="I44" s="14" t="n"/>
      <c r="J44" s="14" t="n"/>
      <c r="K44" s="14" t="n"/>
      <c r="L44" s="20">
        <f>J44/K44*100</f>
        <v/>
      </c>
      <c r="M44" s="14" t="n"/>
    </row>
    <row r="45">
      <c r="A45" s="14" t="n"/>
      <c r="B45" s="14" t="n"/>
      <c r="C45" s="14" t="n"/>
      <c r="D45" s="14" t="n"/>
      <c r="E45" s="14" t="n"/>
      <c r="F45" s="14" t="n"/>
      <c r="G45" s="14" t="n"/>
      <c r="H45" s="14" t="n"/>
      <c r="I45" s="14" t="n"/>
      <c r="J45" s="14" t="n"/>
      <c r="K45" s="14" t="n"/>
      <c r="L45" s="20">
        <f>J45/K45*100</f>
        <v/>
      </c>
      <c r="M45" s="14" t="n"/>
    </row>
    <row r="46">
      <c r="A46" s="14" t="n"/>
      <c r="B46" s="14" t="n"/>
      <c r="C46" s="14" t="n"/>
      <c r="D46" s="14" t="n"/>
      <c r="E46" s="14" t="n"/>
      <c r="F46" s="14" t="n"/>
      <c r="G46" s="14" t="n"/>
      <c r="H46" s="14" t="n"/>
      <c r="I46" s="14" t="n"/>
      <c r="J46" s="14" t="n"/>
      <c r="K46" s="14" t="n"/>
      <c r="L46" s="20">
        <f>J46/K46*100</f>
        <v/>
      </c>
      <c r="M46" s="14" t="n"/>
    </row>
    <row r="47">
      <c r="A47" s="14" t="n"/>
      <c r="B47" s="14" t="n"/>
      <c r="C47" s="14" t="n"/>
      <c r="D47" s="14" t="n"/>
      <c r="E47" s="14" t="n"/>
      <c r="F47" s="14" t="n"/>
      <c r="G47" s="14" t="n"/>
      <c r="H47" s="14" t="n"/>
      <c r="I47" s="14" t="n"/>
      <c r="J47" s="14" t="n"/>
      <c r="K47" s="14" t="n"/>
      <c r="L47" s="20">
        <f>J47/K47*100</f>
        <v/>
      </c>
      <c r="M47" s="14" t="n"/>
    </row>
    <row r="48">
      <c r="A48" s="14" t="n"/>
      <c r="B48" s="14" t="n"/>
      <c r="C48" s="14" t="n"/>
      <c r="D48" s="14" t="n"/>
      <c r="E48" s="14" t="n"/>
      <c r="F48" s="14" t="n"/>
      <c r="G48" s="14" t="n"/>
      <c r="H48" s="14" t="n"/>
      <c r="I48" s="14" t="n"/>
      <c r="J48" s="14" t="n"/>
      <c r="K48" s="14" t="n"/>
      <c r="L48" s="20">
        <f>J48/K48*100</f>
        <v/>
      </c>
      <c r="M48" s="14" t="n"/>
    </row>
    <row r="49">
      <c r="A49" s="14" t="n"/>
      <c r="B49" s="14" t="n"/>
      <c r="C49" s="14" t="n"/>
      <c r="D49" s="14" t="n"/>
      <c r="E49" s="14" t="n"/>
      <c r="F49" s="14" t="n"/>
      <c r="G49" s="14" t="n"/>
      <c r="H49" s="14" t="n"/>
      <c r="I49" s="14" t="n"/>
      <c r="J49" s="14" t="n"/>
      <c r="K49" s="14" t="n"/>
      <c r="L49" s="20">
        <f>J49/K49*100</f>
        <v/>
      </c>
      <c r="M49" s="14" t="n"/>
    </row>
    <row r="50">
      <c r="A50" s="14" t="n"/>
      <c r="B50" s="14" t="n"/>
      <c r="C50" s="14" t="n"/>
      <c r="D50" s="14" t="n"/>
      <c r="E50" s="14" t="n"/>
      <c r="F50" s="14" t="n"/>
      <c r="G50" s="14" t="n"/>
      <c r="H50" s="14" t="n"/>
      <c r="I50" s="14" t="n"/>
      <c r="J50" s="14" t="n"/>
      <c r="K50" s="14" t="n"/>
      <c r="L50" s="20">
        <f>J50/K50*100</f>
        <v/>
      </c>
      <c r="M50" s="14" t="n"/>
    </row>
    <row r="51">
      <c r="A51" s="14" t="n"/>
      <c r="B51" s="14" t="n"/>
      <c r="C51" s="14" t="n"/>
      <c r="D51" s="14" t="n"/>
      <c r="E51" s="14" t="n"/>
      <c r="F51" s="14" t="n"/>
      <c r="G51" s="14" t="n"/>
      <c r="H51" s="14" t="n"/>
      <c r="I51" s="14" t="n"/>
      <c r="J51" s="14" t="n"/>
      <c r="K51" s="14" t="n"/>
      <c r="L51" s="20">
        <f>J51/K51*100</f>
        <v/>
      </c>
      <c r="M51" s="14" t="n"/>
    </row>
    <row r="52">
      <c r="A52" s="14" t="n"/>
      <c r="B52" s="14" t="n"/>
      <c r="C52" s="14" t="n"/>
      <c r="D52" s="14" t="n"/>
      <c r="E52" s="14" t="n"/>
      <c r="F52" s="14" t="n"/>
      <c r="G52" s="14" t="n"/>
      <c r="H52" s="14" t="n"/>
      <c r="I52" s="14" t="n"/>
      <c r="J52" s="14" t="n"/>
      <c r="K52" s="14" t="n"/>
      <c r="L52" s="20">
        <f>J52/K52*100</f>
        <v/>
      </c>
      <c r="M52" s="14" t="n"/>
    </row>
    <row r="53">
      <c r="A53" s="14" t="n"/>
      <c r="B53" s="14" t="n"/>
      <c r="C53" s="14" t="n"/>
      <c r="D53" s="14" t="n"/>
      <c r="E53" s="14" t="n"/>
      <c r="F53" s="14" t="n"/>
      <c r="G53" s="14" t="n"/>
      <c r="H53" s="14" t="n"/>
      <c r="I53" s="14" t="n"/>
      <c r="J53" s="14" t="n"/>
      <c r="K53" s="14" t="n"/>
      <c r="L53" s="20">
        <f>J53/K53*100</f>
        <v/>
      </c>
      <c r="M53" s="14" t="n"/>
    </row>
    <row r="54">
      <c r="A54" s="14" t="n"/>
      <c r="B54" s="14" t="n"/>
      <c r="C54" s="14" t="n"/>
      <c r="D54" s="14" t="n"/>
      <c r="E54" s="14" t="n"/>
      <c r="F54" s="14" t="n"/>
      <c r="G54" s="14" t="n"/>
      <c r="H54" s="14" t="n"/>
      <c r="I54" s="14" t="n"/>
      <c r="J54" s="14" t="n"/>
      <c r="K54" s="14" t="n"/>
      <c r="L54" s="20">
        <f>J54/K54*100</f>
        <v/>
      </c>
      <c r="M54" s="14" t="n"/>
    </row>
    <row r="55">
      <c r="A55" s="14" t="n"/>
      <c r="B55" s="14" t="n"/>
      <c r="C55" s="14" t="n"/>
      <c r="D55" s="14" t="n"/>
      <c r="E55" s="14" t="n"/>
      <c r="F55" s="14" t="n"/>
      <c r="G55" s="14" t="n"/>
      <c r="H55" s="14" t="n"/>
      <c r="I55" s="14" t="n"/>
      <c r="J55" s="14" t="n"/>
      <c r="K55" s="14" t="n"/>
      <c r="L55" s="20">
        <f>J55/K55*100</f>
        <v/>
      </c>
      <c r="M55" s="14" t="n"/>
    </row>
    <row r="56">
      <c r="A56" s="14" t="n"/>
      <c r="B56" s="14" t="n"/>
      <c r="C56" s="14" t="n"/>
      <c r="D56" s="14" t="n"/>
      <c r="E56" s="14" t="n"/>
      <c r="F56" s="14" t="n"/>
      <c r="G56" s="14" t="n"/>
      <c r="H56" s="14" t="n"/>
      <c r="I56" s="14" t="n"/>
      <c r="J56" s="14" t="n"/>
      <c r="K56" s="14" t="n"/>
      <c r="L56" s="20">
        <f>J56/K56*100</f>
        <v/>
      </c>
      <c r="M56" s="14" t="n"/>
    </row>
    <row r="57">
      <c r="A57" s="13" t="inlineStr">
        <is>
          <t>Mobile Channel Coverage %</t>
        </is>
      </c>
      <c r="L57" s="19">
        <f>AVERAGE(L7:L56)</f>
        <v/>
      </c>
    </row>
  </sheetData>
  <mergeCells count="3">
    <mergeCell ref="A3:M3"/>
    <mergeCell ref="A2:M2"/>
    <mergeCell ref="A1:M1"/>
  </mergeCells>
  <dataValidations count="5">
    <dataValidation sqref="D7 D8 D9 D10 D11 D12 D13 D14 D15 D16 D17 D18 D19 D20 D21 D22 D23 D24 D25 D26 D27 D28 D29 D30 D31 D32 D33 D34 D35 D36 D37 D38 D39 D40 D41 D42 D43 D44 D45 D46 D47 D48 D49 D50 D51 D52 D53 D54 D55 D56 H7 H8 H9 H10 H11 H12 H13 H14 H15 H16 H17 H18 H19 H20 H21 H22 H23 H24 H25 H26 H27 H28 H29 H30 H31 H32 H33 H34 H35 H36 H37 H38 H39 H40 H41 H42 H43 H44 H45 H46 H47 H48 H49 H50 H51 H52 H53 H54 H55 H56" showDropDown="1" showInputMessage="0" showErrorMessage="1" allowBlank="0" errorTitle="Invalid Entry" error="Invalid value. Select from dropdown." type="list">
      <formula1>"Yes,No,Partial,Planned,N/A"</formula1>
    </dataValidation>
    <dataValidation sqref="F7 F8 F9 F10 F11 F12 F13 F14 F15 F16 F17 F18 F19 F20 F21 F22 F23 F24 F25 F26 F27 F28 F29 F30 F31 F32 F33 F34 F35 F36 F37 F38 F39 F40 F41 F42 F43 F44 F45 F46 F47 F48 F49 F50 F51 F52 F53 F54 F55 F56" showDropDown="1" showInputMessage="0" showErrorMessage="0" allowBlank="0" type="list">
      <formula1>"Block,Watermark,Monitor,None"</formula1>
    </dataValidation>
    <dataValidation sqref="E7 E8 E9 E10 E11 E12 E13 E14 E15 E16 E17 E18 E19 E20 E21 E22 E23 E24 E25 E26 E27 E28 E29 E30 E31 E32 E33 E34 E35 E36 E37 E38 E39 E40 E41 E42 E43 E44 E45 E46 E47 E48 E49 E50 E51 E52 E53 E54 E55 E56 G7 G8 G9 G10 G11 G12 G13 G14 G15 G16 G17 G18 G19 G20 G21 G22 G23 G24 G25 G26 G27 G28 G29 G30 G31 G32 G33 G34 G35 G36 G37 G38 G39 G40 G41 G42 G43 G44 G45 G46 G47 G48 G49 G50 G51 G52 G53 G54 G55 G56 I7 I8 I9 I10 I11 I12 I13 I14 I15 I16 I17 I18 I19 I20 I21 I22 I23 I24 I25 I26 I27 I28 I29 I30 I31 I32 I33 I34 I35 I36 I37 I38 I39 I40 I41 I42 I43 I44 I45 I46 I47 I48 I49 I50 I51 I52 I53 I54 I55 I56" showDropDown="1" showInputMessage="0" showErrorMessage="0" allowBlank="0" type="list">
      <formula1>"Block,Monitor,None"</formula1>
    </dataValidation>
    <dataValidation sqref="A7 A8 A9 A10 A11 A12 A13 A14 A15 A16 A17 A18 A19 A20 A21 A22 A23 A24 A25 A26 A27 A28 A29 A30 A31 A32 A33 A34 A35 A36 A37 A38 A39 A40 A41 A42 A43 A44 A45 A46 A47 A48 A49 A50 A51 A52 A53 A54 A55 A56" showDropDown="1" showInputMessage="0" showErrorMessage="0" allowBlank="0" type="list">
      <formula1>"Corporate,BYOD"</formula1>
    </dataValidation>
    <dataValidation sqref="B7 B8 B9 B10 B11 B12 B13 B14 B15 B16 B17 B18 B19 B20 B21 B22 B23 B24 B25 B26 B27 B28 B29 B30 B31 B32 B33 B34 B35 B36 B37 B38 B39 B40 B41 B42 B43 B44 B45 B46 B47 B48 B49 B50 B51 B52 B53 B54 B55 B56" showDropDown="1" showInputMessage="0" showErrorMessage="0" allowBlank="0" type="list">
      <formula1>"iOS,Android,Windows Mobile"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8"/>
  <sheetViews>
    <sheetView showGridLines="0" workbookViewId="0">
      <pane ySplit="4" topLeftCell="A5" activePane="bottomLeft" state="frozen"/>
      <selection pane="bottomLeft" activeCell="A1" sqref="A1"/>
    </sheetView>
  </sheetViews>
  <sheetFormatPr baseColWidth="8" defaultRowHeight="15"/>
  <cols>
    <col width="40" customWidth="1" min="1" max="1"/>
    <col width="25" customWidth="1" min="2" max="2"/>
    <col width="20" customWidth="1" min="3" max="3"/>
    <col width="20" customWidth="1" min="4" max="4"/>
    <col width="20" customWidth="1" min="5" max="5"/>
  </cols>
  <sheetData>
    <row r="1" ht="35" customHeight="1">
      <c r="A1" s="11" t="inlineStr">
        <is>
          <t>CHANNEL COVERAGE METRICS</t>
        </is>
      </c>
    </row>
    <row r="2">
      <c r="A2" s="12" t="inlineStr">
        <is>
          <t>Weighted coverage analysis across all channels</t>
        </is>
      </c>
    </row>
    <row r="4">
      <c r="A4" s="21" t="inlineStr">
        <is>
          <t>SECTION 1: CHANNEL COVERAGE SUMMARY</t>
        </is>
      </c>
    </row>
    <row r="5">
      <c r="A5" s="15" t="inlineStr">
        <is>
          <t>Channel</t>
        </is>
      </c>
      <c r="B5" s="15" t="inlineStr">
        <is>
          <t>Target %</t>
        </is>
      </c>
      <c r="C5" s="15" t="inlineStr">
        <is>
          <t>Actual %</t>
        </is>
      </c>
      <c r="D5" s="15" t="inlineStr">
        <is>
          <t>Gap</t>
        </is>
      </c>
      <c r="E5" s="15" t="inlineStr">
        <is>
          <t>Status</t>
        </is>
      </c>
    </row>
    <row r="6">
      <c r="A6" s="16" t="inlineStr">
        <is>
          <t>Email</t>
        </is>
      </c>
      <c r="B6" s="22" t="inlineStr">
        <is>
          <t>95%</t>
        </is>
      </c>
      <c r="C6" s="22">
        <f>'Email Channel'!B57</f>
        <v/>
      </c>
      <c r="D6" s="22">
        <f>B6-C6</f>
        <v/>
      </c>
      <c r="E6" s="16">
        <f>IF(C6&gt;=B6,"✅ Compliant","❌ Gap")</f>
        <v/>
      </c>
    </row>
    <row r="7">
      <c r="A7" s="16" t="inlineStr">
        <is>
          <t>Web/Cloud</t>
        </is>
      </c>
      <c r="B7" s="22" t="inlineStr">
        <is>
          <t>90%</t>
        </is>
      </c>
      <c r="C7" s="22">
        <f>'Web Cloud Channel'!B57</f>
        <v/>
      </c>
      <c r="D7" s="22">
        <f>B7-C7</f>
        <v/>
      </c>
      <c r="E7" s="16">
        <f>IF(C7&gt;=B7,"✅ Compliant","❌ Gap")</f>
        <v/>
      </c>
    </row>
    <row r="8">
      <c r="A8" s="16" t="inlineStr">
        <is>
          <t>Endpoint</t>
        </is>
      </c>
      <c r="B8" s="22" t="inlineStr">
        <is>
          <t>95%</t>
        </is>
      </c>
      <c r="C8" s="22">
        <f>'Endpoint Channel'!L57</f>
        <v/>
      </c>
      <c r="D8" s="22">
        <f>B8-C8</f>
        <v/>
      </c>
      <c r="E8" s="16">
        <f>IF(C8&gt;=B8,"✅ Compliant","❌ Gap")</f>
        <v/>
      </c>
    </row>
    <row r="9">
      <c r="A9" s="16" t="inlineStr">
        <is>
          <t>Network</t>
        </is>
      </c>
      <c r="B9" s="22" t="inlineStr">
        <is>
          <t>75%</t>
        </is>
      </c>
      <c r="C9" s="22">
        <f>'Network Channel'!E57</f>
        <v/>
      </c>
      <c r="D9" s="22">
        <f>B9-C9</f>
        <v/>
      </c>
      <c r="E9" s="16">
        <f>IF(C9&gt;=B9,"✅ Compliant","❌ Gap")</f>
        <v/>
      </c>
    </row>
    <row r="10">
      <c r="A10" s="16" t="inlineStr">
        <is>
          <t>Application</t>
        </is>
      </c>
      <c r="B10" s="22" t="inlineStr">
        <is>
          <t>80%</t>
        </is>
      </c>
      <c r="C10" s="22">
        <f>'Application Channel'!E57</f>
        <v/>
      </c>
      <c r="D10" s="22">
        <f>B10-C10</f>
        <v/>
      </c>
      <c r="E10" s="16">
        <f>IF(C10&gt;=B10,"✅ Compliant","❌ Gap")</f>
        <v/>
      </c>
    </row>
    <row r="11">
      <c r="A11" s="16" t="inlineStr">
        <is>
          <t>Mobile</t>
        </is>
      </c>
      <c r="B11" s="22" t="inlineStr">
        <is>
          <t>90%</t>
        </is>
      </c>
      <c r="C11" s="22">
        <f>'Mobile Channel'!L57</f>
        <v/>
      </c>
      <c r="D11" s="22">
        <f>B11-C11</f>
        <v/>
      </c>
      <c r="E11" s="16">
        <f>IF(C11&gt;=B11,"✅ Compliant","❌ Gap")</f>
        <v/>
      </c>
    </row>
    <row r="13">
      <c r="A13" s="21" t="inlineStr">
        <is>
          <t>SECTION 2: WEIGHTED AVERAGE COVERAGE</t>
        </is>
      </c>
    </row>
    <row r="14">
      <c r="A14" s="15" t="inlineStr">
        <is>
          <t>Metric</t>
        </is>
      </c>
      <c r="B14" s="15" t="inlineStr">
        <is>
          <t>Formula</t>
        </is>
      </c>
      <c r="C14" s="15" t="inlineStr">
        <is>
          <t>Target</t>
        </is>
      </c>
    </row>
    <row r="15">
      <c r="A15" s="13" t="inlineStr">
        <is>
          <t>Overall Channel Coverage %</t>
        </is>
      </c>
      <c r="B15" s="22">
        <f>AVERAGE(C6:C11)</f>
        <v/>
      </c>
      <c r="C15" s="16" t="inlineStr">
        <is>
          <t>≥85%</t>
        </is>
      </c>
    </row>
    <row r="16">
      <c r="A16" s="13" t="inlineStr">
        <is>
          <t>Tier 1 Channels Avg (Critical)</t>
        </is>
      </c>
      <c r="B16" s="22">
        <f>AVERAGE(C6:C8)</f>
        <v/>
      </c>
      <c r="C16" s="16" t="inlineStr">
        <is>
          <t>≥90%</t>
        </is>
      </c>
    </row>
    <row r="17">
      <c r="A17" s="13" t="inlineStr">
        <is>
          <t>Tier 2 Channels Avg (High)</t>
        </is>
      </c>
      <c r="B17" s="22">
        <f>AVERAGE(C10:C11)</f>
        <v/>
      </c>
      <c r="C17" s="16" t="inlineStr">
        <is>
          <t>≥80%</t>
        </is>
      </c>
    </row>
    <row r="18">
      <c r="A18" s="13" t="inlineStr">
        <is>
          <t>Tier 3-4 Channels Avg (Med-Low)</t>
        </is>
      </c>
      <c r="B18" s="22">
        <f>C9</f>
        <v/>
      </c>
      <c r="C18" s="16" t="inlineStr">
        <is>
          <t>≥70%</t>
        </is>
      </c>
    </row>
  </sheetData>
  <mergeCells count="2">
    <mergeCell ref="A2:E2"/>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56"/>
  <sheetViews>
    <sheetView showGridLines="0" workbookViewId="0">
      <pane ySplit="5" topLeftCell="A6" activePane="bottomLeft" state="frozen"/>
      <selection pane="bottomLeft" activeCell="A1" sqref="A1"/>
    </sheetView>
  </sheetViews>
  <sheetFormatPr baseColWidth="8" defaultRowHeight="15"/>
  <cols>
    <col width="20" customWidth="1" min="1" max="1"/>
    <col width="20" customWidth="1" min="2" max="2"/>
    <col width="40" customWidth="1" min="3" max="3"/>
    <col width="15" customWidth="1" min="4" max="4"/>
    <col width="15" customWidth="1" min="5" max="5"/>
    <col width="15" customWidth="1" min="6" max="6"/>
    <col width="15" customWidth="1" min="7" max="7"/>
    <col width="40" customWidth="1" min="8" max="8"/>
    <col width="25" customWidth="1" min="9" max="9"/>
    <col width="15" customWidth="1" min="10" max="10"/>
    <col width="18" customWidth="1" min="11" max="11"/>
    <col width="18" customWidth="1" min="12" max="12"/>
  </cols>
  <sheetData>
    <row r="1" ht="35" customHeight="1">
      <c r="A1" s="11" t="inlineStr">
        <is>
          <t>CHANNEL PROTECTION GAP ANALYSIS</t>
        </is>
      </c>
    </row>
    <row r="2">
      <c r="A2" s="12" t="inlineStr">
        <is>
          <t>Document all unprotected channels and remediation plans</t>
        </is>
      </c>
    </row>
    <row r="3">
      <c r="A3" s="17" t="inlineStr">
        <is>
          <t>Identify and prioritize gaps in channel protection coverage</t>
        </is>
      </c>
    </row>
    <row r="5">
      <c r="A5" s="15" t="inlineStr">
        <is>
          <t>Gap ID</t>
        </is>
      </c>
      <c r="B5" s="15" t="inlineStr">
        <is>
          <t>Channel</t>
        </is>
      </c>
      <c r="C5" s="15" t="inlineStr">
        <is>
          <t>Gap Description</t>
        </is>
      </c>
      <c r="D5" s="15" t="inlineStr">
        <is>
          <t>Risk Level</t>
        </is>
      </c>
      <c r="E5" s="15" t="inlineStr">
        <is>
          <t>Exfiltration Risk</t>
        </is>
      </c>
      <c r="F5" s="15" t="inlineStr">
        <is>
          <t>Current Coverage %</t>
        </is>
      </c>
      <c r="G5" s="15" t="inlineStr">
        <is>
          <t>Target Coverage %</t>
        </is>
      </c>
      <c r="H5" s="15" t="inlineStr">
        <is>
          <t>Remediation Plan</t>
        </is>
      </c>
      <c r="I5" s="15" t="inlineStr">
        <is>
          <t>Owner</t>
        </is>
      </c>
      <c r="J5" s="15" t="inlineStr">
        <is>
          <t>Target Date</t>
        </is>
      </c>
      <c r="K5" s="15" t="inlineStr">
        <is>
          <t>Status</t>
        </is>
      </c>
      <c r="L5" s="15" t="inlineStr">
        <is>
          <t>Evidence ID</t>
        </is>
      </c>
    </row>
    <row r="6">
      <c r="A6" s="18" t="inlineStr">
        <is>
          <t>GAP-A812-3-001</t>
        </is>
      </c>
      <c r="B6" s="18" t="inlineStr">
        <is>
          <t>Endpoint</t>
        </is>
      </c>
      <c r="C6" s="18" t="inlineStr">
        <is>
          <t>Linux endpoints not protected by DLP agent</t>
        </is>
      </c>
      <c r="D6" s="18" t="inlineStr">
        <is>
          <t>High</t>
        </is>
      </c>
      <c r="E6" s="18" t="inlineStr">
        <is>
          <t>High</t>
        </is>
      </c>
      <c r="F6" s="18" t="inlineStr">
        <is>
          <t>0</t>
        </is>
      </c>
      <c r="G6" s="18" t="inlineStr">
        <is>
          <t>80</t>
        </is>
      </c>
      <c r="H6" s="18" t="inlineStr">
        <is>
          <t>Deploy endpoint DLP with Linux support or implement compensating controls</t>
        </is>
      </c>
      <c r="I6" s="18" t="inlineStr">
        <is>
          <t>IT Security Lead</t>
        </is>
      </c>
      <c r="J6" s="18" t="inlineStr">
        <is>
          <t>2025-06-30</t>
        </is>
      </c>
      <c r="K6" s="18" t="inlineStr">
        <is>
          <t>Not Started</t>
        </is>
      </c>
      <c r="L6" s="18" t="inlineStr">
        <is>
          <t>A812-3-GAP-001</t>
        </is>
      </c>
    </row>
    <row r="7">
      <c r="A7" s="14" t="n"/>
      <c r="B7" s="14" t="n"/>
      <c r="C7" s="14" t="n"/>
      <c r="D7" s="14" t="n"/>
      <c r="E7" s="14" t="n"/>
      <c r="F7" s="14" t="n"/>
      <c r="G7" s="14" t="n"/>
      <c r="H7" s="14" t="n"/>
      <c r="I7" s="14" t="n"/>
      <c r="J7" s="14" t="n"/>
      <c r="K7" s="14" t="n"/>
      <c r="L7" s="14" t="n"/>
    </row>
    <row r="8">
      <c r="A8" s="14" t="n"/>
      <c r="B8" s="14" t="n"/>
      <c r="C8" s="14" t="n"/>
      <c r="D8" s="14" t="n"/>
      <c r="E8" s="14" t="n"/>
      <c r="F8" s="14" t="n"/>
      <c r="G8" s="14" t="n"/>
      <c r="H8" s="14" t="n"/>
      <c r="I8" s="14" t="n"/>
      <c r="J8" s="14" t="n"/>
      <c r="K8" s="14" t="n"/>
      <c r="L8" s="14" t="n"/>
    </row>
    <row r="9">
      <c r="A9" s="14" t="n"/>
      <c r="B9" s="14" t="n"/>
      <c r="C9" s="14" t="n"/>
      <c r="D9" s="14" t="n"/>
      <c r="E9" s="14" t="n"/>
      <c r="F9" s="14" t="n"/>
      <c r="G9" s="14" t="n"/>
      <c r="H9" s="14" t="n"/>
      <c r="I9" s="14" t="n"/>
      <c r="J9" s="14" t="n"/>
      <c r="K9" s="14" t="n"/>
      <c r="L9" s="14" t="n"/>
    </row>
    <row r="10">
      <c r="A10" s="14" t="n"/>
      <c r="B10" s="14" t="n"/>
      <c r="C10" s="14" t="n"/>
      <c r="D10" s="14" t="n"/>
      <c r="E10" s="14" t="n"/>
      <c r="F10" s="14" t="n"/>
      <c r="G10" s="14" t="n"/>
      <c r="H10" s="14" t="n"/>
      <c r="I10" s="14" t="n"/>
      <c r="J10" s="14" t="n"/>
      <c r="K10" s="14" t="n"/>
      <c r="L10" s="14" t="n"/>
    </row>
    <row r="11">
      <c r="A11" s="14" t="n"/>
      <c r="B11" s="14" t="n"/>
      <c r="C11" s="14" t="n"/>
      <c r="D11" s="14" t="n"/>
      <c r="E11" s="14" t="n"/>
      <c r="F11" s="14" t="n"/>
      <c r="G11" s="14" t="n"/>
      <c r="H11" s="14" t="n"/>
      <c r="I11" s="14" t="n"/>
      <c r="J11" s="14" t="n"/>
      <c r="K11" s="14" t="n"/>
      <c r="L11" s="14" t="n"/>
    </row>
    <row r="12">
      <c r="A12" s="14" t="n"/>
      <c r="B12" s="14" t="n"/>
      <c r="C12" s="14" t="n"/>
      <c r="D12" s="14" t="n"/>
      <c r="E12" s="14" t="n"/>
      <c r="F12" s="14" t="n"/>
      <c r="G12" s="14" t="n"/>
      <c r="H12" s="14" t="n"/>
      <c r="I12" s="14" t="n"/>
      <c r="J12" s="14" t="n"/>
      <c r="K12" s="14" t="n"/>
      <c r="L12" s="14" t="n"/>
    </row>
    <row r="13">
      <c r="A13" s="14" t="n"/>
      <c r="B13" s="14" t="n"/>
      <c r="C13" s="14" t="n"/>
      <c r="D13" s="14" t="n"/>
      <c r="E13" s="14" t="n"/>
      <c r="F13" s="14" t="n"/>
      <c r="G13" s="14" t="n"/>
      <c r="H13" s="14" t="n"/>
      <c r="I13" s="14" t="n"/>
      <c r="J13" s="14" t="n"/>
      <c r="K13" s="14" t="n"/>
      <c r="L13" s="14" t="n"/>
    </row>
    <row r="14">
      <c r="A14" s="14" t="n"/>
      <c r="B14" s="14" t="n"/>
      <c r="C14" s="14" t="n"/>
      <c r="D14" s="14" t="n"/>
      <c r="E14" s="14" t="n"/>
      <c r="F14" s="14" t="n"/>
      <c r="G14" s="14" t="n"/>
      <c r="H14" s="14" t="n"/>
      <c r="I14" s="14" t="n"/>
      <c r="J14" s="14" t="n"/>
      <c r="K14" s="14" t="n"/>
      <c r="L14" s="14" t="n"/>
    </row>
    <row r="15">
      <c r="A15" s="14" t="n"/>
      <c r="B15" s="14" t="n"/>
      <c r="C15" s="14" t="n"/>
      <c r="D15" s="14" t="n"/>
      <c r="E15" s="14" t="n"/>
      <c r="F15" s="14" t="n"/>
      <c r="G15" s="14" t="n"/>
      <c r="H15" s="14" t="n"/>
      <c r="I15" s="14" t="n"/>
      <c r="J15" s="14" t="n"/>
      <c r="K15" s="14" t="n"/>
      <c r="L15" s="14" t="n"/>
    </row>
    <row r="16">
      <c r="A16" s="14" t="n"/>
      <c r="B16" s="14" t="n"/>
      <c r="C16" s="14" t="n"/>
      <c r="D16" s="14" t="n"/>
      <c r="E16" s="14" t="n"/>
      <c r="F16" s="14" t="n"/>
      <c r="G16" s="14" t="n"/>
      <c r="H16" s="14" t="n"/>
      <c r="I16" s="14" t="n"/>
      <c r="J16" s="14" t="n"/>
      <c r="K16" s="14" t="n"/>
      <c r="L16" s="14" t="n"/>
    </row>
    <row r="17">
      <c r="A17" s="14" t="n"/>
      <c r="B17" s="14" t="n"/>
      <c r="C17" s="14" t="n"/>
      <c r="D17" s="14" t="n"/>
      <c r="E17" s="14" t="n"/>
      <c r="F17" s="14" t="n"/>
      <c r="G17" s="14" t="n"/>
      <c r="H17" s="14" t="n"/>
      <c r="I17" s="14" t="n"/>
      <c r="J17" s="14" t="n"/>
      <c r="K17" s="14" t="n"/>
      <c r="L17" s="14" t="n"/>
    </row>
    <row r="18">
      <c r="A18" s="14" t="n"/>
      <c r="B18" s="14" t="n"/>
      <c r="C18" s="14" t="n"/>
      <c r="D18" s="14" t="n"/>
      <c r="E18" s="14" t="n"/>
      <c r="F18" s="14" t="n"/>
      <c r="G18" s="14" t="n"/>
      <c r="H18" s="14" t="n"/>
      <c r="I18" s="14" t="n"/>
      <c r="J18" s="14" t="n"/>
      <c r="K18" s="14" t="n"/>
      <c r="L18" s="14" t="n"/>
    </row>
    <row r="19">
      <c r="A19" s="14" t="n"/>
      <c r="B19" s="14" t="n"/>
      <c r="C19" s="14" t="n"/>
      <c r="D19" s="14" t="n"/>
      <c r="E19" s="14" t="n"/>
      <c r="F19" s="14" t="n"/>
      <c r="G19" s="14" t="n"/>
      <c r="H19" s="14" t="n"/>
      <c r="I19" s="14" t="n"/>
      <c r="J19" s="14" t="n"/>
      <c r="K19" s="14" t="n"/>
      <c r="L19" s="14" t="n"/>
    </row>
    <row r="20">
      <c r="A20" s="14" t="n"/>
      <c r="B20" s="14" t="n"/>
      <c r="C20" s="14" t="n"/>
      <c r="D20" s="14" t="n"/>
      <c r="E20" s="14" t="n"/>
      <c r="F20" s="14" t="n"/>
      <c r="G20" s="14" t="n"/>
      <c r="H20" s="14" t="n"/>
      <c r="I20" s="14" t="n"/>
      <c r="J20" s="14" t="n"/>
      <c r="K20" s="14" t="n"/>
      <c r="L20" s="14" t="n"/>
    </row>
    <row r="21">
      <c r="A21" s="14" t="n"/>
      <c r="B21" s="14" t="n"/>
      <c r="C21" s="14" t="n"/>
      <c r="D21" s="14" t="n"/>
      <c r="E21" s="14" t="n"/>
      <c r="F21" s="14" t="n"/>
      <c r="G21" s="14" t="n"/>
      <c r="H21" s="14" t="n"/>
      <c r="I21" s="14" t="n"/>
      <c r="J21" s="14" t="n"/>
      <c r="K21" s="14" t="n"/>
      <c r="L21" s="14" t="n"/>
    </row>
    <row r="22">
      <c r="A22" s="14" t="n"/>
      <c r="B22" s="14" t="n"/>
      <c r="C22" s="14" t="n"/>
      <c r="D22" s="14" t="n"/>
      <c r="E22" s="14" t="n"/>
      <c r="F22" s="14" t="n"/>
      <c r="G22" s="14" t="n"/>
      <c r="H22" s="14" t="n"/>
      <c r="I22" s="14" t="n"/>
      <c r="J22" s="14" t="n"/>
      <c r="K22" s="14" t="n"/>
      <c r="L22" s="14" t="n"/>
    </row>
    <row r="23">
      <c r="A23" s="14" t="n"/>
      <c r="B23" s="14" t="n"/>
      <c r="C23" s="14" t="n"/>
      <c r="D23" s="14" t="n"/>
      <c r="E23" s="14" t="n"/>
      <c r="F23" s="14" t="n"/>
      <c r="G23" s="14" t="n"/>
      <c r="H23" s="14" t="n"/>
      <c r="I23" s="14" t="n"/>
      <c r="J23" s="14" t="n"/>
      <c r="K23" s="14" t="n"/>
      <c r="L23" s="14" t="n"/>
    </row>
    <row r="24">
      <c r="A24" s="14" t="n"/>
      <c r="B24" s="14" t="n"/>
      <c r="C24" s="14" t="n"/>
      <c r="D24" s="14" t="n"/>
      <c r="E24" s="14" t="n"/>
      <c r="F24" s="14" t="n"/>
      <c r="G24" s="14" t="n"/>
      <c r="H24" s="14" t="n"/>
      <c r="I24" s="14" t="n"/>
      <c r="J24" s="14" t="n"/>
      <c r="K24" s="14" t="n"/>
      <c r="L24" s="14" t="n"/>
    </row>
    <row r="25">
      <c r="A25" s="14" t="n"/>
      <c r="B25" s="14" t="n"/>
      <c r="C25" s="14" t="n"/>
      <c r="D25" s="14" t="n"/>
      <c r="E25" s="14" t="n"/>
      <c r="F25" s="14" t="n"/>
      <c r="G25" s="14" t="n"/>
      <c r="H25" s="14" t="n"/>
      <c r="I25" s="14" t="n"/>
      <c r="J25" s="14" t="n"/>
      <c r="K25" s="14" t="n"/>
      <c r="L25" s="14" t="n"/>
    </row>
    <row r="26">
      <c r="A26" s="14" t="n"/>
      <c r="B26" s="14" t="n"/>
      <c r="C26" s="14" t="n"/>
      <c r="D26" s="14" t="n"/>
      <c r="E26" s="14" t="n"/>
      <c r="F26" s="14" t="n"/>
      <c r="G26" s="14" t="n"/>
      <c r="H26" s="14" t="n"/>
      <c r="I26" s="14" t="n"/>
      <c r="J26" s="14" t="n"/>
      <c r="K26" s="14" t="n"/>
      <c r="L26" s="14" t="n"/>
    </row>
    <row r="27">
      <c r="A27" s="14" t="n"/>
      <c r="B27" s="14" t="n"/>
      <c r="C27" s="14" t="n"/>
      <c r="D27" s="14" t="n"/>
      <c r="E27" s="14" t="n"/>
      <c r="F27" s="14" t="n"/>
      <c r="G27" s="14" t="n"/>
      <c r="H27" s="14" t="n"/>
      <c r="I27" s="14" t="n"/>
      <c r="J27" s="14" t="n"/>
      <c r="K27" s="14" t="n"/>
      <c r="L27" s="14" t="n"/>
    </row>
    <row r="28">
      <c r="A28" s="14" t="n"/>
      <c r="B28" s="14" t="n"/>
      <c r="C28" s="14" t="n"/>
      <c r="D28" s="14" t="n"/>
      <c r="E28" s="14" t="n"/>
      <c r="F28" s="14" t="n"/>
      <c r="G28" s="14" t="n"/>
      <c r="H28" s="14" t="n"/>
      <c r="I28" s="14" t="n"/>
      <c r="J28" s="14" t="n"/>
      <c r="K28" s="14" t="n"/>
      <c r="L28" s="14" t="n"/>
    </row>
    <row r="29">
      <c r="A29" s="14" t="n"/>
      <c r="B29" s="14" t="n"/>
      <c r="C29" s="14" t="n"/>
      <c r="D29" s="14" t="n"/>
      <c r="E29" s="14" t="n"/>
      <c r="F29" s="14" t="n"/>
      <c r="G29" s="14" t="n"/>
      <c r="H29" s="14" t="n"/>
      <c r="I29" s="14" t="n"/>
      <c r="J29" s="14" t="n"/>
      <c r="K29" s="14" t="n"/>
      <c r="L29" s="14" t="n"/>
    </row>
    <row r="30">
      <c r="A30" s="14" t="n"/>
      <c r="B30" s="14" t="n"/>
      <c r="C30" s="14" t="n"/>
      <c r="D30" s="14" t="n"/>
      <c r="E30" s="14" t="n"/>
      <c r="F30" s="14" t="n"/>
      <c r="G30" s="14" t="n"/>
      <c r="H30" s="14" t="n"/>
      <c r="I30" s="14" t="n"/>
      <c r="J30" s="14" t="n"/>
      <c r="K30" s="14" t="n"/>
      <c r="L30" s="14" t="n"/>
    </row>
    <row r="31">
      <c r="A31" s="14" t="n"/>
      <c r="B31" s="14" t="n"/>
      <c r="C31" s="14" t="n"/>
      <c r="D31" s="14" t="n"/>
      <c r="E31" s="14" t="n"/>
      <c r="F31" s="14" t="n"/>
      <c r="G31" s="14" t="n"/>
      <c r="H31" s="14" t="n"/>
      <c r="I31" s="14" t="n"/>
      <c r="J31" s="14" t="n"/>
      <c r="K31" s="14" t="n"/>
      <c r="L31" s="14" t="n"/>
    </row>
    <row r="32">
      <c r="A32" s="14" t="n"/>
      <c r="B32" s="14" t="n"/>
      <c r="C32" s="14" t="n"/>
      <c r="D32" s="14" t="n"/>
      <c r="E32" s="14" t="n"/>
      <c r="F32" s="14" t="n"/>
      <c r="G32" s="14" t="n"/>
      <c r="H32" s="14" t="n"/>
      <c r="I32" s="14" t="n"/>
      <c r="J32" s="14" t="n"/>
      <c r="K32" s="14" t="n"/>
      <c r="L32" s="14" t="n"/>
    </row>
    <row r="33">
      <c r="A33" s="14" t="n"/>
      <c r="B33" s="14" t="n"/>
      <c r="C33" s="14" t="n"/>
      <c r="D33" s="14" t="n"/>
      <c r="E33" s="14" t="n"/>
      <c r="F33" s="14" t="n"/>
      <c r="G33" s="14" t="n"/>
      <c r="H33" s="14" t="n"/>
      <c r="I33" s="14" t="n"/>
      <c r="J33" s="14" t="n"/>
      <c r="K33" s="14" t="n"/>
      <c r="L33" s="14" t="n"/>
    </row>
    <row r="34">
      <c r="A34" s="14" t="n"/>
      <c r="B34" s="14" t="n"/>
      <c r="C34" s="14" t="n"/>
      <c r="D34" s="14" t="n"/>
      <c r="E34" s="14" t="n"/>
      <c r="F34" s="14" t="n"/>
      <c r="G34" s="14" t="n"/>
      <c r="H34" s="14" t="n"/>
      <c r="I34" s="14" t="n"/>
      <c r="J34" s="14" t="n"/>
      <c r="K34" s="14" t="n"/>
      <c r="L34" s="14" t="n"/>
    </row>
    <row r="35">
      <c r="A35" s="14" t="n"/>
      <c r="B35" s="14" t="n"/>
      <c r="C35" s="14" t="n"/>
      <c r="D35" s="14" t="n"/>
      <c r="E35" s="14" t="n"/>
      <c r="F35" s="14" t="n"/>
      <c r="G35" s="14" t="n"/>
      <c r="H35" s="14" t="n"/>
      <c r="I35" s="14" t="n"/>
      <c r="J35" s="14" t="n"/>
      <c r="K35" s="14" t="n"/>
      <c r="L35" s="14" t="n"/>
    </row>
    <row r="36">
      <c r="A36" s="14" t="n"/>
      <c r="B36" s="14" t="n"/>
      <c r="C36" s="14" t="n"/>
      <c r="D36" s="14" t="n"/>
      <c r="E36" s="14" t="n"/>
      <c r="F36" s="14" t="n"/>
      <c r="G36" s="14" t="n"/>
      <c r="H36" s="14" t="n"/>
      <c r="I36" s="14" t="n"/>
      <c r="J36" s="14" t="n"/>
      <c r="K36" s="14" t="n"/>
      <c r="L36" s="14" t="n"/>
    </row>
    <row r="37">
      <c r="A37" s="14" t="n"/>
      <c r="B37" s="14" t="n"/>
      <c r="C37" s="14" t="n"/>
      <c r="D37" s="14" t="n"/>
      <c r="E37" s="14" t="n"/>
      <c r="F37" s="14" t="n"/>
      <c r="G37" s="14" t="n"/>
      <c r="H37" s="14" t="n"/>
      <c r="I37" s="14" t="n"/>
      <c r="J37" s="14" t="n"/>
      <c r="K37" s="14" t="n"/>
      <c r="L37" s="14" t="n"/>
    </row>
    <row r="38">
      <c r="A38" s="14" t="n"/>
      <c r="B38" s="14" t="n"/>
      <c r="C38" s="14" t="n"/>
      <c r="D38" s="14" t="n"/>
      <c r="E38" s="14" t="n"/>
      <c r="F38" s="14" t="n"/>
      <c r="G38" s="14" t="n"/>
      <c r="H38" s="14" t="n"/>
      <c r="I38" s="14" t="n"/>
      <c r="J38" s="14" t="n"/>
      <c r="K38" s="14" t="n"/>
      <c r="L38" s="14" t="n"/>
    </row>
    <row r="39">
      <c r="A39" s="14" t="n"/>
      <c r="B39" s="14" t="n"/>
      <c r="C39" s="14" t="n"/>
      <c r="D39" s="14" t="n"/>
      <c r="E39" s="14" t="n"/>
      <c r="F39" s="14" t="n"/>
      <c r="G39" s="14" t="n"/>
      <c r="H39" s="14" t="n"/>
      <c r="I39" s="14" t="n"/>
      <c r="J39" s="14" t="n"/>
      <c r="K39" s="14" t="n"/>
      <c r="L39" s="14" t="n"/>
    </row>
    <row r="40">
      <c r="A40" s="14" t="n"/>
      <c r="B40" s="14" t="n"/>
      <c r="C40" s="14" t="n"/>
      <c r="D40" s="14" t="n"/>
      <c r="E40" s="14" t="n"/>
      <c r="F40" s="14" t="n"/>
      <c r="G40" s="14" t="n"/>
      <c r="H40" s="14" t="n"/>
      <c r="I40" s="14" t="n"/>
      <c r="J40" s="14" t="n"/>
      <c r="K40" s="14" t="n"/>
      <c r="L40" s="14" t="n"/>
    </row>
    <row r="41">
      <c r="A41" s="14" t="n"/>
      <c r="B41" s="14" t="n"/>
      <c r="C41" s="14" t="n"/>
      <c r="D41" s="14" t="n"/>
      <c r="E41" s="14" t="n"/>
      <c r="F41" s="14" t="n"/>
      <c r="G41" s="14" t="n"/>
      <c r="H41" s="14" t="n"/>
      <c r="I41" s="14" t="n"/>
      <c r="J41" s="14" t="n"/>
      <c r="K41" s="14" t="n"/>
      <c r="L41" s="14" t="n"/>
    </row>
    <row r="42">
      <c r="A42" s="14" t="n"/>
      <c r="B42" s="14" t="n"/>
      <c r="C42" s="14" t="n"/>
      <c r="D42" s="14" t="n"/>
      <c r="E42" s="14" t="n"/>
      <c r="F42" s="14" t="n"/>
      <c r="G42" s="14" t="n"/>
      <c r="H42" s="14" t="n"/>
      <c r="I42" s="14" t="n"/>
      <c r="J42" s="14" t="n"/>
      <c r="K42" s="14" t="n"/>
      <c r="L42" s="14" t="n"/>
    </row>
    <row r="43">
      <c r="A43" s="14" t="n"/>
      <c r="B43" s="14" t="n"/>
      <c r="C43" s="14" t="n"/>
      <c r="D43" s="14" t="n"/>
      <c r="E43" s="14" t="n"/>
      <c r="F43" s="14" t="n"/>
      <c r="G43" s="14" t="n"/>
      <c r="H43" s="14" t="n"/>
      <c r="I43" s="14" t="n"/>
      <c r="J43" s="14" t="n"/>
      <c r="K43" s="14" t="n"/>
      <c r="L43" s="14" t="n"/>
    </row>
    <row r="44">
      <c r="A44" s="14" t="n"/>
      <c r="B44" s="14" t="n"/>
      <c r="C44" s="14" t="n"/>
      <c r="D44" s="14" t="n"/>
      <c r="E44" s="14" t="n"/>
      <c r="F44" s="14" t="n"/>
      <c r="G44" s="14" t="n"/>
      <c r="H44" s="14" t="n"/>
      <c r="I44" s="14" t="n"/>
      <c r="J44" s="14" t="n"/>
      <c r="K44" s="14" t="n"/>
      <c r="L44" s="14" t="n"/>
    </row>
    <row r="45">
      <c r="A45" s="14" t="n"/>
      <c r="B45" s="14" t="n"/>
      <c r="C45" s="14" t="n"/>
      <c r="D45" s="14" t="n"/>
      <c r="E45" s="14" t="n"/>
      <c r="F45" s="14" t="n"/>
      <c r="G45" s="14" t="n"/>
      <c r="H45" s="14" t="n"/>
      <c r="I45" s="14" t="n"/>
      <c r="J45" s="14" t="n"/>
      <c r="K45" s="14" t="n"/>
      <c r="L45" s="14" t="n"/>
    </row>
    <row r="46">
      <c r="A46" s="14" t="n"/>
      <c r="B46" s="14" t="n"/>
      <c r="C46" s="14" t="n"/>
      <c r="D46" s="14" t="n"/>
      <c r="E46" s="14" t="n"/>
      <c r="F46" s="14" t="n"/>
      <c r="G46" s="14" t="n"/>
      <c r="H46" s="14" t="n"/>
      <c r="I46" s="14" t="n"/>
      <c r="J46" s="14" t="n"/>
      <c r="K46" s="14" t="n"/>
      <c r="L46" s="14" t="n"/>
    </row>
    <row r="47">
      <c r="A47" s="14" t="n"/>
      <c r="B47" s="14" t="n"/>
      <c r="C47" s="14" t="n"/>
      <c r="D47" s="14" t="n"/>
      <c r="E47" s="14" t="n"/>
      <c r="F47" s="14" t="n"/>
      <c r="G47" s="14" t="n"/>
      <c r="H47" s="14" t="n"/>
      <c r="I47" s="14" t="n"/>
      <c r="J47" s="14" t="n"/>
      <c r="K47" s="14" t="n"/>
      <c r="L47" s="14" t="n"/>
    </row>
    <row r="48">
      <c r="A48" s="14" t="n"/>
      <c r="B48" s="14" t="n"/>
      <c r="C48" s="14" t="n"/>
      <c r="D48" s="14" t="n"/>
      <c r="E48" s="14" t="n"/>
      <c r="F48" s="14" t="n"/>
      <c r="G48" s="14" t="n"/>
      <c r="H48" s="14" t="n"/>
      <c r="I48" s="14" t="n"/>
      <c r="J48" s="14" t="n"/>
      <c r="K48" s="14" t="n"/>
      <c r="L48" s="14" t="n"/>
    </row>
    <row r="49">
      <c r="A49" s="14" t="n"/>
      <c r="B49" s="14" t="n"/>
      <c r="C49" s="14" t="n"/>
      <c r="D49" s="14" t="n"/>
      <c r="E49" s="14" t="n"/>
      <c r="F49" s="14" t="n"/>
      <c r="G49" s="14" t="n"/>
      <c r="H49" s="14" t="n"/>
      <c r="I49" s="14" t="n"/>
      <c r="J49" s="14" t="n"/>
      <c r="K49" s="14" t="n"/>
      <c r="L49" s="14" t="n"/>
    </row>
    <row r="50">
      <c r="A50" s="14" t="n"/>
      <c r="B50" s="14" t="n"/>
      <c r="C50" s="14" t="n"/>
      <c r="D50" s="14" t="n"/>
      <c r="E50" s="14" t="n"/>
      <c r="F50" s="14" t="n"/>
      <c r="G50" s="14" t="n"/>
      <c r="H50" s="14" t="n"/>
      <c r="I50" s="14" t="n"/>
      <c r="J50" s="14" t="n"/>
      <c r="K50" s="14" t="n"/>
      <c r="L50" s="14" t="n"/>
    </row>
    <row r="51">
      <c r="A51" s="14" t="n"/>
      <c r="B51" s="14" t="n"/>
      <c r="C51" s="14" t="n"/>
      <c r="D51" s="14" t="n"/>
      <c r="E51" s="14" t="n"/>
      <c r="F51" s="14" t="n"/>
      <c r="G51" s="14" t="n"/>
      <c r="H51" s="14" t="n"/>
      <c r="I51" s="14" t="n"/>
      <c r="J51" s="14" t="n"/>
      <c r="K51" s="14" t="n"/>
      <c r="L51" s="14" t="n"/>
    </row>
    <row r="52">
      <c r="A52" s="14" t="n"/>
      <c r="B52" s="14" t="n"/>
      <c r="C52" s="14" t="n"/>
      <c r="D52" s="14" t="n"/>
      <c r="E52" s="14" t="n"/>
      <c r="F52" s="14" t="n"/>
      <c r="G52" s="14" t="n"/>
      <c r="H52" s="14" t="n"/>
      <c r="I52" s="14" t="n"/>
      <c r="J52" s="14" t="n"/>
      <c r="K52" s="14" t="n"/>
      <c r="L52" s="14" t="n"/>
    </row>
    <row r="53">
      <c r="A53" s="14" t="n"/>
      <c r="B53" s="14" t="n"/>
      <c r="C53" s="14" t="n"/>
      <c r="D53" s="14" t="n"/>
      <c r="E53" s="14" t="n"/>
      <c r="F53" s="14" t="n"/>
      <c r="G53" s="14" t="n"/>
      <c r="H53" s="14" t="n"/>
      <c r="I53" s="14" t="n"/>
      <c r="J53" s="14" t="n"/>
      <c r="K53" s="14" t="n"/>
      <c r="L53" s="14" t="n"/>
    </row>
    <row r="54">
      <c r="A54" s="14" t="n"/>
      <c r="B54" s="14" t="n"/>
      <c r="C54" s="14" t="n"/>
      <c r="D54" s="14" t="n"/>
      <c r="E54" s="14" t="n"/>
      <c r="F54" s="14" t="n"/>
      <c r="G54" s="14" t="n"/>
      <c r="H54" s="14" t="n"/>
      <c r="I54" s="14" t="n"/>
      <c r="J54" s="14" t="n"/>
      <c r="K54" s="14" t="n"/>
      <c r="L54" s="14" t="n"/>
    </row>
    <row r="55">
      <c r="A55" s="14" t="n"/>
      <c r="B55" s="14" t="n"/>
      <c r="C55" s="14" t="n"/>
      <c r="D55" s="14" t="n"/>
      <c r="E55" s="14" t="n"/>
      <c r="F55" s="14" t="n"/>
      <c r="G55" s="14" t="n"/>
      <c r="H55" s="14" t="n"/>
      <c r="I55" s="14" t="n"/>
      <c r="J55" s="14" t="n"/>
      <c r="K55" s="14" t="n"/>
      <c r="L55" s="14" t="n"/>
    </row>
    <row r="56">
      <c r="A56" s="14" t="n"/>
      <c r="B56" s="14" t="n"/>
      <c r="C56" s="14" t="n"/>
      <c r="D56" s="14" t="n"/>
      <c r="E56" s="14" t="n"/>
      <c r="F56" s="14" t="n"/>
      <c r="G56" s="14" t="n"/>
      <c r="H56" s="14" t="n"/>
      <c r="I56" s="14" t="n"/>
      <c r="J56" s="14" t="n"/>
      <c r="K56" s="14" t="n"/>
      <c r="L56" s="14" t="n"/>
    </row>
  </sheetData>
  <mergeCells count="3">
    <mergeCell ref="A3:L3"/>
    <mergeCell ref="A2:L2"/>
    <mergeCell ref="A1:L1"/>
  </mergeCells>
  <dataValidations count="4">
    <dataValidation sqref="B7 B8 B9 B10 B11 B12 B13 B14 B15 B16 B17 B18 B19 B20 B21 B22 B23 B24 B25 B26 B27 B28 B29 B30 B31 B32 B33 B34 B35 B36 B37 B38 B39 B40 B41 B42 B43 B44 B45 B46 B47 B48 B49 B50 B51 B52 B53 B54 B55 B56" showDropDown="1" showInputMessage="0" showErrorMessage="0" allowBlank="0" type="list">
      <formula1>"Email,Web,Endpoint,Network,App,Mobile"</formula1>
    </dataValidation>
    <dataValidation sqref="D7 D8 D9 D10 D11 D12 D13 D14 D15 D16 D17 D18 D19 D20 D21 D22 D23 D24 D25 D26 D27 D28 D29 D30 D31 D32 D33 D34 D35 D36 D37 D38 D39 D40 D41 D42 D43 D44 D45 D46 D47 D48 D49 D50 D51 D52 D53 D54 D55 D56" showDropDown="1" showInputMessage="0" showErrorMessage="0" allowBlank="0" type="list">
      <formula1>"Critical,High,Medium,Low"</formula1>
    </dataValidation>
    <dataValidation sqref="E7 E8 E9 E10 E11 E12 E13 E14 E15 E16 E17 E18 E19 E20 E21 E22 E23 E24 E25 E26 E27 E28 E29 E30 E31 E32 E33 E34 E35 E36 E37 E38 E39 E40 E41 E42 E43 E44 E45 E46 E47 E48 E49 E50 E51 E52 E53 E54 E55 E56" showDropDown="1" showInputMessage="0" showErrorMessage="0" allowBlank="0" type="list">
      <formula1>"Very High,High,Medium,Low,Very Low"</formula1>
    </dataValidation>
    <dataValidation sqref="K7 K8 K9 K10 K11 K12 K13 K14 K15 K16 K17 K18 K19 K20 K21 K22 K23 K24 K25 K26 K27 K28 K29 K30 K31 K32 K33 K34 K35 K36 K37 K38 K39 K40 K41 K42 K43 K44 K45 K46 K47 K48 K49 K50 K51 K52 K53 K54 K55 K56" showDropDown="1" showInputMessage="0" showErrorMessage="0" allowBlank="0" type="list">
      <formula1>"Not Started,In Progress,Complete,Blocked"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3" t="inlineStr">
        <is>
          <t>EVIDENCE REGISTER</t>
        </is>
      </c>
      <c r="B1" s="6" t="n"/>
      <c r="C1" s="6" t="n"/>
      <c r="D1" s="6" t="n"/>
      <c r="E1" s="6" t="n"/>
      <c r="F1" s="6" t="n"/>
      <c r="G1" s="6" t="n"/>
      <c r="H1" s="6" t="n"/>
    </row>
    <row r="2">
      <c r="A2" s="24" t="inlineStr">
        <is>
          <t>List all evidence files/documents referenced in this assessment (audit traceability).</t>
        </is>
      </c>
    </row>
    <row r="4">
      <c r="A4" s="25" t="inlineStr">
        <is>
          <t>Evidence ID</t>
        </is>
      </c>
      <c r="B4" s="25" t="inlineStr">
        <is>
          <t>Assessment Area</t>
        </is>
      </c>
      <c r="C4" s="25" t="inlineStr">
        <is>
          <t>Evidence Type</t>
        </is>
      </c>
      <c r="D4" s="25" t="inlineStr">
        <is>
          <t>Description</t>
        </is>
      </c>
      <c r="E4" s="25" t="inlineStr">
        <is>
          <t>Location/Path</t>
        </is>
      </c>
      <c r="F4" s="25" t="inlineStr">
        <is>
          <t>Date Collected</t>
        </is>
      </c>
      <c r="G4" s="25" t="inlineStr">
        <is>
          <t>Collected By</t>
        </is>
      </c>
      <c r="H4" s="25" t="inlineStr">
        <is>
          <t>Verification Status</t>
        </is>
      </c>
    </row>
    <row r="5">
      <c r="A5" s="26" t="inlineStr">
        <is>
          <t>EV-001</t>
        </is>
      </c>
      <c r="B5" s="26" t="inlineStr">
        <is>
          <t>Email Channel Assessment</t>
        </is>
      </c>
      <c r="C5" s="26" t="inlineStr">
        <is>
          <t>Configuration file</t>
        </is>
      </c>
      <c r="D5" s="26" t="inlineStr">
        <is>
          <t>Email DLP policy configuration — Microsoft 365 DLP rules export</t>
        </is>
      </c>
      <c r="E5" s="26" t="inlineStr">
        <is>
          <t>\\fileserver\isms\evidence\dlp\email-dlp-rules.pdf</t>
        </is>
      </c>
      <c r="F5" s="26" t="inlineStr">
        <is>
          <t>22.02.2026</t>
        </is>
      </c>
      <c r="G5" s="26" t="inlineStr">
        <is>
          <t>IT Security Team</t>
        </is>
      </c>
      <c r="H5" s="26" t="inlineStr">
        <is>
          <t>Verified</t>
        </is>
      </c>
    </row>
    <row r="6">
      <c r="A6" s="27" t="n"/>
      <c r="B6" s="27" t="n"/>
      <c r="C6" s="27" t="n"/>
      <c r="D6" s="27" t="n"/>
      <c r="E6" s="27" t="n"/>
      <c r="F6" s="27" t="n"/>
      <c r="G6" s="27" t="n"/>
      <c r="H6" s="27" t="n"/>
    </row>
    <row r="7">
      <c r="A7" s="27" t="n"/>
      <c r="B7" s="27" t="n"/>
      <c r="C7" s="27" t="n"/>
      <c r="D7" s="27" t="n"/>
      <c r="E7" s="27" t="n"/>
      <c r="F7" s="27" t="n"/>
      <c r="G7" s="27" t="n"/>
      <c r="H7" s="27" t="n"/>
    </row>
    <row r="8">
      <c r="A8" s="27" t="n"/>
      <c r="B8" s="27" t="n"/>
      <c r="C8" s="27" t="n"/>
      <c r="D8" s="27" t="n"/>
      <c r="E8" s="27" t="n"/>
      <c r="F8" s="27" t="n"/>
      <c r="G8" s="27" t="n"/>
      <c r="H8" s="27" t="n"/>
    </row>
    <row r="9">
      <c r="A9" s="27" t="n"/>
      <c r="B9" s="27" t="n"/>
      <c r="C9" s="27" t="n"/>
      <c r="D9" s="27" t="n"/>
      <c r="E9" s="27" t="n"/>
      <c r="F9" s="27" t="n"/>
      <c r="G9" s="27" t="n"/>
      <c r="H9" s="27" t="n"/>
    </row>
    <row r="10">
      <c r="A10" s="27" t="n"/>
      <c r="B10" s="27" t="n"/>
      <c r="C10" s="27" t="n"/>
      <c r="D10" s="27" t="n"/>
      <c r="E10" s="27" t="n"/>
      <c r="F10" s="27" t="n"/>
      <c r="G10" s="27" t="n"/>
      <c r="H10" s="27" t="n"/>
    </row>
    <row r="11">
      <c r="A11" s="27" t="n"/>
      <c r="B11" s="27" t="n"/>
      <c r="C11" s="27" t="n"/>
      <c r="D11" s="27" t="n"/>
      <c r="E11" s="27" t="n"/>
      <c r="F11" s="27" t="n"/>
      <c r="G11" s="27" t="n"/>
      <c r="H11" s="27" t="n"/>
    </row>
    <row r="12">
      <c r="A12" s="27" t="n"/>
      <c r="B12" s="27" t="n"/>
      <c r="C12" s="27" t="n"/>
      <c r="D12" s="27" t="n"/>
      <c r="E12" s="27" t="n"/>
      <c r="F12" s="27" t="n"/>
      <c r="G12" s="27" t="n"/>
      <c r="H12" s="27" t="n"/>
    </row>
    <row r="13">
      <c r="A13" s="27" t="n"/>
      <c r="B13" s="27" t="n"/>
      <c r="C13" s="27" t="n"/>
      <c r="D13" s="27" t="n"/>
      <c r="E13" s="27" t="n"/>
      <c r="F13" s="27" t="n"/>
      <c r="G13" s="27" t="n"/>
      <c r="H13" s="27" t="n"/>
    </row>
    <row r="14">
      <c r="A14" s="27" t="n"/>
      <c r="B14" s="27" t="n"/>
      <c r="C14" s="27" t="n"/>
      <c r="D14" s="27" t="n"/>
      <c r="E14" s="27" t="n"/>
      <c r="F14" s="27" t="n"/>
      <c r="G14" s="27" t="n"/>
      <c r="H14" s="27" t="n"/>
    </row>
    <row r="15">
      <c r="A15" s="27" t="n"/>
      <c r="B15" s="27" t="n"/>
      <c r="C15" s="27" t="n"/>
      <c r="D15" s="27" t="n"/>
      <c r="E15" s="27" t="n"/>
      <c r="F15" s="27" t="n"/>
      <c r="G15" s="27" t="n"/>
      <c r="H15" s="27" t="n"/>
    </row>
    <row r="16">
      <c r="A16" s="27" t="n"/>
      <c r="B16" s="27" t="n"/>
      <c r="C16" s="27" t="n"/>
      <c r="D16" s="27" t="n"/>
      <c r="E16" s="27" t="n"/>
      <c r="F16" s="27" t="n"/>
      <c r="G16" s="27" t="n"/>
      <c r="H16" s="27" t="n"/>
    </row>
    <row r="17">
      <c r="A17" s="27" t="n"/>
      <c r="B17" s="27" t="n"/>
      <c r="C17" s="27" t="n"/>
      <c r="D17" s="27" t="n"/>
      <c r="E17" s="27" t="n"/>
      <c r="F17" s="27" t="n"/>
      <c r="G17" s="27" t="n"/>
      <c r="H17" s="27" t="n"/>
    </row>
    <row r="18">
      <c r="A18" s="27" t="n"/>
      <c r="B18" s="27" t="n"/>
      <c r="C18" s="27" t="n"/>
      <c r="D18" s="27" t="n"/>
      <c r="E18" s="27" t="n"/>
      <c r="F18" s="27" t="n"/>
      <c r="G18" s="27" t="n"/>
      <c r="H18" s="27" t="n"/>
    </row>
    <row r="19">
      <c r="A19" s="27" t="n"/>
      <c r="B19" s="27" t="n"/>
      <c r="C19" s="27" t="n"/>
      <c r="D19" s="27" t="n"/>
      <c r="E19" s="27" t="n"/>
      <c r="F19" s="27" t="n"/>
      <c r="G19" s="27" t="n"/>
      <c r="H19" s="27" t="n"/>
    </row>
    <row r="20">
      <c r="A20" s="27" t="n"/>
      <c r="B20" s="27" t="n"/>
      <c r="C20" s="27" t="n"/>
      <c r="D20" s="27" t="n"/>
      <c r="E20" s="27" t="n"/>
      <c r="F20" s="27" t="n"/>
      <c r="G20" s="27" t="n"/>
      <c r="H20" s="27" t="n"/>
    </row>
    <row r="21">
      <c r="A21" s="27" t="n"/>
      <c r="B21" s="27" t="n"/>
      <c r="C21" s="27" t="n"/>
      <c r="D21" s="27" t="n"/>
      <c r="E21" s="27" t="n"/>
      <c r="F21" s="27" t="n"/>
      <c r="G21" s="27" t="n"/>
      <c r="H21" s="27" t="n"/>
    </row>
    <row r="22">
      <c r="A22" s="27" t="n"/>
      <c r="B22" s="27" t="n"/>
      <c r="C22" s="27" t="n"/>
      <c r="D22" s="27" t="n"/>
      <c r="E22" s="27" t="n"/>
      <c r="F22" s="27" t="n"/>
      <c r="G22" s="27" t="n"/>
      <c r="H22" s="27" t="n"/>
    </row>
    <row r="23">
      <c r="A23" s="27" t="n"/>
      <c r="B23" s="27" t="n"/>
      <c r="C23" s="27" t="n"/>
      <c r="D23" s="27" t="n"/>
      <c r="E23" s="27" t="n"/>
      <c r="F23" s="27" t="n"/>
      <c r="G23" s="27" t="n"/>
      <c r="H23" s="27" t="n"/>
    </row>
    <row r="24">
      <c r="A24" s="27" t="n"/>
      <c r="B24" s="27" t="n"/>
      <c r="C24" s="27" t="n"/>
      <c r="D24" s="27" t="n"/>
      <c r="E24" s="27" t="n"/>
      <c r="F24" s="27" t="n"/>
      <c r="G24" s="27" t="n"/>
      <c r="H24" s="27" t="n"/>
    </row>
    <row r="25">
      <c r="A25" s="27" t="n"/>
      <c r="B25" s="27" t="n"/>
      <c r="C25" s="27" t="n"/>
      <c r="D25" s="27" t="n"/>
      <c r="E25" s="27" t="n"/>
      <c r="F25" s="27" t="n"/>
      <c r="G25" s="27" t="n"/>
      <c r="H25" s="27" t="n"/>
    </row>
    <row r="26">
      <c r="A26" s="27" t="n"/>
      <c r="B26" s="27" t="n"/>
      <c r="C26" s="27" t="n"/>
      <c r="D26" s="27" t="n"/>
      <c r="E26" s="27" t="n"/>
      <c r="F26" s="27" t="n"/>
      <c r="G26" s="27" t="n"/>
      <c r="H26" s="27" t="n"/>
    </row>
    <row r="27">
      <c r="A27" s="27" t="n"/>
      <c r="B27" s="27" t="n"/>
      <c r="C27" s="27" t="n"/>
      <c r="D27" s="27" t="n"/>
      <c r="E27" s="27" t="n"/>
      <c r="F27" s="27" t="n"/>
      <c r="G27" s="27" t="n"/>
      <c r="H27" s="27" t="n"/>
    </row>
    <row r="28">
      <c r="A28" s="27" t="n"/>
      <c r="B28" s="27" t="n"/>
      <c r="C28" s="27" t="n"/>
      <c r="D28" s="27" t="n"/>
      <c r="E28" s="27" t="n"/>
      <c r="F28" s="27" t="n"/>
      <c r="G28" s="27" t="n"/>
      <c r="H28" s="27" t="n"/>
    </row>
    <row r="29">
      <c r="A29" s="27" t="n"/>
      <c r="B29" s="27" t="n"/>
      <c r="C29" s="27" t="n"/>
      <c r="D29" s="27" t="n"/>
      <c r="E29" s="27" t="n"/>
      <c r="F29" s="27" t="n"/>
      <c r="G29" s="27" t="n"/>
      <c r="H29" s="27" t="n"/>
    </row>
    <row r="30">
      <c r="A30" s="27" t="n"/>
      <c r="B30" s="27" t="n"/>
      <c r="C30" s="27" t="n"/>
      <c r="D30" s="27" t="n"/>
      <c r="E30" s="27" t="n"/>
      <c r="F30" s="27" t="n"/>
      <c r="G30" s="27" t="n"/>
      <c r="H30" s="27" t="n"/>
    </row>
    <row r="31">
      <c r="A31" s="27" t="n"/>
      <c r="B31" s="27" t="n"/>
      <c r="C31" s="27" t="n"/>
      <c r="D31" s="27" t="n"/>
      <c r="E31" s="27" t="n"/>
      <c r="F31" s="27" t="n"/>
      <c r="G31" s="27" t="n"/>
      <c r="H31" s="27" t="n"/>
    </row>
    <row r="32">
      <c r="A32" s="27" t="n"/>
      <c r="B32" s="27" t="n"/>
      <c r="C32" s="27" t="n"/>
      <c r="D32" s="27" t="n"/>
      <c r="E32" s="27" t="n"/>
      <c r="F32" s="27" t="n"/>
      <c r="G32" s="27" t="n"/>
      <c r="H32" s="27" t="n"/>
    </row>
    <row r="33">
      <c r="A33" s="27" t="n"/>
      <c r="B33" s="27" t="n"/>
      <c r="C33" s="27" t="n"/>
      <c r="D33" s="27" t="n"/>
      <c r="E33" s="27" t="n"/>
      <c r="F33" s="27" t="n"/>
      <c r="G33" s="27" t="n"/>
      <c r="H33" s="27" t="n"/>
    </row>
    <row r="34">
      <c r="A34" s="27" t="n"/>
      <c r="B34" s="27" t="n"/>
      <c r="C34" s="27" t="n"/>
      <c r="D34" s="27" t="n"/>
      <c r="E34" s="27" t="n"/>
      <c r="F34" s="27" t="n"/>
      <c r="G34" s="27" t="n"/>
      <c r="H34" s="27" t="n"/>
    </row>
    <row r="35">
      <c r="A35" s="27" t="n"/>
      <c r="B35" s="27" t="n"/>
      <c r="C35" s="27" t="n"/>
      <c r="D35" s="27" t="n"/>
      <c r="E35" s="27" t="n"/>
      <c r="F35" s="27" t="n"/>
      <c r="G35" s="27" t="n"/>
      <c r="H35" s="27" t="n"/>
    </row>
    <row r="36">
      <c r="A36" s="27" t="n"/>
      <c r="B36" s="27" t="n"/>
      <c r="C36" s="27" t="n"/>
      <c r="D36" s="27" t="n"/>
      <c r="E36" s="27" t="n"/>
      <c r="F36" s="27" t="n"/>
      <c r="G36" s="27" t="n"/>
      <c r="H36" s="27" t="n"/>
    </row>
    <row r="37">
      <c r="A37" s="27" t="n"/>
      <c r="B37" s="27" t="n"/>
      <c r="C37" s="27" t="n"/>
      <c r="D37" s="27" t="n"/>
      <c r="E37" s="27" t="n"/>
      <c r="F37" s="27" t="n"/>
      <c r="G37" s="27" t="n"/>
      <c r="H37" s="27" t="n"/>
    </row>
    <row r="38">
      <c r="A38" s="27" t="n"/>
      <c r="B38" s="27" t="n"/>
      <c r="C38" s="27" t="n"/>
      <c r="D38" s="27" t="n"/>
      <c r="E38" s="27" t="n"/>
      <c r="F38" s="27" t="n"/>
      <c r="G38" s="27" t="n"/>
      <c r="H38" s="27" t="n"/>
    </row>
    <row r="39">
      <c r="A39" s="27" t="n"/>
      <c r="B39" s="27" t="n"/>
      <c r="C39" s="27" t="n"/>
      <c r="D39" s="27" t="n"/>
      <c r="E39" s="27" t="n"/>
      <c r="F39" s="27" t="n"/>
      <c r="G39" s="27" t="n"/>
      <c r="H39" s="27" t="n"/>
    </row>
    <row r="40">
      <c r="A40" s="27" t="n"/>
      <c r="B40" s="27" t="n"/>
      <c r="C40" s="27" t="n"/>
      <c r="D40" s="27" t="n"/>
      <c r="E40" s="27" t="n"/>
      <c r="F40" s="27" t="n"/>
      <c r="G40" s="27" t="n"/>
      <c r="H40" s="27" t="n"/>
    </row>
    <row r="41">
      <c r="A41" s="27" t="n"/>
      <c r="B41" s="27" t="n"/>
      <c r="C41" s="27" t="n"/>
      <c r="D41" s="27" t="n"/>
      <c r="E41" s="27" t="n"/>
      <c r="F41" s="27" t="n"/>
      <c r="G41" s="27" t="n"/>
      <c r="H41" s="27" t="n"/>
    </row>
    <row r="42">
      <c r="A42" s="27" t="n"/>
      <c r="B42" s="27" t="n"/>
      <c r="C42" s="27" t="n"/>
      <c r="D42" s="27" t="n"/>
      <c r="E42" s="27" t="n"/>
      <c r="F42" s="27" t="n"/>
      <c r="G42" s="27" t="n"/>
      <c r="H42" s="27" t="n"/>
    </row>
    <row r="43">
      <c r="A43" s="27" t="n"/>
      <c r="B43" s="27" t="n"/>
      <c r="C43" s="27" t="n"/>
      <c r="D43" s="27" t="n"/>
      <c r="E43" s="27" t="n"/>
      <c r="F43" s="27" t="n"/>
      <c r="G43" s="27" t="n"/>
      <c r="H43" s="27" t="n"/>
    </row>
    <row r="44">
      <c r="A44" s="27" t="n"/>
      <c r="B44" s="27" t="n"/>
      <c r="C44" s="27" t="n"/>
      <c r="D44" s="27" t="n"/>
      <c r="E44" s="27" t="n"/>
      <c r="F44" s="27" t="n"/>
      <c r="G44" s="27" t="n"/>
      <c r="H44" s="27" t="n"/>
    </row>
    <row r="45">
      <c r="A45" s="27" t="n"/>
      <c r="B45" s="27" t="n"/>
      <c r="C45" s="27" t="n"/>
      <c r="D45" s="27" t="n"/>
      <c r="E45" s="27" t="n"/>
      <c r="F45" s="27" t="n"/>
      <c r="G45" s="27" t="n"/>
      <c r="H45" s="27" t="n"/>
    </row>
    <row r="46">
      <c r="A46" s="27" t="n"/>
      <c r="B46" s="27" t="n"/>
      <c r="C46" s="27" t="n"/>
      <c r="D46" s="27" t="n"/>
      <c r="E46" s="27" t="n"/>
      <c r="F46" s="27" t="n"/>
      <c r="G46" s="27" t="n"/>
      <c r="H46" s="27" t="n"/>
    </row>
    <row r="47">
      <c r="A47" s="27" t="n"/>
      <c r="B47" s="27" t="n"/>
      <c r="C47" s="27" t="n"/>
      <c r="D47" s="27" t="n"/>
      <c r="E47" s="27" t="n"/>
      <c r="F47" s="27" t="n"/>
      <c r="G47" s="27" t="n"/>
      <c r="H47" s="27" t="n"/>
    </row>
    <row r="48">
      <c r="A48" s="27" t="n"/>
      <c r="B48" s="27" t="n"/>
      <c r="C48" s="27" t="n"/>
      <c r="D48" s="27" t="n"/>
      <c r="E48" s="27" t="n"/>
      <c r="F48" s="27" t="n"/>
      <c r="G48" s="27" t="n"/>
      <c r="H48" s="27" t="n"/>
    </row>
    <row r="49">
      <c r="A49" s="27" t="n"/>
      <c r="B49" s="27" t="n"/>
      <c r="C49" s="27" t="n"/>
      <c r="D49" s="27" t="n"/>
      <c r="E49" s="27" t="n"/>
      <c r="F49" s="27" t="n"/>
      <c r="G49" s="27" t="n"/>
      <c r="H49" s="27" t="n"/>
    </row>
    <row r="50">
      <c r="A50" s="27" t="n"/>
      <c r="B50" s="27" t="n"/>
      <c r="C50" s="27" t="n"/>
      <c r="D50" s="27" t="n"/>
      <c r="E50" s="27" t="n"/>
      <c r="F50" s="27" t="n"/>
      <c r="G50" s="27" t="n"/>
      <c r="H50" s="27" t="n"/>
    </row>
    <row r="51">
      <c r="A51" s="27" t="n"/>
      <c r="B51" s="27" t="n"/>
      <c r="C51" s="27" t="n"/>
      <c r="D51" s="27" t="n"/>
      <c r="E51" s="27" t="n"/>
      <c r="F51" s="27" t="n"/>
      <c r="G51" s="27" t="n"/>
      <c r="H51" s="27" t="n"/>
    </row>
    <row r="52">
      <c r="A52" s="27" t="n"/>
      <c r="B52" s="27" t="n"/>
      <c r="C52" s="27" t="n"/>
      <c r="D52" s="27" t="n"/>
      <c r="E52" s="27" t="n"/>
      <c r="F52" s="27" t="n"/>
      <c r="G52" s="27" t="n"/>
      <c r="H52" s="27" t="n"/>
    </row>
    <row r="53">
      <c r="A53" s="27" t="n"/>
      <c r="B53" s="27" t="n"/>
      <c r="C53" s="27" t="n"/>
      <c r="D53" s="27" t="n"/>
      <c r="E53" s="27" t="n"/>
      <c r="F53" s="27" t="n"/>
      <c r="G53" s="27" t="n"/>
      <c r="H53" s="27" t="n"/>
    </row>
    <row r="54">
      <c r="A54" s="27" t="n"/>
      <c r="B54" s="27" t="n"/>
      <c r="C54" s="27" t="n"/>
      <c r="D54" s="27" t="n"/>
      <c r="E54" s="27" t="n"/>
      <c r="F54" s="27" t="n"/>
      <c r="G54" s="27" t="n"/>
      <c r="H54" s="27" t="n"/>
    </row>
    <row r="55">
      <c r="A55" s="27" t="n"/>
      <c r="B55" s="27" t="n"/>
      <c r="C55" s="27" t="n"/>
      <c r="D55" s="27" t="n"/>
      <c r="E55" s="27" t="n"/>
      <c r="F55" s="27" t="n"/>
      <c r="G55" s="27" t="n"/>
      <c r="H55" s="27" t="n"/>
    </row>
    <row r="56">
      <c r="A56" s="27" t="n"/>
      <c r="B56" s="27" t="n"/>
      <c r="C56" s="27" t="n"/>
      <c r="D56" s="27" t="n"/>
      <c r="E56" s="27" t="n"/>
      <c r="F56" s="27" t="n"/>
      <c r="G56" s="27" t="n"/>
      <c r="H56" s="27" t="n"/>
    </row>
    <row r="57">
      <c r="A57" s="27" t="n"/>
      <c r="B57" s="27" t="n"/>
      <c r="C57" s="27" t="n"/>
      <c r="D57" s="27" t="n"/>
      <c r="E57" s="27" t="n"/>
      <c r="F57" s="27" t="n"/>
      <c r="G57" s="27" t="n"/>
      <c r="H57" s="27" t="n"/>
    </row>
    <row r="58">
      <c r="A58" s="27" t="n"/>
      <c r="B58" s="27" t="n"/>
      <c r="C58" s="27" t="n"/>
      <c r="D58" s="27" t="n"/>
      <c r="E58" s="27" t="n"/>
      <c r="F58" s="27" t="n"/>
      <c r="G58" s="27" t="n"/>
      <c r="H58" s="27" t="n"/>
    </row>
    <row r="59">
      <c r="A59" s="27" t="n"/>
      <c r="B59" s="27" t="n"/>
      <c r="C59" s="27" t="n"/>
      <c r="D59" s="27" t="n"/>
      <c r="E59" s="27" t="n"/>
      <c r="F59" s="27" t="n"/>
      <c r="G59" s="27" t="n"/>
      <c r="H59" s="27" t="n"/>
    </row>
    <row r="60">
      <c r="A60" s="27" t="n"/>
      <c r="B60" s="27" t="n"/>
      <c r="C60" s="27" t="n"/>
      <c r="D60" s="27" t="n"/>
      <c r="E60" s="27" t="n"/>
      <c r="F60" s="27" t="n"/>
      <c r="G60" s="27" t="n"/>
      <c r="H60" s="27" t="n"/>
    </row>
    <row r="61">
      <c r="A61" s="27" t="n"/>
      <c r="B61" s="27" t="n"/>
      <c r="C61" s="27" t="n"/>
      <c r="D61" s="27" t="n"/>
      <c r="E61" s="27" t="n"/>
      <c r="F61" s="27" t="n"/>
      <c r="G61" s="27" t="n"/>
      <c r="H61" s="27" t="n"/>
    </row>
    <row r="62">
      <c r="A62" s="27" t="n"/>
      <c r="B62" s="27" t="n"/>
      <c r="C62" s="27" t="n"/>
      <c r="D62" s="27" t="n"/>
      <c r="E62" s="27" t="n"/>
      <c r="F62" s="27" t="n"/>
      <c r="G62" s="27" t="n"/>
      <c r="H62" s="27" t="n"/>
    </row>
    <row r="63">
      <c r="A63" s="27" t="n"/>
      <c r="B63" s="27" t="n"/>
      <c r="C63" s="27" t="n"/>
      <c r="D63" s="27" t="n"/>
      <c r="E63" s="27" t="n"/>
      <c r="F63" s="27" t="n"/>
      <c r="G63" s="27" t="n"/>
      <c r="H63" s="27" t="n"/>
    </row>
    <row r="64">
      <c r="A64" s="27" t="n"/>
      <c r="B64" s="27" t="n"/>
      <c r="C64" s="27" t="n"/>
      <c r="D64" s="27" t="n"/>
      <c r="E64" s="27" t="n"/>
      <c r="F64" s="27" t="n"/>
      <c r="G64" s="27" t="n"/>
      <c r="H64" s="27" t="n"/>
    </row>
    <row r="65">
      <c r="A65" s="27" t="n"/>
      <c r="B65" s="27" t="n"/>
      <c r="C65" s="27" t="n"/>
      <c r="D65" s="27" t="n"/>
      <c r="E65" s="27" t="n"/>
      <c r="F65" s="27" t="n"/>
      <c r="G65" s="27" t="n"/>
      <c r="H65" s="27" t="n"/>
    </row>
    <row r="66">
      <c r="A66" s="27" t="n"/>
      <c r="B66" s="27" t="n"/>
      <c r="C66" s="27" t="n"/>
      <c r="D66" s="27" t="n"/>
      <c r="E66" s="27" t="n"/>
      <c r="F66" s="27" t="n"/>
      <c r="G66" s="27" t="n"/>
      <c r="H66" s="27" t="n"/>
    </row>
    <row r="67">
      <c r="A67" s="27" t="n"/>
      <c r="B67" s="27" t="n"/>
      <c r="C67" s="27" t="n"/>
      <c r="D67" s="27" t="n"/>
      <c r="E67" s="27" t="n"/>
      <c r="F67" s="27" t="n"/>
      <c r="G67" s="27" t="n"/>
      <c r="H67" s="27" t="n"/>
    </row>
    <row r="68">
      <c r="A68" s="27" t="n"/>
      <c r="B68" s="27" t="n"/>
      <c r="C68" s="27" t="n"/>
      <c r="D68" s="27" t="n"/>
      <c r="E68" s="27" t="n"/>
      <c r="F68" s="27" t="n"/>
      <c r="G68" s="27" t="n"/>
      <c r="H68" s="27" t="n"/>
    </row>
    <row r="69">
      <c r="A69" s="27" t="n"/>
      <c r="B69" s="27" t="n"/>
      <c r="C69" s="27" t="n"/>
      <c r="D69" s="27" t="n"/>
      <c r="E69" s="27" t="n"/>
      <c r="F69" s="27" t="n"/>
      <c r="G69" s="27" t="n"/>
      <c r="H69" s="27" t="n"/>
    </row>
    <row r="70">
      <c r="A70" s="27" t="n"/>
      <c r="B70" s="27" t="n"/>
      <c r="C70" s="27" t="n"/>
      <c r="D70" s="27" t="n"/>
      <c r="E70" s="27" t="n"/>
      <c r="F70" s="27" t="n"/>
      <c r="G70" s="27" t="n"/>
      <c r="H70" s="27" t="n"/>
    </row>
    <row r="71">
      <c r="A71" s="27" t="n"/>
      <c r="B71" s="27" t="n"/>
      <c r="C71" s="27" t="n"/>
      <c r="D71" s="27" t="n"/>
      <c r="E71" s="27" t="n"/>
      <c r="F71" s="27" t="n"/>
      <c r="G71" s="27" t="n"/>
      <c r="H71" s="27" t="n"/>
    </row>
    <row r="72">
      <c r="A72" s="27" t="n"/>
      <c r="B72" s="27" t="n"/>
      <c r="C72" s="27" t="n"/>
      <c r="D72" s="27" t="n"/>
      <c r="E72" s="27" t="n"/>
      <c r="F72" s="27" t="n"/>
      <c r="G72" s="27" t="n"/>
      <c r="H72" s="27" t="n"/>
    </row>
    <row r="73">
      <c r="A73" s="27" t="n"/>
      <c r="B73" s="27" t="n"/>
      <c r="C73" s="27" t="n"/>
      <c r="D73" s="27" t="n"/>
      <c r="E73" s="27" t="n"/>
      <c r="F73" s="27" t="n"/>
      <c r="G73" s="27" t="n"/>
      <c r="H73" s="27" t="n"/>
    </row>
    <row r="74">
      <c r="A74" s="27" t="n"/>
      <c r="B74" s="27" t="n"/>
      <c r="C74" s="27" t="n"/>
      <c r="D74" s="27" t="n"/>
      <c r="E74" s="27" t="n"/>
      <c r="F74" s="27" t="n"/>
      <c r="G74" s="27" t="n"/>
      <c r="H74" s="27" t="n"/>
    </row>
    <row r="75">
      <c r="A75" s="27" t="n"/>
      <c r="B75" s="27" t="n"/>
      <c r="C75" s="27" t="n"/>
      <c r="D75" s="27" t="n"/>
      <c r="E75" s="27" t="n"/>
      <c r="F75" s="27" t="n"/>
      <c r="G75" s="27" t="n"/>
      <c r="H75" s="27" t="n"/>
    </row>
    <row r="76">
      <c r="A76" s="27" t="n"/>
      <c r="B76" s="27" t="n"/>
      <c r="C76" s="27" t="n"/>
      <c r="D76" s="27" t="n"/>
      <c r="E76" s="27" t="n"/>
      <c r="F76" s="27" t="n"/>
      <c r="G76" s="27" t="n"/>
      <c r="H76" s="27" t="n"/>
    </row>
    <row r="77">
      <c r="A77" s="27" t="n"/>
      <c r="B77" s="27" t="n"/>
      <c r="C77" s="27" t="n"/>
      <c r="D77" s="27" t="n"/>
      <c r="E77" s="27" t="n"/>
      <c r="F77" s="27" t="n"/>
      <c r="G77" s="27" t="n"/>
      <c r="H77" s="27" t="n"/>
    </row>
    <row r="78">
      <c r="A78" s="27" t="n"/>
      <c r="B78" s="27" t="n"/>
      <c r="C78" s="27" t="n"/>
      <c r="D78" s="27" t="n"/>
      <c r="E78" s="27" t="n"/>
      <c r="F78" s="27" t="n"/>
      <c r="G78" s="27" t="n"/>
      <c r="H78" s="27" t="n"/>
    </row>
    <row r="79">
      <c r="A79" s="27" t="n"/>
      <c r="B79" s="27" t="n"/>
      <c r="C79" s="27" t="n"/>
      <c r="D79" s="27" t="n"/>
      <c r="E79" s="27" t="n"/>
      <c r="F79" s="27" t="n"/>
      <c r="G79" s="27" t="n"/>
      <c r="H79" s="27" t="n"/>
    </row>
    <row r="80">
      <c r="A80" s="27" t="n"/>
      <c r="B80" s="27" t="n"/>
      <c r="C80" s="27" t="n"/>
      <c r="D80" s="27" t="n"/>
      <c r="E80" s="27" t="n"/>
      <c r="F80" s="27" t="n"/>
      <c r="G80" s="27" t="n"/>
      <c r="H80" s="27" t="n"/>
    </row>
    <row r="81">
      <c r="A81" s="27" t="n"/>
      <c r="B81" s="27" t="n"/>
      <c r="C81" s="27" t="n"/>
      <c r="D81" s="27" t="n"/>
      <c r="E81" s="27" t="n"/>
      <c r="F81" s="27" t="n"/>
      <c r="G81" s="27" t="n"/>
      <c r="H81" s="27" t="n"/>
    </row>
    <row r="82">
      <c r="A82" s="27" t="n"/>
      <c r="B82" s="27" t="n"/>
      <c r="C82" s="27" t="n"/>
      <c r="D82" s="27" t="n"/>
      <c r="E82" s="27" t="n"/>
      <c r="F82" s="27" t="n"/>
      <c r="G82" s="27" t="n"/>
      <c r="H82" s="27" t="n"/>
    </row>
    <row r="83">
      <c r="A83" s="27" t="n"/>
      <c r="B83" s="27" t="n"/>
      <c r="C83" s="27" t="n"/>
      <c r="D83" s="27" t="n"/>
      <c r="E83" s="27" t="n"/>
      <c r="F83" s="27" t="n"/>
      <c r="G83" s="27" t="n"/>
      <c r="H83" s="27" t="n"/>
    </row>
    <row r="84">
      <c r="A84" s="27" t="n"/>
      <c r="B84" s="27" t="n"/>
      <c r="C84" s="27" t="n"/>
      <c r="D84" s="27" t="n"/>
      <c r="E84" s="27" t="n"/>
      <c r="F84" s="27" t="n"/>
      <c r="G84" s="27" t="n"/>
      <c r="H84" s="27" t="n"/>
    </row>
    <row r="85">
      <c r="A85" s="27" t="n"/>
      <c r="B85" s="27" t="n"/>
      <c r="C85" s="27" t="n"/>
      <c r="D85" s="27" t="n"/>
      <c r="E85" s="27" t="n"/>
      <c r="F85" s="27" t="n"/>
      <c r="G85" s="27" t="n"/>
      <c r="H85" s="27" t="n"/>
    </row>
    <row r="86">
      <c r="A86" s="27" t="n"/>
      <c r="B86" s="27" t="n"/>
      <c r="C86" s="27" t="n"/>
      <c r="D86" s="27" t="n"/>
      <c r="E86" s="27" t="n"/>
      <c r="F86" s="27" t="n"/>
      <c r="G86" s="27" t="n"/>
      <c r="H86" s="27" t="n"/>
    </row>
    <row r="87">
      <c r="A87" s="27" t="n"/>
      <c r="B87" s="27" t="n"/>
      <c r="C87" s="27" t="n"/>
      <c r="D87" s="27" t="n"/>
      <c r="E87" s="27" t="n"/>
      <c r="F87" s="27" t="n"/>
      <c r="G87" s="27" t="n"/>
      <c r="H87" s="27" t="n"/>
    </row>
    <row r="88">
      <c r="A88" s="27" t="n"/>
      <c r="B88" s="27" t="n"/>
      <c r="C88" s="27" t="n"/>
      <c r="D88" s="27" t="n"/>
      <c r="E88" s="27" t="n"/>
      <c r="F88" s="27" t="n"/>
      <c r="G88" s="27" t="n"/>
      <c r="H88" s="27" t="n"/>
    </row>
    <row r="89">
      <c r="A89" s="27" t="n"/>
      <c r="B89" s="27" t="n"/>
      <c r="C89" s="27" t="n"/>
      <c r="D89" s="27" t="n"/>
      <c r="E89" s="27" t="n"/>
      <c r="F89" s="27" t="n"/>
      <c r="G89" s="27" t="n"/>
      <c r="H89" s="27" t="n"/>
    </row>
    <row r="90">
      <c r="A90" s="27" t="n"/>
      <c r="B90" s="27" t="n"/>
      <c r="C90" s="27" t="n"/>
      <c r="D90" s="27" t="n"/>
      <c r="E90" s="27" t="n"/>
      <c r="F90" s="27" t="n"/>
      <c r="G90" s="27" t="n"/>
      <c r="H90" s="27" t="n"/>
    </row>
    <row r="91">
      <c r="A91" s="27" t="n"/>
      <c r="B91" s="27" t="n"/>
      <c r="C91" s="27" t="n"/>
      <c r="D91" s="27" t="n"/>
      <c r="E91" s="27" t="n"/>
      <c r="F91" s="27" t="n"/>
      <c r="G91" s="27" t="n"/>
      <c r="H91" s="27" t="n"/>
    </row>
    <row r="92">
      <c r="A92" s="27" t="n"/>
      <c r="B92" s="27" t="n"/>
      <c r="C92" s="27" t="n"/>
      <c r="D92" s="27" t="n"/>
      <c r="E92" s="27" t="n"/>
      <c r="F92" s="27" t="n"/>
      <c r="G92" s="27" t="n"/>
      <c r="H92" s="27" t="n"/>
    </row>
    <row r="93">
      <c r="A93" s="27" t="n"/>
      <c r="B93" s="27" t="n"/>
      <c r="C93" s="27" t="n"/>
      <c r="D93" s="27" t="n"/>
      <c r="E93" s="27" t="n"/>
      <c r="F93" s="27" t="n"/>
      <c r="G93" s="27" t="n"/>
      <c r="H93" s="27" t="n"/>
    </row>
    <row r="94">
      <c r="A94" s="27" t="n"/>
      <c r="B94" s="27" t="n"/>
      <c r="C94" s="27" t="n"/>
      <c r="D94" s="27" t="n"/>
      <c r="E94" s="27" t="n"/>
      <c r="F94" s="27" t="n"/>
      <c r="G94" s="27" t="n"/>
      <c r="H94" s="27" t="n"/>
    </row>
    <row r="95">
      <c r="A95" s="27" t="n"/>
      <c r="B95" s="27" t="n"/>
      <c r="C95" s="27" t="n"/>
      <c r="D95" s="27" t="n"/>
      <c r="E95" s="27" t="n"/>
      <c r="F95" s="27" t="n"/>
      <c r="G95" s="27" t="n"/>
      <c r="H95" s="27" t="n"/>
    </row>
    <row r="96">
      <c r="A96" s="27" t="n"/>
      <c r="B96" s="27" t="n"/>
      <c r="C96" s="27" t="n"/>
      <c r="D96" s="27" t="n"/>
      <c r="E96" s="27" t="n"/>
      <c r="F96" s="27" t="n"/>
      <c r="G96" s="27" t="n"/>
      <c r="H96" s="27" t="n"/>
    </row>
    <row r="97">
      <c r="A97" s="27" t="n"/>
      <c r="B97" s="27" t="n"/>
      <c r="C97" s="27" t="n"/>
      <c r="D97" s="27" t="n"/>
      <c r="E97" s="27" t="n"/>
      <c r="F97" s="27" t="n"/>
      <c r="G97" s="27" t="n"/>
      <c r="H97" s="27" t="n"/>
    </row>
    <row r="98">
      <c r="A98" s="27" t="n"/>
      <c r="B98" s="27" t="n"/>
      <c r="C98" s="27" t="n"/>
      <c r="D98" s="27" t="n"/>
      <c r="E98" s="27" t="n"/>
      <c r="F98" s="27" t="n"/>
      <c r="G98" s="27" t="n"/>
      <c r="H98" s="27" t="n"/>
    </row>
    <row r="99">
      <c r="A99" s="27" t="n"/>
      <c r="B99" s="27" t="n"/>
      <c r="C99" s="27" t="n"/>
      <c r="D99" s="27" t="n"/>
      <c r="E99" s="27" t="n"/>
      <c r="F99" s="27" t="n"/>
      <c r="G99" s="27" t="n"/>
      <c r="H99" s="27" t="n"/>
    </row>
    <row r="100">
      <c r="A100" s="27" t="n"/>
      <c r="B100" s="27" t="n"/>
      <c r="C100" s="27" t="n"/>
      <c r="D100" s="27" t="n"/>
      <c r="E100" s="27" t="n"/>
      <c r="F100" s="27" t="n"/>
      <c r="G100" s="27" t="n"/>
      <c r="H100" s="27" t="n"/>
    </row>
    <row r="101">
      <c r="A101" s="27" t="n"/>
      <c r="B101" s="27" t="n"/>
      <c r="C101" s="27" t="n"/>
      <c r="D101" s="27" t="n"/>
      <c r="E101" s="27" t="n"/>
      <c r="F101" s="27" t="n"/>
      <c r="G101" s="27" t="n"/>
      <c r="H101" s="27" t="n"/>
    </row>
    <row r="102">
      <c r="A102" s="27" t="n"/>
      <c r="B102" s="27" t="n"/>
      <c r="C102" s="27" t="n"/>
      <c r="D102" s="27" t="n"/>
      <c r="E102" s="27" t="n"/>
      <c r="F102" s="27" t="n"/>
      <c r="G102" s="27" t="n"/>
      <c r="H102" s="27" t="n"/>
    </row>
    <row r="103">
      <c r="A103" s="27" t="n"/>
      <c r="B103" s="27" t="n"/>
      <c r="C103" s="27" t="n"/>
      <c r="D103" s="27" t="n"/>
      <c r="E103" s="27" t="n"/>
      <c r="F103" s="27" t="n"/>
      <c r="G103" s="27" t="n"/>
      <c r="H103" s="27" t="n"/>
    </row>
    <row r="104">
      <c r="A104" s="27" t="n"/>
      <c r="B104" s="27" t="n"/>
      <c r="C104" s="27" t="n"/>
      <c r="D104" s="27" t="n"/>
      <c r="E104" s="27" t="n"/>
      <c r="F104" s="27" t="n"/>
      <c r="G104" s="27" t="n"/>
      <c r="H104" s="27" t="n"/>
    </row>
    <row r="105">
      <c r="A105" s="27" t="n"/>
      <c r="B105" s="27" t="n"/>
      <c r="C105" s="27" t="n"/>
      <c r="D105" s="27" t="n"/>
      <c r="E105" s="27" t="n"/>
      <c r="F105" s="27" t="n"/>
      <c r="G105" s="27" t="n"/>
      <c r="H105" s="27" t="n"/>
    </row>
  </sheetData>
  <mergeCells count="2">
    <mergeCell ref="A2:H2"/>
    <mergeCell ref="A1:H1"/>
  </mergeCells>
  <dataValidations count="2">
    <dataValidation sqref="C6:C105" showDropDown="0" showInputMessage="0" showErrorMessage="0" allowBlank="1" type="list">
      <formula1>"Configuration file,Screenshot,Network scan,Documentation,Vendor spec,Certificate inventory,Audit log,Compliance report,Other"</formula1>
    </dataValidation>
    <dataValidation sqref="H6: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28" t="inlineStr">
        <is>
          <t>CHANNEL COVERAGE ASSESSMENT — SUMMARY DASHBOARD</t>
        </is>
      </c>
    </row>
    <row r="2">
      <c r="A2" s="29" t="inlineStr">
        <is>
          <t>ISO/IEC 27001:2022 — Control A.8.12: Data Leakage Prevention</t>
        </is>
      </c>
    </row>
    <row r="4">
      <c r="A4" s="30" t="inlineStr">
        <is>
          <t>TABLE 1 – COMPLIANCE ASSESSMENT SUMMARY</t>
        </is>
      </c>
    </row>
    <row r="5">
      <c r="A5" s="31" t="inlineStr">
        <is>
          <t>Assessment Area</t>
        </is>
      </c>
      <c r="B5" s="31" t="inlineStr">
        <is>
          <t>Total Items</t>
        </is>
      </c>
      <c r="C5" s="31" t="inlineStr">
        <is>
          <t>Compliant</t>
        </is>
      </c>
      <c r="D5" s="31" t="inlineStr">
        <is>
          <t>Partial</t>
        </is>
      </c>
      <c r="E5" s="31" t="inlineStr">
        <is>
          <t>Non-Compliant</t>
        </is>
      </c>
      <c r="F5" s="31" t="inlineStr">
        <is>
          <t>N/A</t>
        </is>
      </c>
      <c r="G5" s="31" t="inlineStr">
        <is>
          <t>Compliance %</t>
        </is>
      </c>
    </row>
    <row r="6">
      <c r="A6" s="32" t="inlineStr">
        <is>
          <t>Email Channel</t>
        </is>
      </c>
      <c r="B6" s="32">
        <f>C6+D6+E6+F6</f>
        <v/>
      </c>
      <c r="C6" s="32">
        <f>COUNTIF('Email Channel'!E7:E56,"Yes")</f>
        <v/>
      </c>
      <c r="D6" s="32">
        <f>COUNTIF('Email Channel'!E7:E56,"Partial")</f>
        <v/>
      </c>
      <c r="E6" s="32">
        <f>COUNTIF('Email Channel'!E7:E56,"No")</f>
        <v/>
      </c>
      <c r="F6" s="32">
        <f>COUNTIF('Email Channel'!E7:E56,"N/A")</f>
        <v/>
      </c>
      <c r="G6" s="33">
        <f>IF((B6-F6)=0,0,C6/(B6-F6))</f>
        <v/>
      </c>
    </row>
    <row r="7">
      <c r="A7" s="32" t="inlineStr">
        <is>
          <t>Web / Cloud Channel</t>
        </is>
      </c>
      <c r="B7" s="32">
        <f>C7+D7+E7+F7</f>
        <v/>
      </c>
      <c r="C7" s="32">
        <f>COUNTIF('Web Cloud Channel'!E7:E56,"Yes")</f>
        <v/>
      </c>
      <c r="D7" s="32">
        <f>COUNTIF('Web Cloud Channel'!E7:E56,"Partial")</f>
        <v/>
      </c>
      <c r="E7" s="32">
        <f>COUNTIF('Web Cloud Channel'!E7:E56,"No")</f>
        <v/>
      </c>
      <c r="F7" s="32">
        <f>COUNTIF('Web Cloud Channel'!E7:E56,"N/A")</f>
        <v/>
      </c>
      <c r="G7" s="33">
        <f>IF((B7-F7)=0,0,C7/(B7-F7))</f>
        <v/>
      </c>
    </row>
    <row r="8">
      <c r="A8" s="32" t="inlineStr">
        <is>
          <t>Endpoint Channel</t>
        </is>
      </c>
      <c r="B8" s="32">
        <f>C8+D8+E8+F8</f>
        <v/>
      </c>
      <c r="C8" s="32">
        <f>COUNTIF('Endpoint Channel'!C7:C56,"Yes")</f>
        <v/>
      </c>
      <c r="D8" s="32">
        <f>COUNTIF('Endpoint Channel'!C7:C56,"Partial")</f>
        <v/>
      </c>
      <c r="E8" s="32">
        <f>COUNTIF('Endpoint Channel'!C7:C56,"No")</f>
        <v/>
      </c>
      <c r="F8" s="32">
        <f>COUNTIF('Endpoint Channel'!C7:C56,"N/A")</f>
        <v/>
      </c>
      <c r="G8" s="33">
        <f>IF((B8-F8)=0,0,C8/(B8-F8))</f>
        <v/>
      </c>
    </row>
    <row r="9">
      <c r="A9" s="32" t="inlineStr">
        <is>
          <t>Network Channel</t>
        </is>
      </c>
      <c r="B9" s="32">
        <f>C9+D9+E9+F9</f>
        <v/>
      </c>
      <c r="C9" s="32">
        <f>COUNTIF('Network Channel'!E7:E56,"Yes")</f>
        <v/>
      </c>
      <c r="D9" s="32">
        <f>COUNTIF('Network Channel'!E7:E56,"Partial")</f>
        <v/>
      </c>
      <c r="E9" s="32">
        <f>COUNTIF('Network Channel'!E7:E56,"No")</f>
        <v/>
      </c>
      <c r="F9" s="32">
        <f>COUNTIF('Network Channel'!E7:E56,"N/A")</f>
        <v/>
      </c>
      <c r="G9" s="33">
        <f>IF((B9-F9)=0,0,C9/(B9-F9))</f>
        <v/>
      </c>
    </row>
    <row r="10">
      <c r="A10" s="32" t="inlineStr">
        <is>
          <t>Application Channel</t>
        </is>
      </c>
      <c r="B10" s="32">
        <f>C10+D10+E10+F10</f>
        <v/>
      </c>
      <c r="C10" s="32">
        <f>COUNTIF('Application Channel'!E7:E56,"Yes")</f>
        <v/>
      </c>
      <c r="D10" s="32">
        <f>COUNTIF('Application Channel'!E7:E56,"Partial")</f>
        <v/>
      </c>
      <c r="E10" s="32">
        <f>COUNTIF('Application Channel'!E7:E56,"No")</f>
        <v/>
      </c>
      <c r="F10" s="32">
        <f>COUNTIF('Application Channel'!E7:E56,"N/A")</f>
        <v/>
      </c>
      <c r="G10" s="33">
        <f>IF((B10-F10)=0,0,C10/(B10-F10))</f>
        <v/>
      </c>
    </row>
    <row r="11">
      <c r="A11" s="32" t="inlineStr">
        <is>
          <t>Mobile Channel</t>
        </is>
      </c>
      <c r="B11" s="32">
        <f>C11+D11+E11+F11</f>
        <v/>
      </c>
      <c r="C11" s="32">
        <f>COUNTIF('Mobile Channel'!D7:D56,"Yes")</f>
        <v/>
      </c>
      <c r="D11" s="32">
        <f>COUNTIF('Mobile Channel'!D7:D56,"Partial")</f>
        <v/>
      </c>
      <c r="E11" s="32">
        <f>COUNTIF('Mobile Channel'!D7:D56,"No")</f>
        <v/>
      </c>
      <c r="F11" s="32">
        <f>COUNTIF('Mobile Channel'!D7:D56,"N/A")</f>
        <v/>
      </c>
      <c r="G11" s="33">
        <f>IF((B11-F11)=0,0,C11/(B11-F11))</f>
        <v/>
      </c>
    </row>
    <row r="12">
      <c r="A12" s="32" t="inlineStr">
        <is>
          <t>Gap Analysis</t>
        </is>
      </c>
      <c r="B12" s="32">
        <f>C12+D12+E12+F12</f>
        <v/>
      </c>
      <c r="C12" s="32">
        <f>COUNTIF('Gap Analysis'!K7:K56,"Complete")</f>
        <v/>
      </c>
      <c r="D12" s="32">
        <f>COUNTIF('Gap Analysis'!K7:K56,"In Progress")</f>
        <v/>
      </c>
      <c r="E12" s="32">
        <f>COUNTIF('Gap Analysis'!K7:K56,"Not Started")+COUNTIF('Gap Analysis'!K7:K56,"Blocked")</f>
        <v/>
      </c>
      <c r="F12" s="32">
        <f>0</f>
        <v/>
      </c>
      <c r="G12" s="33">
        <f>IF((B12-F12)=0,0,C12/(B12-F12))</f>
        <v/>
      </c>
    </row>
    <row r="13">
      <c r="A13" s="34" t="inlineStr">
        <is>
          <t>TOTAL</t>
        </is>
      </c>
      <c r="B13" s="34">
        <f>SUM(B6:B12)</f>
        <v/>
      </c>
      <c r="C13" s="34">
        <f>SUM(C6:C12)</f>
        <v/>
      </c>
      <c r="D13" s="34">
        <f>SUM(D6:D12)</f>
        <v/>
      </c>
      <c r="E13" s="34">
        <f>SUM(E6:E12)</f>
        <v/>
      </c>
      <c r="F13" s="34">
        <f>SUM(F6:F12)</f>
        <v/>
      </c>
      <c r="G13" s="35">
        <f>IF((B13-F13)=0,0,C13/(B13-F13))</f>
        <v/>
      </c>
    </row>
    <row r="15">
      <c r="A15" s="30" t="inlineStr">
        <is>
          <t>TABLE 2 – KEY METRICS</t>
        </is>
      </c>
    </row>
    <row r="16">
      <c r="A16" s="31" t="inlineStr">
        <is>
          <t>Metric</t>
        </is>
      </c>
      <c r="B16" s="31" t="inlineStr">
        <is>
          <t>Value</t>
        </is>
      </c>
      <c r="C16" s="31" t="inlineStr">
        <is>
          <t>Target</t>
        </is>
      </c>
      <c r="D16" s="6" t="inlineStr"/>
      <c r="E16" s="6" t="inlineStr"/>
      <c r="F16" s="6" t="inlineStr"/>
      <c r="G16" s="6" t="inlineStr"/>
    </row>
    <row r="17">
      <c r="A17" s="36" t="inlineStr">
        <is>
          <t>Email Channel Coverage %</t>
        </is>
      </c>
      <c r="B17" s="36">
        <f>'Email Channel'!B57</f>
        <v/>
      </c>
      <c r="C17" s="36" t="inlineStr">
        <is>
          <t>≥95%</t>
        </is>
      </c>
      <c r="D17" s="6" t="n"/>
      <c r="E17" s="6" t="n"/>
      <c r="F17" s="6" t="n"/>
      <c r="G17" s="6" t="n"/>
    </row>
    <row r="18">
      <c r="A18" s="36" t="inlineStr">
        <is>
          <t>Web / Cloud Channel Coverage %</t>
        </is>
      </c>
      <c r="B18" s="36">
        <f>'Web Cloud Channel'!B57</f>
        <v/>
      </c>
      <c r="C18" s="36" t="inlineStr">
        <is>
          <t>≥90%</t>
        </is>
      </c>
      <c r="D18" s="6" t="n"/>
      <c r="E18" s="6" t="n"/>
      <c r="F18" s="6" t="n"/>
      <c r="G18" s="6" t="n"/>
    </row>
    <row r="19">
      <c r="A19" s="36" t="inlineStr">
        <is>
          <t>Endpoint Channel Coverage %</t>
        </is>
      </c>
      <c r="B19" s="36">
        <f>'Endpoint Channel'!L57</f>
        <v/>
      </c>
      <c r="C19" s="36" t="inlineStr">
        <is>
          <t>≥95%</t>
        </is>
      </c>
      <c r="D19" s="6" t="n"/>
      <c r="E19" s="6" t="n"/>
      <c r="F19" s="6" t="n"/>
      <c r="G19" s="6" t="n"/>
    </row>
    <row r="20">
      <c r="A20" s="36" t="inlineStr">
        <is>
          <t>Network Channel Coverage %</t>
        </is>
      </c>
      <c r="B20" s="36">
        <f>'Network Channel'!E57</f>
        <v/>
      </c>
      <c r="C20" s="36" t="inlineStr">
        <is>
          <t>≥75%</t>
        </is>
      </c>
      <c r="D20" s="6" t="n"/>
      <c r="E20" s="6" t="n"/>
      <c r="F20" s="6" t="n"/>
      <c r="G20" s="6" t="n"/>
    </row>
    <row r="21">
      <c r="A21" s="36" t="inlineStr">
        <is>
          <t>Mobile Channel Coverage %</t>
        </is>
      </c>
      <c r="B21" s="36">
        <f>'Mobile Channel'!L57</f>
        <v/>
      </c>
      <c r="C21" s="36" t="inlineStr">
        <is>
          <t>≥90%</t>
        </is>
      </c>
      <c r="D21" s="6" t="n"/>
      <c r="E21" s="6" t="n"/>
      <c r="F21" s="6" t="n"/>
      <c r="G21" s="6" t="n"/>
    </row>
    <row r="22">
      <c r="A22" s="36" t="inlineStr">
        <is>
          <t>Open Critical/High Gaps</t>
        </is>
      </c>
      <c r="B22" s="36">
        <f>COUNTIFS('Gap Analysis'!D7:D56,"Critical",'Gap Analysis'!K7:K56,"Not Started")+COUNTIFS('Gap Analysis'!D7:D56,"High",'Gap Analysis'!K7:K56,"Not Started")</f>
        <v/>
      </c>
      <c r="C22" s="36" t="inlineStr">
        <is>
          <t>0</t>
        </is>
      </c>
      <c r="D22" s="6" t="n"/>
      <c r="E22" s="6" t="n"/>
      <c r="F22" s="6" t="n"/>
      <c r="G22" s="6" t="n"/>
    </row>
    <row r="24">
      <c r="A24" s="37" t="inlineStr">
        <is>
          <t>TABLE 3 – KEY FINDINGS &amp; RECOMMENDATIONS</t>
        </is>
      </c>
    </row>
    <row r="25">
      <c r="A25" s="31" t="inlineStr">
        <is>
          <t>#</t>
        </is>
      </c>
      <c r="B25" s="31" t="inlineStr">
        <is>
          <t>Finding</t>
        </is>
      </c>
      <c r="C25" s="31" t="inlineStr">
        <is>
          <t>Impact</t>
        </is>
      </c>
      <c r="D25" s="31" t="inlineStr">
        <is>
          <t>Recommendation</t>
        </is>
      </c>
      <c r="E25" s="31" t="inlineStr">
        <is>
          <t>Priority</t>
        </is>
      </c>
      <c r="F25" s="31" t="inlineStr">
        <is>
          <t>Status</t>
        </is>
      </c>
      <c r="G25" s="31" t="inlineStr"/>
    </row>
    <row r="26">
      <c r="A26" s="38" t="inlineStr">
        <is>
          <t>1</t>
        </is>
      </c>
      <c r="B26" s="27" t="n"/>
      <c r="C26" s="27" t="n"/>
      <c r="D26" s="27" t="n"/>
      <c r="E26" s="27" t="n"/>
      <c r="F26" s="27" t="n"/>
      <c r="G26" s="27" t="n"/>
    </row>
    <row r="27">
      <c r="A27" s="38" t="inlineStr">
        <is>
          <t>2</t>
        </is>
      </c>
      <c r="B27" s="27" t="n"/>
      <c r="C27" s="27" t="n"/>
      <c r="D27" s="27" t="n"/>
      <c r="E27" s="27" t="n"/>
      <c r="F27" s="27" t="n"/>
      <c r="G27" s="27" t="n"/>
    </row>
    <row r="28">
      <c r="A28" s="38" t="inlineStr">
        <is>
          <t>3</t>
        </is>
      </c>
      <c r="B28" s="27" t="n"/>
      <c r="C28" s="27" t="n"/>
      <c r="D28" s="27" t="n"/>
      <c r="E28" s="27" t="n"/>
      <c r="F28" s="27" t="n"/>
      <c r="G28" s="27" t="n"/>
    </row>
    <row r="29">
      <c r="A29" s="38" t="inlineStr">
        <is>
          <t>4</t>
        </is>
      </c>
      <c r="B29" s="27" t="n"/>
      <c r="C29" s="27" t="n"/>
      <c r="D29" s="27" t="n"/>
      <c r="E29" s="27" t="n"/>
      <c r="F29" s="27" t="n"/>
      <c r="G29" s="27" t="n"/>
    </row>
    <row r="30">
      <c r="A30" s="38" t="inlineStr">
        <is>
          <t>5</t>
        </is>
      </c>
      <c r="B30" s="27" t="n"/>
      <c r="C30" s="27" t="n"/>
      <c r="D30" s="27" t="n"/>
      <c r="E30" s="27" t="n"/>
      <c r="F30" s="27" t="n"/>
      <c r="G30" s="27" t="n"/>
    </row>
  </sheetData>
  <mergeCells count="5">
    <mergeCell ref="A1:G1"/>
    <mergeCell ref="A4:G4"/>
    <mergeCell ref="A24:G24"/>
    <mergeCell ref="A2:G2"/>
    <mergeCell ref="A15:G1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3" t="inlineStr">
        <is>
          <t>ASSESSMENT APPROVAL AND SIGN-OFF</t>
        </is>
      </c>
      <c r="B1" s="6" t="n"/>
      <c r="C1" s="6" t="n"/>
      <c r="D1" s="6" t="n"/>
      <c r="E1" s="6" t="n"/>
    </row>
    <row r="2">
      <c r="A2" s="39" t="inlineStr">
        <is>
          <t>ISO/IEC 27001:2022 — Control A.8.12: Channel Coverage Assessment</t>
        </is>
      </c>
      <c r="B2" s="6" t="n"/>
      <c r="C2" s="6" t="n"/>
      <c r="D2" s="6" t="n"/>
      <c r="E2" s="6" t="n"/>
    </row>
    <row r="3">
      <c r="A3" s="40" t="inlineStr">
        <is>
          <t>ASSESSMENT SUMMARY</t>
        </is>
      </c>
      <c r="B3" s="6" t="n"/>
      <c r="C3" s="6" t="n"/>
      <c r="D3" s="6" t="n"/>
      <c r="E3" s="6" t="n"/>
    </row>
    <row r="4">
      <c r="A4" s="3" t="inlineStr">
        <is>
          <t>Document:</t>
        </is>
      </c>
      <c r="B4" s="6" t="inlineStr">
        <is>
          <t>ISMS-IMP-A.8.12.3 - Channel Coverage Assessment</t>
        </is>
      </c>
      <c r="C4" s="6" t="n"/>
      <c r="D4" s="6" t="n"/>
      <c r="E4" s="6" t="n"/>
    </row>
    <row r="5">
      <c r="A5" s="3" t="inlineStr">
        <is>
          <t>Assessment Period:</t>
        </is>
      </c>
      <c r="B5" s="27" t="inlineStr"/>
      <c r="C5" s="6" t="n"/>
      <c r="D5" s="6" t="n"/>
      <c r="E5" s="6" t="n"/>
    </row>
    <row r="6">
      <c r="A6" s="3" t="inlineStr">
        <is>
          <t>Overall Compliance:</t>
        </is>
      </c>
      <c r="B6" s="41">
        <f>IFERROR(AVERAGE('Summary Dashboard'!G6:G12),"")</f>
        <v/>
      </c>
      <c r="C6" s="6" t="n"/>
      <c r="D6" s="6" t="n"/>
      <c r="E6" s="6" t="n"/>
    </row>
    <row r="7">
      <c r="A7" s="3" t="inlineStr">
        <is>
          <t>Assessment Status:</t>
        </is>
      </c>
      <c r="B7" s="27" t="inlineStr"/>
      <c r="C7" s="6" t="n"/>
      <c r="D7" s="6" t="n"/>
      <c r="E7" s="6" t="n"/>
    </row>
    <row r="8">
      <c r="A8" s="3" t="inlineStr">
        <is>
          <t>Assessed By:</t>
        </is>
      </c>
      <c r="B8" s="27" t="inlineStr"/>
      <c r="C8" s="6" t="n"/>
      <c r="D8" s="6" t="n"/>
      <c r="E8" s="6" t="n"/>
    </row>
    <row r="11">
      <c r="A11" s="40" t="inlineStr">
        <is>
          <t>COMPLETED BY (ASSESSOR)</t>
        </is>
      </c>
      <c r="B11" s="6" t="n"/>
      <c r="C11" s="6" t="n"/>
      <c r="D11" s="6" t="n"/>
      <c r="E11" s="6" t="n"/>
    </row>
    <row r="12">
      <c r="A12" s="3" t="inlineStr">
        <is>
          <t>Name:</t>
        </is>
      </c>
      <c r="B12" s="27" t="n"/>
      <c r="C12" s="6" t="n"/>
      <c r="D12" s="6" t="n"/>
      <c r="E12" s="6" t="n"/>
    </row>
    <row r="13">
      <c r="A13" s="3" t="inlineStr">
        <is>
          <t>Title:</t>
        </is>
      </c>
      <c r="B13" s="27" t="n"/>
      <c r="C13" s="6" t="n"/>
      <c r="D13" s="6" t="n"/>
      <c r="E13" s="6" t="n"/>
    </row>
    <row r="14">
      <c r="A14" s="3" t="inlineStr">
        <is>
          <t>Date:</t>
        </is>
      </c>
      <c r="B14" s="27" t="n"/>
      <c r="C14" s="6" t="n"/>
      <c r="D14" s="6" t="n"/>
      <c r="E14" s="6" t="n"/>
    </row>
    <row r="15">
      <c r="A15" s="3" t="inlineStr">
        <is>
          <t>Signature:</t>
        </is>
      </c>
      <c r="B15" s="27" t="n"/>
      <c r="C15" s="6" t="n"/>
      <c r="D15" s="6" t="n"/>
      <c r="E15" s="6" t="n"/>
    </row>
    <row r="16">
      <c r="A16" s="3" t="inlineStr">
        <is>
          <t>Comments:</t>
        </is>
      </c>
      <c r="B16" s="27" t="n"/>
      <c r="C16" s="6" t="n"/>
      <c r="D16" s="6" t="n"/>
      <c r="E16" s="6" t="n"/>
    </row>
    <row r="18">
      <c r="A18" s="40" t="inlineStr">
        <is>
          <t>REVIEWED BY (ISO)</t>
        </is>
      </c>
      <c r="B18" s="6" t="n"/>
      <c r="C18" s="6" t="n"/>
      <c r="D18" s="6" t="n"/>
      <c r="E18" s="6" t="n"/>
    </row>
    <row r="19">
      <c r="A19" s="3" t="inlineStr">
        <is>
          <t>Name:</t>
        </is>
      </c>
      <c r="B19" s="27" t="n"/>
      <c r="C19" s="6" t="n"/>
      <c r="D19" s="6" t="n"/>
      <c r="E19" s="6" t="n"/>
    </row>
    <row r="20">
      <c r="A20" s="3" t="inlineStr">
        <is>
          <t>Title:</t>
        </is>
      </c>
      <c r="B20" s="27" t="n"/>
      <c r="C20" s="6" t="n"/>
      <c r="D20" s="6" t="n"/>
      <c r="E20" s="6" t="n"/>
    </row>
    <row r="21">
      <c r="A21" s="3" t="inlineStr">
        <is>
          <t>Date:</t>
        </is>
      </c>
      <c r="B21" s="27" t="n"/>
      <c r="C21" s="6" t="n"/>
      <c r="D21" s="6" t="n"/>
      <c r="E21" s="6" t="n"/>
    </row>
    <row r="22">
      <c r="A22" s="3" t="inlineStr">
        <is>
          <t>Signature:</t>
        </is>
      </c>
      <c r="B22" s="27" t="n"/>
      <c r="C22" s="6" t="n"/>
      <c r="D22" s="6" t="n"/>
      <c r="E22" s="6" t="n"/>
    </row>
    <row r="23">
      <c r="A23" s="3" t="inlineStr">
        <is>
          <t>Comments:</t>
        </is>
      </c>
      <c r="B23" s="27" t="n"/>
      <c r="C23" s="6" t="n"/>
      <c r="D23" s="6" t="n"/>
      <c r="E23" s="6" t="n"/>
    </row>
    <row r="25">
      <c r="A25" s="42" t="inlineStr">
        <is>
          <t>APPROVED BY (CISO)</t>
        </is>
      </c>
      <c r="B25" s="6" t="n"/>
      <c r="C25" s="6" t="n"/>
      <c r="D25" s="6" t="n"/>
      <c r="E25" s="6" t="n"/>
    </row>
    <row r="26">
      <c r="A26" s="3" t="inlineStr">
        <is>
          <t>Name:</t>
        </is>
      </c>
      <c r="B26" s="27" t="n"/>
      <c r="C26" s="6" t="n"/>
      <c r="D26" s="6" t="n"/>
      <c r="E26" s="6" t="n"/>
    </row>
    <row r="27">
      <c r="A27" s="3" t="inlineStr">
        <is>
          <t>Title:</t>
        </is>
      </c>
      <c r="B27" s="27" t="n"/>
      <c r="C27" s="6" t="n"/>
      <c r="D27" s="6" t="n"/>
      <c r="E27" s="6" t="n"/>
    </row>
    <row r="28">
      <c r="A28" s="3" t="inlineStr">
        <is>
          <t>Date:</t>
        </is>
      </c>
      <c r="B28" s="27" t="n"/>
      <c r="C28" s="6" t="n"/>
      <c r="D28" s="6" t="n"/>
      <c r="E28" s="6" t="n"/>
    </row>
    <row r="29">
      <c r="A29" s="3" t="inlineStr">
        <is>
          <t>Signature:</t>
        </is>
      </c>
      <c r="B29" s="27" t="n"/>
      <c r="C29" s="6" t="n"/>
      <c r="D29" s="6" t="n"/>
      <c r="E29" s="6" t="n"/>
    </row>
    <row r="30">
      <c r="A30" s="3" t="inlineStr">
        <is>
          <t>Comments:</t>
        </is>
      </c>
      <c r="B30" s="27" t="n"/>
      <c r="C30" s="6" t="n"/>
      <c r="D30" s="6" t="n"/>
      <c r="E30" s="6" t="n"/>
    </row>
    <row r="32">
      <c r="A32" s="3" t="inlineStr">
        <is>
          <t>FINAL DECISION:</t>
        </is>
      </c>
      <c r="B32" s="27" t="n"/>
      <c r="C32" s="6" t="n"/>
      <c r="D32" s="6" t="n"/>
      <c r="E32" s="6" t="n"/>
    </row>
    <row r="35">
      <c r="A35" s="40" t="inlineStr">
        <is>
          <t>NEXT REVIEW DETAILS</t>
        </is>
      </c>
      <c r="B35" s="6" t="n"/>
      <c r="C35" s="6" t="n"/>
      <c r="D35" s="6" t="n"/>
      <c r="E35" s="6" t="n"/>
    </row>
    <row r="36">
      <c r="A36" s="3" t="inlineStr">
        <is>
          <t>Next Review Date:</t>
        </is>
      </c>
      <c r="B36" s="27" t="n"/>
      <c r="C36" s="6" t="n"/>
      <c r="D36" s="6" t="n"/>
      <c r="E36" s="6" t="n"/>
    </row>
    <row r="37">
      <c r="A37" s="3" t="inlineStr">
        <is>
          <t>Review Responsible:</t>
        </is>
      </c>
      <c r="B37" s="27" t="n"/>
      <c r="C37" s="6" t="n"/>
      <c r="D37" s="6" t="n"/>
      <c r="E37" s="6" t="n"/>
    </row>
    <row r="38">
      <c r="A38" s="3" t="inlineStr">
        <is>
          <t>Special Considerations:</t>
        </is>
      </c>
      <c r="B38" s="2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ISMS-IMP-A.8.12.3 — Channel Coverage Assessment</dc:title>
  <dc:description xmlns:dc="http://purl.org/dc/elements/1.1/">ISMS Implementation Workbook — ISMS-IMP-A.8.12.3</dc:description>
  <dc:subject xmlns:dc="http://purl.org/dc/elements/1.1/">ISO/IEC 27001:2022 — Control A.8.12: Data Leakage Prevention</dc:subject>
  <dcterms:created xmlns:dcterms="http://purl.org/dc/terms/" xmlns:xsi="http://www.w3.org/2001/XMLSchema-instance" xsi:type="dcterms:W3CDTF">2026-03-10T18:49:19Z</dcterms:created>
  <dcterms:modified xmlns:dcterms="http://purl.org/dc/terms/" xmlns:xsi="http://www.w3.org/2001/XMLSchema-instance" xsi:type="dcterms:W3CDTF">2026-03-10T18:49:19Z</dcterms:modified>
</cp:coreProperties>
</file>