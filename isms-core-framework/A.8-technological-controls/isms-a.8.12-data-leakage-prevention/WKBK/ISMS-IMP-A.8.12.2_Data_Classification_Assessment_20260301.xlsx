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lassification Schema" sheetId="2" state="visible" r:id="rId2"/>
    <sheet xmlns:r="http://schemas.openxmlformats.org/officeDocument/2006/relationships" name="Sensitive Data Inventory" sheetId="3" state="visible" r:id="rId3"/>
    <sheet xmlns:r="http://schemas.openxmlformats.org/officeDocument/2006/relationships" name="Data Location Mapping" sheetId="4" state="visible" r:id="rId4"/>
    <sheet xmlns:r="http://schemas.openxmlformats.org/officeDocument/2006/relationships" name="Data Owner Assignment" sheetId="5" state="visible" r:id="rId5"/>
    <sheet xmlns:r="http://schemas.openxmlformats.org/officeDocument/2006/relationships" name="Regulatory Mapping" sheetId="6" state="visible" r:id="rId6"/>
    <sheet xmlns:r="http://schemas.openxmlformats.org/officeDocument/2006/relationships" name="Labelling Methods" sheetId="7" state="visible" r:id="rId7"/>
    <sheet xmlns:r="http://schemas.openxmlformats.org/officeDocument/2006/relationships" name="Discovery Resul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b val="1"/>
    </font>
    <font>
      <name val="Calibri"/>
      <i val="1"/>
      <sz val="10"/>
    </font>
    <font>
      <name val="Calibri"/>
      <b val="1"/>
      <color rgb="00FFFFFF"/>
      <sz val="10"/>
    </font>
    <font>
      <name val="Calibri"/>
      <i val="1"/>
      <color rgb="00003366"/>
      <sz val="10"/>
    </font>
    <font>
      <name val="Calibri"/>
      <b val="1"/>
      <color rgb="00FFFFFF"/>
      <sz val="11"/>
    </font>
    <font>
      <name val="Calibri"/>
      <color rgb="00000000"/>
      <sz val="10"/>
    </font>
    <font>
      <name val="Calibri"/>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7" fillId="11" borderId="1" pivotButton="0" quotePrefix="0" xfId="0"/>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1" fillId="8"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10" fillId="0" borderId="0" applyAlignment="1" pivotButton="0" quotePrefix="0" xfId="0">
      <alignment horizontal="left" vertical="center"/>
    </xf>
    <xf numFmtId="0" fontId="11" fillId="8" borderId="1" applyAlignment="1" pivotButton="0" quotePrefix="0" xfId="0">
      <alignment horizontal="left" vertical="center"/>
    </xf>
    <xf numFmtId="0" fontId="12" fillId="0" borderId="1" pivotButton="0" quotePrefix="0" xfId="0"/>
    <xf numFmtId="164" fontId="12" fillId="0" borderId="1" pivotButton="0" quotePrefix="0" xfId="0"/>
    <xf numFmtId="0" fontId="4" fillId="10" borderId="1" pivotButton="0" quotePrefix="0" xfId="0"/>
    <xf numFmtId="164" fontId="4" fillId="10" borderId="1" pivotButton="0" quotePrefix="0" xfId="0"/>
    <xf numFmtId="0" fontId="0" fillId="0" borderId="1" applyAlignment="1" pivotButton="0" quotePrefix="0" xfId="0">
      <alignment horizontal="center" vertical="center" wrapText="1"/>
    </xf>
    <xf numFmtId="0" fontId="13" fillId="0" borderId="1" pivotButton="0" quotePrefix="0" xfId="0"/>
    <xf numFmtId="0" fontId="11" fillId="13" borderId="1" applyAlignment="1" pivotButton="0" quotePrefix="0" xfId="0">
      <alignment horizontal="left" vertical="center"/>
    </xf>
    <xf numFmtId="0" fontId="13" fillId="12" borderId="1" pivotButton="0" quotePrefix="0" xfId="0"/>
    <xf numFmtId="0" fontId="10" fillId="0" borderId="1" applyAlignment="1" pivotButton="0" quotePrefix="0" xfId="0">
      <alignment horizontal="center" vertical="center"/>
    </xf>
    <xf numFmtId="0" fontId="11" fillId="9" borderId="1" applyAlignment="1" pivotButton="0" quotePrefix="0" xfId="0">
      <alignment horizontal="center" vertical="center"/>
    </xf>
    <xf numFmtId="0" fontId="7" fillId="0" borderId="1" pivotButton="0" quotePrefix="0" xfId="0"/>
    <xf numFmtId="0" fontId="11"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ISMS-IMP-A.8.12.2  -  Data Classification Assessment
ISO/IEC 27001:2022 - Control A.8.12: Data Leakage Prevention</t>
        </is>
      </c>
    </row>
    <row r="3">
      <c r="A3" s="2" t="inlineStr">
        <is>
          <t>Document Information</t>
        </is>
      </c>
    </row>
    <row r="4">
      <c r="A4" s="3" t="inlineStr">
        <is>
          <t>Document ID</t>
        </is>
      </c>
      <c r="B4" t="inlineStr">
        <is>
          <t>ISMS-IMP-A.8.12.2</t>
        </is>
      </c>
    </row>
    <row r="5">
      <c r="A5" s="3" t="inlineStr">
        <is>
          <t>Workbook Title</t>
        </is>
      </c>
      <c r="B5" t="inlineStr">
        <is>
          <t>Data Classification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t>
        </is>
      </c>
    </row>
    <row r="14">
      <c r="A14" t="inlineStr">
        <is>
          <t>2. Fill all yellow-highlighted cells with your organisation's information.</t>
        </is>
      </c>
    </row>
    <row r="15">
      <c r="A15" t="inlineStr">
        <is>
          <t>3. Use dropdown menus where provided.</t>
        </is>
      </c>
    </row>
    <row r="16">
      <c r="A16" t="inlineStr">
        <is>
          <t>4. Document your data classification schema (minimum 4 levels).</t>
        </is>
      </c>
    </row>
    <row r="17">
      <c r="A17" t="inlineStr">
        <is>
          <t>5. Inventory all sensitive data categories.</t>
        </is>
      </c>
    </row>
    <row r="18">
      <c r="A18" t="inlineStr">
        <is>
          <t>6. Map data to storage locations and assign data owners.</t>
        </is>
      </c>
    </row>
    <row r="19">
      <c r="A19" t="inlineStr">
        <is>
          <t>7. Map data categories to regulatory requirements.</t>
        </is>
      </c>
    </row>
    <row r="20">
      <c r="A20" t="inlineStr">
        <is>
          <t>8. Maintain the Evidence Register for audit traceability.</t>
        </is>
      </c>
    </row>
    <row r="21">
      <c r="A21" t="inlineStr">
        <is>
          <t>9.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40" customWidth="1" min="3" max="3"/>
    <col width="35" customWidth="1" min="4" max="4"/>
    <col width="30" customWidth="1" min="5" max="5"/>
    <col width="18" customWidth="1" min="6" max="6"/>
    <col width="18" customWidth="1" min="7" max="7"/>
    <col width="18" customWidth="1" min="8" max="8"/>
    <col width="25" customWidth="1" min="9" max="9"/>
    <col width="18" customWidth="1" min="10" max="10"/>
  </cols>
  <sheetData>
    <row r="1" ht="35" customHeight="1">
      <c r="A1" s="11" t="inlineStr">
        <is>
          <t>DATA CLASSIFICATION SCHEMA</t>
        </is>
      </c>
    </row>
    <row r="2">
      <c r="A2" s="12" t="inlineStr">
        <is>
          <t>Document your organisational data classification levels and handling requirements</t>
        </is>
      </c>
    </row>
    <row r="4">
      <c r="A4" s="13" t="inlineStr">
        <is>
          <t>Classification Level</t>
        </is>
      </c>
      <c r="B4" s="13" t="inlineStr">
        <is>
          <t>Definition</t>
        </is>
      </c>
      <c r="C4" s="13" t="inlineStr">
        <is>
          <t>Examples</t>
        </is>
      </c>
      <c r="D4" s="13" t="inlineStr">
        <is>
          <t>Handling Requirements</t>
        </is>
      </c>
      <c r="E4" s="13" t="inlineStr">
        <is>
          <t>Access Controls</t>
        </is>
      </c>
      <c r="F4" s="13" t="inlineStr">
        <is>
          <t>Encryption Required</t>
        </is>
      </c>
      <c r="G4" s="13" t="inlineStr">
        <is>
          <t>DLP Monitoring</t>
        </is>
      </c>
      <c r="H4" s="13" t="inlineStr">
        <is>
          <t>Retention Period</t>
        </is>
      </c>
      <c r="I4" s="13" t="inlineStr">
        <is>
          <t>Disposal Method</t>
        </is>
      </c>
      <c r="J4" s="13" t="inlineStr">
        <is>
          <t>Evidence ID</t>
        </is>
      </c>
    </row>
    <row r="5">
      <c r="A5" s="14" t="inlineStr">
        <is>
          <t>Public</t>
        </is>
      </c>
      <c r="B5" s="15" t="inlineStr">
        <is>
          <t>[Define what Public means for your organisation]</t>
        </is>
      </c>
      <c r="C5" s="15" t="inlineStr">
        <is>
          <t>[Examples: Press releases, marketing materials, public website]</t>
        </is>
      </c>
      <c r="D5" s="15" t="inlineStr">
        <is>
          <t>[Handling: Can be shared externally]</t>
        </is>
      </c>
      <c r="E5" s="15" t="inlineStr">
        <is>
          <t>[Access: No restrictions]</t>
        </is>
      </c>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sheetData>
  <mergeCells count="2">
    <mergeCell ref="A1:J1"/>
    <mergeCell ref="A2:J2"/>
  </mergeCells>
  <dataValidations count="2">
    <dataValidation sqref="G6 G7 G8 G9 G10 G11 G12 G13 G14 G15 G16 G17 G18 G19 G20 G21 G22 G23 G24 G25 G26 G27 G28 G29 G30 G31 G32 G33 G34 G35 G36 G37 G38 G39 G40 G41 G42 G43 G44 G45 G46 G47 G48 G49 G50 G51 G52 G53 G54 G55" showDropDown="1" showInputMessage="0" showErrorMessage="1" allowBlank="0" errorTitle="Invalid Entry" error="Invalid value. Select from dropdown." type="list">
      <formula1>"Yes,No,Partial,Planned,N/A"</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35" customWidth="1" min="5" max="5"/>
    <col width="25" customWidth="1" min="6" max="6"/>
    <col width="25" customWidth="1" min="7" max="7"/>
    <col width="18" customWidth="1" min="8" max="8"/>
    <col width="18" customWidth="1" min="9" max="9"/>
    <col width="18" customWidth="1" min="10" max="10"/>
    <col width="18" customWidth="1" min="11" max="11"/>
  </cols>
  <sheetData>
    <row r="1" ht="35" customHeight="1">
      <c r="A1" s="11" t="inlineStr">
        <is>
          <t>SENSITIVE DATA INVENTORY</t>
        </is>
      </c>
    </row>
    <row r="2">
      <c r="A2" s="12" t="inlineStr">
        <is>
          <t>Inventory ALL sensitive data categories requiring DLP protection</t>
        </is>
      </c>
    </row>
    <row r="4">
      <c r="A4" s="13" t="inlineStr">
        <is>
          <t>Data Category</t>
        </is>
      </c>
      <c r="B4" s="13" t="inlineStr">
        <is>
          <t>Data Type</t>
        </is>
      </c>
      <c r="C4" s="13" t="inlineStr">
        <is>
          <t>Classification Level</t>
        </is>
      </c>
      <c r="D4" s="13" t="inlineStr">
        <is>
          <t>Regulatory Requirement</t>
        </is>
      </c>
      <c r="E4" s="13" t="inlineStr">
        <is>
          <t>Data Examples</t>
        </is>
      </c>
      <c r="F4" s="13" t="inlineStr">
        <is>
          <t>Business Owner</t>
        </is>
      </c>
      <c r="G4" s="13" t="inlineStr">
        <is>
          <t>Data Steward</t>
        </is>
      </c>
      <c r="H4" s="13" t="inlineStr">
        <is>
          <t>Estimated Volume</t>
        </is>
      </c>
      <c r="I4" s="13" t="inlineStr">
        <is>
          <t>Discovery Status</t>
        </is>
      </c>
      <c r="J4" s="13" t="inlineStr">
        <is>
          <t>DLP Protection</t>
        </is>
      </c>
      <c r="K4" s="13" t="inlineStr">
        <is>
          <t>Evidence ID</t>
        </is>
      </c>
    </row>
    <row r="5">
      <c r="A5" s="15" t="inlineStr">
        <is>
          <t>Personal Names</t>
        </is>
      </c>
      <c r="B5" s="15" t="inlineStr">
        <is>
          <t>PII</t>
        </is>
      </c>
      <c r="C5" s="15" t="inlineStr">
        <is>
          <t>Confidential</t>
        </is>
      </c>
      <c r="D5" s="15" t="inlineStr">
        <is>
          <t>FADP/GDPR</t>
        </is>
      </c>
      <c r="E5" s="15" t="inlineStr">
        <is>
          <t>First name, last name, full name</t>
        </is>
      </c>
      <c r="F5" s="15" t="inlineStr">
        <is>
          <t>[Owner]</t>
        </is>
      </c>
      <c r="G5" s="15" t="inlineStr">
        <is>
          <t>[Steward]</t>
        </is>
      </c>
      <c r="H5" s="15" t="inlineStr">
        <is>
          <t>[Volume]</t>
        </is>
      </c>
      <c r="I5" s="15" t="inlineStr">
        <is>
          <t>Discovered</t>
        </is>
      </c>
      <c r="J5" s="15" t="inlineStr">
        <is>
          <t>Yes</t>
        </is>
      </c>
      <c r="K5" s="15" t="inlineStr">
        <is>
          <t>A812-2-INV-001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5">
    <dataValidation sqref="J6 J7 J8 J9 J10 J11 J12 J13 J14 J15 J16 J17 J18 J19 J20 J21 J22 J23 J24 J25 J26 J27 J28 J29 J30 J31 J32 J33 J34 J35 J36 J37 J38 J39 J40 J41 J42 J43 J44 J45 J46 J47 J48 J49 J50 J51 J52 J53 J54 J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"Public,Internal,Confidential,Restricted"</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"PII,Financial,IP,Credentials,Business Confidential,Other"</formula1>
    </dataValidation>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"FADP,GDPR,PCI-DSS,FADP/GDPR,Multiple,None"</formula1>
    </dataValidation>
    <dataValidation sqref="I6 I7 I8 I9 I10 I11 I12 I13 I14 I15 I16 I17 I18 I19 I20 I21 I22 I23 I24 I25 I26 I27 I28 I29 I30 I31 I32 I33 I34 I35 I36 I37 I38 I39 I40 I41 I42 I43 I44 I45 I46 I47 I48 I49 I50 I51 I52 I53 I54 I55" showDropDown="1" showInputMessage="0" showErrorMessage="0" allowBlank="0" type="list">
      <formula1>"Discovered,In Progress,Not Started"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30" customWidth="1" min="3" max="3"/>
    <col width="35" customWidth="1" min="4" max="4"/>
    <col width="18" customWidth="1" min="5" max="5"/>
    <col width="15" customWidth="1" min="6" max="6"/>
    <col width="18" customWidth="1" min="7" max="7"/>
    <col width="18" customWidth="1" min="8" max="8"/>
    <col width="18" customWidth="1" min="9" max="9"/>
    <col width="18" customWidth="1" min="10" max="10"/>
    <col width="18" customWidth="1" min="11" max="11"/>
  </cols>
  <sheetData>
    <row r="1" ht="35" customHeight="1">
      <c r="A1" s="11" t="inlineStr">
        <is>
          <t>DATA LOCATION MAPPING</t>
        </is>
      </c>
    </row>
    <row r="2">
      <c r="A2" s="12" t="inlineStr">
        <is>
          <t>Map sensitive data categories to storage locations (file servers, databases, cloud, endpoints)</t>
        </is>
      </c>
    </row>
    <row r="4">
      <c r="A4" s="13" t="inlineStr">
        <is>
          <t>Data Category</t>
        </is>
      </c>
      <c r="B4" s="13" t="inlineStr">
        <is>
          <t>Storage Location Type</t>
        </is>
      </c>
      <c r="C4" s="13" t="inlineStr">
        <is>
          <t>Specific Location</t>
        </is>
      </c>
      <c r="D4" s="13" t="inlineStr">
        <is>
          <t>Path/Schema</t>
        </is>
      </c>
      <c r="E4" s="13" t="inlineStr">
        <is>
          <t>Estimated Records/Files</t>
        </is>
      </c>
      <c r="F4" s="13" t="inlineStr">
        <is>
          <t>Last Discovery Scan</t>
        </is>
      </c>
      <c r="G4" s="13" t="inlineStr">
        <is>
          <t>DLP Coverage</t>
        </is>
      </c>
      <c r="H4" s="13" t="inlineStr">
        <is>
          <t>Encryption at Rest</t>
        </is>
      </c>
      <c r="I4" s="13" t="inlineStr">
        <is>
          <t>Access Controls</t>
        </is>
      </c>
      <c r="J4" s="13" t="inlineStr">
        <is>
          <t>Data Owner Notified</t>
        </is>
      </c>
      <c r="K4" s="13" t="inlineStr">
        <is>
          <t>Evidence ID</t>
        </is>
      </c>
    </row>
    <row r="5">
      <c r="A5" s="15" t="inlineStr">
        <is>
          <t>Credit Card Numbers</t>
        </is>
      </c>
      <c r="B5" s="15" t="inlineStr">
        <is>
          <t>Database</t>
        </is>
      </c>
      <c r="C5" s="15" t="inlineStr">
        <is>
          <t>SQL-PROD-01</t>
        </is>
      </c>
      <c r="D5" s="15" t="inlineStr">
        <is>
          <t>dbo.Payments.CCNumber</t>
        </is>
      </c>
      <c r="E5" s="15" t="inlineStr">
        <is>
          <t>250000</t>
        </is>
      </c>
      <c r="F5" s="15" t="inlineStr">
        <is>
          <t>2024-12-10</t>
        </is>
      </c>
      <c r="G5" s="15" t="inlineStr">
        <is>
          <t>Yes</t>
        </is>
      </c>
      <c r="H5" s="15" t="inlineStr">
        <is>
          <t>Yes</t>
        </is>
      </c>
      <c r="I5" s="15" t="inlineStr">
        <is>
          <t>Yes</t>
        </is>
      </c>
      <c r="J5" s="15" t="inlineStr">
        <is>
          <t>Yes</t>
        </is>
      </c>
      <c r="K5" s="15" t="inlineStr">
        <is>
          <t>A812-2-LOC-001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3">
    <dataValidation sqref="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"Yes,No,Pending"</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"File Server,Database,Endpoint,Cloud,Email,Backup,Other"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30" customWidth="1" min="4" max="4"/>
    <col width="25" customWidth="1" min="5" max="5"/>
    <col width="20" customWidth="1" min="6" max="6"/>
    <col width="30" customWidth="1" min="7" max="7"/>
    <col width="18" customWidth="1" min="8" max="8"/>
    <col width="18" customWidth="1" min="9" max="9"/>
    <col width="15" customWidth="1" min="10" max="10"/>
    <col width="18" customWidth="1" min="11" max="11"/>
  </cols>
  <sheetData>
    <row r="1" ht="35" customHeight="1">
      <c r="A1" s="11" t="inlineStr">
        <is>
          <t>DATA OWNER ASSIGNMENT</t>
        </is>
      </c>
    </row>
    <row r="2">
      <c r="A2" s="12" t="inlineStr">
        <is>
          <t>Assign data owners and stewards for each data category - accountability is key!</t>
        </is>
      </c>
    </row>
    <row r="4">
      <c r="A4" s="13" t="inlineStr">
        <is>
          <t>Data Category</t>
        </is>
      </c>
      <c r="B4" s="13" t="inlineStr">
        <is>
          <t>Business Owner Name</t>
        </is>
      </c>
      <c r="C4" s="13" t="inlineStr">
        <is>
          <t>Business Owner Department</t>
        </is>
      </c>
      <c r="D4" s="13" t="inlineStr">
        <is>
          <t>Business Owner Email</t>
        </is>
      </c>
      <c r="E4" s="13" t="inlineStr">
        <is>
          <t>Data Steward Name</t>
        </is>
      </c>
      <c r="F4" s="13" t="inlineStr">
        <is>
          <t>Data Steward Department</t>
        </is>
      </c>
      <c r="G4" s="13" t="inlineStr">
        <is>
          <t>Data Steward Email</t>
        </is>
      </c>
      <c r="H4" s="13" t="inlineStr">
        <is>
          <t>Ownership Documented</t>
        </is>
      </c>
      <c r="I4" s="13" t="inlineStr">
        <is>
          <t>Owner Training Complete</t>
        </is>
      </c>
      <c r="J4" s="13" t="inlineStr">
        <is>
          <t>Last Review Date</t>
        </is>
      </c>
      <c r="K4" s="13" t="inlineStr">
        <is>
          <t>Evidence ID</t>
        </is>
      </c>
    </row>
    <row r="5">
      <c r="A5" s="15" t="inlineStr">
        <is>
          <t>Customer PII</t>
        </is>
      </c>
      <c r="B5" s="15" t="inlineStr">
        <is>
          <t>Jane Smith</t>
        </is>
      </c>
      <c r="C5" s="15" t="inlineStr">
        <is>
          <t>Sales</t>
        </is>
      </c>
      <c r="D5" s="15" t="inlineStr">
        <is>
          <t>jane.smith@example.ch</t>
        </is>
      </c>
      <c r="E5" s="15" t="inlineStr">
        <is>
          <t>John Security</t>
        </is>
      </c>
      <c r="F5" s="15" t="inlineStr">
        <is>
          <t>IT Security</t>
        </is>
      </c>
      <c r="G5" s="15" t="inlineStr">
        <is>
          <t>john.sec@example.ch</t>
        </is>
      </c>
      <c r="H5" s="15" t="inlineStr">
        <is>
          <t>Yes</t>
        </is>
      </c>
      <c r="I5" s="15" t="inlineStr">
        <is>
          <t>Yes</t>
        </is>
      </c>
      <c r="J5" s="15" t="inlineStr">
        <is>
          <t>2024-12-01</t>
        </is>
      </c>
      <c r="K5" s="15" t="inlineStr">
        <is>
          <t>A812-2-OWN-001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2">
    <dataValidation sqref="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"Yes,No,Pending"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25" customWidth="1" min="3" max="3"/>
    <col width="40" customWidth="1" min="4" max="4"/>
    <col width="18" customWidth="1" min="5" max="5"/>
    <col width="18" customWidth="1" min="6" max="6"/>
    <col width="18" customWidth="1" min="7" max="7"/>
    <col width="30" customWidth="1" min="8" max="8"/>
    <col width="18" customWidth="1" min="9" max="9"/>
  </cols>
  <sheetData>
    <row r="1" ht="35" customHeight="1">
      <c r="A1" s="11" t="inlineStr">
        <is>
          <t>REGULATORY COMPLIANCE MAPPING</t>
        </is>
      </c>
    </row>
    <row r="2">
      <c r="A2" s="12" t="inlineStr">
        <is>
          <t>Map data categories to regulatory requirements (FADP, GDPR, PCI-DSS, etc.)</t>
        </is>
      </c>
    </row>
    <row r="4">
      <c r="A4" s="13" t="inlineStr">
        <is>
          <t>Data Category</t>
        </is>
      </c>
      <c r="B4" s="13" t="inlineStr">
        <is>
          <t>Regulation</t>
        </is>
      </c>
      <c r="C4" s="13" t="inlineStr">
        <is>
          <t>Specific Article/Section</t>
        </is>
      </c>
      <c r="D4" s="13" t="inlineStr">
        <is>
          <t>Requirement Summary</t>
        </is>
      </c>
      <c r="E4" s="13" t="inlineStr">
        <is>
          <t>Compliance Status</t>
        </is>
      </c>
      <c r="F4" s="13" t="inlineStr">
        <is>
          <t>DLP Controls Required</t>
        </is>
      </c>
      <c r="G4" s="13" t="inlineStr">
        <is>
          <t>Breach Notification Required</t>
        </is>
      </c>
      <c r="H4" s="13" t="inlineStr">
        <is>
          <t>Data Subject Rights</t>
        </is>
      </c>
      <c r="I4" s="13" t="inlineStr">
        <is>
          <t>Evidence ID</t>
        </is>
      </c>
    </row>
    <row r="5">
      <c r="A5" s="15" t="inlineStr">
        <is>
          <t>Personal Names</t>
        </is>
      </c>
      <c r="B5" s="15" t="inlineStr">
        <is>
          <t>FADP</t>
        </is>
      </c>
      <c r="C5" s="15" t="inlineStr">
        <is>
          <t>Article 4(1)</t>
        </is>
      </c>
      <c r="D5" s="15" t="inlineStr">
        <is>
          <t>Defined as personal data, requires appropriate protection measures</t>
        </is>
      </c>
      <c r="E5" s="15" t="inlineStr">
        <is>
          <t>Compliant</t>
        </is>
      </c>
      <c r="F5" s="15" t="inlineStr">
        <is>
          <t>Yes</t>
        </is>
      </c>
      <c r="G5" s="15" t="inlineStr">
        <is>
          <t>Yes</t>
        </is>
      </c>
      <c r="H5" s="15" t="inlineStr">
        <is>
          <t>Access, deletion, portability</t>
        </is>
      </c>
      <c r="I5" s="15" t="inlineStr">
        <is>
          <t>A812-2-REG-001</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"FADP,GDPR,PCI-DSS,HIPAA,SOX,FADP/GDPR,Multiple,Other,None"</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1" allowBlank="0" errorTitle="Invalid Entry" error="Invalid value. Select from dropdown." type="list">
      <formula1>"Yes,No,Partial,Planned,N/A"</formula1>
    </dataValidation>
    <dataValidation sqref="G6 G7 G8 G9 G10 G11 G12 G13 G14 G15 G16 G17 G18 G19 G20 G21 G22 G23 G24 G25 G26 G27 G28 G29 G30 G31 G32 G33 G34 G35 G36 G37 G38 G39 G40 G41 G42 G43 G44 G45 G46 G47 G48 G49 G50 G51 G52 G53 G54 G55" showDropDown="1" showInputMessage="0" showErrorMessage="0" allowBlank="0" type="list">
      <formula1>"Yes,No,N/A"</formula1>
    </dataValidation>
    <dataValidation sqref="E6 E7 E8 E9 E10 E11 E12 E13 E14 E15 E16 E17 E18 E19 E20 E21 E22 E23 E24 E25 E26 E27 E28 E29 E30 E31 E32 E33 E34 E35 E36 E37 E38 E39 E40 E41 E42 E43 E44 E45 E46 E47 E48 E49 E50 E51 E52 E53 E54 E55" showDropDown="1" showInputMessage="0" showErrorMessage="0" allowBlank="0" type="list">
      <formula1>"Compliant,Non-Compliant,Partial,Planned,N/A"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25" customWidth="1" min="3" max="3"/>
    <col width="30" customWidth="1" min="4" max="4"/>
    <col width="18" customWidth="1" min="5" max="5"/>
    <col width="18" customWidth="1" min="6" max="6"/>
    <col width="18" customWidth="1" min="7" max="7"/>
    <col width="15" customWidth="1" min="8" max="8"/>
    <col width="18" customWidth="1" min="9" max="9"/>
  </cols>
  <sheetData>
    <row r="1" ht="35" customHeight="1">
      <c r="A1" s="11" t="inlineStr">
        <is>
          <t>DATA LABELING METHODS</t>
        </is>
      </c>
    </row>
    <row r="2">
      <c r="A2" s="12" t="inlineStr">
        <is>
          <t>Assess data labeling and classification marking methods across systems</t>
        </is>
      </c>
    </row>
    <row r="4">
      <c r="A4" s="13" t="inlineStr">
        <is>
          <t>System/Application</t>
        </is>
      </c>
      <c r="B4" s="13" t="inlineStr">
        <is>
          <t>Labeling Method</t>
        </is>
      </c>
      <c r="C4" s="13" t="inlineStr">
        <is>
          <t>Classification Tool</t>
        </is>
      </c>
      <c r="D4" s="13" t="inlineStr">
        <is>
          <t>Supported Labels</t>
        </is>
      </c>
      <c r="E4" s="13" t="inlineStr">
        <is>
          <t>User Training Provided</t>
        </is>
      </c>
      <c r="F4" s="13" t="inlineStr">
        <is>
          <t>Enforcement Capability</t>
        </is>
      </c>
      <c r="G4" s="13" t="inlineStr">
        <is>
          <t>DLP Integration</t>
        </is>
      </c>
      <c r="H4" s="13" t="inlineStr">
        <is>
          <t>Adoption Rate %</t>
        </is>
      </c>
      <c r="I4" s="13" t="inlineStr">
        <is>
          <t>Evidence ID</t>
        </is>
      </c>
    </row>
    <row r="5">
      <c r="A5" s="15" t="inlineStr">
        <is>
          <t>Microsoft 365</t>
        </is>
      </c>
      <c r="B5" s="15" t="inlineStr">
        <is>
          <t>Automated</t>
        </is>
      </c>
      <c r="C5" s="15" t="inlineStr">
        <is>
          <t>Microsoft Purview (AIP)</t>
        </is>
      </c>
      <c r="D5" s="15" t="inlineStr">
        <is>
          <t>Public, Internal, Confidential, Restricted</t>
        </is>
      </c>
      <c r="E5" s="15" t="inlineStr">
        <is>
          <t>Yes</t>
        </is>
      </c>
      <c r="F5" s="15" t="inlineStr">
        <is>
          <t>Yes</t>
        </is>
      </c>
      <c r="G5" s="15" t="inlineStr">
        <is>
          <t>Yes</t>
        </is>
      </c>
      <c r="H5" s="15" t="inlineStr">
        <is>
          <t>85</t>
        </is>
      </c>
      <c r="I5" s="15" t="inlineStr">
        <is>
          <t>A812-2-LBL-001</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2">
    <dataValidation sqref="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"Manual,Automated,Metadata,None"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15" customWidth="1" min="3" max="3"/>
    <col width="30" customWidth="1" min="4" max="4"/>
    <col width="15" customWidth="1" min="5" max="5"/>
    <col width="15" customWidth="1" min="6" max="6"/>
    <col width="15" customWidth="1" min="7" max="7"/>
    <col width="18" customWidth="1" min="8" max="8"/>
    <col width="18" customWidth="1" min="9" max="9"/>
    <col width="18" customWidth="1" min="10" max="10"/>
  </cols>
  <sheetData>
    <row r="1" ht="35" customHeight="1">
      <c r="A1" s="11" t="inlineStr">
        <is>
          <t>DATA DISCOVERY RESULTS</t>
        </is>
      </c>
    </row>
    <row r="2">
      <c r="A2" s="12" t="inlineStr">
        <is>
          <t>Document data discovery and scanning results (Spirion, BigID, manual audits)</t>
        </is>
      </c>
    </row>
    <row r="4">
      <c r="A4" s="13" t="inlineStr">
        <is>
          <t>Discovery Tool</t>
        </is>
      </c>
      <c r="B4" s="13" t="inlineStr">
        <is>
          <t>Scan Target</t>
        </is>
      </c>
      <c r="C4" s="13" t="inlineStr">
        <is>
          <t>Scan Date</t>
        </is>
      </c>
      <c r="D4" s="13" t="inlineStr">
        <is>
          <t>Data Categories Found</t>
        </is>
      </c>
      <c r="E4" s="13" t="inlineStr">
        <is>
          <t>Total Findings</t>
        </is>
      </c>
      <c r="F4" s="13" t="inlineStr">
        <is>
          <t>Critical Findings</t>
        </is>
      </c>
      <c r="G4" s="13" t="inlineStr">
        <is>
          <t>False Positive Rate %</t>
        </is>
      </c>
      <c r="H4" s="13" t="inlineStr">
        <is>
          <t>Remediation Status</t>
        </is>
      </c>
      <c r="I4" s="13" t="inlineStr">
        <is>
          <t>Data Owner Notified</t>
        </is>
      </c>
      <c r="J4" s="13" t="inlineStr">
        <is>
          <t>Evidence ID</t>
        </is>
      </c>
    </row>
    <row r="5">
      <c r="A5" s="15" t="inlineStr">
        <is>
          <t>Spirion</t>
        </is>
      </c>
      <c r="B5" s="15" t="inlineStr">
        <is>
          <t>FS-HR-01</t>
        </is>
      </c>
      <c r="C5" s="15" t="inlineStr">
        <is>
          <t>2024-12-15</t>
        </is>
      </c>
      <c r="D5" s="15" t="inlineStr">
        <is>
          <t>PII, SSN, AHV</t>
        </is>
      </c>
      <c r="E5" s="15" t="inlineStr">
        <is>
          <t>5243</t>
        </is>
      </c>
      <c r="F5" s="15" t="inlineStr">
        <is>
          <t>1200</t>
        </is>
      </c>
      <c r="G5" s="15" t="inlineStr">
        <is>
          <t>15</t>
        </is>
      </c>
      <c r="H5" s="15" t="inlineStr">
        <is>
          <t>In Progress</t>
        </is>
      </c>
      <c r="I5" s="15" t="inlineStr">
        <is>
          <t>Yes</t>
        </is>
      </c>
      <c r="J5" s="15" t="inlineStr">
        <is>
          <t>A812-2-DSC-001</t>
        </is>
      </c>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sheetData>
  <mergeCells count="2">
    <mergeCell ref="A1:J1"/>
    <mergeCell ref="A2:J2"/>
  </mergeCells>
  <dataValidations count="2">
    <dataValidation sqref="I6 I7 I8 I9 I10 I11 I12 I13 I14 I15 I16 I17 I18 I19 I20 I21 I22 I23 I24 I25 I26 I27 I28 I29 I30 I31 I32 I33 I34 I35 I36 I37 I38 I39 I40 I41 I42 I43 I44 I45 I46 I47 I48 I49 I50 I51 I52 I53 I54 I55" showDropDown="1" showInputMessage="0" showErrorMessage="0" allowBlank="0" type="list">
      <formula1>"Yes,No,Pending"</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"Complete,In Progress,Planned,Not Started"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5" customHeight="1">
      <c r="A1" s="11" t="inlineStr">
        <is>
          <t>GAP ANALYSIS - IDENTIFIED DEFICIENCIES</t>
        </is>
      </c>
    </row>
    <row r="2">
      <c r="A2" s="12" t="inlineStr">
        <is>
          <t>Document all data classification gaps and remediation plans</t>
        </is>
      </c>
    </row>
    <row r="4">
      <c r="A4" s="13" t="inlineStr">
        <is>
          <t>Gap ID</t>
        </is>
      </c>
      <c r="B4" s="13" t="inlineStr">
        <is>
          <t>Gap Description</t>
        </is>
      </c>
      <c r="C4" s="13" t="inlineStr">
        <is>
          <t>Affected Data Category</t>
        </is>
      </c>
      <c r="D4" s="13" t="inlineStr">
        <is>
          <t>Risk Level</t>
        </is>
      </c>
      <c r="E4" s="13" t="inlineStr">
        <is>
          <t>Business Impact</t>
        </is>
      </c>
      <c r="F4" s="13" t="inlineStr">
        <is>
          <t>Root Cause</t>
        </is>
      </c>
      <c r="G4" s="13" t="inlineStr">
        <is>
          <t>Remediation Plan</t>
        </is>
      </c>
      <c r="H4" s="13" t="inlineStr">
        <is>
          <t>Owner</t>
        </is>
      </c>
      <c r="I4" s="13" t="inlineStr">
        <is>
          <t>Target Date</t>
        </is>
      </c>
      <c r="J4" s="13" t="inlineStr">
        <is>
          <t>Status</t>
        </is>
      </c>
      <c r="K4" s="13" t="inlineStr">
        <is>
          <t>Evidence ID</t>
        </is>
      </c>
    </row>
    <row r="5">
      <c r="A5" s="15" t="inlineStr">
        <is>
          <t>GAP-A812-2-001</t>
        </is>
      </c>
      <c r="B5" s="15" t="inlineStr">
        <is>
          <t>No data classification schema documented</t>
        </is>
      </c>
      <c r="C5" s="15" t="inlineStr">
        <is>
          <t>All data</t>
        </is>
      </c>
      <c r="D5" s="15" t="inlineStr">
        <is>
          <t>Critical</t>
        </is>
      </c>
      <c r="E5" s="15" t="inlineStr">
        <is>
          <t>Uncontrolled data handling, no DLP baseline</t>
        </is>
      </c>
      <c r="F5" s="15" t="inlineStr">
        <is>
          <t>Schema never formally defined</t>
        </is>
      </c>
      <c r="G5" s="15" t="inlineStr">
        <is>
          <t>Create and approve 4-tier classification schema</t>
        </is>
      </c>
      <c r="H5" s="15" t="inlineStr">
        <is>
          <t>[Owner]</t>
        </is>
      </c>
      <c r="I5" s="15" t="inlineStr">
        <is>
          <t>[Date]</t>
        </is>
      </c>
      <c r="J5" s="15" t="inlineStr">
        <is>
          <t>Open</t>
        </is>
      </c>
      <c r="K5" s="15" t="inlineStr">
        <is>
          <t>A812-2-GAP-001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2">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Classification Schema</t>
        </is>
      </c>
      <c r="C5" s="20" t="inlineStr">
        <is>
          <t>Configuration file</t>
        </is>
      </c>
      <c r="D5" s="20" t="inlineStr">
        <is>
          <t>Data classification policy configuration export</t>
        </is>
      </c>
      <c r="E5" s="20" t="inlineStr">
        <is>
          <t>\\fileserver\isms\evidence\dlp\classification-policy.pdf</t>
        </is>
      </c>
      <c r="F5" s="20" t="inlineStr">
        <is>
          <t>22.02.2026</t>
        </is>
      </c>
      <c r="G5" s="20" t="inlineStr">
        <is>
          <t>IT Security Team</t>
        </is>
      </c>
      <c r="H5" s="20" t="inlineStr">
        <is>
          <t>Verified</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2">
    <dataValidation sqref="C6:C105" showDropDown="1" showInputMessage="0" showErrorMessage="0" allowBlank="1" type="list">
      <formula1>"Screenshot,Configuration File,Policy Document,Log Export,Report,Certificate,Email,Meeting Minutes,Other"</formula1>
    </dataValidation>
    <dataValidation sqref="H6:H105" showDropDown="1" showInputMessage="0" showErrorMessage="0" allowBlank="1"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2" t="inlineStr">
        <is>
          <t>DATA CLASSIFICATION ASSESSMENT — SUMMARY DASHBOARD</t>
        </is>
      </c>
    </row>
    <row r="2">
      <c r="A2" s="23" t="inlineStr">
        <is>
          <t>ISO/IEC 27001:2022 — Control A.8.12: Data Leakage Prevention</t>
        </is>
      </c>
    </row>
    <row r="4">
      <c r="A4" s="24"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5" t="inlineStr">
        <is>
          <t>Classification Schema</t>
        </is>
      </c>
      <c r="B6" s="25">
        <f>C6+D6+E6+F6</f>
        <v/>
      </c>
      <c r="C6" s="25">
        <f>COUNTIF('Classification Schema'!G6:G55,"Yes")</f>
        <v/>
      </c>
      <c r="D6" s="25">
        <f>COUNTIF('Classification Schema'!G6:G55,"Partial")+COUNTIF('Classification Schema'!G6:G55,"Planned")</f>
        <v/>
      </c>
      <c r="E6" s="25">
        <f>COUNTIF('Classification Schema'!G6:G55,"No")</f>
        <v/>
      </c>
      <c r="F6" s="25">
        <f>COUNTIF('Classification Schema'!G6:G55,"N/A")</f>
        <v/>
      </c>
      <c r="G6" s="26">
        <f>IF((B6-F6)=0,0,C6/(B6-F6))</f>
        <v/>
      </c>
    </row>
    <row r="7">
      <c r="A7" s="25" t="inlineStr">
        <is>
          <t>Sensitive Data Inventory</t>
        </is>
      </c>
      <c r="B7" s="25">
        <f>C7+D7+E7+F7</f>
        <v/>
      </c>
      <c r="C7" s="25">
        <f>COUNTIF('Sensitive Data Inventory'!J6:J55,"Yes")</f>
        <v/>
      </c>
      <c r="D7" s="25">
        <f>COUNTIF('Sensitive Data Inventory'!J6:J55,"Partial")</f>
        <v/>
      </c>
      <c r="E7" s="25">
        <f>COUNTIF('Sensitive Data Inventory'!J6:J55,"No")</f>
        <v/>
      </c>
      <c r="F7" s="25">
        <f>COUNTIF('Sensitive Data Inventory'!J6:J55,"N/A")</f>
        <v/>
      </c>
      <c r="G7" s="26">
        <f>IF((B7-F7)=0,0,C7/(B7-F7))</f>
        <v/>
      </c>
    </row>
    <row r="8">
      <c r="A8" s="25" t="inlineStr">
        <is>
          <t>Data Location Mapping</t>
        </is>
      </c>
      <c r="B8" s="25">
        <f>C8+D8+E8+F8</f>
        <v/>
      </c>
      <c r="C8" s="25">
        <f>COUNTIF('Data Location Mapping'!G6:G55,"Yes")</f>
        <v/>
      </c>
      <c r="D8" s="25">
        <f>COUNTIF('Data Location Mapping'!G6:G55,"Partial")</f>
        <v/>
      </c>
      <c r="E8" s="25">
        <f>COUNTIF('Data Location Mapping'!G6:G55,"No")</f>
        <v/>
      </c>
      <c r="F8" s="25">
        <f>COUNTIF('Data Location Mapping'!G6:G55,"N/A")</f>
        <v/>
      </c>
      <c r="G8" s="26">
        <f>IF((B8-F8)=0,0,C8/(B8-F8))</f>
        <v/>
      </c>
    </row>
    <row r="9">
      <c r="A9" s="25" t="inlineStr">
        <is>
          <t>Data Owner Assignment</t>
        </is>
      </c>
      <c r="B9" s="25">
        <f>C9+D9+E9+F9</f>
        <v/>
      </c>
      <c r="C9" s="25">
        <f>COUNTIF('Data Owner Assignment'!H6:H55,"Yes")</f>
        <v/>
      </c>
      <c r="D9" s="25">
        <f>COUNTIF('Data Owner Assignment'!H6:H55,"Pending")</f>
        <v/>
      </c>
      <c r="E9" s="25">
        <f>COUNTIF('Data Owner Assignment'!H6:H55,"No")</f>
        <v/>
      </c>
      <c r="F9" s="25">
        <f>0</f>
        <v/>
      </c>
      <c r="G9" s="26">
        <f>IF((B9-F9)=0,0,C9/(B9-F9))</f>
        <v/>
      </c>
    </row>
    <row r="10">
      <c r="A10" s="25" t="inlineStr">
        <is>
          <t>Regulatory Mapping</t>
        </is>
      </c>
      <c r="B10" s="25">
        <f>C10+D10+E10+F10</f>
        <v/>
      </c>
      <c r="C10" s="25">
        <f>COUNTIF('Regulatory Mapping'!E6:E55,"Compliant")</f>
        <v/>
      </c>
      <c r="D10" s="25">
        <f>COUNTIF('Regulatory Mapping'!E6:E55,"Partial")+COUNTIF('Regulatory Mapping'!E6:E55,"Planned")</f>
        <v/>
      </c>
      <c r="E10" s="25">
        <f>COUNTIF('Regulatory Mapping'!E6:E55,"Non-Compliant")</f>
        <v/>
      </c>
      <c r="F10" s="25">
        <f>COUNTIF('Regulatory Mapping'!E6:E55,"N/A")</f>
        <v/>
      </c>
      <c r="G10" s="26">
        <f>IF((B10-F10)=0,0,C10/(B10-F10))</f>
        <v/>
      </c>
    </row>
    <row r="11">
      <c r="A11" s="25" t="inlineStr">
        <is>
          <t>Labelling Methods</t>
        </is>
      </c>
      <c r="B11" s="25">
        <f>C11+D11+E11+F11</f>
        <v/>
      </c>
      <c r="C11" s="25">
        <f>COUNTIF('Labelling Methods'!G6:G55,"Yes")</f>
        <v/>
      </c>
      <c r="D11" s="25">
        <f>COUNTIF('Labelling Methods'!G6:G55,"Partial")</f>
        <v/>
      </c>
      <c r="E11" s="25">
        <f>COUNTIF('Labelling Methods'!G6:G55,"No")</f>
        <v/>
      </c>
      <c r="F11" s="25">
        <f>COUNTIF('Labelling Methods'!G6:G55,"N/A")</f>
        <v/>
      </c>
      <c r="G11" s="26">
        <f>IF((B11-F11)=0,0,C11/(B11-F11))</f>
        <v/>
      </c>
    </row>
    <row r="12">
      <c r="A12" s="25" t="inlineStr">
        <is>
          <t>Discovery Results</t>
        </is>
      </c>
      <c r="B12" s="25">
        <f>C12+D12+E12+F12</f>
        <v/>
      </c>
      <c r="C12" s="25">
        <f>COUNTIF('Discovery Results'!H6:H55,"Complete")</f>
        <v/>
      </c>
      <c r="D12" s="25">
        <f>COUNTIF('Discovery Results'!H6:H55,"In Progress")+COUNTIF('Discovery Results'!H6:H55,"Planned")</f>
        <v/>
      </c>
      <c r="E12" s="25">
        <f>COUNTIF('Discovery Results'!H6:H55,"Not Started")</f>
        <v/>
      </c>
      <c r="F12" s="25">
        <f>0</f>
        <v/>
      </c>
      <c r="G12" s="26">
        <f>IF((B12-F12)=0,0,C12/(B12-F12))</f>
        <v/>
      </c>
    </row>
    <row r="13">
      <c r="A13" s="25" t="inlineStr">
        <is>
          <t>Gap Analysis</t>
        </is>
      </c>
      <c r="B13" s="25">
        <f>C13+D13+E13+F13</f>
        <v/>
      </c>
      <c r="C13" s="25">
        <f>COUNTIF('Gap Analysis'!J6:J55,"Resolved")+COUNTIF('Gap Analysis'!J6:J55,"Closed")+COUNTIF('Gap Analysis'!J6:J55,"Accepted")</f>
        <v/>
      </c>
      <c r="D13" s="25">
        <f>COUNTIF('Gap Analysis'!J6:J55,"In Progress")</f>
        <v/>
      </c>
      <c r="E13" s="25">
        <f>COUNTIF('Gap Analysis'!J6:J55,"Open")</f>
        <v/>
      </c>
      <c r="F13" s="25">
        <f>0</f>
        <v/>
      </c>
      <c r="G13" s="26">
        <f>IF((B13-F13)=0,0,C13/(B13-F13))</f>
        <v/>
      </c>
    </row>
    <row r="14">
      <c r="A14" s="27" t="inlineStr">
        <is>
          <t>TOTAL</t>
        </is>
      </c>
      <c r="B14" s="27">
        <f>SUM(B6:B13)</f>
        <v/>
      </c>
      <c r="C14" s="27">
        <f>SUM(C6:C13)</f>
        <v/>
      </c>
      <c r="D14" s="27">
        <f>SUM(D6:D13)</f>
        <v/>
      </c>
      <c r="E14" s="27">
        <f>SUM(E6:E13)</f>
        <v/>
      </c>
      <c r="F14" s="27">
        <f>SUM(F6:F13)</f>
        <v/>
      </c>
      <c r="G14" s="28">
        <f>IF((B14-F14)=0,0,C14/(B14-F14))</f>
        <v/>
      </c>
    </row>
    <row r="16">
      <c r="A16" s="24" t="inlineStr">
        <is>
          <t>TABLE 2 – KEY METRICS</t>
        </is>
      </c>
    </row>
    <row r="17">
      <c r="A17" s="13" t="inlineStr">
        <is>
          <t>Metric</t>
        </is>
      </c>
      <c r="B17" s="13" t="inlineStr">
        <is>
          <t>Value</t>
        </is>
      </c>
      <c r="C17" s="13" t="inlineStr">
        <is>
          <t>Target</t>
        </is>
      </c>
      <c r="D17" s="29" t="inlineStr"/>
      <c r="E17" s="29" t="inlineStr"/>
      <c r="F17" s="29" t="inlineStr"/>
      <c r="G17" s="29" t="inlineStr"/>
    </row>
    <row r="18">
      <c r="A18" s="30" t="inlineStr">
        <is>
          <t>Data Classification Levels with DLP Monitoring</t>
        </is>
      </c>
      <c r="B18" s="30">
        <f>COUNTIF('Classification Schema'!G6:G55,"Yes")</f>
        <v/>
      </c>
      <c r="C18" s="30" t="inlineStr">
        <is>
          <t>≥4</t>
        </is>
      </c>
      <c r="D18" s="6" t="n"/>
      <c r="E18" s="6" t="n"/>
      <c r="F18" s="6" t="n"/>
      <c r="G18" s="6" t="n"/>
    </row>
    <row r="19">
      <c r="A19" s="30" t="inlineStr">
        <is>
          <t>Sensitive Data Categories with DLP Protection</t>
        </is>
      </c>
      <c r="B19" s="30">
        <f>COUNTIF('Sensitive Data Inventory'!J6:J55,"Yes")</f>
        <v/>
      </c>
      <c r="C19" s="30" t="inlineStr">
        <is>
          <t>≥80%</t>
        </is>
      </c>
      <c r="D19" s="6" t="n"/>
      <c r="E19" s="6" t="n"/>
      <c r="F19" s="6" t="n"/>
      <c r="G19" s="6" t="n"/>
    </row>
    <row r="20">
      <c r="A20" s="30" t="inlineStr">
        <is>
          <t>Data Locations with DLP Coverage</t>
        </is>
      </c>
      <c r="B20" s="30">
        <f>COUNTIF('Data Location Mapping'!G6:G55,"Yes")</f>
        <v/>
      </c>
      <c r="C20" s="30" t="inlineStr">
        <is>
          <t>≥75%</t>
        </is>
      </c>
      <c r="D20" s="6" t="n"/>
      <c r="E20" s="6" t="n"/>
      <c r="F20" s="6" t="n"/>
      <c r="G20" s="6" t="n"/>
    </row>
    <row r="21">
      <c r="A21" s="30" t="inlineStr">
        <is>
          <t>Regulatory Requirements Compliant</t>
        </is>
      </c>
      <c r="B21" s="30">
        <f>COUNTIF('Regulatory Mapping'!E6:E55,"Compliant")</f>
        <v/>
      </c>
      <c r="C21" s="30" t="inlineStr">
        <is>
          <t>≥90%</t>
        </is>
      </c>
      <c r="D21" s="6" t="n"/>
      <c r="E21" s="6" t="n"/>
      <c r="F21" s="6" t="n"/>
      <c r="G21" s="6" t="n"/>
    </row>
    <row r="22">
      <c r="A22" s="30" t="inlineStr">
        <is>
          <t>Open Critical/High Data Gaps</t>
        </is>
      </c>
      <c r="B22" s="30">
        <f>COUNTIFS('Gap Analysis'!D6:D55,"Critical",'Gap Analysis'!J6:J55,"Open")+COUNTIFS('Gap Analysis'!D6:D55,"High",'Gap Analysis'!J6:J55,"Open")</f>
        <v/>
      </c>
      <c r="C22" s="30" t="inlineStr">
        <is>
          <t>0</t>
        </is>
      </c>
      <c r="D22" s="6" t="n"/>
      <c r="E22" s="6" t="n"/>
      <c r="F22" s="6" t="n"/>
      <c r="G22" s="6" t="n"/>
    </row>
    <row r="23">
      <c r="A23" s="30" t="inlineStr">
        <is>
          <t>Evidence Items Verified</t>
        </is>
      </c>
      <c r="B23" s="30">
        <f>COUNTIF('Evidence Register'!H6:H105,"Verified")</f>
        <v/>
      </c>
      <c r="C23" s="30" t="inlineStr">
        <is>
          <t>≥80%</t>
        </is>
      </c>
      <c r="D23" s="6" t="n"/>
      <c r="E23" s="6" t="n"/>
      <c r="F23" s="6" t="n"/>
      <c r="G23" s="6" t="n"/>
    </row>
    <row r="25">
      <c r="A25" s="31" t="inlineStr">
        <is>
          <t>TABLE 3 – KEY FINDINGS &amp; RECOMMENDATIONS</t>
        </is>
      </c>
    </row>
    <row r="26">
      <c r="A26" s="13" t="inlineStr">
        <is>
          <t>#</t>
        </is>
      </c>
      <c r="B26" s="13" t="inlineStr">
        <is>
          <t>Finding</t>
        </is>
      </c>
      <c r="C26" s="13" t="inlineStr">
        <is>
          <t>Impact</t>
        </is>
      </c>
      <c r="D26" s="13" t="inlineStr">
        <is>
          <t>Recommendation</t>
        </is>
      </c>
      <c r="E26" s="13" t="inlineStr">
        <is>
          <t>Priority</t>
        </is>
      </c>
      <c r="F26" s="13" t="inlineStr">
        <is>
          <t>Status</t>
        </is>
      </c>
      <c r="G26" s="13" t="inlineStr"/>
    </row>
    <row r="27">
      <c r="A27" s="32" t="inlineStr">
        <is>
          <t>1</t>
        </is>
      </c>
      <c r="B27" s="21" t="n"/>
      <c r="C27" s="21" t="n"/>
      <c r="D27" s="21" t="n"/>
      <c r="E27" s="21" t="n"/>
      <c r="F27" s="21" t="n"/>
      <c r="G27" s="21" t="n"/>
    </row>
    <row r="28">
      <c r="A28" s="32" t="inlineStr">
        <is>
          <t>2</t>
        </is>
      </c>
      <c r="B28" s="21" t="n"/>
      <c r="C28" s="21" t="n"/>
      <c r="D28" s="21" t="n"/>
      <c r="E28" s="21" t="n"/>
      <c r="F28" s="21" t="n"/>
      <c r="G28" s="21" t="n"/>
    </row>
    <row r="29">
      <c r="A29" s="32" t="inlineStr">
        <is>
          <t>3</t>
        </is>
      </c>
      <c r="B29" s="21" t="n"/>
      <c r="C29" s="21" t="n"/>
      <c r="D29" s="21" t="n"/>
      <c r="E29" s="21" t="n"/>
      <c r="F29" s="21" t="n"/>
      <c r="G29" s="21" t="n"/>
    </row>
    <row r="30">
      <c r="A30" s="32" t="inlineStr">
        <is>
          <t>4</t>
        </is>
      </c>
      <c r="B30" s="21" t="n"/>
      <c r="C30" s="21" t="n"/>
      <c r="D30" s="21" t="n"/>
      <c r="E30" s="21" t="n"/>
      <c r="F30" s="21" t="n"/>
      <c r="G30" s="21" t="n"/>
    </row>
    <row r="31">
      <c r="A31" s="32" t="inlineStr">
        <is>
          <t>5</t>
        </is>
      </c>
      <c r="B31" s="21" t="n"/>
      <c r="C31" s="21" t="n"/>
      <c r="D31" s="21" t="n"/>
      <c r="E31" s="21" t="n"/>
      <c r="F31" s="21" t="n"/>
      <c r="G31" s="21" t="n"/>
    </row>
  </sheetData>
  <mergeCells count="5">
    <mergeCell ref="A1:G1"/>
    <mergeCell ref="A4:G4"/>
    <mergeCell ref="A16:G16"/>
    <mergeCell ref="A2:G2"/>
    <mergeCell ref="A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33" t="inlineStr">
        <is>
          <t>ISO/IEC 27001:2022 — Control A.8.12: Data Classification Assessment</t>
        </is>
      </c>
      <c r="B2" s="6" t="n"/>
      <c r="C2" s="6" t="n"/>
      <c r="D2" s="6" t="n"/>
      <c r="E2" s="6" t="n"/>
    </row>
    <row r="3">
      <c r="A3" s="34" t="inlineStr">
        <is>
          <t>ASSESSMENT SUMMARY</t>
        </is>
      </c>
      <c r="B3" s="6" t="n"/>
      <c r="C3" s="6" t="n"/>
      <c r="D3" s="6" t="n"/>
      <c r="E3" s="6" t="n"/>
    </row>
    <row r="4">
      <c r="A4" s="35" t="inlineStr">
        <is>
          <t>Document</t>
        </is>
      </c>
      <c r="B4" s="6" t="inlineStr">
        <is>
          <t>ISMS-IMP-A.8.12.2</t>
        </is>
      </c>
      <c r="C4" s="6" t="n"/>
      <c r="D4" s="6" t="n"/>
      <c r="E4" s="6" t="n"/>
    </row>
    <row r="5">
      <c r="A5" s="35" t="inlineStr">
        <is>
          <t>Assessment Period</t>
        </is>
      </c>
      <c r="B5" s="21" t="inlineStr"/>
      <c r="C5" s="6" t="n"/>
      <c r="D5" s="6" t="n"/>
      <c r="E5" s="6" t="n"/>
    </row>
    <row r="6">
      <c r="A6" s="35" t="inlineStr">
        <is>
          <t>Overall Compliance</t>
        </is>
      </c>
      <c r="B6" s="6">
        <f>'Summary Dashboard'!G14</f>
        <v/>
      </c>
      <c r="C6" s="6" t="n"/>
      <c r="D6" s="6" t="n"/>
      <c r="E6" s="6" t="n"/>
    </row>
    <row r="7">
      <c r="A7" s="35" t="inlineStr">
        <is>
          <t>Assessment Status</t>
        </is>
      </c>
      <c r="B7" s="21" t="inlineStr"/>
      <c r="C7" s="6" t="n"/>
      <c r="D7" s="6" t="n"/>
      <c r="E7" s="6" t="n"/>
    </row>
    <row r="8">
      <c r="A8" s="35" t="inlineStr">
        <is>
          <t>Assessed By:</t>
        </is>
      </c>
      <c r="B8" s="21" t="inlineStr"/>
      <c r="C8" s="6" t="n"/>
      <c r="D8" s="6" t="n"/>
      <c r="E8" s="6" t="n"/>
    </row>
    <row r="9">
      <c r="A9" s="34" t="inlineStr">
        <is>
          <t>COMPLETED BY (ASSESSOR)</t>
        </is>
      </c>
      <c r="B9" s="6" t="n"/>
      <c r="C9" s="6" t="n"/>
      <c r="D9" s="6" t="n"/>
      <c r="E9" s="6" t="n"/>
    </row>
    <row r="10">
      <c r="A10" s="35" t="inlineStr">
        <is>
          <t>Name</t>
        </is>
      </c>
      <c r="B10" s="21" t="inlineStr"/>
      <c r="C10" s="6" t="n"/>
      <c r="D10" s="6" t="n"/>
      <c r="E10" s="6" t="n"/>
    </row>
    <row r="11">
      <c r="A11" s="35" t="inlineStr">
        <is>
          <t>Title</t>
        </is>
      </c>
      <c r="B11" s="21" t="inlineStr"/>
      <c r="C11" s="6" t="n"/>
      <c r="D11" s="6" t="n"/>
      <c r="E11" s="6" t="n"/>
    </row>
    <row r="12">
      <c r="A12" s="35" t="inlineStr">
        <is>
          <t>Date</t>
        </is>
      </c>
      <c r="B12" s="21" t="inlineStr"/>
      <c r="C12" s="6" t="n"/>
      <c r="D12" s="6" t="n"/>
      <c r="E12" s="6" t="n"/>
    </row>
    <row r="13">
      <c r="A13" s="35" t="inlineStr">
        <is>
          <t>Signature</t>
        </is>
      </c>
      <c r="B13" s="21" t="inlineStr"/>
      <c r="C13" s="6" t="n"/>
      <c r="D13" s="6" t="n"/>
      <c r="E13" s="6" t="n"/>
    </row>
    <row r="14">
      <c r="A14" s="35" t="inlineStr">
        <is>
          <t>Comments</t>
        </is>
      </c>
      <c r="B14" s="21" t="inlineStr"/>
      <c r="C14" s="6" t="n"/>
      <c r="D14" s="6" t="n"/>
      <c r="E14" s="6" t="n"/>
    </row>
    <row r="16">
      <c r="A16" s="34" t="inlineStr">
        <is>
          <t>REVIEWED BY (ISO)</t>
        </is>
      </c>
      <c r="B16" s="6" t="n"/>
      <c r="C16" s="6" t="n"/>
      <c r="D16" s="6" t="n"/>
      <c r="E16" s="6" t="n"/>
    </row>
    <row r="17">
      <c r="A17" s="35" t="inlineStr">
        <is>
          <t>Name</t>
        </is>
      </c>
      <c r="B17" s="21" t="inlineStr"/>
      <c r="C17" s="6" t="n"/>
      <c r="D17" s="6" t="n"/>
      <c r="E17" s="6" t="n"/>
    </row>
    <row r="18">
      <c r="A18" s="35" t="inlineStr">
        <is>
          <t>Title</t>
        </is>
      </c>
      <c r="B18" s="21" t="inlineStr"/>
      <c r="C18" s="6" t="n"/>
      <c r="D18" s="6" t="n"/>
      <c r="E18" s="6" t="n"/>
    </row>
    <row r="19">
      <c r="A19" s="35" t="inlineStr">
        <is>
          <t>Date</t>
        </is>
      </c>
      <c r="B19" s="21" t="inlineStr"/>
      <c r="C19" s="6" t="n"/>
      <c r="D19" s="6" t="n"/>
      <c r="E19" s="6" t="n"/>
    </row>
    <row r="20">
      <c r="A20" s="35" t="inlineStr">
        <is>
          <t>Signature</t>
        </is>
      </c>
      <c r="B20" s="21" t="inlineStr"/>
      <c r="C20" s="6" t="n"/>
      <c r="D20" s="6" t="n"/>
      <c r="E20" s="6" t="n"/>
    </row>
    <row r="21">
      <c r="A21" s="35" t="inlineStr">
        <is>
          <t>Comments</t>
        </is>
      </c>
      <c r="B21" s="21" t="inlineStr"/>
      <c r="C21" s="6" t="n"/>
      <c r="D21" s="6" t="n"/>
      <c r="E21" s="6" t="n"/>
    </row>
    <row r="23">
      <c r="A23" s="36" t="inlineStr">
        <is>
          <t>APPROVED BY (CISO)</t>
        </is>
      </c>
      <c r="B23" s="6" t="n"/>
      <c r="C23" s="6" t="n"/>
      <c r="D23" s="6" t="n"/>
      <c r="E23" s="6" t="n"/>
    </row>
    <row r="24">
      <c r="A24" s="35" t="inlineStr">
        <is>
          <t>Name</t>
        </is>
      </c>
      <c r="B24" s="21" t="inlineStr"/>
      <c r="C24" s="6" t="n"/>
      <c r="D24" s="6" t="n"/>
      <c r="E24" s="6" t="n"/>
    </row>
    <row r="25">
      <c r="A25" s="35" t="inlineStr">
        <is>
          <t>Title</t>
        </is>
      </c>
      <c r="B25" s="21" t="inlineStr"/>
      <c r="C25" s="6" t="n"/>
      <c r="D25" s="6" t="n"/>
      <c r="E25" s="6" t="n"/>
    </row>
    <row r="26">
      <c r="A26" s="35" t="inlineStr">
        <is>
          <t>Date</t>
        </is>
      </c>
      <c r="B26" s="21" t="inlineStr"/>
      <c r="C26" s="6" t="n"/>
      <c r="D26" s="6" t="n"/>
      <c r="E26" s="6" t="n"/>
    </row>
    <row r="27">
      <c r="A27" s="35" t="inlineStr">
        <is>
          <t>Signature</t>
        </is>
      </c>
      <c r="B27" s="21" t="inlineStr"/>
      <c r="C27" s="6" t="n"/>
      <c r="D27" s="6" t="n"/>
      <c r="E27" s="6" t="n"/>
    </row>
    <row r="28">
      <c r="A28" s="35" t="inlineStr">
        <is>
          <t>Comments</t>
        </is>
      </c>
      <c r="B28" s="21" t="inlineStr"/>
      <c r="C28" s="6" t="n"/>
      <c r="D28" s="6" t="n"/>
      <c r="E28" s="6" t="n"/>
    </row>
    <row r="30">
      <c r="A30" s="35" t="inlineStr">
        <is>
          <t>FINAL DECISION:</t>
        </is>
      </c>
      <c r="B30" s="21" t="n"/>
      <c r="C30" s="6" t="n"/>
      <c r="D30" s="6" t="n"/>
      <c r="E30" s="6" t="n"/>
    </row>
    <row r="32">
      <c r="A32" s="34" t="inlineStr">
        <is>
          <t>NEXT REVIEW DETAILS</t>
        </is>
      </c>
      <c r="B32" s="6" t="n"/>
      <c r="C32" s="6" t="n"/>
      <c r="D32" s="6" t="n"/>
      <c r="E32" s="6" t="n"/>
    </row>
    <row r="33">
      <c r="A33" s="35" t="inlineStr">
        <is>
          <t>Next Review Date</t>
        </is>
      </c>
      <c r="B33" s="21" t="inlineStr"/>
      <c r="C33" s="6" t="n"/>
      <c r="D33" s="6" t="n"/>
      <c r="E33" s="6" t="n"/>
    </row>
    <row r="34">
      <c r="A34" s="35" t="inlineStr">
        <is>
          <t>Review Owner</t>
        </is>
      </c>
      <c r="B34" s="21" t="inlineStr"/>
      <c r="C34" s="6" t="n"/>
      <c r="D34" s="6" t="n"/>
      <c r="E34" s="6" t="n"/>
    </row>
    <row r="35">
      <c r="A35" s="35" t="inlineStr">
        <is>
          <t>Review Notes</t>
        </is>
      </c>
      <c r="B35" s="21" t="inlineStr"/>
      <c r="C35" s="6" t="n"/>
      <c r="D35" s="6" t="n"/>
      <c r="E35" s="6" t="n"/>
    </row>
  </sheetData>
  <mergeCells count="8">
    <mergeCell ref="A2:E2"/>
    <mergeCell ref="A16:E16"/>
    <mergeCell ref="B30:E30"/>
    <mergeCell ref="A1:E1"/>
    <mergeCell ref="A23:E23"/>
    <mergeCell ref="A32:E32"/>
    <mergeCell ref="A9:E9"/>
    <mergeCell ref="A3:E3"/>
  </mergeCells>
  <dataValidations count="2">
    <dataValidation sqref="B7" showDropDown="1" showInputMessage="0" showErrorMessage="0" allowBlank="1" type="list">
      <formula1>"Draft,In Review,Approved,Rejected"</formula1>
    </dataValidation>
    <dataValidation sqref="B30" showDropDown="1"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ISMS-IMP-A.8.12.2 — Data Classification Assessment</dc:title>
  <dc:description xmlns:dc="http://purl.org/dc/elements/1.1/">ISMS Implementation Workbook — ISMS-IMP-A.8.12.2</dc:description>
  <dc:subject xmlns:dc="http://purl.org/dc/elements/1.1/">ISO/IEC 27001:2022 — Control A.8.12: Data Leakage Prevention</dc:subject>
  <dcterms:created xmlns:dcterms="http://purl.org/dc/terms/" xmlns:xsi="http://www.w3.org/2001/XMLSchema-instance" xsi:type="dcterms:W3CDTF">2026-03-01T16:58:00Z</dcterms:created>
  <dcterms:modified xmlns:dcterms="http://purl.org/dc/terms/" xmlns:xsi="http://www.w3.org/2001/XMLSchema-instance" xsi:type="dcterms:W3CDTF">2026-03-01T16:58:00Z</dcterms:modified>
</cp:coreProperties>
</file>