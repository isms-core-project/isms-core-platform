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Logging Configuration" sheetId="2" state="visible" r:id="rId2"/>
    <sheet xmlns:r="http://schemas.openxmlformats.org/officeDocument/2006/relationships" name="Alert Rules Inventory" sheetId="3" state="visible" r:id="rId3"/>
    <sheet xmlns:r="http://schemas.openxmlformats.org/officeDocument/2006/relationships" name="Alert Volume Metrics" sheetId="4" state="visible" r:id="rId4"/>
    <sheet xmlns:r="http://schemas.openxmlformats.org/officeDocument/2006/relationships" name="SIEM Integration" sheetId="5" state="visible" r:id="rId5"/>
    <sheet xmlns:r="http://schemas.openxmlformats.org/officeDocument/2006/relationships" name="False Positive Management" sheetId="6" state="visible" r:id="rId6"/>
    <sheet xmlns:r="http://schemas.openxmlformats.org/officeDocument/2006/relationships" name="Incident Response Workflow" sheetId="7" state="visible" r:id="rId7"/>
    <sheet xmlns:r="http://schemas.openxmlformats.org/officeDocument/2006/relationships" name="SOC Integration" sheetId="8" state="visible" r:id="rId8"/>
    <sheet xmlns:r="http://schemas.openxmlformats.org/officeDocument/2006/relationships" name="Dashboards Reporting" sheetId="9" state="visible" r:id="rId9"/>
    <sheet xmlns:r="http://schemas.openxmlformats.org/officeDocument/2006/relationships" name="Gap Analysis" sheetId="10" state="visible" r:id="rId10"/>
    <sheet xmlns:r="http://schemas.openxmlformats.org/officeDocument/2006/relationships" name="Evidence Register" sheetId="11" state="visible" r:id="rId11"/>
    <sheet xmlns:r="http://schemas.openxmlformats.org/officeDocument/2006/relationships" name="Summary Dashboard" sheetId="12" state="visible" r:id="rId12"/>
    <sheet xmlns:r="http://schemas.openxmlformats.org/officeDocument/2006/relationships" name="Approval Sign-Off" sheetId="13" state="visible" r:id="rId13"/>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b val="1"/>
      <color rgb="00FFFFFF"/>
      <sz val="12"/>
    </font>
    <font>
      <name val="Calibri"/>
      <b val="1"/>
      <sz val="11"/>
    </font>
    <font>
      <name val="Calibri"/>
      <i val="1"/>
      <sz val="10"/>
    </font>
    <font>
      <name val="Calibri"/>
      <sz val="10"/>
    </font>
    <font>
      <b val="1"/>
    </font>
    <font>
      <name val="Calibri"/>
      <i val="1"/>
    </font>
    <font>
      <name val="Calibri"/>
      <b val="1"/>
      <color rgb="00FFFFFF"/>
      <sz val="10"/>
    </font>
    <font>
      <name val="Calibri"/>
      <i val="1"/>
      <color rgb="00003366"/>
      <sz val="10"/>
    </font>
    <font>
      <name val="Calibri"/>
      <b val="1"/>
      <color rgb="00FFFFFF"/>
      <sz val="11"/>
    </font>
    <font>
      <name val="Calibri"/>
      <b val="1"/>
      <color rgb="00000000"/>
      <sz val="10"/>
    </font>
    <font>
      <name val="Calibri"/>
      <color rgb="00000000"/>
      <sz val="1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7" fillId="10" borderId="1" applyAlignment="1" pivotButton="0" quotePrefix="0" xfId="0">
      <alignment horizontal="center" vertical="center" wrapText="1"/>
    </xf>
    <xf numFmtId="0" fontId="8" fillId="11" borderId="1" applyAlignment="1" pivotButton="0" quotePrefix="0" xfId="0">
      <alignment horizontal="left" vertical="center"/>
    </xf>
    <xf numFmtId="0" fontId="9" fillId="12" borderId="1" applyAlignment="1" pivotButton="0" quotePrefix="0" xfId="0">
      <alignment horizontal="left" vertical="center"/>
    </xf>
    <xf numFmtId="0" fontId="10" fillId="0" borderId="0" pivotButton="0" quotePrefix="0" xfId="0"/>
    <xf numFmtId="0" fontId="1" fillId="8" borderId="1" applyAlignment="1" pivotButton="0" quotePrefix="0" xfId="0">
      <alignment horizontal="center" vertical="center" wrapText="1"/>
    </xf>
    <xf numFmtId="0" fontId="11" fillId="0" borderId="0" applyAlignment="1" pivotButton="0" quotePrefix="0" xfId="0">
      <alignment horizontal="left" vertical="center"/>
    </xf>
    <xf numFmtId="0" fontId="12" fillId="8" borderId="1" applyAlignment="1" pivotButton="0" quotePrefix="0" xfId="0">
      <alignment horizontal="center" vertical="center" wrapText="1"/>
    </xf>
    <xf numFmtId="0" fontId="0" fillId="11" borderId="1" pivotButton="0" quotePrefix="0" xfId="0"/>
    <xf numFmtId="0" fontId="0" fillId="12" borderId="1" pivotButton="0" quotePrefix="0" xfId="0"/>
    <xf numFmtId="0" fontId="1" fillId="8" borderId="0" applyAlignment="1" pivotButton="0" quotePrefix="0" xfId="0">
      <alignment horizontal="center" vertical="center" wrapText="1"/>
    </xf>
    <xf numFmtId="0" fontId="13" fillId="0" borderId="0" applyAlignment="1" pivotButton="0" quotePrefix="0" xfId="0">
      <alignment horizontal="left" vertical="center"/>
    </xf>
    <xf numFmtId="0" fontId="14" fillId="8" borderId="0" applyAlignment="1" pivotButton="0" quotePrefix="0" xfId="0">
      <alignment horizontal="left" vertical="center"/>
    </xf>
    <xf numFmtId="0" fontId="15" fillId="10" borderId="1" applyAlignment="1" pivotButton="0" quotePrefix="0" xfId="0">
      <alignment horizontal="center" vertical="center"/>
    </xf>
    <xf numFmtId="0" fontId="16" fillId="0" borderId="1" applyAlignment="1" pivotButton="0" quotePrefix="0" xfId="0">
      <alignment horizontal="left" vertical="center"/>
    </xf>
    <xf numFmtId="0" fontId="16" fillId="0" borderId="1" applyAlignment="1" pivotButton="0" quotePrefix="0" xfId="0">
      <alignment horizontal="center" vertical="center"/>
    </xf>
    <xf numFmtId="164" fontId="16" fillId="0" borderId="1" applyAlignment="1" pivotButton="0" quotePrefix="0" xfId="0">
      <alignment horizontal="center" vertical="center"/>
    </xf>
    <xf numFmtId="0" fontId="4" fillId="10" borderId="1" applyAlignment="1" pivotButton="0" quotePrefix="0" xfId="0">
      <alignment horizontal="left" vertical="center"/>
    </xf>
    <xf numFmtId="0" fontId="4" fillId="10" borderId="1" applyAlignment="1" pivotButton="0" quotePrefix="0" xfId="0">
      <alignment horizontal="center" vertical="center"/>
    </xf>
    <xf numFmtId="164" fontId="4" fillId="10" borderId="1" applyAlignment="1" pivotButton="0" quotePrefix="0" xfId="0">
      <alignment horizontal="center" vertical="center"/>
    </xf>
    <xf numFmtId="0" fontId="0" fillId="0" borderId="4" pivotButton="0" quotePrefix="0" xfId="0"/>
    <xf numFmtId="0" fontId="0" fillId="0" borderId="5" pivotButton="0" quotePrefix="0" xfId="0"/>
    <xf numFmtId="0" fontId="9" fillId="0" borderId="1" applyAlignment="1" pivotButton="0" quotePrefix="0" xfId="0">
      <alignment horizontal="left" vertical="center"/>
    </xf>
    <xf numFmtId="0" fontId="14" fillId="13" borderId="0" applyAlignment="1" pivotButton="0" quotePrefix="0" xfId="0">
      <alignment horizontal="left" vertical="center"/>
    </xf>
    <xf numFmtId="0" fontId="9" fillId="12" borderId="1" applyAlignment="1" pivotButton="0" quotePrefix="0" xfId="0">
      <alignment horizontal="center" vertical="center"/>
    </xf>
    <xf numFmtId="0" fontId="0" fillId="12" borderId="1" applyAlignment="1" pivotButton="0" quotePrefix="0" xfId="0">
      <alignment horizontal="left" vertical="center"/>
    </xf>
    <xf numFmtId="0" fontId="13" fillId="0" borderId="1" applyAlignment="1" pivotButton="0" quotePrefix="0" xfId="0">
      <alignment horizontal="center" vertical="center"/>
    </xf>
    <xf numFmtId="0" fontId="14" fillId="9" borderId="1" pivotButton="0" quotePrefix="0" xfId="0"/>
    <xf numFmtId="164" fontId="0" fillId="0" borderId="1" pivotButton="0" quotePrefix="0" xfId="0"/>
    <xf numFmtId="0" fontId="14"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ISMS-IMP-A.8.12.4  -  Monitoring &amp; Response Assessment
ISO/IEC 27001:2022 - Control A.8.12: Data Leakage Prevention</t>
        </is>
      </c>
    </row>
    <row r="3">
      <c r="A3" s="2" t="inlineStr">
        <is>
          <t>Document Information</t>
        </is>
      </c>
    </row>
    <row r="4">
      <c r="A4" s="3" t="inlineStr">
        <is>
          <t>Document ID</t>
        </is>
      </c>
      <c r="B4" t="inlineStr">
        <is>
          <t>ISMS-IMP-A.8.12.4</t>
        </is>
      </c>
    </row>
    <row r="5">
      <c r="A5" s="3" t="inlineStr">
        <is>
          <t>Workbook Title</t>
        </is>
      </c>
      <c r="B5" t="inlineStr">
        <is>
          <t>Monitoring &amp; Response Assessment</t>
        </is>
      </c>
    </row>
    <row r="6">
      <c r="A6" s="3" t="inlineStr">
        <is>
          <t>Control Reference</t>
        </is>
      </c>
      <c r="B6" t="inlineStr">
        <is>
          <t>ISO/IEC 27001:2022 - Control A.8.12: Data Leakage Prevention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Logging Configuration first — this is the foundational data layer.</t>
        </is>
      </c>
    </row>
    <row r="14">
      <c r="A14" t="inlineStr">
        <is>
          <t>2. Document all Alert Rules in the Inventory (what alerts exist, thresholds, actions).</t>
        </is>
      </c>
    </row>
    <row r="15">
      <c r="A15" t="inlineStr">
        <is>
          <t>3. Track Alert Volume Metrics (daily/weekly/monthly statistics by severity and channel).</t>
        </is>
      </c>
    </row>
    <row r="16">
      <c r="A16" t="inlineStr">
        <is>
          <t>4. Verify SIEM Integration (log forwarding, correlation rules, use cases).</t>
        </is>
      </c>
    </row>
    <row r="17">
      <c r="A17" t="inlineStr">
        <is>
          <t>5. Measure False Positive rates and document tuning procedures.</t>
        </is>
      </c>
    </row>
    <row r="18">
      <c r="A18" t="inlineStr">
        <is>
          <t>6. Document the Incident Response Workflow (triage, containment, SLA compliance).</t>
        </is>
      </c>
    </row>
    <row r="19">
      <c r="A19" t="inlineStr">
        <is>
          <t>7. Assess SOC Integration (alert workflow, escalation, staffing adequacy).</t>
        </is>
      </c>
    </row>
    <row r="20">
      <c r="A20" t="inlineStr">
        <is>
          <t>8. Verify Dashboards and Reporting capabilities (executive, operational, compliance).</t>
        </is>
      </c>
    </row>
    <row r="21">
      <c r="A21" t="inlineStr">
        <is>
          <t>9. Identify gaps and create remediation plans in the Gap Analysis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5"/>
  <sheetViews>
    <sheetView showGridLines="0" workbookViewId="0">
      <pane ySplit="4" topLeftCell="A5" activePane="bottomLeft" state="frozen"/>
      <selection pane="bottomLeft" activeCell="A1" sqref="A1"/>
    </sheetView>
  </sheetViews>
  <sheetFormatPr baseColWidth="8" defaultRowHeight="15"/>
  <cols>
    <col width="12" customWidth="1" min="1" max="1"/>
    <col width="40" customWidth="1" min="2" max="2"/>
    <col width="20" customWidth="1" min="3" max="3"/>
    <col width="20" customWidth="1" min="4" max="4"/>
    <col width="30" customWidth="1" min="5" max="5"/>
  </cols>
  <sheetData>
    <row r="1" ht="35" customHeight="1">
      <c r="A1" s="11" t="inlineStr">
        <is>
          <t>DLP LOGGING CONFIGURATION ASSESSMENT</t>
        </is>
      </c>
    </row>
    <row r="2">
      <c r="A2" s="12" t="inlineStr">
        <is>
          <t>Assess DLP logging requirements per channel (25 criteria)</t>
        </is>
      </c>
    </row>
    <row r="4">
      <c r="A4" s="13" t="inlineStr">
        <is>
          <t>#</t>
        </is>
      </c>
      <c r="B4" s="13" t="inlineStr">
        <is>
          <t>Requirement</t>
        </is>
      </c>
      <c r="C4" s="13" t="inlineStr">
        <is>
          <t>Compliance</t>
        </is>
      </c>
      <c r="D4" s="13" t="inlineStr">
        <is>
          <t>Evidence ID</t>
        </is>
      </c>
      <c r="E4" s="13" t="inlineStr">
        <is>
          <t>Notes</t>
        </is>
      </c>
    </row>
    <row r="5">
      <c r="A5" s="14" t="n">
        <v>1</v>
      </c>
      <c r="B5" s="14" t="inlineStr">
        <is>
          <t>Are all DLP channels configured to log events?</t>
        </is>
      </c>
      <c r="C5" s="14" t="inlineStr">
        <is>
          <t>Yes</t>
        </is>
      </c>
      <c r="D5" s="14" t="inlineStr">
        <is>
          <t>A812-4-LOG-001</t>
        </is>
      </c>
      <c r="E5" s="14" t="inlineStr">
        <is>
          <t>All channels logging to Splunk</t>
        </is>
      </c>
    </row>
    <row r="6">
      <c r="A6" s="15" t="n"/>
      <c r="B6" s="15" t="n"/>
      <c r="C6" s="15" t="n"/>
      <c r="D6" s="15" t="n"/>
      <c r="E6" s="15" t="n"/>
    </row>
    <row r="7">
      <c r="A7" s="15" t="n"/>
      <c r="B7" s="15" t="n"/>
      <c r="C7" s="15" t="n"/>
      <c r="D7" s="15" t="n"/>
      <c r="E7" s="15" t="n"/>
    </row>
    <row r="8">
      <c r="A8" s="15" t="n"/>
      <c r="B8" s="15" t="n"/>
      <c r="C8" s="15" t="n"/>
      <c r="D8" s="15" t="n"/>
      <c r="E8" s="15" t="n"/>
    </row>
    <row r="9">
      <c r="A9" s="15" t="n"/>
      <c r="B9" s="15" t="n"/>
      <c r="C9" s="15" t="n"/>
      <c r="D9" s="15" t="n"/>
      <c r="E9" s="15" t="n"/>
    </row>
    <row r="10">
      <c r="A10" s="15" t="n"/>
      <c r="B10" s="15" t="n"/>
      <c r="C10" s="15" t="n"/>
      <c r="D10" s="15" t="n"/>
      <c r="E10" s="15" t="n"/>
    </row>
    <row r="11">
      <c r="A11" s="15" t="n"/>
      <c r="B11" s="15" t="n"/>
      <c r="C11" s="15" t="n"/>
      <c r="D11" s="15" t="n"/>
      <c r="E11" s="15" t="n"/>
    </row>
    <row r="12">
      <c r="A12" s="15" t="n"/>
      <c r="B12" s="15" t="n"/>
      <c r="C12" s="15" t="n"/>
      <c r="D12" s="15" t="n"/>
      <c r="E12" s="15" t="n"/>
    </row>
    <row r="13">
      <c r="A13" s="15" t="n"/>
      <c r="B13" s="15" t="n"/>
      <c r="C13" s="15" t="n"/>
      <c r="D13" s="15" t="n"/>
      <c r="E13" s="15" t="n"/>
    </row>
    <row r="14">
      <c r="A14" s="15" t="n"/>
      <c r="B14" s="15" t="n"/>
      <c r="C14" s="15" t="n"/>
      <c r="D14" s="15" t="n"/>
      <c r="E14" s="15" t="n"/>
    </row>
    <row r="15">
      <c r="A15" s="15" t="n"/>
      <c r="B15" s="15" t="n"/>
      <c r="C15" s="15" t="n"/>
      <c r="D15" s="15" t="n"/>
      <c r="E15" s="15" t="n"/>
    </row>
    <row r="16">
      <c r="A16" s="15" t="n"/>
      <c r="B16" s="15" t="n"/>
      <c r="C16" s="15" t="n"/>
      <c r="D16" s="15" t="n"/>
      <c r="E16" s="15" t="n"/>
    </row>
    <row r="17">
      <c r="A17" s="15" t="n"/>
      <c r="B17" s="15" t="n"/>
      <c r="C17" s="15" t="n"/>
      <c r="D17" s="15" t="n"/>
      <c r="E17" s="15" t="n"/>
    </row>
    <row r="18">
      <c r="A18" s="15" t="n"/>
      <c r="B18" s="15" t="n"/>
      <c r="C18" s="15" t="n"/>
      <c r="D18" s="15" t="n"/>
      <c r="E18" s="15" t="n"/>
    </row>
    <row r="19">
      <c r="A19" s="15" t="n"/>
      <c r="B19" s="15" t="n"/>
      <c r="C19" s="15" t="n"/>
      <c r="D19" s="15" t="n"/>
      <c r="E19" s="15" t="n"/>
    </row>
    <row r="20">
      <c r="A20" s="15" t="n"/>
      <c r="B20" s="15" t="n"/>
      <c r="C20" s="15" t="n"/>
      <c r="D20" s="15" t="n"/>
      <c r="E20" s="15" t="n"/>
    </row>
    <row r="21">
      <c r="A21" s="15" t="n"/>
      <c r="B21" s="15" t="n"/>
      <c r="C21" s="15" t="n"/>
      <c r="D21" s="15" t="n"/>
      <c r="E21" s="15" t="n"/>
    </row>
    <row r="22">
      <c r="A22" s="15" t="n"/>
      <c r="B22" s="15" t="n"/>
      <c r="C22" s="15" t="n"/>
      <c r="D22" s="15" t="n"/>
      <c r="E22" s="15" t="n"/>
    </row>
    <row r="23">
      <c r="A23" s="15" t="n"/>
      <c r="B23" s="15" t="n"/>
      <c r="C23" s="15" t="n"/>
      <c r="D23" s="15" t="n"/>
      <c r="E23" s="15" t="n"/>
    </row>
    <row r="24">
      <c r="A24" s="15" t="n"/>
      <c r="B24" s="15" t="n"/>
      <c r="C24" s="15" t="n"/>
      <c r="D24" s="15" t="n"/>
      <c r="E24" s="15" t="n"/>
    </row>
    <row r="25">
      <c r="A25" s="15" t="n"/>
      <c r="B25" s="15" t="n"/>
      <c r="C25" s="15" t="n"/>
      <c r="D25" s="15" t="n"/>
      <c r="E25" s="15" t="n"/>
    </row>
    <row r="26">
      <c r="A26" s="15" t="n"/>
      <c r="B26" s="15" t="n"/>
      <c r="C26" s="15" t="n"/>
      <c r="D26" s="15" t="n"/>
      <c r="E26" s="15" t="n"/>
    </row>
    <row r="27">
      <c r="A27" s="15" t="n"/>
      <c r="B27" s="15" t="n"/>
      <c r="C27" s="15" t="n"/>
      <c r="D27" s="15" t="n"/>
      <c r="E27" s="15" t="n"/>
    </row>
    <row r="28">
      <c r="A28" s="15" t="n"/>
      <c r="B28" s="15" t="n"/>
      <c r="C28" s="15" t="n"/>
      <c r="D28" s="15" t="n"/>
      <c r="E28" s="15" t="n"/>
    </row>
    <row r="29">
      <c r="A29" s="15" t="n"/>
      <c r="B29" s="15" t="n"/>
      <c r="C29" s="15" t="n"/>
      <c r="D29" s="15" t="n"/>
      <c r="E29" s="15" t="n"/>
    </row>
    <row r="30">
      <c r="A30" s="15" t="n"/>
      <c r="B30" s="15" t="n"/>
      <c r="C30" s="15" t="n"/>
      <c r="D30" s="15" t="n"/>
      <c r="E30" s="15" t="n"/>
    </row>
    <row r="31">
      <c r="A31" s="15" t="n"/>
      <c r="B31" s="15" t="n"/>
      <c r="C31" s="15" t="n"/>
      <c r="D31" s="15" t="n"/>
      <c r="E31" s="15" t="n"/>
    </row>
    <row r="32">
      <c r="A32" s="15" t="n"/>
      <c r="B32" s="15" t="n"/>
      <c r="C32" s="15" t="n"/>
      <c r="D32" s="15" t="n"/>
      <c r="E32" s="15" t="n"/>
    </row>
    <row r="33">
      <c r="A33" s="15" t="n"/>
      <c r="B33" s="15" t="n"/>
      <c r="C33" s="15" t="n"/>
      <c r="D33" s="15" t="n"/>
      <c r="E33" s="15" t="n"/>
    </row>
    <row r="34">
      <c r="A34" s="15" t="n"/>
      <c r="B34" s="15" t="n"/>
      <c r="C34" s="15" t="n"/>
      <c r="D34" s="15" t="n"/>
      <c r="E34" s="15" t="n"/>
    </row>
    <row r="35">
      <c r="A35" s="15" t="n"/>
      <c r="B35" s="15" t="n"/>
      <c r="C35" s="15" t="n"/>
      <c r="D35" s="15" t="n"/>
      <c r="E35" s="15" t="n"/>
    </row>
    <row r="36">
      <c r="A36" s="15" t="n"/>
      <c r="B36" s="15" t="n"/>
      <c r="C36" s="15" t="n"/>
      <c r="D36" s="15" t="n"/>
      <c r="E36" s="15" t="n"/>
    </row>
    <row r="37">
      <c r="A37" s="15" t="n"/>
      <c r="B37" s="15" t="n"/>
      <c r="C37" s="15" t="n"/>
      <c r="D37" s="15" t="n"/>
      <c r="E37" s="15" t="n"/>
    </row>
    <row r="38">
      <c r="A38" s="15" t="n"/>
      <c r="B38" s="15" t="n"/>
      <c r="C38" s="15" t="n"/>
      <c r="D38" s="15" t="n"/>
      <c r="E38" s="15" t="n"/>
    </row>
    <row r="39">
      <c r="A39" s="15" t="n"/>
      <c r="B39" s="15" t="n"/>
      <c r="C39" s="15" t="n"/>
      <c r="D39" s="15" t="n"/>
      <c r="E39" s="15" t="n"/>
    </row>
    <row r="40">
      <c r="A40" s="15" t="n"/>
      <c r="B40" s="15" t="n"/>
      <c r="C40" s="15" t="n"/>
      <c r="D40" s="15" t="n"/>
      <c r="E40" s="15" t="n"/>
    </row>
    <row r="41">
      <c r="A41" s="15" t="n"/>
      <c r="B41" s="15" t="n"/>
      <c r="C41" s="15" t="n"/>
      <c r="D41" s="15" t="n"/>
      <c r="E41" s="15" t="n"/>
    </row>
    <row r="42">
      <c r="A42" s="15" t="n"/>
      <c r="B42" s="15" t="n"/>
      <c r="C42" s="15" t="n"/>
      <c r="D42" s="15" t="n"/>
      <c r="E42" s="15" t="n"/>
    </row>
    <row r="43">
      <c r="A43" s="15" t="n"/>
      <c r="B43" s="15" t="n"/>
      <c r="C43" s="15" t="n"/>
      <c r="D43" s="15" t="n"/>
      <c r="E43" s="15" t="n"/>
    </row>
    <row r="44">
      <c r="A44" s="15" t="n"/>
      <c r="B44" s="15" t="n"/>
      <c r="C44" s="15" t="n"/>
      <c r="D44" s="15" t="n"/>
      <c r="E44" s="15" t="n"/>
    </row>
    <row r="45">
      <c r="A45" s="15" t="n"/>
      <c r="B45" s="15" t="n"/>
      <c r="C45" s="15" t="n"/>
      <c r="D45" s="15" t="n"/>
      <c r="E45" s="15" t="n"/>
    </row>
    <row r="46">
      <c r="A46" s="15" t="n"/>
      <c r="B46" s="15" t="n"/>
      <c r="C46" s="15" t="n"/>
      <c r="D46" s="15" t="n"/>
      <c r="E46" s="15" t="n"/>
    </row>
    <row r="47">
      <c r="A47" s="15" t="n"/>
      <c r="B47" s="15" t="n"/>
      <c r="C47" s="15" t="n"/>
      <c r="D47" s="15" t="n"/>
      <c r="E47" s="15" t="n"/>
    </row>
    <row r="48">
      <c r="A48" s="15" t="n"/>
      <c r="B48" s="15" t="n"/>
      <c r="C48" s="15" t="n"/>
      <c r="D48" s="15" t="n"/>
      <c r="E48" s="15" t="n"/>
    </row>
    <row r="49">
      <c r="A49" s="15" t="n"/>
      <c r="B49" s="15" t="n"/>
      <c r="C49" s="15" t="n"/>
      <c r="D49" s="15" t="n"/>
      <c r="E49" s="15" t="n"/>
    </row>
    <row r="50">
      <c r="A50" s="15" t="n"/>
      <c r="B50" s="15" t="n"/>
      <c r="C50" s="15" t="n"/>
      <c r="D50" s="15" t="n"/>
      <c r="E50" s="15" t="n"/>
    </row>
    <row r="51">
      <c r="A51" s="15" t="n"/>
      <c r="B51" s="15" t="n"/>
      <c r="C51" s="15" t="n"/>
      <c r="D51" s="15" t="n"/>
      <c r="E51" s="15" t="n"/>
    </row>
    <row r="52">
      <c r="A52" s="15" t="n"/>
      <c r="B52" s="15" t="n"/>
      <c r="C52" s="15" t="n"/>
      <c r="D52" s="15" t="n"/>
      <c r="E52" s="15" t="n"/>
    </row>
    <row r="53">
      <c r="A53" s="15" t="n"/>
      <c r="B53" s="15" t="n"/>
      <c r="C53" s="15" t="n"/>
      <c r="D53" s="15" t="n"/>
      <c r="E53" s="15" t="n"/>
    </row>
    <row r="54">
      <c r="A54" s="15" t="n"/>
      <c r="B54" s="15" t="n"/>
      <c r="C54" s="15" t="n"/>
      <c r="D54" s="15" t="n"/>
      <c r="E54" s="15" t="n"/>
    </row>
    <row r="55">
      <c r="A55" s="15" t="n"/>
      <c r="B55" s="15" t="n"/>
      <c r="C55" s="15" t="n"/>
      <c r="D55" s="15" t="n"/>
      <c r="E55" s="15" t="n"/>
    </row>
  </sheetData>
  <mergeCells count="2">
    <mergeCell ref="A2:E2"/>
    <mergeCell ref="A1:E1"/>
  </mergeCells>
  <dataValidations count="1">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"Yes,No,Partial,Planned,N/A"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5"/>
  <sheetViews>
    <sheetView showGridLines="0" workbookViewId="0">
      <pane ySplit="4" topLeftCell="A5" activePane="bottomLeft" state="frozen"/>
      <selection pane="bottomLeft" activeCell="A1" sqref="A1"/>
    </sheetView>
  </sheetViews>
  <sheetFormatPr baseColWidth="8" defaultRowHeight="15"/>
  <cols>
    <col width="20" customWidth="1" min="1" max="1"/>
    <col width="30" customWidth="1" min="2" max="2"/>
    <col width="20" customWidth="1" min="3" max="3"/>
    <col width="20" customWidth="1" min="4" max="4"/>
    <col width="20" customWidth="1" min="5" max="5"/>
    <col width="20" customWidth="1" min="6" max="6"/>
    <col width="20" customWidth="1" min="7" max="7"/>
    <col width="12" customWidth="1" min="8" max="8"/>
    <col width="20" customWidth="1" min="9" max="9"/>
    <col width="12" customWidth="1" min="10" max="10"/>
    <col width="20" customWidth="1" min="11" max="11"/>
    <col width="20" customWidth="1" min="12" max="12"/>
    <col width="20" customWidth="1" min="13" max="13"/>
  </cols>
  <sheetData>
    <row r="1" ht="35" customHeight="1">
      <c r="A1" s="11" t="inlineStr">
        <is>
          <t>DLP ALERT RULES INVENTORY</t>
        </is>
      </c>
    </row>
    <row r="2">
      <c r="A2" s="12" t="inlineStr">
        <is>
          <t>Complete inventory of all configured DLP alert rules (30 rows)</t>
        </is>
      </c>
    </row>
    <row r="4">
      <c r="A4" s="13" t="inlineStr">
        <is>
          <t>Alert Rule ID</t>
        </is>
      </c>
      <c r="B4" s="13" t="inlineStr">
        <is>
          <t>Rule Name</t>
        </is>
      </c>
      <c r="C4" s="13" t="inlineStr">
        <is>
          <t>Channel</t>
        </is>
      </c>
      <c r="D4" s="13" t="inlineStr">
        <is>
          <t>Severity</t>
        </is>
      </c>
      <c r="E4" s="13" t="inlineStr">
        <is>
          <t>Detection Method</t>
        </is>
      </c>
      <c r="F4" s="13" t="inlineStr">
        <is>
          <t>Policy Action</t>
        </is>
      </c>
      <c r="G4" s="13" t="inlineStr">
        <is>
          <t>Alert Destination</t>
        </is>
      </c>
      <c r="H4" s="13" t="inlineStr">
        <is>
          <t>Response SLA</t>
        </is>
      </c>
      <c r="I4" s="13" t="inlineStr">
        <is>
          <t>Last Tuned Date</t>
        </is>
      </c>
      <c r="J4" s="13" t="inlineStr">
        <is>
          <t>FP Rate %</t>
        </is>
      </c>
      <c r="K4" s="13" t="inlineStr">
        <is>
          <t>Alert Volume (30d)</t>
        </is>
      </c>
      <c r="L4" s="13" t="inlineStr">
        <is>
          <t>Rule Status</t>
        </is>
      </c>
      <c r="M4" s="13" t="inlineStr">
        <is>
          <t>Evidence ID</t>
        </is>
      </c>
    </row>
    <row r="5">
      <c r="A5" s="14" t="inlineStr">
        <is>
          <t>ALT-001</t>
        </is>
      </c>
      <c r="B5" s="14" t="inlineStr">
        <is>
          <t>Credentials Detected - Email</t>
        </is>
      </c>
      <c r="C5" s="14" t="inlineStr">
        <is>
          <t>Email</t>
        </is>
      </c>
      <c r="D5" s="14" t="inlineStr">
        <is>
          <t>Critical</t>
        </is>
      </c>
      <c r="E5" s="14" t="inlineStr">
        <is>
          <t>Pattern</t>
        </is>
      </c>
      <c r="F5" s="14" t="inlineStr">
        <is>
          <t>Block</t>
        </is>
      </c>
      <c r="G5" s="14" t="inlineStr">
        <is>
          <t>SIEM</t>
        </is>
      </c>
      <c r="H5" s="14" t="inlineStr">
        <is>
          <t>15min</t>
        </is>
      </c>
      <c r="I5" s="14" t="inlineStr">
        <is>
          <t>2025-01-01</t>
        </is>
      </c>
      <c r="J5" s="14" t="n">
        <v>2.1</v>
      </c>
      <c r="K5" s="14" t="n">
        <v>45</v>
      </c>
      <c r="L5" s="14" t="inlineStr">
        <is>
          <t>Active</t>
        </is>
      </c>
      <c r="M5" s="14" t="inlineStr">
        <is>
          <t>A812-4-ALT-001</t>
        </is>
      </c>
    </row>
    <row r="6">
      <c r="A6" s="15" t="n"/>
      <c r="B6" s="15" t="n"/>
      <c r="C6" s="15" t="n"/>
      <c r="D6" s="15" t="n"/>
      <c r="E6" s="15" t="n"/>
      <c r="F6" s="15" t="n"/>
      <c r="G6" s="15" t="n"/>
      <c r="H6" s="15" t="n"/>
      <c r="I6" s="15" t="n"/>
      <c r="J6" s="15" t="n"/>
      <c r="K6" s="15" t="n"/>
      <c r="L6" s="15" t="n"/>
      <c r="M6" s="15" t="n"/>
    </row>
    <row r="7">
      <c r="A7" s="15" t="n"/>
      <c r="B7" s="15" t="n"/>
      <c r="C7" s="15" t="n"/>
      <c r="D7" s="15" t="n"/>
      <c r="E7" s="15" t="n"/>
      <c r="F7" s="15" t="n"/>
      <c r="G7" s="15" t="n"/>
      <c r="H7" s="15" t="n"/>
      <c r="I7" s="15" t="n"/>
      <c r="J7" s="15" t="n"/>
      <c r="K7" s="15" t="n"/>
      <c r="L7" s="15" t="n"/>
      <c r="M7" s="15" t="n"/>
    </row>
    <row r="8">
      <c r="A8" s="15" t="n"/>
      <c r="B8" s="15" t="n"/>
      <c r="C8" s="15" t="n"/>
      <c r="D8" s="15" t="n"/>
      <c r="E8" s="15" t="n"/>
      <c r="F8" s="15" t="n"/>
      <c r="G8" s="15" t="n"/>
      <c r="H8" s="15" t="n"/>
      <c r="I8" s="15" t="n"/>
      <c r="J8" s="15" t="n"/>
      <c r="K8" s="15" t="n"/>
      <c r="L8" s="15" t="n"/>
      <c r="M8" s="15" t="n"/>
    </row>
    <row r="9">
      <c r="A9" s="15" t="n"/>
      <c r="B9" s="15" t="n"/>
      <c r="C9" s="15" t="n"/>
      <c r="D9" s="15" t="n"/>
      <c r="E9" s="15" t="n"/>
      <c r="F9" s="15" t="n"/>
      <c r="G9" s="15" t="n"/>
      <c r="H9" s="15" t="n"/>
      <c r="I9" s="15" t="n"/>
      <c r="J9" s="15" t="n"/>
      <c r="K9" s="15" t="n"/>
      <c r="L9" s="15" t="n"/>
      <c r="M9" s="15" t="n"/>
    </row>
    <row r="10">
      <c r="A10" s="15" t="n"/>
      <c r="B10" s="15" t="n"/>
      <c r="C10" s="15" t="n"/>
      <c r="D10" s="15" t="n"/>
      <c r="E10" s="15" t="n"/>
      <c r="F10" s="15" t="n"/>
      <c r="G10" s="15" t="n"/>
      <c r="H10" s="15" t="n"/>
      <c r="I10" s="15" t="n"/>
      <c r="J10" s="15" t="n"/>
      <c r="K10" s="15" t="n"/>
      <c r="L10" s="15" t="n"/>
      <c r="M10" s="15" t="n"/>
    </row>
    <row r="11">
      <c r="A11" s="15" t="n"/>
      <c r="B11" s="15" t="n"/>
      <c r="C11" s="15" t="n"/>
      <c r="D11" s="15" t="n"/>
      <c r="E11" s="15" t="n"/>
      <c r="F11" s="15" t="n"/>
      <c r="G11" s="15" t="n"/>
      <c r="H11" s="15" t="n"/>
      <c r="I11" s="15" t="n"/>
      <c r="J11" s="15" t="n"/>
      <c r="K11" s="15" t="n"/>
      <c r="L11" s="15" t="n"/>
      <c r="M11" s="15" t="n"/>
    </row>
    <row r="12">
      <c r="A12" s="15" t="n"/>
      <c r="B12" s="15" t="n"/>
      <c r="C12" s="15" t="n"/>
      <c r="D12" s="15" t="n"/>
      <c r="E12" s="15" t="n"/>
      <c r="F12" s="15" t="n"/>
      <c r="G12" s="15" t="n"/>
      <c r="H12" s="15" t="n"/>
      <c r="I12" s="15" t="n"/>
      <c r="J12" s="15" t="n"/>
      <c r="K12" s="15" t="n"/>
      <c r="L12" s="15" t="n"/>
      <c r="M12" s="15" t="n"/>
    </row>
    <row r="13">
      <c r="A13" s="15" t="n"/>
      <c r="B13" s="15" t="n"/>
      <c r="C13" s="15" t="n"/>
      <c r="D13" s="15" t="n"/>
      <c r="E13" s="15" t="n"/>
      <c r="F13" s="15" t="n"/>
      <c r="G13" s="15" t="n"/>
      <c r="H13" s="15" t="n"/>
      <c r="I13" s="15" t="n"/>
      <c r="J13" s="15" t="n"/>
      <c r="K13" s="15" t="n"/>
      <c r="L13" s="15" t="n"/>
      <c r="M13" s="15" t="n"/>
    </row>
    <row r="14">
      <c r="A14" s="15" t="n"/>
      <c r="B14" s="15" t="n"/>
      <c r="C14" s="15" t="n"/>
      <c r="D14" s="15" t="n"/>
      <c r="E14" s="15" t="n"/>
      <c r="F14" s="15" t="n"/>
      <c r="G14" s="15" t="n"/>
      <c r="H14" s="15" t="n"/>
      <c r="I14" s="15" t="n"/>
      <c r="J14" s="15" t="n"/>
      <c r="K14" s="15" t="n"/>
      <c r="L14" s="15" t="n"/>
      <c r="M14" s="15" t="n"/>
    </row>
    <row r="15">
      <c r="A15" s="15" t="n"/>
      <c r="B15" s="15" t="n"/>
      <c r="C15" s="15" t="n"/>
      <c r="D15" s="15" t="n"/>
      <c r="E15" s="15" t="n"/>
      <c r="F15" s="15" t="n"/>
      <c r="G15" s="15" t="n"/>
      <c r="H15" s="15" t="n"/>
      <c r="I15" s="15" t="n"/>
      <c r="J15" s="15" t="n"/>
      <c r="K15" s="15" t="n"/>
      <c r="L15" s="15" t="n"/>
      <c r="M15" s="15" t="n"/>
    </row>
    <row r="16">
      <c r="A16" s="15" t="n"/>
      <c r="B16" s="15" t="n"/>
      <c r="C16" s="15" t="n"/>
      <c r="D16" s="15" t="n"/>
      <c r="E16" s="15" t="n"/>
      <c r="F16" s="15" t="n"/>
      <c r="G16" s="15" t="n"/>
      <c r="H16" s="15" t="n"/>
      <c r="I16" s="15" t="n"/>
      <c r="J16" s="15" t="n"/>
      <c r="K16" s="15" t="n"/>
      <c r="L16" s="15" t="n"/>
      <c r="M16" s="15" t="n"/>
    </row>
    <row r="17">
      <c r="A17" s="15" t="n"/>
      <c r="B17" s="15" t="n"/>
      <c r="C17" s="15" t="n"/>
      <c r="D17" s="15" t="n"/>
      <c r="E17" s="15" t="n"/>
      <c r="F17" s="15" t="n"/>
      <c r="G17" s="15" t="n"/>
      <c r="H17" s="15" t="n"/>
      <c r="I17" s="15" t="n"/>
      <c r="J17" s="15" t="n"/>
      <c r="K17" s="15" t="n"/>
      <c r="L17" s="15" t="n"/>
      <c r="M17" s="15" t="n"/>
    </row>
    <row r="18">
      <c r="A18" s="15" t="n"/>
      <c r="B18" s="15" t="n"/>
      <c r="C18" s="15" t="n"/>
      <c r="D18" s="15" t="n"/>
      <c r="E18" s="15" t="n"/>
      <c r="F18" s="15" t="n"/>
      <c r="G18" s="15" t="n"/>
      <c r="H18" s="15" t="n"/>
      <c r="I18" s="15" t="n"/>
      <c r="J18" s="15" t="n"/>
      <c r="K18" s="15" t="n"/>
      <c r="L18" s="15" t="n"/>
      <c r="M18" s="15" t="n"/>
    </row>
    <row r="19">
      <c r="A19" s="15" t="n"/>
      <c r="B19" s="15" t="n"/>
      <c r="C19" s="15" t="n"/>
      <c r="D19" s="15" t="n"/>
      <c r="E19" s="15" t="n"/>
      <c r="F19" s="15" t="n"/>
      <c r="G19" s="15" t="n"/>
      <c r="H19" s="15" t="n"/>
      <c r="I19" s="15" t="n"/>
      <c r="J19" s="15" t="n"/>
      <c r="K19" s="15" t="n"/>
      <c r="L19" s="15" t="n"/>
      <c r="M19" s="15" t="n"/>
    </row>
    <row r="20">
      <c r="A20" s="15" t="n"/>
      <c r="B20" s="15" t="n"/>
      <c r="C20" s="15" t="n"/>
      <c r="D20" s="15" t="n"/>
      <c r="E20" s="15" t="n"/>
      <c r="F20" s="15" t="n"/>
      <c r="G20" s="15" t="n"/>
      <c r="H20" s="15" t="n"/>
      <c r="I20" s="15" t="n"/>
      <c r="J20" s="15" t="n"/>
      <c r="K20" s="15" t="n"/>
      <c r="L20" s="15" t="n"/>
      <c r="M20" s="15" t="n"/>
    </row>
    <row r="21">
      <c r="A21" s="15" t="n"/>
      <c r="B21" s="15" t="n"/>
      <c r="C21" s="15" t="n"/>
      <c r="D21" s="15" t="n"/>
      <c r="E21" s="15" t="n"/>
      <c r="F21" s="15" t="n"/>
      <c r="G21" s="15" t="n"/>
      <c r="H21" s="15" t="n"/>
      <c r="I21" s="15" t="n"/>
      <c r="J21" s="15" t="n"/>
      <c r="K21" s="15" t="n"/>
      <c r="L21" s="15" t="n"/>
      <c r="M21" s="15" t="n"/>
    </row>
    <row r="22">
      <c r="A22" s="15" t="n"/>
      <c r="B22" s="15" t="n"/>
      <c r="C22" s="15" t="n"/>
      <c r="D22" s="15" t="n"/>
      <c r="E22" s="15" t="n"/>
      <c r="F22" s="15" t="n"/>
      <c r="G22" s="15" t="n"/>
      <c r="H22" s="15" t="n"/>
      <c r="I22" s="15" t="n"/>
      <c r="J22" s="15" t="n"/>
      <c r="K22" s="15" t="n"/>
      <c r="L22" s="15" t="n"/>
      <c r="M22" s="15" t="n"/>
    </row>
    <row r="23">
      <c r="A23" s="15" t="n"/>
      <c r="B23" s="15" t="n"/>
      <c r="C23" s="15" t="n"/>
      <c r="D23" s="15" t="n"/>
      <c r="E23" s="15" t="n"/>
      <c r="F23" s="15" t="n"/>
      <c r="G23" s="15" t="n"/>
      <c r="H23" s="15" t="n"/>
      <c r="I23" s="15" t="n"/>
      <c r="J23" s="15" t="n"/>
      <c r="K23" s="15" t="n"/>
      <c r="L23" s="15" t="n"/>
      <c r="M23" s="15" t="n"/>
    </row>
    <row r="24">
      <c r="A24" s="15" t="n"/>
      <c r="B24" s="15" t="n"/>
      <c r="C24" s="15" t="n"/>
      <c r="D24" s="15" t="n"/>
      <c r="E24" s="15" t="n"/>
      <c r="F24" s="15" t="n"/>
      <c r="G24" s="15" t="n"/>
      <c r="H24" s="15" t="n"/>
      <c r="I24" s="15" t="n"/>
      <c r="J24" s="15" t="n"/>
      <c r="K24" s="15" t="n"/>
      <c r="L24" s="15" t="n"/>
      <c r="M24" s="15" t="n"/>
    </row>
    <row r="25">
      <c r="A25" s="15" t="n"/>
      <c r="B25" s="15" t="n"/>
      <c r="C25" s="15" t="n"/>
      <c r="D25" s="15" t="n"/>
      <c r="E25" s="15" t="n"/>
      <c r="F25" s="15" t="n"/>
      <c r="G25" s="15" t="n"/>
      <c r="H25" s="15" t="n"/>
      <c r="I25" s="15" t="n"/>
      <c r="J25" s="15" t="n"/>
      <c r="K25" s="15" t="n"/>
      <c r="L25" s="15" t="n"/>
      <c r="M25" s="15" t="n"/>
    </row>
    <row r="26">
      <c r="A26" s="15" t="n"/>
      <c r="B26" s="15" t="n"/>
      <c r="C26" s="15" t="n"/>
      <c r="D26" s="15" t="n"/>
      <c r="E26" s="15" t="n"/>
      <c r="F26" s="15" t="n"/>
      <c r="G26" s="15" t="n"/>
      <c r="H26" s="15" t="n"/>
      <c r="I26" s="15" t="n"/>
      <c r="J26" s="15" t="n"/>
      <c r="K26" s="15" t="n"/>
      <c r="L26" s="15" t="n"/>
      <c r="M26" s="15" t="n"/>
    </row>
    <row r="27">
      <c r="A27" s="15" t="n"/>
      <c r="B27" s="15" t="n"/>
      <c r="C27" s="15" t="n"/>
      <c r="D27" s="15" t="n"/>
      <c r="E27" s="15" t="n"/>
      <c r="F27" s="15" t="n"/>
      <c r="G27" s="15" t="n"/>
      <c r="H27" s="15" t="n"/>
      <c r="I27" s="15" t="n"/>
      <c r="J27" s="15" t="n"/>
      <c r="K27" s="15" t="n"/>
      <c r="L27" s="15" t="n"/>
      <c r="M27" s="15" t="n"/>
    </row>
    <row r="28">
      <c r="A28" s="15" t="n"/>
      <c r="B28" s="15" t="n"/>
      <c r="C28" s="15" t="n"/>
      <c r="D28" s="15" t="n"/>
      <c r="E28" s="15" t="n"/>
      <c r="F28" s="15" t="n"/>
      <c r="G28" s="15" t="n"/>
      <c r="H28" s="15" t="n"/>
      <c r="I28" s="15" t="n"/>
      <c r="J28" s="15" t="n"/>
      <c r="K28" s="15" t="n"/>
      <c r="L28" s="15" t="n"/>
      <c r="M28" s="15" t="n"/>
    </row>
    <row r="29">
      <c r="A29" s="15" t="n"/>
      <c r="B29" s="15" t="n"/>
      <c r="C29" s="15" t="n"/>
      <c r="D29" s="15" t="n"/>
      <c r="E29" s="15" t="n"/>
      <c r="F29" s="15" t="n"/>
      <c r="G29" s="15" t="n"/>
      <c r="H29" s="15" t="n"/>
      <c r="I29" s="15" t="n"/>
      <c r="J29" s="15" t="n"/>
      <c r="K29" s="15" t="n"/>
      <c r="L29" s="15" t="n"/>
      <c r="M29" s="15" t="n"/>
    </row>
    <row r="30">
      <c r="A30" s="15" t="n"/>
      <c r="B30" s="15" t="n"/>
      <c r="C30" s="15" t="n"/>
      <c r="D30" s="15" t="n"/>
      <c r="E30" s="15" t="n"/>
      <c r="F30" s="15" t="n"/>
      <c r="G30" s="15" t="n"/>
      <c r="H30" s="15" t="n"/>
      <c r="I30" s="15" t="n"/>
      <c r="J30" s="15" t="n"/>
      <c r="K30" s="15" t="n"/>
      <c r="L30" s="15" t="n"/>
      <c r="M30" s="15" t="n"/>
    </row>
    <row r="31">
      <c r="A31" s="15" t="n"/>
      <c r="B31" s="15" t="n"/>
      <c r="C31" s="15" t="n"/>
      <c r="D31" s="15" t="n"/>
      <c r="E31" s="15" t="n"/>
      <c r="F31" s="15" t="n"/>
      <c r="G31" s="15" t="n"/>
      <c r="H31" s="15" t="n"/>
      <c r="I31" s="15" t="n"/>
      <c r="J31" s="15" t="n"/>
      <c r="K31" s="15" t="n"/>
      <c r="L31" s="15" t="n"/>
      <c r="M31" s="15" t="n"/>
    </row>
    <row r="32">
      <c r="A32" s="15" t="n"/>
      <c r="B32" s="15" t="n"/>
      <c r="C32" s="15" t="n"/>
      <c r="D32" s="15" t="n"/>
      <c r="E32" s="15" t="n"/>
      <c r="F32" s="15" t="n"/>
      <c r="G32" s="15" t="n"/>
      <c r="H32" s="15" t="n"/>
      <c r="I32" s="15" t="n"/>
      <c r="J32" s="15" t="n"/>
      <c r="K32" s="15" t="n"/>
      <c r="L32" s="15" t="n"/>
      <c r="M32" s="15" t="n"/>
    </row>
    <row r="33">
      <c r="A33" s="15" t="n"/>
      <c r="B33" s="15" t="n"/>
      <c r="C33" s="15" t="n"/>
      <c r="D33" s="15" t="n"/>
      <c r="E33" s="15" t="n"/>
      <c r="F33" s="15" t="n"/>
      <c r="G33" s="15" t="n"/>
      <c r="H33" s="15" t="n"/>
      <c r="I33" s="15" t="n"/>
      <c r="J33" s="15" t="n"/>
      <c r="K33" s="15" t="n"/>
      <c r="L33" s="15" t="n"/>
      <c r="M33" s="15" t="n"/>
    </row>
    <row r="34">
      <c r="A34" s="15" t="n"/>
      <c r="B34" s="15" t="n"/>
      <c r="C34" s="15" t="n"/>
      <c r="D34" s="15" t="n"/>
      <c r="E34" s="15" t="n"/>
      <c r="F34" s="15" t="n"/>
      <c r="G34" s="15" t="n"/>
      <c r="H34" s="15" t="n"/>
      <c r="I34" s="15" t="n"/>
      <c r="J34" s="15" t="n"/>
      <c r="K34" s="15" t="n"/>
      <c r="L34" s="15" t="n"/>
      <c r="M34" s="15" t="n"/>
    </row>
    <row r="35">
      <c r="A35" s="15" t="n"/>
      <c r="B35" s="15" t="n"/>
      <c r="C35" s="15" t="n"/>
      <c r="D35" s="15" t="n"/>
      <c r="E35" s="15" t="n"/>
      <c r="F35" s="15" t="n"/>
      <c r="G35" s="15" t="n"/>
      <c r="H35" s="15" t="n"/>
      <c r="I35" s="15" t="n"/>
      <c r="J35" s="15" t="n"/>
      <c r="K35" s="15" t="n"/>
      <c r="L35" s="15" t="n"/>
      <c r="M35" s="15" t="n"/>
    </row>
    <row r="36">
      <c r="A36" s="15" t="n"/>
      <c r="B36" s="15" t="n"/>
      <c r="C36" s="15" t="n"/>
      <c r="D36" s="15" t="n"/>
      <c r="E36" s="15" t="n"/>
      <c r="F36" s="15" t="n"/>
      <c r="G36" s="15" t="n"/>
      <c r="H36" s="15" t="n"/>
      <c r="I36" s="15" t="n"/>
      <c r="J36" s="15" t="n"/>
      <c r="K36" s="15" t="n"/>
      <c r="L36" s="15" t="n"/>
      <c r="M36" s="15" t="n"/>
    </row>
    <row r="37">
      <c r="A37" s="15" t="n"/>
      <c r="B37" s="15" t="n"/>
      <c r="C37" s="15" t="n"/>
      <c r="D37" s="15" t="n"/>
      <c r="E37" s="15" t="n"/>
      <c r="F37" s="15" t="n"/>
      <c r="G37" s="15" t="n"/>
      <c r="H37" s="15" t="n"/>
      <c r="I37" s="15" t="n"/>
      <c r="J37" s="15" t="n"/>
      <c r="K37" s="15" t="n"/>
      <c r="L37" s="15" t="n"/>
      <c r="M37" s="15" t="n"/>
    </row>
    <row r="38">
      <c r="A38" s="15" t="n"/>
      <c r="B38" s="15" t="n"/>
      <c r="C38" s="15" t="n"/>
      <c r="D38" s="15" t="n"/>
      <c r="E38" s="15" t="n"/>
      <c r="F38" s="15" t="n"/>
      <c r="G38" s="15" t="n"/>
      <c r="H38" s="15" t="n"/>
      <c r="I38" s="15" t="n"/>
      <c r="J38" s="15" t="n"/>
      <c r="K38" s="15" t="n"/>
      <c r="L38" s="15" t="n"/>
      <c r="M38" s="15" t="n"/>
    </row>
    <row r="39">
      <c r="A39" s="15" t="n"/>
      <c r="B39" s="15" t="n"/>
      <c r="C39" s="15" t="n"/>
      <c r="D39" s="15" t="n"/>
      <c r="E39" s="15" t="n"/>
      <c r="F39" s="15" t="n"/>
      <c r="G39" s="15" t="n"/>
      <c r="H39" s="15" t="n"/>
      <c r="I39" s="15" t="n"/>
      <c r="J39" s="15" t="n"/>
      <c r="K39" s="15" t="n"/>
      <c r="L39" s="15" t="n"/>
      <c r="M39" s="15" t="n"/>
    </row>
    <row r="40">
      <c r="A40" s="15" t="n"/>
      <c r="B40" s="15" t="n"/>
      <c r="C40" s="15" t="n"/>
      <c r="D40" s="15" t="n"/>
      <c r="E40" s="15" t="n"/>
      <c r="F40" s="15" t="n"/>
      <c r="G40" s="15" t="n"/>
      <c r="H40" s="15" t="n"/>
      <c r="I40" s="15" t="n"/>
      <c r="J40" s="15" t="n"/>
      <c r="K40" s="15" t="n"/>
      <c r="L40" s="15" t="n"/>
      <c r="M40" s="15" t="n"/>
    </row>
    <row r="41">
      <c r="A41" s="15" t="n"/>
      <c r="B41" s="15" t="n"/>
      <c r="C41" s="15" t="n"/>
      <c r="D41" s="15" t="n"/>
      <c r="E41" s="15" t="n"/>
      <c r="F41" s="15" t="n"/>
      <c r="G41" s="15" t="n"/>
      <c r="H41" s="15" t="n"/>
      <c r="I41" s="15" t="n"/>
      <c r="J41" s="15" t="n"/>
      <c r="K41" s="15" t="n"/>
      <c r="L41" s="15" t="n"/>
      <c r="M41" s="15" t="n"/>
    </row>
    <row r="42">
      <c r="A42" s="15" t="n"/>
      <c r="B42" s="15" t="n"/>
      <c r="C42" s="15" t="n"/>
      <c r="D42" s="15" t="n"/>
      <c r="E42" s="15" t="n"/>
      <c r="F42" s="15" t="n"/>
      <c r="G42" s="15" t="n"/>
      <c r="H42" s="15" t="n"/>
      <c r="I42" s="15" t="n"/>
      <c r="J42" s="15" t="n"/>
      <c r="K42" s="15" t="n"/>
      <c r="L42" s="15" t="n"/>
      <c r="M42" s="15" t="n"/>
    </row>
    <row r="43">
      <c r="A43" s="15" t="n"/>
      <c r="B43" s="15" t="n"/>
      <c r="C43" s="15" t="n"/>
      <c r="D43" s="15" t="n"/>
      <c r="E43" s="15" t="n"/>
      <c r="F43" s="15" t="n"/>
      <c r="G43" s="15" t="n"/>
      <c r="H43" s="15" t="n"/>
      <c r="I43" s="15" t="n"/>
      <c r="J43" s="15" t="n"/>
      <c r="K43" s="15" t="n"/>
      <c r="L43" s="15" t="n"/>
      <c r="M43" s="15" t="n"/>
    </row>
    <row r="44">
      <c r="A44" s="15" t="n"/>
      <c r="B44" s="15" t="n"/>
      <c r="C44" s="15" t="n"/>
      <c r="D44" s="15" t="n"/>
      <c r="E44" s="15" t="n"/>
      <c r="F44" s="15" t="n"/>
      <c r="G44" s="15" t="n"/>
      <c r="H44" s="15" t="n"/>
      <c r="I44" s="15" t="n"/>
      <c r="J44" s="15" t="n"/>
      <c r="K44" s="15" t="n"/>
      <c r="L44" s="15" t="n"/>
      <c r="M44" s="15" t="n"/>
    </row>
    <row r="45">
      <c r="A45" s="15" t="n"/>
      <c r="B45" s="15" t="n"/>
      <c r="C45" s="15" t="n"/>
      <c r="D45" s="15" t="n"/>
      <c r="E45" s="15" t="n"/>
      <c r="F45" s="15" t="n"/>
      <c r="G45" s="15" t="n"/>
      <c r="H45" s="15" t="n"/>
      <c r="I45" s="15" t="n"/>
      <c r="J45" s="15" t="n"/>
      <c r="K45" s="15" t="n"/>
      <c r="L45" s="15" t="n"/>
      <c r="M45" s="15" t="n"/>
    </row>
    <row r="46">
      <c r="A46" s="15" t="n"/>
      <c r="B46" s="15" t="n"/>
      <c r="C46" s="15" t="n"/>
      <c r="D46" s="15" t="n"/>
      <c r="E46" s="15" t="n"/>
      <c r="F46" s="15" t="n"/>
      <c r="G46" s="15" t="n"/>
      <c r="H46" s="15" t="n"/>
      <c r="I46" s="15" t="n"/>
      <c r="J46" s="15" t="n"/>
      <c r="K46" s="15" t="n"/>
      <c r="L46" s="15" t="n"/>
      <c r="M46" s="15" t="n"/>
    </row>
    <row r="47">
      <c r="A47" s="15" t="n"/>
      <c r="B47" s="15" t="n"/>
      <c r="C47" s="15" t="n"/>
      <c r="D47" s="15" t="n"/>
      <c r="E47" s="15" t="n"/>
      <c r="F47" s="15" t="n"/>
      <c r="G47" s="15" t="n"/>
      <c r="H47" s="15" t="n"/>
      <c r="I47" s="15" t="n"/>
      <c r="J47" s="15" t="n"/>
      <c r="K47" s="15" t="n"/>
      <c r="L47" s="15" t="n"/>
      <c r="M47" s="15" t="n"/>
    </row>
    <row r="48">
      <c r="A48" s="15" t="n"/>
      <c r="B48" s="15" t="n"/>
      <c r="C48" s="15" t="n"/>
      <c r="D48" s="15" t="n"/>
      <c r="E48" s="15" t="n"/>
      <c r="F48" s="15" t="n"/>
      <c r="G48" s="15" t="n"/>
      <c r="H48" s="15" t="n"/>
      <c r="I48" s="15" t="n"/>
      <c r="J48" s="15" t="n"/>
      <c r="K48" s="15" t="n"/>
      <c r="L48" s="15" t="n"/>
      <c r="M48" s="15" t="n"/>
    </row>
    <row r="49">
      <c r="A49" s="15" t="n"/>
      <c r="B49" s="15" t="n"/>
      <c r="C49" s="15" t="n"/>
      <c r="D49" s="15" t="n"/>
      <c r="E49" s="15" t="n"/>
      <c r="F49" s="15" t="n"/>
      <c r="G49" s="15" t="n"/>
      <c r="H49" s="15" t="n"/>
      <c r="I49" s="15" t="n"/>
      <c r="J49" s="15" t="n"/>
      <c r="K49" s="15" t="n"/>
      <c r="L49" s="15" t="n"/>
      <c r="M49" s="15" t="n"/>
    </row>
    <row r="50">
      <c r="A50" s="15" t="n"/>
      <c r="B50" s="15" t="n"/>
      <c r="C50" s="15" t="n"/>
      <c r="D50" s="15" t="n"/>
      <c r="E50" s="15" t="n"/>
      <c r="F50" s="15" t="n"/>
      <c r="G50" s="15" t="n"/>
      <c r="H50" s="15" t="n"/>
      <c r="I50" s="15" t="n"/>
      <c r="J50" s="15" t="n"/>
      <c r="K50" s="15" t="n"/>
      <c r="L50" s="15" t="n"/>
      <c r="M50" s="15" t="n"/>
    </row>
    <row r="51">
      <c r="A51" s="15" t="n"/>
      <c r="B51" s="15" t="n"/>
      <c r="C51" s="15" t="n"/>
      <c r="D51" s="15" t="n"/>
      <c r="E51" s="15" t="n"/>
      <c r="F51" s="15" t="n"/>
      <c r="G51" s="15" t="n"/>
      <c r="H51" s="15" t="n"/>
      <c r="I51" s="15" t="n"/>
      <c r="J51" s="15" t="n"/>
      <c r="K51" s="15" t="n"/>
      <c r="L51" s="15" t="n"/>
      <c r="M51" s="15" t="n"/>
    </row>
    <row r="52">
      <c r="A52" s="15" t="n"/>
      <c r="B52" s="15" t="n"/>
      <c r="C52" s="15" t="n"/>
      <c r="D52" s="15" t="n"/>
      <c r="E52" s="15" t="n"/>
      <c r="F52" s="15" t="n"/>
      <c r="G52" s="15" t="n"/>
      <c r="H52" s="15" t="n"/>
      <c r="I52" s="15" t="n"/>
      <c r="J52" s="15" t="n"/>
      <c r="K52" s="15" t="n"/>
      <c r="L52" s="15" t="n"/>
      <c r="M52" s="15" t="n"/>
    </row>
    <row r="53">
      <c r="A53" s="15" t="n"/>
      <c r="B53" s="15" t="n"/>
      <c r="C53" s="15" t="n"/>
      <c r="D53" s="15" t="n"/>
      <c r="E53" s="15" t="n"/>
      <c r="F53" s="15" t="n"/>
      <c r="G53" s="15" t="n"/>
      <c r="H53" s="15" t="n"/>
      <c r="I53" s="15" t="n"/>
      <c r="J53" s="15" t="n"/>
      <c r="K53" s="15" t="n"/>
      <c r="L53" s="15" t="n"/>
      <c r="M53" s="15" t="n"/>
    </row>
    <row r="54">
      <c r="A54" s="15" t="n"/>
      <c r="B54" s="15" t="n"/>
      <c r="C54" s="15" t="n"/>
      <c r="D54" s="15" t="n"/>
      <c r="E54" s="15" t="n"/>
      <c r="F54" s="15" t="n"/>
      <c r="G54" s="15" t="n"/>
      <c r="H54" s="15" t="n"/>
      <c r="I54" s="15" t="n"/>
      <c r="J54" s="15" t="n"/>
      <c r="K54" s="15" t="n"/>
      <c r="L54" s="15" t="n"/>
      <c r="M54" s="15" t="n"/>
    </row>
    <row r="55">
      <c r="A55" s="15" t="n"/>
      <c r="B55" s="15" t="n"/>
      <c r="C55" s="15" t="n"/>
      <c r="D55" s="15" t="n"/>
      <c r="E55" s="15" t="n"/>
      <c r="F55" s="15" t="n"/>
      <c r="G55" s="15" t="n"/>
      <c r="H55" s="15" t="n"/>
      <c r="I55" s="15" t="n"/>
      <c r="J55" s="15" t="n"/>
      <c r="K55" s="15" t="n"/>
      <c r="L55" s="15" t="n"/>
      <c r="M55" s="15" t="n"/>
    </row>
  </sheetData>
  <mergeCells count="2">
    <mergeCell ref="A2:M2"/>
    <mergeCell ref="A1:M1"/>
  </mergeCells>
  <dataValidations count="7">
    <dataValidation sqref="D6 D7 D8 D9 D10 D11 D12 D13 D14 D15 D16 D17 D18 D19 D20 D21 D22 D23 D24 D25 D26 D27 D28 D29 D30 D31 D32 D33 D34 D35 D36 D37 D38 D39 D40 D41 D42 D43 D44 D45 D46 D47 D48 D49 D50 D51 D52 D53 D54 D55" showDropDown="0" showInputMessage="0" showErrorMessage="0" allowBlank="0" type="list">
      <formula1>"Critical,High,Medium,Low,Informational"</formula1>
    </dataValidation>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"Email,Web,Endpoint,Network,Application,Mobile"</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0" type="list">
      <formula1>"Pattern,Keyword,Fingerprint,Contextual,ML"</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0" type="list">
      <formula1>"Allow,Alert,Block,Quarantine,Encrypt"</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"SIEM,Email,SMS,Ticketing,Dashboard"</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0" type="list">
      <formula1>"15min,1hr,4hr,24hr,No SLA"</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0" type="list">
      <formula1>"Active,Disabled,Testing,Deprecated"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7"/>
  <sheetViews>
    <sheetView showGridLines="0" workbookViewId="0">
      <pane ySplit="3" topLeftCell="A4"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30" customWidth="1" min="8" max="8"/>
  </cols>
  <sheetData>
    <row r="1" ht="35" customHeight="1">
      <c r="A1" s="11" t="inlineStr">
        <is>
          <t>DLP ALERT VOLUME METRICS</t>
        </is>
      </c>
    </row>
    <row r="2">
      <c r="A2" s="12" t="inlineStr">
        <is>
          <t>Track alert volume by severity and channel (Last 30 Days)</t>
        </is>
      </c>
    </row>
    <row r="4">
      <c r="A4" s="12" t="inlineStr">
        <is>
          <t>ALERT VOLUME BY SEVERITY (Last 30 Days)</t>
        </is>
      </c>
    </row>
    <row r="5">
      <c r="A5" s="13" t="inlineStr">
        <is>
          <t>Severity</t>
        </is>
      </c>
      <c r="B5" s="13" t="inlineStr">
        <is>
          <t>Total Alerts</t>
        </is>
      </c>
      <c r="C5" s="13" t="inlineStr">
        <is>
          <t>Avg per Day</t>
        </is>
      </c>
      <c r="D5" s="13" t="inlineStr">
        <is>
          <t>Blocked</t>
        </is>
      </c>
      <c r="E5" s="13" t="inlineStr">
        <is>
          <t>Alerted</t>
        </is>
      </c>
      <c r="F5" s="13" t="inlineStr">
        <is>
          <t>False Positives</t>
        </is>
      </c>
      <c r="G5" s="13" t="inlineStr">
        <is>
          <t>FP Rate %</t>
        </is>
      </c>
    </row>
    <row r="6">
      <c r="A6" t="inlineStr">
        <is>
          <t>Critical</t>
        </is>
      </c>
      <c r="B6" s="15" t="n"/>
      <c r="C6" s="15" t="n"/>
      <c r="D6" s="15" t="n"/>
      <c r="E6" s="15" t="n"/>
      <c r="F6" s="15" t="n"/>
      <c r="G6">
        <f>IF(B6&gt;0,F6/B6*100,0)</f>
        <v/>
      </c>
    </row>
    <row r="7">
      <c r="A7" t="inlineStr">
        <is>
          <t>High</t>
        </is>
      </c>
      <c r="B7" s="15" t="n"/>
      <c r="C7" s="15" t="n"/>
      <c r="D7" s="15" t="n"/>
      <c r="E7" s="15" t="n"/>
      <c r="F7" s="15" t="n"/>
      <c r="G7">
        <f>IF(B7&gt;0,F7/B7*100,0)</f>
        <v/>
      </c>
    </row>
    <row r="8">
      <c r="A8" t="inlineStr">
        <is>
          <t>Medium</t>
        </is>
      </c>
      <c r="B8" s="15" t="n"/>
      <c r="C8" s="15" t="n"/>
      <c r="D8" s="15" t="n"/>
      <c r="E8" s="15" t="n"/>
      <c r="F8" s="15" t="n"/>
      <c r="G8">
        <f>IF(B8&gt;0,F8/B8*100,0)</f>
        <v/>
      </c>
    </row>
    <row r="9">
      <c r="A9" t="inlineStr">
        <is>
          <t>Low</t>
        </is>
      </c>
      <c r="B9" s="15" t="n"/>
      <c r="C9" s="15" t="n"/>
      <c r="D9" s="15" t="n"/>
      <c r="E9" s="15" t="n"/>
      <c r="F9" s="15" t="n"/>
      <c r="G9">
        <f>IF(B9&gt;0,F9/B9*100,0)</f>
        <v/>
      </c>
    </row>
    <row r="10">
      <c r="A10" t="inlineStr">
        <is>
          <t>Informational</t>
        </is>
      </c>
      <c r="B10" s="15" t="n"/>
      <c r="C10" s="15" t="n"/>
      <c r="D10" s="15" t="n"/>
      <c r="E10" s="15" t="n"/>
      <c r="F10" s="15" t="n"/>
      <c r="G10">
        <f>IF(B10&gt;0,F10/B10*100,0)</f>
        <v/>
      </c>
    </row>
    <row r="11">
      <c r="A11" s="16" t="inlineStr">
        <is>
          <t>TOTAL</t>
        </is>
      </c>
      <c r="B11">
        <f>SUM(B6:B10)</f>
        <v/>
      </c>
      <c r="C11">
        <f>B11/30</f>
        <v/>
      </c>
      <c r="D11">
        <f>SUM(D6:D10)</f>
        <v/>
      </c>
      <c r="E11">
        <f>SUM(E6:E10)</f>
        <v/>
      </c>
      <c r="F11">
        <f>SUM(F6:F10)</f>
        <v/>
      </c>
      <c r="G11">
        <f>IF(B11&gt;0,F11/B11*100,0)</f>
        <v/>
      </c>
    </row>
    <row r="13">
      <c r="A13" s="12" t="inlineStr">
        <is>
          <t>ALERT VOLUME BY CHANNEL (Last 30 Days)</t>
        </is>
      </c>
    </row>
    <row r="14">
      <c r="A14" s="13" t="inlineStr">
        <is>
          <t>Channel</t>
        </is>
      </c>
      <c r="B14" s="13" t="inlineStr">
        <is>
          <t>Total Alerts</t>
        </is>
      </c>
      <c r="C14" s="13" t="inlineStr">
        <is>
          <t>Blocked</t>
        </is>
      </c>
      <c r="D14" s="13" t="inlineStr">
        <is>
          <t>Alerted</t>
        </is>
      </c>
      <c r="E14" s="13" t="inlineStr">
        <is>
          <t>FP Rate %</t>
        </is>
      </c>
      <c r="F14" s="13" t="inlineStr">
        <is>
          <t>Top Rule Name</t>
        </is>
      </c>
    </row>
    <row r="15">
      <c r="A15" t="inlineStr">
        <is>
          <t>Email</t>
        </is>
      </c>
      <c r="B15" s="15" t="n"/>
      <c r="C15" s="15" t="n"/>
      <c r="D15" s="15" t="n"/>
      <c r="E15" s="15" t="n"/>
      <c r="F15" s="15" t="n"/>
    </row>
    <row r="16">
      <c r="A16" t="inlineStr">
        <is>
          <t>Web</t>
        </is>
      </c>
      <c r="B16" s="15" t="n"/>
      <c r="C16" s="15" t="n"/>
      <c r="D16" s="15" t="n"/>
      <c r="E16" s="15" t="n"/>
      <c r="F16" s="15" t="n"/>
    </row>
    <row r="17">
      <c r="A17" t="inlineStr">
        <is>
          <t>Endpoint</t>
        </is>
      </c>
      <c r="B17" s="15" t="n"/>
      <c r="C17" s="15" t="n"/>
      <c r="D17" s="15" t="n"/>
      <c r="E17" s="15" t="n"/>
      <c r="F17" s="15" t="n"/>
    </row>
    <row r="18">
      <c r="A18" t="inlineStr">
        <is>
          <t>Network</t>
        </is>
      </c>
      <c r="B18" s="15" t="n"/>
      <c r="C18" s="15" t="n"/>
      <c r="D18" s="15" t="n"/>
      <c r="E18" s="15" t="n"/>
      <c r="F18" s="15" t="n"/>
    </row>
    <row r="19">
      <c r="A19" t="inlineStr">
        <is>
          <t>Application</t>
        </is>
      </c>
      <c r="B19" s="15" t="n"/>
      <c r="C19" s="15" t="n"/>
      <c r="D19" s="15" t="n"/>
      <c r="E19" s="15" t="n"/>
      <c r="F19" s="15" t="n"/>
    </row>
    <row r="20">
      <c r="A20" t="inlineStr">
        <is>
          <t>Mobile</t>
        </is>
      </c>
      <c r="B20" s="15" t="n"/>
      <c r="C20" s="15" t="n"/>
      <c r="D20" s="15" t="n"/>
      <c r="E20" s="15" t="n"/>
      <c r="F20" s="15" t="n"/>
    </row>
    <row r="22">
      <c r="A22" s="12" t="inlineStr">
        <is>
          <t>ALERT TREND ANALYSIS (Weekly)</t>
        </is>
      </c>
    </row>
    <row r="23">
      <c r="A23" s="13" t="inlineStr">
        <is>
          <t>Week</t>
        </is>
      </c>
      <c r="B23" s="13" t="inlineStr">
        <is>
          <t>Critical</t>
        </is>
      </c>
      <c r="C23" s="13" t="inlineStr">
        <is>
          <t>High</t>
        </is>
      </c>
      <c r="D23" s="13" t="inlineStr">
        <is>
          <t>Medium</t>
        </is>
      </c>
      <c r="E23" s="13" t="inlineStr">
        <is>
          <t>Low</t>
        </is>
      </c>
      <c r="F23" s="13" t="inlineStr">
        <is>
          <t>Total</t>
        </is>
      </c>
      <c r="G23" s="13" t="inlineStr">
        <is>
          <t>FP Rate %</t>
        </is>
      </c>
      <c r="H23" s="13" t="inlineStr">
        <is>
          <t>Notes</t>
        </is>
      </c>
    </row>
    <row r="24">
      <c r="A24" t="inlineStr">
        <is>
          <t>Week 1 (Dec 2-8)</t>
        </is>
      </c>
      <c r="B24" s="15" t="n"/>
      <c r="C24" s="15" t="n"/>
      <c r="D24" s="15" t="n"/>
      <c r="E24" s="15" t="n"/>
      <c r="F24">
        <f>SUM(B24:E24)</f>
        <v/>
      </c>
      <c r="G24" s="15" t="n"/>
      <c r="H24" s="15" t="n"/>
    </row>
    <row r="25">
      <c r="A25" t="inlineStr">
        <is>
          <t>Week 2 (Dec 9-15)</t>
        </is>
      </c>
      <c r="B25" s="15" t="n"/>
      <c r="C25" s="15" t="n"/>
      <c r="D25" s="15" t="n"/>
      <c r="E25" s="15" t="n"/>
      <c r="F25">
        <f>SUM(B25:E25)</f>
        <v/>
      </c>
      <c r="G25" s="15" t="n"/>
      <c r="H25" s="15" t="n"/>
    </row>
    <row r="26">
      <c r="A26" t="inlineStr">
        <is>
          <t>Week 3 (Dec 16-22)</t>
        </is>
      </c>
      <c r="B26" s="15" t="n"/>
      <c r="C26" s="15" t="n"/>
      <c r="D26" s="15" t="n"/>
      <c r="E26" s="15" t="n"/>
      <c r="F26">
        <f>SUM(B26:E26)</f>
        <v/>
      </c>
      <c r="G26" s="15" t="n"/>
      <c r="H26" s="15" t="n"/>
    </row>
    <row r="27">
      <c r="A27" t="inlineStr">
        <is>
          <t>Week 4 (Dec 23-29)</t>
        </is>
      </c>
      <c r="B27" s="15" t="n"/>
      <c r="C27" s="15" t="n"/>
      <c r="D27" s="15" t="n"/>
      <c r="E27" s="15" t="n"/>
      <c r="F27">
        <f>SUM(B27:E27)</f>
        <v/>
      </c>
      <c r="G27" s="15" t="n"/>
      <c r="H27" s="15" t="n"/>
    </row>
  </sheetData>
  <mergeCells count="5">
    <mergeCell ref="A1:G1"/>
    <mergeCell ref="A13:F13"/>
    <mergeCell ref="A4:G4"/>
    <mergeCell ref="A2:G2"/>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5"/>
  <sheetViews>
    <sheetView showGridLines="0" workbookViewId="0">
      <pane ySplit="4" topLeftCell="A5" activePane="bottomLeft" state="frozen"/>
      <selection pane="bottomLeft" activeCell="A1" sqref="A1"/>
    </sheetView>
  </sheetViews>
  <sheetFormatPr baseColWidth="8" defaultRowHeight="15"/>
  <cols>
    <col width="12" customWidth="1" min="1" max="1"/>
    <col width="40" customWidth="1" min="2" max="2"/>
    <col width="20" customWidth="1" min="3" max="3"/>
    <col width="20" customWidth="1" min="4" max="4"/>
    <col width="30" customWidth="1" min="5" max="5"/>
  </cols>
  <sheetData>
    <row r="1" ht="35" customHeight="1">
      <c r="A1" s="11" t="inlineStr">
        <is>
          <t>SIEM INTEGRATION ASSESSMENT</t>
        </is>
      </c>
    </row>
    <row r="2">
      <c r="A2" s="12" t="inlineStr">
        <is>
          <t>Assess SIEM integration, log forwarding, and correlation rules (25 criteria)</t>
        </is>
      </c>
    </row>
    <row r="4">
      <c r="A4" s="13" t="inlineStr">
        <is>
          <t>#</t>
        </is>
      </c>
      <c r="B4" s="13" t="inlineStr">
        <is>
          <t>Requirement</t>
        </is>
      </c>
      <c r="C4" s="13" t="inlineStr">
        <is>
          <t>Compliance</t>
        </is>
      </c>
      <c r="D4" s="13" t="inlineStr">
        <is>
          <t>Evidence ID</t>
        </is>
      </c>
      <c r="E4" s="13" t="inlineStr">
        <is>
          <t>Notes</t>
        </is>
      </c>
    </row>
    <row r="5">
      <c r="A5" s="14" t="n">
        <v>1</v>
      </c>
      <c r="B5" s="14" t="inlineStr">
        <is>
          <t>Are DLP logs forwarded to organisational SIEM?</t>
        </is>
      </c>
      <c r="C5" s="14" t="inlineStr">
        <is>
          <t>Yes</t>
        </is>
      </c>
      <c r="D5" s="14" t="inlineStr">
        <is>
          <t>A812-4-SIEM-001</t>
        </is>
      </c>
      <c r="E5" s="14" t="inlineStr">
        <is>
          <t>Forwarding to Splunk via TLS</t>
        </is>
      </c>
    </row>
    <row r="6">
      <c r="A6" s="15" t="n"/>
      <c r="B6" s="15" t="n"/>
      <c r="C6" s="15" t="n"/>
      <c r="D6" s="15" t="n"/>
      <c r="E6" s="15" t="n"/>
    </row>
    <row r="7">
      <c r="A7" s="15" t="n"/>
      <c r="B7" s="15" t="n"/>
      <c r="C7" s="15" t="n"/>
      <c r="D7" s="15" t="n"/>
      <c r="E7" s="15" t="n"/>
    </row>
    <row r="8">
      <c r="A8" s="15" t="n"/>
      <c r="B8" s="15" t="n"/>
      <c r="C8" s="15" t="n"/>
      <c r="D8" s="15" t="n"/>
      <c r="E8" s="15" t="n"/>
    </row>
    <row r="9">
      <c r="A9" s="15" t="n"/>
      <c r="B9" s="15" t="n"/>
      <c r="C9" s="15" t="n"/>
      <c r="D9" s="15" t="n"/>
      <c r="E9" s="15" t="n"/>
    </row>
    <row r="10">
      <c r="A10" s="15" t="n"/>
      <c r="B10" s="15" t="n"/>
      <c r="C10" s="15" t="n"/>
      <c r="D10" s="15" t="n"/>
      <c r="E10" s="15" t="n"/>
    </row>
    <row r="11">
      <c r="A11" s="15" t="n"/>
      <c r="B11" s="15" t="n"/>
      <c r="C11" s="15" t="n"/>
      <c r="D11" s="15" t="n"/>
      <c r="E11" s="15" t="n"/>
    </row>
    <row r="12">
      <c r="A12" s="15" t="n"/>
      <c r="B12" s="15" t="n"/>
      <c r="C12" s="15" t="n"/>
      <c r="D12" s="15" t="n"/>
      <c r="E12" s="15" t="n"/>
    </row>
    <row r="13">
      <c r="A13" s="15" t="n"/>
      <c r="B13" s="15" t="n"/>
      <c r="C13" s="15" t="n"/>
      <c r="D13" s="15" t="n"/>
      <c r="E13" s="15" t="n"/>
    </row>
    <row r="14">
      <c r="A14" s="15" t="n"/>
      <c r="B14" s="15" t="n"/>
      <c r="C14" s="15" t="n"/>
      <c r="D14" s="15" t="n"/>
      <c r="E14" s="15" t="n"/>
    </row>
    <row r="15">
      <c r="A15" s="15" t="n"/>
      <c r="B15" s="15" t="n"/>
      <c r="C15" s="15" t="n"/>
      <c r="D15" s="15" t="n"/>
      <c r="E15" s="15" t="n"/>
    </row>
    <row r="16">
      <c r="A16" s="15" t="n"/>
      <c r="B16" s="15" t="n"/>
      <c r="C16" s="15" t="n"/>
      <c r="D16" s="15" t="n"/>
      <c r="E16" s="15" t="n"/>
    </row>
    <row r="17">
      <c r="A17" s="15" t="n"/>
      <c r="B17" s="15" t="n"/>
      <c r="C17" s="15" t="n"/>
      <c r="D17" s="15" t="n"/>
      <c r="E17" s="15" t="n"/>
    </row>
    <row r="18">
      <c r="A18" s="15" t="n"/>
      <c r="B18" s="15" t="n"/>
      <c r="C18" s="15" t="n"/>
      <c r="D18" s="15" t="n"/>
      <c r="E18" s="15" t="n"/>
    </row>
    <row r="19">
      <c r="A19" s="15" t="n"/>
      <c r="B19" s="15" t="n"/>
      <c r="C19" s="15" t="n"/>
      <c r="D19" s="15" t="n"/>
      <c r="E19" s="15" t="n"/>
    </row>
    <row r="20">
      <c r="A20" s="15" t="n"/>
      <c r="B20" s="15" t="n"/>
      <c r="C20" s="15" t="n"/>
      <c r="D20" s="15" t="n"/>
      <c r="E20" s="15" t="n"/>
    </row>
    <row r="21">
      <c r="A21" s="15" t="n"/>
      <c r="B21" s="15" t="n"/>
      <c r="C21" s="15" t="n"/>
      <c r="D21" s="15" t="n"/>
      <c r="E21" s="15" t="n"/>
    </row>
    <row r="22">
      <c r="A22" s="15" t="n"/>
      <c r="B22" s="15" t="n"/>
      <c r="C22" s="15" t="n"/>
      <c r="D22" s="15" t="n"/>
      <c r="E22" s="15" t="n"/>
    </row>
    <row r="23">
      <c r="A23" s="15" t="n"/>
      <c r="B23" s="15" t="n"/>
      <c r="C23" s="15" t="n"/>
      <c r="D23" s="15" t="n"/>
      <c r="E23" s="15" t="n"/>
    </row>
    <row r="24">
      <c r="A24" s="15" t="n"/>
      <c r="B24" s="15" t="n"/>
      <c r="C24" s="15" t="n"/>
      <c r="D24" s="15" t="n"/>
      <c r="E24" s="15" t="n"/>
    </row>
    <row r="25">
      <c r="A25" s="15" t="n"/>
      <c r="B25" s="15" t="n"/>
      <c r="C25" s="15" t="n"/>
      <c r="D25" s="15" t="n"/>
      <c r="E25" s="15" t="n"/>
    </row>
    <row r="26">
      <c r="A26" s="15" t="n"/>
      <c r="B26" s="15" t="n"/>
      <c r="C26" s="15" t="n"/>
      <c r="D26" s="15" t="n"/>
      <c r="E26" s="15" t="n"/>
    </row>
    <row r="27">
      <c r="A27" s="15" t="n"/>
      <c r="B27" s="15" t="n"/>
      <c r="C27" s="15" t="n"/>
      <c r="D27" s="15" t="n"/>
      <c r="E27" s="15" t="n"/>
    </row>
    <row r="28">
      <c r="A28" s="15" t="n"/>
      <c r="B28" s="15" t="n"/>
      <c r="C28" s="15" t="n"/>
      <c r="D28" s="15" t="n"/>
      <c r="E28" s="15" t="n"/>
    </row>
    <row r="29">
      <c r="A29" s="15" t="n"/>
      <c r="B29" s="15" t="n"/>
      <c r="C29" s="15" t="n"/>
      <c r="D29" s="15" t="n"/>
      <c r="E29" s="15" t="n"/>
    </row>
    <row r="30">
      <c r="A30" s="15" t="n"/>
      <c r="B30" s="15" t="n"/>
      <c r="C30" s="15" t="n"/>
      <c r="D30" s="15" t="n"/>
      <c r="E30" s="15" t="n"/>
    </row>
    <row r="31">
      <c r="A31" s="15" t="n"/>
      <c r="B31" s="15" t="n"/>
      <c r="C31" s="15" t="n"/>
      <c r="D31" s="15" t="n"/>
      <c r="E31" s="15" t="n"/>
    </row>
    <row r="32">
      <c r="A32" s="15" t="n"/>
      <c r="B32" s="15" t="n"/>
      <c r="C32" s="15" t="n"/>
      <c r="D32" s="15" t="n"/>
      <c r="E32" s="15" t="n"/>
    </row>
    <row r="33">
      <c r="A33" s="15" t="n"/>
      <c r="B33" s="15" t="n"/>
      <c r="C33" s="15" t="n"/>
      <c r="D33" s="15" t="n"/>
      <c r="E33" s="15" t="n"/>
    </row>
    <row r="34">
      <c r="A34" s="15" t="n"/>
      <c r="B34" s="15" t="n"/>
      <c r="C34" s="15" t="n"/>
      <c r="D34" s="15" t="n"/>
      <c r="E34" s="15" t="n"/>
    </row>
    <row r="35">
      <c r="A35" s="15" t="n"/>
      <c r="B35" s="15" t="n"/>
      <c r="C35" s="15" t="n"/>
      <c r="D35" s="15" t="n"/>
      <c r="E35" s="15" t="n"/>
    </row>
    <row r="36">
      <c r="A36" s="15" t="n"/>
      <c r="B36" s="15" t="n"/>
      <c r="C36" s="15" t="n"/>
      <c r="D36" s="15" t="n"/>
      <c r="E36" s="15" t="n"/>
    </row>
    <row r="37">
      <c r="A37" s="15" t="n"/>
      <c r="B37" s="15" t="n"/>
      <c r="C37" s="15" t="n"/>
      <c r="D37" s="15" t="n"/>
      <c r="E37" s="15" t="n"/>
    </row>
    <row r="38">
      <c r="A38" s="15" t="n"/>
      <c r="B38" s="15" t="n"/>
      <c r="C38" s="15" t="n"/>
      <c r="D38" s="15" t="n"/>
      <c r="E38" s="15" t="n"/>
    </row>
    <row r="39">
      <c r="A39" s="15" t="n"/>
      <c r="B39" s="15" t="n"/>
      <c r="C39" s="15" t="n"/>
      <c r="D39" s="15" t="n"/>
      <c r="E39" s="15" t="n"/>
    </row>
    <row r="40">
      <c r="A40" s="15" t="n"/>
      <c r="B40" s="15" t="n"/>
      <c r="C40" s="15" t="n"/>
      <c r="D40" s="15" t="n"/>
      <c r="E40" s="15" t="n"/>
    </row>
    <row r="41">
      <c r="A41" s="15" t="n"/>
      <c r="B41" s="15" t="n"/>
      <c r="C41" s="15" t="n"/>
      <c r="D41" s="15" t="n"/>
      <c r="E41" s="15" t="n"/>
    </row>
    <row r="42">
      <c r="A42" s="15" t="n"/>
      <c r="B42" s="15" t="n"/>
      <c r="C42" s="15" t="n"/>
      <c r="D42" s="15" t="n"/>
      <c r="E42" s="15" t="n"/>
    </row>
    <row r="43">
      <c r="A43" s="15" t="n"/>
      <c r="B43" s="15" t="n"/>
      <c r="C43" s="15" t="n"/>
      <c r="D43" s="15" t="n"/>
      <c r="E43" s="15" t="n"/>
    </row>
    <row r="44">
      <c r="A44" s="15" t="n"/>
      <c r="B44" s="15" t="n"/>
      <c r="C44" s="15" t="n"/>
      <c r="D44" s="15" t="n"/>
      <c r="E44" s="15" t="n"/>
    </row>
    <row r="45">
      <c r="A45" s="15" t="n"/>
      <c r="B45" s="15" t="n"/>
      <c r="C45" s="15" t="n"/>
      <c r="D45" s="15" t="n"/>
      <c r="E45" s="15" t="n"/>
    </row>
    <row r="46">
      <c r="A46" s="15" t="n"/>
      <c r="B46" s="15" t="n"/>
      <c r="C46" s="15" t="n"/>
      <c r="D46" s="15" t="n"/>
      <c r="E46" s="15" t="n"/>
    </row>
    <row r="47">
      <c r="A47" s="15" t="n"/>
      <c r="B47" s="15" t="n"/>
      <c r="C47" s="15" t="n"/>
      <c r="D47" s="15" t="n"/>
      <c r="E47" s="15" t="n"/>
    </row>
    <row r="48">
      <c r="A48" s="15" t="n"/>
      <c r="B48" s="15" t="n"/>
      <c r="C48" s="15" t="n"/>
      <c r="D48" s="15" t="n"/>
      <c r="E48" s="15" t="n"/>
    </row>
    <row r="49">
      <c r="A49" s="15" t="n"/>
      <c r="B49" s="15" t="n"/>
      <c r="C49" s="15" t="n"/>
      <c r="D49" s="15" t="n"/>
      <c r="E49" s="15" t="n"/>
    </row>
    <row r="50">
      <c r="A50" s="15" t="n"/>
      <c r="B50" s="15" t="n"/>
      <c r="C50" s="15" t="n"/>
      <c r="D50" s="15" t="n"/>
      <c r="E50" s="15" t="n"/>
    </row>
    <row r="51">
      <c r="A51" s="15" t="n"/>
      <c r="B51" s="15" t="n"/>
      <c r="C51" s="15" t="n"/>
      <c r="D51" s="15" t="n"/>
      <c r="E51" s="15" t="n"/>
    </row>
    <row r="52">
      <c r="A52" s="15" t="n"/>
      <c r="B52" s="15" t="n"/>
      <c r="C52" s="15" t="n"/>
      <c r="D52" s="15" t="n"/>
      <c r="E52" s="15" t="n"/>
    </row>
    <row r="53">
      <c r="A53" s="15" t="n"/>
      <c r="B53" s="15" t="n"/>
      <c r="C53" s="15" t="n"/>
      <c r="D53" s="15" t="n"/>
      <c r="E53" s="15" t="n"/>
    </row>
    <row r="54">
      <c r="A54" s="15" t="n"/>
      <c r="B54" s="15" t="n"/>
      <c r="C54" s="15" t="n"/>
      <c r="D54" s="15" t="n"/>
      <c r="E54" s="15" t="n"/>
    </row>
    <row r="55">
      <c r="A55" s="15" t="n"/>
      <c r="B55" s="15" t="n"/>
      <c r="C55" s="15" t="n"/>
      <c r="D55" s="15" t="n"/>
      <c r="E55" s="15" t="n"/>
    </row>
  </sheetData>
  <mergeCells count="2">
    <mergeCell ref="A2:E2"/>
    <mergeCell ref="A1:E1"/>
  </mergeCells>
  <dataValidations count="1">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"Yes,No,Partial,Planned,N/A"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8"/>
  <sheetViews>
    <sheetView showGridLines="0" workbookViewId="0">
      <pane ySplit="4" topLeftCell="A5" activePane="bottomLeft" state="frozen"/>
      <selection pane="bottomLeft" activeCell="A1" sqref="A1"/>
    </sheetView>
  </sheetViews>
  <sheetFormatPr baseColWidth="8" defaultRowHeight="15"/>
  <cols>
    <col width="20" customWidth="1" min="1" max="1"/>
    <col width="40" customWidth="1" min="2" max="2"/>
    <col width="20" customWidth="1" min="3" max="3"/>
    <col width="20" customWidth="1" min="4" max="4"/>
    <col width="20" customWidth="1" min="5" max="5"/>
  </cols>
  <sheetData>
    <row r="1" ht="35" customHeight="1">
      <c r="A1" s="11" t="inlineStr">
        <is>
          <t>FALSE POSITIVE MANAGEMENT ASSESSMENT</t>
        </is>
      </c>
    </row>
    <row r="2">
      <c r="A2" s="12" t="inlineStr">
        <is>
          <t>Assess false positive tracking, tuning, and management (20 criteria + FP rate table)</t>
        </is>
      </c>
    </row>
    <row r="4">
      <c r="A4" s="13" t="inlineStr">
        <is>
          <t>#</t>
        </is>
      </c>
      <c r="B4" s="13" t="inlineStr">
        <is>
          <t>Requirement</t>
        </is>
      </c>
      <c r="C4" s="13" t="inlineStr">
        <is>
          <t>Compliance</t>
        </is>
      </c>
      <c r="D4" s="13" t="inlineStr">
        <is>
          <t>Evidence ID</t>
        </is>
      </c>
      <c r="E4" s="13" t="inlineStr">
        <is>
          <t>Notes</t>
        </is>
      </c>
    </row>
    <row r="5">
      <c r="A5" s="14" t="n">
        <v>1</v>
      </c>
      <c r="B5" s="14" t="inlineStr">
        <is>
          <t>Is false positive rate measured per alert rule?</t>
        </is>
      </c>
      <c r="C5" s="14" t="inlineStr">
        <is>
          <t>Yes</t>
        </is>
      </c>
      <c r="D5" s="14" t="inlineStr">
        <is>
          <t>A812-4-FP-001</t>
        </is>
      </c>
      <c r="E5" s="14" t="inlineStr">
        <is>
          <t>FP rate tracked per rule in dashboard</t>
        </is>
      </c>
    </row>
    <row r="6">
      <c r="A6" s="15" t="n"/>
      <c r="B6" s="15" t="n"/>
      <c r="C6" s="15" t="n"/>
      <c r="D6" s="15" t="n"/>
      <c r="E6" s="15" t="n"/>
    </row>
    <row r="7">
      <c r="A7" s="15" t="n"/>
      <c r="B7" s="15" t="n"/>
      <c r="C7" s="15" t="n"/>
      <c r="D7" s="15" t="n"/>
      <c r="E7" s="15" t="n"/>
    </row>
    <row r="8">
      <c r="A8" s="15" t="n"/>
      <c r="B8" s="15" t="n"/>
      <c r="C8" s="15" t="n"/>
      <c r="D8" s="15" t="n"/>
      <c r="E8" s="15" t="n"/>
    </row>
    <row r="9">
      <c r="A9" s="15" t="n"/>
      <c r="B9" s="15" t="n"/>
      <c r="C9" s="15" t="n"/>
      <c r="D9" s="15" t="n"/>
      <c r="E9" s="15" t="n"/>
    </row>
    <row r="10">
      <c r="A10" s="15" t="n"/>
      <c r="B10" s="15" t="n"/>
      <c r="C10" s="15" t="n"/>
      <c r="D10" s="15" t="n"/>
      <c r="E10" s="15" t="n"/>
    </row>
    <row r="11">
      <c r="A11" s="15" t="n"/>
      <c r="B11" s="15" t="n"/>
      <c r="C11" s="15" t="n"/>
      <c r="D11" s="15" t="n"/>
      <c r="E11" s="15" t="n"/>
    </row>
    <row r="12">
      <c r="A12" s="15" t="n"/>
      <c r="B12" s="15" t="n"/>
      <c r="C12" s="15" t="n"/>
      <c r="D12" s="15" t="n"/>
      <c r="E12" s="15" t="n"/>
    </row>
    <row r="13">
      <c r="A13" s="15" t="n"/>
      <c r="B13" s="15" t="n"/>
      <c r="C13" s="15" t="n"/>
      <c r="D13" s="15" t="n"/>
      <c r="E13" s="15" t="n"/>
    </row>
    <row r="14">
      <c r="A14" s="15" t="n"/>
      <c r="B14" s="15" t="n"/>
      <c r="C14" s="15" t="n"/>
      <c r="D14" s="15" t="n"/>
      <c r="E14" s="15" t="n"/>
    </row>
    <row r="15">
      <c r="A15" s="15" t="n"/>
      <c r="B15" s="15" t="n"/>
      <c r="C15" s="15" t="n"/>
      <c r="D15" s="15" t="n"/>
      <c r="E15" s="15" t="n"/>
    </row>
    <row r="16">
      <c r="A16" s="15" t="n"/>
      <c r="B16" s="15" t="n"/>
      <c r="C16" s="15" t="n"/>
      <c r="D16" s="15" t="n"/>
      <c r="E16" s="15" t="n"/>
    </row>
    <row r="17">
      <c r="A17" s="15" t="n"/>
      <c r="B17" s="15" t="n"/>
      <c r="C17" s="15" t="n"/>
      <c r="D17" s="15" t="n"/>
      <c r="E17" s="15" t="n"/>
    </row>
    <row r="18">
      <c r="A18" s="15" t="n"/>
      <c r="B18" s="15" t="n"/>
      <c r="C18" s="15" t="n"/>
      <c r="D18" s="15" t="n"/>
      <c r="E18" s="15" t="n"/>
    </row>
    <row r="19">
      <c r="A19" s="15" t="n"/>
      <c r="B19" s="15" t="n"/>
      <c r="C19" s="15" t="n"/>
      <c r="D19" s="15" t="n"/>
      <c r="E19" s="15" t="n"/>
    </row>
    <row r="20">
      <c r="A20" s="15" t="n"/>
      <c r="B20" s="15" t="n"/>
      <c r="C20" s="15" t="n"/>
      <c r="D20" s="15" t="n"/>
      <c r="E20" s="15" t="n"/>
    </row>
    <row r="21">
      <c r="A21" s="15" t="n"/>
      <c r="B21" s="15" t="n"/>
      <c r="C21" s="15" t="n"/>
      <c r="D21" s="15" t="n"/>
      <c r="E21" s="15" t="n"/>
    </row>
    <row r="22">
      <c r="A22" s="15" t="n"/>
      <c r="B22" s="15" t="n"/>
      <c r="C22" s="15" t="n"/>
      <c r="D22" s="15" t="n"/>
      <c r="E22" s="15" t="n"/>
    </row>
    <row r="23">
      <c r="A23" s="15" t="n"/>
      <c r="B23" s="15" t="n"/>
      <c r="C23" s="15" t="n"/>
      <c r="D23" s="15" t="n"/>
      <c r="E23" s="15" t="n"/>
    </row>
    <row r="24">
      <c r="A24" s="15" t="n"/>
      <c r="B24" s="15" t="n"/>
      <c r="C24" s="15" t="n"/>
      <c r="D24" s="15" t="n"/>
      <c r="E24" s="15" t="n"/>
    </row>
    <row r="25">
      <c r="A25" s="15" t="n"/>
      <c r="B25" s="15" t="n"/>
      <c r="C25" s="15" t="n"/>
      <c r="D25" s="15" t="n"/>
      <c r="E25" s="15" t="n"/>
    </row>
    <row r="26">
      <c r="A26" s="15" t="n"/>
      <c r="B26" s="15" t="n"/>
      <c r="C26" s="15" t="n"/>
      <c r="D26" s="15" t="n"/>
      <c r="E26" s="15" t="n"/>
    </row>
    <row r="27">
      <c r="A27" s="15" t="n"/>
      <c r="B27" s="15" t="n"/>
      <c r="C27" s="15" t="n"/>
      <c r="D27" s="15" t="n"/>
      <c r="E27" s="15" t="n"/>
    </row>
    <row r="28">
      <c r="A28" s="15" t="n"/>
      <c r="B28" s="15" t="n"/>
      <c r="C28" s="15" t="n"/>
      <c r="D28" s="15" t="n"/>
      <c r="E28" s="15" t="n"/>
    </row>
    <row r="29">
      <c r="A29" s="15" t="n"/>
      <c r="B29" s="15" t="n"/>
      <c r="C29" s="15" t="n"/>
      <c r="D29" s="15" t="n"/>
      <c r="E29" s="15" t="n"/>
    </row>
    <row r="30">
      <c r="A30" s="15" t="n"/>
      <c r="B30" s="15" t="n"/>
      <c r="C30" s="15" t="n"/>
      <c r="D30" s="15" t="n"/>
      <c r="E30" s="15" t="n"/>
    </row>
    <row r="31">
      <c r="A31" s="15" t="n"/>
      <c r="B31" s="15" t="n"/>
      <c r="C31" s="15" t="n"/>
      <c r="D31" s="15" t="n"/>
      <c r="E31" s="15" t="n"/>
    </row>
    <row r="32">
      <c r="A32" s="15" t="n"/>
      <c r="B32" s="15" t="n"/>
      <c r="C32" s="15" t="n"/>
      <c r="D32" s="15" t="n"/>
      <c r="E32" s="15" t="n"/>
    </row>
    <row r="33">
      <c r="A33" s="15" t="n"/>
      <c r="B33" s="15" t="n"/>
      <c r="C33" s="15" t="n"/>
      <c r="D33" s="15" t="n"/>
      <c r="E33" s="15" t="n"/>
    </row>
    <row r="34">
      <c r="A34" s="15" t="n"/>
      <c r="B34" s="15" t="n"/>
      <c r="C34" s="15" t="n"/>
      <c r="D34" s="15" t="n"/>
      <c r="E34" s="15" t="n"/>
    </row>
    <row r="35">
      <c r="A35" s="15" t="n"/>
      <c r="B35" s="15" t="n"/>
      <c r="C35" s="15" t="n"/>
      <c r="D35" s="15" t="n"/>
      <c r="E35" s="15" t="n"/>
    </row>
    <row r="36">
      <c r="A36" s="15" t="n"/>
      <c r="B36" s="15" t="n"/>
      <c r="C36" s="15" t="n"/>
      <c r="D36" s="15" t="n"/>
      <c r="E36" s="15" t="n"/>
    </row>
    <row r="37">
      <c r="A37" s="15" t="n"/>
      <c r="B37" s="15" t="n"/>
      <c r="C37" s="15" t="n"/>
      <c r="D37" s="15" t="n"/>
      <c r="E37" s="15" t="n"/>
    </row>
    <row r="38">
      <c r="A38" s="15" t="n"/>
      <c r="B38" s="15" t="n"/>
      <c r="C38" s="15" t="n"/>
      <c r="D38" s="15" t="n"/>
      <c r="E38" s="15" t="n"/>
    </row>
    <row r="39">
      <c r="A39" s="15" t="n"/>
      <c r="B39" s="15" t="n"/>
      <c r="C39" s="15" t="n"/>
      <c r="D39" s="15" t="n"/>
      <c r="E39" s="15" t="n"/>
    </row>
    <row r="40">
      <c r="A40" s="15" t="n"/>
      <c r="B40" s="15" t="n"/>
      <c r="C40" s="15" t="n"/>
      <c r="D40" s="15" t="n"/>
      <c r="E40" s="15" t="n"/>
    </row>
    <row r="41">
      <c r="A41" s="15" t="n"/>
      <c r="B41" s="15" t="n"/>
      <c r="C41" s="15" t="n"/>
      <c r="D41" s="15" t="n"/>
      <c r="E41" s="15" t="n"/>
    </row>
    <row r="42">
      <c r="A42" s="15" t="n"/>
      <c r="B42" s="15" t="n"/>
      <c r="C42" s="15" t="n"/>
      <c r="D42" s="15" t="n"/>
      <c r="E42" s="15" t="n"/>
    </row>
    <row r="43">
      <c r="A43" s="15" t="n"/>
      <c r="B43" s="15" t="n"/>
      <c r="C43" s="15" t="n"/>
      <c r="D43" s="15" t="n"/>
      <c r="E43" s="15" t="n"/>
    </row>
    <row r="44">
      <c r="A44" s="15" t="n"/>
      <c r="B44" s="15" t="n"/>
      <c r="C44" s="15" t="n"/>
      <c r="D44" s="15" t="n"/>
      <c r="E44" s="15" t="n"/>
    </row>
    <row r="45">
      <c r="A45" s="15" t="n"/>
      <c r="B45" s="15" t="n"/>
      <c r="C45" s="15" t="n"/>
      <c r="D45" s="15" t="n"/>
      <c r="E45" s="15" t="n"/>
    </row>
    <row r="46">
      <c r="A46" s="15" t="n"/>
      <c r="B46" s="15" t="n"/>
      <c r="C46" s="15" t="n"/>
      <c r="D46" s="15" t="n"/>
      <c r="E46" s="15" t="n"/>
    </row>
    <row r="47">
      <c r="A47" s="15" t="n"/>
      <c r="B47" s="15" t="n"/>
      <c r="C47" s="15" t="n"/>
      <c r="D47" s="15" t="n"/>
      <c r="E47" s="15" t="n"/>
    </row>
    <row r="48">
      <c r="A48" s="15" t="n"/>
      <c r="B48" s="15" t="n"/>
      <c r="C48" s="15" t="n"/>
      <c r="D48" s="15" t="n"/>
      <c r="E48" s="15" t="n"/>
    </row>
    <row r="49">
      <c r="A49" s="15" t="n"/>
      <c r="B49" s="15" t="n"/>
      <c r="C49" s="15" t="n"/>
      <c r="D49" s="15" t="n"/>
      <c r="E49" s="15" t="n"/>
    </row>
    <row r="50">
      <c r="A50" s="15" t="n"/>
      <c r="B50" s="15" t="n"/>
      <c r="C50" s="15" t="n"/>
      <c r="D50" s="15" t="n"/>
      <c r="E50" s="15" t="n"/>
    </row>
    <row r="51">
      <c r="A51" s="15" t="n"/>
      <c r="B51" s="15" t="n"/>
      <c r="C51" s="15" t="n"/>
      <c r="D51" s="15" t="n"/>
      <c r="E51" s="15" t="n"/>
    </row>
    <row r="52">
      <c r="A52" s="15" t="n"/>
      <c r="B52" s="15" t="n"/>
      <c r="C52" s="15" t="n"/>
      <c r="D52" s="15" t="n"/>
      <c r="E52" s="15" t="n"/>
    </row>
    <row r="53">
      <c r="A53" s="15" t="n"/>
      <c r="B53" s="15" t="n"/>
      <c r="C53" s="15" t="n"/>
      <c r="D53" s="15" t="n"/>
      <c r="E53" s="15" t="n"/>
    </row>
    <row r="54">
      <c r="A54" s="15" t="n"/>
      <c r="B54" s="15" t="n"/>
      <c r="C54" s="15" t="n"/>
      <c r="D54" s="15" t="n"/>
      <c r="E54" s="15" t="n"/>
    </row>
    <row r="55">
      <c r="A55" s="15" t="n"/>
      <c r="B55" s="15" t="n"/>
      <c r="C55" s="15" t="n"/>
      <c r="D55" s="15" t="n"/>
      <c r="E55" s="15" t="n"/>
    </row>
    <row r="57">
      <c r="A57" s="12" t="inlineStr">
        <is>
          <t>FALSE POSITIVE RATE BY ALERT RULE (Top 10 Rules)</t>
        </is>
      </c>
    </row>
    <row r="58">
      <c r="A58" s="13" t="inlineStr">
        <is>
          <t>Alert Rule ID</t>
        </is>
      </c>
      <c r="B58" s="13" t="inlineStr">
        <is>
          <t>Rule Name</t>
        </is>
      </c>
      <c r="C58" s="13" t="inlineStr">
        <is>
          <t>Total Alerts (30d)</t>
        </is>
      </c>
      <c r="D58" s="13" t="inlineStr">
        <is>
          <t>False Positives</t>
        </is>
      </c>
      <c r="E58" s="13" t="inlineStr">
        <is>
          <t>FP Rate %</t>
        </is>
      </c>
      <c r="F58" s="13" t="inlineStr">
        <is>
          <t>Target FP %</t>
        </is>
      </c>
      <c r="G58" s="13" t="inlineStr">
        <is>
          <t>Status</t>
        </is>
      </c>
    </row>
    <row r="59">
      <c r="A59" s="14" t="inlineStr">
        <is>
          <t>ALT-001</t>
        </is>
      </c>
      <c r="B59" s="14" t="inlineStr">
        <is>
          <t>Credentials - Email</t>
        </is>
      </c>
      <c r="C59" s="14" t="n">
        <v>45</v>
      </c>
      <c r="D59" s="14" t="n">
        <v>1</v>
      </c>
      <c r="E59" s="14">
        <f>D59/C59</f>
        <v/>
      </c>
      <c r="F59" s="14" t="inlineStr">
        <is>
          <t>5%</t>
        </is>
      </c>
      <c r="G59" s="14" t="inlineStr">
        <is>
          <t>✅ On Target</t>
        </is>
      </c>
    </row>
    <row r="60">
      <c r="A60" s="14" t="inlineStr">
        <is>
          <t>ALT-002</t>
        </is>
      </c>
      <c r="B60" s="14" t="inlineStr">
        <is>
          <t>PII to External</t>
        </is>
      </c>
      <c r="C60" s="14" t="n">
        <v>230</v>
      </c>
      <c r="D60" s="14" t="n">
        <v>20</v>
      </c>
      <c r="E60" s="14">
        <f>D60/C60</f>
        <v/>
      </c>
      <c r="F60" s="14" t="inlineStr">
        <is>
          <t>10%</t>
        </is>
      </c>
      <c r="G60" s="14" t="inlineStr">
        <is>
          <t>✅ On Target</t>
        </is>
      </c>
    </row>
    <row r="61">
      <c r="A61" s="14" t="inlineStr">
        <is>
          <t>ALT-003</t>
        </is>
      </c>
      <c r="B61" s="14" t="inlineStr">
        <is>
          <t>Source Code GitHub</t>
        </is>
      </c>
      <c r="C61" s="14" t="n">
        <v>12</v>
      </c>
      <c r="D61" s="14" t="n">
        <v>0</v>
      </c>
      <c r="E61" s="14">
        <f>D61/C61</f>
        <v/>
      </c>
      <c r="F61" s="14" t="inlineStr">
        <is>
          <t>5%</t>
        </is>
      </c>
      <c r="G61" s="14" t="inlineStr">
        <is>
          <t>✅ On Target</t>
        </is>
      </c>
    </row>
    <row r="62">
      <c r="A62" s="15" t="n"/>
      <c r="B62" s="15" t="n"/>
      <c r="C62" s="15" t="n"/>
      <c r="D62" s="15" t="n"/>
      <c r="E62">
        <f>IF(C62&gt;0,D62/C62*100,0)</f>
        <v/>
      </c>
      <c r="F62" s="15" t="n"/>
      <c r="G62" s="15" t="n"/>
    </row>
    <row r="63">
      <c r="A63" s="15" t="n"/>
      <c r="B63" s="15" t="n"/>
      <c r="C63" s="15" t="n"/>
      <c r="D63" s="15" t="n"/>
      <c r="E63">
        <f>IF(C63&gt;0,D63/C63*100,0)</f>
        <v/>
      </c>
      <c r="F63" s="15" t="n"/>
      <c r="G63" s="15" t="n"/>
    </row>
    <row r="64">
      <c r="A64" s="15" t="n"/>
      <c r="B64" s="15" t="n"/>
      <c r="C64" s="15" t="n"/>
      <c r="D64" s="15" t="n"/>
      <c r="E64">
        <f>IF(C64&gt;0,D64/C64*100,0)</f>
        <v/>
      </c>
      <c r="F64" s="15" t="n"/>
      <c r="G64" s="15" t="n"/>
    </row>
    <row r="65">
      <c r="A65" s="15" t="n"/>
      <c r="B65" s="15" t="n"/>
      <c r="C65" s="15" t="n"/>
      <c r="D65" s="15" t="n"/>
      <c r="E65">
        <f>IF(C65&gt;0,D65/C65*100,0)</f>
        <v/>
      </c>
      <c r="F65" s="15" t="n"/>
      <c r="G65" s="15" t="n"/>
    </row>
    <row r="66">
      <c r="A66" s="15" t="n"/>
      <c r="B66" s="15" t="n"/>
      <c r="C66" s="15" t="n"/>
      <c r="D66" s="15" t="n"/>
      <c r="E66">
        <f>IF(C66&gt;0,D66/C66*100,0)</f>
        <v/>
      </c>
      <c r="F66" s="15" t="n"/>
      <c r="G66" s="15" t="n"/>
    </row>
    <row r="67">
      <c r="A67" s="15" t="n"/>
      <c r="B67" s="15" t="n"/>
      <c r="C67" s="15" t="n"/>
      <c r="D67" s="15" t="n"/>
      <c r="E67">
        <f>IF(C67&gt;0,D67/C67*100,0)</f>
        <v/>
      </c>
      <c r="F67" s="15" t="n"/>
      <c r="G67" s="15" t="n"/>
    </row>
    <row r="68">
      <c r="A68" s="15" t="n"/>
      <c r="B68" s="15" t="n"/>
      <c r="C68" s="15" t="n"/>
      <c r="D68" s="15" t="n"/>
      <c r="E68">
        <f>IF(C68&gt;0,D68/C68*100,0)</f>
        <v/>
      </c>
      <c r="F68" s="15" t="n"/>
      <c r="G68" s="15" t="n"/>
    </row>
  </sheetData>
  <mergeCells count="3">
    <mergeCell ref="A2:E2"/>
    <mergeCell ref="A1:E1"/>
    <mergeCell ref="A57:G57"/>
  </mergeCells>
  <dataValidations count="1">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"Yes,No,Partial,Planned,N/A"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2"/>
  <sheetViews>
    <sheetView showGridLines="0" workbookViewId="0">
      <pane ySplit="4" topLeftCell="A5" activePane="bottomLeft" state="frozen"/>
      <selection pane="bottomLeft" activeCell="A1" sqref="A1"/>
    </sheetView>
  </sheetViews>
  <sheetFormatPr baseColWidth="8" defaultRowHeight="15"/>
  <cols>
    <col width="12" customWidth="1" min="1" max="1"/>
    <col width="40" customWidth="1" min="2" max="2"/>
    <col width="20" customWidth="1" min="3" max="3"/>
    <col width="20" customWidth="1" min="4" max="4"/>
    <col width="30" customWidth="1" min="5" max="5"/>
  </cols>
  <sheetData>
    <row r="1" ht="35" customHeight="1">
      <c r="A1" s="11" t="inlineStr">
        <is>
          <t>INCIDENT RESPONSE WORKFLOW ASSESSMENT</t>
        </is>
      </c>
    </row>
    <row r="2">
      <c r="A2" s="12" t="inlineStr">
        <is>
          <t>Assess incident response procedures and SLA compliance (25 criteria + SLA tracking)</t>
        </is>
      </c>
    </row>
    <row r="4">
      <c r="A4" s="13" t="inlineStr">
        <is>
          <t>#</t>
        </is>
      </c>
      <c r="B4" s="13" t="inlineStr">
        <is>
          <t>Requirement</t>
        </is>
      </c>
      <c r="C4" s="13" t="inlineStr">
        <is>
          <t>Compliance</t>
        </is>
      </c>
      <c r="D4" s="13" t="inlineStr">
        <is>
          <t>Evidence ID</t>
        </is>
      </c>
      <c r="E4" s="13" t="inlineStr">
        <is>
          <t>Notes</t>
        </is>
      </c>
    </row>
    <row r="5">
      <c r="A5" s="14" t="n">
        <v>1</v>
      </c>
      <c r="B5" s="14" t="inlineStr">
        <is>
          <t>Are DLP alerts integrated with incident response workflow?</t>
        </is>
      </c>
      <c r="C5" s="14" t="inlineStr">
        <is>
          <t>Yes</t>
        </is>
      </c>
      <c r="D5" s="14" t="inlineStr">
        <is>
          <t>A812-4-IR-001</t>
        </is>
      </c>
      <c r="E5" s="14" t="inlineStr">
        <is>
          <t>ServiceNow integration complete</t>
        </is>
      </c>
    </row>
    <row r="6">
      <c r="A6" s="15" t="n"/>
      <c r="B6" s="15" t="n"/>
      <c r="C6" s="15" t="n"/>
      <c r="D6" s="15" t="n"/>
      <c r="E6" s="15" t="n"/>
    </row>
    <row r="7">
      <c r="A7" s="15" t="n"/>
      <c r="B7" s="15" t="n"/>
      <c r="C7" s="15" t="n"/>
      <c r="D7" s="15" t="n"/>
      <c r="E7" s="15" t="n"/>
    </row>
    <row r="8">
      <c r="A8" s="15" t="n"/>
      <c r="B8" s="15" t="n"/>
      <c r="C8" s="15" t="n"/>
      <c r="D8" s="15" t="n"/>
      <c r="E8" s="15" t="n"/>
    </row>
    <row r="9">
      <c r="A9" s="15" t="n"/>
      <c r="B9" s="15" t="n"/>
      <c r="C9" s="15" t="n"/>
      <c r="D9" s="15" t="n"/>
      <c r="E9" s="15" t="n"/>
    </row>
    <row r="10">
      <c r="A10" s="15" t="n"/>
      <c r="B10" s="15" t="n"/>
      <c r="C10" s="15" t="n"/>
      <c r="D10" s="15" t="n"/>
      <c r="E10" s="15" t="n"/>
    </row>
    <row r="11">
      <c r="A11" s="15" t="n"/>
      <c r="B11" s="15" t="n"/>
      <c r="C11" s="15" t="n"/>
      <c r="D11" s="15" t="n"/>
      <c r="E11" s="15" t="n"/>
    </row>
    <row r="12">
      <c r="A12" s="15" t="n"/>
      <c r="B12" s="15" t="n"/>
      <c r="C12" s="15" t="n"/>
      <c r="D12" s="15" t="n"/>
      <c r="E12" s="15" t="n"/>
    </row>
    <row r="13">
      <c r="A13" s="15" t="n"/>
      <c r="B13" s="15" t="n"/>
      <c r="C13" s="15" t="n"/>
      <c r="D13" s="15" t="n"/>
      <c r="E13" s="15" t="n"/>
    </row>
    <row r="14">
      <c r="A14" s="15" t="n"/>
      <c r="B14" s="15" t="n"/>
      <c r="C14" s="15" t="n"/>
      <c r="D14" s="15" t="n"/>
      <c r="E14" s="15" t="n"/>
    </row>
    <row r="15">
      <c r="A15" s="15" t="n"/>
      <c r="B15" s="15" t="n"/>
      <c r="C15" s="15" t="n"/>
      <c r="D15" s="15" t="n"/>
      <c r="E15" s="15" t="n"/>
    </row>
    <row r="16">
      <c r="A16" s="15" t="n"/>
      <c r="B16" s="15" t="n"/>
      <c r="C16" s="15" t="n"/>
      <c r="D16" s="15" t="n"/>
      <c r="E16" s="15" t="n"/>
    </row>
    <row r="17">
      <c r="A17" s="15" t="n"/>
      <c r="B17" s="15" t="n"/>
      <c r="C17" s="15" t="n"/>
      <c r="D17" s="15" t="n"/>
      <c r="E17" s="15" t="n"/>
    </row>
    <row r="18">
      <c r="A18" s="15" t="n"/>
      <c r="B18" s="15" t="n"/>
      <c r="C18" s="15" t="n"/>
      <c r="D18" s="15" t="n"/>
      <c r="E18" s="15" t="n"/>
    </row>
    <row r="19">
      <c r="A19" s="15" t="n"/>
      <c r="B19" s="15" t="n"/>
      <c r="C19" s="15" t="n"/>
      <c r="D19" s="15" t="n"/>
      <c r="E19" s="15" t="n"/>
    </row>
    <row r="20">
      <c r="A20" s="15" t="n"/>
      <c r="B20" s="15" t="n"/>
      <c r="C20" s="15" t="n"/>
      <c r="D20" s="15" t="n"/>
      <c r="E20" s="15" t="n"/>
    </row>
    <row r="21">
      <c r="A21" s="15" t="n"/>
      <c r="B21" s="15" t="n"/>
      <c r="C21" s="15" t="n"/>
      <c r="D21" s="15" t="n"/>
      <c r="E21" s="15" t="n"/>
    </row>
    <row r="22">
      <c r="A22" s="15" t="n"/>
      <c r="B22" s="15" t="n"/>
      <c r="C22" s="15" t="n"/>
      <c r="D22" s="15" t="n"/>
      <c r="E22" s="15" t="n"/>
    </row>
    <row r="23">
      <c r="A23" s="15" t="n"/>
      <c r="B23" s="15" t="n"/>
      <c r="C23" s="15" t="n"/>
      <c r="D23" s="15" t="n"/>
      <c r="E23" s="15" t="n"/>
    </row>
    <row r="24">
      <c r="A24" s="15" t="n"/>
      <c r="B24" s="15" t="n"/>
      <c r="C24" s="15" t="n"/>
      <c r="D24" s="15" t="n"/>
      <c r="E24" s="15" t="n"/>
    </row>
    <row r="25">
      <c r="A25" s="15" t="n"/>
      <c r="B25" s="15" t="n"/>
      <c r="C25" s="15" t="n"/>
      <c r="D25" s="15" t="n"/>
      <c r="E25" s="15" t="n"/>
    </row>
    <row r="26">
      <c r="A26" s="15" t="n"/>
      <c r="B26" s="15" t="n"/>
      <c r="C26" s="15" t="n"/>
      <c r="D26" s="15" t="n"/>
      <c r="E26" s="15" t="n"/>
    </row>
    <row r="27">
      <c r="A27" s="15" t="n"/>
      <c r="B27" s="15" t="n"/>
      <c r="C27" s="15" t="n"/>
      <c r="D27" s="15" t="n"/>
      <c r="E27" s="15" t="n"/>
    </row>
    <row r="28">
      <c r="A28" s="15" t="n"/>
      <c r="B28" s="15" t="n"/>
      <c r="C28" s="15" t="n"/>
      <c r="D28" s="15" t="n"/>
      <c r="E28" s="15" t="n"/>
    </row>
    <row r="29">
      <c r="A29" s="15" t="n"/>
      <c r="B29" s="15" t="n"/>
      <c r="C29" s="15" t="n"/>
      <c r="D29" s="15" t="n"/>
      <c r="E29" s="15" t="n"/>
    </row>
    <row r="30">
      <c r="A30" s="15" t="n"/>
      <c r="B30" s="15" t="n"/>
      <c r="C30" s="15" t="n"/>
      <c r="D30" s="15" t="n"/>
      <c r="E30" s="15" t="n"/>
    </row>
    <row r="31">
      <c r="A31" s="15" t="n"/>
      <c r="B31" s="15" t="n"/>
      <c r="C31" s="15" t="n"/>
      <c r="D31" s="15" t="n"/>
      <c r="E31" s="15" t="n"/>
    </row>
    <row r="32">
      <c r="A32" s="15" t="n"/>
      <c r="B32" s="15" t="n"/>
      <c r="C32" s="15" t="n"/>
      <c r="D32" s="15" t="n"/>
      <c r="E32" s="15" t="n"/>
    </row>
    <row r="33">
      <c r="A33" s="15" t="n"/>
      <c r="B33" s="15" t="n"/>
      <c r="C33" s="15" t="n"/>
      <c r="D33" s="15" t="n"/>
      <c r="E33" s="15" t="n"/>
    </row>
    <row r="34">
      <c r="A34" s="15" t="n"/>
      <c r="B34" s="15" t="n"/>
      <c r="C34" s="15" t="n"/>
      <c r="D34" s="15" t="n"/>
      <c r="E34" s="15" t="n"/>
    </row>
    <row r="35">
      <c r="A35" s="15" t="n"/>
      <c r="B35" s="15" t="n"/>
      <c r="C35" s="15" t="n"/>
      <c r="D35" s="15" t="n"/>
      <c r="E35" s="15" t="n"/>
    </row>
    <row r="36">
      <c r="A36" s="15" t="n"/>
      <c r="B36" s="15" t="n"/>
      <c r="C36" s="15" t="n"/>
      <c r="D36" s="15" t="n"/>
      <c r="E36" s="15" t="n"/>
    </row>
    <row r="37">
      <c r="A37" s="15" t="n"/>
      <c r="B37" s="15" t="n"/>
      <c r="C37" s="15" t="n"/>
      <c r="D37" s="15" t="n"/>
      <c r="E37" s="15" t="n"/>
    </row>
    <row r="38">
      <c r="A38" s="15" t="n"/>
      <c r="B38" s="15" t="n"/>
      <c r="C38" s="15" t="n"/>
      <c r="D38" s="15" t="n"/>
      <c r="E38" s="15" t="n"/>
    </row>
    <row r="39">
      <c r="A39" s="15" t="n"/>
      <c r="B39" s="15" t="n"/>
      <c r="C39" s="15" t="n"/>
      <c r="D39" s="15" t="n"/>
      <c r="E39" s="15" t="n"/>
    </row>
    <row r="40">
      <c r="A40" s="15" t="n"/>
      <c r="B40" s="15" t="n"/>
      <c r="C40" s="15" t="n"/>
      <c r="D40" s="15" t="n"/>
      <c r="E40" s="15" t="n"/>
    </row>
    <row r="41">
      <c r="A41" s="15" t="n"/>
      <c r="B41" s="15" t="n"/>
      <c r="C41" s="15" t="n"/>
      <c r="D41" s="15" t="n"/>
      <c r="E41" s="15" t="n"/>
    </row>
    <row r="42">
      <c r="A42" s="15" t="n"/>
      <c r="B42" s="15" t="n"/>
      <c r="C42" s="15" t="n"/>
      <c r="D42" s="15" t="n"/>
      <c r="E42" s="15" t="n"/>
    </row>
    <row r="43">
      <c r="A43" s="15" t="n"/>
      <c r="B43" s="15" t="n"/>
      <c r="C43" s="15" t="n"/>
      <c r="D43" s="15" t="n"/>
      <c r="E43" s="15" t="n"/>
    </row>
    <row r="44">
      <c r="A44" s="15" t="n"/>
      <c r="B44" s="15" t="n"/>
      <c r="C44" s="15" t="n"/>
      <c r="D44" s="15" t="n"/>
      <c r="E44" s="15" t="n"/>
    </row>
    <row r="45">
      <c r="A45" s="15" t="n"/>
      <c r="B45" s="15" t="n"/>
      <c r="C45" s="15" t="n"/>
      <c r="D45" s="15" t="n"/>
      <c r="E45" s="15" t="n"/>
    </row>
    <row r="46">
      <c r="A46" s="15" t="n"/>
      <c r="B46" s="15" t="n"/>
      <c r="C46" s="15" t="n"/>
      <c r="D46" s="15" t="n"/>
      <c r="E46" s="15" t="n"/>
    </row>
    <row r="47">
      <c r="A47" s="15" t="n"/>
      <c r="B47" s="15" t="n"/>
      <c r="C47" s="15" t="n"/>
      <c r="D47" s="15" t="n"/>
      <c r="E47" s="15" t="n"/>
    </row>
    <row r="48">
      <c r="A48" s="15" t="n"/>
      <c r="B48" s="15" t="n"/>
      <c r="C48" s="15" t="n"/>
      <c r="D48" s="15" t="n"/>
      <c r="E48" s="15" t="n"/>
    </row>
    <row r="49">
      <c r="A49" s="15" t="n"/>
      <c r="B49" s="15" t="n"/>
      <c r="C49" s="15" t="n"/>
      <c r="D49" s="15" t="n"/>
      <c r="E49" s="15" t="n"/>
    </row>
    <row r="50">
      <c r="A50" s="15" t="n"/>
      <c r="B50" s="15" t="n"/>
      <c r="C50" s="15" t="n"/>
      <c r="D50" s="15" t="n"/>
      <c r="E50" s="15" t="n"/>
    </row>
    <row r="51">
      <c r="A51" s="15" t="n"/>
      <c r="B51" s="15" t="n"/>
      <c r="C51" s="15" t="n"/>
      <c r="D51" s="15" t="n"/>
      <c r="E51" s="15" t="n"/>
    </row>
    <row r="52">
      <c r="A52" s="15" t="n"/>
      <c r="B52" s="15" t="n"/>
      <c r="C52" s="15" t="n"/>
      <c r="D52" s="15" t="n"/>
      <c r="E52" s="15" t="n"/>
    </row>
    <row r="53">
      <c r="A53" s="15" t="n"/>
      <c r="B53" s="15" t="n"/>
      <c r="C53" s="15" t="n"/>
      <c r="D53" s="15" t="n"/>
      <c r="E53" s="15" t="n"/>
    </row>
    <row r="54">
      <c r="A54" s="15" t="n"/>
      <c r="B54" s="15" t="n"/>
      <c r="C54" s="15" t="n"/>
      <c r="D54" s="15" t="n"/>
      <c r="E54" s="15" t="n"/>
    </row>
    <row r="55">
      <c r="A55" s="15" t="n"/>
      <c r="B55" s="15" t="n"/>
      <c r="C55" s="15" t="n"/>
      <c r="D55" s="15" t="n"/>
      <c r="E55" s="15" t="n"/>
    </row>
    <row r="57">
      <c r="A57" s="12" t="inlineStr">
        <is>
          <t>SLA COMPLIANCE TRACKING (Last 30 Days)</t>
        </is>
      </c>
    </row>
    <row r="58">
      <c r="A58" s="13" t="inlineStr">
        <is>
          <t>Severity</t>
        </is>
      </c>
      <c r="B58" s="13" t="inlineStr">
        <is>
          <t>SLA Target</t>
        </is>
      </c>
      <c r="C58" s="13" t="inlineStr">
        <is>
          <t>Incidents (30d)</t>
        </is>
      </c>
      <c r="D58" s="13" t="inlineStr">
        <is>
          <t>Within SLA</t>
        </is>
      </c>
      <c r="E58" s="13" t="inlineStr">
        <is>
          <t>SLA Compliance %</t>
        </is>
      </c>
    </row>
    <row r="59">
      <c r="A59" t="inlineStr">
        <is>
          <t>Critical</t>
        </is>
      </c>
      <c r="B59" t="inlineStr">
        <is>
          <t>15 minutes</t>
        </is>
      </c>
      <c r="C59" s="15" t="n">
        <v>8</v>
      </c>
      <c r="D59" s="15" t="n">
        <v>7</v>
      </c>
      <c r="E59">
        <f>D59/C59*100</f>
        <v/>
      </c>
    </row>
    <row r="60">
      <c r="A60" t="inlineStr">
        <is>
          <t>High</t>
        </is>
      </c>
      <c r="B60" t="inlineStr">
        <is>
          <t>1 hour</t>
        </is>
      </c>
      <c r="C60" s="15" t="n">
        <v>35</v>
      </c>
      <c r="D60" s="15" t="n">
        <v>32</v>
      </c>
      <c r="E60">
        <f>D60/C60*100</f>
        <v/>
      </c>
    </row>
    <row r="61">
      <c r="A61" t="inlineStr">
        <is>
          <t>Medium</t>
        </is>
      </c>
      <c r="B61" t="inlineStr">
        <is>
          <t>4 hours</t>
        </is>
      </c>
      <c r="C61" s="15" t="n">
        <v>120</v>
      </c>
      <c r="D61" s="15" t="n">
        <v>115</v>
      </c>
      <c r="E61">
        <f>D61/C61*100</f>
        <v/>
      </c>
    </row>
    <row r="62">
      <c r="A62" t="inlineStr">
        <is>
          <t>Low</t>
        </is>
      </c>
      <c r="B62" t="inlineStr">
        <is>
          <t>24 hours</t>
        </is>
      </c>
      <c r="C62" s="15" t="n">
        <v>450</v>
      </c>
      <c r="D62" s="15" t="n">
        <v>448</v>
      </c>
      <c r="E62">
        <f>D62/C62*100</f>
        <v/>
      </c>
    </row>
  </sheetData>
  <mergeCells count="3">
    <mergeCell ref="A2:E2"/>
    <mergeCell ref="A1:E1"/>
    <mergeCell ref="A57:E57"/>
  </mergeCells>
  <dataValidations count="1">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"Yes,No,Partial,Planned,N/A"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5"/>
  <sheetViews>
    <sheetView showGridLines="0" workbookViewId="0">
      <pane ySplit="4" topLeftCell="A5" activePane="bottomLeft" state="frozen"/>
      <selection pane="bottomLeft" activeCell="A1" sqref="A1"/>
    </sheetView>
  </sheetViews>
  <sheetFormatPr baseColWidth="8" defaultRowHeight="15"/>
  <cols>
    <col width="12" customWidth="1" min="1" max="1"/>
    <col width="40" customWidth="1" min="2" max="2"/>
    <col width="20" customWidth="1" min="3" max="3"/>
    <col width="20" customWidth="1" min="4" max="4"/>
    <col width="30" customWidth="1" min="5" max="5"/>
  </cols>
  <sheetData>
    <row r="1" ht="35" customHeight="1">
      <c r="A1" s="11" t="inlineStr">
        <is>
          <t>SOC INTEGRATION ASSESSMENT</t>
        </is>
      </c>
    </row>
    <row r="2">
      <c r="A2" s="12" t="inlineStr">
        <is>
          <t>Assess SOC alert workflow, escalation, and staffing (20 criteria)</t>
        </is>
      </c>
    </row>
    <row r="4">
      <c r="A4" s="13" t="inlineStr">
        <is>
          <t>#</t>
        </is>
      </c>
      <c r="B4" s="13" t="inlineStr">
        <is>
          <t>Requirement</t>
        </is>
      </c>
      <c r="C4" s="13" t="inlineStr">
        <is>
          <t>Compliance</t>
        </is>
      </c>
      <c r="D4" s="13" t="inlineStr">
        <is>
          <t>Evidence ID</t>
        </is>
      </c>
      <c r="E4" s="13" t="inlineStr">
        <is>
          <t>Notes</t>
        </is>
      </c>
    </row>
    <row r="5">
      <c r="A5" s="14" t="n">
        <v>1</v>
      </c>
      <c r="B5" s="14" t="inlineStr">
        <is>
          <t>Are DLP alerts integrated with SOC workflow?</t>
        </is>
      </c>
      <c r="C5" s="14" t="inlineStr">
        <is>
          <t>Yes</t>
        </is>
      </c>
      <c r="D5" s="14" t="inlineStr">
        <is>
          <t>A812-4-SOC-001</t>
        </is>
      </c>
      <c r="E5" s="14" t="inlineStr">
        <is>
          <t>ServiceNow integration complete</t>
        </is>
      </c>
    </row>
    <row r="6">
      <c r="A6" s="15" t="n"/>
      <c r="B6" s="15" t="n"/>
      <c r="C6" s="15" t="n"/>
      <c r="D6" s="15" t="n"/>
      <c r="E6" s="15" t="n"/>
    </row>
    <row r="7">
      <c r="A7" s="15" t="n"/>
      <c r="B7" s="15" t="n"/>
      <c r="C7" s="15" t="n"/>
      <c r="D7" s="15" t="n"/>
      <c r="E7" s="15" t="n"/>
    </row>
    <row r="8">
      <c r="A8" s="15" t="n"/>
      <c r="B8" s="15" t="n"/>
      <c r="C8" s="15" t="n"/>
      <c r="D8" s="15" t="n"/>
      <c r="E8" s="15" t="n"/>
    </row>
    <row r="9">
      <c r="A9" s="15" t="n"/>
      <c r="B9" s="15" t="n"/>
      <c r="C9" s="15" t="n"/>
      <c r="D9" s="15" t="n"/>
      <c r="E9" s="15" t="n"/>
    </row>
    <row r="10">
      <c r="A10" s="15" t="n"/>
      <c r="B10" s="15" t="n"/>
      <c r="C10" s="15" t="n"/>
      <c r="D10" s="15" t="n"/>
      <c r="E10" s="15" t="n"/>
    </row>
    <row r="11">
      <c r="A11" s="15" t="n"/>
      <c r="B11" s="15" t="n"/>
      <c r="C11" s="15" t="n"/>
      <c r="D11" s="15" t="n"/>
      <c r="E11" s="15" t="n"/>
    </row>
    <row r="12">
      <c r="A12" s="15" t="n"/>
      <c r="B12" s="15" t="n"/>
      <c r="C12" s="15" t="n"/>
      <c r="D12" s="15" t="n"/>
      <c r="E12" s="15" t="n"/>
    </row>
    <row r="13">
      <c r="A13" s="15" t="n"/>
      <c r="B13" s="15" t="n"/>
      <c r="C13" s="15" t="n"/>
      <c r="D13" s="15" t="n"/>
      <c r="E13" s="15" t="n"/>
    </row>
    <row r="14">
      <c r="A14" s="15" t="n"/>
      <c r="B14" s="15" t="n"/>
      <c r="C14" s="15" t="n"/>
      <c r="D14" s="15" t="n"/>
      <c r="E14" s="15" t="n"/>
    </row>
    <row r="15">
      <c r="A15" s="15" t="n"/>
      <c r="B15" s="15" t="n"/>
      <c r="C15" s="15" t="n"/>
      <c r="D15" s="15" t="n"/>
      <c r="E15" s="15" t="n"/>
    </row>
    <row r="16">
      <c r="A16" s="15" t="n"/>
      <c r="B16" s="15" t="n"/>
      <c r="C16" s="15" t="n"/>
      <c r="D16" s="15" t="n"/>
      <c r="E16" s="15" t="n"/>
    </row>
    <row r="17">
      <c r="A17" s="15" t="n"/>
      <c r="B17" s="15" t="n"/>
      <c r="C17" s="15" t="n"/>
      <c r="D17" s="15" t="n"/>
      <c r="E17" s="15" t="n"/>
    </row>
    <row r="18">
      <c r="A18" s="15" t="n"/>
      <c r="B18" s="15" t="n"/>
      <c r="C18" s="15" t="n"/>
      <c r="D18" s="15" t="n"/>
      <c r="E18" s="15" t="n"/>
    </row>
    <row r="19">
      <c r="A19" s="15" t="n"/>
      <c r="B19" s="15" t="n"/>
      <c r="C19" s="15" t="n"/>
      <c r="D19" s="15" t="n"/>
      <c r="E19" s="15" t="n"/>
    </row>
    <row r="20">
      <c r="A20" s="15" t="n"/>
      <c r="B20" s="15" t="n"/>
      <c r="C20" s="15" t="n"/>
      <c r="D20" s="15" t="n"/>
      <c r="E20" s="15" t="n"/>
    </row>
    <row r="21">
      <c r="A21" s="15" t="n"/>
      <c r="B21" s="15" t="n"/>
      <c r="C21" s="15" t="n"/>
      <c r="D21" s="15" t="n"/>
      <c r="E21" s="15" t="n"/>
    </row>
    <row r="22">
      <c r="A22" s="15" t="n"/>
      <c r="B22" s="15" t="n"/>
      <c r="C22" s="15" t="n"/>
      <c r="D22" s="15" t="n"/>
      <c r="E22" s="15" t="n"/>
    </row>
    <row r="23">
      <c r="A23" s="15" t="n"/>
      <c r="B23" s="15" t="n"/>
      <c r="C23" s="15" t="n"/>
      <c r="D23" s="15" t="n"/>
      <c r="E23" s="15" t="n"/>
    </row>
    <row r="24">
      <c r="A24" s="15" t="n"/>
      <c r="B24" s="15" t="n"/>
      <c r="C24" s="15" t="n"/>
      <c r="D24" s="15" t="n"/>
      <c r="E24" s="15" t="n"/>
    </row>
    <row r="25">
      <c r="A25" s="15" t="n"/>
      <c r="B25" s="15" t="n"/>
      <c r="C25" s="15" t="n"/>
      <c r="D25" s="15" t="n"/>
      <c r="E25" s="15" t="n"/>
    </row>
    <row r="26">
      <c r="A26" s="15" t="n"/>
      <c r="B26" s="15" t="n"/>
      <c r="C26" s="15" t="n"/>
      <c r="D26" s="15" t="n"/>
      <c r="E26" s="15" t="n"/>
    </row>
    <row r="27">
      <c r="A27" s="15" t="n"/>
      <c r="B27" s="15" t="n"/>
      <c r="C27" s="15" t="n"/>
      <c r="D27" s="15" t="n"/>
      <c r="E27" s="15" t="n"/>
    </row>
    <row r="28">
      <c r="A28" s="15" t="n"/>
      <c r="B28" s="15" t="n"/>
      <c r="C28" s="15" t="n"/>
      <c r="D28" s="15" t="n"/>
      <c r="E28" s="15" t="n"/>
    </row>
    <row r="29">
      <c r="A29" s="15" t="n"/>
      <c r="B29" s="15" t="n"/>
      <c r="C29" s="15" t="n"/>
      <c r="D29" s="15" t="n"/>
      <c r="E29" s="15" t="n"/>
    </row>
    <row r="30">
      <c r="A30" s="15" t="n"/>
      <c r="B30" s="15" t="n"/>
      <c r="C30" s="15" t="n"/>
      <c r="D30" s="15" t="n"/>
      <c r="E30" s="15" t="n"/>
    </row>
    <row r="31">
      <c r="A31" s="15" t="n"/>
      <c r="B31" s="15" t="n"/>
      <c r="C31" s="15" t="n"/>
      <c r="D31" s="15" t="n"/>
      <c r="E31" s="15" t="n"/>
    </row>
    <row r="32">
      <c r="A32" s="15" t="n"/>
      <c r="B32" s="15" t="n"/>
      <c r="C32" s="15" t="n"/>
      <c r="D32" s="15" t="n"/>
      <c r="E32" s="15" t="n"/>
    </row>
    <row r="33">
      <c r="A33" s="15" t="n"/>
      <c r="B33" s="15" t="n"/>
      <c r="C33" s="15" t="n"/>
      <c r="D33" s="15" t="n"/>
      <c r="E33" s="15" t="n"/>
    </row>
    <row r="34">
      <c r="A34" s="15" t="n"/>
      <c r="B34" s="15" t="n"/>
      <c r="C34" s="15" t="n"/>
      <c r="D34" s="15" t="n"/>
      <c r="E34" s="15" t="n"/>
    </row>
    <row r="35">
      <c r="A35" s="15" t="n"/>
      <c r="B35" s="15" t="n"/>
      <c r="C35" s="15" t="n"/>
      <c r="D35" s="15" t="n"/>
      <c r="E35" s="15" t="n"/>
    </row>
    <row r="36">
      <c r="A36" s="15" t="n"/>
      <c r="B36" s="15" t="n"/>
      <c r="C36" s="15" t="n"/>
      <c r="D36" s="15" t="n"/>
      <c r="E36" s="15" t="n"/>
    </row>
    <row r="37">
      <c r="A37" s="15" t="n"/>
      <c r="B37" s="15" t="n"/>
      <c r="C37" s="15" t="n"/>
      <c r="D37" s="15" t="n"/>
      <c r="E37" s="15" t="n"/>
    </row>
    <row r="38">
      <c r="A38" s="15" t="n"/>
      <c r="B38" s="15" t="n"/>
      <c r="C38" s="15" t="n"/>
      <c r="D38" s="15" t="n"/>
      <c r="E38" s="15" t="n"/>
    </row>
    <row r="39">
      <c r="A39" s="15" t="n"/>
      <c r="B39" s="15" t="n"/>
      <c r="C39" s="15" t="n"/>
      <c r="D39" s="15" t="n"/>
      <c r="E39" s="15" t="n"/>
    </row>
    <row r="40">
      <c r="A40" s="15" t="n"/>
      <c r="B40" s="15" t="n"/>
      <c r="C40" s="15" t="n"/>
      <c r="D40" s="15" t="n"/>
      <c r="E40" s="15" t="n"/>
    </row>
    <row r="41">
      <c r="A41" s="15" t="n"/>
      <c r="B41" s="15" t="n"/>
      <c r="C41" s="15" t="n"/>
      <c r="D41" s="15" t="n"/>
      <c r="E41" s="15" t="n"/>
    </row>
    <row r="42">
      <c r="A42" s="15" t="n"/>
      <c r="B42" s="15" t="n"/>
      <c r="C42" s="15" t="n"/>
      <c r="D42" s="15" t="n"/>
      <c r="E42" s="15" t="n"/>
    </row>
    <row r="43">
      <c r="A43" s="15" t="n"/>
      <c r="B43" s="15" t="n"/>
      <c r="C43" s="15" t="n"/>
      <c r="D43" s="15" t="n"/>
      <c r="E43" s="15" t="n"/>
    </row>
    <row r="44">
      <c r="A44" s="15" t="n"/>
      <c r="B44" s="15" t="n"/>
      <c r="C44" s="15" t="n"/>
      <c r="D44" s="15" t="n"/>
      <c r="E44" s="15" t="n"/>
    </row>
    <row r="45">
      <c r="A45" s="15" t="n"/>
      <c r="B45" s="15" t="n"/>
      <c r="C45" s="15" t="n"/>
      <c r="D45" s="15" t="n"/>
      <c r="E45" s="15" t="n"/>
    </row>
    <row r="46">
      <c r="A46" s="15" t="n"/>
      <c r="B46" s="15" t="n"/>
      <c r="C46" s="15" t="n"/>
      <c r="D46" s="15" t="n"/>
      <c r="E46" s="15" t="n"/>
    </row>
    <row r="47">
      <c r="A47" s="15" t="n"/>
      <c r="B47" s="15" t="n"/>
      <c r="C47" s="15" t="n"/>
      <c r="D47" s="15" t="n"/>
      <c r="E47" s="15" t="n"/>
    </row>
    <row r="48">
      <c r="A48" s="15" t="n"/>
      <c r="B48" s="15" t="n"/>
      <c r="C48" s="15" t="n"/>
      <c r="D48" s="15" t="n"/>
      <c r="E48" s="15" t="n"/>
    </row>
    <row r="49">
      <c r="A49" s="15" t="n"/>
      <c r="B49" s="15" t="n"/>
      <c r="C49" s="15" t="n"/>
      <c r="D49" s="15" t="n"/>
      <c r="E49" s="15" t="n"/>
    </row>
    <row r="50">
      <c r="A50" s="15" t="n"/>
      <c r="B50" s="15" t="n"/>
      <c r="C50" s="15" t="n"/>
      <c r="D50" s="15" t="n"/>
      <c r="E50" s="15" t="n"/>
    </row>
    <row r="51">
      <c r="A51" s="15" t="n"/>
      <c r="B51" s="15" t="n"/>
      <c r="C51" s="15" t="n"/>
      <c r="D51" s="15" t="n"/>
      <c r="E51" s="15" t="n"/>
    </row>
    <row r="52">
      <c r="A52" s="15" t="n"/>
      <c r="B52" s="15" t="n"/>
      <c r="C52" s="15" t="n"/>
      <c r="D52" s="15" t="n"/>
      <c r="E52" s="15" t="n"/>
    </row>
    <row r="53">
      <c r="A53" s="15" t="n"/>
      <c r="B53" s="15" t="n"/>
      <c r="C53" s="15" t="n"/>
      <c r="D53" s="15" t="n"/>
      <c r="E53" s="15" t="n"/>
    </row>
    <row r="54">
      <c r="A54" s="15" t="n"/>
      <c r="B54" s="15" t="n"/>
      <c r="C54" s="15" t="n"/>
      <c r="D54" s="15" t="n"/>
      <c r="E54" s="15" t="n"/>
    </row>
    <row r="55">
      <c r="A55" s="15" t="n"/>
      <c r="B55" s="15" t="n"/>
      <c r="C55" s="15" t="n"/>
      <c r="D55" s="15" t="n"/>
      <c r="E55" s="15" t="n"/>
    </row>
  </sheetData>
  <mergeCells count="2">
    <mergeCell ref="A2:E2"/>
    <mergeCell ref="A1:E1"/>
  </mergeCells>
  <dataValidations count="1">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"Yes,No,Partial,Planned,N/A"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5"/>
  <sheetViews>
    <sheetView showGridLines="0" workbookViewId="0">
      <pane ySplit="4" topLeftCell="A5" activePane="bottomLeft" state="frozen"/>
      <selection pane="bottomLeft" activeCell="A1" sqref="A1"/>
    </sheetView>
  </sheetViews>
  <sheetFormatPr baseColWidth="8" defaultRowHeight="15"/>
  <cols>
    <col width="12" customWidth="1" min="1" max="1"/>
    <col width="40" customWidth="1" min="2" max="2"/>
    <col width="20" customWidth="1" min="3" max="3"/>
    <col width="20" customWidth="1" min="4" max="4"/>
    <col width="30" customWidth="1" min="5" max="5"/>
  </cols>
  <sheetData>
    <row r="1" ht="35" customHeight="1">
      <c r="A1" s="11" t="inlineStr">
        <is>
          <t>DASHBOARDS &amp; REPORTING ASSESSMENT</t>
        </is>
      </c>
    </row>
    <row r="2">
      <c r="A2" s="12" t="inlineStr">
        <is>
          <t>Assess dashboard and reporting capabilities (20 criteria)</t>
        </is>
      </c>
    </row>
    <row r="4">
      <c r="A4" s="13" t="inlineStr">
        <is>
          <t>#</t>
        </is>
      </c>
      <c r="B4" s="13" t="inlineStr">
        <is>
          <t>Requirement</t>
        </is>
      </c>
      <c r="C4" s="13" t="inlineStr">
        <is>
          <t>Compliance</t>
        </is>
      </c>
      <c r="D4" s="13" t="inlineStr">
        <is>
          <t>Evidence ID</t>
        </is>
      </c>
      <c r="E4" s="13" t="inlineStr">
        <is>
          <t>Notes</t>
        </is>
      </c>
    </row>
    <row r="5">
      <c r="A5" s="14" t="n">
        <v>1</v>
      </c>
      <c r="B5" s="14" t="inlineStr">
        <is>
          <t>Is real-time SOC dashboard configured (alert queue)?</t>
        </is>
      </c>
      <c r="C5" s="14" t="inlineStr">
        <is>
          <t>Yes</t>
        </is>
      </c>
      <c r="D5" s="14" t="inlineStr">
        <is>
          <t>A812-4-DASH-001</t>
        </is>
      </c>
      <c r="E5" s="14" t="inlineStr">
        <is>
          <t>Splunk SOC dashboard live</t>
        </is>
      </c>
    </row>
    <row r="6">
      <c r="A6" s="15" t="n"/>
      <c r="B6" s="15" t="n"/>
      <c r="C6" s="15" t="n"/>
      <c r="D6" s="15" t="n"/>
      <c r="E6" s="15" t="n"/>
    </row>
    <row r="7">
      <c r="A7" s="15" t="n"/>
      <c r="B7" s="15" t="n"/>
      <c r="C7" s="15" t="n"/>
      <c r="D7" s="15" t="n"/>
      <c r="E7" s="15" t="n"/>
    </row>
    <row r="8">
      <c r="A8" s="15" t="n"/>
      <c r="B8" s="15" t="n"/>
      <c r="C8" s="15" t="n"/>
      <c r="D8" s="15" t="n"/>
      <c r="E8" s="15" t="n"/>
    </row>
    <row r="9">
      <c r="A9" s="15" t="n"/>
      <c r="B9" s="15" t="n"/>
      <c r="C9" s="15" t="n"/>
      <c r="D9" s="15" t="n"/>
      <c r="E9" s="15" t="n"/>
    </row>
    <row r="10">
      <c r="A10" s="15" t="n"/>
      <c r="B10" s="15" t="n"/>
      <c r="C10" s="15" t="n"/>
      <c r="D10" s="15" t="n"/>
      <c r="E10" s="15" t="n"/>
    </row>
    <row r="11">
      <c r="A11" s="15" t="n"/>
      <c r="B11" s="15" t="n"/>
      <c r="C11" s="15" t="n"/>
      <c r="D11" s="15" t="n"/>
      <c r="E11" s="15" t="n"/>
    </row>
    <row r="12">
      <c r="A12" s="15" t="n"/>
      <c r="B12" s="15" t="n"/>
      <c r="C12" s="15" t="n"/>
      <c r="D12" s="15" t="n"/>
      <c r="E12" s="15" t="n"/>
    </row>
    <row r="13">
      <c r="A13" s="15" t="n"/>
      <c r="B13" s="15" t="n"/>
      <c r="C13" s="15" t="n"/>
      <c r="D13" s="15" t="n"/>
      <c r="E13" s="15" t="n"/>
    </row>
    <row r="14">
      <c r="A14" s="15" t="n"/>
      <c r="B14" s="15" t="n"/>
      <c r="C14" s="15" t="n"/>
      <c r="D14" s="15" t="n"/>
      <c r="E14" s="15" t="n"/>
    </row>
    <row r="15">
      <c r="A15" s="15" t="n"/>
      <c r="B15" s="15" t="n"/>
      <c r="C15" s="15" t="n"/>
      <c r="D15" s="15" t="n"/>
      <c r="E15" s="15" t="n"/>
    </row>
    <row r="16">
      <c r="A16" s="15" t="n"/>
      <c r="B16" s="15" t="n"/>
      <c r="C16" s="15" t="n"/>
      <c r="D16" s="15" t="n"/>
      <c r="E16" s="15" t="n"/>
    </row>
    <row r="17">
      <c r="A17" s="15" t="n"/>
      <c r="B17" s="15" t="n"/>
      <c r="C17" s="15" t="n"/>
      <c r="D17" s="15" t="n"/>
      <c r="E17" s="15" t="n"/>
    </row>
    <row r="18">
      <c r="A18" s="15" t="n"/>
      <c r="B18" s="15" t="n"/>
      <c r="C18" s="15" t="n"/>
      <c r="D18" s="15" t="n"/>
      <c r="E18" s="15" t="n"/>
    </row>
    <row r="19">
      <c r="A19" s="15" t="n"/>
      <c r="B19" s="15" t="n"/>
      <c r="C19" s="15" t="n"/>
      <c r="D19" s="15" t="n"/>
      <c r="E19" s="15" t="n"/>
    </row>
    <row r="20">
      <c r="A20" s="15" t="n"/>
      <c r="B20" s="15" t="n"/>
      <c r="C20" s="15" t="n"/>
      <c r="D20" s="15" t="n"/>
      <c r="E20" s="15" t="n"/>
    </row>
    <row r="21">
      <c r="A21" s="15" t="n"/>
      <c r="B21" s="15" t="n"/>
      <c r="C21" s="15" t="n"/>
      <c r="D21" s="15" t="n"/>
      <c r="E21" s="15" t="n"/>
    </row>
    <row r="22">
      <c r="A22" s="15" t="n"/>
      <c r="B22" s="15" t="n"/>
      <c r="C22" s="15" t="n"/>
      <c r="D22" s="15" t="n"/>
      <c r="E22" s="15" t="n"/>
    </row>
    <row r="23">
      <c r="A23" s="15" t="n"/>
      <c r="B23" s="15" t="n"/>
      <c r="C23" s="15" t="n"/>
      <c r="D23" s="15" t="n"/>
      <c r="E23" s="15" t="n"/>
    </row>
    <row r="24">
      <c r="A24" s="15" t="n"/>
      <c r="B24" s="15" t="n"/>
      <c r="C24" s="15" t="n"/>
      <c r="D24" s="15" t="n"/>
      <c r="E24" s="15" t="n"/>
    </row>
    <row r="25">
      <c r="A25" s="15" t="n"/>
      <c r="B25" s="15" t="n"/>
      <c r="C25" s="15" t="n"/>
      <c r="D25" s="15" t="n"/>
      <c r="E25" s="15" t="n"/>
    </row>
    <row r="26">
      <c r="A26" s="15" t="n"/>
      <c r="B26" s="15" t="n"/>
      <c r="C26" s="15" t="n"/>
      <c r="D26" s="15" t="n"/>
      <c r="E26" s="15" t="n"/>
    </row>
    <row r="27">
      <c r="A27" s="15" t="n"/>
      <c r="B27" s="15" t="n"/>
      <c r="C27" s="15" t="n"/>
      <c r="D27" s="15" t="n"/>
      <c r="E27" s="15" t="n"/>
    </row>
    <row r="28">
      <c r="A28" s="15" t="n"/>
      <c r="B28" s="15" t="n"/>
      <c r="C28" s="15" t="n"/>
      <c r="D28" s="15" t="n"/>
      <c r="E28" s="15" t="n"/>
    </row>
    <row r="29">
      <c r="A29" s="15" t="n"/>
      <c r="B29" s="15" t="n"/>
      <c r="C29" s="15" t="n"/>
      <c r="D29" s="15" t="n"/>
      <c r="E29" s="15" t="n"/>
    </row>
    <row r="30">
      <c r="A30" s="15" t="n"/>
      <c r="B30" s="15" t="n"/>
      <c r="C30" s="15" t="n"/>
      <c r="D30" s="15" t="n"/>
      <c r="E30" s="15" t="n"/>
    </row>
    <row r="31">
      <c r="A31" s="15" t="n"/>
      <c r="B31" s="15" t="n"/>
      <c r="C31" s="15" t="n"/>
      <c r="D31" s="15" t="n"/>
      <c r="E31" s="15" t="n"/>
    </row>
    <row r="32">
      <c r="A32" s="15" t="n"/>
      <c r="B32" s="15" t="n"/>
      <c r="C32" s="15" t="n"/>
      <c r="D32" s="15" t="n"/>
      <c r="E32" s="15" t="n"/>
    </row>
    <row r="33">
      <c r="A33" s="15" t="n"/>
      <c r="B33" s="15" t="n"/>
      <c r="C33" s="15" t="n"/>
      <c r="D33" s="15" t="n"/>
      <c r="E33" s="15" t="n"/>
    </row>
    <row r="34">
      <c r="A34" s="15" t="n"/>
      <c r="B34" s="15" t="n"/>
      <c r="C34" s="15" t="n"/>
      <c r="D34" s="15" t="n"/>
      <c r="E34" s="15" t="n"/>
    </row>
    <row r="35">
      <c r="A35" s="15" t="n"/>
      <c r="B35" s="15" t="n"/>
      <c r="C35" s="15" t="n"/>
      <c r="D35" s="15" t="n"/>
      <c r="E35" s="15" t="n"/>
    </row>
    <row r="36">
      <c r="A36" s="15" t="n"/>
      <c r="B36" s="15" t="n"/>
      <c r="C36" s="15" t="n"/>
      <c r="D36" s="15" t="n"/>
      <c r="E36" s="15" t="n"/>
    </row>
    <row r="37">
      <c r="A37" s="15" t="n"/>
      <c r="B37" s="15" t="n"/>
      <c r="C37" s="15" t="n"/>
      <c r="D37" s="15" t="n"/>
      <c r="E37" s="15" t="n"/>
    </row>
    <row r="38">
      <c r="A38" s="15" t="n"/>
      <c r="B38" s="15" t="n"/>
      <c r="C38" s="15" t="n"/>
      <c r="D38" s="15" t="n"/>
      <c r="E38" s="15" t="n"/>
    </row>
    <row r="39">
      <c r="A39" s="15" t="n"/>
      <c r="B39" s="15" t="n"/>
      <c r="C39" s="15" t="n"/>
      <c r="D39" s="15" t="n"/>
      <c r="E39" s="15" t="n"/>
    </row>
    <row r="40">
      <c r="A40" s="15" t="n"/>
      <c r="B40" s="15" t="n"/>
      <c r="C40" s="15" t="n"/>
      <c r="D40" s="15" t="n"/>
      <c r="E40" s="15" t="n"/>
    </row>
    <row r="41">
      <c r="A41" s="15" t="n"/>
      <c r="B41" s="15" t="n"/>
      <c r="C41" s="15" t="n"/>
      <c r="D41" s="15" t="n"/>
      <c r="E41" s="15" t="n"/>
    </row>
    <row r="42">
      <c r="A42" s="15" t="n"/>
      <c r="B42" s="15" t="n"/>
      <c r="C42" s="15" t="n"/>
      <c r="D42" s="15" t="n"/>
      <c r="E42" s="15" t="n"/>
    </row>
    <row r="43">
      <c r="A43" s="15" t="n"/>
      <c r="B43" s="15" t="n"/>
      <c r="C43" s="15" t="n"/>
      <c r="D43" s="15" t="n"/>
      <c r="E43" s="15" t="n"/>
    </row>
    <row r="44">
      <c r="A44" s="15" t="n"/>
      <c r="B44" s="15" t="n"/>
      <c r="C44" s="15" t="n"/>
      <c r="D44" s="15" t="n"/>
      <c r="E44" s="15" t="n"/>
    </row>
    <row r="45">
      <c r="A45" s="15" t="n"/>
      <c r="B45" s="15" t="n"/>
      <c r="C45" s="15" t="n"/>
      <c r="D45" s="15" t="n"/>
      <c r="E45" s="15" t="n"/>
    </row>
    <row r="46">
      <c r="A46" s="15" t="n"/>
      <c r="B46" s="15" t="n"/>
      <c r="C46" s="15" t="n"/>
      <c r="D46" s="15" t="n"/>
      <c r="E46" s="15" t="n"/>
    </row>
    <row r="47">
      <c r="A47" s="15" t="n"/>
      <c r="B47" s="15" t="n"/>
      <c r="C47" s="15" t="n"/>
      <c r="D47" s="15" t="n"/>
      <c r="E47" s="15" t="n"/>
    </row>
    <row r="48">
      <c r="A48" s="15" t="n"/>
      <c r="B48" s="15" t="n"/>
      <c r="C48" s="15" t="n"/>
      <c r="D48" s="15" t="n"/>
      <c r="E48" s="15" t="n"/>
    </row>
    <row r="49">
      <c r="A49" s="15" t="n"/>
      <c r="B49" s="15" t="n"/>
      <c r="C49" s="15" t="n"/>
      <c r="D49" s="15" t="n"/>
      <c r="E49" s="15" t="n"/>
    </row>
    <row r="50">
      <c r="A50" s="15" t="n"/>
      <c r="B50" s="15" t="n"/>
      <c r="C50" s="15" t="n"/>
      <c r="D50" s="15" t="n"/>
      <c r="E50" s="15" t="n"/>
    </row>
    <row r="51">
      <c r="A51" s="15" t="n"/>
      <c r="B51" s="15" t="n"/>
      <c r="C51" s="15" t="n"/>
      <c r="D51" s="15" t="n"/>
      <c r="E51" s="15" t="n"/>
    </row>
    <row r="52">
      <c r="A52" s="15" t="n"/>
      <c r="B52" s="15" t="n"/>
      <c r="C52" s="15" t="n"/>
      <c r="D52" s="15" t="n"/>
      <c r="E52" s="15" t="n"/>
    </row>
    <row r="53">
      <c r="A53" s="15" t="n"/>
      <c r="B53" s="15" t="n"/>
      <c r="C53" s="15" t="n"/>
      <c r="D53" s="15" t="n"/>
      <c r="E53" s="15" t="n"/>
    </row>
    <row r="54">
      <c r="A54" s="15" t="n"/>
      <c r="B54" s="15" t="n"/>
      <c r="C54" s="15" t="n"/>
      <c r="D54" s="15" t="n"/>
      <c r="E54" s="15" t="n"/>
    </row>
    <row r="55">
      <c r="A55" s="15" t="n"/>
      <c r="B55" s="15" t="n"/>
      <c r="C55" s="15" t="n"/>
      <c r="D55" s="15" t="n"/>
      <c r="E55" s="15" t="n"/>
    </row>
  </sheetData>
  <mergeCells count="2">
    <mergeCell ref="A2:E2"/>
    <mergeCell ref="A1:E1"/>
  </mergeCells>
  <dataValidations count="1">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"Yes,No,Partial,Planned,N/A"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20" customWidth="1" min="1" max="1"/>
    <col width="40" customWidth="1" min="2" max="2"/>
    <col width="20" customWidth="1" min="3" max="3"/>
    <col width="20" customWidth="1" min="4" max="4"/>
    <col width="30" customWidth="1" min="5" max="5"/>
    <col width="40" customWidth="1" min="6" max="6"/>
    <col width="25" customWidth="1" min="7" max="7"/>
    <col width="20" customWidth="1" min="8" max="8"/>
    <col width="20" customWidth="1" min="9" max="9"/>
    <col width="20" customWidth="1" min="10" max="10"/>
  </cols>
  <sheetData>
    <row r="1" ht="35" customHeight="1">
      <c r="A1" s="11" t="inlineStr">
        <is>
          <t>GAP ANALYSIS - MONITORING &amp; RESPONSE DEFICIENCIES</t>
        </is>
      </c>
    </row>
    <row r="2">
      <c r="A2" s="12" t="inlineStr">
        <is>
          <t>Identify and track monitoring/response gaps and remediation plans (40 rows)</t>
        </is>
      </c>
    </row>
    <row r="4">
      <c r="A4" s="13" t="inlineStr">
        <is>
          <t>Gap ID</t>
        </is>
      </c>
      <c r="B4" s="13" t="inlineStr">
        <is>
          <t>Gap Description</t>
        </is>
      </c>
      <c r="C4" s="13" t="inlineStr">
        <is>
          <t>Affected Area</t>
        </is>
      </c>
      <c r="D4" s="13" t="inlineStr">
        <is>
          <t>Risk Level</t>
        </is>
      </c>
      <c r="E4" s="13" t="inlineStr">
        <is>
          <t>Business Impact</t>
        </is>
      </c>
      <c r="F4" s="13" t="inlineStr">
        <is>
          <t>Remediation Plan</t>
        </is>
      </c>
      <c r="G4" s="13" t="inlineStr">
        <is>
          <t>Owner</t>
        </is>
      </c>
      <c r="H4" s="13" t="inlineStr">
        <is>
          <t>Target Date</t>
        </is>
      </c>
      <c r="I4" s="13" t="inlineStr">
        <is>
          <t>Status</t>
        </is>
      </c>
      <c r="J4" s="13" t="inlineStr">
        <is>
          <t>Evidence ID</t>
        </is>
      </c>
    </row>
    <row r="5">
      <c r="A5" s="14" t="inlineStr">
        <is>
          <t>GAP-A812-4-001</t>
        </is>
      </c>
      <c r="B5" s="14" t="inlineStr">
        <is>
          <t>Critical alerts not reaching SOC SMS (delivery failures)</t>
        </is>
      </c>
      <c r="C5" s="14" t="inlineStr">
        <is>
          <t>Alerting</t>
        </is>
      </c>
      <c r="D5" s="14" t="inlineStr">
        <is>
          <t>High</t>
        </is>
      </c>
      <c r="E5" s="14" t="inlineStr">
        <is>
          <t>Delayed response to data exfiltration</t>
        </is>
      </c>
      <c r="F5" s="14" t="inlineStr">
        <is>
          <t>Configure PagerDuty integration</t>
        </is>
      </c>
      <c r="G5" s="14" t="inlineStr">
        <is>
          <t>SOC Lead</t>
        </is>
      </c>
      <c r="H5" s="14" t="inlineStr">
        <is>
          <t>2025-02-15</t>
        </is>
      </c>
      <c r="I5" s="14" t="inlineStr">
        <is>
          <t>In Progress</t>
        </is>
      </c>
      <c r="J5" s="14" t="inlineStr">
        <is>
          <t>A812-4-GAP-001</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sheetData>
  <mergeCells count="2">
    <mergeCell ref="A1:J1"/>
    <mergeCell ref="A2:J2"/>
  </mergeCells>
  <dataValidations count="3">
    <dataValidation sqref="D6 D7 D8 D9 D10 D11 D12 D13 D14 D15 D16 D17 D18 D19 D20 D21 D22 D23 D24 D25 D26 D27 D28 D29 D30 D31 D32 D33 D34 D35 D36 D37 D38 D39 D40 D41 D42 D43 D44 D45 D46 D47 D48 D49 D50 D51 D52 D53 D54 D55" showDropDown="0" showInputMessage="0" showErrorMessage="0" allowBlank="0" type="list">
      <formula1>"Critical,High,Medium,Low"</formula1>
    </dataValidation>
    <dataValidation sqref="I6 I7 I8 I9 I10 I11 I12 I13 I14 I15 I16 I17 I18 I19 I20 I21 I22 I23 I24 I25 I26 I27 I28 I29 I30 I31 I32 I33 I34 I35 I36 I37 I38 I39 I40 I41 I42 I43 I44 I45 I46 I47 I48 I49 I50 I51 I52 I53 I54 I55" showDropDown="0" showInputMessage="0" showErrorMessage="0" allowBlank="0" type="list">
      <formula1>"Not Started,In Progress,Complete,Blocked"</formula1>
    </dataValidation>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"Logging,Alerting,SIEM,FP Management,Incident Response,SOC,Dashboards"</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7" t="inlineStr">
        <is>
          <t>EVIDENCE REGISTER</t>
        </is>
      </c>
      <c r="B1" s="6" t="n"/>
      <c r="C1" s="6" t="n"/>
      <c r="D1" s="6" t="n"/>
      <c r="E1" s="6" t="n"/>
      <c r="F1" s="6" t="n"/>
      <c r="G1" s="6" t="n"/>
      <c r="H1" s="6" t="n"/>
    </row>
    <row r="2">
      <c r="A2" s="18" t="inlineStr">
        <is>
          <t>List all evidence files/documents referenced in this assessment (audit traceability).</t>
        </is>
      </c>
    </row>
    <row r="4">
      <c r="A4" s="19" t="inlineStr">
        <is>
          <t>Evidence ID</t>
        </is>
      </c>
      <c r="B4" s="19" t="inlineStr">
        <is>
          <t>Assessment Area</t>
        </is>
      </c>
      <c r="C4" s="19" t="inlineStr">
        <is>
          <t>Evidence Type</t>
        </is>
      </c>
      <c r="D4" s="19" t="inlineStr">
        <is>
          <t>Description</t>
        </is>
      </c>
      <c r="E4" s="19" t="inlineStr">
        <is>
          <t>Location/Path</t>
        </is>
      </c>
      <c r="F4" s="19" t="inlineStr">
        <is>
          <t>Date Collected</t>
        </is>
      </c>
      <c r="G4" s="19" t="inlineStr">
        <is>
          <t>Collected By</t>
        </is>
      </c>
      <c r="H4" s="19" t="inlineStr">
        <is>
          <t>Verification Status</t>
        </is>
      </c>
    </row>
    <row r="5">
      <c r="A5" s="20" t="inlineStr">
        <is>
          <t>EV-001</t>
        </is>
      </c>
      <c r="B5" s="20" t="inlineStr">
        <is>
          <t>Logging Configuration</t>
        </is>
      </c>
      <c r="C5" s="20" t="inlineStr">
        <is>
          <t>Audit log</t>
        </is>
      </c>
      <c r="D5" s="20" t="inlineStr">
        <is>
          <t>SIEM log forwarding configuration — syslog rules export</t>
        </is>
      </c>
      <c r="E5" s="20" t="inlineStr">
        <is>
          <t>\\fileserver\isms\evidence\dlp\siem-log-config.pdf</t>
        </is>
      </c>
      <c r="F5" s="20" t="inlineStr">
        <is>
          <t>22.02.2026</t>
        </is>
      </c>
      <c r="G5" s="20" t="inlineStr">
        <is>
          <t>IT Security Team</t>
        </is>
      </c>
      <c r="H5" s="20" t="inlineStr">
        <is>
          <t>Verified</t>
        </is>
      </c>
    </row>
    <row r="6">
      <c r="A6" s="21" t="n"/>
      <c r="B6" s="21" t="n"/>
      <c r="C6" s="21" t="n"/>
      <c r="D6" s="21" t="n"/>
      <c r="E6" s="21" t="n"/>
      <c r="F6" s="21" t="n"/>
      <c r="G6" s="21" t="n"/>
      <c r="H6" s="21" t="n"/>
    </row>
    <row r="7">
      <c r="A7" s="21" t="n"/>
      <c r="B7" s="21" t="n"/>
      <c r="C7" s="21" t="n"/>
      <c r="D7" s="21" t="n"/>
      <c r="E7" s="21" t="n"/>
      <c r="F7" s="21" t="n"/>
      <c r="G7" s="21" t="n"/>
      <c r="H7" s="21" t="n"/>
    </row>
    <row r="8">
      <c r="A8" s="21" t="n"/>
      <c r="B8" s="21" t="n"/>
      <c r="C8" s="21" t="n"/>
      <c r="D8" s="21" t="n"/>
      <c r="E8" s="21" t="n"/>
      <c r="F8" s="21" t="n"/>
      <c r="G8" s="21" t="n"/>
      <c r="H8" s="21" t="n"/>
    </row>
    <row r="9">
      <c r="A9" s="21" t="n"/>
      <c r="B9" s="21" t="n"/>
      <c r="C9" s="21" t="n"/>
      <c r="D9" s="21" t="n"/>
      <c r="E9" s="21" t="n"/>
      <c r="F9" s="21" t="n"/>
      <c r="G9" s="21" t="n"/>
      <c r="H9" s="21" t="n"/>
    </row>
    <row r="10">
      <c r="A10" s="21" t="n"/>
      <c r="B10" s="21" t="n"/>
      <c r="C10" s="21" t="n"/>
      <c r="D10" s="21" t="n"/>
      <c r="E10" s="21" t="n"/>
      <c r="F10" s="21" t="n"/>
      <c r="G10" s="21" t="n"/>
      <c r="H10" s="21" t="n"/>
    </row>
    <row r="11">
      <c r="A11" s="21" t="n"/>
      <c r="B11" s="21" t="n"/>
      <c r="C11" s="21" t="n"/>
      <c r="D11" s="21" t="n"/>
      <c r="E11" s="21" t="n"/>
      <c r="F11" s="21" t="n"/>
      <c r="G11" s="21" t="n"/>
      <c r="H11" s="21" t="n"/>
    </row>
    <row r="12">
      <c r="A12" s="21" t="n"/>
      <c r="B12" s="21" t="n"/>
      <c r="C12" s="21" t="n"/>
      <c r="D12" s="21" t="n"/>
      <c r="E12" s="21" t="n"/>
      <c r="F12" s="21" t="n"/>
      <c r="G12" s="21" t="n"/>
      <c r="H12" s="21" t="n"/>
    </row>
    <row r="13">
      <c r="A13" s="21" t="n"/>
      <c r="B13" s="21" t="n"/>
      <c r="C13" s="21" t="n"/>
      <c r="D13" s="21" t="n"/>
      <c r="E13" s="21" t="n"/>
      <c r="F13" s="21" t="n"/>
      <c r="G13" s="21" t="n"/>
      <c r="H13" s="21" t="n"/>
    </row>
    <row r="14">
      <c r="A14" s="21" t="n"/>
      <c r="B14" s="21" t="n"/>
      <c r="C14" s="21" t="n"/>
      <c r="D14" s="21" t="n"/>
      <c r="E14" s="21" t="n"/>
      <c r="F14" s="21" t="n"/>
      <c r="G14" s="21" t="n"/>
      <c r="H14" s="21" t="n"/>
    </row>
    <row r="15">
      <c r="A15" s="21" t="n"/>
      <c r="B15" s="21" t="n"/>
      <c r="C15" s="21" t="n"/>
      <c r="D15" s="21" t="n"/>
      <c r="E15" s="21" t="n"/>
      <c r="F15" s="21" t="n"/>
      <c r="G15" s="21" t="n"/>
      <c r="H15" s="21" t="n"/>
    </row>
    <row r="16">
      <c r="A16" s="21" t="n"/>
      <c r="B16" s="21" t="n"/>
      <c r="C16" s="21" t="n"/>
      <c r="D16" s="21" t="n"/>
      <c r="E16" s="21" t="n"/>
      <c r="F16" s="21" t="n"/>
      <c r="G16" s="21" t="n"/>
      <c r="H16" s="21" t="n"/>
    </row>
    <row r="17">
      <c r="A17" s="21" t="n"/>
      <c r="B17" s="21" t="n"/>
      <c r="C17" s="21" t="n"/>
      <c r="D17" s="21" t="n"/>
      <c r="E17" s="21" t="n"/>
      <c r="F17" s="21" t="n"/>
      <c r="G17" s="21" t="n"/>
      <c r="H17" s="21" t="n"/>
    </row>
    <row r="18">
      <c r="A18" s="21" t="n"/>
      <c r="B18" s="21" t="n"/>
      <c r="C18" s="21" t="n"/>
      <c r="D18" s="21" t="n"/>
      <c r="E18" s="21" t="n"/>
      <c r="F18" s="21" t="n"/>
      <c r="G18" s="21" t="n"/>
      <c r="H18" s="21" t="n"/>
    </row>
    <row r="19">
      <c r="A19" s="21" t="n"/>
      <c r="B19" s="21" t="n"/>
      <c r="C19" s="21" t="n"/>
      <c r="D19" s="21" t="n"/>
      <c r="E19" s="21" t="n"/>
      <c r="F19" s="21" t="n"/>
      <c r="G19" s="21" t="n"/>
      <c r="H19" s="21" t="n"/>
    </row>
    <row r="20">
      <c r="A20" s="21" t="n"/>
      <c r="B20" s="21" t="n"/>
      <c r="C20" s="21" t="n"/>
      <c r="D20" s="21" t="n"/>
      <c r="E20" s="21" t="n"/>
      <c r="F20" s="21" t="n"/>
      <c r="G20" s="21" t="n"/>
      <c r="H20" s="21" t="n"/>
    </row>
    <row r="21">
      <c r="A21" s="21" t="n"/>
      <c r="B21" s="21" t="n"/>
      <c r="C21" s="21" t="n"/>
      <c r="D21" s="21" t="n"/>
      <c r="E21" s="21" t="n"/>
      <c r="F21" s="21" t="n"/>
      <c r="G21" s="21" t="n"/>
      <c r="H21" s="21" t="n"/>
    </row>
    <row r="22">
      <c r="A22" s="21" t="n"/>
      <c r="B22" s="21" t="n"/>
      <c r="C22" s="21" t="n"/>
      <c r="D22" s="21" t="n"/>
      <c r="E22" s="21" t="n"/>
      <c r="F22" s="21" t="n"/>
      <c r="G22" s="21" t="n"/>
      <c r="H22" s="21" t="n"/>
    </row>
    <row r="23">
      <c r="A23" s="21" t="n"/>
      <c r="B23" s="21" t="n"/>
      <c r="C23" s="21" t="n"/>
      <c r="D23" s="21" t="n"/>
      <c r="E23" s="21" t="n"/>
      <c r="F23" s="21" t="n"/>
      <c r="G23" s="21" t="n"/>
      <c r="H23" s="21" t="n"/>
    </row>
    <row r="24">
      <c r="A24" s="21" t="n"/>
      <c r="B24" s="21" t="n"/>
      <c r="C24" s="21" t="n"/>
      <c r="D24" s="21" t="n"/>
      <c r="E24" s="21" t="n"/>
      <c r="F24" s="21" t="n"/>
      <c r="G24" s="21" t="n"/>
      <c r="H24" s="21" t="n"/>
    </row>
    <row r="25">
      <c r="A25" s="21" t="n"/>
      <c r="B25" s="21" t="n"/>
      <c r="C25" s="21" t="n"/>
      <c r="D25" s="21" t="n"/>
      <c r="E25" s="21" t="n"/>
      <c r="F25" s="21" t="n"/>
      <c r="G25" s="21" t="n"/>
      <c r="H25" s="21" t="n"/>
    </row>
    <row r="26">
      <c r="A26" s="21" t="n"/>
      <c r="B26" s="21" t="n"/>
      <c r="C26" s="21" t="n"/>
      <c r="D26" s="21" t="n"/>
      <c r="E26" s="21" t="n"/>
      <c r="F26" s="21" t="n"/>
      <c r="G26" s="21" t="n"/>
      <c r="H26" s="21" t="n"/>
    </row>
    <row r="27">
      <c r="A27" s="21" t="n"/>
      <c r="B27" s="21" t="n"/>
      <c r="C27" s="21" t="n"/>
      <c r="D27" s="21" t="n"/>
      <c r="E27" s="21" t="n"/>
      <c r="F27" s="21" t="n"/>
      <c r="G27" s="21" t="n"/>
      <c r="H27" s="21" t="n"/>
    </row>
    <row r="28">
      <c r="A28" s="21" t="n"/>
      <c r="B28" s="21" t="n"/>
      <c r="C28" s="21" t="n"/>
      <c r="D28" s="21" t="n"/>
      <c r="E28" s="21" t="n"/>
      <c r="F28" s="21" t="n"/>
      <c r="G28" s="21" t="n"/>
      <c r="H28" s="21" t="n"/>
    </row>
    <row r="29">
      <c r="A29" s="21" t="n"/>
      <c r="B29" s="21" t="n"/>
      <c r="C29" s="21" t="n"/>
      <c r="D29" s="21" t="n"/>
      <c r="E29" s="21" t="n"/>
      <c r="F29" s="21" t="n"/>
      <c r="G29" s="21" t="n"/>
      <c r="H29" s="21" t="n"/>
    </row>
    <row r="30">
      <c r="A30" s="21" t="n"/>
      <c r="B30" s="21" t="n"/>
      <c r="C30" s="21" t="n"/>
      <c r="D30" s="21" t="n"/>
      <c r="E30" s="21" t="n"/>
      <c r="F30" s="21" t="n"/>
      <c r="G30" s="21" t="n"/>
      <c r="H30" s="21" t="n"/>
    </row>
    <row r="31">
      <c r="A31" s="21" t="n"/>
      <c r="B31" s="21" t="n"/>
      <c r="C31" s="21" t="n"/>
      <c r="D31" s="21" t="n"/>
      <c r="E31" s="21" t="n"/>
      <c r="F31" s="21" t="n"/>
      <c r="G31" s="21" t="n"/>
      <c r="H31" s="21" t="n"/>
    </row>
    <row r="32">
      <c r="A32" s="21" t="n"/>
      <c r="B32" s="21" t="n"/>
      <c r="C32" s="21" t="n"/>
      <c r="D32" s="21" t="n"/>
      <c r="E32" s="21" t="n"/>
      <c r="F32" s="21" t="n"/>
      <c r="G32" s="21" t="n"/>
      <c r="H32" s="21" t="n"/>
    </row>
    <row r="33">
      <c r="A33" s="21" t="n"/>
      <c r="B33" s="21" t="n"/>
      <c r="C33" s="21" t="n"/>
      <c r="D33" s="21" t="n"/>
      <c r="E33" s="21" t="n"/>
      <c r="F33" s="21" t="n"/>
      <c r="G33" s="21" t="n"/>
      <c r="H33" s="21" t="n"/>
    </row>
    <row r="34">
      <c r="A34" s="21" t="n"/>
      <c r="B34" s="21" t="n"/>
      <c r="C34" s="21" t="n"/>
      <c r="D34" s="21" t="n"/>
      <c r="E34" s="21" t="n"/>
      <c r="F34" s="21" t="n"/>
      <c r="G34" s="21" t="n"/>
      <c r="H34" s="21" t="n"/>
    </row>
    <row r="35">
      <c r="A35" s="21" t="n"/>
      <c r="B35" s="21" t="n"/>
      <c r="C35" s="21" t="n"/>
      <c r="D35" s="21" t="n"/>
      <c r="E35" s="21" t="n"/>
      <c r="F35" s="21" t="n"/>
      <c r="G35" s="21" t="n"/>
      <c r="H35" s="21" t="n"/>
    </row>
    <row r="36">
      <c r="A36" s="21" t="n"/>
      <c r="B36" s="21" t="n"/>
      <c r="C36" s="21" t="n"/>
      <c r="D36" s="21" t="n"/>
      <c r="E36" s="21" t="n"/>
      <c r="F36" s="21" t="n"/>
      <c r="G36" s="21" t="n"/>
      <c r="H36" s="21" t="n"/>
    </row>
    <row r="37">
      <c r="A37" s="21" t="n"/>
      <c r="B37" s="21" t="n"/>
      <c r="C37" s="21" t="n"/>
      <c r="D37" s="21" t="n"/>
      <c r="E37" s="21" t="n"/>
      <c r="F37" s="21" t="n"/>
      <c r="G37" s="21" t="n"/>
      <c r="H37" s="21" t="n"/>
    </row>
    <row r="38">
      <c r="A38" s="21" t="n"/>
      <c r="B38" s="21" t="n"/>
      <c r="C38" s="21" t="n"/>
      <c r="D38" s="21" t="n"/>
      <c r="E38" s="21" t="n"/>
      <c r="F38" s="21" t="n"/>
      <c r="G38" s="21" t="n"/>
      <c r="H38" s="21" t="n"/>
    </row>
    <row r="39">
      <c r="A39" s="21" t="n"/>
      <c r="B39" s="21" t="n"/>
      <c r="C39" s="21" t="n"/>
      <c r="D39" s="21" t="n"/>
      <c r="E39" s="21" t="n"/>
      <c r="F39" s="21" t="n"/>
      <c r="G39" s="21" t="n"/>
      <c r="H39" s="21" t="n"/>
    </row>
    <row r="40">
      <c r="A40" s="21" t="n"/>
      <c r="B40" s="21" t="n"/>
      <c r="C40" s="21" t="n"/>
      <c r="D40" s="21" t="n"/>
      <c r="E40" s="21" t="n"/>
      <c r="F40" s="21" t="n"/>
      <c r="G40" s="21" t="n"/>
      <c r="H40" s="21" t="n"/>
    </row>
    <row r="41">
      <c r="A41" s="21" t="n"/>
      <c r="B41" s="21" t="n"/>
      <c r="C41" s="21" t="n"/>
      <c r="D41" s="21" t="n"/>
      <c r="E41" s="21" t="n"/>
      <c r="F41" s="21" t="n"/>
      <c r="G41" s="21" t="n"/>
      <c r="H41" s="21" t="n"/>
    </row>
    <row r="42">
      <c r="A42" s="21" t="n"/>
      <c r="B42" s="21" t="n"/>
      <c r="C42" s="21" t="n"/>
      <c r="D42" s="21" t="n"/>
      <c r="E42" s="21" t="n"/>
      <c r="F42" s="21" t="n"/>
      <c r="G42" s="21" t="n"/>
      <c r="H42" s="21" t="n"/>
    </row>
    <row r="43">
      <c r="A43" s="21" t="n"/>
      <c r="B43" s="21" t="n"/>
      <c r="C43" s="21" t="n"/>
      <c r="D43" s="21" t="n"/>
      <c r="E43" s="21" t="n"/>
      <c r="F43" s="21" t="n"/>
      <c r="G43" s="21" t="n"/>
      <c r="H43" s="21" t="n"/>
    </row>
    <row r="44">
      <c r="A44" s="21" t="n"/>
      <c r="B44" s="21" t="n"/>
      <c r="C44" s="21" t="n"/>
      <c r="D44" s="21" t="n"/>
      <c r="E44" s="21" t="n"/>
      <c r="F44" s="21" t="n"/>
      <c r="G44" s="21" t="n"/>
      <c r="H44" s="21" t="n"/>
    </row>
    <row r="45">
      <c r="A45" s="21" t="n"/>
      <c r="B45" s="21" t="n"/>
      <c r="C45" s="21" t="n"/>
      <c r="D45" s="21" t="n"/>
      <c r="E45" s="21" t="n"/>
      <c r="F45" s="21" t="n"/>
      <c r="G45" s="21" t="n"/>
      <c r="H45" s="21" t="n"/>
    </row>
    <row r="46">
      <c r="A46" s="21" t="n"/>
      <c r="B46" s="21" t="n"/>
      <c r="C46" s="21" t="n"/>
      <c r="D46" s="21" t="n"/>
      <c r="E46" s="21" t="n"/>
      <c r="F46" s="21" t="n"/>
      <c r="G46" s="21" t="n"/>
      <c r="H46" s="21" t="n"/>
    </row>
    <row r="47">
      <c r="A47" s="21" t="n"/>
      <c r="B47" s="21" t="n"/>
      <c r="C47" s="21" t="n"/>
      <c r="D47" s="21" t="n"/>
      <c r="E47" s="21" t="n"/>
      <c r="F47" s="21" t="n"/>
      <c r="G47" s="21" t="n"/>
      <c r="H47" s="21" t="n"/>
    </row>
    <row r="48">
      <c r="A48" s="21" t="n"/>
      <c r="B48" s="21" t="n"/>
      <c r="C48" s="21" t="n"/>
      <c r="D48" s="21" t="n"/>
      <c r="E48" s="21" t="n"/>
      <c r="F48" s="21" t="n"/>
      <c r="G48" s="21" t="n"/>
      <c r="H48" s="21" t="n"/>
    </row>
    <row r="49">
      <c r="A49" s="21" t="n"/>
      <c r="B49" s="21" t="n"/>
      <c r="C49" s="21" t="n"/>
      <c r="D49" s="21" t="n"/>
      <c r="E49" s="21" t="n"/>
      <c r="F49" s="21" t="n"/>
      <c r="G49" s="21" t="n"/>
      <c r="H49" s="21" t="n"/>
    </row>
    <row r="50">
      <c r="A50" s="21" t="n"/>
      <c r="B50" s="21" t="n"/>
      <c r="C50" s="21" t="n"/>
      <c r="D50" s="21" t="n"/>
      <c r="E50" s="21" t="n"/>
      <c r="F50" s="21" t="n"/>
      <c r="G50" s="21" t="n"/>
      <c r="H50" s="21" t="n"/>
    </row>
    <row r="51">
      <c r="A51" s="21" t="n"/>
      <c r="B51" s="21" t="n"/>
      <c r="C51" s="21" t="n"/>
      <c r="D51" s="21" t="n"/>
      <c r="E51" s="21" t="n"/>
      <c r="F51" s="21" t="n"/>
      <c r="G51" s="21" t="n"/>
      <c r="H51" s="21" t="n"/>
    </row>
    <row r="52">
      <c r="A52" s="21" t="n"/>
      <c r="B52" s="21" t="n"/>
      <c r="C52" s="21" t="n"/>
      <c r="D52" s="21" t="n"/>
      <c r="E52" s="21" t="n"/>
      <c r="F52" s="21" t="n"/>
      <c r="G52" s="21" t="n"/>
      <c r="H52" s="21" t="n"/>
    </row>
    <row r="53">
      <c r="A53" s="21" t="n"/>
      <c r="B53" s="21" t="n"/>
      <c r="C53" s="21" t="n"/>
      <c r="D53" s="21" t="n"/>
      <c r="E53" s="21" t="n"/>
      <c r="F53" s="21" t="n"/>
      <c r="G53" s="21" t="n"/>
      <c r="H53" s="21" t="n"/>
    </row>
    <row r="54">
      <c r="A54" s="21" t="n"/>
      <c r="B54" s="21" t="n"/>
      <c r="C54" s="21" t="n"/>
      <c r="D54" s="21" t="n"/>
      <c r="E54" s="21" t="n"/>
      <c r="F54" s="21" t="n"/>
      <c r="G54" s="21" t="n"/>
      <c r="H54" s="21" t="n"/>
    </row>
    <row r="55">
      <c r="A55" s="21" t="n"/>
      <c r="B55" s="21" t="n"/>
      <c r="C55" s="21" t="n"/>
      <c r="D55" s="21" t="n"/>
      <c r="E55" s="21" t="n"/>
      <c r="F55" s="21" t="n"/>
      <c r="G55" s="21" t="n"/>
      <c r="H55" s="21" t="n"/>
    </row>
    <row r="56">
      <c r="A56" s="21" t="n"/>
      <c r="B56" s="21" t="n"/>
      <c r="C56" s="21" t="n"/>
      <c r="D56" s="21" t="n"/>
      <c r="E56" s="21" t="n"/>
      <c r="F56" s="21" t="n"/>
      <c r="G56" s="21" t="n"/>
      <c r="H56" s="21" t="n"/>
    </row>
    <row r="57">
      <c r="A57" s="21" t="n"/>
      <c r="B57" s="21" t="n"/>
      <c r="C57" s="21" t="n"/>
      <c r="D57" s="21" t="n"/>
      <c r="E57" s="21" t="n"/>
      <c r="F57" s="21" t="n"/>
      <c r="G57" s="21" t="n"/>
      <c r="H57" s="21" t="n"/>
    </row>
    <row r="58">
      <c r="A58" s="21" t="n"/>
      <c r="B58" s="21" t="n"/>
      <c r="C58" s="21" t="n"/>
      <c r="D58" s="21" t="n"/>
      <c r="E58" s="21" t="n"/>
      <c r="F58" s="21" t="n"/>
      <c r="G58" s="21" t="n"/>
      <c r="H58" s="21" t="n"/>
    </row>
    <row r="59">
      <c r="A59" s="21" t="n"/>
      <c r="B59" s="21" t="n"/>
      <c r="C59" s="21" t="n"/>
      <c r="D59" s="21" t="n"/>
      <c r="E59" s="21" t="n"/>
      <c r="F59" s="21" t="n"/>
      <c r="G59" s="21" t="n"/>
      <c r="H59" s="21" t="n"/>
    </row>
    <row r="60">
      <c r="A60" s="21" t="n"/>
      <c r="B60" s="21" t="n"/>
      <c r="C60" s="21" t="n"/>
      <c r="D60" s="21" t="n"/>
      <c r="E60" s="21" t="n"/>
      <c r="F60" s="21" t="n"/>
      <c r="G60" s="21" t="n"/>
      <c r="H60" s="21" t="n"/>
    </row>
    <row r="61">
      <c r="A61" s="21" t="n"/>
      <c r="B61" s="21" t="n"/>
      <c r="C61" s="21" t="n"/>
      <c r="D61" s="21" t="n"/>
      <c r="E61" s="21" t="n"/>
      <c r="F61" s="21" t="n"/>
      <c r="G61" s="21" t="n"/>
      <c r="H61" s="21" t="n"/>
    </row>
    <row r="62">
      <c r="A62" s="21" t="n"/>
      <c r="B62" s="21" t="n"/>
      <c r="C62" s="21" t="n"/>
      <c r="D62" s="21" t="n"/>
      <c r="E62" s="21" t="n"/>
      <c r="F62" s="21" t="n"/>
      <c r="G62" s="21" t="n"/>
      <c r="H62" s="21" t="n"/>
    </row>
    <row r="63">
      <c r="A63" s="21" t="n"/>
      <c r="B63" s="21" t="n"/>
      <c r="C63" s="21" t="n"/>
      <c r="D63" s="21" t="n"/>
      <c r="E63" s="21" t="n"/>
      <c r="F63" s="21" t="n"/>
      <c r="G63" s="21" t="n"/>
      <c r="H63" s="21" t="n"/>
    </row>
    <row r="64">
      <c r="A64" s="21" t="n"/>
      <c r="B64" s="21" t="n"/>
      <c r="C64" s="21" t="n"/>
      <c r="D64" s="21" t="n"/>
      <c r="E64" s="21" t="n"/>
      <c r="F64" s="21" t="n"/>
      <c r="G64" s="21" t="n"/>
      <c r="H64" s="21" t="n"/>
    </row>
    <row r="65">
      <c r="A65" s="21" t="n"/>
      <c r="B65" s="21" t="n"/>
      <c r="C65" s="21" t="n"/>
      <c r="D65" s="21" t="n"/>
      <c r="E65" s="21" t="n"/>
      <c r="F65" s="21" t="n"/>
      <c r="G65" s="21" t="n"/>
      <c r="H65" s="21" t="n"/>
    </row>
    <row r="66">
      <c r="A66" s="21" t="n"/>
      <c r="B66" s="21" t="n"/>
      <c r="C66" s="21" t="n"/>
      <c r="D66" s="21" t="n"/>
      <c r="E66" s="21" t="n"/>
      <c r="F66" s="21" t="n"/>
      <c r="G66" s="21" t="n"/>
      <c r="H66" s="21" t="n"/>
    </row>
    <row r="67">
      <c r="A67" s="21" t="n"/>
      <c r="B67" s="21" t="n"/>
      <c r="C67" s="21" t="n"/>
      <c r="D67" s="21" t="n"/>
      <c r="E67" s="21" t="n"/>
      <c r="F67" s="21" t="n"/>
      <c r="G67" s="21" t="n"/>
      <c r="H67" s="21" t="n"/>
    </row>
    <row r="68">
      <c r="A68" s="21" t="n"/>
      <c r="B68" s="21" t="n"/>
      <c r="C68" s="21" t="n"/>
      <c r="D68" s="21" t="n"/>
      <c r="E68" s="21" t="n"/>
      <c r="F68" s="21" t="n"/>
      <c r="G68" s="21" t="n"/>
      <c r="H68" s="21" t="n"/>
    </row>
    <row r="69">
      <c r="A69" s="21" t="n"/>
      <c r="B69" s="21" t="n"/>
      <c r="C69" s="21" t="n"/>
      <c r="D69" s="21" t="n"/>
      <c r="E69" s="21" t="n"/>
      <c r="F69" s="21" t="n"/>
      <c r="G69" s="21" t="n"/>
      <c r="H69" s="21" t="n"/>
    </row>
    <row r="70">
      <c r="A70" s="21" t="n"/>
      <c r="B70" s="21" t="n"/>
      <c r="C70" s="21" t="n"/>
      <c r="D70" s="21" t="n"/>
      <c r="E70" s="21" t="n"/>
      <c r="F70" s="21" t="n"/>
      <c r="G70" s="21" t="n"/>
      <c r="H70" s="21" t="n"/>
    </row>
    <row r="71">
      <c r="A71" s="21" t="n"/>
      <c r="B71" s="21" t="n"/>
      <c r="C71" s="21" t="n"/>
      <c r="D71" s="21" t="n"/>
      <c r="E71" s="21" t="n"/>
      <c r="F71" s="21" t="n"/>
      <c r="G71" s="21" t="n"/>
      <c r="H71" s="21" t="n"/>
    </row>
    <row r="72">
      <c r="A72" s="21" t="n"/>
      <c r="B72" s="21" t="n"/>
      <c r="C72" s="21" t="n"/>
      <c r="D72" s="21" t="n"/>
      <c r="E72" s="21" t="n"/>
      <c r="F72" s="21" t="n"/>
      <c r="G72" s="21" t="n"/>
      <c r="H72" s="21" t="n"/>
    </row>
    <row r="73">
      <c r="A73" s="21" t="n"/>
      <c r="B73" s="21" t="n"/>
      <c r="C73" s="21" t="n"/>
      <c r="D73" s="21" t="n"/>
      <c r="E73" s="21" t="n"/>
      <c r="F73" s="21" t="n"/>
      <c r="G73" s="21" t="n"/>
      <c r="H73" s="21" t="n"/>
    </row>
    <row r="74">
      <c r="A74" s="21" t="n"/>
      <c r="B74" s="21" t="n"/>
      <c r="C74" s="21" t="n"/>
      <c r="D74" s="21" t="n"/>
      <c r="E74" s="21" t="n"/>
      <c r="F74" s="21" t="n"/>
      <c r="G74" s="21" t="n"/>
      <c r="H74" s="21" t="n"/>
    </row>
    <row r="75">
      <c r="A75" s="21" t="n"/>
      <c r="B75" s="21" t="n"/>
      <c r="C75" s="21" t="n"/>
      <c r="D75" s="21" t="n"/>
      <c r="E75" s="21" t="n"/>
      <c r="F75" s="21" t="n"/>
      <c r="G75" s="21" t="n"/>
      <c r="H75" s="21" t="n"/>
    </row>
    <row r="76">
      <c r="A76" s="21" t="n"/>
      <c r="B76" s="21" t="n"/>
      <c r="C76" s="21" t="n"/>
      <c r="D76" s="21" t="n"/>
      <c r="E76" s="21" t="n"/>
      <c r="F76" s="21" t="n"/>
      <c r="G76" s="21" t="n"/>
      <c r="H76" s="21" t="n"/>
    </row>
    <row r="77">
      <c r="A77" s="21" t="n"/>
      <c r="B77" s="21" t="n"/>
      <c r="C77" s="21" t="n"/>
      <c r="D77" s="21" t="n"/>
      <c r="E77" s="21" t="n"/>
      <c r="F77" s="21" t="n"/>
      <c r="G77" s="21" t="n"/>
      <c r="H77" s="21" t="n"/>
    </row>
    <row r="78">
      <c r="A78" s="21" t="n"/>
      <c r="B78" s="21" t="n"/>
      <c r="C78" s="21" t="n"/>
      <c r="D78" s="21" t="n"/>
      <c r="E78" s="21" t="n"/>
      <c r="F78" s="21" t="n"/>
      <c r="G78" s="21" t="n"/>
      <c r="H78" s="21" t="n"/>
    </row>
    <row r="79">
      <c r="A79" s="21" t="n"/>
      <c r="B79" s="21" t="n"/>
      <c r="C79" s="21" t="n"/>
      <c r="D79" s="21" t="n"/>
      <c r="E79" s="21" t="n"/>
      <c r="F79" s="21" t="n"/>
      <c r="G79" s="21" t="n"/>
      <c r="H79" s="21" t="n"/>
    </row>
    <row r="80">
      <c r="A80" s="21" t="n"/>
      <c r="B80" s="21" t="n"/>
      <c r="C80" s="21" t="n"/>
      <c r="D80" s="21" t="n"/>
      <c r="E80" s="21" t="n"/>
      <c r="F80" s="21" t="n"/>
      <c r="G80" s="21" t="n"/>
      <c r="H80" s="21" t="n"/>
    </row>
    <row r="81">
      <c r="A81" s="21" t="n"/>
      <c r="B81" s="21" t="n"/>
      <c r="C81" s="21" t="n"/>
      <c r="D81" s="21" t="n"/>
      <c r="E81" s="21" t="n"/>
      <c r="F81" s="21" t="n"/>
      <c r="G81" s="21" t="n"/>
      <c r="H81" s="21" t="n"/>
    </row>
    <row r="82">
      <c r="A82" s="21" t="n"/>
      <c r="B82" s="21" t="n"/>
      <c r="C82" s="21" t="n"/>
      <c r="D82" s="21" t="n"/>
      <c r="E82" s="21" t="n"/>
      <c r="F82" s="21" t="n"/>
      <c r="G82" s="21" t="n"/>
      <c r="H82" s="21" t="n"/>
    </row>
    <row r="83">
      <c r="A83" s="21" t="n"/>
      <c r="B83" s="21" t="n"/>
      <c r="C83" s="21" t="n"/>
      <c r="D83" s="21" t="n"/>
      <c r="E83" s="21" t="n"/>
      <c r="F83" s="21" t="n"/>
      <c r="G83" s="21" t="n"/>
      <c r="H83" s="21" t="n"/>
    </row>
    <row r="84">
      <c r="A84" s="21" t="n"/>
      <c r="B84" s="21" t="n"/>
      <c r="C84" s="21" t="n"/>
      <c r="D84" s="21" t="n"/>
      <c r="E84" s="21" t="n"/>
      <c r="F84" s="21" t="n"/>
      <c r="G84" s="21" t="n"/>
      <c r="H84" s="21" t="n"/>
    </row>
    <row r="85">
      <c r="A85" s="21" t="n"/>
      <c r="B85" s="21" t="n"/>
      <c r="C85" s="21" t="n"/>
      <c r="D85" s="21" t="n"/>
      <c r="E85" s="21" t="n"/>
      <c r="F85" s="21" t="n"/>
      <c r="G85" s="21" t="n"/>
      <c r="H85" s="21" t="n"/>
    </row>
    <row r="86">
      <c r="A86" s="21" t="n"/>
      <c r="B86" s="21" t="n"/>
      <c r="C86" s="21" t="n"/>
      <c r="D86" s="21" t="n"/>
      <c r="E86" s="21" t="n"/>
      <c r="F86" s="21" t="n"/>
      <c r="G86" s="21" t="n"/>
      <c r="H86" s="21" t="n"/>
    </row>
    <row r="87">
      <c r="A87" s="21" t="n"/>
      <c r="B87" s="21" t="n"/>
      <c r="C87" s="21" t="n"/>
      <c r="D87" s="21" t="n"/>
      <c r="E87" s="21" t="n"/>
      <c r="F87" s="21" t="n"/>
      <c r="G87" s="21" t="n"/>
      <c r="H87" s="21" t="n"/>
    </row>
    <row r="88">
      <c r="A88" s="21" t="n"/>
      <c r="B88" s="21" t="n"/>
      <c r="C88" s="21" t="n"/>
      <c r="D88" s="21" t="n"/>
      <c r="E88" s="21" t="n"/>
      <c r="F88" s="21" t="n"/>
      <c r="G88" s="21" t="n"/>
      <c r="H88" s="21" t="n"/>
    </row>
    <row r="89">
      <c r="A89" s="21" t="n"/>
      <c r="B89" s="21" t="n"/>
      <c r="C89" s="21" t="n"/>
      <c r="D89" s="21" t="n"/>
      <c r="E89" s="21" t="n"/>
      <c r="F89" s="21" t="n"/>
      <c r="G89" s="21" t="n"/>
      <c r="H89" s="21" t="n"/>
    </row>
    <row r="90">
      <c r="A90" s="21" t="n"/>
      <c r="B90" s="21" t="n"/>
      <c r="C90" s="21" t="n"/>
      <c r="D90" s="21" t="n"/>
      <c r="E90" s="21" t="n"/>
      <c r="F90" s="21" t="n"/>
      <c r="G90" s="21" t="n"/>
      <c r="H90" s="21" t="n"/>
    </row>
    <row r="91">
      <c r="A91" s="21" t="n"/>
      <c r="B91" s="21" t="n"/>
      <c r="C91" s="21" t="n"/>
      <c r="D91" s="21" t="n"/>
      <c r="E91" s="21" t="n"/>
      <c r="F91" s="21" t="n"/>
      <c r="G91" s="21" t="n"/>
      <c r="H91" s="21" t="n"/>
    </row>
    <row r="92">
      <c r="A92" s="21" t="n"/>
      <c r="B92" s="21" t="n"/>
      <c r="C92" s="21" t="n"/>
      <c r="D92" s="21" t="n"/>
      <c r="E92" s="21" t="n"/>
      <c r="F92" s="21" t="n"/>
      <c r="G92" s="21" t="n"/>
      <c r="H92" s="21" t="n"/>
    </row>
    <row r="93">
      <c r="A93" s="21" t="n"/>
      <c r="B93" s="21" t="n"/>
      <c r="C93" s="21" t="n"/>
      <c r="D93" s="21" t="n"/>
      <c r="E93" s="21" t="n"/>
      <c r="F93" s="21" t="n"/>
      <c r="G93" s="21" t="n"/>
      <c r="H93" s="21" t="n"/>
    </row>
    <row r="94">
      <c r="A94" s="21" t="n"/>
      <c r="B94" s="21" t="n"/>
      <c r="C94" s="21" t="n"/>
      <c r="D94" s="21" t="n"/>
      <c r="E94" s="21" t="n"/>
      <c r="F94" s="21" t="n"/>
      <c r="G94" s="21" t="n"/>
      <c r="H94" s="21" t="n"/>
    </row>
    <row r="95">
      <c r="A95" s="21" t="n"/>
      <c r="B95" s="21" t="n"/>
      <c r="C95" s="21" t="n"/>
      <c r="D95" s="21" t="n"/>
      <c r="E95" s="21" t="n"/>
      <c r="F95" s="21" t="n"/>
      <c r="G95" s="21" t="n"/>
      <c r="H95" s="21" t="n"/>
    </row>
    <row r="96">
      <c r="A96" s="21" t="n"/>
      <c r="B96" s="21" t="n"/>
      <c r="C96" s="21" t="n"/>
      <c r="D96" s="21" t="n"/>
      <c r="E96" s="21" t="n"/>
      <c r="F96" s="21" t="n"/>
      <c r="G96" s="21" t="n"/>
      <c r="H96" s="21" t="n"/>
    </row>
    <row r="97">
      <c r="A97" s="21" t="n"/>
      <c r="B97" s="21" t="n"/>
      <c r="C97" s="21" t="n"/>
      <c r="D97" s="21" t="n"/>
      <c r="E97" s="21" t="n"/>
      <c r="F97" s="21" t="n"/>
      <c r="G97" s="21" t="n"/>
      <c r="H97" s="21" t="n"/>
    </row>
    <row r="98">
      <c r="A98" s="21" t="n"/>
      <c r="B98" s="21" t="n"/>
      <c r="C98" s="21" t="n"/>
      <c r="D98" s="21" t="n"/>
      <c r="E98" s="21" t="n"/>
      <c r="F98" s="21" t="n"/>
      <c r="G98" s="21" t="n"/>
      <c r="H98" s="21" t="n"/>
    </row>
    <row r="99">
      <c r="A99" s="21" t="n"/>
      <c r="B99" s="21" t="n"/>
      <c r="C99" s="21" t="n"/>
      <c r="D99" s="21" t="n"/>
      <c r="E99" s="21" t="n"/>
      <c r="F99" s="21" t="n"/>
      <c r="G99" s="21" t="n"/>
      <c r="H99" s="21" t="n"/>
    </row>
    <row r="100">
      <c r="A100" s="21" t="n"/>
      <c r="B100" s="21" t="n"/>
      <c r="C100" s="21" t="n"/>
      <c r="D100" s="21" t="n"/>
      <c r="E100" s="21" t="n"/>
      <c r="F100" s="21" t="n"/>
      <c r="G100" s="21" t="n"/>
      <c r="H100" s="21" t="n"/>
    </row>
    <row r="101">
      <c r="A101" s="21" t="n"/>
      <c r="B101" s="21" t="n"/>
      <c r="C101" s="21" t="n"/>
      <c r="D101" s="21" t="n"/>
      <c r="E101" s="21" t="n"/>
      <c r="F101" s="21" t="n"/>
      <c r="G101" s="21" t="n"/>
      <c r="H101" s="21" t="n"/>
    </row>
    <row r="102">
      <c r="A102" s="21" t="n"/>
      <c r="B102" s="21" t="n"/>
      <c r="C102" s="21" t="n"/>
      <c r="D102" s="21" t="n"/>
      <c r="E102" s="21" t="n"/>
      <c r="F102" s="21" t="n"/>
      <c r="G102" s="21" t="n"/>
      <c r="H102" s="21" t="n"/>
    </row>
    <row r="103">
      <c r="A103" s="21" t="n"/>
      <c r="B103" s="21" t="n"/>
      <c r="C103" s="21" t="n"/>
      <c r="D103" s="21" t="n"/>
      <c r="E103" s="21" t="n"/>
      <c r="F103" s="21" t="n"/>
      <c r="G103" s="21" t="n"/>
      <c r="H103" s="21" t="n"/>
    </row>
    <row r="104">
      <c r="A104" s="21" t="n"/>
      <c r="B104" s="21" t="n"/>
      <c r="C104" s="21" t="n"/>
      <c r="D104" s="21" t="n"/>
      <c r="E104" s="21" t="n"/>
      <c r="F104" s="21" t="n"/>
      <c r="G104" s="21" t="n"/>
      <c r="H104" s="21" t="n"/>
    </row>
    <row r="105">
      <c r="A105" s="21" t="n"/>
      <c r="B105" s="21" t="n"/>
      <c r="C105" s="21" t="n"/>
      <c r="D105" s="21" t="n"/>
      <c r="E105" s="21" t="n"/>
      <c r="F105" s="21" t="n"/>
      <c r="G105" s="21" t="n"/>
      <c r="H105" s="21" t="n"/>
    </row>
  </sheetData>
  <mergeCells count="2">
    <mergeCell ref="A2:H2"/>
    <mergeCell ref="A1:H1"/>
  </mergeCells>
  <dataValidations count="2">
    <dataValidation sqref="C6:C105" showDropDown="0" showInputMessage="0" showErrorMessage="0" allowBlank="1" type="list">
      <formula1>"Configuration file,Screenshot,Network scan,Documentation,Vendor spec,Audit log,Compliance report,Dashboard export,Other"</formula1>
    </dataValidation>
    <dataValidation sqref="H6: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2"/>
  <sheetViews>
    <sheetView showGridLines="0" workbookViewId="0">
      <pane ySplit="3" topLeftCell="A4" activePane="bottomLeft" state="frozen"/>
      <selection pane="bottomLeft" activeCell="A1" sqref="A1"/>
    </sheetView>
  </sheetViews>
  <sheetFormatPr baseColWidth="8" defaultRowHeight="15"/>
  <cols>
    <col width="40" customWidth="1" min="1" max="1"/>
    <col width="15" customWidth="1" min="2" max="2"/>
    <col width="12" customWidth="1" min="3" max="3"/>
    <col width="12" customWidth="1" min="4" max="4"/>
    <col width="12" customWidth="1" min="5" max="5"/>
    <col width="12" customWidth="1" min="6" max="6"/>
    <col width="15" customWidth="1" min="7" max="7"/>
  </cols>
  <sheetData>
    <row r="1" ht="35" customHeight="1">
      <c r="A1" s="22" t="inlineStr">
        <is>
          <t>MONITORING &amp; RESPONSE ASSESSMENT — SUMMARY DASHBOARD</t>
        </is>
      </c>
    </row>
    <row r="2">
      <c r="A2" s="23" t="inlineStr">
        <is>
          <t>ISO/IEC 27001:2022 — Control A.8.12: Data Leakage Prevention</t>
        </is>
      </c>
    </row>
    <row r="4">
      <c r="A4" s="24" t="inlineStr">
        <is>
          <t>TABLE 1 — COMPLIANCE ASSESSMENT SUMMARY</t>
        </is>
      </c>
    </row>
    <row r="5">
      <c r="A5" s="25" t="inlineStr">
        <is>
          <t>Assessment Area</t>
        </is>
      </c>
      <c r="B5" s="25" t="inlineStr">
        <is>
          <t>Total Items</t>
        </is>
      </c>
      <c r="C5" s="25" t="inlineStr">
        <is>
          <t>Compliant</t>
        </is>
      </c>
      <c r="D5" s="25" t="inlineStr">
        <is>
          <t>Partial</t>
        </is>
      </c>
      <c r="E5" s="25" t="inlineStr">
        <is>
          <t>Non-Compliant</t>
        </is>
      </c>
      <c r="F5" s="25" t="inlineStr">
        <is>
          <t>N/A</t>
        </is>
      </c>
      <c r="G5" s="25" t="inlineStr">
        <is>
          <t>Compliance %</t>
        </is>
      </c>
    </row>
    <row r="6">
      <c r="A6" s="26" t="inlineStr">
        <is>
          <t>Logging Configuration</t>
        </is>
      </c>
      <c r="B6" s="27">
        <f>C6+D6+E6+F6</f>
        <v/>
      </c>
      <c r="C6" s="27">
        <f>COUNTIF('Logging Configuration'!C6:C55,"Yes")</f>
        <v/>
      </c>
      <c r="D6" s="27">
        <f>COUNTIF('Logging Configuration'!C6:C55,"Partial")+COUNTIF('Logging Configuration'!C6:C55,"Planned")</f>
        <v/>
      </c>
      <c r="E6" s="27">
        <f>COUNTIF('Logging Configuration'!C6:C55,"No")</f>
        <v/>
      </c>
      <c r="F6" s="27">
        <f>COUNTIF('Logging Configuration'!C6:C55,"N/A")</f>
        <v/>
      </c>
      <c r="G6" s="28">
        <f>IF((B6-F6)=0,0,C6/(B6-F6))</f>
        <v/>
      </c>
    </row>
    <row r="7">
      <c r="A7" s="26" t="inlineStr">
        <is>
          <t>Alert Rules Inventory</t>
        </is>
      </c>
      <c r="B7" s="27">
        <f>C7+D7+E7+F7</f>
        <v/>
      </c>
      <c r="C7" s="27">
        <f>COUNTIF('Alert Rules Inventory'!L6:L55,"Active")</f>
        <v/>
      </c>
      <c r="D7" s="27">
        <f>COUNTIF('Alert Rules Inventory'!L6:L55,"Testing")</f>
        <v/>
      </c>
      <c r="E7" s="27">
        <f>COUNTIF('Alert Rules Inventory'!L6:L55,"Disabled")+COUNTIF('Alert Rules Inventory'!L6:L55,"Deprecated")</f>
        <v/>
      </c>
      <c r="F7" s="27" t="inlineStr">
        <is>
          <t>0</t>
        </is>
      </c>
      <c r="G7" s="28">
        <f>IF((B7-F7)=0,0,C7/(B7-F7))</f>
        <v/>
      </c>
    </row>
    <row r="8">
      <c r="A8" s="26" t="inlineStr">
        <is>
          <t>SIEM Integration</t>
        </is>
      </c>
      <c r="B8" s="27">
        <f>C8+D8+E8+F8</f>
        <v/>
      </c>
      <c r="C8" s="27">
        <f>COUNTIF('SIEM Integration'!C6:C55,"Yes")</f>
        <v/>
      </c>
      <c r="D8" s="27">
        <f>COUNTIF('SIEM Integration'!C6:C55,"Partial")+COUNTIF('SIEM Integration'!C6:C55,"Planned")</f>
        <v/>
      </c>
      <c r="E8" s="27">
        <f>COUNTIF('SIEM Integration'!C6:C55,"No")</f>
        <v/>
      </c>
      <c r="F8" s="27">
        <f>COUNTIF('SIEM Integration'!C6:C55,"N/A")</f>
        <v/>
      </c>
      <c r="G8" s="28">
        <f>IF((B8-F8)=0,0,C8/(B8-F8))</f>
        <v/>
      </c>
    </row>
    <row r="9">
      <c r="A9" s="26" t="inlineStr">
        <is>
          <t>False Positive Management</t>
        </is>
      </c>
      <c r="B9" s="27">
        <f>C9+D9+E9+F9</f>
        <v/>
      </c>
      <c r="C9" s="27">
        <f>COUNTIF('False Positive Management'!C6:C55,"Yes")</f>
        <v/>
      </c>
      <c r="D9" s="27">
        <f>COUNTIF('False Positive Management'!C6:C55,"Partial")+COUNTIF('False Positive Management'!C6:C55,"Planned")</f>
        <v/>
      </c>
      <c r="E9" s="27">
        <f>COUNTIF('False Positive Management'!C6:C55,"No")</f>
        <v/>
      </c>
      <c r="F9" s="27">
        <f>COUNTIF('False Positive Management'!C6:C55,"N/A")</f>
        <v/>
      </c>
      <c r="G9" s="28">
        <f>IF((B9-F9)=0,0,C9/(B9-F9))</f>
        <v/>
      </c>
    </row>
    <row r="10">
      <c r="A10" s="26" t="inlineStr">
        <is>
          <t>Incident Response Workflow</t>
        </is>
      </c>
      <c r="B10" s="27">
        <f>C10+D10+E10+F10</f>
        <v/>
      </c>
      <c r="C10" s="27">
        <f>COUNTIF('Incident Response Workflow'!C6:C55,"Yes")</f>
        <v/>
      </c>
      <c r="D10" s="27">
        <f>COUNTIF('Incident Response Workflow'!C6:C55,"Partial")+COUNTIF('Incident Response Workflow'!C6:C55,"Planned")</f>
        <v/>
      </c>
      <c r="E10" s="27">
        <f>COUNTIF('Incident Response Workflow'!C6:C55,"No")</f>
        <v/>
      </c>
      <c r="F10" s="27">
        <f>COUNTIF('Incident Response Workflow'!C6:C55,"N/A")</f>
        <v/>
      </c>
      <c r="G10" s="28">
        <f>IF((B10-F10)=0,0,C10/(B10-F10))</f>
        <v/>
      </c>
    </row>
    <row r="11">
      <c r="A11" s="26" t="inlineStr">
        <is>
          <t>SOC Integration</t>
        </is>
      </c>
      <c r="B11" s="27">
        <f>C11+D11+E11+F11</f>
        <v/>
      </c>
      <c r="C11" s="27">
        <f>COUNTIF('SOC Integration'!C6:C55,"Yes")</f>
        <v/>
      </c>
      <c r="D11" s="27">
        <f>COUNTIF('SOC Integration'!C6:C55,"Partial")+COUNTIF('SOC Integration'!C6:C55,"Planned")</f>
        <v/>
      </c>
      <c r="E11" s="27">
        <f>COUNTIF('SOC Integration'!C6:C55,"No")</f>
        <v/>
      </c>
      <c r="F11" s="27">
        <f>COUNTIF('SOC Integration'!C6:C55,"N/A")</f>
        <v/>
      </c>
      <c r="G11" s="28">
        <f>IF((B11-F11)=0,0,C11/(B11-F11))</f>
        <v/>
      </c>
    </row>
    <row r="12">
      <c r="A12" s="26" t="inlineStr">
        <is>
          <t>Dashboards &amp; Reporting</t>
        </is>
      </c>
      <c r="B12" s="27">
        <f>C12+D12+E12+F12</f>
        <v/>
      </c>
      <c r="C12" s="27">
        <f>COUNTIF('Dashboards Reporting'!C6:C55,"Yes")</f>
        <v/>
      </c>
      <c r="D12" s="27">
        <f>COUNTIF('Dashboards Reporting'!C6:C55,"Partial")+COUNTIF('Dashboards Reporting'!C6:C55,"Planned")</f>
        <v/>
      </c>
      <c r="E12" s="27">
        <f>COUNTIF('Dashboards Reporting'!C6:C55,"No")</f>
        <v/>
      </c>
      <c r="F12" s="27">
        <f>COUNTIF('Dashboards Reporting'!C6:C55,"N/A")</f>
        <v/>
      </c>
      <c r="G12" s="28">
        <f>IF((B12-F12)=0,0,C12/(B12-F12))</f>
        <v/>
      </c>
    </row>
    <row r="13">
      <c r="A13" s="26" t="inlineStr">
        <is>
          <t>Gap Analysis</t>
        </is>
      </c>
      <c r="B13" s="27">
        <f>C13+D13+E13+F13</f>
        <v/>
      </c>
      <c r="C13" s="27">
        <f>COUNTIF('Gap Analysis'!I6:I55,"Complete")</f>
        <v/>
      </c>
      <c r="D13" s="27">
        <f>COUNTIF('Gap Analysis'!I6:I55,"In Progress")</f>
        <v/>
      </c>
      <c r="E13" s="27">
        <f>COUNTIF('Gap Analysis'!I6:I55,"Not Started")+COUNTIF('Gap Analysis'!I6:I55,"Blocked")</f>
        <v/>
      </c>
      <c r="F13" s="27" t="inlineStr">
        <is>
          <t>0</t>
        </is>
      </c>
      <c r="G13" s="28">
        <f>IF((B13-F13)=0,0,C13/(B13-F13))</f>
        <v/>
      </c>
    </row>
    <row r="14">
      <c r="A14" s="29" t="inlineStr">
        <is>
          <t>TOTAL</t>
        </is>
      </c>
      <c r="B14" s="30">
        <f>SUM(B6:B13)</f>
        <v/>
      </c>
      <c r="C14" s="30">
        <f>SUM(C6:C13)</f>
        <v/>
      </c>
      <c r="D14" s="30">
        <f>SUM(D6:D13)</f>
        <v/>
      </c>
      <c r="E14" s="30">
        <f>SUM(E6:E13)</f>
        <v/>
      </c>
      <c r="F14" s="30">
        <f>SUM(F6:F13)</f>
        <v/>
      </c>
      <c r="G14" s="31">
        <f>IF((B14-F14)=0,0,C14/(B14-F14))</f>
        <v/>
      </c>
    </row>
    <row r="16">
      <c r="A16" s="24" t="inlineStr">
        <is>
          <t>TABLE 2 — KEY METRICS</t>
        </is>
      </c>
    </row>
    <row r="17">
      <c r="A17" s="30" t="inlineStr">
        <is>
          <t>Metric</t>
        </is>
      </c>
      <c r="B17" s="30" t="inlineStr">
        <is>
          <t>Value</t>
        </is>
      </c>
      <c r="C17" s="30" t="inlineStr">
        <is>
          <t>Notes</t>
        </is>
      </c>
      <c r="D17" s="32" t="n"/>
      <c r="E17" s="32" t="n"/>
      <c r="F17" s="32" t="n"/>
      <c r="G17" s="33" t="n"/>
    </row>
    <row r="18">
      <c r="A18" s="34" t="inlineStr">
        <is>
          <t>Overall Compliance Score</t>
        </is>
      </c>
      <c r="B18" s="28">
        <f>G14</f>
        <v/>
      </c>
      <c r="C18" s="34" t="inlineStr">
        <is>
          <t>Compliant items / (Total - N/A items)</t>
        </is>
      </c>
    </row>
    <row r="19">
      <c r="A19" s="34" t="inlineStr">
        <is>
          <t>Critical Gaps (Risk = High/Critical)</t>
        </is>
      </c>
      <c r="B19" s="27">
        <f>COUNTIF('Gap Analysis'!D6:D55,"High")+COUNTIF('Gap Analysis'!D6:D55,"Critical")</f>
        <v/>
      </c>
      <c r="C19" s="34" t="inlineStr">
        <is>
          <t>Open high-risk monitoring/response gaps</t>
        </is>
      </c>
    </row>
    <row r="20">
      <c r="A20" s="34" t="inlineStr">
        <is>
          <t>Logging Coverage (all channels)</t>
        </is>
      </c>
      <c r="B20" s="28">
        <f>IF((B6-F6)=0,0,C6/(B6-F6))</f>
        <v/>
      </c>
      <c r="C20" s="34" t="inlineStr">
        <is>
          <t>Logging Configuration compliance rate</t>
        </is>
      </c>
    </row>
    <row r="21">
      <c r="A21" s="34" t="inlineStr">
        <is>
          <t>SIEM Integration Coverage</t>
        </is>
      </c>
      <c r="B21" s="28">
        <f>IF((B8-F8)=0,0,C8/(B8-F8))</f>
        <v/>
      </c>
      <c r="C21" s="34" t="inlineStr">
        <is>
          <t>SIEM Integration compliance rate</t>
        </is>
      </c>
    </row>
    <row r="22">
      <c r="A22" s="34" t="inlineStr">
        <is>
          <t>Incident Response Readiness</t>
        </is>
      </c>
      <c r="B22" s="28">
        <f>IF((B10-F10)=0,0,C10/(B10-F10))</f>
        <v/>
      </c>
      <c r="C22" s="34" t="inlineStr">
        <is>
          <t>IR Workflow compliance rate</t>
        </is>
      </c>
    </row>
    <row r="23">
      <c r="A23" s="34" t="inlineStr">
        <is>
          <t>Gaps Resolved</t>
        </is>
      </c>
      <c r="B23" s="27">
        <f>COUNTIF('Gap Analysis'!I6:I55,"Complete")</f>
        <v/>
      </c>
      <c r="C23" s="34" t="inlineStr">
        <is>
          <t>Monitoring/response gaps fully closed</t>
        </is>
      </c>
    </row>
    <row r="26">
      <c r="A26" s="35" t="inlineStr">
        <is>
          <t>TABLE 3 — KEY FINDINGS</t>
        </is>
      </c>
    </row>
    <row r="27">
      <c r="A27" s="30" t="inlineStr">
        <is>
          <t>#</t>
        </is>
      </c>
      <c r="B27" s="30" t="inlineStr">
        <is>
          <t>Finding</t>
        </is>
      </c>
      <c r="C27" s="32" t="n"/>
      <c r="D27" s="32" t="n"/>
      <c r="E27" s="32" t="n"/>
      <c r="F27" s="32" t="n"/>
      <c r="G27" s="33" t="n"/>
    </row>
    <row r="28">
      <c r="A28" s="36" t="n">
        <v>1</v>
      </c>
      <c r="B28" s="37" t="n"/>
    </row>
    <row r="29">
      <c r="A29" s="36" t="n">
        <v>2</v>
      </c>
      <c r="B29" s="37" t="n"/>
    </row>
    <row r="30">
      <c r="A30" s="36" t="n">
        <v>3</v>
      </c>
      <c r="B30" s="37" t="n"/>
    </row>
    <row r="31">
      <c r="A31" s="36" t="n">
        <v>4</v>
      </c>
      <c r="B31" s="37" t="n"/>
    </row>
    <row r="32">
      <c r="A32" s="36" t="n">
        <v>5</v>
      </c>
      <c r="B32" s="37" t="n"/>
    </row>
  </sheetData>
  <mergeCells count="18">
    <mergeCell ref="C21:G21"/>
    <mergeCell ref="A1:G1"/>
    <mergeCell ref="C20:G20"/>
    <mergeCell ref="B28:G28"/>
    <mergeCell ref="B30:G30"/>
    <mergeCell ref="B31:G31"/>
    <mergeCell ref="B27:G27"/>
    <mergeCell ref="A4:G4"/>
    <mergeCell ref="A26:G26"/>
    <mergeCell ref="C19:G19"/>
    <mergeCell ref="A16:G16"/>
    <mergeCell ref="A2:G2"/>
    <mergeCell ref="B32:G32"/>
    <mergeCell ref="C23:G23"/>
    <mergeCell ref="C22:G22"/>
    <mergeCell ref="C18:G18"/>
    <mergeCell ref="B29:G29"/>
    <mergeCell ref="C17:G1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7" t="inlineStr">
        <is>
          <t>ASSESSMENT APPROVAL AND SIGN-OFF</t>
        </is>
      </c>
      <c r="B1" s="6" t="n"/>
      <c r="C1" s="6" t="n"/>
      <c r="D1" s="6" t="n"/>
      <c r="E1" s="6" t="n"/>
    </row>
    <row r="2">
      <c r="A2" s="38" t="inlineStr">
        <is>
          <t>ISO/IEC 27001:2022 — Control A.8.12: Monitoring &amp; Response Assessment</t>
        </is>
      </c>
      <c r="B2" s="6" t="n"/>
      <c r="C2" s="6" t="n"/>
      <c r="D2" s="6" t="n"/>
      <c r="E2" s="6" t="n"/>
    </row>
    <row r="3">
      <c r="A3" s="39" t="inlineStr">
        <is>
          <t>ASSESSMENT SUMMARY</t>
        </is>
      </c>
      <c r="B3" s="6" t="n"/>
      <c r="C3" s="6" t="n"/>
      <c r="D3" s="6" t="n"/>
      <c r="E3" s="6" t="n"/>
    </row>
    <row r="4">
      <c r="A4" s="3" t="inlineStr">
        <is>
          <t>Document:</t>
        </is>
      </c>
      <c r="B4" s="6" t="inlineStr">
        <is>
          <t>ISMS-IMP-A.8.12.4 - Monitoring &amp; Response Assessment</t>
        </is>
      </c>
      <c r="C4" s="6" t="n"/>
      <c r="D4" s="6" t="n"/>
      <c r="E4" s="6" t="n"/>
    </row>
    <row r="5">
      <c r="A5" s="3" t="inlineStr">
        <is>
          <t>Assessment Period:</t>
        </is>
      </c>
      <c r="B5" s="21" t="inlineStr"/>
      <c r="C5" s="6" t="n"/>
      <c r="D5" s="6" t="n"/>
      <c r="E5" s="6" t="n"/>
    </row>
    <row r="6">
      <c r="A6" s="3" t="inlineStr">
        <is>
          <t>Overall Compliance:</t>
        </is>
      </c>
      <c r="B6" s="40">
        <f>IFERROR(AVERAGE('Summary Dashboard'!G6:G13),"")</f>
        <v/>
      </c>
      <c r="C6" s="6" t="n"/>
      <c r="D6" s="6" t="n"/>
      <c r="E6" s="6" t="n"/>
    </row>
    <row r="7">
      <c r="A7" s="3" t="inlineStr">
        <is>
          <t>Assessment Status:</t>
        </is>
      </c>
      <c r="B7" s="21" t="inlineStr"/>
      <c r="C7" s="6" t="n"/>
      <c r="D7" s="6" t="n"/>
      <c r="E7" s="6" t="n"/>
    </row>
    <row r="8">
      <c r="A8" s="3" t="inlineStr">
        <is>
          <t>Assessed By:</t>
        </is>
      </c>
      <c r="B8" s="21" t="inlineStr"/>
      <c r="C8" s="6" t="n"/>
      <c r="D8" s="6" t="n"/>
      <c r="E8" s="6" t="n"/>
    </row>
    <row r="11">
      <c r="A11" s="39" t="inlineStr">
        <is>
          <t>COMPLETED BY (ASSESSOR)</t>
        </is>
      </c>
      <c r="B11" s="6" t="n"/>
      <c r="C11" s="6" t="n"/>
      <c r="D11" s="6" t="n"/>
      <c r="E11" s="6" t="n"/>
    </row>
    <row r="12">
      <c r="A12" s="3" t="inlineStr">
        <is>
          <t>Name:</t>
        </is>
      </c>
      <c r="B12" s="21" t="n"/>
      <c r="C12" s="6" t="n"/>
      <c r="D12" s="6" t="n"/>
      <c r="E12" s="6" t="n"/>
    </row>
    <row r="13">
      <c r="A13" s="3" t="inlineStr">
        <is>
          <t>Title:</t>
        </is>
      </c>
      <c r="B13" s="21" t="n"/>
      <c r="C13" s="6" t="n"/>
      <c r="D13" s="6" t="n"/>
      <c r="E13" s="6" t="n"/>
    </row>
    <row r="14">
      <c r="A14" s="3" t="inlineStr">
        <is>
          <t>Date:</t>
        </is>
      </c>
      <c r="B14" s="21" t="n"/>
      <c r="C14" s="6" t="n"/>
      <c r="D14" s="6" t="n"/>
      <c r="E14" s="6" t="n"/>
    </row>
    <row r="15">
      <c r="A15" s="3" t="inlineStr">
        <is>
          <t>Signature:</t>
        </is>
      </c>
      <c r="B15" s="21" t="n"/>
      <c r="C15" s="6" t="n"/>
      <c r="D15" s="6" t="n"/>
      <c r="E15" s="6" t="n"/>
    </row>
    <row r="16">
      <c r="A16" s="3" t="inlineStr">
        <is>
          <t>Comments:</t>
        </is>
      </c>
      <c r="B16" s="21" t="n"/>
      <c r="C16" s="6" t="n"/>
      <c r="D16" s="6" t="n"/>
      <c r="E16" s="6" t="n"/>
    </row>
    <row r="18">
      <c r="A18" s="39" t="inlineStr">
        <is>
          <t>REVIEWED BY (ISO)</t>
        </is>
      </c>
      <c r="B18" s="6" t="n"/>
      <c r="C18" s="6" t="n"/>
      <c r="D18" s="6" t="n"/>
      <c r="E18" s="6" t="n"/>
    </row>
    <row r="19">
      <c r="A19" s="3" t="inlineStr">
        <is>
          <t>Name:</t>
        </is>
      </c>
      <c r="B19" s="21" t="n"/>
      <c r="C19" s="6" t="n"/>
      <c r="D19" s="6" t="n"/>
      <c r="E19" s="6" t="n"/>
    </row>
    <row r="20">
      <c r="A20" s="3" t="inlineStr">
        <is>
          <t>Title:</t>
        </is>
      </c>
      <c r="B20" s="21" t="n"/>
      <c r="C20" s="6" t="n"/>
      <c r="D20" s="6" t="n"/>
      <c r="E20" s="6" t="n"/>
    </row>
    <row r="21">
      <c r="A21" s="3" t="inlineStr">
        <is>
          <t>Date:</t>
        </is>
      </c>
      <c r="B21" s="21" t="n"/>
      <c r="C21" s="6" t="n"/>
      <c r="D21" s="6" t="n"/>
      <c r="E21" s="6" t="n"/>
    </row>
    <row r="22">
      <c r="A22" s="3" t="inlineStr">
        <is>
          <t>Signature:</t>
        </is>
      </c>
      <c r="B22" s="21" t="n"/>
      <c r="C22" s="6" t="n"/>
      <c r="D22" s="6" t="n"/>
      <c r="E22" s="6" t="n"/>
    </row>
    <row r="23">
      <c r="A23" s="3" t="inlineStr">
        <is>
          <t>Comments:</t>
        </is>
      </c>
      <c r="B23" s="21" t="n"/>
      <c r="C23" s="6" t="n"/>
      <c r="D23" s="6" t="n"/>
      <c r="E23" s="6" t="n"/>
    </row>
    <row r="25">
      <c r="A25" s="41" t="inlineStr">
        <is>
          <t>APPROVED BY (CISO)</t>
        </is>
      </c>
      <c r="B25" s="6" t="n"/>
      <c r="C25" s="6" t="n"/>
      <c r="D25" s="6" t="n"/>
      <c r="E25" s="6" t="n"/>
    </row>
    <row r="26">
      <c r="A26" s="3" t="inlineStr">
        <is>
          <t>Name:</t>
        </is>
      </c>
      <c r="B26" s="21" t="n"/>
      <c r="C26" s="6" t="n"/>
      <c r="D26" s="6" t="n"/>
      <c r="E26" s="6" t="n"/>
    </row>
    <row r="27">
      <c r="A27" s="3" t="inlineStr">
        <is>
          <t>Title:</t>
        </is>
      </c>
      <c r="B27" s="21" t="n"/>
      <c r="C27" s="6" t="n"/>
      <c r="D27" s="6" t="n"/>
      <c r="E27" s="6" t="n"/>
    </row>
    <row r="28">
      <c r="A28" s="3" t="inlineStr">
        <is>
          <t>Date:</t>
        </is>
      </c>
      <c r="B28" s="21" t="n"/>
      <c r="C28" s="6" t="n"/>
      <c r="D28" s="6" t="n"/>
      <c r="E28" s="6" t="n"/>
    </row>
    <row r="29">
      <c r="A29" s="3" t="inlineStr">
        <is>
          <t>Signature:</t>
        </is>
      </c>
      <c r="B29" s="21" t="n"/>
      <c r="C29" s="6" t="n"/>
      <c r="D29" s="6" t="n"/>
      <c r="E29" s="6" t="n"/>
    </row>
    <row r="30">
      <c r="A30" s="3" t="inlineStr">
        <is>
          <t>Comments:</t>
        </is>
      </c>
      <c r="B30" s="21" t="n"/>
      <c r="C30" s="6" t="n"/>
      <c r="D30" s="6" t="n"/>
      <c r="E30" s="6" t="n"/>
    </row>
    <row r="32">
      <c r="A32" s="3" t="inlineStr">
        <is>
          <t>FINAL DECISION:</t>
        </is>
      </c>
      <c r="B32" s="21" t="n"/>
      <c r="C32" s="6" t="n"/>
      <c r="D32" s="6" t="n"/>
      <c r="E32" s="6" t="n"/>
    </row>
    <row r="35">
      <c r="A35" s="39" t="inlineStr">
        <is>
          <t>NEXT REVIEW DETAILS</t>
        </is>
      </c>
      <c r="B35" s="6" t="n"/>
      <c r="C35" s="6" t="n"/>
      <c r="D35" s="6" t="n"/>
      <c r="E35" s="6" t="n"/>
    </row>
    <row r="36">
      <c r="A36" s="3" t="inlineStr">
        <is>
          <t>Next Review Date:</t>
        </is>
      </c>
      <c r="B36" s="21" t="n"/>
      <c r="C36" s="6" t="n"/>
      <c r="D36" s="6" t="n"/>
      <c r="E36" s="6" t="n"/>
    </row>
    <row r="37">
      <c r="A37" s="3" t="inlineStr">
        <is>
          <t>Review Responsible:</t>
        </is>
      </c>
      <c r="B37" s="21" t="n"/>
      <c r="C37" s="6" t="n"/>
      <c r="D37" s="6" t="n"/>
      <c r="E37" s="6" t="n"/>
    </row>
    <row r="38">
      <c r="A38" s="3" t="inlineStr">
        <is>
          <t>Special Considerations:</t>
        </is>
      </c>
      <c r="B38" s="21"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ISMS-IMP-A.8.12.4 — Monitoring &amp; Response Assessment</dc:title>
  <dc:description xmlns:dc="http://purl.org/dc/elements/1.1/">ISMS Implementation Workbook — ISMS-IMP-A.8.12.4</dc:description>
  <dc:subject xmlns:dc="http://purl.org/dc/elements/1.1/">ISO/IEC 27001:2022 — Control A.8.12: Data Leakage Prevention</dc:subject>
  <dcterms:created xmlns:dcterms="http://purl.org/dc/terms/" xmlns:xsi="http://www.w3.org/2001/XMLSchema-instance" xsi:type="dcterms:W3CDTF">2026-03-01T10:19:43Z</dcterms:created>
  <dcterms:modified xmlns:dcterms="http://purl.org/dc/terms/" xmlns:xsi="http://www.w3.org/2001/XMLSchema-instance" xsi:type="dcterms:W3CDTF">2026-03-01T10:19:43Z</dcterms:modified>
</cp:coreProperties>
</file>