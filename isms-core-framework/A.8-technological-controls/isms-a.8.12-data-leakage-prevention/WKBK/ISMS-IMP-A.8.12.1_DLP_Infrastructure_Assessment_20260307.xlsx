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LP Technology Inventory" sheetId="2" state="visible" r:id="rId2"/>
    <sheet xmlns:r="http://schemas.openxmlformats.org/officeDocument/2006/relationships" name="Network DLP" sheetId="3" state="visible" r:id="rId3"/>
    <sheet xmlns:r="http://schemas.openxmlformats.org/officeDocument/2006/relationships" name="Endpoint DLP" sheetId="4" state="visible" r:id="rId4"/>
    <sheet xmlns:r="http://schemas.openxmlformats.org/officeDocument/2006/relationships" name="Email DLP" sheetId="5" state="visible" r:id="rId5"/>
    <sheet xmlns:r="http://schemas.openxmlformats.org/officeDocument/2006/relationships" name="Cloud CASB DLP" sheetId="6" state="visible" r:id="rId6"/>
    <sheet xmlns:r="http://schemas.openxmlformats.org/officeDocument/2006/relationships" name="Web DLP" sheetId="7" state="visible" r:id="rId7"/>
    <sheet xmlns:r="http://schemas.openxmlformats.org/officeDocument/2006/relationships" name="Database DAM"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i val="1"/>
    </font>
    <font>
      <b val="1"/>
      <color rgb="00FFFFFF"/>
      <sz val="10"/>
    </font>
    <font>
      <name val="Calibri"/>
      <i val="1"/>
      <color rgb="00003366"/>
      <sz val="10"/>
    </font>
    <font>
      <name val="Calibri"/>
      <b val="1"/>
      <color rgb="00FFFFFF"/>
      <sz val="11"/>
    </font>
    <font>
      <name val="Calibri"/>
      <color rgb="00000000"/>
      <sz val="10"/>
    </font>
    <font>
      <name val="Calibri"/>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0" fillId="11" borderId="1" applyAlignment="1" pivotButton="0" quotePrefix="0" xfId="0">
      <alignment horizontal="left" vertical="top" wrapText="1"/>
    </xf>
    <xf numFmtId="0" fontId="0" fillId="12" borderId="1" applyAlignment="1" pivotButton="0" quotePrefix="0" xfId="0">
      <alignment horizontal="left" vertical="top" wrapText="1"/>
    </xf>
    <xf numFmtId="0" fontId="1" fillId="8" borderId="1" applyAlignment="1" pivotButton="0" quotePrefix="0" xfId="0">
      <alignment horizontal="center"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0" fillId="11" borderId="1" pivotButton="0" quotePrefix="0" xfId="0"/>
    <xf numFmtId="0" fontId="0" fillId="12" borderId="1" pivotButton="0" quotePrefix="0" xfId="0"/>
    <xf numFmtId="0" fontId="1" fillId="8" borderId="0" applyAlignment="1" pivotButton="0" quotePrefix="0" xfId="0">
      <alignment horizontal="center" vertical="center" wrapText="1"/>
    </xf>
    <xf numFmtId="0" fontId="9" fillId="0" borderId="0" applyAlignment="1" pivotButton="0" quotePrefix="0" xfId="0">
      <alignment horizontal="left" vertical="center"/>
    </xf>
    <xf numFmtId="0" fontId="10" fillId="8" borderId="1" applyAlignment="1" pivotButton="0" quotePrefix="0" xfId="0">
      <alignment horizontal="left" vertical="center"/>
    </xf>
    <xf numFmtId="0" fontId="11" fillId="0" borderId="1" pivotButton="0" quotePrefix="0" xfId="0"/>
    <xf numFmtId="164" fontId="11" fillId="0" borderId="1" pivotButton="0" quotePrefix="0" xfId="0"/>
    <xf numFmtId="0" fontId="4" fillId="10" borderId="1" pivotButton="0" quotePrefix="0" xfId="0"/>
    <xf numFmtId="164" fontId="4" fillId="10" borderId="1" pivotButton="0" quotePrefix="0" xfId="0"/>
    <xf numFmtId="0" fontId="12" fillId="0" borderId="1" pivotButton="0" quotePrefix="0" xfId="0"/>
    <xf numFmtId="0" fontId="10" fillId="13" borderId="1" applyAlignment="1" pivotButton="0" quotePrefix="0" xfId="0">
      <alignment horizontal="left" vertical="center"/>
    </xf>
    <xf numFmtId="0" fontId="12" fillId="12" borderId="1" pivotButton="0" quotePrefix="0" xfId="0"/>
    <xf numFmtId="0" fontId="9" fillId="0" borderId="1" applyAlignment="1" pivotButton="0" quotePrefix="0" xfId="0">
      <alignment horizontal="center" vertical="center"/>
    </xf>
    <xf numFmtId="0" fontId="13" fillId="9" borderId="1" pivotButton="0" quotePrefix="0" xfId="0"/>
    <xf numFmtId="0" fontId="14" fillId="0" borderId="0"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ISMS-IMP-A.8.12.1  -  DLP Infrastructure Assessment
ISO/IEC 27001:2022 - Control A.8.12: Data Leakage Prevention</t>
        </is>
      </c>
    </row>
    <row r="3">
      <c r="A3" s="2" t="inlineStr">
        <is>
          <t>Document Information</t>
        </is>
      </c>
    </row>
    <row r="4">
      <c r="A4" s="3" t="inlineStr">
        <is>
          <t>Document ID</t>
        </is>
      </c>
      <c r="B4" t="inlineStr">
        <is>
          <t>ISMS-IMP-A.8.12.1</t>
        </is>
      </c>
    </row>
    <row r="5">
      <c r="A5" s="3" t="inlineStr">
        <is>
          <t>Workbook Title</t>
        </is>
      </c>
      <c r="B5" t="inlineStr">
        <is>
          <t>DLP Infrastructure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t>
        </is>
      </c>
    </row>
    <row r="14">
      <c r="A14" t="inlineStr">
        <is>
          <t>2. Fill all yellow-highlighted cells with your organisation's information.</t>
        </is>
      </c>
    </row>
    <row r="15">
      <c r="A15" t="inlineStr">
        <is>
          <t>3. Use dropdown menus where provided.</t>
        </is>
      </c>
    </row>
    <row r="16">
      <c r="A16" t="inlineStr">
        <is>
          <t>4. Document all DLP technologies across network, endpoint, cloud, email, web, and database layers.</t>
        </is>
      </c>
    </row>
    <row r="17">
      <c r="A17" t="inlineStr">
        <is>
          <t>5. Provide evidence references for all assessments.</t>
        </is>
      </c>
    </row>
    <row r="18">
      <c r="A18" t="inlineStr">
        <is>
          <t>6. Review Summary Dashboard for overall compliance score.</t>
        </is>
      </c>
    </row>
    <row r="19">
      <c r="A19" t="inlineStr">
        <is>
          <t>7. Identify gaps in Gap Analysis sheet and create remediation plans.</t>
        </is>
      </c>
    </row>
    <row r="20">
      <c r="A20" t="inlineStr">
        <is>
          <t>8. Maintain the Evidence Register for audit traceability.</t>
        </is>
      </c>
    </row>
    <row r="21">
      <c r="A21" t="inlineStr">
        <is>
          <t>9.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15" customWidth="1" min="5" max="5"/>
    <col width="20" customWidth="1" min="6" max="6"/>
    <col width="18" customWidth="1" min="7" max="7"/>
    <col width="18" customWidth="1" min="8" max="8"/>
    <col width="15" customWidth="1" min="9" max="9"/>
    <col width="15" customWidth="1" min="10" max="10"/>
    <col width="15" customWidth="1" min="11" max="11"/>
    <col width="30" customWidth="1" min="12" max="12"/>
    <col width="18" customWidth="1" min="13" max="13"/>
    <col width="15" customWidth="1" min="14" max="14"/>
    <col width="15" customWidth="1" min="15" max="15"/>
    <col width="18" customWidth="1" min="16" max="16"/>
  </cols>
  <sheetData>
    <row r="1" ht="35" customHeight="1">
      <c r="A1" s="11" t="inlineStr">
        <is>
          <t>DLP TECHNOLOGY INVENTORY - ALL DLP SOLUTIONS</t>
        </is>
      </c>
    </row>
    <row r="2">
      <c r="A2" s="12" t="inlineStr">
        <is>
          <t>Document ALL DLP technologies deployed (network, endpoint, cloud, email, web, database)</t>
        </is>
      </c>
    </row>
    <row r="4">
      <c r="A4" s="13" t="inlineStr">
        <is>
          <t>Technology ID</t>
        </is>
      </c>
      <c r="B4" s="13" t="inlineStr">
        <is>
          <t>Technology Name</t>
        </is>
      </c>
      <c r="C4" s="13" t="inlineStr">
        <is>
          <t>Deployment Type</t>
        </is>
      </c>
      <c r="D4" s="13" t="inlineStr">
        <is>
          <t>Vendor</t>
        </is>
      </c>
      <c r="E4" s="13" t="inlineStr">
        <is>
          <t>Version</t>
        </is>
      </c>
      <c r="F4" s="13" t="inlineStr">
        <is>
          <t>Deployment Architecture</t>
        </is>
      </c>
      <c r="G4" s="13" t="inlineStr">
        <is>
          <t>Deployment Status</t>
        </is>
      </c>
      <c r="H4" s="13" t="inlineStr">
        <is>
          <t>License Type</t>
        </is>
      </c>
      <c r="I4" s="13" t="inlineStr">
        <is>
          <t>License Expiry</t>
        </is>
      </c>
      <c r="J4" s="13" t="inlineStr">
        <is>
          <t>Support Contract</t>
        </is>
      </c>
      <c r="K4" s="13" t="inlineStr">
        <is>
          <t>EOL Date</t>
        </is>
      </c>
      <c r="L4" s="13" t="inlineStr">
        <is>
          <t>Primary Use Case</t>
        </is>
      </c>
      <c r="M4" s="13" t="inlineStr">
        <is>
          <t>Integration Status</t>
        </is>
      </c>
      <c r="N4" s="13" t="inlineStr">
        <is>
          <t>SIEM Integration</t>
        </is>
      </c>
      <c r="O4" s="13" t="inlineStr">
        <is>
          <t>SOC Integration</t>
        </is>
      </c>
      <c r="P4" s="13" t="inlineStr">
        <is>
          <t>Evidence ID</t>
        </is>
      </c>
    </row>
    <row r="5">
      <c r="A5" s="14" t="inlineStr">
        <is>
          <t>DLP-001</t>
        </is>
      </c>
      <c r="B5" s="14" t="inlineStr">
        <is>
          <t>Forcepoint DLP</t>
        </is>
      </c>
      <c r="C5" s="14" t="inlineStr">
        <is>
          <t>Network</t>
        </is>
      </c>
      <c r="D5" s="14" t="inlineStr">
        <is>
          <t>Forcepoint</t>
        </is>
      </c>
      <c r="E5" s="14" t="inlineStr">
        <is>
          <t>8.9</t>
        </is>
      </c>
      <c r="F5" s="14" t="inlineStr">
        <is>
          <t>Inline</t>
        </is>
      </c>
      <c r="G5" s="14" t="inlineStr">
        <is>
          <t>Production</t>
        </is>
      </c>
      <c r="H5" s="14" t="inlineStr">
        <is>
          <t>Subscription</t>
        </is>
      </c>
      <c r="I5" s="14" t="inlineStr">
        <is>
          <t>2025-12-31</t>
        </is>
      </c>
      <c r="J5" s="14" t="inlineStr">
        <is>
          <t>Active</t>
        </is>
      </c>
      <c r="K5" s="14" t="inlineStr">
        <is>
          <t>2027-06-30</t>
        </is>
      </c>
      <c r="L5" s="14" t="inlineStr">
        <is>
          <t>Network traffic inspection</t>
        </is>
      </c>
      <c r="M5" s="14" t="inlineStr">
        <is>
          <t>Integrated</t>
        </is>
      </c>
      <c r="N5" s="14" t="inlineStr">
        <is>
          <t>Yes</t>
        </is>
      </c>
      <c r="O5" s="14" t="inlineStr">
        <is>
          <t>Yes</t>
        </is>
      </c>
      <c r="P5" s="14" t="inlineStr">
        <is>
          <t>A812-1-INF-001</t>
        </is>
      </c>
    </row>
    <row r="6">
      <c r="A6" s="15" t="n"/>
      <c r="B6" s="15" t="n"/>
      <c r="C6" s="15" t="n"/>
      <c r="D6" s="15" t="n"/>
      <c r="E6" s="15" t="n"/>
      <c r="F6" s="15" t="n"/>
      <c r="G6" s="15" t="n"/>
      <c r="H6" s="15" t="n"/>
      <c r="I6" s="15" t="n"/>
      <c r="J6" s="15" t="n"/>
      <c r="K6" s="15" t="n"/>
      <c r="L6" s="15" t="n"/>
      <c r="M6" s="15" t="n"/>
      <c r="N6" s="15" t="n"/>
      <c r="O6" s="15" t="n"/>
      <c r="P6" s="15" t="n"/>
    </row>
    <row r="7">
      <c r="A7" s="15" t="n"/>
      <c r="B7" s="15" t="n"/>
      <c r="C7" s="15" t="n"/>
      <c r="D7" s="15" t="n"/>
      <c r="E7" s="15" t="n"/>
      <c r="F7" s="15" t="n"/>
      <c r="G7" s="15" t="n"/>
      <c r="H7" s="15" t="n"/>
      <c r="I7" s="15" t="n"/>
      <c r="J7" s="15" t="n"/>
      <c r="K7" s="15" t="n"/>
      <c r="L7" s="15" t="n"/>
      <c r="M7" s="15" t="n"/>
      <c r="N7" s="15" t="n"/>
      <c r="O7" s="15" t="n"/>
      <c r="P7" s="15" t="n"/>
    </row>
    <row r="8">
      <c r="A8" s="15" t="n"/>
      <c r="B8" s="15" t="n"/>
      <c r="C8" s="15" t="n"/>
      <c r="D8" s="15" t="n"/>
      <c r="E8" s="15" t="n"/>
      <c r="F8" s="15" t="n"/>
      <c r="G8" s="15" t="n"/>
      <c r="H8" s="15" t="n"/>
      <c r="I8" s="15" t="n"/>
      <c r="J8" s="15" t="n"/>
      <c r="K8" s="15" t="n"/>
      <c r="L8" s="15" t="n"/>
      <c r="M8" s="15" t="n"/>
      <c r="N8" s="15" t="n"/>
      <c r="O8" s="15" t="n"/>
      <c r="P8" s="15" t="n"/>
    </row>
    <row r="9">
      <c r="A9" s="15" t="n"/>
      <c r="B9" s="15" t="n"/>
      <c r="C9" s="15" t="n"/>
      <c r="D9" s="15" t="n"/>
      <c r="E9" s="15" t="n"/>
      <c r="F9" s="15" t="n"/>
      <c r="G9" s="15" t="n"/>
      <c r="H9" s="15" t="n"/>
      <c r="I9" s="15" t="n"/>
      <c r="J9" s="15" t="n"/>
      <c r="K9" s="15" t="n"/>
      <c r="L9" s="15" t="n"/>
      <c r="M9" s="15" t="n"/>
      <c r="N9" s="15" t="n"/>
      <c r="O9" s="15" t="n"/>
      <c r="P9" s="15" t="n"/>
    </row>
    <row r="10">
      <c r="A10" s="15" t="n"/>
      <c r="B10" s="15" t="n"/>
      <c r="C10" s="15" t="n"/>
      <c r="D10" s="15" t="n"/>
      <c r="E10" s="15" t="n"/>
      <c r="F10" s="15" t="n"/>
      <c r="G10" s="15" t="n"/>
      <c r="H10" s="15" t="n"/>
      <c r="I10" s="15" t="n"/>
      <c r="J10" s="15" t="n"/>
      <c r="K10" s="15" t="n"/>
      <c r="L10" s="15" t="n"/>
      <c r="M10" s="15" t="n"/>
      <c r="N10" s="15" t="n"/>
      <c r="O10" s="15" t="n"/>
      <c r="P10" s="15" t="n"/>
    </row>
    <row r="11">
      <c r="A11" s="15" t="n"/>
      <c r="B11" s="15" t="n"/>
      <c r="C11" s="15" t="n"/>
      <c r="D11" s="15" t="n"/>
      <c r="E11" s="15" t="n"/>
      <c r="F11" s="15" t="n"/>
      <c r="G11" s="15" t="n"/>
      <c r="H11" s="15" t="n"/>
      <c r="I11" s="15" t="n"/>
      <c r="J11" s="15" t="n"/>
      <c r="K11" s="15" t="n"/>
      <c r="L11" s="15" t="n"/>
      <c r="M11" s="15" t="n"/>
      <c r="N11" s="15" t="n"/>
      <c r="O11" s="15" t="n"/>
      <c r="P11" s="15" t="n"/>
    </row>
    <row r="12">
      <c r="A12" s="15" t="n"/>
      <c r="B12" s="15" t="n"/>
      <c r="C12" s="15" t="n"/>
      <c r="D12" s="15" t="n"/>
      <c r="E12" s="15" t="n"/>
      <c r="F12" s="15" t="n"/>
      <c r="G12" s="15" t="n"/>
      <c r="H12" s="15" t="n"/>
      <c r="I12" s="15" t="n"/>
      <c r="J12" s="15" t="n"/>
      <c r="K12" s="15" t="n"/>
      <c r="L12" s="15" t="n"/>
      <c r="M12" s="15" t="n"/>
      <c r="N12" s="15" t="n"/>
      <c r="O12" s="15" t="n"/>
      <c r="P12" s="15" t="n"/>
    </row>
    <row r="13">
      <c r="A13" s="15" t="n"/>
      <c r="B13" s="15" t="n"/>
      <c r="C13" s="15" t="n"/>
      <c r="D13" s="15" t="n"/>
      <c r="E13" s="15" t="n"/>
      <c r="F13" s="15" t="n"/>
      <c r="G13" s="15" t="n"/>
      <c r="H13" s="15" t="n"/>
      <c r="I13" s="15" t="n"/>
      <c r="J13" s="15" t="n"/>
      <c r="K13" s="15" t="n"/>
      <c r="L13" s="15" t="n"/>
      <c r="M13" s="15" t="n"/>
      <c r="N13" s="15" t="n"/>
      <c r="O13" s="15" t="n"/>
      <c r="P13" s="15" t="n"/>
    </row>
    <row r="14">
      <c r="A14" s="15" t="n"/>
      <c r="B14" s="15" t="n"/>
      <c r="C14" s="15" t="n"/>
      <c r="D14" s="15" t="n"/>
      <c r="E14" s="15" t="n"/>
      <c r="F14" s="15" t="n"/>
      <c r="G14" s="15" t="n"/>
      <c r="H14" s="15" t="n"/>
      <c r="I14" s="15" t="n"/>
      <c r="J14" s="15" t="n"/>
      <c r="K14" s="15" t="n"/>
      <c r="L14" s="15" t="n"/>
      <c r="M14" s="15" t="n"/>
      <c r="N14" s="15" t="n"/>
      <c r="O14" s="15" t="n"/>
      <c r="P14" s="15" t="n"/>
    </row>
    <row r="15">
      <c r="A15" s="15" t="n"/>
      <c r="B15" s="15" t="n"/>
      <c r="C15" s="15" t="n"/>
      <c r="D15" s="15" t="n"/>
      <c r="E15" s="15" t="n"/>
      <c r="F15" s="15" t="n"/>
      <c r="G15" s="15" t="n"/>
      <c r="H15" s="15" t="n"/>
      <c r="I15" s="15" t="n"/>
      <c r="J15" s="15" t="n"/>
      <c r="K15" s="15" t="n"/>
      <c r="L15" s="15" t="n"/>
      <c r="M15" s="15" t="n"/>
      <c r="N15" s="15" t="n"/>
      <c r="O15" s="15" t="n"/>
      <c r="P15" s="15" t="n"/>
    </row>
    <row r="16">
      <c r="A16" s="15" t="n"/>
      <c r="B16" s="15" t="n"/>
      <c r="C16" s="15" t="n"/>
      <c r="D16" s="15" t="n"/>
      <c r="E16" s="15" t="n"/>
      <c r="F16" s="15" t="n"/>
      <c r="G16" s="15" t="n"/>
      <c r="H16" s="15" t="n"/>
      <c r="I16" s="15" t="n"/>
      <c r="J16" s="15" t="n"/>
      <c r="K16" s="15" t="n"/>
      <c r="L16" s="15" t="n"/>
      <c r="M16" s="15" t="n"/>
      <c r="N16" s="15" t="n"/>
      <c r="O16" s="15" t="n"/>
      <c r="P16" s="15" t="n"/>
    </row>
    <row r="17">
      <c r="A17" s="15" t="n"/>
      <c r="B17" s="15" t="n"/>
      <c r="C17" s="15" t="n"/>
      <c r="D17" s="15" t="n"/>
      <c r="E17" s="15" t="n"/>
      <c r="F17" s="15" t="n"/>
      <c r="G17" s="15" t="n"/>
      <c r="H17" s="15" t="n"/>
      <c r="I17" s="15" t="n"/>
      <c r="J17" s="15" t="n"/>
      <c r="K17" s="15" t="n"/>
      <c r="L17" s="15" t="n"/>
      <c r="M17" s="15" t="n"/>
      <c r="N17" s="15" t="n"/>
      <c r="O17" s="15" t="n"/>
      <c r="P17" s="15" t="n"/>
    </row>
    <row r="18">
      <c r="A18" s="15" t="n"/>
      <c r="B18" s="15" t="n"/>
      <c r="C18" s="15" t="n"/>
      <c r="D18" s="15" t="n"/>
      <c r="E18" s="15" t="n"/>
      <c r="F18" s="15" t="n"/>
      <c r="G18" s="15" t="n"/>
      <c r="H18" s="15" t="n"/>
      <c r="I18" s="15" t="n"/>
      <c r="J18" s="15" t="n"/>
      <c r="K18" s="15" t="n"/>
      <c r="L18" s="15" t="n"/>
      <c r="M18" s="15" t="n"/>
      <c r="N18" s="15" t="n"/>
      <c r="O18" s="15" t="n"/>
      <c r="P18" s="15" t="n"/>
    </row>
    <row r="19">
      <c r="A19" s="15" t="n"/>
      <c r="B19" s="15" t="n"/>
      <c r="C19" s="15" t="n"/>
      <c r="D19" s="15" t="n"/>
      <c r="E19" s="15" t="n"/>
      <c r="F19" s="15" t="n"/>
      <c r="G19" s="15" t="n"/>
      <c r="H19" s="15" t="n"/>
      <c r="I19" s="15" t="n"/>
      <c r="J19" s="15" t="n"/>
      <c r="K19" s="15" t="n"/>
      <c r="L19" s="15" t="n"/>
      <c r="M19" s="15" t="n"/>
      <c r="N19" s="15" t="n"/>
      <c r="O19" s="15" t="n"/>
      <c r="P19" s="15" t="n"/>
    </row>
    <row r="20">
      <c r="A20" s="15" t="n"/>
      <c r="B20" s="15" t="n"/>
      <c r="C20" s="15" t="n"/>
      <c r="D20" s="15" t="n"/>
      <c r="E20" s="15" t="n"/>
      <c r="F20" s="15" t="n"/>
      <c r="G20" s="15" t="n"/>
      <c r="H20" s="15" t="n"/>
      <c r="I20" s="15" t="n"/>
      <c r="J20" s="15" t="n"/>
      <c r="K20" s="15" t="n"/>
      <c r="L20" s="15" t="n"/>
      <c r="M20" s="15" t="n"/>
      <c r="N20" s="15" t="n"/>
      <c r="O20" s="15" t="n"/>
      <c r="P20" s="15" t="n"/>
    </row>
    <row r="21">
      <c r="A21" s="15" t="n"/>
      <c r="B21" s="15" t="n"/>
      <c r="C21" s="15" t="n"/>
      <c r="D21" s="15" t="n"/>
      <c r="E21" s="15" t="n"/>
      <c r="F21" s="15" t="n"/>
      <c r="G21" s="15" t="n"/>
      <c r="H21" s="15" t="n"/>
      <c r="I21" s="15" t="n"/>
      <c r="J21" s="15" t="n"/>
      <c r="K21" s="15" t="n"/>
      <c r="L21" s="15" t="n"/>
      <c r="M21" s="15" t="n"/>
      <c r="N21" s="15" t="n"/>
      <c r="O21" s="15" t="n"/>
      <c r="P21" s="15" t="n"/>
    </row>
    <row r="22">
      <c r="A22" s="15" t="n"/>
      <c r="B22" s="15" t="n"/>
      <c r="C22" s="15" t="n"/>
      <c r="D22" s="15" t="n"/>
      <c r="E22" s="15" t="n"/>
      <c r="F22" s="15" t="n"/>
      <c r="G22" s="15" t="n"/>
      <c r="H22" s="15" t="n"/>
      <c r="I22" s="15" t="n"/>
      <c r="J22" s="15" t="n"/>
      <c r="K22" s="15" t="n"/>
      <c r="L22" s="15" t="n"/>
      <c r="M22" s="15" t="n"/>
      <c r="N22" s="15" t="n"/>
      <c r="O22" s="15" t="n"/>
      <c r="P22" s="15" t="n"/>
    </row>
    <row r="23">
      <c r="A23" s="15" t="n"/>
      <c r="B23" s="15" t="n"/>
      <c r="C23" s="15" t="n"/>
      <c r="D23" s="15" t="n"/>
      <c r="E23" s="15" t="n"/>
      <c r="F23" s="15" t="n"/>
      <c r="G23" s="15" t="n"/>
      <c r="H23" s="15" t="n"/>
      <c r="I23" s="15" t="n"/>
      <c r="J23" s="15" t="n"/>
      <c r="K23" s="15" t="n"/>
      <c r="L23" s="15" t="n"/>
      <c r="M23" s="15" t="n"/>
      <c r="N23" s="15" t="n"/>
      <c r="O23" s="15" t="n"/>
      <c r="P23" s="15" t="n"/>
    </row>
    <row r="24">
      <c r="A24" s="15" t="n"/>
      <c r="B24" s="15" t="n"/>
      <c r="C24" s="15" t="n"/>
      <c r="D24" s="15" t="n"/>
      <c r="E24" s="15" t="n"/>
      <c r="F24" s="15" t="n"/>
      <c r="G24" s="15" t="n"/>
      <c r="H24" s="15" t="n"/>
      <c r="I24" s="15" t="n"/>
      <c r="J24" s="15" t="n"/>
      <c r="K24" s="15" t="n"/>
      <c r="L24" s="15" t="n"/>
      <c r="M24" s="15" t="n"/>
      <c r="N24" s="15" t="n"/>
      <c r="O24" s="15" t="n"/>
      <c r="P24" s="15" t="n"/>
    </row>
    <row r="25">
      <c r="A25" s="15" t="n"/>
      <c r="B25" s="15" t="n"/>
      <c r="C25" s="15" t="n"/>
      <c r="D25" s="15" t="n"/>
      <c r="E25" s="15" t="n"/>
      <c r="F25" s="15" t="n"/>
      <c r="G25" s="15" t="n"/>
      <c r="H25" s="15" t="n"/>
      <c r="I25" s="15" t="n"/>
      <c r="J25" s="15" t="n"/>
      <c r="K25" s="15" t="n"/>
      <c r="L25" s="15" t="n"/>
      <c r="M25" s="15" t="n"/>
      <c r="N25" s="15" t="n"/>
      <c r="O25" s="15" t="n"/>
      <c r="P25" s="15" t="n"/>
    </row>
    <row r="26">
      <c r="A26" s="15" t="n"/>
      <c r="B26" s="15" t="n"/>
      <c r="C26" s="15" t="n"/>
      <c r="D26" s="15" t="n"/>
      <c r="E26" s="15" t="n"/>
      <c r="F26" s="15" t="n"/>
      <c r="G26" s="15" t="n"/>
      <c r="H26" s="15" t="n"/>
      <c r="I26" s="15" t="n"/>
      <c r="J26" s="15" t="n"/>
      <c r="K26" s="15" t="n"/>
      <c r="L26" s="15" t="n"/>
      <c r="M26" s="15" t="n"/>
      <c r="N26" s="15" t="n"/>
      <c r="O26" s="15" t="n"/>
      <c r="P26" s="15" t="n"/>
    </row>
    <row r="27">
      <c r="A27" s="15" t="n"/>
      <c r="B27" s="15" t="n"/>
      <c r="C27" s="15" t="n"/>
      <c r="D27" s="15" t="n"/>
      <c r="E27" s="15" t="n"/>
      <c r="F27" s="15" t="n"/>
      <c r="G27" s="15" t="n"/>
      <c r="H27" s="15" t="n"/>
      <c r="I27" s="15" t="n"/>
      <c r="J27" s="15" t="n"/>
      <c r="K27" s="15" t="n"/>
      <c r="L27" s="15" t="n"/>
      <c r="M27" s="15" t="n"/>
      <c r="N27" s="15" t="n"/>
      <c r="O27" s="15" t="n"/>
      <c r="P27" s="15" t="n"/>
    </row>
    <row r="28">
      <c r="A28" s="15" t="n"/>
      <c r="B28" s="15" t="n"/>
      <c r="C28" s="15" t="n"/>
      <c r="D28" s="15" t="n"/>
      <c r="E28" s="15" t="n"/>
      <c r="F28" s="15" t="n"/>
      <c r="G28" s="15" t="n"/>
      <c r="H28" s="15" t="n"/>
      <c r="I28" s="15" t="n"/>
      <c r="J28" s="15" t="n"/>
      <c r="K28" s="15" t="n"/>
      <c r="L28" s="15" t="n"/>
      <c r="M28" s="15" t="n"/>
      <c r="N28" s="15" t="n"/>
      <c r="O28" s="15" t="n"/>
      <c r="P28" s="15" t="n"/>
    </row>
    <row r="29">
      <c r="A29" s="15" t="n"/>
      <c r="B29" s="15" t="n"/>
      <c r="C29" s="15" t="n"/>
      <c r="D29" s="15" t="n"/>
      <c r="E29" s="15" t="n"/>
      <c r="F29" s="15" t="n"/>
      <c r="G29" s="15" t="n"/>
      <c r="H29" s="15" t="n"/>
      <c r="I29" s="15" t="n"/>
      <c r="J29" s="15" t="n"/>
      <c r="K29" s="15" t="n"/>
      <c r="L29" s="15" t="n"/>
      <c r="M29" s="15" t="n"/>
      <c r="N29" s="15" t="n"/>
      <c r="O29" s="15" t="n"/>
      <c r="P29" s="15" t="n"/>
    </row>
    <row r="30">
      <c r="A30" s="15" t="n"/>
      <c r="B30" s="15" t="n"/>
      <c r="C30" s="15" t="n"/>
      <c r="D30" s="15" t="n"/>
      <c r="E30" s="15" t="n"/>
      <c r="F30" s="15" t="n"/>
      <c r="G30" s="15" t="n"/>
      <c r="H30" s="15" t="n"/>
      <c r="I30" s="15" t="n"/>
      <c r="J30" s="15" t="n"/>
      <c r="K30" s="15" t="n"/>
      <c r="L30" s="15" t="n"/>
      <c r="M30" s="15" t="n"/>
      <c r="N30" s="15" t="n"/>
      <c r="O30" s="15" t="n"/>
      <c r="P30" s="15" t="n"/>
    </row>
    <row r="31">
      <c r="A31" s="15" t="n"/>
      <c r="B31" s="15" t="n"/>
      <c r="C31" s="15" t="n"/>
      <c r="D31" s="15" t="n"/>
      <c r="E31" s="15" t="n"/>
      <c r="F31" s="15" t="n"/>
      <c r="G31" s="15" t="n"/>
      <c r="H31" s="15" t="n"/>
      <c r="I31" s="15" t="n"/>
      <c r="J31" s="15" t="n"/>
      <c r="K31" s="15" t="n"/>
      <c r="L31" s="15" t="n"/>
      <c r="M31" s="15" t="n"/>
      <c r="N31" s="15" t="n"/>
      <c r="O31" s="15" t="n"/>
      <c r="P31" s="15" t="n"/>
    </row>
    <row r="32">
      <c r="A32" s="15" t="n"/>
      <c r="B32" s="15" t="n"/>
      <c r="C32" s="15" t="n"/>
      <c r="D32" s="15" t="n"/>
      <c r="E32" s="15" t="n"/>
      <c r="F32" s="15" t="n"/>
      <c r="G32" s="15" t="n"/>
      <c r="H32" s="15" t="n"/>
      <c r="I32" s="15" t="n"/>
      <c r="J32" s="15" t="n"/>
      <c r="K32" s="15" t="n"/>
      <c r="L32" s="15" t="n"/>
      <c r="M32" s="15" t="n"/>
      <c r="N32" s="15" t="n"/>
      <c r="O32" s="15" t="n"/>
      <c r="P32" s="15" t="n"/>
    </row>
    <row r="33">
      <c r="A33" s="15" t="n"/>
      <c r="B33" s="15" t="n"/>
      <c r="C33" s="15" t="n"/>
      <c r="D33" s="15" t="n"/>
      <c r="E33" s="15" t="n"/>
      <c r="F33" s="15" t="n"/>
      <c r="G33" s="15" t="n"/>
      <c r="H33" s="15" t="n"/>
      <c r="I33" s="15" t="n"/>
      <c r="J33" s="15" t="n"/>
      <c r="K33" s="15" t="n"/>
      <c r="L33" s="15" t="n"/>
      <c r="M33" s="15" t="n"/>
      <c r="N33" s="15" t="n"/>
      <c r="O33" s="15" t="n"/>
      <c r="P33" s="15" t="n"/>
    </row>
    <row r="34">
      <c r="A34" s="15" t="n"/>
      <c r="B34" s="15" t="n"/>
      <c r="C34" s="15" t="n"/>
      <c r="D34" s="15" t="n"/>
      <c r="E34" s="15" t="n"/>
      <c r="F34" s="15" t="n"/>
      <c r="G34" s="15" t="n"/>
      <c r="H34" s="15" t="n"/>
      <c r="I34" s="15" t="n"/>
      <c r="J34" s="15" t="n"/>
      <c r="K34" s="15" t="n"/>
      <c r="L34" s="15" t="n"/>
      <c r="M34" s="15" t="n"/>
      <c r="N34" s="15" t="n"/>
      <c r="O34" s="15" t="n"/>
      <c r="P34" s="15" t="n"/>
    </row>
    <row r="35">
      <c r="A35" s="15" t="n"/>
      <c r="B35" s="15" t="n"/>
      <c r="C35" s="15" t="n"/>
      <c r="D35" s="15" t="n"/>
      <c r="E35" s="15" t="n"/>
      <c r="F35" s="15" t="n"/>
      <c r="G35" s="15" t="n"/>
      <c r="H35" s="15" t="n"/>
      <c r="I35" s="15" t="n"/>
      <c r="J35" s="15" t="n"/>
      <c r="K35" s="15" t="n"/>
      <c r="L35" s="15" t="n"/>
      <c r="M35" s="15" t="n"/>
      <c r="N35" s="15" t="n"/>
      <c r="O35" s="15" t="n"/>
      <c r="P35" s="15" t="n"/>
    </row>
    <row r="36">
      <c r="A36" s="15" t="n"/>
      <c r="B36" s="15" t="n"/>
      <c r="C36" s="15" t="n"/>
      <c r="D36" s="15" t="n"/>
      <c r="E36" s="15" t="n"/>
      <c r="F36" s="15" t="n"/>
      <c r="G36" s="15" t="n"/>
      <c r="H36" s="15" t="n"/>
      <c r="I36" s="15" t="n"/>
      <c r="J36" s="15" t="n"/>
      <c r="K36" s="15" t="n"/>
      <c r="L36" s="15" t="n"/>
      <c r="M36" s="15" t="n"/>
      <c r="N36" s="15" t="n"/>
      <c r="O36" s="15" t="n"/>
      <c r="P36" s="15" t="n"/>
    </row>
    <row r="37">
      <c r="A37" s="15" t="n"/>
      <c r="B37" s="15" t="n"/>
      <c r="C37" s="15" t="n"/>
      <c r="D37" s="15" t="n"/>
      <c r="E37" s="15" t="n"/>
      <c r="F37" s="15" t="n"/>
      <c r="G37" s="15" t="n"/>
      <c r="H37" s="15" t="n"/>
      <c r="I37" s="15" t="n"/>
      <c r="J37" s="15" t="n"/>
      <c r="K37" s="15" t="n"/>
      <c r="L37" s="15" t="n"/>
      <c r="M37" s="15" t="n"/>
      <c r="N37" s="15" t="n"/>
      <c r="O37" s="15" t="n"/>
      <c r="P37" s="15" t="n"/>
    </row>
    <row r="38">
      <c r="A38" s="15" t="n"/>
      <c r="B38" s="15" t="n"/>
      <c r="C38" s="15" t="n"/>
      <c r="D38" s="15" t="n"/>
      <c r="E38" s="15" t="n"/>
      <c r="F38" s="15" t="n"/>
      <c r="G38" s="15" t="n"/>
      <c r="H38" s="15" t="n"/>
      <c r="I38" s="15" t="n"/>
      <c r="J38" s="15" t="n"/>
      <c r="K38" s="15" t="n"/>
      <c r="L38" s="15" t="n"/>
      <c r="M38" s="15" t="n"/>
      <c r="N38" s="15" t="n"/>
      <c r="O38" s="15" t="n"/>
      <c r="P38" s="15" t="n"/>
    </row>
    <row r="39">
      <c r="A39" s="15" t="n"/>
      <c r="B39" s="15" t="n"/>
      <c r="C39" s="15" t="n"/>
      <c r="D39" s="15" t="n"/>
      <c r="E39" s="15" t="n"/>
      <c r="F39" s="15" t="n"/>
      <c r="G39" s="15" t="n"/>
      <c r="H39" s="15" t="n"/>
      <c r="I39" s="15" t="n"/>
      <c r="J39" s="15" t="n"/>
      <c r="K39" s="15" t="n"/>
      <c r="L39" s="15" t="n"/>
      <c r="M39" s="15" t="n"/>
      <c r="N39" s="15" t="n"/>
      <c r="O39" s="15" t="n"/>
      <c r="P39" s="15" t="n"/>
    </row>
    <row r="40">
      <c r="A40" s="15" t="n"/>
      <c r="B40" s="15" t="n"/>
      <c r="C40" s="15" t="n"/>
      <c r="D40" s="15" t="n"/>
      <c r="E40" s="15" t="n"/>
      <c r="F40" s="15" t="n"/>
      <c r="G40" s="15" t="n"/>
      <c r="H40" s="15" t="n"/>
      <c r="I40" s="15" t="n"/>
      <c r="J40" s="15" t="n"/>
      <c r="K40" s="15" t="n"/>
      <c r="L40" s="15" t="n"/>
      <c r="M40" s="15" t="n"/>
      <c r="N40" s="15" t="n"/>
      <c r="O40" s="15" t="n"/>
      <c r="P40" s="15" t="n"/>
    </row>
    <row r="41">
      <c r="A41" s="15" t="n"/>
      <c r="B41" s="15" t="n"/>
      <c r="C41" s="15" t="n"/>
      <c r="D41" s="15" t="n"/>
      <c r="E41" s="15" t="n"/>
      <c r="F41" s="15" t="n"/>
      <c r="G41" s="15" t="n"/>
      <c r="H41" s="15" t="n"/>
      <c r="I41" s="15" t="n"/>
      <c r="J41" s="15" t="n"/>
      <c r="K41" s="15" t="n"/>
      <c r="L41" s="15" t="n"/>
      <c r="M41" s="15" t="n"/>
      <c r="N41" s="15" t="n"/>
      <c r="O41" s="15" t="n"/>
      <c r="P41" s="15" t="n"/>
    </row>
    <row r="42">
      <c r="A42" s="15" t="n"/>
      <c r="B42" s="15" t="n"/>
      <c r="C42" s="15" t="n"/>
      <c r="D42" s="15" t="n"/>
      <c r="E42" s="15" t="n"/>
      <c r="F42" s="15" t="n"/>
      <c r="G42" s="15" t="n"/>
      <c r="H42" s="15" t="n"/>
      <c r="I42" s="15" t="n"/>
      <c r="J42" s="15" t="n"/>
      <c r="K42" s="15" t="n"/>
      <c r="L42" s="15" t="n"/>
      <c r="M42" s="15" t="n"/>
      <c r="N42" s="15" t="n"/>
      <c r="O42" s="15" t="n"/>
      <c r="P42" s="15" t="n"/>
    </row>
    <row r="43">
      <c r="A43" s="15" t="n"/>
      <c r="B43" s="15" t="n"/>
      <c r="C43" s="15" t="n"/>
      <c r="D43" s="15" t="n"/>
      <c r="E43" s="15" t="n"/>
      <c r="F43" s="15" t="n"/>
      <c r="G43" s="15" t="n"/>
      <c r="H43" s="15" t="n"/>
      <c r="I43" s="15" t="n"/>
      <c r="J43" s="15" t="n"/>
      <c r="K43" s="15" t="n"/>
      <c r="L43" s="15" t="n"/>
      <c r="M43" s="15" t="n"/>
      <c r="N43" s="15" t="n"/>
      <c r="O43" s="15" t="n"/>
      <c r="P43" s="15" t="n"/>
    </row>
    <row r="44">
      <c r="A44" s="15" t="n"/>
      <c r="B44" s="15" t="n"/>
      <c r="C44" s="15" t="n"/>
      <c r="D44" s="15" t="n"/>
      <c r="E44" s="15" t="n"/>
      <c r="F44" s="15" t="n"/>
      <c r="G44" s="15" t="n"/>
      <c r="H44" s="15" t="n"/>
      <c r="I44" s="15" t="n"/>
      <c r="J44" s="15" t="n"/>
      <c r="K44" s="15" t="n"/>
      <c r="L44" s="15" t="n"/>
      <c r="M44" s="15" t="n"/>
      <c r="N44" s="15" t="n"/>
      <c r="O44" s="15" t="n"/>
      <c r="P44" s="15" t="n"/>
    </row>
    <row r="45">
      <c r="A45" s="15" t="n"/>
      <c r="B45" s="15" t="n"/>
      <c r="C45" s="15" t="n"/>
      <c r="D45" s="15" t="n"/>
      <c r="E45" s="15" t="n"/>
      <c r="F45" s="15" t="n"/>
      <c r="G45" s="15" t="n"/>
      <c r="H45" s="15" t="n"/>
      <c r="I45" s="15" t="n"/>
      <c r="J45" s="15" t="n"/>
      <c r="K45" s="15" t="n"/>
      <c r="L45" s="15" t="n"/>
      <c r="M45" s="15" t="n"/>
      <c r="N45" s="15" t="n"/>
      <c r="O45" s="15" t="n"/>
      <c r="P45" s="15" t="n"/>
    </row>
    <row r="46">
      <c r="A46" s="15" t="n"/>
      <c r="B46" s="15" t="n"/>
      <c r="C46" s="15" t="n"/>
      <c r="D46" s="15" t="n"/>
      <c r="E46" s="15" t="n"/>
      <c r="F46" s="15" t="n"/>
      <c r="G46" s="15" t="n"/>
      <c r="H46" s="15" t="n"/>
      <c r="I46" s="15" t="n"/>
      <c r="J46" s="15" t="n"/>
      <c r="K46" s="15" t="n"/>
      <c r="L46" s="15" t="n"/>
      <c r="M46" s="15" t="n"/>
      <c r="N46" s="15" t="n"/>
      <c r="O46" s="15" t="n"/>
      <c r="P46" s="15" t="n"/>
    </row>
    <row r="47">
      <c r="A47" s="15" t="n"/>
      <c r="B47" s="15" t="n"/>
      <c r="C47" s="15" t="n"/>
      <c r="D47" s="15" t="n"/>
      <c r="E47" s="15" t="n"/>
      <c r="F47" s="15" t="n"/>
      <c r="G47" s="15" t="n"/>
      <c r="H47" s="15" t="n"/>
      <c r="I47" s="15" t="n"/>
      <c r="J47" s="15" t="n"/>
      <c r="K47" s="15" t="n"/>
      <c r="L47" s="15" t="n"/>
      <c r="M47" s="15" t="n"/>
      <c r="N47" s="15" t="n"/>
      <c r="O47" s="15" t="n"/>
      <c r="P47" s="15" t="n"/>
    </row>
    <row r="48">
      <c r="A48" s="15" t="n"/>
      <c r="B48" s="15" t="n"/>
      <c r="C48" s="15" t="n"/>
      <c r="D48" s="15" t="n"/>
      <c r="E48" s="15" t="n"/>
      <c r="F48" s="15" t="n"/>
      <c r="G48" s="15" t="n"/>
      <c r="H48" s="15" t="n"/>
      <c r="I48" s="15" t="n"/>
      <c r="J48" s="15" t="n"/>
      <c r="K48" s="15" t="n"/>
      <c r="L48" s="15" t="n"/>
      <c r="M48" s="15" t="n"/>
      <c r="N48" s="15" t="n"/>
      <c r="O48" s="15" t="n"/>
      <c r="P48" s="15" t="n"/>
    </row>
    <row r="49">
      <c r="A49" s="15" t="n"/>
      <c r="B49" s="15" t="n"/>
      <c r="C49" s="15" t="n"/>
      <c r="D49" s="15" t="n"/>
      <c r="E49" s="15" t="n"/>
      <c r="F49" s="15" t="n"/>
      <c r="G49" s="15" t="n"/>
      <c r="H49" s="15" t="n"/>
      <c r="I49" s="15" t="n"/>
      <c r="J49" s="15" t="n"/>
      <c r="K49" s="15" t="n"/>
      <c r="L49" s="15" t="n"/>
      <c r="M49" s="15" t="n"/>
      <c r="N49" s="15" t="n"/>
      <c r="O49" s="15" t="n"/>
      <c r="P49" s="15" t="n"/>
    </row>
    <row r="50">
      <c r="A50" s="15" t="n"/>
      <c r="B50" s="15" t="n"/>
      <c r="C50" s="15" t="n"/>
      <c r="D50" s="15" t="n"/>
      <c r="E50" s="15" t="n"/>
      <c r="F50" s="15" t="n"/>
      <c r="G50" s="15" t="n"/>
      <c r="H50" s="15" t="n"/>
      <c r="I50" s="15" t="n"/>
      <c r="J50" s="15" t="n"/>
      <c r="K50" s="15" t="n"/>
      <c r="L50" s="15" t="n"/>
      <c r="M50" s="15" t="n"/>
      <c r="N50" s="15" t="n"/>
      <c r="O50" s="15" t="n"/>
      <c r="P50" s="15" t="n"/>
    </row>
    <row r="51">
      <c r="A51" s="15" t="n"/>
      <c r="B51" s="15" t="n"/>
      <c r="C51" s="15" t="n"/>
      <c r="D51" s="15" t="n"/>
      <c r="E51" s="15" t="n"/>
      <c r="F51" s="15" t="n"/>
      <c r="G51" s="15" t="n"/>
      <c r="H51" s="15" t="n"/>
      <c r="I51" s="15" t="n"/>
      <c r="J51" s="15" t="n"/>
      <c r="K51" s="15" t="n"/>
      <c r="L51" s="15" t="n"/>
      <c r="M51" s="15" t="n"/>
      <c r="N51" s="15" t="n"/>
      <c r="O51" s="15" t="n"/>
      <c r="P51" s="15" t="n"/>
    </row>
    <row r="52">
      <c r="A52" s="15" t="n"/>
      <c r="B52" s="15" t="n"/>
      <c r="C52" s="15" t="n"/>
      <c r="D52" s="15" t="n"/>
      <c r="E52" s="15" t="n"/>
      <c r="F52" s="15" t="n"/>
      <c r="G52" s="15" t="n"/>
      <c r="H52" s="15" t="n"/>
      <c r="I52" s="15" t="n"/>
      <c r="J52" s="15" t="n"/>
      <c r="K52" s="15" t="n"/>
      <c r="L52" s="15" t="n"/>
      <c r="M52" s="15" t="n"/>
      <c r="N52" s="15" t="n"/>
      <c r="O52" s="15" t="n"/>
      <c r="P52" s="15" t="n"/>
    </row>
    <row r="53">
      <c r="A53" s="15" t="n"/>
      <c r="B53" s="15" t="n"/>
      <c r="C53" s="15" t="n"/>
      <c r="D53" s="15" t="n"/>
      <c r="E53" s="15" t="n"/>
      <c r="F53" s="15" t="n"/>
      <c r="G53" s="15" t="n"/>
      <c r="H53" s="15" t="n"/>
      <c r="I53" s="15" t="n"/>
      <c r="J53" s="15" t="n"/>
      <c r="K53" s="15" t="n"/>
      <c r="L53" s="15" t="n"/>
      <c r="M53" s="15" t="n"/>
      <c r="N53" s="15" t="n"/>
      <c r="O53" s="15" t="n"/>
      <c r="P53" s="15" t="n"/>
    </row>
    <row r="54">
      <c r="A54" s="15" t="n"/>
      <c r="B54" s="15" t="n"/>
      <c r="C54" s="15" t="n"/>
      <c r="D54" s="15" t="n"/>
      <c r="E54" s="15" t="n"/>
      <c r="F54" s="15" t="n"/>
      <c r="G54" s="15" t="n"/>
      <c r="H54" s="15" t="n"/>
      <c r="I54" s="15" t="n"/>
      <c r="J54" s="15" t="n"/>
      <c r="K54" s="15" t="n"/>
      <c r="L54" s="15" t="n"/>
      <c r="M54" s="15" t="n"/>
      <c r="N54" s="15" t="n"/>
      <c r="O54" s="15" t="n"/>
      <c r="P54" s="15" t="n"/>
    </row>
    <row r="55">
      <c r="A55" s="15" t="n"/>
      <c r="B55" s="15" t="n"/>
      <c r="C55" s="15" t="n"/>
      <c r="D55" s="15" t="n"/>
      <c r="E55" s="15" t="n"/>
      <c r="F55" s="15" t="n"/>
      <c r="G55" s="15" t="n"/>
      <c r="H55" s="15" t="n"/>
      <c r="I55" s="15" t="n"/>
      <c r="J55" s="15" t="n"/>
      <c r="K55" s="15" t="n"/>
      <c r="L55" s="15" t="n"/>
      <c r="M55" s="15" t="n"/>
      <c r="N55" s="15" t="n"/>
      <c r="O55" s="15" t="n"/>
      <c r="P55" s="15" t="n"/>
    </row>
  </sheetData>
  <mergeCells count="2">
    <mergeCell ref="A1:P1"/>
    <mergeCell ref="A2:P2"/>
  </mergeCells>
  <dataValidations count="7">
    <dataValidation sqref="N6 N7 N8 N9 N10 N11 N12 N13 N14 N15 N16 N17 N18 N19 N20 N21 N22 N23 N24 N25 N26 N27 N28 N29 N30 N31 N32 N33 N34 N35 N36 N37 N38 N39 N40 N41 N42 N43 N44 N45 N46 N47 N48 N49 N50 N51 N52 N53 N54 N55 O6 O7 O8 O9 O10 O11 O12 O13 O14 O15 O16 O17 O18 O19 O20 O21 O22 O23 O24 O25 O26 O27 O28 O29 O30 O31 O32 O33 O34 O35 O36 O37 O38 O39 O40 O41 O42 O43 O44 O45 O46 O47 O48 O49 O50 O51 O52 O53 O54 O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"Network,Endpoint,Cloud,Email,Web,Database"</formula1>
    </dataValidation>
    <dataValidation sqref="F6 F7 F8 F9 F10 F11 F12 F13 F14 F15 F16 F17 F18 F19 F20 F21 F22 F23 F24 F25 F26 F27 F28 F29 F30 F31 F32 F33 F34 F35 F36 F37 F38 F39 F40 F41 F42 F43 F44 F45 F46 F47 F48 F49 F50 F51 F52 F53 F54 F55" showDropDown="1" showInputMessage="0" showErrorMessage="0" allowBlank="0" type="list">
      <formula1>"Inline,Monitor,Hybrid,Cloud-based,TAP,SPAN"</formula1>
    </dataValidation>
    <dataValidation sqref="G6 G7 G8 G9 G10 G11 G12 G13 G14 G15 G16 G17 G18 G19 G20 G21 G22 G23 G24 G25 G26 G27 G28 G29 G30 G31 G32 G33 G34 G35 G36 G37 G38 G39 G40 G41 G42 G43 G44 G45 G46 G47 G48 G49 G50 G51 G52 G53 G54 G55" showDropDown="1" showInputMessage="0" showErrorMessage="0" allowBlank="0" type="list">
      <formula1>"Production,Staging,Test,Decommissioned"</formula1>
    </dataValidation>
    <dataValidation sqref="H6 H7 H8 H9 H10 H11 H12 H13 H14 H15 H16 H17 H18 H19 H20 H21 H22 H23 H24 H25 H26 H27 H28 H29 H30 H31 H32 H33 H34 H35 H36 H37 H38 H39 H40 H41 H42 H43 H44 H45 H46 H47 H48 H49 H50 H51 H52 H53 H54 H55" showDropDown="1" showInputMessage="0" showErrorMessage="0" allowBlank="0" type="list">
      <formula1>"Perpetual,Subscription,Open Source,N/A"</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"Active,Expired,N/A"</formula1>
    </dataValidation>
    <dataValidation sqref="M6 M7 M8 M9 M10 M11 M12 M13 M14 M15 M16 M17 M18 M19 M20 M21 M22 M23 M24 M25 M26 M27 M28 M29 M30 M31 M32 M33 M34 M35 M36 M37 M38 M39 M40 M41 M42 M43 M44 M45 M46 M47 M48 M49 M50 M51 M52 M53 M54 M55" showDropDown="1" showInputMessage="0" showErrorMessage="0" allowBlank="0" type="list">
      <formula1>"Integrated,Standalone,Partial"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25" customWidth="1" min="3" max="3"/>
    <col width="25" customWidth="1" min="4" max="4"/>
    <col width="18" customWidth="1" min="5" max="5"/>
    <col width="15" customWidth="1" min="6" max="6"/>
    <col width="15" customWidth="1" min="7" max="7"/>
    <col width="18" customWidth="1" min="8" max="8"/>
    <col width="18" customWidth="1" min="9" max="9"/>
    <col width="18" customWidth="1" min="10" max="10"/>
    <col width="18" customWidth="1" min="11" max="11"/>
    <col width="18" customWidth="1" min="12" max="12"/>
    <col width="15" customWidth="1" min="13" max="13"/>
    <col width="18" customWidth="1" min="14" max="14"/>
  </cols>
  <sheetData>
    <row r="1" ht="35" customHeight="1">
      <c r="A1" s="11" t="inlineStr">
        <is>
          <t>NETWORK DLP ASSESSMENT</t>
        </is>
      </c>
    </row>
    <row r="2">
      <c r="A2" s="12" t="inlineStr">
        <is>
          <t>Assess network-based DLP appliances (inline, TAP, SPAN configurations)</t>
        </is>
      </c>
    </row>
    <row r="4">
      <c r="A4" s="13" t="inlineStr">
        <is>
          <t>Appliance Name</t>
        </is>
      </c>
      <c r="B4" s="13" t="inlineStr">
        <is>
          <t>Deployment Mode</t>
        </is>
      </c>
      <c r="C4" s="13" t="inlineStr">
        <is>
          <t>Network Segments Covered</t>
        </is>
      </c>
      <c r="D4" s="13" t="inlineStr">
        <is>
          <t>Protocols Inspected</t>
        </is>
      </c>
      <c r="E4" s="13" t="inlineStr">
        <is>
          <t>SSL/TLS Inspection</t>
        </is>
      </c>
      <c r="F4" s="13" t="inlineStr">
        <is>
          <t>Throughput Capacity</t>
        </is>
      </c>
      <c r="G4" s="13" t="inlineStr">
        <is>
          <t>Current Utilization %</t>
        </is>
      </c>
      <c r="H4" s="13" t="inlineStr">
        <is>
          <t>Content Inspection</t>
        </is>
      </c>
      <c r="I4" s="13" t="inlineStr">
        <is>
          <t>Pattern Matching (Regex)</t>
        </is>
      </c>
      <c r="J4" s="13" t="inlineStr">
        <is>
          <t>Fingerprinting</t>
        </is>
      </c>
      <c r="K4" s="13" t="inlineStr">
        <is>
          <t>Machine Learning/AI</t>
        </is>
      </c>
      <c r="L4" s="13" t="inlineStr">
        <is>
          <t>Blocking Capability</t>
        </is>
      </c>
      <c r="M4" s="13" t="inlineStr">
        <is>
          <t>High Availability</t>
        </is>
      </c>
      <c r="N4" s="13" t="inlineStr">
        <is>
          <t>Evidence ID</t>
        </is>
      </c>
    </row>
    <row r="5">
      <c r="A5" s="14" t="inlineStr">
        <is>
          <t>Forcepoint DLP Gateway</t>
        </is>
      </c>
      <c r="B5" s="14" t="inlineStr">
        <is>
          <t>Inline</t>
        </is>
      </c>
      <c r="C5" s="14" t="inlineStr">
        <is>
          <t>DMZ, Internal</t>
        </is>
      </c>
      <c r="D5" s="14" t="inlineStr">
        <is>
          <t>HTTP, HTTPS, SMTP, FTP</t>
        </is>
      </c>
      <c r="E5" s="14" t="inlineStr">
        <is>
          <t>Yes</t>
        </is>
      </c>
      <c r="F5" s="14" t="inlineStr">
        <is>
          <t>10 Gbps</t>
        </is>
      </c>
      <c r="G5" s="14" t="inlineStr">
        <is>
          <t>45</t>
        </is>
      </c>
      <c r="H5" s="14" t="inlineStr">
        <is>
          <t>Yes</t>
        </is>
      </c>
      <c r="I5" s="14" t="inlineStr">
        <is>
          <t>Yes</t>
        </is>
      </c>
      <c r="J5" s="14" t="inlineStr">
        <is>
          <t>Yes</t>
        </is>
      </c>
      <c r="K5" s="14" t="inlineStr">
        <is>
          <t>Partial</t>
        </is>
      </c>
      <c r="L5" s="14" t="inlineStr">
        <is>
          <t>Yes</t>
        </is>
      </c>
      <c r="M5" s="14" t="inlineStr">
        <is>
          <t>Yes</t>
        </is>
      </c>
      <c r="N5" s="14" t="inlineStr">
        <is>
          <t>A812-1-NET-001</t>
        </is>
      </c>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sheetData>
  <mergeCells count="2">
    <mergeCell ref="A2:N2"/>
    <mergeCell ref="A1:N1"/>
  </mergeCells>
  <dataValidations count="3">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"Yes,No,N/A"</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L6 L7 L8 L9 L10 L11 L12 L13 L14 L15 L16 L17 L18 L19 L20 L21 L22 L23 L24 L25 L26 L27 L28 L29 L30 L31 L32 L33 L34 L35 L36 L37 L38 L39 L40 L41 L42 L43 L44 L45 L46 L47 L48 L49 L50 L51 L52 L53 L54 L55" showDropDown="1" showInputMessage="0" showErrorMessage="1" allowBlank="0" errorTitle="Invalid Entry" error="Invalid value. Select from dropdown." type="list">
      <formula1>"Yes,No,Partial,Planned,N/A"</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"Inline,TAP,SPAN,Cloud Gateway"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20" customWidth="1" min="1" max="1"/>
    <col width="20" customWidth="1" min="2" max="2"/>
    <col width="25" customWidth="1" min="3" max="3"/>
    <col width="15" customWidth="1" min="4" max="4"/>
    <col width="20"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8" customWidth="1" min="15" max="15"/>
  </cols>
  <sheetData>
    <row r="1" ht="35" customHeight="1">
      <c r="A1" s="11" t="inlineStr">
        <is>
          <t>ENDPOINT DLP ASSESSMENT</t>
        </is>
      </c>
    </row>
    <row r="2">
      <c r="A2" s="12" t="inlineStr">
        <is>
          <t>Assess endpoint DLP agent deployment across Windows, macOS, Linux, VDI</t>
        </is>
      </c>
    </row>
    <row r="4">
      <c r="A4" s="13" t="inlineStr">
        <is>
          <t>Operating System</t>
        </is>
      </c>
      <c r="B4" s="13" t="inlineStr">
        <is>
          <t>OS Version</t>
        </is>
      </c>
      <c r="C4" s="13" t="inlineStr">
        <is>
          <t>Agent Name</t>
        </is>
      </c>
      <c r="D4" s="13" t="inlineStr">
        <is>
          <t>Agent Version</t>
        </is>
      </c>
      <c r="E4" s="13" t="inlineStr">
        <is>
          <t>Deployment Method</t>
        </is>
      </c>
      <c r="F4" s="13" t="inlineStr">
        <is>
          <t>Total Endpoints</t>
        </is>
      </c>
      <c r="G4" s="13" t="inlineStr">
        <is>
          <t>Agents Deployed</t>
        </is>
      </c>
      <c r="H4" s="13" t="inlineStr">
        <is>
          <t>Deployment Coverage %</t>
        </is>
      </c>
      <c r="I4" s="13" t="inlineStr">
        <is>
          <t>USB Blocking</t>
        </is>
      </c>
      <c r="J4" s="13" t="inlineStr">
        <is>
          <t>Clipboard Monitoring</t>
        </is>
      </c>
      <c r="K4" s="13" t="inlineStr">
        <is>
          <t>Print Blocking</t>
        </is>
      </c>
      <c r="L4" s="13" t="inlineStr">
        <is>
          <t>Screen Capture Detection</t>
        </is>
      </c>
      <c r="M4" s="13" t="inlineStr">
        <is>
          <t>Bluetooth Blocking</t>
        </is>
      </c>
      <c r="N4" s="13" t="inlineStr">
        <is>
          <t>Cloud Sync App Monitoring</t>
        </is>
      </c>
      <c r="O4" s="13" t="inlineStr">
        <is>
          <t>Evidence ID</t>
        </is>
      </c>
    </row>
    <row r="5">
      <c r="A5" s="14" t="inlineStr">
        <is>
          <t>Windows</t>
        </is>
      </c>
      <c r="B5" s="14" t="inlineStr">
        <is>
          <t>10/11 Enterprise</t>
        </is>
      </c>
      <c r="C5" s="14" t="inlineStr">
        <is>
          <t>Forcepoint Endpoint</t>
        </is>
      </c>
      <c r="D5" s="14" t="inlineStr">
        <is>
          <t>8.9</t>
        </is>
      </c>
      <c r="E5" s="14" t="inlineStr">
        <is>
          <t>GPO</t>
        </is>
      </c>
      <c r="F5" s="14" t="inlineStr">
        <is>
          <t>2000</t>
        </is>
      </c>
      <c r="G5" s="14" t="inlineStr">
        <is>
          <t>1950</t>
        </is>
      </c>
      <c r="H5" s="14">
        <f>IF(F5=0,0,G5/F5*100)</f>
        <v/>
      </c>
      <c r="I5" s="14" t="inlineStr">
        <is>
          <t>Yes</t>
        </is>
      </c>
      <c r="J5" s="14" t="inlineStr">
        <is>
          <t>Yes</t>
        </is>
      </c>
      <c r="K5" s="14" t="inlineStr">
        <is>
          <t>Yes</t>
        </is>
      </c>
      <c r="L5" s="14" t="inlineStr">
        <is>
          <t>Yes</t>
        </is>
      </c>
      <c r="M5" s="14" t="inlineStr">
        <is>
          <t>Yes</t>
        </is>
      </c>
      <c r="N5" s="14" t="inlineStr">
        <is>
          <t>Yes</t>
        </is>
      </c>
      <c r="O5" s="14" t="inlineStr">
        <is>
          <t>A812-1-EPT-001</t>
        </is>
      </c>
    </row>
    <row r="6">
      <c r="A6" s="15" t="n"/>
      <c r="B6" s="15" t="n"/>
      <c r="C6" s="15" t="n"/>
      <c r="D6" s="15" t="n"/>
      <c r="E6" s="15" t="n"/>
      <c r="F6" s="15" t="n"/>
      <c r="G6" s="15" t="n"/>
      <c r="H6" s="15">
        <f>IF(F6=0,0,G6/F6*100)</f>
        <v/>
      </c>
      <c r="I6" s="15" t="n"/>
      <c r="J6" s="15" t="n"/>
      <c r="K6" s="15" t="n"/>
      <c r="L6" s="15" t="n"/>
      <c r="M6" s="15" t="n"/>
      <c r="N6" s="15" t="n"/>
      <c r="O6" s="15" t="n"/>
    </row>
    <row r="7">
      <c r="A7" s="15" t="n"/>
      <c r="B7" s="15" t="n"/>
      <c r="C7" s="15" t="n"/>
      <c r="D7" s="15" t="n"/>
      <c r="E7" s="15" t="n"/>
      <c r="F7" s="15" t="n"/>
      <c r="G7" s="15" t="n"/>
      <c r="H7" s="15">
        <f>IF(F7=0,0,G7/F7*100)</f>
        <v/>
      </c>
      <c r="I7" s="15" t="n"/>
      <c r="J7" s="15" t="n"/>
      <c r="K7" s="15" t="n"/>
      <c r="L7" s="15" t="n"/>
      <c r="M7" s="15" t="n"/>
      <c r="N7" s="15" t="n"/>
      <c r="O7" s="15" t="n"/>
    </row>
    <row r="8">
      <c r="A8" s="15" t="n"/>
      <c r="B8" s="15" t="n"/>
      <c r="C8" s="15" t="n"/>
      <c r="D8" s="15" t="n"/>
      <c r="E8" s="15" t="n"/>
      <c r="F8" s="15" t="n"/>
      <c r="G8" s="15" t="n"/>
      <c r="H8" s="15">
        <f>IF(F8=0,0,G8/F8*100)</f>
        <v/>
      </c>
      <c r="I8" s="15" t="n"/>
      <c r="J8" s="15" t="n"/>
      <c r="K8" s="15" t="n"/>
      <c r="L8" s="15" t="n"/>
      <c r="M8" s="15" t="n"/>
      <c r="N8" s="15" t="n"/>
      <c r="O8" s="15" t="n"/>
    </row>
    <row r="9">
      <c r="A9" s="15" t="n"/>
      <c r="B9" s="15" t="n"/>
      <c r="C9" s="15" t="n"/>
      <c r="D9" s="15" t="n"/>
      <c r="E9" s="15" t="n"/>
      <c r="F9" s="15" t="n"/>
      <c r="G9" s="15" t="n"/>
      <c r="H9" s="15">
        <f>IF(F9=0,0,G9/F9*100)</f>
        <v/>
      </c>
      <c r="I9" s="15" t="n"/>
      <c r="J9" s="15" t="n"/>
      <c r="K9" s="15" t="n"/>
      <c r="L9" s="15" t="n"/>
      <c r="M9" s="15" t="n"/>
      <c r="N9" s="15" t="n"/>
      <c r="O9" s="15" t="n"/>
    </row>
    <row r="10">
      <c r="A10" s="15" t="n"/>
      <c r="B10" s="15" t="n"/>
      <c r="C10" s="15" t="n"/>
      <c r="D10" s="15" t="n"/>
      <c r="E10" s="15" t="n"/>
      <c r="F10" s="15" t="n"/>
      <c r="G10" s="15" t="n"/>
      <c r="H10" s="15">
        <f>IF(F10=0,0,G10/F10*100)</f>
        <v/>
      </c>
      <c r="I10" s="15" t="n"/>
      <c r="J10" s="15" t="n"/>
      <c r="K10" s="15" t="n"/>
      <c r="L10" s="15" t="n"/>
      <c r="M10" s="15" t="n"/>
      <c r="N10" s="15" t="n"/>
      <c r="O10" s="15" t="n"/>
    </row>
    <row r="11">
      <c r="A11" s="15" t="n"/>
      <c r="B11" s="15" t="n"/>
      <c r="C11" s="15" t="n"/>
      <c r="D11" s="15" t="n"/>
      <c r="E11" s="15" t="n"/>
      <c r="F11" s="15" t="n"/>
      <c r="G11" s="15" t="n"/>
      <c r="H11" s="15">
        <f>IF(F11=0,0,G11/F11*100)</f>
        <v/>
      </c>
      <c r="I11" s="15" t="n"/>
      <c r="J11" s="15" t="n"/>
      <c r="K11" s="15" t="n"/>
      <c r="L11" s="15" t="n"/>
      <c r="M11" s="15" t="n"/>
      <c r="N11" s="15" t="n"/>
      <c r="O11" s="15" t="n"/>
    </row>
    <row r="12">
      <c r="A12" s="15" t="n"/>
      <c r="B12" s="15" t="n"/>
      <c r="C12" s="15" t="n"/>
      <c r="D12" s="15" t="n"/>
      <c r="E12" s="15" t="n"/>
      <c r="F12" s="15" t="n"/>
      <c r="G12" s="15" t="n"/>
      <c r="H12" s="15">
        <f>IF(F12=0,0,G12/F12*100)</f>
        <v/>
      </c>
      <c r="I12" s="15" t="n"/>
      <c r="J12" s="15" t="n"/>
      <c r="K12" s="15" t="n"/>
      <c r="L12" s="15" t="n"/>
      <c r="M12" s="15" t="n"/>
      <c r="N12" s="15" t="n"/>
      <c r="O12" s="15" t="n"/>
    </row>
    <row r="13">
      <c r="A13" s="15" t="n"/>
      <c r="B13" s="15" t="n"/>
      <c r="C13" s="15" t="n"/>
      <c r="D13" s="15" t="n"/>
      <c r="E13" s="15" t="n"/>
      <c r="F13" s="15" t="n"/>
      <c r="G13" s="15" t="n"/>
      <c r="H13" s="15">
        <f>IF(F13=0,0,G13/F13*100)</f>
        <v/>
      </c>
      <c r="I13" s="15" t="n"/>
      <c r="J13" s="15" t="n"/>
      <c r="K13" s="15" t="n"/>
      <c r="L13" s="15" t="n"/>
      <c r="M13" s="15" t="n"/>
      <c r="N13" s="15" t="n"/>
      <c r="O13" s="15" t="n"/>
    </row>
    <row r="14">
      <c r="A14" s="15" t="n"/>
      <c r="B14" s="15" t="n"/>
      <c r="C14" s="15" t="n"/>
      <c r="D14" s="15" t="n"/>
      <c r="E14" s="15" t="n"/>
      <c r="F14" s="15" t="n"/>
      <c r="G14" s="15" t="n"/>
      <c r="H14" s="15">
        <f>IF(F14=0,0,G14/F14*100)</f>
        <v/>
      </c>
      <c r="I14" s="15" t="n"/>
      <c r="J14" s="15" t="n"/>
      <c r="K14" s="15" t="n"/>
      <c r="L14" s="15" t="n"/>
      <c r="M14" s="15" t="n"/>
      <c r="N14" s="15" t="n"/>
      <c r="O14" s="15" t="n"/>
    </row>
    <row r="15">
      <c r="A15" s="15" t="n"/>
      <c r="B15" s="15" t="n"/>
      <c r="C15" s="15" t="n"/>
      <c r="D15" s="15" t="n"/>
      <c r="E15" s="15" t="n"/>
      <c r="F15" s="15" t="n"/>
      <c r="G15" s="15" t="n"/>
      <c r="H15" s="15">
        <f>IF(F15=0,0,G15/F15*100)</f>
        <v/>
      </c>
      <c r="I15" s="15" t="n"/>
      <c r="J15" s="15" t="n"/>
      <c r="K15" s="15" t="n"/>
      <c r="L15" s="15" t="n"/>
      <c r="M15" s="15" t="n"/>
      <c r="N15" s="15" t="n"/>
      <c r="O15" s="15" t="n"/>
    </row>
    <row r="16">
      <c r="A16" s="15" t="n"/>
      <c r="B16" s="15" t="n"/>
      <c r="C16" s="15" t="n"/>
      <c r="D16" s="15" t="n"/>
      <c r="E16" s="15" t="n"/>
      <c r="F16" s="15" t="n"/>
      <c r="G16" s="15" t="n"/>
      <c r="H16" s="15">
        <f>IF(F16=0,0,G16/F16*100)</f>
        <v/>
      </c>
      <c r="I16" s="15" t="n"/>
      <c r="J16" s="15" t="n"/>
      <c r="K16" s="15" t="n"/>
      <c r="L16" s="15" t="n"/>
      <c r="M16" s="15" t="n"/>
      <c r="N16" s="15" t="n"/>
      <c r="O16" s="15" t="n"/>
    </row>
    <row r="17">
      <c r="A17" s="15" t="n"/>
      <c r="B17" s="15" t="n"/>
      <c r="C17" s="15" t="n"/>
      <c r="D17" s="15" t="n"/>
      <c r="E17" s="15" t="n"/>
      <c r="F17" s="15" t="n"/>
      <c r="G17" s="15" t="n"/>
      <c r="H17" s="15">
        <f>IF(F17=0,0,G17/F17*100)</f>
        <v/>
      </c>
      <c r="I17" s="15" t="n"/>
      <c r="J17" s="15" t="n"/>
      <c r="K17" s="15" t="n"/>
      <c r="L17" s="15" t="n"/>
      <c r="M17" s="15" t="n"/>
      <c r="N17" s="15" t="n"/>
      <c r="O17" s="15" t="n"/>
    </row>
    <row r="18">
      <c r="A18" s="15" t="n"/>
      <c r="B18" s="15" t="n"/>
      <c r="C18" s="15" t="n"/>
      <c r="D18" s="15" t="n"/>
      <c r="E18" s="15" t="n"/>
      <c r="F18" s="15" t="n"/>
      <c r="G18" s="15" t="n"/>
      <c r="H18" s="15">
        <f>IF(F18=0,0,G18/F18*100)</f>
        <v/>
      </c>
      <c r="I18" s="15" t="n"/>
      <c r="J18" s="15" t="n"/>
      <c r="K18" s="15" t="n"/>
      <c r="L18" s="15" t="n"/>
      <c r="M18" s="15" t="n"/>
      <c r="N18" s="15" t="n"/>
      <c r="O18" s="15" t="n"/>
    </row>
    <row r="19">
      <c r="A19" s="15" t="n"/>
      <c r="B19" s="15" t="n"/>
      <c r="C19" s="15" t="n"/>
      <c r="D19" s="15" t="n"/>
      <c r="E19" s="15" t="n"/>
      <c r="F19" s="15" t="n"/>
      <c r="G19" s="15" t="n"/>
      <c r="H19" s="15">
        <f>IF(F19=0,0,G19/F19*100)</f>
        <v/>
      </c>
      <c r="I19" s="15" t="n"/>
      <c r="J19" s="15" t="n"/>
      <c r="K19" s="15" t="n"/>
      <c r="L19" s="15" t="n"/>
      <c r="M19" s="15" t="n"/>
      <c r="N19" s="15" t="n"/>
      <c r="O19" s="15" t="n"/>
    </row>
    <row r="20">
      <c r="A20" s="15" t="n"/>
      <c r="B20" s="15" t="n"/>
      <c r="C20" s="15" t="n"/>
      <c r="D20" s="15" t="n"/>
      <c r="E20" s="15" t="n"/>
      <c r="F20" s="15" t="n"/>
      <c r="G20" s="15" t="n"/>
      <c r="H20" s="15">
        <f>IF(F20=0,0,G20/F20*100)</f>
        <v/>
      </c>
      <c r="I20" s="15" t="n"/>
      <c r="J20" s="15" t="n"/>
      <c r="K20" s="15" t="n"/>
      <c r="L20" s="15" t="n"/>
      <c r="M20" s="15" t="n"/>
      <c r="N20" s="15" t="n"/>
      <c r="O20" s="15" t="n"/>
    </row>
    <row r="21">
      <c r="A21" s="15" t="n"/>
      <c r="B21" s="15" t="n"/>
      <c r="C21" s="15" t="n"/>
      <c r="D21" s="15" t="n"/>
      <c r="E21" s="15" t="n"/>
      <c r="F21" s="15" t="n"/>
      <c r="G21" s="15" t="n"/>
      <c r="H21" s="15">
        <f>IF(F21=0,0,G21/F21*100)</f>
        <v/>
      </c>
      <c r="I21" s="15" t="n"/>
      <c r="J21" s="15" t="n"/>
      <c r="K21" s="15" t="n"/>
      <c r="L21" s="15" t="n"/>
      <c r="M21" s="15" t="n"/>
      <c r="N21" s="15" t="n"/>
      <c r="O21" s="15" t="n"/>
    </row>
    <row r="22">
      <c r="A22" s="15" t="n"/>
      <c r="B22" s="15" t="n"/>
      <c r="C22" s="15" t="n"/>
      <c r="D22" s="15" t="n"/>
      <c r="E22" s="15" t="n"/>
      <c r="F22" s="15" t="n"/>
      <c r="G22" s="15" t="n"/>
      <c r="H22" s="15">
        <f>IF(F22=0,0,G22/F22*100)</f>
        <v/>
      </c>
      <c r="I22" s="15" t="n"/>
      <c r="J22" s="15" t="n"/>
      <c r="K22" s="15" t="n"/>
      <c r="L22" s="15" t="n"/>
      <c r="M22" s="15" t="n"/>
      <c r="N22" s="15" t="n"/>
      <c r="O22" s="15" t="n"/>
    </row>
    <row r="23">
      <c r="A23" s="15" t="n"/>
      <c r="B23" s="15" t="n"/>
      <c r="C23" s="15" t="n"/>
      <c r="D23" s="15" t="n"/>
      <c r="E23" s="15" t="n"/>
      <c r="F23" s="15" t="n"/>
      <c r="G23" s="15" t="n"/>
      <c r="H23" s="15">
        <f>IF(F23=0,0,G23/F23*100)</f>
        <v/>
      </c>
      <c r="I23" s="15" t="n"/>
      <c r="J23" s="15" t="n"/>
      <c r="K23" s="15" t="n"/>
      <c r="L23" s="15" t="n"/>
      <c r="M23" s="15" t="n"/>
      <c r="N23" s="15" t="n"/>
      <c r="O23" s="15" t="n"/>
    </row>
    <row r="24">
      <c r="A24" s="15" t="n"/>
      <c r="B24" s="15" t="n"/>
      <c r="C24" s="15" t="n"/>
      <c r="D24" s="15" t="n"/>
      <c r="E24" s="15" t="n"/>
      <c r="F24" s="15" t="n"/>
      <c r="G24" s="15" t="n"/>
      <c r="H24" s="15">
        <f>IF(F24=0,0,G24/F24*100)</f>
        <v/>
      </c>
      <c r="I24" s="15" t="n"/>
      <c r="J24" s="15" t="n"/>
      <c r="K24" s="15" t="n"/>
      <c r="L24" s="15" t="n"/>
      <c r="M24" s="15" t="n"/>
      <c r="N24" s="15" t="n"/>
      <c r="O24" s="15" t="n"/>
    </row>
    <row r="25">
      <c r="A25" s="15" t="n"/>
      <c r="B25" s="15" t="n"/>
      <c r="C25" s="15" t="n"/>
      <c r="D25" s="15" t="n"/>
      <c r="E25" s="15" t="n"/>
      <c r="F25" s="15" t="n"/>
      <c r="G25" s="15" t="n"/>
      <c r="H25" s="15">
        <f>IF(F25=0,0,G25/F25*100)</f>
        <v/>
      </c>
      <c r="I25" s="15" t="n"/>
      <c r="J25" s="15" t="n"/>
      <c r="K25" s="15" t="n"/>
      <c r="L25" s="15" t="n"/>
      <c r="M25" s="15" t="n"/>
      <c r="N25" s="15" t="n"/>
      <c r="O25" s="15" t="n"/>
    </row>
    <row r="26">
      <c r="A26" s="15" t="n"/>
      <c r="B26" s="15" t="n"/>
      <c r="C26" s="15" t="n"/>
      <c r="D26" s="15" t="n"/>
      <c r="E26" s="15" t="n"/>
      <c r="F26" s="15" t="n"/>
      <c r="G26" s="15" t="n"/>
      <c r="H26" s="15">
        <f>IF(F26=0,0,G26/F26*100)</f>
        <v/>
      </c>
      <c r="I26" s="15" t="n"/>
      <c r="J26" s="15" t="n"/>
      <c r="K26" s="15" t="n"/>
      <c r="L26" s="15" t="n"/>
      <c r="M26" s="15" t="n"/>
      <c r="N26" s="15" t="n"/>
      <c r="O26" s="15" t="n"/>
    </row>
    <row r="27">
      <c r="A27" s="15" t="n"/>
      <c r="B27" s="15" t="n"/>
      <c r="C27" s="15" t="n"/>
      <c r="D27" s="15" t="n"/>
      <c r="E27" s="15" t="n"/>
      <c r="F27" s="15" t="n"/>
      <c r="G27" s="15" t="n"/>
      <c r="H27" s="15">
        <f>IF(F27=0,0,G27/F27*100)</f>
        <v/>
      </c>
      <c r="I27" s="15" t="n"/>
      <c r="J27" s="15" t="n"/>
      <c r="K27" s="15" t="n"/>
      <c r="L27" s="15" t="n"/>
      <c r="M27" s="15" t="n"/>
      <c r="N27" s="15" t="n"/>
      <c r="O27" s="15" t="n"/>
    </row>
    <row r="28">
      <c r="A28" s="15" t="n"/>
      <c r="B28" s="15" t="n"/>
      <c r="C28" s="15" t="n"/>
      <c r="D28" s="15" t="n"/>
      <c r="E28" s="15" t="n"/>
      <c r="F28" s="15" t="n"/>
      <c r="G28" s="15" t="n"/>
      <c r="H28" s="15">
        <f>IF(F28=0,0,G28/F28*100)</f>
        <v/>
      </c>
      <c r="I28" s="15" t="n"/>
      <c r="J28" s="15" t="n"/>
      <c r="K28" s="15" t="n"/>
      <c r="L28" s="15" t="n"/>
      <c r="M28" s="15" t="n"/>
      <c r="N28" s="15" t="n"/>
      <c r="O28" s="15" t="n"/>
    </row>
    <row r="29">
      <c r="A29" s="15" t="n"/>
      <c r="B29" s="15" t="n"/>
      <c r="C29" s="15" t="n"/>
      <c r="D29" s="15" t="n"/>
      <c r="E29" s="15" t="n"/>
      <c r="F29" s="15" t="n"/>
      <c r="G29" s="15" t="n"/>
      <c r="H29" s="15">
        <f>IF(F29=0,0,G29/F29*100)</f>
        <v/>
      </c>
      <c r="I29" s="15" t="n"/>
      <c r="J29" s="15" t="n"/>
      <c r="K29" s="15" t="n"/>
      <c r="L29" s="15" t="n"/>
      <c r="M29" s="15" t="n"/>
      <c r="N29" s="15" t="n"/>
      <c r="O29" s="15" t="n"/>
    </row>
    <row r="30">
      <c r="A30" s="15" t="n"/>
      <c r="B30" s="15" t="n"/>
      <c r="C30" s="15" t="n"/>
      <c r="D30" s="15" t="n"/>
      <c r="E30" s="15" t="n"/>
      <c r="F30" s="15" t="n"/>
      <c r="G30" s="15" t="n"/>
      <c r="H30" s="15">
        <f>IF(F30=0,0,G30/F30*100)</f>
        <v/>
      </c>
      <c r="I30" s="15" t="n"/>
      <c r="J30" s="15" t="n"/>
      <c r="K30" s="15" t="n"/>
      <c r="L30" s="15" t="n"/>
      <c r="M30" s="15" t="n"/>
      <c r="N30" s="15" t="n"/>
      <c r="O30" s="15" t="n"/>
    </row>
    <row r="31">
      <c r="A31" s="15" t="n"/>
      <c r="B31" s="15" t="n"/>
      <c r="C31" s="15" t="n"/>
      <c r="D31" s="15" t="n"/>
      <c r="E31" s="15" t="n"/>
      <c r="F31" s="15" t="n"/>
      <c r="G31" s="15" t="n"/>
      <c r="H31" s="15">
        <f>IF(F31=0,0,G31/F31*100)</f>
        <v/>
      </c>
      <c r="I31" s="15" t="n"/>
      <c r="J31" s="15" t="n"/>
      <c r="K31" s="15" t="n"/>
      <c r="L31" s="15" t="n"/>
      <c r="M31" s="15" t="n"/>
      <c r="N31" s="15" t="n"/>
      <c r="O31" s="15" t="n"/>
    </row>
    <row r="32">
      <c r="A32" s="15" t="n"/>
      <c r="B32" s="15" t="n"/>
      <c r="C32" s="15" t="n"/>
      <c r="D32" s="15" t="n"/>
      <c r="E32" s="15" t="n"/>
      <c r="F32" s="15" t="n"/>
      <c r="G32" s="15" t="n"/>
      <c r="H32" s="15">
        <f>IF(F32=0,0,G32/F32*100)</f>
        <v/>
      </c>
      <c r="I32" s="15" t="n"/>
      <c r="J32" s="15" t="n"/>
      <c r="K32" s="15" t="n"/>
      <c r="L32" s="15" t="n"/>
      <c r="M32" s="15" t="n"/>
      <c r="N32" s="15" t="n"/>
      <c r="O32" s="15" t="n"/>
    </row>
    <row r="33">
      <c r="A33" s="15" t="n"/>
      <c r="B33" s="15" t="n"/>
      <c r="C33" s="15" t="n"/>
      <c r="D33" s="15" t="n"/>
      <c r="E33" s="15" t="n"/>
      <c r="F33" s="15" t="n"/>
      <c r="G33" s="15" t="n"/>
      <c r="H33" s="15">
        <f>IF(F33=0,0,G33/F33*100)</f>
        <v/>
      </c>
      <c r="I33" s="15" t="n"/>
      <c r="J33" s="15" t="n"/>
      <c r="K33" s="15" t="n"/>
      <c r="L33" s="15" t="n"/>
      <c r="M33" s="15" t="n"/>
      <c r="N33" s="15" t="n"/>
      <c r="O33" s="15" t="n"/>
    </row>
    <row r="34">
      <c r="A34" s="15" t="n"/>
      <c r="B34" s="15" t="n"/>
      <c r="C34" s="15" t="n"/>
      <c r="D34" s="15" t="n"/>
      <c r="E34" s="15" t="n"/>
      <c r="F34" s="15" t="n"/>
      <c r="G34" s="15" t="n"/>
      <c r="H34" s="15">
        <f>IF(F34=0,0,G34/F34*100)</f>
        <v/>
      </c>
      <c r="I34" s="15" t="n"/>
      <c r="J34" s="15" t="n"/>
      <c r="K34" s="15" t="n"/>
      <c r="L34" s="15" t="n"/>
      <c r="M34" s="15" t="n"/>
      <c r="N34" s="15" t="n"/>
      <c r="O34" s="15" t="n"/>
    </row>
    <row r="35">
      <c r="A35" s="15" t="n"/>
      <c r="B35" s="15" t="n"/>
      <c r="C35" s="15" t="n"/>
      <c r="D35" s="15" t="n"/>
      <c r="E35" s="15" t="n"/>
      <c r="F35" s="15" t="n"/>
      <c r="G35" s="15" t="n"/>
      <c r="H35" s="15">
        <f>IF(F35=0,0,G35/F35*100)</f>
        <v/>
      </c>
      <c r="I35" s="15" t="n"/>
      <c r="J35" s="15" t="n"/>
      <c r="K35" s="15" t="n"/>
      <c r="L35" s="15" t="n"/>
      <c r="M35" s="15" t="n"/>
      <c r="N35" s="15" t="n"/>
      <c r="O35" s="15" t="n"/>
    </row>
    <row r="36">
      <c r="A36" s="15" t="n"/>
      <c r="B36" s="15" t="n"/>
      <c r="C36" s="15" t="n"/>
      <c r="D36" s="15" t="n"/>
      <c r="E36" s="15" t="n"/>
      <c r="F36" s="15" t="n"/>
      <c r="G36" s="15" t="n"/>
      <c r="H36" s="15">
        <f>IF(F36=0,0,G36/F36*100)</f>
        <v/>
      </c>
      <c r="I36" s="15" t="n"/>
      <c r="J36" s="15" t="n"/>
      <c r="K36" s="15" t="n"/>
      <c r="L36" s="15" t="n"/>
      <c r="M36" s="15" t="n"/>
      <c r="N36" s="15" t="n"/>
      <c r="O36" s="15" t="n"/>
    </row>
    <row r="37">
      <c r="A37" s="15" t="n"/>
      <c r="B37" s="15" t="n"/>
      <c r="C37" s="15" t="n"/>
      <c r="D37" s="15" t="n"/>
      <c r="E37" s="15" t="n"/>
      <c r="F37" s="15" t="n"/>
      <c r="G37" s="15" t="n"/>
      <c r="H37" s="15">
        <f>IF(F37=0,0,G37/F37*100)</f>
        <v/>
      </c>
      <c r="I37" s="15" t="n"/>
      <c r="J37" s="15" t="n"/>
      <c r="K37" s="15" t="n"/>
      <c r="L37" s="15" t="n"/>
      <c r="M37" s="15" t="n"/>
      <c r="N37" s="15" t="n"/>
      <c r="O37" s="15" t="n"/>
    </row>
    <row r="38">
      <c r="A38" s="15" t="n"/>
      <c r="B38" s="15" t="n"/>
      <c r="C38" s="15" t="n"/>
      <c r="D38" s="15" t="n"/>
      <c r="E38" s="15" t="n"/>
      <c r="F38" s="15" t="n"/>
      <c r="G38" s="15" t="n"/>
      <c r="H38" s="15">
        <f>IF(F38=0,0,G38/F38*100)</f>
        <v/>
      </c>
      <c r="I38" s="15" t="n"/>
      <c r="J38" s="15" t="n"/>
      <c r="K38" s="15" t="n"/>
      <c r="L38" s="15" t="n"/>
      <c r="M38" s="15" t="n"/>
      <c r="N38" s="15" t="n"/>
      <c r="O38" s="15" t="n"/>
    </row>
    <row r="39">
      <c r="A39" s="15" t="n"/>
      <c r="B39" s="15" t="n"/>
      <c r="C39" s="15" t="n"/>
      <c r="D39" s="15" t="n"/>
      <c r="E39" s="15" t="n"/>
      <c r="F39" s="15" t="n"/>
      <c r="G39" s="15" t="n"/>
      <c r="H39" s="15">
        <f>IF(F39=0,0,G39/F39*100)</f>
        <v/>
      </c>
      <c r="I39" s="15" t="n"/>
      <c r="J39" s="15" t="n"/>
      <c r="K39" s="15" t="n"/>
      <c r="L39" s="15" t="n"/>
      <c r="M39" s="15" t="n"/>
      <c r="N39" s="15" t="n"/>
      <c r="O39" s="15" t="n"/>
    </row>
    <row r="40">
      <c r="A40" s="15" t="n"/>
      <c r="B40" s="15" t="n"/>
      <c r="C40" s="15" t="n"/>
      <c r="D40" s="15" t="n"/>
      <c r="E40" s="15" t="n"/>
      <c r="F40" s="15" t="n"/>
      <c r="G40" s="15" t="n"/>
      <c r="H40" s="15">
        <f>IF(F40=0,0,G40/F40*100)</f>
        <v/>
      </c>
      <c r="I40" s="15" t="n"/>
      <c r="J40" s="15" t="n"/>
      <c r="K40" s="15" t="n"/>
      <c r="L40" s="15" t="n"/>
      <c r="M40" s="15" t="n"/>
      <c r="N40" s="15" t="n"/>
      <c r="O40" s="15" t="n"/>
    </row>
    <row r="41">
      <c r="A41" s="15" t="n"/>
      <c r="B41" s="15" t="n"/>
      <c r="C41" s="15" t="n"/>
      <c r="D41" s="15" t="n"/>
      <c r="E41" s="15" t="n"/>
      <c r="F41" s="15" t="n"/>
      <c r="G41" s="15" t="n"/>
      <c r="H41" s="15">
        <f>IF(F41=0,0,G41/F41*100)</f>
        <v/>
      </c>
      <c r="I41" s="15" t="n"/>
      <c r="J41" s="15" t="n"/>
      <c r="K41" s="15" t="n"/>
      <c r="L41" s="15" t="n"/>
      <c r="M41" s="15" t="n"/>
      <c r="N41" s="15" t="n"/>
      <c r="O41" s="15" t="n"/>
    </row>
    <row r="42">
      <c r="A42" s="15" t="n"/>
      <c r="B42" s="15" t="n"/>
      <c r="C42" s="15" t="n"/>
      <c r="D42" s="15" t="n"/>
      <c r="E42" s="15" t="n"/>
      <c r="F42" s="15" t="n"/>
      <c r="G42" s="15" t="n"/>
      <c r="H42" s="15">
        <f>IF(F42=0,0,G42/F42*100)</f>
        <v/>
      </c>
      <c r="I42" s="15" t="n"/>
      <c r="J42" s="15" t="n"/>
      <c r="K42" s="15" t="n"/>
      <c r="L42" s="15" t="n"/>
      <c r="M42" s="15" t="n"/>
      <c r="N42" s="15" t="n"/>
      <c r="O42" s="15" t="n"/>
    </row>
    <row r="43">
      <c r="A43" s="15" t="n"/>
      <c r="B43" s="15" t="n"/>
      <c r="C43" s="15" t="n"/>
      <c r="D43" s="15" t="n"/>
      <c r="E43" s="15" t="n"/>
      <c r="F43" s="15" t="n"/>
      <c r="G43" s="15" t="n"/>
      <c r="H43" s="15">
        <f>IF(F43=0,0,G43/F43*100)</f>
        <v/>
      </c>
      <c r="I43" s="15" t="n"/>
      <c r="J43" s="15" t="n"/>
      <c r="K43" s="15" t="n"/>
      <c r="L43" s="15" t="n"/>
      <c r="M43" s="15" t="n"/>
      <c r="N43" s="15" t="n"/>
      <c r="O43" s="15" t="n"/>
    </row>
    <row r="44">
      <c r="A44" s="15" t="n"/>
      <c r="B44" s="15" t="n"/>
      <c r="C44" s="15" t="n"/>
      <c r="D44" s="15" t="n"/>
      <c r="E44" s="15" t="n"/>
      <c r="F44" s="15" t="n"/>
      <c r="G44" s="15" t="n"/>
      <c r="H44" s="15">
        <f>IF(F44=0,0,G44/F44*100)</f>
        <v/>
      </c>
      <c r="I44" s="15" t="n"/>
      <c r="J44" s="15" t="n"/>
      <c r="K44" s="15" t="n"/>
      <c r="L44" s="15" t="n"/>
      <c r="M44" s="15" t="n"/>
      <c r="N44" s="15" t="n"/>
      <c r="O44" s="15" t="n"/>
    </row>
    <row r="45">
      <c r="A45" s="15" t="n"/>
      <c r="B45" s="15" t="n"/>
      <c r="C45" s="15" t="n"/>
      <c r="D45" s="15" t="n"/>
      <c r="E45" s="15" t="n"/>
      <c r="F45" s="15" t="n"/>
      <c r="G45" s="15" t="n"/>
      <c r="H45" s="15">
        <f>IF(F45=0,0,G45/F45*100)</f>
        <v/>
      </c>
      <c r="I45" s="15" t="n"/>
      <c r="J45" s="15" t="n"/>
      <c r="K45" s="15" t="n"/>
      <c r="L45" s="15" t="n"/>
      <c r="M45" s="15" t="n"/>
      <c r="N45" s="15" t="n"/>
      <c r="O45" s="15" t="n"/>
    </row>
    <row r="46">
      <c r="A46" s="15" t="n"/>
      <c r="B46" s="15" t="n"/>
      <c r="C46" s="15" t="n"/>
      <c r="D46" s="15" t="n"/>
      <c r="E46" s="15" t="n"/>
      <c r="F46" s="15" t="n"/>
      <c r="G46" s="15" t="n"/>
      <c r="H46" s="15">
        <f>IF(F46=0,0,G46/F46*100)</f>
        <v/>
      </c>
      <c r="I46" s="15" t="n"/>
      <c r="J46" s="15" t="n"/>
      <c r="K46" s="15" t="n"/>
      <c r="L46" s="15" t="n"/>
      <c r="M46" s="15" t="n"/>
      <c r="N46" s="15" t="n"/>
      <c r="O46" s="15" t="n"/>
    </row>
    <row r="47">
      <c r="A47" s="15" t="n"/>
      <c r="B47" s="15" t="n"/>
      <c r="C47" s="15" t="n"/>
      <c r="D47" s="15" t="n"/>
      <c r="E47" s="15" t="n"/>
      <c r="F47" s="15" t="n"/>
      <c r="G47" s="15" t="n"/>
      <c r="H47" s="15">
        <f>IF(F47=0,0,G47/F47*100)</f>
        <v/>
      </c>
      <c r="I47" s="15" t="n"/>
      <c r="J47" s="15" t="n"/>
      <c r="K47" s="15" t="n"/>
      <c r="L47" s="15" t="n"/>
      <c r="M47" s="15" t="n"/>
      <c r="N47" s="15" t="n"/>
      <c r="O47" s="15" t="n"/>
    </row>
    <row r="48">
      <c r="A48" s="15" t="n"/>
      <c r="B48" s="15" t="n"/>
      <c r="C48" s="15" t="n"/>
      <c r="D48" s="15" t="n"/>
      <c r="E48" s="15" t="n"/>
      <c r="F48" s="15" t="n"/>
      <c r="G48" s="15" t="n"/>
      <c r="H48" s="15">
        <f>IF(F48=0,0,G48/F48*100)</f>
        <v/>
      </c>
      <c r="I48" s="15" t="n"/>
      <c r="J48" s="15" t="n"/>
      <c r="K48" s="15" t="n"/>
      <c r="L48" s="15" t="n"/>
      <c r="M48" s="15" t="n"/>
      <c r="N48" s="15" t="n"/>
      <c r="O48" s="15" t="n"/>
    </row>
    <row r="49">
      <c r="A49" s="15" t="n"/>
      <c r="B49" s="15" t="n"/>
      <c r="C49" s="15" t="n"/>
      <c r="D49" s="15" t="n"/>
      <c r="E49" s="15" t="n"/>
      <c r="F49" s="15" t="n"/>
      <c r="G49" s="15" t="n"/>
      <c r="H49" s="15">
        <f>IF(F49=0,0,G49/F49*100)</f>
        <v/>
      </c>
      <c r="I49" s="15" t="n"/>
      <c r="J49" s="15" t="n"/>
      <c r="K49" s="15" t="n"/>
      <c r="L49" s="15" t="n"/>
      <c r="M49" s="15" t="n"/>
      <c r="N49" s="15" t="n"/>
      <c r="O49" s="15" t="n"/>
    </row>
    <row r="50">
      <c r="A50" s="15" t="n"/>
      <c r="B50" s="15" t="n"/>
      <c r="C50" s="15" t="n"/>
      <c r="D50" s="15" t="n"/>
      <c r="E50" s="15" t="n"/>
      <c r="F50" s="15" t="n"/>
      <c r="G50" s="15" t="n"/>
      <c r="H50" s="15">
        <f>IF(F50=0,0,G50/F50*100)</f>
        <v/>
      </c>
      <c r="I50" s="15" t="n"/>
      <c r="J50" s="15" t="n"/>
      <c r="K50" s="15" t="n"/>
      <c r="L50" s="15" t="n"/>
      <c r="M50" s="15" t="n"/>
      <c r="N50" s="15" t="n"/>
      <c r="O50" s="15" t="n"/>
    </row>
    <row r="51">
      <c r="A51" s="15" t="n"/>
      <c r="B51" s="15" t="n"/>
      <c r="C51" s="15" t="n"/>
      <c r="D51" s="15" t="n"/>
      <c r="E51" s="15" t="n"/>
      <c r="F51" s="15" t="n"/>
      <c r="G51" s="15" t="n"/>
      <c r="H51" s="15">
        <f>IF(F51=0,0,G51/F51*100)</f>
        <v/>
      </c>
      <c r="I51" s="15" t="n"/>
      <c r="J51" s="15" t="n"/>
      <c r="K51" s="15" t="n"/>
      <c r="L51" s="15" t="n"/>
      <c r="M51" s="15" t="n"/>
      <c r="N51" s="15" t="n"/>
      <c r="O51" s="15" t="n"/>
    </row>
    <row r="52">
      <c r="A52" s="15" t="n"/>
      <c r="B52" s="15" t="n"/>
      <c r="C52" s="15" t="n"/>
      <c r="D52" s="15" t="n"/>
      <c r="E52" s="15" t="n"/>
      <c r="F52" s="15" t="n"/>
      <c r="G52" s="15" t="n"/>
      <c r="H52" s="15">
        <f>IF(F52=0,0,G52/F52*100)</f>
        <v/>
      </c>
      <c r="I52" s="15" t="n"/>
      <c r="J52" s="15" t="n"/>
      <c r="K52" s="15" t="n"/>
      <c r="L52" s="15" t="n"/>
      <c r="M52" s="15" t="n"/>
      <c r="N52" s="15" t="n"/>
      <c r="O52" s="15" t="n"/>
    </row>
    <row r="53">
      <c r="A53" s="15" t="n"/>
      <c r="B53" s="15" t="n"/>
      <c r="C53" s="15" t="n"/>
      <c r="D53" s="15" t="n"/>
      <c r="E53" s="15" t="n"/>
      <c r="F53" s="15" t="n"/>
      <c r="G53" s="15" t="n"/>
      <c r="H53" s="15">
        <f>IF(F53=0,0,G53/F53*100)</f>
        <v/>
      </c>
      <c r="I53" s="15" t="n"/>
      <c r="J53" s="15" t="n"/>
      <c r="K53" s="15" t="n"/>
      <c r="L53" s="15" t="n"/>
      <c r="M53" s="15" t="n"/>
      <c r="N53" s="15" t="n"/>
      <c r="O53" s="15" t="n"/>
    </row>
    <row r="54">
      <c r="A54" s="15" t="n"/>
      <c r="B54" s="15" t="n"/>
      <c r="C54" s="15" t="n"/>
      <c r="D54" s="15" t="n"/>
      <c r="E54" s="15" t="n"/>
      <c r="F54" s="15" t="n"/>
      <c r="G54" s="15" t="n"/>
      <c r="H54" s="15">
        <f>IF(F54=0,0,G54/F54*100)</f>
        <v/>
      </c>
      <c r="I54" s="15" t="n"/>
      <c r="J54" s="15" t="n"/>
      <c r="K54" s="15" t="n"/>
      <c r="L54" s="15" t="n"/>
      <c r="M54" s="15" t="n"/>
      <c r="N54" s="15" t="n"/>
      <c r="O54" s="15" t="n"/>
    </row>
    <row r="55">
      <c r="A55" s="15" t="n"/>
      <c r="B55" s="15" t="n"/>
      <c r="C55" s="15" t="n"/>
      <c r="D55" s="15" t="n"/>
      <c r="E55" s="15" t="n"/>
      <c r="F55" s="15" t="n"/>
      <c r="G55" s="15" t="n"/>
      <c r="H55" s="15">
        <f>IF(F55=0,0,G55/F55*100)</f>
        <v/>
      </c>
      <c r="I55" s="15" t="n"/>
      <c r="J55" s="15" t="n"/>
      <c r="K55" s="15" t="n"/>
      <c r="L55" s="15" t="n"/>
      <c r="M55" s="15" t="n"/>
      <c r="N55" s="15" t="n"/>
      <c r="O55" s="15" t="n"/>
    </row>
  </sheetData>
  <mergeCells count="2">
    <mergeCell ref="A1:O1"/>
    <mergeCell ref="A2:O2"/>
  </mergeCells>
  <dataValidations count="2">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L6 L7 L8 L9 L10 L11 L12 L13 L14 L15 L16 L17 L18 L19 L20 L21 L22 L23 L24 L25 L26 L27 L28 L29 L30 L31 L32 L33 L34 L35 L36 L37 L38 L39 L40 L41 L42 L43 L44 L45 L46 L47 L48 L49 L50 L51 L52 L53 L54 L55 M6 M7 M8 M9 M10 M11 M12 M13 M14 M15 M16 M17 M18 M19 M20 M21 M22 M23 M24 M25 M26 M27 M28 M29 M30 M31 M32 M33 M34 M35 M36 M37 M38 M39 M40 M41 M42 M43 M44 M45 M46 M47 M48 M49 M50 M51 M52 M53 M54 M55 N6 N7 N8 N9 N10 N11 N12 N13 N14 N15 N16 N17 N18 N19 N20 N21 N22 N23 N24 N25 N26 N27 N28 N29 N30 N31 N32 N33 N34 N35 N36 N37 N38 N39 N40 N41 N42 N43 N44 N45 N46 N47 N48 N49 N50 N51 N52 N53 N54 N55" showDropDown="1" showInputMessage="0" showErrorMessage="1" allowBlank="0" errorTitle="Invalid Entry" error="Invalid value. Select from dropdown." type="list">
      <formula1>"Yes,No,Partial,Planned,N/A"</formula1>
    </dataValidation>
    <dataValidation sqref="E6 E7 E8 E9 E10 E11 E12 E13 E14 E15 E16 E17 E18 E19 E20 E21 E22 E23 E24 E25 E26 E27 E28 E29 E30 E31 E32 E33 E34 E35 E36 E37 E38 E39 E40 E41 E42 E43 E44 E45 E46 E47 E48 E49 E50 E51 E52 E53 E54 E55" showDropDown="1" showInputMessage="0" showErrorMessage="0" allowBlank="0" type="list">
      <formula1>"GPO,SCCM,Jamf,Manual,Cloud MDM,Ansible,Puppet"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35" customHeight="1">
      <c r="A1" s="11" t="inlineStr">
        <is>
          <t>EMAIL DLP ASSESSMENT</t>
        </is>
      </c>
    </row>
    <row r="2">
      <c r="A2" s="12" t="inlineStr">
        <is>
          <t>Assess email gateway DLP solutions (Exchange, M365, Gmail)</t>
        </is>
      </c>
    </row>
    <row r="4">
      <c r="A4" s="13" t="inlineStr">
        <is>
          <t>Email System</t>
        </is>
      </c>
      <c r="B4" s="13" t="inlineStr">
        <is>
          <t>DLP Solution</t>
        </is>
      </c>
      <c r="C4" s="13" t="inlineStr">
        <is>
          <t>Deployment Type</t>
        </is>
      </c>
      <c r="D4" s="13" t="inlineStr">
        <is>
          <t>SMTP Gateway Protection</t>
        </is>
      </c>
      <c r="E4" s="13" t="inlineStr">
        <is>
          <t>Webmail Protection</t>
        </is>
      </c>
      <c r="F4" s="13" t="inlineStr">
        <is>
          <t>Attachment Scanning</t>
        </is>
      </c>
      <c r="G4" s="13" t="inlineStr">
        <is>
          <t>Encrypted Email Handling</t>
        </is>
      </c>
      <c r="H4" s="13" t="inlineStr">
        <is>
          <t>Internal Email Monitoring</t>
        </is>
      </c>
      <c r="I4" s="13" t="inlineStr">
        <is>
          <t>External Email Monitoring</t>
        </is>
      </c>
      <c r="J4" s="13" t="inlineStr">
        <is>
          <t>Quarantine Capability</t>
        </is>
      </c>
      <c r="K4" s="13" t="inlineStr">
        <is>
          <t>Auto-Encryption</t>
        </is>
      </c>
      <c r="L4" s="13" t="inlineStr">
        <is>
          <t>Evidence ID</t>
        </is>
      </c>
    </row>
    <row r="5">
      <c r="A5" s="14" t="inlineStr">
        <is>
          <t>Microsoft 365</t>
        </is>
      </c>
      <c r="B5" s="14" t="inlineStr">
        <is>
          <t>Microsoft Purview DLP</t>
        </is>
      </c>
      <c r="C5" s="14" t="inlineStr">
        <is>
          <t>Cloud</t>
        </is>
      </c>
      <c r="D5" s="14" t="inlineStr">
        <is>
          <t>Yes</t>
        </is>
      </c>
      <c r="E5" s="14" t="inlineStr">
        <is>
          <t>Yes</t>
        </is>
      </c>
      <c r="F5" s="14" t="inlineStr">
        <is>
          <t>Yes</t>
        </is>
      </c>
      <c r="G5" s="14" t="inlineStr">
        <is>
          <t>Partial</t>
        </is>
      </c>
      <c r="H5" s="14" t="inlineStr">
        <is>
          <t>Yes</t>
        </is>
      </c>
      <c r="I5" s="14" t="inlineStr">
        <is>
          <t>Yes</t>
        </is>
      </c>
      <c r="J5" s="14" t="inlineStr">
        <is>
          <t>Yes</t>
        </is>
      </c>
      <c r="K5" s="14" t="inlineStr">
        <is>
          <t>Yes</t>
        </is>
      </c>
      <c r="L5" s="14" t="inlineStr">
        <is>
          <t>A812-1-EML-001</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2">
    <mergeCell ref="A2:L2"/>
    <mergeCell ref="A1:L1"/>
  </mergeCells>
  <dataValidations count="3">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"Yes,No,Partial,N/A"</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K6 K7 K8 K9 K10 K11 K12 K13 K14 K15 K16 K17 K18 K19 K20 K21 K22 K23 K24 K25 K26 K27 K28 K29 K30 K31 K32 K33 K34 K35 K36 K37 K38 K39 K40 K41 K42 K43 K44 K45 K46 K47 K48 K49 K50 K51 K52 K53 K54 K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"On-Premise,Cloud,Hybrid"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CLOUD / CASB DLP ASSESSMENT</t>
        </is>
      </c>
    </row>
    <row r="2">
      <c r="A2" s="12" t="inlineStr">
        <is>
          <t>Assess Cloud Access Security Broker and cloud-native DLP</t>
        </is>
      </c>
    </row>
    <row r="4">
      <c r="A4" s="13" t="inlineStr">
        <is>
          <t>Cloud Service</t>
        </is>
      </c>
      <c r="B4" s="13" t="inlineStr">
        <is>
          <t>CASB Solution</t>
        </is>
      </c>
      <c r="C4" s="13" t="inlineStr">
        <is>
          <t>Integration Type</t>
        </is>
      </c>
      <c r="D4" s="13" t="inlineStr">
        <is>
          <t>Upload Monitoring</t>
        </is>
      </c>
      <c r="E4" s="13" t="inlineStr">
        <is>
          <t>Download Monitoring</t>
        </is>
      </c>
      <c r="F4" s="13" t="inlineStr">
        <is>
          <t>Sharing Controls</t>
        </is>
      </c>
      <c r="G4" s="13" t="inlineStr">
        <is>
          <t>Content Inspection</t>
        </is>
      </c>
      <c r="H4" s="13" t="inlineStr">
        <is>
          <t>Real-Time Blocking</t>
        </is>
      </c>
      <c r="I4" s="13" t="inlineStr">
        <is>
          <t>Shadow IT Discovery</t>
        </is>
      </c>
      <c r="J4" s="13" t="inlineStr">
        <is>
          <t>Evidence ID</t>
        </is>
      </c>
    </row>
    <row r="5">
      <c r="A5" s="14" t="inlineStr">
        <is>
          <t>Microsoft OneDrive</t>
        </is>
      </c>
      <c r="B5" s="14" t="inlineStr">
        <is>
          <t>Netskope</t>
        </is>
      </c>
      <c r="C5" s="14" t="inlineStr">
        <is>
          <t>API</t>
        </is>
      </c>
      <c r="D5" s="14" t="inlineStr">
        <is>
          <t>Yes</t>
        </is>
      </c>
      <c r="E5" s="14" t="inlineStr">
        <is>
          <t>Yes</t>
        </is>
      </c>
      <c r="F5" s="14" t="inlineStr">
        <is>
          <t>Yes</t>
        </is>
      </c>
      <c r="G5" s="14" t="inlineStr">
        <is>
          <t>Yes</t>
        </is>
      </c>
      <c r="H5" s="14" t="inlineStr">
        <is>
          <t>Yes</t>
        </is>
      </c>
      <c r="I5" s="14" t="inlineStr">
        <is>
          <t>Yes</t>
        </is>
      </c>
      <c r="J5" s="14" t="inlineStr">
        <is>
          <t>A812-1-CLD-001</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2">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"API,Inline,Log Analysis"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WEB PROXY DLP ASSESSMENT</t>
        </is>
      </c>
    </row>
    <row r="2">
      <c r="A2" s="12" t="inlineStr">
        <is>
          <t>Assess web proxy DLP configurations (forward/reverse proxy, SSL inspection)</t>
        </is>
      </c>
    </row>
    <row r="4">
      <c r="A4" s="13" t="inlineStr">
        <is>
          <t>Proxy Solution</t>
        </is>
      </c>
      <c r="B4" s="13" t="inlineStr">
        <is>
          <t>Proxy Type</t>
        </is>
      </c>
      <c r="C4" s="13" t="inlineStr">
        <is>
          <t>SSL Inspection</t>
        </is>
      </c>
      <c r="D4" s="13" t="inlineStr">
        <is>
          <t>HTTP/HTTPS Coverage</t>
        </is>
      </c>
      <c r="E4" s="13" t="inlineStr">
        <is>
          <t>Upload Monitoring</t>
        </is>
      </c>
      <c r="F4" s="13" t="inlineStr">
        <is>
          <t>Download Monitoring</t>
        </is>
      </c>
      <c r="G4" s="13" t="inlineStr">
        <is>
          <t>Cloud Storage Detection</t>
        </is>
      </c>
      <c r="H4" s="13" t="inlineStr">
        <is>
          <t>Webmail Monitoring</t>
        </is>
      </c>
      <c r="I4" s="13" t="inlineStr">
        <is>
          <t>URL Filtering Integration</t>
        </is>
      </c>
      <c r="J4" s="13" t="inlineStr">
        <is>
          <t>Evidence ID</t>
        </is>
      </c>
    </row>
    <row r="5">
      <c r="A5" s="14" t="inlineStr">
        <is>
          <t>Zscaler</t>
        </is>
      </c>
      <c r="B5" s="14" t="inlineStr">
        <is>
          <t>Cloud</t>
        </is>
      </c>
      <c r="C5" s="14" t="inlineStr">
        <is>
          <t>Yes</t>
        </is>
      </c>
      <c r="D5" s="14" t="inlineStr">
        <is>
          <t>Yes</t>
        </is>
      </c>
      <c r="E5" s="14" t="inlineStr">
        <is>
          <t>Yes</t>
        </is>
      </c>
      <c r="F5" s="14" t="inlineStr">
        <is>
          <t>Yes</t>
        </is>
      </c>
      <c r="G5" s="14" t="inlineStr">
        <is>
          <t>Yes</t>
        </is>
      </c>
      <c r="H5" s="14" t="inlineStr">
        <is>
          <t>Yes</t>
        </is>
      </c>
      <c r="I5" s="14" t="inlineStr">
        <is>
          <t>Yes</t>
        </is>
      </c>
      <c r="J5" s="14" t="inlineStr">
        <is>
          <t>A812-1-WEB-001</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3">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"Yes,No,Partial,N/A"</formula1>
    </dataValidation>
    <dataValidation sqref="C6 C7 C8 C9 C10 C11 C12 C13 C14 C15 C16 C17 C18 C19 C20 C21 C22 C23 C24 C25 C26 C27 C28 C29 C30 C31 C32 C33 C34 C35 C36 C37 C38 C39 C40 C41 C42 C43 C44 C45 C46 C47 C48 C49 C50 C51 C52 C53 C54 C55 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showDropDown="1" showInputMessage="0" showErrorMessage="1" allowBlank="0" errorTitle="Invalid Entry" error="Invalid value. Select from dropdown." type="list">
      <formula1>"Yes,No,Partial,Planned,N/A"</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"Forward,Reverse,Cloud"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5" customHeight="1">
      <c r="A1" s="11" t="inlineStr">
        <is>
          <t>DATABASE ACTIVITY MONITORING (DAM)</t>
        </is>
      </c>
    </row>
    <row r="2">
      <c r="A2" s="12" t="inlineStr">
        <is>
          <t>Assess Database Activity Monitoring for DLP use cases</t>
        </is>
      </c>
    </row>
    <row r="4">
      <c r="A4" s="13" t="inlineStr">
        <is>
          <t>Database System</t>
        </is>
      </c>
      <c r="B4" s="13" t="inlineStr">
        <is>
          <t>DAM Solution</t>
        </is>
      </c>
      <c r="C4" s="13" t="inlineStr">
        <is>
          <t>Monitoring Scope</t>
        </is>
      </c>
      <c r="D4" s="13" t="inlineStr">
        <is>
          <t>SELECT Query Monitoring</t>
        </is>
      </c>
      <c r="E4" s="13" t="inlineStr">
        <is>
          <t>Bulk Export Detection</t>
        </is>
      </c>
      <c r="F4" s="13" t="inlineStr">
        <is>
          <t>Privileged User Monitoring</t>
        </is>
      </c>
      <c r="G4" s="13" t="inlineStr">
        <is>
          <t>DLP Policy Integration</t>
        </is>
      </c>
      <c r="H4" s="13" t="inlineStr">
        <is>
          <t>Alert Triggering</t>
        </is>
      </c>
      <c r="I4" s="13" t="inlineStr">
        <is>
          <t>Evidence ID</t>
        </is>
      </c>
    </row>
    <row r="5">
      <c r="A5" s="14" t="inlineStr">
        <is>
          <t>Oracle xxx</t>
        </is>
      </c>
      <c r="B5" s="14" t="inlineStr">
        <is>
          <t>Imperva DAM</t>
        </is>
      </c>
      <c r="C5" s="14" t="inlineStr">
        <is>
          <t>Production</t>
        </is>
      </c>
      <c r="D5" s="14" t="inlineStr">
        <is>
          <t>Yes</t>
        </is>
      </c>
      <c r="E5" s="14" t="inlineStr">
        <is>
          <t>Yes</t>
        </is>
      </c>
      <c r="F5" s="14" t="inlineStr">
        <is>
          <t>Yes</t>
        </is>
      </c>
      <c r="G5" s="14" t="inlineStr">
        <is>
          <t>Yes</t>
        </is>
      </c>
      <c r="H5" s="14" t="inlineStr">
        <is>
          <t>Yes</t>
        </is>
      </c>
      <c r="I5" s="14" t="inlineStr">
        <is>
          <t>A812-1-DAM-001</t>
        </is>
      </c>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row r="55">
      <c r="A55" s="15" t="n"/>
      <c r="B55" s="15" t="n"/>
      <c r="C55" s="15" t="n"/>
      <c r="D55" s="15" t="n"/>
      <c r="E55" s="15" t="n"/>
      <c r="F55" s="15" t="n"/>
      <c r="G55" s="15" t="n"/>
      <c r="H55" s="15" t="n"/>
      <c r="I55" s="15" t="n"/>
    </row>
  </sheetData>
  <mergeCells count="2">
    <mergeCell ref="A1:I1"/>
    <mergeCell ref="A2:I2"/>
  </mergeCells>
  <dataValidations count="2">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"Production,All,None"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18" customWidth="1" min="1" max="1"/>
    <col width="35" customWidth="1" min="2" max="2"/>
    <col width="25" customWidth="1" min="3" max="3"/>
    <col width="15" customWidth="1" min="4" max="4"/>
    <col width="30" customWidth="1" min="5" max="5"/>
    <col width="30" customWidth="1" min="6" max="6"/>
    <col width="35" customWidth="1" min="7" max="7"/>
    <col width="20" customWidth="1" min="8" max="8"/>
    <col width="15" customWidth="1" min="9" max="9"/>
    <col width="15" customWidth="1" min="10" max="10"/>
    <col width="18" customWidth="1" min="11" max="11"/>
  </cols>
  <sheetData>
    <row r="1" ht="35" customHeight="1">
      <c r="A1" s="11" t="inlineStr">
        <is>
          <t>GAP ANALYSIS - IDENTIFIED DEFICIENCIES</t>
        </is>
      </c>
    </row>
    <row r="2">
      <c r="A2" s="12" t="inlineStr">
        <is>
          <t>Document all infrastructure gaps and remediation plans</t>
        </is>
      </c>
    </row>
    <row r="4">
      <c r="A4" s="13" t="inlineStr">
        <is>
          <t>Gap ID</t>
        </is>
      </c>
      <c r="B4" s="13" t="inlineStr">
        <is>
          <t>Gap Description</t>
        </is>
      </c>
      <c r="C4" s="13" t="inlineStr">
        <is>
          <t>Affected Technology</t>
        </is>
      </c>
      <c r="D4" s="13" t="inlineStr">
        <is>
          <t>Risk Level</t>
        </is>
      </c>
      <c r="E4" s="13" t="inlineStr">
        <is>
          <t>Business Impact</t>
        </is>
      </c>
      <c r="F4" s="13" t="inlineStr">
        <is>
          <t>Root Cause</t>
        </is>
      </c>
      <c r="G4" s="13" t="inlineStr">
        <is>
          <t>Remediation Plan</t>
        </is>
      </c>
      <c r="H4" s="13" t="inlineStr">
        <is>
          <t>Owner</t>
        </is>
      </c>
      <c r="I4" s="13" t="inlineStr">
        <is>
          <t>Target Date</t>
        </is>
      </c>
      <c r="J4" s="13" t="inlineStr">
        <is>
          <t>Status</t>
        </is>
      </c>
      <c r="K4" s="13" t="inlineStr">
        <is>
          <t>Evidence ID</t>
        </is>
      </c>
    </row>
    <row r="5">
      <c r="A5" s="14" t="inlineStr">
        <is>
          <t>GAP-A812-1-001</t>
        </is>
      </c>
      <c r="B5" s="14" t="inlineStr">
        <is>
          <t>Endpoint DLP not deployed to Linux servers</t>
        </is>
      </c>
      <c r="C5" s="14" t="inlineStr">
        <is>
          <t>Endpoint DLP</t>
        </is>
      </c>
      <c r="D5" s="14" t="inlineStr">
        <is>
          <t>High</t>
        </is>
      </c>
      <c r="E5" s="14" t="inlineStr">
        <is>
          <t>Unmonitored data exfiltration from Linux systems</t>
        </is>
      </c>
      <c r="F5" s="14" t="inlineStr">
        <is>
          <t>Budget constraints, vendor compatibility</t>
        </is>
      </c>
      <c r="G5" s="14" t="inlineStr">
        <is>
          <t>Deploy compatible endpoint agent or implement compensating controls</t>
        </is>
      </c>
      <c r="H5" s="14" t="inlineStr">
        <is>
          <t>[Owner]</t>
        </is>
      </c>
      <c r="I5" s="14" t="inlineStr">
        <is>
          <t>[Date]</t>
        </is>
      </c>
      <c r="J5" s="14" t="inlineStr">
        <is>
          <t>Open</t>
        </is>
      </c>
      <c r="K5" s="14" t="inlineStr">
        <is>
          <t>A812-1-GAP-001</t>
        </is>
      </c>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sheetData>
  <mergeCells count="2">
    <mergeCell ref="A2:K2"/>
    <mergeCell ref="A1:K1"/>
  </mergeCells>
  <dataValidations count="2">
    <dataValidation sqref="D6 D7 D8 D9 D10 D11 D12 D13 D14 D15 D16 D17 D18 D19 D20 D21 D22 D23 D24 D25 D26 D27 D28 D29 D30 D31 D32 D33 D34 D35 D36 D37 D38 D39 D40 D41 D42 D43 D44 D45 D46 D47 D48 D49 D50 D51 D52 D53 D54 D55" showDropDown="1"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"Open,In Progress,Resolved,Accepted,Closed"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19" t="inlineStr">
        <is>
          <t>EV-001</t>
        </is>
      </c>
      <c r="B5" s="19" t="inlineStr">
        <is>
          <t>DLP Technology Inventory</t>
        </is>
      </c>
      <c r="C5" s="19" t="inlineStr">
        <is>
          <t>Configuration file</t>
        </is>
      </c>
      <c r="D5" s="19" t="inlineStr">
        <is>
          <t>DLP policy rule set configuration export</t>
        </is>
      </c>
      <c r="E5" s="19" t="inlineStr">
        <is>
          <t>\\fileserver\isms\evidence\dlp\policy-rules.pdf</t>
        </is>
      </c>
      <c r="F5" s="19" t="inlineStr">
        <is>
          <t>22.02.2026</t>
        </is>
      </c>
      <c r="G5" s="19" t="inlineStr">
        <is>
          <t>IT Security Team</t>
        </is>
      </c>
      <c r="H5" s="19" t="inlineStr">
        <is>
          <t>Verified</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2">
    <mergeCell ref="A2:H2"/>
    <mergeCell ref="A1:H1"/>
  </mergeCells>
  <dataValidations count="2">
    <dataValidation sqref="C6:C105" showDropDown="0" showInputMessage="0" showErrorMessage="0" allowBlank="1" type="list">
      <formula1>"Configuration file,Screenshot,Network scan,Documentation,Vendor spec,Certificate inventory,Audit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1" t="inlineStr">
        <is>
          <t>DLP INFRASTRUCTURE ASSESSMENT — SUMMARY DASHBOARD</t>
        </is>
      </c>
    </row>
    <row r="2">
      <c r="A2" s="22" t="inlineStr">
        <is>
          <t>ISO/IEC 27001:2022 — Control A.8.12: Data Leakage Prevention</t>
        </is>
      </c>
    </row>
    <row r="4">
      <c r="A4" s="23" t="inlineStr">
        <is>
          <t>TABLE 1 – COMPLIANCE ASSESSMENT SUMMARY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24" t="inlineStr">
        <is>
          <t>DLP Technology Inventory</t>
        </is>
      </c>
      <c r="B6" s="24">
        <f>C6+D6+E6+F6</f>
        <v/>
      </c>
      <c r="C6" s="24">
        <f>COUNTIF('DLP Technology Inventory'!M6:M55,"Integrated")</f>
        <v/>
      </c>
      <c r="D6" s="24">
        <f>COUNTIF('DLP Technology Inventory'!M6:M55,"Partial")</f>
        <v/>
      </c>
      <c r="E6" s="24">
        <f>COUNTIF('DLP Technology Inventory'!M6:M55,"Standalone")</f>
        <v/>
      </c>
      <c r="F6" s="24">
        <f>0</f>
        <v/>
      </c>
      <c r="G6" s="25">
        <f>IF((B6-F6)=0,0,C6/(B6-F6))</f>
        <v/>
      </c>
    </row>
    <row r="7">
      <c r="A7" s="24" t="inlineStr">
        <is>
          <t>Network DLP Assessment</t>
        </is>
      </c>
      <c r="B7" s="24">
        <f>C7+D7+E7+F7</f>
        <v/>
      </c>
      <c r="C7" s="24">
        <f>COUNTIF('Network DLP'!H6:H55,"Yes")</f>
        <v/>
      </c>
      <c r="D7" s="24">
        <f>COUNTIF('Network DLP'!H6:H55,"Partial")</f>
        <v/>
      </c>
      <c r="E7" s="24">
        <f>COUNTIF('Network DLP'!H6:H55,"No")</f>
        <v/>
      </c>
      <c r="F7" s="24">
        <f>COUNTIF('Network DLP'!H6:H55,"N/A")</f>
        <v/>
      </c>
      <c r="G7" s="25">
        <f>IF((B7-F7)=0,0,C7/(B7-F7))</f>
        <v/>
      </c>
    </row>
    <row r="8">
      <c r="A8" s="24" t="inlineStr">
        <is>
          <t>Endpoint DLP Assessment</t>
        </is>
      </c>
      <c r="B8" s="24">
        <f>C8+D8+E8+F8</f>
        <v/>
      </c>
      <c r="C8" s="24">
        <f>COUNTIF('Endpoint DLP'!I6:I55,"Yes")</f>
        <v/>
      </c>
      <c r="D8" s="24">
        <f>COUNTIF('Endpoint DLP'!I6:I55,"Partial")</f>
        <v/>
      </c>
      <c r="E8" s="24">
        <f>COUNTIF('Endpoint DLP'!I6:I55,"No")</f>
        <v/>
      </c>
      <c r="F8" s="24">
        <f>COUNTIF('Endpoint DLP'!I6:I55,"N/A")</f>
        <v/>
      </c>
      <c r="G8" s="25">
        <f>IF((B8-F8)=0,0,C8/(B8-F8))</f>
        <v/>
      </c>
    </row>
    <row r="9">
      <c r="A9" s="24" t="inlineStr">
        <is>
          <t>Email DLP Assessment</t>
        </is>
      </c>
      <c r="B9" s="24">
        <f>C9+D9+E9+F9</f>
        <v/>
      </c>
      <c r="C9" s="24">
        <f>COUNTIF('Email DLP'!D6:D55,"Yes")</f>
        <v/>
      </c>
      <c r="D9" s="24">
        <f>COUNTIF('Email DLP'!D6:D55,"Partial")</f>
        <v/>
      </c>
      <c r="E9" s="24">
        <f>COUNTIF('Email DLP'!D6:D55,"No")</f>
        <v/>
      </c>
      <c r="F9" s="24">
        <f>COUNTIF('Email DLP'!D6:D55,"N/A")</f>
        <v/>
      </c>
      <c r="G9" s="25">
        <f>IF((B9-F9)=0,0,C9/(B9-F9))</f>
        <v/>
      </c>
    </row>
    <row r="10">
      <c r="A10" s="24" t="inlineStr">
        <is>
          <t>Cloud / CASB DLP Assessment</t>
        </is>
      </c>
      <c r="B10" s="24">
        <f>C10+D10+E10+F10</f>
        <v/>
      </c>
      <c r="C10" s="24">
        <f>COUNTIF('Cloud CASB DLP'!G6:G55,"Yes")</f>
        <v/>
      </c>
      <c r="D10" s="24">
        <f>COUNTIF('Cloud CASB DLP'!G6:G55,"Partial")</f>
        <v/>
      </c>
      <c r="E10" s="24">
        <f>COUNTIF('Cloud CASB DLP'!G6:G55,"No")</f>
        <v/>
      </c>
      <c r="F10" s="24">
        <f>COUNTIF('Cloud CASB DLP'!G6:G55,"N/A")</f>
        <v/>
      </c>
      <c r="G10" s="25">
        <f>IF((B10-F10)=0,0,C10/(B10-F10))</f>
        <v/>
      </c>
    </row>
    <row r="11">
      <c r="A11" s="24" t="inlineStr">
        <is>
          <t>Web DLP Assessment</t>
        </is>
      </c>
      <c r="B11" s="24">
        <f>C11+D11+E11+F11</f>
        <v/>
      </c>
      <c r="C11" s="24">
        <f>COUNTIF('Web DLP'!C6:C55,"Yes")</f>
        <v/>
      </c>
      <c r="D11" s="24">
        <f>COUNTIF('Web DLP'!C6:C55,"Partial")</f>
        <v/>
      </c>
      <c r="E11" s="24">
        <f>COUNTIF('Web DLP'!C6:C55,"No")</f>
        <v/>
      </c>
      <c r="F11" s="24">
        <f>COUNTIF('Web DLP'!C6:C55,"N/A")</f>
        <v/>
      </c>
      <c r="G11" s="25">
        <f>IF((B11-F11)=0,0,C11/(B11-F11))</f>
        <v/>
      </c>
    </row>
    <row r="12">
      <c r="A12" s="24" t="inlineStr">
        <is>
          <t>Database Activity Monitoring</t>
        </is>
      </c>
      <c r="B12" s="24">
        <f>C12+D12+E12+F12</f>
        <v/>
      </c>
      <c r="C12" s="24">
        <f>COUNTIF('Database DAM'!D6:D55,"Yes")</f>
        <v/>
      </c>
      <c r="D12" s="24">
        <f>COUNTIF('Database DAM'!D6:D55,"Partial")</f>
        <v/>
      </c>
      <c r="E12" s="24">
        <f>COUNTIF('Database DAM'!D6:D55,"No")</f>
        <v/>
      </c>
      <c r="F12" s="24">
        <f>COUNTIF('Database DAM'!D6:D55,"N/A")</f>
        <v/>
      </c>
      <c r="G12" s="25">
        <f>IF((B12-F12)=0,0,C12/(B12-F12))</f>
        <v/>
      </c>
    </row>
    <row r="13">
      <c r="A13" s="24" t="inlineStr">
        <is>
          <t>Gap Analysis</t>
        </is>
      </c>
      <c r="B13" s="24">
        <f>C13+D13+E13+F13</f>
        <v/>
      </c>
      <c r="C13" s="24">
        <f>COUNTIF('Gap Analysis'!J6:J55,"Resolved")+COUNTIF('Gap Analysis'!J6:J55,"Closed")+COUNTIF('Gap Analysis'!J6:J55,"Accepted")</f>
        <v/>
      </c>
      <c r="D13" s="24">
        <f>COUNTIF('Gap Analysis'!J6:J55,"In Progress")</f>
        <v/>
      </c>
      <c r="E13" s="24">
        <f>COUNTIF('Gap Analysis'!J6:J55,"Open")</f>
        <v/>
      </c>
      <c r="F13" s="24">
        <f>0</f>
        <v/>
      </c>
      <c r="G13" s="25">
        <f>IF((B13-F13)=0,0,C13/(B13-F13))</f>
        <v/>
      </c>
    </row>
    <row r="14">
      <c r="A14" s="26" t="inlineStr">
        <is>
          <t>TOTAL</t>
        </is>
      </c>
      <c r="B14" s="26">
        <f>SUM(B6:B13)</f>
        <v/>
      </c>
      <c r="C14" s="26">
        <f>SUM(C6:C13)</f>
        <v/>
      </c>
      <c r="D14" s="26">
        <f>SUM(D6:D13)</f>
        <v/>
      </c>
      <c r="E14" s="26">
        <f>SUM(E6:E13)</f>
        <v/>
      </c>
      <c r="F14" s="26">
        <f>SUM(F6:F13)</f>
        <v/>
      </c>
      <c r="G14" s="27">
        <f>IF((B14-F14)=0,0,C14/(B14-F14))</f>
        <v/>
      </c>
    </row>
    <row r="16">
      <c r="A16" s="23" t="inlineStr">
        <is>
          <t>TABLE 2 – KEY METRICS</t>
        </is>
      </c>
    </row>
    <row r="17">
      <c r="A17" s="13" t="inlineStr">
        <is>
          <t>Metric</t>
        </is>
      </c>
      <c r="B17" s="13" t="inlineStr">
        <is>
          <t>Value</t>
        </is>
      </c>
      <c r="C17" s="13" t="inlineStr">
        <is>
          <t>Target</t>
        </is>
      </c>
      <c r="D17" s="6" t="inlineStr"/>
      <c r="E17" s="6" t="inlineStr"/>
      <c r="F17" s="6" t="inlineStr"/>
      <c r="G17" s="6" t="inlineStr"/>
    </row>
    <row r="18">
      <c r="A18" s="28" t="inlineStr">
        <is>
          <t>DLP Technologies in Production</t>
        </is>
      </c>
      <c r="B18" s="28">
        <f>COUNTIF('DLP Technology Inventory'!G6:G55,"Production")</f>
        <v/>
      </c>
      <c r="C18" s="28" t="inlineStr">
        <is>
          <t>≥4</t>
        </is>
      </c>
      <c r="D18" s="6" t="n"/>
      <c r="E18" s="6" t="n"/>
      <c r="F18" s="6" t="n"/>
      <c r="G18" s="6" t="n"/>
    </row>
    <row r="19">
      <c r="A19" s="28" t="inlineStr">
        <is>
          <t>SIEM Integration Rate</t>
        </is>
      </c>
      <c r="B19" s="28">
        <f>IF(COUNTA('DLP Technology Inventory'!B6:B55)=0,0,COUNTIF('DLP Technology Inventory'!N6:N55,"Yes")/COUNTA('DLP Technology Inventory'!B6:B55))</f>
        <v/>
      </c>
      <c r="C19" s="28" t="inlineStr">
        <is>
          <t>≥90%</t>
        </is>
      </c>
      <c r="D19" s="6" t="n"/>
      <c r="E19" s="6" t="n"/>
      <c r="F19" s="6" t="n"/>
      <c r="G19" s="6" t="n"/>
    </row>
    <row r="20">
      <c r="A20" s="28" t="inlineStr">
        <is>
          <t>Endpoint DLP Coverage (avg %)</t>
        </is>
      </c>
      <c r="B20" s="28">
        <f>IFERROR(AVERAGE('Endpoint DLP'!H6:H55),0)</f>
        <v/>
      </c>
      <c r="C20" s="28" t="inlineStr">
        <is>
          <t>≥95%</t>
        </is>
      </c>
      <c r="D20" s="6" t="n"/>
      <c r="E20" s="6" t="n"/>
      <c r="F20" s="6" t="n"/>
      <c r="G20" s="6" t="n"/>
    </row>
    <row r="21">
      <c r="A21" s="28" t="inlineStr">
        <is>
          <t>Open Critical/High Gaps</t>
        </is>
      </c>
      <c r="B21" s="28">
        <f>COUNTIFS('Gap Analysis'!D6:D55,"Critical",'Gap Analysis'!J6:J55,"Open")+COUNTIFS('Gap Analysis'!D6:D55,"High",'Gap Analysis'!J6:J55,"Open")</f>
        <v/>
      </c>
      <c r="C21" s="28" t="inlineStr">
        <is>
          <t>0</t>
        </is>
      </c>
      <c r="D21" s="6" t="n"/>
      <c r="E21" s="6" t="n"/>
      <c r="F21" s="6" t="n"/>
      <c r="G21" s="6" t="n"/>
    </row>
    <row r="22">
      <c r="A22" s="28" t="inlineStr">
        <is>
          <t>Gap Remediation Rate</t>
        </is>
      </c>
      <c r="B22" s="28">
        <f>IF(COUNTA('Gap Analysis'!A6:A55)=0,0,(COUNTIF('Gap Analysis'!J6:J55,"Resolved")+COUNTIF('Gap Analysis'!J6:J55,"Closed"))/COUNTA('Gap Analysis'!A6:A55))</f>
        <v/>
      </c>
      <c r="C22" s="28" t="inlineStr">
        <is>
          <t>≥80%</t>
        </is>
      </c>
      <c r="D22" s="6" t="n"/>
      <c r="E22" s="6" t="n"/>
      <c r="F22" s="6" t="n"/>
      <c r="G22" s="6" t="n"/>
    </row>
    <row r="23">
      <c r="A23" s="28" t="inlineStr">
        <is>
          <t>Evidence Items Verified</t>
        </is>
      </c>
      <c r="B23" s="28">
        <f>COUNTIF('Evidence Register'!H5:H104,"Verified")</f>
        <v/>
      </c>
      <c r="C23" s="28" t="inlineStr">
        <is>
          <t>≥80%</t>
        </is>
      </c>
      <c r="D23" s="6" t="n"/>
      <c r="E23" s="6" t="n"/>
      <c r="F23" s="6" t="n"/>
      <c r="G23" s="6" t="n"/>
    </row>
    <row r="25">
      <c r="A25" s="29" t="inlineStr">
        <is>
          <t>TABLE 3 – KEY FINDINGS &amp; RECOMMENDATIONS</t>
        </is>
      </c>
    </row>
    <row r="26">
      <c r="A26" s="13" t="inlineStr">
        <is>
          <t>#</t>
        </is>
      </c>
      <c r="B26" s="13" t="inlineStr">
        <is>
          <t>Finding</t>
        </is>
      </c>
      <c r="C26" s="13" t="inlineStr">
        <is>
          <t>Impact</t>
        </is>
      </c>
      <c r="D26" s="13" t="inlineStr">
        <is>
          <t>Recommendation</t>
        </is>
      </c>
      <c r="E26" s="13" t="inlineStr">
        <is>
          <t>Priority</t>
        </is>
      </c>
      <c r="F26" s="13" t="inlineStr">
        <is>
          <t>Status</t>
        </is>
      </c>
      <c r="G26" s="13" t="inlineStr"/>
    </row>
    <row r="27">
      <c r="A27" s="30" t="inlineStr">
        <is>
          <t>1</t>
        </is>
      </c>
      <c r="B27" s="20" t="n"/>
      <c r="C27" s="20" t="n"/>
      <c r="D27" s="20" t="n"/>
      <c r="E27" s="20" t="n"/>
      <c r="F27" s="20" t="n"/>
      <c r="G27" s="20" t="n"/>
    </row>
    <row r="28">
      <c r="A28" s="30" t="inlineStr">
        <is>
          <t>2</t>
        </is>
      </c>
      <c r="B28" s="20" t="n"/>
      <c r="C28" s="20" t="n"/>
      <c r="D28" s="20" t="n"/>
      <c r="E28" s="20" t="n"/>
      <c r="F28" s="20" t="n"/>
      <c r="G28" s="20" t="n"/>
    </row>
    <row r="29">
      <c r="A29" s="30" t="inlineStr">
        <is>
          <t>3</t>
        </is>
      </c>
      <c r="B29" s="20" t="n"/>
      <c r="C29" s="20" t="n"/>
      <c r="D29" s="20" t="n"/>
      <c r="E29" s="20" t="n"/>
      <c r="F29" s="20" t="n"/>
      <c r="G29" s="20" t="n"/>
    </row>
    <row r="30">
      <c r="A30" s="30" t="inlineStr">
        <is>
          <t>4</t>
        </is>
      </c>
      <c r="B30" s="20" t="n"/>
      <c r="C30" s="20" t="n"/>
      <c r="D30" s="20" t="n"/>
      <c r="E30" s="20" t="n"/>
      <c r="F30" s="20" t="n"/>
      <c r="G30" s="20" t="n"/>
    </row>
    <row r="31">
      <c r="A31" s="30" t="inlineStr">
        <is>
          <t>5</t>
        </is>
      </c>
      <c r="B31" s="20" t="n"/>
      <c r="C31" s="20" t="n"/>
      <c r="D31" s="20" t="n"/>
      <c r="E31" s="20" t="n"/>
      <c r="F31" s="20" t="n"/>
      <c r="G31" s="20" t="n"/>
    </row>
  </sheetData>
  <mergeCells count="5">
    <mergeCell ref="A1:G1"/>
    <mergeCell ref="A4:G4"/>
    <mergeCell ref="A16:G16"/>
    <mergeCell ref="A2:G2"/>
    <mergeCell ref="A25:G2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6" t="inlineStr">
        <is>
          <t>ASSESSMENT APPROVAL AND SIGN-OFF</t>
        </is>
      </c>
      <c r="B1" s="6" t="n"/>
      <c r="C1" s="6" t="n"/>
      <c r="D1" s="6" t="n"/>
      <c r="E1" s="6" t="n"/>
    </row>
    <row r="2">
      <c r="A2" s="31" t="inlineStr">
        <is>
          <t>ISO/IEC 27001:2022 — Control A.8.12: DLP Infrastructure Assessment</t>
        </is>
      </c>
      <c r="B2" s="6" t="n"/>
      <c r="C2" s="6" t="n"/>
      <c r="D2" s="6" t="n"/>
      <c r="E2" s="6" t="n"/>
    </row>
    <row r="3">
      <c r="A3" s="32" t="inlineStr">
        <is>
          <t>ASSESSMENT SUMMARY</t>
        </is>
      </c>
      <c r="B3" s="6" t="n"/>
      <c r="C3" s="6" t="n"/>
      <c r="D3" s="6" t="n"/>
      <c r="E3" s="6" t="n"/>
    </row>
    <row r="4">
      <c r="A4" s="33" t="inlineStr">
        <is>
          <t>Document:</t>
        </is>
      </c>
      <c r="B4" s="6" t="inlineStr">
        <is>
          <t>ISMS-IMP-A.8.12.1 - DLP Infrastructure</t>
        </is>
      </c>
      <c r="C4" s="6" t="n"/>
      <c r="D4" s="6" t="n"/>
      <c r="E4" s="6" t="n"/>
    </row>
    <row r="5">
      <c r="A5" s="33" t="inlineStr">
        <is>
          <t>Assessment Period:</t>
        </is>
      </c>
      <c r="B5" s="20" t="inlineStr"/>
      <c r="C5" s="6" t="n"/>
      <c r="D5" s="6" t="n"/>
      <c r="E5" s="6" t="n"/>
    </row>
    <row r="6">
      <c r="A6" s="33" t="inlineStr">
        <is>
          <t>Overall Compliance:</t>
        </is>
      </c>
      <c r="B6" s="6">
        <f>'Summary Dashboard'!G14</f>
        <v/>
      </c>
      <c r="C6" s="6" t="n"/>
      <c r="D6" s="6" t="n"/>
      <c r="E6" s="6" t="n"/>
    </row>
    <row r="7">
      <c r="A7" s="33" t="inlineStr">
        <is>
          <t>Assessment Status:</t>
        </is>
      </c>
      <c r="B7" s="20" t="inlineStr"/>
      <c r="C7" s="6" t="n"/>
      <c r="D7" s="6" t="n"/>
      <c r="E7" s="6" t="n"/>
    </row>
    <row r="8">
      <c r="A8" s="33" t="inlineStr">
        <is>
          <t>Assessed By:</t>
        </is>
      </c>
      <c r="B8" s="20" t="inlineStr"/>
      <c r="C8" s="6" t="n"/>
      <c r="D8" s="6" t="n"/>
      <c r="E8" s="6" t="n"/>
    </row>
    <row r="11">
      <c r="A11" s="32" t="inlineStr">
        <is>
          <t>COMPLETED BY (ASSESSOR)</t>
        </is>
      </c>
      <c r="B11" s="6" t="n"/>
      <c r="C11" s="6" t="n"/>
      <c r="D11" s="6" t="n"/>
      <c r="E11" s="6" t="n"/>
    </row>
    <row r="12">
      <c r="A12" s="33" t="inlineStr">
        <is>
          <t>Name:</t>
        </is>
      </c>
      <c r="B12" s="20" t="n"/>
      <c r="C12" s="6" t="n"/>
      <c r="D12" s="6" t="n"/>
      <c r="E12" s="6" t="n"/>
    </row>
    <row r="13">
      <c r="A13" s="33" t="inlineStr">
        <is>
          <t>Title:</t>
        </is>
      </c>
      <c r="B13" s="20" t="n"/>
      <c r="C13" s="6" t="n"/>
      <c r="D13" s="6" t="n"/>
      <c r="E13" s="6" t="n"/>
    </row>
    <row r="14">
      <c r="A14" s="33" t="inlineStr">
        <is>
          <t>Date:</t>
        </is>
      </c>
      <c r="B14" s="20" t="n"/>
      <c r="C14" s="6" t="n"/>
      <c r="D14" s="6" t="n"/>
      <c r="E14" s="6" t="n"/>
    </row>
    <row r="15">
      <c r="A15" s="33" t="inlineStr">
        <is>
          <t>Signature:</t>
        </is>
      </c>
      <c r="B15" s="20" t="n"/>
      <c r="C15" s="6" t="n"/>
      <c r="D15" s="6" t="n"/>
      <c r="E15" s="6" t="n"/>
    </row>
    <row r="16">
      <c r="A16" s="33" t="inlineStr">
        <is>
          <t>Comments:</t>
        </is>
      </c>
      <c r="B16" s="20" t="n"/>
      <c r="C16" s="6" t="n"/>
      <c r="D16" s="6" t="n"/>
      <c r="E16" s="6" t="n"/>
    </row>
    <row r="18">
      <c r="A18" s="32" t="inlineStr">
        <is>
          <t>REVIEWED BY (INFORMATION SECURITY OFFICER)</t>
        </is>
      </c>
      <c r="B18" s="6" t="n"/>
      <c r="C18" s="6" t="n"/>
      <c r="D18" s="6" t="n"/>
      <c r="E18" s="6" t="n"/>
    </row>
    <row r="19">
      <c r="A19" s="33" t="inlineStr">
        <is>
          <t>Name:</t>
        </is>
      </c>
      <c r="B19" s="20" t="n"/>
      <c r="C19" s="6" t="n"/>
      <c r="D19" s="6" t="n"/>
      <c r="E19" s="6" t="n"/>
    </row>
    <row r="20">
      <c r="A20" s="33" t="inlineStr">
        <is>
          <t>Title:</t>
        </is>
      </c>
      <c r="B20" s="20" t="n"/>
      <c r="C20" s="6" t="n"/>
      <c r="D20" s="6" t="n"/>
      <c r="E20" s="6" t="n"/>
    </row>
    <row r="21">
      <c r="A21" s="33" t="inlineStr">
        <is>
          <t>Date:</t>
        </is>
      </c>
      <c r="B21" s="20" t="n"/>
      <c r="C21" s="6" t="n"/>
      <c r="D21" s="6" t="n"/>
      <c r="E21" s="6" t="n"/>
    </row>
    <row r="22">
      <c r="A22" s="33" t="inlineStr">
        <is>
          <t>Signature:</t>
        </is>
      </c>
      <c r="B22" s="20" t="n"/>
      <c r="C22" s="6" t="n"/>
      <c r="D22" s="6" t="n"/>
      <c r="E22" s="6" t="n"/>
    </row>
    <row r="23">
      <c r="A23" s="33" t="inlineStr">
        <is>
          <t>Comments:</t>
        </is>
      </c>
      <c r="B23" s="20" t="n"/>
      <c r="C23" s="6" t="n"/>
      <c r="D23" s="6" t="n"/>
      <c r="E23" s="6" t="n"/>
    </row>
    <row r="25">
      <c r="A25" s="34" t="inlineStr">
        <is>
          <t>APPROVED BY (CISO)</t>
        </is>
      </c>
      <c r="B25" s="6" t="n"/>
      <c r="C25" s="6" t="n"/>
      <c r="D25" s="6" t="n"/>
      <c r="E25" s="6" t="n"/>
    </row>
    <row r="26">
      <c r="A26" s="33" t="inlineStr">
        <is>
          <t>Name:</t>
        </is>
      </c>
      <c r="B26" s="20" t="n"/>
      <c r="C26" s="6" t="n"/>
      <c r="D26" s="6" t="n"/>
      <c r="E26" s="6" t="n"/>
    </row>
    <row r="27">
      <c r="A27" s="33" t="inlineStr">
        <is>
          <t>Title:</t>
        </is>
      </c>
      <c r="B27" s="20" t="n"/>
      <c r="C27" s="6" t="n"/>
      <c r="D27" s="6" t="n"/>
      <c r="E27" s="6" t="n"/>
    </row>
    <row r="28">
      <c r="A28" s="33" t="inlineStr">
        <is>
          <t>Date:</t>
        </is>
      </c>
      <c r="B28" s="20" t="n"/>
      <c r="C28" s="6" t="n"/>
      <c r="D28" s="6" t="n"/>
      <c r="E28" s="6" t="n"/>
    </row>
    <row r="29">
      <c r="A29" s="33" t="inlineStr">
        <is>
          <t>Signature:</t>
        </is>
      </c>
      <c r="B29" s="20" t="n"/>
      <c r="C29" s="6" t="n"/>
      <c r="D29" s="6" t="n"/>
      <c r="E29" s="6" t="n"/>
    </row>
    <row r="30">
      <c r="A30" s="33" t="inlineStr">
        <is>
          <t>Comments:</t>
        </is>
      </c>
      <c r="B30" s="20" t="n"/>
      <c r="C30" s="6" t="n"/>
      <c r="D30" s="6" t="n"/>
      <c r="E30" s="6" t="n"/>
    </row>
    <row r="32">
      <c r="A32" s="33" t="inlineStr">
        <is>
          <t>FINAL DECISION:</t>
        </is>
      </c>
      <c r="B32" s="20" t="n"/>
      <c r="C32" s="6" t="n"/>
      <c r="D32" s="6" t="n"/>
      <c r="E32" s="6" t="n"/>
    </row>
    <row r="35">
      <c r="A35" s="32" t="inlineStr">
        <is>
          <t>NEXT REVIEW DETAILS</t>
        </is>
      </c>
      <c r="B35" s="6" t="n"/>
      <c r="C35" s="6" t="n"/>
      <c r="D35" s="6" t="n"/>
      <c r="E35" s="6" t="n"/>
    </row>
    <row r="36">
      <c r="A36" s="33" t="inlineStr">
        <is>
          <t>Next Review Date:</t>
        </is>
      </c>
      <c r="B36" s="20" t="n"/>
      <c r="C36" s="6" t="n"/>
      <c r="D36" s="6" t="n"/>
      <c r="E36" s="6" t="n"/>
    </row>
    <row r="37">
      <c r="A37" s="33" t="inlineStr">
        <is>
          <t>Review Responsible:</t>
        </is>
      </c>
      <c r="B37" s="20" t="n"/>
      <c r="C37" s="6" t="n"/>
      <c r="D37" s="6" t="n"/>
      <c r="E37" s="6" t="n"/>
    </row>
    <row r="38">
      <c r="A38" s="33"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ISMS-IMP-A.8.12.1 — DLP Infrastructure Assessment</dc:title>
  <dc:description xmlns:dc="http://purl.org/dc/elements/1.1/">ISMS Implementation Workbook — ISMS-IMP-A.8.12.1</dc:description>
  <dc:subject xmlns:dc="http://purl.org/dc/elements/1.1/">ISO/IEC 27001:2022 — Control A.8.12: Data Leakage Prevention</dc:subject>
  <dcterms:created xmlns:dcterms="http://purl.org/dc/terms/" xmlns:xsi="http://www.w3.org/2001/XMLSchema-instance" xsi:type="dcterms:W3CDTF">2026-03-07T11:28:06Z</dcterms:created>
  <dcterms:modified xmlns:dcterms="http://purl.org/dc/terms/" xmlns:xsi="http://www.w3.org/2001/XMLSchema-instance" xsi:type="dcterms:W3CDTF">2026-03-07T11:28:06Z</dcterms:modified>
</cp:coreProperties>
</file>