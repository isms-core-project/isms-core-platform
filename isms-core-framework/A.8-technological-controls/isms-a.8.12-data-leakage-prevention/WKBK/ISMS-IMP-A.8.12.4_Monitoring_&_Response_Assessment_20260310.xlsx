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ogging Configuration" sheetId="2" state="visible" r:id="rId2"/>
    <sheet xmlns:r="http://schemas.openxmlformats.org/officeDocument/2006/relationships" name="Alert Rules Inventory" sheetId="3" state="visible" r:id="rId3"/>
    <sheet xmlns:r="http://schemas.openxmlformats.org/officeDocument/2006/relationships" name="Alert Volume Metrics" sheetId="4" state="visible" r:id="rId4"/>
    <sheet xmlns:r="http://schemas.openxmlformats.org/officeDocument/2006/relationships" name="SIEM Integration" sheetId="5" state="visible" r:id="rId5"/>
    <sheet xmlns:r="http://schemas.openxmlformats.org/officeDocument/2006/relationships" name="False Positive Management" sheetId="6" state="visible" r:id="rId6"/>
    <sheet xmlns:r="http://schemas.openxmlformats.org/officeDocument/2006/relationships" name="Incident Response Workflow" sheetId="7" state="visible" r:id="rId7"/>
    <sheet xmlns:r="http://schemas.openxmlformats.org/officeDocument/2006/relationships" name="SOC Integration" sheetId="8" state="visible" r:id="rId8"/>
    <sheet xmlns:r="http://schemas.openxmlformats.org/officeDocument/2006/relationships" name="Dashboards Reporting"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FFFFFF"/>
      <sz val="12"/>
    </font>
    <font>
      <name val="Calibri"/>
      <b val="1"/>
      <sz val="11"/>
    </font>
    <font>
      <name val="Calibri"/>
      <i val="1"/>
      <sz val="10"/>
    </font>
    <font>
      <name val="Calibri"/>
      <sz val="10"/>
    </font>
    <font>
      <b val="1"/>
    </font>
    <font>
      <name val="Calibri"/>
      <i val="1"/>
    </font>
    <font>
      <name val="Calibri"/>
      <b val="1"/>
      <color rgb="00FFFFFF"/>
      <sz val="10"/>
    </font>
    <font>
      <name val="Calibri"/>
      <i val="1"/>
      <color rgb="00003366"/>
      <sz val="10"/>
    </font>
    <font>
      <name val="Calibri"/>
      <b val="1"/>
      <color rgb="00FFFFFF"/>
      <sz val="11"/>
    </font>
    <font>
      <name val="Calibri"/>
      <b val="1"/>
      <color rgb="00000000"/>
      <sz val="10"/>
    </font>
    <font>
      <name val="Calibri"/>
      <color rgb="00000000"/>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8" fillId="11" borderId="1" applyAlignment="1" pivotButton="0" quotePrefix="0" xfId="0">
      <alignment horizontal="left" vertical="center"/>
    </xf>
    <xf numFmtId="0" fontId="9" fillId="12" borderId="1" applyAlignment="1" pivotButton="0" quotePrefix="0" xfId="0">
      <alignment horizontal="left" vertical="center"/>
    </xf>
    <xf numFmtId="0" fontId="10" fillId="0" borderId="0" pivotButton="0" quotePrefix="0" xfId="0"/>
    <xf numFmtId="0" fontId="1"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0" fillId="11" borderId="1" pivotButton="0" quotePrefix="0" xfId="0"/>
    <xf numFmtId="0" fontId="0" fillId="12" borderId="1" pivotButton="0" quotePrefix="0" xfId="0"/>
    <xf numFmtId="0" fontId="1" fillId="8" borderId="0" applyAlignment="1" pivotButton="0" quotePrefix="0" xfId="0">
      <alignment horizontal="center" vertical="center" wrapText="1"/>
    </xf>
    <xf numFmtId="0" fontId="13" fillId="0" borderId="0" applyAlignment="1" pivotButton="0" quotePrefix="0" xfId="0">
      <alignment horizontal="left" vertical="center"/>
    </xf>
    <xf numFmtId="0" fontId="14" fillId="8" borderId="0" applyAlignment="1" pivotButton="0" quotePrefix="0" xfId="0">
      <alignment horizontal="left" vertical="center"/>
    </xf>
    <xf numFmtId="0" fontId="15" fillId="10" borderId="1" applyAlignment="1" pivotButton="0" quotePrefix="0" xfId="0">
      <alignment horizontal="center" vertical="center"/>
    </xf>
    <xf numFmtId="0" fontId="16" fillId="0" borderId="1" applyAlignment="1" pivotButton="0" quotePrefix="0" xfId="0">
      <alignment horizontal="left" vertical="center"/>
    </xf>
    <xf numFmtId="0" fontId="16" fillId="0" borderId="1" applyAlignment="1" pivotButton="0" quotePrefix="0" xfId="0">
      <alignment horizontal="center" vertical="center"/>
    </xf>
    <xf numFmtId="164" fontId="16" fillId="0" borderId="1" applyAlignment="1" pivotButton="0" quotePrefix="0" xfId="0">
      <alignment horizontal="center" vertical="center"/>
    </xf>
    <xf numFmtId="0" fontId="4" fillId="10" borderId="1" applyAlignment="1" pivotButton="0" quotePrefix="0" xfId="0">
      <alignment horizontal="left" vertical="center"/>
    </xf>
    <xf numFmtId="0" fontId="4" fillId="10" borderId="1" applyAlignment="1" pivotButton="0" quotePrefix="0" xfId="0">
      <alignment horizontal="center" vertical="center"/>
    </xf>
    <xf numFmtId="164" fontId="4" fillId="10" borderId="1" applyAlignment="1" pivotButton="0" quotePrefix="0" xfId="0">
      <alignment horizontal="center" vertical="center"/>
    </xf>
    <xf numFmtId="0" fontId="0" fillId="0" borderId="4" pivotButton="0" quotePrefix="0" xfId="0"/>
    <xf numFmtId="0" fontId="0" fillId="0" borderId="5" pivotButton="0" quotePrefix="0" xfId="0"/>
    <xf numFmtId="0" fontId="9" fillId="0" borderId="1" applyAlignment="1" pivotButton="0" quotePrefix="0" xfId="0">
      <alignment horizontal="left" vertical="center"/>
    </xf>
    <xf numFmtId="0" fontId="14" fillId="13" borderId="0" applyAlignment="1" pivotButton="0" quotePrefix="0" xfId="0">
      <alignment horizontal="left" vertical="center"/>
    </xf>
    <xf numFmtId="0" fontId="9" fillId="12" borderId="1" applyAlignment="1" pivotButton="0" quotePrefix="0" xfId="0">
      <alignment horizontal="center" vertical="center"/>
    </xf>
    <xf numFmtId="0" fontId="0" fillId="12" borderId="1" applyAlignment="1" pivotButton="0" quotePrefix="0" xfId="0">
      <alignment horizontal="left" vertical="center"/>
    </xf>
    <xf numFmtId="0" fontId="13" fillId="0" borderId="1" applyAlignment="1" pivotButton="0" quotePrefix="0" xfId="0">
      <alignment horizontal="center" vertical="center"/>
    </xf>
    <xf numFmtId="0" fontId="14" fillId="9" borderId="1" pivotButton="0" quotePrefix="0" xfId="0"/>
    <xf numFmtId="164" fontId="0" fillId="0" borderId="1" pivotButton="0" quotePrefix="0" xfId="0"/>
    <xf numFmtId="0" fontId="14"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ISMS-IMP-A.8.12.4  -  Monitoring &amp; Response Assessment
ISO/IEC 27001:2022 - Control A.8.12: Data Leakage Prevention</t>
        </is>
      </c>
    </row>
    <row r="3">
      <c r="A3" s="2" t="inlineStr">
        <is>
          <t>Document Information</t>
        </is>
      </c>
    </row>
    <row r="4">
      <c r="A4" s="3" t="inlineStr">
        <is>
          <t>Document ID</t>
        </is>
      </c>
      <c r="B4" t="inlineStr">
        <is>
          <t>ISMS-IMP-A.8.12.4</t>
        </is>
      </c>
    </row>
    <row r="5">
      <c r="A5" s="3" t="inlineStr">
        <is>
          <t>Workbook Title</t>
        </is>
      </c>
      <c r="B5" t="inlineStr">
        <is>
          <t>Monitoring &amp; Response Assessment</t>
        </is>
      </c>
    </row>
    <row r="6">
      <c r="A6" s="3" t="inlineStr">
        <is>
          <t>Control Reference</t>
        </is>
      </c>
      <c r="B6" t="inlineStr">
        <is>
          <t>ISO/IEC 27001:2022 - Control A.8.12: Data Leakage Prevention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Logging Configuration first — this is the foundational data layer.</t>
        </is>
      </c>
    </row>
    <row r="14">
      <c r="A14" t="inlineStr">
        <is>
          <t>2. Document all Alert Rules in the Inventory (what alerts exist, thresholds, actions).</t>
        </is>
      </c>
    </row>
    <row r="15">
      <c r="A15" t="inlineStr">
        <is>
          <t>3. Track Alert Volume Metrics (daily/weekly/monthly statistics by severity and channel).</t>
        </is>
      </c>
    </row>
    <row r="16">
      <c r="A16" t="inlineStr">
        <is>
          <t>4. Verify SIEM Integration (log forwarding, correlation rules, use cases).</t>
        </is>
      </c>
    </row>
    <row r="17">
      <c r="A17" t="inlineStr">
        <is>
          <t>5. Measure False Positive rates and document tuning procedures.</t>
        </is>
      </c>
    </row>
    <row r="18">
      <c r="A18" t="inlineStr">
        <is>
          <t>6. Document the Incident Response Workflow (triage, containment, SLA compliance).</t>
        </is>
      </c>
    </row>
    <row r="19">
      <c r="A19" t="inlineStr">
        <is>
          <t>7. Assess SOC Integration (alert workflow, escalation, staffing adequacy).</t>
        </is>
      </c>
    </row>
    <row r="20">
      <c r="A20" t="inlineStr">
        <is>
          <t>8. Verify Dashboards and Reporting capabilities (executive, operational, compliance).</t>
        </is>
      </c>
    </row>
    <row r="21">
      <c r="A21" t="inlineStr">
        <is>
          <t>9. Identify gaps and create remediation plans in the Gap Analysis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DLP LOGGING CONFIGURATION ASSESSMENT</t>
        </is>
      </c>
    </row>
    <row r="2">
      <c r="A2" s="12" t="inlineStr">
        <is>
          <t>Assess DLP logging requirements per channel (25 criteria)</t>
        </is>
      </c>
    </row>
    <row r="4">
      <c r="A4" s="13" t="inlineStr">
        <is>
          <t>#</t>
        </is>
      </c>
      <c r="B4" s="13" t="inlineStr">
        <is>
          <t>Requirement</t>
        </is>
      </c>
      <c r="C4" s="13" t="inlineStr">
        <is>
          <t>Compliance</t>
        </is>
      </c>
      <c r="D4" s="13" t="inlineStr">
        <is>
          <t>Evidence ID</t>
        </is>
      </c>
      <c r="E4" s="13" t="inlineStr">
        <is>
          <t>Notes</t>
        </is>
      </c>
    </row>
    <row r="5">
      <c r="A5" s="14" t="n">
        <v>1</v>
      </c>
      <c r="B5" s="14" t="inlineStr">
        <is>
          <t>Are all DLP channels configured to log events?</t>
        </is>
      </c>
      <c r="C5" s="14" t="inlineStr">
        <is>
          <t>Yes</t>
        </is>
      </c>
      <c r="D5" s="14" t="inlineStr">
        <is>
          <t>A812-4-LOG-001</t>
        </is>
      </c>
      <c r="E5" s="14" t="inlineStr">
        <is>
          <t>All channels logging to Splunk</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2">
    <mergeCell ref="A2:E2"/>
    <mergeCell ref="A1:E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20" customWidth="1" min="1" max="1"/>
    <col width="30" customWidth="1" min="2" max="2"/>
    <col width="20" customWidth="1" min="3" max="3"/>
    <col width="20" customWidth="1" min="4" max="4"/>
    <col width="20" customWidth="1" min="5" max="5"/>
    <col width="20" customWidth="1" min="6" max="6"/>
    <col width="20" customWidth="1" min="7" max="7"/>
    <col width="12" customWidth="1" min="8" max="8"/>
    <col width="20" customWidth="1" min="9" max="9"/>
    <col width="12" customWidth="1" min="10" max="10"/>
    <col width="20" customWidth="1" min="11" max="11"/>
    <col width="20" customWidth="1" min="12" max="12"/>
    <col width="20" customWidth="1" min="13" max="13"/>
  </cols>
  <sheetData>
    <row r="1" ht="35" customHeight="1">
      <c r="A1" s="11" t="inlineStr">
        <is>
          <t>DLP ALERT RULES INVENTORY</t>
        </is>
      </c>
    </row>
    <row r="2">
      <c r="A2" s="12" t="inlineStr">
        <is>
          <t>Complete inventory of all configured DLP alert rules (30 rows)</t>
        </is>
      </c>
    </row>
    <row r="4">
      <c r="A4" s="13" t="inlineStr">
        <is>
          <t>Alert Rule ID</t>
        </is>
      </c>
      <c r="B4" s="13" t="inlineStr">
        <is>
          <t>Rule Name</t>
        </is>
      </c>
      <c r="C4" s="13" t="inlineStr">
        <is>
          <t>Channel</t>
        </is>
      </c>
      <c r="D4" s="13" t="inlineStr">
        <is>
          <t>Severity</t>
        </is>
      </c>
      <c r="E4" s="13" t="inlineStr">
        <is>
          <t>Detection Method</t>
        </is>
      </c>
      <c r="F4" s="13" t="inlineStr">
        <is>
          <t>Policy Action</t>
        </is>
      </c>
      <c r="G4" s="13" t="inlineStr">
        <is>
          <t>Alert Destination</t>
        </is>
      </c>
      <c r="H4" s="13" t="inlineStr">
        <is>
          <t>Response SLA</t>
        </is>
      </c>
      <c r="I4" s="13" t="inlineStr">
        <is>
          <t>Last Tuned Date</t>
        </is>
      </c>
      <c r="J4" s="13" t="inlineStr">
        <is>
          <t>FP Rate %</t>
        </is>
      </c>
      <c r="K4" s="13" t="inlineStr">
        <is>
          <t>Alert Volume (30d)</t>
        </is>
      </c>
      <c r="L4" s="13" t="inlineStr">
        <is>
          <t>Rule Status</t>
        </is>
      </c>
      <c r="M4" s="13" t="inlineStr">
        <is>
          <t>Evidence ID</t>
        </is>
      </c>
    </row>
    <row r="5">
      <c r="A5" s="14" t="inlineStr">
        <is>
          <t>ALT-001</t>
        </is>
      </c>
      <c r="B5" s="14" t="inlineStr">
        <is>
          <t>Credentials Detected - Email</t>
        </is>
      </c>
      <c r="C5" s="14" t="inlineStr">
        <is>
          <t>Email</t>
        </is>
      </c>
      <c r="D5" s="14" t="inlineStr">
        <is>
          <t>Critical</t>
        </is>
      </c>
      <c r="E5" s="14" t="inlineStr">
        <is>
          <t>Pattern</t>
        </is>
      </c>
      <c r="F5" s="14" t="inlineStr">
        <is>
          <t>Block</t>
        </is>
      </c>
      <c r="G5" s="14" t="inlineStr">
        <is>
          <t>SIEM</t>
        </is>
      </c>
      <c r="H5" s="14" t="inlineStr">
        <is>
          <t>15min</t>
        </is>
      </c>
      <c r="I5" s="14" t="inlineStr">
        <is>
          <t>2025-01-01</t>
        </is>
      </c>
      <c r="J5" s="14" t="n">
        <v>2.1</v>
      </c>
      <c r="K5" s="14" t="n">
        <v>45</v>
      </c>
      <c r="L5" s="14" t="inlineStr">
        <is>
          <t>Active</t>
        </is>
      </c>
      <c r="M5" s="14" t="inlineStr">
        <is>
          <t>A812-4-ALT-001</t>
        </is>
      </c>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row r="55">
      <c r="A55" s="15" t="n"/>
      <c r="B55" s="15" t="n"/>
      <c r="C55" s="15" t="n"/>
      <c r="D55" s="15" t="n"/>
      <c r="E55" s="15" t="n"/>
      <c r="F55" s="15" t="n"/>
      <c r="G55" s="15" t="n"/>
      <c r="H55" s="15" t="n"/>
      <c r="I55" s="15" t="n"/>
      <c r="J55" s="15" t="n"/>
      <c r="K55" s="15" t="n"/>
      <c r="L55" s="15" t="n"/>
      <c r="M55" s="15" t="n"/>
    </row>
  </sheetData>
  <mergeCells count="2">
    <mergeCell ref="A2:M2"/>
    <mergeCell ref="A1:M1"/>
  </mergeCells>
  <dataValidations count="7">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"Critical,High,Medium,Low,Informational"</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"Email,Web,Endpoint,Network,Application,Mobile"</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"Pattern,Keyword,Fingerprint,Contextual,ML"</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"Allow,Alert,Block,Quarantine,Encrypt"</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"SIEM,Email,SMS,Ticketing,Dashboard"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"15min,1hr,4hr,24hr,No SLA"</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0" type="list">
      <formula1>"Active,Disabled,Testing,Deprecated"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30" customWidth="1" min="8" max="8"/>
  </cols>
  <sheetData>
    <row r="1" ht="35" customHeight="1">
      <c r="A1" s="11" t="inlineStr">
        <is>
          <t>DLP ALERT VOLUME METRICS</t>
        </is>
      </c>
    </row>
    <row r="2">
      <c r="A2" s="12" t="inlineStr">
        <is>
          <t>Track alert volume by severity and channel (Last 30 Days)</t>
        </is>
      </c>
    </row>
    <row r="4">
      <c r="A4" s="12" t="inlineStr">
        <is>
          <t>ALERT VOLUME BY SEVERITY (Last 30 Days)</t>
        </is>
      </c>
    </row>
    <row r="5">
      <c r="A5" s="13" t="inlineStr">
        <is>
          <t>Severity</t>
        </is>
      </c>
      <c r="B5" s="13" t="inlineStr">
        <is>
          <t>Total Alerts</t>
        </is>
      </c>
      <c r="C5" s="13" t="inlineStr">
        <is>
          <t>Avg per Day</t>
        </is>
      </c>
      <c r="D5" s="13" t="inlineStr">
        <is>
          <t>Blocked</t>
        </is>
      </c>
      <c r="E5" s="13" t="inlineStr">
        <is>
          <t>Alerted</t>
        </is>
      </c>
      <c r="F5" s="13" t="inlineStr">
        <is>
          <t>False Positives</t>
        </is>
      </c>
      <c r="G5" s="13" t="inlineStr">
        <is>
          <t>FP Rate %</t>
        </is>
      </c>
    </row>
    <row r="6">
      <c r="A6" t="inlineStr">
        <is>
          <t>Critical</t>
        </is>
      </c>
      <c r="B6" s="15" t="n"/>
      <c r="C6" s="15" t="n"/>
      <c r="D6" s="15" t="n"/>
      <c r="E6" s="15" t="n"/>
      <c r="F6" s="15" t="n"/>
      <c r="G6">
        <f>IF(B6&gt;0,F6/B6*100,0)</f>
        <v/>
      </c>
    </row>
    <row r="7">
      <c r="A7" t="inlineStr">
        <is>
          <t>High</t>
        </is>
      </c>
      <c r="B7" s="15" t="n"/>
      <c r="C7" s="15" t="n"/>
      <c r="D7" s="15" t="n"/>
      <c r="E7" s="15" t="n"/>
      <c r="F7" s="15" t="n"/>
      <c r="G7">
        <f>IF(B7&gt;0,F7/B7*100,0)</f>
        <v/>
      </c>
    </row>
    <row r="8">
      <c r="A8" t="inlineStr">
        <is>
          <t>Medium</t>
        </is>
      </c>
      <c r="B8" s="15" t="n"/>
      <c r="C8" s="15" t="n"/>
      <c r="D8" s="15" t="n"/>
      <c r="E8" s="15" t="n"/>
      <c r="F8" s="15" t="n"/>
      <c r="G8">
        <f>IF(B8&gt;0,F8/B8*100,0)</f>
        <v/>
      </c>
    </row>
    <row r="9">
      <c r="A9" t="inlineStr">
        <is>
          <t>Low</t>
        </is>
      </c>
      <c r="B9" s="15" t="n"/>
      <c r="C9" s="15" t="n"/>
      <c r="D9" s="15" t="n"/>
      <c r="E9" s="15" t="n"/>
      <c r="F9" s="15" t="n"/>
      <c r="G9">
        <f>IF(B9&gt;0,F9/B9*100,0)</f>
        <v/>
      </c>
    </row>
    <row r="10">
      <c r="A10" t="inlineStr">
        <is>
          <t>Informational</t>
        </is>
      </c>
      <c r="B10" s="15" t="n"/>
      <c r="C10" s="15" t="n"/>
      <c r="D10" s="15" t="n"/>
      <c r="E10" s="15" t="n"/>
      <c r="F10" s="15" t="n"/>
      <c r="G10">
        <f>IF(B10&gt;0,F10/B10*100,0)</f>
        <v/>
      </c>
    </row>
    <row r="11">
      <c r="A11" s="16" t="inlineStr">
        <is>
          <t>TOTAL</t>
        </is>
      </c>
      <c r="B11">
        <f>SUM(B6:B10)</f>
        <v/>
      </c>
      <c r="C11">
        <f>B11/30</f>
        <v/>
      </c>
      <c r="D11">
        <f>SUM(D6:D10)</f>
        <v/>
      </c>
      <c r="E11">
        <f>SUM(E6:E10)</f>
        <v/>
      </c>
      <c r="F11">
        <f>SUM(F6:F10)</f>
        <v/>
      </c>
      <c r="G11">
        <f>IF(B11&gt;0,F11/B11*100,0)</f>
        <v/>
      </c>
    </row>
    <row r="13">
      <c r="A13" s="12" t="inlineStr">
        <is>
          <t>ALERT VOLUME BY CHANNEL (Last 30 Days)</t>
        </is>
      </c>
    </row>
    <row r="14">
      <c r="A14" s="13" t="inlineStr">
        <is>
          <t>Channel</t>
        </is>
      </c>
      <c r="B14" s="13" t="inlineStr">
        <is>
          <t>Total Alerts</t>
        </is>
      </c>
      <c r="C14" s="13" t="inlineStr">
        <is>
          <t>Blocked</t>
        </is>
      </c>
      <c r="D14" s="13" t="inlineStr">
        <is>
          <t>Alerted</t>
        </is>
      </c>
      <c r="E14" s="13" t="inlineStr">
        <is>
          <t>FP Rate %</t>
        </is>
      </c>
      <c r="F14" s="13" t="inlineStr">
        <is>
          <t>Top Rule Name</t>
        </is>
      </c>
    </row>
    <row r="15">
      <c r="A15" t="inlineStr">
        <is>
          <t>Email</t>
        </is>
      </c>
      <c r="B15" s="15" t="n"/>
      <c r="C15" s="15" t="n"/>
      <c r="D15" s="15" t="n"/>
      <c r="E15" s="15" t="n"/>
      <c r="F15" s="15" t="n"/>
    </row>
    <row r="16">
      <c r="A16" t="inlineStr">
        <is>
          <t>Web</t>
        </is>
      </c>
      <c r="B16" s="15" t="n"/>
      <c r="C16" s="15" t="n"/>
      <c r="D16" s="15" t="n"/>
      <c r="E16" s="15" t="n"/>
      <c r="F16" s="15" t="n"/>
    </row>
    <row r="17">
      <c r="A17" t="inlineStr">
        <is>
          <t>Endpoint</t>
        </is>
      </c>
      <c r="B17" s="15" t="n"/>
      <c r="C17" s="15" t="n"/>
      <c r="D17" s="15" t="n"/>
      <c r="E17" s="15" t="n"/>
      <c r="F17" s="15" t="n"/>
    </row>
    <row r="18">
      <c r="A18" t="inlineStr">
        <is>
          <t>Network</t>
        </is>
      </c>
      <c r="B18" s="15" t="n"/>
      <c r="C18" s="15" t="n"/>
      <c r="D18" s="15" t="n"/>
      <c r="E18" s="15" t="n"/>
      <c r="F18" s="15" t="n"/>
    </row>
    <row r="19">
      <c r="A19" t="inlineStr">
        <is>
          <t>Application</t>
        </is>
      </c>
      <c r="B19" s="15" t="n"/>
      <c r="C19" s="15" t="n"/>
      <c r="D19" s="15" t="n"/>
      <c r="E19" s="15" t="n"/>
      <c r="F19" s="15" t="n"/>
    </row>
    <row r="20">
      <c r="A20" t="inlineStr">
        <is>
          <t>Mobile</t>
        </is>
      </c>
      <c r="B20" s="15" t="n"/>
      <c r="C20" s="15" t="n"/>
      <c r="D20" s="15" t="n"/>
      <c r="E20" s="15" t="n"/>
      <c r="F20" s="15" t="n"/>
    </row>
    <row r="22">
      <c r="A22" s="12" t="inlineStr">
        <is>
          <t>ALERT TREND ANALYSIS (Weekly)</t>
        </is>
      </c>
    </row>
    <row r="23">
      <c r="A23" s="13" t="inlineStr">
        <is>
          <t>Week</t>
        </is>
      </c>
      <c r="B23" s="13" t="inlineStr">
        <is>
          <t>Critical</t>
        </is>
      </c>
      <c r="C23" s="13" t="inlineStr">
        <is>
          <t>High</t>
        </is>
      </c>
      <c r="D23" s="13" t="inlineStr">
        <is>
          <t>Medium</t>
        </is>
      </c>
      <c r="E23" s="13" t="inlineStr">
        <is>
          <t>Low</t>
        </is>
      </c>
      <c r="F23" s="13" t="inlineStr">
        <is>
          <t>Total</t>
        </is>
      </c>
      <c r="G23" s="13" t="inlineStr">
        <is>
          <t>FP Rate %</t>
        </is>
      </c>
      <c r="H23" s="13" t="inlineStr">
        <is>
          <t>Notes</t>
        </is>
      </c>
    </row>
    <row r="24">
      <c r="A24" t="inlineStr">
        <is>
          <t>Week 1 (Dec 2-8)</t>
        </is>
      </c>
      <c r="B24" s="15" t="n"/>
      <c r="C24" s="15" t="n"/>
      <c r="D24" s="15" t="n"/>
      <c r="E24" s="15" t="n"/>
      <c r="F24">
        <f>SUM(B24:E24)</f>
        <v/>
      </c>
      <c r="G24" s="15" t="n"/>
      <c r="H24" s="15" t="n"/>
    </row>
    <row r="25">
      <c r="A25" t="inlineStr">
        <is>
          <t>Week 2 (Dec 9-15)</t>
        </is>
      </c>
      <c r="B25" s="15" t="n"/>
      <c r="C25" s="15" t="n"/>
      <c r="D25" s="15" t="n"/>
      <c r="E25" s="15" t="n"/>
      <c r="F25">
        <f>SUM(B25:E25)</f>
        <v/>
      </c>
      <c r="G25" s="15" t="n"/>
      <c r="H25" s="15" t="n"/>
    </row>
    <row r="26">
      <c r="A26" t="inlineStr">
        <is>
          <t>Week 3 (Dec 16-22)</t>
        </is>
      </c>
      <c r="B26" s="15" t="n"/>
      <c r="C26" s="15" t="n"/>
      <c r="D26" s="15" t="n"/>
      <c r="E26" s="15" t="n"/>
      <c r="F26">
        <f>SUM(B26:E26)</f>
        <v/>
      </c>
      <c r="G26" s="15" t="n"/>
      <c r="H26" s="15" t="n"/>
    </row>
    <row r="27">
      <c r="A27" t="inlineStr">
        <is>
          <t>Week 4 (Dec 23-29)</t>
        </is>
      </c>
      <c r="B27" s="15" t="n"/>
      <c r="C27" s="15" t="n"/>
      <c r="D27" s="15" t="n"/>
      <c r="E27" s="15" t="n"/>
      <c r="F27">
        <f>SUM(B27:E27)</f>
        <v/>
      </c>
      <c r="G27" s="15" t="n"/>
      <c r="H27" s="15" t="n"/>
    </row>
  </sheetData>
  <mergeCells count="5">
    <mergeCell ref="A1:G1"/>
    <mergeCell ref="A13:F13"/>
    <mergeCell ref="A4:G4"/>
    <mergeCell ref="A2:G2"/>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SIEM INTEGRATION ASSESSMENT</t>
        </is>
      </c>
    </row>
    <row r="2">
      <c r="A2" s="12" t="inlineStr">
        <is>
          <t>Assess SIEM integration, log forwarding, and correlation rules (25 criteria)</t>
        </is>
      </c>
    </row>
    <row r="4">
      <c r="A4" s="13" t="inlineStr">
        <is>
          <t>#</t>
        </is>
      </c>
      <c r="B4" s="13" t="inlineStr">
        <is>
          <t>Requirement</t>
        </is>
      </c>
      <c r="C4" s="13" t="inlineStr">
        <is>
          <t>Compliance</t>
        </is>
      </c>
      <c r="D4" s="13" t="inlineStr">
        <is>
          <t>Evidence ID</t>
        </is>
      </c>
      <c r="E4" s="13" t="inlineStr">
        <is>
          <t>Notes</t>
        </is>
      </c>
    </row>
    <row r="5">
      <c r="A5" s="14" t="n">
        <v>1</v>
      </c>
      <c r="B5" s="14" t="inlineStr">
        <is>
          <t>Are DLP logs forwarded to organisational SIEM?</t>
        </is>
      </c>
      <c r="C5" s="14" t="inlineStr">
        <is>
          <t>Yes</t>
        </is>
      </c>
      <c r="D5" s="14" t="inlineStr">
        <is>
          <t>A812-4-SIEM-001</t>
        </is>
      </c>
      <c r="E5" s="14" t="inlineStr">
        <is>
          <t>Forwarding to Splunk via TLS</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2">
    <mergeCell ref="A2:E2"/>
    <mergeCell ref="A1:E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8"/>
  <sheetViews>
    <sheetView showGridLines="0" workbookViewId="0">
      <pane ySplit="4" topLeftCell="A5" activePane="bottomLeft" state="frozen"/>
      <selection pane="bottomLeft" activeCell="A1" sqref="A1"/>
    </sheetView>
  </sheetViews>
  <sheetFormatPr baseColWidth="8" defaultRowHeight="15"/>
  <cols>
    <col width="20" customWidth="1" min="1" max="1"/>
    <col width="40" customWidth="1" min="2" max="2"/>
    <col width="20" customWidth="1" min="3" max="3"/>
    <col width="20" customWidth="1" min="4" max="4"/>
    <col width="20" customWidth="1" min="5" max="5"/>
  </cols>
  <sheetData>
    <row r="1" ht="35" customHeight="1">
      <c r="A1" s="11" t="inlineStr">
        <is>
          <t>FALSE POSITIVE MANAGEMENT ASSESSMENT</t>
        </is>
      </c>
    </row>
    <row r="2">
      <c r="A2" s="12" t="inlineStr">
        <is>
          <t>Assess false positive tracking, tuning, and management (20 criteria + FP rate table)</t>
        </is>
      </c>
    </row>
    <row r="4">
      <c r="A4" s="13" t="inlineStr">
        <is>
          <t>#</t>
        </is>
      </c>
      <c r="B4" s="13" t="inlineStr">
        <is>
          <t>Requirement</t>
        </is>
      </c>
      <c r="C4" s="13" t="inlineStr">
        <is>
          <t>Compliance</t>
        </is>
      </c>
      <c r="D4" s="13" t="inlineStr">
        <is>
          <t>Evidence ID</t>
        </is>
      </c>
      <c r="E4" s="13" t="inlineStr">
        <is>
          <t>Notes</t>
        </is>
      </c>
    </row>
    <row r="5">
      <c r="A5" s="14" t="n">
        <v>1</v>
      </c>
      <c r="B5" s="14" t="inlineStr">
        <is>
          <t>Is false positive rate measured per alert rule?</t>
        </is>
      </c>
      <c r="C5" s="14" t="inlineStr">
        <is>
          <t>Yes</t>
        </is>
      </c>
      <c r="D5" s="14" t="inlineStr">
        <is>
          <t>A812-4-FP-001</t>
        </is>
      </c>
      <c r="E5" s="14" t="inlineStr">
        <is>
          <t>FP rate tracked per rule in dashboard</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row r="57">
      <c r="A57" s="12" t="inlineStr">
        <is>
          <t>FALSE POSITIVE RATE BY ALERT RULE (Top 10 Rules)</t>
        </is>
      </c>
    </row>
    <row r="58">
      <c r="A58" s="13" t="inlineStr">
        <is>
          <t>Alert Rule ID</t>
        </is>
      </c>
      <c r="B58" s="13" t="inlineStr">
        <is>
          <t>Rule Name</t>
        </is>
      </c>
      <c r="C58" s="13" t="inlineStr">
        <is>
          <t>Total Alerts (30d)</t>
        </is>
      </c>
      <c r="D58" s="13" t="inlineStr">
        <is>
          <t>False Positives</t>
        </is>
      </c>
      <c r="E58" s="13" t="inlineStr">
        <is>
          <t>FP Rate %</t>
        </is>
      </c>
      <c r="F58" s="13" t="inlineStr">
        <is>
          <t>Target FP %</t>
        </is>
      </c>
      <c r="G58" s="13" t="inlineStr">
        <is>
          <t>Status</t>
        </is>
      </c>
    </row>
    <row r="59">
      <c r="A59" s="14" t="inlineStr">
        <is>
          <t>ALT-001</t>
        </is>
      </c>
      <c r="B59" s="14" t="inlineStr">
        <is>
          <t>Credentials - Email</t>
        </is>
      </c>
      <c r="C59" s="14" t="n">
        <v>45</v>
      </c>
      <c r="D59" s="14" t="n">
        <v>1</v>
      </c>
      <c r="E59" s="14">
        <f>D59/C59</f>
        <v/>
      </c>
      <c r="F59" s="14" t="inlineStr">
        <is>
          <t>5%</t>
        </is>
      </c>
      <c r="G59" s="14" t="inlineStr">
        <is>
          <t>✅ On Target</t>
        </is>
      </c>
    </row>
    <row r="60">
      <c r="A60" s="14" t="inlineStr">
        <is>
          <t>ALT-002</t>
        </is>
      </c>
      <c r="B60" s="14" t="inlineStr">
        <is>
          <t>PII to External</t>
        </is>
      </c>
      <c r="C60" s="14" t="n">
        <v>230</v>
      </c>
      <c r="D60" s="14" t="n">
        <v>20</v>
      </c>
      <c r="E60" s="14">
        <f>D60/C60</f>
        <v/>
      </c>
      <c r="F60" s="14" t="inlineStr">
        <is>
          <t>10%</t>
        </is>
      </c>
      <c r="G60" s="14" t="inlineStr">
        <is>
          <t>✅ On Target</t>
        </is>
      </c>
    </row>
    <row r="61">
      <c r="A61" s="14" t="inlineStr">
        <is>
          <t>ALT-003</t>
        </is>
      </c>
      <c r="B61" s="14" t="inlineStr">
        <is>
          <t>Source Code GitHub</t>
        </is>
      </c>
      <c r="C61" s="14" t="n">
        <v>12</v>
      </c>
      <c r="D61" s="14" t="n">
        <v>0</v>
      </c>
      <c r="E61" s="14">
        <f>D61/C61</f>
        <v/>
      </c>
      <c r="F61" s="14" t="inlineStr">
        <is>
          <t>5%</t>
        </is>
      </c>
      <c r="G61" s="14" t="inlineStr">
        <is>
          <t>✅ On Target</t>
        </is>
      </c>
    </row>
    <row r="62">
      <c r="A62" s="15" t="n"/>
      <c r="B62" s="15" t="n"/>
      <c r="C62" s="15" t="n"/>
      <c r="D62" s="15" t="n"/>
      <c r="E62">
        <f>IF(C62&gt;0,D62/C62*100,0)</f>
        <v/>
      </c>
      <c r="F62" s="15" t="n"/>
      <c r="G62" s="15" t="n"/>
    </row>
    <row r="63">
      <c r="A63" s="15" t="n"/>
      <c r="B63" s="15" t="n"/>
      <c r="C63" s="15" t="n"/>
      <c r="D63" s="15" t="n"/>
      <c r="E63">
        <f>IF(C63&gt;0,D63/C63*100,0)</f>
        <v/>
      </c>
      <c r="F63" s="15" t="n"/>
      <c r="G63" s="15" t="n"/>
    </row>
    <row r="64">
      <c r="A64" s="15" t="n"/>
      <c r="B64" s="15" t="n"/>
      <c r="C64" s="15" t="n"/>
      <c r="D64" s="15" t="n"/>
      <c r="E64">
        <f>IF(C64&gt;0,D64/C64*100,0)</f>
        <v/>
      </c>
      <c r="F64" s="15" t="n"/>
      <c r="G64" s="15" t="n"/>
    </row>
    <row r="65">
      <c r="A65" s="15" t="n"/>
      <c r="B65" s="15" t="n"/>
      <c r="C65" s="15" t="n"/>
      <c r="D65" s="15" t="n"/>
      <c r="E65">
        <f>IF(C65&gt;0,D65/C65*100,0)</f>
        <v/>
      </c>
      <c r="F65" s="15" t="n"/>
      <c r="G65" s="15" t="n"/>
    </row>
    <row r="66">
      <c r="A66" s="15" t="n"/>
      <c r="B66" s="15" t="n"/>
      <c r="C66" s="15" t="n"/>
      <c r="D66" s="15" t="n"/>
      <c r="E66">
        <f>IF(C66&gt;0,D66/C66*100,0)</f>
        <v/>
      </c>
      <c r="F66" s="15" t="n"/>
      <c r="G66" s="15" t="n"/>
    </row>
    <row r="67">
      <c r="A67" s="15" t="n"/>
      <c r="B67" s="15" t="n"/>
      <c r="C67" s="15" t="n"/>
      <c r="D67" s="15" t="n"/>
      <c r="E67">
        <f>IF(C67&gt;0,D67/C67*100,0)</f>
        <v/>
      </c>
      <c r="F67" s="15" t="n"/>
      <c r="G67" s="15" t="n"/>
    </row>
    <row r="68">
      <c r="A68" s="15" t="n"/>
      <c r="B68" s="15" t="n"/>
      <c r="C68" s="15" t="n"/>
      <c r="D68" s="15" t="n"/>
      <c r="E68">
        <f>IF(C68&gt;0,D68/C68*100,0)</f>
        <v/>
      </c>
      <c r="F68" s="15" t="n"/>
      <c r="G68" s="15" t="n"/>
    </row>
  </sheetData>
  <mergeCells count="3">
    <mergeCell ref="A2:E2"/>
    <mergeCell ref="A1:E1"/>
    <mergeCell ref="A57:G57"/>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2"/>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INCIDENT RESPONSE WORKFLOW ASSESSMENT</t>
        </is>
      </c>
    </row>
    <row r="2">
      <c r="A2" s="12" t="inlineStr">
        <is>
          <t>Assess incident response procedures and SLA compliance (25 criteria + SLA tracking)</t>
        </is>
      </c>
    </row>
    <row r="4">
      <c r="A4" s="13" t="inlineStr">
        <is>
          <t>#</t>
        </is>
      </c>
      <c r="B4" s="13" t="inlineStr">
        <is>
          <t>Requirement</t>
        </is>
      </c>
      <c r="C4" s="13" t="inlineStr">
        <is>
          <t>Compliance</t>
        </is>
      </c>
      <c r="D4" s="13" t="inlineStr">
        <is>
          <t>Evidence ID</t>
        </is>
      </c>
      <c r="E4" s="13" t="inlineStr">
        <is>
          <t>Notes</t>
        </is>
      </c>
    </row>
    <row r="5">
      <c r="A5" s="14" t="n">
        <v>1</v>
      </c>
      <c r="B5" s="14" t="inlineStr">
        <is>
          <t>Are DLP alerts integrated with incident response workflow?</t>
        </is>
      </c>
      <c r="C5" s="14" t="inlineStr">
        <is>
          <t>Yes</t>
        </is>
      </c>
      <c r="D5" s="14" t="inlineStr">
        <is>
          <t>A812-4-IR-001</t>
        </is>
      </c>
      <c r="E5" s="14" t="inlineStr">
        <is>
          <t>ServiceNow integration complete</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row r="57">
      <c r="A57" s="12" t="inlineStr">
        <is>
          <t>SLA COMPLIANCE TRACKING (Last 30 Days)</t>
        </is>
      </c>
    </row>
    <row r="58">
      <c r="A58" s="13" t="inlineStr">
        <is>
          <t>Severity</t>
        </is>
      </c>
      <c r="B58" s="13" t="inlineStr">
        <is>
          <t>SLA Target</t>
        </is>
      </c>
      <c r="C58" s="13" t="inlineStr">
        <is>
          <t>Incidents (30d)</t>
        </is>
      </c>
      <c r="D58" s="13" t="inlineStr">
        <is>
          <t>Within SLA</t>
        </is>
      </c>
      <c r="E58" s="13" t="inlineStr">
        <is>
          <t>SLA Compliance %</t>
        </is>
      </c>
    </row>
    <row r="59">
      <c r="A59" t="inlineStr">
        <is>
          <t>Critical</t>
        </is>
      </c>
      <c r="B59" t="inlineStr">
        <is>
          <t>15 minutes</t>
        </is>
      </c>
      <c r="C59" s="15" t="n">
        <v>8</v>
      </c>
      <c r="D59" s="15" t="n">
        <v>7</v>
      </c>
      <c r="E59">
        <f>D59/C59*100</f>
        <v/>
      </c>
    </row>
    <row r="60">
      <c r="A60" t="inlineStr">
        <is>
          <t>High</t>
        </is>
      </c>
      <c r="B60" t="inlineStr">
        <is>
          <t>1 hour</t>
        </is>
      </c>
      <c r="C60" s="15" t="n">
        <v>35</v>
      </c>
      <c r="D60" s="15" t="n">
        <v>32</v>
      </c>
      <c r="E60">
        <f>D60/C60*100</f>
        <v/>
      </c>
    </row>
    <row r="61">
      <c r="A61" t="inlineStr">
        <is>
          <t>Medium</t>
        </is>
      </c>
      <c r="B61" t="inlineStr">
        <is>
          <t>4 hours</t>
        </is>
      </c>
      <c r="C61" s="15" t="n">
        <v>120</v>
      </c>
      <c r="D61" s="15" t="n">
        <v>115</v>
      </c>
      <c r="E61">
        <f>D61/C61*100</f>
        <v/>
      </c>
    </row>
    <row r="62">
      <c r="A62" t="inlineStr">
        <is>
          <t>Low</t>
        </is>
      </c>
      <c r="B62" t="inlineStr">
        <is>
          <t>24 hours</t>
        </is>
      </c>
      <c r="C62" s="15" t="n">
        <v>450</v>
      </c>
      <c r="D62" s="15" t="n">
        <v>448</v>
      </c>
      <c r="E62">
        <f>D62/C62*100</f>
        <v/>
      </c>
    </row>
  </sheetData>
  <mergeCells count="3">
    <mergeCell ref="A2:E2"/>
    <mergeCell ref="A1:E1"/>
    <mergeCell ref="A57:E57"/>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SOC INTEGRATION ASSESSMENT</t>
        </is>
      </c>
    </row>
    <row r="2">
      <c r="A2" s="12" t="inlineStr">
        <is>
          <t>Assess SOC alert workflow, escalation, and staffing (20 criteria)</t>
        </is>
      </c>
    </row>
    <row r="4">
      <c r="A4" s="13" t="inlineStr">
        <is>
          <t>#</t>
        </is>
      </c>
      <c r="B4" s="13" t="inlineStr">
        <is>
          <t>Requirement</t>
        </is>
      </c>
      <c r="C4" s="13" t="inlineStr">
        <is>
          <t>Compliance</t>
        </is>
      </c>
      <c r="D4" s="13" t="inlineStr">
        <is>
          <t>Evidence ID</t>
        </is>
      </c>
      <c r="E4" s="13" t="inlineStr">
        <is>
          <t>Notes</t>
        </is>
      </c>
    </row>
    <row r="5">
      <c r="A5" s="14" t="n">
        <v>1</v>
      </c>
      <c r="B5" s="14" t="inlineStr">
        <is>
          <t>Are DLP alerts integrated with SOC workflow?</t>
        </is>
      </c>
      <c r="C5" s="14" t="inlineStr">
        <is>
          <t>Yes</t>
        </is>
      </c>
      <c r="D5" s="14" t="inlineStr">
        <is>
          <t>A812-4-SOC-001</t>
        </is>
      </c>
      <c r="E5" s="14" t="inlineStr">
        <is>
          <t>ServiceNow integration complete</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2">
    <mergeCell ref="A2:E2"/>
    <mergeCell ref="A1:E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35" customHeight="1">
      <c r="A1" s="11" t="inlineStr">
        <is>
          <t>DASHBOARDS &amp; REPORTING ASSESSMENT</t>
        </is>
      </c>
    </row>
    <row r="2">
      <c r="A2" s="12" t="inlineStr">
        <is>
          <t>Assess dashboard and reporting capabilities (20 criteria)</t>
        </is>
      </c>
    </row>
    <row r="4">
      <c r="A4" s="13" t="inlineStr">
        <is>
          <t>#</t>
        </is>
      </c>
      <c r="B4" s="13" t="inlineStr">
        <is>
          <t>Requirement</t>
        </is>
      </c>
      <c r="C4" s="13" t="inlineStr">
        <is>
          <t>Compliance</t>
        </is>
      </c>
      <c r="D4" s="13" t="inlineStr">
        <is>
          <t>Evidence ID</t>
        </is>
      </c>
      <c r="E4" s="13" t="inlineStr">
        <is>
          <t>Notes</t>
        </is>
      </c>
    </row>
    <row r="5">
      <c r="A5" s="14" t="n">
        <v>1</v>
      </c>
      <c r="B5" s="14" t="inlineStr">
        <is>
          <t>Is real-time SOC dashboard configured (alert queue)?</t>
        </is>
      </c>
      <c r="C5" s="14" t="inlineStr">
        <is>
          <t>Yes</t>
        </is>
      </c>
      <c r="D5" s="14" t="inlineStr">
        <is>
          <t>A812-4-DASH-001</t>
        </is>
      </c>
      <c r="E5" s="14" t="inlineStr">
        <is>
          <t>Splunk SOC dashboard live</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2">
    <mergeCell ref="A2:E2"/>
    <mergeCell ref="A1:E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"Yes,No,Partial,Planned,N/A"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0" customWidth="1" min="1" max="1"/>
    <col width="40" customWidth="1" min="2" max="2"/>
    <col width="20" customWidth="1" min="3" max="3"/>
    <col width="20" customWidth="1" min="4" max="4"/>
    <col width="30" customWidth="1" min="5" max="5"/>
    <col width="40" customWidth="1" min="6" max="6"/>
    <col width="25" customWidth="1" min="7" max="7"/>
    <col width="20" customWidth="1" min="8" max="8"/>
    <col width="20" customWidth="1" min="9" max="9"/>
    <col width="20" customWidth="1" min="10" max="10"/>
  </cols>
  <sheetData>
    <row r="1" ht="35" customHeight="1">
      <c r="A1" s="11" t="inlineStr">
        <is>
          <t>GAP ANALYSIS - MONITORING &amp; RESPONSE DEFICIENCIES</t>
        </is>
      </c>
    </row>
    <row r="2">
      <c r="A2" s="12" t="inlineStr">
        <is>
          <t>Identify and track monitoring/response gaps and remediation plans (40 rows)</t>
        </is>
      </c>
    </row>
    <row r="4">
      <c r="A4" s="13" t="inlineStr">
        <is>
          <t>Gap ID</t>
        </is>
      </c>
      <c r="B4" s="13" t="inlineStr">
        <is>
          <t>Gap Description</t>
        </is>
      </c>
      <c r="C4" s="13" t="inlineStr">
        <is>
          <t>Affected Area</t>
        </is>
      </c>
      <c r="D4" s="13" t="inlineStr">
        <is>
          <t>Risk Level</t>
        </is>
      </c>
      <c r="E4" s="13" t="inlineStr">
        <is>
          <t>Business Impact</t>
        </is>
      </c>
      <c r="F4" s="13" t="inlineStr">
        <is>
          <t>Remediation Plan</t>
        </is>
      </c>
      <c r="G4" s="13" t="inlineStr">
        <is>
          <t>Owner</t>
        </is>
      </c>
      <c r="H4" s="13" t="inlineStr">
        <is>
          <t>Target Date</t>
        </is>
      </c>
      <c r="I4" s="13" t="inlineStr">
        <is>
          <t>Status</t>
        </is>
      </c>
      <c r="J4" s="13" t="inlineStr">
        <is>
          <t>Evidence ID</t>
        </is>
      </c>
    </row>
    <row r="5">
      <c r="A5" s="14" t="inlineStr">
        <is>
          <t>GAP-A812-4-001</t>
        </is>
      </c>
      <c r="B5" s="14" t="inlineStr">
        <is>
          <t>Critical alerts not reaching SOC SMS (delivery failures)</t>
        </is>
      </c>
      <c r="C5" s="14" t="inlineStr">
        <is>
          <t>Alerting</t>
        </is>
      </c>
      <c r="D5" s="14" t="inlineStr">
        <is>
          <t>High</t>
        </is>
      </c>
      <c r="E5" s="14" t="inlineStr">
        <is>
          <t>Delayed response to data exfiltration</t>
        </is>
      </c>
      <c r="F5" s="14" t="inlineStr">
        <is>
          <t>Configure PagerDuty integration</t>
        </is>
      </c>
      <c r="G5" s="14" t="inlineStr">
        <is>
          <t>SOC Lead</t>
        </is>
      </c>
      <c r="H5" s="14" t="inlineStr">
        <is>
          <t>2025-02-15</t>
        </is>
      </c>
      <c r="I5" s="14" t="inlineStr">
        <is>
          <t>In Progress</t>
        </is>
      </c>
      <c r="J5" s="14" t="inlineStr">
        <is>
          <t>A812-4-GAP-001</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dataValidations count="3">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"Critical,High,Medium,Low"</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"Not Started,In Progress,Complete,Blocked"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"Logging,Alerting,SIEM,FP Management,Incident Response,SOC,Dashboards"</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c r="B1" s="6" t="n"/>
      <c r="C1" s="6" t="n"/>
      <c r="D1" s="6" t="n"/>
      <c r="E1" s="6" t="n"/>
      <c r="F1" s="6" t="n"/>
      <c r="G1" s="6" t="n"/>
      <c r="H1" s="6" t="n"/>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0" t="inlineStr">
        <is>
          <t>Logging Configuration</t>
        </is>
      </c>
      <c r="C5" s="20" t="inlineStr">
        <is>
          <t>Audit log</t>
        </is>
      </c>
      <c r="D5" s="20" t="inlineStr">
        <is>
          <t>SIEM log forwarding configuration — syslog rules export</t>
        </is>
      </c>
      <c r="E5" s="20" t="inlineStr">
        <is>
          <t>\\fileserver\isms\evidence\dlp\siem-log-config.pdf</t>
        </is>
      </c>
      <c r="F5" s="20" t="inlineStr">
        <is>
          <t>22.02.2026</t>
        </is>
      </c>
      <c r="G5" s="20" t="inlineStr">
        <is>
          <t>IT Security Team</t>
        </is>
      </c>
      <c r="H5" s="20" t="inlineStr">
        <is>
          <t>Verified</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2">
    <mergeCell ref="A2:H2"/>
    <mergeCell ref="A1:H1"/>
  </mergeCells>
  <dataValidations count="2">
    <dataValidation sqref="C6:C105" showDropDown="0" showInputMessage="0" showErrorMessage="0" allowBlank="1" type="list">
      <formula1>"Configuration file,Screenshot,Network scan,Documentation,Vendor spec,Audit log,Compliance report,Dashboard export,Other"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2" t="inlineStr">
        <is>
          <t>MONITORING &amp; RESPONSE ASSESSMENT — SUMMARY DASHBOARD</t>
        </is>
      </c>
    </row>
    <row r="2">
      <c r="A2" s="23" t="inlineStr">
        <is>
          <t>ISO/IEC 27001:2022 — Control A.8.12: Data Leakage Prevention</t>
        </is>
      </c>
    </row>
    <row r="4">
      <c r="A4" s="24" t="inlineStr">
        <is>
          <t>TABLE 1 — COMPLIANCE ASSESSMENT SUMMARY</t>
        </is>
      </c>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Logging Configuration</t>
        </is>
      </c>
      <c r="B6" s="27">
        <f>C6+D6+E6+F6</f>
        <v/>
      </c>
      <c r="C6" s="27">
        <f>COUNTIF('Logging Configuration'!C6:C55,"Yes")</f>
        <v/>
      </c>
      <c r="D6" s="27">
        <f>COUNTIF('Logging Configuration'!C6:C55,"Partial")+COUNTIF('Logging Configuration'!C6:C55,"Planned")</f>
        <v/>
      </c>
      <c r="E6" s="27">
        <f>COUNTIF('Logging Configuration'!C6:C55,"No")</f>
        <v/>
      </c>
      <c r="F6" s="27">
        <f>COUNTIF('Logging Configuration'!C6:C55,"N/A")</f>
        <v/>
      </c>
      <c r="G6" s="28">
        <f>IF((B6-F6)=0,0,C6/(B6-F6))</f>
        <v/>
      </c>
    </row>
    <row r="7">
      <c r="A7" s="26" t="inlineStr">
        <is>
          <t>Alert Rules Inventory</t>
        </is>
      </c>
      <c r="B7" s="27">
        <f>C7+D7+E7+F7</f>
        <v/>
      </c>
      <c r="C7" s="27">
        <f>COUNTIF('Alert Rules Inventory'!L6:L55,"Active")</f>
        <v/>
      </c>
      <c r="D7" s="27">
        <f>COUNTIF('Alert Rules Inventory'!L6:L55,"Testing")</f>
        <v/>
      </c>
      <c r="E7" s="27">
        <f>COUNTIF('Alert Rules Inventory'!L6:L55,"Disabled")+COUNTIF('Alert Rules Inventory'!L6:L55,"Deprecated")</f>
        <v/>
      </c>
      <c r="F7" s="27" t="inlineStr">
        <is>
          <t>0</t>
        </is>
      </c>
      <c r="G7" s="28">
        <f>IF((B7-F7)=0,0,C7/(B7-F7))</f>
        <v/>
      </c>
    </row>
    <row r="8">
      <c r="A8" s="26" t="inlineStr">
        <is>
          <t>SIEM Integration</t>
        </is>
      </c>
      <c r="B8" s="27">
        <f>C8+D8+E8+F8</f>
        <v/>
      </c>
      <c r="C8" s="27">
        <f>COUNTIF('SIEM Integration'!C6:C55,"Yes")</f>
        <v/>
      </c>
      <c r="D8" s="27">
        <f>COUNTIF('SIEM Integration'!C6:C55,"Partial")+COUNTIF('SIEM Integration'!C6:C55,"Planned")</f>
        <v/>
      </c>
      <c r="E8" s="27">
        <f>COUNTIF('SIEM Integration'!C6:C55,"No")</f>
        <v/>
      </c>
      <c r="F8" s="27">
        <f>COUNTIF('SIEM Integration'!C6:C55,"N/A")</f>
        <v/>
      </c>
      <c r="G8" s="28">
        <f>IF((B8-F8)=0,0,C8/(B8-F8))</f>
        <v/>
      </c>
    </row>
    <row r="9">
      <c r="A9" s="26" t="inlineStr">
        <is>
          <t>False Positive Management</t>
        </is>
      </c>
      <c r="B9" s="27">
        <f>C9+D9+E9+F9</f>
        <v/>
      </c>
      <c r="C9" s="27">
        <f>COUNTIF('False Positive Management'!C6:C55,"Yes")</f>
        <v/>
      </c>
      <c r="D9" s="27">
        <f>COUNTIF('False Positive Management'!C6:C55,"Partial")+COUNTIF('False Positive Management'!C6:C55,"Planned")</f>
        <v/>
      </c>
      <c r="E9" s="27">
        <f>COUNTIF('False Positive Management'!C6:C55,"No")</f>
        <v/>
      </c>
      <c r="F9" s="27">
        <f>COUNTIF('False Positive Management'!C6:C55,"N/A")</f>
        <v/>
      </c>
      <c r="G9" s="28">
        <f>IF((B9-F9)=0,0,C9/(B9-F9))</f>
        <v/>
      </c>
    </row>
    <row r="10">
      <c r="A10" s="26" t="inlineStr">
        <is>
          <t>Incident Response Workflow</t>
        </is>
      </c>
      <c r="B10" s="27">
        <f>C10+D10+E10+F10</f>
        <v/>
      </c>
      <c r="C10" s="27">
        <f>COUNTIF('Incident Response Workflow'!C6:C55,"Yes")</f>
        <v/>
      </c>
      <c r="D10" s="27">
        <f>COUNTIF('Incident Response Workflow'!C6:C55,"Partial")+COUNTIF('Incident Response Workflow'!C6:C55,"Planned")</f>
        <v/>
      </c>
      <c r="E10" s="27">
        <f>COUNTIF('Incident Response Workflow'!C6:C55,"No")</f>
        <v/>
      </c>
      <c r="F10" s="27">
        <f>COUNTIF('Incident Response Workflow'!C6:C55,"N/A")</f>
        <v/>
      </c>
      <c r="G10" s="28">
        <f>IF((B10-F10)=0,0,C10/(B10-F10))</f>
        <v/>
      </c>
    </row>
    <row r="11">
      <c r="A11" s="26" t="inlineStr">
        <is>
          <t>SOC Integration</t>
        </is>
      </c>
      <c r="B11" s="27">
        <f>C11+D11+E11+F11</f>
        <v/>
      </c>
      <c r="C11" s="27">
        <f>COUNTIF('SOC Integration'!C6:C55,"Yes")</f>
        <v/>
      </c>
      <c r="D11" s="27">
        <f>COUNTIF('SOC Integration'!C6:C55,"Partial")+COUNTIF('SOC Integration'!C6:C55,"Planned")</f>
        <v/>
      </c>
      <c r="E11" s="27">
        <f>COUNTIF('SOC Integration'!C6:C55,"No")</f>
        <v/>
      </c>
      <c r="F11" s="27">
        <f>COUNTIF('SOC Integration'!C6:C55,"N/A")</f>
        <v/>
      </c>
      <c r="G11" s="28">
        <f>IF((B11-F11)=0,0,C11/(B11-F11))</f>
        <v/>
      </c>
    </row>
    <row r="12">
      <c r="A12" s="26" t="inlineStr">
        <is>
          <t>Dashboards &amp; Reporting</t>
        </is>
      </c>
      <c r="B12" s="27">
        <f>C12+D12+E12+F12</f>
        <v/>
      </c>
      <c r="C12" s="27">
        <f>COUNTIF('Dashboards Reporting'!C6:C55,"Yes")</f>
        <v/>
      </c>
      <c r="D12" s="27">
        <f>COUNTIF('Dashboards Reporting'!C6:C55,"Partial")+COUNTIF('Dashboards Reporting'!C6:C55,"Planned")</f>
        <v/>
      </c>
      <c r="E12" s="27">
        <f>COUNTIF('Dashboards Reporting'!C6:C55,"No")</f>
        <v/>
      </c>
      <c r="F12" s="27">
        <f>COUNTIF('Dashboards Reporting'!C6:C55,"N/A")</f>
        <v/>
      </c>
      <c r="G12" s="28">
        <f>IF((B12-F12)=0,0,C12/(B12-F12))</f>
        <v/>
      </c>
    </row>
    <row r="13">
      <c r="A13" s="26" t="inlineStr">
        <is>
          <t>Gap Analysis</t>
        </is>
      </c>
      <c r="B13" s="27">
        <f>C13+D13+E13+F13</f>
        <v/>
      </c>
      <c r="C13" s="27">
        <f>COUNTIF('Gap Analysis'!I6:I55,"Complete")</f>
        <v/>
      </c>
      <c r="D13" s="27">
        <f>COUNTIF('Gap Analysis'!I6:I55,"In Progress")</f>
        <v/>
      </c>
      <c r="E13" s="27">
        <f>COUNTIF('Gap Analysis'!I6:I55,"Not Started")+COUNTIF('Gap Analysis'!I6:I55,"Blocked")</f>
        <v/>
      </c>
      <c r="F13" s="27" t="inlineStr">
        <is>
          <t>0</t>
        </is>
      </c>
      <c r="G13" s="28">
        <f>IF((B13-F13)=0,0,C13/(B13-F13))</f>
        <v/>
      </c>
    </row>
    <row r="14">
      <c r="A14" s="29" t="inlineStr">
        <is>
          <t>TOTAL</t>
        </is>
      </c>
      <c r="B14" s="30">
        <f>SUM(B6:B13)</f>
        <v/>
      </c>
      <c r="C14" s="30">
        <f>SUM(C6:C13)</f>
        <v/>
      </c>
      <c r="D14" s="30">
        <f>SUM(D6:D13)</f>
        <v/>
      </c>
      <c r="E14" s="30">
        <f>SUM(E6:E13)</f>
        <v/>
      </c>
      <c r="F14" s="30">
        <f>SUM(F6:F13)</f>
        <v/>
      </c>
      <c r="G14" s="31">
        <f>IF((B14-F14)=0,0,C14/(B14-F14))</f>
        <v/>
      </c>
    </row>
    <row r="16">
      <c r="A16" s="24" t="inlineStr">
        <is>
          <t>TABLE 2 — KEY METRICS</t>
        </is>
      </c>
    </row>
    <row r="17">
      <c r="A17" s="30" t="inlineStr">
        <is>
          <t>Metric</t>
        </is>
      </c>
      <c r="B17" s="30" t="inlineStr">
        <is>
          <t>Value</t>
        </is>
      </c>
      <c r="C17" s="30" t="inlineStr">
        <is>
          <t>Notes</t>
        </is>
      </c>
      <c r="D17" s="32" t="n"/>
      <c r="E17" s="32" t="n"/>
      <c r="F17" s="32" t="n"/>
      <c r="G17" s="33" t="n"/>
    </row>
    <row r="18">
      <c r="A18" s="34" t="inlineStr">
        <is>
          <t>Overall Compliance Score</t>
        </is>
      </c>
      <c r="B18" s="28">
        <f>G14</f>
        <v/>
      </c>
      <c r="C18" s="34" t="inlineStr">
        <is>
          <t>Compliant items / (Total - N/A items)</t>
        </is>
      </c>
    </row>
    <row r="19">
      <c r="A19" s="34" t="inlineStr">
        <is>
          <t>Critical Gaps (Risk = High/Critical)</t>
        </is>
      </c>
      <c r="B19" s="27">
        <f>COUNTIF('Gap Analysis'!D6:D55,"High")+COUNTIF('Gap Analysis'!D6:D55,"Critical")</f>
        <v/>
      </c>
      <c r="C19" s="34" t="inlineStr">
        <is>
          <t>Open high-risk monitoring/response gaps</t>
        </is>
      </c>
    </row>
    <row r="20">
      <c r="A20" s="34" t="inlineStr">
        <is>
          <t>Logging Coverage (all channels)</t>
        </is>
      </c>
      <c r="B20" s="28">
        <f>IF((B6-F6)=0,0,C6/(B6-F6))</f>
        <v/>
      </c>
      <c r="C20" s="34" t="inlineStr">
        <is>
          <t>Logging Configuration compliance rate</t>
        </is>
      </c>
    </row>
    <row r="21">
      <c r="A21" s="34" t="inlineStr">
        <is>
          <t>SIEM Integration Coverage</t>
        </is>
      </c>
      <c r="B21" s="28">
        <f>IF((B8-F8)=0,0,C8/(B8-F8))</f>
        <v/>
      </c>
      <c r="C21" s="34" t="inlineStr">
        <is>
          <t>SIEM Integration compliance rate</t>
        </is>
      </c>
    </row>
    <row r="22">
      <c r="A22" s="34" t="inlineStr">
        <is>
          <t>Incident Response Readiness</t>
        </is>
      </c>
      <c r="B22" s="28">
        <f>IF((B10-F10)=0,0,C10/(B10-F10))</f>
        <v/>
      </c>
      <c r="C22" s="34" t="inlineStr">
        <is>
          <t>IR Workflow compliance rate</t>
        </is>
      </c>
    </row>
    <row r="23">
      <c r="A23" s="34" t="inlineStr">
        <is>
          <t>Gaps Resolved</t>
        </is>
      </c>
      <c r="B23" s="27">
        <f>COUNTIF('Gap Analysis'!I6:I55,"Complete")</f>
        <v/>
      </c>
      <c r="C23" s="34" t="inlineStr">
        <is>
          <t>Monitoring/response gaps fully closed</t>
        </is>
      </c>
    </row>
    <row r="26">
      <c r="A26" s="35" t="inlineStr">
        <is>
          <t>TABLE 3 — KEY FINDINGS</t>
        </is>
      </c>
    </row>
    <row r="27">
      <c r="A27" s="30" t="inlineStr">
        <is>
          <t>#</t>
        </is>
      </c>
      <c r="B27" s="30" t="inlineStr">
        <is>
          <t>Finding</t>
        </is>
      </c>
      <c r="C27" s="32" t="n"/>
      <c r="D27" s="32" t="n"/>
      <c r="E27" s="32" t="n"/>
      <c r="F27" s="32" t="n"/>
      <c r="G27" s="33" t="n"/>
    </row>
    <row r="28">
      <c r="A28" s="36" t="n">
        <v>1</v>
      </c>
      <c r="B28" s="37" t="n"/>
    </row>
    <row r="29">
      <c r="A29" s="36" t="n">
        <v>2</v>
      </c>
      <c r="B29" s="37" t="n"/>
    </row>
    <row r="30">
      <c r="A30" s="36" t="n">
        <v>3</v>
      </c>
      <c r="B30" s="37" t="n"/>
    </row>
    <row r="31">
      <c r="A31" s="36" t="n">
        <v>4</v>
      </c>
      <c r="B31" s="37" t="n"/>
    </row>
    <row r="32">
      <c r="A32" s="36" t="n">
        <v>5</v>
      </c>
      <c r="B32" s="37" t="n"/>
    </row>
  </sheetData>
  <mergeCells count="18">
    <mergeCell ref="C21:G21"/>
    <mergeCell ref="A1:G1"/>
    <mergeCell ref="C20:G20"/>
    <mergeCell ref="B28:G28"/>
    <mergeCell ref="B30:G30"/>
    <mergeCell ref="B31:G31"/>
    <mergeCell ref="B27:G27"/>
    <mergeCell ref="A4:G4"/>
    <mergeCell ref="A26:G26"/>
    <mergeCell ref="C19:G19"/>
    <mergeCell ref="A16:G16"/>
    <mergeCell ref="A2:G2"/>
    <mergeCell ref="B32:G32"/>
    <mergeCell ref="C23:G23"/>
    <mergeCell ref="C22:G22"/>
    <mergeCell ref="C18:G18"/>
    <mergeCell ref="B29:G29"/>
    <mergeCell ref="C17:G1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38" t="inlineStr">
        <is>
          <t>ISO/IEC 27001:2022 — Control A.8.12: Monitoring &amp; Response Assessment</t>
        </is>
      </c>
      <c r="B2" s="6" t="n"/>
      <c r="C2" s="6" t="n"/>
      <c r="D2" s="6" t="n"/>
      <c r="E2" s="6" t="n"/>
    </row>
    <row r="3">
      <c r="A3" s="39" t="inlineStr">
        <is>
          <t>ASSESSMENT SUMMARY</t>
        </is>
      </c>
      <c r="B3" s="6" t="n"/>
      <c r="C3" s="6" t="n"/>
      <c r="D3" s="6" t="n"/>
      <c r="E3" s="6" t="n"/>
    </row>
    <row r="4">
      <c r="A4" s="3" t="inlineStr">
        <is>
          <t>Document:</t>
        </is>
      </c>
      <c r="B4" s="6" t="inlineStr">
        <is>
          <t>ISMS-IMP-A.8.12.4 - Monitoring &amp; Response Assessment</t>
        </is>
      </c>
      <c r="C4" s="6" t="n"/>
      <c r="D4" s="6" t="n"/>
      <c r="E4" s="6" t="n"/>
    </row>
    <row r="5">
      <c r="A5" s="3" t="inlineStr">
        <is>
          <t>Assessment Period:</t>
        </is>
      </c>
      <c r="B5" s="21" t="inlineStr"/>
      <c r="C5" s="6" t="n"/>
      <c r="D5" s="6" t="n"/>
      <c r="E5" s="6" t="n"/>
    </row>
    <row r="6">
      <c r="A6" s="3" t="inlineStr">
        <is>
          <t>Overall Compliance:</t>
        </is>
      </c>
      <c r="B6" s="40">
        <f>IFERROR(AVERAGE('Summary Dashboard'!G6:G13),"")</f>
        <v/>
      </c>
      <c r="C6" s="6" t="n"/>
      <c r="D6" s="6" t="n"/>
      <c r="E6" s="6" t="n"/>
    </row>
    <row r="7">
      <c r="A7" s="3" t="inlineStr">
        <is>
          <t>Assessment Status:</t>
        </is>
      </c>
      <c r="B7" s="21" t="inlineStr"/>
      <c r="C7" s="6" t="n"/>
      <c r="D7" s="6" t="n"/>
      <c r="E7" s="6" t="n"/>
    </row>
    <row r="8">
      <c r="A8" s="3" t="inlineStr">
        <is>
          <t>Assessed By:</t>
        </is>
      </c>
      <c r="B8" s="21" t="inlineStr"/>
      <c r="C8" s="6" t="n"/>
      <c r="D8" s="6" t="n"/>
      <c r="E8" s="6" t="n"/>
    </row>
    <row r="11">
      <c r="A11" s="39" t="inlineStr">
        <is>
          <t>COMPLETED BY (ASSESSOR)</t>
        </is>
      </c>
      <c r="B11" s="6" t="n"/>
      <c r="C11" s="6" t="n"/>
      <c r="D11" s="6" t="n"/>
      <c r="E11" s="6" t="n"/>
    </row>
    <row r="12">
      <c r="A12" s="3" t="inlineStr">
        <is>
          <t>Name:</t>
        </is>
      </c>
      <c r="B12" s="21" t="n"/>
      <c r="C12" s="6" t="n"/>
      <c r="D12" s="6" t="n"/>
      <c r="E12" s="6" t="n"/>
    </row>
    <row r="13">
      <c r="A13" s="3" t="inlineStr">
        <is>
          <t>Title:</t>
        </is>
      </c>
      <c r="B13" s="21" t="n"/>
      <c r="C13" s="6" t="n"/>
      <c r="D13" s="6" t="n"/>
      <c r="E13" s="6" t="n"/>
    </row>
    <row r="14">
      <c r="A14" s="3" t="inlineStr">
        <is>
          <t>Date:</t>
        </is>
      </c>
      <c r="B14" s="21" t="n"/>
      <c r="C14" s="6" t="n"/>
      <c r="D14" s="6" t="n"/>
      <c r="E14" s="6" t="n"/>
    </row>
    <row r="15">
      <c r="A15" s="3" t="inlineStr">
        <is>
          <t>Signature:</t>
        </is>
      </c>
      <c r="B15" s="21" t="n"/>
      <c r="C15" s="6" t="n"/>
      <c r="D15" s="6" t="n"/>
      <c r="E15" s="6" t="n"/>
    </row>
    <row r="16">
      <c r="A16" s="3" t="inlineStr">
        <is>
          <t>Comments:</t>
        </is>
      </c>
      <c r="B16" s="21" t="n"/>
      <c r="C16" s="6" t="n"/>
      <c r="D16" s="6" t="n"/>
      <c r="E16" s="6" t="n"/>
    </row>
    <row r="18">
      <c r="A18" s="39" t="inlineStr">
        <is>
          <t>REVIEWED BY (ISO)</t>
        </is>
      </c>
      <c r="B18" s="6" t="n"/>
      <c r="C18" s="6" t="n"/>
      <c r="D18" s="6" t="n"/>
      <c r="E18" s="6" t="n"/>
    </row>
    <row r="19">
      <c r="A19" s="3" t="inlineStr">
        <is>
          <t>Name:</t>
        </is>
      </c>
      <c r="B19" s="21" t="n"/>
      <c r="C19" s="6" t="n"/>
      <c r="D19" s="6" t="n"/>
      <c r="E19" s="6" t="n"/>
    </row>
    <row r="20">
      <c r="A20" s="3" t="inlineStr">
        <is>
          <t>Title:</t>
        </is>
      </c>
      <c r="B20" s="21" t="n"/>
      <c r="C20" s="6" t="n"/>
      <c r="D20" s="6" t="n"/>
      <c r="E20" s="6" t="n"/>
    </row>
    <row r="21">
      <c r="A21" s="3" t="inlineStr">
        <is>
          <t>Date:</t>
        </is>
      </c>
      <c r="B21" s="21" t="n"/>
      <c r="C21" s="6" t="n"/>
      <c r="D21" s="6" t="n"/>
      <c r="E21" s="6" t="n"/>
    </row>
    <row r="22">
      <c r="A22" s="3" t="inlineStr">
        <is>
          <t>Signature:</t>
        </is>
      </c>
      <c r="B22" s="21" t="n"/>
      <c r="C22" s="6" t="n"/>
      <c r="D22" s="6" t="n"/>
      <c r="E22" s="6" t="n"/>
    </row>
    <row r="23">
      <c r="A23" s="3" t="inlineStr">
        <is>
          <t>Comments:</t>
        </is>
      </c>
      <c r="B23" s="21" t="n"/>
      <c r="C23" s="6" t="n"/>
      <c r="D23" s="6" t="n"/>
      <c r="E23" s="6" t="n"/>
    </row>
    <row r="25">
      <c r="A25" s="41" t="inlineStr">
        <is>
          <t>APPROVED BY (CISO)</t>
        </is>
      </c>
      <c r="B25" s="6" t="n"/>
      <c r="C25" s="6" t="n"/>
      <c r="D25" s="6" t="n"/>
      <c r="E25" s="6" t="n"/>
    </row>
    <row r="26">
      <c r="A26" s="3" t="inlineStr">
        <is>
          <t>Name:</t>
        </is>
      </c>
      <c r="B26" s="21" t="n"/>
      <c r="C26" s="6" t="n"/>
      <c r="D26" s="6" t="n"/>
      <c r="E26" s="6" t="n"/>
    </row>
    <row r="27">
      <c r="A27" s="3" t="inlineStr">
        <is>
          <t>Title:</t>
        </is>
      </c>
      <c r="B27" s="21" t="n"/>
      <c r="C27" s="6" t="n"/>
      <c r="D27" s="6" t="n"/>
      <c r="E27" s="6" t="n"/>
    </row>
    <row r="28">
      <c r="A28" s="3" t="inlineStr">
        <is>
          <t>Date:</t>
        </is>
      </c>
      <c r="B28" s="21" t="n"/>
      <c r="C28" s="6" t="n"/>
      <c r="D28" s="6" t="n"/>
      <c r="E28" s="6" t="n"/>
    </row>
    <row r="29">
      <c r="A29" s="3" t="inlineStr">
        <is>
          <t>Signature:</t>
        </is>
      </c>
      <c r="B29" s="21" t="n"/>
      <c r="C29" s="6" t="n"/>
      <c r="D29" s="6" t="n"/>
      <c r="E29" s="6" t="n"/>
    </row>
    <row r="30">
      <c r="A30" s="3" t="inlineStr">
        <is>
          <t>Comments:</t>
        </is>
      </c>
      <c r="B30" s="21" t="n"/>
      <c r="C30" s="6" t="n"/>
      <c r="D30" s="6" t="n"/>
      <c r="E30" s="6" t="n"/>
    </row>
    <row r="32">
      <c r="A32" s="3" t="inlineStr">
        <is>
          <t>FINAL DECISION:</t>
        </is>
      </c>
      <c r="B32" s="21" t="n"/>
      <c r="C32" s="6" t="n"/>
      <c r="D32" s="6" t="n"/>
      <c r="E32" s="6" t="n"/>
    </row>
    <row r="35">
      <c r="A35" s="39" t="inlineStr">
        <is>
          <t>NEXT REVIEW DETAILS</t>
        </is>
      </c>
      <c r="B35" s="6" t="n"/>
      <c r="C35" s="6" t="n"/>
      <c r="D35" s="6" t="n"/>
      <c r="E35" s="6" t="n"/>
    </row>
    <row r="36">
      <c r="A36" s="3" t="inlineStr">
        <is>
          <t>Next Review Date:</t>
        </is>
      </c>
      <c r="B36" s="21" t="n"/>
      <c r="C36" s="6" t="n"/>
      <c r="D36" s="6" t="n"/>
      <c r="E36" s="6" t="n"/>
    </row>
    <row r="37">
      <c r="A37" s="3" t="inlineStr">
        <is>
          <t>Review Responsible:</t>
        </is>
      </c>
      <c r="B37" s="21" t="n"/>
      <c r="C37" s="6" t="n"/>
      <c r="D37" s="6" t="n"/>
      <c r="E37" s="6" t="n"/>
    </row>
    <row r="38">
      <c r="A38" s="3" t="inlineStr">
        <is>
          <t>Special Considerations:</t>
        </is>
      </c>
      <c r="B38" s="2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ISMS-IMP-A.8.12.4 — Monitoring &amp; Response Assessment</dc:title>
  <dc:description xmlns:dc="http://purl.org/dc/elements/1.1/">ISMS Implementation Workbook — ISMS-IMP-A.8.12.4</dc:description>
  <dc:subject xmlns:dc="http://purl.org/dc/elements/1.1/">ISO/IEC 27001:2022 — Control A.8.12: Data Leakage Prevention</dc:subject>
  <dcterms:created xmlns:dcterms="http://purl.org/dc/terms/" xmlns:xsi="http://www.w3.org/2001/XMLSchema-instance" xsi:type="dcterms:W3CDTF">2026-03-10T18:49:20Z</dcterms:created>
  <dcterms:modified xmlns:dcterms="http://purl.org/dc/terms/" xmlns:xsi="http://www.w3.org/2001/XMLSchema-instance" xsi:type="dcterms:W3CDTF">2026-03-10T18:49:20Z</dcterms:modified>
</cp:coreProperties>
</file>