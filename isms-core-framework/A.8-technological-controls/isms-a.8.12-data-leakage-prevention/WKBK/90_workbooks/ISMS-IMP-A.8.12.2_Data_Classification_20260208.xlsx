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Classification_Schema" sheetId="2" state="visible" r:id="rId2"/>
    <sheet xmlns:r="http://schemas.openxmlformats.org/officeDocument/2006/relationships" name="Sensitive_Data_Inventory" sheetId="3" state="visible" r:id="rId3"/>
    <sheet xmlns:r="http://schemas.openxmlformats.org/officeDocument/2006/relationships" name="Data_Location_Mapping" sheetId="4" state="visible" r:id="rId4"/>
    <sheet xmlns:r="http://schemas.openxmlformats.org/officeDocument/2006/relationships" name="Data_Owner_Assignment" sheetId="5" state="visible" r:id="rId5"/>
    <sheet xmlns:r="http://schemas.openxmlformats.org/officeDocument/2006/relationships" name="Regulatory_Mapping" sheetId="6" state="visible" r:id="rId6"/>
    <sheet xmlns:r="http://schemas.openxmlformats.org/officeDocument/2006/relationships" name="Labeling_Methods" sheetId="7" state="visible" r:id="rId7"/>
    <sheet xmlns:r="http://schemas.openxmlformats.org/officeDocument/2006/relationships" name="Discovery_Results"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Summary_Dashboard"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2"/>
    </font>
    <font>
      <b val="1"/>
    </font>
    <font>
      <b val="1"/>
      <sz val="12"/>
    </font>
    <font>
      <name val="Calibri"/>
      <b val="1"/>
      <sz val="1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B4C7E7"/>
        <bgColor rgb="00B4C7E7"/>
      </patternFill>
    </fill>
    <fill>
      <patternFill patternType="solid">
        <fgColor rgb="00FFFFFF"/>
        <bgColor rgb="00FFFFFF"/>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0" fillId="4" borderId="0" pivotButton="0" quotePrefix="0" xfId="0"/>
    <xf numFmtId="0" fontId="4" fillId="0" borderId="0" pivotButton="0" quotePrefix="0" xfId="0"/>
    <xf numFmtId="0" fontId="0" fillId="0" borderId="0" applyAlignment="1" pivotButton="0" quotePrefix="0" xfId="0">
      <alignment wrapText="1"/>
    </xf>
    <xf numFmtId="0" fontId="3" fillId="5"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9" borderId="0" pivotButton="0" quotePrefix="0" xfId="0"/>
    <xf numFmtId="0" fontId="5" fillId="10" borderId="1" applyAlignment="1" pivotButton="0" quotePrefix="0" xfId="0">
      <alignment horizontal="center" vertical="center" wrapText="1"/>
    </xf>
    <xf numFmtId="0" fontId="3" fillId="11" borderId="0" pivotButton="0" quotePrefix="0" xfId="0"/>
    <xf numFmtId="0" fontId="0" fillId="4" borderId="1" applyAlignment="1" pivotButton="0" quotePrefix="0" xfId="0">
      <alignment horizontal="left" vertical="top" wrapText="1"/>
    </xf>
    <xf numFmtId="0" fontId="0"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pane ySplit="2" topLeftCell="A3" activePane="bottomLeft" state="frozen"/>
      <selection pane="bottomLeft" activeCell="A1" sqref="A1"/>
    </sheetView>
  </sheetViews>
  <sheetFormatPr baseColWidth="8" defaultRowHeight="15"/>
  <cols>
    <col width="20" customWidth="1" min="1" max="1"/>
    <col width="30" customWidth="1" min="2" max="2"/>
  </cols>
  <sheetData>
    <row r="1" ht="40" customHeight="1">
      <c r="A1" s="1" t="inlineStr">
        <is>
          <t>ISMS Control ISMS-IMP-A.8.12.2 - Data Classification</t>
        </is>
      </c>
    </row>
    <row r="2" ht="25" customHeight="1">
      <c r="A2" s="2" t="inlineStr">
        <is>
          <t>ISO/IEC 27001:2022 Control A.8.12 - Data Leakage Prevention</t>
        </is>
      </c>
    </row>
    <row r="4">
      <c r="A4" s="3" t="inlineStr">
        <is>
          <t>Document ID:</t>
        </is>
      </c>
      <c r="B4" t="inlineStr">
        <is>
          <t>ISMS-IMP-A.8.12.2</t>
        </is>
      </c>
    </row>
    <row r="5">
      <c r="A5" s="3" t="inlineStr">
        <is>
          <t>Assessment Area:</t>
        </is>
      </c>
      <c r="B5" t="inlineStr">
        <is>
          <t>Data Classification</t>
        </is>
      </c>
    </row>
    <row r="6">
      <c r="A6" s="3" t="inlineStr">
        <is>
          <t>Related Policy:</t>
        </is>
      </c>
      <c r="B6" t="inlineStr">
        <is>
          <t>ISMS-POL-A.8.12-S2.1</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t>
        </is>
      </c>
    </row>
    <row r="14">
      <c r="A14" s="5" t="inlineStr">
        <is>
          <t>HOW TO USE THIS WORKBOOK</t>
        </is>
      </c>
    </row>
    <row r="15">
      <c r="A15" s="6" t="inlineStr">
        <is>
          <t>1. Complete each worksheet tab in sequence (Schema → Inventory → Locations → Owners → ...)</t>
        </is>
      </c>
    </row>
    <row r="16">
      <c r="A16" s="6" t="inlineStr">
        <is>
          <t>2. Fill ALL yellow-highlighted cells with your organization's information</t>
        </is>
      </c>
    </row>
    <row r="17">
      <c r="A17" s="6" t="inlineStr">
        <is>
          <t>3. Use dropdown menus where provided (do not type free-form text in dropdown cells)</t>
        </is>
      </c>
    </row>
    <row r="18">
      <c r="A18" s="6" t="inlineStr">
        <is>
          <t>4. Document your data classification schema (minimum 4 levels: Public/Internal/Confidential/Restricted)</t>
        </is>
      </c>
    </row>
    <row r="19">
      <c r="A19" s="6" t="inlineStr">
        <is>
          <t>5. Inventory ALL sensitive data categories (PII, financial, IP, credentials, business confidential)</t>
        </is>
      </c>
    </row>
    <row r="20">
      <c r="A20" s="6" t="inlineStr">
        <is>
          <t>6. Map data to storage locations (file servers, databases, cloud, endpoints)</t>
        </is>
      </c>
    </row>
    <row r="21">
      <c r="A21" s="6" t="inlineStr">
        <is>
          <t>7. Assign data owners and stewards for accountability</t>
        </is>
      </c>
    </row>
    <row r="22">
      <c r="A22" s="6" t="inlineStr">
        <is>
          <t>8. Map data categories to regulatory requirements (FADP, GDPR, PCI-DSS)</t>
        </is>
      </c>
    </row>
    <row r="23">
      <c r="A23" s="6" t="inlineStr">
        <is>
          <t>9. Provide evidence IDs for all assessments (format: A812-2-[CATEGORY]-[###])</t>
        </is>
      </c>
    </row>
    <row r="24">
      <c r="A24" s="6" t="inlineStr">
        <is>
          <t>10. Review Summary Dashboard for overall classification compliance score</t>
        </is>
      </c>
    </row>
    <row r="25">
      <c r="A25" s="6" t="inlineStr">
        <is>
          <t>11. Obtain DPO/CISO approval before finalizing</t>
        </is>
      </c>
    </row>
    <row r="28">
      <c r="A28" s="5" t="inlineStr">
        <is>
          <t>LEGEND - RESPONSE VALUES</t>
        </is>
      </c>
    </row>
    <row r="29">
      <c r="A29" s="7" t="inlineStr">
        <is>
          <t>Yes</t>
        </is>
      </c>
      <c r="B29" t="inlineStr">
        <is>
          <t>Fully implemented and documented</t>
        </is>
      </c>
    </row>
    <row r="30">
      <c r="A30" s="8" t="inlineStr">
        <is>
          <t>No</t>
        </is>
      </c>
      <c r="B30" t="inlineStr">
        <is>
          <t>Not implemented</t>
        </is>
      </c>
    </row>
    <row r="31">
      <c r="A31" s="9" t="inlineStr">
        <is>
          <t>Partial</t>
        </is>
      </c>
      <c r="B31" t="inlineStr">
        <is>
          <t>Partially implemented (explain in notes)</t>
        </is>
      </c>
    </row>
    <row r="32">
      <c r="A32" s="10" t="inlineStr">
        <is>
          <t>Planned</t>
        </is>
      </c>
      <c r="B32" t="inlineStr">
        <is>
          <t>Scheduled for implementation (provide target date)</t>
        </is>
      </c>
    </row>
    <row r="33">
      <c r="A33" s="11" t="inlineStr">
        <is>
          <t>N/A</t>
        </is>
      </c>
      <c r="B33" t="inlineStr">
        <is>
          <t>Not applicable (provide justification)</t>
        </is>
      </c>
    </row>
    <row r="36">
      <c r="A36" s="5" t="inlineStr">
        <is>
          <t>DATA CLASSIFICATION LEVELS (Standard)</t>
        </is>
      </c>
    </row>
    <row r="37">
      <c r="A37" s="3" t="inlineStr">
        <is>
          <t>Public</t>
        </is>
      </c>
      <c r="B37" t="inlineStr">
        <is>
          <t>Information approved for public disclosure</t>
        </is>
      </c>
    </row>
    <row r="38">
      <c r="A38" s="3" t="inlineStr">
        <is>
          <t>Internal</t>
        </is>
      </c>
      <c r="B38" t="inlineStr">
        <is>
          <t>Information for internal use only, no external sharing</t>
        </is>
      </c>
    </row>
    <row r="39">
      <c r="A39" s="3" t="inlineStr">
        <is>
          <t>Confidential</t>
        </is>
      </c>
      <c r="B39" t="inlineStr">
        <is>
          <t>Sensitive information requiring protection, limited internal access</t>
        </is>
      </c>
    </row>
    <row r="40">
      <c r="A40" s="3" t="inlineStr">
        <is>
          <t>Restricted</t>
        </is>
      </c>
      <c r="B40" t="inlineStr">
        <is>
          <t>Highly sensitive data, need-to-know basis, strict controls</t>
        </is>
      </c>
    </row>
    <row r="43">
      <c r="A43" s="5" t="inlineStr">
        <is>
          <t>EVIDENCE NAMING CONVENTION</t>
        </is>
      </c>
    </row>
    <row r="44">
      <c r="A44" s="6" t="inlineStr">
        <is>
          <t>Format: A812-2-[CATEGORY]-[###]</t>
        </is>
      </c>
    </row>
    <row r="45">
      <c r="A45" s="6" t="inlineStr">
        <is>
          <t>Examples:</t>
        </is>
      </c>
    </row>
    <row r="46">
      <c r="A46" s="6" t="inlineStr">
        <is>
          <t xml:space="preserve">  • A812-2-CLS-001 = Classification - Schema document</t>
        </is>
      </c>
    </row>
    <row r="47">
      <c r="A47" s="6" t="inlineStr">
        <is>
          <t xml:space="preserve">  • A812-2-INV-001 = Inventory - Data discovery report</t>
        </is>
      </c>
    </row>
    <row r="48">
      <c r="A48" s="6" t="inlineStr">
        <is>
          <t xml:space="preserve">  • A812-2-OWN-001 = Ownership - Assignment matrix</t>
        </is>
      </c>
    </row>
    <row r="49">
      <c r="A49" s="6" t="inlineStr">
        <is>
          <t xml:space="preserve">  • A812-2-REG-001 = Regulatory - FADP compliance mapping</t>
        </is>
      </c>
    </row>
    <row r="50">
      <c r="A50" s="6" t="inlineStr">
        <is>
          <t xml:space="preserve">  • A812-2-LBL-001 = Labeling - AIP configuration screenshot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40" customWidth="1" min="3" max="3"/>
    <col width="35" customWidth="1" min="4" max="4"/>
    <col width="30" customWidth="1" min="5" max="5"/>
    <col width="18" customWidth="1" min="6" max="6"/>
    <col width="18" customWidth="1" min="7" max="7"/>
    <col width="18" customWidth="1" min="8" max="8"/>
    <col width="25" customWidth="1" min="9" max="9"/>
    <col width="18" customWidth="1" min="10" max="10"/>
  </cols>
  <sheetData>
    <row r="1" ht="30" customHeight="1">
      <c r="A1" s="1" t="inlineStr">
        <is>
          <t>DATA CLASSIFICATION SCHEMA</t>
        </is>
      </c>
    </row>
    <row r="2" ht="25" customHeight="1">
      <c r="A2" s="2" t="inlineStr">
        <is>
          <t>Document your organizational data classification levels and handling requirements</t>
        </is>
      </c>
    </row>
    <row r="3">
      <c r="A3" s="12" t="inlineStr">
        <is>
          <t>Classification Level</t>
        </is>
      </c>
      <c r="B3" s="12" t="inlineStr">
        <is>
          <t>Definition</t>
        </is>
      </c>
      <c r="C3" s="12" t="inlineStr">
        <is>
          <t>Examples</t>
        </is>
      </c>
      <c r="D3" s="12" t="inlineStr">
        <is>
          <t>Handling Requirements</t>
        </is>
      </c>
      <c r="E3" s="12" t="inlineStr">
        <is>
          <t>Access Controls</t>
        </is>
      </c>
      <c r="F3" s="12" t="inlineStr">
        <is>
          <t>Encryption Required</t>
        </is>
      </c>
      <c r="G3" s="12" t="inlineStr">
        <is>
          <t>DLP Monitoring</t>
        </is>
      </c>
      <c r="H3" s="12" t="inlineStr">
        <is>
          <t>Retention Period</t>
        </is>
      </c>
      <c r="I3" s="12" t="inlineStr">
        <is>
          <t>Disposal Method</t>
        </is>
      </c>
      <c r="J3" s="12" t="inlineStr">
        <is>
          <t>Evidence ID</t>
        </is>
      </c>
    </row>
    <row r="4">
      <c r="A4" s="13" t="inlineStr">
        <is>
          <t>Public</t>
        </is>
      </c>
      <c r="B4" s="14" t="inlineStr">
        <is>
          <t>[Define what Public means for your organization]</t>
        </is>
      </c>
      <c r="C4" s="14" t="inlineStr">
        <is>
          <t>[Examples: Press releases, marketing materials, public website]</t>
        </is>
      </c>
      <c r="D4" s="14" t="inlineStr">
        <is>
          <t>[Handling: Can be shared externally]</t>
        </is>
      </c>
      <c r="E4" s="14" t="inlineStr">
        <is>
          <t>[Access: No restrictions]</t>
        </is>
      </c>
      <c r="F4" s="14" t="n"/>
      <c r="G4" s="14" t="n"/>
      <c r="H4" s="14" t="n"/>
      <c r="I4" s="14" t="n"/>
      <c r="J4" s="14" t="n"/>
    </row>
    <row r="5">
      <c r="A5" s="13" t="inlineStr">
        <is>
          <t>Internal</t>
        </is>
      </c>
      <c r="B5" s="14" t="inlineStr">
        <is>
          <t>[Define Internal classification]</t>
        </is>
      </c>
      <c r="C5" s="14" t="inlineStr">
        <is>
          <t>[Examples: Internal policies, procedures, org charts]</t>
        </is>
      </c>
      <c r="D5" s="14" t="inlineStr">
        <is>
          <t>[Handling: Internal use only, no external sharing without approval]</t>
        </is>
      </c>
      <c r="E5" s="14" t="inlineStr">
        <is>
          <t>[Access: All employees]</t>
        </is>
      </c>
      <c r="F5" s="14" t="n"/>
      <c r="G5" s="14" t="n"/>
      <c r="H5" s="14" t="n"/>
      <c r="I5" s="14" t="n"/>
      <c r="J5" s="14" t="n"/>
    </row>
    <row r="6">
      <c r="A6" s="13" t="inlineStr">
        <is>
          <t>Confidential</t>
        </is>
      </c>
      <c r="B6" s="14" t="inlineStr">
        <is>
          <t>[Define Confidential classification]</t>
        </is>
      </c>
      <c r="C6" s="14" t="inlineStr">
        <is>
          <t>[Examples: Customer lists, financial reports, contracts]</t>
        </is>
      </c>
      <c r="D6" s="14" t="inlineStr">
        <is>
          <t>[Handling: Limited distribution, need-to-know basis]</t>
        </is>
      </c>
      <c r="E6" s="14" t="inlineStr">
        <is>
          <t>[Access: Authorized personnel only]</t>
        </is>
      </c>
      <c r="F6" s="14" t="n"/>
      <c r="G6" s="14" t="n"/>
      <c r="H6" s="14" t="n"/>
      <c r="I6" s="14" t="n"/>
      <c r="J6" s="14" t="n"/>
    </row>
    <row r="7">
      <c r="A7" s="13" t="inlineStr">
        <is>
          <t>Restricted</t>
        </is>
      </c>
      <c r="B7" s="14" t="inlineStr">
        <is>
          <t>[Define Restricted classification]</t>
        </is>
      </c>
      <c r="C7" s="14" t="inlineStr">
        <is>
          <t>[Examples: Trade secrets, M&amp;A, executive comp, PII]</t>
        </is>
      </c>
      <c r="D7" s="14" t="inlineStr">
        <is>
          <t>[Handling: Strictly controlled, encrypted, logged access]</t>
        </is>
      </c>
      <c r="E7" s="14" t="inlineStr">
        <is>
          <t>[Access: Explicit authorization required]</t>
        </is>
      </c>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sheetData>
  <mergeCells count="2">
    <mergeCell ref="A1:J1"/>
    <mergeCell ref="A2:J2"/>
  </mergeCells>
  <dataValidations count="2">
    <dataValidation sqref="F4 F5 F6 F7 F8 F9 F10 F11 F12 F13" showDropDown="1" showInputMessage="0" showErrorMessage="0" allowBlank="0" type="list">
      <formula1>"Yes,No,N/A"</formula1>
    </dataValidation>
    <dataValidation sqref="G4 G5 G6 G7 G8 G9 G10 G11 G12 G13"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ySplit="3" topLeftCell="A4"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35" customWidth="1" min="5" max="5"/>
    <col width="25" customWidth="1" min="6" max="6"/>
    <col width="25" customWidth="1" min="7" max="7"/>
    <col width="18" customWidth="1" min="8" max="8"/>
    <col width="18" customWidth="1" min="9" max="9"/>
    <col width="18" customWidth="1" min="10" max="10"/>
    <col width="18" customWidth="1" min="11" max="11"/>
  </cols>
  <sheetData>
    <row r="1" ht="30" customHeight="1">
      <c r="A1" s="1" t="inlineStr">
        <is>
          <t>SENSITIVE DATA INVENTORY</t>
        </is>
      </c>
    </row>
    <row r="2" ht="25" customHeight="1">
      <c r="A2" s="2" t="inlineStr">
        <is>
          <t>Inventory ALL sensitive data categories requiring DLP protection</t>
        </is>
      </c>
    </row>
    <row r="3">
      <c r="A3" s="12" t="inlineStr">
        <is>
          <t>Data Category</t>
        </is>
      </c>
      <c r="B3" s="12" t="inlineStr">
        <is>
          <t>Data Type</t>
        </is>
      </c>
      <c r="C3" s="12" t="inlineStr">
        <is>
          <t>Classification Level</t>
        </is>
      </c>
      <c r="D3" s="12" t="inlineStr">
        <is>
          <t>Regulatory Requirement</t>
        </is>
      </c>
      <c r="E3" s="12" t="inlineStr">
        <is>
          <t>Data Examples</t>
        </is>
      </c>
      <c r="F3" s="12" t="inlineStr">
        <is>
          <t>Business Owner</t>
        </is>
      </c>
      <c r="G3" s="12" t="inlineStr">
        <is>
          <t>Data Steward</t>
        </is>
      </c>
      <c r="H3" s="12" t="inlineStr">
        <is>
          <t>Estimated Volume</t>
        </is>
      </c>
      <c r="I3" s="12" t="inlineStr">
        <is>
          <t>Discovery Status</t>
        </is>
      </c>
      <c r="J3" s="12" t="inlineStr">
        <is>
          <t>DLP Protection</t>
        </is>
      </c>
      <c r="K3" s="12" t="inlineStr">
        <is>
          <t>Evidence ID</t>
        </is>
      </c>
    </row>
    <row r="4">
      <c r="A4" s="15" t="inlineStr">
        <is>
          <t>Personal Names</t>
        </is>
      </c>
      <c r="B4" s="15" t="inlineStr">
        <is>
          <t>PII</t>
        </is>
      </c>
      <c r="C4" s="15" t="inlineStr">
        <is>
          <t>Confidential</t>
        </is>
      </c>
      <c r="D4" s="15" t="inlineStr">
        <is>
          <t>FADP/GDPR</t>
        </is>
      </c>
      <c r="E4" s="15" t="inlineStr">
        <is>
          <t>First name, last name, full name</t>
        </is>
      </c>
      <c r="F4" s="15" t="inlineStr">
        <is>
          <t>[Owner]</t>
        </is>
      </c>
      <c r="G4" s="15" t="inlineStr">
        <is>
          <t>[Steward]</t>
        </is>
      </c>
      <c r="H4" s="15" t="inlineStr">
        <is>
          <t>[Volume]</t>
        </is>
      </c>
      <c r="I4" s="15" t="inlineStr">
        <is>
          <t>Discovered</t>
        </is>
      </c>
      <c r="J4" s="15" t="inlineStr">
        <is>
          <t>Yes</t>
        </is>
      </c>
      <c r="K4" s="15" t="inlineStr">
        <is>
          <t>A812-2-INV-001</t>
        </is>
      </c>
    </row>
    <row r="5">
      <c r="A5" s="15" t="inlineStr">
        <is>
          <t>Email Addresses</t>
        </is>
      </c>
      <c r="B5" s="15" t="inlineStr">
        <is>
          <t>PII</t>
        </is>
      </c>
      <c r="C5" s="15" t="inlineStr">
        <is>
          <t>Confidential</t>
        </is>
      </c>
      <c r="D5" s="15" t="inlineStr">
        <is>
          <t>FADP/GDPR</t>
        </is>
      </c>
      <c r="E5" s="15" t="inlineStr">
        <is>
          <t>john.doe@example.com</t>
        </is>
      </c>
      <c r="F5" s="15" t="inlineStr">
        <is>
          <t>[Owner]</t>
        </is>
      </c>
      <c r="G5" s="15" t="inlineStr">
        <is>
          <t>[Steward]</t>
        </is>
      </c>
      <c r="H5" s="15" t="inlineStr">
        <is>
          <t>[Volume]</t>
        </is>
      </c>
      <c r="I5" s="15" t="inlineStr">
        <is>
          <t>Discovered</t>
        </is>
      </c>
      <c r="J5" s="15" t="inlineStr">
        <is>
          <t>Yes</t>
        </is>
      </c>
      <c r="K5" s="15" t="inlineStr">
        <is>
          <t>A812-2-INV-002</t>
        </is>
      </c>
    </row>
    <row r="6">
      <c r="A6" s="15" t="inlineStr">
        <is>
          <t>Swiss Social Security (AHV)</t>
        </is>
      </c>
      <c r="B6" s="15" t="inlineStr">
        <is>
          <t>PII</t>
        </is>
      </c>
      <c r="C6" s="15" t="inlineStr">
        <is>
          <t>Restricted</t>
        </is>
      </c>
      <c r="D6" s="15" t="inlineStr">
        <is>
          <t>FADP</t>
        </is>
      </c>
      <c r="E6" s="15" t="inlineStr">
        <is>
          <t>756.1234.5678.90</t>
        </is>
      </c>
      <c r="F6" s="15" t="inlineStr">
        <is>
          <t>[Owner]</t>
        </is>
      </c>
      <c r="G6" s="15" t="inlineStr">
        <is>
          <t>[Steward]</t>
        </is>
      </c>
      <c r="H6" s="15" t="inlineStr">
        <is>
          <t>[Volume]</t>
        </is>
      </c>
      <c r="I6" s="15" t="inlineStr">
        <is>
          <t>Discovered</t>
        </is>
      </c>
      <c r="J6" s="15" t="inlineStr">
        <is>
          <t>Yes</t>
        </is>
      </c>
      <c r="K6" s="15" t="inlineStr">
        <is>
          <t>A812-2-INV-003</t>
        </is>
      </c>
    </row>
    <row r="7">
      <c r="A7" s="15" t="inlineStr">
        <is>
          <t>Credit Card Numbers</t>
        </is>
      </c>
      <c r="B7" s="15" t="inlineStr">
        <is>
          <t>Financial</t>
        </is>
      </c>
      <c r="C7" s="15" t="inlineStr">
        <is>
          <t>Restricted</t>
        </is>
      </c>
      <c r="D7" s="15" t="inlineStr">
        <is>
          <t>PCI-DSS</t>
        </is>
      </c>
      <c r="E7" s="15" t="inlineStr">
        <is>
          <t>4111-1111-1111-1111</t>
        </is>
      </c>
      <c r="F7" s="15" t="inlineStr">
        <is>
          <t>[Owner]</t>
        </is>
      </c>
      <c r="G7" s="15" t="inlineStr">
        <is>
          <t>[Steward]</t>
        </is>
      </c>
      <c r="H7" s="15" t="inlineStr">
        <is>
          <t>[Volume]</t>
        </is>
      </c>
      <c r="I7" s="15" t="inlineStr">
        <is>
          <t>Discovered</t>
        </is>
      </c>
      <c r="J7" s="15" t="inlineStr">
        <is>
          <t>Yes</t>
        </is>
      </c>
      <c r="K7" s="15" t="inlineStr">
        <is>
          <t>A812-2-INV-004</t>
        </is>
      </c>
    </row>
    <row r="8">
      <c r="A8" s="15" t="inlineStr">
        <is>
          <t>Bank Account (IBAN)</t>
        </is>
      </c>
      <c r="B8" s="15" t="inlineStr">
        <is>
          <t>Financial</t>
        </is>
      </c>
      <c r="C8" s="15" t="inlineStr">
        <is>
          <t>Restricted</t>
        </is>
      </c>
      <c r="D8" s="15" t="inlineStr">
        <is>
          <t>FADP/GDPR</t>
        </is>
      </c>
      <c r="E8" s="15" t="inlineStr">
        <is>
          <t>CH93 0076 2011 6238 5295 7</t>
        </is>
      </c>
      <c r="F8" s="15" t="inlineStr">
        <is>
          <t>[Owner]</t>
        </is>
      </c>
      <c r="G8" s="15" t="inlineStr">
        <is>
          <t>[Steward]</t>
        </is>
      </c>
      <c r="H8" s="15" t="inlineStr">
        <is>
          <t>[Volume]</t>
        </is>
      </c>
      <c r="I8" s="15" t="inlineStr">
        <is>
          <t>Discovered</t>
        </is>
      </c>
      <c r="J8" s="15" t="inlineStr">
        <is>
          <t>Partial</t>
        </is>
      </c>
      <c r="K8" s="15" t="inlineStr">
        <is>
          <t>A812-2-INV-005</t>
        </is>
      </c>
    </row>
    <row r="9">
      <c r="A9" s="15" t="inlineStr">
        <is>
          <t>API Keys</t>
        </is>
      </c>
      <c r="B9" s="15" t="inlineStr">
        <is>
          <t>Credentials</t>
        </is>
      </c>
      <c r="C9" s="15" t="inlineStr">
        <is>
          <t>Restricted</t>
        </is>
      </c>
      <c r="D9" s="15" t="inlineStr">
        <is>
          <t>None</t>
        </is>
      </c>
      <c r="E9" s="15" t="inlineStr">
        <is>
          <t>sk_live_abcd1234efgh5678</t>
        </is>
      </c>
      <c r="F9" s="15" t="inlineStr">
        <is>
          <t>[Owner]</t>
        </is>
      </c>
      <c r="G9" s="15" t="inlineStr">
        <is>
          <t>[Steward]</t>
        </is>
      </c>
      <c r="H9" s="15" t="inlineStr">
        <is>
          <t>[Volume]</t>
        </is>
      </c>
      <c r="I9" s="15" t="inlineStr">
        <is>
          <t>In Progress</t>
        </is>
      </c>
      <c r="J9" s="15" t="inlineStr">
        <is>
          <t>Partial</t>
        </is>
      </c>
      <c r="K9" s="15" t="inlineStr">
        <is>
          <t>A812-2-INV-006</t>
        </is>
      </c>
    </row>
    <row r="10">
      <c r="A10" s="15" t="inlineStr">
        <is>
          <t>Source Code</t>
        </is>
      </c>
      <c r="B10" s="15" t="inlineStr">
        <is>
          <t>IP</t>
        </is>
      </c>
      <c r="C10" s="15" t="inlineStr">
        <is>
          <t>Confidential</t>
        </is>
      </c>
      <c r="D10" s="15" t="inlineStr">
        <is>
          <t>None</t>
        </is>
      </c>
      <c r="E10" s="15" t="inlineStr">
        <is>
          <t>Proprietary algorithms, trade secrets</t>
        </is>
      </c>
      <c r="F10" s="15" t="inlineStr">
        <is>
          <t>[Owner]</t>
        </is>
      </c>
      <c r="G10" s="15" t="inlineStr">
        <is>
          <t>[Steward]</t>
        </is>
      </c>
      <c r="H10" s="15" t="inlineStr">
        <is>
          <t>[Volume]</t>
        </is>
      </c>
      <c r="I10" s="15" t="inlineStr">
        <is>
          <t>Discovered</t>
        </is>
      </c>
      <c r="J10" s="15" t="inlineStr">
        <is>
          <t>Yes</t>
        </is>
      </c>
      <c r="K10" s="15" t="inlineStr">
        <is>
          <t>A812-2-INV-007</t>
        </is>
      </c>
    </row>
    <row r="11">
      <c r="A11" s="15" t="inlineStr">
        <is>
          <t>Customer Lists</t>
        </is>
      </c>
      <c r="B11" s="15" t="inlineStr">
        <is>
          <t>Business Confidential</t>
        </is>
      </c>
      <c r="C11" s="15" t="inlineStr">
        <is>
          <t>Confidential</t>
        </is>
      </c>
      <c r="D11" s="15" t="inlineStr">
        <is>
          <t>FADP/GDPR</t>
        </is>
      </c>
      <c r="E11" s="15" t="inlineStr">
        <is>
          <t>CRM exports, contact databases</t>
        </is>
      </c>
      <c r="F11" s="15" t="inlineStr">
        <is>
          <t>[Owner]</t>
        </is>
      </c>
      <c r="G11" s="15" t="inlineStr">
        <is>
          <t>[Steward]</t>
        </is>
      </c>
      <c r="H11" s="15" t="inlineStr">
        <is>
          <t>[Volume]</t>
        </is>
      </c>
      <c r="I11" s="15" t="inlineStr">
        <is>
          <t>Discovered</t>
        </is>
      </c>
      <c r="J11" s="15" t="inlineStr">
        <is>
          <t>Partial</t>
        </is>
      </c>
      <c r="K11" s="15" t="inlineStr">
        <is>
          <t>A812-2-INV-008</t>
        </is>
      </c>
    </row>
    <row r="12">
      <c r="A12" s="15" t="inlineStr">
        <is>
          <t>M&amp;A Documents</t>
        </is>
      </c>
      <c r="B12" s="15" t="inlineStr">
        <is>
          <t>Business Confidential</t>
        </is>
      </c>
      <c r="C12" s="15" t="inlineStr">
        <is>
          <t>Restricted</t>
        </is>
      </c>
      <c r="D12" s="15" t="inlineStr">
        <is>
          <t>None</t>
        </is>
      </c>
      <c r="E12" s="15" t="inlineStr">
        <is>
          <t>Acquisition targets, financial models</t>
        </is>
      </c>
      <c r="F12" s="15" t="inlineStr">
        <is>
          <t>[Owner]</t>
        </is>
      </c>
      <c r="G12" s="15" t="inlineStr">
        <is>
          <t>[Steward]</t>
        </is>
      </c>
      <c r="H12" s="15" t="inlineStr">
        <is>
          <t>[Volume]</t>
        </is>
      </c>
      <c r="I12" s="15" t="inlineStr">
        <is>
          <t>Discovered</t>
        </is>
      </c>
      <c r="J12" s="15" t="inlineStr">
        <is>
          <t>Yes</t>
        </is>
      </c>
      <c r="K12" s="15" t="inlineStr">
        <is>
          <t>A812-2-INV-009</t>
        </is>
      </c>
    </row>
    <row r="13">
      <c r="A13" s="15" t="inlineStr">
        <is>
          <t>Employee Health Records</t>
        </is>
      </c>
      <c r="B13" s="15" t="inlineStr">
        <is>
          <t>PII</t>
        </is>
      </c>
      <c r="C13" s="15" t="inlineStr">
        <is>
          <t>Restricted</t>
        </is>
      </c>
      <c r="D13" s="15" t="inlineStr">
        <is>
          <t>FADP/GDPR</t>
        </is>
      </c>
      <c r="E13" s="15" t="inlineStr">
        <is>
          <t>Medical diagnoses, disability status</t>
        </is>
      </c>
      <c r="F13" s="15" t="inlineStr">
        <is>
          <t>[Owner]</t>
        </is>
      </c>
      <c r="G13" s="15" t="inlineStr">
        <is>
          <t>[Steward]</t>
        </is>
      </c>
      <c r="H13" s="15" t="inlineStr">
        <is>
          <t>[Volume]</t>
        </is>
      </c>
      <c r="I13" s="15" t="inlineStr">
        <is>
          <t>Discovered</t>
        </is>
      </c>
      <c r="J13" s="15" t="inlineStr">
        <is>
          <t>Partial</t>
        </is>
      </c>
      <c r="K13" s="15" t="inlineStr">
        <is>
          <t>A812-2-INV-010</t>
        </is>
      </c>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sheetData>
  <mergeCells count="2">
    <mergeCell ref="A2:K2"/>
    <mergeCell ref="A1:K1"/>
  </mergeCells>
  <dataValidations count="5">
    <dataValidation sqref="B14 B15 B16 B17 B18 B19 B20 B21 B22 B23 B24 B25 B26 B27 B28 B29 B30 B31 B32 B33" showDropDown="1" showInputMessage="0" showErrorMessage="0" allowBlank="0" type="list">
      <formula1>"PII,Financial,IP,Credentials,Business Confidential,Other"</formula1>
    </dataValidation>
    <dataValidation sqref="C14 C15 C16 C17 C18 C19 C20 C21 C22 C23 C24 C25 C26 C27 C28 C29 C30 C31 C32 C33" showDropDown="1" showInputMessage="0" showErrorMessage="0" allowBlank="0" type="list">
      <formula1>"Public,Internal,Confidential,Restricted"</formula1>
    </dataValidation>
    <dataValidation sqref="D14 D15 D16 D17 D18 D19 D20 D21 D22 D23 D24 D25 D26 D27 D28 D29 D30 D31 D32 D33" showDropDown="1" showInputMessage="0" showErrorMessage="0" allowBlank="0" type="list">
      <formula1>"FADP,GDPR,PCI-DSS,FADP/GDPR,Multiple,None"</formula1>
    </dataValidation>
    <dataValidation sqref="I14 I15 I16 I17 I18 I19 I20 I21 I22 I23 I24 I25 I26 I27 I28 I29 I30 I31 I32 I33" showDropDown="1" showInputMessage="0" showErrorMessage="0" allowBlank="0" type="list">
      <formula1>"Discovered,In Progress,Not Started"</formula1>
    </dataValidation>
    <dataValidation sqref="J14 J15 J16 J17 J18 J19 J20 J21 J22 J23 J24 J25 J26 J27 J28 J29 J30 J31 J32 J33"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
  <sheetViews>
    <sheetView workbookViewId="0">
      <pane ySplit="3" topLeftCell="A4" activePane="bottomLeft" state="frozen"/>
      <selection pane="bottomLeft" activeCell="A1" sqref="A1"/>
    </sheetView>
  </sheetViews>
  <sheetFormatPr baseColWidth="8" defaultRowHeight="15"/>
  <cols>
    <col width="30" customWidth="1" min="1" max="1"/>
    <col width="20" customWidth="1" min="2" max="2"/>
    <col width="30" customWidth="1" min="3" max="3"/>
    <col width="35" customWidth="1" min="4" max="4"/>
    <col width="18" customWidth="1" min="5" max="5"/>
    <col width="15" customWidth="1" min="6" max="6"/>
    <col width="18" customWidth="1" min="7" max="7"/>
    <col width="18" customWidth="1" min="8" max="8"/>
    <col width="18" customWidth="1" min="9" max="9"/>
    <col width="18" customWidth="1" min="10" max="10"/>
    <col width="18" customWidth="1" min="11" max="11"/>
  </cols>
  <sheetData>
    <row r="1" ht="30" customHeight="1">
      <c r="A1" s="1" t="inlineStr">
        <is>
          <t>DATA LOCATION MAPPING</t>
        </is>
      </c>
    </row>
    <row r="2" ht="25" customHeight="1">
      <c r="A2" s="2" t="inlineStr">
        <is>
          <t>Map sensitive data categories to storage locations (file servers, databases, cloud, endpoints)</t>
        </is>
      </c>
    </row>
    <row r="3">
      <c r="A3" s="12" t="inlineStr">
        <is>
          <t>Data Category</t>
        </is>
      </c>
      <c r="B3" s="12" t="inlineStr">
        <is>
          <t>Storage Location Type</t>
        </is>
      </c>
      <c r="C3" s="12" t="inlineStr">
        <is>
          <t>Specific Location</t>
        </is>
      </c>
      <c r="D3" s="12" t="inlineStr">
        <is>
          <t>Path/Schema</t>
        </is>
      </c>
      <c r="E3" s="12" t="inlineStr">
        <is>
          <t>Estimated Records/Files</t>
        </is>
      </c>
      <c r="F3" s="12" t="inlineStr">
        <is>
          <t>Last Discovery Scan</t>
        </is>
      </c>
      <c r="G3" s="12" t="inlineStr">
        <is>
          <t>DLP Coverage</t>
        </is>
      </c>
      <c r="H3" s="12" t="inlineStr">
        <is>
          <t>Encryption at Rest</t>
        </is>
      </c>
      <c r="I3" s="12" t="inlineStr">
        <is>
          <t>Access Controls</t>
        </is>
      </c>
      <c r="J3" s="12" t="inlineStr">
        <is>
          <t>Data Owner Notified</t>
        </is>
      </c>
      <c r="K3" s="12" t="inlineStr">
        <is>
          <t>Evidence ID</t>
        </is>
      </c>
    </row>
    <row r="4">
      <c r="A4" s="15" t="inlineStr">
        <is>
          <t>Credit Card Numbers</t>
        </is>
      </c>
      <c r="B4" s="15" t="inlineStr">
        <is>
          <t>Database</t>
        </is>
      </c>
      <c r="C4" s="15" t="inlineStr">
        <is>
          <t>SQL-PROD-01</t>
        </is>
      </c>
      <c r="D4" s="15" t="inlineStr">
        <is>
          <t>dbo.Payments.CCNumber</t>
        </is>
      </c>
      <c r="E4" s="15" t="inlineStr">
        <is>
          <t>250000</t>
        </is>
      </c>
      <c r="F4" s="15" t="inlineStr">
        <is>
          <t>2024-12-10</t>
        </is>
      </c>
      <c r="G4" s="15" t="inlineStr">
        <is>
          <t>Yes</t>
        </is>
      </c>
      <c r="H4" s="15" t="inlineStr">
        <is>
          <t>Yes</t>
        </is>
      </c>
      <c r="I4" s="15" t="inlineStr">
        <is>
          <t>Yes</t>
        </is>
      </c>
      <c r="J4" s="15" t="inlineStr">
        <is>
          <t>Yes</t>
        </is>
      </c>
      <c r="K4" s="15" t="inlineStr">
        <is>
          <t>A812-2-LOC-001</t>
        </is>
      </c>
    </row>
    <row r="5">
      <c r="A5" s="15" t="inlineStr">
        <is>
          <t>Customer PII</t>
        </is>
      </c>
      <c r="B5" s="15" t="inlineStr">
        <is>
          <t>File Server</t>
        </is>
      </c>
      <c r="C5" s="15" t="inlineStr">
        <is>
          <t>FS-HR-01</t>
        </is>
      </c>
      <c r="D5" s="15" t="inlineStr">
        <is>
          <t>\\HR\PersonnelFiles\</t>
        </is>
      </c>
      <c r="E5" s="15" t="inlineStr">
        <is>
          <t>5000</t>
        </is>
      </c>
      <c r="F5" s="15" t="inlineStr">
        <is>
          <t>2024-12-15</t>
        </is>
      </c>
      <c r="G5" s="15" t="inlineStr">
        <is>
          <t>Partial</t>
        </is>
      </c>
      <c r="H5" s="15" t="inlineStr">
        <is>
          <t>Yes</t>
        </is>
      </c>
      <c r="I5" s="15" t="inlineStr">
        <is>
          <t>Yes</t>
        </is>
      </c>
      <c r="J5" s="15" t="inlineStr">
        <is>
          <t>Yes</t>
        </is>
      </c>
      <c r="K5" s="15" t="inlineStr">
        <is>
          <t>A812-2-LOC-002</t>
        </is>
      </c>
    </row>
    <row r="6">
      <c r="A6" s="15" t="inlineStr">
        <is>
          <t>Source Code</t>
        </is>
      </c>
      <c r="B6" s="15" t="inlineStr">
        <is>
          <t>Cloud</t>
        </is>
      </c>
      <c r="C6" s="15" t="inlineStr">
        <is>
          <t>GitHub Enterprise</t>
        </is>
      </c>
      <c r="D6" s="15" t="inlineStr">
        <is>
          <t>/repos/proprietary/</t>
        </is>
      </c>
      <c r="E6" s="15" t="inlineStr">
        <is>
          <t>150</t>
        </is>
      </c>
      <c r="F6" s="15" t="inlineStr">
        <is>
          <t>2024-12-01</t>
        </is>
      </c>
      <c r="G6" s="15" t="inlineStr">
        <is>
          <t>Yes</t>
        </is>
      </c>
      <c r="H6" s="15" t="inlineStr">
        <is>
          <t>Yes</t>
        </is>
      </c>
      <c r="I6" s="15" t="inlineStr">
        <is>
          <t>Yes</t>
        </is>
      </c>
      <c r="J6" s="15" t="inlineStr">
        <is>
          <t>Yes</t>
        </is>
      </c>
      <c r="K6" s="15" t="inlineStr">
        <is>
          <t>A812-2-LOC-003</t>
        </is>
      </c>
    </row>
    <row r="7">
      <c r="A7" s="15" t="inlineStr">
        <is>
          <t>API Keys</t>
        </is>
      </c>
      <c r="B7" s="15" t="inlineStr">
        <is>
          <t>Endpoint</t>
        </is>
      </c>
      <c r="C7" s="15" t="inlineStr">
        <is>
          <t>Developer Workstations</t>
        </is>
      </c>
      <c r="D7" s="15" t="inlineStr">
        <is>
          <t>Various local configs</t>
        </is>
      </c>
      <c r="E7" s="15" t="inlineStr">
        <is>
          <t>[Unknown]</t>
        </is>
      </c>
      <c r="F7" s="15" t="inlineStr">
        <is>
          <t>2024-11-20</t>
        </is>
      </c>
      <c r="G7" s="15" t="inlineStr">
        <is>
          <t>No</t>
        </is>
      </c>
      <c r="H7" s="15" t="inlineStr">
        <is>
          <t>Partial</t>
        </is>
      </c>
      <c r="I7" s="15" t="inlineStr">
        <is>
          <t>Partial</t>
        </is>
      </c>
      <c r="J7" s="15" t="inlineStr">
        <is>
          <t>No</t>
        </is>
      </c>
      <c r="K7" s="15" t="inlineStr">
        <is>
          <t>A812-2-LOC-004</t>
        </is>
      </c>
    </row>
    <row r="8">
      <c r="A8" s="15" t="inlineStr">
        <is>
          <t>Email Archives</t>
        </is>
      </c>
      <c r="B8" s="15" t="inlineStr">
        <is>
          <t>Email</t>
        </is>
      </c>
      <c r="C8" s="15" t="inlineStr">
        <is>
          <t>M365 Exchange Online</t>
        </is>
      </c>
      <c r="D8" s="15" t="inlineStr">
        <is>
          <t>All mailboxes</t>
        </is>
      </c>
      <c r="E8" s="15" t="inlineStr">
        <is>
          <t>2000000</t>
        </is>
      </c>
      <c r="F8" s="15" t="inlineStr">
        <is>
          <t>2024-12-20</t>
        </is>
      </c>
      <c r="G8" s="15" t="inlineStr">
        <is>
          <t>Yes</t>
        </is>
      </c>
      <c r="H8" s="15" t="inlineStr">
        <is>
          <t>Yes</t>
        </is>
      </c>
      <c r="I8" s="15" t="inlineStr">
        <is>
          <t>Yes</t>
        </is>
      </c>
      <c r="J8" s="15" t="inlineStr">
        <is>
          <t>Yes</t>
        </is>
      </c>
      <c r="K8" s="15" t="inlineStr">
        <is>
          <t>A812-2-LOC-005</t>
        </is>
      </c>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s="14" t="n"/>
      <c r="B40" s="14" t="n"/>
      <c r="C40" s="14" t="n"/>
      <c r="D40" s="14" t="n"/>
      <c r="E40" s="14" t="n"/>
      <c r="F40" s="14" t="n"/>
      <c r="G40" s="14" t="n"/>
      <c r="H40" s="14" t="n"/>
      <c r="I40" s="14" t="n"/>
      <c r="J40" s="14" t="n"/>
      <c r="K40" s="14" t="n"/>
    </row>
    <row r="41">
      <c r="A41" s="14" t="n"/>
      <c r="B41" s="14" t="n"/>
      <c r="C41" s="14" t="n"/>
      <c r="D41" s="14" t="n"/>
      <c r="E41" s="14" t="n"/>
      <c r="F41" s="14" t="n"/>
      <c r="G41" s="14" t="n"/>
      <c r="H41" s="14" t="n"/>
      <c r="I41" s="14" t="n"/>
      <c r="J41" s="14" t="n"/>
      <c r="K41" s="14" t="n"/>
    </row>
    <row r="42">
      <c r="A42" s="14" t="n"/>
      <c r="B42" s="14" t="n"/>
      <c r="C42" s="14" t="n"/>
      <c r="D42" s="14" t="n"/>
      <c r="E42" s="14" t="n"/>
      <c r="F42" s="14" t="n"/>
      <c r="G42" s="14" t="n"/>
      <c r="H42" s="14" t="n"/>
      <c r="I42" s="14" t="n"/>
      <c r="J42" s="14" t="n"/>
      <c r="K42" s="14" t="n"/>
    </row>
    <row r="43">
      <c r="A43" s="14" t="n"/>
      <c r="B43" s="14" t="n"/>
      <c r="C43" s="14" t="n"/>
      <c r="D43" s="14" t="n"/>
      <c r="E43" s="14" t="n"/>
      <c r="F43" s="14" t="n"/>
      <c r="G43" s="14" t="n"/>
      <c r="H43" s="14" t="n"/>
      <c r="I43" s="14" t="n"/>
      <c r="J43" s="14" t="n"/>
      <c r="K43" s="14" t="n"/>
    </row>
    <row r="44"/>
  </sheetData>
  <mergeCells count="2">
    <mergeCell ref="A2:K2"/>
    <mergeCell ref="A1:K1"/>
  </mergeCells>
  <dataValidations count="5">
    <dataValidation sqref="B9 B10 B11 B12 B13 B14 B15 B16 B17 B18 B19 B20 B21 B22 B23 B24 B25 B26 B27 B28 B29 B30 B31 B32 B33 B34 B35 B36 B37 B38 B39 B40 B41 B42 B43 B44" showDropDown="1" showInputMessage="0" showErrorMessage="0" allowBlank="0" type="list">
      <formula1>"File Server,Database,Endpoint,Cloud,Email,Backup,Other"</formula1>
    </dataValidation>
    <dataValidation sqref="G9 G10 G11 G12 G13 G14 G15 G16 G17 G18 G19 G20 G21 G22 G23 G24 G25 G26 G27 G28 G29 G30 G31 G32 G33 G34 G35 G36 G37 G38 G39 G40 G41 G42 G43 G44 H9 H10 H11 H12 H13 H14 H15 H16 H17 H18 H19 H20 H21 H22 H23 H24 H25 H26 H27 H28 H29 H30 H31 H32 H33 H34 H35 H36 H37 H38 H39 H40 H41 H42 H43 H44 I9 I10 I11 I12 I13 I14 I15 I16 I17 I18 I19 I20 I21 I22 I23 I24 I25 I26 I27 I28 I29 I30 I31 I32 I33 I34 I35 I36 I37 I38 I39 I40 I41 I42 I43 I44" showDropDown="1" showInputMessage="0" showErrorMessage="1" allowBlank="0" errorTitle="Invalid Entry" error="Invalid value. Select from dropdown." type="list">
      <formula1>"Yes,No,Partial,Planned,N/A"</formula1>
    </dataValidation>
    <dataValidation sqref="G9 G10 G11 G12 G13 G14 G15 G16 G17 G18 G19 G20 G21 G22 G23 G24 G25 G26 G27 G28 G29 G30 G31 G32 G33 G34 G35 G36 G37 G38 G39 G40 G41 G42 G43 G44 H9 H10 H11 H12 H13 H14 H15 H16 H17 H18 H19 H20 H21 H22 H23 H24 H25 H26 H27 H28 H29 H30 H31 H32 H33 H34 H35 H36 H37 H38 H39 H40 H41 H42 H43 H44 I9 I10 I11 I12 I13 I14 I15 I16 I17 I18 I19 I20 I21 I22 I23 I24 I25 I26 I27 I28 I29 I30 I31 I32 I33 I34 I35 I36 I37 I38 I39 I40 I41 I42 I43 I44" showDropDown="1" showInputMessage="0" showErrorMessage="1" allowBlank="0" errorTitle="Invalid Entry" error="Invalid value. Select from dropdown." type="list">
      <formula1>"Yes,No,Partial,Planned,N/A"</formula1>
    </dataValidation>
    <dataValidation sqref="G9 G10 G11 G12 G13 G14 G15 G16 G17 G18 G19 G20 G21 G22 G23 G24 G25 G26 G27 G28 G29 G30 G31 G32 G33 G34 G35 G36 G37 G38 G39 G40 G41 G42 G43 G44 H9 H10 H11 H12 H13 H14 H15 H16 H17 H18 H19 H20 H21 H22 H23 H24 H25 H26 H27 H28 H29 H30 H31 H32 H33 H34 H35 H36 H37 H38 H39 H40 H41 H42 H43 H44 I9 I10 I11 I12 I13 I14 I15 I16 I17 I18 I19 I20 I21 I22 I23 I24 I25 I26 I27 I28 I29 I30 I31 I32 I33 I34 I35 I36 I37 I38 I39 I40 I41 I42 I43 I44" showDropDown="1" showInputMessage="0" showErrorMessage="1" allowBlank="0" errorTitle="Invalid Entry" error="Invalid value. Select from dropdown." type="list">
      <formula1>"Yes,No,Partial,Planned,N/A"</formula1>
    </dataValidation>
    <dataValidation sqref="J9 J10 J11 J12 J13 J14 J15 J16 J17 J18 J19 J20 J21 J22 J23 J24 J25 J26 J27 J28 J29 J30 J31 J32 J33 J34 J35 J36 J37 J38 J39 J40 J41 J42 J43 J44" showDropDown="1"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
  <sheetViews>
    <sheetView workbookViewId="0">
      <pane ySplit="3" topLeftCell="A4" activePane="bottomLeft" state="frozen"/>
      <selection pane="bottomLeft" activeCell="A1" sqref="A1"/>
    </sheetView>
  </sheetViews>
  <sheetFormatPr baseColWidth="8" defaultRowHeight="15"/>
  <cols>
    <col width="30" customWidth="1" min="1" max="1"/>
    <col width="25" customWidth="1" min="2" max="2"/>
    <col width="20" customWidth="1" min="3" max="3"/>
    <col width="30" customWidth="1" min="4" max="4"/>
    <col width="25" customWidth="1" min="5" max="5"/>
    <col width="20" customWidth="1" min="6" max="6"/>
    <col width="30" customWidth="1" min="7" max="7"/>
    <col width="18" customWidth="1" min="8" max="8"/>
    <col width="18" customWidth="1" min="9" max="9"/>
    <col width="15" customWidth="1" min="10" max="10"/>
    <col width="18" customWidth="1" min="11" max="11"/>
  </cols>
  <sheetData>
    <row r="1" ht="30" customHeight="1">
      <c r="A1" s="1" t="inlineStr">
        <is>
          <t>DATA OWNER ASSIGNMENT</t>
        </is>
      </c>
    </row>
    <row r="2" ht="25" customHeight="1">
      <c r="A2" s="2" t="inlineStr">
        <is>
          <t>Assign data owners and stewards for each data category - accountability is key!</t>
        </is>
      </c>
    </row>
    <row r="3">
      <c r="A3" s="12" t="inlineStr">
        <is>
          <t>Data Category</t>
        </is>
      </c>
      <c r="B3" s="12" t="inlineStr">
        <is>
          <t>Business Owner Name</t>
        </is>
      </c>
      <c r="C3" s="12" t="inlineStr">
        <is>
          <t>Business Owner Department</t>
        </is>
      </c>
      <c r="D3" s="12" t="inlineStr">
        <is>
          <t>Business Owner Email</t>
        </is>
      </c>
      <c r="E3" s="12" t="inlineStr">
        <is>
          <t>Data Steward Name</t>
        </is>
      </c>
      <c r="F3" s="12" t="inlineStr">
        <is>
          <t>Data Steward Department</t>
        </is>
      </c>
      <c r="G3" s="12" t="inlineStr">
        <is>
          <t>Data Steward Email</t>
        </is>
      </c>
      <c r="H3" s="12" t="inlineStr">
        <is>
          <t>Ownership Documented</t>
        </is>
      </c>
      <c r="I3" s="12" t="inlineStr">
        <is>
          <t>Owner Training Complete</t>
        </is>
      </c>
      <c r="J3" s="12" t="inlineStr">
        <is>
          <t>Last Review Date</t>
        </is>
      </c>
      <c r="K3" s="12" t="inlineStr">
        <is>
          <t>Evidence ID</t>
        </is>
      </c>
    </row>
    <row r="4">
      <c r="A4" s="15" t="inlineStr">
        <is>
          <t>Customer PII</t>
        </is>
      </c>
      <c r="B4" s="15" t="inlineStr">
        <is>
          <t>Jane Smith</t>
        </is>
      </c>
      <c r="C4" s="15" t="inlineStr">
        <is>
          <t>Sales</t>
        </is>
      </c>
      <c r="D4" s="15" t="inlineStr">
        <is>
          <t>jane.smith@example.com</t>
        </is>
      </c>
      <c r="E4" s="15" t="inlineStr">
        <is>
          <t>John Security</t>
        </is>
      </c>
      <c r="F4" s="15" t="inlineStr">
        <is>
          <t>IT Security</t>
        </is>
      </c>
      <c r="G4" s="15" t="inlineStr">
        <is>
          <t>john.sec@example.com</t>
        </is>
      </c>
      <c r="H4" s="15" t="inlineStr">
        <is>
          <t>Yes</t>
        </is>
      </c>
      <c r="I4" s="15" t="inlineStr">
        <is>
          <t>Yes</t>
        </is>
      </c>
      <c r="J4" s="15" t="inlineStr">
        <is>
          <t>2024-12-01</t>
        </is>
      </c>
      <c r="K4" s="15" t="inlineStr">
        <is>
          <t>A812-2-OWN-001</t>
        </is>
      </c>
    </row>
    <row r="5">
      <c r="A5" s="15" t="inlineStr">
        <is>
          <t>Financial Data</t>
        </is>
      </c>
      <c r="B5" s="15" t="inlineStr">
        <is>
          <t>Robert Johnson</t>
        </is>
      </c>
      <c r="C5" s="15" t="inlineStr">
        <is>
          <t>Finance</t>
        </is>
      </c>
      <c r="D5" s="15" t="inlineStr">
        <is>
          <t>robert.j@example.com</t>
        </is>
      </c>
      <c r="E5" s="15" t="inlineStr">
        <is>
          <t>Mary InfoSec</t>
        </is>
      </c>
      <c r="F5" s="15" t="inlineStr">
        <is>
          <t>IT Security</t>
        </is>
      </c>
      <c r="G5" s="15" t="inlineStr">
        <is>
          <t>mary.is@example.com</t>
        </is>
      </c>
      <c r="H5" s="15" t="inlineStr">
        <is>
          <t>Yes</t>
        </is>
      </c>
      <c r="I5" s="15" t="inlineStr">
        <is>
          <t>Partial</t>
        </is>
      </c>
      <c r="J5" s="15" t="inlineStr">
        <is>
          <t>2024-11-15</t>
        </is>
      </c>
      <c r="K5" s="15" t="inlineStr">
        <is>
          <t>A812-2-OWN-002</t>
        </is>
      </c>
    </row>
    <row r="6">
      <c r="A6" s="15" t="inlineStr">
        <is>
          <t>Source Code</t>
        </is>
      </c>
      <c r="B6" s="15" t="inlineStr">
        <is>
          <t>Alice Developer</t>
        </is>
      </c>
      <c r="C6" s="15" t="inlineStr">
        <is>
          <t>R&amp;D</t>
        </is>
      </c>
      <c r="D6" s="15" t="inlineStr">
        <is>
          <t>alice.dev@example.com</t>
        </is>
      </c>
      <c r="E6" s="15" t="inlineStr">
        <is>
          <t>Bob CISO</t>
        </is>
      </c>
      <c r="F6" s="15" t="inlineStr">
        <is>
          <t>IT Security</t>
        </is>
      </c>
      <c r="G6" s="15" t="inlineStr">
        <is>
          <t>bob.ciso@example.com</t>
        </is>
      </c>
      <c r="H6" s="15" t="inlineStr">
        <is>
          <t>Yes</t>
        </is>
      </c>
      <c r="I6" s="15" t="inlineStr">
        <is>
          <t>Yes</t>
        </is>
      </c>
      <c r="J6" s="15" t="inlineStr">
        <is>
          <t>2024-12-10</t>
        </is>
      </c>
      <c r="K6" s="15" t="inlineStr">
        <is>
          <t>A812-2-OWN-003</t>
        </is>
      </c>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sheetData>
  <mergeCells count="2">
    <mergeCell ref="A2:K2"/>
    <mergeCell ref="A1:K1"/>
  </mergeCells>
  <dataValidations count="2">
    <dataValidation sqref="H7 H8 H9 H10 H11 H12 H13 H14 H15 H16 H17 H18 H19 H20 H21 H22 H23 H24 H25 H26 H27 H28 H29 H30 H31 H32 H33" showDropDown="1" showInputMessage="0" showErrorMessage="0" allowBlank="0" type="list">
      <formula1>"Yes,No,Pending"</formula1>
    </dataValidation>
    <dataValidation sqref="I7 I8 I9 I10 I11 I12 I13 I14 I15 I16 I17 I18 I19 I20 I21 I22 I23 I24 I25 I26 I27 I28 I29 I30 I31 I32 I33"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40" customWidth="1" min="4" max="4"/>
    <col width="18" customWidth="1" min="5" max="5"/>
    <col width="18" customWidth="1" min="6" max="6"/>
    <col width="18" customWidth="1" min="7" max="7"/>
    <col width="30" customWidth="1" min="8" max="8"/>
    <col width="18" customWidth="1" min="9" max="9"/>
  </cols>
  <sheetData>
    <row r="1" ht="30" customHeight="1">
      <c r="A1" s="1" t="inlineStr">
        <is>
          <t>REGULATORY COMPLIANCE MAPPING</t>
        </is>
      </c>
    </row>
    <row r="2" ht="25" customHeight="1">
      <c r="A2" s="2" t="inlineStr">
        <is>
          <t>Map data categories to regulatory requirements (FADP, GDPR, PCI-DSS, etc.)</t>
        </is>
      </c>
    </row>
    <row r="3">
      <c r="A3" s="12" t="inlineStr">
        <is>
          <t>Data Category</t>
        </is>
      </c>
      <c r="B3" s="12" t="inlineStr">
        <is>
          <t>Regulation</t>
        </is>
      </c>
      <c r="C3" s="12" t="inlineStr">
        <is>
          <t>Specific Article/Section</t>
        </is>
      </c>
      <c r="D3" s="12" t="inlineStr">
        <is>
          <t>Requirement Summary</t>
        </is>
      </c>
      <c r="E3" s="12" t="inlineStr">
        <is>
          <t>Compliance Status</t>
        </is>
      </c>
      <c r="F3" s="12" t="inlineStr">
        <is>
          <t>DLP Controls Required</t>
        </is>
      </c>
      <c r="G3" s="12" t="inlineStr">
        <is>
          <t>Breach Notification Required</t>
        </is>
      </c>
      <c r="H3" s="12" t="inlineStr">
        <is>
          <t>Data Subject Rights</t>
        </is>
      </c>
      <c r="I3" s="12" t="inlineStr">
        <is>
          <t>Evidence ID</t>
        </is>
      </c>
    </row>
    <row r="4">
      <c r="A4" s="15" t="inlineStr">
        <is>
          <t>Personal Names</t>
        </is>
      </c>
      <c r="B4" s="15" t="inlineStr">
        <is>
          <t>FADP</t>
        </is>
      </c>
      <c r="C4" s="15" t="inlineStr">
        <is>
          <t>Article 4(1)</t>
        </is>
      </c>
      <c r="D4" s="15" t="inlineStr">
        <is>
          <t>Defined as personal data, requires appropriate protection measures</t>
        </is>
      </c>
      <c r="E4" s="15" t="inlineStr">
        <is>
          <t>Compliant</t>
        </is>
      </c>
      <c r="F4" s="15" t="inlineStr">
        <is>
          <t>Yes</t>
        </is>
      </c>
      <c r="G4" s="15" t="inlineStr">
        <is>
          <t>Yes</t>
        </is>
      </c>
      <c r="H4" s="15" t="inlineStr">
        <is>
          <t>Access, deletion, portability</t>
        </is>
      </c>
      <c r="I4" s="15" t="inlineStr">
        <is>
          <t>A812-2-REG-001</t>
        </is>
      </c>
    </row>
    <row r="5">
      <c r="A5" s="15" t="inlineStr">
        <is>
          <t>Special Category PII</t>
        </is>
      </c>
      <c r="B5" s="15" t="inlineStr">
        <is>
          <t>GDPR</t>
        </is>
      </c>
      <c r="C5" s="15" t="inlineStr">
        <is>
          <t>Article 9</t>
        </is>
      </c>
      <c r="D5" s="15" t="inlineStr">
        <is>
          <t>Sensitive data (health, biometric, etc.) - strict processing rules</t>
        </is>
      </c>
      <c r="E5" s="15" t="inlineStr">
        <is>
          <t>Compliant</t>
        </is>
      </c>
      <c r="F5" s="15" t="inlineStr">
        <is>
          <t>Yes</t>
        </is>
      </c>
      <c r="G5" s="15" t="inlineStr">
        <is>
          <t>Yes</t>
        </is>
      </c>
      <c r="H5" s="15" t="inlineStr">
        <is>
          <t>All GDPR rights apply</t>
        </is>
      </c>
      <c r="I5" s="15" t="inlineStr">
        <is>
          <t>A812-2-REG-002</t>
        </is>
      </c>
    </row>
    <row r="6">
      <c r="A6" s="15" t="inlineStr">
        <is>
          <t>Credit Card Numbers</t>
        </is>
      </c>
      <c r="B6" s="15" t="inlineStr">
        <is>
          <t>PCI-DSS</t>
        </is>
      </c>
      <c r="C6" s="15" t="inlineStr">
        <is>
          <t>Requirement 3</t>
        </is>
      </c>
      <c r="D6" s="15" t="inlineStr">
        <is>
          <t>Protect stored cardholder data with encryption and access controls</t>
        </is>
      </c>
      <c r="E6" s="15" t="inlineStr">
        <is>
          <t>Partial</t>
        </is>
      </c>
      <c r="F6" s="15" t="inlineStr">
        <is>
          <t>Yes</t>
        </is>
      </c>
      <c r="G6" s="15" t="inlineStr">
        <is>
          <t>Yes</t>
        </is>
      </c>
      <c r="H6" s="15" t="inlineStr">
        <is>
          <t>N/A (PCI-DSS)</t>
        </is>
      </c>
      <c r="I6" s="15" t="inlineStr">
        <is>
          <t>A812-2-REG-003</t>
        </is>
      </c>
    </row>
    <row r="7">
      <c r="A7" s="15" t="inlineStr">
        <is>
          <t>Swiss AHV Number</t>
        </is>
      </c>
      <c r="B7" s="15" t="inlineStr">
        <is>
          <t>FADP</t>
        </is>
      </c>
      <c r="C7" s="15" t="inlineStr">
        <is>
          <t>Article 5</t>
        </is>
      </c>
      <c r="D7" s="15" t="inlineStr">
        <is>
          <t>Special category personal data, heightened protection required</t>
        </is>
      </c>
      <c r="E7" s="15" t="inlineStr">
        <is>
          <t>Compliant</t>
        </is>
      </c>
      <c r="F7" s="15" t="inlineStr">
        <is>
          <t>Yes</t>
        </is>
      </c>
      <c r="G7" s="15" t="inlineStr">
        <is>
          <t>Yes</t>
        </is>
      </c>
      <c r="H7" s="15" t="inlineStr">
        <is>
          <t>Access, deletion, correction</t>
        </is>
      </c>
      <c r="I7" s="15" t="inlineStr">
        <is>
          <t>A812-2-REG-004</t>
        </is>
      </c>
    </row>
    <row r="8">
      <c r="A8" s="15" t="inlineStr">
        <is>
          <t>Employee Health Data</t>
        </is>
      </c>
      <c r="B8" s="15" t="inlineStr">
        <is>
          <t>FADP/GDPR</t>
        </is>
      </c>
      <c r="C8" s="15" t="inlineStr">
        <is>
          <t>FADP Art 5, GDPR Art 9</t>
        </is>
      </c>
      <c r="D8" s="15" t="inlineStr">
        <is>
          <t>Health data is special category, strict consent and security</t>
        </is>
      </c>
      <c r="E8" s="15" t="inlineStr">
        <is>
          <t>Compliant</t>
        </is>
      </c>
      <c r="F8" s="15" t="inlineStr">
        <is>
          <t>Yes</t>
        </is>
      </c>
      <c r="G8" s="15" t="inlineStr">
        <is>
          <t>Yes</t>
        </is>
      </c>
      <c r="H8" s="15" t="inlineStr">
        <is>
          <t>All data subject rights</t>
        </is>
      </c>
      <c r="I8" s="15" t="inlineStr">
        <is>
          <t>A812-2-REG-005</t>
        </is>
      </c>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sheetData>
  <mergeCells count="2">
    <mergeCell ref="A1:I1"/>
    <mergeCell ref="A2:I2"/>
  </mergeCells>
  <dataValidations count="4">
    <dataValidation sqref="B9 B10 B11 B12 B13 B14 B15 B16 B17 B18 B19 B20 B21 B22 B23 B24 B25 B26 B27 B28" showDropDown="0" showInputMessage="0" showErrorMessage="0" allowBlank="0" type="list">
      <formula1>"FADP,GDPR,PCI-DSS,HIPAA,SOX,FADP/GDPR,Multiple,Other,None"</formula1>
    </dataValidation>
    <dataValidation sqref="E9 E10 E11 E12 E13 E14 E15 E16 E17 E18 E19 E20 E21 E22 E23 E24 E25 E26 E27 E28" showDropDown="1" showInputMessage="0" showErrorMessage="0" allowBlank="0" type="list">
      <formula1>"Compliant,Non-Compliant,Partial,Planned,N/A"</formula1>
    </dataValidation>
    <dataValidation sqref="F9 F10 F11 F12 F13 F14 F15 F16 F17 F18 F19 F20 F21 F22 F23 F24 F25 F26 F27 F28" showDropDown="1" showInputMessage="0" showErrorMessage="1" allowBlank="0" errorTitle="Invalid Entry" error="Invalid value. Select from dropdown." type="list">
      <formula1>"Yes,No,Partial,Planned,N/A"</formula1>
    </dataValidation>
    <dataValidation sqref="G9 G10 G11 G12 G13 G14 G15 G16 G17 G18 G19 G20 G21 G22 G23 G24 G25 G26 G27 G28" showDropDown="1"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30" customWidth="1" min="4" max="4"/>
    <col width="18" customWidth="1" min="5" max="5"/>
    <col width="18" customWidth="1" min="6" max="6"/>
    <col width="18" customWidth="1" min="7" max="7"/>
    <col width="15" customWidth="1" min="8" max="8"/>
    <col width="18" customWidth="1" min="9" max="9"/>
  </cols>
  <sheetData>
    <row r="1" ht="30" customHeight="1">
      <c r="A1" s="1" t="inlineStr">
        <is>
          <t>DATA LABELING METHODS</t>
        </is>
      </c>
    </row>
    <row r="2" ht="25" customHeight="1">
      <c r="A2" s="2" t="inlineStr">
        <is>
          <t>Assess data labeling and classification marking methods across systems</t>
        </is>
      </c>
    </row>
    <row r="3">
      <c r="A3" s="12" t="inlineStr">
        <is>
          <t>System/Application</t>
        </is>
      </c>
      <c r="B3" s="12" t="inlineStr">
        <is>
          <t>Labeling Method</t>
        </is>
      </c>
      <c r="C3" s="12" t="inlineStr">
        <is>
          <t>Classification Tool</t>
        </is>
      </c>
      <c r="D3" s="12" t="inlineStr">
        <is>
          <t>Supported Labels</t>
        </is>
      </c>
      <c r="E3" s="12" t="inlineStr">
        <is>
          <t>User Training Provided</t>
        </is>
      </c>
      <c r="F3" s="12" t="inlineStr">
        <is>
          <t>Enforcement Capability</t>
        </is>
      </c>
      <c r="G3" s="12" t="inlineStr">
        <is>
          <t>DLP Integration</t>
        </is>
      </c>
      <c r="H3" s="12" t="inlineStr">
        <is>
          <t>Adoption Rate %</t>
        </is>
      </c>
      <c r="I3" s="12" t="inlineStr">
        <is>
          <t>Evidence ID</t>
        </is>
      </c>
    </row>
    <row r="4">
      <c r="A4" s="15" t="inlineStr">
        <is>
          <t>Microsoft 365</t>
        </is>
      </c>
      <c r="B4" s="15" t="inlineStr">
        <is>
          <t>Automated</t>
        </is>
      </c>
      <c r="C4" s="15" t="inlineStr">
        <is>
          <t>Microsoft Purview (AIP)</t>
        </is>
      </c>
      <c r="D4" s="15" t="inlineStr">
        <is>
          <t>Public, Internal, Confidential, Restricted</t>
        </is>
      </c>
      <c r="E4" s="15" t="inlineStr">
        <is>
          <t>Yes</t>
        </is>
      </c>
      <c r="F4" s="15" t="inlineStr">
        <is>
          <t>Yes</t>
        </is>
      </c>
      <c r="G4" s="15" t="inlineStr">
        <is>
          <t>Yes</t>
        </is>
      </c>
      <c r="H4" s="15" t="inlineStr">
        <is>
          <t>85</t>
        </is>
      </c>
      <c r="I4" s="15" t="inlineStr">
        <is>
          <t>A812-2-LBL-001</t>
        </is>
      </c>
    </row>
    <row r="5">
      <c r="A5" s="15" t="inlineStr">
        <is>
          <t>SharePoint</t>
        </is>
      </c>
      <c r="B5" s="15" t="inlineStr">
        <is>
          <t>Manual</t>
        </is>
      </c>
      <c r="C5" s="15" t="inlineStr">
        <is>
          <t>Built-in Classification</t>
        </is>
      </c>
      <c r="D5" s="15" t="inlineStr">
        <is>
          <t>Public, Internal, Restricted</t>
        </is>
      </c>
      <c r="E5" s="15" t="inlineStr">
        <is>
          <t>Partial</t>
        </is>
      </c>
      <c r="F5" s="15" t="inlineStr">
        <is>
          <t>Partial</t>
        </is>
      </c>
      <c r="G5" s="15" t="inlineStr">
        <is>
          <t>Partial</t>
        </is>
      </c>
      <c r="H5" s="15" t="inlineStr">
        <is>
          <t>60</t>
        </is>
      </c>
      <c r="I5" s="15" t="inlineStr">
        <is>
          <t>A812-2-LBL-002</t>
        </is>
      </c>
    </row>
    <row r="6">
      <c r="A6" s="15" t="inlineStr">
        <is>
          <t>File Servers</t>
        </is>
      </c>
      <c r="B6" s="15" t="inlineStr">
        <is>
          <t>None</t>
        </is>
      </c>
      <c r="C6" s="15" t="inlineStr">
        <is>
          <t>None</t>
        </is>
      </c>
      <c r="D6" s="15" t="inlineStr">
        <is>
          <t>None</t>
        </is>
      </c>
      <c r="E6" s="15" t="inlineStr">
        <is>
          <t>No</t>
        </is>
      </c>
      <c r="F6" s="15" t="inlineStr">
        <is>
          <t>No</t>
        </is>
      </c>
      <c r="G6" s="15" t="inlineStr">
        <is>
          <t>No</t>
        </is>
      </c>
      <c r="H6" s="15" t="inlineStr">
        <is>
          <t>0</t>
        </is>
      </c>
      <c r="I6" s="15" t="inlineStr">
        <is>
          <t>A812-2-LBL-003</t>
        </is>
      </c>
    </row>
    <row r="7">
      <c r="A7" s="15" t="inlineStr">
        <is>
          <t>Email (Outlook)</t>
        </is>
      </c>
      <c r="B7" s="15" t="inlineStr">
        <is>
          <t>Manual</t>
        </is>
      </c>
      <c r="C7" s="15" t="inlineStr">
        <is>
          <t>Azure Information Protection</t>
        </is>
      </c>
      <c r="D7" s="15" t="inlineStr">
        <is>
          <t>All 4 levels</t>
        </is>
      </c>
      <c r="E7" s="15" t="inlineStr">
        <is>
          <t>Yes</t>
        </is>
      </c>
      <c r="F7" s="15" t="inlineStr">
        <is>
          <t>Yes</t>
        </is>
      </c>
      <c r="G7" s="15" t="inlineStr">
        <is>
          <t>Yes</t>
        </is>
      </c>
      <c r="H7" s="15" t="inlineStr">
        <is>
          <t>70</t>
        </is>
      </c>
      <c r="I7" s="15" t="inlineStr">
        <is>
          <t>A812-2-LBL-004</t>
        </is>
      </c>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sheetData>
  <mergeCells count="2">
    <mergeCell ref="A1:I1"/>
    <mergeCell ref="A2:I2"/>
  </mergeCells>
  <dataValidations count="4">
    <dataValidation sqref="B8 B9 B10 B11 B12 B13 B14 B15 B16 B17 B18 B19 B20 B21 B22 B23" showDropDown="1" showInputMessage="0" showErrorMessage="0" allowBlank="0" type="list">
      <formula1>"Manual,Automated,Metadata,None"</formula1>
    </dataValidation>
    <dataValidation sqref="E8 E9 E10 E11 E12 E13 E14 E15 E16 E17 E18 E19 E20 E21 E22 E23 F8 F9 F10 F11 F12 F13 F14 F15 F16 F17 F18 F19 F20 F21 F22 F23 G8 G9 G10 G11 G12 G13 G14 G15 G16 G17 G18 G19 G20 G21 G22 G23" showDropDown="1" showInputMessage="0" showErrorMessage="1" allowBlank="0" errorTitle="Invalid Entry" error="Invalid value. Select from dropdown." type="list">
      <formula1>"Yes,No,Partial,Planned,N/A"</formula1>
    </dataValidation>
    <dataValidation sqref="E8 E9 E10 E11 E12 E13 E14 E15 E16 E17 E18 E19 E20 E21 E22 E23 F8 F9 F10 F11 F12 F13 F14 F15 F16 F17 F18 F19 F20 F21 F22 F23 G8 G9 G10 G11 G12 G13 G14 G15 G16 G17 G18 G19 G20 G21 G22 G23" showDropDown="1" showInputMessage="0" showErrorMessage="1" allowBlank="0" errorTitle="Invalid Entry" error="Invalid value. Select from dropdown." type="list">
      <formula1>"Yes,No,Partial,Planned,N/A"</formula1>
    </dataValidation>
    <dataValidation sqref="E8 E9 E10 E11 E12 E13 E14 E15 E16 E17 E18 E19 E20 E21 E22 E23 F8 F9 F10 F11 F12 F13 F14 F15 F16 F17 F18 F19 F20 F21 F22 F23 G8 G9 G10 G11 G12 G13 G14 G15 G16 G17 G18 G19 G20 G21 G22 G23"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3"/>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15" customWidth="1" min="3" max="3"/>
    <col width="30" customWidth="1" min="4" max="4"/>
    <col width="15" customWidth="1" min="5" max="5"/>
    <col width="15" customWidth="1" min="6" max="6"/>
    <col width="15" customWidth="1" min="7" max="7"/>
    <col width="18" customWidth="1" min="8" max="8"/>
    <col width="18" customWidth="1" min="9" max="9"/>
    <col width="18" customWidth="1" min="10" max="10"/>
  </cols>
  <sheetData>
    <row r="1" ht="30" customHeight="1">
      <c r="A1" s="1" t="inlineStr">
        <is>
          <t>DATA DISCOVERY RESULTS</t>
        </is>
      </c>
    </row>
    <row r="2" ht="25" customHeight="1">
      <c r="A2" s="2" t="inlineStr">
        <is>
          <t>Document data discovery and scanning results (Spirion, BigID, manual audits)</t>
        </is>
      </c>
    </row>
    <row r="3">
      <c r="A3" s="12" t="inlineStr">
        <is>
          <t>Discovery Tool</t>
        </is>
      </c>
      <c r="B3" s="12" t="inlineStr">
        <is>
          <t>Scan Target</t>
        </is>
      </c>
      <c r="C3" s="12" t="inlineStr">
        <is>
          <t>Scan Date</t>
        </is>
      </c>
      <c r="D3" s="12" t="inlineStr">
        <is>
          <t>Data Categories Found</t>
        </is>
      </c>
      <c r="E3" s="12" t="inlineStr">
        <is>
          <t>Total Findings</t>
        </is>
      </c>
      <c r="F3" s="12" t="inlineStr">
        <is>
          <t>Critical Findings</t>
        </is>
      </c>
      <c r="G3" s="12" t="inlineStr">
        <is>
          <t>False Positive Rate %</t>
        </is>
      </c>
      <c r="H3" s="12" t="inlineStr">
        <is>
          <t>Remediation Status</t>
        </is>
      </c>
      <c r="I3" s="12" t="inlineStr">
        <is>
          <t>Data Owner Notified</t>
        </is>
      </c>
      <c r="J3" s="12" t="inlineStr">
        <is>
          <t>Evidence ID</t>
        </is>
      </c>
    </row>
    <row r="4">
      <c r="A4" s="15" t="inlineStr">
        <is>
          <t>Spirion</t>
        </is>
      </c>
      <c r="B4" s="15" t="inlineStr">
        <is>
          <t>FS-HR-01</t>
        </is>
      </c>
      <c r="C4" s="15" t="inlineStr">
        <is>
          <t>2024-12-15</t>
        </is>
      </c>
      <c r="D4" s="15" t="inlineStr">
        <is>
          <t>PII, SSN, AHV</t>
        </is>
      </c>
      <c r="E4" s="15" t="inlineStr">
        <is>
          <t>5243</t>
        </is>
      </c>
      <c r="F4" s="15" t="inlineStr">
        <is>
          <t>1200</t>
        </is>
      </c>
      <c r="G4" s="15" t="inlineStr">
        <is>
          <t>15</t>
        </is>
      </c>
      <c r="H4" s="15" t="inlineStr">
        <is>
          <t>In Progress</t>
        </is>
      </c>
      <c r="I4" s="15" t="inlineStr">
        <is>
          <t>Yes</t>
        </is>
      </c>
      <c r="J4" s="15" t="inlineStr">
        <is>
          <t>A812-2-DSC-001</t>
        </is>
      </c>
    </row>
    <row r="5">
      <c r="A5" s="15" t="inlineStr">
        <is>
          <t>BigID</t>
        </is>
      </c>
      <c r="B5" s="15" t="inlineStr">
        <is>
          <t>SQL-PROD-01</t>
        </is>
      </c>
      <c r="C5" s="15" t="inlineStr">
        <is>
          <t>2024-12-10</t>
        </is>
      </c>
      <c r="D5" s="15" t="inlineStr">
        <is>
          <t>PII, CCN, IBAN</t>
        </is>
      </c>
      <c r="E5" s="15" t="inlineStr">
        <is>
          <t>250000</t>
        </is>
      </c>
      <c r="F5" s="15" t="inlineStr">
        <is>
          <t>50000</t>
        </is>
      </c>
      <c r="G5" s="15" t="inlineStr">
        <is>
          <t>5</t>
        </is>
      </c>
      <c r="H5" s="15" t="inlineStr">
        <is>
          <t>In Progress</t>
        </is>
      </c>
      <c r="I5" s="15" t="inlineStr">
        <is>
          <t>Yes</t>
        </is>
      </c>
      <c r="J5" s="15" t="inlineStr">
        <is>
          <t>A812-2-DSC-002</t>
        </is>
      </c>
    </row>
    <row r="6">
      <c r="A6" s="15" t="inlineStr">
        <is>
          <t>Manual Audit</t>
        </is>
      </c>
      <c r="B6" s="15" t="inlineStr">
        <is>
          <t>SharePoint</t>
        </is>
      </c>
      <c r="C6" s="15" t="inlineStr">
        <is>
          <t>2024-11-20</t>
        </is>
      </c>
      <c r="D6" s="15" t="inlineStr">
        <is>
          <t>Business Confidential</t>
        </is>
      </c>
      <c r="E6" s="15" t="inlineStr">
        <is>
          <t>1500</t>
        </is>
      </c>
      <c r="F6" s="15" t="inlineStr">
        <is>
          <t>300</t>
        </is>
      </c>
      <c r="G6" s="15" t="inlineStr">
        <is>
          <t>30</t>
        </is>
      </c>
      <c r="H6" s="15" t="inlineStr">
        <is>
          <t>Complete</t>
        </is>
      </c>
      <c r="I6" s="15" t="inlineStr">
        <is>
          <t>Yes</t>
        </is>
      </c>
      <c r="J6" s="15" t="inlineStr">
        <is>
          <t>A812-2-DSC-003</t>
        </is>
      </c>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sheetData>
  <mergeCells count="2">
    <mergeCell ref="A1:J1"/>
    <mergeCell ref="A2:J2"/>
  </mergeCells>
  <dataValidations count="2">
    <dataValidation sqref="H7 H8 H9 H10 H11 H12 H13 H14 H15 H16 H17 H18 H19 H20 H21 H22 H23 H24 H25 H26 H27 H28 H29 H30 H31 H32 H33" showDropDown="1" showInputMessage="0" showErrorMessage="0" allowBlank="0" type="list">
      <formula1>"Complete,In Progress,Planned,Not Started"</formula1>
    </dataValidation>
    <dataValidation sqref="I7 I8 I9 I10 I11 I12 I13 I14 I15 I16 I17 I18 I19 I20 I21 I22 I23 I24 I25 I26 I27 I28 I29 I30 I31 I32 I33" showDropDown="1" showInputMessage="0" showErrorMessage="0" allowBlank="0" type="list">
      <formula1>"Yes,No,Pending"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3"/>
  <sheetViews>
    <sheetView workbookViewId="0">
      <pane ySplit="3" topLeftCell="A4"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0" customHeight="1">
      <c r="A1" s="1" t="inlineStr">
        <is>
          <t>GAP ANALYSIS - IDENTIFIED DEFICIENCIES</t>
        </is>
      </c>
    </row>
    <row r="2" ht="25" customHeight="1">
      <c r="A2" s="2" t="inlineStr">
        <is>
          <t>Document all data classification gaps and remediation plans</t>
        </is>
      </c>
    </row>
    <row r="3">
      <c r="A3" s="12" t="inlineStr">
        <is>
          <t>Gap ID</t>
        </is>
      </c>
      <c r="B3" s="12" t="inlineStr">
        <is>
          <t>Gap Description</t>
        </is>
      </c>
      <c r="C3" s="12" t="inlineStr">
        <is>
          <t>Affected Data Category</t>
        </is>
      </c>
      <c r="D3" s="12" t="inlineStr">
        <is>
          <t>Risk Level</t>
        </is>
      </c>
      <c r="E3" s="12" t="inlineStr">
        <is>
          <t>Business Impact</t>
        </is>
      </c>
      <c r="F3" s="12" t="inlineStr">
        <is>
          <t>Root Cause</t>
        </is>
      </c>
      <c r="G3" s="12" t="inlineStr">
        <is>
          <t>Remediation Plan</t>
        </is>
      </c>
      <c r="H3" s="12" t="inlineStr">
        <is>
          <t>Owner</t>
        </is>
      </c>
      <c r="I3" s="12" t="inlineStr">
        <is>
          <t>Target Date</t>
        </is>
      </c>
      <c r="J3" s="12" t="inlineStr">
        <is>
          <t>Status</t>
        </is>
      </c>
      <c r="K3" s="12" t="inlineStr">
        <is>
          <t>Evidence ID</t>
        </is>
      </c>
    </row>
    <row r="4">
      <c r="A4" s="15" t="inlineStr">
        <is>
          <t>GAP-A812-2-001</t>
        </is>
      </c>
      <c r="B4" s="15" t="inlineStr">
        <is>
          <t>No data classification schema documented</t>
        </is>
      </c>
      <c r="C4" s="15" t="inlineStr">
        <is>
          <t>All data</t>
        </is>
      </c>
      <c r="D4" s="15" t="inlineStr">
        <is>
          <t>Critical</t>
        </is>
      </c>
      <c r="E4" s="15" t="inlineStr">
        <is>
          <t>Uncontrolled data handling, no DLP baseline</t>
        </is>
      </c>
      <c r="F4" s="15" t="inlineStr">
        <is>
          <t>Schema never formally defined</t>
        </is>
      </c>
      <c r="G4" s="15" t="inlineStr">
        <is>
          <t>Create and approve 4-tier classification schema</t>
        </is>
      </c>
      <c r="H4" s="15" t="inlineStr">
        <is>
          <t>[Owner]</t>
        </is>
      </c>
      <c r="I4" s="15" t="inlineStr">
        <is>
          <t>[Date]</t>
        </is>
      </c>
      <c r="J4" s="15" t="inlineStr">
        <is>
          <t>Open</t>
        </is>
      </c>
      <c r="K4" s="15" t="inlineStr">
        <is>
          <t>A812-2-GAP-001</t>
        </is>
      </c>
    </row>
    <row r="5">
      <c r="A5" s="15" t="inlineStr">
        <is>
          <t>GAP-A812-2-002</t>
        </is>
      </c>
      <c r="B5" s="15" t="inlineStr">
        <is>
          <t>PII found on file servers without DLP protection</t>
        </is>
      </c>
      <c r="C5" s="15" t="inlineStr">
        <is>
          <t>Customer PII</t>
        </is>
      </c>
      <c r="D5" s="15" t="inlineStr">
        <is>
          <t>High</t>
        </is>
      </c>
      <c r="E5" s="15" t="inlineStr">
        <is>
          <t>Potential FADP/GDPR violation, unmonitored exfiltration</t>
        </is>
      </c>
      <c r="F5" s="15" t="inlineStr">
        <is>
          <t>File servers not in DLP scope</t>
        </is>
      </c>
      <c r="G5" s="15" t="inlineStr">
        <is>
          <t>Deploy endpoint DLP to file servers</t>
        </is>
      </c>
      <c r="H5" s="15" t="inlineStr">
        <is>
          <t>[Owner]</t>
        </is>
      </c>
      <c r="I5" s="15" t="inlineStr">
        <is>
          <t>[Date]</t>
        </is>
      </c>
      <c r="J5" s="15" t="inlineStr">
        <is>
          <t>Open</t>
        </is>
      </c>
      <c r="K5" s="15" t="inlineStr">
        <is>
          <t>A812-2-GAP-002</t>
        </is>
      </c>
    </row>
    <row r="6">
      <c r="A6" s="15" t="inlineStr">
        <is>
          <t>GAP-A812-2-003</t>
        </is>
      </c>
      <c r="B6" s="15" t="inlineStr">
        <is>
          <t>Data owners not assigned for 40% of data categories</t>
        </is>
      </c>
      <c r="C6" s="15" t="inlineStr">
        <is>
          <t>Multiple</t>
        </is>
      </c>
      <c r="D6" s="15" t="inlineStr">
        <is>
          <t>High</t>
        </is>
      </c>
      <c r="E6" s="15" t="inlineStr">
        <is>
          <t>Lack of accountability, unclear data stewardship</t>
        </is>
      </c>
      <c r="F6" s="15" t="inlineStr">
        <is>
          <t>Ownership process not established</t>
        </is>
      </c>
      <c r="G6" s="15" t="inlineStr">
        <is>
          <t>Execute data owner assignment workshops</t>
        </is>
      </c>
      <c r="H6" s="15" t="inlineStr">
        <is>
          <t>[Owner]</t>
        </is>
      </c>
      <c r="I6" s="15" t="inlineStr">
        <is>
          <t>[Date]</t>
        </is>
      </c>
      <c r="J6" s="15" t="inlineStr">
        <is>
          <t>Open</t>
        </is>
      </c>
      <c r="K6" s="15" t="inlineStr">
        <is>
          <t>A812-2-GAP-003</t>
        </is>
      </c>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s="14" t="n"/>
      <c r="B40" s="14" t="n"/>
      <c r="C40" s="14" t="n"/>
      <c r="D40" s="14" t="n"/>
      <c r="E40" s="14" t="n"/>
      <c r="F40" s="14" t="n"/>
      <c r="G40" s="14" t="n"/>
      <c r="H40" s="14" t="n"/>
      <c r="I40" s="14" t="n"/>
      <c r="J40" s="14" t="n"/>
      <c r="K40" s="14" t="n"/>
    </row>
    <row r="41">
      <c r="A41" s="14" t="n"/>
      <c r="B41" s="14" t="n"/>
      <c r="C41" s="14" t="n"/>
      <c r="D41" s="14" t="n"/>
      <c r="E41" s="14" t="n"/>
      <c r="F41" s="14" t="n"/>
      <c r="G41" s="14" t="n"/>
      <c r="H41" s="14" t="n"/>
      <c r="I41" s="14" t="n"/>
      <c r="J41" s="14" t="n"/>
      <c r="K41" s="14" t="n"/>
    </row>
    <row r="42">
      <c r="A42" s="14" t="n"/>
      <c r="B42" s="14" t="n"/>
      <c r="C42" s="14" t="n"/>
      <c r="D42" s="14" t="n"/>
      <c r="E42" s="14" t="n"/>
      <c r="F42" s="14" t="n"/>
      <c r="G42" s="14" t="n"/>
      <c r="H42" s="14" t="n"/>
      <c r="I42" s="14" t="n"/>
      <c r="J42" s="14" t="n"/>
      <c r="K42" s="14" t="n"/>
    </row>
    <row r="43">
      <c r="A43" s="14" t="n"/>
      <c r="B43" s="14" t="n"/>
      <c r="C43" s="14" t="n"/>
      <c r="D43" s="14" t="n"/>
      <c r="E43" s="14" t="n"/>
      <c r="F43" s="14" t="n"/>
      <c r="G43" s="14" t="n"/>
      <c r="H43" s="14" t="n"/>
      <c r="I43" s="14" t="n"/>
      <c r="J43" s="14" t="n"/>
      <c r="K43" s="14" t="n"/>
    </row>
  </sheetData>
  <mergeCells count="2">
    <mergeCell ref="A2:K2"/>
    <mergeCell ref="A1:K1"/>
  </mergeCells>
  <dataValidations count="2">
    <dataValidation sqref="D7 D8 D9 D10 D11 D12 D13 D14 D15 D16 D17 D18 D19 D20 D21 D22 D23 D24 D25 D26 D27 D28 D29 D30 D31 D32 D33 D34 D35 D36 D37 D38 D39 D40 D41 D42 D43" showDropDown="1" showInputMessage="0" showErrorMessage="0" allowBlank="0" type="list">
      <formula1>"Critical,High,Medium,Low"</formula1>
    </dataValidation>
    <dataValidation sqref="J7 J8 J9 J10 J11 J12 J13 J14 J15 J16 J17 J18 J19 J20 J21 J22 J23 J24 J25 J26 J27 J28 J29 J30 J31 J32 J33 J34 J35 J36 J37 J38 J39 J40 J41 J42 J43"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30" customWidth="1" min="4" max="4"/>
    <col width="15" customWidth="1" min="5" max="5"/>
    <col width="20" customWidth="1" min="6" max="6"/>
    <col width="25" customWidth="1" min="7" max="7"/>
    <col width="15" customWidth="1" min="8" max="8"/>
  </cols>
  <sheetData>
    <row r="1" ht="30" customHeight="1">
      <c r="A1" s="1" t="inlineStr">
        <is>
          <t>EVIDENCE REGISTER - AUDIT TRAIL</t>
        </is>
      </c>
    </row>
    <row r="2" ht="25" customHeight="1">
      <c r="A2" s="2" t="inlineStr">
        <is>
          <t>Track all evidence collected during data classification assessment</t>
        </is>
      </c>
    </row>
    <row r="3">
      <c r="A3" s="12" t="inlineStr">
        <is>
          <t>Evidence ID</t>
        </is>
      </c>
      <c r="B3" s="12" t="inlineStr">
        <is>
          <t>Evidence Type</t>
        </is>
      </c>
      <c r="C3" s="12" t="inlineStr">
        <is>
          <t>Description</t>
        </is>
      </c>
      <c r="D3" s="12" t="inlineStr">
        <is>
          <t>Location/Link</t>
        </is>
      </c>
      <c r="E3" s="12" t="inlineStr">
        <is>
          <t>Date Collected</t>
        </is>
      </c>
      <c r="F3" s="12" t="inlineStr">
        <is>
          <t>Collected By</t>
        </is>
      </c>
      <c r="G3" s="12" t="inlineStr">
        <is>
          <t>Related Requirement</t>
        </is>
      </c>
      <c r="H3" s="12" t="inlineStr">
        <is>
          <t>Verification Status</t>
        </is>
      </c>
    </row>
    <row r="4">
      <c r="A4" s="14" t="n"/>
      <c r="B4" s="14" t="n"/>
      <c r="C4" s="14" t="n"/>
      <c r="D4" s="14" t="n"/>
      <c r="E4" s="14" t="n"/>
      <c r="F4" s="14" t="n"/>
      <c r="G4" s="14" t="n"/>
      <c r="H4" s="14" t="n"/>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sheetData>
  <mergeCells count="2">
    <mergeCell ref="A2:H2"/>
    <mergeCell ref="A1:H1"/>
  </mergeCells>
  <dataValidations count="2">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1" showInputMessage="0" showErrorMessage="0" allowBlank="0" type="list">
      <formula1>"Screenshot,Configuration File,Policy Document,Log Export,Report,Certificate,Email,Meeting Minutes,Other"</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1" showInputMessage="0" showErrorMessage="0" allowBlank="0" type="list">
      <formula1>"Verified,Pending,Rejected"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0"/>
  <sheetViews>
    <sheetView workbookViewId="0">
      <pane ySplit="7" topLeftCell="A8"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12" customWidth="1" min="5" max="5"/>
    <col width="25" customWidth="1" min="6" max="6"/>
  </cols>
  <sheetData>
    <row r="1" ht="35" customHeight="1">
      <c r="A1" s="1" t="inlineStr">
        <is>
          <t>Data Classification - COMPLIANCE DASHBOARD</t>
        </is>
      </c>
    </row>
    <row r="3">
      <c r="A3" s="3" t="inlineStr">
        <is>
          <t>Assessment Date:</t>
        </is>
      </c>
      <c r="B3" s="4" t="inlineStr">
        <is>
          <t>[USER INPUT]</t>
        </is>
      </c>
      <c r="D3" s="3" t="inlineStr">
        <is>
          <t>DPO Approval:</t>
        </is>
      </c>
      <c r="E3" s="4" t="inlineStr">
        <is>
          <t>[Dropdown]</t>
        </is>
      </c>
    </row>
    <row r="4">
      <c r="A4" s="3" t="inlineStr">
        <is>
          <t>Completed By:</t>
        </is>
      </c>
      <c r="B4" s="4" t="inlineStr">
        <is>
          <t>[USER INPUT]</t>
        </is>
      </c>
      <c r="D4" s="3" t="inlineStr">
        <is>
          <t>Last Review:</t>
        </is>
      </c>
      <c r="E4" s="4" t="inlineStr">
        <is>
          <t>[Date]</t>
        </is>
      </c>
    </row>
    <row r="6" ht="25" customHeight="1">
      <c r="A6" s="2" t="inlineStr">
        <is>
          <t>KEY PERFORMANCE INDICATORS</t>
        </is>
      </c>
    </row>
    <row r="7">
      <c r="A7" s="12" t="inlineStr">
        <is>
          <t>KPI</t>
        </is>
      </c>
      <c r="B7" s="12" t="inlineStr">
        <is>
          <t>Current Value</t>
        </is>
      </c>
      <c r="C7" s="12" t="inlineStr">
        <is>
          <t>Target</t>
        </is>
      </c>
      <c r="D7" s="12" t="inlineStr">
        <is>
          <t>Status</t>
        </is>
      </c>
      <c r="E7" s="12" t="inlineStr">
        <is>
          <t>Trend</t>
        </is>
      </c>
      <c r="F7" s="12" t="inlineStr">
        <is>
          <t>Notes</t>
        </is>
      </c>
    </row>
    <row r="8">
      <c r="A8" t="inlineStr">
        <is>
          <t>Classification Schema Documented</t>
        </is>
      </c>
      <c r="B8">
        <f>COUNTIF(Classification_Schema!F$4:F$10,"Yes")</f>
        <v/>
      </c>
      <c r="C8" t="inlineStr">
        <is>
          <t>4</t>
        </is>
      </c>
      <c r="D8">
        <f>IF(B8&gt;=4,"✅ Pass","❌ Fail")</f>
        <v/>
      </c>
      <c r="E8" t="inlineStr">
        <is>
          <t>→</t>
        </is>
      </c>
      <c r="F8" t="inlineStr"/>
    </row>
    <row r="9">
      <c r="A9" t="inlineStr">
        <is>
          <t>Sensitive Data Categories Inventoried</t>
        </is>
      </c>
      <c r="B9">
        <f>COUNTA(Sensitive_Data_Inventory!A$4:A$33)-10</f>
        <v/>
      </c>
      <c r="C9" t="inlineStr">
        <is>
          <t>≥20</t>
        </is>
      </c>
      <c r="D9">
        <f>IF(B9&gt;=20,"✅ Pass","❌ Fail")</f>
        <v/>
      </c>
      <c r="E9" t="inlineStr">
        <is>
          <t>→</t>
        </is>
      </c>
      <c r="F9" t="inlineStr"/>
    </row>
    <row r="10">
      <c r="A10" t="inlineStr">
        <is>
          <t>Data Locations Mapped</t>
        </is>
      </c>
      <c r="B10">
        <f>COUNTA(Data_Location_Mapping!A$6:A$45)-5</f>
        <v/>
      </c>
      <c r="C10" t="inlineStr">
        <is>
          <t>≥30</t>
        </is>
      </c>
      <c r="D10">
        <f>IF(B10&gt;=30,"✅ Pass","❌ Fail")</f>
        <v/>
      </c>
      <c r="E10" t="inlineStr">
        <is>
          <t>→</t>
        </is>
      </c>
      <c r="F10" t="inlineStr"/>
    </row>
    <row r="11">
      <c r="A11" t="inlineStr">
        <is>
          <t>Data Owners Assigned %</t>
        </is>
      </c>
      <c r="B11">
        <f>COUNTIF(Data_Owner_Assignment!H$4:H$33,"Yes")/B9*100</f>
        <v/>
      </c>
      <c r="C11" t="inlineStr">
        <is>
          <t>≥90%</t>
        </is>
      </c>
      <c r="D11">
        <f>IF(B11&gt;=90,"✅ Pass","❌ Fail")</f>
        <v/>
      </c>
      <c r="E11" t="inlineStr">
        <is>
          <t>→</t>
        </is>
      </c>
      <c r="F11" t="inlineStr"/>
    </row>
    <row r="12">
      <c r="A12" t="inlineStr">
        <is>
          <t>DLP Protection Coverage %</t>
        </is>
      </c>
      <c r="B12">
        <f>COUNTIF(Sensitive_Data_Inventory!J$4:J$33,"Yes")/B9*100</f>
        <v/>
      </c>
      <c r="C12" t="inlineStr">
        <is>
          <t>≥80%</t>
        </is>
      </c>
      <c r="D12">
        <f>IF(B12&gt;=80,"✅ Pass","❌ Fail")</f>
        <v/>
      </c>
      <c r="E12" t="inlineStr">
        <is>
          <t>→</t>
        </is>
      </c>
      <c r="F12" t="inlineStr"/>
    </row>
    <row r="13">
      <c r="A13" t="inlineStr">
        <is>
          <t>Regulatory Compliance %</t>
        </is>
      </c>
      <c r="B13">
        <f>COUNTIF(Regulatory_Mapping!E$4:E$28,"Compliant")/(COUNTA(Regulatory_Mapping!A$4:A$28)-5)*100</f>
        <v/>
      </c>
      <c r="C13" t="inlineStr">
        <is>
          <t>≥90%</t>
        </is>
      </c>
      <c r="D13">
        <f>IF(B13&gt;=90,"✅ Pass","❌ Fail")</f>
        <v/>
      </c>
      <c r="E13" t="inlineStr">
        <is>
          <t>→</t>
        </is>
      </c>
      <c r="F13" t="inlineStr"/>
    </row>
    <row r="14">
      <c r="A14" t="inlineStr">
        <is>
          <t>Labeling Tool Adoption %</t>
        </is>
      </c>
      <c r="B14">
        <f>AVERAGE(Labeling_Methods!H$4:H$23)</f>
        <v/>
      </c>
      <c r="C14" t="inlineStr">
        <is>
          <t>≥75%</t>
        </is>
      </c>
      <c r="D14">
        <f>IF(B14&gt;=75,"✅ Pass","❌ Fail")</f>
        <v/>
      </c>
      <c r="E14" t="inlineStr">
        <is>
          <t>→</t>
        </is>
      </c>
      <c r="F14" t="inlineStr"/>
    </row>
    <row r="15">
      <c r="A15" t="inlineStr">
        <is>
          <t>Data Discovery Coverage %</t>
        </is>
      </c>
      <c r="B15">
        <f>COUNTIF(Discovery_Results!H$4:H$33,"Complete")/(COUNTA(Discovery_Results!A$4:A$33)-3)*100</f>
        <v/>
      </c>
      <c r="C15" t="inlineStr">
        <is>
          <t>≥80%</t>
        </is>
      </c>
      <c r="D15">
        <f>IF(B15&gt;=80,"✅ Pass","❌ Fail")</f>
        <v/>
      </c>
      <c r="E15" t="inlineStr">
        <is>
          <t>→</t>
        </is>
      </c>
      <c r="F15" t="inlineStr"/>
    </row>
    <row r="16">
      <c r="A16" t="inlineStr">
        <is>
          <t>Total Gaps Identified</t>
        </is>
      </c>
      <c r="B16">
        <f>COUNTA(Gap_Analysis!A$4:A$43)-3</f>
        <v/>
      </c>
      <c r="C16" t="inlineStr">
        <is>
          <t>≤10</t>
        </is>
      </c>
      <c r="D16">
        <f>IF(B16&lt;=10,"✅ Pass","❌ Fail")</f>
        <v/>
      </c>
      <c r="E16" t="inlineStr">
        <is>
          <t>→</t>
        </is>
      </c>
      <c r="F16" t="inlineStr"/>
    </row>
    <row r="17">
      <c r="A17" t="inlineStr">
        <is>
          <t>Critical/High Gaps</t>
        </is>
      </c>
      <c r="B17">
        <f>COUNTIFS(Gap_Analysis!D$4:D$43,"Critical")+COUNTIFS(Gap_Analysis!D$4:D$43,"High")</f>
        <v/>
      </c>
      <c r="C17" t="inlineStr">
        <is>
          <t>0</t>
        </is>
      </c>
      <c r="D17">
        <f>IF(B17=0,"✅ Pass","❌ Fail")</f>
        <v/>
      </c>
      <c r="E17" t="inlineStr">
        <is>
          <t>→</t>
        </is>
      </c>
      <c r="F17" t="inlineStr"/>
    </row>
    <row r="18">
      <c r="A18" t="inlineStr">
        <is>
          <t>Overall Classification Compliance %</t>
        </is>
      </c>
      <c r="B18">
        <f>AVERAGE(B11:B15)</f>
        <v/>
      </c>
      <c r="C18" t="inlineStr">
        <is>
          <t>≥85%</t>
        </is>
      </c>
      <c r="D18">
        <f>IF(B18&gt;=85,"✅ Compliant",IF(B18&gt;=70,"⚠️ Partial","❌ Non-Compliant"))</f>
        <v/>
      </c>
      <c r="E18" t="inlineStr">
        <is>
          <t>→</t>
        </is>
      </c>
      <c r="F18" t="inlineStr"/>
    </row>
    <row r="21">
      <c r="A21" s="2" t="inlineStr">
        <is>
          <t>GAP SUMMARY BY RISK LEVEL</t>
        </is>
      </c>
    </row>
    <row r="22">
      <c r="A22" s="12" t="inlineStr">
        <is>
          <t>Risk Level</t>
        </is>
      </c>
      <c r="B22" s="12" t="inlineStr">
        <is>
          <t>Count</t>
        </is>
      </c>
      <c r="C22" s="12" t="inlineStr">
        <is>
          <t>% of Total</t>
        </is>
      </c>
    </row>
    <row r="23">
      <c r="A23" t="inlineStr">
        <is>
          <t>Critical</t>
        </is>
      </c>
      <c r="B23">
        <f>COUNTIF(Gap_Analysis!D$4:D$43,"Critical")</f>
        <v/>
      </c>
      <c r="C23">
        <f>B23/B16*100</f>
        <v/>
      </c>
    </row>
    <row r="24">
      <c r="A24" t="inlineStr">
        <is>
          <t>High</t>
        </is>
      </c>
      <c r="B24">
        <f>COUNTIF(Gap_Analysis!D$4:D$43,"High")</f>
        <v/>
      </c>
      <c r="C24">
        <f>B24/B16*100</f>
        <v/>
      </c>
    </row>
    <row r="25">
      <c r="A25" t="inlineStr">
        <is>
          <t>Medium</t>
        </is>
      </c>
      <c r="B25">
        <f>COUNTIF(Gap_Analysis!D$4:D$43,"Medium")</f>
        <v/>
      </c>
      <c r="C25">
        <f>B25/B16*100</f>
        <v/>
      </c>
    </row>
    <row r="26">
      <c r="A26" t="inlineStr">
        <is>
          <t>Low</t>
        </is>
      </c>
      <c r="B26">
        <f>COUNTIF(Gap_Analysis!D$4:D$43,"Low")</f>
        <v/>
      </c>
      <c r="C26">
        <f>B26/B16*100</f>
        <v/>
      </c>
    </row>
    <row r="29">
      <c r="A29" s="2" t="inlineStr">
        <is>
          <t>EVIDENCE COMPLETENESS</t>
        </is>
      </c>
    </row>
    <row r="30">
      <c r="A30" s="12" t="inlineStr">
        <is>
          <t>Metric</t>
        </is>
      </c>
      <c r="B30" s="12" t="inlineStr">
        <is>
          <t>Value</t>
        </is>
      </c>
    </row>
    <row r="31">
      <c r="A31" t="inlineStr">
        <is>
          <t>Evidence Items Collected</t>
        </is>
      </c>
      <c r="B31">
        <f>COUNTA(Evidence_Register!A$4:A$105)</f>
        <v/>
      </c>
    </row>
    <row r="32">
      <c r="A32" t="inlineStr">
        <is>
          <t>Evidence Items Verified</t>
        </is>
      </c>
      <c r="B32">
        <f>COUNTIF(Evidence_Register!H$4:H$105,"Verified")</f>
        <v/>
      </c>
    </row>
    <row r="33">
      <c r="A33" t="inlineStr">
        <is>
          <t>Evidence Completeness %</t>
        </is>
      </c>
      <c r="B33">
        <f>B32/B31*100</f>
        <v/>
      </c>
    </row>
    <row r="36">
      <c r="A36" s="2" t="inlineStr">
        <is>
          <t>APPROVAL SIGN-OFF</t>
        </is>
      </c>
    </row>
    <row r="37">
      <c r="A37" s="12" t="inlineStr">
        <is>
          <t>Approver</t>
        </is>
      </c>
      <c r="B37" s="12" t="inlineStr">
        <is>
          <t>Name</t>
        </is>
      </c>
      <c r="C37" s="12" t="inlineStr">
        <is>
          <t>Signature</t>
        </is>
      </c>
      <c r="D37" s="12" t="inlineStr">
        <is>
          <t>Date</t>
        </is>
      </c>
      <c r="E37" s="12" t="inlineStr">
        <is>
          <t>Status</t>
        </is>
      </c>
    </row>
    <row r="38">
      <c r="A38" t="inlineStr">
        <is>
          <t>DPO</t>
        </is>
      </c>
      <c r="B38" s="4" t="n"/>
      <c r="C38" s="4" t="n"/>
      <c r="D38" s="4" t="n"/>
      <c r="E38" s="4" t="n"/>
    </row>
    <row r="39">
      <c r="A39" t="inlineStr">
        <is>
          <t>CISO</t>
        </is>
      </c>
      <c r="B39" s="4" t="n"/>
      <c r="C39" s="4" t="n"/>
      <c r="D39" s="4" t="n"/>
      <c r="E39" s="4" t="n"/>
    </row>
    <row r="40">
      <c r="A40" t="inlineStr">
        <is>
          <t>Legal Counsel</t>
        </is>
      </c>
      <c r="B40" s="4" t="n"/>
      <c r="C40" s="4" t="n"/>
      <c r="D40" s="4" t="n"/>
      <c r="E40" s="4" t="n"/>
    </row>
  </sheetData>
  <mergeCells count="5">
    <mergeCell ref="A36:F36"/>
    <mergeCell ref="A1:F1"/>
    <mergeCell ref="A6:F6"/>
    <mergeCell ref="A21:F21"/>
    <mergeCell ref="A29:F29"/>
  </mergeCells>
  <dataValidations count="2">
    <dataValidation sqref="E3 E38 E39 E40" showDropDown="1" showInputMessage="0" showErrorMessage="0" allowBlank="0" type="list">
      <formula1>"Approved,Pending,Rejected"</formula1>
    </dataValidation>
    <dataValidation sqref="E3 E38 E39 E40" showDropDown="1" showInputMessage="0" showErrorMessage="0" allowBlank="0" type="list">
      <formula1>"Approved,Pending,Rejected"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2026-02-08T10:49:40Z</dcterms:created>
  <dcterms:modified xmlns:dcterms="http://purl.org/dc/terms/" xmlns:xsi="http://www.w3.org/2001/XMLSchema-instance" xsi:type="dcterms:W3CDTF">2026-02-08T10:49:40Z</dcterms:modified>
</cp:coreProperties>
</file>