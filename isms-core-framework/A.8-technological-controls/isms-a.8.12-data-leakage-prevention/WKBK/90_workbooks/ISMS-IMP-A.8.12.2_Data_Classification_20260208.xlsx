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Classification_Schema" sheetId="2" state="visible" r:id="rId2"/>
    <sheet xmlns:r="http://schemas.openxmlformats.org/officeDocument/2006/relationships" name="Sensitive_Data_Inventory" sheetId="3" state="visible" r:id="rId3"/>
    <sheet xmlns:r="http://schemas.openxmlformats.org/officeDocument/2006/relationships" name="Data_Location_Mapping" sheetId="4" state="visible" r:id="rId4"/>
    <sheet xmlns:r="http://schemas.openxmlformats.org/officeDocument/2006/relationships" name="Data_Owner_Assignment" sheetId="5" state="visible" r:id="rId5"/>
    <sheet xmlns:r="http://schemas.openxmlformats.org/officeDocument/2006/relationships" name="Regulatory_Mapping" sheetId="6" state="visible" r:id="rId6"/>
    <sheet xmlns:r="http://schemas.openxmlformats.org/officeDocument/2006/relationships" name="Labeling_Methods" sheetId="7" state="visible" r:id="rId7"/>
    <sheet xmlns:r="http://schemas.openxmlformats.org/officeDocument/2006/relationships" name="Discovery_Results" sheetId="8" state="visible" r:id="rId8"/>
    <sheet xmlns:r="http://schemas.openxmlformats.org/officeDocument/2006/relationships" name="Gap_Analysis" sheetId="9" state="visible" r:id="rId9"/>
    <sheet xmlns:r="http://schemas.openxmlformats.org/officeDocument/2006/relationships" name="Evidence_Register" sheetId="10" state="visible" r:id="rId10"/>
    <sheet xmlns:r="http://schemas.openxmlformats.org/officeDocument/2006/relationships" name="Summary_Dashboard"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6"/>
    </font>
    <font>
      <name val="Calibri"/>
      <b val="1"/>
      <color rgb="00FFFFFF"/>
      <sz val="12"/>
    </font>
    <font>
      <b val="1"/>
    </font>
    <font>
      <b val="1"/>
      <sz val="12"/>
    </font>
    <font>
      <name val="Calibri"/>
      <b val="1"/>
      <sz val="10"/>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B4C7E7"/>
        <bgColor rgb="00B4C7E7"/>
      </patternFill>
    </fill>
    <fill>
      <patternFill patternType="solid">
        <fgColor rgb="00FFFFFF"/>
        <bgColor rgb="00FFFFFF"/>
      </patternFill>
    </fill>
    <fill>
      <patternFill patternType="solid">
        <fgColor rgb="00D9D9D9"/>
        <bgColor rgb="00D9D9D9"/>
      </patternFill>
    </fill>
    <fill>
      <patternFill patternType="solid">
        <fgColor rgb="00E7E6E6"/>
        <bgColor rgb="00E7E6E6"/>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pivotButton="0" quotePrefix="0" xfId="0"/>
    <xf numFmtId="0" fontId="0" fillId="4" borderId="0" pivotButton="0" quotePrefix="0" xfId="0"/>
    <xf numFmtId="0" fontId="4" fillId="0" borderId="0" pivotButton="0" quotePrefix="0" xfId="0"/>
    <xf numFmtId="0" fontId="0" fillId="0" borderId="0" applyAlignment="1" pivotButton="0" quotePrefix="0" xfId="0">
      <alignment wrapText="1"/>
    </xf>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5" fillId="10" borderId="1" applyAlignment="1" pivotButton="0" quotePrefix="0" xfId="0">
      <alignment horizontal="center" vertical="center" wrapText="1"/>
    </xf>
    <xf numFmtId="0" fontId="3" fillId="11" borderId="0" pivotButton="0" quotePrefix="0" xfId="0"/>
    <xf numFmtId="0" fontId="0" fillId="4" borderId="1" applyAlignment="1" pivotButton="0" quotePrefix="0" xfId="0">
      <alignment horizontal="left" vertical="top" wrapText="1"/>
    </xf>
    <xf numFmtId="0" fontId="0" fillId="11"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0"/>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s>
  <sheetData>
    <row r="1" ht="40" customHeight="1">
      <c r="A1" s="1" t="inlineStr">
        <is>
          <t>ISMS Control ISMS-IMP-A.8.12.2 - Data Classification</t>
        </is>
      </c>
    </row>
    <row r="2" ht="25" customHeight="1">
      <c r="A2" s="2" t="inlineStr">
        <is>
          <t>ISO/IEC 27001:2022 Control A.8.12 - Data Leakage Prevention</t>
        </is>
      </c>
    </row>
    <row r="4">
      <c r="A4" s="3" t="inlineStr">
        <is>
          <t>Document ID:</t>
        </is>
      </c>
      <c r="B4" t="inlineStr">
        <is>
          <t>ISMS-IMP-A.8.12.2</t>
        </is>
      </c>
    </row>
    <row r="5">
      <c r="A5" s="3" t="inlineStr">
        <is>
          <t>Assessment Area:</t>
        </is>
      </c>
      <c r="B5" t="inlineStr">
        <is>
          <t>Data Classification</t>
        </is>
      </c>
    </row>
    <row r="6">
      <c r="A6" s="3" t="inlineStr">
        <is>
          <t>Related Policy:</t>
        </is>
      </c>
      <c r="B6" t="inlineStr">
        <is>
          <t>ISMS-POL-A.8.12-S2.1</t>
        </is>
      </c>
    </row>
    <row r="7">
      <c r="A7" s="3" t="inlineStr">
        <is>
          <t>Version:</t>
        </is>
      </c>
      <c r="B7" t="inlineStr">
        <is>
          <t>1.0</t>
        </is>
      </c>
    </row>
    <row r="8">
      <c r="A8" s="3" t="inlineStr">
        <is>
          <t>Assessment Date:</t>
        </is>
      </c>
      <c r="B8" s="4" t="inlineStr">
        <is>
          <t>[USER INPUT]</t>
        </is>
      </c>
    </row>
    <row r="9">
      <c r="A9" s="3" t="inlineStr">
        <is>
          <t>Completed By:</t>
        </is>
      </c>
      <c r="B9" s="4" t="inlineStr">
        <is>
          <t>[USER INPUT]</t>
        </is>
      </c>
    </row>
    <row r="10">
      <c r="A10" s="3" t="inlineStr">
        <is>
          <t>Organization:</t>
        </is>
      </c>
      <c r="B10" s="4" t="inlineStr">
        <is>
          <t>[USER INPUT]</t>
        </is>
      </c>
    </row>
    <row r="11">
      <c r="A11" s="3" t="inlineStr">
        <is>
          <t>Review Cycle:</t>
        </is>
      </c>
      <c r="B11" t="inlineStr">
        <is>
          <t>Quarterly</t>
        </is>
      </c>
    </row>
    <row r="14">
      <c r="A14" s="5" t="inlineStr">
        <is>
          <t>HOW TO USE THIS WORKBOOK</t>
        </is>
      </c>
    </row>
    <row r="15">
      <c r="A15" s="6" t="inlineStr">
        <is>
          <t>1. Complete each worksheet tab in sequence (Schema → Inventory → Locations → Owners → ...)</t>
        </is>
      </c>
    </row>
    <row r="16">
      <c r="A16" s="6" t="inlineStr">
        <is>
          <t>2. Fill ALL yellow-highlighted cells with your organization's information</t>
        </is>
      </c>
    </row>
    <row r="17">
      <c r="A17" s="6" t="inlineStr">
        <is>
          <t>3. Use dropdown menus where provided (do not type free-form text in dropdown cells)</t>
        </is>
      </c>
    </row>
    <row r="18">
      <c r="A18" s="6" t="inlineStr">
        <is>
          <t>4. Document your data classification schema (minimum 4 levels: Public/Internal/Confidential/Restricted)</t>
        </is>
      </c>
    </row>
    <row r="19">
      <c r="A19" s="6" t="inlineStr">
        <is>
          <t>5. Inventory ALL sensitive data categories (PII, financial, IP, credentials, business confidential)</t>
        </is>
      </c>
    </row>
    <row r="20">
      <c r="A20" s="6" t="inlineStr">
        <is>
          <t>6. Map data to storage locations (file servers, databases, cloud, endpoints)</t>
        </is>
      </c>
    </row>
    <row r="21">
      <c r="A21" s="6" t="inlineStr">
        <is>
          <t>7. Assign data owners and stewards for accountability</t>
        </is>
      </c>
    </row>
    <row r="22">
      <c r="A22" s="6" t="inlineStr">
        <is>
          <t>8. Map data categories to regulatory requirements (FADP, GDPR, PCI-DSS)</t>
        </is>
      </c>
    </row>
    <row r="23">
      <c r="A23" s="6" t="inlineStr">
        <is>
          <t>9. Provide evidence IDs for all assessments (format: A812-2-[CATEGORY]-[###])</t>
        </is>
      </c>
    </row>
    <row r="24">
      <c r="A24" s="6" t="inlineStr">
        <is>
          <t>10. Review Summary Dashboard for overall classification compliance score</t>
        </is>
      </c>
    </row>
    <row r="25">
      <c r="A25" s="6" t="inlineStr">
        <is>
          <t>11. Obtain DPO/CISO approval before finalizing</t>
        </is>
      </c>
    </row>
    <row r="28">
      <c r="A28" s="5" t="inlineStr">
        <is>
          <t>LEGEND - RESPONSE VALUES</t>
        </is>
      </c>
    </row>
    <row r="29">
      <c r="A29" s="7" t="inlineStr">
        <is>
          <t>Yes</t>
        </is>
      </c>
      <c r="B29" t="inlineStr">
        <is>
          <t>Fully implemented and documented</t>
        </is>
      </c>
    </row>
    <row r="30">
      <c r="A30" s="8" t="inlineStr">
        <is>
          <t>No</t>
        </is>
      </c>
      <c r="B30" t="inlineStr">
        <is>
          <t>Not implemented</t>
        </is>
      </c>
    </row>
    <row r="31">
      <c r="A31" s="9" t="inlineStr">
        <is>
          <t>Partial</t>
        </is>
      </c>
      <c r="B31" t="inlineStr">
        <is>
          <t>Partially implemented (explain in notes)</t>
        </is>
      </c>
    </row>
    <row r="32">
      <c r="A32" s="10" t="inlineStr">
        <is>
          <t>Planned</t>
        </is>
      </c>
      <c r="B32" t="inlineStr">
        <is>
          <t>Scheduled for implementation (provide target date)</t>
        </is>
      </c>
    </row>
    <row r="33">
      <c r="A33" s="11" t="inlineStr">
        <is>
          <t>N/A</t>
        </is>
      </c>
      <c r="B33" t="inlineStr">
        <is>
          <t>Not applicable (provide justification)</t>
        </is>
      </c>
    </row>
    <row r="36">
      <c r="A36" s="5" t="inlineStr">
        <is>
          <t>DATA CLASSIFICATION LEVELS (Standard)</t>
        </is>
      </c>
    </row>
    <row r="37">
      <c r="A37" s="3" t="inlineStr">
        <is>
          <t>Public</t>
        </is>
      </c>
      <c r="B37" t="inlineStr">
        <is>
          <t>Information approved for public disclosure</t>
        </is>
      </c>
    </row>
    <row r="38">
      <c r="A38" s="3" t="inlineStr">
        <is>
          <t>Internal</t>
        </is>
      </c>
      <c r="B38" t="inlineStr">
        <is>
          <t>Information for internal use only, no external sharing</t>
        </is>
      </c>
    </row>
    <row r="39">
      <c r="A39" s="3" t="inlineStr">
        <is>
          <t>Confidential</t>
        </is>
      </c>
      <c r="B39" t="inlineStr">
        <is>
          <t>Sensitive information requiring protection, limited internal access</t>
        </is>
      </c>
    </row>
    <row r="40">
      <c r="A40" s="3" t="inlineStr">
        <is>
          <t>Restricted</t>
        </is>
      </c>
      <c r="B40" t="inlineStr">
        <is>
          <t>Highly sensitive data, need-to-know basis, strict controls</t>
        </is>
      </c>
    </row>
    <row r="43">
      <c r="A43" s="5" t="inlineStr">
        <is>
          <t>EVIDENCE NAMING CONVENTION</t>
        </is>
      </c>
    </row>
    <row r="44">
      <c r="A44" s="6" t="inlineStr">
        <is>
          <t>Format: A812-2-[CATEGORY]-[###]</t>
        </is>
      </c>
    </row>
    <row r="45">
      <c r="A45" s="6" t="inlineStr">
        <is>
          <t>Examples:</t>
        </is>
      </c>
    </row>
    <row r="46">
      <c r="A46" s="6" t="inlineStr">
        <is>
          <t xml:space="preserve">  • A812-2-CLS-001 = Classification - Schema document</t>
        </is>
      </c>
    </row>
    <row r="47">
      <c r="A47" s="6" t="inlineStr">
        <is>
          <t xml:space="preserve">  • A812-2-INV-001 = Inventory - Data discovery report</t>
        </is>
      </c>
    </row>
    <row r="48">
      <c r="A48" s="6" t="inlineStr">
        <is>
          <t xml:space="preserve">  • A812-2-OWN-001 = Ownership - Assignment matrix</t>
        </is>
      </c>
    </row>
    <row r="49">
      <c r="A49" s="6" t="inlineStr">
        <is>
          <t xml:space="preserve">  • A812-2-REG-001 = Regulatory - FADP compliance mapping</t>
        </is>
      </c>
    </row>
    <row r="50">
      <c r="A50" s="6" t="inlineStr">
        <is>
          <t xml:space="preserve">  • A812-2-LBL-001 = Labeling - AIP configuration screenshot</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40" customWidth="1" min="3" max="3"/>
    <col width="35" customWidth="1" min="4" max="4"/>
    <col width="30" customWidth="1" min="5" max="5"/>
    <col width="18" customWidth="1" min="6" max="6"/>
    <col width="18" customWidth="1" min="7" max="7"/>
    <col width="18" customWidth="1" min="8" max="8"/>
    <col width="25" customWidth="1" min="9" max="9"/>
    <col width="18" customWidth="1" min="10" max="10"/>
  </cols>
  <sheetData>
    <row r="1" ht="30" customHeight="1">
      <c r="A1" s="1" t="inlineStr">
        <is>
          <t>DATA CLASSIFICATION SCHEMA</t>
        </is>
      </c>
    </row>
    <row r="2" ht="25" customHeight="1">
      <c r="A2" s="2" t="inlineStr">
        <is>
          <t>Document your organizational data classification levels and handling requirements</t>
        </is>
      </c>
    </row>
    <row r="3">
      <c r="A3" s="12" t="inlineStr">
        <is>
          <t>Classification Level</t>
        </is>
      </c>
      <c r="B3" s="12" t="inlineStr">
        <is>
          <t>Definition</t>
        </is>
      </c>
      <c r="C3" s="12" t="inlineStr">
        <is>
          <t>Examples</t>
        </is>
      </c>
      <c r="D3" s="12" t="inlineStr">
        <is>
          <t>Handling Requirements</t>
        </is>
      </c>
      <c r="E3" s="12" t="inlineStr">
        <is>
          <t>Access Controls</t>
        </is>
      </c>
      <c r="F3" s="12" t="inlineStr">
        <is>
          <t>Encryption Required</t>
        </is>
      </c>
      <c r="G3" s="12" t="inlineStr">
        <is>
          <t>DLP Monitoring</t>
        </is>
      </c>
      <c r="H3" s="12" t="inlineStr">
        <is>
          <t>Retention Period</t>
        </is>
      </c>
      <c r="I3" s="12" t="inlineStr">
        <is>
          <t>Disposal Method</t>
        </is>
      </c>
      <c r="J3" s="12" t="inlineStr">
        <is>
          <t>Evidence ID</t>
        </is>
      </c>
    </row>
    <row r="4">
      <c r="A4" s="13" t="inlineStr">
        <is>
          <t>Public</t>
        </is>
      </c>
      <c r="B4" s="14" t="inlineStr">
        <is>
          <t>[Define what Public means for your organization]</t>
        </is>
      </c>
      <c r="C4" s="14" t="inlineStr">
        <is>
          <t>[Examples: Press releases, marketing materials, public website]</t>
        </is>
      </c>
      <c r="D4" s="14" t="inlineStr">
        <is>
          <t>[Handling: Can be shared externally]</t>
        </is>
      </c>
      <c r="E4" s="14" t="inlineStr">
        <is>
          <t>[Access: No restrictions]</t>
        </is>
      </c>
      <c r="F4" s="14" t="n"/>
      <c r="G4" s="14" t="n"/>
      <c r="H4" s="14" t="n"/>
      <c r="I4" s="14" t="n"/>
      <c r="J4" s="14" t="n"/>
    </row>
    <row r="5">
      <c r="A5" s="13" t="inlineStr">
        <is>
          <t>Internal</t>
        </is>
      </c>
      <c r="B5" s="14" t="inlineStr">
        <is>
          <t>[Define Internal classification]</t>
        </is>
      </c>
      <c r="C5" s="14" t="inlineStr">
        <is>
          <t>[Examples: Internal policies, procedures, org charts]</t>
        </is>
      </c>
      <c r="D5" s="14" t="inlineStr">
        <is>
          <t>[Handling: Internal use only, no external sharing without approval]</t>
        </is>
      </c>
      <c r="E5" s="14" t="inlineStr">
        <is>
          <t>[Access: All employees]</t>
        </is>
      </c>
      <c r="F5" s="14" t="n"/>
      <c r="G5" s="14" t="n"/>
      <c r="H5" s="14" t="n"/>
      <c r="I5" s="14" t="n"/>
      <c r="J5" s="14" t="n"/>
    </row>
    <row r="6">
      <c r="A6" s="13" t="inlineStr">
        <is>
          <t>Confidential</t>
        </is>
      </c>
      <c r="B6" s="14" t="inlineStr">
        <is>
          <t>[Define Confidential classification]</t>
        </is>
      </c>
      <c r="C6" s="14" t="inlineStr">
        <is>
          <t>[Examples: Customer lists, financial reports, contracts]</t>
        </is>
      </c>
      <c r="D6" s="14" t="inlineStr">
        <is>
          <t>[Handling: Limited distribution, need-to-know basis]</t>
        </is>
      </c>
      <c r="E6" s="14" t="inlineStr">
        <is>
          <t>[Access: Authorized personnel only]</t>
        </is>
      </c>
      <c r="F6" s="14" t="n"/>
      <c r="G6" s="14" t="n"/>
      <c r="H6" s="14" t="n"/>
      <c r="I6" s="14" t="n"/>
      <c r="J6" s="14" t="n"/>
    </row>
    <row r="7">
      <c r="A7" s="13" t="inlineStr">
        <is>
          <t>Restricted</t>
        </is>
      </c>
      <c r="B7" s="14" t="inlineStr">
        <is>
          <t>[Define Restricted classification]</t>
        </is>
      </c>
      <c r="C7" s="14" t="inlineStr">
        <is>
          <t>[Examples: Trade secrets, M&amp;A, executive comp, PII]</t>
        </is>
      </c>
      <c r="D7" s="14" t="inlineStr">
        <is>
          <t>[Handling: Strictly controlled, encrypted, logged access]</t>
        </is>
      </c>
      <c r="E7" s="14" t="inlineStr">
        <is>
          <t>[Access: Explicit authorization required]</t>
        </is>
      </c>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sheetData>
  <mergeCells count="2">
    <mergeCell ref="A1:J1"/>
    <mergeCell ref="A2:J2"/>
  </mergeCells>
  <dataValidations count="2">
    <dataValidation sqref="F4 F5 F6 F7 F8 F9 F10 F11 F12 F13" showDropDown="1" showInputMessage="0" showErrorMessage="0" allowBlank="0" type="list">
      <formula1>"Yes,No,N/A"</formula1>
    </dataValidation>
    <dataValidation sqref="G4 G5 G6 G7 G8 G9 G10 G11 G12 G13"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3"/>
  <sheetViews>
    <sheetView workbookViewId="0">
      <pane ySplit="3" topLeftCell="A4" activePane="bottomLeft" state="frozen"/>
      <selection pane="bottomLeft" activeCell="A1" sqref="A1"/>
    </sheetView>
  </sheetViews>
  <sheetFormatPr baseColWidth="8" defaultRowHeight="15"/>
  <cols>
    <col width="30" customWidth="1" min="1" max="1"/>
    <col width="25" customWidth="1" min="2" max="2"/>
    <col width="20" customWidth="1" min="3" max="3"/>
    <col width="20" customWidth="1" min="4" max="4"/>
    <col width="35" customWidth="1" min="5" max="5"/>
    <col width="25" customWidth="1" min="6" max="6"/>
    <col width="25" customWidth="1" min="7" max="7"/>
    <col width="18" customWidth="1" min="8" max="8"/>
    <col width="18" customWidth="1" min="9" max="9"/>
    <col width="18" customWidth="1" min="10" max="10"/>
    <col width="18" customWidth="1" min="11" max="11"/>
  </cols>
  <sheetData>
    <row r="1" ht="30" customHeight="1">
      <c r="A1" s="1" t="inlineStr">
        <is>
          <t>SENSITIVE DATA INVENTORY</t>
        </is>
      </c>
    </row>
    <row r="2" ht="25" customHeight="1">
      <c r="A2" s="2" t="inlineStr">
        <is>
          <t>Inventory ALL sensitive data categories requiring DLP protection</t>
        </is>
      </c>
    </row>
    <row r="3">
      <c r="A3" s="12" t="inlineStr">
        <is>
          <t>Data Category</t>
        </is>
      </c>
      <c r="B3" s="12" t="inlineStr">
        <is>
          <t>Data Type</t>
        </is>
      </c>
      <c r="C3" s="12" t="inlineStr">
        <is>
          <t>Classification Level</t>
        </is>
      </c>
      <c r="D3" s="12" t="inlineStr">
        <is>
          <t>Regulatory Requirement</t>
        </is>
      </c>
      <c r="E3" s="12" t="inlineStr">
        <is>
          <t>Data Examples</t>
        </is>
      </c>
      <c r="F3" s="12" t="inlineStr">
        <is>
          <t>Business Owner</t>
        </is>
      </c>
      <c r="G3" s="12" t="inlineStr">
        <is>
          <t>Data Steward</t>
        </is>
      </c>
      <c r="H3" s="12" t="inlineStr">
        <is>
          <t>Estimated Volume</t>
        </is>
      </c>
      <c r="I3" s="12" t="inlineStr">
        <is>
          <t>Discovery Status</t>
        </is>
      </c>
      <c r="J3" s="12" t="inlineStr">
        <is>
          <t>DLP Protection</t>
        </is>
      </c>
      <c r="K3" s="12" t="inlineStr">
        <is>
          <t>Evidence ID</t>
        </is>
      </c>
    </row>
    <row r="4">
      <c r="A4" s="15" t="inlineStr">
        <is>
          <t>Personal Names</t>
        </is>
      </c>
      <c r="B4" s="15" t="inlineStr">
        <is>
          <t>PII</t>
        </is>
      </c>
      <c r="C4" s="15" t="inlineStr">
        <is>
          <t>Confidential</t>
        </is>
      </c>
      <c r="D4" s="15" t="inlineStr">
        <is>
          <t>FADP/GDPR</t>
        </is>
      </c>
      <c r="E4" s="15" t="inlineStr">
        <is>
          <t>First name, last name, full name</t>
        </is>
      </c>
      <c r="F4" s="15" t="inlineStr">
        <is>
          <t>[Owner]</t>
        </is>
      </c>
      <c r="G4" s="15" t="inlineStr">
        <is>
          <t>[Steward]</t>
        </is>
      </c>
      <c r="H4" s="15" t="inlineStr">
        <is>
          <t>[Volume]</t>
        </is>
      </c>
      <c r="I4" s="15" t="inlineStr">
        <is>
          <t>Discovered</t>
        </is>
      </c>
      <c r="J4" s="15" t="inlineStr">
        <is>
          <t>Yes</t>
        </is>
      </c>
      <c r="K4" s="15" t="inlineStr">
        <is>
          <t>A812-2-INV-001</t>
        </is>
      </c>
    </row>
    <row r="5">
      <c r="A5" s="15" t="inlineStr">
        <is>
          <t>Email Addresses</t>
        </is>
      </c>
      <c r="B5" s="15" t="inlineStr">
        <is>
          <t>PII</t>
        </is>
      </c>
      <c r="C5" s="15" t="inlineStr">
        <is>
          <t>Confidential</t>
        </is>
      </c>
      <c r="D5" s="15" t="inlineStr">
        <is>
          <t>FADP/GDPR</t>
        </is>
      </c>
      <c r="E5" s="15" t="inlineStr">
        <is>
          <t>john.doe@example.com</t>
        </is>
      </c>
      <c r="F5" s="15" t="inlineStr">
        <is>
          <t>[Owner]</t>
        </is>
      </c>
      <c r="G5" s="15" t="inlineStr">
        <is>
          <t>[Steward]</t>
        </is>
      </c>
      <c r="H5" s="15" t="inlineStr">
        <is>
          <t>[Volume]</t>
        </is>
      </c>
      <c r="I5" s="15" t="inlineStr">
        <is>
          <t>Discovered</t>
        </is>
      </c>
      <c r="J5" s="15" t="inlineStr">
        <is>
          <t>Yes</t>
        </is>
      </c>
      <c r="K5" s="15" t="inlineStr">
        <is>
          <t>A812-2-INV-002</t>
        </is>
      </c>
    </row>
    <row r="6">
      <c r="A6" s="15" t="inlineStr">
        <is>
          <t>Swiss Social Security (AHV)</t>
        </is>
      </c>
      <c r="B6" s="15" t="inlineStr">
        <is>
          <t>PII</t>
        </is>
      </c>
      <c r="C6" s="15" t="inlineStr">
        <is>
          <t>Restricted</t>
        </is>
      </c>
      <c r="D6" s="15" t="inlineStr">
        <is>
          <t>FADP</t>
        </is>
      </c>
      <c r="E6" s="15" t="inlineStr">
        <is>
          <t>756.1234.5678.90</t>
        </is>
      </c>
      <c r="F6" s="15" t="inlineStr">
        <is>
          <t>[Owner]</t>
        </is>
      </c>
      <c r="G6" s="15" t="inlineStr">
        <is>
          <t>[Steward]</t>
        </is>
      </c>
      <c r="H6" s="15" t="inlineStr">
        <is>
          <t>[Volume]</t>
        </is>
      </c>
      <c r="I6" s="15" t="inlineStr">
        <is>
          <t>Discovered</t>
        </is>
      </c>
      <c r="J6" s="15" t="inlineStr">
        <is>
          <t>Yes</t>
        </is>
      </c>
      <c r="K6" s="15" t="inlineStr">
        <is>
          <t>A812-2-INV-003</t>
        </is>
      </c>
    </row>
    <row r="7">
      <c r="A7" s="15" t="inlineStr">
        <is>
          <t>Credit Card Numbers</t>
        </is>
      </c>
      <c r="B7" s="15" t="inlineStr">
        <is>
          <t>Financial</t>
        </is>
      </c>
      <c r="C7" s="15" t="inlineStr">
        <is>
          <t>Restricted</t>
        </is>
      </c>
      <c r="D7" s="15" t="inlineStr">
        <is>
          <t>PCI-DSS</t>
        </is>
      </c>
      <c r="E7" s="15" t="inlineStr">
        <is>
          <t>4111-1111-1111-1111</t>
        </is>
      </c>
      <c r="F7" s="15" t="inlineStr">
        <is>
          <t>[Owner]</t>
        </is>
      </c>
      <c r="G7" s="15" t="inlineStr">
        <is>
          <t>[Steward]</t>
        </is>
      </c>
      <c r="H7" s="15" t="inlineStr">
        <is>
          <t>[Volume]</t>
        </is>
      </c>
      <c r="I7" s="15" t="inlineStr">
        <is>
          <t>Discovered</t>
        </is>
      </c>
      <c r="J7" s="15" t="inlineStr">
        <is>
          <t>Yes</t>
        </is>
      </c>
      <c r="K7" s="15" t="inlineStr">
        <is>
          <t>A812-2-INV-004</t>
        </is>
      </c>
    </row>
    <row r="8">
      <c r="A8" s="15" t="inlineStr">
        <is>
          <t>Bank Account (IBAN)</t>
        </is>
      </c>
      <c r="B8" s="15" t="inlineStr">
        <is>
          <t>Financial</t>
        </is>
      </c>
      <c r="C8" s="15" t="inlineStr">
        <is>
          <t>Restricted</t>
        </is>
      </c>
      <c r="D8" s="15" t="inlineStr">
        <is>
          <t>FADP/GDPR</t>
        </is>
      </c>
      <c r="E8" s="15" t="inlineStr">
        <is>
          <t>CH93 0076 2011 6238 5295 7</t>
        </is>
      </c>
      <c r="F8" s="15" t="inlineStr">
        <is>
          <t>[Owner]</t>
        </is>
      </c>
      <c r="G8" s="15" t="inlineStr">
        <is>
          <t>[Steward]</t>
        </is>
      </c>
      <c r="H8" s="15" t="inlineStr">
        <is>
          <t>[Volume]</t>
        </is>
      </c>
      <c r="I8" s="15" t="inlineStr">
        <is>
          <t>Discovered</t>
        </is>
      </c>
      <c r="J8" s="15" t="inlineStr">
        <is>
          <t>Partial</t>
        </is>
      </c>
      <c r="K8" s="15" t="inlineStr">
        <is>
          <t>A812-2-INV-005</t>
        </is>
      </c>
    </row>
    <row r="9">
      <c r="A9" s="15" t="inlineStr">
        <is>
          <t>API Keys</t>
        </is>
      </c>
      <c r="B9" s="15" t="inlineStr">
        <is>
          <t>Credentials</t>
        </is>
      </c>
      <c r="C9" s="15" t="inlineStr">
        <is>
          <t>Restricted</t>
        </is>
      </c>
      <c r="D9" s="15" t="inlineStr">
        <is>
          <t>None</t>
        </is>
      </c>
      <c r="E9" s="15" t="inlineStr">
        <is>
          <t>sk_live_abcd1234efgh5678</t>
        </is>
      </c>
      <c r="F9" s="15" t="inlineStr">
        <is>
          <t>[Owner]</t>
        </is>
      </c>
      <c r="G9" s="15" t="inlineStr">
        <is>
          <t>[Steward]</t>
        </is>
      </c>
      <c r="H9" s="15" t="inlineStr">
        <is>
          <t>[Volume]</t>
        </is>
      </c>
      <c r="I9" s="15" t="inlineStr">
        <is>
          <t>In Progress</t>
        </is>
      </c>
      <c r="J9" s="15" t="inlineStr">
        <is>
          <t>Partial</t>
        </is>
      </c>
      <c r="K9" s="15" t="inlineStr">
        <is>
          <t>A812-2-INV-006</t>
        </is>
      </c>
    </row>
    <row r="10">
      <c r="A10" s="15" t="inlineStr">
        <is>
          <t>Source Code</t>
        </is>
      </c>
      <c r="B10" s="15" t="inlineStr">
        <is>
          <t>IP</t>
        </is>
      </c>
      <c r="C10" s="15" t="inlineStr">
        <is>
          <t>Confidential</t>
        </is>
      </c>
      <c r="D10" s="15" t="inlineStr">
        <is>
          <t>None</t>
        </is>
      </c>
      <c r="E10" s="15" t="inlineStr">
        <is>
          <t>Proprietary algorithms, trade secrets</t>
        </is>
      </c>
      <c r="F10" s="15" t="inlineStr">
        <is>
          <t>[Owner]</t>
        </is>
      </c>
      <c r="G10" s="15" t="inlineStr">
        <is>
          <t>[Steward]</t>
        </is>
      </c>
      <c r="H10" s="15" t="inlineStr">
        <is>
          <t>[Volume]</t>
        </is>
      </c>
      <c r="I10" s="15" t="inlineStr">
        <is>
          <t>Discovered</t>
        </is>
      </c>
      <c r="J10" s="15" t="inlineStr">
        <is>
          <t>Yes</t>
        </is>
      </c>
      <c r="K10" s="15" t="inlineStr">
        <is>
          <t>A812-2-INV-007</t>
        </is>
      </c>
    </row>
    <row r="11">
      <c r="A11" s="15" t="inlineStr">
        <is>
          <t>Customer Lists</t>
        </is>
      </c>
      <c r="B11" s="15" t="inlineStr">
        <is>
          <t>Business Confidential</t>
        </is>
      </c>
      <c r="C11" s="15" t="inlineStr">
        <is>
          <t>Confidential</t>
        </is>
      </c>
      <c r="D11" s="15" t="inlineStr">
        <is>
          <t>FADP/GDPR</t>
        </is>
      </c>
      <c r="E11" s="15" t="inlineStr">
        <is>
          <t>CRM exports, contact databases</t>
        </is>
      </c>
      <c r="F11" s="15" t="inlineStr">
        <is>
          <t>[Owner]</t>
        </is>
      </c>
      <c r="G11" s="15" t="inlineStr">
        <is>
          <t>[Steward]</t>
        </is>
      </c>
      <c r="H11" s="15" t="inlineStr">
        <is>
          <t>[Volume]</t>
        </is>
      </c>
      <c r="I11" s="15" t="inlineStr">
        <is>
          <t>Discovered</t>
        </is>
      </c>
      <c r="J11" s="15" t="inlineStr">
        <is>
          <t>Partial</t>
        </is>
      </c>
      <c r="K11" s="15" t="inlineStr">
        <is>
          <t>A812-2-INV-008</t>
        </is>
      </c>
    </row>
    <row r="12">
      <c r="A12" s="15" t="inlineStr">
        <is>
          <t>M&amp;A Documents</t>
        </is>
      </c>
      <c r="B12" s="15" t="inlineStr">
        <is>
          <t>Business Confidential</t>
        </is>
      </c>
      <c r="C12" s="15" t="inlineStr">
        <is>
          <t>Restricted</t>
        </is>
      </c>
      <c r="D12" s="15" t="inlineStr">
        <is>
          <t>None</t>
        </is>
      </c>
      <c r="E12" s="15" t="inlineStr">
        <is>
          <t>Acquisition targets, financial models</t>
        </is>
      </c>
      <c r="F12" s="15" t="inlineStr">
        <is>
          <t>[Owner]</t>
        </is>
      </c>
      <c r="G12" s="15" t="inlineStr">
        <is>
          <t>[Steward]</t>
        </is>
      </c>
      <c r="H12" s="15" t="inlineStr">
        <is>
          <t>[Volume]</t>
        </is>
      </c>
      <c r="I12" s="15" t="inlineStr">
        <is>
          <t>Discovered</t>
        </is>
      </c>
      <c r="J12" s="15" t="inlineStr">
        <is>
          <t>Yes</t>
        </is>
      </c>
      <c r="K12" s="15" t="inlineStr">
        <is>
          <t>A812-2-INV-009</t>
        </is>
      </c>
    </row>
    <row r="13">
      <c r="A13" s="15" t="inlineStr">
        <is>
          <t>Employee Health Records</t>
        </is>
      </c>
      <c r="B13" s="15" t="inlineStr">
        <is>
          <t>PII</t>
        </is>
      </c>
      <c r="C13" s="15" t="inlineStr">
        <is>
          <t>Restricted</t>
        </is>
      </c>
      <c r="D13" s="15" t="inlineStr">
        <is>
          <t>FADP/GDPR</t>
        </is>
      </c>
      <c r="E13" s="15" t="inlineStr">
        <is>
          <t>Medical diagnoses, disability status</t>
        </is>
      </c>
      <c r="F13" s="15" t="inlineStr">
        <is>
          <t>[Owner]</t>
        </is>
      </c>
      <c r="G13" s="15" t="inlineStr">
        <is>
          <t>[Steward]</t>
        </is>
      </c>
      <c r="H13" s="15" t="inlineStr">
        <is>
          <t>[Volume]</t>
        </is>
      </c>
      <c r="I13" s="15" t="inlineStr">
        <is>
          <t>Discovered</t>
        </is>
      </c>
      <c r="J13" s="15" t="inlineStr">
        <is>
          <t>Partial</t>
        </is>
      </c>
      <c r="K13" s="15" t="inlineStr">
        <is>
          <t>A812-2-INV-010</t>
        </is>
      </c>
    </row>
    <row r="14">
      <c r="A14" s="14" t="n"/>
      <c r="B14" s="14" t="n"/>
      <c r="C14" s="14" t="n"/>
      <c r="D14" s="14" t="n"/>
      <c r="E14" s="14" t="n"/>
      <c r="F14" s="14" t="n"/>
      <c r="G14" s="14" t="n"/>
      <c r="H14" s="14" t="n"/>
      <c r="I14" s="14" t="n"/>
      <c r="J14" s="14" t="n"/>
      <c r="K14" s="14" t="n"/>
    </row>
    <row r="15">
      <c r="A15" s="14" t="n"/>
      <c r="B15" s="14" t="n"/>
      <c r="C15" s="14" t="n"/>
      <c r="D15" s="14" t="n"/>
      <c r="E15" s="14" t="n"/>
      <c r="F15" s="14" t="n"/>
      <c r="G15" s="14" t="n"/>
      <c r="H15" s="14" t="n"/>
      <c r="I15" s="14" t="n"/>
      <c r="J15" s="14" t="n"/>
      <c r="K15" s="14" t="n"/>
    </row>
    <row r="16">
      <c r="A16" s="14" t="n"/>
      <c r="B16" s="14" t="n"/>
      <c r="C16" s="14" t="n"/>
      <c r="D16" s="14" t="n"/>
      <c r="E16" s="14" t="n"/>
      <c r="F16" s="14" t="n"/>
      <c r="G16" s="14" t="n"/>
      <c r="H16" s="14" t="n"/>
      <c r="I16" s="14" t="n"/>
      <c r="J16" s="14" t="n"/>
      <c r="K16" s="14" t="n"/>
    </row>
    <row r="17">
      <c r="A17" s="14" t="n"/>
      <c r="B17" s="14" t="n"/>
      <c r="C17" s="14" t="n"/>
      <c r="D17" s="14" t="n"/>
      <c r="E17" s="14" t="n"/>
      <c r="F17" s="14" t="n"/>
      <c r="G17" s="14" t="n"/>
      <c r="H17" s="14" t="n"/>
      <c r="I17" s="14" t="n"/>
      <c r="J17" s="14" t="n"/>
      <c r="K17" s="14" t="n"/>
    </row>
    <row r="18">
      <c r="A18" s="14" t="n"/>
      <c r="B18" s="14" t="n"/>
      <c r="C18" s="14" t="n"/>
      <c r="D18" s="14" t="n"/>
      <c r="E18" s="14" t="n"/>
      <c r="F18" s="14" t="n"/>
      <c r="G18" s="14" t="n"/>
      <c r="H18" s="14" t="n"/>
      <c r="I18" s="14" t="n"/>
      <c r="J18" s="14" t="n"/>
      <c r="K18" s="14" t="n"/>
    </row>
    <row r="19">
      <c r="A19" s="14" t="n"/>
      <c r="B19" s="14" t="n"/>
      <c r="C19" s="14" t="n"/>
      <c r="D19" s="14" t="n"/>
      <c r="E19" s="14" t="n"/>
      <c r="F19" s="14" t="n"/>
      <c r="G19" s="14" t="n"/>
      <c r="H19" s="14" t="n"/>
      <c r="I19" s="14" t="n"/>
      <c r="J19" s="14" t="n"/>
      <c r="K19" s="14" t="n"/>
    </row>
    <row r="20">
      <c r="A20" s="14" t="n"/>
      <c r="B20" s="14" t="n"/>
      <c r="C20" s="14" t="n"/>
      <c r="D20" s="14" t="n"/>
      <c r="E20" s="14" t="n"/>
      <c r="F20" s="14" t="n"/>
      <c r="G20" s="14" t="n"/>
      <c r="H20" s="14" t="n"/>
      <c r="I20" s="14" t="n"/>
      <c r="J20" s="14" t="n"/>
      <c r="K20" s="14" t="n"/>
    </row>
    <row r="21">
      <c r="A21" s="14" t="n"/>
      <c r="B21" s="14" t="n"/>
      <c r="C21" s="14" t="n"/>
      <c r="D21" s="14" t="n"/>
      <c r="E21" s="14" t="n"/>
      <c r="F21" s="14" t="n"/>
      <c r="G21" s="14" t="n"/>
      <c r="H21" s="14" t="n"/>
      <c r="I21" s="14" t="n"/>
      <c r="J21" s="14" t="n"/>
      <c r="K21" s="14" t="n"/>
    </row>
    <row r="22">
      <c r="A22" s="14" t="n"/>
      <c r="B22" s="14" t="n"/>
      <c r="C22" s="14" t="n"/>
      <c r="D22" s="14" t="n"/>
      <c r="E22" s="14" t="n"/>
      <c r="F22" s="14" t="n"/>
      <c r="G22" s="14" t="n"/>
      <c r="H22" s="14" t="n"/>
      <c r="I22" s="14" t="n"/>
      <c r="J22" s="14" t="n"/>
      <c r="K22" s="14" t="n"/>
    </row>
    <row r="23">
      <c r="A23" s="14" t="n"/>
      <c r="B23" s="14" t="n"/>
      <c r="C23" s="14" t="n"/>
      <c r="D23" s="14" t="n"/>
      <c r="E23" s="14" t="n"/>
      <c r="F23" s="14" t="n"/>
      <c r="G23" s="14" t="n"/>
      <c r="H23" s="14" t="n"/>
      <c r="I23" s="14" t="n"/>
      <c r="J23" s="14" t="n"/>
      <c r="K23" s="14" t="n"/>
    </row>
    <row r="24">
      <c r="A24" s="14" t="n"/>
      <c r="B24" s="14" t="n"/>
      <c r="C24" s="14" t="n"/>
      <c r="D24" s="14" t="n"/>
      <c r="E24" s="14" t="n"/>
      <c r="F24" s="14" t="n"/>
      <c r="G24" s="14" t="n"/>
      <c r="H24" s="14" t="n"/>
      <c r="I24" s="14" t="n"/>
      <c r="J24" s="14" t="n"/>
      <c r="K24" s="14" t="n"/>
    </row>
    <row r="25">
      <c r="A25" s="14" t="n"/>
      <c r="B25" s="14" t="n"/>
      <c r="C25" s="14" t="n"/>
      <c r="D25" s="14" t="n"/>
      <c r="E25" s="14" t="n"/>
      <c r="F25" s="14" t="n"/>
      <c r="G25" s="14" t="n"/>
      <c r="H25" s="14" t="n"/>
      <c r="I25" s="14" t="n"/>
      <c r="J25" s="14" t="n"/>
      <c r="K25" s="14" t="n"/>
    </row>
    <row r="26">
      <c r="A26" s="14" t="n"/>
      <c r="B26" s="14" t="n"/>
      <c r="C26" s="14" t="n"/>
      <c r="D26" s="14" t="n"/>
      <c r="E26" s="14" t="n"/>
      <c r="F26" s="14" t="n"/>
      <c r="G26" s="14" t="n"/>
      <c r="H26" s="14" t="n"/>
      <c r="I26" s="14" t="n"/>
      <c r="J26" s="14" t="n"/>
      <c r="K26" s="14" t="n"/>
    </row>
    <row r="27">
      <c r="A27" s="14" t="n"/>
      <c r="B27" s="14" t="n"/>
      <c r="C27" s="14" t="n"/>
      <c r="D27" s="14" t="n"/>
      <c r="E27" s="14" t="n"/>
      <c r="F27" s="14" t="n"/>
      <c r="G27" s="14" t="n"/>
      <c r="H27" s="14" t="n"/>
      <c r="I27" s="14" t="n"/>
      <c r="J27" s="14" t="n"/>
      <c r="K27" s="14" t="n"/>
    </row>
    <row r="28">
      <c r="A28" s="14" t="n"/>
      <c r="B28" s="14" t="n"/>
      <c r="C28" s="14" t="n"/>
      <c r="D28" s="14" t="n"/>
      <c r="E28" s="14" t="n"/>
      <c r="F28" s="14" t="n"/>
      <c r="G28" s="14" t="n"/>
      <c r="H28" s="14" t="n"/>
      <c r="I28" s="14" t="n"/>
      <c r="J28" s="14" t="n"/>
      <c r="K28" s="14" t="n"/>
    </row>
    <row r="29">
      <c r="A29" s="14" t="n"/>
      <c r="B29" s="14" t="n"/>
      <c r="C29" s="14" t="n"/>
      <c r="D29" s="14" t="n"/>
      <c r="E29" s="14" t="n"/>
      <c r="F29" s="14" t="n"/>
      <c r="G29" s="14" t="n"/>
      <c r="H29" s="14" t="n"/>
      <c r="I29" s="14" t="n"/>
      <c r="J29" s="14" t="n"/>
      <c r="K29" s="14" t="n"/>
    </row>
    <row r="30">
      <c r="A30" s="14" t="n"/>
      <c r="B30" s="14" t="n"/>
      <c r="C30" s="14" t="n"/>
      <c r="D30" s="14" t="n"/>
      <c r="E30" s="14" t="n"/>
      <c r="F30" s="14" t="n"/>
      <c r="G30" s="14" t="n"/>
      <c r="H30" s="14" t="n"/>
      <c r="I30" s="14" t="n"/>
      <c r="J30" s="14" t="n"/>
      <c r="K30" s="14" t="n"/>
    </row>
    <row r="31">
      <c r="A31" s="14" t="n"/>
      <c r="B31" s="14" t="n"/>
      <c r="C31" s="14" t="n"/>
      <c r="D31" s="14" t="n"/>
      <c r="E31" s="14" t="n"/>
      <c r="F31" s="14" t="n"/>
      <c r="G31" s="14" t="n"/>
      <c r="H31" s="14" t="n"/>
      <c r="I31" s="14" t="n"/>
      <c r="J31" s="14" t="n"/>
      <c r="K31" s="14" t="n"/>
    </row>
    <row r="32">
      <c r="A32" s="14" t="n"/>
      <c r="B32" s="14" t="n"/>
      <c r="C32" s="14" t="n"/>
      <c r="D32" s="14" t="n"/>
      <c r="E32" s="14" t="n"/>
      <c r="F32" s="14" t="n"/>
      <c r="G32" s="14" t="n"/>
      <c r="H32" s="14" t="n"/>
      <c r="I32" s="14" t="n"/>
      <c r="J32" s="14" t="n"/>
      <c r="K32" s="14" t="n"/>
    </row>
    <row r="33">
      <c r="A33" s="14" t="n"/>
      <c r="B33" s="14" t="n"/>
      <c r="C33" s="14" t="n"/>
      <c r="D33" s="14" t="n"/>
      <c r="E33" s="14" t="n"/>
      <c r="F33" s="14" t="n"/>
      <c r="G33" s="14" t="n"/>
      <c r="H33" s="14" t="n"/>
      <c r="I33" s="14" t="n"/>
      <c r="J33" s="14" t="n"/>
      <c r="K33" s="14" t="n"/>
    </row>
  </sheetData>
  <mergeCells count="2">
    <mergeCell ref="A2:K2"/>
    <mergeCell ref="A1:K1"/>
  </mergeCells>
  <dataValidations count="5">
    <dataValidation sqref="B14 B15 B16 B17 B18 B19 B20 B21 B22 B23 B24 B25 B26 B27 B28 B29 B30 B31 B32 B33" showDropDown="1" showInputMessage="0" showErrorMessage="0" allowBlank="0" type="list">
      <formula1>"PII,Financial,IP,Credentials,Business Confidential,Other"</formula1>
    </dataValidation>
    <dataValidation sqref="C14 C15 C16 C17 C18 C19 C20 C21 C22 C23 C24 C25 C26 C27 C28 C29 C30 C31 C32 C33" showDropDown="1" showInputMessage="0" showErrorMessage="0" allowBlank="0" type="list">
      <formula1>"Public,Internal,Confidential,Restricted"</formula1>
    </dataValidation>
    <dataValidation sqref="D14 D15 D16 D17 D18 D19 D20 D21 D22 D23 D24 D25 D26 D27 D28 D29 D30 D31 D32 D33" showDropDown="1" showInputMessage="0" showErrorMessage="0" allowBlank="0" type="list">
      <formula1>"FADP,GDPR,PCI-DSS,FADP/GDPR,Multiple,None"</formula1>
    </dataValidation>
    <dataValidation sqref="I14 I15 I16 I17 I18 I19 I20 I21 I22 I23 I24 I25 I26 I27 I28 I29 I30 I31 I32 I33" showDropDown="1" showInputMessage="0" showErrorMessage="0" allowBlank="0" type="list">
      <formula1>"Discovered,In Progress,Not Started"</formula1>
    </dataValidation>
    <dataValidation sqref="J14 J15 J16 J17 J18 J19 J20 J21 J22 J23 J24 J25 J26 J27 J28 J29 J30 J31 J32 J33"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4"/>
  <sheetViews>
    <sheetView workbookViewId="0">
      <pane ySplit="3" topLeftCell="A4" activePane="bottomLeft" state="frozen"/>
      <selection pane="bottomLeft" activeCell="A1" sqref="A1"/>
    </sheetView>
  </sheetViews>
  <sheetFormatPr baseColWidth="8" defaultRowHeight="15"/>
  <cols>
    <col width="30" customWidth="1" min="1" max="1"/>
    <col width="20" customWidth="1" min="2" max="2"/>
    <col width="30" customWidth="1" min="3" max="3"/>
    <col width="35" customWidth="1" min="4" max="4"/>
    <col width="18" customWidth="1" min="5" max="5"/>
    <col width="15" customWidth="1" min="6" max="6"/>
    <col width="18" customWidth="1" min="7" max="7"/>
    <col width="18" customWidth="1" min="8" max="8"/>
    <col width="18" customWidth="1" min="9" max="9"/>
    <col width="18" customWidth="1" min="10" max="10"/>
    <col width="18" customWidth="1" min="11" max="11"/>
  </cols>
  <sheetData>
    <row r="1" ht="30" customHeight="1">
      <c r="A1" s="1" t="inlineStr">
        <is>
          <t>DATA LOCATION MAPPING</t>
        </is>
      </c>
    </row>
    <row r="2" ht="25" customHeight="1">
      <c r="A2" s="2" t="inlineStr">
        <is>
          <t>Map sensitive data categories to storage locations (file servers, databases, cloud, endpoints)</t>
        </is>
      </c>
    </row>
    <row r="3">
      <c r="A3" s="12" t="inlineStr">
        <is>
          <t>Data Category</t>
        </is>
      </c>
      <c r="B3" s="12" t="inlineStr">
        <is>
          <t>Storage Location Type</t>
        </is>
      </c>
      <c r="C3" s="12" t="inlineStr">
        <is>
          <t>Specific Location</t>
        </is>
      </c>
      <c r="D3" s="12" t="inlineStr">
        <is>
          <t>Path/Schema</t>
        </is>
      </c>
      <c r="E3" s="12" t="inlineStr">
        <is>
          <t>Estimated Records/Files</t>
        </is>
      </c>
      <c r="F3" s="12" t="inlineStr">
        <is>
          <t>Last Discovery Scan</t>
        </is>
      </c>
      <c r="G3" s="12" t="inlineStr">
        <is>
          <t>DLP Coverage</t>
        </is>
      </c>
      <c r="H3" s="12" t="inlineStr">
        <is>
          <t>Encryption at Rest</t>
        </is>
      </c>
      <c r="I3" s="12" t="inlineStr">
        <is>
          <t>Access Controls</t>
        </is>
      </c>
      <c r="J3" s="12" t="inlineStr">
        <is>
          <t>Data Owner Notified</t>
        </is>
      </c>
      <c r="K3" s="12" t="inlineStr">
        <is>
          <t>Evidence ID</t>
        </is>
      </c>
    </row>
    <row r="4">
      <c r="A4" s="15" t="inlineStr">
        <is>
          <t>Credit Card Numbers</t>
        </is>
      </c>
      <c r="B4" s="15" t="inlineStr">
        <is>
          <t>Database</t>
        </is>
      </c>
      <c r="C4" s="15" t="inlineStr">
        <is>
          <t>SQL-PROD-01</t>
        </is>
      </c>
      <c r="D4" s="15" t="inlineStr">
        <is>
          <t>dbo.Payments.CCNumber</t>
        </is>
      </c>
      <c r="E4" s="15" t="inlineStr">
        <is>
          <t>250000</t>
        </is>
      </c>
      <c r="F4" s="15" t="inlineStr">
        <is>
          <t>2024-12-10</t>
        </is>
      </c>
      <c r="G4" s="15" t="inlineStr">
        <is>
          <t>Yes</t>
        </is>
      </c>
      <c r="H4" s="15" t="inlineStr">
        <is>
          <t>Yes</t>
        </is>
      </c>
      <c r="I4" s="15" t="inlineStr">
        <is>
          <t>Yes</t>
        </is>
      </c>
      <c r="J4" s="15" t="inlineStr">
        <is>
          <t>Yes</t>
        </is>
      </c>
      <c r="K4" s="15" t="inlineStr">
        <is>
          <t>A812-2-LOC-001</t>
        </is>
      </c>
    </row>
    <row r="5">
      <c r="A5" s="15" t="inlineStr">
        <is>
          <t>Customer PII</t>
        </is>
      </c>
      <c r="B5" s="15" t="inlineStr">
        <is>
          <t>File Server</t>
        </is>
      </c>
      <c r="C5" s="15" t="inlineStr">
        <is>
          <t>FS-HR-01</t>
        </is>
      </c>
      <c r="D5" s="15" t="inlineStr">
        <is>
          <t>\\HR\PersonnelFiles\</t>
        </is>
      </c>
      <c r="E5" s="15" t="inlineStr">
        <is>
          <t>5000</t>
        </is>
      </c>
      <c r="F5" s="15" t="inlineStr">
        <is>
          <t>2024-12-15</t>
        </is>
      </c>
      <c r="G5" s="15" t="inlineStr">
        <is>
          <t>Partial</t>
        </is>
      </c>
      <c r="H5" s="15" t="inlineStr">
        <is>
          <t>Yes</t>
        </is>
      </c>
      <c r="I5" s="15" t="inlineStr">
        <is>
          <t>Yes</t>
        </is>
      </c>
      <c r="J5" s="15" t="inlineStr">
        <is>
          <t>Yes</t>
        </is>
      </c>
      <c r="K5" s="15" t="inlineStr">
        <is>
          <t>A812-2-LOC-002</t>
        </is>
      </c>
    </row>
    <row r="6">
      <c r="A6" s="15" t="inlineStr">
        <is>
          <t>Source Code</t>
        </is>
      </c>
      <c r="B6" s="15" t="inlineStr">
        <is>
          <t>Cloud</t>
        </is>
      </c>
      <c r="C6" s="15" t="inlineStr">
        <is>
          <t>GitHub Enterprise</t>
        </is>
      </c>
      <c r="D6" s="15" t="inlineStr">
        <is>
          <t>/repos/proprietary/</t>
        </is>
      </c>
      <c r="E6" s="15" t="inlineStr">
        <is>
          <t>150</t>
        </is>
      </c>
      <c r="F6" s="15" t="inlineStr">
        <is>
          <t>2024-12-01</t>
        </is>
      </c>
      <c r="G6" s="15" t="inlineStr">
        <is>
          <t>Yes</t>
        </is>
      </c>
      <c r="H6" s="15" t="inlineStr">
        <is>
          <t>Yes</t>
        </is>
      </c>
      <c r="I6" s="15" t="inlineStr">
        <is>
          <t>Yes</t>
        </is>
      </c>
      <c r="J6" s="15" t="inlineStr">
        <is>
          <t>Yes</t>
        </is>
      </c>
      <c r="K6" s="15" t="inlineStr">
        <is>
          <t>A812-2-LOC-003</t>
        </is>
      </c>
    </row>
    <row r="7">
      <c r="A7" s="15" t="inlineStr">
        <is>
          <t>API Keys</t>
        </is>
      </c>
      <c r="B7" s="15" t="inlineStr">
        <is>
          <t>Endpoint</t>
        </is>
      </c>
      <c r="C7" s="15" t="inlineStr">
        <is>
          <t>Developer Workstations</t>
        </is>
      </c>
      <c r="D7" s="15" t="inlineStr">
        <is>
          <t>Various local configs</t>
        </is>
      </c>
      <c r="E7" s="15" t="inlineStr">
        <is>
          <t>[Unknown]</t>
        </is>
      </c>
      <c r="F7" s="15" t="inlineStr">
        <is>
          <t>2024-11-20</t>
        </is>
      </c>
      <c r="G7" s="15" t="inlineStr">
        <is>
          <t>No</t>
        </is>
      </c>
      <c r="H7" s="15" t="inlineStr">
        <is>
          <t>Partial</t>
        </is>
      </c>
      <c r="I7" s="15" t="inlineStr">
        <is>
          <t>Partial</t>
        </is>
      </c>
      <c r="J7" s="15" t="inlineStr">
        <is>
          <t>No</t>
        </is>
      </c>
      <c r="K7" s="15" t="inlineStr">
        <is>
          <t>A812-2-LOC-004</t>
        </is>
      </c>
    </row>
    <row r="8">
      <c r="A8" s="15" t="inlineStr">
        <is>
          <t>Email Archives</t>
        </is>
      </c>
      <c r="B8" s="15" t="inlineStr">
        <is>
          <t>Email</t>
        </is>
      </c>
      <c r="C8" s="15" t="inlineStr">
        <is>
          <t>M365 Exchange Online</t>
        </is>
      </c>
      <c r="D8" s="15" t="inlineStr">
        <is>
          <t>All mailboxes</t>
        </is>
      </c>
      <c r="E8" s="15" t="inlineStr">
        <is>
          <t>2000000</t>
        </is>
      </c>
      <c r="F8" s="15" t="inlineStr">
        <is>
          <t>2024-12-20</t>
        </is>
      </c>
      <c r="G8" s="15" t="inlineStr">
        <is>
          <t>Yes</t>
        </is>
      </c>
      <c r="H8" s="15" t="inlineStr">
        <is>
          <t>Yes</t>
        </is>
      </c>
      <c r="I8" s="15" t="inlineStr">
        <is>
          <t>Yes</t>
        </is>
      </c>
      <c r="J8" s="15" t="inlineStr">
        <is>
          <t>Yes</t>
        </is>
      </c>
      <c r="K8" s="15" t="inlineStr">
        <is>
          <t>A812-2-LOC-005</t>
        </is>
      </c>
    </row>
    <row r="9">
      <c r="A9" s="14" t="n"/>
      <c r="B9" s="14" t="n"/>
      <c r="C9" s="14" t="n"/>
      <c r="D9" s="14" t="n"/>
      <c r="E9" s="14" t="n"/>
      <c r="F9" s="14" t="n"/>
      <c r="G9" s="14" t="n"/>
      <c r="H9" s="14" t="n"/>
      <c r="I9" s="14" t="n"/>
      <c r="J9" s="14" t="n"/>
      <c r="K9" s="14" t="n"/>
    </row>
    <row r="10">
      <c r="A10" s="14" t="n"/>
      <c r="B10" s="14" t="n"/>
      <c r="C10" s="14" t="n"/>
      <c r="D10" s="14" t="n"/>
      <c r="E10" s="14" t="n"/>
      <c r="F10" s="14" t="n"/>
      <c r="G10" s="14" t="n"/>
      <c r="H10" s="14" t="n"/>
      <c r="I10" s="14" t="n"/>
      <c r="J10" s="14" t="n"/>
      <c r="K10" s="14" t="n"/>
    </row>
    <row r="11">
      <c r="A11" s="14" t="n"/>
      <c r="B11" s="14" t="n"/>
      <c r="C11" s="14" t="n"/>
      <c r="D11" s="14" t="n"/>
      <c r="E11" s="14" t="n"/>
      <c r="F11" s="14" t="n"/>
      <c r="G11" s="14" t="n"/>
      <c r="H11" s="14" t="n"/>
      <c r="I11" s="14" t="n"/>
      <c r="J11" s="14" t="n"/>
      <c r="K11" s="14" t="n"/>
    </row>
    <row r="12">
      <c r="A12" s="14" t="n"/>
      <c r="B12" s="14" t="n"/>
      <c r="C12" s="14" t="n"/>
      <c r="D12" s="14" t="n"/>
      <c r="E12" s="14" t="n"/>
      <c r="F12" s="14" t="n"/>
      <c r="G12" s="14" t="n"/>
      <c r="H12" s="14" t="n"/>
      <c r="I12" s="14" t="n"/>
      <c r="J12" s="14" t="n"/>
      <c r="K12" s="14" t="n"/>
    </row>
    <row r="13">
      <c r="A13" s="14" t="n"/>
      <c r="B13" s="14" t="n"/>
      <c r="C13" s="14" t="n"/>
      <c r="D13" s="14" t="n"/>
      <c r="E13" s="14" t="n"/>
      <c r="F13" s="14" t="n"/>
      <c r="G13" s="14" t="n"/>
      <c r="H13" s="14" t="n"/>
      <c r="I13" s="14" t="n"/>
      <c r="J13" s="14" t="n"/>
      <c r="K13" s="14" t="n"/>
    </row>
    <row r="14">
      <c r="A14" s="14" t="n"/>
      <c r="B14" s="14" t="n"/>
      <c r="C14" s="14" t="n"/>
      <c r="D14" s="14" t="n"/>
      <c r="E14" s="14" t="n"/>
      <c r="F14" s="14" t="n"/>
      <c r="G14" s="14" t="n"/>
      <c r="H14" s="14" t="n"/>
      <c r="I14" s="14" t="n"/>
      <c r="J14" s="14" t="n"/>
      <c r="K14" s="14" t="n"/>
    </row>
    <row r="15">
      <c r="A15" s="14" t="n"/>
      <c r="B15" s="14" t="n"/>
      <c r="C15" s="14" t="n"/>
      <c r="D15" s="14" t="n"/>
      <c r="E15" s="14" t="n"/>
      <c r="F15" s="14" t="n"/>
      <c r="G15" s="14" t="n"/>
      <c r="H15" s="14" t="n"/>
      <c r="I15" s="14" t="n"/>
      <c r="J15" s="14" t="n"/>
      <c r="K15" s="14" t="n"/>
    </row>
    <row r="16">
      <c r="A16" s="14" t="n"/>
      <c r="B16" s="14" t="n"/>
      <c r="C16" s="14" t="n"/>
      <c r="D16" s="14" t="n"/>
      <c r="E16" s="14" t="n"/>
      <c r="F16" s="14" t="n"/>
      <c r="G16" s="14" t="n"/>
      <c r="H16" s="14" t="n"/>
      <c r="I16" s="14" t="n"/>
      <c r="J16" s="14" t="n"/>
      <c r="K16" s="14" t="n"/>
    </row>
    <row r="17">
      <c r="A17" s="14" t="n"/>
      <c r="B17" s="14" t="n"/>
      <c r="C17" s="14" t="n"/>
      <c r="D17" s="14" t="n"/>
      <c r="E17" s="14" t="n"/>
      <c r="F17" s="14" t="n"/>
      <c r="G17" s="14" t="n"/>
      <c r="H17" s="14" t="n"/>
      <c r="I17" s="14" t="n"/>
      <c r="J17" s="14" t="n"/>
      <c r="K17" s="14" t="n"/>
    </row>
    <row r="18">
      <c r="A18" s="14" t="n"/>
      <c r="B18" s="14" t="n"/>
      <c r="C18" s="14" t="n"/>
      <c r="D18" s="14" t="n"/>
      <c r="E18" s="14" t="n"/>
      <c r="F18" s="14" t="n"/>
      <c r="G18" s="14" t="n"/>
      <c r="H18" s="14" t="n"/>
      <c r="I18" s="14" t="n"/>
      <c r="J18" s="14" t="n"/>
      <c r="K18" s="14" t="n"/>
    </row>
    <row r="19">
      <c r="A19" s="14" t="n"/>
      <c r="B19" s="14" t="n"/>
      <c r="C19" s="14" t="n"/>
      <c r="D19" s="14" t="n"/>
      <c r="E19" s="14" t="n"/>
      <c r="F19" s="14" t="n"/>
      <c r="G19" s="14" t="n"/>
      <c r="H19" s="14" t="n"/>
      <c r="I19" s="14" t="n"/>
      <c r="J19" s="14" t="n"/>
      <c r="K19" s="14" t="n"/>
    </row>
    <row r="20">
      <c r="A20" s="14" t="n"/>
      <c r="B20" s="14" t="n"/>
      <c r="C20" s="14" t="n"/>
      <c r="D20" s="14" t="n"/>
      <c r="E20" s="14" t="n"/>
      <c r="F20" s="14" t="n"/>
      <c r="G20" s="14" t="n"/>
      <c r="H20" s="14" t="n"/>
      <c r="I20" s="14" t="n"/>
      <c r="J20" s="14" t="n"/>
      <c r="K20" s="14" t="n"/>
    </row>
    <row r="21">
      <c r="A21" s="14" t="n"/>
      <c r="B21" s="14" t="n"/>
      <c r="C21" s="14" t="n"/>
      <c r="D21" s="14" t="n"/>
      <c r="E21" s="14" t="n"/>
      <c r="F21" s="14" t="n"/>
      <c r="G21" s="14" t="n"/>
      <c r="H21" s="14" t="n"/>
      <c r="I21" s="14" t="n"/>
      <c r="J21" s="14" t="n"/>
      <c r="K21" s="14" t="n"/>
    </row>
    <row r="22">
      <c r="A22" s="14" t="n"/>
      <c r="B22" s="14" t="n"/>
      <c r="C22" s="14" t="n"/>
      <c r="D22" s="14" t="n"/>
      <c r="E22" s="14" t="n"/>
      <c r="F22" s="14" t="n"/>
      <c r="G22" s="14" t="n"/>
      <c r="H22" s="14" t="n"/>
      <c r="I22" s="14" t="n"/>
      <c r="J22" s="14" t="n"/>
      <c r="K22" s="14" t="n"/>
    </row>
    <row r="23">
      <c r="A23" s="14" t="n"/>
      <c r="B23" s="14" t="n"/>
      <c r="C23" s="14" t="n"/>
      <c r="D23" s="14" t="n"/>
      <c r="E23" s="14" t="n"/>
      <c r="F23" s="14" t="n"/>
      <c r="G23" s="14" t="n"/>
      <c r="H23" s="14" t="n"/>
      <c r="I23" s="14" t="n"/>
      <c r="J23" s="14" t="n"/>
      <c r="K23" s="14" t="n"/>
    </row>
    <row r="24">
      <c r="A24" s="14" t="n"/>
      <c r="B24" s="14" t="n"/>
      <c r="C24" s="14" t="n"/>
      <c r="D24" s="14" t="n"/>
      <c r="E24" s="14" t="n"/>
      <c r="F24" s="14" t="n"/>
      <c r="G24" s="14" t="n"/>
      <c r="H24" s="14" t="n"/>
      <c r="I24" s="14" t="n"/>
      <c r="J24" s="14" t="n"/>
      <c r="K24" s="14" t="n"/>
    </row>
    <row r="25">
      <c r="A25" s="14" t="n"/>
      <c r="B25" s="14" t="n"/>
      <c r="C25" s="14" t="n"/>
      <c r="D25" s="14" t="n"/>
      <c r="E25" s="14" t="n"/>
      <c r="F25" s="14" t="n"/>
      <c r="G25" s="14" t="n"/>
      <c r="H25" s="14" t="n"/>
      <c r="I25" s="14" t="n"/>
      <c r="J25" s="14" t="n"/>
      <c r="K25" s="14" t="n"/>
    </row>
    <row r="26">
      <c r="A26" s="14" t="n"/>
      <c r="B26" s="14" t="n"/>
      <c r="C26" s="14" t="n"/>
      <c r="D26" s="14" t="n"/>
      <c r="E26" s="14" t="n"/>
      <c r="F26" s="14" t="n"/>
      <c r="G26" s="14" t="n"/>
      <c r="H26" s="14" t="n"/>
      <c r="I26" s="14" t="n"/>
      <c r="J26" s="14" t="n"/>
      <c r="K26" s="14" t="n"/>
    </row>
    <row r="27">
      <c r="A27" s="14" t="n"/>
      <c r="B27" s="14" t="n"/>
      <c r="C27" s="14" t="n"/>
      <c r="D27" s="14" t="n"/>
      <c r="E27" s="14" t="n"/>
      <c r="F27" s="14" t="n"/>
      <c r="G27" s="14" t="n"/>
      <c r="H27" s="14" t="n"/>
      <c r="I27" s="14" t="n"/>
      <c r="J27" s="14" t="n"/>
      <c r="K27" s="14" t="n"/>
    </row>
    <row r="28">
      <c r="A28" s="14" t="n"/>
      <c r="B28" s="14" t="n"/>
      <c r="C28" s="14" t="n"/>
      <c r="D28" s="14" t="n"/>
      <c r="E28" s="14" t="n"/>
      <c r="F28" s="14" t="n"/>
      <c r="G28" s="14" t="n"/>
      <c r="H28" s="14" t="n"/>
      <c r="I28" s="14" t="n"/>
      <c r="J28" s="14" t="n"/>
      <c r="K28" s="14" t="n"/>
    </row>
    <row r="29">
      <c r="A29" s="14" t="n"/>
      <c r="B29" s="14" t="n"/>
      <c r="C29" s="14" t="n"/>
      <c r="D29" s="14" t="n"/>
      <c r="E29" s="14" t="n"/>
      <c r="F29" s="14" t="n"/>
      <c r="G29" s="14" t="n"/>
      <c r="H29" s="14" t="n"/>
      <c r="I29" s="14" t="n"/>
      <c r="J29" s="14" t="n"/>
      <c r="K29" s="14" t="n"/>
    </row>
    <row r="30">
      <c r="A30" s="14" t="n"/>
      <c r="B30" s="14" t="n"/>
      <c r="C30" s="14" t="n"/>
      <c r="D30" s="14" t="n"/>
      <c r="E30" s="14" t="n"/>
      <c r="F30" s="14" t="n"/>
      <c r="G30" s="14" t="n"/>
      <c r="H30" s="14" t="n"/>
      <c r="I30" s="14" t="n"/>
      <c r="J30" s="14" t="n"/>
      <c r="K30" s="14" t="n"/>
    </row>
    <row r="31">
      <c r="A31" s="14" t="n"/>
      <c r="B31" s="14" t="n"/>
      <c r="C31" s="14" t="n"/>
      <c r="D31" s="14" t="n"/>
      <c r="E31" s="14" t="n"/>
      <c r="F31" s="14" t="n"/>
      <c r="G31" s="14" t="n"/>
      <c r="H31" s="14" t="n"/>
      <c r="I31" s="14" t="n"/>
      <c r="J31" s="14" t="n"/>
      <c r="K31" s="14" t="n"/>
    </row>
    <row r="32">
      <c r="A32" s="14" t="n"/>
      <c r="B32" s="14" t="n"/>
      <c r="C32" s="14" t="n"/>
      <c r="D32" s="14" t="n"/>
      <c r="E32" s="14" t="n"/>
      <c r="F32" s="14" t="n"/>
      <c r="G32" s="14" t="n"/>
      <c r="H32" s="14" t="n"/>
      <c r="I32" s="14" t="n"/>
      <c r="J32" s="14" t="n"/>
      <c r="K32" s="14" t="n"/>
    </row>
    <row r="33">
      <c r="A33" s="14" t="n"/>
      <c r="B33" s="14" t="n"/>
      <c r="C33" s="14" t="n"/>
      <c r="D33" s="14" t="n"/>
      <c r="E33" s="14" t="n"/>
      <c r="F33" s="14" t="n"/>
      <c r="G33" s="14" t="n"/>
      <c r="H33" s="14" t="n"/>
      <c r="I33" s="14" t="n"/>
      <c r="J33" s="14" t="n"/>
      <c r="K33" s="14" t="n"/>
    </row>
    <row r="34">
      <c r="A34" s="14" t="n"/>
      <c r="B34" s="14" t="n"/>
      <c r="C34" s="14" t="n"/>
      <c r="D34" s="14" t="n"/>
      <c r="E34" s="14" t="n"/>
      <c r="F34" s="14" t="n"/>
      <c r="G34" s="14" t="n"/>
      <c r="H34" s="14" t="n"/>
      <c r="I34" s="14" t="n"/>
      <c r="J34" s="14" t="n"/>
      <c r="K34" s="14" t="n"/>
    </row>
    <row r="35">
      <c r="A35" s="14" t="n"/>
      <c r="B35" s="14" t="n"/>
      <c r="C35" s="14" t="n"/>
      <c r="D35" s="14" t="n"/>
      <c r="E35" s="14" t="n"/>
      <c r="F35" s="14" t="n"/>
      <c r="G35" s="14" t="n"/>
      <c r="H35" s="14" t="n"/>
      <c r="I35" s="14" t="n"/>
      <c r="J35" s="14" t="n"/>
      <c r="K35" s="14" t="n"/>
    </row>
    <row r="36">
      <c r="A36" s="14" t="n"/>
      <c r="B36" s="14" t="n"/>
      <c r="C36" s="14" t="n"/>
      <c r="D36" s="14" t="n"/>
      <c r="E36" s="14" t="n"/>
      <c r="F36" s="14" t="n"/>
      <c r="G36" s="14" t="n"/>
      <c r="H36" s="14" t="n"/>
      <c r="I36" s="14" t="n"/>
      <c r="J36" s="14" t="n"/>
      <c r="K36" s="14" t="n"/>
    </row>
    <row r="37">
      <c r="A37" s="14" t="n"/>
      <c r="B37" s="14" t="n"/>
      <c r="C37" s="14" t="n"/>
      <c r="D37" s="14" t="n"/>
      <c r="E37" s="14" t="n"/>
      <c r="F37" s="14" t="n"/>
      <c r="G37" s="14" t="n"/>
      <c r="H37" s="14" t="n"/>
      <c r="I37" s="14" t="n"/>
      <c r="J37" s="14" t="n"/>
      <c r="K37" s="14" t="n"/>
    </row>
    <row r="38">
      <c r="A38" s="14" t="n"/>
      <c r="B38" s="14" t="n"/>
      <c r="C38" s="14" t="n"/>
      <c r="D38" s="14" t="n"/>
      <c r="E38" s="14" t="n"/>
      <c r="F38" s="14" t="n"/>
      <c r="G38" s="14" t="n"/>
      <c r="H38" s="14" t="n"/>
      <c r="I38" s="14" t="n"/>
      <c r="J38" s="14" t="n"/>
      <c r="K38" s="14" t="n"/>
    </row>
    <row r="39">
      <c r="A39" s="14" t="n"/>
      <c r="B39" s="14" t="n"/>
      <c r="C39" s="14" t="n"/>
      <c r="D39" s="14" t="n"/>
      <c r="E39" s="14" t="n"/>
      <c r="F39" s="14" t="n"/>
      <c r="G39" s="14" t="n"/>
      <c r="H39" s="14" t="n"/>
      <c r="I39" s="14" t="n"/>
      <c r="J39" s="14" t="n"/>
      <c r="K39" s="14" t="n"/>
    </row>
    <row r="40">
      <c r="A40" s="14" t="n"/>
      <c r="B40" s="14" t="n"/>
      <c r="C40" s="14" t="n"/>
      <c r="D40" s="14" t="n"/>
      <c r="E40" s="14" t="n"/>
      <c r="F40" s="14" t="n"/>
      <c r="G40" s="14" t="n"/>
      <c r="H40" s="14" t="n"/>
      <c r="I40" s="14" t="n"/>
      <c r="J40" s="14" t="n"/>
      <c r="K40" s="14" t="n"/>
    </row>
    <row r="41">
      <c r="A41" s="14" t="n"/>
      <c r="B41" s="14" t="n"/>
      <c r="C41" s="14" t="n"/>
      <c r="D41" s="14" t="n"/>
      <c r="E41" s="14" t="n"/>
      <c r="F41" s="14" t="n"/>
      <c r="G41" s="14" t="n"/>
      <c r="H41" s="14" t="n"/>
      <c r="I41" s="14" t="n"/>
      <c r="J41" s="14" t="n"/>
      <c r="K41" s="14" t="n"/>
    </row>
    <row r="42">
      <c r="A42" s="14" t="n"/>
      <c r="B42" s="14" t="n"/>
      <c r="C42" s="14" t="n"/>
      <c r="D42" s="14" t="n"/>
      <c r="E42" s="14" t="n"/>
      <c r="F42" s="14" t="n"/>
      <c r="G42" s="14" t="n"/>
      <c r="H42" s="14" t="n"/>
      <c r="I42" s="14" t="n"/>
      <c r="J42" s="14" t="n"/>
      <c r="K42" s="14" t="n"/>
    </row>
    <row r="43">
      <c r="A43" s="14" t="n"/>
      <c r="B43" s="14" t="n"/>
      <c r="C43" s="14" t="n"/>
      <c r="D43" s="14" t="n"/>
      <c r="E43" s="14" t="n"/>
      <c r="F43" s="14" t="n"/>
      <c r="G43" s="14" t="n"/>
      <c r="H43" s="14" t="n"/>
      <c r="I43" s="14" t="n"/>
      <c r="J43" s="14" t="n"/>
      <c r="K43" s="14" t="n"/>
    </row>
    <row r="44"/>
  </sheetData>
  <mergeCells count="2">
    <mergeCell ref="A2:K2"/>
    <mergeCell ref="A1:K1"/>
  </mergeCells>
  <dataValidations count="5">
    <dataValidation sqref="B9 B10 B11 B12 B13 B14 B15 B16 B17 B18 B19 B20 B21 B22 B23 B24 B25 B26 B27 B28 B29 B30 B31 B32 B33 B34 B35 B36 B37 B38 B39 B40 B41 B42 B43 B44" showDropDown="1" showInputMessage="0" showErrorMessage="0" allowBlank="0" type="list">
      <formula1>"File Server,Database,Endpoint,Cloud,Email,Backup,Other"</formula1>
    </dataValidation>
    <dataValidation sqref="G9 G10 G11 G12 G13 G14 G15 G16 G17 G18 G19 G20 G21 G22 G23 G24 G25 G26 G27 G28 G29 G30 G31 G32 G33 G34 G35 G36 G37 G38 G39 G40 G41 G42 G43 G44 H9 H10 H11 H12 H13 H14 H15 H16 H17 H18 H19 H20 H21 H22 H23 H24 H25 H26 H27 H28 H29 H30 H31 H32 H33 H34 H35 H36 H37 H38 H39 H40 H41 H42 H43 H44 I9 I10 I11 I12 I13 I14 I15 I16 I17 I18 I19 I20 I21 I22 I23 I24 I25 I26 I27 I28 I29 I30 I31 I32 I33 I34 I35 I36 I37 I38 I39 I40 I41 I42 I43 I44" showDropDown="1" showInputMessage="0" showErrorMessage="1" allowBlank="0" errorTitle="Invalid Entry" error="Invalid value. Select from dropdown." type="list">
      <formula1>"Yes,No,Partial,Planned,N/A"</formula1>
    </dataValidation>
    <dataValidation sqref="G9 G10 G11 G12 G13 G14 G15 G16 G17 G18 G19 G20 G21 G22 G23 G24 G25 G26 G27 G28 G29 G30 G31 G32 G33 G34 G35 G36 G37 G38 G39 G40 G41 G42 G43 G44 H9 H10 H11 H12 H13 H14 H15 H16 H17 H18 H19 H20 H21 H22 H23 H24 H25 H26 H27 H28 H29 H30 H31 H32 H33 H34 H35 H36 H37 H38 H39 H40 H41 H42 H43 H44 I9 I10 I11 I12 I13 I14 I15 I16 I17 I18 I19 I20 I21 I22 I23 I24 I25 I26 I27 I28 I29 I30 I31 I32 I33 I34 I35 I36 I37 I38 I39 I40 I41 I42 I43 I44" showDropDown="1" showInputMessage="0" showErrorMessage="1" allowBlank="0" errorTitle="Invalid Entry" error="Invalid value. Select from dropdown." type="list">
      <formula1>"Yes,No,Partial,Planned,N/A"</formula1>
    </dataValidation>
    <dataValidation sqref="G9 G10 G11 G12 G13 G14 G15 G16 G17 G18 G19 G20 G21 G22 G23 G24 G25 G26 G27 G28 G29 G30 G31 G32 G33 G34 G35 G36 G37 G38 G39 G40 G41 G42 G43 G44 H9 H10 H11 H12 H13 H14 H15 H16 H17 H18 H19 H20 H21 H22 H23 H24 H25 H26 H27 H28 H29 H30 H31 H32 H33 H34 H35 H36 H37 H38 H39 H40 H41 H42 H43 H44 I9 I10 I11 I12 I13 I14 I15 I16 I17 I18 I19 I20 I21 I22 I23 I24 I25 I26 I27 I28 I29 I30 I31 I32 I33 I34 I35 I36 I37 I38 I39 I40 I41 I42 I43 I44" showDropDown="1" showInputMessage="0" showErrorMessage="1" allowBlank="0" errorTitle="Invalid Entry" error="Invalid value. Select from dropdown." type="list">
      <formula1>"Yes,No,Partial,Planned,N/A"</formula1>
    </dataValidation>
    <dataValidation sqref="J9 J10 J11 J12 J13 J14 J15 J16 J17 J18 J19 J20 J21 J22 J23 J24 J25 J26 J27 J28 J29 J30 J31 J32 J33 J34 J35 J36 J37 J38 J39 J40 J41 J42 J43 J44" showDropDown="1" showInputMessage="0" showErrorMessage="0" allowBlank="0" type="list">
      <formula1>"Yes,No,Pending"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3"/>
  <sheetViews>
    <sheetView workbookViewId="0">
      <pane ySplit="3" topLeftCell="A4" activePane="bottomLeft" state="frozen"/>
      <selection pane="bottomLeft" activeCell="A1" sqref="A1"/>
    </sheetView>
  </sheetViews>
  <sheetFormatPr baseColWidth="8" defaultRowHeight="15"/>
  <cols>
    <col width="30" customWidth="1" min="1" max="1"/>
    <col width="25" customWidth="1" min="2" max="2"/>
    <col width="20" customWidth="1" min="3" max="3"/>
    <col width="30" customWidth="1" min="4" max="4"/>
    <col width="25" customWidth="1" min="5" max="5"/>
    <col width="20" customWidth="1" min="6" max="6"/>
    <col width="30" customWidth="1" min="7" max="7"/>
    <col width="18" customWidth="1" min="8" max="8"/>
    <col width="18" customWidth="1" min="9" max="9"/>
    <col width="15" customWidth="1" min="10" max="10"/>
    <col width="18" customWidth="1" min="11" max="11"/>
  </cols>
  <sheetData>
    <row r="1" ht="30" customHeight="1">
      <c r="A1" s="1" t="inlineStr">
        <is>
          <t>DATA OWNER ASSIGNMENT</t>
        </is>
      </c>
    </row>
    <row r="2" ht="25" customHeight="1">
      <c r="A2" s="2" t="inlineStr">
        <is>
          <t>Assign data owners and stewards for each data category - accountability is key!</t>
        </is>
      </c>
    </row>
    <row r="3">
      <c r="A3" s="12" t="inlineStr">
        <is>
          <t>Data Category</t>
        </is>
      </c>
      <c r="B3" s="12" t="inlineStr">
        <is>
          <t>Business Owner Name</t>
        </is>
      </c>
      <c r="C3" s="12" t="inlineStr">
        <is>
          <t>Business Owner Department</t>
        </is>
      </c>
      <c r="D3" s="12" t="inlineStr">
        <is>
          <t>Business Owner Email</t>
        </is>
      </c>
      <c r="E3" s="12" t="inlineStr">
        <is>
          <t>Data Steward Name</t>
        </is>
      </c>
      <c r="F3" s="12" t="inlineStr">
        <is>
          <t>Data Steward Department</t>
        </is>
      </c>
      <c r="G3" s="12" t="inlineStr">
        <is>
          <t>Data Steward Email</t>
        </is>
      </c>
      <c r="H3" s="12" t="inlineStr">
        <is>
          <t>Ownership Documented</t>
        </is>
      </c>
      <c r="I3" s="12" t="inlineStr">
        <is>
          <t>Owner Training Complete</t>
        </is>
      </c>
      <c r="J3" s="12" t="inlineStr">
        <is>
          <t>Last Review Date</t>
        </is>
      </c>
      <c r="K3" s="12" t="inlineStr">
        <is>
          <t>Evidence ID</t>
        </is>
      </c>
    </row>
    <row r="4">
      <c r="A4" s="15" t="inlineStr">
        <is>
          <t>Customer PII</t>
        </is>
      </c>
      <c r="B4" s="15" t="inlineStr">
        <is>
          <t>Jane Smith</t>
        </is>
      </c>
      <c r="C4" s="15" t="inlineStr">
        <is>
          <t>Sales</t>
        </is>
      </c>
      <c r="D4" s="15" t="inlineStr">
        <is>
          <t>jane.smith@example.com</t>
        </is>
      </c>
      <c r="E4" s="15" t="inlineStr">
        <is>
          <t>John Security</t>
        </is>
      </c>
      <c r="F4" s="15" t="inlineStr">
        <is>
          <t>IT Security</t>
        </is>
      </c>
      <c r="G4" s="15" t="inlineStr">
        <is>
          <t>john.sec@example.com</t>
        </is>
      </c>
      <c r="H4" s="15" t="inlineStr">
        <is>
          <t>Yes</t>
        </is>
      </c>
      <c r="I4" s="15" t="inlineStr">
        <is>
          <t>Yes</t>
        </is>
      </c>
      <c r="J4" s="15" t="inlineStr">
        <is>
          <t>2024-12-01</t>
        </is>
      </c>
      <c r="K4" s="15" t="inlineStr">
        <is>
          <t>A812-2-OWN-001</t>
        </is>
      </c>
    </row>
    <row r="5">
      <c r="A5" s="15" t="inlineStr">
        <is>
          <t>Financial Data</t>
        </is>
      </c>
      <c r="B5" s="15" t="inlineStr">
        <is>
          <t>Robert Johnson</t>
        </is>
      </c>
      <c r="C5" s="15" t="inlineStr">
        <is>
          <t>Finance</t>
        </is>
      </c>
      <c r="D5" s="15" t="inlineStr">
        <is>
          <t>robert.j@example.com</t>
        </is>
      </c>
      <c r="E5" s="15" t="inlineStr">
        <is>
          <t>Mary InfoSec</t>
        </is>
      </c>
      <c r="F5" s="15" t="inlineStr">
        <is>
          <t>IT Security</t>
        </is>
      </c>
      <c r="G5" s="15" t="inlineStr">
        <is>
          <t>mary.is@example.com</t>
        </is>
      </c>
      <c r="H5" s="15" t="inlineStr">
        <is>
          <t>Yes</t>
        </is>
      </c>
      <c r="I5" s="15" t="inlineStr">
        <is>
          <t>Partial</t>
        </is>
      </c>
      <c r="J5" s="15" t="inlineStr">
        <is>
          <t>2024-11-15</t>
        </is>
      </c>
      <c r="K5" s="15" t="inlineStr">
        <is>
          <t>A812-2-OWN-002</t>
        </is>
      </c>
    </row>
    <row r="6">
      <c r="A6" s="15" t="inlineStr">
        <is>
          <t>Source Code</t>
        </is>
      </c>
      <c r="B6" s="15" t="inlineStr">
        <is>
          <t>Alice Developer</t>
        </is>
      </c>
      <c r="C6" s="15" t="inlineStr">
        <is>
          <t>R&amp;D</t>
        </is>
      </c>
      <c r="D6" s="15" t="inlineStr">
        <is>
          <t>alice.dev@example.com</t>
        </is>
      </c>
      <c r="E6" s="15" t="inlineStr">
        <is>
          <t>Bob CISO</t>
        </is>
      </c>
      <c r="F6" s="15" t="inlineStr">
        <is>
          <t>IT Security</t>
        </is>
      </c>
      <c r="G6" s="15" t="inlineStr">
        <is>
          <t>bob.ciso@example.com</t>
        </is>
      </c>
      <c r="H6" s="15" t="inlineStr">
        <is>
          <t>Yes</t>
        </is>
      </c>
      <c r="I6" s="15" t="inlineStr">
        <is>
          <t>Yes</t>
        </is>
      </c>
      <c r="J6" s="15" t="inlineStr">
        <is>
          <t>2024-12-10</t>
        </is>
      </c>
      <c r="K6" s="15" t="inlineStr">
        <is>
          <t>A812-2-OWN-003</t>
        </is>
      </c>
    </row>
    <row r="7">
      <c r="A7" s="14" t="n"/>
      <c r="B7" s="14" t="n"/>
      <c r="C7" s="14" t="n"/>
      <c r="D7" s="14" t="n"/>
      <c r="E7" s="14" t="n"/>
      <c r="F7" s="14" t="n"/>
      <c r="G7" s="14" t="n"/>
      <c r="H7" s="14" t="n"/>
      <c r="I7" s="14" t="n"/>
      <c r="J7" s="14" t="n"/>
      <c r="K7" s="14" t="n"/>
    </row>
    <row r="8">
      <c r="A8" s="14" t="n"/>
      <c r="B8" s="14" t="n"/>
      <c r="C8" s="14" t="n"/>
      <c r="D8" s="14" t="n"/>
      <c r="E8" s="14" t="n"/>
      <c r="F8" s="14" t="n"/>
      <c r="G8" s="14" t="n"/>
      <c r="H8" s="14" t="n"/>
      <c r="I8" s="14" t="n"/>
      <c r="J8" s="14" t="n"/>
      <c r="K8" s="14" t="n"/>
    </row>
    <row r="9">
      <c r="A9" s="14" t="n"/>
      <c r="B9" s="14" t="n"/>
      <c r="C9" s="14" t="n"/>
      <c r="D9" s="14" t="n"/>
      <c r="E9" s="14" t="n"/>
      <c r="F9" s="14" t="n"/>
      <c r="G9" s="14" t="n"/>
      <c r="H9" s="14" t="n"/>
      <c r="I9" s="14" t="n"/>
      <c r="J9" s="14" t="n"/>
      <c r="K9" s="14" t="n"/>
    </row>
    <row r="10">
      <c r="A10" s="14" t="n"/>
      <c r="B10" s="14" t="n"/>
      <c r="C10" s="14" t="n"/>
      <c r="D10" s="14" t="n"/>
      <c r="E10" s="14" t="n"/>
      <c r="F10" s="14" t="n"/>
      <c r="G10" s="14" t="n"/>
      <c r="H10" s="14" t="n"/>
      <c r="I10" s="14" t="n"/>
      <c r="J10" s="14" t="n"/>
      <c r="K10" s="14" t="n"/>
    </row>
    <row r="11">
      <c r="A11" s="14" t="n"/>
      <c r="B11" s="14" t="n"/>
      <c r="C11" s="14" t="n"/>
      <c r="D11" s="14" t="n"/>
      <c r="E11" s="14" t="n"/>
      <c r="F11" s="14" t="n"/>
      <c r="G11" s="14" t="n"/>
      <c r="H11" s="14" t="n"/>
      <c r="I11" s="14" t="n"/>
      <c r="J11" s="14" t="n"/>
      <c r="K11" s="14" t="n"/>
    </row>
    <row r="12">
      <c r="A12" s="14" t="n"/>
      <c r="B12" s="14" t="n"/>
      <c r="C12" s="14" t="n"/>
      <c r="D12" s="14" t="n"/>
      <c r="E12" s="14" t="n"/>
      <c r="F12" s="14" t="n"/>
      <c r="G12" s="14" t="n"/>
      <c r="H12" s="14" t="n"/>
      <c r="I12" s="14" t="n"/>
      <c r="J12" s="14" t="n"/>
      <c r="K12" s="14" t="n"/>
    </row>
    <row r="13">
      <c r="A13" s="14" t="n"/>
      <c r="B13" s="14" t="n"/>
      <c r="C13" s="14" t="n"/>
      <c r="D13" s="14" t="n"/>
      <c r="E13" s="14" t="n"/>
      <c r="F13" s="14" t="n"/>
      <c r="G13" s="14" t="n"/>
      <c r="H13" s="14" t="n"/>
      <c r="I13" s="14" t="n"/>
      <c r="J13" s="14" t="n"/>
      <c r="K13" s="14" t="n"/>
    </row>
    <row r="14">
      <c r="A14" s="14" t="n"/>
      <c r="B14" s="14" t="n"/>
      <c r="C14" s="14" t="n"/>
      <c r="D14" s="14" t="n"/>
      <c r="E14" s="14" t="n"/>
      <c r="F14" s="14" t="n"/>
      <c r="G14" s="14" t="n"/>
      <c r="H14" s="14" t="n"/>
      <c r="I14" s="14" t="n"/>
      <c r="J14" s="14" t="n"/>
      <c r="K14" s="14" t="n"/>
    </row>
    <row r="15">
      <c r="A15" s="14" t="n"/>
      <c r="B15" s="14" t="n"/>
      <c r="C15" s="14" t="n"/>
      <c r="D15" s="14" t="n"/>
      <c r="E15" s="14" t="n"/>
      <c r="F15" s="14" t="n"/>
      <c r="G15" s="14" t="n"/>
      <c r="H15" s="14" t="n"/>
      <c r="I15" s="14" t="n"/>
      <c r="J15" s="14" t="n"/>
      <c r="K15" s="14" t="n"/>
    </row>
    <row r="16">
      <c r="A16" s="14" t="n"/>
      <c r="B16" s="14" t="n"/>
      <c r="C16" s="14" t="n"/>
      <c r="D16" s="14" t="n"/>
      <c r="E16" s="14" t="n"/>
      <c r="F16" s="14" t="n"/>
      <c r="G16" s="14" t="n"/>
      <c r="H16" s="14" t="n"/>
      <c r="I16" s="14" t="n"/>
      <c r="J16" s="14" t="n"/>
      <c r="K16" s="14" t="n"/>
    </row>
    <row r="17">
      <c r="A17" s="14" t="n"/>
      <c r="B17" s="14" t="n"/>
      <c r="C17" s="14" t="n"/>
      <c r="D17" s="14" t="n"/>
      <c r="E17" s="14" t="n"/>
      <c r="F17" s="14" t="n"/>
      <c r="G17" s="14" t="n"/>
      <c r="H17" s="14" t="n"/>
      <c r="I17" s="14" t="n"/>
      <c r="J17" s="14" t="n"/>
      <c r="K17" s="14" t="n"/>
    </row>
    <row r="18">
      <c r="A18" s="14" t="n"/>
      <c r="B18" s="14" t="n"/>
      <c r="C18" s="14" t="n"/>
      <c r="D18" s="14" t="n"/>
      <c r="E18" s="14" t="n"/>
      <c r="F18" s="14" t="n"/>
      <c r="G18" s="14" t="n"/>
      <c r="H18" s="14" t="n"/>
      <c r="I18" s="14" t="n"/>
      <c r="J18" s="14" t="n"/>
      <c r="K18" s="14" t="n"/>
    </row>
    <row r="19">
      <c r="A19" s="14" t="n"/>
      <c r="B19" s="14" t="n"/>
      <c r="C19" s="14" t="n"/>
      <c r="D19" s="14" t="n"/>
      <c r="E19" s="14" t="n"/>
      <c r="F19" s="14" t="n"/>
      <c r="G19" s="14" t="n"/>
      <c r="H19" s="14" t="n"/>
      <c r="I19" s="14" t="n"/>
      <c r="J19" s="14" t="n"/>
      <c r="K19" s="14" t="n"/>
    </row>
    <row r="20">
      <c r="A20" s="14" t="n"/>
      <c r="B20" s="14" t="n"/>
      <c r="C20" s="14" t="n"/>
      <c r="D20" s="14" t="n"/>
      <c r="E20" s="14" t="n"/>
      <c r="F20" s="14" t="n"/>
      <c r="G20" s="14" t="n"/>
      <c r="H20" s="14" t="n"/>
      <c r="I20" s="14" t="n"/>
      <c r="J20" s="14" t="n"/>
      <c r="K20" s="14" t="n"/>
    </row>
    <row r="21">
      <c r="A21" s="14" t="n"/>
      <c r="B21" s="14" t="n"/>
      <c r="C21" s="14" t="n"/>
      <c r="D21" s="14" t="n"/>
      <c r="E21" s="14" t="n"/>
      <c r="F21" s="14" t="n"/>
      <c r="G21" s="14" t="n"/>
      <c r="H21" s="14" t="n"/>
      <c r="I21" s="14" t="n"/>
      <c r="J21" s="14" t="n"/>
      <c r="K21" s="14" t="n"/>
    </row>
    <row r="22">
      <c r="A22" s="14" t="n"/>
      <c r="B22" s="14" t="n"/>
      <c r="C22" s="14" t="n"/>
      <c r="D22" s="14" t="n"/>
      <c r="E22" s="14" t="n"/>
      <c r="F22" s="14" t="n"/>
      <c r="G22" s="14" t="n"/>
      <c r="H22" s="14" t="n"/>
      <c r="I22" s="14" t="n"/>
      <c r="J22" s="14" t="n"/>
      <c r="K22" s="14" t="n"/>
    </row>
    <row r="23">
      <c r="A23" s="14" t="n"/>
      <c r="B23" s="14" t="n"/>
      <c r="C23" s="14" t="n"/>
      <c r="D23" s="14" t="n"/>
      <c r="E23" s="14" t="n"/>
      <c r="F23" s="14" t="n"/>
      <c r="G23" s="14" t="n"/>
      <c r="H23" s="14" t="n"/>
      <c r="I23" s="14" t="n"/>
      <c r="J23" s="14" t="n"/>
      <c r="K23" s="14" t="n"/>
    </row>
    <row r="24">
      <c r="A24" s="14" t="n"/>
      <c r="B24" s="14" t="n"/>
      <c r="C24" s="14" t="n"/>
      <c r="D24" s="14" t="n"/>
      <c r="E24" s="14" t="n"/>
      <c r="F24" s="14" t="n"/>
      <c r="G24" s="14" t="n"/>
      <c r="H24" s="14" t="n"/>
      <c r="I24" s="14" t="n"/>
      <c r="J24" s="14" t="n"/>
      <c r="K24" s="14" t="n"/>
    </row>
    <row r="25">
      <c r="A25" s="14" t="n"/>
      <c r="B25" s="14" t="n"/>
      <c r="C25" s="14" t="n"/>
      <c r="D25" s="14" t="n"/>
      <c r="E25" s="14" t="n"/>
      <c r="F25" s="14" t="n"/>
      <c r="G25" s="14" t="n"/>
      <c r="H25" s="14" t="n"/>
      <c r="I25" s="14" t="n"/>
      <c r="J25" s="14" t="n"/>
      <c r="K25" s="14" t="n"/>
    </row>
    <row r="26">
      <c r="A26" s="14" t="n"/>
      <c r="B26" s="14" t="n"/>
      <c r="C26" s="14" t="n"/>
      <c r="D26" s="14" t="n"/>
      <c r="E26" s="14" t="n"/>
      <c r="F26" s="14" t="n"/>
      <c r="G26" s="14" t="n"/>
      <c r="H26" s="14" t="n"/>
      <c r="I26" s="14" t="n"/>
      <c r="J26" s="14" t="n"/>
      <c r="K26" s="14" t="n"/>
    </row>
    <row r="27">
      <c r="A27" s="14" t="n"/>
      <c r="B27" s="14" t="n"/>
      <c r="C27" s="14" t="n"/>
      <c r="D27" s="14" t="n"/>
      <c r="E27" s="14" t="n"/>
      <c r="F27" s="14" t="n"/>
      <c r="G27" s="14" t="n"/>
      <c r="H27" s="14" t="n"/>
      <c r="I27" s="14" t="n"/>
      <c r="J27" s="14" t="n"/>
      <c r="K27" s="14" t="n"/>
    </row>
    <row r="28">
      <c r="A28" s="14" t="n"/>
      <c r="B28" s="14" t="n"/>
      <c r="C28" s="14" t="n"/>
      <c r="D28" s="14" t="n"/>
      <c r="E28" s="14" t="n"/>
      <c r="F28" s="14" t="n"/>
      <c r="G28" s="14" t="n"/>
      <c r="H28" s="14" t="n"/>
      <c r="I28" s="14" t="n"/>
      <c r="J28" s="14" t="n"/>
      <c r="K28" s="14" t="n"/>
    </row>
    <row r="29">
      <c r="A29" s="14" t="n"/>
      <c r="B29" s="14" t="n"/>
      <c r="C29" s="14" t="n"/>
      <c r="D29" s="14" t="n"/>
      <c r="E29" s="14" t="n"/>
      <c r="F29" s="14" t="n"/>
      <c r="G29" s="14" t="n"/>
      <c r="H29" s="14" t="n"/>
      <c r="I29" s="14" t="n"/>
      <c r="J29" s="14" t="n"/>
      <c r="K29" s="14" t="n"/>
    </row>
    <row r="30">
      <c r="A30" s="14" t="n"/>
      <c r="B30" s="14" t="n"/>
      <c r="C30" s="14" t="n"/>
      <c r="D30" s="14" t="n"/>
      <c r="E30" s="14" t="n"/>
      <c r="F30" s="14" t="n"/>
      <c r="G30" s="14" t="n"/>
      <c r="H30" s="14" t="n"/>
      <c r="I30" s="14" t="n"/>
      <c r="J30" s="14" t="n"/>
      <c r="K30" s="14" t="n"/>
    </row>
    <row r="31">
      <c r="A31" s="14" t="n"/>
      <c r="B31" s="14" t="n"/>
      <c r="C31" s="14" t="n"/>
      <c r="D31" s="14" t="n"/>
      <c r="E31" s="14" t="n"/>
      <c r="F31" s="14" t="n"/>
      <c r="G31" s="14" t="n"/>
      <c r="H31" s="14" t="n"/>
      <c r="I31" s="14" t="n"/>
      <c r="J31" s="14" t="n"/>
      <c r="K31" s="14" t="n"/>
    </row>
    <row r="32">
      <c r="A32" s="14" t="n"/>
      <c r="B32" s="14" t="n"/>
      <c r="C32" s="14" t="n"/>
      <c r="D32" s="14" t="n"/>
      <c r="E32" s="14" t="n"/>
      <c r="F32" s="14" t="n"/>
      <c r="G32" s="14" t="n"/>
      <c r="H32" s="14" t="n"/>
      <c r="I32" s="14" t="n"/>
      <c r="J32" s="14" t="n"/>
      <c r="K32" s="14" t="n"/>
    </row>
    <row r="33">
      <c r="A33" s="14" t="n"/>
      <c r="B33" s="14" t="n"/>
      <c r="C33" s="14" t="n"/>
      <c r="D33" s="14" t="n"/>
      <c r="E33" s="14" t="n"/>
      <c r="F33" s="14" t="n"/>
      <c r="G33" s="14" t="n"/>
      <c r="H33" s="14" t="n"/>
      <c r="I33" s="14" t="n"/>
      <c r="J33" s="14" t="n"/>
      <c r="K33" s="14" t="n"/>
    </row>
  </sheetData>
  <mergeCells count="2">
    <mergeCell ref="A2:K2"/>
    <mergeCell ref="A1:K1"/>
  </mergeCells>
  <dataValidations count="2">
    <dataValidation sqref="H7 H8 H9 H10 H11 H12 H13 H14 H15 H16 H17 H18 H19 H20 H21 H22 H23 H24 H25 H26 H27 H28 H29 H30 H31 H32 H33" showDropDown="1" showInputMessage="0" showErrorMessage="0" allowBlank="0" type="list">
      <formula1>"Yes,No,Pending"</formula1>
    </dataValidation>
    <dataValidation sqref="I7 I8 I9 I10 I11 I12 I13 I14 I15 I16 I17 I18 I19 I20 I21 I22 I23 I24 I25 I26 I27 I28 I29 I30 I31 I32 I33"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30" customWidth="1" min="1" max="1"/>
    <col width="20" customWidth="1" min="2" max="2"/>
    <col width="25" customWidth="1" min="3" max="3"/>
    <col width="40" customWidth="1" min="4" max="4"/>
    <col width="18" customWidth="1" min="5" max="5"/>
    <col width="18" customWidth="1" min="6" max="6"/>
    <col width="18" customWidth="1" min="7" max="7"/>
    <col width="30" customWidth="1" min="8" max="8"/>
    <col width="18" customWidth="1" min="9" max="9"/>
  </cols>
  <sheetData>
    <row r="1" ht="30" customHeight="1">
      <c r="A1" s="1" t="inlineStr">
        <is>
          <t>REGULATORY COMPLIANCE MAPPING</t>
        </is>
      </c>
    </row>
    <row r="2" ht="25" customHeight="1">
      <c r="A2" s="2" t="inlineStr">
        <is>
          <t>Map data categories to regulatory requirements (FADP, GDPR, PCI-DSS, etc.)</t>
        </is>
      </c>
    </row>
    <row r="3">
      <c r="A3" s="12" t="inlineStr">
        <is>
          <t>Data Category</t>
        </is>
      </c>
      <c r="B3" s="12" t="inlineStr">
        <is>
          <t>Regulation</t>
        </is>
      </c>
      <c r="C3" s="12" t="inlineStr">
        <is>
          <t>Specific Article/Section</t>
        </is>
      </c>
      <c r="D3" s="12" t="inlineStr">
        <is>
          <t>Requirement Summary</t>
        </is>
      </c>
      <c r="E3" s="12" t="inlineStr">
        <is>
          <t>Compliance Status</t>
        </is>
      </c>
      <c r="F3" s="12" t="inlineStr">
        <is>
          <t>DLP Controls Required</t>
        </is>
      </c>
      <c r="G3" s="12" t="inlineStr">
        <is>
          <t>Breach Notification Required</t>
        </is>
      </c>
      <c r="H3" s="12" t="inlineStr">
        <is>
          <t>Data Subject Rights</t>
        </is>
      </c>
      <c r="I3" s="12" t="inlineStr">
        <is>
          <t>Evidence ID</t>
        </is>
      </c>
    </row>
    <row r="4">
      <c r="A4" s="15" t="inlineStr">
        <is>
          <t>Personal Names</t>
        </is>
      </c>
      <c r="B4" s="15" t="inlineStr">
        <is>
          <t>FADP</t>
        </is>
      </c>
      <c r="C4" s="15" t="inlineStr">
        <is>
          <t>Article 4(1)</t>
        </is>
      </c>
      <c r="D4" s="15" t="inlineStr">
        <is>
          <t>Defined as personal data, requires appropriate protection measures</t>
        </is>
      </c>
      <c r="E4" s="15" t="inlineStr">
        <is>
          <t>Compliant</t>
        </is>
      </c>
      <c r="F4" s="15" t="inlineStr">
        <is>
          <t>Yes</t>
        </is>
      </c>
      <c r="G4" s="15" t="inlineStr">
        <is>
          <t>Yes</t>
        </is>
      </c>
      <c r="H4" s="15" t="inlineStr">
        <is>
          <t>Access, deletion, portability</t>
        </is>
      </c>
      <c r="I4" s="15" t="inlineStr">
        <is>
          <t>A812-2-REG-001</t>
        </is>
      </c>
    </row>
    <row r="5">
      <c r="A5" s="15" t="inlineStr">
        <is>
          <t>Special Category PII</t>
        </is>
      </c>
      <c r="B5" s="15" t="inlineStr">
        <is>
          <t>GDPR</t>
        </is>
      </c>
      <c r="C5" s="15" t="inlineStr">
        <is>
          <t>Article 9</t>
        </is>
      </c>
      <c r="D5" s="15" t="inlineStr">
        <is>
          <t>Sensitive data (health, biometric, etc.) - strict processing rules</t>
        </is>
      </c>
      <c r="E5" s="15" t="inlineStr">
        <is>
          <t>Compliant</t>
        </is>
      </c>
      <c r="F5" s="15" t="inlineStr">
        <is>
          <t>Yes</t>
        </is>
      </c>
      <c r="G5" s="15" t="inlineStr">
        <is>
          <t>Yes</t>
        </is>
      </c>
      <c r="H5" s="15" t="inlineStr">
        <is>
          <t>All GDPR rights apply</t>
        </is>
      </c>
      <c r="I5" s="15" t="inlineStr">
        <is>
          <t>A812-2-REG-002</t>
        </is>
      </c>
    </row>
    <row r="6">
      <c r="A6" s="15" t="inlineStr">
        <is>
          <t>Credit Card Numbers</t>
        </is>
      </c>
      <c r="B6" s="15" t="inlineStr">
        <is>
          <t>PCI-DSS</t>
        </is>
      </c>
      <c r="C6" s="15" t="inlineStr">
        <is>
          <t>Requirement 3</t>
        </is>
      </c>
      <c r="D6" s="15" t="inlineStr">
        <is>
          <t>Protect stored cardholder data with encryption and access controls</t>
        </is>
      </c>
      <c r="E6" s="15" t="inlineStr">
        <is>
          <t>Partial</t>
        </is>
      </c>
      <c r="F6" s="15" t="inlineStr">
        <is>
          <t>Yes</t>
        </is>
      </c>
      <c r="G6" s="15" t="inlineStr">
        <is>
          <t>Yes</t>
        </is>
      </c>
      <c r="H6" s="15" t="inlineStr">
        <is>
          <t>N/A (PCI-DSS)</t>
        </is>
      </c>
      <c r="I6" s="15" t="inlineStr">
        <is>
          <t>A812-2-REG-003</t>
        </is>
      </c>
    </row>
    <row r="7">
      <c r="A7" s="15" t="inlineStr">
        <is>
          <t>Swiss AHV Number</t>
        </is>
      </c>
      <c r="B7" s="15" t="inlineStr">
        <is>
          <t>FADP</t>
        </is>
      </c>
      <c r="C7" s="15" t="inlineStr">
        <is>
          <t>Article 5</t>
        </is>
      </c>
      <c r="D7" s="15" t="inlineStr">
        <is>
          <t>Special category personal data, heightened protection required</t>
        </is>
      </c>
      <c r="E7" s="15" t="inlineStr">
        <is>
          <t>Compliant</t>
        </is>
      </c>
      <c r="F7" s="15" t="inlineStr">
        <is>
          <t>Yes</t>
        </is>
      </c>
      <c r="G7" s="15" t="inlineStr">
        <is>
          <t>Yes</t>
        </is>
      </c>
      <c r="H7" s="15" t="inlineStr">
        <is>
          <t>Access, deletion, correction</t>
        </is>
      </c>
      <c r="I7" s="15" t="inlineStr">
        <is>
          <t>A812-2-REG-004</t>
        </is>
      </c>
    </row>
    <row r="8">
      <c r="A8" s="15" t="inlineStr">
        <is>
          <t>Employee Health Data</t>
        </is>
      </c>
      <c r="B8" s="15" t="inlineStr">
        <is>
          <t>FADP/GDPR</t>
        </is>
      </c>
      <c r="C8" s="15" t="inlineStr">
        <is>
          <t>FADP Art 5, GDPR Art 9</t>
        </is>
      </c>
      <c r="D8" s="15" t="inlineStr">
        <is>
          <t>Health data is special category, strict consent and security</t>
        </is>
      </c>
      <c r="E8" s="15" t="inlineStr">
        <is>
          <t>Compliant</t>
        </is>
      </c>
      <c r="F8" s="15" t="inlineStr">
        <is>
          <t>Yes</t>
        </is>
      </c>
      <c r="G8" s="15" t="inlineStr">
        <is>
          <t>Yes</t>
        </is>
      </c>
      <c r="H8" s="15" t="inlineStr">
        <is>
          <t>All data subject rights</t>
        </is>
      </c>
      <c r="I8" s="15" t="inlineStr">
        <is>
          <t>A812-2-REG-005</t>
        </is>
      </c>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5">
      <c r="A15" s="14" t="n"/>
      <c r="B15" s="14" t="n"/>
      <c r="C15" s="14" t="n"/>
      <c r="D15" s="14" t="n"/>
      <c r="E15" s="14" t="n"/>
      <c r="F15" s="14" t="n"/>
      <c r="G15" s="14" t="n"/>
      <c r="H15" s="14" t="n"/>
      <c r="I15" s="14" t="n"/>
    </row>
    <row r="16">
      <c r="A16" s="14" t="n"/>
      <c r="B16" s="14" t="n"/>
      <c r="C16" s="14" t="n"/>
      <c r="D16" s="14" t="n"/>
      <c r="E16" s="14" t="n"/>
      <c r="F16" s="14" t="n"/>
      <c r="G16" s="14" t="n"/>
      <c r="H16" s="14" t="n"/>
      <c r="I16" s="14" t="n"/>
    </row>
    <row r="17">
      <c r="A17" s="14" t="n"/>
      <c r="B17" s="14" t="n"/>
      <c r="C17" s="14" t="n"/>
      <c r="D17" s="14" t="n"/>
      <c r="E17" s="14" t="n"/>
      <c r="F17" s="14" t="n"/>
      <c r="G17" s="14" t="n"/>
      <c r="H17" s="14" t="n"/>
      <c r="I17" s="14" t="n"/>
    </row>
    <row r="18">
      <c r="A18" s="14" t="n"/>
      <c r="B18" s="14" t="n"/>
      <c r="C18" s="14" t="n"/>
      <c r="D18" s="14" t="n"/>
      <c r="E18" s="14" t="n"/>
      <c r="F18" s="14" t="n"/>
      <c r="G18" s="14" t="n"/>
      <c r="H18" s="14" t="n"/>
      <c r="I18" s="14" t="n"/>
    </row>
    <row r="19">
      <c r="A19" s="14" t="n"/>
      <c r="B19" s="14" t="n"/>
      <c r="C19" s="14" t="n"/>
      <c r="D19" s="14" t="n"/>
      <c r="E19" s="14" t="n"/>
      <c r="F19" s="14" t="n"/>
      <c r="G19" s="14" t="n"/>
      <c r="H19" s="14" t="n"/>
      <c r="I19" s="14" t="n"/>
    </row>
    <row r="20">
      <c r="A20" s="14" t="n"/>
      <c r="B20" s="14" t="n"/>
      <c r="C20" s="14" t="n"/>
      <c r="D20" s="14" t="n"/>
      <c r="E20" s="14" t="n"/>
      <c r="F20" s="14" t="n"/>
      <c r="G20" s="14" t="n"/>
      <c r="H20" s="14" t="n"/>
      <c r="I20" s="14" t="n"/>
    </row>
    <row r="21">
      <c r="A21" s="14" t="n"/>
      <c r="B21" s="14" t="n"/>
      <c r="C21" s="14" t="n"/>
      <c r="D21" s="14" t="n"/>
      <c r="E21" s="14" t="n"/>
      <c r="F21" s="14" t="n"/>
      <c r="G21" s="14" t="n"/>
      <c r="H21" s="14" t="n"/>
      <c r="I21" s="14" t="n"/>
    </row>
    <row r="22">
      <c r="A22" s="14" t="n"/>
      <c r="B22" s="14" t="n"/>
      <c r="C22" s="14" t="n"/>
      <c r="D22" s="14" t="n"/>
      <c r="E22" s="14" t="n"/>
      <c r="F22" s="14" t="n"/>
      <c r="G22" s="14" t="n"/>
      <c r="H22" s="14" t="n"/>
      <c r="I22" s="14" t="n"/>
    </row>
    <row r="23">
      <c r="A23" s="14" t="n"/>
      <c r="B23" s="14" t="n"/>
      <c r="C23" s="14" t="n"/>
      <c r="D23" s="14" t="n"/>
      <c r="E23" s="14" t="n"/>
      <c r="F23" s="14" t="n"/>
      <c r="G23" s="14" t="n"/>
      <c r="H23" s="14" t="n"/>
      <c r="I23" s="14" t="n"/>
    </row>
    <row r="24">
      <c r="A24" s="14" t="n"/>
      <c r="B24" s="14" t="n"/>
      <c r="C24" s="14" t="n"/>
      <c r="D24" s="14" t="n"/>
      <c r="E24" s="14" t="n"/>
      <c r="F24" s="14" t="n"/>
      <c r="G24" s="14" t="n"/>
      <c r="H24" s="14" t="n"/>
      <c r="I24" s="14" t="n"/>
    </row>
    <row r="25">
      <c r="A25" s="14" t="n"/>
      <c r="B25" s="14" t="n"/>
      <c r="C25" s="14" t="n"/>
      <c r="D25" s="14" t="n"/>
      <c r="E25" s="14" t="n"/>
      <c r="F25" s="14" t="n"/>
      <c r="G25" s="14" t="n"/>
      <c r="H25" s="14" t="n"/>
      <c r="I25" s="14" t="n"/>
    </row>
    <row r="26">
      <c r="A26" s="14" t="n"/>
      <c r="B26" s="14" t="n"/>
      <c r="C26" s="14" t="n"/>
      <c r="D26" s="14" t="n"/>
      <c r="E26" s="14" t="n"/>
      <c r="F26" s="14" t="n"/>
      <c r="G26" s="14" t="n"/>
      <c r="H26" s="14" t="n"/>
      <c r="I26" s="14" t="n"/>
    </row>
    <row r="27">
      <c r="A27" s="14" t="n"/>
      <c r="B27" s="14" t="n"/>
      <c r="C27" s="14" t="n"/>
      <c r="D27" s="14" t="n"/>
      <c r="E27" s="14" t="n"/>
      <c r="F27" s="14" t="n"/>
      <c r="G27" s="14" t="n"/>
      <c r="H27" s="14" t="n"/>
      <c r="I27" s="14" t="n"/>
    </row>
    <row r="28">
      <c r="A28" s="14" t="n"/>
      <c r="B28" s="14" t="n"/>
      <c r="C28" s="14" t="n"/>
      <c r="D28" s="14" t="n"/>
      <c r="E28" s="14" t="n"/>
      <c r="F28" s="14" t="n"/>
      <c r="G28" s="14" t="n"/>
      <c r="H28" s="14" t="n"/>
      <c r="I28" s="14" t="n"/>
    </row>
  </sheetData>
  <mergeCells count="2">
    <mergeCell ref="A1:I1"/>
    <mergeCell ref="A2:I2"/>
  </mergeCells>
  <dataValidations count="4">
    <dataValidation sqref="B9 B10 B11 B12 B13 B14 B15 B16 B17 B18 B19 B20 B21 B22 B23 B24 B25 B26 B27 B28" showDropDown="0" showInputMessage="0" showErrorMessage="0" allowBlank="0" type="list">
      <formula1>"FADP,GDPR,PCI-DSS,HIPAA,SOX,FADP/GDPR,Multiple,Other,None"</formula1>
    </dataValidation>
    <dataValidation sqref="E9 E10 E11 E12 E13 E14 E15 E16 E17 E18 E19 E20 E21 E22 E23 E24 E25 E26 E27 E28" showDropDown="1" showInputMessage="0" showErrorMessage="0" allowBlank="0" type="list">
      <formula1>"Compliant,Non-Compliant,Partial,Planned,N/A"</formula1>
    </dataValidation>
    <dataValidation sqref="F9 F10 F11 F12 F13 F14 F15 F16 F17 F18 F19 F20 F21 F22 F23 F24 F25 F26 F27 F28" showDropDown="1" showInputMessage="0" showErrorMessage="1" allowBlank="0" errorTitle="Invalid Entry" error="Invalid value. Select from dropdown." type="list">
      <formula1>"Yes,No,Partial,Planned,N/A"</formula1>
    </dataValidation>
    <dataValidation sqref="G9 G10 G11 G12 G13 G14 G15 G16 G17 G18 G19 G20 G21 G22 G23 G24 G25 G26 G27 G28" showDropDown="1" showInputMessage="0" showErrorMessage="0" allowBlank="0" type="list">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3"/>
  <sheetViews>
    <sheetView workbookViewId="0">
      <pane ySplit="3" topLeftCell="A4" activePane="bottomLeft" state="frozen"/>
      <selection pane="bottomLeft" activeCell="A1" sqref="A1"/>
    </sheetView>
  </sheetViews>
  <sheetFormatPr baseColWidth="8" defaultRowHeight="15"/>
  <cols>
    <col width="25" customWidth="1" min="1" max="1"/>
    <col width="20" customWidth="1" min="2" max="2"/>
    <col width="25" customWidth="1" min="3" max="3"/>
    <col width="30" customWidth="1" min="4" max="4"/>
    <col width="18" customWidth="1" min="5" max="5"/>
    <col width="18" customWidth="1" min="6" max="6"/>
    <col width="18" customWidth="1" min="7" max="7"/>
    <col width="15" customWidth="1" min="8" max="8"/>
    <col width="18" customWidth="1" min="9" max="9"/>
  </cols>
  <sheetData>
    <row r="1" ht="30" customHeight="1">
      <c r="A1" s="1" t="inlineStr">
        <is>
          <t>DATA LABELING METHODS</t>
        </is>
      </c>
    </row>
    <row r="2" ht="25" customHeight="1">
      <c r="A2" s="2" t="inlineStr">
        <is>
          <t>Assess data labeling and classification marking methods across systems</t>
        </is>
      </c>
    </row>
    <row r="3">
      <c r="A3" s="12" t="inlineStr">
        <is>
          <t>System/Application</t>
        </is>
      </c>
      <c r="B3" s="12" t="inlineStr">
        <is>
          <t>Labeling Method</t>
        </is>
      </c>
      <c r="C3" s="12" t="inlineStr">
        <is>
          <t>Classification Tool</t>
        </is>
      </c>
      <c r="D3" s="12" t="inlineStr">
        <is>
          <t>Supported Labels</t>
        </is>
      </c>
      <c r="E3" s="12" t="inlineStr">
        <is>
          <t>User Training Provided</t>
        </is>
      </c>
      <c r="F3" s="12" t="inlineStr">
        <is>
          <t>Enforcement Capability</t>
        </is>
      </c>
      <c r="G3" s="12" t="inlineStr">
        <is>
          <t>DLP Integration</t>
        </is>
      </c>
      <c r="H3" s="12" t="inlineStr">
        <is>
          <t>Adoption Rate %</t>
        </is>
      </c>
      <c r="I3" s="12" t="inlineStr">
        <is>
          <t>Evidence ID</t>
        </is>
      </c>
    </row>
    <row r="4">
      <c r="A4" s="15" t="inlineStr">
        <is>
          <t>Microsoft 365</t>
        </is>
      </c>
      <c r="B4" s="15" t="inlineStr">
        <is>
          <t>Automated</t>
        </is>
      </c>
      <c r="C4" s="15" t="inlineStr">
        <is>
          <t>Microsoft Purview (AIP)</t>
        </is>
      </c>
      <c r="D4" s="15" t="inlineStr">
        <is>
          <t>Public, Internal, Confidential, Restricted</t>
        </is>
      </c>
      <c r="E4" s="15" t="inlineStr">
        <is>
          <t>Yes</t>
        </is>
      </c>
      <c r="F4" s="15" t="inlineStr">
        <is>
          <t>Yes</t>
        </is>
      </c>
      <c r="G4" s="15" t="inlineStr">
        <is>
          <t>Yes</t>
        </is>
      </c>
      <c r="H4" s="15" t="inlineStr">
        <is>
          <t>85</t>
        </is>
      </c>
      <c r="I4" s="15" t="inlineStr">
        <is>
          <t>A812-2-LBL-001</t>
        </is>
      </c>
    </row>
    <row r="5">
      <c r="A5" s="15" t="inlineStr">
        <is>
          <t>SharePoint</t>
        </is>
      </c>
      <c r="B5" s="15" t="inlineStr">
        <is>
          <t>Manual</t>
        </is>
      </c>
      <c r="C5" s="15" t="inlineStr">
        <is>
          <t>Built-in Classification</t>
        </is>
      </c>
      <c r="D5" s="15" t="inlineStr">
        <is>
          <t>Public, Internal, Restricted</t>
        </is>
      </c>
      <c r="E5" s="15" t="inlineStr">
        <is>
          <t>Partial</t>
        </is>
      </c>
      <c r="F5" s="15" t="inlineStr">
        <is>
          <t>Partial</t>
        </is>
      </c>
      <c r="G5" s="15" t="inlineStr">
        <is>
          <t>Partial</t>
        </is>
      </c>
      <c r="H5" s="15" t="inlineStr">
        <is>
          <t>60</t>
        </is>
      </c>
      <c r="I5" s="15" t="inlineStr">
        <is>
          <t>A812-2-LBL-002</t>
        </is>
      </c>
    </row>
    <row r="6">
      <c r="A6" s="15" t="inlineStr">
        <is>
          <t>File Servers</t>
        </is>
      </c>
      <c r="B6" s="15" t="inlineStr">
        <is>
          <t>None</t>
        </is>
      </c>
      <c r="C6" s="15" t="inlineStr">
        <is>
          <t>None</t>
        </is>
      </c>
      <c r="D6" s="15" t="inlineStr">
        <is>
          <t>None</t>
        </is>
      </c>
      <c r="E6" s="15" t="inlineStr">
        <is>
          <t>No</t>
        </is>
      </c>
      <c r="F6" s="15" t="inlineStr">
        <is>
          <t>No</t>
        </is>
      </c>
      <c r="G6" s="15" t="inlineStr">
        <is>
          <t>No</t>
        </is>
      </c>
      <c r="H6" s="15" t="inlineStr">
        <is>
          <t>0</t>
        </is>
      </c>
      <c r="I6" s="15" t="inlineStr">
        <is>
          <t>A812-2-LBL-003</t>
        </is>
      </c>
    </row>
    <row r="7">
      <c r="A7" s="15" t="inlineStr">
        <is>
          <t>Email (Outlook)</t>
        </is>
      </c>
      <c r="B7" s="15" t="inlineStr">
        <is>
          <t>Manual</t>
        </is>
      </c>
      <c r="C7" s="15" t="inlineStr">
        <is>
          <t>Azure Information Protection</t>
        </is>
      </c>
      <c r="D7" s="15" t="inlineStr">
        <is>
          <t>All 4 levels</t>
        </is>
      </c>
      <c r="E7" s="15" t="inlineStr">
        <is>
          <t>Yes</t>
        </is>
      </c>
      <c r="F7" s="15" t="inlineStr">
        <is>
          <t>Yes</t>
        </is>
      </c>
      <c r="G7" s="15" t="inlineStr">
        <is>
          <t>Yes</t>
        </is>
      </c>
      <c r="H7" s="15" t="inlineStr">
        <is>
          <t>70</t>
        </is>
      </c>
      <c r="I7" s="15" t="inlineStr">
        <is>
          <t>A812-2-LBL-004</t>
        </is>
      </c>
    </row>
    <row r="8">
      <c r="A8" s="14" t="n"/>
      <c r="B8" s="14" t="n"/>
      <c r="C8" s="14" t="n"/>
      <c r="D8" s="14" t="n"/>
      <c r="E8" s="14" t="n"/>
      <c r="F8" s="14" t="n"/>
      <c r="G8" s="14" t="n"/>
      <c r="H8" s="14" t="n"/>
      <c r="I8" s="14" t="n"/>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5">
      <c r="A15" s="14" t="n"/>
      <c r="B15" s="14" t="n"/>
      <c r="C15" s="14" t="n"/>
      <c r="D15" s="14" t="n"/>
      <c r="E15" s="14" t="n"/>
      <c r="F15" s="14" t="n"/>
      <c r="G15" s="14" t="n"/>
      <c r="H15" s="14" t="n"/>
      <c r="I15" s="14" t="n"/>
    </row>
    <row r="16">
      <c r="A16" s="14" t="n"/>
      <c r="B16" s="14" t="n"/>
      <c r="C16" s="14" t="n"/>
      <c r="D16" s="14" t="n"/>
      <c r="E16" s="14" t="n"/>
      <c r="F16" s="14" t="n"/>
      <c r="G16" s="14" t="n"/>
      <c r="H16" s="14" t="n"/>
      <c r="I16" s="14" t="n"/>
    </row>
    <row r="17">
      <c r="A17" s="14" t="n"/>
      <c r="B17" s="14" t="n"/>
      <c r="C17" s="14" t="n"/>
      <c r="D17" s="14" t="n"/>
      <c r="E17" s="14" t="n"/>
      <c r="F17" s="14" t="n"/>
      <c r="G17" s="14" t="n"/>
      <c r="H17" s="14" t="n"/>
      <c r="I17" s="14" t="n"/>
    </row>
    <row r="18">
      <c r="A18" s="14" t="n"/>
      <c r="B18" s="14" t="n"/>
      <c r="C18" s="14" t="n"/>
      <c r="D18" s="14" t="n"/>
      <c r="E18" s="14" t="n"/>
      <c r="F18" s="14" t="n"/>
      <c r="G18" s="14" t="n"/>
      <c r="H18" s="14" t="n"/>
      <c r="I18" s="14" t="n"/>
    </row>
    <row r="19">
      <c r="A19" s="14" t="n"/>
      <c r="B19" s="14" t="n"/>
      <c r="C19" s="14" t="n"/>
      <c r="D19" s="14" t="n"/>
      <c r="E19" s="14" t="n"/>
      <c r="F19" s="14" t="n"/>
      <c r="G19" s="14" t="n"/>
      <c r="H19" s="14" t="n"/>
      <c r="I19" s="14" t="n"/>
    </row>
    <row r="20">
      <c r="A20" s="14" t="n"/>
      <c r="B20" s="14" t="n"/>
      <c r="C20" s="14" t="n"/>
      <c r="D20" s="14" t="n"/>
      <c r="E20" s="14" t="n"/>
      <c r="F20" s="14" t="n"/>
      <c r="G20" s="14" t="n"/>
      <c r="H20" s="14" t="n"/>
      <c r="I20" s="14" t="n"/>
    </row>
    <row r="21">
      <c r="A21" s="14" t="n"/>
      <c r="B21" s="14" t="n"/>
      <c r="C21" s="14" t="n"/>
      <c r="D21" s="14" t="n"/>
      <c r="E21" s="14" t="n"/>
      <c r="F21" s="14" t="n"/>
      <c r="G21" s="14" t="n"/>
      <c r="H21" s="14" t="n"/>
      <c r="I21" s="14" t="n"/>
    </row>
    <row r="22">
      <c r="A22" s="14" t="n"/>
      <c r="B22" s="14" t="n"/>
      <c r="C22" s="14" t="n"/>
      <c r="D22" s="14" t="n"/>
      <c r="E22" s="14" t="n"/>
      <c r="F22" s="14" t="n"/>
      <c r="G22" s="14" t="n"/>
      <c r="H22" s="14" t="n"/>
      <c r="I22" s="14" t="n"/>
    </row>
    <row r="23">
      <c r="A23" s="14" t="n"/>
      <c r="B23" s="14" t="n"/>
      <c r="C23" s="14" t="n"/>
      <c r="D23" s="14" t="n"/>
      <c r="E23" s="14" t="n"/>
      <c r="F23" s="14" t="n"/>
      <c r="G23" s="14" t="n"/>
      <c r="H23" s="14" t="n"/>
      <c r="I23" s="14" t="n"/>
    </row>
  </sheetData>
  <mergeCells count="2">
    <mergeCell ref="A1:I1"/>
    <mergeCell ref="A2:I2"/>
  </mergeCells>
  <dataValidations count="4">
    <dataValidation sqref="B8 B9 B10 B11 B12 B13 B14 B15 B16 B17 B18 B19 B20 B21 B22 B23" showDropDown="1" showInputMessage="0" showErrorMessage="0" allowBlank="0" type="list">
      <formula1>"Manual,Automated,Metadata,None"</formula1>
    </dataValidation>
    <dataValidation sqref="E8 E9 E10 E11 E12 E13 E14 E15 E16 E17 E18 E19 E20 E21 E22 E23 F8 F9 F10 F11 F12 F13 F14 F15 F16 F17 F18 F19 F20 F21 F22 F23 G8 G9 G10 G11 G12 G13 G14 G15 G16 G17 G18 G19 G20 G21 G22 G23" showDropDown="1" showInputMessage="0" showErrorMessage="1" allowBlank="0" errorTitle="Invalid Entry" error="Invalid value. Select from dropdown." type="list">
      <formula1>"Yes,No,Partial,Planned,N/A"</formula1>
    </dataValidation>
    <dataValidation sqref="E8 E9 E10 E11 E12 E13 E14 E15 E16 E17 E18 E19 E20 E21 E22 E23 F8 F9 F10 F11 F12 F13 F14 F15 F16 F17 F18 F19 F20 F21 F22 F23 G8 G9 G10 G11 G12 G13 G14 G15 G16 G17 G18 G19 G20 G21 G22 G23" showDropDown="1" showInputMessage="0" showErrorMessage="1" allowBlank="0" errorTitle="Invalid Entry" error="Invalid value. Select from dropdown." type="list">
      <formula1>"Yes,No,Partial,Planned,N/A"</formula1>
    </dataValidation>
    <dataValidation sqref="E8 E9 E10 E11 E12 E13 E14 E15 E16 E17 E18 E19 E20 E21 E22 E23 F8 F9 F10 F11 F12 F13 F14 F15 F16 F17 F18 F19 F20 F21 F22 F23 G8 G9 G10 G11 G12 G13 G14 G15 G16 G17 G18 G19 G20 G21 G22 G23"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3"/>
  <sheetViews>
    <sheetView workbookViewId="0">
      <pane ySplit="3" topLeftCell="A4" activePane="bottomLeft" state="frozen"/>
      <selection pane="bottomLeft" activeCell="A1" sqref="A1"/>
    </sheetView>
  </sheetViews>
  <sheetFormatPr baseColWidth="8" defaultRowHeight="15"/>
  <cols>
    <col width="25" customWidth="1" min="1" max="1"/>
    <col width="30" customWidth="1" min="2" max="2"/>
    <col width="15" customWidth="1" min="3" max="3"/>
    <col width="30" customWidth="1" min="4" max="4"/>
    <col width="15" customWidth="1" min="5" max="5"/>
    <col width="15" customWidth="1" min="6" max="6"/>
    <col width="15" customWidth="1" min="7" max="7"/>
    <col width="18" customWidth="1" min="8" max="8"/>
    <col width="18" customWidth="1" min="9" max="9"/>
    <col width="18" customWidth="1" min="10" max="10"/>
  </cols>
  <sheetData>
    <row r="1" ht="30" customHeight="1">
      <c r="A1" s="1" t="inlineStr">
        <is>
          <t>DATA DISCOVERY RESULTS</t>
        </is>
      </c>
    </row>
    <row r="2" ht="25" customHeight="1">
      <c r="A2" s="2" t="inlineStr">
        <is>
          <t>Document data discovery and scanning results (Spirion, BigID, manual audits)</t>
        </is>
      </c>
    </row>
    <row r="3">
      <c r="A3" s="12" t="inlineStr">
        <is>
          <t>Discovery Tool</t>
        </is>
      </c>
      <c r="B3" s="12" t="inlineStr">
        <is>
          <t>Scan Target</t>
        </is>
      </c>
      <c r="C3" s="12" t="inlineStr">
        <is>
          <t>Scan Date</t>
        </is>
      </c>
      <c r="D3" s="12" t="inlineStr">
        <is>
          <t>Data Categories Found</t>
        </is>
      </c>
      <c r="E3" s="12" t="inlineStr">
        <is>
          <t>Total Findings</t>
        </is>
      </c>
      <c r="F3" s="12" t="inlineStr">
        <is>
          <t>Critical Findings</t>
        </is>
      </c>
      <c r="G3" s="12" t="inlineStr">
        <is>
          <t>False Positive Rate %</t>
        </is>
      </c>
      <c r="H3" s="12" t="inlineStr">
        <is>
          <t>Remediation Status</t>
        </is>
      </c>
      <c r="I3" s="12" t="inlineStr">
        <is>
          <t>Data Owner Notified</t>
        </is>
      </c>
      <c r="J3" s="12" t="inlineStr">
        <is>
          <t>Evidence ID</t>
        </is>
      </c>
    </row>
    <row r="4">
      <c r="A4" s="15" t="inlineStr">
        <is>
          <t>Spirion</t>
        </is>
      </c>
      <c r="B4" s="15" t="inlineStr">
        <is>
          <t>FS-HR-01</t>
        </is>
      </c>
      <c r="C4" s="15" t="inlineStr">
        <is>
          <t>2024-12-15</t>
        </is>
      </c>
      <c r="D4" s="15" t="inlineStr">
        <is>
          <t>PII, SSN, AHV</t>
        </is>
      </c>
      <c r="E4" s="15" t="inlineStr">
        <is>
          <t>5243</t>
        </is>
      </c>
      <c r="F4" s="15" t="inlineStr">
        <is>
          <t>1200</t>
        </is>
      </c>
      <c r="G4" s="15" t="inlineStr">
        <is>
          <t>15</t>
        </is>
      </c>
      <c r="H4" s="15" t="inlineStr">
        <is>
          <t>In Progress</t>
        </is>
      </c>
      <c r="I4" s="15" t="inlineStr">
        <is>
          <t>Yes</t>
        </is>
      </c>
      <c r="J4" s="15" t="inlineStr">
        <is>
          <t>A812-2-DSC-001</t>
        </is>
      </c>
    </row>
    <row r="5">
      <c r="A5" s="15" t="inlineStr">
        <is>
          <t>BigID</t>
        </is>
      </c>
      <c r="B5" s="15" t="inlineStr">
        <is>
          <t>SQL-PROD-01</t>
        </is>
      </c>
      <c r="C5" s="15" t="inlineStr">
        <is>
          <t>2024-12-10</t>
        </is>
      </c>
      <c r="D5" s="15" t="inlineStr">
        <is>
          <t>PII, CCN, IBAN</t>
        </is>
      </c>
      <c r="E5" s="15" t="inlineStr">
        <is>
          <t>250000</t>
        </is>
      </c>
      <c r="F5" s="15" t="inlineStr">
        <is>
          <t>50000</t>
        </is>
      </c>
      <c r="G5" s="15" t="inlineStr">
        <is>
          <t>5</t>
        </is>
      </c>
      <c r="H5" s="15" t="inlineStr">
        <is>
          <t>In Progress</t>
        </is>
      </c>
      <c r="I5" s="15" t="inlineStr">
        <is>
          <t>Yes</t>
        </is>
      </c>
      <c r="J5" s="15" t="inlineStr">
        <is>
          <t>A812-2-DSC-002</t>
        </is>
      </c>
    </row>
    <row r="6">
      <c r="A6" s="15" t="inlineStr">
        <is>
          <t>Manual Audit</t>
        </is>
      </c>
      <c r="B6" s="15" t="inlineStr">
        <is>
          <t>SharePoint</t>
        </is>
      </c>
      <c r="C6" s="15" t="inlineStr">
        <is>
          <t>2024-11-20</t>
        </is>
      </c>
      <c r="D6" s="15" t="inlineStr">
        <is>
          <t>Business Confidential</t>
        </is>
      </c>
      <c r="E6" s="15" t="inlineStr">
        <is>
          <t>1500</t>
        </is>
      </c>
      <c r="F6" s="15" t="inlineStr">
        <is>
          <t>300</t>
        </is>
      </c>
      <c r="G6" s="15" t="inlineStr">
        <is>
          <t>30</t>
        </is>
      </c>
      <c r="H6" s="15" t="inlineStr">
        <is>
          <t>Complete</t>
        </is>
      </c>
      <c r="I6" s="15" t="inlineStr">
        <is>
          <t>Yes</t>
        </is>
      </c>
      <c r="J6" s="15" t="inlineStr">
        <is>
          <t>A812-2-DSC-003</t>
        </is>
      </c>
    </row>
    <row r="7">
      <c r="A7" s="14" t="n"/>
      <c r="B7" s="14" t="n"/>
      <c r="C7" s="14" t="n"/>
      <c r="D7" s="14" t="n"/>
      <c r="E7" s="14" t="n"/>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c r="A24" s="14" t="n"/>
      <c r="B24" s="14" t="n"/>
      <c r="C24" s="14" t="n"/>
      <c r="D24" s="14" t="n"/>
      <c r="E24" s="14" t="n"/>
      <c r="F24" s="14" t="n"/>
      <c r="G24" s="14" t="n"/>
      <c r="H24" s="14" t="n"/>
      <c r="I24" s="14" t="n"/>
      <c r="J24" s="14" t="n"/>
    </row>
    <row r="25">
      <c r="A25" s="14" t="n"/>
      <c r="B25" s="14" t="n"/>
      <c r="C25" s="14" t="n"/>
      <c r="D25" s="14" t="n"/>
      <c r="E25" s="14" t="n"/>
      <c r="F25" s="14" t="n"/>
      <c r="G25" s="14" t="n"/>
      <c r="H25" s="14" t="n"/>
      <c r="I25" s="14" t="n"/>
      <c r="J25" s="14" t="n"/>
    </row>
    <row r="26">
      <c r="A26" s="14" t="n"/>
      <c r="B26" s="14" t="n"/>
      <c r="C26" s="14" t="n"/>
      <c r="D26" s="14" t="n"/>
      <c r="E26" s="14" t="n"/>
      <c r="F26" s="14" t="n"/>
      <c r="G26" s="14" t="n"/>
      <c r="H26" s="14" t="n"/>
      <c r="I26" s="14" t="n"/>
      <c r="J26" s="14" t="n"/>
    </row>
    <row r="27">
      <c r="A27" s="14" t="n"/>
      <c r="B27" s="14" t="n"/>
      <c r="C27" s="14" t="n"/>
      <c r="D27" s="14" t="n"/>
      <c r="E27" s="14" t="n"/>
      <c r="F27" s="14" t="n"/>
      <c r="G27" s="14" t="n"/>
      <c r="H27" s="14" t="n"/>
      <c r="I27" s="14" t="n"/>
      <c r="J27" s="14" t="n"/>
    </row>
    <row r="28">
      <c r="A28" s="14" t="n"/>
      <c r="B28" s="14" t="n"/>
      <c r="C28" s="14" t="n"/>
      <c r="D28" s="14" t="n"/>
      <c r="E28" s="14" t="n"/>
      <c r="F28" s="14" t="n"/>
      <c r="G28" s="14" t="n"/>
      <c r="H28" s="14" t="n"/>
      <c r="I28" s="14" t="n"/>
      <c r="J28" s="14" t="n"/>
    </row>
    <row r="29">
      <c r="A29" s="14" t="n"/>
      <c r="B29" s="14" t="n"/>
      <c r="C29" s="14" t="n"/>
      <c r="D29" s="14" t="n"/>
      <c r="E29" s="14" t="n"/>
      <c r="F29" s="14" t="n"/>
      <c r="G29" s="14" t="n"/>
      <c r="H29" s="14" t="n"/>
      <c r="I29" s="14" t="n"/>
      <c r="J29" s="14" t="n"/>
    </row>
    <row r="30">
      <c r="A30" s="14" t="n"/>
      <c r="B30" s="14" t="n"/>
      <c r="C30" s="14" t="n"/>
      <c r="D30" s="14" t="n"/>
      <c r="E30" s="14" t="n"/>
      <c r="F30" s="14" t="n"/>
      <c r="G30" s="14" t="n"/>
      <c r="H30" s="14" t="n"/>
      <c r="I30" s="14" t="n"/>
      <c r="J30" s="14" t="n"/>
    </row>
    <row r="31">
      <c r="A31" s="14" t="n"/>
      <c r="B31" s="14" t="n"/>
      <c r="C31" s="14" t="n"/>
      <c r="D31" s="14" t="n"/>
      <c r="E31" s="14" t="n"/>
      <c r="F31" s="14" t="n"/>
      <c r="G31" s="14" t="n"/>
      <c r="H31" s="14" t="n"/>
      <c r="I31" s="14" t="n"/>
      <c r="J31" s="14" t="n"/>
    </row>
    <row r="32">
      <c r="A32" s="14" t="n"/>
      <c r="B32" s="14" t="n"/>
      <c r="C32" s="14" t="n"/>
      <c r="D32" s="14" t="n"/>
      <c r="E32" s="14" t="n"/>
      <c r="F32" s="14" t="n"/>
      <c r="G32" s="14" t="n"/>
      <c r="H32" s="14" t="n"/>
      <c r="I32" s="14" t="n"/>
      <c r="J32" s="14" t="n"/>
    </row>
    <row r="33">
      <c r="A33" s="14" t="n"/>
      <c r="B33" s="14" t="n"/>
      <c r="C33" s="14" t="n"/>
      <c r="D33" s="14" t="n"/>
      <c r="E33" s="14" t="n"/>
      <c r="F33" s="14" t="n"/>
      <c r="G33" s="14" t="n"/>
      <c r="H33" s="14" t="n"/>
      <c r="I33" s="14" t="n"/>
      <c r="J33" s="14" t="n"/>
    </row>
  </sheetData>
  <mergeCells count="2">
    <mergeCell ref="A1:J1"/>
    <mergeCell ref="A2:J2"/>
  </mergeCells>
  <dataValidations count="2">
    <dataValidation sqref="H7 H8 H9 H10 H11 H12 H13 H14 H15 H16 H17 H18 H19 H20 H21 H22 H23 H24 H25 H26 H27 H28 H29 H30 H31 H32 H33" showDropDown="1" showInputMessage="0" showErrorMessage="0" allowBlank="0" type="list">
      <formula1>"Complete,In Progress,Planned,Not Started"</formula1>
    </dataValidation>
    <dataValidation sqref="I7 I8 I9 I10 I11 I12 I13 I14 I15 I16 I17 I18 I19 I20 I21 I22 I23 I24 I25 I26 I27 I28 I29 I30 I31 I32 I33" showDropDown="1" showInputMessage="0" showErrorMessage="0" allowBlank="0" type="list">
      <formula1>"Yes,No,Pending"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3"/>
  <sheetViews>
    <sheetView workbookViewId="0">
      <pane ySplit="3" topLeftCell="A4" activePane="bottomLeft" state="frozen"/>
      <selection pane="bottomLeft" activeCell="A1" sqref="A1"/>
    </sheetView>
  </sheetViews>
  <sheetFormatPr baseColWidth="8" defaultRowHeight="15"/>
  <cols>
    <col width="18" customWidth="1" min="1" max="1"/>
    <col width="35" customWidth="1" min="2" max="2"/>
    <col width="25" customWidth="1" min="3" max="3"/>
    <col width="15" customWidth="1" min="4" max="4"/>
    <col width="30" customWidth="1" min="5" max="5"/>
    <col width="30" customWidth="1" min="6" max="6"/>
    <col width="35" customWidth="1" min="7" max="7"/>
    <col width="20" customWidth="1" min="8" max="8"/>
    <col width="15" customWidth="1" min="9" max="9"/>
    <col width="15" customWidth="1" min="10" max="10"/>
    <col width="18" customWidth="1" min="11" max="11"/>
  </cols>
  <sheetData>
    <row r="1" ht="30" customHeight="1">
      <c r="A1" s="1" t="inlineStr">
        <is>
          <t>GAP ANALYSIS - IDENTIFIED DEFICIENCIES</t>
        </is>
      </c>
    </row>
    <row r="2" ht="25" customHeight="1">
      <c r="A2" s="2" t="inlineStr">
        <is>
          <t>Document all data classification gaps and remediation plans</t>
        </is>
      </c>
    </row>
    <row r="3">
      <c r="A3" s="12" t="inlineStr">
        <is>
          <t>Gap ID</t>
        </is>
      </c>
      <c r="B3" s="12" t="inlineStr">
        <is>
          <t>Gap Description</t>
        </is>
      </c>
      <c r="C3" s="12" t="inlineStr">
        <is>
          <t>Affected Data Category</t>
        </is>
      </c>
      <c r="D3" s="12" t="inlineStr">
        <is>
          <t>Risk Level</t>
        </is>
      </c>
      <c r="E3" s="12" t="inlineStr">
        <is>
          <t>Business Impact</t>
        </is>
      </c>
      <c r="F3" s="12" t="inlineStr">
        <is>
          <t>Root Cause</t>
        </is>
      </c>
      <c r="G3" s="12" t="inlineStr">
        <is>
          <t>Remediation Plan</t>
        </is>
      </c>
      <c r="H3" s="12" t="inlineStr">
        <is>
          <t>Owner</t>
        </is>
      </c>
      <c r="I3" s="12" t="inlineStr">
        <is>
          <t>Target Date</t>
        </is>
      </c>
      <c r="J3" s="12" t="inlineStr">
        <is>
          <t>Status</t>
        </is>
      </c>
      <c r="K3" s="12" t="inlineStr">
        <is>
          <t>Evidence ID</t>
        </is>
      </c>
    </row>
    <row r="4">
      <c r="A4" s="15" t="inlineStr">
        <is>
          <t>GAP-A812-2-001</t>
        </is>
      </c>
      <c r="B4" s="15" t="inlineStr">
        <is>
          <t>No data classification schema documented</t>
        </is>
      </c>
      <c r="C4" s="15" t="inlineStr">
        <is>
          <t>All data</t>
        </is>
      </c>
      <c r="D4" s="15" t="inlineStr">
        <is>
          <t>Critical</t>
        </is>
      </c>
      <c r="E4" s="15" t="inlineStr">
        <is>
          <t>Uncontrolled data handling, no DLP baseline</t>
        </is>
      </c>
      <c r="F4" s="15" t="inlineStr">
        <is>
          <t>Schema never formally defined</t>
        </is>
      </c>
      <c r="G4" s="15" t="inlineStr">
        <is>
          <t>Create and approve 4-tier classification schema</t>
        </is>
      </c>
      <c r="H4" s="15" t="inlineStr">
        <is>
          <t>[Owner]</t>
        </is>
      </c>
      <c r="I4" s="15" t="inlineStr">
        <is>
          <t>[Date]</t>
        </is>
      </c>
      <c r="J4" s="15" t="inlineStr">
        <is>
          <t>Open</t>
        </is>
      </c>
      <c r="K4" s="15" t="inlineStr">
        <is>
          <t>A812-2-GAP-001</t>
        </is>
      </c>
    </row>
    <row r="5">
      <c r="A5" s="15" t="inlineStr">
        <is>
          <t>GAP-A812-2-002</t>
        </is>
      </c>
      <c r="B5" s="15" t="inlineStr">
        <is>
          <t>PII found on file servers without DLP protection</t>
        </is>
      </c>
      <c r="C5" s="15" t="inlineStr">
        <is>
          <t>Customer PII</t>
        </is>
      </c>
      <c r="D5" s="15" t="inlineStr">
        <is>
          <t>High</t>
        </is>
      </c>
      <c r="E5" s="15" t="inlineStr">
        <is>
          <t>Potential FADP/GDPR violation, unmonitored exfiltration</t>
        </is>
      </c>
      <c r="F5" s="15" t="inlineStr">
        <is>
          <t>File servers not in DLP scope</t>
        </is>
      </c>
      <c r="G5" s="15" t="inlineStr">
        <is>
          <t>Deploy endpoint DLP to file servers</t>
        </is>
      </c>
      <c r="H5" s="15" t="inlineStr">
        <is>
          <t>[Owner]</t>
        </is>
      </c>
      <c r="I5" s="15" t="inlineStr">
        <is>
          <t>[Date]</t>
        </is>
      </c>
      <c r="J5" s="15" t="inlineStr">
        <is>
          <t>Open</t>
        </is>
      </c>
      <c r="K5" s="15" t="inlineStr">
        <is>
          <t>A812-2-GAP-002</t>
        </is>
      </c>
    </row>
    <row r="6">
      <c r="A6" s="15" t="inlineStr">
        <is>
          <t>GAP-A812-2-003</t>
        </is>
      </c>
      <c r="B6" s="15" t="inlineStr">
        <is>
          <t>Data owners not assigned for 40% of data categories</t>
        </is>
      </c>
      <c r="C6" s="15" t="inlineStr">
        <is>
          <t>Multiple</t>
        </is>
      </c>
      <c r="D6" s="15" t="inlineStr">
        <is>
          <t>High</t>
        </is>
      </c>
      <c r="E6" s="15" t="inlineStr">
        <is>
          <t>Lack of accountability, unclear data stewardship</t>
        </is>
      </c>
      <c r="F6" s="15" t="inlineStr">
        <is>
          <t>Ownership process not established</t>
        </is>
      </c>
      <c r="G6" s="15" t="inlineStr">
        <is>
          <t>Execute data owner assignment workshops</t>
        </is>
      </c>
      <c r="H6" s="15" t="inlineStr">
        <is>
          <t>[Owner]</t>
        </is>
      </c>
      <c r="I6" s="15" t="inlineStr">
        <is>
          <t>[Date]</t>
        </is>
      </c>
      <c r="J6" s="15" t="inlineStr">
        <is>
          <t>Open</t>
        </is>
      </c>
      <c r="K6" s="15" t="inlineStr">
        <is>
          <t>A812-2-GAP-003</t>
        </is>
      </c>
    </row>
    <row r="7">
      <c r="A7" s="14" t="n"/>
      <c r="B7" s="14" t="n"/>
      <c r="C7" s="14" t="n"/>
      <c r="D7" s="14" t="n"/>
      <c r="E7" s="14" t="n"/>
      <c r="F7" s="14" t="n"/>
      <c r="G7" s="14" t="n"/>
      <c r="H7" s="14" t="n"/>
      <c r="I7" s="14" t="n"/>
      <c r="J7" s="14" t="n"/>
      <c r="K7" s="14" t="n"/>
    </row>
    <row r="8">
      <c r="A8" s="14" t="n"/>
      <c r="B8" s="14" t="n"/>
      <c r="C8" s="14" t="n"/>
      <c r="D8" s="14" t="n"/>
      <c r="E8" s="14" t="n"/>
      <c r="F8" s="14" t="n"/>
      <c r="G8" s="14" t="n"/>
      <c r="H8" s="14" t="n"/>
      <c r="I8" s="14" t="n"/>
      <c r="J8" s="14" t="n"/>
      <c r="K8" s="14" t="n"/>
    </row>
    <row r="9">
      <c r="A9" s="14" t="n"/>
      <c r="B9" s="14" t="n"/>
      <c r="C9" s="14" t="n"/>
      <c r="D9" s="14" t="n"/>
      <c r="E9" s="14" t="n"/>
      <c r="F9" s="14" t="n"/>
      <c r="G9" s="14" t="n"/>
      <c r="H9" s="14" t="n"/>
      <c r="I9" s="14" t="n"/>
      <c r="J9" s="14" t="n"/>
      <c r="K9" s="14" t="n"/>
    </row>
    <row r="10">
      <c r="A10" s="14" t="n"/>
      <c r="B10" s="14" t="n"/>
      <c r="C10" s="14" t="n"/>
      <c r="D10" s="14" t="n"/>
      <c r="E10" s="14" t="n"/>
      <c r="F10" s="14" t="n"/>
      <c r="G10" s="14" t="n"/>
      <c r="H10" s="14" t="n"/>
      <c r="I10" s="14" t="n"/>
      <c r="J10" s="14" t="n"/>
      <c r="K10" s="14" t="n"/>
    </row>
    <row r="11">
      <c r="A11" s="14" t="n"/>
      <c r="B11" s="14" t="n"/>
      <c r="C11" s="14" t="n"/>
      <c r="D11" s="14" t="n"/>
      <c r="E11" s="14" t="n"/>
      <c r="F11" s="14" t="n"/>
      <c r="G11" s="14" t="n"/>
      <c r="H11" s="14" t="n"/>
      <c r="I11" s="14" t="n"/>
      <c r="J11" s="14" t="n"/>
      <c r="K11" s="14" t="n"/>
    </row>
    <row r="12">
      <c r="A12" s="14" t="n"/>
      <c r="B12" s="14" t="n"/>
      <c r="C12" s="14" t="n"/>
      <c r="D12" s="14" t="n"/>
      <c r="E12" s="14" t="n"/>
      <c r="F12" s="14" t="n"/>
      <c r="G12" s="14" t="n"/>
      <c r="H12" s="14" t="n"/>
      <c r="I12" s="14" t="n"/>
      <c r="J12" s="14" t="n"/>
      <c r="K12" s="14" t="n"/>
    </row>
    <row r="13">
      <c r="A13" s="14" t="n"/>
      <c r="B13" s="14" t="n"/>
      <c r="C13" s="14" t="n"/>
      <c r="D13" s="14" t="n"/>
      <c r="E13" s="14" t="n"/>
      <c r="F13" s="14" t="n"/>
      <c r="G13" s="14" t="n"/>
      <c r="H13" s="14" t="n"/>
      <c r="I13" s="14" t="n"/>
      <c r="J13" s="14" t="n"/>
      <c r="K13" s="14" t="n"/>
    </row>
    <row r="14">
      <c r="A14" s="14" t="n"/>
      <c r="B14" s="14" t="n"/>
      <c r="C14" s="14" t="n"/>
      <c r="D14" s="14" t="n"/>
      <c r="E14" s="14" t="n"/>
      <c r="F14" s="14" t="n"/>
      <c r="G14" s="14" t="n"/>
      <c r="H14" s="14" t="n"/>
      <c r="I14" s="14" t="n"/>
      <c r="J14" s="14" t="n"/>
      <c r="K14" s="14" t="n"/>
    </row>
    <row r="15">
      <c r="A15" s="14" t="n"/>
      <c r="B15" s="14" t="n"/>
      <c r="C15" s="14" t="n"/>
      <c r="D15" s="14" t="n"/>
      <c r="E15" s="14" t="n"/>
      <c r="F15" s="14" t="n"/>
      <c r="G15" s="14" t="n"/>
      <c r="H15" s="14" t="n"/>
      <c r="I15" s="14" t="n"/>
      <c r="J15" s="14" t="n"/>
      <c r="K15" s="14" t="n"/>
    </row>
    <row r="16">
      <c r="A16" s="14" t="n"/>
      <c r="B16" s="14" t="n"/>
      <c r="C16" s="14" t="n"/>
      <c r="D16" s="14" t="n"/>
      <c r="E16" s="14" t="n"/>
      <c r="F16" s="14" t="n"/>
      <c r="G16" s="14" t="n"/>
      <c r="H16" s="14" t="n"/>
      <c r="I16" s="14" t="n"/>
      <c r="J16" s="14" t="n"/>
      <c r="K16" s="14" t="n"/>
    </row>
    <row r="17">
      <c r="A17" s="14" t="n"/>
      <c r="B17" s="14" t="n"/>
      <c r="C17" s="14" t="n"/>
      <c r="D17" s="14" t="n"/>
      <c r="E17" s="14" t="n"/>
      <c r="F17" s="14" t="n"/>
      <c r="G17" s="14" t="n"/>
      <c r="H17" s="14" t="n"/>
      <c r="I17" s="14" t="n"/>
      <c r="J17" s="14" t="n"/>
      <c r="K17" s="14" t="n"/>
    </row>
    <row r="18">
      <c r="A18" s="14" t="n"/>
      <c r="B18" s="14" t="n"/>
      <c r="C18" s="14" t="n"/>
      <c r="D18" s="14" t="n"/>
      <c r="E18" s="14" t="n"/>
      <c r="F18" s="14" t="n"/>
      <c r="G18" s="14" t="n"/>
      <c r="H18" s="14" t="n"/>
      <c r="I18" s="14" t="n"/>
      <c r="J18" s="14" t="n"/>
      <c r="K18" s="14" t="n"/>
    </row>
    <row r="19">
      <c r="A19" s="14" t="n"/>
      <c r="B19" s="14" t="n"/>
      <c r="C19" s="14" t="n"/>
      <c r="D19" s="14" t="n"/>
      <c r="E19" s="14" t="n"/>
      <c r="F19" s="14" t="n"/>
      <c r="G19" s="14" t="n"/>
      <c r="H19" s="14" t="n"/>
      <c r="I19" s="14" t="n"/>
      <c r="J19" s="14" t="n"/>
      <c r="K19" s="14" t="n"/>
    </row>
    <row r="20">
      <c r="A20" s="14" t="n"/>
      <c r="B20" s="14" t="n"/>
      <c r="C20" s="14" t="n"/>
      <c r="D20" s="14" t="n"/>
      <c r="E20" s="14" t="n"/>
      <c r="F20" s="14" t="n"/>
      <c r="G20" s="14" t="n"/>
      <c r="H20" s="14" t="n"/>
      <c r="I20" s="14" t="n"/>
      <c r="J20" s="14" t="n"/>
      <c r="K20" s="14" t="n"/>
    </row>
    <row r="21">
      <c r="A21" s="14" t="n"/>
      <c r="B21" s="14" t="n"/>
      <c r="C21" s="14" t="n"/>
      <c r="D21" s="14" t="n"/>
      <c r="E21" s="14" t="n"/>
      <c r="F21" s="14" t="n"/>
      <c r="G21" s="14" t="n"/>
      <c r="H21" s="14" t="n"/>
      <c r="I21" s="14" t="n"/>
      <c r="J21" s="14" t="n"/>
      <c r="K21" s="14" t="n"/>
    </row>
    <row r="22">
      <c r="A22" s="14" t="n"/>
      <c r="B22" s="14" t="n"/>
      <c r="C22" s="14" t="n"/>
      <c r="D22" s="14" t="n"/>
      <c r="E22" s="14" t="n"/>
      <c r="F22" s="14" t="n"/>
      <c r="G22" s="14" t="n"/>
      <c r="H22" s="14" t="n"/>
      <c r="I22" s="14" t="n"/>
      <c r="J22" s="14" t="n"/>
      <c r="K22" s="14" t="n"/>
    </row>
    <row r="23">
      <c r="A23" s="14" t="n"/>
      <c r="B23" s="14" t="n"/>
      <c r="C23" s="14" t="n"/>
      <c r="D23" s="14" t="n"/>
      <c r="E23" s="14" t="n"/>
      <c r="F23" s="14" t="n"/>
      <c r="G23" s="14" t="n"/>
      <c r="H23" s="14" t="n"/>
      <c r="I23" s="14" t="n"/>
      <c r="J23" s="14" t="n"/>
      <c r="K23" s="14" t="n"/>
    </row>
    <row r="24">
      <c r="A24" s="14" t="n"/>
      <c r="B24" s="14" t="n"/>
      <c r="C24" s="14" t="n"/>
      <c r="D24" s="14" t="n"/>
      <c r="E24" s="14" t="n"/>
      <c r="F24" s="14" t="n"/>
      <c r="G24" s="14" t="n"/>
      <c r="H24" s="14" t="n"/>
      <c r="I24" s="14" t="n"/>
      <c r="J24" s="14" t="n"/>
      <c r="K24" s="14" t="n"/>
    </row>
    <row r="25">
      <c r="A25" s="14" t="n"/>
      <c r="B25" s="14" t="n"/>
      <c r="C25" s="14" t="n"/>
      <c r="D25" s="14" t="n"/>
      <c r="E25" s="14" t="n"/>
      <c r="F25" s="14" t="n"/>
      <c r="G25" s="14" t="n"/>
      <c r="H25" s="14" t="n"/>
      <c r="I25" s="14" t="n"/>
      <c r="J25" s="14" t="n"/>
      <c r="K25" s="14" t="n"/>
    </row>
    <row r="26">
      <c r="A26" s="14" t="n"/>
      <c r="B26" s="14" t="n"/>
      <c r="C26" s="14" t="n"/>
      <c r="D26" s="14" t="n"/>
      <c r="E26" s="14" t="n"/>
      <c r="F26" s="14" t="n"/>
      <c r="G26" s="14" t="n"/>
      <c r="H26" s="14" t="n"/>
      <c r="I26" s="14" t="n"/>
      <c r="J26" s="14" t="n"/>
      <c r="K26" s="14" t="n"/>
    </row>
    <row r="27">
      <c r="A27" s="14" t="n"/>
      <c r="B27" s="14" t="n"/>
      <c r="C27" s="14" t="n"/>
      <c r="D27" s="14" t="n"/>
      <c r="E27" s="14" t="n"/>
      <c r="F27" s="14" t="n"/>
      <c r="G27" s="14" t="n"/>
      <c r="H27" s="14" t="n"/>
      <c r="I27" s="14" t="n"/>
      <c r="J27" s="14" t="n"/>
      <c r="K27" s="14" t="n"/>
    </row>
    <row r="28">
      <c r="A28" s="14" t="n"/>
      <c r="B28" s="14" t="n"/>
      <c r="C28" s="14" t="n"/>
      <c r="D28" s="14" t="n"/>
      <c r="E28" s="14" t="n"/>
      <c r="F28" s="14" t="n"/>
      <c r="G28" s="14" t="n"/>
      <c r="H28" s="14" t="n"/>
      <c r="I28" s="14" t="n"/>
      <c r="J28" s="14" t="n"/>
      <c r="K28" s="14" t="n"/>
    </row>
    <row r="29">
      <c r="A29" s="14" t="n"/>
      <c r="B29" s="14" t="n"/>
      <c r="C29" s="14" t="n"/>
      <c r="D29" s="14" t="n"/>
      <c r="E29" s="14" t="n"/>
      <c r="F29" s="14" t="n"/>
      <c r="G29" s="14" t="n"/>
      <c r="H29" s="14" t="n"/>
      <c r="I29" s="14" t="n"/>
      <c r="J29" s="14" t="n"/>
      <c r="K29" s="14" t="n"/>
    </row>
    <row r="30">
      <c r="A30" s="14" t="n"/>
      <c r="B30" s="14" t="n"/>
      <c r="C30" s="14" t="n"/>
      <c r="D30" s="14" t="n"/>
      <c r="E30" s="14" t="n"/>
      <c r="F30" s="14" t="n"/>
      <c r="G30" s="14" t="n"/>
      <c r="H30" s="14" t="n"/>
      <c r="I30" s="14" t="n"/>
      <c r="J30" s="14" t="n"/>
      <c r="K30" s="14" t="n"/>
    </row>
    <row r="31">
      <c r="A31" s="14" t="n"/>
      <c r="B31" s="14" t="n"/>
      <c r="C31" s="14" t="n"/>
      <c r="D31" s="14" t="n"/>
      <c r="E31" s="14" t="n"/>
      <c r="F31" s="14" t="n"/>
      <c r="G31" s="14" t="n"/>
      <c r="H31" s="14" t="n"/>
      <c r="I31" s="14" t="n"/>
      <c r="J31" s="14" t="n"/>
      <c r="K31" s="14" t="n"/>
    </row>
    <row r="32">
      <c r="A32" s="14" t="n"/>
      <c r="B32" s="14" t="n"/>
      <c r="C32" s="14" t="n"/>
      <c r="D32" s="14" t="n"/>
      <c r="E32" s="14" t="n"/>
      <c r="F32" s="14" t="n"/>
      <c r="G32" s="14" t="n"/>
      <c r="H32" s="14" t="n"/>
      <c r="I32" s="14" t="n"/>
      <c r="J32" s="14" t="n"/>
      <c r="K32" s="14" t="n"/>
    </row>
    <row r="33">
      <c r="A33" s="14" t="n"/>
      <c r="B33" s="14" t="n"/>
      <c r="C33" s="14" t="n"/>
      <c r="D33" s="14" t="n"/>
      <c r="E33" s="14" t="n"/>
      <c r="F33" s="14" t="n"/>
      <c r="G33" s="14" t="n"/>
      <c r="H33" s="14" t="n"/>
      <c r="I33" s="14" t="n"/>
      <c r="J33" s="14" t="n"/>
      <c r="K33" s="14" t="n"/>
    </row>
    <row r="34">
      <c r="A34" s="14" t="n"/>
      <c r="B34" s="14" t="n"/>
      <c r="C34" s="14" t="n"/>
      <c r="D34" s="14" t="n"/>
      <c r="E34" s="14" t="n"/>
      <c r="F34" s="14" t="n"/>
      <c r="G34" s="14" t="n"/>
      <c r="H34" s="14" t="n"/>
      <c r="I34" s="14" t="n"/>
      <c r="J34" s="14" t="n"/>
      <c r="K34" s="14" t="n"/>
    </row>
    <row r="35">
      <c r="A35" s="14" t="n"/>
      <c r="B35" s="14" t="n"/>
      <c r="C35" s="14" t="n"/>
      <c r="D35" s="14" t="n"/>
      <c r="E35" s="14" t="n"/>
      <c r="F35" s="14" t="n"/>
      <c r="G35" s="14" t="n"/>
      <c r="H35" s="14" t="n"/>
      <c r="I35" s="14" t="n"/>
      <c r="J35" s="14" t="n"/>
      <c r="K35" s="14" t="n"/>
    </row>
    <row r="36">
      <c r="A36" s="14" t="n"/>
      <c r="B36" s="14" t="n"/>
      <c r="C36" s="14" t="n"/>
      <c r="D36" s="14" t="n"/>
      <c r="E36" s="14" t="n"/>
      <c r="F36" s="14" t="n"/>
      <c r="G36" s="14" t="n"/>
      <c r="H36" s="14" t="n"/>
      <c r="I36" s="14" t="n"/>
      <c r="J36" s="14" t="n"/>
      <c r="K36" s="14" t="n"/>
    </row>
    <row r="37">
      <c r="A37" s="14" t="n"/>
      <c r="B37" s="14" t="n"/>
      <c r="C37" s="14" t="n"/>
      <c r="D37" s="14" t="n"/>
      <c r="E37" s="14" t="n"/>
      <c r="F37" s="14" t="n"/>
      <c r="G37" s="14" t="n"/>
      <c r="H37" s="14" t="n"/>
      <c r="I37" s="14" t="n"/>
      <c r="J37" s="14" t="n"/>
      <c r="K37" s="14" t="n"/>
    </row>
    <row r="38">
      <c r="A38" s="14" t="n"/>
      <c r="B38" s="14" t="n"/>
      <c r="C38" s="14" t="n"/>
      <c r="D38" s="14" t="n"/>
      <c r="E38" s="14" t="n"/>
      <c r="F38" s="14" t="n"/>
      <c r="G38" s="14" t="n"/>
      <c r="H38" s="14" t="n"/>
      <c r="I38" s="14" t="n"/>
      <c r="J38" s="14" t="n"/>
      <c r="K38" s="14" t="n"/>
    </row>
    <row r="39">
      <c r="A39" s="14" t="n"/>
      <c r="B39" s="14" t="n"/>
      <c r="C39" s="14" t="n"/>
      <c r="D39" s="14" t="n"/>
      <c r="E39" s="14" t="n"/>
      <c r="F39" s="14" t="n"/>
      <c r="G39" s="14" t="n"/>
      <c r="H39" s="14" t="n"/>
      <c r="I39" s="14" t="n"/>
      <c r="J39" s="14" t="n"/>
      <c r="K39" s="14" t="n"/>
    </row>
    <row r="40">
      <c r="A40" s="14" t="n"/>
      <c r="B40" s="14" t="n"/>
      <c r="C40" s="14" t="n"/>
      <c r="D40" s="14" t="n"/>
      <c r="E40" s="14" t="n"/>
      <c r="F40" s="14" t="n"/>
      <c r="G40" s="14" t="n"/>
      <c r="H40" s="14" t="n"/>
      <c r="I40" s="14" t="n"/>
      <c r="J40" s="14" t="n"/>
      <c r="K40" s="14" t="n"/>
    </row>
    <row r="41">
      <c r="A41" s="14" t="n"/>
      <c r="B41" s="14" t="n"/>
      <c r="C41" s="14" t="n"/>
      <c r="D41" s="14" t="n"/>
      <c r="E41" s="14" t="n"/>
      <c r="F41" s="14" t="n"/>
      <c r="G41" s="14" t="n"/>
      <c r="H41" s="14" t="n"/>
      <c r="I41" s="14" t="n"/>
      <c r="J41" s="14" t="n"/>
      <c r="K41" s="14" t="n"/>
    </row>
    <row r="42">
      <c r="A42" s="14" t="n"/>
      <c r="B42" s="14" t="n"/>
      <c r="C42" s="14" t="n"/>
      <c r="D42" s="14" t="n"/>
      <c r="E42" s="14" t="n"/>
      <c r="F42" s="14" t="n"/>
      <c r="G42" s="14" t="n"/>
      <c r="H42" s="14" t="n"/>
      <c r="I42" s="14" t="n"/>
      <c r="J42" s="14" t="n"/>
      <c r="K42" s="14" t="n"/>
    </row>
    <row r="43">
      <c r="A43" s="14" t="n"/>
      <c r="B43" s="14" t="n"/>
      <c r="C43" s="14" t="n"/>
      <c r="D43" s="14" t="n"/>
      <c r="E43" s="14" t="n"/>
      <c r="F43" s="14" t="n"/>
      <c r="G43" s="14" t="n"/>
      <c r="H43" s="14" t="n"/>
      <c r="I43" s="14" t="n"/>
      <c r="J43" s="14" t="n"/>
      <c r="K43" s="14" t="n"/>
    </row>
  </sheetData>
  <mergeCells count="2">
    <mergeCell ref="A2:K2"/>
    <mergeCell ref="A1:K1"/>
  </mergeCells>
  <dataValidations count="2">
    <dataValidation sqref="D7 D8 D9 D10 D11 D12 D13 D14 D15 D16 D17 D18 D19 D20 D21 D22 D23 D24 D25 D26 D27 D28 D29 D30 D31 D32 D33 D34 D35 D36 D37 D38 D39 D40 D41 D42 D43" showDropDown="1" showInputMessage="0" showErrorMessage="0" allowBlank="0" type="list">
      <formula1>"Critical,High,Medium,Low"</formula1>
    </dataValidation>
    <dataValidation sqref="J7 J8 J9 J10 J11 J12 J13 J14 J15 J16 J17 J18 J19 J20 J21 J22 J23 J24 J25 J26 J27 J28 J29 J30 J31 J32 J33 J34 J35 J36 J37 J38 J39 J40 J41 J42 J43" showDropDown="1" showInputMessage="0" showErrorMessage="0" allowBlank="0" type="list">
      <formula1>"Open,In Progress,Resolved,Accepted,Closed"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3"/>
  <sheetViews>
    <sheetView workbookViewId="0">
      <pane ySplit="3" topLeftCell="A4" activePane="bottomLeft" state="frozen"/>
      <selection pane="bottomLeft" activeCell="A1" sqref="A1"/>
    </sheetView>
  </sheetViews>
  <sheetFormatPr baseColWidth="8" defaultRowHeight="15"/>
  <cols>
    <col width="18" customWidth="1" min="1" max="1"/>
    <col width="20" customWidth="1" min="2" max="2"/>
    <col width="35" customWidth="1" min="3" max="3"/>
    <col width="30" customWidth="1" min="4" max="4"/>
    <col width="15" customWidth="1" min="5" max="5"/>
    <col width="20" customWidth="1" min="6" max="6"/>
    <col width="25" customWidth="1" min="7" max="7"/>
    <col width="15" customWidth="1" min="8" max="8"/>
  </cols>
  <sheetData>
    <row r="1" ht="30" customHeight="1">
      <c r="A1" s="1" t="inlineStr">
        <is>
          <t>EVIDENCE REGISTER - AUDIT TRAIL</t>
        </is>
      </c>
    </row>
    <row r="2" ht="25" customHeight="1">
      <c r="A2" s="2" t="inlineStr">
        <is>
          <t>Track all evidence collected during data classification assessment</t>
        </is>
      </c>
    </row>
    <row r="3">
      <c r="A3" s="12" t="inlineStr">
        <is>
          <t>Evidence ID</t>
        </is>
      </c>
      <c r="B3" s="12" t="inlineStr">
        <is>
          <t>Evidence Type</t>
        </is>
      </c>
      <c r="C3" s="12" t="inlineStr">
        <is>
          <t>Description</t>
        </is>
      </c>
      <c r="D3" s="12" t="inlineStr">
        <is>
          <t>Location/Link</t>
        </is>
      </c>
      <c r="E3" s="12" t="inlineStr">
        <is>
          <t>Date Collected</t>
        </is>
      </c>
      <c r="F3" s="12" t="inlineStr">
        <is>
          <t>Collected By</t>
        </is>
      </c>
      <c r="G3" s="12" t="inlineStr">
        <is>
          <t>Related Requirement</t>
        </is>
      </c>
      <c r="H3" s="12" t="inlineStr">
        <is>
          <t>Verification Status</t>
        </is>
      </c>
    </row>
    <row r="4">
      <c r="A4" s="14" t="n"/>
      <c r="B4" s="14" t="n"/>
      <c r="C4" s="14" t="n"/>
      <c r="D4" s="14" t="n"/>
      <c r="E4" s="14" t="n"/>
      <c r="F4" s="14" t="n"/>
      <c r="G4" s="14" t="n"/>
      <c r="H4" s="14" t="n"/>
    </row>
    <row r="5">
      <c r="A5" s="14" t="n"/>
      <c r="B5" s="14" t="n"/>
      <c r="C5" s="14" t="n"/>
      <c r="D5" s="14" t="n"/>
      <c r="E5" s="14" t="n"/>
      <c r="F5" s="14" t="n"/>
      <c r="G5" s="14" t="n"/>
      <c r="H5" s="14"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sheetData>
  <mergeCells count="2">
    <mergeCell ref="A2:H2"/>
    <mergeCell ref="A1:H1"/>
  </mergeCells>
  <dataValidations count="2">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1" showInputMessage="0" showErrorMessage="0" allowBlank="0" type="list">
      <formula1>"Screenshot,Configuration File,Policy Document,Log Export,Report,Certificate,Email,Meeting Minutes,Other"</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1" showInputMessage="0" showErrorMessage="0" allowBlank="0" type="list">
      <formula1>"Verified,Pending,Rejected"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0"/>
  <sheetViews>
    <sheetView workbookViewId="0">
      <pane ySplit="7" topLeftCell="A8"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12" customWidth="1" min="5" max="5"/>
    <col width="25" customWidth="1" min="6" max="6"/>
  </cols>
  <sheetData>
    <row r="1" ht="35" customHeight="1">
      <c r="A1" s="1" t="inlineStr">
        <is>
          <t>Data Classification - COMPLIANCE DASHBOARD</t>
        </is>
      </c>
    </row>
    <row r="3">
      <c r="A3" s="3" t="inlineStr">
        <is>
          <t>Assessment Date:</t>
        </is>
      </c>
      <c r="B3" s="4" t="inlineStr">
        <is>
          <t>[USER INPUT]</t>
        </is>
      </c>
      <c r="D3" s="3" t="inlineStr">
        <is>
          <t>DPO Approval:</t>
        </is>
      </c>
      <c r="E3" s="4" t="inlineStr">
        <is>
          <t>[Dropdown]</t>
        </is>
      </c>
    </row>
    <row r="4">
      <c r="A4" s="3" t="inlineStr">
        <is>
          <t>Completed By:</t>
        </is>
      </c>
      <c r="B4" s="4" t="inlineStr">
        <is>
          <t>[USER INPUT]</t>
        </is>
      </c>
      <c r="D4" s="3" t="inlineStr">
        <is>
          <t>Last Review:</t>
        </is>
      </c>
      <c r="E4" s="4" t="inlineStr">
        <is>
          <t>[Date]</t>
        </is>
      </c>
    </row>
    <row r="6" ht="25" customHeight="1">
      <c r="A6" s="2" t="inlineStr">
        <is>
          <t>KEY PERFORMANCE INDICATORS</t>
        </is>
      </c>
    </row>
    <row r="7">
      <c r="A7" s="12" t="inlineStr">
        <is>
          <t>KPI</t>
        </is>
      </c>
      <c r="B7" s="12" t="inlineStr">
        <is>
          <t>Current Value</t>
        </is>
      </c>
      <c r="C7" s="12" t="inlineStr">
        <is>
          <t>Target</t>
        </is>
      </c>
      <c r="D7" s="12" t="inlineStr">
        <is>
          <t>Status</t>
        </is>
      </c>
      <c r="E7" s="12" t="inlineStr">
        <is>
          <t>Trend</t>
        </is>
      </c>
      <c r="F7" s="12" t="inlineStr">
        <is>
          <t>Notes</t>
        </is>
      </c>
    </row>
    <row r="8">
      <c r="A8" t="inlineStr">
        <is>
          <t>Classification Schema Documented</t>
        </is>
      </c>
      <c r="B8">
        <f>COUNTIF(Classification_Schema!F$4:F$10,"Yes")</f>
        <v/>
      </c>
      <c r="C8" t="inlineStr">
        <is>
          <t>4</t>
        </is>
      </c>
      <c r="D8">
        <f>IF(B8&gt;=4,"✅ Pass","❌ Fail")</f>
        <v/>
      </c>
      <c r="E8" t="inlineStr">
        <is>
          <t>→</t>
        </is>
      </c>
      <c r="F8" t="inlineStr"/>
    </row>
    <row r="9">
      <c r="A9" t="inlineStr">
        <is>
          <t>Sensitive Data Categories Inventoried</t>
        </is>
      </c>
      <c r="B9">
        <f>COUNTA(Sensitive_Data_Inventory!A$4:A$33)-10</f>
        <v/>
      </c>
      <c r="C9" t="inlineStr">
        <is>
          <t>≥20</t>
        </is>
      </c>
      <c r="D9">
        <f>IF(B9&gt;=20,"✅ Pass","❌ Fail")</f>
        <v/>
      </c>
      <c r="E9" t="inlineStr">
        <is>
          <t>→</t>
        </is>
      </c>
      <c r="F9" t="inlineStr"/>
    </row>
    <row r="10">
      <c r="A10" t="inlineStr">
        <is>
          <t>Data Locations Mapped</t>
        </is>
      </c>
      <c r="B10">
        <f>COUNTA(Data_Location_Mapping!A$6:A$45)-5</f>
        <v/>
      </c>
      <c r="C10" t="inlineStr">
        <is>
          <t>≥30</t>
        </is>
      </c>
      <c r="D10">
        <f>IF(B10&gt;=30,"✅ Pass","❌ Fail")</f>
        <v/>
      </c>
      <c r="E10" t="inlineStr">
        <is>
          <t>→</t>
        </is>
      </c>
      <c r="F10" t="inlineStr"/>
    </row>
    <row r="11">
      <c r="A11" t="inlineStr">
        <is>
          <t>Data Owners Assigned %</t>
        </is>
      </c>
      <c r="B11">
        <f>COUNTIF(Data_Owner_Assignment!H$4:H$33,"Yes")/B9*100</f>
        <v/>
      </c>
      <c r="C11" t="inlineStr">
        <is>
          <t>≥90%</t>
        </is>
      </c>
      <c r="D11">
        <f>IF(B11&gt;=90,"✅ Pass","❌ Fail")</f>
        <v/>
      </c>
      <c r="E11" t="inlineStr">
        <is>
          <t>→</t>
        </is>
      </c>
      <c r="F11" t="inlineStr"/>
    </row>
    <row r="12">
      <c r="A12" t="inlineStr">
        <is>
          <t>DLP Protection Coverage %</t>
        </is>
      </c>
      <c r="B12">
        <f>COUNTIF(Sensitive_Data_Inventory!J$4:J$33,"Yes")/B9*100</f>
        <v/>
      </c>
      <c r="C12" t="inlineStr">
        <is>
          <t>≥80%</t>
        </is>
      </c>
      <c r="D12">
        <f>IF(B12&gt;=80,"✅ Pass","❌ Fail")</f>
        <v/>
      </c>
      <c r="E12" t="inlineStr">
        <is>
          <t>→</t>
        </is>
      </c>
      <c r="F12" t="inlineStr"/>
    </row>
    <row r="13">
      <c r="A13" t="inlineStr">
        <is>
          <t>Regulatory Compliance %</t>
        </is>
      </c>
      <c r="B13">
        <f>COUNTIF(Regulatory_Mapping!E$4:E$28,"Compliant")/(COUNTA(Regulatory_Mapping!A$4:A$28)-5)*100</f>
        <v/>
      </c>
      <c r="C13" t="inlineStr">
        <is>
          <t>≥90%</t>
        </is>
      </c>
      <c r="D13">
        <f>IF(B13&gt;=90,"✅ Pass","❌ Fail")</f>
        <v/>
      </c>
      <c r="E13" t="inlineStr">
        <is>
          <t>→</t>
        </is>
      </c>
      <c r="F13" t="inlineStr"/>
    </row>
    <row r="14">
      <c r="A14" t="inlineStr">
        <is>
          <t>Labeling Tool Adoption %</t>
        </is>
      </c>
      <c r="B14">
        <f>AVERAGE(Labeling_Methods!H$4:H$23)</f>
        <v/>
      </c>
      <c r="C14" t="inlineStr">
        <is>
          <t>≥75%</t>
        </is>
      </c>
      <c r="D14">
        <f>IF(B14&gt;=75,"✅ Pass","❌ Fail")</f>
        <v/>
      </c>
      <c r="E14" t="inlineStr">
        <is>
          <t>→</t>
        </is>
      </c>
      <c r="F14" t="inlineStr"/>
    </row>
    <row r="15">
      <c r="A15" t="inlineStr">
        <is>
          <t>Data Discovery Coverage %</t>
        </is>
      </c>
      <c r="B15">
        <f>COUNTIF(Discovery_Results!H$4:H$33,"Complete")/(COUNTA(Discovery_Results!A$4:A$33)-3)*100</f>
        <v/>
      </c>
      <c r="C15" t="inlineStr">
        <is>
          <t>≥80%</t>
        </is>
      </c>
      <c r="D15">
        <f>IF(B15&gt;=80,"✅ Pass","❌ Fail")</f>
        <v/>
      </c>
      <c r="E15" t="inlineStr">
        <is>
          <t>→</t>
        </is>
      </c>
      <c r="F15" t="inlineStr"/>
    </row>
    <row r="16">
      <c r="A16" t="inlineStr">
        <is>
          <t>Total Gaps Identified</t>
        </is>
      </c>
      <c r="B16">
        <f>COUNTA(Gap_Analysis!A$4:A$43)-3</f>
        <v/>
      </c>
      <c r="C16" t="inlineStr">
        <is>
          <t>≤10</t>
        </is>
      </c>
      <c r="D16">
        <f>IF(B16&lt;=10,"✅ Pass","❌ Fail")</f>
        <v/>
      </c>
      <c r="E16" t="inlineStr">
        <is>
          <t>→</t>
        </is>
      </c>
      <c r="F16" t="inlineStr"/>
    </row>
    <row r="17">
      <c r="A17" t="inlineStr">
        <is>
          <t>Critical/High Gaps</t>
        </is>
      </c>
      <c r="B17">
        <f>COUNTIFS(Gap_Analysis!D$4:D$43,"Critical")+COUNTIFS(Gap_Analysis!D$4:D$43,"High")</f>
        <v/>
      </c>
      <c r="C17" t="inlineStr">
        <is>
          <t>0</t>
        </is>
      </c>
      <c r="D17">
        <f>IF(B17=0,"✅ Pass","❌ Fail")</f>
        <v/>
      </c>
      <c r="E17" t="inlineStr">
        <is>
          <t>→</t>
        </is>
      </c>
      <c r="F17" t="inlineStr"/>
    </row>
    <row r="18">
      <c r="A18" t="inlineStr">
        <is>
          <t>Overall Classification Compliance %</t>
        </is>
      </c>
      <c r="B18">
        <f>AVERAGE(B11:B15)</f>
        <v/>
      </c>
      <c r="C18" t="inlineStr">
        <is>
          <t>≥85%</t>
        </is>
      </c>
      <c r="D18">
        <f>IF(B18&gt;=85,"✅ Compliant",IF(B18&gt;=70,"⚠️ Partial","❌ Non-Compliant"))</f>
        <v/>
      </c>
      <c r="E18" t="inlineStr">
        <is>
          <t>→</t>
        </is>
      </c>
      <c r="F18" t="inlineStr"/>
    </row>
    <row r="21">
      <c r="A21" s="2" t="inlineStr">
        <is>
          <t>GAP SUMMARY BY RISK LEVEL</t>
        </is>
      </c>
    </row>
    <row r="22">
      <c r="A22" s="12" t="inlineStr">
        <is>
          <t>Risk Level</t>
        </is>
      </c>
      <c r="B22" s="12" t="inlineStr">
        <is>
          <t>Count</t>
        </is>
      </c>
      <c r="C22" s="12" t="inlineStr">
        <is>
          <t>% of Total</t>
        </is>
      </c>
    </row>
    <row r="23">
      <c r="A23" t="inlineStr">
        <is>
          <t>Critical</t>
        </is>
      </c>
      <c r="B23">
        <f>COUNTIF(Gap_Analysis!D$4:D$43,"Critical")</f>
        <v/>
      </c>
      <c r="C23">
        <f>B23/B16*100</f>
        <v/>
      </c>
    </row>
    <row r="24">
      <c r="A24" t="inlineStr">
        <is>
          <t>High</t>
        </is>
      </c>
      <c r="B24">
        <f>COUNTIF(Gap_Analysis!D$4:D$43,"High")</f>
        <v/>
      </c>
      <c r="C24">
        <f>B24/B16*100</f>
        <v/>
      </c>
    </row>
    <row r="25">
      <c r="A25" t="inlineStr">
        <is>
          <t>Medium</t>
        </is>
      </c>
      <c r="B25">
        <f>COUNTIF(Gap_Analysis!D$4:D$43,"Medium")</f>
        <v/>
      </c>
      <c r="C25">
        <f>B25/B16*100</f>
        <v/>
      </c>
    </row>
    <row r="26">
      <c r="A26" t="inlineStr">
        <is>
          <t>Low</t>
        </is>
      </c>
      <c r="B26">
        <f>COUNTIF(Gap_Analysis!D$4:D$43,"Low")</f>
        <v/>
      </c>
      <c r="C26">
        <f>B26/B16*100</f>
        <v/>
      </c>
    </row>
    <row r="29">
      <c r="A29" s="2" t="inlineStr">
        <is>
          <t>EVIDENCE COMPLETENESS</t>
        </is>
      </c>
    </row>
    <row r="30">
      <c r="A30" s="12" t="inlineStr">
        <is>
          <t>Metric</t>
        </is>
      </c>
      <c r="B30" s="12" t="inlineStr">
        <is>
          <t>Value</t>
        </is>
      </c>
    </row>
    <row r="31">
      <c r="A31" t="inlineStr">
        <is>
          <t>Evidence Items Collected</t>
        </is>
      </c>
      <c r="B31">
        <f>COUNTA(Evidence_Register!A$4:A$105)</f>
        <v/>
      </c>
    </row>
    <row r="32">
      <c r="A32" t="inlineStr">
        <is>
          <t>Evidence Items Verified</t>
        </is>
      </c>
      <c r="B32">
        <f>COUNTIF(Evidence_Register!H$4:H$105,"Verified")</f>
        <v/>
      </c>
    </row>
    <row r="33">
      <c r="A33" t="inlineStr">
        <is>
          <t>Evidence Completeness %</t>
        </is>
      </c>
      <c r="B33">
        <f>B32/B31*100</f>
        <v/>
      </c>
    </row>
    <row r="36">
      <c r="A36" s="2" t="inlineStr">
        <is>
          <t>APPROVAL SIGN-OFF</t>
        </is>
      </c>
    </row>
    <row r="37">
      <c r="A37" s="12" t="inlineStr">
        <is>
          <t>Approver</t>
        </is>
      </c>
      <c r="B37" s="12" t="inlineStr">
        <is>
          <t>Name</t>
        </is>
      </c>
      <c r="C37" s="12" t="inlineStr">
        <is>
          <t>Signature</t>
        </is>
      </c>
      <c r="D37" s="12" t="inlineStr">
        <is>
          <t>Date</t>
        </is>
      </c>
      <c r="E37" s="12" t="inlineStr">
        <is>
          <t>Status</t>
        </is>
      </c>
    </row>
    <row r="38">
      <c r="A38" t="inlineStr">
        <is>
          <t>DPO</t>
        </is>
      </c>
      <c r="B38" s="4" t="n"/>
      <c r="C38" s="4" t="n"/>
      <c r="D38" s="4" t="n"/>
      <c r="E38" s="4" t="n"/>
    </row>
    <row r="39">
      <c r="A39" t="inlineStr">
        <is>
          <t>CISO</t>
        </is>
      </c>
      <c r="B39" s="4" t="n"/>
      <c r="C39" s="4" t="n"/>
      <c r="D39" s="4" t="n"/>
      <c r="E39" s="4" t="n"/>
    </row>
    <row r="40">
      <c r="A40" t="inlineStr">
        <is>
          <t>Legal Counsel</t>
        </is>
      </c>
      <c r="B40" s="4" t="n"/>
      <c r="C40" s="4" t="n"/>
      <c r="D40" s="4" t="n"/>
      <c r="E40" s="4" t="n"/>
    </row>
  </sheetData>
  <mergeCells count="5">
    <mergeCell ref="A36:F36"/>
    <mergeCell ref="A1:F1"/>
    <mergeCell ref="A6:F6"/>
    <mergeCell ref="A21:F21"/>
    <mergeCell ref="A29:F29"/>
  </mergeCells>
  <dataValidations count="2">
    <dataValidation sqref="E3 E38 E39 E40" showDropDown="1" showInputMessage="0" showErrorMessage="0" allowBlank="0" type="list">
      <formula1>"Approved,Pending,Rejected"</formula1>
    </dataValidation>
    <dataValidation sqref="E3 E38 E39 E40" showDropDown="1" showInputMessage="0" showErrorMessage="0" allowBlank="0" type="list">
      <formula1>"Approved,Pending,Rejected"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2026-02-08T11:26:07Z</dcterms:created>
  <dcterms:modified xmlns:dcterms="http://purl.org/dc/terms/" xmlns:xsi="http://www.w3.org/2001/XMLSchema-instance" xsi:type="dcterms:W3CDTF">2026-02-08T11:26:07Z</dcterms:modified>
</cp:coreProperties>
</file>