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DLP_Technology_Inventory" sheetId="2" state="visible" r:id="rId2"/>
    <sheet xmlns:r="http://schemas.openxmlformats.org/officeDocument/2006/relationships" name="Network_DLP" sheetId="3" state="visible" r:id="rId3"/>
    <sheet xmlns:r="http://schemas.openxmlformats.org/officeDocument/2006/relationships" name="Endpoint_DLP" sheetId="4" state="visible" r:id="rId4"/>
    <sheet xmlns:r="http://schemas.openxmlformats.org/officeDocument/2006/relationships" name="Email_DLP" sheetId="5" state="visible" r:id="rId5"/>
    <sheet xmlns:r="http://schemas.openxmlformats.org/officeDocument/2006/relationships" name="Cloud_CASB_DLP" sheetId="6" state="visible" r:id="rId6"/>
    <sheet xmlns:r="http://schemas.openxmlformats.org/officeDocument/2006/relationships" name="Web_DLP" sheetId="7" state="visible" r:id="rId7"/>
    <sheet xmlns:r="http://schemas.openxmlformats.org/officeDocument/2006/relationships" name="Database_DAM"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2"/>
    </font>
    <font>
      <b val="1"/>
    </font>
    <font>
      <b val="1"/>
      <sz val="12"/>
    </font>
    <font>
      <name val="Calibri"/>
      <b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0" fillId="0" borderId="0" applyAlignment="1" pivotButton="0" quotePrefix="0" xfId="0">
      <alignment wrapText="1"/>
    </xf>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5" fillId="10" borderId="1" applyAlignment="1" pivotButton="0" quotePrefix="0" xfId="0">
      <alignment horizontal="center" vertical="center" wrapText="1"/>
    </xf>
    <xf numFmtId="0" fontId="0" fillId="11" borderId="1"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s>
  <sheetData>
    <row r="1" ht="40" customHeight="1">
      <c r="A1" s="1" t="inlineStr">
        <is>
          <t>ISMS Control ISMS-IMP-A.8.12.1 - DLP Infrastructure</t>
        </is>
      </c>
    </row>
    <row r="2" ht="25" customHeight="1">
      <c r="A2" s="2" t="inlineStr">
        <is>
          <t>ISO/IEC 27001:2022 Control A.8.12 - Data Leakage Prevention</t>
        </is>
      </c>
    </row>
    <row r="4">
      <c r="A4" s="3" t="inlineStr">
        <is>
          <t>Document ID:</t>
        </is>
      </c>
      <c r="B4" t="inlineStr">
        <is>
          <t>ISMS-IMP-A.8.12.1</t>
        </is>
      </c>
    </row>
    <row r="5">
      <c r="A5" s="3" t="inlineStr">
        <is>
          <t>Assessment Area:</t>
        </is>
      </c>
      <c r="B5" t="inlineStr">
        <is>
          <t>DLP Infrastructure</t>
        </is>
      </c>
    </row>
    <row r="6">
      <c r="A6" s="3" t="inlineStr">
        <is>
          <t>Related Policy:</t>
        </is>
      </c>
      <c r="B6" t="inlineStr">
        <is>
          <t>ISMS-POL-A.8.12-S2.2</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s="6" t="inlineStr">
        <is>
          <t>1. Complete each worksheet tab in sequence (Technology Inventory → Network → Endpoint → ... → Summary)</t>
        </is>
      </c>
    </row>
    <row r="16">
      <c r="A16" s="6" t="inlineStr">
        <is>
          <t>2. Fill ALL yellow-highlighted cells with your organization's information</t>
        </is>
      </c>
    </row>
    <row r="17">
      <c r="A17" s="6" t="inlineStr">
        <is>
          <t>3. Use dropdown menus where provided (do not type free-form text in dropdown cells)</t>
        </is>
      </c>
    </row>
    <row r="18">
      <c r="A18" s="6" t="inlineStr">
        <is>
          <t>4. Document all DLP technologies across network, endpoint, cloud, email, web, and database layers</t>
        </is>
      </c>
    </row>
    <row r="19">
      <c r="A19" s="6" t="inlineStr">
        <is>
          <t>5. Provide evidence IDs for all assessments (format: A812-1-[CATEGORY]-[###])</t>
        </is>
      </c>
    </row>
    <row r="20">
      <c r="A20" s="6" t="inlineStr">
        <is>
          <t>6. Review Summary Dashboard for overall infrastructure compliance score</t>
        </is>
      </c>
    </row>
    <row r="21">
      <c r="A21" s="6" t="inlineStr">
        <is>
          <t>7. Identify gaps in Gap_Analysis sheet and create remediation plans</t>
        </is>
      </c>
    </row>
    <row r="22">
      <c r="A22" s="6" t="inlineStr">
        <is>
          <t>8. Upload evidence files to designated Evidence folder</t>
        </is>
      </c>
    </row>
    <row r="23">
      <c r="A23" s="6" t="inlineStr">
        <is>
          <t>9. Obtain CISO/DPO approval in Summary Dashboard before finalizing</t>
        </is>
      </c>
    </row>
    <row r="24">
      <c r="A24" s="6" t="inlineStr">
        <is>
          <t>10. Update this workbook quarterly or upon major infrastructure changes</t>
        </is>
      </c>
    </row>
    <row r="27">
      <c r="A27" s="5" t="inlineStr">
        <is>
          <t>LEGEND - RESPONSE VALUES</t>
        </is>
      </c>
    </row>
    <row r="28">
      <c r="A28" s="7" t="inlineStr">
        <is>
          <t>Yes</t>
        </is>
      </c>
      <c r="B28" t="inlineStr">
        <is>
          <t>Fully implemented and documented</t>
        </is>
      </c>
    </row>
    <row r="29">
      <c r="A29" s="8" t="inlineStr">
        <is>
          <t>No</t>
        </is>
      </c>
      <c r="B29" t="inlineStr">
        <is>
          <t>Not implemented</t>
        </is>
      </c>
    </row>
    <row r="30">
      <c r="A30" s="9" t="inlineStr">
        <is>
          <t>Partial</t>
        </is>
      </c>
      <c r="B30" t="inlineStr">
        <is>
          <t>Partially implemented (explain in notes)</t>
        </is>
      </c>
    </row>
    <row r="31">
      <c r="A31" s="10" t="inlineStr">
        <is>
          <t>Planned</t>
        </is>
      </c>
      <c r="B31" t="inlineStr">
        <is>
          <t>Scheduled for implementation (provide target date)</t>
        </is>
      </c>
    </row>
    <row r="32">
      <c r="A32" s="11" t="inlineStr">
        <is>
          <t>N/A</t>
        </is>
      </c>
      <c r="B32" t="inlineStr">
        <is>
          <t>Not applicable (provide justification)</t>
        </is>
      </c>
    </row>
    <row r="35">
      <c r="A35" s="5" t="inlineStr">
        <is>
          <t>EVIDENCE NAMING CONVENTION</t>
        </is>
      </c>
    </row>
    <row r="36">
      <c r="A36" s="6" t="inlineStr">
        <is>
          <t>Format: A812-1-[CATEGORY]-[###]</t>
        </is>
      </c>
    </row>
    <row r="37">
      <c r="A37" s="6" t="inlineStr">
        <is>
          <t>Examples:</t>
        </is>
      </c>
    </row>
    <row r="38">
      <c r="A38" s="6" t="inlineStr">
        <is>
          <t xml:space="preserve">  • A812-1-INF-001 = Infrastructure - Technology inventory</t>
        </is>
      </c>
    </row>
    <row r="39">
      <c r="A39" s="6" t="inlineStr">
        <is>
          <t xml:space="preserve">  • A812-1-NET-001 = Network DLP - Configuration screenshot</t>
        </is>
      </c>
    </row>
    <row r="40">
      <c r="A40" s="6" t="inlineStr">
        <is>
          <t xml:space="preserve">  • A812-1-EPT-001 = Endpoint DLP - Deployment report</t>
        </is>
      </c>
    </row>
    <row r="41">
      <c r="A41" s="6" t="inlineStr">
        <is>
          <t xml:space="preserve">  • A812-1-EML-001 = Email DLP - Policy config</t>
        </is>
      </c>
    </row>
    <row r="42">
      <c r="A42" s="6" t="inlineStr">
        <is>
          <t xml:space="preserve">  • A812-1-CLD-001 = Cloud/CASB - CASB dashboard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5" customWidth="1" min="5" max="5"/>
    <col width="20" customWidth="1" min="6" max="6"/>
    <col width="18" customWidth="1" min="7" max="7"/>
    <col width="18" customWidth="1" min="8" max="8"/>
    <col width="15" customWidth="1" min="9" max="9"/>
    <col width="15" customWidth="1" min="10" max="10"/>
    <col width="15" customWidth="1" min="11" max="11"/>
    <col width="30" customWidth="1" min="12" max="12"/>
    <col width="18" customWidth="1" min="13" max="13"/>
    <col width="15" customWidth="1" min="14" max="14"/>
    <col width="15" customWidth="1" min="15" max="15"/>
    <col width="18" customWidth="1" min="16" max="16"/>
  </cols>
  <sheetData>
    <row r="1" ht="30" customHeight="1">
      <c r="A1" s="1" t="inlineStr">
        <is>
          <t>DLP TECHNOLOGY INVENTORY - All DLP Solutions</t>
        </is>
      </c>
    </row>
    <row r="2" ht="25" customHeight="1">
      <c r="A2" s="2" t="inlineStr">
        <is>
          <t>Document ALL DLP technologies deployed (network, endpoint, cloud, email, web, database)</t>
        </is>
      </c>
    </row>
    <row r="3">
      <c r="A3" s="12" t="inlineStr">
        <is>
          <t>Technology ID</t>
        </is>
      </c>
      <c r="B3" s="12" t="inlineStr">
        <is>
          <t>Technology Name</t>
        </is>
      </c>
      <c r="C3" s="12" t="inlineStr">
        <is>
          <t>Deployment Type</t>
        </is>
      </c>
      <c r="D3" s="12" t="inlineStr">
        <is>
          <t>Vendor</t>
        </is>
      </c>
      <c r="E3" s="12" t="inlineStr">
        <is>
          <t>Version</t>
        </is>
      </c>
      <c r="F3" s="12" t="inlineStr">
        <is>
          <t>Deployment Architecture</t>
        </is>
      </c>
      <c r="G3" s="12" t="inlineStr">
        <is>
          <t>Deployment Status</t>
        </is>
      </c>
      <c r="H3" s="12" t="inlineStr">
        <is>
          <t>License Type</t>
        </is>
      </c>
      <c r="I3" s="12" t="inlineStr">
        <is>
          <t>License Expiry</t>
        </is>
      </c>
      <c r="J3" s="12" t="inlineStr">
        <is>
          <t>Support Contract</t>
        </is>
      </c>
      <c r="K3" s="12" t="inlineStr">
        <is>
          <t>EOL Date</t>
        </is>
      </c>
      <c r="L3" s="12" t="inlineStr">
        <is>
          <t>Primary Use Case</t>
        </is>
      </c>
      <c r="M3" s="12" t="inlineStr">
        <is>
          <t>Integration Status</t>
        </is>
      </c>
      <c r="N3" s="12" t="inlineStr">
        <is>
          <t>SIEM Integration</t>
        </is>
      </c>
      <c r="O3" s="12" t="inlineStr">
        <is>
          <t>SOC Integration</t>
        </is>
      </c>
      <c r="P3" s="12" t="inlineStr">
        <is>
          <t>Evidence ID</t>
        </is>
      </c>
    </row>
    <row r="4">
      <c r="A4" s="13" t="inlineStr">
        <is>
          <t>DLP-001</t>
        </is>
      </c>
      <c r="B4" s="13" t="inlineStr">
        <is>
          <t>Forcepoint DLP</t>
        </is>
      </c>
      <c r="C4" s="13" t="inlineStr">
        <is>
          <t>Network</t>
        </is>
      </c>
      <c r="D4" s="13" t="inlineStr">
        <is>
          <t>Forcepoint</t>
        </is>
      </c>
      <c r="E4" s="13" t="inlineStr">
        <is>
          <t>8.9</t>
        </is>
      </c>
      <c r="F4" s="13" t="inlineStr">
        <is>
          <t>Inline</t>
        </is>
      </c>
      <c r="G4" s="13" t="inlineStr">
        <is>
          <t>Production</t>
        </is>
      </c>
      <c r="H4" s="13" t="inlineStr">
        <is>
          <t>Subscription</t>
        </is>
      </c>
      <c r="I4" s="13" t="inlineStr">
        <is>
          <t>2025-12-31</t>
        </is>
      </c>
      <c r="J4" s="13" t="inlineStr">
        <is>
          <t>Active</t>
        </is>
      </c>
      <c r="K4" s="13" t="inlineStr">
        <is>
          <t>2027-06-30</t>
        </is>
      </c>
      <c r="L4" s="13" t="inlineStr">
        <is>
          <t>Network traffic inspection</t>
        </is>
      </c>
      <c r="M4" s="13" t="inlineStr">
        <is>
          <t>Integrated</t>
        </is>
      </c>
      <c r="N4" s="13" t="inlineStr">
        <is>
          <t>Yes</t>
        </is>
      </c>
      <c r="O4" s="13" t="inlineStr">
        <is>
          <t>Yes</t>
        </is>
      </c>
      <c r="P4" s="13" t="inlineStr">
        <is>
          <t>A812-1-INF-001</t>
        </is>
      </c>
    </row>
    <row r="5">
      <c r="A5" s="13" t="inlineStr">
        <is>
          <t>DLP-002</t>
        </is>
      </c>
      <c r="B5" s="13" t="inlineStr">
        <is>
          <t>Forcepoint Endpoint</t>
        </is>
      </c>
      <c r="C5" s="13" t="inlineStr">
        <is>
          <t>Endpoint</t>
        </is>
      </c>
      <c r="D5" s="13" t="inlineStr">
        <is>
          <t>Forcepoint</t>
        </is>
      </c>
      <c r="E5" s="13" t="inlineStr">
        <is>
          <t>8.9</t>
        </is>
      </c>
      <c r="F5" s="13" t="inlineStr">
        <is>
          <t>Agent-based</t>
        </is>
      </c>
      <c r="G5" s="13" t="inlineStr">
        <is>
          <t>Production</t>
        </is>
      </c>
      <c r="H5" s="13" t="inlineStr">
        <is>
          <t>Subscription</t>
        </is>
      </c>
      <c r="I5" s="13" t="inlineStr">
        <is>
          <t>2025-12-31</t>
        </is>
      </c>
      <c r="J5" s="13" t="inlineStr">
        <is>
          <t>Active</t>
        </is>
      </c>
      <c r="K5" s="13" t="inlineStr">
        <is>
          <t>2027-06-30</t>
        </is>
      </c>
      <c r="L5" s="13" t="inlineStr">
        <is>
          <t>USB, clipboard, print blocking</t>
        </is>
      </c>
      <c r="M5" s="13" t="inlineStr">
        <is>
          <t>Integrated</t>
        </is>
      </c>
      <c r="N5" s="13" t="inlineStr">
        <is>
          <t>Yes</t>
        </is>
      </c>
      <c r="O5" s="13" t="inlineStr">
        <is>
          <t>Yes</t>
        </is>
      </c>
      <c r="P5" s="13" t="inlineStr">
        <is>
          <t>A812-1-INF-002</t>
        </is>
      </c>
    </row>
    <row r="6">
      <c r="A6" s="13" t="inlineStr">
        <is>
          <t>DLP-003</t>
        </is>
      </c>
      <c r="B6" s="13" t="inlineStr">
        <is>
          <t>Microsoft Purview DLP</t>
        </is>
      </c>
      <c r="C6" s="13" t="inlineStr">
        <is>
          <t>Cloud</t>
        </is>
      </c>
      <c r="D6" s="13" t="inlineStr">
        <is>
          <t>Microsoft</t>
        </is>
      </c>
      <c r="E6" s="13" t="inlineStr">
        <is>
          <t>Current</t>
        </is>
      </c>
      <c r="F6" s="13" t="inlineStr">
        <is>
          <t>Cloud-based</t>
        </is>
      </c>
      <c r="G6" s="13" t="inlineStr">
        <is>
          <t>Production</t>
        </is>
      </c>
      <c r="H6" s="13" t="inlineStr">
        <is>
          <t>Subscription</t>
        </is>
      </c>
      <c r="I6" s="13" t="inlineStr">
        <is>
          <t>2026-06-30</t>
        </is>
      </c>
      <c r="J6" s="13" t="inlineStr">
        <is>
          <t>Active</t>
        </is>
      </c>
      <c r="K6" s="13" t="inlineStr">
        <is>
          <t>N/A</t>
        </is>
      </c>
      <c r="L6" s="13" t="inlineStr">
        <is>
          <t>M365 email, OneDrive, Teams</t>
        </is>
      </c>
      <c r="M6" s="13" t="inlineStr">
        <is>
          <t>Integrated</t>
        </is>
      </c>
      <c r="N6" s="13" t="inlineStr">
        <is>
          <t>Partial</t>
        </is>
      </c>
      <c r="O6" s="13" t="inlineStr">
        <is>
          <t>Partial</t>
        </is>
      </c>
      <c r="P6" s="13" t="inlineStr">
        <is>
          <t>A812-1-INF-003</t>
        </is>
      </c>
    </row>
    <row r="7">
      <c r="A7" s="13" t="inlineStr">
        <is>
          <t>DLP-004</t>
        </is>
      </c>
      <c r="B7" s="13" t="inlineStr">
        <is>
          <t>Symantec DLP</t>
        </is>
      </c>
      <c r="C7" s="13" t="inlineStr">
        <is>
          <t>Email</t>
        </is>
      </c>
      <c r="D7" s="13" t="inlineStr">
        <is>
          <t>Broadcom</t>
        </is>
      </c>
      <c r="E7" s="13" t="inlineStr">
        <is>
          <t>15.8</t>
        </is>
      </c>
      <c r="F7" s="13" t="inlineStr">
        <is>
          <t>Inline</t>
        </is>
      </c>
      <c r="G7" s="13" t="inlineStr">
        <is>
          <t>Production</t>
        </is>
      </c>
      <c r="H7" s="13" t="inlineStr">
        <is>
          <t>Perpetual</t>
        </is>
      </c>
      <c r="I7" s="13" t="inlineStr">
        <is>
          <t>N/A</t>
        </is>
      </c>
      <c r="J7" s="13" t="inlineStr">
        <is>
          <t>Active</t>
        </is>
      </c>
      <c r="K7" s="13" t="inlineStr">
        <is>
          <t>2026-12-31</t>
        </is>
      </c>
      <c r="L7" s="13" t="inlineStr">
        <is>
          <t>SMTP gateway inspection</t>
        </is>
      </c>
      <c r="M7" s="13" t="inlineStr">
        <is>
          <t>Integrated</t>
        </is>
      </c>
      <c r="N7" s="13" t="inlineStr">
        <is>
          <t>Yes</t>
        </is>
      </c>
      <c r="O7" s="13" t="inlineStr">
        <is>
          <t>Yes</t>
        </is>
      </c>
      <c r="P7" s="13" t="inlineStr">
        <is>
          <t>A812-1-INF-004</t>
        </is>
      </c>
    </row>
    <row r="8">
      <c r="A8" s="13" t="inlineStr">
        <is>
          <t>DLP-005</t>
        </is>
      </c>
      <c r="B8" s="13" t="inlineStr">
        <is>
          <t>Netskope CASB</t>
        </is>
      </c>
      <c r="C8" s="13" t="inlineStr">
        <is>
          <t>Cloud</t>
        </is>
      </c>
      <c r="D8" s="13" t="inlineStr">
        <is>
          <t>Netskope</t>
        </is>
      </c>
      <c r="E8" s="13" t="inlineStr">
        <is>
          <t>102.1</t>
        </is>
      </c>
      <c r="F8" s="13" t="inlineStr">
        <is>
          <t>Cloud-based</t>
        </is>
      </c>
      <c r="G8" s="13" t="inlineStr">
        <is>
          <t>Production</t>
        </is>
      </c>
      <c r="H8" s="13" t="inlineStr">
        <is>
          <t>Subscription</t>
        </is>
      </c>
      <c r="I8" s="13" t="inlineStr">
        <is>
          <t>2025-09-30</t>
        </is>
      </c>
      <c r="J8" s="13" t="inlineStr">
        <is>
          <t>Active</t>
        </is>
      </c>
      <c r="K8" s="13" t="inlineStr">
        <is>
          <t>N/A</t>
        </is>
      </c>
      <c r="L8" s="13" t="inlineStr">
        <is>
          <t>SaaS application DLP</t>
        </is>
      </c>
      <c r="M8" s="13" t="inlineStr">
        <is>
          <t>Integrated</t>
        </is>
      </c>
      <c r="N8" s="13" t="inlineStr">
        <is>
          <t>Yes</t>
        </is>
      </c>
      <c r="O8" s="13" t="inlineStr">
        <is>
          <t>Yes</t>
        </is>
      </c>
      <c r="P8" s="13" t="inlineStr">
        <is>
          <t>A812-1-INF-005</t>
        </is>
      </c>
    </row>
    <row r="9">
      <c r="A9" s="14" t="n"/>
      <c r="B9" s="14" t="n"/>
      <c r="C9" s="14" t="n"/>
      <c r="D9" s="14" t="n"/>
      <c r="E9" s="14" t="n"/>
      <c r="F9" s="14" t="n"/>
      <c r="G9" s="14" t="n"/>
      <c r="H9" s="14" t="n"/>
      <c r="I9" s="14" t="n"/>
      <c r="J9" s="14" t="n"/>
      <c r="K9" s="14" t="n"/>
      <c r="L9" s="14" t="n"/>
      <c r="M9" s="14" t="n"/>
      <c r="N9" s="14" t="n"/>
      <c r="O9" s="14" t="n"/>
      <c r="P9" s="14" t="n"/>
    </row>
    <row r="10">
      <c r="A10" s="14" t="n"/>
      <c r="B10" s="14" t="n"/>
      <c r="C10" s="14" t="n"/>
      <c r="D10" s="14" t="n"/>
      <c r="E10" s="14" t="n"/>
      <c r="F10" s="14" t="n"/>
      <c r="G10" s="14" t="n"/>
      <c r="H10" s="14" t="n"/>
      <c r="I10" s="14" t="n"/>
      <c r="J10" s="14" t="n"/>
      <c r="K10" s="14" t="n"/>
      <c r="L10" s="14" t="n"/>
      <c r="M10" s="14" t="n"/>
      <c r="N10" s="14" t="n"/>
      <c r="O10" s="14" t="n"/>
      <c r="P10" s="14" t="n"/>
    </row>
    <row r="11">
      <c r="A11" s="14" t="n"/>
      <c r="B11" s="14" t="n"/>
      <c r="C11" s="14" t="n"/>
      <c r="D11" s="14" t="n"/>
      <c r="E11" s="14" t="n"/>
      <c r="F11" s="14" t="n"/>
      <c r="G11" s="14" t="n"/>
      <c r="H11" s="14" t="n"/>
      <c r="I11" s="14" t="n"/>
      <c r="J11" s="14" t="n"/>
      <c r="K11" s="14" t="n"/>
      <c r="L11" s="14" t="n"/>
      <c r="M11" s="14" t="n"/>
      <c r="N11" s="14" t="n"/>
      <c r="O11" s="14" t="n"/>
      <c r="P11" s="14" t="n"/>
    </row>
    <row r="12">
      <c r="A12" s="14" t="n"/>
      <c r="B12" s="14" t="n"/>
      <c r="C12" s="14" t="n"/>
      <c r="D12" s="14" t="n"/>
      <c r="E12" s="14" t="n"/>
      <c r="F12" s="14" t="n"/>
      <c r="G12" s="14" t="n"/>
      <c r="H12" s="14" t="n"/>
      <c r="I12" s="14" t="n"/>
      <c r="J12" s="14" t="n"/>
      <c r="K12" s="14" t="n"/>
      <c r="L12" s="14" t="n"/>
      <c r="M12" s="14" t="n"/>
      <c r="N12" s="14" t="n"/>
      <c r="O12" s="14" t="n"/>
      <c r="P12" s="14" t="n"/>
    </row>
    <row r="13">
      <c r="A13" s="14" t="n"/>
      <c r="B13" s="14" t="n"/>
      <c r="C13" s="14" t="n"/>
      <c r="D13" s="14" t="n"/>
      <c r="E13" s="14" t="n"/>
      <c r="F13" s="14" t="n"/>
      <c r="G13" s="14" t="n"/>
      <c r="H13" s="14" t="n"/>
      <c r="I13" s="14" t="n"/>
      <c r="J13" s="14" t="n"/>
      <c r="K13" s="14" t="n"/>
      <c r="L13" s="14" t="n"/>
      <c r="M13" s="14" t="n"/>
      <c r="N13" s="14" t="n"/>
      <c r="O13" s="14" t="n"/>
      <c r="P13" s="14" t="n"/>
    </row>
    <row r="14">
      <c r="A14" s="14" t="n"/>
      <c r="B14" s="14" t="n"/>
      <c r="C14" s="14" t="n"/>
      <c r="D14" s="14" t="n"/>
      <c r="E14" s="14" t="n"/>
      <c r="F14" s="14" t="n"/>
      <c r="G14" s="14" t="n"/>
      <c r="H14" s="14" t="n"/>
      <c r="I14" s="14" t="n"/>
      <c r="J14" s="14" t="n"/>
      <c r="K14" s="14" t="n"/>
      <c r="L14" s="14" t="n"/>
      <c r="M14" s="14" t="n"/>
      <c r="N14" s="14" t="n"/>
      <c r="O14" s="14" t="n"/>
      <c r="P14" s="14" t="n"/>
    </row>
    <row r="15">
      <c r="A15" s="14" t="n"/>
      <c r="B15" s="14" t="n"/>
      <c r="C15" s="14" t="n"/>
      <c r="D15" s="14" t="n"/>
      <c r="E15" s="14" t="n"/>
      <c r="F15" s="14" t="n"/>
      <c r="G15" s="14" t="n"/>
      <c r="H15" s="14" t="n"/>
      <c r="I15" s="14" t="n"/>
      <c r="J15" s="14" t="n"/>
      <c r="K15" s="14" t="n"/>
      <c r="L15" s="14" t="n"/>
      <c r="M15" s="14" t="n"/>
      <c r="N15" s="14" t="n"/>
      <c r="O15" s="14" t="n"/>
      <c r="P15" s="14" t="n"/>
    </row>
    <row r="16">
      <c r="A16" s="14" t="n"/>
      <c r="B16" s="14" t="n"/>
      <c r="C16" s="14" t="n"/>
      <c r="D16" s="14" t="n"/>
      <c r="E16" s="14" t="n"/>
      <c r="F16" s="14" t="n"/>
      <c r="G16" s="14" t="n"/>
      <c r="H16" s="14" t="n"/>
      <c r="I16" s="14" t="n"/>
      <c r="J16" s="14" t="n"/>
      <c r="K16" s="14" t="n"/>
      <c r="L16" s="14" t="n"/>
      <c r="M16" s="14" t="n"/>
      <c r="N16" s="14" t="n"/>
      <c r="O16" s="14" t="n"/>
      <c r="P16" s="14" t="n"/>
    </row>
    <row r="17">
      <c r="A17" s="14" t="n"/>
      <c r="B17" s="14" t="n"/>
      <c r="C17" s="14" t="n"/>
      <c r="D17" s="14" t="n"/>
      <c r="E17" s="14" t="n"/>
      <c r="F17" s="14" t="n"/>
      <c r="G17" s="14" t="n"/>
      <c r="H17" s="14" t="n"/>
      <c r="I17" s="14" t="n"/>
      <c r="J17" s="14" t="n"/>
      <c r="K17" s="14" t="n"/>
      <c r="L17" s="14" t="n"/>
      <c r="M17" s="14" t="n"/>
      <c r="N17" s="14" t="n"/>
      <c r="O17" s="14" t="n"/>
      <c r="P17" s="14" t="n"/>
    </row>
    <row r="18">
      <c r="A18" s="14" t="n"/>
      <c r="B18" s="14" t="n"/>
      <c r="C18" s="14" t="n"/>
      <c r="D18" s="14" t="n"/>
      <c r="E18" s="14" t="n"/>
      <c r="F18" s="14" t="n"/>
      <c r="G18" s="14" t="n"/>
      <c r="H18" s="14" t="n"/>
      <c r="I18" s="14" t="n"/>
      <c r="J18" s="14" t="n"/>
      <c r="K18" s="14" t="n"/>
      <c r="L18" s="14" t="n"/>
      <c r="M18" s="14" t="n"/>
      <c r="N18" s="14" t="n"/>
      <c r="O18" s="14" t="n"/>
      <c r="P18" s="14" t="n"/>
    </row>
    <row r="19">
      <c r="A19" s="14" t="n"/>
      <c r="B19" s="14" t="n"/>
      <c r="C19" s="14" t="n"/>
      <c r="D19" s="14" t="n"/>
      <c r="E19" s="14" t="n"/>
      <c r="F19" s="14" t="n"/>
      <c r="G19" s="14" t="n"/>
      <c r="H19" s="14" t="n"/>
      <c r="I19" s="14" t="n"/>
      <c r="J19" s="14" t="n"/>
      <c r="K19" s="14" t="n"/>
      <c r="L19" s="14" t="n"/>
      <c r="M19" s="14" t="n"/>
      <c r="N19" s="14" t="n"/>
      <c r="O19" s="14" t="n"/>
      <c r="P19" s="14" t="n"/>
    </row>
    <row r="20">
      <c r="A20" s="14" t="n"/>
      <c r="B20" s="14" t="n"/>
      <c r="C20" s="14" t="n"/>
      <c r="D20" s="14" t="n"/>
      <c r="E20" s="14" t="n"/>
      <c r="F20" s="14" t="n"/>
      <c r="G20" s="14" t="n"/>
      <c r="H20" s="14" t="n"/>
      <c r="I20" s="14" t="n"/>
      <c r="J20" s="14" t="n"/>
      <c r="K20" s="14" t="n"/>
      <c r="L20" s="14" t="n"/>
      <c r="M20" s="14" t="n"/>
      <c r="N20" s="14" t="n"/>
      <c r="O20" s="14" t="n"/>
      <c r="P20" s="14" t="n"/>
    </row>
    <row r="21">
      <c r="A21" s="14" t="n"/>
      <c r="B21" s="14" t="n"/>
      <c r="C21" s="14" t="n"/>
      <c r="D21" s="14" t="n"/>
      <c r="E21" s="14" t="n"/>
      <c r="F21" s="14" t="n"/>
      <c r="G21" s="14" t="n"/>
      <c r="H21" s="14" t="n"/>
      <c r="I21" s="14" t="n"/>
      <c r="J21" s="14" t="n"/>
      <c r="K21" s="14" t="n"/>
      <c r="L21" s="14" t="n"/>
      <c r="M21" s="14" t="n"/>
      <c r="N21" s="14" t="n"/>
      <c r="O21" s="14" t="n"/>
      <c r="P21" s="14" t="n"/>
    </row>
    <row r="22">
      <c r="A22" s="14" t="n"/>
      <c r="B22" s="14" t="n"/>
      <c r="C22" s="14" t="n"/>
      <c r="D22" s="14" t="n"/>
      <c r="E22" s="14" t="n"/>
      <c r="F22" s="14" t="n"/>
      <c r="G22" s="14" t="n"/>
      <c r="H22" s="14" t="n"/>
      <c r="I22" s="14" t="n"/>
      <c r="J22" s="14" t="n"/>
      <c r="K22" s="14" t="n"/>
      <c r="L22" s="14" t="n"/>
      <c r="M22" s="14" t="n"/>
      <c r="N22" s="14" t="n"/>
      <c r="O22" s="14" t="n"/>
      <c r="P22" s="14" t="n"/>
    </row>
    <row r="23">
      <c r="A23" s="14" t="n"/>
      <c r="B23" s="14" t="n"/>
      <c r="C23" s="14" t="n"/>
      <c r="D23" s="14" t="n"/>
      <c r="E23" s="14" t="n"/>
      <c r="F23" s="14" t="n"/>
      <c r="G23" s="14" t="n"/>
      <c r="H23" s="14" t="n"/>
      <c r="I23" s="14" t="n"/>
      <c r="J23" s="14" t="n"/>
      <c r="K23" s="14" t="n"/>
      <c r="L23" s="14" t="n"/>
      <c r="M23" s="14" t="n"/>
      <c r="N23" s="14" t="n"/>
      <c r="O23" s="14" t="n"/>
      <c r="P23" s="14" t="n"/>
    </row>
    <row r="24">
      <c r="A24" s="14" t="n"/>
      <c r="B24" s="14" t="n"/>
      <c r="C24" s="14" t="n"/>
      <c r="D24" s="14" t="n"/>
      <c r="E24" s="14" t="n"/>
      <c r="F24" s="14" t="n"/>
      <c r="G24" s="14" t="n"/>
      <c r="H24" s="14" t="n"/>
      <c r="I24" s="14" t="n"/>
      <c r="J24" s="14" t="n"/>
      <c r="K24" s="14" t="n"/>
      <c r="L24" s="14" t="n"/>
      <c r="M24" s="14" t="n"/>
      <c r="N24" s="14" t="n"/>
      <c r="O24" s="14" t="n"/>
      <c r="P24" s="14" t="n"/>
    </row>
    <row r="25">
      <c r="A25" s="14" t="n"/>
      <c r="B25" s="14" t="n"/>
      <c r="C25" s="14" t="n"/>
      <c r="D25" s="14" t="n"/>
      <c r="E25" s="14" t="n"/>
      <c r="F25" s="14" t="n"/>
      <c r="G25" s="14" t="n"/>
      <c r="H25" s="14" t="n"/>
      <c r="I25" s="14" t="n"/>
      <c r="J25" s="14" t="n"/>
      <c r="K25" s="14" t="n"/>
      <c r="L25" s="14" t="n"/>
      <c r="M25" s="14" t="n"/>
      <c r="N25" s="14" t="n"/>
      <c r="O25" s="14" t="n"/>
      <c r="P25" s="14" t="n"/>
    </row>
    <row r="26">
      <c r="A26" s="14" t="n"/>
      <c r="B26" s="14" t="n"/>
      <c r="C26" s="14" t="n"/>
      <c r="D26" s="14" t="n"/>
      <c r="E26" s="14" t="n"/>
      <c r="F26" s="14" t="n"/>
      <c r="G26" s="14" t="n"/>
      <c r="H26" s="14" t="n"/>
      <c r="I26" s="14" t="n"/>
      <c r="J26" s="14" t="n"/>
      <c r="K26" s="14" t="n"/>
      <c r="L26" s="14" t="n"/>
      <c r="M26" s="14" t="n"/>
      <c r="N26" s="14" t="n"/>
      <c r="O26" s="14" t="n"/>
      <c r="P26" s="14" t="n"/>
    </row>
    <row r="27">
      <c r="A27" s="14" t="n"/>
      <c r="B27" s="14" t="n"/>
      <c r="C27" s="14" t="n"/>
      <c r="D27" s="14" t="n"/>
      <c r="E27" s="14" t="n"/>
      <c r="F27" s="14" t="n"/>
      <c r="G27" s="14" t="n"/>
      <c r="H27" s="14" t="n"/>
      <c r="I27" s="14" t="n"/>
      <c r="J27" s="14" t="n"/>
      <c r="K27" s="14" t="n"/>
      <c r="L27" s="14" t="n"/>
      <c r="M27" s="14" t="n"/>
      <c r="N27" s="14" t="n"/>
      <c r="O27" s="14" t="n"/>
      <c r="P27" s="14" t="n"/>
    </row>
    <row r="28">
      <c r="A28" s="14" t="n"/>
      <c r="B28" s="14" t="n"/>
      <c r="C28" s="14" t="n"/>
      <c r="D28" s="14" t="n"/>
      <c r="E28" s="14" t="n"/>
      <c r="F28" s="14" t="n"/>
      <c r="G28" s="14" t="n"/>
      <c r="H28" s="14" t="n"/>
      <c r="I28" s="14" t="n"/>
      <c r="J28" s="14" t="n"/>
      <c r="K28" s="14" t="n"/>
      <c r="L28" s="14" t="n"/>
      <c r="M28" s="14" t="n"/>
      <c r="N28" s="14" t="n"/>
      <c r="O28" s="14" t="n"/>
      <c r="P28" s="14" t="n"/>
    </row>
    <row r="29">
      <c r="A29" s="14" t="n"/>
      <c r="B29" s="14" t="n"/>
      <c r="C29" s="14" t="n"/>
      <c r="D29" s="14" t="n"/>
      <c r="E29" s="14" t="n"/>
      <c r="F29" s="14" t="n"/>
      <c r="G29" s="14" t="n"/>
      <c r="H29" s="14" t="n"/>
      <c r="I29" s="14" t="n"/>
      <c r="J29" s="14" t="n"/>
      <c r="K29" s="14" t="n"/>
      <c r="L29" s="14" t="n"/>
      <c r="M29" s="14" t="n"/>
      <c r="N29" s="14" t="n"/>
      <c r="O29" s="14" t="n"/>
      <c r="P29" s="14" t="n"/>
    </row>
    <row r="30">
      <c r="A30" s="14" t="n"/>
      <c r="B30" s="14" t="n"/>
      <c r="C30" s="14" t="n"/>
      <c r="D30" s="14" t="n"/>
      <c r="E30" s="14" t="n"/>
      <c r="F30" s="14" t="n"/>
      <c r="G30" s="14" t="n"/>
      <c r="H30" s="14" t="n"/>
      <c r="I30" s="14" t="n"/>
      <c r="J30" s="14" t="n"/>
      <c r="K30" s="14" t="n"/>
      <c r="L30" s="14" t="n"/>
      <c r="M30" s="14" t="n"/>
      <c r="N30" s="14" t="n"/>
      <c r="O30" s="14" t="n"/>
      <c r="P30" s="14" t="n"/>
    </row>
    <row r="31">
      <c r="A31" s="14" t="n"/>
      <c r="B31" s="14" t="n"/>
      <c r="C31" s="14" t="n"/>
      <c r="D31" s="14" t="n"/>
      <c r="E31" s="14" t="n"/>
      <c r="F31" s="14" t="n"/>
      <c r="G31" s="14" t="n"/>
      <c r="H31" s="14" t="n"/>
      <c r="I31" s="14" t="n"/>
      <c r="J31" s="14" t="n"/>
      <c r="K31" s="14" t="n"/>
      <c r="L31" s="14" t="n"/>
      <c r="M31" s="14" t="n"/>
      <c r="N31" s="14" t="n"/>
      <c r="O31" s="14" t="n"/>
      <c r="P31" s="14" t="n"/>
    </row>
    <row r="32">
      <c r="A32" s="14" t="n"/>
      <c r="B32" s="14" t="n"/>
      <c r="C32" s="14" t="n"/>
      <c r="D32" s="14" t="n"/>
      <c r="E32" s="14" t="n"/>
      <c r="F32" s="14" t="n"/>
      <c r="G32" s="14" t="n"/>
      <c r="H32" s="14" t="n"/>
      <c r="I32" s="14" t="n"/>
      <c r="J32" s="14" t="n"/>
      <c r="K32" s="14" t="n"/>
      <c r="L32" s="14" t="n"/>
      <c r="M32" s="14" t="n"/>
      <c r="N32" s="14" t="n"/>
      <c r="O32" s="14" t="n"/>
      <c r="P32" s="14" t="n"/>
    </row>
    <row r="33">
      <c r="A33" s="14" t="n"/>
      <c r="B33" s="14" t="n"/>
      <c r="C33" s="14" t="n"/>
      <c r="D33" s="14" t="n"/>
      <c r="E33" s="14" t="n"/>
      <c r="F33" s="14" t="n"/>
      <c r="G33" s="14" t="n"/>
      <c r="H33" s="14" t="n"/>
      <c r="I33" s="14" t="n"/>
      <c r="J33" s="14" t="n"/>
      <c r="K33" s="14" t="n"/>
      <c r="L33" s="14" t="n"/>
      <c r="M33" s="14" t="n"/>
      <c r="N33" s="14" t="n"/>
      <c r="O33" s="14" t="n"/>
      <c r="P33" s="14" t="n"/>
    </row>
    <row r="34"/>
  </sheetData>
  <mergeCells count="2">
    <mergeCell ref="A1:P1"/>
    <mergeCell ref="A2:P2"/>
  </mergeCells>
  <dataValidations count="7">
    <dataValidation sqref="C9 C10 C11 C12 C13 C14 C15 C16 C17 C18 C19 C20 C21 C22 C23 C24 C25 C26 C27 C28 C29 C30 C31 C32 C33 C34" showDropDown="1" showInputMessage="0" showErrorMessage="0" allowBlank="0" type="list">
      <formula1>"Network,Endpoint,Cloud,Email,Web,Database"</formula1>
    </dataValidation>
    <dataValidation sqref="F9 F10 F11 F12 F13 F14 F15 F16 F17 F18 F19 F20 F21 F22 F23 F24 F25 F26 F27 F28 F29 F30 F31 F32 F33 F34" showDropDown="1" showInputMessage="0" showErrorMessage="0" allowBlank="0" type="list">
      <formula1>"Inline,Monitor,Hybrid,Cloud-based,TAP,SPAN"</formula1>
    </dataValidation>
    <dataValidation sqref="G9 G10 G11 G12 G13 G14 G15 G16 G17 G18 G19 G20 G21 G22 G23 G24 G25 G26 G27 G28 G29 G30 G31 G32 G33 G34" showDropDown="1" showInputMessage="0" showErrorMessage="0" allowBlank="0" type="list">
      <formula1>"Production,Staging,Test,Decommissioned"</formula1>
    </dataValidation>
    <dataValidation sqref="H9 H10 H11 H12 H13 H14 H15 H16 H17 H18 H19 H20 H21 H22 H23 H24 H25 H26 H27 H28 H29 H30 H31 H32 H33 H34" showDropDown="1" showInputMessage="0" showErrorMessage="0" allowBlank="0" type="list">
      <formula1>"Perpetual,Subscription,Open Source,N/A"</formula1>
    </dataValidation>
    <dataValidation sqref="J9 J10 J11 J12 J13 J14 J15 J16 J17 J18 J19 J20 J21 J22 J23 J24 J25 J26 J27 J28 J29 J30 J31 J32 J33 J34" showDropDown="1" showInputMessage="0" showErrorMessage="0" allowBlank="0" type="list">
      <formula1>"Active,Expired,N/A"</formula1>
    </dataValidation>
    <dataValidation sqref="M9 M10 M11 M12 M13 M14 M15 M16 M17 M18 M19 M20 M21 M22 M23 M24 M25 M26 M27 M28 M29 M30 M31 M32 M33 M34" showDropDown="1" showInputMessage="0" showErrorMessage="0" allowBlank="0" type="list">
      <formula1>"Integrated,Standalone,Partial"</formula1>
    </dataValidation>
    <dataValidation sqref="N9 N10 N11 N12 N13 N14 N15 N16 N17 N18 N19 N20 N21 N22 N23 N24 N25 N26 N27 N28 N29 N30 N31 N32 N33 N34 O9 O10 O11 O12 O13 O14 O15 O16 O17 O18 O19 O20 O21 O22 O23 O24 O25 O26 O27 O28 O29 O30 O31 O32 O33 O34"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5" customWidth="1" min="4" max="4"/>
    <col width="18" customWidth="1" min="5" max="5"/>
    <col width="15"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s>
  <sheetData>
    <row r="1" ht="30" customHeight="1">
      <c r="A1" s="1" t="inlineStr">
        <is>
          <t>NETWORK DLP ASSESSMENT</t>
        </is>
      </c>
    </row>
    <row r="2" ht="25" customHeight="1">
      <c r="A2" s="2" t="inlineStr">
        <is>
          <t>Assess network-based DLP appliances (inline, TAP, SPAN configurations)</t>
        </is>
      </c>
    </row>
    <row r="3">
      <c r="A3" s="12" t="inlineStr">
        <is>
          <t>Appliance Name</t>
        </is>
      </c>
      <c r="B3" s="12" t="inlineStr">
        <is>
          <t>Deployment Mode</t>
        </is>
      </c>
      <c r="C3" s="12" t="inlineStr">
        <is>
          <t>Network Segments Covered</t>
        </is>
      </c>
      <c r="D3" s="12" t="inlineStr">
        <is>
          <t>Protocols Inspected</t>
        </is>
      </c>
      <c r="E3" s="12" t="inlineStr">
        <is>
          <t>SSL/TLS Inspection</t>
        </is>
      </c>
      <c r="F3" s="12" t="inlineStr">
        <is>
          <t>Throughput Capacity</t>
        </is>
      </c>
      <c r="G3" s="12" t="inlineStr">
        <is>
          <t>Current Utilization %</t>
        </is>
      </c>
      <c r="H3" s="12" t="inlineStr">
        <is>
          <t>Content Inspection</t>
        </is>
      </c>
      <c r="I3" s="12" t="inlineStr">
        <is>
          <t>Pattern Matching (Regex)</t>
        </is>
      </c>
      <c r="J3" s="12" t="inlineStr">
        <is>
          <t>Fingerprinting</t>
        </is>
      </c>
      <c r="K3" s="12" t="inlineStr">
        <is>
          <t>Machine Learning/AI</t>
        </is>
      </c>
      <c r="L3" s="12" t="inlineStr">
        <is>
          <t>Blocking Capability</t>
        </is>
      </c>
      <c r="M3" s="12" t="inlineStr">
        <is>
          <t>High Availability</t>
        </is>
      </c>
      <c r="N3" s="12" t="inlineStr">
        <is>
          <t>Evidence ID</t>
        </is>
      </c>
    </row>
    <row r="4">
      <c r="A4" s="13" t="inlineStr">
        <is>
          <t>Forcepoint DLP Gateway</t>
        </is>
      </c>
      <c r="B4" s="13" t="inlineStr">
        <is>
          <t>Inline</t>
        </is>
      </c>
      <c r="C4" s="13" t="inlineStr">
        <is>
          <t>DMZ, Internal</t>
        </is>
      </c>
      <c r="D4" s="13" t="inlineStr">
        <is>
          <t>HTTP, HTTPS, SMTP, FTP</t>
        </is>
      </c>
      <c r="E4" s="13" t="inlineStr">
        <is>
          <t>Yes</t>
        </is>
      </c>
      <c r="F4" s="13" t="inlineStr">
        <is>
          <t>10 Gbps</t>
        </is>
      </c>
      <c r="G4" s="13" t="inlineStr">
        <is>
          <t>45</t>
        </is>
      </c>
      <c r="H4" s="13" t="inlineStr">
        <is>
          <t>Yes</t>
        </is>
      </c>
      <c r="I4" s="13" t="inlineStr">
        <is>
          <t>Yes</t>
        </is>
      </c>
      <c r="J4" s="13" t="inlineStr">
        <is>
          <t>Yes</t>
        </is>
      </c>
      <c r="K4" s="13" t="inlineStr">
        <is>
          <t>Partial</t>
        </is>
      </c>
      <c r="L4" s="13" t="inlineStr">
        <is>
          <t>Yes</t>
        </is>
      </c>
      <c r="M4" s="13" t="inlineStr">
        <is>
          <t>Yes</t>
        </is>
      </c>
      <c r="N4" s="13" t="inlineStr">
        <is>
          <t>A812-1-NET-001</t>
        </is>
      </c>
    </row>
    <row r="5">
      <c r="A5" s="13" t="inlineStr">
        <is>
          <t>Symantec DLP Network</t>
        </is>
      </c>
      <c r="B5" s="13" t="inlineStr">
        <is>
          <t>TAP</t>
        </is>
      </c>
      <c r="C5" s="13" t="inlineStr">
        <is>
          <t>Internet Gateway</t>
        </is>
      </c>
      <c r="D5" s="13" t="inlineStr">
        <is>
          <t>HTTP, HTTPS, FTP</t>
        </is>
      </c>
      <c r="E5" s="13" t="inlineStr">
        <is>
          <t>Yes</t>
        </is>
      </c>
      <c r="F5" s="13" t="inlineStr">
        <is>
          <t>5 Gbps</t>
        </is>
      </c>
      <c r="G5" s="13" t="inlineStr">
        <is>
          <t>60</t>
        </is>
      </c>
      <c r="H5" s="13" t="inlineStr">
        <is>
          <t>Yes</t>
        </is>
      </c>
      <c r="I5" s="13" t="inlineStr">
        <is>
          <t>Yes</t>
        </is>
      </c>
      <c r="J5" s="13" t="inlineStr">
        <is>
          <t>Yes</t>
        </is>
      </c>
      <c r="K5" s="13" t="inlineStr">
        <is>
          <t>No</t>
        </is>
      </c>
      <c r="L5" s="13" t="inlineStr">
        <is>
          <t>No</t>
        </is>
      </c>
      <c r="M5" s="13" t="inlineStr">
        <is>
          <t>Yes</t>
        </is>
      </c>
      <c r="N5" s="13" t="inlineStr">
        <is>
          <t>A812-1-NET-002</t>
        </is>
      </c>
    </row>
    <row r="6">
      <c r="A6" s="13" t="inlineStr">
        <is>
          <t>McAfee DLP Prevent</t>
        </is>
      </c>
      <c r="B6" s="13" t="inlineStr">
        <is>
          <t>Inline</t>
        </is>
      </c>
      <c r="C6" s="13" t="inlineStr">
        <is>
          <t>Branch Offices</t>
        </is>
      </c>
      <c r="D6" s="13" t="inlineStr">
        <is>
          <t>HTTP, HTTPS</t>
        </is>
      </c>
      <c r="E6" s="13" t="inlineStr">
        <is>
          <t>Partial</t>
        </is>
      </c>
      <c r="F6" s="13" t="inlineStr">
        <is>
          <t>1 Gbps</t>
        </is>
      </c>
      <c r="G6" s="13" t="inlineStr">
        <is>
          <t>30</t>
        </is>
      </c>
      <c r="H6" s="13" t="inlineStr">
        <is>
          <t>Yes</t>
        </is>
      </c>
      <c r="I6" s="13" t="inlineStr">
        <is>
          <t>Yes</t>
        </is>
      </c>
      <c r="J6" s="13" t="inlineStr">
        <is>
          <t>No</t>
        </is>
      </c>
      <c r="K6" s="13" t="inlineStr">
        <is>
          <t>No</t>
        </is>
      </c>
      <c r="L6" s="13" t="inlineStr">
        <is>
          <t>Yes</t>
        </is>
      </c>
      <c r="M6" s="13" t="inlineStr">
        <is>
          <t>No</t>
        </is>
      </c>
      <c r="N6" s="13" t="inlineStr">
        <is>
          <t>A812-1-NET-003</t>
        </is>
      </c>
    </row>
    <row r="7">
      <c r="A7" s="14" t="n"/>
      <c r="B7" s="14" t="n"/>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4" t="n"/>
      <c r="B9" s="14" t="n"/>
      <c r="C9" s="14" t="n"/>
      <c r="D9" s="14" t="n"/>
      <c r="E9" s="14" t="n"/>
      <c r="F9" s="14" t="n"/>
      <c r="G9" s="14" t="n"/>
      <c r="H9" s="14" t="n"/>
      <c r="I9" s="14" t="n"/>
      <c r="J9" s="14" t="n"/>
      <c r="K9" s="14" t="n"/>
      <c r="L9" s="14" t="n"/>
      <c r="M9" s="14" t="n"/>
      <c r="N9" s="14" t="n"/>
    </row>
    <row r="10">
      <c r="A10" s="14" t="n"/>
      <c r="B10" s="14" t="n"/>
      <c r="C10" s="14" t="n"/>
      <c r="D10" s="14" t="n"/>
      <c r="E10" s="14" t="n"/>
      <c r="F10" s="14" t="n"/>
      <c r="G10" s="14" t="n"/>
      <c r="H10" s="14" t="n"/>
      <c r="I10" s="14" t="n"/>
      <c r="J10" s="14" t="n"/>
      <c r="K10" s="14" t="n"/>
      <c r="L10" s="14" t="n"/>
      <c r="M10" s="14" t="n"/>
      <c r="N10" s="14" t="n"/>
    </row>
    <row r="11">
      <c r="A11" s="14" t="n"/>
      <c r="B11" s="14" t="n"/>
      <c r="C11" s="14" t="n"/>
      <c r="D11" s="14" t="n"/>
      <c r="E11" s="14" t="n"/>
      <c r="F11" s="14" t="n"/>
      <c r="G11" s="14" t="n"/>
      <c r="H11" s="14" t="n"/>
      <c r="I11" s="14" t="n"/>
      <c r="J11" s="14" t="n"/>
      <c r="K11" s="14" t="n"/>
      <c r="L11" s="14" t="n"/>
      <c r="M11" s="14" t="n"/>
      <c r="N11" s="14" t="n"/>
    </row>
    <row r="12">
      <c r="A12" s="14" t="n"/>
      <c r="B12" s="14" t="n"/>
      <c r="C12" s="14" t="n"/>
      <c r="D12" s="14" t="n"/>
      <c r="E12" s="14" t="n"/>
      <c r="F12" s="14" t="n"/>
      <c r="G12" s="14" t="n"/>
      <c r="H12" s="14" t="n"/>
      <c r="I12" s="14" t="n"/>
      <c r="J12" s="14" t="n"/>
      <c r="K12" s="14" t="n"/>
      <c r="L12" s="14" t="n"/>
      <c r="M12" s="14" t="n"/>
      <c r="N12" s="14" t="n"/>
    </row>
    <row r="13">
      <c r="A13" s="14" t="n"/>
      <c r="B13" s="14" t="n"/>
      <c r="C13" s="14" t="n"/>
      <c r="D13" s="14" t="n"/>
      <c r="E13" s="14" t="n"/>
      <c r="F13" s="14" t="n"/>
      <c r="G13" s="14" t="n"/>
      <c r="H13" s="14" t="n"/>
      <c r="I13" s="14" t="n"/>
      <c r="J13" s="14" t="n"/>
      <c r="K13" s="14" t="n"/>
      <c r="L13" s="14" t="n"/>
      <c r="M13" s="14" t="n"/>
      <c r="N13" s="14" t="n"/>
    </row>
    <row r="14">
      <c r="A14" s="14" t="n"/>
      <c r="B14" s="14" t="n"/>
      <c r="C14" s="14" t="n"/>
      <c r="D14" s="14" t="n"/>
      <c r="E14" s="14" t="n"/>
      <c r="F14" s="14" t="n"/>
      <c r="G14" s="14" t="n"/>
      <c r="H14" s="14" t="n"/>
      <c r="I14" s="14" t="n"/>
      <c r="J14" s="14" t="n"/>
      <c r="K14" s="14" t="n"/>
      <c r="L14" s="14" t="n"/>
      <c r="M14" s="14" t="n"/>
      <c r="N14" s="14" t="n"/>
    </row>
    <row r="15">
      <c r="A15" s="14" t="n"/>
      <c r="B15" s="14" t="n"/>
      <c r="C15" s="14" t="n"/>
      <c r="D15" s="14" t="n"/>
      <c r="E15" s="14" t="n"/>
      <c r="F15" s="14" t="n"/>
      <c r="G15" s="14" t="n"/>
      <c r="H15" s="14" t="n"/>
      <c r="I15" s="14" t="n"/>
      <c r="J15" s="14" t="n"/>
      <c r="K15" s="14" t="n"/>
      <c r="L15" s="14" t="n"/>
      <c r="M15" s="14" t="n"/>
      <c r="N15" s="14" t="n"/>
    </row>
    <row r="16">
      <c r="A16" s="14" t="n"/>
      <c r="B16" s="14" t="n"/>
      <c r="C16" s="14" t="n"/>
      <c r="D16" s="14" t="n"/>
      <c r="E16" s="14" t="n"/>
      <c r="F16" s="14" t="n"/>
      <c r="G16" s="14" t="n"/>
      <c r="H16" s="14" t="n"/>
      <c r="I16" s="14" t="n"/>
      <c r="J16" s="14" t="n"/>
      <c r="K16" s="14" t="n"/>
      <c r="L16" s="14" t="n"/>
      <c r="M16" s="14" t="n"/>
      <c r="N16" s="14" t="n"/>
    </row>
    <row r="17">
      <c r="A17" s="14" t="n"/>
      <c r="B17" s="14" t="n"/>
      <c r="C17" s="14" t="n"/>
      <c r="D17" s="14" t="n"/>
      <c r="E17" s="14" t="n"/>
      <c r="F17" s="14" t="n"/>
      <c r="G17" s="14" t="n"/>
      <c r="H17" s="14" t="n"/>
      <c r="I17" s="14" t="n"/>
      <c r="J17" s="14" t="n"/>
      <c r="K17" s="14" t="n"/>
      <c r="L17" s="14" t="n"/>
      <c r="M17" s="14" t="n"/>
      <c r="N17" s="14" t="n"/>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sheetData>
  <mergeCells count="2">
    <mergeCell ref="A2:N2"/>
    <mergeCell ref="A1:N1"/>
  </mergeCells>
  <dataValidations count="8">
    <dataValidation sqref="B7 B8 B9 B10 B11 B12 B13 B14 B15 B16 B17 B18 B19 B20 B21 B22 B23 B24" showDropDown="1" showInputMessage="0" showErrorMessage="0" allowBlank="0" type="list">
      <formula1>"Inline,TAP,SPAN,Cloud Gateway"</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E7 E8 E9 E10 E11 E12 E13 E14 E15 E16 E17 E18 E19 E20 E21 E22 E23 E24 H7 H8 H9 H10 H11 H12 H13 H14 H15 H16 H17 H18 H19 H20 H21 H22 H23 H24 I7 I8 I9 I10 I11 I12 I13 I14 I15 I16 I17 I18 I19 I20 I21 I22 I23 I24 J7 J8 J9 J10 J11 J12 J13 J14 J15 J16 J17 J18 J19 J20 J21 J22 J23 J24 K7 K8 K9 K10 K11 K12 K13 K14 K15 K16 K17 K18 K19 K20 K21 K22 K23 K24 L7 L8 L9 L10 L11 L12 L13 L14 L15 L16 L17 L18 L19 L20 L21 L22 L23 L24" showDropDown="1" showInputMessage="0" showErrorMessage="1" allowBlank="0" errorTitle="Invalid Entry" error="Invalid value. Select from dropdown." type="list">
      <formula1>"Yes,No,Partial,Planned,N/A"</formula1>
    </dataValidation>
    <dataValidation sqref="M7 M8 M9 M10 M11 M12 M13 M14 M15 M16 M17 M18 M19 M20 M21 M22 M23 M24"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8" customWidth="1" min="15" max="15"/>
  </cols>
  <sheetData>
    <row r="1" ht="30" customHeight="1">
      <c r="A1" s="1" t="inlineStr">
        <is>
          <t>ENDPOINT DLP ASSESSMENT</t>
        </is>
      </c>
    </row>
    <row r="2" ht="25" customHeight="1">
      <c r="A2" s="2" t="inlineStr">
        <is>
          <t>Assess endpoint DLP agent deployment across Windows, macOS, Linux, VDI</t>
        </is>
      </c>
    </row>
    <row r="3">
      <c r="A3" s="12" t="inlineStr">
        <is>
          <t>Operating System</t>
        </is>
      </c>
      <c r="B3" s="12" t="inlineStr">
        <is>
          <t>OS Version</t>
        </is>
      </c>
      <c r="C3" s="12" t="inlineStr">
        <is>
          <t>Agent Name</t>
        </is>
      </c>
      <c r="D3" s="12" t="inlineStr">
        <is>
          <t>Agent Version</t>
        </is>
      </c>
      <c r="E3" s="12" t="inlineStr">
        <is>
          <t>Deployment Method</t>
        </is>
      </c>
      <c r="F3" s="12" t="inlineStr">
        <is>
          <t>Total Endpoints</t>
        </is>
      </c>
      <c r="G3" s="12" t="inlineStr">
        <is>
          <t>Agents Deployed</t>
        </is>
      </c>
      <c r="H3" s="12" t="inlineStr">
        <is>
          <t>Deployment Coverage %</t>
        </is>
      </c>
      <c r="I3" s="12" t="inlineStr">
        <is>
          <t>USB Blocking</t>
        </is>
      </c>
      <c r="J3" s="12" t="inlineStr">
        <is>
          <t>Clipboard Monitoring</t>
        </is>
      </c>
      <c r="K3" s="12" t="inlineStr">
        <is>
          <t>Print Blocking</t>
        </is>
      </c>
      <c r="L3" s="12" t="inlineStr">
        <is>
          <t>Screen Capture Detection</t>
        </is>
      </c>
      <c r="M3" s="12" t="inlineStr">
        <is>
          <t>Bluetooth Blocking</t>
        </is>
      </c>
      <c r="N3" s="12" t="inlineStr">
        <is>
          <t>Cloud Sync App Monitoring</t>
        </is>
      </c>
      <c r="O3" s="12" t="inlineStr">
        <is>
          <t>Evidence ID</t>
        </is>
      </c>
    </row>
    <row r="4">
      <c r="A4" s="13" t="inlineStr">
        <is>
          <t>Windows</t>
        </is>
      </c>
      <c r="B4" s="13" t="inlineStr">
        <is>
          <t>10/11 Enterprise</t>
        </is>
      </c>
      <c r="C4" s="13" t="inlineStr">
        <is>
          <t>Forcepoint Endpoint</t>
        </is>
      </c>
      <c r="D4" s="13" t="inlineStr">
        <is>
          <t>8.9</t>
        </is>
      </c>
      <c r="E4" s="13" t="inlineStr">
        <is>
          <t>GPO</t>
        </is>
      </c>
      <c r="F4" s="13" t="inlineStr">
        <is>
          <t>2000</t>
        </is>
      </c>
      <c r="G4" s="13" t="inlineStr">
        <is>
          <t>1950</t>
        </is>
      </c>
      <c r="H4" s="13">
        <f>G4/F4*100</f>
        <v/>
      </c>
      <c r="I4" s="13" t="inlineStr">
        <is>
          <t>Yes</t>
        </is>
      </c>
      <c r="J4" s="13" t="inlineStr">
        <is>
          <t>Yes</t>
        </is>
      </c>
      <c r="K4" s="13" t="inlineStr">
        <is>
          <t>Yes</t>
        </is>
      </c>
      <c r="L4" s="13" t="inlineStr">
        <is>
          <t>Yes</t>
        </is>
      </c>
      <c r="M4" s="13" t="inlineStr">
        <is>
          <t>Yes</t>
        </is>
      </c>
      <c r="N4" s="13" t="inlineStr">
        <is>
          <t>Yes</t>
        </is>
      </c>
      <c r="O4" s="13" t="inlineStr">
        <is>
          <t>A812-1-EPT-001</t>
        </is>
      </c>
    </row>
    <row r="5">
      <c r="A5" s="13" t="inlineStr">
        <is>
          <t>macOS</t>
        </is>
      </c>
      <c r="B5" s="13" t="inlineStr">
        <is>
          <t>13.x Ventura</t>
        </is>
      </c>
      <c r="C5" s="13" t="inlineStr">
        <is>
          <t>Forcepoint Endpoint</t>
        </is>
      </c>
      <c r="D5" s="13" t="inlineStr">
        <is>
          <t>8.9</t>
        </is>
      </c>
      <c r="E5" s="13" t="inlineStr">
        <is>
          <t>Jamf</t>
        </is>
      </c>
      <c r="F5" s="13" t="inlineStr">
        <is>
          <t>300</t>
        </is>
      </c>
      <c r="G5" s="13" t="inlineStr">
        <is>
          <t>280</t>
        </is>
      </c>
      <c r="H5" s="13">
        <f>G5/F5*100</f>
        <v/>
      </c>
      <c r="I5" s="13" t="inlineStr">
        <is>
          <t>Yes</t>
        </is>
      </c>
      <c r="J5" s="13" t="inlineStr">
        <is>
          <t>Yes</t>
        </is>
      </c>
      <c r="K5" s="13" t="inlineStr">
        <is>
          <t>Yes</t>
        </is>
      </c>
      <c r="L5" s="13" t="inlineStr">
        <is>
          <t>Partial</t>
        </is>
      </c>
      <c r="M5" s="13" t="inlineStr">
        <is>
          <t>Yes</t>
        </is>
      </c>
      <c r="N5" s="13" t="inlineStr">
        <is>
          <t>Yes</t>
        </is>
      </c>
      <c r="O5" s="13" t="inlineStr">
        <is>
          <t>A812-1-EPT-002</t>
        </is>
      </c>
    </row>
    <row r="6">
      <c r="A6" s="13" t="inlineStr">
        <is>
          <t>Linux</t>
        </is>
      </c>
      <c r="B6" s="13" t="inlineStr">
        <is>
          <t>Ubuntu 22.04</t>
        </is>
      </c>
      <c r="C6" s="13" t="inlineStr">
        <is>
          <t>Custom Script</t>
        </is>
      </c>
      <c r="D6" s="13" t="inlineStr">
        <is>
          <t>1.0</t>
        </is>
      </c>
      <c r="E6" s="13" t="inlineStr">
        <is>
          <t>Ansible</t>
        </is>
      </c>
      <c r="F6" s="13" t="inlineStr">
        <is>
          <t>50</t>
        </is>
      </c>
      <c r="G6" s="13" t="inlineStr">
        <is>
          <t>45</t>
        </is>
      </c>
      <c r="H6" s="13">
        <f>G6/F6*100</f>
        <v/>
      </c>
      <c r="I6" s="13" t="inlineStr">
        <is>
          <t>Partial</t>
        </is>
      </c>
      <c r="J6" s="13" t="inlineStr">
        <is>
          <t>No</t>
        </is>
      </c>
      <c r="K6" s="13" t="inlineStr">
        <is>
          <t>Partial</t>
        </is>
      </c>
      <c r="L6" s="13" t="inlineStr">
        <is>
          <t>No</t>
        </is>
      </c>
      <c r="M6" s="13" t="inlineStr">
        <is>
          <t>Partial</t>
        </is>
      </c>
      <c r="N6" s="13" t="inlineStr">
        <is>
          <t>No</t>
        </is>
      </c>
      <c r="O6" s="13" t="inlineStr">
        <is>
          <t>A812-1-EPT-003</t>
        </is>
      </c>
    </row>
    <row r="7">
      <c r="A7" s="13" t="inlineStr">
        <is>
          <t>VDI (Citrix)</t>
        </is>
      </c>
      <c r="B7" s="13" t="inlineStr">
        <is>
          <t>Windows 10</t>
        </is>
      </c>
      <c r="C7" s="13" t="inlineStr">
        <is>
          <t>Forcepoint Endpoint</t>
        </is>
      </c>
      <c r="D7" s="13" t="inlineStr">
        <is>
          <t>8.9</t>
        </is>
      </c>
      <c r="E7" s="13" t="inlineStr">
        <is>
          <t>Image</t>
        </is>
      </c>
      <c r="F7" s="13" t="inlineStr">
        <is>
          <t>500</t>
        </is>
      </c>
      <c r="G7" s="13" t="inlineStr">
        <is>
          <t>500</t>
        </is>
      </c>
      <c r="H7" s="13">
        <f>G7/F7*100</f>
        <v/>
      </c>
      <c r="I7" s="13" t="inlineStr">
        <is>
          <t>Yes</t>
        </is>
      </c>
      <c r="J7" s="13" t="inlineStr">
        <is>
          <t>Yes</t>
        </is>
      </c>
      <c r="K7" s="13" t="inlineStr">
        <is>
          <t>Yes</t>
        </is>
      </c>
      <c r="L7" s="13" t="inlineStr">
        <is>
          <t>Yes</t>
        </is>
      </c>
      <c r="M7" s="13" t="inlineStr">
        <is>
          <t>N/A</t>
        </is>
      </c>
      <c r="N7" s="13" t="inlineStr">
        <is>
          <t>Yes</t>
        </is>
      </c>
      <c r="O7" s="13" t="inlineStr">
        <is>
          <t>A812-1-EPT-004</t>
        </is>
      </c>
    </row>
    <row r="8">
      <c r="A8" s="14" t="n"/>
      <c r="B8" s="14" t="n"/>
      <c r="C8" s="14" t="n"/>
      <c r="D8" s="14" t="n"/>
      <c r="E8" s="14" t="n"/>
      <c r="F8" s="14" t="n"/>
      <c r="G8" s="14" t="n"/>
      <c r="H8" s="14">
        <f>IF(F8=0,0,G8/F8*100)</f>
        <v/>
      </c>
      <c r="I8" s="14" t="n"/>
      <c r="J8" s="14" t="n"/>
      <c r="K8" s="14" t="n"/>
      <c r="L8" s="14" t="n"/>
      <c r="M8" s="14" t="n"/>
      <c r="N8" s="14" t="n"/>
      <c r="O8" s="14" t="n"/>
    </row>
    <row r="9">
      <c r="A9" s="14" t="n"/>
      <c r="B9" s="14" t="n"/>
      <c r="C9" s="14" t="n"/>
      <c r="D9" s="14" t="n"/>
      <c r="E9" s="14" t="n"/>
      <c r="F9" s="14" t="n"/>
      <c r="G9" s="14" t="n"/>
      <c r="H9" s="14">
        <f>IF(F9=0,0,G9/F9*100)</f>
        <v/>
      </c>
      <c r="I9" s="14" t="n"/>
      <c r="J9" s="14" t="n"/>
      <c r="K9" s="14" t="n"/>
      <c r="L9" s="14" t="n"/>
      <c r="M9" s="14" t="n"/>
      <c r="N9" s="14" t="n"/>
      <c r="O9" s="14" t="n"/>
    </row>
    <row r="10">
      <c r="A10" s="14" t="n"/>
      <c r="B10" s="14" t="n"/>
      <c r="C10" s="14" t="n"/>
      <c r="D10" s="14" t="n"/>
      <c r="E10" s="14" t="n"/>
      <c r="F10" s="14" t="n"/>
      <c r="G10" s="14" t="n"/>
      <c r="H10" s="14">
        <f>IF(F10=0,0,G10/F10*100)</f>
        <v/>
      </c>
      <c r="I10" s="14" t="n"/>
      <c r="J10" s="14" t="n"/>
      <c r="K10" s="14" t="n"/>
      <c r="L10" s="14" t="n"/>
      <c r="M10" s="14" t="n"/>
      <c r="N10" s="14" t="n"/>
      <c r="O10" s="14" t="n"/>
    </row>
    <row r="11">
      <c r="A11" s="14" t="n"/>
      <c r="B11" s="14" t="n"/>
      <c r="C11" s="14" t="n"/>
      <c r="D11" s="14" t="n"/>
      <c r="E11" s="14" t="n"/>
      <c r="F11" s="14" t="n"/>
      <c r="G11" s="14" t="n"/>
      <c r="H11" s="14">
        <f>IF(F11=0,0,G11/F11*100)</f>
        <v/>
      </c>
      <c r="I11" s="14" t="n"/>
      <c r="J11" s="14" t="n"/>
      <c r="K11" s="14" t="n"/>
      <c r="L11" s="14" t="n"/>
      <c r="M11" s="14" t="n"/>
      <c r="N11" s="14" t="n"/>
      <c r="O11" s="14" t="n"/>
    </row>
    <row r="12">
      <c r="A12" s="14" t="n"/>
      <c r="B12" s="14" t="n"/>
      <c r="C12" s="14" t="n"/>
      <c r="D12" s="14" t="n"/>
      <c r="E12" s="14" t="n"/>
      <c r="F12" s="14" t="n"/>
      <c r="G12" s="14" t="n"/>
      <c r="H12" s="14">
        <f>IF(F12=0,0,G12/F12*100)</f>
        <v/>
      </c>
      <c r="I12" s="14" t="n"/>
      <c r="J12" s="14" t="n"/>
      <c r="K12" s="14" t="n"/>
      <c r="L12" s="14" t="n"/>
      <c r="M12" s="14" t="n"/>
      <c r="N12" s="14" t="n"/>
      <c r="O12" s="14" t="n"/>
    </row>
    <row r="13">
      <c r="A13" s="14" t="n"/>
      <c r="B13" s="14" t="n"/>
      <c r="C13" s="14" t="n"/>
      <c r="D13" s="14" t="n"/>
      <c r="E13" s="14" t="n"/>
      <c r="F13" s="14" t="n"/>
      <c r="G13" s="14" t="n"/>
      <c r="H13" s="14">
        <f>IF(F13=0,0,G13/F13*100)</f>
        <v/>
      </c>
      <c r="I13" s="14" t="n"/>
      <c r="J13" s="14" t="n"/>
      <c r="K13" s="14" t="n"/>
      <c r="L13" s="14" t="n"/>
      <c r="M13" s="14" t="n"/>
      <c r="N13" s="14" t="n"/>
      <c r="O13" s="14" t="n"/>
    </row>
    <row r="14">
      <c r="A14" s="14" t="n"/>
      <c r="B14" s="14" t="n"/>
      <c r="C14" s="14" t="n"/>
      <c r="D14" s="14" t="n"/>
      <c r="E14" s="14" t="n"/>
      <c r="F14" s="14" t="n"/>
      <c r="G14" s="14" t="n"/>
      <c r="H14" s="14">
        <f>IF(F14=0,0,G14/F14*100)</f>
        <v/>
      </c>
      <c r="I14" s="14" t="n"/>
      <c r="J14" s="14" t="n"/>
      <c r="K14" s="14" t="n"/>
      <c r="L14" s="14" t="n"/>
      <c r="M14" s="14" t="n"/>
      <c r="N14" s="14" t="n"/>
      <c r="O14" s="14" t="n"/>
    </row>
    <row r="15">
      <c r="A15" s="14" t="n"/>
      <c r="B15" s="14" t="n"/>
      <c r="C15" s="14" t="n"/>
      <c r="D15" s="14" t="n"/>
      <c r="E15" s="14" t="n"/>
      <c r="F15" s="14" t="n"/>
      <c r="G15" s="14" t="n"/>
      <c r="H15" s="14">
        <f>IF(F15=0,0,G15/F15*100)</f>
        <v/>
      </c>
      <c r="I15" s="14" t="n"/>
      <c r="J15" s="14" t="n"/>
      <c r="K15" s="14" t="n"/>
      <c r="L15" s="14" t="n"/>
      <c r="M15" s="14" t="n"/>
      <c r="N15" s="14" t="n"/>
      <c r="O15" s="14" t="n"/>
    </row>
    <row r="16">
      <c r="A16" s="14" t="n"/>
      <c r="B16" s="14" t="n"/>
      <c r="C16" s="14" t="n"/>
      <c r="D16" s="14" t="n"/>
      <c r="E16" s="14" t="n"/>
      <c r="F16" s="14" t="n"/>
      <c r="G16" s="14" t="n"/>
      <c r="H16" s="14">
        <f>IF(F16=0,0,G16/F16*100)</f>
        <v/>
      </c>
      <c r="I16" s="14" t="n"/>
      <c r="J16" s="14" t="n"/>
      <c r="K16" s="14" t="n"/>
      <c r="L16" s="14" t="n"/>
      <c r="M16" s="14" t="n"/>
      <c r="N16" s="14" t="n"/>
      <c r="O16" s="14" t="n"/>
    </row>
    <row r="17">
      <c r="A17" s="14" t="n"/>
      <c r="B17" s="14" t="n"/>
      <c r="C17" s="14" t="n"/>
      <c r="D17" s="14" t="n"/>
      <c r="E17" s="14" t="n"/>
      <c r="F17" s="14" t="n"/>
      <c r="G17" s="14" t="n"/>
      <c r="H17" s="14">
        <f>IF(F17=0,0,G17/F17*100)</f>
        <v/>
      </c>
      <c r="I17" s="14" t="n"/>
      <c r="J17" s="14" t="n"/>
      <c r="K17" s="14" t="n"/>
      <c r="L17" s="14" t="n"/>
      <c r="M17" s="14" t="n"/>
      <c r="N17" s="14" t="n"/>
      <c r="O17" s="14" t="n"/>
    </row>
    <row r="18">
      <c r="A18" s="14" t="n"/>
      <c r="B18" s="14" t="n"/>
      <c r="C18" s="14" t="n"/>
      <c r="D18" s="14" t="n"/>
      <c r="E18" s="14" t="n"/>
      <c r="F18" s="14" t="n"/>
      <c r="G18" s="14" t="n"/>
      <c r="H18" s="14">
        <f>IF(F18=0,0,G18/F18*100)</f>
        <v/>
      </c>
      <c r="I18" s="14" t="n"/>
      <c r="J18" s="14" t="n"/>
      <c r="K18" s="14" t="n"/>
      <c r="L18" s="14" t="n"/>
      <c r="M18" s="14" t="n"/>
      <c r="N18" s="14" t="n"/>
      <c r="O18" s="14" t="n"/>
    </row>
    <row r="19">
      <c r="A19" s="14" t="n"/>
      <c r="B19" s="14" t="n"/>
      <c r="C19" s="14" t="n"/>
      <c r="D19" s="14" t="n"/>
      <c r="E19" s="14" t="n"/>
      <c r="F19" s="14" t="n"/>
      <c r="G19" s="14" t="n"/>
      <c r="H19" s="14">
        <f>IF(F19=0,0,G19/F19*100)</f>
        <v/>
      </c>
      <c r="I19" s="14" t="n"/>
      <c r="J19" s="14" t="n"/>
      <c r="K19" s="14" t="n"/>
      <c r="L19" s="14" t="n"/>
      <c r="M19" s="14" t="n"/>
      <c r="N19" s="14" t="n"/>
      <c r="O19" s="14" t="n"/>
    </row>
    <row r="20">
      <c r="A20" s="14" t="n"/>
      <c r="B20" s="14" t="n"/>
      <c r="C20" s="14" t="n"/>
      <c r="D20" s="14" t="n"/>
      <c r="E20" s="14" t="n"/>
      <c r="F20" s="14" t="n"/>
      <c r="G20" s="14" t="n"/>
      <c r="H20" s="14">
        <f>IF(F20=0,0,G20/F20*100)</f>
        <v/>
      </c>
      <c r="I20" s="14" t="n"/>
      <c r="J20" s="14" t="n"/>
      <c r="K20" s="14" t="n"/>
      <c r="L20" s="14" t="n"/>
      <c r="M20" s="14" t="n"/>
      <c r="N20" s="14" t="n"/>
      <c r="O20" s="14" t="n"/>
    </row>
    <row r="21">
      <c r="A21" s="14" t="n"/>
      <c r="B21" s="14" t="n"/>
      <c r="C21" s="14" t="n"/>
      <c r="D21" s="14" t="n"/>
      <c r="E21" s="14" t="n"/>
      <c r="F21" s="14" t="n"/>
      <c r="G21" s="14" t="n"/>
      <c r="H21" s="14">
        <f>IF(F21=0,0,G21/F21*100)</f>
        <v/>
      </c>
      <c r="I21" s="14" t="n"/>
      <c r="J21" s="14" t="n"/>
      <c r="K21" s="14" t="n"/>
      <c r="L21" s="14" t="n"/>
      <c r="M21" s="14" t="n"/>
      <c r="N21" s="14" t="n"/>
      <c r="O21" s="14" t="n"/>
    </row>
    <row r="22">
      <c r="A22" s="14" t="n"/>
      <c r="B22" s="14" t="n"/>
      <c r="C22" s="14" t="n"/>
      <c r="D22" s="14" t="n"/>
      <c r="E22" s="14" t="n"/>
      <c r="F22" s="14" t="n"/>
      <c r="G22" s="14" t="n"/>
      <c r="H22" s="14">
        <f>IF(F22=0,0,G22/F22*100)</f>
        <v/>
      </c>
      <c r="I22" s="14" t="n"/>
      <c r="J22" s="14" t="n"/>
      <c r="K22" s="14" t="n"/>
      <c r="L22" s="14" t="n"/>
      <c r="M22" s="14" t="n"/>
      <c r="N22" s="14" t="n"/>
      <c r="O22" s="14" t="n"/>
    </row>
    <row r="23">
      <c r="A23" s="14" t="n"/>
      <c r="B23" s="14" t="n"/>
      <c r="C23" s="14" t="n"/>
      <c r="D23" s="14" t="n"/>
      <c r="E23" s="14" t="n"/>
      <c r="F23" s="14" t="n"/>
      <c r="G23" s="14" t="n"/>
      <c r="H23" s="14">
        <f>IF(F23=0,0,G23/F23*100)</f>
        <v/>
      </c>
      <c r="I23" s="14" t="n"/>
      <c r="J23" s="14" t="n"/>
      <c r="K23" s="14" t="n"/>
      <c r="L23" s="14" t="n"/>
      <c r="M23" s="14" t="n"/>
      <c r="N23" s="14" t="n"/>
      <c r="O23" s="14" t="n"/>
    </row>
    <row r="24">
      <c r="A24" s="14" t="n"/>
      <c r="B24" s="14" t="n"/>
      <c r="C24" s="14" t="n"/>
      <c r="D24" s="14" t="n"/>
      <c r="E24" s="14" t="n"/>
      <c r="F24" s="14" t="n"/>
      <c r="G24" s="14" t="n"/>
      <c r="H24" s="14">
        <f>IF(F24=0,0,G24/F24*100)</f>
        <v/>
      </c>
      <c r="I24" s="14" t="n"/>
      <c r="J24" s="14" t="n"/>
      <c r="K24" s="14" t="n"/>
      <c r="L24" s="14" t="n"/>
      <c r="M24" s="14" t="n"/>
      <c r="N24" s="14" t="n"/>
      <c r="O24" s="14" t="n"/>
    </row>
    <row r="25">
      <c r="A25" s="14" t="n"/>
      <c r="B25" s="14" t="n"/>
      <c r="C25" s="14" t="n"/>
      <c r="D25" s="14" t="n"/>
      <c r="E25" s="14" t="n"/>
      <c r="F25" s="14" t="n"/>
      <c r="G25" s="14" t="n"/>
      <c r="H25" s="14">
        <f>IF(F25=0,0,G25/F25*100)</f>
        <v/>
      </c>
      <c r="I25" s="14" t="n"/>
      <c r="J25" s="14" t="n"/>
      <c r="K25" s="14" t="n"/>
      <c r="L25" s="14" t="n"/>
      <c r="M25" s="14" t="n"/>
      <c r="N25" s="14" t="n"/>
      <c r="O25" s="14" t="n"/>
    </row>
    <row r="26">
      <c r="A26" s="14" t="n"/>
      <c r="B26" s="14" t="n"/>
      <c r="C26" s="14" t="n"/>
      <c r="D26" s="14" t="n"/>
      <c r="E26" s="14" t="n"/>
      <c r="F26" s="14" t="n"/>
      <c r="G26" s="14" t="n"/>
      <c r="H26" s="14">
        <f>IF(F26=0,0,G26/F26*100)</f>
        <v/>
      </c>
      <c r="I26" s="14" t="n"/>
      <c r="J26" s="14" t="n"/>
      <c r="K26" s="14" t="n"/>
      <c r="L26" s="14" t="n"/>
      <c r="M26" s="14" t="n"/>
      <c r="N26" s="14" t="n"/>
      <c r="O26" s="14" t="n"/>
    </row>
    <row r="27">
      <c r="A27" s="14" t="n"/>
      <c r="B27" s="14" t="n"/>
      <c r="C27" s="14" t="n"/>
      <c r="D27" s="14" t="n"/>
      <c r="E27" s="14" t="n"/>
      <c r="F27" s="14" t="n"/>
      <c r="G27" s="14" t="n"/>
      <c r="H27" s="14">
        <f>IF(F27=0,0,G27/F27*100)</f>
        <v/>
      </c>
      <c r="I27" s="14" t="n"/>
      <c r="J27" s="14" t="n"/>
      <c r="K27" s="14" t="n"/>
      <c r="L27" s="14" t="n"/>
      <c r="M27" s="14" t="n"/>
      <c r="N27" s="14" t="n"/>
      <c r="O27" s="14" t="n"/>
    </row>
    <row r="28">
      <c r="A28" s="14" t="n"/>
      <c r="B28" s="14" t="n"/>
      <c r="C28" s="14" t="n"/>
      <c r="D28" s="14" t="n"/>
      <c r="E28" s="14" t="n"/>
      <c r="F28" s="14" t="n"/>
      <c r="G28" s="14" t="n"/>
      <c r="H28" s="14">
        <f>IF(F28=0,0,G28/F28*100)</f>
        <v/>
      </c>
      <c r="I28" s="14" t="n"/>
      <c r="J28" s="14" t="n"/>
      <c r="K28" s="14" t="n"/>
      <c r="L28" s="14" t="n"/>
      <c r="M28" s="14" t="n"/>
      <c r="N28" s="14" t="n"/>
      <c r="O28" s="14" t="n"/>
    </row>
    <row r="29"/>
  </sheetData>
  <mergeCells count="2">
    <mergeCell ref="A1:O1"/>
    <mergeCell ref="A2:O2"/>
  </mergeCells>
  <dataValidations count="7">
    <dataValidation sqref="E8 E9 E10 E11 E12 E13 E14 E15 E16 E17 E18 E19 E20 E21 E22 E23 E24 E25 E26 E27 E28 E29" showDropDown="1" showInputMessage="0" showErrorMessage="0" allowBlank="0" type="list">
      <formula1>"GPO,SCCM,Jamf,Manual,Cloud MDM,Ansible,Puppet"</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 sqref="I8 I9 I10 I11 I12 I13 I14 I15 I16 I17 I18 I19 I20 I21 I22 I23 I24 I25 I26 I27 I28 I29 J8 J9 J10 J11 J12 J13 J14 J15 J16 J17 J18 J19 J20 J21 J22 J23 J24 J25 J26 J27 J28 J29 K8 K9 K10 K11 K12 K13 K14 K15 K16 K17 K18 K19 K20 K21 K22 K23 K24 K25 K26 K27 K28 K29 L8 L9 L10 L11 L12 L13 L14 L15 L16 L17 L18 L19 L20 L21 L22 L23 L24 L25 L26 L27 L28 L29 M8 M9 M10 M11 M12 M13 M14 M15 M16 M17 M18 M19 M20 M21 M22 M23 M24 M25 M26 M27 M28 M29 N8 N9 N10 N11 N12 N13 N14 N15 N16 N17 N18 N19 N20 N21 N22 N23 N24 N25 N26 N27 N28 N29"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0" customHeight="1">
      <c r="A1" s="1" t="inlineStr">
        <is>
          <t>EMAIL DLP ASSESSMENT</t>
        </is>
      </c>
    </row>
    <row r="2" ht="25" customHeight="1">
      <c r="A2" s="2" t="inlineStr">
        <is>
          <t>Assess email gateway DLP solutions (Exchange, M365, Gmail)</t>
        </is>
      </c>
    </row>
    <row r="3">
      <c r="A3" s="12" t="inlineStr">
        <is>
          <t>Email System</t>
        </is>
      </c>
      <c r="B3" s="12" t="inlineStr">
        <is>
          <t>DLP Solution</t>
        </is>
      </c>
      <c r="C3" s="12" t="inlineStr">
        <is>
          <t>Deployment Type</t>
        </is>
      </c>
      <c r="D3" s="12" t="inlineStr">
        <is>
          <t>SMTP Gateway Protection</t>
        </is>
      </c>
      <c r="E3" s="12" t="inlineStr">
        <is>
          <t>Webmail Protection</t>
        </is>
      </c>
      <c r="F3" s="12" t="inlineStr">
        <is>
          <t>Attachment Scanning</t>
        </is>
      </c>
      <c r="G3" s="12" t="inlineStr">
        <is>
          <t>Encrypted Email Handling</t>
        </is>
      </c>
      <c r="H3" s="12" t="inlineStr">
        <is>
          <t>Internal Email Monitoring</t>
        </is>
      </c>
      <c r="I3" s="12" t="inlineStr">
        <is>
          <t>External Email Monitoring</t>
        </is>
      </c>
      <c r="J3" s="12" t="inlineStr">
        <is>
          <t>Quarantine Capability</t>
        </is>
      </c>
      <c r="K3" s="12" t="inlineStr">
        <is>
          <t>Auto-Encryption</t>
        </is>
      </c>
      <c r="L3" s="12" t="inlineStr">
        <is>
          <t>Evidence ID</t>
        </is>
      </c>
    </row>
    <row r="4">
      <c r="A4" s="13" t="inlineStr">
        <is>
          <t>Microsoft 365</t>
        </is>
      </c>
      <c r="B4" s="13" t="inlineStr">
        <is>
          <t>Microsoft Purview DLP</t>
        </is>
      </c>
      <c r="C4" s="13" t="inlineStr">
        <is>
          <t>Cloud</t>
        </is>
      </c>
      <c r="D4" s="13" t="inlineStr">
        <is>
          <t>Yes</t>
        </is>
      </c>
      <c r="E4" s="13" t="inlineStr">
        <is>
          <t>Yes</t>
        </is>
      </c>
      <c r="F4" s="13" t="inlineStr">
        <is>
          <t>Yes</t>
        </is>
      </c>
      <c r="G4" s="13" t="inlineStr">
        <is>
          <t>Partial</t>
        </is>
      </c>
      <c r="H4" s="13" t="inlineStr">
        <is>
          <t>Yes</t>
        </is>
      </c>
      <c r="I4" s="13" t="inlineStr">
        <is>
          <t>Yes</t>
        </is>
      </c>
      <c r="J4" s="13" t="inlineStr">
        <is>
          <t>Yes</t>
        </is>
      </c>
      <c r="K4" s="13" t="inlineStr">
        <is>
          <t>Yes</t>
        </is>
      </c>
      <c r="L4" s="13" t="inlineStr">
        <is>
          <t>A812-1-EML-001</t>
        </is>
      </c>
    </row>
    <row r="5">
      <c r="A5" s="13" t="inlineStr">
        <is>
          <t>On-Prem Exchange</t>
        </is>
      </c>
      <c r="B5" s="13" t="inlineStr">
        <is>
          <t>Symantec Email DLP</t>
        </is>
      </c>
      <c r="C5" s="13" t="inlineStr">
        <is>
          <t>On-Premise</t>
        </is>
      </c>
      <c r="D5" s="13" t="inlineStr">
        <is>
          <t>Yes</t>
        </is>
      </c>
      <c r="E5" s="13" t="inlineStr">
        <is>
          <t>No</t>
        </is>
      </c>
      <c r="F5" s="13" t="inlineStr">
        <is>
          <t>Yes</t>
        </is>
      </c>
      <c r="G5" s="13" t="inlineStr">
        <is>
          <t>Yes</t>
        </is>
      </c>
      <c r="H5" s="13" t="inlineStr">
        <is>
          <t>Partial</t>
        </is>
      </c>
      <c r="I5" s="13" t="inlineStr">
        <is>
          <t>Yes</t>
        </is>
      </c>
      <c r="J5" s="13" t="inlineStr">
        <is>
          <t>Yes</t>
        </is>
      </c>
      <c r="K5" s="13" t="inlineStr">
        <is>
          <t>Partial</t>
        </is>
      </c>
      <c r="L5" s="13" t="inlineStr">
        <is>
          <t>A812-1-EML-002</t>
        </is>
      </c>
    </row>
    <row r="6">
      <c r="A6" s="13" t="inlineStr">
        <is>
          <t>Gmail Workspace</t>
        </is>
      </c>
      <c r="B6" s="13" t="inlineStr">
        <is>
          <t>Google DLP</t>
        </is>
      </c>
      <c r="C6" s="13" t="inlineStr">
        <is>
          <t>Cloud</t>
        </is>
      </c>
      <c r="D6" s="13" t="inlineStr">
        <is>
          <t>Yes</t>
        </is>
      </c>
      <c r="E6" s="13" t="inlineStr">
        <is>
          <t>Yes</t>
        </is>
      </c>
      <c r="F6" s="13" t="inlineStr">
        <is>
          <t>Yes</t>
        </is>
      </c>
      <c r="G6" s="13" t="inlineStr">
        <is>
          <t>Partial</t>
        </is>
      </c>
      <c r="H6" s="13" t="inlineStr">
        <is>
          <t>Yes</t>
        </is>
      </c>
      <c r="I6" s="13" t="inlineStr">
        <is>
          <t>Yes</t>
        </is>
      </c>
      <c r="J6" s="13" t="inlineStr">
        <is>
          <t>Yes</t>
        </is>
      </c>
      <c r="K6" s="13" t="inlineStr">
        <is>
          <t>Partial</t>
        </is>
      </c>
      <c r="L6" s="13" t="inlineStr">
        <is>
          <t>A812-1-EML-003</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sheetData>
  <mergeCells count="2">
    <mergeCell ref="A2:L2"/>
    <mergeCell ref="A1:L1"/>
  </mergeCells>
  <dataValidations count="9">
    <dataValidation sqref="C7 C8 C9 C10 C11 C12 C13 C14 C15 C16 C17 C18 C19 C20 C21 C22 C23 C24" showDropDown="1" showInputMessage="0" showErrorMessage="0" allowBlank="0" type="list">
      <formula1>"On-Premise,Cloud,Hybrid"</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I7 I8 I9 I10 I11 I12 I13 I14 I15 I16 I17 I18 I19 I20 I21 I22 I23 I24 K7 K8 K9 K10 K11 K12 K13 K14 K15 K16 K17 K18 K19 K20 K21 K22 K23 K24" showDropDown="1" showInputMessage="0" showErrorMessage="1" allowBlank="0" errorTitle="Invalid Entry" error="Invalid value. Select from dropdown." type="list">
      <formula1>"Yes,No,Partial,Planned,N/A"</formula1>
    </dataValidation>
    <dataValidation sqref="J7 J8 J9 J10 J11 J12 J13 J14 J15 J16 J17 J18 J19 J20 J21 J22 J23 J24" showDropDown="0" showInputMessage="0" showErrorMessage="0" allowBlank="0" type="list">
      <formula1>"Yes,No,Partial,N/A"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0" customHeight="1">
      <c r="A1" s="1" t="inlineStr">
        <is>
          <t>CLOUD / CASB DLP ASSESSMENT</t>
        </is>
      </c>
    </row>
    <row r="2" ht="25" customHeight="1">
      <c r="A2" s="2" t="inlineStr">
        <is>
          <t>Assess Cloud Access Security Broker and cloud-native DLP</t>
        </is>
      </c>
    </row>
    <row r="3">
      <c r="A3" s="12" t="inlineStr">
        <is>
          <t>Cloud Service</t>
        </is>
      </c>
      <c r="B3" s="12" t="inlineStr">
        <is>
          <t>CASB Solution</t>
        </is>
      </c>
      <c r="C3" s="12" t="inlineStr">
        <is>
          <t>Integration Type</t>
        </is>
      </c>
      <c r="D3" s="12" t="inlineStr">
        <is>
          <t>Upload Monitoring</t>
        </is>
      </c>
      <c r="E3" s="12" t="inlineStr">
        <is>
          <t>Download Monitoring</t>
        </is>
      </c>
      <c r="F3" s="12" t="inlineStr">
        <is>
          <t>Sharing Controls</t>
        </is>
      </c>
      <c r="G3" s="12" t="inlineStr">
        <is>
          <t>Content Inspection</t>
        </is>
      </c>
      <c r="H3" s="12" t="inlineStr">
        <is>
          <t>Real-Time Blocking</t>
        </is>
      </c>
      <c r="I3" s="12" t="inlineStr">
        <is>
          <t>Shadow IT Discovery</t>
        </is>
      </c>
      <c r="J3" s="12" t="inlineStr">
        <is>
          <t>Evidence ID</t>
        </is>
      </c>
    </row>
    <row r="4">
      <c r="A4" s="13" t="inlineStr">
        <is>
          <t>Microsoft OneDrive</t>
        </is>
      </c>
      <c r="B4" s="13" t="inlineStr">
        <is>
          <t>Netskope</t>
        </is>
      </c>
      <c r="C4" s="13" t="inlineStr">
        <is>
          <t>API</t>
        </is>
      </c>
      <c r="D4" s="13" t="inlineStr">
        <is>
          <t>Yes</t>
        </is>
      </c>
      <c r="E4" s="13" t="inlineStr">
        <is>
          <t>Yes</t>
        </is>
      </c>
      <c r="F4" s="13" t="inlineStr">
        <is>
          <t>Yes</t>
        </is>
      </c>
      <c r="G4" s="13" t="inlineStr">
        <is>
          <t>Yes</t>
        </is>
      </c>
      <c r="H4" s="13" t="inlineStr">
        <is>
          <t>Yes</t>
        </is>
      </c>
      <c r="I4" s="13" t="inlineStr">
        <is>
          <t>Yes</t>
        </is>
      </c>
      <c r="J4" s="13" t="inlineStr">
        <is>
          <t>A812-1-CLD-001</t>
        </is>
      </c>
    </row>
    <row r="5">
      <c r="A5" s="13" t="inlineStr">
        <is>
          <t>Dropbox</t>
        </is>
      </c>
      <c r="B5" s="13" t="inlineStr">
        <is>
          <t>Netskope</t>
        </is>
      </c>
      <c r="C5" s="13" t="inlineStr">
        <is>
          <t>API</t>
        </is>
      </c>
      <c r="D5" s="13" t="inlineStr">
        <is>
          <t>Yes</t>
        </is>
      </c>
      <c r="E5" s="13" t="inlineStr">
        <is>
          <t>Yes</t>
        </is>
      </c>
      <c r="F5" s="13" t="inlineStr">
        <is>
          <t>Yes</t>
        </is>
      </c>
      <c r="G5" s="13" t="inlineStr">
        <is>
          <t>Yes</t>
        </is>
      </c>
      <c r="H5" s="13" t="inlineStr">
        <is>
          <t>Yes</t>
        </is>
      </c>
      <c r="I5" s="13" t="inlineStr">
        <is>
          <t>Yes</t>
        </is>
      </c>
      <c r="J5" s="13" t="inlineStr">
        <is>
          <t>A812-1-CLD-002</t>
        </is>
      </c>
    </row>
    <row r="6">
      <c r="A6" s="13" t="inlineStr">
        <is>
          <t>Box</t>
        </is>
      </c>
      <c r="B6" s="13" t="inlineStr">
        <is>
          <t>McAfee MVISION</t>
        </is>
      </c>
      <c r="C6" s="13" t="inlineStr">
        <is>
          <t>API</t>
        </is>
      </c>
      <c r="D6" s="13" t="inlineStr">
        <is>
          <t>Yes</t>
        </is>
      </c>
      <c r="E6" s="13" t="inlineStr">
        <is>
          <t>Partial</t>
        </is>
      </c>
      <c r="F6" s="13" t="inlineStr">
        <is>
          <t>Yes</t>
        </is>
      </c>
      <c r="G6" s="13" t="inlineStr">
        <is>
          <t>Yes</t>
        </is>
      </c>
      <c r="H6" s="13" t="inlineStr">
        <is>
          <t>Partial</t>
        </is>
      </c>
      <c r="I6" s="13" t="inlineStr">
        <is>
          <t>Partial</t>
        </is>
      </c>
      <c r="J6" s="13" t="inlineStr">
        <is>
          <t>A812-1-CLD-003</t>
        </is>
      </c>
    </row>
    <row r="7">
      <c r="A7" s="13" t="inlineStr">
        <is>
          <t>Google Drive</t>
        </is>
      </c>
      <c r="B7" s="13" t="inlineStr">
        <is>
          <t>Native Google DLP</t>
        </is>
      </c>
      <c r="C7" s="13" t="inlineStr">
        <is>
          <t>API</t>
        </is>
      </c>
      <c r="D7" s="13" t="inlineStr">
        <is>
          <t>Yes</t>
        </is>
      </c>
      <c r="E7" s="13" t="inlineStr">
        <is>
          <t>Yes</t>
        </is>
      </c>
      <c r="F7" s="13" t="inlineStr">
        <is>
          <t>Yes</t>
        </is>
      </c>
      <c r="G7" s="13" t="inlineStr">
        <is>
          <t>Yes</t>
        </is>
      </c>
      <c r="H7" s="13" t="inlineStr">
        <is>
          <t>Yes</t>
        </is>
      </c>
      <c r="I7" s="13" t="inlineStr">
        <is>
          <t>N/A</t>
        </is>
      </c>
      <c r="J7" s="13" t="inlineStr">
        <is>
          <t>A812-1-CLD-004</t>
        </is>
      </c>
    </row>
    <row r="8">
      <c r="A8" s="13" t="inlineStr">
        <is>
          <t>GitHub</t>
        </is>
      </c>
      <c r="B8" s="13" t="inlineStr">
        <is>
          <t>Netskope</t>
        </is>
      </c>
      <c r="C8" s="13" t="inlineStr">
        <is>
          <t>API</t>
        </is>
      </c>
      <c r="D8" s="13" t="inlineStr">
        <is>
          <t>Yes</t>
        </is>
      </c>
      <c r="E8" s="13" t="inlineStr">
        <is>
          <t>Yes</t>
        </is>
      </c>
      <c r="F8" s="13" t="inlineStr">
        <is>
          <t>No</t>
        </is>
      </c>
      <c r="G8" s="13" t="inlineStr">
        <is>
          <t>Yes</t>
        </is>
      </c>
      <c r="H8" s="13" t="inlineStr">
        <is>
          <t>Yes</t>
        </is>
      </c>
      <c r="I8" s="13" t="inlineStr">
        <is>
          <t>Yes</t>
        </is>
      </c>
      <c r="J8" s="13" t="inlineStr">
        <is>
          <t>A812-1-CLD-005</t>
        </is>
      </c>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sheetData>
  <mergeCells count="2">
    <mergeCell ref="A1:J1"/>
    <mergeCell ref="A2:J2"/>
  </mergeCells>
  <dataValidations count="7">
    <dataValidation sqref="C9 C10 C11 C12 C13 C14 C15 C16 C17 C18 C19 C20 C21 C22 C23 C24" showDropDown="1" showInputMessage="0" showErrorMessage="0" allowBlank="0" type="list">
      <formula1>"API,Inline,Log Analysis"</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 sqref="D9 D10 D11 D12 D13 D14 D15 D16 D17 D18 D19 D20 D21 D22 D23 D24 E9 E10 E11 E12 E13 E14 E15 E16 E17 E18 E19 E20 E21 E22 E23 E24 F9 F10 F11 F12 F13 F14 F15 F16 F17 F18 F19 F20 F21 F22 F23 F24 G9 G10 G11 G12 G13 G14 G15 G16 G17 G18 G19 G20 G21 G22 G23 G24 H9 H10 H11 H12 H13 H14 H15 H16 H17 H18 H19 H20 H21 H22 H23 H24 I9 I10 I11 I12 I13 I14 I15 I16 I17 I18 I19 I20 I21 I22 I23 I24"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0" customHeight="1">
      <c r="A1" s="1" t="inlineStr">
        <is>
          <t>WEB PROXY DLP ASSESSMENT</t>
        </is>
      </c>
    </row>
    <row r="2" ht="25" customHeight="1">
      <c r="A2" s="2" t="inlineStr">
        <is>
          <t>Assess web proxy DLP configurations (forward/reverse proxy, SSL inspection)</t>
        </is>
      </c>
    </row>
    <row r="3">
      <c r="A3" s="12" t="inlineStr">
        <is>
          <t>Proxy Solution</t>
        </is>
      </c>
      <c r="B3" s="12" t="inlineStr">
        <is>
          <t>Proxy Type</t>
        </is>
      </c>
      <c r="C3" s="12" t="inlineStr">
        <is>
          <t>SSL Inspection</t>
        </is>
      </c>
      <c r="D3" s="12" t="inlineStr">
        <is>
          <t>HTTP/HTTPS Coverage</t>
        </is>
      </c>
      <c r="E3" s="12" t="inlineStr">
        <is>
          <t>Upload Monitoring</t>
        </is>
      </c>
      <c r="F3" s="12" t="inlineStr">
        <is>
          <t>Download Monitoring</t>
        </is>
      </c>
      <c r="G3" s="12" t="inlineStr">
        <is>
          <t>Cloud Storage Detection</t>
        </is>
      </c>
      <c r="H3" s="12" t="inlineStr">
        <is>
          <t>Webmail Monitoring</t>
        </is>
      </c>
      <c r="I3" s="12" t="inlineStr">
        <is>
          <t>URL Filtering Integration</t>
        </is>
      </c>
      <c r="J3" s="12" t="inlineStr">
        <is>
          <t>Evidence ID</t>
        </is>
      </c>
    </row>
    <row r="4">
      <c r="A4" s="13" t="inlineStr">
        <is>
          <t>Zscaler</t>
        </is>
      </c>
      <c r="B4" s="13" t="inlineStr">
        <is>
          <t>Cloud</t>
        </is>
      </c>
      <c r="C4" s="13" t="inlineStr">
        <is>
          <t>Yes</t>
        </is>
      </c>
      <c r="D4" s="13" t="inlineStr">
        <is>
          <t>Yes</t>
        </is>
      </c>
      <c r="E4" s="13" t="inlineStr">
        <is>
          <t>Yes</t>
        </is>
      </c>
      <c r="F4" s="13" t="inlineStr">
        <is>
          <t>Yes</t>
        </is>
      </c>
      <c r="G4" s="13" t="inlineStr">
        <is>
          <t>Yes</t>
        </is>
      </c>
      <c r="H4" s="13" t="inlineStr">
        <is>
          <t>Yes</t>
        </is>
      </c>
      <c r="I4" s="13" t="inlineStr">
        <is>
          <t>Yes</t>
        </is>
      </c>
      <c r="J4" s="13" t="inlineStr">
        <is>
          <t>A812-1-WEB-001</t>
        </is>
      </c>
    </row>
    <row r="5">
      <c r="A5" s="13" t="inlineStr">
        <is>
          <t>Forcepoint Web</t>
        </is>
      </c>
      <c r="B5" s="13" t="inlineStr">
        <is>
          <t>Forward</t>
        </is>
      </c>
      <c r="C5" s="13" t="inlineStr">
        <is>
          <t>Yes</t>
        </is>
      </c>
      <c r="D5" s="13" t="inlineStr">
        <is>
          <t>Yes</t>
        </is>
      </c>
      <c r="E5" s="13" t="inlineStr">
        <is>
          <t>Yes</t>
        </is>
      </c>
      <c r="F5" s="13" t="inlineStr">
        <is>
          <t>Partial</t>
        </is>
      </c>
      <c r="G5" s="13" t="inlineStr">
        <is>
          <t>Yes</t>
        </is>
      </c>
      <c r="H5" s="13" t="inlineStr">
        <is>
          <t>Yes</t>
        </is>
      </c>
      <c r="I5" s="13" t="inlineStr">
        <is>
          <t>Yes</t>
        </is>
      </c>
      <c r="J5" s="13" t="inlineStr">
        <is>
          <t>A812-1-WEB-002</t>
        </is>
      </c>
    </row>
    <row r="6">
      <c r="A6" s="13" t="inlineStr">
        <is>
          <t>Squid Proxy</t>
        </is>
      </c>
      <c r="B6" s="13" t="inlineStr">
        <is>
          <t>Forward</t>
        </is>
      </c>
      <c r="C6" s="13" t="inlineStr">
        <is>
          <t>No</t>
        </is>
      </c>
      <c r="D6" s="13" t="inlineStr">
        <is>
          <t>Partial</t>
        </is>
      </c>
      <c r="E6" s="13" t="inlineStr">
        <is>
          <t>No</t>
        </is>
      </c>
      <c r="F6" s="13" t="inlineStr">
        <is>
          <t>No</t>
        </is>
      </c>
      <c r="G6" s="13" t="inlineStr">
        <is>
          <t>No</t>
        </is>
      </c>
      <c r="H6" s="13" t="inlineStr">
        <is>
          <t>No</t>
        </is>
      </c>
      <c r="I6" s="13" t="inlineStr">
        <is>
          <t>Partial</t>
        </is>
      </c>
      <c r="J6" s="13" t="inlineStr">
        <is>
          <t>A812-1-WEB-003</t>
        </is>
      </c>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sheetData>
  <mergeCells count="2">
    <mergeCell ref="A1:J1"/>
    <mergeCell ref="A2:J2"/>
  </mergeCells>
  <dataValidations count="8">
    <dataValidation sqref="B7 B8 B9 B10 B11 B12 B13 B14 B15 B16 B17 B18 B19 B20 B21 B22 B23 B24" showDropDown="1" showInputMessage="0" showErrorMessage="0" allowBlank="0" type="list">
      <formula1>"Forward,Reverse,Cloud"</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C7 C8 C9 C10 C11 C12 C13 C14 C15 C16 C17 C18 C19 C20 C21 C22 C23 C24 D7 D8 D9 D10 D11 D12 D13 D14 D15 D16 D17 D18 D19 D20 D21 D22 D23 D24 E7 E8 E9 E10 E11 E12 E13 E14 E15 E16 E17 E18 E19 E20 E21 E22 E23 E24 F7 F8 F9 F10 F11 F12 F13 F14 F15 F16 F17 F18 F19 F20 F21 F22 F23 F24 G7 G8 G9 G10 G11 G12 G13 G14 G15 G16 G17 G18 G19 G20 G21 G22 G23 G24 H7 H8 H9 H10 H11 H12 H13 H14 H15 H16 H17 H18 H19 H20 H21 H22 H23 H24" showDropDown="1" showInputMessage="0" showErrorMessage="1" allowBlank="0" errorTitle="Invalid Entry" error="Invalid value. Select from dropdown." type="list">
      <formula1>"Yes,No,Partial,Planned,N/A"</formula1>
    </dataValidation>
    <dataValidation sqref="I7 I8 I9 I10 I11 I12 I13 I14 I15 I16 I17 I18 I19 I20 I21 I22 I23 I24" showDropDown="0" showInputMessage="0" showErrorMessage="0" allowBlank="0" type="list">
      <formula1>"Yes,No,Partial,N/A"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1" t="inlineStr">
        <is>
          <t>DATABASE ACTIVITY MONITORING (DAM)</t>
        </is>
      </c>
    </row>
    <row r="2" ht="25" customHeight="1">
      <c r="A2" s="2" t="inlineStr">
        <is>
          <t>Assess Database Activity Monitoring for DLP use cases</t>
        </is>
      </c>
    </row>
    <row r="3">
      <c r="A3" s="12" t="inlineStr">
        <is>
          <t>Database System</t>
        </is>
      </c>
      <c r="B3" s="12" t="inlineStr">
        <is>
          <t>DAM Solution</t>
        </is>
      </c>
      <c r="C3" s="12" t="inlineStr">
        <is>
          <t>Monitoring Scope</t>
        </is>
      </c>
      <c r="D3" s="12" t="inlineStr">
        <is>
          <t>SELECT Query Monitoring</t>
        </is>
      </c>
      <c r="E3" s="12" t="inlineStr">
        <is>
          <t>Bulk Export Detection</t>
        </is>
      </c>
      <c r="F3" s="12" t="inlineStr">
        <is>
          <t>Privileged User Monitoring</t>
        </is>
      </c>
      <c r="G3" s="12" t="inlineStr">
        <is>
          <t>DLP Policy Integration</t>
        </is>
      </c>
      <c r="H3" s="12" t="inlineStr">
        <is>
          <t>Alert Triggering</t>
        </is>
      </c>
      <c r="I3" s="12" t="inlineStr">
        <is>
          <t>Evidence ID</t>
        </is>
      </c>
    </row>
    <row r="4">
      <c r="A4" s="13" t="inlineStr">
        <is>
          <t>Oracle 19c</t>
        </is>
      </c>
      <c r="B4" s="13" t="inlineStr">
        <is>
          <t>Imperva DAM</t>
        </is>
      </c>
      <c r="C4" s="13" t="inlineStr">
        <is>
          <t>Production</t>
        </is>
      </c>
      <c r="D4" s="13" t="inlineStr">
        <is>
          <t>Yes</t>
        </is>
      </c>
      <c r="E4" s="13" t="inlineStr">
        <is>
          <t>Yes</t>
        </is>
      </c>
      <c r="F4" s="13" t="inlineStr">
        <is>
          <t>Yes</t>
        </is>
      </c>
      <c r="G4" s="13" t="inlineStr">
        <is>
          <t>Yes</t>
        </is>
      </c>
      <c r="H4" s="13" t="inlineStr">
        <is>
          <t>Yes</t>
        </is>
      </c>
      <c r="I4" s="13" t="inlineStr">
        <is>
          <t>A812-1-DAM-001</t>
        </is>
      </c>
    </row>
    <row r="5">
      <c r="A5" s="13" t="inlineStr">
        <is>
          <t>SQL Server 2019</t>
        </is>
      </c>
      <c r="B5" s="13" t="inlineStr">
        <is>
          <t>IBM Guardium</t>
        </is>
      </c>
      <c r="C5" s="13" t="inlineStr">
        <is>
          <t>Production</t>
        </is>
      </c>
      <c r="D5" s="13" t="inlineStr">
        <is>
          <t>Yes</t>
        </is>
      </c>
      <c r="E5" s="13" t="inlineStr">
        <is>
          <t>Yes</t>
        </is>
      </c>
      <c r="F5" s="13" t="inlineStr">
        <is>
          <t>Yes</t>
        </is>
      </c>
      <c r="G5" s="13" t="inlineStr">
        <is>
          <t>Yes</t>
        </is>
      </c>
      <c r="H5" s="13" t="inlineStr">
        <is>
          <t>Yes</t>
        </is>
      </c>
      <c r="I5" s="13" t="inlineStr">
        <is>
          <t>A812-1-DAM-002</t>
        </is>
      </c>
    </row>
    <row r="6">
      <c r="A6" s="13" t="inlineStr">
        <is>
          <t>MySQL 8.0</t>
        </is>
      </c>
      <c r="B6" s="13" t="inlineStr">
        <is>
          <t>Native Audit Log</t>
        </is>
      </c>
      <c r="C6" s="13" t="inlineStr">
        <is>
          <t>All</t>
        </is>
      </c>
      <c r="D6" s="13" t="inlineStr">
        <is>
          <t>Partial</t>
        </is>
      </c>
      <c r="E6" s="13" t="inlineStr">
        <is>
          <t>No</t>
        </is>
      </c>
      <c r="F6" s="13" t="inlineStr">
        <is>
          <t>Partial</t>
        </is>
      </c>
      <c r="G6" s="13" t="inlineStr">
        <is>
          <t>No</t>
        </is>
      </c>
      <c r="H6" s="13" t="inlineStr">
        <is>
          <t>Partial</t>
        </is>
      </c>
      <c r="I6" s="13" t="inlineStr">
        <is>
          <t>A812-1-DAM-003</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sheetData>
  <mergeCells count="2">
    <mergeCell ref="A1:I1"/>
    <mergeCell ref="A2:I2"/>
  </mergeCells>
  <dataValidations count="6">
    <dataValidation sqref="C7 C8 C9 C10 C11 C12 C13 C14 C15 C16 C17 C18 C19" showDropDown="1" showInputMessage="0" showErrorMessage="0" allowBlank="0" type="list">
      <formula1>"Production,All,None"</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 sqref="D7 D8 D9 D10 D11 D12 D13 D14 D15 D16 D17 D18 D19 E7 E8 E9 E10 E11 E12 E13 E14 E15 E16 E17 E18 E19 F7 F8 F9 F10 F11 F12 F13 F14 F15 F16 F17 F18 F19 G7 G8 G9 G10 G11 G12 G13 G14 G15 G16 G17 G18 G19 H7 H8 H9 H10 H11 H12 H13 H14 H15 H16 H17 H18 H19"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0" customHeight="1">
      <c r="A1" s="1" t="inlineStr">
        <is>
          <t>GAP ANALYSIS - IDENTIFIED DEFICIENCIES</t>
        </is>
      </c>
    </row>
    <row r="2" ht="25" customHeight="1">
      <c r="A2" s="2" t="inlineStr">
        <is>
          <t>Document all infrastructure gaps and remediation plans</t>
        </is>
      </c>
    </row>
    <row r="3">
      <c r="A3" s="12" t="inlineStr">
        <is>
          <t>Gap ID</t>
        </is>
      </c>
      <c r="B3" s="12" t="inlineStr">
        <is>
          <t>Gap Description</t>
        </is>
      </c>
      <c r="C3" s="12" t="inlineStr">
        <is>
          <t>Affected Technology</t>
        </is>
      </c>
      <c r="D3" s="12" t="inlineStr">
        <is>
          <t>Risk Level</t>
        </is>
      </c>
      <c r="E3" s="12" t="inlineStr">
        <is>
          <t>Business Impact</t>
        </is>
      </c>
      <c r="F3" s="12" t="inlineStr">
        <is>
          <t>Root Cause</t>
        </is>
      </c>
      <c r="G3" s="12" t="inlineStr">
        <is>
          <t>Remediation Plan</t>
        </is>
      </c>
      <c r="H3" s="12" t="inlineStr">
        <is>
          <t>Owner</t>
        </is>
      </c>
      <c r="I3" s="12" t="inlineStr">
        <is>
          <t>Target Date</t>
        </is>
      </c>
      <c r="J3" s="12" t="inlineStr">
        <is>
          <t>Status</t>
        </is>
      </c>
      <c r="K3" s="12" t="inlineStr">
        <is>
          <t>Evidence ID</t>
        </is>
      </c>
    </row>
    <row r="4">
      <c r="A4" s="13" t="inlineStr">
        <is>
          <t>GAP-A812-1-001</t>
        </is>
      </c>
      <c r="B4" s="13" t="inlineStr">
        <is>
          <t>Endpoint DLP not deployed to Linux servers</t>
        </is>
      </c>
      <c r="C4" s="13" t="inlineStr">
        <is>
          <t>Endpoint DLP</t>
        </is>
      </c>
      <c r="D4" s="13" t="inlineStr">
        <is>
          <t>High</t>
        </is>
      </c>
      <c r="E4" s="13" t="inlineStr">
        <is>
          <t>Unmonitored data exfiltration from Linux systems</t>
        </is>
      </c>
      <c r="F4" s="13" t="inlineStr">
        <is>
          <t>Budget constraints, vendor compatibility</t>
        </is>
      </c>
      <c r="G4" s="13" t="inlineStr">
        <is>
          <t>Deploy compatible endpoint agent or implement compensating controls</t>
        </is>
      </c>
      <c r="H4" s="13" t="inlineStr">
        <is>
          <t>[Owner]</t>
        </is>
      </c>
      <c r="I4" s="13" t="inlineStr">
        <is>
          <t>[Date]</t>
        </is>
      </c>
      <c r="J4" s="13" t="inlineStr">
        <is>
          <t>Open</t>
        </is>
      </c>
      <c r="K4" s="13" t="inlineStr">
        <is>
          <t>A812-1-GAP-001</t>
        </is>
      </c>
    </row>
    <row r="5">
      <c r="A5" s="13" t="inlineStr">
        <is>
          <t>GAP-A812-1-002</t>
        </is>
      </c>
      <c r="B5" s="13" t="inlineStr">
        <is>
          <t>No SSL inspection on web proxy</t>
        </is>
      </c>
      <c r="C5" s="13" t="inlineStr">
        <is>
          <t>Web DLP</t>
        </is>
      </c>
      <c r="D5" s="13" t="inlineStr">
        <is>
          <t>High</t>
        </is>
      </c>
      <c r="E5" s="13" t="inlineStr">
        <is>
          <t>Encrypted channel bypass for web uploads</t>
        </is>
      </c>
      <c r="F5" s="13" t="inlineStr">
        <is>
          <t>Privacy concerns, certificate management complexity</t>
        </is>
      </c>
      <c r="G5" s="13" t="inlineStr">
        <is>
          <t>Implement SSL inspection with privacy impact assessment</t>
        </is>
      </c>
      <c r="H5" s="13" t="inlineStr">
        <is>
          <t>[Owner]</t>
        </is>
      </c>
      <c r="I5" s="13" t="inlineStr">
        <is>
          <t>[Date]</t>
        </is>
      </c>
      <c r="J5" s="13" t="inlineStr">
        <is>
          <t>Open</t>
        </is>
      </c>
      <c r="K5" s="13" t="inlineStr">
        <is>
          <t>A812-1-GAP-002</t>
        </is>
      </c>
    </row>
    <row r="6">
      <c r="A6" s="13" t="inlineStr">
        <is>
          <t>GAP-A812-1-003</t>
        </is>
      </c>
      <c r="B6" s="13" t="inlineStr">
        <is>
          <t>CASB missing for Dropbox</t>
        </is>
      </c>
      <c r="C6" s="13" t="inlineStr">
        <is>
          <t>Cloud DLP</t>
        </is>
      </c>
      <c r="D6" s="13" t="inlineStr">
        <is>
          <t>Medium</t>
        </is>
      </c>
      <c r="E6" s="13" t="inlineStr">
        <is>
          <t>Shadow IT data leakage via Dropbox</t>
        </is>
      </c>
      <c r="F6" s="13" t="inlineStr">
        <is>
          <t>Unknown usage, not in approved SaaS list</t>
        </is>
      </c>
      <c r="G6" s="13" t="inlineStr">
        <is>
          <t>Deploy CASB coverage or block Dropbox entirely</t>
        </is>
      </c>
      <c r="H6" s="13" t="inlineStr">
        <is>
          <t>[Owner]</t>
        </is>
      </c>
      <c r="I6" s="13" t="inlineStr">
        <is>
          <t>[Date]</t>
        </is>
      </c>
      <c r="J6" s="13" t="inlineStr">
        <is>
          <t>Open</t>
        </is>
      </c>
      <c r="K6" s="13" t="inlineStr">
        <is>
          <t>A812-1-GAP-003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sheetData>
  <mergeCells count="2">
    <mergeCell ref="A2:K2"/>
    <mergeCell ref="A1:K1"/>
  </mergeCells>
  <dataValidations count="2">
    <dataValidation sqref="D7 D8 D9 D10 D11 D12 D13 D14 D15 D16 D17 D18 D19 D20 D21 D22 D23 D24 D25 D26 D27 D28 D29 D30 D31 D32 D33 D34 D35 D36 D37 D38 D39 D40 D41 D42 D43 D44" showDropDown="1" showInputMessage="0" showErrorMessage="0" allowBlank="0" type="list">
      <formula1>"Critical,High,Medium,Low"</formula1>
    </dataValidation>
    <dataValidation sqref="J7 J8 J9 J10 J11 J12 J13 J14 J15 J16 J17 J18 J19 J20 J21 J22 J23 J24 J25 J26 J27 J28 J29 J30 J31 J32 J33 J34 J35 J36 J37 J38 J39 J40 J41 J42 J43 J44"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20" customWidth="1" min="6" max="6"/>
    <col width="25" customWidth="1" min="7" max="7"/>
    <col width="15" customWidth="1" min="8" max="8"/>
  </cols>
  <sheetData>
    <row r="1" ht="30" customHeight="1">
      <c r="A1" s="1" t="inlineStr">
        <is>
          <t>EVIDENCE REGISTER - AUDIT TRAIL</t>
        </is>
      </c>
    </row>
    <row r="2" ht="25" customHeight="1">
      <c r="A2" s="2" t="inlineStr">
        <is>
          <t>Track all evidence collected during infrastructure assessment</t>
        </is>
      </c>
    </row>
    <row r="3">
      <c r="A3" s="12" t="inlineStr">
        <is>
          <t>Evidence ID</t>
        </is>
      </c>
      <c r="B3" s="12" t="inlineStr">
        <is>
          <t>Evidence Type</t>
        </is>
      </c>
      <c r="C3" s="12" t="inlineStr">
        <is>
          <t>Description</t>
        </is>
      </c>
      <c r="D3" s="12" t="inlineStr">
        <is>
          <t>Location/Link</t>
        </is>
      </c>
      <c r="E3" s="12" t="inlineStr">
        <is>
          <t>Date Collected</t>
        </is>
      </c>
      <c r="F3" s="12" t="inlineStr">
        <is>
          <t>Collected By</t>
        </is>
      </c>
      <c r="G3" s="12" t="inlineStr">
        <is>
          <t>Related Requirement</t>
        </is>
      </c>
      <c r="H3" s="12" t="inlineStr">
        <is>
          <t>Verification Status</t>
        </is>
      </c>
    </row>
    <row r="4">
      <c r="A4" s="14" t="n"/>
      <c r="B4" s="14" t="n"/>
      <c r="C4" s="14" t="n"/>
      <c r="D4" s="14" t="n"/>
      <c r="E4" s="14" t="n"/>
      <c r="F4" s="14" t="n"/>
      <c r="G4" s="14" t="n"/>
      <c r="H4" s="14"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sheetData>
  <mergeCells count="2">
    <mergeCell ref="A2:H2"/>
    <mergeCell ref="A1:H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1" showInputMessage="0" showErrorMessage="0" allowBlank="0" type="list">
      <formula1>"Screenshot,Configuration File,Policy Document,Log Export,Report,Certificate,Email,Meeting Minutes,Other"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1" showInputMessage="0" showErrorMessage="0" allowBlank="0"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1"/>
  <sheetViews>
    <sheetView workbookViewId="0">
      <pane ySplit="7" topLeftCell="A8"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12" customWidth="1" min="5" max="5"/>
    <col width="25" customWidth="1" min="6" max="6"/>
  </cols>
  <sheetData>
    <row r="1" ht="35" customHeight="1">
      <c r="A1" s="1" t="inlineStr">
        <is>
          <t>DLP Infrastructure - COMPLIANCE DASHBOARD</t>
        </is>
      </c>
    </row>
    <row r="3">
      <c r="A3" s="3" t="inlineStr">
        <is>
          <t>Assessment Date:</t>
        </is>
      </c>
      <c r="B3" s="4" t="inlineStr">
        <is>
          <t>[USER INPUT]</t>
        </is>
      </c>
      <c r="D3" s="3" t="inlineStr">
        <is>
          <t>CISO Approval:</t>
        </is>
      </c>
      <c r="E3" s="4" t="inlineStr">
        <is>
          <t>[Dropdown]</t>
        </is>
      </c>
    </row>
    <row r="4">
      <c r="A4" s="3" t="inlineStr">
        <is>
          <t>Completed By:</t>
        </is>
      </c>
      <c r="B4" s="4" t="inlineStr">
        <is>
          <t>[USER INPUT]</t>
        </is>
      </c>
      <c r="D4" s="3" t="inlineStr">
        <is>
          <t>Last Review:</t>
        </is>
      </c>
      <c r="E4" s="4" t="inlineStr">
        <is>
          <t>[Date]</t>
        </is>
      </c>
    </row>
    <row r="6" ht="25" customHeight="1">
      <c r="A6" s="2" t="inlineStr">
        <is>
          <t>KEY PERFORMANCE INDICATORS</t>
        </is>
      </c>
    </row>
    <row r="7">
      <c r="A7" s="12" t="inlineStr">
        <is>
          <t>KPI</t>
        </is>
      </c>
      <c r="B7" s="12" t="inlineStr">
        <is>
          <t>Current Value</t>
        </is>
      </c>
      <c r="C7" s="12" t="inlineStr">
        <is>
          <t>Target</t>
        </is>
      </c>
      <c r="D7" s="12" t="inlineStr">
        <is>
          <t>Status</t>
        </is>
      </c>
      <c r="E7" s="12" t="inlineStr">
        <is>
          <t>Trend</t>
        </is>
      </c>
      <c r="F7" s="12" t="inlineStr">
        <is>
          <t>Notes</t>
        </is>
      </c>
    </row>
    <row r="8">
      <c r="A8" t="inlineStr">
        <is>
          <t>Total DLP Technologies Deployed</t>
        </is>
      </c>
      <c r="B8">
        <f>COUNTA(DLP_Technology_Inventory!B$4:B$35)-5</f>
        <v/>
      </c>
      <c r="C8" t="inlineStr">
        <is>
          <t>≥5</t>
        </is>
      </c>
      <c r="D8">
        <f>IF(B8&gt;=C8,"✅ Pass","❌ Fail")</f>
        <v/>
      </c>
      <c r="E8" t="inlineStr">
        <is>
          <t>→</t>
        </is>
      </c>
      <c r="F8" t="inlineStr"/>
    </row>
    <row r="9">
      <c r="A9" t="inlineStr">
        <is>
          <t>Production Technologies</t>
        </is>
      </c>
      <c r="B9">
        <f>COUNTIF(DLP_Technology_Inventory!G$4:G$35,"Production")</f>
        <v/>
      </c>
      <c r="C9" t="inlineStr">
        <is>
          <t>≥4</t>
        </is>
      </c>
      <c r="D9">
        <f>IF(B9&gt;=C9,"✅ Pass","❌ Fail")</f>
        <v/>
      </c>
      <c r="E9" t="inlineStr">
        <is>
          <t>→</t>
        </is>
      </c>
      <c r="F9" t="inlineStr"/>
    </row>
    <row r="10">
      <c r="A10" t="inlineStr">
        <is>
          <t>Network DLP Coverage %</t>
        </is>
      </c>
      <c r="B10">
        <f>COUNTIF(Network_DLP!H$4:H$25,"Yes")/20*100</f>
        <v/>
      </c>
      <c r="C10" t="inlineStr">
        <is>
          <t>≥80%</t>
        </is>
      </c>
      <c r="D10">
        <f>IF(B10&gt;=80,"✅ Pass","❌ Fail")</f>
        <v/>
      </c>
      <c r="E10" t="inlineStr">
        <is>
          <t>→</t>
        </is>
      </c>
      <c r="F10" t="inlineStr"/>
    </row>
    <row r="11">
      <c r="A11" t="inlineStr">
        <is>
          <t>Endpoint DLP Coverage %</t>
        </is>
      </c>
      <c r="B11">
        <f>AVERAGE(Endpoint_DLP!H$4:H$30)</f>
        <v/>
      </c>
      <c r="C11" t="inlineStr">
        <is>
          <t>≥95%</t>
        </is>
      </c>
      <c r="D11">
        <f>IF(B11&gt;=95,"✅ Pass","❌ Fail")</f>
        <v/>
      </c>
      <c r="E11" t="inlineStr">
        <is>
          <t>→</t>
        </is>
      </c>
      <c r="F11" t="inlineStr"/>
    </row>
    <row r="12">
      <c r="A12" t="inlineStr">
        <is>
          <t>Email DLP Coverage %</t>
        </is>
      </c>
      <c r="B12">
        <f>COUNTIF(Email_DLP!D$4:D$25,"Yes")/20*100</f>
        <v/>
      </c>
      <c r="C12" t="inlineStr">
        <is>
          <t>≥90%</t>
        </is>
      </c>
      <c r="D12">
        <f>IF(B12&gt;=90,"✅ Pass","❌ Fail")</f>
        <v/>
      </c>
      <c r="E12" t="inlineStr">
        <is>
          <t>→</t>
        </is>
      </c>
      <c r="F12" t="inlineStr"/>
    </row>
    <row r="13">
      <c r="A13" t="inlineStr">
        <is>
          <t>Cloud/CASB DLP Coverage %</t>
        </is>
      </c>
      <c r="B13">
        <f>COUNTIF(Cloud_CASB_DLP!D$4:D$25,"Yes")/20*100</f>
        <v/>
      </c>
      <c r="C13" t="inlineStr">
        <is>
          <t>≥70%</t>
        </is>
      </c>
      <c r="D13">
        <f>IF(B13&gt;=70,"✅ Pass","❌ Fail")</f>
        <v/>
      </c>
      <c r="E13" t="inlineStr">
        <is>
          <t>→</t>
        </is>
      </c>
      <c r="F13" t="inlineStr"/>
    </row>
    <row r="14">
      <c r="A14" t="inlineStr">
        <is>
          <t>Web DLP Coverage %</t>
        </is>
      </c>
      <c r="B14">
        <f>COUNTIF(Web_DLP!C$4:C$25,"Yes")/20*100</f>
        <v/>
      </c>
      <c r="C14" t="inlineStr">
        <is>
          <t>≥75%</t>
        </is>
      </c>
      <c r="D14">
        <f>IF(B14&gt;=75,"✅ Pass","❌ Fail")</f>
        <v/>
      </c>
      <c r="E14" t="inlineStr">
        <is>
          <t>→</t>
        </is>
      </c>
      <c r="F14" t="inlineStr"/>
    </row>
    <row r="15">
      <c r="A15" t="inlineStr">
        <is>
          <t>Database DAM Coverage %</t>
        </is>
      </c>
      <c r="B15">
        <f>COUNTIF(Database_DAM!C$4:C$20,"Production")/15*100</f>
        <v/>
      </c>
      <c r="C15" t="inlineStr">
        <is>
          <t>≥80%</t>
        </is>
      </c>
      <c r="D15">
        <f>IF(B15&gt;=80,"✅ Pass","❌ Fail")</f>
        <v/>
      </c>
      <c r="E15" t="inlineStr">
        <is>
          <t>→</t>
        </is>
      </c>
      <c r="F15" t="inlineStr"/>
    </row>
    <row r="16">
      <c r="A16" t="inlineStr">
        <is>
          <t>SIEM Integration Rate %</t>
        </is>
      </c>
      <c r="B16">
        <f>COUNTIF(DLP_Technology_Inventory!N$4:N$35,"Yes")/B8*100</f>
        <v/>
      </c>
      <c r="C16" t="inlineStr">
        <is>
          <t>≥90%</t>
        </is>
      </c>
      <c r="D16">
        <f>IF(B16&gt;=90,"✅ Pass","❌ Fail")</f>
        <v/>
      </c>
      <c r="E16" t="inlineStr">
        <is>
          <t>→</t>
        </is>
      </c>
      <c r="F16" t="inlineStr"/>
    </row>
    <row r="17">
      <c r="A17" t="inlineStr">
        <is>
          <t>Total Gaps Identified</t>
        </is>
      </c>
      <c r="B17">
        <f>COUNTA(Gap_Analysis!A$4:A$45)-3</f>
        <v/>
      </c>
      <c r="C17" t="inlineStr">
        <is>
          <t>≤10</t>
        </is>
      </c>
      <c r="D17">
        <f>IF(B17&lt;=10,"✅ Pass","❌ Fail")</f>
        <v/>
      </c>
      <c r="E17" t="inlineStr">
        <is>
          <t>→</t>
        </is>
      </c>
      <c r="F17" t="inlineStr"/>
    </row>
    <row r="18">
      <c r="A18" t="inlineStr">
        <is>
          <t>Critical/High Gaps</t>
        </is>
      </c>
      <c r="B18">
        <f>COUNTIFS(Gap_Analysis!D$4:D$45,"Critical")+COUNTIFS(Gap_Analysis!D$4:D$45,"High")</f>
        <v/>
      </c>
      <c r="C18" t="inlineStr">
        <is>
          <t>0</t>
        </is>
      </c>
      <c r="D18">
        <f>IF(B18=0,"✅ Pass","❌ Fail")</f>
        <v/>
      </c>
      <c r="E18" t="inlineStr">
        <is>
          <t>→</t>
        </is>
      </c>
      <c r="F18" t="inlineStr"/>
    </row>
    <row r="19">
      <c r="A19" t="inlineStr">
        <is>
          <t>Overall Infrastructure Compliance %</t>
        </is>
      </c>
      <c r="B19">
        <f>AVERAGE(B10:B16)</f>
        <v/>
      </c>
      <c r="C19" t="inlineStr">
        <is>
          <t>≥85%</t>
        </is>
      </c>
      <c r="D19">
        <f>IF(B19&gt;=85,"✅ Compliant",IF(B19&gt;=70,"⚠️ Partial","❌ Non-Compliant"))</f>
        <v/>
      </c>
      <c r="E19" t="inlineStr">
        <is>
          <t>→</t>
        </is>
      </c>
      <c r="F19" t="inlineStr"/>
    </row>
    <row r="22">
      <c r="A22" s="2" t="inlineStr">
        <is>
          <t>GAP SUMMARY BY RISK LEVEL</t>
        </is>
      </c>
    </row>
    <row r="23">
      <c r="A23" s="12" t="inlineStr">
        <is>
          <t>Risk Level</t>
        </is>
      </c>
      <c r="B23" s="12" t="inlineStr">
        <is>
          <t>Count</t>
        </is>
      </c>
      <c r="C23" s="12" t="inlineStr">
        <is>
          <t>% of Total</t>
        </is>
      </c>
    </row>
    <row r="24">
      <c r="A24" t="inlineStr">
        <is>
          <t>Critical</t>
        </is>
      </c>
      <c r="B24">
        <f>COUNTIF(Gap_Analysis!D$4:D$45,"Critical")</f>
        <v/>
      </c>
      <c r="C24">
        <f>B24/B17*100</f>
        <v/>
      </c>
    </row>
    <row r="25">
      <c r="A25" t="inlineStr">
        <is>
          <t>High</t>
        </is>
      </c>
      <c r="B25">
        <f>COUNTIF(Gap_Analysis!D$4:D$45,"High")</f>
        <v/>
      </c>
      <c r="C25">
        <f>B25/B17*100</f>
        <v/>
      </c>
    </row>
    <row r="26">
      <c r="A26" t="inlineStr">
        <is>
          <t>Medium</t>
        </is>
      </c>
      <c r="B26">
        <f>COUNTIF(Gap_Analysis!D$4:D$45,"Medium")</f>
        <v/>
      </c>
      <c r="C26">
        <f>B26/B17*100</f>
        <v/>
      </c>
    </row>
    <row r="27">
      <c r="A27" t="inlineStr">
        <is>
          <t>Low</t>
        </is>
      </c>
      <c r="B27">
        <f>COUNTIF(Gap_Analysis!D$4:D$45,"Low")</f>
        <v/>
      </c>
      <c r="C27">
        <f>B27/B17*100</f>
        <v/>
      </c>
    </row>
    <row r="30">
      <c r="A30" s="2" t="inlineStr">
        <is>
          <t>EVIDENCE COMPLETENESS</t>
        </is>
      </c>
    </row>
    <row r="31">
      <c r="A31" s="12" t="inlineStr">
        <is>
          <t>Metric</t>
        </is>
      </c>
      <c r="B31" s="12" t="inlineStr">
        <is>
          <t>Value</t>
        </is>
      </c>
    </row>
    <row r="32">
      <c r="A32" t="inlineStr">
        <is>
          <t>Evidence Items Collected</t>
        </is>
      </c>
      <c r="B32">
        <f>COUNTA(Evidence_Register!A$4:A$105)</f>
        <v/>
      </c>
    </row>
    <row r="33">
      <c r="A33" t="inlineStr">
        <is>
          <t>Evidence Items Verified</t>
        </is>
      </c>
      <c r="B33">
        <f>COUNTIF(Evidence_Register!H$4:H$105,"Verified")</f>
        <v/>
      </c>
    </row>
    <row r="34">
      <c r="A34" t="inlineStr">
        <is>
          <t>Evidence Completeness %</t>
        </is>
      </c>
      <c r="B34">
        <f>B33/B32*100</f>
        <v/>
      </c>
    </row>
    <row r="37">
      <c r="A37" s="2" t="inlineStr">
        <is>
          <t>APPROVAL SIGN-OFF</t>
        </is>
      </c>
    </row>
    <row r="38">
      <c r="A38" s="12" t="inlineStr">
        <is>
          <t>Approver</t>
        </is>
      </c>
      <c r="B38" s="12" t="inlineStr">
        <is>
          <t>Name</t>
        </is>
      </c>
      <c r="C38" s="12" t="inlineStr">
        <is>
          <t>Signature</t>
        </is>
      </c>
      <c r="D38" s="12" t="inlineStr">
        <is>
          <t>Date</t>
        </is>
      </c>
      <c r="E38" s="12" t="inlineStr">
        <is>
          <t>Status</t>
        </is>
      </c>
    </row>
    <row r="39">
      <c r="A39" t="inlineStr">
        <is>
          <t>DLP Administrator</t>
        </is>
      </c>
      <c r="B39" s="4" t="n"/>
      <c r="C39" s="4" t="n"/>
      <c r="D39" s="4" t="n"/>
      <c r="E39" s="4" t="n"/>
    </row>
    <row r="40">
      <c r="A40" t="inlineStr">
        <is>
          <t>CISO</t>
        </is>
      </c>
      <c r="B40" s="4" t="n"/>
      <c r="C40" s="4" t="n"/>
      <c r="D40" s="4" t="n"/>
      <c r="E40" s="4" t="n"/>
    </row>
    <row r="41">
      <c r="A41" t="inlineStr">
        <is>
          <t>DPO</t>
        </is>
      </c>
      <c r="B41" s="4" t="n"/>
      <c r="C41" s="4" t="n"/>
      <c r="D41" s="4" t="n"/>
      <c r="E41" s="4" t="n"/>
    </row>
  </sheetData>
  <mergeCells count="5">
    <mergeCell ref="A1:F1"/>
    <mergeCell ref="A37:F37"/>
    <mergeCell ref="A6:F6"/>
    <mergeCell ref="A22:F22"/>
    <mergeCell ref="A30:F30"/>
  </mergeCells>
  <dataValidations count="1">
    <dataValidation sqref="E39 E40 E41"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2026-02-08T11:26:07Z</dcterms:created>
  <dcterms:modified xmlns:dcterms="http://purl.org/dc/terms/" xmlns:xsi="http://www.w3.org/2001/XMLSchema-instance" xsi:type="dcterms:W3CDTF">2026-02-08T11:26:07Z</dcterms:modified>
</cp:coreProperties>
</file>