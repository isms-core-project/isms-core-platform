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_Legend" sheetId="1" state="visible" r:id="rId1"/>
    <sheet xmlns:r="http://schemas.openxmlformats.org/officeDocument/2006/relationships" name="DLP_Technology_Inventory" sheetId="2" state="visible" r:id="rId2"/>
    <sheet xmlns:r="http://schemas.openxmlformats.org/officeDocument/2006/relationships" name="Network_DLP" sheetId="3" state="visible" r:id="rId3"/>
    <sheet xmlns:r="http://schemas.openxmlformats.org/officeDocument/2006/relationships" name="Endpoint_DLP" sheetId="4" state="visible" r:id="rId4"/>
    <sheet xmlns:r="http://schemas.openxmlformats.org/officeDocument/2006/relationships" name="Email_DLP" sheetId="5" state="visible" r:id="rId5"/>
    <sheet xmlns:r="http://schemas.openxmlformats.org/officeDocument/2006/relationships" name="Cloud_CASB_DLP" sheetId="6" state="visible" r:id="rId6"/>
    <sheet xmlns:r="http://schemas.openxmlformats.org/officeDocument/2006/relationships" name="Web_DLP" sheetId="7" state="visible" r:id="rId7"/>
    <sheet xmlns:r="http://schemas.openxmlformats.org/officeDocument/2006/relationships" name="Database_DAM" sheetId="8" state="visible" r:id="rId8"/>
    <sheet xmlns:r="http://schemas.openxmlformats.org/officeDocument/2006/relationships" name="Gap_Analysis" sheetId="9" state="visible" r:id="rId9"/>
    <sheet xmlns:r="http://schemas.openxmlformats.org/officeDocument/2006/relationships" name="Evidence_Register" sheetId="10" state="visible" r:id="rId10"/>
    <sheet xmlns:r="http://schemas.openxmlformats.org/officeDocument/2006/relationships" name="Summary_Dashboard"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6"/>
    </font>
    <font>
      <name val="Calibri"/>
      <b val="1"/>
      <color rgb="00FFFFFF"/>
      <sz val="12"/>
    </font>
    <font>
      <b val="1"/>
    </font>
    <font>
      <b val="1"/>
      <sz val="12"/>
    </font>
    <font>
      <name val="Calibri"/>
      <b val="1"/>
      <sz val="10"/>
    </font>
  </fonts>
  <fills count="12">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B4C7E7"/>
        <bgColor rgb="00B4C7E7"/>
      </patternFill>
    </fill>
    <fill>
      <patternFill patternType="solid">
        <fgColor rgb="00FFFFFF"/>
        <bgColor rgb="00FFFFFF"/>
      </patternFill>
    </fill>
    <fill>
      <patternFill patternType="solid">
        <fgColor rgb="00D9D9D9"/>
        <bgColor rgb="00D9D9D9"/>
      </patternFill>
    </fill>
    <fill>
      <patternFill patternType="solid">
        <fgColor rgb="00E7E6E6"/>
        <bgColor rgb="00E7E6E6"/>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pivotButton="0" quotePrefix="0" xfId="0"/>
    <xf numFmtId="0" fontId="0" fillId="4" borderId="0" pivotButton="0" quotePrefix="0" xfId="0"/>
    <xf numFmtId="0" fontId="4" fillId="0" borderId="0" pivotButton="0" quotePrefix="0" xfId="0"/>
    <xf numFmtId="0" fontId="0" fillId="0" borderId="0" applyAlignment="1" pivotButton="0" quotePrefix="0" xfId="0">
      <alignment wrapText="1"/>
    </xf>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5" fillId="10" borderId="1" applyAlignment="1" pivotButton="0" quotePrefix="0" xfId="0">
      <alignment horizontal="center" vertical="center" wrapText="1"/>
    </xf>
    <xf numFmtId="0" fontId="0" fillId="11" borderId="1" applyAlignment="1" pivotButton="0" quotePrefix="0" xfId="0">
      <alignment horizontal="left" vertical="top" wrapText="1"/>
    </xf>
    <xf numFmtId="0" fontId="0" fillId="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2"/>
  <sheetViews>
    <sheetView workbookViewId="0">
      <pane ySplit="2" topLeftCell="A3" activePane="bottomLeft" state="frozen"/>
      <selection pane="bottomLeft" activeCell="A1" sqref="A1"/>
    </sheetView>
  </sheetViews>
  <sheetFormatPr baseColWidth="8" defaultRowHeight="15"/>
  <cols>
    <col width="20" customWidth="1" min="1" max="1"/>
    <col width="30" customWidth="1" min="2" max="2"/>
  </cols>
  <sheetData>
    <row r="1" ht="40" customHeight="1">
      <c r="A1" s="1" t="inlineStr">
        <is>
          <t>ISMS Control ISMS-IMP-A.8.12.1 - DLP Infrastructure</t>
        </is>
      </c>
    </row>
    <row r="2" ht="25" customHeight="1">
      <c r="A2" s="2" t="inlineStr">
        <is>
          <t>ISO/IEC 27001:2022 Control A.8.12 - Data Leakage Prevention</t>
        </is>
      </c>
    </row>
    <row r="4">
      <c r="A4" s="3" t="inlineStr">
        <is>
          <t>Document ID:</t>
        </is>
      </c>
      <c r="B4" t="inlineStr">
        <is>
          <t>ISMS-IMP-A.8.12.1</t>
        </is>
      </c>
    </row>
    <row r="5">
      <c r="A5" s="3" t="inlineStr">
        <is>
          <t>Assessment Area:</t>
        </is>
      </c>
      <c r="B5" t="inlineStr">
        <is>
          <t>DLP Infrastructure</t>
        </is>
      </c>
    </row>
    <row r="6">
      <c r="A6" s="3" t="inlineStr">
        <is>
          <t>Related Policy:</t>
        </is>
      </c>
      <c r="B6" t="inlineStr">
        <is>
          <t>ISMS-POL-A.8.12-S2.2</t>
        </is>
      </c>
    </row>
    <row r="7">
      <c r="A7" s="3" t="inlineStr">
        <is>
          <t>Version:</t>
        </is>
      </c>
      <c r="B7" t="inlineStr">
        <is>
          <t>1.0</t>
        </is>
      </c>
    </row>
    <row r="8">
      <c r="A8" s="3" t="inlineStr">
        <is>
          <t>Assessment Date:</t>
        </is>
      </c>
      <c r="B8" s="4" t="inlineStr">
        <is>
          <t>[USER INPUT]</t>
        </is>
      </c>
    </row>
    <row r="9">
      <c r="A9" s="3" t="inlineStr">
        <is>
          <t>Completed By:</t>
        </is>
      </c>
      <c r="B9" s="4" t="inlineStr">
        <is>
          <t>[USER INPUT]</t>
        </is>
      </c>
    </row>
    <row r="10">
      <c r="A10" s="3" t="inlineStr">
        <is>
          <t>Organization:</t>
        </is>
      </c>
      <c r="B10" s="4" t="inlineStr">
        <is>
          <t>[USER INPUT]</t>
        </is>
      </c>
    </row>
    <row r="11">
      <c r="A11" s="3" t="inlineStr">
        <is>
          <t>Review Cycle:</t>
        </is>
      </c>
      <c r="B11" t="inlineStr">
        <is>
          <t>Quarterly</t>
        </is>
      </c>
    </row>
    <row r="14">
      <c r="A14" s="5" t="inlineStr">
        <is>
          <t>HOW TO USE THIS WORKBOOK</t>
        </is>
      </c>
    </row>
    <row r="15">
      <c r="A15" s="6" t="inlineStr">
        <is>
          <t>1. Complete each worksheet tab in sequence (Technology Inventory → Network → Endpoint → ... → Summary)</t>
        </is>
      </c>
    </row>
    <row r="16">
      <c r="A16" s="6" t="inlineStr">
        <is>
          <t>2. Fill ALL yellow-highlighted cells with your organization's information</t>
        </is>
      </c>
    </row>
    <row r="17">
      <c r="A17" s="6" t="inlineStr">
        <is>
          <t>3. Use dropdown menus where provided (do not type free-form text in dropdown cells)</t>
        </is>
      </c>
    </row>
    <row r="18">
      <c r="A18" s="6" t="inlineStr">
        <is>
          <t>4. Document all DLP technologies across network, endpoint, cloud, email, web, and database layers</t>
        </is>
      </c>
    </row>
    <row r="19">
      <c r="A19" s="6" t="inlineStr">
        <is>
          <t>5. Provide evidence IDs for all assessments (format: A812-1-[CATEGORY]-[###])</t>
        </is>
      </c>
    </row>
    <row r="20">
      <c r="A20" s="6" t="inlineStr">
        <is>
          <t>6. Review Summary Dashboard for overall infrastructure compliance score</t>
        </is>
      </c>
    </row>
    <row r="21">
      <c r="A21" s="6" t="inlineStr">
        <is>
          <t>7. Identify gaps in Gap_Analysis sheet and create remediation plans</t>
        </is>
      </c>
    </row>
    <row r="22">
      <c r="A22" s="6" t="inlineStr">
        <is>
          <t>8. Upload evidence files to designated Evidence folder</t>
        </is>
      </c>
    </row>
    <row r="23">
      <c r="A23" s="6" t="inlineStr">
        <is>
          <t>9. Obtain CISO/DPO approval in Summary Dashboard before finalizing</t>
        </is>
      </c>
    </row>
    <row r="24">
      <c r="A24" s="6" t="inlineStr">
        <is>
          <t>10. Update this workbook quarterly or upon major infrastructure changes</t>
        </is>
      </c>
    </row>
    <row r="27">
      <c r="A27" s="5" t="inlineStr">
        <is>
          <t>LEGEND - RESPONSE VALUES</t>
        </is>
      </c>
    </row>
    <row r="28">
      <c r="A28" s="7" t="inlineStr">
        <is>
          <t>Yes</t>
        </is>
      </c>
      <c r="B28" t="inlineStr">
        <is>
          <t>Fully implemented and documented</t>
        </is>
      </c>
    </row>
    <row r="29">
      <c r="A29" s="8" t="inlineStr">
        <is>
          <t>No</t>
        </is>
      </c>
      <c r="B29" t="inlineStr">
        <is>
          <t>Not implemented</t>
        </is>
      </c>
    </row>
    <row r="30">
      <c r="A30" s="9" t="inlineStr">
        <is>
          <t>Partial</t>
        </is>
      </c>
      <c r="B30" t="inlineStr">
        <is>
          <t>Partially implemented (explain in notes)</t>
        </is>
      </c>
    </row>
    <row r="31">
      <c r="A31" s="10" t="inlineStr">
        <is>
          <t>Planned</t>
        </is>
      </c>
      <c r="B31" t="inlineStr">
        <is>
          <t>Scheduled for implementation (provide target date)</t>
        </is>
      </c>
    </row>
    <row r="32">
      <c r="A32" s="11" t="inlineStr">
        <is>
          <t>N/A</t>
        </is>
      </c>
      <c r="B32" t="inlineStr">
        <is>
          <t>Not applicable (provide justification)</t>
        </is>
      </c>
    </row>
    <row r="35">
      <c r="A35" s="5" t="inlineStr">
        <is>
          <t>EVIDENCE NAMING CONVENTION</t>
        </is>
      </c>
    </row>
    <row r="36">
      <c r="A36" s="6" t="inlineStr">
        <is>
          <t>Format: A812-1-[CATEGORY]-[###]</t>
        </is>
      </c>
    </row>
    <row r="37">
      <c r="A37" s="6" t="inlineStr">
        <is>
          <t>Examples:</t>
        </is>
      </c>
    </row>
    <row r="38">
      <c r="A38" s="6" t="inlineStr">
        <is>
          <t xml:space="preserve">  • A812-1-INF-001 = Infrastructure - Technology inventory</t>
        </is>
      </c>
    </row>
    <row r="39">
      <c r="A39" s="6" t="inlineStr">
        <is>
          <t xml:space="preserve">  • A812-1-NET-001 = Network DLP - Configuration screenshot</t>
        </is>
      </c>
    </row>
    <row r="40">
      <c r="A40" s="6" t="inlineStr">
        <is>
          <t xml:space="preserve">  • A812-1-EPT-001 = Endpoint DLP - Deployment report</t>
        </is>
      </c>
    </row>
    <row r="41">
      <c r="A41" s="6" t="inlineStr">
        <is>
          <t xml:space="preserve">  • A812-1-EML-001 = Email DLP - Policy config</t>
        </is>
      </c>
    </row>
    <row r="42">
      <c r="A42" s="6" t="inlineStr">
        <is>
          <t xml:space="preserve">  • A812-1-CLD-001 = Cloud/CASB - CASB dashboard</t>
        </is>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4"/>
  <sheetViews>
    <sheetView workbookViewId="0">
      <pane ySplit="3" topLeftCell="A4" activePane="bottomLeft" state="frozen"/>
      <selection pane="bottomLeft" activeCell="A1" sqref="A1"/>
    </sheetView>
  </sheetViews>
  <sheetFormatPr baseColWidth="8" defaultRowHeight="15"/>
  <cols>
    <col width="15" customWidth="1" min="1" max="1"/>
    <col width="25" customWidth="1" min="2" max="2"/>
    <col width="20" customWidth="1" min="3" max="3"/>
    <col width="20" customWidth="1" min="4" max="4"/>
    <col width="15" customWidth="1" min="5" max="5"/>
    <col width="20" customWidth="1" min="6" max="6"/>
    <col width="18" customWidth="1" min="7" max="7"/>
    <col width="18" customWidth="1" min="8" max="8"/>
    <col width="15" customWidth="1" min="9" max="9"/>
    <col width="15" customWidth="1" min="10" max="10"/>
    <col width="15" customWidth="1" min="11" max="11"/>
    <col width="30" customWidth="1" min="12" max="12"/>
    <col width="18" customWidth="1" min="13" max="13"/>
    <col width="15" customWidth="1" min="14" max="14"/>
    <col width="15" customWidth="1" min="15" max="15"/>
    <col width="18" customWidth="1" min="16" max="16"/>
  </cols>
  <sheetData>
    <row r="1" ht="30" customHeight="1">
      <c r="A1" s="1" t="inlineStr">
        <is>
          <t>DLP TECHNOLOGY INVENTORY - All DLP Solutions</t>
        </is>
      </c>
    </row>
    <row r="2" ht="25" customHeight="1">
      <c r="A2" s="2" t="inlineStr">
        <is>
          <t>Document ALL DLP technologies deployed (network, endpoint, cloud, email, web, database)</t>
        </is>
      </c>
    </row>
    <row r="3">
      <c r="A3" s="12" t="inlineStr">
        <is>
          <t>Technology ID</t>
        </is>
      </c>
      <c r="B3" s="12" t="inlineStr">
        <is>
          <t>Technology Name</t>
        </is>
      </c>
      <c r="C3" s="12" t="inlineStr">
        <is>
          <t>Deployment Type</t>
        </is>
      </c>
      <c r="D3" s="12" t="inlineStr">
        <is>
          <t>Vendor</t>
        </is>
      </c>
      <c r="E3" s="12" t="inlineStr">
        <is>
          <t>Version</t>
        </is>
      </c>
      <c r="F3" s="12" t="inlineStr">
        <is>
          <t>Deployment Architecture</t>
        </is>
      </c>
      <c r="G3" s="12" t="inlineStr">
        <is>
          <t>Deployment Status</t>
        </is>
      </c>
      <c r="H3" s="12" t="inlineStr">
        <is>
          <t>License Type</t>
        </is>
      </c>
      <c r="I3" s="12" t="inlineStr">
        <is>
          <t>License Expiry</t>
        </is>
      </c>
      <c r="J3" s="12" t="inlineStr">
        <is>
          <t>Support Contract</t>
        </is>
      </c>
      <c r="K3" s="12" t="inlineStr">
        <is>
          <t>EOL Date</t>
        </is>
      </c>
      <c r="L3" s="12" t="inlineStr">
        <is>
          <t>Primary Use Case</t>
        </is>
      </c>
      <c r="M3" s="12" t="inlineStr">
        <is>
          <t>Integration Status</t>
        </is>
      </c>
      <c r="N3" s="12" t="inlineStr">
        <is>
          <t>SIEM Integration</t>
        </is>
      </c>
      <c r="O3" s="12" t="inlineStr">
        <is>
          <t>SOC Integration</t>
        </is>
      </c>
      <c r="P3" s="12" t="inlineStr">
        <is>
          <t>Evidence ID</t>
        </is>
      </c>
    </row>
    <row r="4">
      <c r="A4" s="13" t="inlineStr">
        <is>
          <t>DLP-001</t>
        </is>
      </c>
      <c r="B4" s="13" t="inlineStr">
        <is>
          <t>Forcepoint DLP</t>
        </is>
      </c>
      <c r="C4" s="13" t="inlineStr">
        <is>
          <t>Network</t>
        </is>
      </c>
      <c r="D4" s="13" t="inlineStr">
        <is>
          <t>Forcepoint</t>
        </is>
      </c>
      <c r="E4" s="13" t="inlineStr">
        <is>
          <t>8.9</t>
        </is>
      </c>
      <c r="F4" s="13" t="inlineStr">
        <is>
          <t>Inline</t>
        </is>
      </c>
      <c r="G4" s="13" t="inlineStr">
        <is>
          <t>Production</t>
        </is>
      </c>
      <c r="H4" s="13" t="inlineStr">
        <is>
          <t>Subscription</t>
        </is>
      </c>
      <c r="I4" s="13" t="inlineStr">
        <is>
          <t>2025-12-31</t>
        </is>
      </c>
      <c r="J4" s="13" t="inlineStr">
        <is>
          <t>Active</t>
        </is>
      </c>
      <c r="K4" s="13" t="inlineStr">
        <is>
          <t>2027-06-30</t>
        </is>
      </c>
      <c r="L4" s="13" t="inlineStr">
        <is>
          <t>Network traffic inspection</t>
        </is>
      </c>
      <c r="M4" s="13" t="inlineStr">
        <is>
          <t>Integrated</t>
        </is>
      </c>
      <c r="N4" s="13" t="inlineStr">
        <is>
          <t>Yes</t>
        </is>
      </c>
      <c r="O4" s="13" t="inlineStr">
        <is>
          <t>Yes</t>
        </is>
      </c>
      <c r="P4" s="13" t="inlineStr">
        <is>
          <t>A812-1-INF-001</t>
        </is>
      </c>
    </row>
    <row r="5">
      <c r="A5" s="13" t="inlineStr">
        <is>
          <t>DLP-002</t>
        </is>
      </c>
      <c r="B5" s="13" t="inlineStr">
        <is>
          <t>Forcepoint Endpoint</t>
        </is>
      </c>
      <c r="C5" s="13" t="inlineStr">
        <is>
          <t>Endpoint</t>
        </is>
      </c>
      <c r="D5" s="13" t="inlineStr">
        <is>
          <t>Forcepoint</t>
        </is>
      </c>
      <c r="E5" s="13" t="inlineStr">
        <is>
          <t>8.9</t>
        </is>
      </c>
      <c r="F5" s="13" t="inlineStr">
        <is>
          <t>Agent-based</t>
        </is>
      </c>
      <c r="G5" s="13" t="inlineStr">
        <is>
          <t>Production</t>
        </is>
      </c>
      <c r="H5" s="13" t="inlineStr">
        <is>
          <t>Subscription</t>
        </is>
      </c>
      <c r="I5" s="13" t="inlineStr">
        <is>
          <t>2025-12-31</t>
        </is>
      </c>
      <c r="J5" s="13" t="inlineStr">
        <is>
          <t>Active</t>
        </is>
      </c>
      <c r="K5" s="13" t="inlineStr">
        <is>
          <t>2027-06-30</t>
        </is>
      </c>
      <c r="L5" s="13" t="inlineStr">
        <is>
          <t>USB, clipboard, print blocking</t>
        </is>
      </c>
      <c r="M5" s="13" t="inlineStr">
        <is>
          <t>Integrated</t>
        </is>
      </c>
      <c r="N5" s="13" t="inlineStr">
        <is>
          <t>Yes</t>
        </is>
      </c>
      <c r="O5" s="13" t="inlineStr">
        <is>
          <t>Yes</t>
        </is>
      </c>
      <c r="P5" s="13" t="inlineStr">
        <is>
          <t>A812-1-INF-002</t>
        </is>
      </c>
    </row>
    <row r="6">
      <c r="A6" s="13" t="inlineStr">
        <is>
          <t>DLP-003</t>
        </is>
      </c>
      <c r="B6" s="13" t="inlineStr">
        <is>
          <t>Microsoft Purview DLP</t>
        </is>
      </c>
      <c r="C6" s="13" t="inlineStr">
        <is>
          <t>Cloud</t>
        </is>
      </c>
      <c r="D6" s="13" t="inlineStr">
        <is>
          <t>Microsoft</t>
        </is>
      </c>
      <c r="E6" s="13" t="inlineStr">
        <is>
          <t>Current</t>
        </is>
      </c>
      <c r="F6" s="13" t="inlineStr">
        <is>
          <t>Cloud-based</t>
        </is>
      </c>
      <c r="G6" s="13" t="inlineStr">
        <is>
          <t>Production</t>
        </is>
      </c>
      <c r="H6" s="13" t="inlineStr">
        <is>
          <t>Subscription</t>
        </is>
      </c>
      <c r="I6" s="13" t="inlineStr">
        <is>
          <t>2026-06-30</t>
        </is>
      </c>
      <c r="J6" s="13" t="inlineStr">
        <is>
          <t>Active</t>
        </is>
      </c>
      <c r="K6" s="13" t="inlineStr">
        <is>
          <t>N/A</t>
        </is>
      </c>
      <c r="L6" s="13" t="inlineStr">
        <is>
          <t>M365 email, OneDrive, Teams</t>
        </is>
      </c>
      <c r="M6" s="13" t="inlineStr">
        <is>
          <t>Integrated</t>
        </is>
      </c>
      <c r="N6" s="13" t="inlineStr">
        <is>
          <t>Partial</t>
        </is>
      </c>
      <c r="O6" s="13" t="inlineStr">
        <is>
          <t>Partial</t>
        </is>
      </c>
      <c r="P6" s="13" t="inlineStr">
        <is>
          <t>A812-1-INF-003</t>
        </is>
      </c>
    </row>
    <row r="7">
      <c r="A7" s="13" t="inlineStr">
        <is>
          <t>DLP-004</t>
        </is>
      </c>
      <c r="B7" s="13" t="inlineStr">
        <is>
          <t>Symantec DLP</t>
        </is>
      </c>
      <c r="C7" s="13" t="inlineStr">
        <is>
          <t>Email</t>
        </is>
      </c>
      <c r="D7" s="13" t="inlineStr">
        <is>
          <t>Broadcom</t>
        </is>
      </c>
      <c r="E7" s="13" t="inlineStr">
        <is>
          <t>15.8</t>
        </is>
      </c>
      <c r="F7" s="13" t="inlineStr">
        <is>
          <t>Inline</t>
        </is>
      </c>
      <c r="G7" s="13" t="inlineStr">
        <is>
          <t>Production</t>
        </is>
      </c>
      <c r="H7" s="13" t="inlineStr">
        <is>
          <t>Perpetual</t>
        </is>
      </c>
      <c r="I7" s="13" t="inlineStr">
        <is>
          <t>N/A</t>
        </is>
      </c>
      <c r="J7" s="13" t="inlineStr">
        <is>
          <t>Active</t>
        </is>
      </c>
      <c r="K7" s="13" t="inlineStr">
        <is>
          <t>2026-12-31</t>
        </is>
      </c>
      <c r="L7" s="13" t="inlineStr">
        <is>
          <t>SMTP gateway inspection</t>
        </is>
      </c>
      <c r="M7" s="13" t="inlineStr">
        <is>
          <t>Integrated</t>
        </is>
      </c>
      <c r="N7" s="13" t="inlineStr">
        <is>
          <t>Yes</t>
        </is>
      </c>
      <c r="O7" s="13" t="inlineStr">
        <is>
          <t>Yes</t>
        </is>
      </c>
      <c r="P7" s="13" t="inlineStr">
        <is>
          <t>A812-1-INF-004</t>
        </is>
      </c>
    </row>
    <row r="8">
      <c r="A8" s="13" t="inlineStr">
        <is>
          <t>DLP-005</t>
        </is>
      </c>
      <c r="B8" s="13" t="inlineStr">
        <is>
          <t>Netskope CASB</t>
        </is>
      </c>
      <c r="C8" s="13" t="inlineStr">
        <is>
          <t>Cloud</t>
        </is>
      </c>
      <c r="D8" s="13" t="inlineStr">
        <is>
          <t>Netskope</t>
        </is>
      </c>
      <c r="E8" s="13" t="inlineStr">
        <is>
          <t>102.1</t>
        </is>
      </c>
      <c r="F8" s="13" t="inlineStr">
        <is>
          <t>Cloud-based</t>
        </is>
      </c>
      <c r="G8" s="13" t="inlineStr">
        <is>
          <t>Production</t>
        </is>
      </c>
      <c r="H8" s="13" t="inlineStr">
        <is>
          <t>Subscription</t>
        </is>
      </c>
      <c r="I8" s="13" t="inlineStr">
        <is>
          <t>2025-09-30</t>
        </is>
      </c>
      <c r="J8" s="13" t="inlineStr">
        <is>
          <t>Active</t>
        </is>
      </c>
      <c r="K8" s="13" t="inlineStr">
        <is>
          <t>N/A</t>
        </is>
      </c>
      <c r="L8" s="13" t="inlineStr">
        <is>
          <t>SaaS application DLP</t>
        </is>
      </c>
      <c r="M8" s="13" t="inlineStr">
        <is>
          <t>Integrated</t>
        </is>
      </c>
      <c r="N8" s="13" t="inlineStr">
        <is>
          <t>Yes</t>
        </is>
      </c>
      <c r="O8" s="13" t="inlineStr">
        <is>
          <t>Yes</t>
        </is>
      </c>
      <c r="P8" s="13" t="inlineStr">
        <is>
          <t>A812-1-INF-005</t>
        </is>
      </c>
    </row>
    <row r="9">
      <c r="A9" s="14" t="n"/>
      <c r="B9" s="14" t="n"/>
      <c r="C9" s="14" t="n"/>
      <c r="D9" s="14" t="n"/>
      <c r="E9" s="14" t="n"/>
      <c r="F9" s="14" t="n"/>
      <c r="G9" s="14" t="n"/>
      <c r="H9" s="14" t="n"/>
      <c r="I9" s="14" t="n"/>
      <c r="J9" s="14" t="n"/>
      <c r="K9" s="14" t="n"/>
      <c r="L9" s="14" t="n"/>
      <c r="M9" s="14" t="n"/>
      <c r="N9" s="14" t="n"/>
      <c r="O9" s="14" t="n"/>
      <c r="P9" s="14" t="n"/>
    </row>
    <row r="10">
      <c r="A10" s="14" t="n"/>
      <c r="B10" s="14" t="n"/>
      <c r="C10" s="14" t="n"/>
      <c r="D10" s="14" t="n"/>
      <c r="E10" s="14" t="n"/>
      <c r="F10" s="14" t="n"/>
      <c r="G10" s="14" t="n"/>
      <c r="H10" s="14" t="n"/>
      <c r="I10" s="14" t="n"/>
      <c r="J10" s="14" t="n"/>
      <c r="K10" s="14" t="n"/>
      <c r="L10" s="14" t="n"/>
      <c r="M10" s="14" t="n"/>
      <c r="N10" s="14" t="n"/>
      <c r="O10" s="14" t="n"/>
      <c r="P10" s="14" t="n"/>
    </row>
    <row r="11">
      <c r="A11" s="14" t="n"/>
      <c r="B11" s="14" t="n"/>
      <c r="C11" s="14" t="n"/>
      <c r="D11" s="14" t="n"/>
      <c r="E11" s="14" t="n"/>
      <c r="F11" s="14" t="n"/>
      <c r="G11" s="14" t="n"/>
      <c r="H11" s="14" t="n"/>
      <c r="I11" s="14" t="n"/>
      <c r="J11" s="14" t="n"/>
      <c r="K11" s="14" t="n"/>
      <c r="L11" s="14" t="n"/>
      <c r="M11" s="14" t="n"/>
      <c r="N11" s="14" t="n"/>
      <c r="O11" s="14" t="n"/>
      <c r="P11" s="14" t="n"/>
    </row>
    <row r="12">
      <c r="A12" s="14" t="n"/>
      <c r="B12" s="14" t="n"/>
      <c r="C12" s="14" t="n"/>
      <c r="D12" s="14" t="n"/>
      <c r="E12" s="14" t="n"/>
      <c r="F12" s="14" t="n"/>
      <c r="G12" s="14" t="n"/>
      <c r="H12" s="14" t="n"/>
      <c r="I12" s="14" t="n"/>
      <c r="J12" s="14" t="n"/>
      <c r="K12" s="14" t="n"/>
      <c r="L12" s="14" t="n"/>
      <c r="M12" s="14" t="n"/>
      <c r="N12" s="14" t="n"/>
      <c r="O12" s="14" t="n"/>
      <c r="P12" s="14" t="n"/>
    </row>
    <row r="13">
      <c r="A13" s="14" t="n"/>
      <c r="B13" s="14" t="n"/>
      <c r="C13" s="14" t="n"/>
      <c r="D13" s="14" t="n"/>
      <c r="E13" s="14" t="n"/>
      <c r="F13" s="14" t="n"/>
      <c r="G13" s="14" t="n"/>
      <c r="H13" s="14" t="n"/>
      <c r="I13" s="14" t="n"/>
      <c r="J13" s="14" t="n"/>
      <c r="K13" s="14" t="n"/>
      <c r="L13" s="14" t="n"/>
      <c r="M13" s="14" t="n"/>
      <c r="N13" s="14" t="n"/>
      <c r="O13" s="14" t="n"/>
      <c r="P13" s="14" t="n"/>
    </row>
    <row r="14">
      <c r="A14" s="14" t="n"/>
      <c r="B14" s="14" t="n"/>
      <c r="C14" s="14" t="n"/>
      <c r="D14" s="14" t="n"/>
      <c r="E14" s="14" t="n"/>
      <c r="F14" s="14" t="n"/>
      <c r="G14" s="14" t="n"/>
      <c r="H14" s="14" t="n"/>
      <c r="I14" s="14" t="n"/>
      <c r="J14" s="14" t="n"/>
      <c r="K14" s="14" t="n"/>
      <c r="L14" s="14" t="n"/>
      <c r="M14" s="14" t="n"/>
      <c r="N14" s="14" t="n"/>
      <c r="O14" s="14" t="n"/>
      <c r="P14" s="14" t="n"/>
    </row>
    <row r="15">
      <c r="A15" s="14" t="n"/>
      <c r="B15" s="14" t="n"/>
      <c r="C15" s="14" t="n"/>
      <c r="D15" s="14" t="n"/>
      <c r="E15" s="14" t="n"/>
      <c r="F15" s="14" t="n"/>
      <c r="G15" s="14" t="n"/>
      <c r="H15" s="14" t="n"/>
      <c r="I15" s="14" t="n"/>
      <c r="J15" s="14" t="n"/>
      <c r="K15" s="14" t="n"/>
      <c r="L15" s="14" t="n"/>
      <c r="M15" s="14" t="n"/>
      <c r="N15" s="14" t="n"/>
      <c r="O15" s="14" t="n"/>
      <c r="P15" s="14" t="n"/>
    </row>
    <row r="16">
      <c r="A16" s="14" t="n"/>
      <c r="B16" s="14" t="n"/>
      <c r="C16" s="14" t="n"/>
      <c r="D16" s="14" t="n"/>
      <c r="E16" s="14" t="n"/>
      <c r="F16" s="14" t="n"/>
      <c r="G16" s="14" t="n"/>
      <c r="H16" s="14" t="n"/>
      <c r="I16" s="14" t="n"/>
      <c r="J16" s="14" t="n"/>
      <c r="K16" s="14" t="n"/>
      <c r="L16" s="14" t="n"/>
      <c r="M16" s="14" t="n"/>
      <c r="N16" s="14" t="n"/>
      <c r="O16" s="14" t="n"/>
      <c r="P16" s="14" t="n"/>
    </row>
    <row r="17">
      <c r="A17" s="14" t="n"/>
      <c r="B17" s="14" t="n"/>
      <c r="C17" s="14" t="n"/>
      <c r="D17" s="14" t="n"/>
      <c r="E17" s="14" t="n"/>
      <c r="F17" s="14" t="n"/>
      <c r="G17" s="14" t="n"/>
      <c r="H17" s="14" t="n"/>
      <c r="I17" s="14" t="n"/>
      <c r="J17" s="14" t="n"/>
      <c r="K17" s="14" t="n"/>
      <c r="L17" s="14" t="n"/>
      <c r="M17" s="14" t="n"/>
      <c r="N17" s="14" t="n"/>
      <c r="O17" s="14" t="n"/>
      <c r="P17" s="14" t="n"/>
    </row>
    <row r="18">
      <c r="A18" s="14" t="n"/>
      <c r="B18" s="14" t="n"/>
      <c r="C18" s="14" t="n"/>
      <c r="D18" s="14" t="n"/>
      <c r="E18" s="14" t="n"/>
      <c r="F18" s="14" t="n"/>
      <c r="G18" s="14" t="n"/>
      <c r="H18" s="14" t="n"/>
      <c r="I18" s="14" t="n"/>
      <c r="J18" s="14" t="n"/>
      <c r="K18" s="14" t="n"/>
      <c r="L18" s="14" t="n"/>
      <c r="M18" s="14" t="n"/>
      <c r="N18" s="14" t="n"/>
      <c r="O18" s="14" t="n"/>
      <c r="P18" s="14" t="n"/>
    </row>
    <row r="19">
      <c r="A19" s="14" t="n"/>
      <c r="B19" s="14" t="n"/>
      <c r="C19" s="14" t="n"/>
      <c r="D19" s="14" t="n"/>
      <c r="E19" s="14" t="n"/>
      <c r="F19" s="14" t="n"/>
      <c r="G19" s="14" t="n"/>
      <c r="H19" s="14" t="n"/>
      <c r="I19" s="14" t="n"/>
      <c r="J19" s="14" t="n"/>
      <c r="K19" s="14" t="n"/>
      <c r="L19" s="14" t="n"/>
      <c r="M19" s="14" t="n"/>
      <c r="N19" s="14" t="n"/>
      <c r="O19" s="14" t="n"/>
      <c r="P19" s="14" t="n"/>
    </row>
    <row r="20">
      <c r="A20" s="14" t="n"/>
      <c r="B20" s="14" t="n"/>
      <c r="C20" s="14" t="n"/>
      <c r="D20" s="14" t="n"/>
      <c r="E20" s="14" t="n"/>
      <c r="F20" s="14" t="n"/>
      <c r="G20" s="14" t="n"/>
      <c r="H20" s="14" t="n"/>
      <c r="I20" s="14" t="n"/>
      <c r="J20" s="14" t="n"/>
      <c r="K20" s="14" t="n"/>
      <c r="L20" s="14" t="n"/>
      <c r="M20" s="14" t="n"/>
      <c r="N20" s="14" t="n"/>
      <c r="O20" s="14" t="n"/>
      <c r="P20" s="14" t="n"/>
    </row>
    <row r="21">
      <c r="A21" s="14" t="n"/>
      <c r="B21" s="14" t="n"/>
      <c r="C21" s="14" t="n"/>
      <c r="D21" s="14" t="n"/>
      <c r="E21" s="14" t="n"/>
      <c r="F21" s="14" t="n"/>
      <c r="G21" s="14" t="n"/>
      <c r="H21" s="14" t="n"/>
      <c r="I21" s="14" t="n"/>
      <c r="J21" s="14" t="n"/>
      <c r="K21" s="14" t="n"/>
      <c r="L21" s="14" t="n"/>
      <c r="M21" s="14" t="n"/>
      <c r="N21" s="14" t="n"/>
      <c r="O21" s="14" t="n"/>
      <c r="P21" s="14" t="n"/>
    </row>
    <row r="22">
      <c r="A22" s="14" t="n"/>
      <c r="B22" s="14" t="n"/>
      <c r="C22" s="14" t="n"/>
      <c r="D22" s="14" t="n"/>
      <c r="E22" s="14" t="n"/>
      <c r="F22" s="14" t="n"/>
      <c r="G22" s="14" t="n"/>
      <c r="H22" s="14" t="n"/>
      <c r="I22" s="14" t="n"/>
      <c r="J22" s="14" t="n"/>
      <c r="K22" s="14" t="n"/>
      <c r="L22" s="14" t="n"/>
      <c r="M22" s="14" t="n"/>
      <c r="N22" s="14" t="n"/>
      <c r="O22" s="14" t="n"/>
      <c r="P22" s="14" t="n"/>
    </row>
    <row r="23">
      <c r="A23" s="14" t="n"/>
      <c r="B23" s="14" t="n"/>
      <c r="C23" s="14" t="n"/>
      <c r="D23" s="14" t="n"/>
      <c r="E23" s="14" t="n"/>
      <c r="F23" s="14" t="n"/>
      <c r="G23" s="14" t="n"/>
      <c r="H23" s="14" t="n"/>
      <c r="I23" s="14" t="n"/>
      <c r="J23" s="14" t="n"/>
      <c r="K23" s="14" t="n"/>
      <c r="L23" s="14" t="n"/>
      <c r="M23" s="14" t="n"/>
      <c r="N23" s="14" t="n"/>
      <c r="O23" s="14" t="n"/>
      <c r="P23" s="14" t="n"/>
    </row>
    <row r="24">
      <c r="A24" s="14" t="n"/>
      <c r="B24" s="14" t="n"/>
      <c r="C24" s="14" t="n"/>
      <c r="D24" s="14" t="n"/>
      <c r="E24" s="14" t="n"/>
      <c r="F24" s="14" t="n"/>
      <c r="G24" s="14" t="n"/>
      <c r="H24" s="14" t="n"/>
      <c r="I24" s="14" t="n"/>
      <c r="J24" s="14" t="n"/>
      <c r="K24" s="14" t="n"/>
      <c r="L24" s="14" t="n"/>
      <c r="M24" s="14" t="n"/>
      <c r="N24" s="14" t="n"/>
      <c r="O24" s="14" t="n"/>
      <c r="P24" s="14" t="n"/>
    </row>
    <row r="25">
      <c r="A25" s="14" t="n"/>
      <c r="B25" s="14" t="n"/>
      <c r="C25" s="14" t="n"/>
      <c r="D25" s="14" t="n"/>
      <c r="E25" s="14" t="n"/>
      <c r="F25" s="14" t="n"/>
      <c r="G25" s="14" t="n"/>
      <c r="H25" s="14" t="n"/>
      <c r="I25" s="14" t="n"/>
      <c r="J25" s="14" t="n"/>
      <c r="K25" s="14" t="n"/>
      <c r="L25" s="14" t="n"/>
      <c r="M25" s="14" t="n"/>
      <c r="N25" s="14" t="n"/>
      <c r="O25" s="14" t="n"/>
      <c r="P25" s="14" t="n"/>
    </row>
    <row r="26">
      <c r="A26" s="14" t="n"/>
      <c r="B26" s="14" t="n"/>
      <c r="C26" s="14" t="n"/>
      <c r="D26" s="14" t="n"/>
      <c r="E26" s="14" t="n"/>
      <c r="F26" s="14" t="n"/>
      <c r="G26" s="14" t="n"/>
      <c r="H26" s="14" t="n"/>
      <c r="I26" s="14" t="n"/>
      <c r="J26" s="14" t="n"/>
      <c r="K26" s="14" t="n"/>
      <c r="L26" s="14" t="n"/>
      <c r="M26" s="14" t="n"/>
      <c r="N26" s="14" t="n"/>
      <c r="O26" s="14" t="n"/>
      <c r="P26" s="14" t="n"/>
    </row>
    <row r="27">
      <c r="A27" s="14" t="n"/>
      <c r="B27" s="14" t="n"/>
      <c r="C27" s="14" t="n"/>
      <c r="D27" s="14" t="n"/>
      <c r="E27" s="14" t="n"/>
      <c r="F27" s="14" t="n"/>
      <c r="G27" s="14" t="n"/>
      <c r="H27" s="14" t="n"/>
      <c r="I27" s="14" t="n"/>
      <c r="J27" s="14" t="n"/>
      <c r="K27" s="14" t="n"/>
      <c r="L27" s="14" t="n"/>
      <c r="M27" s="14" t="n"/>
      <c r="N27" s="14" t="n"/>
      <c r="O27" s="14" t="n"/>
      <c r="P27" s="14" t="n"/>
    </row>
    <row r="28">
      <c r="A28" s="14" t="n"/>
      <c r="B28" s="14" t="n"/>
      <c r="C28" s="14" t="n"/>
      <c r="D28" s="14" t="n"/>
      <c r="E28" s="14" t="n"/>
      <c r="F28" s="14" t="n"/>
      <c r="G28" s="14" t="n"/>
      <c r="H28" s="14" t="n"/>
      <c r="I28" s="14" t="n"/>
      <c r="J28" s="14" t="n"/>
      <c r="K28" s="14" t="n"/>
      <c r="L28" s="14" t="n"/>
      <c r="M28" s="14" t="n"/>
      <c r="N28" s="14" t="n"/>
      <c r="O28" s="14" t="n"/>
      <c r="P28" s="14" t="n"/>
    </row>
    <row r="29">
      <c r="A29" s="14" t="n"/>
      <c r="B29" s="14" t="n"/>
      <c r="C29" s="14" t="n"/>
      <c r="D29" s="14" t="n"/>
      <c r="E29" s="14" t="n"/>
      <c r="F29" s="14" t="n"/>
      <c r="G29" s="14" t="n"/>
      <c r="H29" s="14" t="n"/>
      <c r="I29" s="14" t="n"/>
      <c r="J29" s="14" t="n"/>
      <c r="K29" s="14" t="n"/>
      <c r="L29" s="14" t="n"/>
      <c r="M29" s="14" t="n"/>
      <c r="N29" s="14" t="n"/>
      <c r="O29" s="14" t="n"/>
      <c r="P29" s="14" t="n"/>
    </row>
    <row r="30">
      <c r="A30" s="14" t="n"/>
      <c r="B30" s="14" t="n"/>
      <c r="C30" s="14" t="n"/>
      <c r="D30" s="14" t="n"/>
      <c r="E30" s="14" t="n"/>
      <c r="F30" s="14" t="n"/>
      <c r="G30" s="14" t="n"/>
      <c r="H30" s="14" t="n"/>
      <c r="I30" s="14" t="n"/>
      <c r="J30" s="14" t="n"/>
      <c r="K30" s="14" t="n"/>
      <c r="L30" s="14" t="n"/>
      <c r="M30" s="14" t="n"/>
      <c r="N30" s="14" t="n"/>
      <c r="O30" s="14" t="n"/>
      <c r="P30" s="14" t="n"/>
    </row>
    <row r="31">
      <c r="A31" s="14" t="n"/>
      <c r="B31" s="14" t="n"/>
      <c r="C31" s="14" t="n"/>
      <c r="D31" s="14" t="n"/>
      <c r="E31" s="14" t="n"/>
      <c r="F31" s="14" t="n"/>
      <c r="G31" s="14" t="n"/>
      <c r="H31" s="14" t="n"/>
      <c r="I31" s="14" t="n"/>
      <c r="J31" s="14" t="n"/>
      <c r="K31" s="14" t="n"/>
      <c r="L31" s="14" t="n"/>
      <c r="M31" s="14" t="n"/>
      <c r="N31" s="14" t="n"/>
      <c r="O31" s="14" t="n"/>
      <c r="P31" s="14" t="n"/>
    </row>
    <row r="32">
      <c r="A32" s="14" t="n"/>
      <c r="B32" s="14" t="n"/>
      <c r="C32" s="14" t="n"/>
      <c r="D32" s="14" t="n"/>
      <c r="E32" s="14" t="n"/>
      <c r="F32" s="14" t="n"/>
      <c r="G32" s="14" t="n"/>
      <c r="H32" s="14" t="n"/>
      <c r="I32" s="14" t="n"/>
      <c r="J32" s="14" t="n"/>
      <c r="K32" s="14" t="n"/>
      <c r="L32" s="14" t="n"/>
      <c r="M32" s="14" t="n"/>
      <c r="N32" s="14" t="n"/>
      <c r="O32" s="14" t="n"/>
      <c r="P32" s="14" t="n"/>
    </row>
    <row r="33">
      <c r="A33" s="14" t="n"/>
      <c r="B33" s="14" t="n"/>
      <c r="C33" s="14" t="n"/>
      <c r="D33" s="14" t="n"/>
      <c r="E33" s="14" t="n"/>
      <c r="F33" s="14" t="n"/>
      <c r="G33" s="14" t="n"/>
      <c r="H33" s="14" t="n"/>
      <c r="I33" s="14" t="n"/>
      <c r="J33" s="14" t="n"/>
      <c r="K33" s="14" t="n"/>
      <c r="L33" s="14" t="n"/>
      <c r="M33" s="14" t="n"/>
      <c r="N33" s="14" t="n"/>
      <c r="O33" s="14" t="n"/>
      <c r="P33" s="14" t="n"/>
    </row>
    <row r="34"/>
  </sheetData>
  <mergeCells count="2">
    <mergeCell ref="A1:P1"/>
    <mergeCell ref="A2:P2"/>
  </mergeCells>
  <dataValidations count="7">
    <dataValidation sqref="C9 C10 C11 C12 C13 C14 C15 C16 C17 C18 C19 C20 C21 C22 C23 C24 C25 C26 C27 C28 C29 C30 C31 C32 C33 C34" showDropDown="1" showInputMessage="0" showErrorMessage="0" allowBlank="0" type="list">
      <formula1>"Network,Endpoint,Cloud,Email,Web,Database"</formula1>
    </dataValidation>
    <dataValidation sqref="F9 F10 F11 F12 F13 F14 F15 F16 F17 F18 F19 F20 F21 F22 F23 F24 F25 F26 F27 F28 F29 F30 F31 F32 F33 F34" showDropDown="1" showInputMessage="0" showErrorMessage="0" allowBlank="0" type="list">
      <formula1>"Inline,Monitor,Hybrid,Cloud-based,TAP,SPAN"</formula1>
    </dataValidation>
    <dataValidation sqref="G9 G10 G11 G12 G13 G14 G15 G16 G17 G18 G19 G20 G21 G22 G23 G24 G25 G26 G27 G28 G29 G30 G31 G32 G33 G34" showDropDown="1" showInputMessage="0" showErrorMessage="0" allowBlank="0" type="list">
      <formula1>"Production,Staging,Test,Decommissioned"</formula1>
    </dataValidation>
    <dataValidation sqref="H9 H10 H11 H12 H13 H14 H15 H16 H17 H18 H19 H20 H21 H22 H23 H24 H25 H26 H27 H28 H29 H30 H31 H32 H33 H34" showDropDown="1" showInputMessage="0" showErrorMessage="0" allowBlank="0" type="list">
      <formula1>"Perpetual,Subscription,Open Source,N/A"</formula1>
    </dataValidation>
    <dataValidation sqref="J9 J10 J11 J12 J13 J14 J15 J16 J17 J18 J19 J20 J21 J22 J23 J24 J25 J26 J27 J28 J29 J30 J31 J32 J33 J34" showDropDown="1" showInputMessage="0" showErrorMessage="0" allowBlank="0" type="list">
      <formula1>"Active,Expired,N/A"</formula1>
    </dataValidation>
    <dataValidation sqref="M9 M10 M11 M12 M13 M14 M15 M16 M17 M18 M19 M20 M21 M22 M23 M24 M25 M26 M27 M28 M29 M30 M31 M32 M33 M34" showDropDown="1" showInputMessage="0" showErrorMessage="0" allowBlank="0" type="list">
      <formula1>"Integrated,Standalone,Partial"</formula1>
    </dataValidation>
    <dataValidation sqref="N9 N10 N11 N12 N13 N14 N15 N16 N17 N18 N19 N20 N21 N22 N23 N24 N25 N26 N27 N28 N29 N30 N31 N32 N33 N34 O9 O10 O11 O12 O13 O14 O15 O16 O17 O18 O19 O20 O21 O22 O23 O24 O25 O26 O27 O28 O29 O30 O31 O32 O33 O34" showDropDown="1" showInputMessage="0" showErrorMessage="1" allowBlank="0" errorTitle="Invalid Entry" error="Invalid value. Select from dropdown." type="list">
      <formula1>"Yes,No,Partial,Planned,N/A"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4"/>
  <sheetViews>
    <sheetView workbookViewId="0">
      <pane ySplit="3" topLeftCell="A4" activePane="bottomLeft" state="frozen"/>
      <selection pane="bottomLeft" activeCell="A1" sqref="A1"/>
    </sheetView>
  </sheetViews>
  <sheetFormatPr baseColWidth="8" defaultRowHeight="15"/>
  <cols>
    <col width="25" customWidth="1" min="1" max="1"/>
    <col width="20" customWidth="1" min="2" max="2"/>
    <col width="25" customWidth="1" min="3" max="3"/>
    <col width="25" customWidth="1" min="4" max="4"/>
    <col width="18" customWidth="1" min="5" max="5"/>
    <col width="15" customWidth="1" min="6" max="6"/>
    <col width="15" customWidth="1" min="7" max="7"/>
    <col width="18" customWidth="1" min="8" max="8"/>
    <col width="18" customWidth="1" min="9" max="9"/>
    <col width="18" customWidth="1" min="10" max="10"/>
    <col width="18" customWidth="1" min="11" max="11"/>
    <col width="18" customWidth="1" min="12" max="12"/>
    <col width="15" customWidth="1" min="13" max="13"/>
    <col width="18" customWidth="1" min="14" max="14"/>
  </cols>
  <sheetData>
    <row r="1" ht="30" customHeight="1">
      <c r="A1" s="1" t="inlineStr">
        <is>
          <t>NETWORK DLP ASSESSMENT</t>
        </is>
      </c>
    </row>
    <row r="2" ht="25" customHeight="1">
      <c r="A2" s="2" t="inlineStr">
        <is>
          <t>Assess network-based DLP appliances (inline, TAP, SPAN configurations)</t>
        </is>
      </c>
    </row>
    <row r="3">
      <c r="A3" s="12" t="inlineStr">
        <is>
          <t>Appliance Name</t>
        </is>
      </c>
      <c r="B3" s="12" t="inlineStr">
        <is>
          <t>Deployment Mode</t>
        </is>
      </c>
      <c r="C3" s="12" t="inlineStr">
        <is>
          <t>Network Segments Covered</t>
        </is>
      </c>
      <c r="D3" s="12" t="inlineStr">
        <is>
          <t>Protocols Inspected</t>
        </is>
      </c>
      <c r="E3" s="12" t="inlineStr">
        <is>
          <t>SSL/TLS Inspection</t>
        </is>
      </c>
      <c r="F3" s="12" t="inlineStr">
        <is>
          <t>Throughput Capacity</t>
        </is>
      </c>
      <c r="G3" s="12" t="inlineStr">
        <is>
          <t>Current Utilization %</t>
        </is>
      </c>
      <c r="H3" s="12" t="inlineStr">
        <is>
          <t>Content Inspection</t>
        </is>
      </c>
      <c r="I3" s="12" t="inlineStr">
        <is>
          <t>Pattern Matching (Regex)</t>
        </is>
      </c>
      <c r="J3" s="12" t="inlineStr">
        <is>
          <t>Fingerprinting</t>
        </is>
      </c>
      <c r="K3" s="12" t="inlineStr">
        <is>
          <t>Machine Learning/AI</t>
        </is>
      </c>
      <c r="L3" s="12" t="inlineStr">
        <is>
          <t>Blocking Capability</t>
        </is>
      </c>
      <c r="M3" s="12" t="inlineStr">
        <is>
          <t>High Availability</t>
        </is>
      </c>
      <c r="N3" s="12" t="inlineStr">
        <is>
          <t>Evidence ID</t>
        </is>
      </c>
    </row>
    <row r="4">
      <c r="A4" s="13" t="inlineStr">
        <is>
          <t>Forcepoint DLP Gateway</t>
        </is>
      </c>
      <c r="B4" s="13" t="inlineStr">
        <is>
          <t>Inline</t>
        </is>
      </c>
      <c r="C4" s="13" t="inlineStr">
        <is>
          <t>DMZ, Internal</t>
        </is>
      </c>
      <c r="D4" s="13" t="inlineStr">
        <is>
          <t>HTTP, HTTPS, SMTP, FTP</t>
        </is>
      </c>
      <c r="E4" s="13" t="inlineStr">
        <is>
          <t>Yes</t>
        </is>
      </c>
      <c r="F4" s="13" t="inlineStr">
        <is>
          <t>10 Gbps</t>
        </is>
      </c>
      <c r="G4" s="13" t="inlineStr">
        <is>
          <t>45</t>
        </is>
      </c>
      <c r="H4" s="13" t="inlineStr">
        <is>
          <t>Yes</t>
        </is>
      </c>
      <c r="I4" s="13" t="inlineStr">
        <is>
          <t>Yes</t>
        </is>
      </c>
      <c r="J4" s="13" t="inlineStr">
        <is>
          <t>Yes</t>
        </is>
      </c>
      <c r="K4" s="13" t="inlineStr">
        <is>
          <t>Partial</t>
        </is>
      </c>
      <c r="L4" s="13" t="inlineStr">
        <is>
          <t>Yes</t>
        </is>
      </c>
      <c r="M4" s="13" t="inlineStr">
        <is>
          <t>Yes</t>
        </is>
      </c>
      <c r="N4" s="13" t="inlineStr">
        <is>
          <t>A812-1-NET-001</t>
        </is>
      </c>
    </row>
    <row r="5">
      <c r="A5" s="13" t="inlineStr">
        <is>
          <t>Symantec DLP Network</t>
        </is>
      </c>
      <c r="B5" s="13" t="inlineStr">
        <is>
          <t>TAP</t>
        </is>
      </c>
      <c r="C5" s="13" t="inlineStr">
        <is>
          <t>Internet Gateway</t>
        </is>
      </c>
      <c r="D5" s="13" t="inlineStr">
        <is>
          <t>HTTP, HTTPS, FTP</t>
        </is>
      </c>
      <c r="E5" s="13" t="inlineStr">
        <is>
          <t>Yes</t>
        </is>
      </c>
      <c r="F5" s="13" t="inlineStr">
        <is>
          <t>5 Gbps</t>
        </is>
      </c>
      <c r="G5" s="13" t="inlineStr">
        <is>
          <t>60</t>
        </is>
      </c>
      <c r="H5" s="13" t="inlineStr">
        <is>
          <t>Yes</t>
        </is>
      </c>
      <c r="I5" s="13" t="inlineStr">
        <is>
          <t>Yes</t>
        </is>
      </c>
      <c r="J5" s="13" t="inlineStr">
        <is>
          <t>Yes</t>
        </is>
      </c>
      <c r="K5" s="13" t="inlineStr">
        <is>
          <t>No</t>
        </is>
      </c>
      <c r="L5" s="13" t="inlineStr">
        <is>
          <t>No</t>
        </is>
      </c>
      <c r="M5" s="13" t="inlineStr">
        <is>
          <t>Yes</t>
        </is>
      </c>
      <c r="N5" s="13" t="inlineStr">
        <is>
          <t>A812-1-NET-002</t>
        </is>
      </c>
    </row>
    <row r="6">
      <c r="A6" s="13" t="inlineStr">
        <is>
          <t>McAfee DLP Prevent</t>
        </is>
      </c>
      <c r="B6" s="13" t="inlineStr">
        <is>
          <t>Inline</t>
        </is>
      </c>
      <c r="C6" s="13" t="inlineStr">
        <is>
          <t>Branch Offices</t>
        </is>
      </c>
      <c r="D6" s="13" t="inlineStr">
        <is>
          <t>HTTP, HTTPS</t>
        </is>
      </c>
      <c r="E6" s="13" t="inlineStr">
        <is>
          <t>Partial</t>
        </is>
      </c>
      <c r="F6" s="13" t="inlineStr">
        <is>
          <t>1 Gbps</t>
        </is>
      </c>
      <c r="G6" s="13" t="inlineStr">
        <is>
          <t>30</t>
        </is>
      </c>
      <c r="H6" s="13" t="inlineStr">
        <is>
          <t>Yes</t>
        </is>
      </c>
      <c r="I6" s="13" t="inlineStr">
        <is>
          <t>Yes</t>
        </is>
      </c>
      <c r="J6" s="13" t="inlineStr">
        <is>
          <t>No</t>
        </is>
      </c>
      <c r="K6" s="13" t="inlineStr">
        <is>
          <t>No</t>
        </is>
      </c>
      <c r="L6" s="13" t="inlineStr">
        <is>
          <t>Yes</t>
        </is>
      </c>
      <c r="M6" s="13" t="inlineStr">
        <is>
          <t>No</t>
        </is>
      </c>
      <c r="N6" s="13" t="inlineStr">
        <is>
          <t>A812-1-NET-003</t>
        </is>
      </c>
    </row>
    <row r="7">
      <c r="A7" s="14" t="n"/>
      <c r="B7" s="14" t="n"/>
      <c r="C7" s="14" t="n"/>
      <c r="D7" s="14" t="n"/>
      <c r="E7" s="14" t="n"/>
      <c r="F7" s="14" t="n"/>
      <c r="G7" s="14" t="n"/>
      <c r="H7" s="14" t="n"/>
      <c r="I7" s="14" t="n"/>
      <c r="J7" s="14" t="n"/>
      <c r="K7" s="14" t="n"/>
      <c r="L7" s="14" t="n"/>
      <c r="M7" s="14" t="n"/>
      <c r="N7" s="14" t="n"/>
    </row>
    <row r="8">
      <c r="A8" s="14" t="n"/>
      <c r="B8" s="14" t="n"/>
      <c r="C8" s="14" t="n"/>
      <c r="D8" s="14" t="n"/>
      <c r="E8" s="14" t="n"/>
      <c r="F8" s="14" t="n"/>
      <c r="G8" s="14" t="n"/>
      <c r="H8" s="14" t="n"/>
      <c r="I8" s="14" t="n"/>
      <c r="J8" s="14" t="n"/>
      <c r="K8" s="14" t="n"/>
      <c r="L8" s="14" t="n"/>
      <c r="M8" s="14" t="n"/>
      <c r="N8" s="14" t="n"/>
    </row>
    <row r="9">
      <c r="A9" s="14" t="n"/>
      <c r="B9" s="14" t="n"/>
      <c r="C9" s="14" t="n"/>
      <c r="D9" s="14" t="n"/>
      <c r="E9" s="14" t="n"/>
      <c r="F9" s="14" t="n"/>
      <c r="G9" s="14" t="n"/>
      <c r="H9" s="14" t="n"/>
      <c r="I9" s="14" t="n"/>
      <c r="J9" s="14" t="n"/>
      <c r="K9" s="14" t="n"/>
      <c r="L9" s="14" t="n"/>
      <c r="M9" s="14" t="n"/>
      <c r="N9" s="14" t="n"/>
    </row>
    <row r="10">
      <c r="A10" s="14" t="n"/>
      <c r="B10" s="14" t="n"/>
      <c r="C10" s="14" t="n"/>
      <c r="D10" s="14" t="n"/>
      <c r="E10" s="14" t="n"/>
      <c r="F10" s="14" t="n"/>
      <c r="G10" s="14" t="n"/>
      <c r="H10" s="14" t="n"/>
      <c r="I10" s="14" t="n"/>
      <c r="J10" s="14" t="n"/>
      <c r="K10" s="14" t="n"/>
      <c r="L10" s="14" t="n"/>
      <c r="M10" s="14" t="n"/>
      <c r="N10" s="14" t="n"/>
    </row>
    <row r="11">
      <c r="A11" s="14" t="n"/>
      <c r="B11" s="14" t="n"/>
      <c r="C11" s="14" t="n"/>
      <c r="D11" s="14" t="n"/>
      <c r="E11" s="14" t="n"/>
      <c r="F11" s="14" t="n"/>
      <c r="G11" s="14" t="n"/>
      <c r="H11" s="14" t="n"/>
      <c r="I11" s="14" t="n"/>
      <c r="J11" s="14" t="n"/>
      <c r="K11" s="14" t="n"/>
      <c r="L11" s="14" t="n"/>
      <c r="M11" s="14" t="n"/>
      <c r="N11" s="14" t="n"/>
    </row>
    <row r="12">
      <c r="A12" s="14" t="n"/>
      <c r="B12" s="14" t="n"/>
      <c r="C12" s="14" t="n"/>
      <c r="D12" s="14" t="n"/>
      <c r="E12" s="14" t="n"/>
      <c r="F12" s="14" t="n"/>
      <c r="G12" s="14" t="n"/>
      <c r="H12" s="14" t="n"/>
      <c r="I12" s="14" t="n"/>
      <c r="J12" s="14" t="n"/>
      <c r="K12" s="14" t="n"/>
      <c r="L12" s="14" t="n"/>
      <c r="M12" s="14" t="n"/>
      <c r="N12" s="14" t="n"/>
    </row>
    <row r="13">
      <c r="A13" s="14" t="n"/>
      <c r="B13" s="14" t="n"/>
      <c r="C13" s="14" t="n"/>
      <c r="D13" s="14" t="n"/>
      <c r="E13" s="14" t="n"/>
      <c r="F13" s="14" t="n"/>
      <c r="G13" s="14" t="n"/>
      <c r="H13" s="14" t="n"/>
      <c r="I13" s="14" t="n"/>
      <c r="J13" s="14" t="n"/>
      <c r="K13" s="14" t="n"/>
      <c r="L13" s="14" t="n"/>
      <c r="M13" s="14" t="n"/>
      <c r="N13" s="14" t="n"/>
    </row>
    <row r="14">
      <c r="A14" s="14" t="n"/>
      <c r="B14" s="14" t="n"/>
      <c r="C14" s="14" t="n"/>
      <c r="D14" s="14" t="n"/>
      <c r="E14" s="14" t="n"/>
      <c r="F14" s="14" t="n"/>
      <c r="G14" s="14" t="n"/>
      <c r="H14" s="14" t="n"/>
      <c r="I14" s="14" t="n"/>
      <c r="J14" s="14" t="n"/>
      <c r="K14" s="14" t="n"/>
      <c r="L14" s="14" t="n"/>
      <c r="M14" s="14" t="n"/>
      <c r="N14" s="14" t="n"/>
    </row>
    <row r="15">
      <c r="A15" s="14" t="n"/>
      <c r="B15" s="14" t="n"/>
      <c r="C15" s="14" t="n"/>
      <c r="D15" s="14" t="n"/>
      <c r="E15" s="14" t="n"/>
      <c r="F15" s="14" t="n"/>
      <c r="G15" s="14" t="n"/>
      <c r="H15" s="14" t="n"/>
      <c r="I15" s="14" t="n"/>
      <c r="J15" s="14" t="n"/>
      <c r="K15" s="14" t="n"/>
      <c r="L15" s="14" t="n"/>
      <c r="M15" s="14" t="n"/>
      <c r="N15" s="14" t="n"/>
    </row>
    <row r="16">
      <c r="A16" s="14" t="n"/>
      <c r="B16" s="14" t="n"/>
      <c r="C16" s="14" t="n"/>
      <c r="D16" s="14" t="n"/>
      <c r="E16" s="14" t="n"/>
      <c r="F16" s="14" t="n"/>
      <c r="G16" s="14" t="n"/>
      <c r="H16" s="14" t="n"/>
      <c r="I16" s="14" t="n"/>
      <c r="J16" s="14" t="n"/>
      <c r="K16" s="14" t="n"/>
      <c r="L16" s="14" t="n"/>
      <c r="M16" s="14" t="n"/>
      <c r="N16" s="14" t="n"/>
    </row>
    <row r="17">
      <c r="A17" s="14" t="n"/>
      <c r="B17" s="14" t="n"/>
      <c r="C17" s="14" t="n"/>
      <c r="D17" s="14" t="n"/>
      <c r="E17" s="14" t="n"/>
      <c r="F17" s="14" t="n"/>
      <c r="G17" s="14" t="n"/>
      <c r="H17" s="14" t="n"/>
      <c r="I17" s="14" t="n"/>
      <c r="J17" s="14" t="n"/>
      <c r="K17" s="14" t="n"/>
      <c r="L17" s="14" t="n"/>
      <c r="M17" s="14" t="n"/>
      <c r="N17" s="14" t="n"/>
    </row>
    <row r="18">
      <c r="A18" s="14" t="n"/>
      <c r="B18" s="14" t="n"/>
      <c r="C18" s="14" t="n"/>
      <c r="D18" s="14" t="n"/>
      <c r="E18" s="14" t="n"/>
      <c r="F18" s="14" t="n"/>
      <c r="G18" s="14" t="n"/>
      <c r="H18" s="14" t="n"/>
      <c r="I18" s="14" t="n"/>
      <c r="J18" s="14" t="n"/>
      <c r="K18" s="14" t="n"/>
      <c r="L18" s="14" t="n"/>
      <c r="M18" s="14" t="n"/>
      <c r="N18" s="14" t="n"/>
    </row>
    <row r="19">
      <c r="A19" s="14" t="n"/>
      <c r="B19" s="14" t="n"/>
      <c r="C19" s="14" t="n"/>
      <c r="D19" s="14" t="n"/>
      <c r="E19" s="14" t="n"/>
      <c r="F19" s="14" t="n"/>
      <c r="G19" s="14" t="n"/>
      <c r="H19" s="14" t="n"/>
      <c r="I19" s="14" t="n"/>
      <c r="J19" s="14" t="n"/>
      <c r="K19" s="14" t="n"/>
      <c r="L19" s="14" t="n"/>
      <c r="M19" s="14" t="n"/>
      <c r="N19" s="14" t="n"/>
    </row>
    <row r="20">
      <c r="A20" s="14" t="n"/>
      <c r="B20" s="14" t="n"/>
      <c r="C20" s="14" t="n"/>
      <c r="D20" s="14" t="n"/>
      <c r="E20" s="14" t="n"/>
      <c r="F20" s="14" t="n"/>
      <c r="G20" s="14" t="n"/>
      <c r="H20" s="14" t="n"/>
      <c r="I20" s="14" t="n"/>
      <c r="J20" s="14" t="n"/>
      <c r="K20" s="14" t="n"/>
      <c r="L20" s="14" t="n"/>
      <c r="M20" s="14" t="n"/>
      <c r="N20" s="14" t="n"/>
    </row>
    <row r="21">
      <c r="A21" s="14" t="n"/>
      <c r="B21" s="14" t="n"/>
      <c r="C21" s="14" t="n"/>
      <c r="D21" s="14" t="n"/>
      <c r="E21" s="14" t="n"/>
      <c r="F21" s="14" t="n"/>
      <c r="G21" s="14" t="n"/>
      <c r="H21" s="14" t="n"/>
      <c r="I21" s="14" t="n"/>
      <c r="J21" s="14" t="n"/>
      <c r="K21" s="14" t="n"/>
      <c r="L21" s="14" t="n"/>
      <c r="M21" s="14" t="n"/>
      <c r="N21" s="14" t="n"/>
    </row>
    <row r="22">
      <c r="A22" s="14" t="n"/>
      <c r="B22" s="14" t="n"/>
      <c r="C22" s="14" t="n"/>
      <c r="D22" s="14" t="n"/>
      <c r="E22" s="14" t="n"/>
      <c r="F22" s="14" t="n"/>
      <c r="G22" s="14" t="n"/>
      <c r="H22" s="14" t="n"/>
      <c r="I22" s="14" t="n"/>
      <c r="J22" s="14" t="n"/>
      <c r="K22" s="14" t="n"/>
      <c r="L22" s="14" t="n"/>
      <c r="M22" s="14" t="n"/>
      <c r="N22" s="14" t="n"/>
    </row>
    <row r="23">
      <c r="A23" s="14" t="n"/>
      <c r="B23" s="14" t="n"/>
      <c r="C23" s="14" t="n"/>
      <c r="D23" s="14" t="n"/>
      <c r="E23" s="14" t="n"/>
      <c r="F23" s="14" t="n"/>
      <c r="G23" s="14" t="n"/>
      <c r="H23" s="14" t="n"/>
      <c r="I23" s="14" t="n"/>
      <c r="J23" s="14" t="n"/>
      <c r="K23" s="14" t="n"/>
      <c r="L23" s="14" t="n"/>
      <c r="M23" s="14" t="n"/>
      <c r="N23" s="14" t="n"/>
    </row>
    <row r="24"/>
  </sheetData>
  <mergeCells count="2">
    <mergeCell ref="A2:N2"/>
    <mergeCell ref="A1:N1"/>
  </mergeCells>
  <dataValidations count="8">
    <dataValidation sqref="B7 B8 B9 B10 B11 B12 B13 B14 B15 B16 B17 B18 B19 B20 B21 B22 B23 B24" showDropDown="1" showInputMessage="0" showErrorMessage="0" allowBlank="0" type="list">
      <formula1>"Inline,TAP,SPAN,Cloud Gateway"</formula1>
    </dataValidation>
    <dataValidation sqref="E7 E8 E9 E10 E11 E12 E13 E14 E15 E16 E17 E18 E19 E20 E21 E22 E23 E24 H7 H8 H9 H10 H11 H12 H13 H14 H15 H16 H17 H18 H19 H20 H21 H22 H23 H24 I7 I8 I9 I10 I11 I12 I13 I14 I15 I16 I17 I18 I19 I20 I21 I22 I23 I24 J7 J8 J9 J10 J11 J12 J13 J14 J15 J16 J17 J18 J19 J20 J21 J22 J23 J24 K7 K8 K9 K10 K11 K12 K13 K14 K15 K16 K17 K18 K19 K20 K21 K22 K23 K24 L7 L8 L9 L10 L11 L12 L13 L14 L15 L16 L17 L18 L19 L20 L21 L22 L23 L24" showDropDown="1" showInputMessage="0" showErrorMessage="1" allowBlank="0" errorTitle="Invalid Entry" error="Invalid value. Select from dropdown." type="list">
      <formula1>"Yes,No,Partial,Planned,N/A"</formula1>
    </dataValidation>
    <dataValidation sqref="E7 E8 E9 E10 E11 E12 E13 E14 E15 E16 E17 E18 E19 E20 E21 E22 E23 E24 H7 H8 H9 H10 H11 H12 H13 H14 H15 H16 H17 H18 H19 H20 H21 H22 H23 H24 I7 I8 I9 I10 I11 I12 I13 I14 I15 I16 I17 I18 I19 I20 I21 I22 I23 I24 J7 J8 J9 J10 J11 J12 J13 J14 J15 J16 J17 J18 J19 J20 J21 J22 J23 J24 K7 K8 K9 K10 K11 K12 K13 K14 K15 K16 K17 K18 K19 K20 K21 K22 K23 K24 L7 L8 L9 L10 L11 L12 L13 L14 L15 L16 L17 L18 L19 L20 L21 L22 L23 L24" showDropDown="1" showInputMessage="0" showErrorMessage="1" allowBlank="0" errorTitle="Invalid Entry" error="Invalid value. Select from dropdown." type="list">
      <formula1>"Yes,No,Partial,Planned,N/A"</formula1>
    </dataValidation>
    <dataValidation sqref="E7 E8 E9 E10 E11 E12 E13 E14 E15 E16 E17 E18 E19 E20 E21 E22 E23 E24 H7 H8 H9 H10 H11 H12 H13 H14 H15 H16 H17 H18 H19 H20 H21 H22 H23 H24 I7 I8 I9 I10 I11 I12 I13 I14 I15 I16 I17 I18 I19 I20 I21 I22 I23 I24 J7 J8 J9 J10 J11 J12 J13 J14 J15 J16 J17 J18 J19 J20 J21 J22 J23 J24 K7 K8 K9 K10 K11 K12 K13 K14 K15 K16 K17 K18 K19 K20 K21 K22 K23 K24 L7 L8 L9 L10 L11 L12 L13 L14 L15 L16 L17 L18 L19 L20 L21 L22 L23 L24" showDropDown="1" showInputMessage="0" showErrorMessage="1" allowBlank="0" errorTitle="Invalid Entry" error="Invalid value. Select from dropdown." type="list">
      <formula1>"Yes,No,Partial,Planned,N/A"</formula1>
    </dataValidation>
    <dataValidation sqref="E7 E8 E9 E10 E11 E12 E13 E14 E15 E16 E17 E18 E19 E20 E21 E22 E23 E24 H7 H8 H9 H10 H11 H12 H13 H14 H15 H16 H17 H18 H19 H20 H21 H22 H23 H24 I7 I8 I9 I10 I11 I12 I13 I14 I15 I16 I17 I18 I19 I20 I21 I22 I23 I24 J7 J8 J9 J10 J11 J12 J13 J14 J15 J16 J17 J18 J19 J20 J21 J22 J23 J24 K7 K8 K9 K10 K11 K12 K13 K14 K15 K16 K17 K18 K19 K20 K21 K22 K23 K24 L7 L8 L9 L10 L11 L12 L13 L14 L15 L16 L17 L18 L19 L20 L21 L22 L23 L24" showDropDown="1" showInputMessage="0" showErrorMessage="1" allowBlank="0" errorTitle="Invalid Entry" error="Invalid value. Select from dropdown." type="list">
      <formula1>"Yes,No,Partial,Planned,N/A"</formula1>
    </dataValidation>
    <dataValidation sqref="E7 E8 E9 E10 E11 E12 E13 E14 E15 E16 E17 E18 E19 E20 E21 E22 E23 E24 H7 H8 H9 H10 H11 H12 H13 H14 H15 H16 H17 H18 H19 H20 H21 H22 H23 H24 I7 I8 I9 I10 I11 I12 I13 I14 I15 I16 I17 I18 I19 I20 I21 I22 I23 I24 J7 J8 J9 J10 J11 J12 J13 J14 J15 J16 J17 J18 J19 J20 J21 J22 J23 J24 K7 K8 K9 K10 K11 K12 K13 K14 K15 K16 K17 K18 K19 K20 K21 K22 K23 K24 L7 L8 L9 L10 L11 L12 L13 L14 L15 L16 L17 L18 L19 L20 L21 L22 L23 L24" showDropDown="1" showInputMessage="0" showErrorMessage="1" allowBlank="0" errorTitle="Invalid Entry" error="Invalid value. Select from dropdown." type="list">
      <formula1>"Yes,No,Partial,Planned,N/A"</formula1>
    </dataValidation>
    <dataValidation sqref="E7 E8 E9 E10 E11 E12 E13 E14 E15 E16 E17 E18 E19 E20 E21 E22 E23 E24 H7 H8 H9 H10 H11 H12 H13 H14 H15 H16 H17 H18 H19 H20 H21 H22 H23 H24 I7 I8 I9 I10 I11 I12 I13 I14 I15 I16 I17 I18 I19 I20 I21 I22 I23 I24 J7 J8 J9 J10 J11 J12 J13 J14 J15 J16 J17 J18 J19 J20 J21 J22 J23 J24 K7 K8 K9 K10 K11 K12 K13 K14 K15 K16 K17 K18 K19 K20 K21 K22 K23 K24 L7 L8 L9 L10 L11 L12 L13 L14 L15 L16 L17 L18 L19 L20 L21 L22 L23 L24" showDropDown="1" showInputMessage="0" showErrorMessage="1" allowBlank="0" errorTitle="Invalid Entry" error="Invalid value. Select from dropdown." type="list">
      <formula1>"Yes,No,Partial,Planned,N/A"</formula1>
    </dataValidation>
    <dataValidation sqref="M7 M8 M9 M10 M11 M12 M13 M14 M15 M16 M17 M18 M19 M20 M21 M22 M23 M24" showDropDown="0" showInputMessage="0" showErrorMessage="0" allowBlank="0"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29"/>
  <sheetViews>
    <sheetView workbookViewId="0">
      <pane ySplit="3" topLeftCell="A4" activePane="bottomLeft" state="frozen"/>
      <selection pane="bottomLeft" activeCell="A1" sqref="A1"/>
    </sheetView>
  </sheetViews>
  <sheetFormatPr baseColWidth="8" defaultRowHeight="15"/>
  <cols>
    <col width="20" customWidth="1" min="1" max="1"/>
    <col width="20" customWidth="1" min="2" max="2"/>
    <col width="25" customWidth="1" min="3" max="3"/>
    <col width="15" customWidth="1" min="4" max="4"/>
    <col width="20"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8" customWidth="1" min="15" max="15"/>
  </cols>
  <sheetData>
    <row r="1" ht="30" customHeight="1">
      <c r="A1" s="1" t="inlineStr">
        <is>
          <t>ENDPOINT DLP ASSESSMENT</t>
        </is>
      </c>
    </row>
    <row r="2" ht="25" customHeight="1">
      <c r="A2" s="2" t="inlineStr">
        <is>
          <t>Assess endpoint DLP agent deployment across Windows, macOS, Linux, VDI</t>
        </is>
      </c>
    </row>
    <row r="3">
      <c r="A3" s="12" t="inlineStr">
        <is>
          <t>Operating System</t>
        </is>
      </c>
      <c r="B3" s="12" t="inlineStr">
        <is>
          <t>OS Version</t>
        </is>
      </c>
      <c r="C3" s="12" t="inlineStr">
        <is>
          <t>Agent Name</t>
        </is>
      </c>
      <c r="D3" s="12" t="inlineStr">
        <is>
          <t>Agent Version</t>
        </is>
      </c>
      <c r="E3" s="12" t="inlineStr">
        <is>
          <t>Deployment Method</t>
        </is>
      </c>
      <c r="F3" s="12" t="inlineStr">
        <is>
          <t>Total Endpoints</t>
        </is>
      </c>
      <c r="G3" s="12" t="inlineStr">
        <is>
          <t>Agents Deployed</t>
        </is>
      </c>
      <c r="H3" s="12" t="inlineStr">
        <is>
          <t>Deployment Coverage %</t>
        </is>
      </c>
      <c r="I3" s="12" t="inlineStr">
        <is>
          <t>USB Blocking</t>
        </is>
      </c>
      <c r="J3" s="12" t="inlineStr">
        <is>
          <t>Clipboard Monitoring</t>
        </is>
      </c>
      <c r="K3" s="12" t="inlineStr">
        <is>
          <t>Print Blocking</t>
        </is>
      </c>
      <c r="L3" s="12" t="inlineStr">
        <is>
          <t>Screen Capture Detection</t>
        </is>
      </c>
      <c r="M3" s="12" t="inlineStr">
        <is>
          <t>Bluetooth Blocking</t>
        </is>
      </c>
      <c r="N3" s="12" t="inlineStr">
        <is>
          <t>Cloud Sync App Monitoring</t>
        </is>
      </c>
      <c r="O3" s="12" t="inlineStr">
        <is>
          <t>Evidence ID</t>
        </is>
      </c>
    </row>
    <row r="4">
      <c r="A4" s="13" t="inlineStr">
        <is>
          <t>Windows</t>
        </is>
      </c>
      <c r="B4" s="13" t="inlineStr">
        <is>
          <t>10/11 Enterprise</t>
        </is>
      </c>
      <c r="C4" s="13" t="inlineStr">
        <is>
          <t>Forcepoint Endpoint</t>
        </is>
      </c>
      <c r="D4" s="13" t="inlineStr">
        <is>
          <t>8.9</t>
        </is>
      </c>
      <c r="E4" s="13" t="inlineStr">
        <is>
          <t>GPO</t>
        </is>
      </c>
      <c r="F4" s="13" t="inlineStr">
        <is>
          <t>2000</t>
        </is>
      </c>
      <c r="G4" s="13" t="inlineStr">
        <is>
          <t>1950</t>
        </is>
      </c>
      <c r="H4" s="13">
        <f>G4/F4*100</f>
        <v/>
      </c>
      <c r="I4" s="13" t="inlineStr">
        <is>
          <t>Yes</t>
        </is>
      </c>
      <c r="J4" s="13" t="inlineStr">
        <is>
          <t>Yes</t>
        </is>
      </c>
      <c r="K4" s="13" t="inlineStr">
        <is>
          <t>Yes</t>
        </is>
      </c>
      <c r="L4" s="13" t="inlineStr">
        <is>
          <t>Yes</t>
        </is>
      </c>
      <c r="M4" s="13" t="inlineStr">
        <is>
          <t>Yes</t>
        </is>
      </c>
      <c r="N4" s="13" t="inlineStr">
        <is>
          <t>Yes</t>
        </is>
      </c>
      <c r="O4" s="13" t="inlineStr">
        <is>
          <t>A812-1-EPT-001</t>
        </is>
      </c>
    </row>
    <row r="5">
      <c r="A5" s="13" t="inlineStr">
        <is>
          <t>macOS</t>
        </is>
      </c>
      <c r="B5" s="13" t="inlineStr">
        <is>
          <t>13.x Ventura</t>
        </is>
      </c>
      <c r="C5" s="13" t="inlineStr">
        <is>
          <t>Forcepoint Endpoint</t>
        </is>
      </c>
      <c r="D5" s="13" t="inlineStr">
        <is>
          <t>8.9</t>
        </is>
      </c>
      <c r="E5" s="13" t="inlineStr">
        <is>
          <t>Jamf</t>
        </is>
      </c>
      <c r="F5" s="13" t="inlineStr">
        <is>
          <t>300</t>
        </is>
      </c>
      <c r="G5" s="13" t="inlineStr">
        <is>
          <t>280</t>
        </is>
      </c>
      <c r="H5" s="13">
        <f>G5/F5*100</f>
        <v/>
      </c>
      <c r="I5" s="13" t="inlineStr">
        <is>
          <t>Yes</t>
        </is>
      </c>
      <c r="J5" s="13" t="inlineStr">
        <is>
          <t>Yes</t>
        </is>
      </c>
      <c r="K5" s="13" t="inlineStr">
        <is>
          <t>Yes</t>
        </is>
      </c>
      <c r="L5" s="13" t="inlineStr">
        <is>
          <t>Partial</t>
        </is>
      </c>
      <c r="M5" s="13" t="inlineStr">
        <is>
          <t>Yes</t>
        </is>
      </c>
      <c r="N5" s="13" t="inlineStr">
        <is>
          <t>Yes</t>
        </is>
      </c>
      <c r="O5" s="13" t="inlineStr">
        <is>
          <t>A812-1-EPT-002</t>
        </is>
      </c>
    </row>
    <row r="6">
      <c r="A6" s="13" t="inlineStr">
        <is>
          <t>Linux</t>
        </is>
      </c>
      <c r="B6" s="13" t="inlineStr">
        <is>
          <t>Ubuntu 22.04</t>
        </is>
      </c>
      <c r="C6" s="13" t="inlineStr">
        <is>
          <t>Custom Script</t>
        </is>
      </c>
      <c r="D6" s="13" t="inlineStr">
        <is>
          <t>1.0</t>
        </is>
      </c>
      <c r="E6" s="13" t="inlineStr">
        <is>
          <t>Ansible</t>
        </is>
      </c>
      <c r="F6" s="13" t="inlineStr">
        <is>
          <t>50</t>
        </is>
      </c>
      <c r="G6" s="13" t="inlineStr">
        <is>
          <t>45</t>
        </is>
      </c>
      <c r="H6" s="13">
        <f>G6/F6*100</f>
        <v/>
      </c>
      <c r="I6" s="13" t="inlineStr">
        <is>
          <t>Partial</t>
        </is>
      </c>
      <c r="J6" s="13" t="inlineStr">
        <is>
          <t>No</t>
        </is>
      </c>
      <c r="K6" s="13" t="inlineStr">
        <is>
          <t>Partial</t>
        </is>
      </c>
      <c r="L6" s="13" t="inlineStr">
        <is>
          <t>No</t>
        </is>
      </c>
      <c r="M6" s="13" t="inlineStr">
        <is>
          <t>Partial</t>
        </is>
      </c>
      <c r="N6" s="13" t="inlineStr">
        <is>
          <t>No</t>
        </is>
      </c>
      <c r="O6" s="13" t="inlineStr">
        <is>
          <t>A812-1-EPT-003</t>
        </is>
      </c>
    </row>
    <row r="7">
      <c r="A7" s="13" t="inlineStr">
        <is>
          <t>VDI (Citrix)</t>
        </is>
      </c>
      <c r="B7" s="13" t="inlineStr">
        <is>
          <t>Windows 10</t>
        </is>
      </c>
      <c r="C7" s="13" t="inlineStr">
        <is>
          <t>Forcepoint Endpoint</t>
        </is>
      </c>
      <c r="D7" s="13" t="inlineStr">
        <is>
          <t>8.9</t>
        </is>
      </c>
      <c r="E7" s="13" t="inlineStr">
        <is>
          <t>Image</t>
        </is>
      </c>
      <c r="F7" s="13" t="inlineStr">
        <is>
          <t>500</t>
        </is>
      </c>
      <c r="G7" s="13" t="inlineStr">
        <is>
          <t>500</t>
        </is>
      </c>
      <c r="H7" s="13">
        <f>G7/F7*100</f>
        <v/>
      </c>
      <c r="I7" s="13" t="inlineStr">
        <is>
          <t>Yes</t>
        </is>
      </c>
      <c r="J7" s="13" t="inlineStr">
        <is>
          <t>Yes</t>
        </is>
      </c>
      <c r="K7" s="13" t="inlineStr">
        <is>
          <t>Yes</t>
        </is>
      </c>
      <c r="L7" s="13" t="inlineStr">
        <is>
          <t>Yes</t>
        </is>
      </c>
      <c r="M7" s="13" t="inlineStr">
        <is>
          <t>N/A</t>
        </is>
      </c>
      <c r="N7" s="13" t="inlineStr">
        <is>
          <t>Yes</t>
        </is>
      </c>
      <c r="O7" s="13" t="inlineStr">
        <is>
          <t>A812-1-EPT-004</t>
        </is>
      </c>
    </row>
    <row r="8">
      <c r="A8" s="14" t="n"/>
      <c r="B8" s="14" t="n"/>
      <c r="C8" s="14" t="n"/>
      <c r="D8" s="14" t="n"/>
      <c r="E8" s="14" t="n"/>
      <c r="F8" s="14" t="n"/>
      <c r="G8" s="14" t="n"/>
      <c r="H8" s="14">
        <f>IF(F8=0,0,G8/F8*100)</f>
        <v/>
      </c>
      <c r="I8" s="14" t="n"/>
      <c r="J8" s="14" t="n"/>
      <c r="K8" s="14" t="n"/>
      <c r="L8" s="14" t="n"/>
      <c r="M8" s="14" t="n"/>
      <c r="N8" s="14" t="n"/>
      <c r="O8" s="14" t="n"/>
    </row>
    <row r="9">
      <c r="A9" s="14" t="n"/>
      <c r="B9" s="14" t="n"/>
      <c r="C9" s="14" t="n"/>
      <c r="D9" s="14" t="n"/>
      <c r="E9" s="14" t="n"/>
      <c r="F9" s="14" t="n"/>
      <c r="G9" s="14" t="n"/>
      <c r="H9" s="14">
        <f>IF(F9=0,0,G9/F9*100)</f>
        <v/>
      </c>
      <c r="I9" s="14" t="n"/>
      <c r="J9" s="14" t="n"/>
      <c r="K9" s="14" t="n"/>
      <c r="L9" s="14" t="n"/>
      <c r="M9" s="14" t="n"/>
      <c r="N9" s="14" t="n"/>
      <c r="O9" s="14" t="n"/>
    </row>
    <row r="10">
      <c r="A10" s="14" t="n"/>
      <c r="B10" s="14" t="n"/>
      <c r="C10" s="14" t="n"/>
      <c r="D10" s="14" t="n"/>
      <c r="E10" s="14" t="n"/>
      <c r="F10" s="14" t="n"/>
      <c r="G10" s="14" t="n"/>
      <c r="H10" s="14">
        <f>IF(F10=0,0,G10/F10*100)</f>
        <v/>
      </c>
      <c r="I10" s="14" t="n"/>
      <c r="J10" s="14" t="n"/>
      <c r="K10" s="14" t="n"/>
      <c r="L10" s="14" t="n"/>
      <c r="M10" s="14" t="n"/>
      <c r="N10" s="14" t="n"/>
      <c r="O10" s="14" t="n"/>
    </row>
    <row r="11">
      <c r="A11" s="14" t="n"/>
      <c r="B11" s="14" t="n"/>
      <c r="C11" s="14" t="n"/>
      <c r="D11" s="14" t="n"/>
      <c r="E11" s="14" t="n"/>
      <c r="F11" s="14" t="n"/>
      <c r="G11" s="14" t="n"/>
      <c r="H11" s="14">
        <f>IF(F11=0,0,G11/F11*100)</f>
        <v/>
      </c>
      <c r="I11" s="14" t="n"/>
      <c r="J11" s="14" t="n"/>
      <c r="K11" s="14" t="n"/>
      <c r="L11" s="14" t="n"/>
      <c r="M11" s="14" t="n"/>
      <c r="N11" s="14" t="n"/>
      <c r="O11" s="14" t="n"/>
    </row>
    <row r="12">
      <c r="A12" s="14" t="n"/>
      <c r="B12" s="14" t="n"/>
      <c r="C12" s="14" t="n"/>
      <c r="D12" s="14" t="n"/>
      <c r="E12" s="14" t="n"/>
      <c r="F12" s="14" t="n"/>
      <c r="G12" s="14" t="n"/>
      <c r="H12" s="14">
        <f>IF(F12=0,0,G12/F12*100)</f>
        <v/>
      </c>
      <c r="I12" s="14" t="n"/>
      <c r="J12" s="14" t="n"/>
      <c r="K12" s="14" t="n"/>
      <c r="L12" s="14" t="n"/>
      <c r="M12" s="14" t="n"/>
      <c r="N12" s="14" t="n"/>
      <c r="O12" s="14" t="n"/>
    </row>
    <row r="13">
      <c r="A13" s="14" t="n"/>
      <c r="B13" s="14" t="n"/>
      <c r="C13" s="14" t="n"/>
      <c r="D13" s="14" t="n"/>
      <c r="E13" s="14" t="n"/>
      <c r="F13" s="14" t="n"/>
      <c r="G13" s="14" t="n"/>
      <c r="H13" s="14">
        <f>IF(F13=0,0,G13/F13*100)</f>
        <v/>
      </c>
      <c r="I13" s="14" t="n"/>
      <c r="J13" s="14" t="n"/>
      <c r="K13" s="14" t="n"/>
      <c r="L13" s="14" t="n"/>
      <c r="M13" s="14" t="n"/>
      <c r="N13" s="14" t="n"/>
      <c r="O13" s="14" t="n"/>
    </row>
    <row r="14">
      <c r="A14" s="14" t="n"/>
      <c r="B14" s="14" t="n"/>
      <c r="C14" s="14" t="n"/>
      <c r="D14" s="14" t="n"/>
      <c r="E14" s="14" t="n"/>
      <c r="F14" s="14" t="n"/>
      <c r="G14" s="14" t="n"/>
      <c r="H14" s="14">
        <f>IF(F14=0,0,G14/F14*100)</f>
        <v/>
      </c>
      <c r="I14" s="14" t="n"/>
      <c r="J14" s="14" t="n"/>
      <c r="K14" s="14" t="n"/>
      <c r="L14" s="14" t="n"/>
      <c r="M14" s="14" t="n"/>
      <c r="N14" s="14" t="n"/>
      <c r="O14" s="14" t="n"/>
    </row>
    <row r="15">
      <c r="A15" s="14" t="n"/>
      <c r="B15" s="14" t="n"/>
      <c r="C15" s="14" t="n"/>
      <c r="D15" s="14" t="n"/>
      <c r="E15" s="14" t="n"/>
      <c r="F15" s="14" t="n"/>
      <c r="G15" s="14" t="n"/>
      <c r="H15" s="14">
        <f>IF(F15=0,0,G15/F15*100)</f>
        <v/>
      </c>
      <c r="I15" s="14" t="n"/>
      <c r="J15" s="14" t="n"/>
      <c r="K15" s="14" t="n"/>
      <c r="L15" s="14" t="n"/>
      <c r="M15" s="14" t="n"/>
      <c r="N15" s="14" t="n"/>
      <c r="O15" s="14" t="n"/>
    </row>
    <row r="16">
      <c r="A16" s="14" t="n"/>
      <c r="B16" s="14" t="n"/>
      <c r="C16" s="14" t="n"/>
      <c r="D16" s="14" t="n"/>
      <c r="E16" s="14" t="n"/>
      <c r="F16" s="14" t="n"/>
      <c r="G16" s="14" t="n"/>
      <c r="H16" s="14">
        <f>IF(F16=0,0,G16/F16*100)</f>
        <v/>
      </c>
      <c r="I16" s="14" t="n"/>
      <c r="J16" s="14" t="n"/>
      <c r="K16" s="14" t="n"/>
      <c r="L16" s="14" t="n"/>
      <c r="M16" s="14" t="n"/>
      <c r="N16" s="14" t="n"/>
      <c r="O16" s="14" t="n"/>
    </row>
    <row r="17">
      <c r="A17" s="14" t="n"/>
      <c r="B17" s="14" t="n"/>
      <c r="C17" s="14" t="n"/>
      <c r="D17" s="14" t="n"/>
      <c r="E17" s="14" t="n"/>
      <c r="F17" s="14" t="n"/>
      <c r="G17" s="14" t="n"/>
      <c r="H17" s="14">
        <f>IF(F17=0,0,G17/F17*100)</f>
        <v/>
      </c>
      <c r="I17" s="14" t="n"/>
      <c r="J17" s="14" t="n"/>
      <c r="K17" s="14" t="n"/>
      <c r="L17" s="14" t="n"/>
      <c r="M17" s="14" t="n"/>
      <c r="N17" s="14" t="n"/>
      <c r="O17" s="14" t="n"/>
    </row>
    <row r="18">
      <c r="A18" s="14" t="n"/>
      <c r="B18" s="14" t="n"/>
      <c r="C18" s="14" t="n"/>
      <c r="D18" s="14" t="n"/>
      <c r="E18" s="14" t="n"/>
      <c r="F18" s="14" t="n"/>
      <c r="G18" s="14" t="n"/>
      <c r="H18" s="14">
        <f>IF(F18=0,0,G18/F18*100)</f>
        <v/>
      </c>
      <c r="I18" s="14" t="n"/>
      <c r="J18" s="14" t="n"/>
      <c r="K18" s="14" t="n"/>
      <c r="L18" s="14" t="n"/>
      <c r="M18" s="14" t="n"/>
      <c r="N18" s="14" t="n"/>
      <c r="O18" s="14" t="n"/>
    </row>
    <row r="19">
      <c r="A19" s="14" t="n"/>
      <c r="B19" s="14" t="n"/>
      <c r="C19" s="14" t="n"/>
      <c r="D19" s="14" t="n"/>
      <c r="E19" s="14" t="n"/>
      <c r="F19" s="14" t="n"/>
      <c r="G19" s="14" t="n"/>
      <c r="H19" s="14">
        <f>IF(F19=0,0,G19/F19*100)</f>
        <v/>
      </c>
      <c r="I19" s="14" t="n"/>
      <c r="J19" s="14" t="n"/>
      <c r="K19" s="14" t="n"/>
      <c r="L19" s="14" t="n"/>
      <c r="M19" s="14" t="n"/>
      <c r="N19" s="14" t="n"/>
      <c r="O19" s="14" t="n"/>
    </row>
    <row r="20">
      <c r="A20" s="14" t="n"/>
      <c r="B20" s="14" t="n"/>
      <c r="C20" s="14" t="n"/>
      <c r="D20" s="14" t="n"/>
      <c r="E20" s="14" t="n"/>
      <c r="F20" s="14" t="n"/>
      <c r="G20" s="14" t="n"/>
      <c r="H20" s="14">
        <f>IF(F20=0,0,G20/F20*100)</f>
        <v/>
      </c>
      <c r="I20" s="14" t="n"/>
      <c r="J20" s="14" t="n"/>
      <c r="K20" s="14" t="n"/>
      <c r="L20" s="14" t="n"/>
      <c r="M20" s="14" t="n"/>
      <c r="N20" s="14" t="n"/>
      <c r="O20" s="14" t="n"/>
    </row>
    <row r="21">
      <c r="A21" s="14" t="n"/>
      <c r="B21" s="14" t="n"/>
      <c r="C21" s="14" t="n"/>
      <c r="D21" s="14" t="n"/>
      <c r="E21" s="14" t="n"/>
      <c r="F21" s="14" t="n"/>
      <c r="G21" s="14" t="n"/>
      <c r="H21" s="14">
        <f>IF(F21=0,0,G21/F21*100)</f>
        <v/>
      </c>
      <c r="I21" s="14" t="n"/>
      <c r="J21" s="14" t="n"/>
      <c r="K21" s="14" t="n"/>
      <c r="L21" s="14" t="n"/>
      <c r="M21" s="14" t="n"/>
      <c r="N21" s="14" t="n"/>
      <c r="O21" s="14" t="n"/>
    </row>
    <row r="22">
      <c r="A22" s="14" t="n"/>
      <c r="B22" s="14" t="n"/>
      <c r="C22" s="14" t="n"/>
      <c r="D22" s="14" t="n"/>
      <c r="E22" s="14" t="n"/>
      <c r="F22" s="14" t="n"/>
      <c r="G22" s="14" t="n"/>
      <c r="H22" s="14">
        <f>IF(F22=0,0,G22/F22*100)</f>
        <v/>
      </c>
      <c r="I22" s="14" t="n"/>
      <c r="J22" s="14" t="n"/>
      <c r="K22" s="14" t="n"/>
      <c r="L22" s="14" t="n"/>
      <c r="M22" s="14" t="n"/>
      <c r="N22" s="14" t="n"/>
      <c r="O22" s="14" t="n"/>
    </row>
    <row r="23">
      <c r="A23" s="14" t="n"/>
      <c r="B23" s="14" t="n"/>
      <c r="C23" s="14" t="n"/>
      <c r="D23" s="14" t="n"/>
      <c r="E23" s="14" t="n"/>
      <c r="F23" s="14" t="n"/>
      <c r="G23" s="14" t="n"/>
      <c r="H23" s="14">
        <f>IF(F23=0,0,G23/F23*100)</f>
        <v/>
      </c>
      <c r="I23" s="14" t="n"/>
      <c r="J23" s="14" t="n"/>
      <c r="K23" s="14" t="n"/>
      <c r="L23" s="14" t="n"/>
      <c r="M23" s="14" t="n"/>
      <c r="N23" s="14" t="n"/>
      <c r="O23" s="14" t="n"/>
    </row>
    <row r="24">
      <c r="A24" s="14" t="n"/>
      <c r="B24" s="14" t="n"/>
      <c r="C24" s="14" t="n"/>
      <c r="D24" s="14" t="n"/>
      <c r="E24" s="14" t="n"/>
      <c r="F24" s="14" t="n"/>
      <c r="G24" s="14" t="n"/>
      <c r="H24" s="14">
        <f>IF(F24=0,0,G24/F24*100)</f>
        <v/>
      </c>
      <c r="I24" s="14" t="n"/>
      <c r="J24" s="14" t="n"/>
      <c r="K24" s="14" t="n"/>
      <c r="L24" s="14" t="n"/>
      <c r="M24" s="14" t="n"/>
      <c r="N24" s="14" t="n"/>
      <c r="O24" s="14" t="n"/>
    </row>
    <row r="25">
      <c r="A25" s="14" t="n"/>
      <c r="B25" s="14" t="n"/>
      <c r="C25" s="14" t="n"/>
      <c r="D25" s="14" t="n"/>
      <c r="E25" s="14" t="n"/>
      <c r="F25" s="14" t="n"/>
      <c r="G25" s="14" t="n"/>
      <c r="H25" s="14">
        <f>IF(F25=0,0,G25/F25*100)</f>
        <v/>
      </c>
      <c r="I25" s="14" t="n"/>
      <c r="J25" s="14" t="n"/>
      <c r="K25" s="14" t="n"/>
      <c r="L25" s="14" t="n"/>
      <c r="M25" s="14" t="n"/>
      <c r="N25" s="14" t="n"/>
      <c r="O25" s="14" t="n"/>
    </row>
    <row r="26">
      <c r="A26" s="14" t="n"/>
      <c r="B26" s="14" t="n"/>
      <c r="C26" s="14" t="n"/>
      <c r="D26" s="14" t="n"/>
      <c r="E26" s="14" t="n"/>
      <c r="F26" s="14" t="n"/>
      <c r="G26" s="14" t="n"/>
      <c r="H26" s="14">
        <f>IF(F26=0,0,G26/F26*100)</f>
        <v/>
      </c>
      <c r="I26" s="14" t="n"/>
      <c r="J26" s="14" t="n"/>
      <c r="K26" s="14" t="n"/>
      <c r="L26" s="14" t="n"/>
      <c r="M26" s="14" t="n"/>
      <c r="N26" s="14" t="n"/>
      <c r="O26" s="14" t="n"/>
    </row>
    <row r="27">
      <c r="A27" s="14" t="n"/>
      <c r="B27" s="14" t="n"/>
      <c r="C27" s="14" t="n"/>
      <c r="D27" s="14" t="n"/>
      <c r="E27" s="14" t="n"/>
      <c r="F27" s="14" t="n"/>
      <c r="G27" s="14" t="n"/>
      <c r="H27" s="14">
        <f>IF(F27=0,0,G27/F27*100)</f>
        <v/>
      </c>
      <c r="I27" s="14" t="n"/>
      <c r="J27" s="14" t="n"/>
      <c r="K27" s="14" t="n"/>
      <c r="L27" s="14" t="n"/>
      <c r="M27" s="14" t="n"/>
      <c r="N27" s="14" t="n"/>
      <c r="O27" s="14" t="n"/>
    </row>
    <row r="28">
      <c r="A28" s="14" t="n"/>
      <c r="B28" s="14" t="n"/>
      <c r="C28" s="14" t="n"/>
      <c r="D28" s="14" t="n"/>
      <c r="E28" s="14" t="n"/>
      <c r="F28" s="14" t="n"/>
      <c r="G28" s="14" t="n"/>
      <c r="H28" s="14">
        <f>IF(F28=0,0,G28/F28*100)</f>
        <v/>
      </c>
      <c r="I28" s="14" t="n"/>
      <c r="J28" s="14" t="n"/>
      <c r="K28" s="14" t="n"/>
      <c r="L28" s="14" t="n"/>
      <c r="M28" s="14" t="n"/>
      <c r="N28" s="14" t="n"/>
      <c r="O28" s="14" t="n"/>
    </row>
    <row r="29"/>
  </sheetData>
  <mergeCells count="2">
    <mergeCell ref="A1:O1"/>
    <mergeCell ref="A2:O2"/>
  </mergeCells>
  <dataValidations count="7">
    <dataValidation sqref="E8 E9 E10 E11 E12 E13 E14 E15 E16 E17 E18 E19 E20 E21 E22 E23 E24 E25 E26 E27 E28 E29" showDropDown="1" showInputMessage="0" showErrorMessage="0" allowBlank="0" type="list">
      <formula1>"GPO,SCCM,Jamf,Manual,Cloud MDM,Ansible,Puppet"</formula1>
    </dataValidation>
    <dataValidation sqref="I8 I9 I10 I11 I12 I13 I14 I15 I16 I17 I18 I19 I20 I21 I22 I23 I24 I25 I26 I27 I28 I29 J8 J9 J10 J11 J12 J13 J14 J15 J16 J17 J18 J19 J20 J21 J22 J23 J24 J25 J26 J27 J28 J29 K8 K9 K10 K11 K12 K13 K14 K15 K16 K17 K18 K19 K20 K21 K22 K23 K24 K25 K26 K27 K28 K29 L8 L9 L10 L11 L12 L13 L14 L15 L16 L17 L18 L19 L20 L21 L22 L23 L24 L25 L26 L27 L28 L29 M8 M9 M10 M11 M12 M13 M14 M15 M16 M17 M18 M19 M20 M21 M22 M23 M24 M25 M26 M27 M28 M29 N8 N9 N10 N11 N12 N13 N14 N15 N16 N17 N18 N19 N20 N21 N22 N23 N24 N25 N26 N27 N28 N29" showDropDown="1" showInputMessage="0" showErrorMessage="1" allowBlank="0" errorTitle="Invalid Entry" error="Invalid value. Select from dropdown." type="list">
      <formula1>"Yes,No,Partial,Planned,N/A"</formula1>
    </dataValidation>
    <dataValidation sqref="I8 I9 I10 I11 I12 I13 I14 I15 I16 I17 I18 I19 I20 I21 I22 I23 I24 I25 I26 I27 I28 I29 J8 J9 J10 J11 J12 J13 J14 J15 J16 J17 J18 J19 J20 J21 J22 J23 J24 J25 J26 J27 J28 J29 K8 K9 K10 K11 K12 K13 K14 K15 K16 K17 K18 K19 K20 K21 K22 K23 K24 K25 K26 K27 K28 K29 L8 L9 L10 L11 L12 L13 L14 L15 L16 L17 L18 L19 L20 L21 L22 L23 L24 L25 L26 L27 L28 L29 M8 M9 M10 M11 M12 M13 M14 M15 M16 M17 M18 M19 M20 M21 M22 M23 M24 M25 M26 M27 M28 M29 N8 N9 N10 N11 N12 N13 N14 N15 N16 N17 N18 N19 N20 N21 N22 N23 N24 N25 N26 N27 N28 N29" showDropDown="1" showInputMessage="0" showErrorMessage="1" allowBlank="0" errorTitle="Invalid Entry" error="Invalid value. Select from dropdown." type="list">
      <formula1>"Yes,No,Partial,Planned,N/A"</formula1>
    </dataValidation>
    <dataValidation sqref="I8 I9 I10 I11 I12 I13 I14 I15 I16 I17 I18 I19 I20 I21 I22 I23 I24 I25 I26 I27 I28 I29 J8 J9 J10 J11 J12 J13 J14 J15 J16 J17 J18 J19 J20 J21 J22 J23 J24 J25 J26 J27 J28 J29 K8 K9 K10 K11 K12 K13 K14 K15 K16 K17 K18 K19 K20 K21 K22 K23 K24 K25 K26 K27 K28 K29 L8 L9 L10 L11 L12 L13 L14 L15 L16 L17 L18 L19 L20 L21 L22 L23 L24 L25 L26 L27 L28 L29 M8 M9 M10 M11 M12 M13 M14 M15 M16 M17 M18 M19 M20 M21 M22 M23 M24 M25 M26 M27 M28 M29 N8 N9 N10 N11 N12 N13 N14 N15 N16 N17 N18 N19 N20 N21 N22 N23 N24 N25 N26 N27 N28 N29" showDropDown="1" showInputMessage="0" showErrorMessage="1" allowBlank="0" errorTitle="Invalid Entry" error="Invalid value. Select from dropdown." type="list">
      <formula1>"Yes,No,Partial,Planned,N/A"</formula1>
    </dataValidation>
    <dataValidation sqref="I8 I9 I10 I11 I12 I13 I14 I15 I16 I17 I18 I19 I20 I21 I22 I23 I24 I25 I26 I27 I28 I29 J8 J9 J10 J11 J12 J13 J14 J15 J16 J17 J18 J19 J20 J21 J22 J23 J24 J25 J26 J27 J28 J29 K8 K9 K10 K11 K12 K13 K14 K15 K16 K17 K18 K19 K20 K21 K22 K23 K24 K25 K26 K27 K28 K29 L8 L9 L10 L11 L12 L13 L14 L15 L16 L17 L18 L19 L20 L21 L22 L23 L24 L25 L26 L27 L28 L29 M8 M9 M10 M11 M12 M13 M14 M15 M16 M17 M18 M19 M20 M21 M22 M23 M24 M25 M26 M27 M28 M29 N8 N9 N10 N11 N12 N13 N14 N15 N16 N17 N18 N19 N20 N21 N22 N23 N24 N25 N26 N27 N28 N29" showDropDown="1" showInputMessage="0" showErrorMessage="1" allowBlank="0" errorTitle="Invalid Entry" error="Invalid value. Select from dropdown." type="list">
      <formula1>"Yes,No,Partial,Planned,N/A"</formula1>
    </dataValidation>
    <dataValidation sqref="I8 I9 I10 I11 I12 I13 I14 I15 I16 I17 I18 I19 I20 I21 I22 I23 I24 I25 I26 I27 I28 I29 J8 J9 J10 J11 J12 J13 J14 J15 J16 J17 J18 J19 J20 J21 J22 J23 J24 J25 J26 J27 J28 J29 K8 K9 K10 K11 K12 K13 K14 K15 K16 K17 K18 K19 K20 K21 K22 K23 K24 K25 K26 K27 K28 K29 L8 L9 L10 L11 L12 L13 L14 L15 L16 L17 L18 L19 L20 L21 L22 L23 L24 L25 L26 L27 L28 L29 M8 M9 M10 M11 M12 M13 M14 M15 M16 M17 M18 M19 M20 M21 M22 M23 M24 M25 M26 M27 M28 M29 N8 N9 N10 N11 N12 N13 N14 N15 N16 N17 N18 N19 N20 N21 N22 N23 N24 N25 N26 N27 N28 N29" showDropDown="1" showInputMessage="0" showErrorMessage="1" allowBlank="0" errorTitle="Invalid Entry" error="Invalid value. Select from dropdown." type="list">
      <formula1>"Yes,No,Partial,Planned,N/A"</formula1>
    </dataValidation>
    <dataValidation sqref="I8 I9 I10 I11 I12 I13 I14 I15 I16 I17 I18 I19 I20 I21 I22 I23 I24 I25 I26 I27 I28 I29 J8 J9 J10 J11 J12 J13 J14 J15 J16 J17 J18 J19 J20 J21 J22 J23 J24 J25 J26 J27 J28 J29 K8 K9 K10 K11 K12 K13 K14 K15 K16 K17 K18 K19 K20 K21 K22 K23 K24 K25 K26 K27 K28 K29 L8 L9 L10 L11 L12 L13 L14 L15 L16 L17 L18 L19 L20 L21 L22 L23 L24 L25 L26 L27 L28 L29 M8 M9 M10 M11 M12 M13 M14 M15 M16 M17 M18 M19 M20 M21 M22 M23 M24 M25 M26 M27 M28 M29 N8 N9 N10 N11 N12 N13 N14 N15 N16 N17 N18 N19 N20 N21 N22 N23 N24 N25 N26 N27 N28 N29" showDropDown="1" showInputMessage="0" showErrorMessage="1" allowBlank="0" errorTitle="Invalid Entry" error="Invalid value. Select from dropdown." type="list">
      <formula1>"Yes,No,Partial,Planned,N/A"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4"/>
  <sheetViews>
    <sheetView workbookViewId="0">
      <pane ySplit="3" topLeftCell="A4" activePane="bottomLeft" state="frozen"/>
      <selection pane="bottomLeft" activeCell="A1" sqref="A1"/>
    </sheetView>
  </sheetViews>
  <sheetFormatPr baseColWidth="8" defaultRowHeight="15"/>
  <cols>
    <col width="25" customWidth="1" min="1" max="1"/>
    <col width="25"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ht="30" customHeight="1">
      <c r="A1" s="1" t="inlineStr">
        <is>
          <t>EMAIL DLP ASSESSMENT</t>
        </is>
      </c>
    </row>
    <row r="2" ht="25" customHeight="1">
      <c r="A2" s="2" t="inlineStr">
        <is>
          <t>Assess email gateway DLP solutions (Exchange, M365, Gmail)</t>
        </is>
      </c>
    </row>
    <row r="3">
      <c r="A3" s="12" t="inlineStr">
        <is>
          <t>Email System</t>
        </is>
      </c>
      <c r="B3" s="12" t="inlineStr">
        <is>
          <t>DLP Solution</t>
        </is>
      </c>
      <c r="C3" s="12" t="inlineStr">
        <is>
          <t>Deployment Type</t>
        </is>
      </c>
      <c r="D3" s="12" t="inlineStr">
        <is>
          <t>SMTP Gateway Protection</t>
        </is>
      </c>
      <c r="E3" s="12" t="inlineStr">
        <is>
          <t>Webmail Protection</t>
        </is>
      </c>
      <c r="F3" s="12" t="inlineStr">
        <is>
          <t>Attachment Scanning</t>
        </is>
      </c>
      <c r="G3" s="12" t="inlineStr">
        <is>
          <t>Encrypted Email Handling</t>
        </is>
      </c>
      <c r="H3" s="12" t="inlineStr">
        <is>
          <t>Internal Email Monitoring</t>
        </is>
      </c>
      <c r="I3" s="12" t="inlineStr">
        <is>
          <t>External Email Monitoring</t>
        </is>
      </c>
      <c r="J3" s="12" t="inlineStr">
        <is>
          <t>Quarantine Capability</t>
        </is>
      </c>
      <c r="K3" s="12" t="inlineStr">
        <is>
          <t>Auto-Encryption</t>
        </is>
      </c>
      <c r="L3" s="12" t="inlineStr">
        <is>
          <t>Evidence ID</t>
        </is>
      </c>
    </row>
    <row r="4">
      <c r="A4" s="13" t="inlineStr">
        <is>
          <t>Microsoft 365</t>
        </is>
      </c>
      <c r="B4" s="13" t="inlineStr">
        <is>
          <t>Microsoft Purview DLP</t>
        </is>
      </c>
      <c r="C4" s="13" t="inlineStr">
        <is>
          <t>Cloud</t>
        </is>
      </c>
      <c r="D4" s="13" t="inlineStr">
        <is>
          <t>Yes</t>
        </is>
      </c>
      <c r="E4" s="13" t="inlineStr">
        <is>
          <t>Yes</t>
        </is>
      </c>
      <c r="F4" s="13" t="inlineStr">
        <is>
          <t>Yes</t>
        </is>
      </c>
      <c r="G4" s="13" t="inlineStr">
        <is>
          <t>Partial</t>
        </is>
      </c>
      <c r="H4" s="13" t="inlineStr">
        <is>
          <t>Yes</t>
        </is>
      </c>
      <c r="I4" s="13" t="inlineStr">
        <is>
          <t>Yes</t>
        </is>
      </c>
      <c r="J4" s="13" t="inlineStr">
        <is>
          <t>Yes</t>
        </is>
      </c>
      <c r="K4" s="13" t="inlineStr">
        <is>
          <t>Yes</t>
        </is>
      </c>
      <c r="L4" s="13" t="inlineStr">
        <is>
          <t>A812-1-EML-001</t>
        </is>
      </c>
    </row>
    <row r="5">
      <c r="A5" s="13" t="inlineStr">
        <is>
          <t>On-Prem Exchange</t>
        </is>
      </c>
      <c r="B5" s="13" t="inlineStr">
        <is>
          <t>Symantec Email DLP</t>
        </is>
      </c>
      <c r="C5" s="13" t="inlineStr">
        <is>
          <t>On-Premise</t>
        </is>
      </c>
      <c r="D5" s="13" t="inlineStr">
        <is>
          <t>Yes</t>
        </is>
      </c>
      <c r="E5" s="13" t="inlineStr">
        <is>
          <t>No</t>
        </is>
      </c>
      <c r="F5" s="13" t="inlineStr">
        <is>
          <t>Yes</t>
        </is>
      </c>
      <c r="G5" s="13" t="inlineStr">
        <is>
          <t>Yes</t>
        </is>
      </c>
      <c r="H5" s="13" t="inlineStr">
        <is>
          <t>Partial</t>
        </is>
      </c>
      <c r="I5" s="13" t="inlineStr">
        <is>
          <t>Yes</t>
        </is>
      </c>
      <c r="J5" s="13" t="inlineStr">
        <is>
          <t>Yes</t>
        </is>
      </c>
      <c r="K5" s="13" t="inlineStr">
        <is>
          <t>Partial</t>
        </is>
      </c>
      <c r="L5" s="13" t="inlineStr">
        <is>
          <t>A812-1-EML-002</t>
        </is>
      </c>
    </row>
    <row r="6">
      <c r="A6" s="13" t="inlineStr">
        <is>
          <t>Gmail Workspace</t>
        </is>
      </c>
      <c r="B6" s="13" t="inlineStr">
        <is>
          <t>Google DLP</t>
        </is>
      </c>
      <c r="C6" s="13" t="inlineStr">
        <is>
          <t>Cloud</t>
        </is>
      </c>
      <c r="D6" s="13" t="inlineStr">
        <is>
          <t>Yes</t>
        </is>
      </c>
      <c r="E6" s="13" t="inlineStr">
        <is>
          <t>Yes</t>
        </is>
      </c>
      <c r="F6" s="13" t="inlineStr">
        <is>
          <t>Yes</t>
        </is>
      </c>
      <c r="G6" s="13" t="inlineStr">
        <is>
          <t>Partial</t>
        </is>
      </c>
      <c r="H6" s="13" t="inlineStr">
        <is>
          <t>Yes</t>
        </is>
      </c>
      <c r="I6" s="13" t="inlineStr">
        <is>
          <t>Yes</t>
        </is>
      </c>
      <c r="J6" s="13" t="inlineStr">
        <is>
          <t>Yes</t>
        </is>
      </c>
      <c r="K6" s="13" t="inlineStr">
        <is>
          <t>Partial</t>
        </is>
      </c>
      <c r="L6" s="13" t="inlineStr">
        <is>
          <t>A812-1-EML-003</t>
        </is>
      </c>
    </row>
    <row r="7">
      <c r="A7" s="14" t="n"/>
      <c r="B7" s="14" t="n"/>
      <c r="C7" s="14" t="n"/>
      <c r="D7" s="14" t="n"/>
      <c r="E7" s="14" t="n"/>
      <c r="F7" s="14" t="n"/>
      <c r="G7" s="14" t="n"/>
      <c r="H7" s="14" t="n"/>
      <c r="I7" s="14" t="n"/>
      <c r="J7" s="14" t="n"/>
      <c r="K7" s="14" t="n"/>
      <c r="L7" s="14" t="n"/>
    </row>
    <row r="8">
      <c r="A8" s="14" t="n"/>
      <c r="B8" s="14" t="n"/>
      <c r="C8" s="14" t="n"/>
      <c r="D8" s="14" t="n"/>
      <c r="E8" s="14" t="n"/>
      <c r="F8" s="14" t="n"/>
      <c r="G8" s="14" t="n"/>
      <c r="H8" s="14" t="n"/>
      <c r="I8" s="14" t="n"/>
      <c r="J8" s="14" t="n"/>
      <c r="K8" s="14" t="n"/>
      <c r="L8" s="14" t="n"/>
    </row>
    <row r="9">
      <c r="A9" s="14" t="n"/>
      <c r="B9" s="14" t="n"/>
      <c r="C9" s="14" t="n"/>
      <c r="D9" s="14" t="n"/>
      <c r="E9" s="14" t="n"/>
      <c r="F9" s="14" t="n"/>
      <c r="G9" s="14" t="n"/>
      <c r="H9" s="14" t="n"/>
      <c r="I9" s="14" t="n"/>
      <c r="J9" s="14" t="n"/>
      <c r="K9" s="14" t="n"/>
      <c r="L9" s="14" t="n"/>
    </row>
    <row r="10">
      <c r="A10" s="14" t="n"/>
      <c r="B10" s="14" t="n"/>
      <c r="C10" s="14" t="n"/>
      <c r="D10" s="14" t="n"/>
      <c r="E10" s="14" t="n"/>
      <c r="F10" s="14" t="n"/>
      <c r="G10" s="14" t="n"/>
      <c r="H10" s="14" t="n"/>
      <c r="I10" s="14" t="n"/>
      <c r="J10" s="14" t="n"/>
      <c r="K10" s="14" t="n"/>
      <c r="L10" s="14" t="n"/>
    </row>
    <row r="11">
      <c r="A11" s="14" t="n"/>
      <c r="B11" s="14" t="n"/>
      <c r="C11" s="14" t="n"/>
      <c r="D11" s="14" t="n"/>
      <c r="E11" s="14" t="n"/>
      <c r="F11" s="14" t="n"/>
      <c r="G11" s="14" t="n"/>
      <c r="H11" s="14" t="n"/>
      <c r="I11" s="14" t="n"/>
      <c r="J11" s="14" t="n"/>
      <c r="K11" s="14" t="n"/>
      <c r="L11" s="14" t="n"/>
    </row>
    <row r="12">
      <c r="A12" s="14" t="n"/>
      <c r="B12" s="14" t="n"/>
      <c r="C12" s="14" t="n"/>
      <c r="D12" s="14" t="n"/>
      <c r="E12" s="14" t="n"/>
      <c r="F12" s="14" t="n"/>
      <c r="G12" s="14" t="n"/>
      <c r="H12" s="14" t="n"/>
      <c r="I12" s="14" t="n"/>
      <c r="J12" s="14" t="n"/>
      <c r="K12" s="14" t="n"/>
      <c r="L12" s="14" t="n"/>
    </row>
    <row r="13">
      <c r="A13" s="14" t="n"/>
      <c r="B13" s="14" t="n"/>
      <c r="C13" s="14" t="n"/>
      <c r="D13" s="14" t="n"/>
      <c r="E13" s="14" t="n"/>
      <c r="F13" s="14" t="n"/>
      <c r="G13" s="14" t="n"/>
      <c r="H13" s="14" t="n"/>
      <c r="I13" s="14" t="n"/>
      <c r="J13" s="14" t="n"/>
      <c r="K13" s="14" t="n"/>
      <c r="L13" s="14" t="n"/>
    </row>
    <row r="14">
      <c r="A14" s="14" t="n"/>
      <c r="B14" s="14" t="n"/>
      <c r="C14" s="14" t="n"/>
      <c r="D14" s="14" t="n"/>
      <c r="E14" s="14" t="n"/>
      <c r="F14" s="14" t="n"/>
      <c r="G14" s="14" t="n"/>
      <c r="H14" s="14" t="n"/>
      <c r="I14" s="14" t="n"/>
      <c r="J14" s="14" t="n"/>
      <c r="K14" s="14" t="n"/>
      <c r="L14" s="14" t="n"/>
    </row>
    <row r="15">
      <c r="A15" s="14" t="n"/>
      <c r="B15" s="14" t="n"/>
      <c r="C15" s="14" t="n"/>
      <c r="D15" s="14" t="n"/>
      <c r="E15" s="14" t="n"/>
      <c r="F15" s="14" t="n"/>
      <c r="G15" s="14" t="n"/>
      <c r="H15" s="14" t="n"/>
      <c r="I15" s="14" t="n"/>
      <c r="J15" s="14" t="n"/>
      <c r="K15" s="14" t="n"/>
      <c r="L15" s="14" t="n"/>
    </row>
    <row r="16">
      <c r="A16" s="14" t="n"/>
      <c r="B16" s="14" t="n"/>
      <c r="C16" s="14" t="n"/>
      <c r="D16" s="14" t="n"/>
      <c r="E16" s="14" t="n"/>
      <c r="F16" s="14" t="n"/>
      <c r="G16" s="14" t="n"/>
      <c r="H16" s="14" t="n"/>
      <c r="I16" s="14" t="n"/>
      <c r="J16" s="14" t="n"/>
      <c r="K16" s="14" t="n"/>
      <c r="L16" s="14" t="n"/>
    </row>
    <row r="17">
      <c r="A17" s="14" t="n"/>
      <c r="B17" s="14" t="n"/>
      <c r="C17" s="14" t="n"/>
      <c r="D17" s="14" t="n"/>
      <c r="E17" s="14" t="n"/>
      <c r="F17" s="14" t="n"/>
      <c r="G17" s="14" t="n"/>
      <c r="H17" s="14" t="n"/>
      <c r="I17" s="14" t="n"/>
      <c r="J17" s="14" t="n"/>
      <c r="K17" s="14" t="n"/>
      <c r="L17" s="14" t="n"/>
    </row>
    <row r="18">
      <c r="A18" s="14" t="n"/>
      <c r="B18" s="14" t="n"/>
      <c r="C18" s="14" t="n"/>
      <c r="D18" s="14" t="n"/>
      <c r="E18" s="14" t="n"/>
      <c r="F18" s="14" t="n"/>
      <c r="G18" s="14" t="n"/>
      <c r="H18" s="14" t="n"/>
      <c r="I18" s="14" t="n"/>
      <c r="J18" s="14" t="n"/>
      <c r="K18" s="14" t="n"/>
      <c r="L18" s="14" t="n"/>
    </row>
    <row r="19">
      <c r="A19" s="14" t="n"/>
      <c r="B19" s="14" t="n"/>
      <c r="C19" s="14" t="n"/>
      <c r="D19" s="14" t="n"/>
      <c r="E19" s="14" t="n"/>
      <c r="F19" s="14" t="n"/>
      <c r="G19" s="14" t="n"/>
      <c r="H19" s="14" t="n"/>
      <c r="I19" s="14" t="n"/>
      <c r="J19" s="14" t="n"/>
      <c r="K19" s="14" t="n"/>
      <c r="L19" s="14" t="n"/>
    </row>
    <row r="20">
      <c r="A20" s="14" t="n"/>
      <c r="B20" s="14" t="n"/>
      <c r="C20" s="14" t="n"/>
      <c r="D20" s="14" t="n"/>
      <c r="E20" s="14" t="n"/>
      <c r="F20" s="14" t="n"/>
      <c r="G20" s="14" t="n"/>
      <c r="H20" s="14" t="n"/>
      <c r="I20" s="14" t="n"/>
      <c r="J20" s="14" t="n"/>
      <c r="K20" s="14" t="n"/>
      <c r="L20" s="14" t="n"/>
    </row>
    <row r="21">
      <c r="A21" s="14" t="n"/>
      <c r="B21" s="14" t="n"/>
      <c r="C21" s="14" t="n"/>
      <c r="D21" s="14" t="n"/>
      <c r="E21" s="14" t="n"/>
      <c r="F21" s="14" t="n"/>
      <c r="G21" s="14" t="n"/>
      <c r="H21" s="14" t="n"/>
      <c r="I21" s="14" t="n"/>
      <c r="J21" s="14" t="n"/>
      <c r="K21" s="14" t="n"/>
      <c r="L21" s="14" t="n"/>
    </row>
    <row r="22">
      <c r="A22" s="14" t="n"/>
      <c r="B22" s="14" t="n"/>
      <c r="C22" s="14" t="n"/>
      <c r="D22" s="14" t="n"/>
      <c r="E22" s="14" t="n"/>
      <c r="F22" s="14" t="n"/>
      <c r="G22" s="14" t="n"/>
      <c r="H22" s="14" t="n"/>
      <c r="I22" s="14" t="n"/>
      <c r="J22" s="14" t="n"/>
      <c r="K22" s="14" t="n"/>
      <c r="L22" s="14" t="n"/>
    </row>
    <row r="23">
      <c r="A23" s="14" t="n"/>
      <c r="B23" s="14" t="n"/>
      <c r="C23" s="14" t="n"/>
      <c r="D23" s="14" t="n"/>
      <c r="E23" s="14" t="n"/>
      <c r="F23" s="14" t="n"/>
      <c r="G23" s="14" t="n"/>
      <c r="H23" s="14" t="n"/>
      <c r="I23" s="14" t="n"/>
      <c r="J23" s="14" t="n"/>
      <c r="K23" s="14" t="n"/>
      <c r="L23" s="14" t="n"/>
    </row>
    <row r="24"/>
  </sheetData>
  <mergeCells count="2">
    <mergeCell ref="A2:L2"/>
    <mergeCell ref="A1:L1"/>
  </mergeCells>
  <dataValidations count="9">
    <dataValidation sqref="C7 C8 C9 C10 C11 C12 C13 C14 C15 C16 C17 C18 C19 C20 C21 C22 C23 C24" showDropDown="1" showInputMessage="0" showErrorMessage="0" allowBlank="0" type="list">
      <formula1>"On-Premise,Cloud,Hybrid"</formula1>
    </dataValidation>
    <dataValidation sqref="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I7 I8 I9 I10 I11 I12 I13 I14 I15 I16 I17 I18 I19 I20 I21 I22 I23 I24 K7 K8 K9 K10 K11 K12 K13 K14 K15 K16 K17 K18 K19 K20 K21 K22 K23 K24" showDropDown="1" showInputMessage="0" showErrorMessage="1" allowBlank="0" errorTitle="Invalid Entry" error="Invalid value. Select from dropdown." type="list">
      <formula1>"Yes,No,Partial,Planned,N/A"</formula1>
    </dataValidation>
    <dataValidation sqref="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I7 I8 I9 I10 I11 I12 I13 I14 I15 I16 I17 I18 I19 I20 I21 I22 I23 I24 K7 K8 K9 K10 K11 K12 K13 K14 K15 K16 K17 K18 K19 K20 K21 K22 K23 K24" showDropDown="1" showInputMessage="0" showErrorMessage="1" allowBlank="0" errorTitle="Invalid Entry" error="Invalid value. Select from dropdown." type="list">
      <formula1>"Yes,No,Partial,Planned,N/A"</formula1>
    </dataValidation>
    <dataValidation sqref="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I7 I8 I9 I10 I11 I12 I13 I14 I15 I16 I17 I18 I19 I20 I21 I22 I23 I24 K7 K8 K9 K10 K11 K12 K13 K14 K15 K16 K17 K18 K19 K20 K21 K22 K23 K24" showDropDown="1" showInputMessage="0" showErrorMessage="1" allowBlank="0" errorTitle="Invalid Entry" error="Invalid value. Select from dropdown." type="list">
      <formula1>"Yes,No,Partial,Planned,N/A"</formula1>
    </dataValidation>
    <dataValidation sqref="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I7 I8 I9 I10 I11 I12 I13 I14 I15 I16 I17 I18 I19 I20 I21 I22 I23 I24 K7 K8 K9 K10 K11 K12 K13 K14 K15 K16 K17 K18 K19 K20 K21 K22 K23 K24" showDropDown="1" showInputMessage="0" showErrorMessage="1" allowBlank="0" errorTitle="Invalid Entry" error="Invalid value. Select from dropdown." type="list">
      <formula1>"Yes,No,Partial,Planned,N/A"</formula1>
    </dataValidation>
    <dataValidation sqref="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I7 I8 I9 I10 I11 I12 I13 I14 I15 I16 I17 I18 I19 I20 I21 I22 I23 I24 K7 K8 K9 K10 K11 K12 K13 K14 K15 K16 K17 K18 K19 K20 K21 K22 K23 K24" showDropDown="1" showInputMessage="0" showErrorMessage="1" allowBlank="0" errorTitle="Invalid Entry" error="Invalid value. Select from dropdown." type="list">
      <formula1>"Yes,No,Partial,Planned,N/A"</formula1>
    </dataValidation>
    <dataValidation sqref="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I7 I8 I9 I10 I11 I12 I13 I14 I15 I16 I17 I18 I19 I20 I21 I22 I23 I24 K7 K8 K9 K10 K11 K12 K13 K14 K15 K16 K17 K18 K19 K20 K21 K22 K23 K24" showDropDown="1" showInputMessage="0" showErrorMessage="1" allowBlank="0" errorTitle="Invalid Entry" error="Invalid value. Select from dropdown." type="list">
      <formula1>"Yes,No,Partial,Planned,N/A"</formula1>
    </dataValidation>
    <dataValidation sqref="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I7 I8 I9 I10 I11 I12 I13 I14 I15 I16 I17 I18 I19 I20 I21 I22 I23 I24 K7 K8 K9 K10 K11 K12 K13 K14 K15 K16 K17 K18 K19 K20 K21 K22 K23 K24" showDropDown="1" showInputMessage="0" showErrorMessage="1" allowBlank="0" errorTitle="Invalid Entry" error="Invalid value. Select from dropdown." type="list">
      <formula1>"Yes,No,Partial,Planned,N/A"</formula1>
    </dataValidation>
    <dataValidation sqref="J7 J8 J9 J10 J11 J12 J13 J14 J15 J16 J17 J18 J19 J20 J21 J22 J23 J24" showDropDown="0" showInputMessage="0" showErrorMessage="0" allowBlank="0" type="list">
      <formula1>"Yes,No,Partial,N/A"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4"/>
  <sheetViews>
    <sheetView workbookViewId="0">
      <pane ySplit="3" topLeftCell="A4" activePane="bottomLeft" state="frozen"/>
      <selection pane="bottomLeft" activeCell="A1" sqref="A1"/>
    </sheetView>
  </sheetViews>
  <sheetFormatPr baseColWidth="8" defaultRowHeight="15"/>
  <cols>
    <col width="25" customWidth="1" min="1" max="1"/>
    <col width="25"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30" customHeight="1">
      <c r="A1" s="1" t="inlineStr">
        <is>
          <t>CLOUD / CASB DLP ASSESSMENT</t>
        </is>
      </c>
    </row>
    <row r="2" ht="25" customHeight="1">
      <c r="A2" s="2" t="inlineStr">
        <is>
          <t>Assess Cloud Access Security Broker and cloud-native DLP</t>
        </is>
      </c>
    </row>
    <row r="3">
      <c r="A3" s="12" t="inlineStr">
        <is>
          <t>Cloud Service</t>
        </is>
      </c>
      <c r="B3" s="12" t="inlineStr">
        <is>
          <t>CASB Solution</t>
        </is>
      </c>
      <c r="C3" s="12" t="inlineStr">
        <is>
          <t>Integration Type</t>
        </is>
      </c>
      <c r="D3" s="12" t="inlineStr">
        <is>
          <t>Upload Monitoring</t>
        </is>
      </c>
      <c r="E3" s="12" t="inlineStr">
        <is>
          <t>Download Monitoring</t>
        </is>
      </c>
      <c r="F3" s="12" t="inlineStr">
        <is>
          <t>Sharing Controls</t>
        </is>
      </c>
      <c r="G3" s="12" t="inlineStr">
        <is>
          <t>Content Inspection</t>
        </is>
      </c>
      <c r="H3" s="12" t="inlineStr">
        <is>
          <t>Real-Time Blocking</t>
        </is>
      </c>
      <c r="I3" s="12" t="inlineStr">
        <is>
          <t>Shadow IT Discovery</t>
        </is>
      </c>
      <c r="J3" s="12" t="inlineStr">
        <is>
          <t>Evidence ID</t>
        </is>
      </c>
    </row>
    <row r="4">
      <c r="A4" s="13" t="inlineStr">
        <is>
          <t>Microsoft OneDrive</t>
        </is>
      </c>
      <c r="B4" s="13" t="inlineStr">
        <is>
          <t>Netskope</t>
        </is>
      </c>
      <c r="C4" s="13" t="inlineStr">
        <is>
          <t>API</t>
        </is>
      </c>
      <c r="D4" s="13" t="inlineStr">
        <is>
          <t>Yes</t>
        </is>
      </c>
      <c r="E4" s="13" t="inlineStr">
        <is>
          <t>Yes</t>
        </is>
      </c>
      <c r="F4" s="13" t="inlineStr">
        <is>
          <t>Yes</t>
        </is>
      </c>
      <c r="G4" s="13" t="inlineStr">
        <is>
          <t>Yes</t>
        </is>
      </c>
      <c r="H4" s="13" t="inlineStr">
        <is>
          <t>Yes</t>
        </is>
      </c>
      <c r="I4" s="13" t="inlineStr">
        <is>
          <t>Yes</t>
        </is>
      </c>
      <c r="J4" s="13" t="inlineStr">
        <is>
          <t>A812-1-CLD-001</t>
        </is>
      </c>
    </row>
    <row r="5">
      <c r="A5" s="13" t="inlineStr">
        <is>
          <t>Dropbox</t>
        </is>
      </c>
      <c r="B5" s="13" t="inlineStr">
        <is>
          <t>Netskope</t>
        </is>
      </c>
      <c r="C5" s="13" t="inlineStr">
        <is>
          <t>API</t>
        </is>
      </c>
      <c r="D5" s="13" t="inlineStr">
        <is>
          <t>Yes</t>
        </is>
      </c>
      <c r="E5" s="13" t="inlineStr">
        <is>
          <t>Yes</t>
        </is>
      </c>
      <c r="F5" s="13" t="inlineStr">
        <is>
          <t>Yes</t>
        </is>
      </c>
      <c r="G5" s="13" t="inlineStr">
        <is>
          <t>Yes</t>
        </is>
      </c>
      <c r="H5" s="13" t="inlineStr">
        <is>
          <t>Yes</t>
        </is>
      </c>
      <c r="I5" s="13" t="inlineStr">
        <is>
          <t>Yes</t>
        </is>
      </c>
      <c r="J5" s="13" t="inlineStr">
        <is>
          <t>A812-1-CLD-002</t>
        </is>
      </c>
    </row>
    <row r="6">
      <c r="A6" s="13" t="inlineStr">
        <is>
          <t>Box</t>
        </is>
      </c>
      <c r="B6" s="13" t="inlineStr">
        <is>
          <t>McAfee MVISION</t>
        </is>
      </c>
      <c r="C6" s="13" t="inlineStr">
        <is>
          <t>API</t>
        </is>
      </c>
      <c r="D6" s="13" t="inlineStr">
        <is>
          <t>Yes</t>
        </is>
      </c>
      <c r="E6" s="13" t="inlineStr">
        <is>
          <t>Partial</t>
        </is>
      </c>
      <c r="F6" s="13" t="inlineStr">
        <is>
          <t>Yes</t>
        </is>
      </c>
      <c r="G6" s="13" t="inlineStr">
        <is>
          <t>Yes</t>
        </is>
      </c>
      <c r="H6" s="13" t="inlineStr">
        <is>
          <t>Partial</t>
        </is>
      </c>
      <c r="I6" s="13" t="inlineStr">
        <is>
          <t>Partial</t>
        </is>
      </c>
      <c r="J6" s="13" t="inlineStr">
        <is>
          <t>A812-1-CLD-003</t>
        </is>
      </c>
    </row>
    <row r="7">
      <c r="A7" s="13" t="inlineStr">
        <is>
          <t>Google Drive</t>
        </is>
      </c>
      <c r="B7" s="13" t="inlineStr">
        <is>
          <t>Native Google DLP</t>
        </is>
      </c>
      <c r="C7" s="13" t="inlineStr">
        <is>
          <t>API</t>
        </is>
      </c>
      <c r="D7" s="13" t="inlineStr">
        <is>
          <t>Yes</t>
        </is>
      </c>
      <c r="E7" s="13" t="inlineStr">
        <is>
          <t>Yes</t>
        </is>
      </c>
      <c r="F7" s="13" t="inlineStr">
        <is>
          <t>Yes</t>
        </is>
      </c>
      <c r="G7" s="13" t="inlineStr">
        <is>
          <t>Yes</t>
        </is>
      </c>
      <c r="H7" s="13" t="inlineStr">
        <is>
          <t>Yes</t>
        </is>
      </c>
      <c r="I7" s="13" t="inlineStr">
        <is>
          <t>N/A</t>
        </is>
      </c>
      <c r="J7" s="13" t="inlineStr">
        <is>
          <t>A812-1-CLD-004</t>
        </is>
      </c>
    </row>
    <row r="8">
      <c r="A8" s="13" t="inlineStr">
        <is>
          <t>GitHub</t>
        </is>
      </c>
      <c r="B8" s="13" t="inlineStr">
        <is>
          <t>Netskope</t>
        </is>
      </c>
      <c r="C8" s="13" t="inlineStr">
        <is>
          <t>API</t>
        </is>
      </c>
      <c r="D8" s="13" t="inlineStr">
        <is>
          <t>Yes</t>
        </is>
      </c>
      <c r="E8" s="13" t="inlineStr">
        <is>
          <t>Yes</t>
        </is>
      </c>
      <c r="F8" s="13" t="inlineStr">
        <is>
          <t>No</t>
        </is>
      </c>
      <c r="G8" s="13" t="inlineStr">
        <is>
          <t>Yes</t>
        </is>
      </c>
      <c r="H8" s="13" t="inlineStr">
        <is>
          <t>Yes</t>
        </is>
      </c>
      <c r="I8" s="13" t="inlineStr">
        <is>
          <t>Yes</t>
        </is>
      </c>
      <c r="J8" s="13" t="inlineStr">
        <is>
          <t>A812-1-CLD-005</t>
        </is>
      </c>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row r="14">
      <c r="A14" s="14" t="n"/>
      <c r="B14" s="14" t="n"/>
      <c r="C14" s="14" t="n"/>
      <c r="D14" s="14" t="n"/>
      <c r="E14" s="14" t="n"/>
      <c r="F14" s="14" t="n"/>
      <c r="G14" s="14" t="n"/>
      <c r="H14" s="14" t="n"/>
      <c r="I14" s="14" t="n"/>
      <c r="J14" s="14" t="n"/>
    </row>
    <row r="15">
      <c r="A15" s="14" t="n"/>
      <c r="B15" s="14" t="n"/>
      <c r="C15" s="14" t="n"/>
      <c r="D15" s="14" t="n"/>
      <c r="E15" s="14" t="n"/>
      <c r="F15" s="14" t="n"/>
      <c r="G15" s="14" t="n"/>
      <c r="H15" s="14" t="n"/>
      <c r="I15" s="14" t="n"/>
      <c r="J15" s="14" t="n"/>
    </row>
    <row r="16">
      <c r="A16" s="14" t="n"/>
      <c r="B16" s="14" t="n"/>
      <c r="C16" s="14" t="n"/>
      <c r="D16" s="14" t="n"/>
      <c r="E16" s="14" t="n"/>
      <c r="F16" s="14" t="n"/>
      <c r="G16" s="14" t="n"/>
      <c r="H16" s="14" t="n"/>
      <c r="I16" s="14" t="n"/>
      <c r="J16" s="14" t="n"/>
    </row>
    <row r="17">
      <c r="A17" s="14" t="n"/>
      <c r="B17" s="14" t="n"/>
      <c r="C17" s="14" t="n"/>
      <c r="D17" s="14" t="n"/>
      <c r="E17" s="14" t="n"/>
      <c r="F17" s="14" t="n"/>
      <c r="G17" s="14" t="n"/>
      <c r="H17" s="14" t="n"/>
      <c r="I17" s="14" t="n"/>
      <c r="J17" s="14" t="n"/>
    </row>
    <row r="18">
      <c r="A18" s="14" t="n"/>
      <c r="B18" s="14" t="n"/>
      <c r="C18" s="14" t="n"/>
      <c r="D18" s="14" t="n"/>
      <c r="E18" s="14" t="n"/>
      <c r="F18" s="14" t="n"/>
      <c r="G18" s="14" t="n"/>
      <c r="H18" s="14" t="n"/>
      <c r="I18" s="14" t="n"/>
      <c r="J18" s="14" t="n"/>
    </row>
    <row r="19">
      <c r="A19" s="14" t="n"/>
      <c r="B19" s="14" t="n"/>
      <c r="C19" s="14" t="n"/>
      <c r="D19" s="14" t="n"/>
      <c r="E19" s="14" t="n"/>
      <c r="F19" s="14" t="n"/>
      <c r="G19" s="14" t="n"/>
      <c r="H19" s="14" t="n"/>
      <c r="I19" s="14" t="n"/>
      <c r="J19" s="14" t="n"/>
    </row>
    <row r="20">
      <c r="A20" s="14" t="n"/>
      <c r="B20" s="14" t="n"/>
      <c r="C20" s="14" t="n"/>
      <c r="D20" s="14" t="n"/>
      <c r="E20" s="14" t="n"/>
      <c r="F20" s="14" t="n"/>
      <c r="G20" s="14" t="n"/>
      <c r="H20" s="14" t="n"/>
      <c r="I20" s="14" t="n"/>
      <c r="J20" s="14" t="n"/>
    </row>
    <row r="21">
      <c r="A21" s="14" t="n"/>
      <c r="B21" s="14" t="n"/>
      <c r="C21" s="14" t="n"/>
      <c r="D21" s="14" t="n"/>
      <c r="E21" s="14" t="n"/>
      <c r="F21" s="14" t="n"/>
      <c r="G21" s="14" t="n"/>
      <c r="H21" s="14" t="n"/>
      <c r="I21" s="14" t="n"/>
      <c r="J21" s="14" t="n"/>
    </row>
    <row r="22">
      <c r="A22" s="14" t="n"/>
      <c r="B22" s="14" t="n"/>
      <c r="C22" s="14" t="n"/>
      <c r="D22" s="14" t="n"/>
      <c r="E22" s="14" t="n"/>
      <c r="F22" s="14" t="n"/>
      <c r="G22" s="14" t="n"/>
      <c r="H22" s="14" t="n"/>
      <c r="I22" s="14" t="n"/>
      <c r="J22" s="14" t="n"/>
    </row>
    <row r="23">
      <c r="A23" s="14" t="n"/>
      <c r="B23" s="14" t="n"/>
      <c r="C23" s="14" t="n"/>
      <c r="D23" s="14" t="n"/>
      <c r="E23" s="14" t="n"/>
      <c r="F23" s="14" t="n"/>
      <c r="G23" s="14" t="n"/>
      <c r="H23" s="14" t="n"/>
      <c r="I23" s="14" t="n"/>
      <c r="J23" s="14" t="n"/>
    </row>
    <row r="24"/>
  </sheetData>
  <mergeCells count="2">
    <mergeCell ref="A1:J1"/>
    <mergeCell ref="A2:J2"/>
  </mergeCells>
  <dataValidations count="7">
    <dataValidation sqref="C9 C10 C11 C12 C13 C14 C15 C16 C17 C18 C19 C20 C21 C22 C23 C24" showDropDown="1" showInputMessage="0" showErrorMessage="0" allowBlank="0" type="list">
      <formula1>"API,Inline,Log Analysis"</formula1>
    </dataValidation>
    <dataValidation sqref="D9 D10 D11 D12 D13 D14 D15 D16 D17 D18 D19 D20 D21 D22 D23 D24 E9 E10 E11 E12 E13 E14 E15 E16 E17 E18 E19 E20 E21 E22 E23 E24 F9 F10 F11 F12 F13 F14 F15 F16 F17 F18 F19 F20 F21 F22 F23 F24 G9 G10 G11 G12 G13 G14 G15 G16 G17 G18 G19 G20 G21 G22 G23 G24 H9 H10 H11 H12 H13 H14 H15 H16 H17 H18 H19 H20 H21 H22 H23 H24 I9 I10 I11 I12 I13 I14 I15 I16 I17 I18 I19 I20 I21 I22 I23 I24" showDropDown="1" showInputMessage="0" showErrorMessage="1" allowBlank="0" errorTitle="Invalid Entry" error="Invalid value. Select from dropdown." type="list">
      <formula1>"Yes,No,Partial,Planned,N/A"</formula1>
    </dataValidation>
    <dataValidation sqref="D9 D10 D11 D12 D13 D14 D15 D16 D17 D18 D19 D20 D21 D22 D23 D24 E9 E10 E11 E12 E13 E14 E15 E16 E17 E18 E19 E20 E21 E22 E23 E24 F9 F10 F11 F12 F13 F14 F15 F16 F17 F18 F19 F20 F21 F22 F23 F24 G9 G10 G11 G12 G13 G14 G15 G16 G17 G18 G19 G20 G21 G22 G23 G24 H9 H10 H11 H12 H13 H14 H15 H16 H17 H18 H19 H20 H21 H22 H23 H24 I9 I10 I11 I12 I13 I14 I15 I16 I17 I18 I19 I20 I21 I22 I23 I24" showDropDown="1" showInputMessage="0" showErrorMessage="1" allowBlank="0" errorTitle="Invalid Entry" error="Invalid value. Select from dropdown." type="list">
      <formula1>"Yes,No,Partial,Planned,N/A"</formula1>
    </dataValidation>
    <dataValidation sqref="D9 D10 D11 D12 D13 D14 D15 D16 D17 D18 D19 D20 D21 D22 D23 D24 E9 E10 E11 E12 E13 E14 E15 E16 E17 E18 E19 E20 E21 E22 E23 E24 F9 F10 F11 F12 F13 F14 F15 F16 F17 F18 F19 F20 F21 F22 F23 F24 G9 G10 G11 G12 G13 G14 G15 G16 G17 G18 G19 G20 G21 G22 G23 G24 H9 H10 H11 H12 H13 H14 H15 H16 H17 H18 H19 H20 H21 H22 H23 H24 I9 I10 I11 I12 I13 I14 I15 I16 I17 I18 I19 I20 I21 I22 I23 I24" showDropDown="1" showInputMessage="0" showErrorMessage="1" allowBlank="0" errorTitle="Invalid Entry" error="Invalid value. Select from dropdown." type="list">
      <formula1>"Yes,No,Partial,Planned,N/A"</formula1>
    </dataValidation>
    <dataValidation sqref="D9 D10 D11 D12 D13 D14 D15 D16 D17 D18 D19 D20 D21 D22 D23 D24 E9 E10 E11 E12 E13 E14 E15 E16 E17 E18 E19 E20 E21 E22 E23 E24 F9 F10 F11 F12 F13 F14 F15 F16 F17 F18 F19 F20 F21 F22 F23 F24 G9 G10 G11 G12 G13 G14 G15 G16 G17 G18 G19 G20 G21 G22 G23 G24 H9 H10 H11 H12 H13 H14 H15 H16 H17 H18 H19 H20 H21 H22 H23 H24 I9 I10 I11 I12 I13 I14 I15 I16 I17 I18 I19 I20 I21 I22 I23 I24" showDropDown="1" showInputMessage="0" showErrorMessage="1" allowBlank="0" errorTitle="Invalid Entry" error="Invalid value. Select from dropdown." type="list">
      <formula1>"Yes,No,Partial,Planned,N/A"</formula1>
    </dataValidation>
    <dataValidation sqref="D9 D10 D11 D12 D13 D14 D15 D16 D17 D18 D19 D20 D21 D22 D23 D24 E9 E10 E11 E12 E13 E14 E15 E16 E17 E18 E19 E20 E21 E22 E23 E24 F9 F10 F11 F12 F13 F14 F15 F16 F17 F18 F19 F20 F21 F22 F23 F24 G9 G10 G11 G12 G13 G14 G15 G16 G17 G18 G19 G20 G21 G22 G23 G24 H9 H10 H11 H12 H13 H14 H15 H16 H17 H18 H19 H20 H21 H22 H23 H24 I9 I10 I11 I12 I13 I14 I15 I16 I17 I18 I19 I20 I21 I22 I23 I24" showDropDown="1" showInputMessage="0" showErrorMessage="1" allowBlank="0" errorTitle="Invalid Entry" error="Invalid value. Select from dropdown." type="list">
      <formula1>"Yes,No,Partial,Planned,N/A"</formula1>
    </dataValidation>
    <dataValidation sqref="D9 D10 D11 D12 D13 D14 D15 D16 D17 D18 D19 D20 D21 D22 D23 D24 E9 E10 E11 E12 E13 E14 E15 E16 E17 E18 E19 E20 E21 E22 E23 E24 F9 F10 F11 F12 F13 F14 F15 F16 F17 F18 F19 F20 F21 F22 F23 F24 G9 G10 G11 G12 G13 G14 G15 G16 G17 G18 G19 G20 G21 G22 G23 G24 H9 H10 H11 H12 H13 H14 H15 H16 H17 H18 H19 H20 H21 H22 H23 H24 I9 I10 I11 I12 I13 I14 I15 I16 I17 I18 I19 I20 I21 I22 I23 I24" showDropDown="1" showInputMessage="0" showErrorMessage="1" allowBlank="0" errorTitle="Invalid Entry" error="Invalid value. Select from dropdown." type="list">
      <formula1>"Yes,No,Partial,Planned,N/A"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pane ySplit="3" topLeftCell="A4" activePane="bottomLeft" state="frozen"/>
      <selection pane="bottomLeft" activeCell="A1" sqref="A1"/>
    </sheetView>
  </sheetViews>
  <sheetFormatPr baseColWidth="8" defaultRowHeight="15"/>
  <cols>
    <col width="25"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30" customHeight="1">
      <c r="A1" s="1" t="inlineStr">
        <is>
          <t>WEB PROXY DLP ASSESSMENT</t>
        </is>
      </c>
    </row>
    <row r="2" ht="25" customHeight="1">
      <c r="A2" s="2" t="inlineStr">
        <is>
          <t>Assess web proxy DLP configurations (forward/reverse proxy, SSL inspection)</t>
        </is>
      </c>
    </row>
    <row r="3">
      <c r="A3" s="12" t="inlineStr">
        <is>
          <t>Proxy Solution</t>
        </is>
      </c>
      <c r="B3" s="12" t="inlineStr">
        <is>
          <t>Proxy Type</t>
        </is>
      </c>
      <c r="C3" s="12" t="inlineStr">
        <is>
          <t>SSL Inspection</t>
        </is>
      </c>
      <c r="D3" s="12" t="inlineStr">
        <is>
          <t>HTTP/HTTPS Coverage</t>
        </is>
      </c>
      <c r="E3" s="12" t="inlineStr">
        <is>
          <t>Upload Monitoring</t>
        </is>
      </c>
      <c r="F3" s="12" t="inlineStr">
        <is>
          <t>Download Monitoring</t>
        </is>
      </c>
      <c r="G3" s="12" t="inlineStr">
        <is>
          <t>Cloud Storage Detection</t>
        </is>
      </c>
      <c r="H3" s="12" t="inlineStr">
        <is>
          <t>Webmail Monitoring</t>
        </is>
      </c>
      <c r="I3" s="12" t="inlineStr">
        <is>
          <t>URL Filtering Integration</t>
        </is>
      </c>
      <c r="J3" s="12" t="inlineStr">
        <is>
          <t>Evidence ID</t>
        </is>
      </c>
    </row>
    <row r="4">
      <c r="A4" s="13" t="inlineStr">
        <is>
          <t>Zscaler</t>
        </is>
      </c>
      <c r="B4" s="13" t="inlineStr">
        <is>
          <t>Cloud</t>
        </is>
      </c>
      <c r="C4" s="13" t="inlineStr">
        <is>
          <t>Yes</t>
        </is>
      </c>
      <c r="D4" s="13" t="inlineStr">
        <is>
          <t>Yes</t>
        </is>
      </c>
      <c r="E4" s="13" t="inlineStr">
        <is>
          <t>Yes</t>
        </is>
      </c>
      <c r="F4" s="13" t="inlineStr">
        <is>
          <t>Yes</t>
        </is>
      </c>
      <c r="G4" s="13" t="inlineStr">
        <is>
          <t>Yes</t>
        </is>
      </c>
      <c r="H4" s="13" t="inlineStr">
        <is>
          <t>Yes</t>
        </is>
      </c>
      <c r="I4" s="13" t="inlineStr">
        <is>
          <t>Yes</t>
        </is>
      </c>
      <c r="J4" s="13" t="inlineStr">
        <is>
          <t>A812-1-WEB-001</t>
        </is>
      </c>
    </row>
    <row r="5">
      <c r="A5" s="13" t="inlineStr">
        <is>
          <t>Forcepoint Web</t>
        </is>
      </c>
      <c r="B5" s="13" t="inlineStr">
        <is>
          <t>Forward</t>
        </is>
      </c>
      <c r="C5" s="13" t="inlineStr">
        <is>
          <t>Yes</t>
        </is>
      </c>
      <c r="D5" s="13" t="inlineStr">
        <is>
          <t>Yes</t>
        </is>
      </c>
      <c r="E5" s="13" t="inlineStr">
        <is>
          <t>Yes</t>
        </is>
      </c>
      <c r="F5" s="13" t="inlineStr">
        <is>
          <t>Partial</t>
        </is>
      </c>
      <c r="G5" s="13" t="inlineStr">
        <is>
          <t>Yes</t>
        </is>
      </c>
      <c r="H5" s="13" t="inlineStr">
        <is>
          <t>Yes</t>
        </is>
      </c>
      <c r="I5" s="13" t="inlineStr">
        <is>
          <t>Yes</t>
        </is>
      </c>
      <c r="J5" s="13" t="inlineStr">
        <is>
          <t>A812-1-WEB-002</t>
        </is>
      </c>
    </row>
    <row r="6">
      <c r="A6" s="13" t="inlineStr">
        <is>
          <t>Squid Proxy</t>
        </is>
      </c>
      <c r="B6" s="13" t="inlineStr">
        <is>
          <t>Forward</t>
        </is>
      </c>
      <c r="C6" s="13" t="inlineStr">
        <is>
          <t>No</t>
        </is>
      </c>
      <c r="D6" s="13" t="inlineStr">
        <is>
          <t>Partial</t>
        </is>
      </c>
      <c r="E6" s="13" t="inlineStr">
        <is>
          <t>No</t>
        </is>
      </c>
      <c r="F6" s="13" t="inlineStr">
        <is>
          <t>No</t>
        </is>
      </c>
      <c r="G6" s="13" t="inlineStr">
        <is>
          <t>No</t>
        </is>
      </c>
      <c r="H6" s="13" t="inlineStr">
        <is>
          <t>No</t>
        </is>
      </c>
      <c r="I6" s="13" t="inlineStr">
        <is>
          <t>Partial</t>
        </is>
      </c>
      <c r="J6" s="13" t="inlineStr">
        <is>
          <t>A812-1-WEB-003</t>
        </is>
      </c>
    </row>
    <row r="7">
      <c r="A7" s="14" t="n"/>
      <c r="B7" s="14" t="n"/>
      <c r="C7" s="14" t="n"/>
      <c r="D7" s="14" t="n"/>
      <c r="E7" s="14" t="n"/>
      <c r="F7" s="14" t="n"/>
      <c r="G7" s="14" t="n"/>
      <c r="H7" s="14" t="n"/>
      <c r="I7" s="14" t="n"/>
      <c r="J7" s="14" t="n"/>
    </row>
    <row r="8">
      <c r="A8" s="14" t="n"/>
      <c r="B8" s="14" t="n"/>
      <c r="C8" s="14" t="n"/>
      <c r="D8" s="14" t="n"/>
      <c r="E8" s="14" t="n"/>
      <c r="F8" s="14" t="n"/>
      <c r="G8" s="14" t="n"/>
      <c r="H8" s="14" t="n"/>
      <c r="I8" s="14" t="n"/>
      <c r="J8" s="14" t="n"/>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row r="14">
      <c r="A14" s="14" t="n"/>
      <c r="B14" s="14" t="n"/>
      <c r="C14" s="14" t="n"/>
      <c r="D14" s="14" t="n"/>
      <c r="E14" s="14" t="n"/>
      <c r="F14" s="14" t="n"/>
      <c r="G14" s="14" t="n"/>
      <c r="H14" s="14" t="n"/>
      <c r="I14" s="14" t="n"/>
      <c r="J14" s="14" t="n"/>
    </row>
    <row r="15">
      <c r="A15" s="14" t="n"/>
      <c r="B15" s="14" t="n"/>
      <c r="C15" s="14" t="n"/>
      <c r="D15" s="14" t="n"/>
      <c r="E15" s="14" t="n"/>
      <c r="F15" s="14" t="n"/>
      <c r="G15" s="14" t="n"/>
      <c r="H15" s="14" t="n"/>
      <c r="I15" s="14" t="n"/>
      <c r="J15" s="14" t="n"/>
    </row>
    <row r="16">
      <c r="A16" s="14" t="n"/>
      <c r="B16" s="14" t="n"/>
      <c r="C16" s="14" t="n"/>
      <c r="D16" s="14" t="n"/>
      <c r="E16" s="14" t="n"/>
      <c r="F16" s="14" t="n"/>
      <c r="G16" s="14" t="n"/>
      <c r="H16" s="14" t="n"/>
      <c r="I16" s="14" t="n"/>
      <c r="J16" s="14" t="n"/>
    </row>
    <row r="17">
      <c r="A17" s="14" t="n"/>
      <c r="B17" s="14" t="n"/>
      <c r="C17" s="14" t="n"/>
      <c r="D17" s="14" t="n"/>
      <c r="E17" s="14" t="n"/>
      <c r="F17" s="14" t="n"/>
      <c r="G17" s="14" t="n"/>
      <c r="H17" s="14" t="n"/>
      <c r="I17" s="14" t="n"/>
      <c r="J17" s="14" t="n"/>
    </row>
    <row r="18">
      <c r="A18" s="14" t="n"/>
      <c r="B18" s="14" t="n"/>
      <c r="C18" s="14" t="n"/>
      <c r="D18" s="14" t="n"/>
      <c r="E18" s="14" t="n"/>
      <c r="F18" s="14" t="n"/>
      <c r="G18" s="14" t="n"/>
      <c r="H18" s="14" t="n"/>
      <c r="I18" s="14" t="n"/>
      <c r="J18" s="14" t="n"/>
    </row>
    <row r="19">
      <c r="A19" s="14" t="n"/>
      <c r="B19" s="14" t="n"/>
      <c r="C19" s="14" t="n"/>
      <c r="D19" s="14" t="n"/>
      <c r="E19" s="14" t="n"/>
      <c r="F19" s="14" t="n"/>
      <c r="G19" s="14" t="n"/>
      <c r="H19" s="14" t="n"/>
      <c r="I19" s="14" t="n"/>
      <c r="J19" s="14" t="n"/>
    </row>
    <row r="20">
      <c r="A20" s="14" t="n"/>
      <c r="B20" s="14" t="n"/>
      <c r="C20" s="14" t="n"/>
      <c r="D20" s="14" t="n"/>
      <c r="E20" s="14" t="n"/>
      <c r="F20" s="14" t="n"/>
      <c r="G20" s="14" t="n"/>
      <c r="H20" s="14" t="n"/>
      <c r="I20" s="14" t="n"/>
      <c r="J20" s="14" t="n"/>
    </row>
    <row r="21">
      <c r="A21" s="14" t="n"/>
      <c r="B21" s="14" t="n"/>
      <c r="C21" s="14" t="n"/>
      <c r="D21" s="14" t="n"/>
      <c r="E21" s="14" t="n"/>
      <c r="F21" s="14" t="n"/>
      <c r="G21" s="14" t="n"/>
      <c r="H21" s="14" t="n"/>
      <c r="I21" s="14" t="n"/>
      <c r="J21" s="14" t="n"/>
    </row>
    <row r="22">
      <c r="A22" s="14" t="n"/>
      <c r="B22" s="14" t="n"/>
      <c r="C22" s="14" t="n"/>
      <c r="D22" s="14" t="n"/>
      <c r="E22" s="14" t="n"/>
      <c r="F22" s="14" t="n"/>
      <c r="G22" s="14" t="n"/>
      <c r="H22" s="14" t="n"/>
      <c r="I22" s="14" t="n"/>
      <c r="J22" s="14" t="n"/>
    </row>
    <row r="23">
      <c r="A23" s="14" t="n"/>
      <c r="B23" s="14" t="n"/>
      <c r="C23" s="14" t="n"/>
      <c r="D23" s="14" t="n"/>
      <c r="E23" s="14" t="n"/>
      <c r="F23" s="14" t="n"/>
      <c r="G23" s="14" t="n"/>
      <c r="H23" s="14" t="n"/>
      <c r="I23" s="14" t="n"/>
      <c r="J23" s="14" t="n"/>
    </row>
    <row r="24"/>
  </sheetData>
  <mergeCells count="2">
    <mergeCell ref="A1:J1"/>
    <mergeCell ref="A2:J2"/>
  </mergeCells>
  <dataValidations count="8">
    <dataValidation sqref="B7 B8 B9 B10 B11 B12 B13 B14 B15 B16 B17 B18 B19 B20 B21 B22 B23 B24" showDropDown="1" showInputMessage="0" showErrorMessage="0" allowBlank="0" type="list">
      <formula1>"Forward,Reverse,Cloud"</formula1>
    </dataValidation>
    <dataValidation sqref="C7 C8 C9 C10 C11 C12 C13 C14 C15 C16 C17 C18 C19 C20 C21 C22 C23 C24 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showDropDown="1" showInputMessage="0" showErrorMessage="1" allowBlank="0" errorTitle="Invalid Entry" error="Invalid value. Select from dropdown." type="list">
      <formula1>"Yes,No,Partial,Planned,N/A"</formula1>
    </dataValidation>
    <dataValidation sqref="C7 C8 C9 C10 C11 C12 C13 C14 C15 C16 C17 C18 C19 C20 C21 C22 C23 C24 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showDropDown="1" showInputMessage="0" showErrorMessage="1" allowBlank="0" errorTitle="Invalid Entry" error="Invalid value. Select from dropdown." type="list">
      <formula1>"Yes,No,Partial,Planned,N/A"</formula1>
    </dataValidation>
    <dataValidation sqref="C7 C8 C9 C10 C11 C12 C13 C14 C15 C16 C17 C18 C19 C20 C21 C22 C23 C24 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showDropDown="1" showInputMessage="0" showErrorMessage="1" allowBlank="0" errorTitle="Invalid Entry" error="Invalid value. Select from dropdown." type="list">
      <formula1>"Yes,No,Partial,Planned,N/A"</formula1>
    </dataValidation>
    <dataValidation sqref="C7 C8 C9 C10 C11 C12 C13 C14 C15 C16 C17 C18 C19 C20 C21 C22 C23 C24 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showDropDown="1" showInputMessage="0" showErrorMessage="1" allowBlank="0" errorTitle="Invalid Entry" error="Invalid value. Select from dropdown." type="list">
      <formula1>"Yes,No,Partial,Planned,N/A"</formula1>
    </dataValidation>
    <dataValidation sqref="C7 C8 C9 C10 C11 C12 C13 C14 C15 C16 C17 C18 C19 C20 C21 C22 C23 C24 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showDropDown="1" showInputMessage="0" showErrorMessage="1" allowBlank="0" errorTitle="Invalid Entry" error="Invalid value. Select from dropdown." type="list">
      <formula1>"Yes,No,Partial,Planned,N/A"</formula1>
    </dataValidation>
    <dataValidation sqref="C7 C8 C9 C10 C11 C12 C13 C14 C15 C16 C17 C18 C19 C20 C21 C22 C23 C24 D7 D8 D9 D10 D11 D12 D13 D14 D15 D16 D17 D18 D19 D20 D21 D22 D23 D24 E7 E8 E9 E10 E11 E12 E13 E14 E15 E16 E17 E18 E19 E20 E21 E22 E23 E24 F7 F8 F9 F10 F11 F12 F13 F14 F15 F16 F17 F18 F19 F20 F21 F22 F23 F24 G7 G8 G9 G10 G11 G12 G13 G14 G15 G16 G17 G18 G19 G20 G21 G22 G23 G24 H7 H8 H9 H10 H11 H12 H13 H14 H15 H16 H17 H18 H19 H20 H21 H22 H23 H24" showDropDown="1" showInputMessage="0" showErrorMessage="1" allowBlank="0" errorTitle="Invalid Entry" error="Invalid value. Select from dropdown." type="list">
      <formula1>"Yes,No,Partial,Planned,N/A"</formula1>
    </dataValidation>
    <dataValidation sqref="I7 I8 I9 I10 I11 I12 I13 I14 I15 I16 I17 I18 I19 I20 I21 I22 I23 I24" showDropDown="0" showInputMessage="0" showErrorMessage="0" allowBlank="0" type="list">
      <formula1>"Yes,No,Partial,N/A"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9"/>
  <sheetViews>
    <sheetView workbookViewId="0">
      <pane ySplit="3" topLeftCell="A4" activePane="bottomLeft" state="frozen"/>
      <selection pane="bottomLeft" activeCell="A1" sqref="A1"/>
    </sheetView>
  </sheetViews>
  <sheetFormatPr baseColWidth="8" defaultRowHeight="15"/>
  <cols>
    <col width="25" customWidth="1" min="1" max="1"/>
    <col width="25"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ht="30" customHeight="1">
      <c r="A1" s="1" t="inlineStr">
        <is>
          <t>DATABASE ACTIVITY MONITORING (DAM)</t>
        </is>
      </c>
    </row>
    <row r="2" ht="25" customHeight="1">
      <c r="A2" s="2" t="inlineStr">
        <is>
          <t>Assess Database Activity Monitoring for DLP use cases</t>
        </is>
      </c>
    </row>
    <row r="3">
      <c r="A3" s="12" t="inlineStr">
        <is>
          <t>Database System</t>
        </is>
      </c>
      <c r="B3" s="12" t="inlineStr">
        <is>
          <t>DAM Solution</t>
        </is>
      </c>
      <c r="C3" s="12" t="inlineStr">
        <is>
          <t>Monitoring Scope</t>
        </is>
      </c>
      <c r="D3" s="12" t="inlineStr">
        <is>
          <t>SELECT Query Monitoring</t>
        </is>
      </c>
      <c r="E3" s="12" t="inlineStr">
        <is>
          <t>Bulk Export Detection</t>
        </is>
      </c>
      <c r="F3" s="12" t="inlineStr">
        <is>
          <t>Privileged User Monitoring</t>
        </is>
      </c>
      <c r="G3" s="12" t="inlineStr">
        <is>
          <t>DLP Policy Integration</t>
        </is>
      </c>
      <c r="H3" s="12" t="inlineStr">
        <is>
          <t>Alert Triggering</t>
        </is>
      </c>
      <c r="I3" s="12" t="inlineStr">
        <is>
          <t>Evidence ID</t>
        </is>
      </c>
    </row>
    <row r="4">
      <c r="A4" s="13" t="inlineStr">
        <is>
          <t>Oracle 19c</t>
        </is>
      </c>
      <c r="B4" s="13" t="inlineStr">
        <is>
          <t>Imperva DAM</t>
        </is>
      </c>
      <c r="C4" s="13" t="inlineStr">
        <is>
          <t>Production</t>
        </is>
      </c>
      <c r="D4" s="13" t="inlineStr">
        <is>
          <t>Yes</t>
        </is>
      </c>
      <c r="E4" s="13" t="inlineStr">
        <is>
          <t>Yes</t>
        </is>
      </c>
      <c r="F4" s="13" t="inlineStr">
        <is>
          <t>Yes</t>
        </is>
      </c>
      <c r="G4" s="13" t="inlineStr">
        <is>
          <t>Yes</t>
        </is>
      </c>
      <c r="H4" s="13" t="inlineStr">
        <is>
          <t>Yes</t>
        </is>
      </c>
      <c r="I4" s="13" t="inlineStr">
        <is>
          <t>A812-1-DAM-001</t>
        </is>
      </c>
    </row>
    <row r="5">
      <c r="A5" s="13" t="inlineStr">
        <is>
          <t>SQL Server 2019</t>
        </is>
      </c>
      <c r="B5" s="13" t="inlineStr">
        <is>
          <t>IBM Guardium</t>
        </is>
      </c>
      <c r="C5" s="13" t="inlineStr">
        <is>
          <t>Production</t>
        </is>
      </c>
      <c r="D5" s="13" t="inlineStr">
        <is>
          <t>Yes</t>
        </is>
      </c>
      <c r="E5" s="13" t="inlineStr">
        <is>
          <t>Yes</t>
        </is>
      </c>
      <c r="F5" s="13" t="inlineStr">
        <is>
          <t>Yes</t>
        </is>
      </c>
      <c r="G5" s="13" t="inlineStr">
        <is>
          <t>Yes</t>
        </is>
      </c>
      <c r="H5" s="13" t="inlineStr">
        <is>
          <t>Yes</t>
        </is>
      </c>
      <c r="I5" s="13" t="inlineStr">
        <is>
          <t>A812-1-DAM-002</t>
        </is>
      </c>
    </row>
    <row r="6">
      <c r="A6" s="13" t="inlineStr">
        <is>
          <t>MySQL 8.0</t>
        </is>
      </c>
      <c r="B6" s="13" t="inlineStr">
        <is>
          <t>Native Audit Log</t>
        </is>
      </c>
      <c r="C6" s="13" t="inlineStr">
        <is>
          <t>All</t>
        </is>
      </c>
      <c r="D6" s="13" t="inlineStr">
        <is>
          <t>Partial</t>
        </is>
      </c>
      <c r="E6" s="13" t="inlineStr">
        <is>
          <t>No</t>
        </is>
      </c>
      <c r="F6" s="13" t="inlineStr">
        <is>
          <t>Partial</t>
        </is>
      </c>
      <c r="G6" s="13" t="inlineStr">
        <is>
          <t>No</t>
        </is>
      </c>
      <c r="H6" s="13" t="inlineStr">
        <is>
          <t>Partial</t>
        </is>
      </c>
      <c r="I6" s="13" t="inlineStr">
        <is>
          <t>A812-1-DAM-003</t>
        </is>
      </c>
    </row>
    <row r="7">
      <c r="A7" s="14" t="n"/>
      <c r="B7" s="14" t="n"/>
      <c r="C7" s="14" t="n"/>
      <c r="D7" s="14" t="n"/>
      <c r="E7" s="14" t="n"/>
      <c r="F7" s="14" t="n"/>
      <c r="G7" s="14" t="n"/>
      <c r="H7" s="14" t="n"/>
      <c r="I7" s="14" t="n"/>
    </row>
    <row r="8">
      <c r="A8" s="14" t="n"/>
      <c r="B8" s="14" t="n"/>
      <c r="C8" s="14" t="n"/>
      <c r="D8" s="14" t="n"/>
      <c r="E8" s="14" t="n"/>
      <c r="F8" s="14" t="n"/>
      <c r="G8" s="14" t="n"/>
      <c r="H8" s="14" t="n"/>
      <c r="I8" s="14" t="n"/>
    </row>
    <row r="9">
      <c r="A9" s="14" t="n"/>
      <c r="B9" s="14" t="n"/>
      <c r="C9" s="14" t="n"/>
      <c r="D9" s="14" t="n"/>
      <c r="E9" s="14" t="n"/>
      <c r="F9" s="14" t="n"/>
      <c r="G9" s="14" t="n"/>
      <c r="H9" s="14" t="n"/>
      <c r="I9" s="14" t="n"/>
    </row>
    <row r="10">
      <c r="A10" s="14" t="n"/>
      <c r="B10" s="14" t="n"/>
      <c r="C10" s="14" t="n"/>
      <c r="D10" s="14" t="n"/>
      <c r="E10" s="14" t="n"/>
      <c r="F10" s="14" t="n"/>
      <c r="G10" s="14" t="n"/>
      <c r="H10" s="14" t="n"/>
      <c r="I10" s="14" t="n"/>
    </row>
    <row r="11">
      <c r="A11" s="14" t="n"/>
      <c r="B11" s="14" t="n"/>
      <c r="C11" s="14" t="n"/>
      <c r="D11" s="14" t="n"/>
      <c r="E11" s="14" t="n"/>
      <c r="F11" s="14" t="n"/>
      <c r="G11" s="14" t="n"/>
      <c r="H11" s="14" t="n"/>
      <c r="I11" s="14" t="n"/>
    </row>
    <row r="12">
      <c r="A12" s="14" t="n"/>
      <c r="B12" s="14" t="n"/>
      <c r="C12" s="14" t="n"/>
      <c r="D12" s="14" t="n"/>
      <c r="E12" s="14" t="n"/>
      <c r="F12" s="14" t="n"/>
      <c r="G12" s="14" t="n"/>
      <c r="H12" s="14" t="n"/>
      <c r="I12" s="14" t="n"/>
    </row>
    <row r="13">
      <c r="A13" s="14" t="n"/>
      <c r="B13" s="14" t="n"/>
      <c r="C13" s="14" t="n"/>
      <c r="D13" s="14" t="n"/>
      <c r="E13" s="14" t="n"/>
      <c r="F13" s="14" t="n"/>
      <c r="G13" s="14" t="n"/>
      <c r="H13" s="14" t="n"/>
      <c r="I13" s="14" t="n"/>
    </row>
    <row r="14">
      <c r="A14" s="14" t="n"/>
      <c r="B14" s="14" t="n"/>
      <c r="C14" s="14" t="n"/>
      <c r="D14" s="14" t="n"/>
      <c r="E14" s="14" t="n"/>
      <c r="F14" s="14" t="n"/>
      <c r="G14" s="14" t="n"/>
      <c r="H14" s="14" t="n"/>
      <c r="I14" s="14" t="n"/>
    </row>
    <row r="15">
      <c r="A15" s="14" t="n"/>
      <c r="B15" s="14" t="n"/>
      <c r="C15" s="14" t="n"/>
      <c r="D15" s="14" t="n"/>
      <c r="E15" s="14" t="n"/>
      <c r="F15" s="14" t="n"/>
      <c r="G15" s="14" t="n"/>
      <c r="H15" s="14" t="n"/>
      <c r="I15" s="14" t="n"/>
    </row>
    <row r="16">
      <c r="A16" s="14" t="n"/>
      <c r="B16" s="14" t="n"/>
      <c r="C16" s="14" t="n"/>
      <c r="D16" s="14" t="n"/>
      <c r="E16" s="14" t="n"/>
      <c r="F16" s="14" t="n"/>
      <c r="G16" s="14" t="n"/>
      <c r="H16" s="14" t="n"/>
      <c r="I16" s="14" t="n"/>
    </row>
    <row r="17">
      <c r="A17" s="14" t="n"/>
      <c r="B17" s="14" t="n"/>
      <c r="C17" s="14" t="n"/>
      <c r="D17" s="14" t="n"/>
      <c r="E17" s="14" t="n"/>
      <c r="F17" s="14" t="n"/>
      <c r="G17" s="14" t="n"/>
      <c r="H17" s="14" t="n"/>
      <c r="I17" s="14" t="n"/>
    </row>
    <row r="18">
      <c r="A18" s="14" t="n"/>
      <c r="B18" s="14" t="n"/>
      <c r="C18" s="14" t="n"/>
      <c r="D18" s="14" t="n"/>
      <c r="E18" s="14" t="n"/>
      <c r="F18" s="14" t="n"/>
      <c r="G18" s="14" t="n"/>
      <c r="H18" s="14" t="n"/>
      <c r="I18" s="14" t="n"/>
    </row>
    <row r="19"/>
  </sheetData>
  <mergeCells count="2">
    <mergeCell ref="A1:I1"/>
    <mergeCell ref="A2:I2"/>
  </mergeCells>
  <dataValidations count="6">
    <dataValidation sqref="C7 C8 C9 C10 C11 C12 C13 C14 C15 C16 C17 C18 C19" showDropDown="1" showInputMessage="0" showErrorMessage="0" allowBlank="0" type="list">
      <formula1>"Production,All,None"</formula1>
    </dataValidation>
    <dataValidation sqref="D7 D8 D9 D10 D11 D12 D13 D14 D15 D16 D17 D18 D19 E7 E8 E9 E10 E11 E12 E13 E14 E15 E16 E17 E18 E19 F7 F8 F9 F10 F11 F12 F13 F14 F15 F16 F17 F18 F19 G7 G8 G9 G10 G11 G12 G13 G14 G15 G16 G17 G18 G19 H7 H8 H9 H10 H11 H12 H13 H14 H15 H16 H17 H18 H19" showDropDown="1" showInputMessage="0" showErrorMessage="1" allowBlank="0" errorTitle="Invalid Entry" error="Invalid value. Select from dropdown." type="list">
      <formula1>"Yes,No,Partial,Planned,N/A"</formula1>
    </dataValidation>
    <dataValidation sqref="D7 D8 D9 D10 D11 D12 D13 D14 D15 D16 D17 D18 D19 E7 E8 E9 E10 E11 E12 E13 E14 E15 E16 E17 E18 E19 F7 F8 F9 F10 F11 F12 F13 F14 F15 F16 F17 F18 F19 G7 G8 G9 G10 G11 G12 G13 G14 G15 G16 G17 G18 G19 H7 H8 H9 H10 H11 H12 H13 H14 H15 H16 H17 H18 H19" showDropDown="1" showInputMessage="0" showErrorMessage="1" allowBlank="0" errorTitle="Invalid Entry" error="Invalid value. Select from dropdown." type="list">
      <formula1>"Yes,No,Partial,Planned,N/A"</formula1>
    </dataValidation>
    <dataValidation sqref="D7 D8 D9 D10 D11 D12 D13 D14 D15 D16 D17 D18 D19 E7 E8 E9 E10 E11 E12 E13 E14 E15 E16 E17 E18 E19 F7 F8 F9 F10 F11 F12 F13 F14 F15 F16 F17 F18 F19 G7 G8 G9 G10 G11 G12 G13 G14 G15 G16 G17 G18 G19 H7 H8 H9 H10 H11 H12 H13 H14 H15 H16 H17 H18 H19" showDropDown="1" showInputMessage="0" showErrorMessage="1" allowBlank="0" errorTitle="Invalid Entry" error="Invalid value. Select from dropdown." type="list">
      <formula1>"Yes,No,Partial,Planned,N/A"</formula1>
    </dataValidation>
    <dataValidation sqref="D7 D8 D9 D10 D11 D12 D13 D14 D15 D16 D17 D18 D19 E7 E8 E9 E10 E11 E12 E13 E14 E15 E16 E17 E18 E19 F7 F8 F9 F10 F11 F12 F13 F14 F15 F16 F17 F18 F19 G7 G8 G9 G10 G11 G12 G13 G14 G15 G16 G17 G18 G19 H7 H8 H9 H10 H11 H12 H13 H14 H15 H16 H17 H18 H19" showDropDown="1" showInputMessage="0" showErrorMessage="1" allowBlank="0" errorTitle="Invalid Entry" error="Invalid value. Select from dropdown." type="list">
      <formula1>"Yes,No,Partial,Planned,N/A"</formula1>
    </dataValidation>
    <dataValidation sqref="D7 D8 D9 D10 D11 D12 D13 D14 D15 D16 D17 D18 D19 E7 E8 E9 E10 E11 E12 E13 E14 E15 E16 E17 E18 E19 F7 F8 F9 F10 F11 F12 F13 F14 F15 F16 F17 F18 F19 G7 G8 G9 G10 G11 G12 G13 G14 G15 G16 G17 G18 G19 H7 H8 H9 H10 H11 H12 H13 H14 H15 H16 H17 H18 H19" showDropDown="1" showInputMessage="0" showErrorMessage="1" allowBlank="0" errorTitle="Invalid Entry" error="Invalid value. Select from dropdown." type="list">
      <formula1>"Yes,No,Partial,Planned,N/A"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44"/>
  <sheetViews>
    <sheetView workbookViewId="0">
      <pane ySplit="3" topLeftCell="A4" activePane="bottomLeft" state="frozen"/>
      <selection pane="bottomLeft" activeCell="A1" sqref="A1"/>
    </sheetView>
  </sheetViews>
  <sheetFormatPr baseColWidth="8" defaultRowHeight="15"/>
  <cols>
    <col width="18" customWidth="1" min="1" max="1"/>
    <col width="35" customWidth="1" min="2" max="2"/>
    <col width="25" customWidth="1" min="3" max="3"/>
    <col width="15" customWidth="1" min="4" max="4"/>
    <col width="30" customWidth="1" min="5" max="5"/>
    <col width="30" customWidth="1" min="6" max="6"/>
    <col width="35" customWidth="1" min="7" max="7"/>
    <col width="20" customWidth="1" min="8" max="8"/>
    <col width="15" customWidth="1" min="9" max="9"/>
    <col width="15" customWidth="1" min="10" max="10"/>
    <col width="18" customWidth="1" min="11" max="11"/>
  </cols>
  <sheetData>
    <row r="1" ht="30" customHeight="1">
      <c r="A1" s="1" t="inlineStr">
        <is>
          <t>GAP ANALYSIS - IDENTIFIED DEFICIENCIES</t>
        </is>
      </c>
    </row>
    <row r="2" ht="25" customHeight="1">
      <c r="A2" s="2" t="inlineStr">
        <is>
          <t>Document all infrastructure gaps and remediation plans</t>
        </is>
      </c>
    </row>
    <row r="3">
      <c r="A3" s="12" t="inlineStr">
        <is>
          <t>Gap ID</t>
        </is>
      </c>
      <c r="B3" s="12" t="inlineStr">
        <is>
          <t>Gap Description</t>
        </is>
      </c>
      <c r="C3" s="12" t="inlineStr">
        <is>
          <t>Affected Technology</t>
        </is>
      </c>
      <c r="D3" s="12" t="inlineStr">
        <is>
          <t>Risk Level</t>
        </is>
      </c>
      <c r="E3" s="12" t="inlineStr">
        <is>
          <t>Business Impact</t>
        </is>
      </c>
      <c r="F3" s="12" t="inlineStr">
        <is>
          <t>Root Cause</t>
        </is>
      </c>
      <c r="G3" s="12" t="inlineStr">
        <is>
          <t>Remediation Plan</t>
        </is>
      </c>
      <c r="H3" s="12" t="inlineStr">
        <is>
          <t>Owner</t>
        </is>
      </c>
      <c r="I3" s="12" t="inlineStr">
        <is>
          <t>Target Date</t>
        </is>
      </c>
      <c r="J3" s="12" t="inlineStr">
        <is>
          <t>Status</t>
        </is>
      </c>
      <c r="K3" s="12" t="inlineStr">
        <is>
          <t>Evidence ID</t>
        </is>
      </c>
    </row>
    <row r="4">
      <c r="A4" s="13" t="inlineStr">
        <is>
          <t>GAP-A812-1-001</t>
        </is>
      </c>
      <c r="B4" s="13" t="inlineStr">
        <is>
          <t>Endpoint DLP not deployed to Linux servers</t>
        </is>
      </c>
      <c r="C4" s="13" t="inlineStr">
        <is>
          <t>Endpoint DLP</t>
        </is>
      </c>
      <c r="D4" s="13" t="inlineStr">
        <is>
          <t>High</t>
        </is>
      </c>
      <c r="E4" s="13" t="inlineStr">
        <is>
          <t>Unmonitored data exfiltration from Linux systems</t>
        </is>
      </c>
      <c r="F4" s="13" t="inlineStr">
        <is>
          <t>Budget constraints, vendor compatibility</t>
        </is>
      </c>
      <c r="G4" s="13" t="inlineStr">
        <is>
          <t>Deploy compatible endpoint agent or implement compensating controls</t>
        </is>
      </c>
      <c r="H4" s="13" t="inlineStr">
        <is>
          <t>[Owner]</t>
        </is>
      </c>
      <c r="I4" s="13" t="inlineStr">
        <is>
          <t>[Date]</t>
        </is>
      </c>
      <c r="J4" s="13" t="inlineStr">
        <is>
          <t>Open</t>
        </is>
      </c>
      <c r="K4" s="13" t="inlineStr">
        <is>
          <t>A812-1-GAP-001</t>
        </is>
      </c>
    </row>
    <row r="5">
      <c r="A5" s="13" t="inlineStr">
        <is>
          <t>GAP-A812-1-002</t>
        </is>
      </c>
      <c r="B5" s="13" t="inlineStr">
        <is>
          <t>No SSL inspection on web proxy</t>
        </is>
      </c>
      <c r="C5" s="13" t="inlineStr">
        <is>
          <t>Web DLP</t>
        </is>
      </c>
      <c r="D5" s="13" t="inlineStr">
        <is>
          <t>High</t>
        </is>
      </c>
      <c r="E5" s="13" t="inlineStr">
        <is>
          <t>Encrypted channel bypass for web uploads</t>
        </is>
      </c>
      <c r="F5" s="13" t="inlineStr">
        <is>
          <t>Privacy concerns, certificate management complexity</t>
        </is>
      </c>
      <c r="G5" s="13" t="inlineStr">
        <is>
          <t>Implement SSL inspection with privacy impact assessment</t>
        </is>
      </c>
      <c r="H5" s="13" t="inlineStr">
        <is>
          <t>[Owner]</t>
        </is>
      </c>
      <c r="I5" s="13" t="inlineStr">
        <is>
          <t>[Date]</t>
        </is>
      </c>
      <c r="J5" s="13" t="inlineStr">
        <is>
          <t>Open</t>
        </is>
      </c>
      <c r="K5" s="13" t="inlineStr">
        <is>
          <t>A812-1-GAP-002</t>
        </is>
      </c>
    </row>
    <row r="6">
      <c r="A6" s="13" t="inlineStr">
        <is>
          <t>GAP-A812-1-003</t>
        </is>
      </c>
      <c r="B6" s="13" t="inlineStr">
        <is>
          <t>CASB missing for Dropbox</t>
        </is>
      </c>
      <c r="C6" s="13" t="inlineStr">
        <is>
          <t>Cloud DLP</t>
        </is>
      </c>
      <c r="D6" s="13" t="inlineStr">
        <is>
          <t>Medium</t>
        </is>
      </c>
      <c r="E6" s="13" t="inlineStr">
        <is>
          <t>Shadow IT data leakage via Dropbox</t>
        </is>
      </c>
      <c r="F6" s="13" t="inlineStr">
        <is>
          <t>Unknown usage, not in approved SaaS list</t>
        </is>
      </c>
      <c r="G6" s="13" t="inlineStr">
        <is>
          <t>Deploy CASB coverage or block Dropbox entirely</t>
        </is>
      </c>
      <c r="H6" s="13" t="inlineStr">
        <is>
          <t>[Owner]</t>
        </is>
      </c>
      <c r="I6" s="13" t="inlineStr">
        <is>
          <t>[Date]</t>
        </is>
      </c>
      <c r="J6" s="13" t="inlineStr">
        <is>
          <t>Open</t>
        </is>
      </c>
      <c r="K6" s="13" t="inlineStr">
        <is>
          <t>A812-1-GAP-003</t>
        </is>
      </c>
    </row>
    <row r="7">
      <c r="A7" s="14" t="n"/>
      <c r="B7" s="14" t="n"/>
      <c r="C7" s="14" t="n"/>
      <c r="D7" s="14" t="n"/>
      <c r="E7" s="14" t="n"/>
      <c r="F7" s="14" t="n"/>
      <c r="G7" s="14" t="n"/>
      <c r="H7" s="14" t="n"/>
      <c r="I7" s="14" t="n"/>
      <c r="J7" s="14" t="n"/>
      <c r="K7" s="14" t="n"/>
    </row>
    <row r="8">
      <c r="A8" s="14" t="n"/>
      <c r="B8" s="14" t="n"/>
      <c r="C8" s="14" t="n"/>
      <c r="D8" s="14" t="n"/>
      <c r="E8" s="14" t="n"/>
      <c r="F8" s="14" t="n"/>
      <c r="G8" s="14" t="n"/>
      <c r="H8" s="14" t="n"/>
      <c r="I8" s="14" t="n"/>
      <c r="J8" s="14" t="n"/>
      <c r="K8" s="14" t="n"/>
    </row>
    <row r="9">
      <c r="A9" s="14" t="n"/>
      <c r="B9" s="14" t="n"/>
      <c r="C9" s="14" t="n"/>
      <c r="D9" s="14" t="n"/>
      <c r="E9" s="14" t="n"/>
      <c r="F9" s="14" t="n"/>
      <c r="G9" s="14" t="n"/>
      <c r="H9" s="14" t="n"/>
      <c r="I9" s="14" t="n"/>
      <c r="J9" s="14" t="n"/>
      <c r="K9" s="14" t="n"/>
    </row>
    <row r="10">
      <c r="A10" s="14" t="n"/>
      <c r="B10" s="14" t="n"/>
      <c r="C10" s="14" t="n"/>
      <c r="D10" s="14" t="n"/>
      <c r="E10" s="14" t="n"/>
      <c r="F10" s="14" t="n"/>
      <c r="G10" s="14" t="n"/>
      <c r="H10" s="14" t="n"/>
      <c r="I10" s="14" t="n"/>
      <c r="J10" s="14" t="n"/>
      <c r="K10" s="14" t="n"/>
    </row>
    <row r="11">
      <c r="A11" s="14" t="n"/>
      <c r="B11" s="14" t="n"/>
      <c r="C11" s="14" t="n"/>
      <c r="D11" s="14" t="n"/>
      <c r="E11" s="14" t="n"/>
      <c r="F11" s="14" t="n"/>
      <c r="G11" s="14" t="n"/>
      <c r="H11" s="14" t="n"/>
      <c r="I11" s="14" t="n"/>
      <c r="J11" s="14" t="n"/>
      <c r="K11" s="14" t="n"/>
    </row>
    <row r="12">
      <c r="A12" s="14" t="n"/>
      <c r="B12" s="14" t="n"/>
      <c r="C12" s="14" t="n"/>
      <c r="D12" s="14" t="n"/>
      <c r="E12" s="14" t="n"/>
      <c r="F12" s="14" t="n"/>
      <c r="G12" s="14" t="n"/>
      <c r="H12" s="14" t="n"/>
      <c r="I12" s="14" t="n"/>
      <c r="J12" s="14" t="n"/>
      <c r="K12" s="14" t="n"/>
    </row>
    <row r="13">
      <c r="A13" s="14" t="n"/>
      <c r="B13" s="14" t="n"/>
      <c r="C13" s="14" t="n"/>
      <c r="D13" s="14" t="n"/>
      <c r="E13" s="14" t="n"/>
      <c r="F13" s="14" t="n"/>
      <c r="G13" s="14" t="n"/>
      <c r="H13" s="14" t="n"/>
      <c r="I13" s="14" t="n"/>
      <c r="J13" s="14" t="n"/>
      <c r="K13" s="14" t="n"/>
    </row>
    <row r="14">
      <c r="A14" s="14" t="n"/>
      <c r="B14" s="14" t="n"/>
      <c r="C14" s="14" t="n"/>
      <c r="D14" s="14" t="n"/>
      <c r="E14" s="14" t="n"/>
      <c r="F14" s="14" t="n"/>
      <c r="G14" s="14" t="n"/>
      <c r="H14" s="14" t="n"/>
      <c r="I14" s="14" t="n"/>
      <c r="J14" s="14" t="n"/>
      <c r="K14" s="14" t="n"/>
    </row>
    <row r="15">
      <c r="A15" s="14" t="n"/>
      <c r="B15" s="14" t="n"/>
      <c r="C15" s="14" t="n"/>
      <c r="D15" s="14" t="n"/>
      <c r="E15" s="14" t="n"/>
      <c r="F15" s="14" t="n"/>
      <c r="G15" s="14" t="n"/>
      <c r="H15" s="14" t="n"/>
      <c r="I15" s="14" t="n"/>
      <c r="J15" s="14" t="n"/>
      <c r="K15" s="14" t="n"/>
    </row>
    <row r="16">
      <c r="A16" s="14" t="n"/>
      <c r="B16" s="14" t="n"/>
      <c r="C16" s="14" t="n"/>
      <c r="D16" s="14" t="n"/>
      <c r="E16" s="14" t="n"/>
      <c r="F16" s="14" t="n"/>
      <c r="G16" s="14" t="n"/>
      <c r="H16" s="14" t="n"/>
      <c r="I16" s="14" t="n"/>
      <c r="J16" s="14" t="n"/>
      <c r="K16" s="14" t="n"/>
    </row>
    <row r="17">
      <c r="A17" s="14" t="n"/>
      <c r="B17" s="14" t="n"/>
      <c r="C17" s="14" t="n"/>
      <c r="D17" s="14" t="n"/>
      <c r="E17" s="14" t="n"/>
      <c r="F17" s="14" t="n"/>
      <c r="G17" s="14" t="n"/>
      <c r="H17" s="14" t="n"/>
      <c r="I17" s="14" t="n"/>
      <c r="J17" s="14" t="n"/>
      <c r="K17" s="14" t="n"/>
    </row>
    <row r="18">
      <c r="A18" s="14" t="n"/>
      <c r="B18" s="14" t="n"/>
      <c r="C18" s="14" t="n"/>
      <c r="D18" s="14" t="n"/>
      <c r="E18" s="14" t="n"/>
      <c r="F18" s="14" t="n"/>
      <c r="G18" s="14" t="n"/>
      <c r="H18" s="14" t="n"/>
      <c r="I18" s="14" t="n"/>
      <c r="J18" s="14" t="n"/>
      <c r="K18" s="14" t="n"/>
    </row>
    <row r="19">
      <c r="A19" s="14" t="n"/>
      <c r="B19" s="14" t="n"/>
      <c r="C19" s="14" t="n"/>
      <c r="D19" s="14" t="n"/>
      <c r="E19" s="14" t="n"/>
      <c r="F19" s="14" t="n"/>
      <c r="G19" s="14" t="n"/>
      <c r="H19" s="14" t="n"/>
      <c r="I19" s="14" t="n"/>
      <c r="J19" s="14" t="n"/>
      <c r="K19" s="14" t="n"/>
    </row>
    <row r="20">
      <c r="A20" s="14" t="n"/>
      <c r="B20" s="14" t="n"/>
      <c r="C20" s="14" t="n"/>
      <c r="D20" s="14" t="n"/>
      <c r="E20" s="14" t="n"/>
      <c r="F20" s="14" t="n"/>
      <c r="G20" s="14" t="n"/>
      <c r="H20" s="14" t="n"/>
      <c r="I20" s="14" t="n"/>
      <c r="J20" s="14" t="n"/>
      <c r="K20" s="14" t="n"/>
    </row>
    <row r="21">
      <c r="A21" s="14" t="n"/>
      <c r="B21" s="14" t="n"/>
      <c r="C21" s="14" t="n"/>
      <c r="D21" s="14" t="n"/>
      <c r="E21" s="14" t="n"/>
      <c r="F21" s="14" t="n"/>
      <c r="G21" s="14" t="n"/>
      <c r="H21" s="14" t="n"/>
      <c r="I21" s="14" t="n"/>
      <c r="J21" s="14" t="n"/>
      <c r="K21" s="14" t="n"/>
    </row>
    <row r="22">
      <c r="A22" s="14" t="n"/>
      <c r="B22" s="14" t="n"/>
      <c r="C22" s="14" t="n"/>
      <c r="D22" s="14" t="n"/>
      <c r="E22" s="14" t="n"/>
      <c r="F22" s="14" t="n"/>
      <c r="G22" s="14" t="n"/>
      <c r="H22" s="14" t="n"/>
      <c r="I22" s="14" t="n"/>
      <c r="J22" s="14" t="n"/>
      <c r="K22" s="14" t="n"/>
    </row>
    <row r="23">
      <c r="A23" s="14" t="n"/>
      <c r="B23" s="14" t="n"/>
      <c r="C23" s="14" t="n"/>
      <c r="D23" s="14" t="n"/>
      <c r="E23" s="14" t="n"/>
      <c r="F23" s="14" t="n"/>
      <c r="G23" s="14" t="n"/>
      <c r="H23" s="14" t="n"/>
      <c r="I23" s="14" t="n"/>
      <c r="J23" s="14" t="n"/>
      <c r="K23" s="14" t="n"/>
    </row>
    <row r="24">
      <c r="A24" s="14" t="n"/>
      <c r="B24" s="14" t="n"/>
      <c r="C24" s="14" t="n"/>
      <c r="D24" s="14" t="n"/>
      <c r="E24" s="14" t="n"/>
      <c r="F24" s="14" t="n"/>
      <c r="G24" s="14" t="n"/>
      <c r="H24" s="14" t="n"/>
      <c r="I24" s="14" t="n"/>
      <c r="J24" s="14" t="n"/>
      <c r="K24" s="14" t="n"/>
    </row>
    <row r="25">
      <c r="A25" s="14" t="n"/>
      <c r="B25" s="14" t="n"/>
      <c r="C25" s="14" t="n"/>
      <c r="D25" s="14" t="n"/>
      <c r="E25" s="14" t="n"/>
      <c r="F25" s="14" t="n"/>
      <c r="G25" s="14" t="n"/>
      <c r="H25" s="14" t="n"/>
      <c r="I25" s="14" t="n"/>
      <c r="J25" s="14" t="n"/>
      <c r="K25" s="14" t="n"/>
    </row>
    <row r="26">
      <c r="A26" s="14" t="n"/>
      <c r="B26" s="14" t="n"/>
      <c r="C26" s="14" t="n"/>
      <c r="D26" s="14" t="n"/>
      <c r="E26" s="14" t="n"/>
      <c r="F26" s="14" t="n"/>
      <c r="G26" s="14" t="n"/>
      <c r="H26" s="14" t="n"/>
      <c r="I26" s="14" t="n"/>
      <c r="J26" s="14" t="n"/>
      <c r="K26" s="14" t="n"/>
    </row>
    <row r="27">
      <c r="A27" s="14" t="n"/>
      <c r="B27" s="14" t="n"/>
      <c r="C27" s="14" t="n"/>
      <c r="D27" s="14" t="n"/>
      <c r="E27" s="14" t="n"/>
      <c r="F27" s="14" t="n"/>
      <c r="G27" s="14" t="n"/>
      <c r="H27" s="14" t="n"/>
      <c r="I27" s="14" t="n"/>
      <c r="J27" s="14" t="n"/>
      <c r="K27" s="14" t="n"/>
    </row>
    <row r="28">
      <c r="A28" s="14" t="n"/>
      <c r="B28" s="14" t="n"/>
      <c r="C28" s="14" t="n"/>
      <c r="D28" s="14" t="n"/>
      <c r="E28" s="14" t="n"/>
      <c r="F28" s="14" t="n"/>
      <c r="G28" s="14" t="n"/>
      <c r="H28" s="14" t="n"/>
      <c r="I28" s="14" t="n"/>
      <c r="J28" s="14" t="n"/>
      <c r="K28" s="14" t="n"/>
    </row>
    <row r="29">
      <c r="A29" s="14" t="n"/>
      <c r="B29" s="14" t="n"/>
      <c r="C29" s="14" t="n"/>
      <c r="D29" s="14" t="n"/>
      <c r="E29" s="14" t="n"/>
      <c r="F29" s="14" t="n"/>
      <c r="G29" s="14" t="n"/>
      <c r="H29" s="14" t="n"/>
      <c r="I29" s="14" t="n"/>
      <c r="J29" s="14" t="n"/>
      <c r="K29" s="14" t="n"/>
    </row>
    <row r="30">
      <c r="A30" s="14" t="n"/>
      <c r="B30" s="14" t="n"/>
      <c r="C30" s="14" t="n"/>
      <c r="D30" s="14" t="n"/>
      <c r="E30" s="14" t="n"/>
      <c r="F30" s="14" t="n"/>
      <c r="G30" s="14" t="n"/>
      <c r="H30" s="14" t="n"/>
      <c r="I30" s="14" t="n"/>
      <c r="J30" s="14" t="n"/>
      <c r="K30" s="14" t="n"/>
    </row>
    <row r="31">
      <c r="A31" s="14" t="n"/>
      <c r="B31" s="14" t="n"/>
      <c r="C31" s="14" t="n"/>
      <c r="D31" s="14" t="n"/>
      <c r="E31" s="14" t="n"/>
      <c r="F31" s="14" t="n"/>
      <c r="G31" s="14" t="n"/>
      <c r="H31" s="14" t="n"/>
      <c r="I31" s="14" t="n"/>
      <c r="J31" s="14" t="n"/>
      <c r="K31" s="14" t="n"/>
    </row>
    <row r="32">
      <c r="A32" s="14" t="n"/>
      <c r="B32" s="14" t="n"/>
      <c r="C32" s="14" t="n"/>
      <c r="D32" s="14" t="n"/>
      <c r="E32" s="14" t="n"/>
      <c r="F32" s="14" t="n"/>
      <c r="G32" s="14" t="n"/>
      <c r="H32" s="14" t="n"/>
      <c r="I32" s="14" t="n"/>
      <c r="J32" s="14" t="n"/>
      <c r="K32" s="14" t="n"/>
    </row>
    <row r="33">
      <c r="A33" s="14" t="n"/>
      <c r="B33" s="14" t="n"/>
      <c r="C33" s="14" t="n"/>
      <c r="D33" s="14" t="n"/>
      <c r="E33" s="14" t="n"/>
      <c r="F33" s="14" t="n"/>
      <c r="G33" s="14" t="n"/>
      <c r="H33" s="14" t="n"/>
      <c r="I33" s="14" t="n"/>
      <c r="J33" s="14" t="n"/>
      <c r="K33" s="14" t="n"/>
    </row>
    <row r="34">
      <c r="A34" s="14" t="n"/>
      <c r="B34" s="14" t="n"/>
      <c r="C34" s="14" t="n"/>
      <c r="D34" s="14" t="n"/>
      <c r="E34" s="14" t="n"/>
      <c r="F34" s="14" t="n"/>
      <c r="G34" s="14" t="n"/>
      <c r="H34" s="14" t="n"/>
      <c r="I34" s="14" t="n"/>
      <c r="J34" s="14" t="n"/>
      <c r="K34" s="14" t="n"/>
    </row>
    <row r="35">
      <c r="A35" s="14" t="n"/>
      <c r="B35" s="14" t="n"/>
      <c r="C35" s="14" t="n"/>
      <c r="D35" s="14" t="n"/>
      <c r="E35" s="14" t="n"/>
      <c r="F35" s="14" t="n"/>
      <c r="G35" s="14" t="n"/>
      <c r="H35" s="14" t="n"/>
      <c r="I35" s="14" t="n"/>
      <c r="J35" s="14" t="n"/>
      <c r="K35" s="14" t="n"/>
    </row>
    <row r="36">
      <c r="A36" s="14" t="n"/>
      <c r="B36" s="14" t="n"/>
      <c r="C36" s="14" t="n"/>
      <c r="D36" s="14" t="n"/>
      <c r="E36" s="14" t="n"/>
      <c r="F36" s="14" t="n"/>
      <c r="G36" s="14" t="n"/>
      <c r="H36" s="14" t="n"/>
      <c r="I36" s="14" t="n"/>
      <c r="J36" s="14" t="n"/>
      <c r="K36" s="14" t="n"/>
    </row>
    <row r="37">
      <c r="A37" s="14" t="n"/>
      <c r="B37" s="14" t="n"/>
      <c r="C37" s="14" t="n"/>
      <c r="D37" s="14" t="n"/>
      <c r="E37" s="14" t="n"/>
      <c r="F37" s="14" t="n"/>
      <c r="G37" s="14" t="n"/>
      <c r="H37" s="14" t="n"/>
      <c r="I37" s="14" t="n"/>
      <c r="J37" s="14" t="n"/>
      <c r="K37" s="14" t="n"/>
    </row>
    <row r="38">
      <c r="A38" s="14" t="n"/>
      <c r="B38" s="14" t="n"/>
      <c r="C38" s="14" t="n"/>
      <c r="D38" s="14" t="n"/>
      <c r="E38" s="14" t="n"/>
      <c r="F38" s="14" t="n"/>
      <c r="G38" s="14" t="n"/>
      <c r="H38" s="14" t="n"/>
      <c r="I38" s="14" t="n"/>
      <c r="J38" s="14" t="n"/>
      <c r="K38" s="14" t="n"/>
    </row>
    <row r="39">
      <c r="A39" s="14" t="n"/>
      <c r="B39" s="14" t="n"/>
      <c r="C39" s="14" t="n"/>
      <c r="D39" s="14" t="n"/>
      <c r="E39" s="14" t="n"/>
      <c r="F39" s="14" t="n"/>
      <c r="G39" s="14" t="n"/>
      <c r="H39" s="14" t="n"/>
      <c r="I39" s="14" t="n"/>
      <c r="J39" s="14" t="n"/>
      <c r="K39" s="14" t="n"/>
    </row>
    <row r="40">
      <c r="A40" s="14" t="n"/>
      <c r="B40" s="14" t="n"/>
      <c r="C40" s="14" t="n"/>
      <c r="D40" s="14" t="n"/>
      <c r="E40" s="14" t="n"/>
      <c r="F40" s="14" t="n"/>
      <c r="G40" s="14" t="n"/>
      <c r="H40" s="14" t="n"/>
      <c r="I40" s="14" t="n"/>
      <c r="J40" s="14" t="n"/>
      <c r="K40" s="14" t="n"/>
    </row>
    <row r="41">
      <c r="A41" s="14" t="n"/>
      <c r="B41" s="14" t="n"/>
      <c r="C41" s="14" t="n"/>
      <c r="D41" s="14" t="n"/>
      <c r="E41" s="14" t="n"/>
      <c r="F41" s="14" t="n"/>
      <c r="G41" s="14" t="n"/>
      <c r="H41" s="14" t="n"/>
      <c r="I41" s="14" t="n"/>
      <c r="J41" s="14" t="n"/>
      <c r="K41" s="14" t="n"/>
    </row>
    <row r="42">
      <c r="A42" s="14" t="n"/>
      <c r="B42" s="14" t="n"/>
      <c r="C42" s="14" t="n"/>
      <c r="D42" s="14" t="n"/>
      <c r="E42" s="14" t="n"/>
      <c r="F42" s="14" t="n"/>
      <c r="G42" s="14" t="n"/>
      <c r="H42" s="14" t="n"/>
      <c r="I42" s="14" t="n"/>
      <c r="J42" s="14" t="n"/>
      <c r="K42" s="14" t="n"/>
    </row>
    <row r="43">
      <c r="A43" s="14" t="n"/>
      <c r="B43" s="14" t="n"/>
      <c r="C43" s="14" t="n"/>
      <c r="D43" s="14" t="n"/>
      <c r="E43" s="14" t="n"/>
      <c r="F43" s="14" t="n"/>
      <c r="G43" s="14" t="n"/>
      <c r="H43" s="14" t="n"/>
      <c r="I43" s="14" t="n"/>
      <c r="J43" s="14" t="n"/>
      <c r="K43" s="14" t="n"/>
    </row>
    <row r="44"/>
  </sheetData>
  <mergeCells count="2">
    <mergeCell ref="A2:K2"/>
    <mergeCell ref="A1:K1"/>
  </mergeCells>
  <dataValidations count="2">
    <dataValidation sqref="D7 D8 D9 D10 D11 D12 D13 D14 D15 D16 D17 D18 D19 D20 D21 D22 D23 D24 D25 D26 D27 D28 D29 D30 D31 D32 D33 D34 D35 D36 D37 D38 D39 D40 D41 D42 D43 D44" showDropDown="1" showInputMessage="0" showErrorMessage="0" allowBlank="0" type="list">
      <formula1>"Critical,High,Medium,Low"</formula1>
    </dataValidation>
    <dataValidation sqref="J7 J8 J9 J10 J11 J12 J13 J14 J15 J16 J17 J18 J19 J20 J21 J22 J23 J24 J25 J26 J27 J28 J29 J30 J31 J32 J33 J34 J35 J36 J37 J38 J39 J40 J41 J42 J43 J44" showDropDown="1" showInputMessage="0" showErrorMessage="0" allowBlank="0" type="list">
      <formula1>"Open,In Progress,Resolved,Accepted,Closed"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3"/>
  <sheetViews>
    <sheetView workbookViewId="0">
      <pane ySplit="3" topLeftCell="A4" activePane="bottomLeft" state="frozen"/>
      <selection pane="bottomLeft" activeCell="A1" sqref="A1"/>
    </sheetView>
  </sheetViews>
  <sheetFormatPr baseColWidth="8" defaultRowHeight="15"/>
  <cols>
    <col width="18" customWidth="1" min="1" max="1"/>
    <col width="20" customWidth="1" min="2" max="2"/>
    <col width="35" customWidth="1" min="3" max="3"/>
    <col width="30" customWidth="1" min="4" max="4"/>
    <col width="15" customWidth="1" min="5" max="5"/>
    <col width="20" customWidth="1" min="6" max="6"/>
    <col width="25" customWidth="1" min="7" max="7"/>
    <col width="15" customWidth="1" min="8" max="8"/>
  </cols>
  <sheetData>
    <row r="1" ht="30" customHeight="1">
      <c r="A1" s="1" t="inlineStr">
        <is>
          <t>EVIDENCE REGISTER - AUDIT TRAIL</t>
        </is>
      </c>
    </row>
    <row r="2" ht="25" customHeight="1">
      <c r="A2" s="2" t="inlineStr">
        <is>
          <t>Track all evidence collected during infrastructure assessment</t>
        </is>
      </c>
    </row>
    <row r="3">
      <c r="A3" s="12" t="inlineStr">
        <is>
          <t>Evidence ID</t>
        </is>
      </c>
      <c r="B3" s="12" t="inlineStr">
        <is>
          <t>Evidence Type</t>
        </is>
      </c>
      <c r="C3" s="12" t="inlineStr">
        <is>
          <t>Description</t>
        </is>
      </c>
      <c r="D3" s="12" t="inlineStr">
        <is>
          <t>Location/Link</t>
        </is>
      </c>
      <c r="E3" s="12" t="inlineStr">
        <is>
          <t>Date Collected</t>
        </is>
      </c>
      <c r="F3" s="12" t="inlineStr">
        <is>
          <t>Collected By</t>
        </is>
      </c>
      <c r="G3" s="12" t="inlineStr">
        <is>
          <t>Related Requirement</t>
        </is>
      </c>
      <c r="H3" s="12" t="inlineStr">
        <is>
          <t>Verification Status</t>
        </is>
      </c>
    </row>
    <row r="4">
      <c r="A4" s="14" t="n"/>
      <c r="B4" s="14" t="n"/>
      <c r="C4" s="14" t="n"/>
      <c r="D4" s="14" t="n"/>
      <c r="E4" s="14" t="n"/>
      <c r="F4" s="14" t="n"/>
      <c r="G4" s="14" t="n"/>
      <c r="H4" s="14" t="n"/>
    </row>
    <row r="5">
      <c r="A5" s="14" t="n"/>
      <c r="B5" s="14" t="n"/>
      <c r="C5" s="14" t="n"/>
      <c r="D5" s="14" t="n"/>
      <c r="E5" s="14" t="n"/>
      <c r="F5" s="14" t="n"/>
      <c r="G5" s="14" t="n"/>
      <c r="H5" s="14" t="n"/>
    </row>
    <row r="6">
      <c r="A6" s="14" t="n"/>
      <c r="B6" s="14" t="n"/>
      <c r="C6" s="14" t="n"/>
      <c r="D6" s="14" t="n"/>
      <c r="E6" s="14" t="n"/>
      <c r="F6" s="14" t="n"/>
      <c r="G6" s="14" t="n"/>
      <c r="H6" s="14" t="n"/>
    </row>
    <row r="7">
      <c r="A7" s="14" t="n"/>
      <c r="B7" s="14" t="n"/>
      <c r="C7" s="14" t="n"/>
      <c r="D7" s="14" t="n"/>
      <c r="E7" s="14" t="n"/>
      <c r="F7" s="14" t="n"/>
      <c r="G7" s="14" t="n"/>
      <c r="H7" s="14" t="n"/>
    </row>
    <row r="8">
      <c r="A8" s="14" t="n"/>
      <c r="B8" s="14" t="n"/>
      <c r="C8" s="14" t="n"/>
      <c r="D8" s="14" t="n"/>
      <c r="E8" s="14" t="n"/>
      <c r="F8" s="14" t="n"/>
      <c r="G8" s="14" t="n"/>
      <c r="H8" s="14" t="n"/>
    </row>
    <row r="9">
      <c r="A9" s="14" t="n"/>
      <c r="B9" s="14" t="n"/>
      <c r="C9" s="14" t="n"/>
      <c r="D9" s="14" t="n"/>
      <c r="E9" s="14" t="n"/>
      <c r="F9" s="14" t="n"/>
      <c r="G9" s="14" t="n"/>
      <c r="H9" s="14" t="n"/>
    </row>
    <row r="10">
      <c r="A10" s="14" t="n"/>
      <c r="B10" s="14" t="n"/>
      <c r="C10" s="14" t="n"/>
      <c r="D10" s="14" t="n"/>
      <c r="E10" s="14" t="n"/>
      <c r="F10" s="14" t="n"/>
      <c r="G10" s="14" t="n"/>
      <c r="H10" s="14" t="n"/>
    </row>
    <row r="11">
      <c r="A11" s="14" t="n"/>
      <c r="B11" s="14" t="n"/>
      <c r="C11" s="14" t="n"/>
      <c r="D11" s="14" t="n"/>
      <c r="E11" s="14" t="n"/>
      <c r="F11" s="14" t="n"/>
      <c r="G11" s="14" t="n"/>
      <c r="H11" s="14" t="n"/>
    </row>
    <row r="12">
      <c r="A12" s="14" t="n"/>
      <c r="B12" s="14" t="n"/>
      <c r="C12" s="14" t="n"/>
      <c r="D12" s="14" t="n"/>
      <c r="E12" s="14" t="n"/>
      <c r="F12" s="14" t="n"/>
      <c r="G12" s="14" t="n"/>
      <c r="H12" s="14" t="n"/>
    </row>
    <row r="13">
      <c r="A13" s="14" t="n"/>
      <c r="B13" s="14" t="n"/>
      <c r="C13" s="14" t="n"/>
      <c r="D13" s="14" t="n"/>
      <c r="E13" s="14" t="n"/>
      <c r="F13" s="14" t="n"/>
      <c r="G13" s="14" t="n"/>
      <c r="H13" s="14" t="n"/>
    </row>
    <row r="14">
      <c r="A14" s="14" t="n"/>
      <c r="B14" s="14" t="n"/>
      <c r="C14" s="14" t="n"/>
      <c r="D14" s="14" t="n"/>
      <c r="E14" s="14" t="n"/>
      <c r="F14" s="14" t="n"/>
      <c r="G14" s="14" t="n"/>
      <c r="H14" s="14" t="n"/>
    </row>
    <row r="15">
      <c r="A15" s="14" t="n"/>
      <c r="B15" s="14" t="n"/>
      <c r="C15" s="14" t="n"/>
      <c r="D15" s="14" t="n"/>
      <c r="E15" s="14" t="n"/>
      <c r="F15" s="14" t="n"/>
      <c r="G15" s="14" t="n"/>
      <c r="H15" s="14" t="n"/>
    </row>
    <row r="16">
      <c r="A16" s="14" t="n"/>
      <c r="B16" s="14" t="n"/>
      <c r="C16" s="14" t="n"/>
      <c r="D16" s="14" t="n"/>
      <c r="E16" s="14" t="n"/>
      <c r="F16" s="14" t="n"/>
      <c r="G16" s="14" t="n"/>
      <c r="H16" s="14" t="n"/>
    </row>
    <row r="17">
      <c r="A17" s="14" t="n"/>
      <c r="B17" s="14" t="n"/>
      <c r="C17" s="14" t="n"/>
      <c r="D17" s="14" t="n"/>
      <c r="E17" s="14" t="n"/>
      <c r="F17" s="14" t="n"/>
      <c r="G17" s="14" t="n"/>
      <c r="H17" s="14" t="n"/>
    </row>
    <row r="18">
      <c r="A18" s="14" t="n"/>
      <c r="B18" s="14" t="n"/>
      <c r="C18" s="14" t="n"/>
      <c r="D18" s="14" t="n"/>
      <c r="E18" s="14" t="n"/>
      <c r="F18" s="14" t="n"/>
      <c r="G18" s="14" t="n"/>
      <c r="H18" s="14" t="n"/>
    </row>
    <row r="19">
      <c r="A19" s="14" t="n"/>
      <c r="B19" s="14" t="n"/>
      <c r="C19" s="14" t="n"/>
      <c r="D19" s="14" t="n"/>
      <c r="E19" s="14" t="n"/>
      <c r="F19" s="14" t="n"/>
      <c r="G19" s="14" t="n"/>
      <c r="H19" s="14" t="n"/>
    </row>
    <row r="20">
      <c r="A20" s="14" t="n"/>
      <c r="B20" s="14" t="n"/>
      <c r="C20" s="14" t="n"/>
      <c r="D20" s="14" t="n"/>
      <c r="E20" s="14" t="n"/>
      <c r="F20" s="14" t="n"/>
      <c r="G20" s="14" t="n"/>
      <c r="H20" s="14" t="n"/>
    </row>
    <row r="21">
      <c r="A21" s="14" t="n"/>
      <c r="B21" s="14" t="n"/>
      <c r="C21" s="14" t="n"/>
      <c r="D21" s="14" t="n"/>
      <c r="E21" s="14" t="n"/>
      <c r="F21" s="14" t="n"/>
      <c r="G21" s="14" t="n"/>
      <c r="H21" s="14" t="n"/>
    </row>
    <row r="22">
      <c r="A22" s="14" t="n"/>
      <c r="B22" s="14" t="n"/>
      <c r="C22" s="14" t="n"/>
      <c r="D22" s="14" t="n"/>
      <c r="E22" s="14" t="n"/>
      <c r="F22" s="14" t="n"/>
      <c r="G22" s="14" t="n"/>
      <c r="H22" s="14" t="n"/>
    </row>
    <row r="23">
      <c r="A23" s="14" t="n"/>
      <c r="B23" s="14" t="n"/>
      <c r="C23" s="14" t="n"/>
      <c r="D23" s="14" t="n"/>
      <c r="E23" s="14" t="n"/>
      <c r="F23" s="14" t="n"/>
      <c r="G23" s="14" t="n"/>
      <c r="H23" s="14" t="n"/>
    </row>
    <row r="24">
      <c r="A24" s="14" t="n"/>
      <c r="B24" s="14" t="n"/>
      <c r="C24" s="14" t="n"/>
      <c r="D24" s="14" t="n"/>
      <c r="E24" s="14" t="n"/>
      <c r="F24" s="14" t="n"/>
      <c r="G24" s="14" t="n"/>
      <c r="H24" s="14" t="n"/>
    </row>
    <row r="25">
      <c r="A25" s="14" t="n"/>
      <c r="B25" s="14" t="n"/>
      <c r="C25" s="14" t="n"/>
      <c r="D25" s="14" t="n"/>
      <c r="E25" s="14" t="n"/>
      <c r="F25" s="14" t="n"/>
      <c r="G25" s="14" t="n"/>
      <c r="H25" s="14" t="n"/>
    </row>
    <row r="26">
      <c r="A26" s="14" t="n"/>
      <c r="B26" s="14" t="n"/>
      <c r="C26" s="14" t="n"/>
      <c r="D26" s="14" t="n"/>
      <c r="E26" s="14" t="n"/>
      <c r="F26" s="14" t="n"/>
      <c r="G26" s="14" t="n"/>
      <c r="H26" s="14" t="n"/>
    </row>
    <row r="27">
      <c r="A27" s="14" t="n"/>
      <c r="B27" s="14" t="n"/>
      <c r="C27" s="14" t="n"/>
      <c r="D27" s="14" t="n"/>
      <c r="E27" s="14" t="n"/>
      <c r="F27" s="14" t="n"/>
      <c r="G27" s="14" t="n"/>
      <c r="H27" s="14" t="n"/>
    </row>
    <row r="28">
      <c r="A28" s="14" t="n"/>
      <c r="B28" s="14" t="n"/>
      <c r="C28" s="14" t="n"/>
      <c r="D28" s="14" t="n"/>
      <c r="E28" s="14" t="n"/>
      <c r="F28" s="14" t="n"/>
      <c r="G28" s="14" t="n"/>
      <c r="H28" s="14" t="n"/>
    </row>
    <row r="29">
      <c r="A29" s="14" t="n"/>
      <c r="B29" s="14" t="n"/>
      <c r="C29" s="14" t="n"/>
      <c r="D29" s="14" t="n"/>
      <c r="E29" s="14" t="n"/>
      <c r="F29" s="14" t="n"/>
      <c r="G29" s="14" t="n"/>
      <c r="H29" s="14" t="n"/>
    </row>
    <row r="30">
      <c r="A30" s="14" t="n"/>
      <c r="B30" s="14" t="n"/>
      <c r="C30" s="14" t="n"/>
      <c r="D30" s="14" t="n"/>
      <c r="E30" s="14" t="n"/>
      <c r="F30" s="14" t="n"/>
      <c r="G30" s="14" t="n"/>
      <c r="H30" s="14" t="n"/>
    </row>
    <row r="31">
      <c r="A31" s="14" t="n"/>
      <c r="B31" s="14" t="n"/>
      <c r="C31" s="14" t="n"/>
      <c r="D31" s="14" t="n"/>
      <c r="E31" s="14" t="n"/>
      <c r="F31" s="14" t="n"/>
      <c r="G31" s="14" t="n"/>
      <c r="H31" s="14" t="n"/>
    </row>
    <row r="32">
      <c r="A32" s="14" t="n"/>
      <c r="B32" s="14" t="n"/>
      <c r="C32" s="14" t="n"/>
      <c r="D32" s="14" t="n"/>
      <c r="E32" s="14" t="n"/>
      <c r="F32" s="14" t="n"/>
      <c r="G32" s="14" t="n"/>
      <c r="H32" s="14" t="n"/>
    </row>
    <row r="33">
      <c r="A33" s="14" t="n"/>
      <c r="B33" s="14" t="n"/>
      <c r="C33" s="14" t="n"/>
      <c r="D33" s="14" t="n"/>
      <c r="E33" s="14" t="n"/>
      <c r="F33" s="14" t="n"/>
      <c r="G33" s="14" t="n"/>
      <c r="H33" s="14" t="n"/>
    </row>
    <row r="34">
      <c r="A34" s="14" t="n"/>
      <c r="B34" s="14" t="n"/>
      <c r="C34" s="14" t="n"/>
      <c r="D34" s="14" t="n"/>
      <c r="E34" s="14" t="n"/>
      <c r="F34" s="14" t="n"/>
      <c r="G34" s="14" t="n"/>
      <c r="H34" s="14" t="n"/>
    </row>
    <row r="35">
      <c r="A35" s="14" t="n"/>
      <c r="B35" s="14" t="n"/>
      <c r="C35" s="14" t="n"/>
      <c r="D35" s="14" t="n"/>
      <c r="E35" s="14" t="n"/>
      <c r="F35" s="14" t="n"/>
      <c r="G35" s="14" t="n"/>
      <c r="H35" s="14" t="n"/>
    </row>
    <row r="36">
      <c r="A36" s="14" t="n"/>
      <c r="B36" s="14" t="n"/>
      <c r="C36" s="14" t="n"/>
      <c r="D36" s="14" t="n"/>
      <c r="E36" s="14" t="n"/>
      <c r="F36" s="14" t="n"/>
      <c r="G36" s="14" t="n"/>
      <c r="H36" s="14" t="n"/>
    </row>
    <row r="37">
      <c r="A37" s="14" t="n"/>
      <c r="B37" s="14" t="n"/>
      <c r="C37" s="14" t="n"/>
      <c r="D37" s="14" t="n"/>
      <c r="E37" s="14" t="n"/>
      <c r="F37" s="14" t="n"/>
      <c r="G37" s="14" t="n"/>
      <c r="H37" s="14" t="n"/>
    </row>
    <row r="38">
      <c r="A38" s="14" t="n"/>
      <c r="B38" s="14" t="n"/>
      <c r="C38" s="14" t="n"/>
      <c r="D38" s="14" t="n"/>
      <c r="E38" s="14" t="n"/>
      <c r="F38" s="14" t="n"/>
      <c r="G38" s="14" t="n"/>
      <c r="H38" s="14" t="n"/>
    </row>
    <row r="39">
      <c r="A39" s="14" t="n"/>
      <c r="B39" s="14" t="n"/>
      <c r="C39" s="14" t="n"/>
      <c r="D39" s="14" t="n"/>
      <c r="E39" s="14" t="n"/>
      <c r="F39" s="14" t="n"/>
      <c r="G39" s="14" t="n"/>
      <c r="H39" s="14" t="n"/>
    </row>
    <row r="40">
      <c r="A40" s="14" t="n"/>
      <c r="B40" s="14" t="n"/>
      <c r="C40" s="14" t="n"/>
      <c r="D40" s="14" t="n"/>
      <c r="E40" s="14" t="n"/>
      <c r="F40" s="14" t="n"/>
      <c r="G40" s="14" t="n"/>
      <c r="H40" s="14" t="n"/>
    </row>
    <row r="41">
      <c r="A41" s="14" t="n"/>
      <c r="B41" s="14" t="n"/>
      <c r="C41" s="14" t="n"/>
      <c r="D41" s="14" t="n"/>
      <c r="E41" s="14" t="n"/>
      <c r="F41" s="14" t="n"/>
      <c r="G41" s="14" t="n"/>
      <c r="H41" s="14" t="n"/>
    </row>
    <row r="42">
      <c r="A42" s="14" t="n"/>
      <c r="B42" s="14" t="n"/>
      <c r="C42" s="14" t="n"/>
      <c r="D42" s="14" t="n"/>
      <c r="E42" s="14" t="n"/>
      <c r="F42" s="14" t="n"/>
      <c r="G42" s="14" t="n"/>
      <c r="H42" s="14" t="n"/>
    </row>
    <row r="43">
      <c r="A43" s="14" t="n"/>
      <c r="B43" s="14" t="n"/>
      <c r="C43" s="14" t="n"/>
      <c r="D43" s="14" t="n"/>
      <c r="E43" s="14" t="n"/>
      <c r="F43" s="14" t="n"/>
      <c r="G43" s="14" t="n"/>
      <c r="H43" s="14" t="n"/>
    </row>
    <row r="44">
      <c r="A44" s="14" t="n"/>
      <c r="B44" s="14" t="n"/>
      <c r="C44" s="14" t="n"/>
      <c r="D44" s="14" t="n"/>
      <c r="E44" s="14" t="n"/>
      <c r="F44" s="14" t="n"/>
      <c r="G44" s="14" t="n"/>
      <c r="H44" s="14" t="n"/>
    </row>
    <row r="45">
      <c r="A45" s="14" t="n"/>
      <c r="B45" s="14" t="n"/>
      <c r="C45" s="14" t="n"/>
      <c r="D45" s="14" t="n"/>
      <c r="E45" s="14" t="n"/>
      <c r="F45" s="14" t="n"/>
      <c r="G45" s="14" t="n"/>
      <c r="H45" s="14" t="n"/>
    </row>
    <row r="46">
      <c r="A46" s="14" t="n"/>
      <c r="B46" s="14" t="n"/>
      <c r="C46" s="14" t="n"/>
      <c r="D46" s="14" t="n"/>
      <c r="E46" s="14" t="n"/>
      <c r="F46" s="14" t="n"/>
      <c r="G46" s="14" t="n"/>
      <c r="H46" s="14" t="n"/>
    </row>
    <row r="47">
      <c r="A47" s="14" t="n"/>
      <c r="B47" s="14" t="n"/>
      <c r="C47" s="14" t="n"/>
      <c r="D47" s="14" t="n"/>
      <c r="E47" s="14" t="n"/>
      <c r="F47" s="14" t="n"/>
      <c r="G47" s="14" t="n"/>
      <c r="H47" s="14" t="n"/>
    </row>
    <row r="48">
      <c r="A48" s="14" t="n"/>
      <c r="B48" s="14" t="n"/>
      <c r="C48" s="14" t="n"/>
      <c r="D48" s="14" t="n"/>
      <c r="E48" s="14" t="n"/>
      <c r="F48" s="14" t="n"/>
      <c r="G48" s="14" t="n"/>
      <c r="H48" s="14" t="n"/>
    </row>
    <row r="49">
      <c r="A49" s="14" t="n"/>
      <c r="B49" s="14" t="n"/>
      <c r="C49" s="14" t="n"/>
      <c r="D49" s="14" t="n"/>
      <c r="E49" s="14" t="n"/>
      <c r="F49" s="14" t="n"/>
      <c r="G49" s="14" t="n"/>
      <c r="H49" s="14" t="n"/>
    </row>
    <row r="50">
      <c r="A50" s="14" t="n"/>
      <c r="B50" s="14" t="n"/>
      <c r="C50" s="14" t="n"/>
      <c r="D50" s="14" t="n"/>
      <c r="E50" s="14" t="n"/>
      <c r="F50" s="14" t="n"/>
      <c r="G50" s="14" t="n"/>
      <c r="H50" s="14" t="n"/>
    </row>
    <row r="51">
      <c r="A51" s="14" t="n"/>
      <c r="B51" s="14" t="n"/>
      <c r="C51" s="14" t="n"/>
      <c r="D51" s="14" t="n"/>
      <c r="E51" s="14" t="n"/>
      <c r="F51" s="14" t="n"/>
      <c r="G51" s="14" t="n"/>
      <c r="H51" s="14" t="n"/>
    </row>
    <row r="52">
      <c r="A52" s="14" t="n"/>
      <c r="B52" s="14" t="n"/>
      <c r="C52" s="14" t="n"/>
      <c r="D52" s="14" t="n"/>
      <c r="E52" s="14" t="n"/>
      <c r="F52" s="14" t="n"/>
      <c r="G52" s="14" t="n"/>
      <c r="H52" s="14" t="n"/>
    </row>
    <row r="53">
      <c r="A53" s="14" t="n"/>
      <c r="B53" s="14" t="n"/>
      <c r="C53" s="14" t="n"/>
      <c r="D53" s="14" t="n"/>
      <c r="E53" s="14" t="n"/>
      <c r="F53" s="14" t="n"/>
      <c r="G53" s="14" t="n"/>
      <c r="H53" s="14" t="n"/>
    </row>
    <row r="54">
      <c r="A54" s="14" t="n"/>
      <c r="B54" s="14" t="n"/>
      <c r="C54" s="14" t="n"/>
      <c r="D54" s="14" t="n"/>
      <c r="E54" s="14" t="n"/>
      <c r="F54" s="14" t="n"/>
      <c r="G54" s="14" t="n"/>
      <c r="H54" s="14" t="n"/>
    </row>
    <row r="55">
      <c r="A55" s="14" t="n"/>
      <c r="B55" s="14" t="n"/>
      <c r="C55" s="14" t="n"/>
      <c r="D55" s="14" t="n"/>
      <c r="E55" s="14" t="n"/>
      <c r="F55" s="14" t="n"/>
      <c r="G55" s="14" t="n"/>
      <c r="H55" s="14" t="n"/>
    </row>
    <row r="56">
      <c r="A56" s="14" t="n"/>
      <c r="B56" s="14" t="n"/>
      <c r="C56" s="14" t="n"/>
      <c r="D56" s="14" t="n"/>
      <c r="E56" s="14" t="n"/>
      <c r="F56" s="14" t="n"/>
      <c r="G56" s="14" t="n"/>
      <c r="H56" s="14" t="n"/>
    </row>
    <row r="57">
      <c r="A57" s="14" t="n"/>
      <c r="B57" s="14" t="n"/>
      <c r="C57" s="14" t="n"/>
      <c r="D57" s="14" t="n"/>
      <c r="E57" s="14" t="n"/>
      <c r="F57" s="14" t="n"/>
      <c r="G57" s="14" t="n"/>
      <c r="H57" s="14" t="n"/>
    </row>
    <row r="58">
      <c r="A58" s="14" t="n"/>
      <c r="B58" s="14" t="n"/>
      <c r="C58" s="14" t="n"/>
      <c r="D58" s="14" t="n"/>
      <c r="E58" s="14" t="n"/>
      <c r="F58" s="14" t="n"/>
      <c r="G58" s="14" t="n"/>
      <c r="H58" s="14" t="n"/>
    </row>
    <row r="59">
      <c r="A59" s="14" t="n"/>
      <c r="B59" s="14" t="n"/>
      <c r="C59" s="14" t="n"/>
      <c r="D59" s="14" t="n"/>
      <c r="E59" s="14" t="n"/>
      <c r="F59" s="14" t="n"/>
      <c r="G59" s="14" t="n"/>
      <c r="H59" s="14" t="n"/>
    </row>
    <row r="60">
      <c r="A60" s="14" t="n"/>
      <c r="B60" s="14" t="n"/>
      <c r="C60" s="14" t="n"/>
      <c r="D60" s="14" t="n"/>
      <c r="E60" s="14" t="n"/>
      <c r="F60" s="14" t="n"/>
      <c r="G60" s="14" t="n"/>
      <c r="H60" s="14" t="n"/>
    </row>
    <row r="61">
      <c r="A61" s="14" t="n"/>
      <c r="B61" s="14" t="n"/>
      <c r="C61" s="14" t="n"/>
      <c r="D61" s="14" t="n"/>
      <c r="E61" s="14" t="n"/>
      <c r="F61" s="14" t="n"/>
      <c r="G61" s="14" t="n"/>
      <c r="H61" s="14" t="n"/>
    </row>
    <row r="62">
      <c r="A62" s="14" t="n"/>
      <c r="B62" s="14" t="n"/>
      <c r="C62" s="14" t="n"/>
      <c r="D62" s="14" t="n"/>
      <c r="E62" s="14" t="n"/>
      <c r="F62" s="14" t="n"/>
      <c r="G62" s="14" t="n"/>
      <c r="H62" s="14" t="n"/>
    </row>
    <row r="63">
      <c r="A63" s="14" t="n"/>
      <c r="B63" s="14" t="n"/>
      <c r="C63" s="14" t="n"/>
      <c r="D63" s="14" t="n"/>
      <c r="E63" s="14" t="n"/>
      <c r="F63" s="14" t="n"/>
      <c r="G63" s="14" t="n"/>
      <c r="H63" s="14" t="n"/>
    </row>
    <row r="64">
      <c r="A64" s="14" t="n"/>
      <c r="B64" s="14" t="n"/>
      <c r="C64" s="14" t="n"/>
      <c r="D64" s="14" t="n"/>
      <c r="E64" s="14" t="n"/>
      <c r="F64" s="14" t="n"/>
      <c r="G64" s="14" t="n"/>
      <c r="H64" s="14" t="n"/>
    </row>
    <row r="65">
      <c r="A65" s="14" t="n"/>
      <c r="B65" s="14" t="n"/>
      <c r="C65" s="14" t="n"/>
      <c r="D65" s="14" t="n"/>
      <c r="E65" s="14" t="n"/>
      <c r="F65" s="14" t="n"/>
      <c r="G65" s="14" t="n"/>
      <c r="H65" s="14" t="n"/>
    </row>
    <row r="66">
      <c r="A66" s="14" t="n"/>
      <c r="B66" s="14" t="n"/>
      <c r="C66" s="14" t="n"/>
      <c r="D66" s="14" t="n"/>
      <c r="E66" s="14" t="n"/>
      <c r="F66" s="14" t="n"/>
      <c r="G66" s="14" t="n"/>
      <c r="H66" s="14" t="n"/>
    </row>
    <row r="67">
      <c r="A67" s="14" t="n"/>
      <c r="B67" s="14" t="n"/>
      <c r="C67" s="14" t="n"/>
      <c r="D67" s="14" t="n"/>
      <c r="E67" s="14" t="n"/>
      <c r="F67" s="14" t="n"/>
      <c r="G67" s="14" t="n"/>
      <c r="H67" s="14" t="n"/>
    </row>
    <row r="68">
      <c r="A68" s="14" t="n"/>
      <c r="B68" s="14" t="n"/>
      <c r="C68" s="14" t="n"/>
      <c r="D68" s="14" t="n"/>
      <c r="E68" s="14" t="n"/>
      <c r="F68" s="14" t="n"/>
      <c r="G68" s="14" t="n"/>
      <c r="H68" s="14" t="n"/>
    </row>
    <row r="69">
      <c r="A69" s="14" t="n"/>
      <c r="B69" s="14" t="n"/>
      <c r="C69" s="14" t="n"/>
      <c r="D69" s="14" t="n"/>
      <c r="E69" s="14" t="n"/>
      <c r="F69" s="14" t="n"/>
      <c r="G69" s="14" t="n"/>
      <c r="H69" s="14" t="n"/>
    </row>
    <row r="70">
      <c r="A70" s="14" t="n"/>
      <c r="B70" s="14" t="n"/>
      <c r="C70" s="14" t="n"/>
      <c r="D70" s="14" t="n"/>
      <c r="E70" s="14" t="n"/>
      <c r="F70" s="14" t="n"/>
      <c r="G70" s="14" t="n"/>
      <c r="H70" s="14" t="n"/>
    </row>
    <row r="71">
      <c r="A71" s="14" t="n"/>
      <c r="B71" s="14" t="n"/>
      <c r="C71" s="14" t="n"/>
      <c r="D71" s="14" t="n"/>
      <c r="E71" s="14" t="n"/>
      <c r="F71" s="14" t="n"/>
      <c r="G71" s="14" t="n"/>
      <c r="H71" s="14" t="n"/>
    </row>
    <row r="72">
      <c r="A72" s="14" t="n"/>
      <c r="B72" s="14" t="n"/>
      <c r="C72" s="14" t="n"/>
      <c r="D72" s="14" t="n"/>
      <c r="E72" s="14" t="n"/>
      <c r="F72" s="14" t="n"/>
      <c r="G72" s="14" t="n"/>
      <c r="H72" s="14" t="n"/>
    </row>
    <row r="73">
      <c r="A73" s="14" t="n"/>
      <c r="B73" s="14" t="n"/>
      <c r="C73" s="14" t="n"/>
      <c r="D73" s="14" t="n"/>
      <c r="E73" s="14" t="n"/>
      <c r="F73" s="14" t="n"/>
      <c r="G73" s="14" t="n"/>
      <c r="H73" s="14" t="n"/>
    </row>
    <row r="74">
      <c r="A74" s="14" t="n"/>
      <c r="B74" s="14" t="n"/>
      <c r="C74" s="14" t="n"/>
      <c r="D74" s="14" t="n"/>
      <c r="E74" s="14" t="n"/>
      <c r="F74" s="14" t="n"/>
      <c r="G74" s="14" t="n"/>
      <c r="H74" s="14" t="n"/>
    </row>
    <row r="75">
      <c r="A75" s="14" t="n"/>
      <c r="B75" s="14" t="n"/>
      <c r="C75" s="14" t="n"/>
      <c r="D75" s="14" t="n"/>
      <c r="E75" s="14" t="n"/>
      <c r="F75" s="14" t="n"/>
      <c r="G75" s="14" t="n"/>
      <c r="H75" s="14" t="n"/>
    </row>
    <row r="76">
      <c r="A76" s="14" t="n"/>
      <c r="B76" s="14" t="n"/>
      <c r="C76" s="14" t="n"/>
      <c r="D76" s="14" t="n"/>
      <c r="E76" s="14" t="n"/>
      <c r="F76" s="14" t="n"/>
      <c r="G76" s="14" t="n"/>
      <c r="H76" s="14" t="n"/>
    </row>
    <row r="77">
      <c r="A77" s="14" t="n"/>
      <c r="B77" s="14" t="n"/>
      <c r="C77" s="14" t="n"/>
      <c r="D77" s="14" t="n"/>
      <c r="E77" s="14" t="n"/>
      <c r="F77" s="14" t="n"/>
      <c r="G77" s="14" t="n"/>
      <c r="H77" s="14" t="n"/>
    </row>
    <row r="78">
      <c r="A78" s="14" t="n"/>
      <c r="B78" s="14" t="n"/>
      <c r="C78" s="14" t="n"/>
      <c r="D78" s="14" t="n"/>
      <c r="E78" s="14" t="n"/>
      <c r="F78" s="14" t="n"/>
      <c r="G78" s="14" t="n"/>
      <c r="H78" s="14" t="n"/>
    </row>
    <row r="79">
      <c r="A79" s="14" t="n"/>
      <c r="B79" s="14" t="n"/>
      <c r="C79" s="14" t="n"/>
      <c r="D79" s="14" t="n"/>
      <c r="E79" s="14" t="n"/>
      <c r="F79" s="14" t="n"/>
      <c r="G79" s="14" t="n"/>
      <c r="H79" s="14" t="n"/>
    </row>
    <row r="80">
      <c r="A80" s="14" t="n"/>
      <c r="B80" s="14" t="n"/>
      <c r="C80" s="14" t="n"/>
      <c r="D80" s="14" t="n"/>
      <c r="E80" s="14" t="n"/>
      <c r="F80" s="14" t="n"/>
      <c r="G80" s="14" t="n"/>
      <c r="H80" s="14" t="n"/>
    </row>
    <row r="81">
      <c r="A81" s="14" t="n"/>
      <c r="B81" s="14" t="n"/>
      <c r="C81" s="14" t="n"/>
      <c r="D81" s="14" t="n"/>
      <c r="E81" s="14" t="n"/>
      <c r="F81" s="14" t="n"/>
      <c r="G81" s="14" t="n"/>
      <c r="H81" s="14" t="n"/>
    </row>
    <row r="82">
      <c r="A82" s="14" t="n"/>
      <c r="B82" s="14" t="n"/>
      <c r="C82" s="14" t="n"/>
      <c r="D82" s="14" t="n"/>
      <c r="E82" s="14" t="n"/>
      <c r="F82" s="14" t="n"/>
      <c r="G82" s="14" t="n"/>
      <c r="H82" s="14" t="n"/>
    </row>
    <row r="83">
      <c r="A83" s="14" t="n"/>
      <c r="B83" s="14" t="n"/>
      <c r="C83" s="14" t="n"/>
      <c r="D83" s="14" t="n"/>
      <c r="E83" s="14" t="n"/>
      <c r="F83" s="14" t="n"/>
      <c r="G83" s="14" t="n"/>
      <c r="H83" s="14" t="n"/>
    </row>
    <row r="84">
      <c r="A84" s="14" t="n"/>
      <c r="B84" s="14" t="n"/>
      <c r="C84" s="14" t="n"/>
      <c r="D84" s="14" t="n"/>
      <c r="E84" s="14" t="n"/>
      <c r="F84" s="14" t="n"/>
      <c r="G84" s="14" t="n"/>
      <c r="H84" s="14" t="n"/>
    </row>
    <row r="85">
      <c r="A85" s="14" t="n"/>
      <c r="B85" s="14" t="n"/>
      <c r="C85" s="14" t="n"/>
      <c r="D85" s="14" t="n"/>
      <c r="E85" s="14" t="n"/>
      <c r="F85" s="14" t="n"/>
      <c r="G85" s="14" t="n"/>
      <c r="H85" s="14" t="n"/>
    </row>
    <row r="86">
      <c r="A86" s="14" t="n"/>
      <c r="B86" s="14" t="n"/>
      <c r="C86" s="14" t="n"/>
      <c r="D86" s="14" t="n"/>
      <c r="E86" s="14" t="n"/>
      <c r="F86" s="14" t="n"/>
      <c r="G86" s="14" t="n"/>
      <c r="H86" s="14" t="n"/>
    </row>
    <row r="87">
      <c r="A87" s="14" t="n"/>
      <c r="B87" s="14" t="n"/>
      <c r="C87" s="14" t="n"/>
      <c r="D87" s="14" t="n"/>
      <c r="E87" s="14" t="n"/>
      <c r="F87" s="14" t="n"/>
      <c r="G87" s="14" t="n"/>
      <c r="H87" s="14" t="n"/>
    </row>
    <row r="88">
      <c r="A88" s="14" t="n"/>
      <c r="B88" s="14" t="n"/>
      <c r="C88" s="14" t="n"/>
      <c r="D88" s="14" t="n"/>
      <c r="E88" s="14" t="n"/>
      <c r="F88" s="14" t="n"/>
      <c r="G88" s="14" t="n"/>
      <c r="H88" s="14" t="n"/>
    </row>
    <row r="89">
      <c r="A89" s="14" t="n"/>
      <c r="B89" s="14" t="n"/>
      <c r="C89" s="14" t="n"/>
      <c r="D89" s="14" t="n"/>
      <c r="E89" s="14" t="n"/>
      <c r="F89" s="14" t="n"/>
      <c r="G89" s="14" t="n"/>
      <c r="H89" s="14" t="n"/>
    </row>
    <row r="90">
      <c r="A90" s="14" t="n"/>
      <c r="B90" s="14" t="n"/>
      <c r="C90" s="14" t="n"/>
      <c r="D90" s="14" t="n"/>
      <c r="E90" s="14" t="n"/>
      <c r="F90" s="14" t="n"/>
      <c r="G90" s="14" t="n"/>
      <c r="H90" s="14" t="n"/>
    </row>
    <row r="91">
      <c r="A91" s="14" t="n"/>
      <c r="B91" s="14" t="n"/>
      <c r="C91" s="14" t="n"/>
      <c r="D91" s="14" t="n"/>
      <c r="E91" s="14" t="n"/>
      <c r="F91" s="14" t="n"/>
      <c r="G91" s="14" t="n"/>
      <c r="H91" s="14" t="n"/>
    </row>
    <row r="92">
      <c r="A92" s="14" t="n"/>
      <c r="B92" s="14" t="n"/>
      <c r="C92" s="14" t="n"/>
      <c r="D92" s="14" t="n"/>
      <c r="E92" s="14" t="n"/>
      <c r="F92" s="14" t="n"/>
      <c r="G92" s="14" t="n"/>
      <c r="H92" s="14" t="n"/>
    </row>
    <row r="93">
      <c r="A93" s="14" t="n"/>
      <c r="B93" s="14" t="n"/>
      <c r="C93" s="14" t="n"/>
      <c r="D93" s="14" t="n"/>
      <c r="E93" s="14" t="n"/>
      <c r="F93" s="14" t="n"/>
      <c r="G93" s="14" t="n"/>
      <c r="H93" s="14" t="n"/>
    </row>
    <row r="94">
      <c r="A94" s="14" t="n"/>
      <c r="B94" s="14" t="n"/>
      <c r="C94" s="14" t="n"/>
      <c r="D94" s="14" t="n"/>
      <c r="E94" s="14" t="n"/>
      <c r="F94" s="14" t="n"/>
      <c r="G94" s="14" t="n"/>
      <c r="H94" s="14" t="n"/>
    </row>
    <row r="95">
      <c r="A95" s="14" t="n"/>
      <c r="B95" s="14" t="n"/>
      <c r="C95" s="14" t="n"/>
      <c r="D95" s="14" t="n"/>
      <c r="E95" s="14" t="n"/>
      <c r="F95" s="14" t="n"/>
      <c r="G95" s="14" t="n"/>
      <c r="H95" s="14" t="n"/>
    </row>
    <row r="96">
      <c r="A96" s="14" t="n"/>
      <c r="B96" s="14" t="n"/>
      <c r="C96" s="14" t="n"/>
      <c r="D96" s="14" t="n"/>
      <c r="E96" s="14" t="n"/>
      <c r="F96" s="14" t="n"/>
      <c r="G96" s="14" t="n"/>
      <c r="H96" s="14" t="n"/>
    </row>
    <row r="97">
      <c r="A97" s="14" t="n"/>
      <c r="B97" s="14" t="n"/>
      <c r="C97" s="14" t="n"/>
      <c r="D97" s="14" t="n"/>
      <c r="E97" s="14" t="n"/>
      <c r="F97" s="14" t="n"/>
      <c r="G97" s="14" t="n"/>
      <c r="H97" s="14" t="n"/>
    </row>
    <row r="98">
      <c r="A98" s="14" t="n"/>
      <c r="B98" s="14" t="n"/>
      <c r="C98" s="14" t="n"/>
      <c r="D98" s="14" t="n"/>
      <c r="E98" s="14" t="n"/>
      <c r="F98" s="14" t="n"/>
      <c r="G98" s="14" t="n"/>
      <c r="H98" s="14" t="n"/>
    </row>
    <row r="99">
      <c r="A99" s="14" t="n"/>
      <c r="B99" s="14" t="n"/>
      <c r="C99" s="14" t="n"/>
      <c r="D99" s="14" t="n"/>
      <c r="E99" s="14" t="n"/>
      <c r="F99" s="14" t="n"/>
      <c r="G99" s="14" t="n"/>
      <c r="H99" s="14" t="n"/>
    </row>
    <row r="100">
      <c r="A100" s="14" t="n"/>
      <c r="B100" s="14" t="n"/>
      <c r="C100" s="14" t="n"/>
      <c r="D100" s="14" t="n"/>
      <c r="E100" s="14" t="n"/>
      <c r="F100" s="14" t="n"/>
      <c r="G100" s="14" t="n"/>
      <c r="H100" s="14" t="n"/>
    </row>
    <row r="101">
      <c r="A101" s="14" t="n"/>
      <c r="B101" s="14" t="n"/>
      <c r="C101" s="14" t="n"/>
      <c r="D101" s="14" t="n"/>
      <c r="E101" s="14" t="n"/>
      <c r="F101" s="14" t="n"/>
      <c r="G101" s="14" t="n"/>
      <c r="H101" s="14" t="n"/>
    </row>
    <row r="102">
      <c r="A102" s="14" t="n"/>
      <c r="B102" s="14" t="n"/>
      <c r="C102" s="14" t="n"/>
      <c r="D102" s="14" t="n"/>
      <c r="E102" s="14" t="n"/>
      <c r="F102" s="14" t="n"/>
      <c r="G102" s="14" t="n"/>
      <c r="H102" s="14" t="n"/>
    </row>
    <row r="103">
      <c r="A103" s="14" t="n"/>
      <c r="B103" s="14" t="n"/>
      <c r="C103" s="14" t="n"/>
      <c r="D103" s="14" t="n"/>
      <c r="E103" s="14" t="n"/>
      <c r="F103" s="14" t="n"/>
      <c r="G103" s="14" t="n"/>
      <c r="H103" s="14" t="n"/>
    </row>
  </sheetData>
  <mergeCells count="2">
    <mergeCell ref="A2:H2"/>
    <mergeCell ref="A1:H1"/>
  </mergeCells>
  <dataValidations count="2">
    <dataValidation sqref="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showDropDown="1" showInputMessage="0" showErrorMessage="0" allowBlank="0" type="list">
      <formula1>"Screenshot,Configuration File,Policy Document,Log Export,Report,Certificate,Email,Meeting Minutes,Other"</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showDropDown="1" showInputMessage="0" showErrorMessage="0" allowBlank="0" type="list">
      <formula1>"Verified,Pending,Rejected"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1"/>
  <sheetViews>
    <sheetView workbookViewId="0">
      <pane ySplit="7" topLeftCell="A8"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12" customWidth="1" min="5" max="5"/>
    <col width="25" customWidth="1" min="6" max="6"/>
  </cols>
  <sheetData>
    <row r="1" ht="35" customHeight="1">
      <c r="A1" s="1" t="inlineStr">
        <is>
          <t>DLP Infrastructure - COMPLIANCE DASHBOARD</t>
        </is>
      </c>
    </row>
    <row r="3">
      <c r="A3" s="3" t="inlineStr">
        <is>
          <t>Assessment Date:</t>
        </is>
      </c>
      <c r="B3" s="4" t="inlineStr">
        <is>
          <t>[USER INPUT]</t>
        </is>
      </c>
      <c r="D3" s="3" t="inlineStr">
        <is>
          <t>CISO Approval:</t>
        </is>
      </c>
      <c r="E3" s="4" t="inlineStr">
        <is>
          <t>[Dropdown]</t>
        </is>
      </c>
    </row>
    <row r="4">
      <c r="A4" s="3" t="inlineStr">
        <is>
          <t>Completed By:</t>
        </is>
      </c>
      <c r="B4" s="4" t="inlineStr">
        <is>
          <t>[USER INPUT]</t>
        </is>
      </c>
      <c r="D4" s="3" t="inlineStr">
        <is>
          <t>Last Review:</t>
        </is>
      </c>
      <c r="E4" s="4" t="inlineStr">
        <is>
          <t>[Date]</t>
        </is>
      </c>
    </row>
    <row r="6" ht="25" customHeight="1">
      <c r="A6" s="2" t="inlineStr">
        <is>
          <t>KEY PERFORMANCE INDICATORS</t>
        </is>
      </c>
    </row>
    <row r="7">
      <c r="A7" s="12" t="inlineStr">
        <is>
          <t>KPI</t>
        </is>
      </c>
      <c r="B7" s="12" t="inlineStr">
        <is>
          <t>Current Value</t>
        </is>
      </c>
      <c r="C7" s="12" t="inlineStr">
        <is>
          <t>Target</t>
        </is>
      </c>
      <c r="D7" s="12" t="inlineStr">
        <is>
          <t>Status</t>
        </is>
      </c>
      <c r="E7" s="12" t="inlineStr">
        <is>
          <t>Trend</t>
        </is>
      </c>
      <c r="F7" s="12" t="inlineStr">
        <is>
          <t>Notes</t>
        </is>
      </c>
    </row>
    <row r="8">
      <c r="A8" t="inlineStr">
        <is>
          <t>Total DLP Technologies Deployed</t>
        </is>
      </c>
      <c r="B8">
        <f>COUNTA(DLP_Technology_Inventory!B$4:B$35)-5</f>
        <v/>
      </c>
      <c r="C8" t="inlineStr">
        <is>
          <t>≥5</t>
        </is>
      </c>
      <c r="D8">
        <f>IF(B8&gt;=C8,"✅ Pass","❌ Fail")</f>
        <v/>
      </c>
      <c r="E8" t="inlineStr">
        <is>
          <t>→</t>
        </is>
      </c>
      <c r="F8" t="inlineStr"/>
    </row>
    <row r="9">
      <c r="A9" t="inlineStr">
        <is>
          <t>Production Technologies</t>
        </is>
      </c>
      <c r="B9">
        <f>COUNTIF(DLP_Technology_Inventory!G$4:G$35,"Production")</f>
        <v/>
      </c>
      <c r="C9" t="inlineStr">
        <is>
          <t>≥4</t>
        </is>
      </c>
      <c r="D9">
        <f>IF(B9&gt;=C9,"✅ Pass","❌ Fail")</f>
        <v/>
      </c>
      <c r="E9" t="inlineStr">
        <is>
          <t>→</t>
        </is>
      </c>
      <c r="F9" t="inlineStr"/>
    </row>
    <row r="10">
      <c r="A10" t="inlineStr">
        <is>
          <t>Network DLP Coverage %</t>
        </is>
      </c>
      <c r="B10">
        <f>COUNTIF(Network_DLP!H$4:H$25,"Yes")/20*100</f>
        <v/>
      </c>
      <c r="C10" t="inlineStr">
        <is>
          <t>≥80%</t>
        </is>
      </c>
      <c r="D10">
        <f>IF(B10&gt;=80,"✅ Pass","❌ Fail")</f>
        <v/>
      </c>
      <c r="E10" t="inlineStr">
        <is>
          <t>→</t>
        </is>
      </c>
      <c r="F10" t="inlineStr"/>
    </row>
    <row r="11">
      <c r="A11" t="inlineStr">
        <is>
          <t>Endpoint DLP Coverage %</t>
        </is>
      </c>
      <c r="B11">
        <f>AVERAGE(Endpoint_DLP!H$4:H$30)</f>
        <v/>
      </c>
      <c r="C11" t="inlineStr">
        <is>
          <t>≥95%</t>
        </is>
      </c>
      <c r="D11">
        <f>IF(B11&gt;=95,"✅ Pass","❌ Fail")</f>
        <v/>
      </c>
      <c r="E11" t="inlineStr">
        <is>
          <t>→</t>
        </is>
      </c>
      <c r="F11" t="inlineStr"/>
    </row>
    <row r="12">
      <c r="A12" t="inlineStr">
        <is>
          <t>Email DLP Coverage %</t>
        </is>
      </c>
      <c r="B12">
        <f>COUNTIF(Email_DLP!D$4:D$25,"Yes")/20*100</f>
        <v/>
      </c>
      <c r="C12" t="inlineStr">
        <is>
          <t>≥90%</t>
        </is>
      </c>
      <c r="D12">
        <f>IF(B12&gt;=90,"✅ Pass","❌ Fail")</f>
        <v/>
      </c>
      <c r="E12" t="inlineStr">
        <is>
          <t>→</t>
        </is>
      </c>
      <c r="F12" t="inlineStr"/>
    </row>
    <row r="13">
      <c r="A13" t="inlineStr">
        <is>
          <t>Cloud/CASB DLP Coverage %</t>
        </is>
      </c>
      <c r="B13">
        <f>COUNTIF(Cloud_CASB_DLP!D$4:D$25,"Yes")/20*100</f>
        <v/>
      </c>
      <c r="C13" t="inlineStr">
        <is>
          <t>≥70%</t>
        </is>
      </c>
      <c r="D13">
        <f>IF(B13&gt;=70,"✅ Pass","❌ Fail")</f>
        <v/>
      </c>
      <c r="E13" t="inlineStr">
        <is>
          <t>→</t>
        </is>
      </c>
      <c r="F13" t="inlineStr"/>
    </row>
    <row r="14">
      <c r="A14" t="inlineStr">
        <is>
          <t>Web DLP Coverage %</t>
        </is>
      </c>
      <c r="B14">
        <f>COUNTIF(Web_DLP!C$4:C$25,"Yes")/20*100</f>
        <v/>
      </c>
      <c r="C14" t="inlineStr">
        <is>
          <t>≥75%</t>
        </is>
      </c>
      <c r="D14">
        <f>IF(B14&gt;=75,"✅ Pass","❌ Fail")</f>
        <v/>
      </c>
      <c r="E14" t="inlineStr">
        <is>
          <t>→</t>
        </is>
      </c>
      <c r="F14" t="inlineStr"/>
    </row>
    <row r="15">
      <c r="A15" t="inlineStr">
        <is>
          <t>Database DAM Coverage %</t>
        </is>
      </c>
      <c r="B15">
        <f>COUNTIF(Database_DAM!C$4:C$20,"Production")/15*100</f>
        <v/>
      </c>
      <c r="C15" t="inlineStr">
        <is>
          <t>≥80%</t>
        </is>
      </c>
      <c r="D15">
        <f>IF(B15&gt;=80,"✅ Pass","❌ Fail")</f>
        <v/>
      </c>
      <c r="E15" t="inlineStr">
        <is>
          <t>→</t>
        </is>
      </c>
      <c r="F15" t="inlineStr"/>
    </row>
    <row r="16">
      <c r="A16" t="inlineStr">
        <is>
          <t>SIEM Integration Rate %</t>
        </is>
      </c>
      <c r="B16">
        <f>COUNTIF(DLP_Technology_Inventory!N$4:N$35,"Yes")/B8*100</f>
        <v/>
      </c>
      <c r="C16" t="inlineStr">
        <is>
          <t>≥90%</t>
        </is>
      </c>
      <c r="D16">
        <f>IF(B16&gt;=90,"✅ Pass","❌ Fail")</f>
        <v/>
      </c>
      <c r="E16" t="inlineStr">
        <is>
          <t>→</t>
        </is>
      </c>
      <c r="F16" t="inlineStr"/>
    </row>
    <row r="17">
      <c r="A17" t="inlineStr">
        <is>
          <t>Total Gaps Identified</t>
        </is>
      </c>
      <c r="B17">
        <f>COUNTA(Gap_Analysis!A$4:A$45)-3</f>
        <v/>
      </c>
      <c r="C17" t="inlineStr">
        <is>
          <t>≤10</t>
        </is>
      </c>
      <c r="D17">
        <f>IF(B17&lt;=10,"✅ Pass","❌ Fail")</f>
        <v/>
      </c>
      <c r="E17" t="inlineStr">
        <is>
          <t>→</t>
        </is>
      </c>
      <c r="F17" t="inlineStr"/>
    </row>
    <row r="18">
      <c r="A18" t="inlineStr">
        <is>
          <t>Critical/High Gaps</t>
        </is>
      </c>
      <c r="B18">
        <f>COUNTIFS(Gap_Analysis!D$4:D$45,"Critical")+COUNTIFS(Gap_Analysis!D$4:D$45,"High")</f>
        <v/>
      </c>
      <c r="C18" t="inlineStr">
        <is>
          <t>0</t>
        </is>
      </c>
      <c r="D18">
        <f>IF(B18=0,"✅ Pass","❌ Fail")</f>
        <v/>
      </c>
      <c r="E18" t="inlineStr">
        <is>
          <t>→</t>
        </is>
      </c>
      <c r="F18" t="inlineStr"/>
    </row>
    <row r="19">
      <c r="A19" t="inlineStr">
        <is>
          <t>Overall Infrastructure Compliance %</t>
        </is>
      </c>
      <c r="B19">
        <f>AVERAGE(B10:B16)</f>
        <v/>
      </c>
      <c r="C19" t="inlineStr">
        <is>
          <t>≥85%</t>
        </is>
      </c>
      <c r="D19">
        <f>IF(B19&gt;=85,"✅ Compliant",IF(B19&gt;=70,"⚠️ Partial","❌ Non-Compliant"))</f>
        <v/>
      </c>
      <c r="E19" t="inlineStr">
        <is>
          <t>→</t>
        </is>
      </c>
      <c r="F19" t="inlineStr"/>
    </row>
    <row r="22">
      <c r="A22" s="2" t="inlineStr">
        <is>
          <t>GAP SUMMARY BY RISK LEVEL</t>
        </is>
      </c>
    </row>
    <row r="23">
      <c r="A23" s="12" t="inlineStr">
        <is>
          <t>Risk Level</t>
        </is>
      </c>
      <c r="B23" s="12" t="inlineStr">
        <is>
          <t>Count</t>
        </is>
      </c>
      <c r="C23" s="12" t="inlineStr">
        <is>
          <t>% of Total</t>
        </is>
      </c>
    </row>
    <row r="24">
      <c r="A24" t="inlineStr">
        <is>
          <t>Critical</t>
        </is>
      </c>
      <c r="B24">
        <f>COUNTIF(Gap_Analysis!D$4:D$45,"Critical")</f>
        <v/>
      </c>
      <c r="C24">
        <f>B24/B17*100</f>
        <v/>
      </c>
    </row>
    <row r="25">
      <c r="A25" t="inlineStr">
        <is>
          <t>High</t>
        </is>
      </c>
      <c r="B25">
        <f>COUNTIF(Gap_Analysis!D$4:D$45,"High")</f>
        <v/>
      </c>
      <c r="C25">
        <f>B25/B17*100</f>
        <v/>
      </c>
    </row>
    <row r="26">
      <c r="A26" t="inlineStr">
        <is>
          <t>Medium</t>
        </is>
      </c>
      <c r="B26">
        <f>COUNTIF(Gap_Analysis!D$4:D$45,"Medium")</f>
        <v/>
      </c>
      <c r="C26">
        <f>B26/B17*100</f>
        <v/>
      </c>
    </row>
    <row r="27">
      <c r="A27" t="inlineStr">
        <is>
          <t>Low</t>
        </is>
      </c>
      <c r="B27">
        <f>COUNTIF(Gap_Analysis!D$4:D$45,"Low")</f>
        <v/>
      </c>
      <c r="C27">
        <f>B27/B17*100</f>
        <v/>
      </c>
    </row>
    <row r="30">
      <c r="A30" s="2" t="inlineStr">
        <is>
          <t>EVIDENCE COMPLETENESS</t>
        </is>
      </c>
    </row>
    <row r="31">
      <c r="A31" s="12" t="inlineStr">
        <is>
          <t>Metric</t>
        </is>
      </c>
      <c r="B31" s="12" t="inlineStr">
        <is>
          <t>Value</t>
        </is>
      </c>
    </row>
    <row r="32">
      <c r="A32" t="inlineStr">
        <is>
          <t>Evidence Items Collected</t>
        </is>
      </c>
      <c r="B32">
        <f>COUNTA(Evidence_Register!A$4:A$105)</f>
        <v/>
      </c>
    </row>
    <row r="33">
      <c r="A33" t="inlineStr">
        <is>
          <t>Evidence Items Verified</t>
        </is>
      </c>
      <c r="B33">
        <f>COUNTIF(Evidence_Register!H$4:H$105,"Verified")</f>
        <v/>
      </c>
    </row>
    <row r="34">
      <c r="A34" t="inlineStr">
        <is>
          <t>Evidence Completeness %</t>
        </is>
      </c>
      <c r="B34">
        <f>B33/B32*100</f>
        <v/>
      </c>
    </row>
    <row r="37">
      <c r="A37" s="2" t="inlineStr">
        <is>
          <t>APPROVAL SIGN-OFF</t>
        </is>
      </c>
    </row>
    <row r="38">
      <c r="A38" s="12" t="inlineStr">
        <is>
          <t>Approver</t>
        </is>
      </c>
      <c r="B38" s="12" t="inlineStr">
        <is>
          <t>Name</t>
        </is>
      </c>
      <c r="C38" s="12" t="inlineStr">
        <is>
          <t>Signature</t>
        </is>
      </c>
      <c r="D38" s="12" t="inlineStr">
        <is>
          <t>Date</t>
        </is>
      </c>
      <c r="E38" s="12" t="inlineStr">
        <is>
          <t>Status</t>
        </is>
      </c>
    </row>
    <row r="39">
      <c r="A39" t="inlineStr">
        <is>
          <t>DLP Administrator</t>
        </is>
      </c>
      <c r="B39" s="4" t="n"/>
      <c r="C39" s="4" t="n"/>
      <c r="D39" s="4" t="n"/>
      <c r="E39" s="4" t="n"/>
    </row>
    <row r="40">
      <c r="A40" t="inlineStr">
        <is>
          <t>CISO</t>
        </is>
      </c>
      <c r="B40" s="4" t="n"/>
      <c r="C40" s="4" t="n"/>
      <c r="D40" s="4" t="n"/>
      <c r="E40" s="4" t="n"/>
    </row>
    <row r="41">
      <c r="A41" t="inlineStr">
        <is>
          <t>DPO</t>
        </is>
      </c>
      <c r="B41" s="4" t="n"/>
      <c r="C41" s="4" t="n"/>
      <c r="D41" s="4" t="n"/>
      <c r="E41" s="4" t="n"/>
    </row>
  </sheetData>
  <mergeCells count="5">
    <mergeCell ref="A1:F1"/>
    <mergeCell ref="A37:F37"/>
    <mergeCell ref="A6:F6"/>
    <mergeCell ref="A22:F22"/>
    <mergeCell ref="A30:F30"/>
  </mergeCells>
  <dataValidations count="1">
    <dataValidation sqref="E39 E40 E41" showDropDown="1" showInputMessage="0" showErrorMessage="0" allowBlank="0" type="list">
      <formula1>"Approved,Pending,Rejected"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2026-02-08T10:49:39Z</dcterms:created>
  <dcterms:modified xmlns:dcterms="http://purl.org/dc/terms/" xmlns:xsi="http://www.w3.org/2001/XMLSchema-instance" xsi:type="dcterms:W3CDTF">2026-02-08T10:49:40Z</dcterms:modified>
</cp:coreProperties>
</file>