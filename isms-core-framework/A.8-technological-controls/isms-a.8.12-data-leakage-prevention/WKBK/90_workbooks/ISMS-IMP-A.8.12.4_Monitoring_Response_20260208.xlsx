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_Legend" sheetId="1" state="visible" r:id="rId1"/>
    <sheet xmlns:r="http://schemas.openxmlformats.org/officeDocument/2006/relationships" name="Logging_Configuration" sheetId="2" state="visible" r:id="rId2"/>
    <sheet xmlns:r="http://schemas.openxmlformats.org/officeDocument/2006/relationships" name="Alert_Rules_Inventory" sheetId="3" state="visible" r:id="rId3"/>
    <sheet xmlns:r="http://schemas.openxmlformats.org/officeDocument/2006/relationships" name="Alert_Volume_Metrics" sheetId="4" state="visible" r:id="rId4"/>
    <sheet xmlns:r="http://schemas.openxmlformats.org/officeDocument/2006/relationships" name="SIEM_Integration" sheetId="5" state="visible" r:id="rId5"/>
    <sheet xmlns:r="http://schemas.openxmlformats.org/officeDocument/2006/relationships" name="False_Positive_Management" sheetId="6" state="visible" r:id="rId6"/>
    <sheet xmlns:r="http://schemas.openxmlformats.org/officeDocument/2006/relationships" name="Incident_Response_Workflow" sheetId="7" state="visible" r:id="rId7"/>
    <sheet xmlns:r="http://schemas.openxmlformats.org/officeDocument/2006/relationships" name="SOC_Integration" sheetId="8" state="visible" r:id="rId8"/>
    <sheet xmlns:r="http://schemas.openxmlformats.org/officeDocument/2006/relationships" name="Dashboards_Reporting" sheetId="9" state="visible" r:id="rId9"/>
    <sheet xmlns:r="http://schemas.openxmlformats.org/officeDocument/2006/relationships" name="Gap_Analysis" sheetId="10" state="visible" r:id="rId10"/>
    <sheet xmlns:r="http://schemas.openxmlformats.org/officeDocument/2006/relationships" name="Evidence_Register" sheetId="11" state="visible" r:id="rId11"/>
    <sheet xmlns:r="http://schemas.openxmlformats.org/officeDocument/2006/relationships" name="Summary_Dashboard" sheetId="12" state="visible" r:id="rId12"/>
  </sheets>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8">
    <font>
      <name val="Calibri"/>
      <family val="2"/>
      <color theme="1"/>
      <sz val="11"/>
      <scheme val="minor"/>
    </font>
    <font>
      <name val="Calibri"/>
      <b val="1"/>
      <color rgb="00FFFFFF"/>
      <sz val="16"/>
    </font>
    <font>
      <name val="Calibri"/>
      <b val="1"/>
      <color rgb="00FFFFFF"/>
      <sz val="12"/>
    </font>
    <font>
      <b val="1"/>
    </font>
    <font>
      <name val="Calibri"/>
      <sz val="10"/>
    </font>
    <font>
      <name val="Calibri"/>
      <b val="1"/>
      <sz val="11"/>
    </font>
    <font>
      <name val="Calibri"/>
      <i val="1"/>
      <sz val="10"/>
    </font>
    <font>
      <b val="1"/>
      <sz val="12"/>
    </font>
  </fonts>
  <fills count="7">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E7E6E6"/>
        <bgColor rgb="00E7E6E6"/>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0" pivotButton="0" quotePrefix="0" xfId="0"/>
    <xf numFmtId="0" fontId="4" fillId="4" borderId="1" applyAlignment="1" pivotButton="0" quotePrefix="0" xfId="0">
      <alignment horizontal="left" vertical="center"/>
    </xf>
    <xf numFmtId="0" fontId="0" fillId="0" borderId="0" applyAlignment="1" pivotButton="0" quotePrefix="0" xfId="0">
      <alignment wrapText="1"/>
    </xf>
    <xf numFmtId="0" fontId="5" fillId="5" borderId="1" applyAlignment="1" pivotButton="0" quotePrefix="0" xfId="0">
      <alignment horizontal="center" vertical="center" wrapText="1"/>
    </xf>
    <xf numFmtId="0" fontId="6" fillId="6" borderId="1" applyAlignment="1" pivotButton="0" quotePrefix="0" xfId="0">
      <alignment horizontal="left" vertical="center"/>
    </xf>
    <xf numFmtId="0" fontId="4" fillId="0" borderId="1" applyAlignment="1" pivotButton="0" quotePrefix="0" xfId="0">
      <alignment horizontal="left" vertical="center"/>
    </xf>
    <xf numFmtId="164" fontId="0" fillId="0" borderId="0" pivotButton="0" quotePrefix="0" xfId="0"/>
    <xf numFmtId="165" fontId="0" fillId="0" borderId="0" pivotButton="0" quotePrefix="0" xfId="0"/>
    <xf numFmtId="0" fontId="7" fillId="0" borderId="0" pivotButton="0" quotePrefix="0" xfId="0"/>
    <xf numFmtId="165"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7"/>
  <sheetViews>
    <sheetView workbookViewId="0">
      <pane ySplit="2" topLeftCell="A3" activePane="bottomLeft" state="frozen"/>
      <selection pane="bottomLeft" activeCell="A1" sqref="A1"/>
    </sheetView>
  </sheetViews>
  <sheetFormatPr baseColWidth="8" defaultRowHeight="15"/>
  <cols>
    <col width="20" customWidth="1" min="1" max="1"/>
    <col width="40" customWidth="1" min="2" max="2"/>
    <col width="20" customWidth="1" min="3" max="3"/>
    <col width="20" customWidth="1" min="4" max="4"/>
    <col width="20" customWidth="1" min="5" max="5"/>
  </cols>
  <sheetData>
    <row r="1" ht="30" customHeight="1">
      <c r="A1" s="1" t="inlineStr">
        <is>
          <t>ISMS-IMP-A.8.12.4 - Monitoring &amp; Response Assessment</t>
        </is>
      </c>
    </row>
    <row r="2">
      <c r="A2" s="2" t="inlineStr">
        <is>
          <t>Instructions &amp; Legend</t>
        </is>
      </c>
    </row>
    <row r="4">
      <c r="A4" s="3" t="inlineStr">
        <is>
          <t>Workbook ID:</t>
        </is>
      </c>
      <c r="B4" t="inlineStr">
        <is>
          <t>ISMS-IMP-A.8.12.4</t>
        </is>
      </c>
    </row>
    <row r="5">
      <c r="A5" s="3" t="inlineStr">
        <is>
          <t>Assessment Area:</t>
        </is>
      </c>
      <c r="B5" t="inlineStr">
        <is>
          <t>Monitoring &amp; Response Assessment</t>
        </is>
      </c>
    </row>
    <row r="6">
      <c r="A6" s="3" t="inlineStr">
        <is>
          <t>Related Policies:</t>
        </is>
      </c>
      <c r="B6" t="inlineStr">
        <is>
          <t>ISMS-POL-A.8.12-S2.3, ISMS-POL-A.8.12-S2.4</t>
        </is>
      </c>
    </row>
    <row r="7">
      <c r="A7" s="3" t="inlineStr">
        <is>
          <t>Version:</t>
        </is>
      </c>
      <c r="B7" t="inlineStr">
        <is>
          <t>1.0</t>
        </is>
      </c>
    </row>
    <row r="8">
      <c r="A8" s="3" t="inlineStr">
        <is>
          <t>ISO Control:</t>
        </is>
      </c>
      <c r="B8" t="inlineStr">
        <is>
          <t>A.8.12</t>
        </is>
      </c>
    </row>
    <row r="10">
      <c r="A10" s="2" t="inlineStr">
        <is>
          <t>ORGANIZATION METADATA (Complete the yellow fields)</t>
        </is>
      </c>
    </row>
    <row r="11">
      <c r="A11" s="3" t="inlineStr">
        <is>
          <t>Assessment Date:</t>
        </is>
      </c>
      <c r="B11" s="4" t="n"/>
    </row>
    <row r="12">
      <c r="A12" s="3" t="inlineStr">
        <is>
          <t>Completed By (Name):</t>
        </is>
      </c>
      <c r="B12" s="4" t="n"/>
    </row>
    <row r="13">
      <c r="A13" s="3" t="inlineStr">
        <is>
          <t>Completed By (Role):</t>
        </is>
      </c>
      <c r="B13" s="4" t="n"/>
    </row>
    <row r="14">
      <c r="A14" s="3" t="inlineStr">
        <is>
          <t>Organization Name:</t>
        </is>
      </c>
      <c r="B14" s="4" t="n"/>
    </row>
    <row r="15">
      <c r="A15" s="3" t="inlineStr">
        <is>
          <t>Review Cycle:</t>
        </is>
      </c>
      <c r="B15" s="4" t="inlineStr">
        <is>
          <t>Quarterly</t>
        </is>
      </c>
    </row>
    <row r="17">
      <c r="A17" s="2" t="inlineStr">
        <is>
          <t>HOW TO USE THIS WORKBOOK</t>
        </is>
      </c>
    </row>
    <row r="18">
      <c r="A18" s="5" t="inlineStr">
        <is>
          <t>1. Complete Logging_Configuration first (foundational)</t>
        </is>
      </c>
    </row>
    <row r="19">
      <c r="A19" s="5" t="inlineStr">
        <is>
          <t>2. Document all Alert_Rules_Inventory (what alerts exist)</t>
        </is>
      </c>
    </row>
    <row r="20">
      <c r="A20" s="5" t="inlineStr">
        <is>
          <t>3. Track Alert_Volume_Metrics (daily/weekly/monthly statistics)</t>
        </is>
      </c>
    </row>
    <row r="21">
      <c r="A21" s="5" t="inlineStr">
        <is>
          <t>4. Verify SIEM_Integration (log forwarding, correlation rules)</t>
        </is>
      </c>
    </row>
    <row r="22">
      <c r="A22" s="5" t="inlineStr">
        <is>
          <t>5. Measure False_Positive_Management (FP rate, tuning process)</t>
        </is>
      </c>
    </row>
    <row r="23">
      <c r="A23" s="5" t="inlineStr">
        <is>
          <t>6. Document Incident_Response_Workflow (triage, SLA compliance)</t>
        </is>
      </c>
    </row>
    <row r="24">
      <c r="A24" s="5" t="inlineStr">
        <is>
          <t>7. Assess SOC_Integration (alert workflow, escalation)</t>
        </is>
      </c>
    </row>
    <row r="25">
      <c r="A25" s="5" t="inlineStr">
        <is>
          <t>8. Verify Dashboards_Reporting (executive, operational dashboards)</t>
        </is>
      </c>
    </row>
    <row r="26">
      <c r="A26" s="5" t="inlineStr">
        <is>
          <t>9. Identify gaps and create remediation plans in Gap_Analysis</t>
        </is>
      </c>
    </row>
    <row r="27">
      <c r="A27" s="5" t="inlineStr">
        <is>
          <t>10. Collect evidence and document in Evidence_Register</t>
        </is>
      </c>
    </row>
    <row r="28">
      <c r="A28" s="5" t="inlineStr">
        <is>
          <t>11. Review Summary_Dashboard for overall compliance score</t>
        </is>
      </c>
    </row>
    <row r="29">
      <c r="A29" s="5" t="inlineStr"/>
    </row>
    <row r="30">
      <c r="A30" s="5" t="inlineStr">
        <is>
          <t>Evidence ID Format: A812-4-[CATEGORY]-[###]</t>
        </is>
      </c>
    </row>
    <row r="31">
      <c r="A31" s="5" t="inlineStr">
        <is>
          <t>Examples: A812-4-LOG-001, A812-4-ALT-001, A812-4-SIEM-001</t>
        </is>
      </c>
    </row>
    <row r="33">
      <c r="A33" s="2" t="inlineStr">
        <is>
          <t>LEGEND - RESPONSE VALUES</t>
        </is>
      </c>
    </row>
    <row r="34">
      <c r="A34" s="3" t="inlineStr">
        <is>
          <t>✅ Yes</t>
        </is>
      </c>
      <c r="B34" t="inlineStr">
        <is>
          <t>Fully implemented, documented, measured with evidence</t>
        </is>
      </c>
    </row>
    <row r="35">
      <c r="A35" s="3" t="inlineStr">
        <is>
          <t>❌ No</t>
        </is>
      </c>
      <c r="B35" t="inlineStr">
        <is>
          <t>Not implemented or significant gaps exist</t>
        </is>
      </c>
    </row>
    <row r="36">
      <c r="A36" s="3" t="inlineStr">
        <is>
          <t>⚠️ Partial</t>
        </is>
      </c>
      <c r="B36" t="inlineStr">
        <is>
          <t>Partially implemented, some gaps remain</t>
        </is>
      </c>
    </row>
    <row r="37">
      <c r="A37" s="3" t="inlineStr">
        <is>
          <t>ὌB Planned</t>
        </is>
      </c>
      <c r="B37" t="inlineStr">
        <is>
          <t>Scheduled for implementation (provide target date)</t>
        </is>
      </c>
    </row>
    <row r="38">
      <c r="A38" s="3" t="inlineStr">
        <is>
          <t>⚪ N/A</t>
        </is>
      </c>
      <c r="B38" t="inlineStr">
        <is>
          <t>Not applicable (provide justification)</t>
        </is>
      </c>
    </row>
    <row r="39">
      <c r="A39" s="3" t="inlineStr">
        <is>
          <t>❗ FORBIDDEN</t>
        </is>
      </c>
      <c r="B39" t="inlineStr">
        <is>
          <t>"Maybe" is NOT allowed (Feynman principle: either you know or you don't)</t>
        </is>
      </c>
    </row>
    <row r="41">
      <c r="A41" s="2" t="inlineStr">
        <is>
          <t>ALERT SEVERITY CLASSIFICATION (from ISMS-POL-A.8.12-S2.3)</t>
        </is>
      </c>
    </row>
    <row r="42">
      <c r="A42" s="6" t="inlineStr">
        <is>
          <t>Severity</t>
        </is>
      </c>
      <c r="B42" s="6" t="inlineStr">
        <is>
          <t>Definition</t>
        </is>
      </c>
      <c r="C42" s="6" t="inlineStr">
        <is>
          <t>Response SLA</t>
        </is>
      </c>
    </row>
    <row r="43">
      <c r="A43" t="inlineStr">
        <is>
          <t>Critical</t>
        </is>
      </c>
      <c r="B43" t="inlineStr">
        <is>
          <t>Active data exfiltration, credentials detected</t>
        </is>
      </c>
    </row>
    <row r="44">
      <c r="A44" t="inlineStr">
        <is>
          <t>High</t>
        </is>
      </c>
      <c r="B44" t="inlineStr">
        <is>
          <t>PII/IP transferred externally without encryption</t>
        </is>
      </c>
    </row>
    <row r="45">
      <c r="A45" t="inlineStr">
        <is>
          <t>Medium</t>
        </is>
      </c>
      <c r="B45" t="inlineStr">
        <is>
          <t>Confidential data transfer requiring review</t>
        </is>
      </c>
    </row>
    <row r="46">
      <c r="A46" t="inlineStr">
        <is>
          <t>Low</t>
        </is>
      </c>
      <c r="B46" t="inlineStr">
        <is>
          <t>Policy violation, tuning needed</t>
        </is>
      </c>
    </row>
    <row r="47">
      <c r="A47" t="inlineStr">
        <is>
          <t>Informational</t>
        </is>
      </c>
      <c r="B47" t="inlineStr">
        <is>
          <t>Monitoring-only events</t>
        </is>
      </c>
    </row>
  </sheetData>
  <mergeCells count="17">
    <mergeCell ref="B35:E35"/>
    <mergeCell ref="B43:D43"/>
    <mergeCell ref="A2:E2"/>
    <mergeCell ref="B45:D45"/>
    <mergeCell ref="B46:D46"/>
    <mergeCell ref="A10:E10"/>
    <mergeCell ref="B37:E37"/>
    <mergeCell ref="B38:E38"/>
    <mergeCell ref="A33:E33"/>
    <mergeCell ref="A41:E41"/>
    <mergeCell ref="B39:E39"/>
    <mergeCell ref="A1:E1"/>
    <mergeCell ref="B44:D44"/>
    <mergeCell ref="B34:E34"/>
    <mergeCell ref="A17:E17"/>
    <mergeCell ref="B47:D47"/>
    <mergeCell ref="B36:E3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pane ySplit="3" topLeftCell="A4" activePane="bottomLeft" state="frozen"/>
      <selection pane="bottomLeft" activeCell="A1" sqref="A1"/>
    </sheetView>
  </sheetViews>
  <sheetFormatPr baseColWidth="8" defaultRowHeight="15"/>
  <cols>
    <col width="12" customWidth="1" min="1" max="1"/>
    <col width="40" customWidth="1" min="2" max="2"/>
    <col width="20" customWidth="1" min="3" max="3"/>
    <col width="20" customWidth="1" min="4" max="4"/>
    <col width="30" customWidth="1" min="5" max="5"/>
  </cols>
  <sheetData>
    <row r="1" ht="25" customHeight="1">
      <c r="A1" s="1" t="inlineStr">
        <is>
          <t>DLP Logging Configuration Assessment</t>
        </is>
      </c>
    </row>
    <row r="2">
      <c r="A2" s="2" t="inlineStr">
        <is>
          <t>Assess DLP logging requirements per channel (25 criteria)</t>
        </is>
      </c>
    </row>
    <row r="3">
      <c r="A3" s="6" t="inlineStr">
        <is>
          <t>#</t>
        </is>
      </c>
      <c r="B3" s="6" t="inlineStr">
        <is>
          <t>Requirement</t>
        </is>
      </c>
      <c r="C3" s="6" t="inlineStr">
        <is>
          <t>Compliance</t>
        </is>
      </c>
      <c r="D3" s="6" t="inlineStr">
        <is>
          <t>Evidence ID</t>
        </is>
      </c>
      <c r="E3" s="6" t="inlineStr">
        <is>
          <t>Notes</t>
        </is>
      </c>
    </row>
    <row r="4">
      <c r="A4" s="7" t="n">
        <v>1</v>
      </c>
      <c r="B4" s="7" t="inlineStr">
        <is>
          <t>Are all DLP channels configured to log events?</t>
        </is>
      </c>
      <c r="C4" s="7" t="inlineStr">
        <is>
          <t>Yes</t>
        </is>
      </c>
      <c r="D4" s="7" t="inlineStr">
        <is>
          <t>A812-4-LOG-001</t>
        </is>
      </c>
      <c r="E4" s="7" t="inlineStr">
        <is>
          <t>All channels logging to Splunk</t>
        </is>
      </c>
    </row>
    <row r="5">
      <c r="A5" s="7" t="n">
        <v>2</v>
      </c>
      <c r="B5" s="7" t="inlineStr">
        <is>
          <t>Email DLP: Logs sent/received/blocked emails with metadata?</t>
        </is>
      </c>
      <c r="C5" s="7" t="inlineStr">
        <is>
          <t>Partial</t>
        </is>
      </c>
      <c r="D5" s="7" t="inlineStr">
        <is>
          <t>A812-4-LOG-002</t>
        </is>
      </c>
      <c r="E5" s="7" t="inlineStr">
        <is>
          <t>Missing encrypted email logs</t>
        </is>
      </c>
    </row>
    <row r="6">
      <c r="A6" s="7" t="n">
        <v>3</v>
      </c>
      <c r="B6" s="7" t="inlineStr">
        <is>
          <t>Web DLP: Logs uploads/downloads/blocked web traffic?</t>
        </is>
      </c>
      <c r="C6" s="7" t="inlineStr">
        <is>
          <t>Yes</t>
        </is>
      </c>
      <c r="D6" s="7" t="inlineStr">
        <is>
          <t>A812-4-LOG-003</t>
        </is>
      </c>
      <c r="E6" s="7" t="inlineStr">
        <is>
          <t>Web proxy logs complete</t>
        </is>
      </c>
    </row>
    <row r="7">
      <c r="A7" s="8" t="n">
        <v>1</v>
      </c>
      <c r="B7" s="8" t="inlineStr">
        <is>
          <t>Are all DLP channels configured to log events?</t>
        </is>
      </c>
      <c r="C7" s="8" t="n"/>
      <c r="D7" s="8" t="n"/>
      <c r="E7" s="8" t="n"/>
    </row>
    <row r="8">
      <c r="A8" s="8" t="n">
        <v>2</v>
      </c>
      <c r="B8" s="8" t="inlineStr">
        <is>
          <t>Email DLP: Logs sent/received/blocked emails with metadata?</t>
        </is>
      </c>
      <c r="C8" s="8" t="n"/>
      <c r="D8" s="8" t="n"/>
      <c r="E8" s="8" t="n"/>
    </row>
    <row r="9">
      <c r="A9" s="8" t="n">
        <v>3</v>
      </c>
      <c r="B9" s="8" t="inlineStr">
        <is>
          <t>Web DLP: Logs uploads/downloads/blocked web traffic?</t>
        </is>
      </c>
      <c r="C9" s="8" t="n"/>
      <c r="D9" s="8" t="n"/>
      <c r="E9" s="8" t="n"/>
    </row>
    <row r="10">
      <c r="A10" s="8" t="n">
        <v>4</v>
      </c>
      <c r="B10" s="8" t="inlineStr">
        <is>
          <t>Endpoint DLP: Logs USB/print/screen capture/clipboard events?</t>
        </is>
      </c>
      <c r="C10" s="8" t="n"/>
      <c r="D10" s="8" t="n"/>
      <c r="E10" s="8" t="n"/>
    </row>
    <row r="11">
      <c r="A11" s="8" t="n">
        <v>5</v>
      </c>
      <c r="B11" s="8" t="inlineStr">
        <is>
          <t>Network DLP: Logs file transfers (FTP/SMB/SCP)?</t>
        </is>
      </c>
      <c r="C11" s="8" t="n"/>
      <c r="D11" s="8" t="n"/>
      <c r="E11" s="8" t="n"/>
    </row>
    <row r="12">
      <c r="A12" s="8" t="n">
        <v>6</v>
      </c>
      <c r="B12" s="8" t="inlineStr">
        <is>
          <t>Application DLP: Logs database exports/API calls?</t>
        </is>
      </c>
      <c r="C12" s="8" t="n"/>
      <c r="D12" s="8" t="n"/>
      <c r="E12" s="8" t="n"/>
    </row>
    <row r="13">
      <c r="A13" s="8" t="n">
        <v>7</v>
      </c>
      <c r="B13" s="8" t="inlineStr">
        <is>
          <t>Mobile DLP: Logs mobile app usage and data transfers?</t>
        </is>
      </c>
      <c r="C13" s="8" t="n"/>
      <c r="D13" s="8" t="n"/>
      <c r="E13" s="8" t="n"/>
    </row>
    <row r="14">
      <c r="A14" s="8" t="n">
        <v>8</v>
      </c>
      <c r="B14" s="8" t="inlineStr">
        <is>
          <t>Do logs include user identity (username, email, employee ID)?</t>
        </is>
      </c>
      <c r="C14" s="8" t="n"/>
      <c r="D14" s="8" t="n"/>
      <c r="E14" s="8" t="n"/>
    </row>
    <row r="15">
      <c r="A15" s="8" t="n">
        <v>9</v>
      </c>
      <c r="B15" s="8" t="inlineStr">
        <is>
          <t>Do logs include timestamp (ISO 8601 format)?</t>
        </is>
      </c>
      <c r="C15" s="8" t="n"/>
      <c r="D15" s="8" t="n"/>
      <c r="E15" s="8" t="n"/>
    </row>
    <row r="16">
      <c r="A16" s="8" t="n">
        <v>10</v>
      </c>
      <c r="B16" s="8" t="inlineStr">
        <is>
          <t>Do logs include source (IP, hostname, device ID)?</t>
        </is>
      </c>
      <c r="C16" s="8" t="n"/>
      <c r="D16" s="8" t="n"/>
      <c r="E16" s="8" t="n"/>
    </row>
    <row r="17">
      <c r="A17" s="8" t="n">
        <v>11</v>
      </c>
      <c r="B17" s="8" t="inlineStr">
        <is>
          <t>Do logs include destination (recipient, URL, file path)?</t>
        </is>
      </c>
      <c r="C17" s="8" t="n"/>
      <c r="D17" s="8" t="n"/>
      <c r="E17" s="8" t="n"/>
    </row>
    <row r="18">
      <c r="A18" s="8" t="n">
        <v>12</v>
      </c>
      <c r="B18" s="8" t="inlineStr">
        <is>
          <t>Do logs include data classification level (if available)?</t>
        </is>
      </c>
      <c r="C18" s="8" t="n"/>
      <c r="D18" s="8" t="n"/>
      <c r="E18" s="8" t="n"/>
    </row>
    <row r="19">
      <c r="A19" s="8" t="n">
        <v>13</v>
      </c>
      <c r="B19" s="8" t="inlineStr">
        <is>
          <t>Do logs include policy violated (rule ID, rule name)?</t>
        </is>
      </c>
      <c r="C19" s="8" t="n"/>
      <c r="D19" s="8" t="n"/>
      <c r="E19" s="8" t="n"/>
    </row>
    <row r="20">
      <c r="A20" s="8" t="n">
        <v>14</v>
      </c>
      <c r="B20" s="8" t="inlineStr">
        <is>
          <t>Do logs include action taken (allow/alert/block/quarantine)?</t>
        </is>
      </c>
      <c r="C20" s="8" t="n"/>
      <c r="D20" s="8" t="n"/>
      <c r="E20" s="8" t="n"/>
    </row>
    <row r="21">
      <c r="A21" s="8" t="n">
        <v>15</v>
      </c>
      <c r="B21" s="8" t="inlineStr">
        <is>
          <t>Do logs include file metadata (filename, size, hash)?</t>
        </is>
      </c>
      <c r="C21" s="8" t="n"/>
      <c r="D21" s="8" t="n"/>
      <c r="E21" s="8" t="n"/>
    </row>
    <row r="22">
      <c r="A22" s="8" t="n">
        <v>16</v>
      </c>
      <c r="B22" s="8" t="inlineStr">
        <is>
          <t>Are logs retained for minimum 12 months (FADP requirement)?</t>
        </is>
      </c>
      <c r="C22" s="8" t="n"/>
      <c r="D22" s="8" t="n"/>
      <c r="E22" s="8" t="n"/>
    </row>
    <row r="23">
      <c r="A23" s="8" t="n">
        <v>17</v>
      </c>
      <c r="B23" s="8" t="inlineStr">
        <is>
          <t>Are logs protected from unauthorized modification?</t>
        </is>
      </c>
      <c r="C23" s="8" t="n"/>
      <c r="D23" s="8" t="n"/>
      <c r="E23" s="8" t="n"/>
    </row>
    <row r="24">
      <c r="A24" s="8" t="n">
        <v>18</v>
      </c>
      <c r="B24" s="8" t="inlineStr">
        <is>
          <t>Are logs encrypted in transit (TLS to SIEM)?</t>
        </is>
      </c>
      <c r="C24" s="8" t="n"/>
      <c r="D24" s="8" t="n"/>
      <c r="E24" s="8" t="n"/>
    </row>
    <row r="25">
      <c r="A25" s="8" t="n">
        <v>19</v>
      </c>
      <c r="B25" s="8" t="inlineStr">
        <is>
          <t>Are logs encrypted at rest (SIEM storage)?</t>
        </is>
      </c>
      <c r="C25" s="8" t="n"/>
      <c r="D25" s="8" t="n"/>
      <c r="E25" s="8" t="n"/>
    </row>
    <row r="26">
      <c r="A26" s="8" t="n">
        <v>20</v>
      </c>
      <c r="B26" s="8" t="inlineStr">
        <is>
          <t>Is log integrity verified (checksums, digital signatures)?</t>
        </is>
      </c>
      <c r="C26" s="8" t="n"/>
      <c r="D26" s="8" t="n"/>
      <c r="E26" s="8" t="n"/>
    </row>
    <row r="27">
      <c r="A27" s="8" t="n">
        <v>21</v>
      </c>
      <c r="B27" s="8" t="inlineStr">
        <is>
          <t>Are logs reviewed for completeness (missing log gaps)?</t>
        </is>
      </c>
      <c r="C27" s="8" t="n"/>
      <c r="D27" s="8" t="n"/>
      <c r="E27" s="8" t="n"/>
    </row>
    <row r="28">
      <c r="A28" s="8" t="n">
        <v>22</v>
      </c>
      <c r="B28" s="8" t="inlineStr">
        <is>
          <t>Are logs backed up (separate from production logs)?</t>
        </is>
      </c>
      <c r="C28" s="8" t="n"/>
      <c r="D28" s="8" t="n"/>
      <c r="E28" s="8" t="n"/>
    </row>
    <row r="29">
      <c r="A29" s="8" t="n">
        <v>23</v>
      </c>
      <c r="B29" s="8" t="inlineStr">
        <is>
          <t>Is log access restricted (RBAC, audit trail of log access)?</t>
        </is>
      </c>
      <c r="C29" s="8" t="n"/>
      <c r="D29" s="8" t="n"/>
      <c r="E29" s="8" t="n"/>
    </row>
    <row r="30">
      <c r="A30" s="8" t="n">
        <v>24</v>
      </c>
      <c r="B30" s="8" t="inlineStr">
        <is>
          <t>Are logs parsed correctly by SIEM (no parsing errors)?</t>
        </is>
      </c>
      <c r="C30" s="8" t="n"/>
      <c r="D30" s="8" t="n"/>
      <c r="E30" s="8" t="n"/>
    </row>
    <row r="31">
      <c r="A31" s="8" t="n">
        <v>25</v>
      </c>
      <c r="B31" s="8" t="inlineStr">
        <is>
          <t>Are logs correlated with other security events (IAM, EDR, Network)?</t>
        </is>
      </c>
      <c r="C31" s="8" t="n"/>
      <c r="D31" s="8" t="n"/>
      <c r="E31" s="8" t="n"/>
    </row>
  </sheetData>
  <mergeCells count="2">
    <mergeCell ref="A2:E2"/>
    <mergeCell ref="A1:E1"/>
  </mergeCells>
  <dataValidations count="1">
    <dataValidation sqref="C7 C8 C9 C10 C11 C12 C13 C14 C15 C16 C17 C18 C19 C20 C21 C22 C23 C24 C25 C26 C27 C28 C29 C30 C31" showDropDown="0" showInputMessage="0" showErrorMessage="0" allowBlank="0" type="list">
      <formula1>"Yes,No,Partial,Planned,N/A"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3"/>
  <sheetViews>
    <sheetView workbookViewId="0">
      <pane ySplit="3" topLeftCell="A4" activePane="bottomLeft" state="frozen"/>
      <selection pane="bottomLeft" activeCell="A1" sqref="A1"/>
    </sheetView>
  </sheetViews>
  <sheetFormatPr baseColWidth="8" defaultRowHeight="15"/>
  <cols>
    <col width="20" customWidth="1" min="1" max="1"/>
    <col width="30" customWidth="1" min="2" max="2"/>
    <col width="20" customWidth="1" min="3" max="3"/>
    <col width="20" customWidth="1" min="4" max="4"/>
    <col width="20" customWidth="1" min="5" max="5"/>
    <col width="20" customWidth="1" min="6" max="6"/>
    <col width="20" customWidth="1" min="7" max="7"/>
    <col width="12" customWidth="1" min="8" max="8"/>
    <col width="20" customWidth="1" min="9" max="9"/>
    <col width="12" customWidth="1" min="10" max="10"/>
    <col width="20" customWidth="1" min="11" max="11"/>
    <col width="20" customWidth="1" min="12" max="12"/>
    <col width="20" customWidth="1" min="13" max="13"/>
  </cols>
  <sheetData>
    <row r="1" ht="25" customHeight="1">
      <c r="A1" s="1" t="inlineStr">
        <is>
          <t>DLP Alert Rules Inventory</t>
        </is>
      </c>
    </row>
    <row r="2">
      <c r="A2" s="2" t="inlineStr">
        <is>
          <t>Complete inventory of all configured DLP alert rules (30 rows)</t>
        </is>
      </c>
    </row>
    <row r="3">
      <c r="A3" s="6" t="inlineStr">
        <is>
          <t>Alert Rule ID</t>
        </is>
      </c>
      <c r="B3" s="6" t="inlineStr">
        <is>
          <t>Rule Name</t>
        </is>
      </c>
      <c r="C3" s="6" t="inlineStr">
        <is>
          <t>Channel</t>
        </is>
      </c>
      <c r="D3" s="6" t="inlineStr">
        <is>
          <t>Severity</t>
        </is>
      </c>
      <c r="E3" s="6" t="inlineStr">
        <is>
          <t>Detection Method</t>
        </is>
      </c>
      <c r="F3" s="6" t="inlineStr">
        <is>
          <t>Policy Action</t>
        </is>
      </c>
      <c r="G3" s="6" t="inlineStr">
        <is>
          <t>Alert Destination</t>
        </is>
      </c>
      <c r="H3" s="6" t="inlineStr">
        <is>
          <t>Response SLA</t>
        </is>
      </c>
      <c r="I3" s="6" t="inlineStr">
        <is>
          <t>Last Tuned Date</t>
        </is>
      </c>
      <c r="J3" s="6" t="inlineStr">
        <is>
          <t>FP Rate %</t>
        </is>
      </c>
      <c r="K3" s="6" t="inlineStr">
        <is>
          <t>Alert Volume (30d)</t>
        </is>
      </c>
      <c r="L3" s="6" t="inlineStr">
        <is>
          <t>Rule Status</t>
        </is>
      </c>
      <c r="M3" s="6" t="inlineStr">
        <is>
          <t>Evidence ID</t>
        </is>
      </c>
    </row>
    <row r="4">
      <c r="A4" s="7" t="inlineStr">
        <is>
          <t>ALT-001</t>
        </is>
      </c>
      <c r="B4" s="7" t="inlineStr">
        <is>
          <t>Credentials Detected - Email</t>
        </is>
      </c>
      <c r="C4" s="7" t="inlineStr">
        <is>
          <t>Email</t>
        </is>
      </c>
      <c r="D4" s="7" t="inlineStr">
        <is>
          <t>Critical</t>
        </is>
      </c>
      <c r="E4" s="7" t="inlineStr">
        <is>
          <t>Pattern</t>
        </is>
      </c>
      <c r="F4" s="7" t="inlineStr">
        <is>
          <t>Block</t>
        </is>
      </c>
      <c r="G4" s="7" t="inlineStr">
        <is>
          <t>SIEM</t>
        </is>
      </c>
      <c r="H4" s="7" t="inlineStr">
        <is>
          <t>15min</t>
        </is>
      </c>
      <c r="I4" s="7" t="inlineStr">
        <is>
          <t>2025-01-01</t>
        </is>
      </c>
      <c r="J4" s="7" t="n">
        <v>2.1</v>
      </c>
      <c r="K4" s="7" t="n">
        <v>45</v>
      </c>
      <c r="L4" s="7" t="inlineStr">
        <is>
          <t>Active</t>
        </is>
      </c>
      <c r="M4" s="7" t="inlineStr">
        <is>
          <t>A812-4-ALT-001</t>
        </is>
      </c>
    </row>
    <row r="5">
      <c r="A5" s="7" t="inlineStr">
        <is>
          <t>ALT-002</t>
        </is>
      </c>
      <c r="B5" s="7" t="inlineStr">
        <is>
          <t>PII to External Domain</t>
        </is>
      </c>
      <c r="C5" s="7" t="inlineStr">
        <is>
          <t>Email</t>
        </is>
      </c>
      <c r="D5" s="7" t="inlineStr">
        <is>
          <t>High</t>
        </is>
      </c>
      <c r="E5" s="7" t="inlineStr">
        <is>
          <t>Fingerprint</t>
        </is>
      </c>
      <c r="F5" s="7" t="inlineStr">
        <is>
          <t>Alert</t>
        </is>
      </c>
      <c r="G5" s="7" t="inlineStr">
        <is>
          <t>SIEM</t>
        </is>
      </c>
      <c r="H5" s="7" t="inlineStr">
        <is>
          <t>1hr</t>
        </is>
      </c>
      <c r="I5" s="7" t="inlineStr">
        <is>
          <t>2024-12-15</t>
        </is>
      </c>
      <c r="J5" s="7" t="n">
        <v>8.5</v>
      </c>
      <c r="K5" s="7" t="n">
        <v>230</v>
      </c>
      <c r="L5" s="7" t="inlineStr">
        <is>
          <t>Active</t>
        </is>
      </c>
      <c r="M5" s="7" t="inlineStr">
        <is>
          <t>A812-4-ALT-002</t>
        </is>
      </c>
    </row>
    <row r="6">
      <c r="A6" s="7" t="inlineStr">
        <is>
          <t>ALT-003</t>
        </is>
      </c>
      <c r="B6" s="7" t="inlineStr">
        <is>
          <t>Source Code to GitHub</t>
        </is>
      </c>
      <c r="C6" s="7" t="inlineStr">
        <is>
          <t>Web</t>
        </is>
      </c>
      <c r="D6" s="7" t="inlineStr">
        <is>
          <t>High</t>
        </is>
      </c>
      <c r="E6" s="7" t="inlineStr">
        <is>
          <t>Keyword</t>
        </is>
      </c>
      <c r="F6" s="7" t="inlineStr">
        <is>
          <t>Block</t>
        </is>
      </c>
      <c r="G6" s="7" t="inlineStr">
        <is>
          <t>SIEM</t>
        </is>
      </c>
      <c r="H6" s="7" t="inlineStr">
        <is>
          <t>1hr</t>
        </is>
      </c>
      <c r="I6" s="7" t="inlineStr">
        <is>
          <t>2025-01-03</t>
        </is>
      </c>
      <c r="J6" s="7" t="n">
        <v>1.2</v>
      </c>
      <c r="K6" s="7" t="n">
        <v>12</v>
      </c>
      <c r="L6" s="7" t="inlineStr">
        <is>
          <t>Active</t>
        </is>
      </c>
      <c r="M6" s="7" t="inlineStr">
        <is>
          <t>A812-4-ALT-003</t>
        </is>
      </c>
    </row>
    <row r="7">
      <c r="A7" s="7" t="inlineStr">
        <is>
          <t>ALT-004</t>
        </is>
      </c>
      <c r="B7" s="7" t="inlineStr">
        <is>
          <t>Mass USB Copy (&gt;1GB)</t>
        </is>
      </c>
      <c r="C7" s="7" t="inlineStr">
        <is>
          <t>Endpoint</t>
        </is>
      </c>
      <c r="D7" s="7" t="inlineStr">
        <is>
          <t>Critical</t>
        </is>
      </c>
      <c r="E7" s="7" t="inlineStr">
        <is>
          <t>Contextual</t>
        </is>
      </c>
      <c r="F7" s="7" t="inlineStr">
        <is>
          <t>Block</t>
        </is>
      </c>
      <c r="G7" s="7" t="inlineStr">
        <is>
          <t>SIEM</t>
        </is>
      </c>
      <c r="H7" s="7" t="inlineStr">
        <is>
          <t>15min</t>
        </is>
      </c>
      <c r="I7" s="7" t="inlineStr">
        <is>
          <t>2024-11-20</t>
        </is>
      </c>
      <c r="J7" s="7" t="n">
        <v>0.5</v>
      </c>
      <c r="K7" s="7" t="n">
        <v>3</v>
      </c>
      <c r="L7" s="7" t="inlineStr">
        <is>
          <t>Active</t>
        </is>
      </c>
      <c r="M7" s="7" t="inlineStr">
        <is>
          <t>A812-4-ALT-004</t>
        </is>
      </c>
    </row>
    <row r="8">
      <c r="A8" s="7" t="inlineStr">
        <is>
          <t>ALT-005</t>
        </is>
      </c>
      <c r="B8" s="7" t="inlineStr">
        <is>
          <t>Bulk Database Export</t>
        </is>
      </c>
      <c r="C8" s="7" t="inlineStr">
        <is>
          <t>Application</t>
        </is>
      </c>
      <c r="D8" s="7" t="inlineStr">
        <is>
          <t>High</t>
        </is>
      </c>
      <c r="E8" s="7" t="inlineStr">
        <is>
          <t>ML</t>
        </is>
      </c>
      <c r="F8" s="7" t="inlineStr">
        <is>
          <t>Alert</t>
        </is>
      </c>
      <c r="G8" s="7" t="inlineStr">
        <is>
          <t>SIEM</t>
        </is>
      </c>
      <c r="H8" s="7" t="inlineStr">
        <is>
          <t>1hr</t>
        </is>
      </c>
      <c r="I8" s="7" t="inlineStr">
        <is>
          <t>2024-12-28</t>
        </is>
      </c>
      <c r="J8" s="7" t="n">
        <v>4.3</v>
      </c>
      <c r="K8" s="7" t="n">
        <v>67</v>
      </c>
      <c r="L8" s="7" t="inlineStr">
        <is>
          <t>Active</t>
        </is>
      </c>
      <c r="M8" s="7" t="inlineStr">
        <is>
          <t>A812-4-ALT-005</t>
        </is>
      </c>
    </row>
    <row r="9">
      <c r="A9" s="8" t="n"/>
      <c r="B9" s="8" t="n"/>
      <c r="C9" s="8" t="n"/>
      <c r="D9" s="8" t="n"/>
      <c r="E9" s="8" t="n"/>
      <c r="F9" s="8" t="n"/>
      <c r="G9" s="8" t="n"/>
      <c r="H9" s="8" t="n"/>
      <c r="I9" s="8" t="n"/>
      <c r="J9" s="8" t="n"/>
      <c r="K9" s="8" t="n"/>
      <c r="L9" s="8" t="n"/>
      <c r="M9" s="8" t="n"/>
    </row>
    <row r="10">
      <c r="A10" s="8" t="n"/>
      <c r="B10" s="8" t="n"/>
      <c r="C10" s="8" t="n"/>
      <c r="D10" s="8" t="n"/>
      <c r="E10" s="8" t="n"/>
      <c r="F10" s="8" t="n"/>
      <c r="G10" s="8" t="n"/>
      <c r="H10" s="8" t="n"/>
      <c r="I10" s="8" t="n"/>
      <c r="J10" s="8" t="n"/>
      <c r="K10" s="8" t="n"/>
      <c r="L10" s="8" t="n"/>
      <c r="M10" s="8" t="n"/>
    </row>
    <row r="11">
      <c r="A11" s="8" t="n"/>
      <c r="B11" s="8" t="n"/>
      <c r="C11" s="8" t="n"/>
      <c r="D11" s="8" t="n"/>
      <c r="E11" s="8" t="n"/>
      <c r="F11" s="8" t="n"/>
      <c r="G11" s="8" t="n"/>
      <c r="H11" s="8" t="n"/>
      <c r="I11" s="8" t="n"/>
      <c r="J11" s="8" t="n"/>
      <c r="K11" s="8" t="n"/>
      <c r="L11" s="8" t="n"/>
      <c r="M11" s="8" t="n"/>
    </row>
    <row r="12">
      <c r="A12" s="8" t="n"/>
      <c r="B12" s="8" t="n"/>
      <c r="C12" s="8" t="n"/>
      <c r="D12" s="8" t="n"/>
      <c r="E12" s="8" t="n"/>
      <c r="F12" s="8" t="n"/>
      <c r="G12" s="8" t="n"/>
      <c r="H12" s="8" t="n"/>
      <c r="I12" s="8" t="n"/>
      <c r="J12" s="8" t="n"/>
      <c r="K12" s="8" t="n"/>
      <c r="L12" s="8" t="n"/>
      <c r="M12" s="8" t="n"/>
    </row>
    <row r="13">
      <c r="A13" s="8" t="n"/>
      <c r="B13" s="8" t="n"/>
      <c r="C13" s="8" t="n"/>
      <c r="D13" s="8" t="n"/>
      <c r="E13" s="8" t="n"/>
      <c r="F13" s="8" t="n"/>
      <c r="G13" s="8" t="n"/>
      <c r="H13" s="8" t="n"/>
      <c r="I13" s="8" t="n"/>
      <c r="J13" s="8" t="n"/>
      <c r="K13" s="8" t="n"/>
      <c r="L13" s="8" t="n"/>
      <c r="M13" s="8" t="n"/>
    </row>
    <row r="14">
      <c r="A14" s="8" t="n"/>
      <c r="B14" s="8" t="n"/>
      <c r="C14" s="8" t="n"/>
      <c r="D14" s="8" t="n"/>
      <c r="E14" s="8" t="n"/>
      <c r="F14" s="8" t="n"/>
      <c r="G14" s="8" t="n"/>
      <c r="H14" s="8" t="n"/>
      <c r="I14" s="8" t="n"/>
      <c r="J14" s="8" t="n"/>
      <c r="K14" s="8" t="n"/>
      <c r="L14" s="8" t="n"/>
      <c r="M14" s="8" t="n"/>
    </row>
    <row r="15">
      <c r="A15" s="8" t="n"/>
      <c r="B15" s="8" t="n"/>
      <c r="C15" s="8" t="n"/>
      <c r="D15" s="8" t="n"/>
      <c r="E15" s="8" t="n"/>
      <c r="F15" s="8" t="n"/>
      <c r="G15" s="8" t="n"/>
      <c r="H15" s="8" t="n"/>
      <c r="I15" s="8" t="n"/>
      <c r="J15" s="8" t="n"/>
      <c r="K15" s="8" t="n"/>
      <c r="L15" s="8" t="n"/>
      <c r="M15" s="8" t="n"/>
    </row>
    <row r="16">
      <c r="A16" s="8" t="n"/>
      <c r="B16" s="8" t="n"/>
      <c r="C16" s="8" t="n"/>
      <c r="D16" s="8" t="n"/>
      <c r="E16" s="8" t="n"/>
      <c r="F16" s="8" t="n"/>
      <c r="G16" s="8" t="n"/>
      <c r="H16" s="8" t="n"/>
      <c r="I16" s="8" t="n"/>
      <c r="J16" s="8" t="n"/>
      <c r="K16" s="8" t="n"/>
      <c r="L16" s="8" t="n"/>
      <c r="M16" s="8" t="n"/>
    </row>
    <row r="17">
      <c r="A17" s="8" t="n"/>
      <c r="B17" s="8" t="n"/>
      <c r="C17" s="8" t="n"/>
      <c r="D17" s="8" t="n"/>
      <c r="E17" s="8" t="n"/>
      <c r="F17" s="8" t="n"/>
      <c r="G17" s="8" t="n"/>
      <c r="H17" s="8" t="n"/>
      <c r="I17" s="8" t="n"/>
      <c r="J17" s="8" t="n"/>
      <c r="K17" s="8" t="n"/>
      <c r="L17" s="8" t="n"/>
      <c r="M17" s="8" t="n"/>
    </row>
    <row r="18">
      <c r="A18" s="8" t="n"/>
      <c r="B18" s="8" t="n"/>
      <c r="C18" s="8" t="n"/>
      <c r="D18" s="8" t="n"/>
      <c r="E18" s="8" t="n"/>
      <c r="F18" s="8" t="n"/>
      <c r="G18" s="8" t="n"/>
      <c r="H18" s="8" t="n"/>
      <c r="I18" s="8" t="n"/>
      <c r="J18" s="8" t="n"/>
      <c r="K18" s="8" t="n"/>
      <c r="L18" s="8" t="n"/>
      <c r="M18" s="8" t="n"/>
    </row>
    <row r="19">
      <c r="A19" s="8" t="n"/>
      <c r="B19" s="8" t="n"/>
      <c r="C19" s="8" t="n"/>
      <c r="D19" s="8" t="n"/>
      <c r="E19" s="8" t="n"/>
      <c r="F19" s="8" t="n"/>
      <c r="G19" s="8" t="n"/>
      <c r="H19" s="8" t="n"/>
      <c r="I19" s="8" t="n"/>
      <c r="J19" s="8" t="n"/>
      <c r="K19" s="8" t="n"/>
      <c r="L19" s="8" t="n"/>
      <c r="M19" s="8" t="n"/>
    </row>
    <row r="20">
      <c r="A20" s="8" t="n"/>
      <c r="B20" s="8" t="n"/>
      <c r="C20" s="8" t="n"/>
      <c r="D20" s="8" t="n"/>
      <c r="E20" s="8" t="n"/>
      <c r="F20" s="8" t="n"/>
      <c r="G20" s="8" t="n"/>
      <c r="H20" s="8" t="n"/>
      <c r="I20" s="8" t="n"/>
      <c r="J20" s="8" t="n"/>
      <c r="K20" s="8" t="n"/>
      <c r="L20" s="8" t="n"/>
      <c r="M20" s="8" t="n"/>
    </row>
    <row r="21">
      <c r="A21" s="8" t="n"/>
      <c r="B21" s="8" t="n"/>
      <c r="C21" s="8" t="n"/>
      <c r="D21" s="8" t="n"/>
      <c r="E21" s="8" t="n"/>
      <c r="F21" s="8" t="n"/>
      <c r="G21" s="8" t="n"/>
      <c r="H21" s="8" t="n"/>
      <c r="I21" s="8" t="n"/>
      <c r="J21" s="8" t="n"/>
      <c r="K21" s="8" t="n"/>
      <c r="L21" s="8" t="n"/>
      <c r="M21" s="8" t="n"/>
    </row>
    <row r="22">
      <c r="A22" s="8" t="n"/>
      <c r="B22" s="8" t="n"/>
      <c r="C22" s="8" t="n"/>
      <c r="D22" s="8" t="n"/>
      <c r="E22" s="8" t="n"/>
      <c r="F22" s="8" t="n"/>
      <c r="G22" s="8" t="n"/>
      <c r="H22" s="8" t="n"/>
      <c r="I22" s="8" t="n"/>
      <c r="J22" s="8" t="n"/>
      <c r="K22" s="8" t="n"/>
      <c r="L22" s="8" t="n"/>
      <c r="M22" s="8" t="n"/>
    </row>
    <row r="23">
      <c r="A23" s="8" t="n"/>
      <c r="B23" s="8" t="n"/>
      <c r="C23" s="8" t="n"/>
      <c r="D23" s="8" t="n"/>
      <c r="E23" s="8" t="n"/>
      <c r="F23" s="8" t="n"/>
      <c r="G23" s="8" t="n"/>
      <c r="H23" s="8" t="n"/>
      <c r="I23" s="8" t="n"/>
      <c r="J23" s="8" t="n"/>
      <c r="K23" s="8" t="n"/>
      <c r="L23" s="8" t="n"/>
      <c r="M23" s="8" t="n"/>
    </row>
    <row r="24">
      <c r="A24" s="8" t="n"/>
      <c r="B24" s="8" t="n"/>
      <c r="C24" s="8" t="n"/>
      <c r="D24" s="8" t="n"/>
      <c r="E24" s="8" t="n"/>
      <c r="F24" s="8" t="n"/>
      <c r="G24" s="8" t="n"/>
      <c r="H24" s="8" t="n"/>
      <c r="I24" s="8" t="n"/>
      <c r="J24" s="8" t="n"/>
      <c r="K24" s="8" t="n"/>
      <c r="L24" s="8" t="n"/>
      <c r="M24" s="8" t="n"/>
    </row>
    <row r="25">
      <c r="A25" s="8" t="n"/>
      <c r="B25" s="8" t="n"/>
      <c r="C25" s="8" t="n"/>
      <c r="D25" s="8" t="n"/>
      <c r="E25" s="8" t="n"/>
      <c r="F25" s="8" t="n"/>
      <c r="G25" s="8" t="n"/>
      <c r="H25" s="8" t="n"/>
      <c r="I25" s="8" t="n"/>
      <c r="J25" s="8" t="n"/>
      <c r="K25" s="8" t="n"/>
      <c r="L25" s="8" t="n"/>
      <c r="M25" s="8" t="n"/>
    </row>
    <row r="26">
      <c r="A26" s="8" t="n"/>
      <c r="B26" s="8" t="n"/>
      <c r="C26" s="8" t="n"/>
      <c r="D26" s="8" t="n"/>
      <c r="E26" s="8" t="n"/>
      <c r="F26" s="8" t="n"/>
      <c r="G26" s="8" t="n"/>
      <c r="H26" s="8" t="n"/>
      <c r="I26" s="8" t="n"/>
      <c r="J26" s="8" t="n"/>
      <c r="K26" s="8" t="n"/>
      <c r="L26" s="8" t="n"/>
      <c r="M26" s="8" t="n"/>
    </row>
    <row r="27">
      <c r="A27" s="8" t="n"/>
      <c r="B27" s="8" t="n"/>
      <c r="C27" s="8" t="n"/>
      <c r="D27" s="8" t="n"/>
      <c r="E27" s="8" t="n"/>
      <c r="F27" s="8" t="n"/>
      <c r="G27" s="8" t="n"/>
      <c r="H27" s="8" t="n"/>
      <c r="I27" s="8" t="n"/>
      <c r="J27" s="8" t="n"/>
      <c r="K27" s="8" t="n"/>
      <c r="L27" s="8" t="n"/>
      <c r="M27" s="8" t="n"/>
    </row>
    <row r="28">
      <c r="A28" s="8" t="n"/>
      <c r="B28" s="8" t="n"/>
      <c r="C28" s="8" t="n"/>
      <c r="D28" s="8" t="n"/>
      <c r="E28" s="8" t="n"/>
      <c r="F28" s="8" t="n"/>
      <c r="G28" s="8" t="n"/>
      <c r="H28" s="8" t="n"/>
      <c r="I28" s="8" t="n"/>
      <c r="J28" s="8" t="n"/>
      <c r="K28" s="8" t="n"/>
      <c r="L28" s="8" t="n"/>
      <c r="M28" s="8" t="n"/>
    </row>
    <row r="29">
      <c r="A29" s="8" t="n"/>
      <c r="B29" s="8" t="n"/>
      <c r="C29" s="8" t="n"/>
      <c r="D29" s="8" t="n"/>
      <c r="E29" s="8" t="n"/>
      <c r="F29" s="8" t="n"/>
      <c r="G29" s="8" t="n"/>
      <c r="H29" s="8" t="n"/>
      <c r="I29" s="8" t="n"/>
      <c r="J29" s="8" t="n"/>
      <c r="K29" s="8" t="n"/>
      <c r="L29" s="8" t="n"/>
      <c r="M29" s="8" t="n"/>
    </row>
    <row r="30">
      <c r="A30" s="8" t="n"/>
      <c r="B30" s="8" t="n"/>
      <c r="C30" s="8" t="n"/>
      <c r="D30" s="8" t="n"/>
      <c r="E30" s="8" t="n"/>
      <c r="F30" s="8" t="n"/>
      <c r="G30" s="8" t="n"/>
      <c r="H30" s="8" t="n"/>
      <c r="I30" s="8" t="n"/>
      <c r="J30" s="8" t="n"/>
      <c r="K30" s="8" t="n"/>
      <c r="L30" s="8" t="n"/>
      <c r="M30" s="8" t="n"/>
    </row>
    <row r="31">
      <c r="A31" s="8" t="n"/>
      <c r="B31" s="8" t="n"/>
      <c r="C31" s="8" t="n"/>
      <c r="D31" s="8" t="n"/>
      <c r="E31" s="8" t="n"/>
      <c r="F31" s="8" t="n"/>
      <c r="G31" s="8" t="n"/>
      <c r="H31" s="8" t="n"/>
      <c r="I31" s="8" t="n"/>
      <c r="J31" s="8" t="n"/>
      <c r="K31" s="8" t="n"/>
      <c r="L31" s="8" t="n"/>
      <c r="M31" s="8" t="n"/>
    </row>
    <row r="32">
      <c r="A32" s="8" t="n"/>
      <c r="B32" s="8" t="n"/>
      <c r="C32" s="8" t="n"/>
      <c r="D32" s="8" t="n"/>
      <c r="E32" s="8" t="n"/>
      <c r="F32" s="8" t="n"/>
      <c r="G32" s="8" t="n"/>
      <c r="H32" s="8" t="n"/>
      <c r="I32" s="8" t="n"/>
      <c r="J32" s="8" t="n"/>
      <c r="K32" s="8" t="n"/>
      <c r="L32" s="8" t="n"/>
      <c r="M32" s="8" t="n"/>
    </row>
    <row r="33">
      <c r="A33" s="8" t="n"/>
      <c r="B33" s="8" t="n"/>
      <c r="C33" s="8" t="n"/>
      <c r="D33" s="8" t="n"/>
      <c r="E33" s="8" t="n"/>
      <c r="F33" s="8" t="n"/>
      <c r="G33" s="8" t="n"/>
      <c r="H33" s="8" t="n"/>
      <c r="I33" s="8" t="n"/>
      <c r="J33" s="8" t="n"/>
      <c r="K33" s="8" t="n"/>
      <c r="L33" s="8" t="n"/>
      <c r="M33" s="8" t="n"/>
    </row>
  </sheetData>
  <mergeCells count="2">
    <mergeCell ref="A2:M2"/>
    <mergeCell ref="A1:M1"/>
  </mergeCells>
  <dataValidations count="7">
    <dataValidation sqref="C9 C10 C11 C12 C13 C14 C15 C16 C17 C18 C19 C20 C21 C22 C23 C24 C25 C26 C27 C28 C29 C30 C31 C32 C33" showDropDown="0" showInputMessage="0" showErrorMessage="0" allowBlank="0" type="list">
      <formula1>"Email,Web,Endpoint,Network,Application,Mobile"</formula1>
    </dataValidation>
    <dataValidation sqref="D9 D10 D11 D12 D13 D14 D15 D16 D17 D18 D19 D20 D21 D22 D23 D24 D25 D26 D27 D28 D29 D30 D31 D32 D33" showDropDown="0" showInputMessage="0" showErrorMessage="0" allowBlank="0" type="list">
      <formula1>"Critical,High,Medium,Low,Informational"</formula1>
    </dataValidation>
    <dataValidation sqref="E9 E10 E11 E12 E13 E14 E15 E16 E17 E18 E19 E20 E21 E22 E23 E24 E25 E26 E27 E28 E29 E30 E31 E32 E33" showDropDown="0" showInputMessage="0" showErrorMessage="0" allowBlank="0" type="list">
      <formula1>"Pattern,Keyword,Fingerprint,Contextual,ML"</formula1>
    </dataValidation>
    <dataValidation sqref="F9 F10 F11 F12 F13 F14 F15 F16 F17 F18 F19 F20 F21 F22 F23 F24 F25 F26 F27 F28 F29 F30 F31 F32 F33" showDropDown="0" showInputMessage="0" showErrorMessage="0" allowBlank="0" type="list">
      <formula1>"Allow,Alert,Block,Quarantine,Encrypt"</formula1>
    </dataValidation>
    <dataValidation sqref="G9 G10 G11 G12 G13 G14 G15 G16 G17 G18 G19 G20 G21 G22 G23 G24 G25 G26 G27 G28 G29 G30 G31 G32 G33" showDropDown="0" showInputMessage="0" showErrorMessage="0" allowBlank="0" type="list">
      <formula1>"SIEM,Email,SMS,Ticketing,Dashboard"</formula1>
    </dataValidation>
    <dataValidation sqref="H9 H10 H11 H12 H13 H14 H15 H16 H17 H18 H19 H20 H21 H22 H23 H24 H25 H26 H27 H28 H29 H30 H31 H32 H33" showDropDown="0" showInputMessage="0" showErrorMessage="0" allowBlank="0" type="list">
      <formula1>"15min,1hr,4hr,24hr,No SLA"</formula1>
    </dataValidation>
    <dataValidation sqref="L9 L10 L11 L12 L13 L14 L15 L16 L17 L18 L19 L20 L21 L22 L23 L24 L25 L26 L27 L28 L29 L30 L31 L32 L33" showDropDown="0" showInputMessage="0" showErrorMessage="0" allowBlank="0" type="list">
      <formula1>"Active,Disabled,Testing,Deprecated"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
  <sheetViews>
    <sheetView workbookViewId="0">
      <pane ySplit="3" topLeftCell="A4"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30" customWidth="1" min="8" max="8"/>
  </cols>
  <sheetData>
    <row r="1" ht="25" customHeight="1">
      <c r="A1" s="1" t="inlineStr">
        <is>
          <t>DLP Alert Volume Metrics</t>
        </is>
      </c>
    </row>
    <row r="2">
      <c r="A2" s="2" t="inlineStr">
        <is>
          <t>Track alert volume by severity and channel (Last 30 Days)</t>
        </is>
      </c>
    </row>
    <row r="4">
      <c r="A4" s="2" t="inlineStr">
        <is>
          <t>ALERT VOLUME BY SEVERITY (Last 30 Days)</t>
        </is>
      </c>
    </row>
    <row r="5">
      <c r="A5" s="6" t="inlineStr">
        <is>
          <t>Severity</t>
        </is>
      </c>
      <c r="B5" s="6" t="inlineStr">
        <is>
          <t>Total Alerts</t>
        </is>
      </c>
      <c r="C5" s="6" t="inlineStr">
        <is>
          <t>Avg per Day</t>
        </is>
      </c>
      <c r="D5" s="6" t="inlineStr">
        <is>
          <t>Blocked</t>
        </is>
      </c>
      <c r="E5" s="6" t="inlineStr">
        <is>
          <t>Alerted</t>
        </is>
      </c>
      <c r="F5" s="6" t="inlineStr">
        <is>
          <t>False Positives</t>
        </is>
      </c>
      <c r="G5" s="6" t="inlineStr">
        <is>
          <t>FP Rate %</t>
        </is>
      </c>
    </row>
    <row r="6">
      <c r="A6" t="inlineStr">
        <is>
          <t>Critical</t>
        </is>
      </c>
      <c r="B6" s="4" t="n"/>
      <c r="C6" s="4" t="n"/>
      <c r="D6" s="4" t="n"/>
      <c r="E6" s="4" t="n"/>
      <c r="F6" s="4" t="n"/>
      <c r="G6">
        <f>IF(B6&gt;0,F6/B6*100,0)</f>
        <v/>
      </c>
    </row>
    <row r="7">
      <c r="A7" t="inlineStr">
        <is>
          <t>High</t>
        </is>
      </c>
      <c r="B7" s="4" t="n"/>
      <c r="C7" s="4" t="n"/>
      <c r="D7" s="4" t="n"/>
      <c r="E7" s="4" t="n"/>
      <c r="F7" s="4" t="n"/>
      <c r="G7">
        <f>IF(B7&gt;0,F7/B7*100,0)</f>
        <v/>
      </c>
    </row>
    <row r="8">
      <c r="A8" t="inlineStr">
        <is>
          <t>Medium</t>
        </is>
      </c>
      <c r="B8" s="4" t="n"/>
      <c r="C8" s="4" t="n"/>
      <c r="D8" s="4" t="n"/>
      <c r="E8" s="4" t="n"/>
      <c r="F8" s="4" t="n"/>
      <c r="G8">
        <f>IF(B8&gt;0,F8/B8*100,0)</f>
        <v/>
      </c>
    </row>
    <row r="9">
      <c r="A9" t="inlineStr">
        <is>
          <t>Low</t>
        </is>
      </c>
      <c r="B9" s="4" t="n"/>
      <c r="C9" s="4" t="n"/>
      <c r="D9" s="4" t="n"/>
      <c r="E9" s="4" t="n"/>
      <c r="F9" s="4" t="n"/>
      <c r="G9">
        <f>IF(B9&gt;0,F9/B9*100,0)</f>
        <v/>
      </c>
    </row>
    <row r="10">
      <c r="A10" t="inlineStr">
        <is>
          <t>Informational</t>
        </is>
      </c>
      <c r="B10" s="4" t="n"/>
      <c r="C10" s="4" t="n"/>
      <c r="D10" s="4" t="n"/>
      <c r="E10" s="4" t="n"/>
      <c r="F10" s="4" t="n"/>
      <c r="G10">
        <f>IF(B10&gt;0,F10/B10*100,0)</f>
        <v/>
      </c>
    </row>
    <row r="11">
      <c r="A11" s="3" t="inlineStr">
        <is>
          <t>TOTAL</t>
        </is>
      </c>
      <c r="B11">
        <f>SUM(B6:B10)</f>
        <v/>
      </c>
      <c r="C11">
        <f>B11/30</f>
        <v/>
      </c>
      <c r="D11">
        <f>SUM(D6:D10)</f>
        <v/>
      </c>
      <c r="E11">
        <f>SUM(E6:E10)</f>
        <v/>
      </c>
      <c r="F11">
        <f>SUM(F6:F10)</f>
        <v/>
      </c>
      <c r="G11">
        <f>IF(B11&gt;0,F11/B11*100,0)</f>
        <v/>
      </c>
    </row>
    <row r="13">
      <c r="A13" s="2" t="inlineStr">
        <is>
          <t>ALERT VOLUME BY CHANNEL (Last 30 Days)</t>
        </is>
      </c>
    </row>
    <row r="14">
      <c r="A14" s="6" t="inlineStr">
        <is>
          <t>Channel</t>
        </is>
      </c>
      <c r="B14" s="6" t="inlineStr">
        <is>
          <t>Total Alerts</t>
        </is>
      </c>
      <c r="C14" s="6" t="inlineStr">
        <is>
          <t>Blocked</t>
        </is>
      </c>
      <c r="D14" s="6" t="inlineStr">
        <is>
          <t>Alerted</t>
        </is>
      </c>
      <c r="E14" s="6" t="inlineStr">
        <is>
          <t>FP Rate %</t>
        </is>
      </c>
      <c r="F14" s="6" t="inlineStr">
        <is>
          <t>Top Rule Name</t>
        </is>
      </c>
    </row>
    <row r="15">
      <c r="A15" t="inlineStr">
        <is>
          <t>Email</t>
        </is>
      </c>
      <c r="B15" s="4" t="n"/>
      <c r="C15" s="4" t="n"/>
      <c r="D15" s="4" t="n"/>
      <c r="E15" s="4" t="n"/>
      <c r="F15" s="4" t="n"/>
    </row>
    <row r="16">
      <c r="A16" t="inlineStr">
        <is>
          <t>Web</t>
        </is>
      </c>
      <c r="B16" s="4" t="n"/>
      <c r="C16" s="4" t="n"/>
      <c r="D16" s="4" t="n"/>
      <c r="E16" s="4" t="n"/>
      <c r="F16" s="4" t="n"/>
    </row>
    <row r="17">
      <c r="A17" t="inlineStr">
        <is>
          <t>Endpoint</t>
        </is>
      </c>
      <c r="B17" s="4" t="n"/>
      <c r="C17" s="4" t="n"/>
      <c r="D17" s="4" t="n"/>
      <c r="E17" s="4" t="n"/>
      <c r="F17" s="4" t="n"/>
    </row>
    <row r="18">
      <c r="A18" t="inlineStr">
        <is>
          <t>Network</t>
        </is>
      </c>
      <c r="B18" s="4" t="n"/>
      <c r="C18" s="4" t="n"/>
      <c r="D18" s="4" t="n"/>
      <c r="E18" s="4" t="n"/>
      <c r="F18" s="4" t="n"/>
    </row>
    <row r="19">
      <c r="A19" t="inlineStr">
        <is>
          <t>Application</t>
        </is>
      </c>
      <c r="B19" s="4" t="n"/>
      <c r="C19" s="4" t="n"/>
      <c r="D19" s="4" t="n"/>
      <c r="E19" s="4" t="n"/>
      <c r="F19" s="4" t="n"/>
    </row>
    <row r="20">
      <c r="A20" t="inlineStr">
        <is>
          <t>Mobile</t>
        </is>
      </c>
      <c r="B20" s="4" t="n"/>
      <c r="C20" s="4" t="n"/>
      <c r="D20" s="4" t="n"/>
      <c r="E20" s="4" t="n"/>
      <c r="F20" s="4" t="n"/>
    </row>
    <row r="22">
      <c r="A22" s="2" t="inlineStr">
        <is>
          <t>ALERT TREND ANALYSIS (Weekly)</t>
        </is>
      </c>
    </row>
    <row r="23">
      <c r="A23" s="6" t="inlineStr">
        <is>
          <t>Week</t>
        </is>
      </c>
      <c r="B23" s="6" t="inlineStr">
        <is>
          <t>Critical</t>
        </is>
      </c>
      <c r="C23" s="6" t="inlineStr">
        <is>
          <t>High</t>
        </is>
      </c>
      <c r="D23" s="6" t="inlineStr">
        <is>
          <t>Medium</t>
        </is>
      </c>
      <c r="E23" s="6" t="inlineStr">
        <is>
          <t>Low</t>
        </is>
      </c>
      <c r="F23" s="6" t="inlineStr">
        <is>
          <t>Total</t>
        </is>
      </c>
      <c r="G23" s="6" t="inlineStr">
        <is>
          <t>FP Rate %</t>
        </is>
      </c>
      <c r="H23" s="6" t="inlineStr">
        <is>
          <t>Notes</t>
        </is>
      </c>
    </row>
    <row r="24">
      <c r="A24" t="inlineStr">
        <is>
          <t>Week 1 (Dec 2-8)</t>
        </is>
      </c>
      <c r="B24" s="4" t="n"/>
      <c r="C24" s="4" t="n"/>
      <c r="D24" s="4" t="n"/>
      <c r="E24" s="4" t="n"/>
      <c r="F24">
        <f>SUM(B24:E24)</f>
        <v/>
      </c>
      <c r="G24" s="4" t="n"/>
      <c r="H24" s="4" t="n"/>
    </row>
    <row r="25">
      <c r="A25" t="inlineStr">
        <is>
          <t>Week 2 (Dec 9-15)</t>
        </is>
      </c>
      <c r="B25" s="4" t="n"/>
      <c r="C25" s="4" t="n"/>
      <c r="D25" s="4" t="n"/>
      <c r="E25" s="4" t="n"/>
      <c r="F25">
        <f>SUM(B25:E25)</f>
        <v/>
      </c>
      <c r="G25" s="4" t="n"/>
      <c r="H25" s="4" t="n"/>
    </row>
    <row r="26">
      <c r="A26" t="inlineStr">
        <is>
          <t>Week 3 (Dec 16-22)</t>
        </is>
      </c>
      <c r="B26" s="4" t="n"/>
      <c r="C26" s="4" t="n"/>
      <c r="D26" s="4" t="n"/>
      <c r="E26" s="4" t="n"/>
      <c r="F26">
        <f>SUM(B26:E26)</f>
        <v/>
      </c>
      <c r="G26" s="4" t="n"/>
      <c r="H26" s="4" t="n"/>
    </row>
    <row r="27">
      <c r="A27" t="inlineStr">
        <is>
          <t>Week 4 (Dec 23-29)</t>
        </is>
      </c>
      <c r="B27" s="4" t="n"/>
      <c r="C27" s="4" t="n"/>
      <c r="D27" s="4" t="n"/>
      <c r="E27" s="4" t="n"/>
      <c r="F27">
        <f>SUM(B27:E27)</f>
        <v/>
      </c>
      <c r="G27" s="4" t="n"/>
      <c r="H27" s="4" t="n"/>
    </row>
  </sheetData>
  <mergeCells count="5">
    <mergeCell ref="A1:G1"/>
    <mergeCell ref="A13:F13"/>
    <mergeCell ref="A4:G4"/>
    <mergeCell ref="A2:G2"/>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workbookViewId="0">
      <pane ySplit="3" topLeftCell="A4" activePane="bottomLeft" state="frozen"/>
      <selection pane="bottomLeft" activeCell="A1" sqref="A1"/>
    </sheetView>
  </sheetViews>
  <sheetFormatPr baseColWidth="8" defaultRowHeight="15"/>
  <cols>
    <col width="12" customWidth="1" min="1" max="1"/>
    <col width="40" customWidth="1" min="2" max="2"/>
    <col width="20" customWidth="1" min="3" max="3"/>
    <col width="20" customWidth="1" min="4" max="4"/>
    <col width="30" customWidth="1" min="5" max="5"/>
  </cols>
  <sheetData>
    <row r="1" ht="25" customHeight="1">
      <c r="A1" s="1" t="inlineStr">
        <is>
          <t>SIEM Integration Assessment</t>
        </is>
      </c>
    </row>
    <row r="2">
      <c r="A2" s="2" t="inlineStr">
        <is>
          <t>Assess SIEM integration, log forwarding, and correlation rules (25 criteria)</t>
        </is>
      </c>
    </row>
    <row r="3">
      <c r="A3" s="6" t="inlineStr">
        <is>
          <t>#</t>
        </is>
      </c>
      <c r="B3" s="6" t="inlineStr">
        <is>
          <t>Requirement</t>
        </is>
      </c>
      <c r="C3" s="6" t="inlineStr">
        <is>
          <t>Compliance</t>
        </is>
      </c>
      <c r="D3" s="6" t="inlineStr">
        <is>
          <t>Evidence ID</t>
        </is>
      </c>
      <c r="E3" s="6" t="inlineStr">
        <is>
          <t>Notes</t>
        </is>
      </c>
    </row>
    <row r="4">
      <c r="A4" s="7" t="n">
        <v>1</v>
      </c>
      <c r="B4" s="7" t="inlineStr">
        <is>
          <t>Are DLP logs forwarded to organizational SIEM?</t>
        </is>
      </c>
      <c r="C4" s="7" t="inlineStr">
        <is>
          <t>Yes</t>
        </is>
      </c>
      <c r="D4" s="7" t="inlineStr">
        <is>
          <t>A812-4-SIEM-001</t>
        </is>
      </c>
      <c r="E4" s="7" t="inlineStr">
        <is>
          <t>Forwarding to Splunk via TLS</t>
        </is>
      </c>
    </row>
    <row r="5">
      <c r="A5" s="7" t="n">
        <v>2</v>
      </c>
      <c r="B5" s="7" t="inlineStr">
        <is>
          <t>Are SIEM correlation rules configured for DLP events?</t>
        </is>
      </c>
      <c r="C5" s="7" t="inlineStr">
        <is>
          <t>Partial</t>
        </is>
      </c>
      <c r="D5" s="7" t="inlineStr">
        <is>
          <t>A812-4-SIEM-002</t>
        </is>
      </c>
      <c r="E5" s="7" t="inlineStr">
        <is>
          <t>Only 3 of 6 use cases deployed</t>
        </is>
      </c>
    </row>
    <row r="6">
      <c r="A6" s="7" t="n">
        <v>3</v>
      </c>
      <c r="B6" s="7" t="inlineStr">
        <is>
          <t>Are SIEM dashboards configured for DLP (real-time alert queue)?</t>
        </is>
      </c>
      <c r="C6" s="7" t="inlineStr">
        <is>
          <t>Yes</t>
        </is>
      </c>
      <c r="D6" s="7" t="inlineStr">
        <is>
          <t>A812-4-SIEM-003</t>
        </is>
      </c>
      <c r="E6" s="7" t="inlineStr">
        <is>
          <t>SOC dashboard configured</t>
        </is>
      </c>
    </row>
    <row r="7">
      <c r="A7" s="8" t="n">
        <v>1</v>
      </c>
      <c r="B7" s="8" t="inlineStr">
        <is>
          <t>Are DLP logs forwarded to organizational SIEM?</t>
        </is>
      </c>
      <c r="C7" s="8" t="n"/>
      <c r="D7" s="8" t="n"/>
      <c r="E7" s="8" t="n"/>
    </row>
    <row r="8">
      <c r="A8" s="8" t="n">
        <v>2</v>
      </c>
      <c r="B8" s="8" t="inlineStr">
        <is>
          <t>Is log forwarding encrypted (TLS/SSL)?</t>
        </is>
      </c>
      <c r="C8" s="8" t="n"/>
      <c r="D8" s="8" t="n"/>
      <c r="E8" s="8" t="n"/>
    </row>
    <row r="9">
      <c r="A9" s="8" t="n">
        <v>3</v>
      </c>
      <c r="B9" s="8" t="inlineStr">
        <is>
          <t>Is log forwarding reliable (no dropped logs &gt;1%)?</t>
        </is>
      </c>
      <c r="C9" s="8" t="n"/>
      <c r="D9" s="8" t="n"/>
      <c r="E9" s="8" t="n"/>
    </row>
    <row r="10">
      <c r="A10" s="8" t="n">
        <v>4</v>
      </c>
      <c r="B10" s="8" t="inlineStr">
        <is>
          <t>Are DLP logs parsed correctly in SIEM (no parsing errors)?</t>
        </is>
      </c>
      <c r="C10" s="8" t="n"/>
      <c r="D10" s="8" t="n"/>
      <c r="E10" s="8" t="n"/>
    </row>
    <row r="11">
      <c r="A11" s="8" t="n">
        <v>5</v>
      </c>
      <c r="B11" s="8" t="inlineStr">
        <is>
          <t>Are DLP logs normalized (common schema: CEF, Syslog, JSON)?</t>
        </is>
      </c>
      <c r="C11" s="8" t="n"/>
      <c r="D11" s="8" t="n"/>
      <c r="E11" s="8" t="n"/>
    </row>
    <row r="12">
      <c r="A12" s="8" t="n">
        <v>6</v>
      </c>
      <c r="B12" s="8" t="inlineStr">
        <is>
          <t>Are DLP events indexed for search and analysis?</t>
        </is>
      </c>
      <c r="C12" s="8" t="n"/>
      <c r="D12" s="8" t="n"/>
      <c r="E12" s="8" t="n"/>
    </row>
    <row r="13">
      <c r="A13" s="8" t="n">
        <v>7</v>
      </c>
      <c r="B13" s="8" t="inlineStr">
        <is>
          <t>Is log retention in SIEM ≥12 months?</t>
        </is>
      </c>
      <c r="C13" s="8" t="n"/>
      <c r="D13" s="8" t="n"/>
      <c r="E13" s="8" t="n"/>
    </row>
    <row r="14">
      <c r="A14" s="8" t="n">
        <v>8</v>
      </c>
      <c r="B14" s="8" t="inlineStr">
        <is>
          <t>Are SIEM correlation rules configured for DLP events?</t>
        </is>
      </c>
      <c r="C14" s="8" t="n"/>
      <c r="D14" s="8" t="n"/>
      <c r="E14" s="8" t="n"/>
    </row>
    <row r="15">
      <c r="A15" s="8" t="n">
        <v>9</v>
      </c>
      <c r="B15" s="8" t="inlineStr">
        <is>
          <t>Correlation: DLP + Malware detection = compromised endpoint?</t>
        </is>
      </c>
      <c r="C15" s="8" t="n"/>
      <c r="D15" s="8" t="n"/>
      <c r="E15" s="8" t="n"/>
    </row>
    <row r="16">
      <c r="A16" s="8" t="n">
        <v>10</v>
      </c>
      <c r="B16" s="8" t="inlineStr">
        <is>
          <t>Correlation: DLP + Failed logins = credential theft?</t>
        </is>
      </c>
      <c r="C16" s="8" t="n"/>
      <c r="D16" s="8" t="n"/>
      <c r="E16" s="8" t="n"/>
    </row>
    <row r="17">
      <c r="A17" s="8" t="n">
        <v>11</v>
      </c>
      <c r="B17" s="8" t="inlineStr">
        <is>
          <t>Correlation: DLP + VPN from foreign country = account compromise?</t>
        </is>
      </c>
      <c r="C17" s="8" t="n"/>
      <c r="D17" s="8" t="n"/>
      <c r="E17" s="8" t="n"/>
    </row>
    <row r="18">
      <c r="A18" s="8" t="n">
        <v>12</v>
      </c>
      <c r="B18" s="8" t="inlineStr">
        <is>
          <t>Correlation: DLP + HR termination record = insider threat?</t>
        </is>
      </c>
      <c r="C18" s="8" t="n"/>
      <c r="D18" s="8" t="n"/>
      <c r="E18" s="8" t="n"/>
    </row>
    <row r="19">
      <c r="A19" s="8" t="n">
        <v>13</v>
      </c>
      <c r="B19" s="8" t="inlineStr">
        <is>
          <t>Are SIEM use cases documented (insider threat, compromised creds)?</t>
        </is>
      </c>
      <c r="C19" s="8" t="n"/>
      <c r="D19" s="8" t="n"/>
      <c r="E19" s="8" t="n"/>
    </row>
    <row r="20">
      <c r="A20" s="8" t="n">
        <v>14</v>
      </c>
      <c r="B20" s="8" t="inlineStr">
        <is>
          <t>Are SIEM dashboards configured for DLP (real-time alert queue)?</t>
        </is>
      </c>
      <c r="C20" s="8" t="n"/>
      <c r="D20" s="8" t="n"/>
      <c r="E20" s="8" t="n"/>
    </row>
    <row r="21">
      <c r="A21" s="8" t="n">
        <v>15</v>
      </c>
      <c r="B21" s="8" t="inlineStr">
        <is>
          <t>Are SIEM alerts integrated with ticketing system (ServiceNow, Jira)?</t>
        </is>
      </c>
      <c r="C21" s="8" t="n"/>
      <c r="D21" s="8" t="n"/>
      <c r="E21" s="8" t="n"/>
    </row>
    <row r="22">
      <c r="A22" s="8" t="n">
        <v>16</v>
      </c>
      <c r="B22" s="8" t="inlineStr">
        <is>
          <t>Are DLP Critical alerts automatically escalated to SOC?</t>
        </is>
      </c>
      <c r="C22" s="8" t="n"/>
      <c r="D22" s="8" t="n"/>
      <c r="E22" s="8" t="n"/>
    </row>
    <row r="23">
      <c r="A23" s="8" t="n">
        <v>17</v>
      </c>
      <c r="B23" s="8" t="inlineStr">
        <is>
          <t>Are DLP High alerts automatically assigned to analysts?</t>
        </is>
      </c>
      <c r="C23" s="8" t="n"/>
      <c r="D23" s="8" t="n"/>
      <c r="E23" s="8" t="n"/>
    </row>
    <row r="24">
      <c r="A24" s="8" t="n">
        <v>18</v>
      </c>
      <c r="B24" s="8" t="inlineStr">
        <is>
          <t>Is DLP log ingestion monitored (alerts for log failures)?</t>
        </is>
      </c>
      <c r="C24" s="8" t="n"/>
      <c r="D24" s="8" t="n"/>
      <c r="E24" s="8" t="n"/>
    </row>
    <row r="25">
      <c r="A25" s="8" t="n">
        <v>19</v>
      </c>
      <c r="B25" s="8" t="inlineStr">
        <is>
          <t>Is SIEM performance adequate (query response time &lt;10 sec)?</t>
        </is>
      </c>
      <c r="C25" s="8" t="n"/>
      <c r="D25" s="8" t="n"/>
      <c r="E25" s="8" t="n"/>
    </row>
    <row r="26">
      <c r="A26" s="8" t="n">
        <v>20</v>
      </c>
      <c r="B26" s="8" t="inlineStr">
        <is>
          <t>Are SIEM search queries documented (common investigations)?</t>
        </is>
      </c>
      <c r="C26" s="8" t="n"/>
      <c r="D26" s="8" t="n"/>
      <c r="E26" s="8" t="n"/>
    </row>
    <row r="27">
      <c r="A27" s="8" t="n">
        <v>21</v>
      </c>
      <c r="B27" s="8" t="inlineStr">
        <is>
          <t>Is SIEM access restricted (RBAC, SOC analysts only)?</t>
        </is>
      </c>
      <c r="C27" s="8" t="n"/>
      <c r="D27" s="8" t="n"/>
      <c r="E27" s="8" t="n"/>
    </row>
    <row r="28">
      <c r="A28" s="8" t="n">
        <v>22</v>
      </c>
      <c r="B28" s="8" t="inlineStr">
        <is>
          <t>Are SIEM searches audited (who searched for what)?</t>
        </is>
      </c>
      <c r="C28" s="8" t="n"/>
      <c r="D28" s="8" t="n"/>
      <c r="E28" s="8" t="n"/>
    </row>
    <row r="29">
      <c r="A29" s="8" t="n">
        <v>23</v>
      </c>
      <c r="B29" s="8" t="inlineStr">
        <is>
          <t>Is SIEM backup configured (disaster recovery)?</t>
        </is>
      </c>
      <c r="C29" s="8" t="n"/>
      <c r="D29" s="8" t="n"/>
      <c r="E29" s="8" t="n"/>
    </row>
    <row r="30">
      <c r="A30" s="8" t="n">
        <v>24</v>
      </c>
      <c r="B30" s="8" t="inlineStr">
        <is>
          <t>Are SIEM correlation rules tested (validation, false positive rate)?</t>
        </is>
      </c>
      <c r="C30" s="8" t="n"/>
      <c r="D30" s="8" t="n"/>
      <c r="E30" s="8" t="n"/>
    </row>
    <row r="31">
      <c r="A31" s="8" t="n">
        <v>25</v>
      </c>
      <c r="B31" s="8" t="inlineStr">
        <is>
          <t>Are SIEM correlation rules tuned quarterly?</t>
        </is>
      </c>
      <c r="C31" s="8" t="n"/>
      <c r="D31" s="8" t="n"/>
      <c r="E31" s="8" t="n"/>
    </row>
  </sheetData>
  <mergeCells count="2">
    <mergeCell ref="A2:E2"/>
    <mergeCell ref="A1:E1"/>
  </mergeCells>
  <dataValidations count="1">
    <dataValidation sqref="C7 C8 C9 C10 C11 C12 C13 C14 C15 C16 C17 C18 C19 C20 C21 C22 C23 C24 C25 C26 C27 C28 C29 C30 C31" showDropDown="0" showInputMessage="0" showErrorMessage="0" allowBlank="0" type="list">
      <formula1>"Yes,No,Partial,Planned,N/A"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9"/>
  <sheetViews>
    <sheetView workbookViewId="0">
      <pane ySplit="3" topLeftCell="A4" activePane="bottomLeft" state="frozen"/>
      <selection pane="bottomLeft" activeCell="A1" sqref="A1"/>
    </sheetView>
  </sheetViews>
  <sheetFormatPr baseColWidth="8" defaultRowHeight="15"/>
  <cols>
    <col width="20" customWidth="1" min="1" max="1"/>
    <col width="40" customWidth="1" min="2" max="2"/>
    <col width="20" customWidth="1" min="3" max="3"/>
    <col width="20" customWidth="1" min="4" max="4"/>
    <col width="20" customWidth="1" min="5" max="5"/>
  </cols>
  <sheetData>
    <row r="1" ht="25" customHeight="1">
      <c r="A1" s="1" t="inlineStr">
        <is>
          <t>False Positive Management Assessment</t>
        </is>
      </c>
    </row>
    <row r="2">
      <c r="A2" s="2" t="inlineStr">
        <is>
          <t>Assess false positive tracking, tuning, and management (20 criteria + FP rate table)</t>
        </is>
      </c>
    </row>
    <row r="3">
      <c r="A3" s="6" t="inlineStr">
        <is>
          <t>#</t>
        </is>
      </c>
      <c r="B3" s="6" t="inlineStr">
        <is>
          <t>Requirement</t>
        </is>
      </c>
      <c r="C3" s="6" t="inlineStr">
        <is>
          <t>Compliance</t>
        </is>
      </c>
      <c r="D3" s="6" t="inlineStr">
        <is>
          <t>Evidence ID</t>
        </is>
      </c>
      <c r="E3" s="6" t="inlineStr">
        <is>
          <t>Notes</t>
        </is>
      </c>
    </row>
    <row r="4">
      <c r="A4" s="7" t="n">
        <v>1</v>
      </c>
      <c r="B4" s="7" t="inlineStr">
        <is>
          <t>Is false positive rate measured per alert rule?</t>
        </is>
      </c>
      <c r="C4" s="7" t="inlineStr">
        <is>
          <t>Yes</t>
        </is>
      </c>
      <c r="D4" s="7" t="inlineStr">
        <is>
          <t>A812-4-FP-001</t>
        </is>
      </c>
      <c r="E4" s="7" t="inlineStr">
        <is>
          <t>FP rate tracked per rule in dashboard</t>
        </is>
      </c>
    </row>
    <row r="5">
      <c r="A5" s="7" t="n">
        <v>2</v>
      </c>
      <c r="B5" s="7" t="inlineStr">
        <is>
          <t>Is overall FP rate &lt;10% (target from policy)?</t>
        </is>
      </c>
      <c r="C5" s="7" t="inlineStr">
        <is>
          <t>Partial</t>
        </is>
      </c>
      <c r="D5" s="7" t="inlineStr">
        <is>
          <t>A812-4-FP-002</t>
        </is>
      </c>
      <c r="E5" s="7" t="inlineStr">
        <is>
          <t>Overall 8.7%, close to 10% target</t>
        </is>
      </c>
    </row>
    <row r="6">
      <c r="A6" s="7" t="n">
        <v>3</v>
      </c>
      <c r="B6" s="7" t="inlineStr">
        <is>
          <t>Are DLP rules tuned based on FP analysis?</t>
        </is>
      </c>
      <c r="C6" s="7" t="inlineStr">
        <is>
          <t>Yes</t>
        </is>
      </c>
      <c r="D6" s="7" t="inlineStr">
        <is>
          <t>A812-4-FP-003</t>
        </is>
      </c>
      <c r="E6" s="7" t="inlineStr">
        <is>
          <t>Monthly tuning sessions scheduled</t>
        </is>
      </c>
    </row>
    <row r="7">
      <c r="A7" s="8" t="n">
        <v>1</v>
      </c>
      <c r="B7" s="8" t="inlineStr">
        <is>
          <t>Is false positive rate measured per alert rule?</t>
        </is>
      </c>
      <c r="C7" s="8" t="n"/>
      <c r="D7" s="8" t="n"/>
      <c r="E7" s="8" t="n"/>
    </row>
    <row r="8">
      <c r="A8" s="8" t="n">
        <v>2</v>
      </c>
      <c r="B8" s="8" t="inlineStr">
        <is>
          <t>Is overall FP rate &lt;10% (target from policy)?</t>
        </is>
      </c>
      <c r="C8" s="8" t="n"/>
      <c r="D8" s="8" t="n"/>
      <c r="E8" s="8" t="n"/>
    </row>
    <row r="9">
      <c r="A9" s="8" t="n">
        <v>3</v>
      </c>
      <c r="B9" s="8" t="inlineStr">
        <is>
          <t>Are false positives tracked in ticketing system?</t>
        </is>
      </c>
      <c r="C9" s="8" t="n"/>
      <c r="D9" s="8" t="n"/>
      <c r="E9" s="8" t="n"/>
    </row>
    <row r="10">
      <c r="A10" s="8" t="n">
        <v>4</v>
      </c>
      <c r="B10" s="8" t="inlineStr">
        <is>
          <t>Is FP rate trended over time (monthly)?</t>
        </is>
      </c>
      <c r="C10" s="8" t="n"/>
      <c r="D10" s="8" t="n"/>
      <c r="E10" s="8" t="n"/>
    </row>
    <row r="11">
      <c r="A11" s="8" t="n">
        <v>5</v>
      </c>
      <c r="B11" s="8" t="inlineStr">
        <is>
          <t>Are users able to report false positives (self-service portal)?</t>
        </is>
      </c>
      <c r="C11" s="8" t="n"/>
      <c r="D11" s="8" t="n"/>
      <c r="E11" s="8" t="n"/>
    </row>
    <row r="12">
      <c r="A12" s="8" t="n">
        <v>6</v>
      </c>
      <c r="B12" s="8" t="inlineStr">
        <is>
          <t>Are false positive reports triaged within 24 hours?</t>
        </is>
      </c>
      <c r="C12" s="8" t="n"/>
      <c r="D12" s="8" t="n"/>
      <c r="E12" s="8" t="n"/>
    </row>
    <row r="13">
      <c r="A13" s="8" t="n">
        <v>7</v>
      </c>
      <c r="B13" s="8" t="inlineStr">
        <is>
          <t>Are false positives investigated (root cause analysis)?</t>
        </is>
      </c>
      <c r="C13" s="8" t="n"/>
      <c r="D13" s="8" t="n"/>
      <c r="E13" s="8" t="n"/>
    </row>
    <row r="14">
      <c r="A14" s="8" t="n">
        <v>8</v>
      </c>
      <c r="B14" s="8" t="inlineStr">
        <is>
          <t>Are DLP rules tuned based on FP analysis?</t>
        </is>
      </c>
      <c r="C14" s="8" t="n"/>
      <c r="D14" s="8" t="n"/>
      <c r="E14" s="8" t="n"/>
    </row>
    <row r="15">
      <c r="A15" s="8" t="n">
        <v>9</v>
      </c>
      <c r="B15" s="8" t="inlineStr">
        <is>
          <t>Are legitimate business flows whitelisted (permanent exceptions)?</t>
        </is>
      </c>
      <c r="C15" s="8" t="n"/>
      <c r="D15" s="8" t="n"/>
      <c r="E15" s="8" t="n"/>
    </row>
    <row r="16">
      <c r="A16" s="8" t="n">
        <v>10</v>
      </c>
      <c r="B16" s="8" t="inlineStr">
        <is>
          <t>Are whitelists documented (justification, approver, review date)?</t>
        </is>
      </c>
      <c r="C16" s="8" t="n"/>
      <c r="D16" s="8" t="n"/>
      <c r="E16" s="8" t="n"/>
    </row>
    <row r="17">
      <c r="A17" s="8" t="n">
        <v>11</v>
      </c>
      <c r="B17" s="8" t="inlineStr">
        <is>
          <t>Are whitelists reviewed annually (remove stale exceptions)?</t>
        </is>
      </c>
      <c r="C17" s="8" t="n"/>
      <c r="D17" s="8" t="n"/>
      <c r="E17" s="8" t="n"/>
    </row>
    <row r="18">
      <c r="A18" s="8" t="n">
        <v>12</v>
      </c>
      <c r="B18" s="8" t="inlineStr">
        <is>
          <t>Are high-FP rules disabled or re-tuned?</t>
        </is>
      </c>
      <c r="C18" s="8" t="n"/>
      <c r="D18" s="8" t="n"/>
      <c r="E18" s="8" t="n"/>
    </row>
    <row r="19">
      <c r="A19" s="8" t="n">
        <v>13</v>
      </c>
      <c r="B19" s="8" t="inlineStr">
        <is>
          <t>Are users educated when FP is user error (not DLP issue)?</t>
        </is>
      </c>
      <c r="C19" s="8" t="n"/>
      <c r="D19" s="8" t="n"/>
      <c r="E19" s="8" t="n"/>
    </row>
    <row r="20">
      <c r="A20" s="8" t="n">
        <v>14</v>
      </c>
      <c r="B20" s="8" t="inlineStr">
        <is>
          <t>Is FP tuning tracked (before/after FP rate improvement)?</t>
        </is>
      </c>
      <c r="C20" s="8" t="n"/>
      <c r="D20" s="8" t="n"/>
      <c r="E20" s="8" t="n"/>
    </row>
    <row r="21">
      <c r="A21" s="8" t="n">
        <v>15</v>
      </c>
      <c r="B21" s="8" t="inlineStr">
        <is>
          <t>Are tuning changes tested before production deployment?</t>
        </is>
      </c>
      <c r="C21" s="8" t="n"/>
      <c r="D21" s="8" t="n"/>
      <c r="E21" s="8" t="n"/>
    </row>
    <row r="22">
      <c r="A22" s="8" t="n">
        <v>16</v>
      </c>
      <c r="B22" s="8" t="inlineStr">
        <is>
          <t>Are tuning changes documented (change request, approval)?</t>
        </is>
      </c>
      <c r="C22" s="8" t="n"/>
      <c r="D22" s="8" t="n"/>
      <c r="E22" s="8" t="n"/>
    </row>
    <row r="23">
      <c r="A23" s="8" t="n">
        <v>17</v>
      </c>
      <c r="B23" s="8" t="inlineStr">
        <is>
          <t>Are tuning changes rolled back if new issues arise?</t>
        </is>
      </c>
      <c r="C23" s="8" t="n"/>
      <c r="D23" s="8" t="n"/>
      <c r="E23" s="8" t="n"/>
    </row>
    <row r="24">
      <c r="A24" s="8" t="n">
        <v>18</v>
      </c>
      <c r="B24" s="8" t="inlineStr">
        <is>
          <t>Is FP rate included in SOC performance metrics?</t>
        </is>
      </c>
      <c r="C24" s="8" t="n"/>
      <c r="D24" s="8" t="n"/>
      <c r="E24" s="8" t="n"/>
    </row>
    <row r="25">
      <c r="A25" s="8" t="n">
        <v>19</v>
      </c>
      <c r="B25" s="8" t="inlineStr">
        <is>
          <t>Are FP trends reported to management (monthly)?</t>
        </is>
      </c>
      <c r="C25" s="8" t="n"/>
      <c r="D25" s="8" t="n"/>
      <c r="E25" s="8" t="n"/>
    </row>
    <row r="26">
      <c r="A26" s="8" t="n">
        <v>20</v>
      </c>
      <c r="B26" s="8" t="inlineStr">
        <is>
          <t>Are FP reduction targets set and tracked?</t>
        </is>
      </c>
      <c r="C26" s="8" t="n"/>
      <c r="D26" s="8" t="n"/>
      <c r="E26" s="8" t="n"/>
    </row>
    <row r="28">
      <c r="A28" s="2" t="inlineStr">
        <is>
          <t>FALSE POSITIVE RATE BY ALERT RULE (Top 10 Rules)</t>
        </is>
      </c>
    </row>
    <row r="29">
      <c r="A29" s="6" t="inlineStr">
        <is>
          <t>Alert Rule ID</t>
        </is>
      </c>
      <c r="B29" s="6" t="inlineStr">
        <is>
          <t>Rule Name</t>
        </is>
      </c>
      <c r="C29" s="6" t="inlineStr">
        <is>
          <t>Total Alerts (30d)</t>
        </is>
      </c>
      <c r="D29" s="6" t="inlineStr">
        <is>
          <t>False Positives</t>
        </is>
      </c>
      <c r="E29" s="6" t="inlineStr">
        <is>
          <t>FP Rate %</t>
        </is>
      </c>
      <c r="F29" s="6" t="inlineStr">
        <is>
          <t>Target FP %</t>
        </is>
      </c>
      <c r="G29" s="6" t="inlineStr">
        <is>
          <t>Status</t>
        </is>
      </c>
    </row>
    <row r="30">
      <c r="A30" s="7" t="inlineStr">
        <is>
          <t>ALT-001</t>
        </is>
      </c>
      <c r="B30" s="7" t="inlineStr">
        <is>
          <t>Credentials - Email</t>
        </is>
      </c>
      <c r="C30" s="7" t="n">
        <v>45</v>
      </c>
      <c r="D30" s="7" t="n">
        <v>1</v>
      </c>
      <c r="E30" s="7">
        <f>D30/C30</f>
        <v/>
      </c>
      <c r="F30" s="7" t="inlineStr">
        <is>
          <t>5%</t>
        </is>
      </c>
      <c r="G30" s="7" t="inlineStr">
        <is>
          <t>✅ On Target</t>
        </is>
      </c>
    </row>
    <row r="31">
      <c r="A31" s="7" t="inlineStr">
        <is>
          <t>ALT-002</t>
        </is>
      </c>
      <c r="B31" s="7" t="inlineStr">
        <is>
          <t>PII to External</t>
        </is>
      </c>
      <c r="C31" s="7" t="n">
        <v>230</v>
      </c>
      <c r="D31" s="7" t="n">
        <v>20</v>
      </c>
      <c r="E31" s="7">
        <f>D31/C31</f>
        <v/>
      </c>
      <c r="F31" s="7" t="inlineStr">
        <is>
          <t>10%</t>
        </is>
      </c>
      <c r="G31" s="7" t="inlineStr">
        <is>
          <t>✅ On Target</t>
        </is>
      </c>
    </row>
    <row r="32">
      <c r="A32" s="7" t="inlineStr">
        <is>
          <t>ALT-003</t>
        </is>
      </c>
      <c r="B32" s="7" t="inlineStr">
        <is>
          <t>Source Code GitHub</t>
        </is>
      </c>
      <c r="C32" s="7" t="n">
        <v>12</v>
      </c>
      <c r="D32" s="7" t="n">
        <v>0</v>
      </c>
      <c r="E32" s="7">
        <f>D32/C32</f>
        <v/>
      </c>
      <c r="F32" s="7" t="inlineStr">
        <is>
          <t>5%</t>
        </is>
      </c>
      <c r="G32" s="7" t="inlineStr">
        <is>
          <t>✅ On Target</t>
        </is>
      </c>
    </row>
    <row r="33">
      <c r="A33" s="4" t="n"/>
      <c r="B33" s="4" t="n"/>
      <c r="C33" s="4" t="n"/>
      <c r="D33" s="4" t="n"/>
      <c r="E33">
        <f>IF(C33&gt;0,D33/C33*100,0)</f>
        <v/>
      </c>
      <c r="F33" s="4" t="n"/>
      <c r="G33" s="4" t="n"/>
    </row>
    <row r="34">
      <c r="A34" s="4" t="n"/>
      <c r="B34" s="4" t="n"/>
      <c r="C34" s="4" t="n"/>
      <c r="D34" s="4" t="n"/>
      <c r="E34">
        <f>IF(C34&gt;0,D34/C34*100,0)</f>
        <v/>
      </c>
      <c r="F34" s="4" t="n"/>
      <c r="G34" s="4" t="n"/>
    </row>
    <row r="35">
      <c r="A35" s="4" t="n"/>
      <c r="B35" s="4" t="n"/>
      <c r="C35" s="4" t="n"/>
      <c r="D35" s="4" t="n"/>
      <c r="E35">
        <f>IF(C35&gt;0,D35/C35*100,0)</f>
        <v/>
      </c>
      <c r="F35" s="4" t="n"/>
      <c r="G35" s="4" t="n"/>
    </row>
    <row r="36">
      <c r="A36" s="4" t="n"/>
      <c r="B36" s="4" t="n"/>
      <c r="C36" s="4" t="n"/>
      <c r="D36" s="4" t="n"/>
      <c r="E36">
        <f>IF(C36&gt;0,D36/C36*100,0)</f>
        <v/>
      </c>
      <c r="F36" s="4" t="n"/>
      <c r="G36" s="4" t="n"/>
    </row>
    <row r="37">
      <c r="A37" s="4" t="n"/>
      <c r="B37" s="4" t="n"/>
      <c r="C37" s="4" t="n"/>
      <c r="D37" s="4" t="n"/>
      <c r="E37">
        <f>IF(C37&gt;0,D37/C37*100,0)</f>
        <v/>
      </c>
      <c r="F37" s="4" t="n"/>
      <c r="G37" s="4" t="n"/>
    </row>
    <row r="38">
      <c r="A38" s="4" t="n"/>
      <c r="B38" s="4" t="n"/>
      <c r="C38" s="4" t="n"/>
      <c r="D38" s="4" t="n"/>
      <c r="E38">
        <f>IF(C38&gt;0,D38/C38*100,0)</f>
        <v/>
      </c>
      <c r="F38" s="4" t="n"/>
      <c r="G38" s="4" t="n"/>
    </row>
    <row r="39">
      <c r="A39" s="4" t="n"/>
      <c r="B39" s="4" t="n"/>
      <c r="C39" s="4" t="n"/>
      <c r="D39" s="4" t="n"/>
      <c r="E39">
        <f>IF(C39&gt;0,D39/C39*100,0)</f>
        <v/>
      </c>
      <c r="F39" s="4" t="n"/>
      <c r="G39" s="4" t="n"/>
    </row>
  </sheetData>
  <mergeCells count="3">
    <mergeCell ref="A2:E2"/>
    <mergeCell ref="A1:E1"/>
    <mergeCell ref="A28:G28"/>
  </mergeCells>
  <dataValidations count="1">
    <dataValidation sqref="C7 C8 C9 C10 C11 C12 C13 C14 C15 C16 C17 C18 C19 C20 C21 C22 C23 C24 C25 C26 C27 C28 C29 C30 C31" showDropDown="0" showInputMessage="0" showErrorMessage="0" allowBlank="0" type="list">
      <formula1>"Yes,No,Partial,Planned,N/A"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8"/>
  <sheetViews>
    <sheetView workbookViewId="0">
      <pane ySplit="3" topLeftCell="A4" activePane="bottomLeft" state="frozen"/>
      <selection pane="bottomLeft" activeCell="A1" sqref="A1"/>
    </sheetView>
  </sheetViews>
  <sheetFormatPr baseColWidth="8" defaultRowHeight="15"/>
  <cols>
    <col width="12" customWidth="1" min="1" max="1"/>
    <col width="40" customWidth="1" min="2" max="2"/>
    <col width="20" customWidth="1" min="3" max="3"/>
    <col width="20" customWidth="1" min="4" max="4"/>
    <col width="30" customWidth="1" min="5" max="5"/>
  </cols>
  <sheetData>
    <row r="1" ht="25" customHeight="1">
      <c r="A1" s="1" t="inlineStr">
        <is>
          <t>Incident Response Workflow Assessment</t>
        </is>
      </c>
    </row>
    <row r="2">
      <c r="A2" s="2" t="inlineStr">
        <is>
          <t>Assess incident response procedures and SLA compliance (25 criteria + SLA tracking)</t>
        </is>
      </c>
    </row>
    <row r="3">
      <c r="A3" s="6" t="inlineStr">
        <is>
          <t>#</t>
        </is>
      </c>
      <c r="B3" s="6" t="inlineStr">
        <is>
          <t>Requirement</t>
        </is>
      </c>
      <c r="C3" s="6" t="inlineStr">
        <is>
          <t>Compliance</t>
        </is>
      </c>
      <c r="D3" s="6" t="inlineStr">
        <is>
          <t>Evidence ID</t>
        </is>
      </c>
      <c r="E3" s="6" t="inlineStr">
        <is>
          <t>Notes</t>
        </is>
      </c>
    </row>
    <row r="4">
      <c r="A4" s="7" t="n">
        <v>1</v>
      </c>
      <c r="B4" s="7" t="inlineStr">
        <is>
          <t>Are DLP alerts integrated with incident response workflow?</t>
        </is>
      </c>
      <c r="C4" s="7" t="inlineStr">
        <is>
          <t>Yes</t>
        </is>
      </c>
      <c r="D4" s="7" t="inlineStr">
        <is>
          <t>A812-4-IR-001</t>
        </is>
      </c>
      <c r="E4" s="7" t="inlineStr">
        <is>
          <t>ServiceNow integration complete</t>
        </is>
      </c>
    </row>
    <row r="5">
      <c r="A5" s="7" t="n">
        <v>2</v>
      </c>
      <c r="B5" s="7" t="inlineStr">
        <is>
          <t>Critical alerts: Are alerts triaged within 15 minutes?</t>
        </is>
      </c>
      <c r="C5" s="7" t="inlineStr">
        <is>
          <t>Partial</t>
        </is>
      </c>
      <c r="D5" s="7" t="inlineStr">
        <is>
          <t>A812-4-IR-002</t>
        </is>
      </c>
      <c r="E5" s="7" t="inlineStr">
        <is>
          <t>SLA 87.5%, need improvement</t>
        </is>
      </c>
    </row>
    <row r="6">
      <c r="A6" s="7" t="n">
        <v>3</v>
      </c>
      <c r="B6" s="7" t="inlineStr">
        <is>
          <t>Is Mean Time to Detect (MTTD) measured?</t>
        </is>
      </c>
      <c r="C6" s="7" t="inlineStr">
        <is>
          <t>Yes</t>
        </is>
      </c>
      <c r="D6" s="7" t="inlineStr">
        <is>
          <t>A812-4-IR-003</t>
        </is>
      </c>
      <c r="E6" s="7" t="inlineStr">
        <is>
          <t>MTTD tracked: avg 8 minutes</t>
        </is>
      </c>
    </row>
    <row r="7">
      <c r="A7" s="8" t="n">
        <v>1</v>
      </c>
      <c r="B7" s="8" t="inlineStr">
        <is>
          <t>Are DLP alerts integrated with incident response workflow?</t>
        </is>
      </c>
      <c r="C7" s="8" t="n"/>
      <c r="D7" s="8" t="n"/>
      <c r="E7" s="8" t="n"/>
    </row>
    <row r="8">
      <c r="A8" s="8" t="n">
        <v>2</v>
      </c>
      <c r="B8" s="8" t="inlineStr">
        <is>
          <t>Is incident response procedure documented (playbook)?</t>
        </is>
      </c>
      <c r="C8" s="8" t="n"/>
      <c r="D8" s="8" t="n"/>
      <c r="E8" s="8" t="n"/>
    </row>
    <row r="9">
      <c r="A9" s="8" t="n">
        <v>3</v>
      </c>
      <c r="B9" s="8" t="inlineStr">
        <is>
          <t>Critical alerts: Are alerts triaged within 15 minutes?</t>
        </is>
      </c>
      <c r="C9" s="8" t="n"/>
      <c r="D9" s="8" t="n"/>
      <c r="E9" s="8" t="n"/>
    </row>
    <row r="10">
      <c r="A10" s="8" t="n">
        <v>4</v>
      </c>
      <c r="B10" s="8" t="inlineStr">
        <is>
          <t>High alerts: Are alerts triaged within 1 hour?</t>
        </is>
      </c>
      <c r="C10" s="8" t="n"/>
      <c r="D10" s="8" t="n"/>
      <c r="E10" s="8" t="n"/>
    </row>
    <row r="11">
      <c r="A11" s="8" t="n">
        <v>5</v>
      </c>
      <c r="B11" s="8" t="inlineStr">
        <is>
          <t>Medium alerts: Are alerts triaged within 4 hours?</t>
        </is>
      </c>
      <c r="C11" s="8" t="n"/>
      <c r="D11" s="8" t="n"/>
      <c r="E11" s="8" t="n"/>
    </row>
    <row r="12">
      <c r="A12" s="8" t="n">
        <v>6</v>
      </c>
      <c r="B12" s="8" t="inlineStr">
        <is>
          <t>Low alerts: Are alerts triaged within 24 hours?</t>
        </is>
      </c>
      <c r="C12" s="8" t="n"/>
      <c r="D12" s="8" t="n"/>
      <c r="E12" s="8" t="n"/>
    </row>
    <row r="13">
      <c r="A13" s="8" t="n">
        <v>7</v>
      </c>
      <c r="B13" s="8" t="inlineStr">
        <is>
          <t>Is alert triage documented (who, when, decision)?</t>
        </is>
      </c>
      <c r="C13" s="8" t="n"/>
      <c r="D13" s="8" t="n"/>
      <c r="E13" s="8" t="n"/>
    </row>
    <row r="14">
      <c r="A14" s="8" t="n">
        <v>8</v>
      </c>
      <c r="B14" s="8" t="inlineStr">
        <is>
          <t>Are false positives closed with justification?</t>
        </is>
      </c>
      <c r="C14" s="8" t="n"/>
      <c r="D14" s="8" t="n"/>
      <c r="E14" s="8" t="n"/>
    </row>
    <row r="15">
      <c r="A15" s="8" t="n">
        <v>9</v>
      </c>
      <c r="B15" s="8" t="inlineStr">
        <is>
          <t>Are true positives escalated to incident response team?</t>
        </is>
      </c>
      <c r="C15" s="8" t="n"/>
      <c r="D15" s="8" t="n"/>
      <c r="E15" s="8" t="n"/>
    </row>
    <row r="16">
      <c r="A16" s="8" t="n">
        <v>10</v>
      </c>
      <c r="B16" s="8" t="inlineStr">
        <is>
          <t>Are users contacted for business justification (High alerts)?</t>
        </is>
      </c>
      <c r="C16" s="8" t="n"/>
      <c r="D16" s="8" t="n"/>
      <c r="E16" s="8" t="n"/>
    </row>
    <row r="17">
      <c r="A17" s="8" t="n">
        <v>11</v>
      </c>
      <c r="B17" s="8" t="inlineStr">
        <is>
          <t>Are user managers contacted for approval (policy exceptions)?</t>
        </is>
      </c>
      <c r="C17" s="8" t="n"/>
      <c r="D17" s="8" t="n"/>
      <c r="E17" s="8" t="n"/>
    </row>
    <row r="18">
      <c r="A18" s="8" t="n">
        <v>12</v>
      </c>
      <c r="B18" s="8" t="inlineStr">
        <is>
          <t>Are incidents assigned severity based on data classification?</t>
        </is>
      </c>
      <c r="C18" s="8" t="n"/>
      <c r="D18" s="8" t="n"/>
      <c r="E18" s="8" t="n"/>
    </row>
    <row r="19">
      <c r="A19" s="8" t="n">
        <v>13</v>
      </c>
      <c r="B19" s="8" t="inlineStr">
        <is>
          <t>Are incidents assigned to appropriate team (SOC, IR, Legal)?</t>
        </is>
      </c>
      <c r="C19" s="8" t="n"/>
      <c r="D19" s="8" t="n"/>
      <c r="E19" s="8" t="n"/>
    </row>
    <row r="20">
      <c r="A20" s="8" t="n">
        <v>14</v>
      </c>
      <c r="B20" s="8" t="inlineStr">
        <is>
          <t>Is containment performed (block user, disable account, isolate endpoint)?</t>
        </is>
      </c>
      <c r="C20" s="8" t="n"/>
      <c r="D20" s="8" t="n"/>
      <c r="E20" s="8" t="n"/>
    </row>
    <row r="21">
      <c r="A21" s="8" t="n">
        <v>15</v>
      </c>
      <c r="B21" s="8" t="inlineStr">
        <is>
          <t>Is investigation performed (correlate with other events)?</t>
        </is>
      </c>
      <c r="C21" s="8" t="n"/>
      <c r="D21" s="8" t="n"/>
      <c r="E21" s="8" t="n"/>
    </row>
    <row r="22">
      <c r="A22" s="8" t="n">
        <v>16</v>
      </c>
      <c r="B22" s="8" t="inlineStr">
        <is>
          <t>Is evidence collected (logs, screenshots, file samples)?</t>
        </is>
      </c>
      <c r="C22" s="8" t="n"/>
      <c r="D22" s="8" t="n"/>
      <c r="E22" s="8" t="n"/>
    </row>
    <row r="23">
      <c r="A23" s="8" t="n">
        <v>17</v>
      </c>
      <c r="B23" s="8" t="inlineStr">
        <is>
          <t>Is evidence preserved (chain of custody)?</t>
        </is>
      </c>
      <c r="C23" s="8" t="n"/>
      <c r="D23" s="8" t="n"/>
      <c r="E23" s="8" t="n"/>
    </row>
    <row r="24">
      <c r="A24" s="8" t="n">
        <v>18</v>
      </c>
      <c r="B24" s="8" t="inlineStr">
        <is>
          <t>Are incidents reported to management (Critical/High)?</t>
        </is>
      </c>
      <c r="C24" s="8" t="n"/>
      <c r="D24" s="8" t="n"/>
      <c r="E24" s="8" t="n"/>
    </row>
    <row r="25">
      <c r="A25" s="8" t="n">
        <v>19</v>
      </c>
      <c r="B25" s="8" t="inlineStr">
        <is>
          <t>Are incidents reported to DPO (personal data breaches)?</t>
        </is>
      </c>
      <c r="C25" s="8" t="n"/>
      <c r="D25" s="8" t="n"/>
      <c r="E25" s="8" t="n"/>
    </row>
    <row r="26">
      <c r="A26" s="8" t="n">
        <v>20</v>
      </c>
      <c r="B26" s="8" t="inlineStr">
        <is>
          <t>Are incidents reported to CISO (all Critical incidents)?</t>
        </is>
      </c>
      <c r="C26" s="8" t="n"/>
      <c r="D26" s="8" t="n"/>
      <c r="E26" s="8" t="n"/>
    </row>
    <row r="27">
      <c r="A27" s="8" t="n">
        <v>21</v>
      </c>
      <c r="B27" s="8" t="inlineStr">
        <is>
          <t>Are incidents reported to Legal (potential litigation)?</t>
        </is>
      </c>
      <c r="C27" s="8" t="n"/>
      <c r="D27" s="8" t="n"/>
      <c r="E27" s="8" t="n"/>
    </row>
    <row r="28">
      <c r="A28" s="8" t="n">
        <v>22</v>
      </c>
      <c r="B28" s="8" t="inlineStr">
        <is>
          <t>Is remediation tracked (close incident when resolved)?</t>
        </is>
      </c>
      <c r="C28" s="8" t="n"/>
      <c r="D28" s="8" t="n"/>
      <c r="E28" s="8" t="n"/>
    </row>
    <row r="29">
      <c r="A29" s="8" t="n">
        <v>23</v>
      </c>
      <c r="B29" s="8" t="inlineStr">
        <is>
          <t>Is Mean Time to Detect (MTTD) measured?</t>
        </is>
      </c>
      <c r="C29" s="8" t="n"/>
      <c r="D29" s="8" t="n"/>
      <c r="E29" s="8" t="n"/>
    </row>
    <row r="30">
      <c r="A30" s="8" t="n">
        <v>24</v>
      </c>
      <c r="B30" s="8" t="inlineStr">
        <is>
          <t>Is Mean Time to Respond (MTTR) measured?</t>
        </is>
      </c>
      <c r="C30" s="8" t="n"/>
      <c r="D30" s="8" t="n"/>
      <c r="E30" s="8" t="n"/>
    </row>
    <row r="31">
      <c r="A31" s="8" t="n">
        <v>25</v>
      </c>
      <c r="B31" s="8" t="inlineStr">
        <is>
          <t>Are lessons learned documented (post-incident review)?</t>
        </is>
      </c>
      <c r="C31" s="8" t="n"/>
      <c r="D31" s="8" t="n"/>
      <c r="E31" s="8" t="n"/>
    </row>
    <row r="33">
      <c r="A33" s="2" t="inlineStr">
        <is>
          <t>SLA COMPLIANCE TRACKING (Last 30 Days)</t>
        </is>
      </c>
    </row>
    <row r="34">
      <c r="A34" s="6" t="inlineStr">
        <is>
          <t>Severity</t>
        </is>
      </c>
      <c r="B34" s="6" t="inlineStr">
        <is>
          <t>SLA Target</t>
        </is>
      </c>
      <c r="C34" s="6" t="inlineStr">
        <is>
          <t>Incidents (30d)</t>
        </is>
      </c>
      <c r="D34" s="6" t="inlineStr">
        <is>
          <t>Within SLA</t>
        </is>
      </c>
      <c r="E34" s="6" t="inlineStr">
        <is>
          <t>SLA Compliance %</t>
        </is>
      </c>
    </row>
    <row r="35">
      <c r="A35" t="inlineStr">
        <is>
          <t>Critical</t>
        </is>
      </c>
      <c r="B35" t="inlineStr">
        <is>
          <t>15 minutes</t>
        </is>
      </c>
      <c r="C35" s="4" t="n">
        <v>8</v>
      </c>
      <c r="D35" s="4" t="n">
        <v>7</v>
      </c>
      <c r="E35">
        <f>D35/C35*100</f>
        <v/>
      </c>
    </row>
    <row r="36">
      <c r="A36" t="inlineStr">
        <is>
          <t>High</t>
        </is>
      </c>
      <c r="B36" t="inlineStr">
        <is>
          <t>1 hour</t>
        </is>
      </c>
      <c r="C36" s="4" t="n">
        <v>35</v>
      </c>
      <c r="D36" s="4" t="n">
        <v>32</v>
      </c>
      <c r="E36">
        <f>D36/C36*100</f>
        <v/>
      </c>
    </row>
    <row r="37">
      <c r="A37" t="inlineStr">
        <is>
          <t>Medium</t>
        </is>
      </c>
      <c r="B37" t="inlineStr">
        <is>
          <t>4 hours</t>
        </is>
      </c>
      <c r="C37" s="4" t="n">
        <v>120</v>
      </c>
      <c r="D37" s="4" t="n">
        <v>115</v>
      </c>
      <c r="E37">
        <f>D37/C37*100</f>
        <v/>
      </c>
    </row>
    <row r="38">
      <c r="A38" t="inlineStr">
        <is>
          <t>Low</t>
        </is>
      </c>
      <c r="B38" t="inlineStr">
        <is>
          <t>24 hours</t>
        </is>
      </c>
      <c r="C38" s="4" t="n">
        <v>450</v>
      </c>
      <c r="D38" s="4" t="n">
        <v>448</v>
      </c>
      <c r="E38">
        <f>D38/C38*100</f>
        <v/>
      </c>
    </row>
  </sheetData>
  <mergeCells count="3">
    <mergeCell ref="A2:E2"/>
    <mergeCell ref="A1:E1"/>
    <mergeCell ref="A33:E33"/>
  </mergeCells>
  <dataValidations count="1">
    <dataValidation sqref="C7 C8 C9 C10 C11 C12 C13 C14 C15 C16 C17 C18 C19 C20 C21 C22 C23 C24 C25 C26 C27 C28 C29 C30 C31" showDropDown="0" showInputMessage="0" showErrorMessage="0" allowBlank="0" type="list">
      <formula1>"Yes,No,Partial,Planned,N/A"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6"/>
  <sheetViews>
    <sheetView workbookViewId="0">
      <pane ySplit="3" topLeftCell="A4" activePane="bottomLeft" state="frozen"/>
      <selection pane="bottomLeft" activeCell="A1" sqref="A1"/>
    </sheetView>
  </sheetViews>
  <sheetFormatPr baseColWidth="8" defaultRowHeight="15"/>
  <cols>
    <col width="12" customWidth="1" min="1" max="1"/>
    <col width="40" customWidth="1" min="2" max="2"/>
    <col width="20" customWidth="1" min="3" max="3"/>
    <col width="20" customWidth="1" min="4" max="4"/>
    <col width="30" customWidth="1" min="5" max="5"/>
  </cols>
  <sheetData>
    <row r="1" ht="25" customHeight="1">
      <c r="A1" s="1" t="inlineStr">
        <is>
          <t>SOC Integration Assessment</t>
        </is>
      </c>
    </row>
    <row r="2">
      <c r="A2" s="2" t="inlineStr">
        <is>
          <t>Assess SOC alert workflow, escalation, and staffing (20 criteria)</t>
        </is>
      </c>
    </row>
    <row r="3">
      <c r="A3" s="6" t="inlineStr">
        <is>
          <t>#</t>
        </is>
      </c>
      <c r="B3" s="6" t="inlineStr">
        <is>
          <t>Requirement</t>
        </is>
      </c>
      <c r="C3" s="6" t="inlineStr">
        <is>
          <t>Compliance</t>
        </is>
      </c>
      <c r="D3" s="6" t="inlineStr">
        <is>
          <t>Evidence ID</t>
        </is>
      </c>
      <c r="E3" s="6" t="inlineStr">
        <is>
          <t>Notes</t>
        </is>
      </c>
    </row>
    <row r="4">
      <c r="A4" s="7" t="n">
        <v>1</v>
      </c>
      <c r="B4" s="7" t="inlineStr">
        <is>
          <t>Are DLP alerts integrated with SOC workflow?</t>
        </is>
      </c>
      <c r="C4" s="7" t="inlineStr">
        <is>
          <t>Yes</t>
        </is>
      </c>
      <c r="D4" s="7" t="inlineStr">
        <is>
          <t>A812-4-SOC-001</t>
        </is>
      </c>
      <c r="E4" s="7" t="inlineStr">
        <is>
          <t>ServiceNow integration complete</t>
        </is>
      </c>
    </row>
    <row r="5">
      <c r="A5" s="7" t="n">
        <v>2</v>
      </c>
      <c r="B5" s="7" t="inlineStr">
        <is>
          <t>Are SOC analysts trained on DLP alert triage?</t>
        </is>
      </c>
      <c r="C5" s="7" t="inlineStr">
        <is>
          <t>Partial</t>
        </is>
      </c>
      <c r="D5" s="7" t="inlineStr">
        <is>
          <t>A812-4-SOC-002</t>
        </is>
      </c>
      <c r="E5" s="7" t="inlineStr">
        <is>
          <t>Training scheduled for Q1</t>
        </is>
      </c>
    </row>
    <row r="6">
      <c r="A6" s="7" t="n">
        <v>3</v>
      </c>
      <c r="B6" s="7" t="inlineStr">
        <is>
          <t>Is SOC coverage 24/7 (for Critical DLP alerts)?</t>
        </is>
      </c>
      <c r="C6" s="7" t="inlineStr">
        <is>
          <t>Yes</t>
        </is>
      </c>
      <c r="D6" s="7" t="inlineStr">
        <is>
          <t>A812-4-SOC-003</t>
        </is>
      </c>
      <c r="E6" s="7" t="inlineStr">
        <is>
          <t>24/7 coverage with on-call</t>
        </is>
      </c>
    </row>
    <row r="7">
      <c r="A7" s="8" t="n">
        <v>1</v>
      </c>
      <c r="B7" s="8" t="inlineStr">
        <is>
          <t>Are DLP alerts integrated with SOC workflow?</t>
        </is>
      </c>
      <c r="C7" s="8" t="n"/>
      <c r="D7" s="8" t="n"/>
      <c r="E7" s="8" t="n"/>
    </row>
    <row r="8">
      <c r="A8" s="8" t="n">
        <v>2</v>
      </c>
      <c r="B8" s="8" t="inlineStr">
        <is>
          <t>Are Critical alerts delivered to SOC (SIEM + SMS/PagerDuty)?</t>
        </is>
      </c>
      <c r="C8" s="8" t="n"/>
      <c r="D8" s="8" t="n"/>
      <c r="E8" s="8" t="n"/>
    </row>
    <row r="9">
      <c r="A9" s="8" t="n">
        <v>3</v>
      </c>
      <c r="B9" s="8" t="inlineStr">
        <is>
          <t>Are High alerts delivered to SOC (SIEM + Email)?</t>
        </is>
      </c>
      <c r="C9" s="8" t="n"/>
      <c r="D9" s="8" t="n"/>
      <c r="E9" s="8" t="n"/>
    </row>
    <row r="10">
      <c r="A10" s="8" t="n">
        <v>4</v>
      </c>
      <c r="B10" s="8" t="inlineStr">
        <is>
          <t>Are SOC analysts trained on DLP alert triage?</t>
        </is>
      </c>
      <c r="C10" s="8" t="n"/>
      <c r="D10" s="8" t="n"/>
      <c r="E10" s="8" t="n"/>
    </row>
    <row r="11">
      <c r="A11" s="8" t="n">
        <v>5</v>
      </c>
      <c r="B11" s="8" t="inlineStr">
        <is>
          <t>Is DLP training part of SOC analyst onboarding?</t>
        </is>
      </c>
      <c r="C11" s="8" t="n"/>
      <c r="D11" s="8" t="n"/>
      <c r="E11" s="8" t="n"/>
    </row>
    <row r="12">
      <c r="A12" s="8" t="n">
        <v>6</v>
      </c>
      <c r="B12" s="8" t="inlineStr">
        <is>
          <t>Is DLP triage playbook documented (step-by-step)?</t>
        </is>
      </c>
      <c r="C12" s="8" t="n"/>
      <c r="D12" s="8" t="n"/>
      <c r="E12" s="8" t="n"/>
    </row>
    <row r="13">
      <c r="A13" s="8" t="n">
        <v>7</v>
      </c>
      <c r="B13" s="8" t="inlineStr">
        <is>
          <t>Is escalation matrix documented (L1 → L2 → IR → Management)?</t>
        </is>
      </c>
      <c r="C13" s="8" t="n"/>
      <c r="D13" s="8" t="n"/>
      <c r="E13" s="8" t="n"/>
    </row>
    <row r="14">
      <c r="A14" s="8" t="n">
        <v>8</v>
      </c>
      <c r="B14" s="8" t="inlineStr">
        <is>
          <t>Are SOC analysts able to escalate to DLP admin?</t>
        </is>
      </c>
      <c r="C14" s="8" t="n"/>
      <c r="D14" s="8" t="n"/>
      <c r="E14" s="8" t="n"/>
    </row>
    <row r="15">
      <c r="A15" s="8" t="n">
        <v>9</v>
      </c>
      <c r="B15" s="8" t="inlineStr">
        <is>
          <t>Are SOC analysts able to escalate to user manager?</t>
        </is>
      </c>
      <c r="C15" s="8" t="n"/>
      <c r="D15" s="8" t="n"/>
      <c r="E15" s="8" t="n"/>
    </row>
    <row r="16">
      <c r="A16" s="8" t="n">
        <v>10</v>
      </c>
      <c r="B16" s="8" t="inlineStr">
        <is>
          <t>Are SOC analysts able to escalate to Legal/DPO?</t>
        </is>
      </c>
      <c r="C16" s="8" t="n"/>
      <c r="D16" s="8" t="n"/>
      <c r="E16" s="8" t="n"/>
    </row>
    <row r="17">
      <c r="A17" s="8" t="n">
        <v>11</v>
      </c>
      <c r="B17" s="8" t="inlineStr">
        <is>
          <t>Is SOC coverage 24/7 (for Critical DLP alerts)?</t>
        </is>
      </c>
      <c r="C17" s="8" t="n"/>
      <c r="D17" s="8" t="n"/>
      <c r="E17" s="8" t="n"/>
    </row>
    <row r="18">
      <c r="A18" s="8" t="n">
        <v>12</v>
      </c>
      <c r="B18" s="8" t="inlineStr">
        <is>
          <t>Is SOC coverage business hours only (9-5) for Medium/Low alerts?</t>
        </is>
      </c>
      <c r="C18" s="8" t="n"/>
      <c r="D18" s="8" t="n"/>
      <c r="E18" s="8" t="n"/>
    </row>
    <row r="19">
      <c r="A19" s="8" t="n">
        <v>13</v>
      </c>
      <c r="B19" s="8" t="inlineStr">
        <is>
          <t>Is on-call rotation defined (after-hours Critical alerts)?</t>
        </is>
      </c>
      <c r="C19" s="8" t="n"/>
      <c r="D19" s="8" t="n"/>
      <c r="E19" s="8" t="n"/>
    </row>
    <row r="20">
      <c r="A20" s="8" t="n">
        <v>14</v>
      </c>
      <c r="B20" s="8" t="inlineStr">
        <is>
          <t>Are SOC metrics tracked (alert volume, triage time, SLA compliance)?</t>
        </is>
      </c>
      <c r="C20" s="8" t="n"/>
      <c r="D20" s="8" t="n"/>
      <c r="E20" s="8" t="n"/>
    </row>
    <row r="21">
      <c r="A21" s="8" t="n">
        <v>15</v>
      </c>
      <c r="B21" s="8" t="inlineStr">
        <is>
          <t>Are SOC metrics reported to management (monthly)?</t>
        </is>
      </c>
      <c r="C21" s="8" t="n"/>
      <c r="D21" s="8" t="n"/>
      <c r="E21" s="8" t="n"/>
    </row>
    <row r="22">
      <c r="A22" s="8" t="n">
        <v>16</v>
      </c>
      <c r="B22" s="8" t="inlineStr">
        <is>
          <t>Is SOC staffing adequate (not overwhelmed by alert volume)?</t>
        </is>
      </c>
      <c r="C22" s="8" t="n"/>
      <c r="D22" s="8" t="n"/>
      <c r="E22" s="8" t="n"/>
    </row>
    <row r="23">
      <c r="A23" s="8" t="n">
        <v>17</v>
      </c>
      <c r="B23" s="8" t="inlineStr">
        <is>
          <t>Is SOC burnout monitored (high alert volume, turnover rate)?</t>
        </is>
      </c>
      <c r="C23" s="8" t="n"/>
      <c r="D23" s="8" t="n"/>
      <c r="E23" s="8" t="n"/>
    </row>
    <row r="24">
      <c r="A24" s="8" t="n">
        <v>18</v>
      </c>
      <c r="B24" s="8" t="inlineStr">
        <is>
          <t>Are SOC tools adequate (SIEM, ticketing, communication)?</t>
        </is>
      </c>
      <c r="C24" s="8" t="n"/>
      <c r="D24" s="8" t="n"/>
      <c r="E24" s="8" t="n"/>
    </row>
    <row r="25">
      <c r="A25" s="8" t="n">
        <v>19</v>
      </c>
      <c r="B25" s="8" t="inlineStr">
        <is>
          <t>Is SOC performance reviewed quarterly?</t>
        </is>
      </c>
      <c r="C25" s="8" t="n"/>
      <c r="D25" s="8" t="n"/>
      <c r="E25" s="8" t="n"/>
    </row>
    <row r="26">
      <c r="A26" s="8" t="n">
        <v>20</v>
      </c>
      <c r="B26" s="8" t="inlineStr">
        <is>
          <t>Are SOC improvements implemented (based on performance review)?</t>
        </is>
      </c>
      <c r="C26" s="8" t="n"/>
      <c r="D26" s="8" t="n"/>
      <c r="E26" s="8" t="n"/>
    </row>
  </sheetData>
  <mergeCells count="2">
    <mergeCell ref="A2:E2"/>
    <mergeCell ref="A1:E1"/>
  </mergeCells>
  <dataValidations count="1">
    <dataValidation sqref="C7 C8 C9 C10 C11 C12 C13 C14 C15 C16 C17 C18 C19 C20 C21 C22 C23 C24 C25 C26 C27 C28 C29 C30 C31" showDropDown="0" showInputMessage="0" showErrorMessage="0" allowBlank="0" type="list">
      <formula1>"Yes,No,Partial,Planned,N/A"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6"/>
  <sheetViews>
    <sheetView workbookViewId="0">
      <pane ySplit="3" topLeftCell="A4" activePane="bottomLeft" state="frozen"/>
      <selection pane="bottomLeft" activeCell="A1" sqref="A1"/>
    </sheetView>
  </sheetViews>
  <sheetFormatPr baseColWidth="8" defaultRowHeight="15"/>
  <cols>
    <col width="12" customWidth="1" min="1" max="1"/>
    <col width="40" customWidth="1" min="2" max="2"/>
    <col width="20" customWidth="1" min="3" max="3"/>
    <col width="20" customWidth="1" min="4" max="4"/>
    <col width="30" customWidth="1" min="5" max="5"/>
  </cols>
  <sheetData>
    <row r="1" ht="25" customHeight="1">
      <c r="A1" s="1" t="inlineStr">
        <is>
          <t>Dashboards &amp; Reporting Assessment</t>
        </is>
      </c>
    </row>
    <row r="2">
      <c r="A2" s="2" t="inlineStr">
        <is>
          <t>Assess dashboard and reporting capabilities (20 criteria)</t>
        </is>
      </c>
    </row>
    <row r="3">
      <c r="A3" s="6" t="inlineStr">
        <is>
          <t>#</t>
        </is>
      </c>
      <c r="B3" s="6" t="inlineStr">
        <is>
          <t>Requirement</t>
        </is>
      </c>
      <c r="C3" s="6" t="inlineStr">
        <is>
          <t>Compliance</t>
        </is>
      </c>
      <c r="D3" s="6" t="inlineStr">
        <is>
          <t>Evidence ID</t>
        </is>
      </c>
      <c r="E3" s="6" t="inlineStr">
        <is>
          <t>Notes</t>
        </is>
      </c>
    </row>
    <row r="4">
      <c r="A4" s="7" t="n">
        <v>1</v>
      </c>
      <c r="B4" s="7" t="inlineStr">
        <is>
          <t>Is real-time SOC dashboard configured (alert queue)?</t>
        </is>
      </c>
      <c r="C4" s="7" t="inlineStr">
        <is>
          <t>Yes</t>
        </is>
      </c>
      <c r="D4" s="7" t="inlineStr">
        <is>
          <t>A812-4-DASH-001</t>
        </is>
      </c>
      <c r="E4" s="7" t="inlineStr">
        <is>
          <t>Splunk SOC dashboard live</t>
        </is>
      </c>
    </row>
    <row r="5">
      <c r="A5" s="7" t="n">
        <v>2</v>
      </c>
      <c r="B5" s="7" t="inlineStr">
        <is>
          <t>Is executive dashboard configured (updated daily)?</t>
        </is>
      </c>
      <c r="C5" s="7" t="inlineStr">
        <is>
          <t>Partial</t>
        </is>
      </c>
      <c r="D5" s="7" t="inlineStr">
        <is>
          <t>A812-4-DASH-002</t>
        </is>
      </c>
      <c r="E5" s="7" t="inlineStr">
        <is>
          <t>Executive dashboard in development</t>
        </is>
      </c>
    </row>
    <row r="6">
      <c r="A6" s="7" t="n">
        <v>3</v>
      </c>
      <c r="B6" s="7" t="inlineStr">
        <is>
          <t>Are weekly reports generated (Security Team)?</t>
        </is>
      </c>
      <c r="C6" s="7" t="inlineStr">
        <is>
          <t>Yes</t>
        </is>
      </c>
      <c r="D6" s="7" t="inlineStr">
        <is>
          <t>A812-4-DASH-003</t>
        </is>
      </c>
      <c r="E6" s="7" t="inlineStr">
        <is>
          <t>Weekly reports automated</t>
        </is>
      </c>
    </row>
    <row r="7">
      <c r="A7" s="8" t="n">
        <v>1</v>
      </c>
      <c r="B7" s="8" t="inlineStr">
        <is>
          <t>Is real-time SOC dashboard configured (alert queue)?</t>
        </is>
      </c>
      <c r="C7" s="8" t="n"/>
      <c r="D7" s="8" t="n"/>
      <c r="E7" s="8" t="n"/>
    </row>
    <row r="8">
      <c r="A8" s="8" t="n">
        <v>2</v>
      </c>
      <c r="B8" s="8" t="inlineStr">
        <is>
          <t>SOC Dashboard: Shows Critical/High/Medium alerts pending triage?</t>
        </is>
      </c>
      <c r="C8" s="8" t="n"/>
      <c r="D8" s="8" t="n"/>
      <c r="E8" s="8" t="n"/>
    </row>
    <row r="9">
      <c r="A9" s="8" t="n">
        <v>3</v>
      </c>
      <c r="B9" s="8" t="inlineStr">
        <is>
          <t>SOC Dashboard: Shows alert volume over time (hourly)?</t>
        </is>
      </c>
      <c r="C9" s="8" t="n"/>
      <c r="D9" s="8" t="n"/>
      <c r="E9" s="8" t="n"/>
    </row>
    <row r="10">
      <c r="A10" s="8" t="n">
        <v>4</v>
      </c>
      <c r="B10" s="8" t="inlineStr">
        <is>
          <t>SOC Dashboard: Shows top blocked users (last 24 hours)?</t>
        </is>
      </c>
      <c r="C10" s="8" t="n"/>
      <c r="D10" s="8" t="n"/>
      <c r="E10" s="8" t="n"/>
    </row>
    <row r="11">
      <c r="A11" s="8" t="n">
        <v>5</v>
      </c>
      <c r="B11" s="8" t="inlineStr">
        <is>
          <t>SOC Dashboard: Shows top blocked channels (email, USB, web)?</t>
        </is>
      </c>
      <c r="C11" s="8" t="n"/>
      <c r="D11" s="8" t="n"/>
      <c r="E11" s="8" t="n"/>
    </row>
    <row r="12">
      <c r="A12" s="8" t="n">
        <v>6</v>
      </c>
      <c r="B12" s="8" t="inlineStr">
        <is>
          <t>SOC Dashboard: Shows false positive rate (rolling 7-day average)?</t>
        </is>
      </c>
      <c r="C12" s="8" t="n"/>
      <c r="D12" s="8" t="n"/>
      <c r="E12" s="8" t="n"/>
    </row>
    <row r="13">
      <c r="A13" s="8" t="n">
        <v>7</v>
      </c>
      <c r="B13" s="8" t="inlineStr">
        <is>
          <t>Is executive dashboard configured (updated daily)?</t>
        </is>
      </c>
      <c r="C13" s="8" t="n"/>
      <c r="D13" s="8" t="n"/>
      <c r="E13" s="8" t="n"/>
    </row>
    <row r="14">
      <c r="A14" s="8" t="n">
        <v>8</v>
      </c>
      <c r="B14" s="8" t="inlineStr">
        <is>
          <t>Executive Dashboard: Shows Critical incidents (last 30 days)?</t>
        </is>
      </c>
      <c r="C14" s="8" t="n"/>
      <c r="D14" s="8" t="n"/>
      <c r="E14" s="8" t="n"/>
    </row>
    <row r="15">
      <c r="A15" s="8" t="n">
        <v>9</v>
      </c>
      <c r="B15" s="8" t="inlineStr">
        <is>
          <t>Executive Dashboard: Shows DLP effectiveness (prevented incidents)?</t>
        </is>
      </c>
      <c r="C15" s="8" t="n"/>
      <c r="D15" s="8" t="n"/>
      <c r="E15" s="8" t="n"/>
    </row>
    <row r="16">
      <c r="A16" s="8" t="n">
        <v>10</v>
      </c>
      <c r="B16" s="8" t="inlineStr">
        <is>
          <t>Executive Dashboard: Shows compliance metrics (coverage %, enforcement rate)?</t>
        </is>
      </c>
      <c r="C16" s="8" t="n"/>
      <c r="D16" s="8" t="n"/>
      <c r="E16" s="8" t="n"/>
    </row>
    <row r="17">
      <c r="A17" s="8" t="n">
        <v>11</v>
      </c>
      <c r="B17" s="8" t="inlineStr">
        <is>
          <t>Executive Dashboard: Shows risk heatmap (users, departments, channels)?</t>
        </is>
      </c>
      <c r="C17" s="8" t="n"/>
      <c r="D17" s="8" t="n"/>
      <c r="E17" s="8" t="n"/>
    </row>
    <row r="18">
      <c r="A18" s="8" t="n">
        <v>12</v>
      </c>
      <c r="B18" s="8" t="inlineStr">
        <is>
          <t>Are weekly reports generated (Security Team)?</t>
        </is>
      </c>
      <c r="C18" s="8" t="n"/>
      <c r="D18" s="8" t="n"/>
      <c r="E18" s="8" t="n"/>
    </row>
    <row r="19">
      <c r="A19" s="8" t="n">
        <v>13</v>
      </c>
      <c r="B19" s="8" t="inlineStr">
        <is>
          <t>Weekly Report: Alert summary (Critical/High/Medium/Low counts)?</t>
        </is>
      </c>
      <c r="C19" s="8" t="n"/>
      <c r="D19" s="8" t="n"/>
      <c r="E19" s="8" t="n"/>
    </row>
    <row r="20">
      <c r="A20" s="8" t="n">
        <v>14</v>
      </c>
      <c r="B20" s="8" t="inlineStr">
        <is>
          <t>Weekly Report: Top users by alert volume?</t>
        </is>
      </c>
      <c r="C20" s="8" t="n"/>
      <c r="D20" s="8" t="n"/>
      <c r="E20" s="8" t="n"/>
    </row>
    <row r="21">
      <c r="A21" s="8" t="n">
        <v>15</v>
      </c>
      <c r="B21" s="8" t="inlineStr">
        <is>
          <t>Weekly Report: False positive trend?</t>
        </is>
      </c>
      <c r="C21" s="8" t="n"/>
      <c r="D21" s="8" t="n"/>
      <c r="E21" s="8" t="n"/>
    </row>
    <row r="22">
      <c r="A22" s="8" t="n">
        <v>16</v>
      </c>
      <c r="B22" s="8" t="inlineStr">
        <is>
          <t>Are monthly reports generated (Management)?</t>
        </is>
      </c>
      <c r="C22" s="8" t="n"/>
      <c r="D22" s="8" t="n"/>
      <c r="E22" s="8" t="n"/>
    </row>
    <row r="23">
      <c r="A23" s="8" t="n">
        <v>17</v>
      </c>
      <c r="B23" s="8" t="inlineStr">
        <is>
          <t>Monthly Report: Executive summary (1-page, business language)?</t>
        </is>
      </c>
      <c r="C23" s="8" t="n"/>
      <c r="D23" s="8" t="n"/>
      <c r="E23" s="8" t="n"/>
    </row>
    <row r="24">
      <c r="A24" s="8" t="n">
        <v>18</v>
      </c>
      <c r="B24" s="8" t="inlineStr">
        <is>
          <t>Monthly Report: Incident summary (critical events, resolved vs ongoing)?</t>
        </is>
      </c>
      <c r="C24" s="8" t="n"/>
      <c r="D24" s="8" t="n"/>
      <c r="E24" s="8" t="n"/>
    </row>
    <row r="25">
      <c r="A25" s="8" t="n">
        <v>19</v>
      </c>
      <c r="B25" s="8" t="inlineStr">
        <is>
          <t>Are quarterly reports generated (CISO/Board)?</t>
        </is>
      </c>
      <c r="C25" s="8" t="n"/>
      <c r="D25" s="8" t="n"/>
      <c r="E25" s="8" t="n"/>
    </row>
    <row r="26">
      <c r="A26" s="8" t="n">
        <v>20</v>
      </c>
      <c r="B26" s="8" t="inlineStr">
        <is>
          <t>Quarterly Report: Strategic risk assessment, ROI analysis?</t>
        </is>
      </c>
      <c r="C26" s="8" t="n"/>
      <c r="D26" s="8" t="n"/>
      <c r="E26" s="8" t="n"/>
    </row>
  </sheetData>
  <mergeCells count="2">
    <mergeCell ref="A2:E2"/>
    <mergeCell ref="A1:E1"/>
  </mergeCells>
  <dataValidations count="1">
    <dataValidation sqref="C7 C8 C9 C10 C11 C12 C13 C14 C15 C16 C17 C18 C19 C20 C21 C22 C23 C24 C25 C26 C27 C28 C29 C30 C31" showDropDown="0" showInputMessage="0" showErrorMessage="0" allowBlank="0" type="list">
      <formula1>"Yes,No,Partial,Planned,N/A"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3"/>
  <sheetViews>
    <sheetView workbookViewId="0">
      <pane ySplit="3" topLeftCell="A4" activePane="bottomLeft" state="frozen"/>
      <selection pane="bottomLeft" activeCell="A1" sqref="A1"/>
    </sheetView>
  </sheetViews>
  <sheetFormatPr baseColWidth="8" defaultRowHeight="15"/>
  <cols>
    <col width="20" customWidth="1" min="1" max="1"/>
    <col width="40" customWidth="1" min="2" max="2"/>
    <col width="20" customWidth="1" min="3" max="3"/>
    <col width="20" customWidth="1" min="4" max="4"/>
    <col width="30" customWidth="1" min="5" max="5"/>
    <col width="40" customWidth="1" min="6" max="6"/>
    <col width="25" customWidth="1" min="7" max="7"/>
    <col width="20" customWidth="1" min="8" max="8"/>
    <col width="20" customWidth="1" min="9" max="9"/>
    <col width="20" customWidth="1" min="10" max="10"/>
  </cols>
  <sheetData>
    <row r="1" ht="25" customHeight="1">
      <c r="A1" s="1" t="inlineStr">
        <is>
          <t>Gap Analysis - Monitoring &amp; Response Deficiencies</t>
        </is>
      </c>
    </row>
    <row r="2">
      <c r="A2" s="2" t="inlineStr">
        <is>
          <t>Identify and track monitoring/response gaps and remediation plans (40 rows)</t>
        </is>
      </c>
    </row>
    <row r="3">
      <c r="A3" s="6" t="inlineStr">
        <is>
          <t>Gap ID</t>
        </is>
      </c>
      <c r="B3" s="6" t="inlineStr">
        <is>
          <t>Gap Description</t>
        </is>
      </c>
      <c r="C3" s="6" t="inlineStr">
        <is>
          <t>Affected Area</t>
        </is>
      </c>
      <c r="D3" s="6" t="inlineStr">
        <is>
          <t>Risk Level</t>
        </is>
      </c>
      <c r="E3" s="6" t="inlineStr">
        <is>
          <t>Business Impact</t>
        </is>
      </c>
      <c r="F3" s="6" t="inlineStr">
        <is>
          <t>Remediation Plan</t>
        </is>
      </c>
      <c r="G3" s="6" t="inlineStr">
        <is>
          <t>Owner</t>
        </is>
      </c>
      <c r="H3" s="6" t="inlineStr">
        <is>
          <t>Target Date</t>
        </is>
      </c>
      <c r="I3" s="6" t="inlineStr">
        <is>
          <t>Status</t>
        </is>
      </c>
      <c r="J3" s="6" t="inlineStr">
        <is>
          <t>Evidence ID</t>
        </is>
      </c>
    </row>
    <row r="4">
      <c r="A4" s="7" t="inlineStr">
        <is>
          <t>GAP-A812-4-001</t>
        </is>
      </c>
      <c r="B4" s="7" t="inlineStr">
        <is>
          <t>Critical alerts not reaching SOC SMS (delivery failures)</t>
        </is>
      </c>
      <c r="C4" s="7" t="inlineStr">
        <is>
          <t>Alerting</t>
        </is>
      </c>
      <c r="D4" s="7" t="inlineStr">
        <is>
          <t>High</t>
        </is>
      </c>
      <c r="E4" s="7" t="inlineStr">
        <is>
          <t>Delayed response to data exfiltration</t>
        </is>
      </c>
      <c r="F4" s="7" t="inlineStr">
        <is>
          <t>Configure PagerDuty integration</t>
        </is>
      </c>
      <c r="G4" s="7" t="inlineStr">
        <is>
          <t>SOC Lead</t>
        </is>
      </c>
      <c r="H4" s="7" t="inlineStr">
        <is>
          <t>2025-02-15</t>
        </is>
      </c>
      <c r="I4" s="7" t="inlineStr">
        <is>
          <t>In Progress</t>
        </is>
      </c>
      <c r="J4" s="7" t="inlineStr">
        <is>
          <t>A812-4-GAP-001</t>
        </is>
      </c>
    </row>
    <row r="5">
      <c r="A5" s="7" t="inlineStr">
        <is>
          <t>GAP-A812-4-002</t>
        </is>
      </c>
      <c r="B5" s="7" t="inlineStr">
        <is>
          <t>SIEM correlation rules missing for insider threat use case</t>
        </is>
      </c>
      <c r="C5" s="7" t="inlineStr">
        <is>
          <t>SIEM</t>
        </is>
      </c>
      <c r="D5" s="7" t="inlineStr">
        <is>
          <t>Medium</t>
        </is>
      </c>
      <c r="E5" s="7" t="inlineStr">
        <is>
          <t>Cannot detect departing employee data theft</t>
        </is>
      </c>
      <c r="F5" s="7" t="inlineStr">
        <is>
          <t>Deploy insider threat correlation rule</t>
        </is>
      </c>
      <c r="G5" s="7" t="inlineStr">
        <is>
          <t>SIEM Admin</t>
        </is>
      </c>
      <c r="H5" s="7" t="inlineStr">
        <is>
          <t>2025-03-01</t>
        </is>
      </c>
      <c r="I5" s="7" t="inlineStr">
        <is>
          <t>Not Started</t>
        </is>
      </c>
      <c r="J5" s="7" t="inlineStr">
        <is>
          <t>A812-4-GAP-002</t>
        </is>
      </c>
    </row>
    <row r="6">
      <c r="A6" s="7" t="inlineStr">
        <is>
          <t>GAP-A812-4-003</t>
        </is>
      </c>
      <c r="B6" s="7" t="inlineStr">
        <is>
          <t>False positive rate 12.5% for email DLP (above 10% target)</t>
        </is>
      </c>
      <c r="C6" s="7" t="inlineStr">
        <is>
          <t>FP Management</t>
        </is>
      </c>
      <c r="D6" s="7" t="inlineStr">
        <is>
          <t>Medium</t>
        </is>
      </c>
      <c r="E6" s="7" t="inlineStr">
        <is>
          <t>Alert fatigue, SOC overwhelmed</t>
        </is>
      </c>
      <c r="F6" s="7" t="inlineStr">
        <is>
          <t>Tune email DLP rules, whitelist legitimate flows</t>
        </is>
      </c>
      <c r="G6" s="7" t="inlineStr">
        <is>
          <t>DLP Admin</t>
        </is>
      </c>
      <c r="H6" s="7" t="inlineStr">
        <is>
          <t>2025-02-28</t>
        </is>
      </c>
      <c r="I6" s="7" t="inlineStr">
        <is>
          <t>In Progress</t>
        </is>
      </c>
      <c r="J6" s="7" t="inlineStr">
        <is>
          <t>A812-4-GAP-003</t>
        </is>
      </c>
    </row>
    <row r="7">
      <c r="A7" t="inlineStr">
        <is>
          <t>GAP-A812-4-004</t>
        </is>
      </c>
      <c r="B7" s="8" t="n"/>
      <c r="C7" s="8" t="n"/>
      <c r="D7" s="8" t="n"/>
      <c r="E7" s="8" t="n"/>
      <c r="F7" s="8" t="n"/>
      <c r="G7" s="8" t="n"/>
      <c r="H7" s="8" t="n"/>
      <c r="I7" s="8" t="n"/>
      <c r="J7" s="8" t="n"/>
    </row>
    <row r="8">
      <c r="A8" t="inlineStr">
        <is>
          <t>GAP-A812-4-005</t>
        </is>
      </c>
      <c r="B8" s="8" t="n"/>
      <c r="C8" s="8" t="n"/>
      <c r="D8" s="8" t="n"/>
      <c r="E8" s="8" t="n"/>
      <c r="F8" s="8" t="n"/>
      <c r="G8" s="8" t="n"/>
      <c r="H8" s="8" t="n"/>
      <c r="I8" s="8" t="n"/>
      <c r="J8" s="8" t="n"/>
    </row>
    <row r="9">
      <c r="A9" t="inlineStr">
        <is>
          <t>GAP-A812-4-006</t>
        </is>
      </c>
      <c r="B9" s="8" t="n"/>
      <c r="C9" s="8" t="n"/>
      <c r="D9" s="8" t="n"/>
      <c r="E9" s="8" t="n"/>
      <c r="F9" s="8" t="n"/>
      <c r="G9" s="8" t="n"/>
      <c r="H9" s="8" t="n"/>
      <c r="I9" s="8" t="n"/>
      <c r="J9" s="8" t="n"/>
    </row>
    <row r="10">
      <c r="A10" t="inlineStr">
        <is>
          <t>GAP-A812-4-007</t>
        </is>
      </c>
      <c r="B10" s="8" t="n"/>
      <c r="C10" s="8" t="n"/>
      <c r="D10" s="8" t="n"/>
      <c r="E10" s="8" t="n"/>
      <c r="F10" s="8" t="n"/>
      <c r="G10" s="8" t="n"/>
      <c r="H10" s="8" t="n"/>
      <c r="I10" s="8" t="n"/>
      <c r="J10" s="8" t="n"/>
    </row>
    <row r="11">
      <c r="A11" t="inlineStr">
        <is>
          <t>GAP-A812-4-008</t>
        </is>
      </c>
      <c r="B11" s="8" t="n"/>
      <c r="C11" s="8" t="n"/>
      <c r="D11" s="8" t="n"/>
      <c r="E11" s="8" t="n"/>
      <c r="F11" s="8" t="n"/>
      <c r="G11" s="8" t="n"/>
      <c r="H11" s="8" t="n"/>
      <c r="I11" s="8" t="n"/>
      <c r="J11" s="8" t="n"/>
    </row>
    <row r="12">
      <c r="A12" t="inlineStr">
        <is>
          <t>GAP-A812-4-009</t>
        </is>
      </c>
      <c r="B12" s="8" t="n"/>
      <c r="C12" s="8" t="n"/>
      <c r="D12" s="8" t="n"/>
      <c r="E12" s="8" t="n"/>
      <c r="F12" s="8" t="n"/>
      <c r="G12" s="8" t="n"/>
      <c r="H12" s="8" t="n"/>
      <c r="I12" s="8" t="n"/>
      <c r="J12" s="8" t="n"/>
    </row>
    <row r="13">
      <c r="A13" t="inlineStr">
        <is>
          <t>GAP-A812-4-010</t>
        </is>
      </c>
      <c r="B13" s="8" t="n"/>
      <c r="C13" s="8" t="n"/>
      <c r="D13" s="8" t="n"/>
      <c r="E13" s="8" t="n"/>
      <c r="F13" s="8" t="n"/>
      <c r="G13" s="8" t="n"/>
      <c r="H13" s="8" t="n"/>
      <c r="I13" s="8" t="n"/>
      <c r="J13" s="8" t="n"/>
    </row>
    <row r="14">
      <c r="A14" t="inlineStr">
        <is>
          <t>GAP-A812-4-011</t>
        </is>
      </c>
      <c r="B14" s="8" t="n"/>
      <c r="C14" s="8" t="n"/>
      <c r="D14" s="8" t="n"/>
      <c r="E14" s="8" t="n"/>
      <c r="F14" s="8" t="n"/>
      <c r="G14" s="8" t="n"/>
      <c r="H14" s="8" t="n"/>
      <c r="I14" s="8" t="n"/>
      <c r="J14" s="8" t="n"/>
    </row>
    <row r="15">
      <c r="A15" t="inlineStr">
        <is>
          <t>GAP-A812-4-012</t>
        </is>
      </c>
      <c r="B15" s="8" t="n"/>
      <c r="C15" s="8" t="n"/>
      <c r="D15" s="8" t="n"/>
      <c r="E15" s="8" t="n"/>
      <c r="F15" s="8" t="n"/>
      <c r="G15" s="8" t="n"/>
      <c r="H15" s="8" t="n"/>
      <c r="I15" s="8" t="n"/>
      <c r="J15" s="8" t="n"/>
    </row>
    <row r="16">
      <c r="A16" t="inlineStr">
        <is>
          <t>GAP-A812-4-013</t>
        </is>
      </c>
      <c r="B16" s="8" t="n"/>
      <c r="C16" s="8" t="n"/>
      <c r="D16" s="8" t="n"/>
      <c r="E16" s="8" t="n"/>
      <c r="F16" s="8" t="n"/>
      <c r="G16" s="8" t="n"/>
      <c r="H16" s="8" t="n"/>
      <c r="I16" s="8" t="n"/>
      <c r="J16" s="8" t="n"/>
    </row>
    <row r="17">
      <c r="A17" t="inlineStr">
        <is>
          <t>GAP-A812-4-014</t>
        </is>
      </c>
      <c r="B17" s="8" t="n"/>
      <c r="C17" s="8" t="n"/>
      <c r="D17" s="8" t="n"/>
      <c r="E17" s="8" t="n"/>
      <c r="F17" s="8" t="n"/>
      <c r="G17" s="8" t="n"/>
      <c r="H17" s="8" t="n"/>
      <c r="I17" s="8" t="n"/>
      <c r="J17" s="8" t="n"/>
    </row>
    <row r="18">
      <c r="A18" t="inlineStr">
        <is>
          <t>GAP-A812-4-015</t>
        </is>
      </c>
      <c r="B18" s="8" t="n"/>
      <c r="C18" s="8" t="n"/>
      <c r="D18" s="8" t="n"/>
      <c r="E18" s="8" t="n"/>
      <c r="F18" s="8" t="n"/>
      <c r="G18" s="8" t="n"/>
      <c r="H18" s="8" t="n"/>
      <c r="I18" s="8" t="n"/>
      <c r="J18" s="8" t="n"/>
    </row>
    <row r="19">
      <c r="A19" t="inlineStr">
        <is>
          <t>GAP-A812-4-016</t>
        </is>
      </c>
      <c r="B19" s="8" t="n"/>
      <c r="C19" s="8" t="n"/>
      <c r="D19" s="8" t="n"/>
      <c r="E19" s="8" t="n"/>
      <c r="F19" s="8" t="n"/>
      <c r="G19" s="8" t="n"/>
      <c r="H19" s="8" t="n"/>
      <c r="I19" s="8" t="n"/>
      <c r="J19" s="8" t="n"/>
    </row>
    <row r="20">
      <c r="A20" t="inlineStr">
        <is>
          <t>GAP-A812-4-017</t>
        </is>
      </c>
      <c r="B20" s="8" t="n"/>
      <c r="C20" s="8" t="n"/>
      <c r="D20" s="8" t="n"/>
      <c r="E20" s="8" t="n"/>
      <c r="F20" s="8" t="n"/>
      <c r="G20" s="8" t="n"/>
      <c r="H20" s="8" t="n"/>
      <c r="I20" s="8" t="n"/>
      <c r="J20" s="8" t="n"/>
    </row>
    <row r="21">
      <c r="A21" t="inlineStr">
        <is>
          <t>GAP-A812-4-018</t>
        </is>
      </c>
      <c r="B21" s="8" t="n"/>
      <c r="C21" s="8" t="n"/>
      <c r="D21" s="8" t="n"/>
      <c r="E21" s="8" t="n"/>
      <c r="F21" s="8" t="n"/>
      <c r="G21" s="8" t="n"/>
      <c r="H21" s="8" t="n"/>
      <c r="I21" s="8" t="n"/>
      <c r="J21" s="8" t="n"/>
    </row>
    <row r="22">
      <c r="A22" t="inlineStr">
        <is>
          <t>GAP-A812-4-019</t>
        </is>
      </c>
      <c r="B22" s="8" t="n"/>
      <c r="C22" s="8" t="n"/>
      <c r="D22" s="8" t="n"/>
      <c r="E22" s="8" t="n"/>
      <c r="F22" s="8" t="n"/>
      <c r="G22" s="8" t="n"/>
      <c r="H22" s="8" t="n"/>
      <c r="I22" s="8" t="n"/>
      <c r="J22" s="8" t="n"/>
    </row>
    <row r="23">
      <c r="A23" t="inlineStr">
        <is>
          <t>GAP-A812-4-020</t>
        </is>
      </c>
      <c r="B23" s="8" t="n"/>
      <c r="C23" s="8" t="n"/>
      <c r="D23" s="8" t="n"/>
      <c r="E23" s="8" t="n"/>
      <c r="F23" s="8" t="n"/>
      <c r="G23" s="8" t="n"/>
      <c r="H23" s="8" t="n"/>
      <c r="I23" s="8" t="n"/>
      <c r="J23" s="8" t="n"/>
    </row>
    <row r="24">
      <c r="A24" t="inlineStr">
        <is>
          <t>GAP-A812-4-021</t>
        </is>
      </c>
      <c r="B24" s="8" t="n"/>
      <c r="C24" s="8" t="n"/>
      <c r="D24" s="8" t="n"/>
      <c r="E24" s="8" t="n"/>
      <c r="F24" s="8" t="n"/>
      <c r="G24" s="8" t="n"/>
      <c r="H24" s="8" t="n"/>
      <c r="I24" s="8" t="n"/>
      <c r="J24" s="8" t="n"/>
    </row>
    <row r="25">
      <c r="A25" t="inlineStr">
        <is>
          <t>GAP-A812-4-022</t>
        </is>
      </c>
      <c r="B25" s="8" t="n"/>
      <c r="C25" s="8" t="n"/>
      <c r="D25" s="8" t="n"/>
      <c r="E25" s="8" t="n"/>
      <c r="F25" s="8" t="n"/>
      <c r="G25" s="8" t="n"/>
      <c r="H25" s="8" t="n"/>
      <c r="I25" s="8" t="n"/>
      <c r="J25" s="8" t="n"/>
    </row>
    <row r="26">
      <c r="A26" t="inlineStr">
        <is>
          <t>GAP-A812-4-023</t>
        </is>
      </c>
      <c r="B26" s="8" t="n"/>
      <c r="C26" s="8" t="n"/>
      <c r="D26" s="8" t="n"/>
      <c r="E26" s="8" t="n"/>
      <c r="F26" s="8" t="n"/>
      <c r="G26" s="8" t="n"/>
      <c r="H26" s="8" t="n"/>
      <c r="I26" s="8" t="n"/>
      <c r="J26" s="8" t="n"/>
    </row>
    <row r="27">
      <c r="A27" t="inlineStr">
        <is>
          <t>GAP-A812-4-024</t>
        </is>
      </c>
      <c r="B27" s="8" t="n"/>
      <c r="C27" s="8" t="n"/>
      <c r="D27" s="8" t="n"/>
      <c r="E27" s="8" t="n"/>
      <c r="F27" s="8" t="n"/>
      <c r="G27" s="8" t="n"/>
      <c r="H27" s="8" t="n"/>
      <c r="I27" s="8" t="n"/>
      <c r="J27" s="8" t="n"/>
    </row>
    <row r="28">
      <c r="A28" t="inlineStr">
        <is>
          <t>GAP-A812-4-025</t>
        </is>
      </c>
      <c r="B28" s="8" t="n"/>
      <c r="C28" s="8" t="n"/>
      <c r="D28" s="8" t="n"/>
      <c r="E28" s="8" t="n"/>
      <c r="F28" s="8" t="n"/>
      <c r="G28" s="8" t="n"/>
      <c r="H28" s="8" t="n"/>
      <c r="I28" s="8" t="n"/>
      <c r="J28" s="8" t="n"/>
    </row>
    <row r="29">
      <c r="A29" t="inlineStr">
        <is>
          <t>GAP-A812-4-026</t>
        </is>
      </c>
      <c r="B29" s="8" t="n"/>
      <c r="C29" s="8" t="n"/>
      <c r="D29" s="8" t="n"/>
      <c r="E29" s="8" t="n"/>
      <c r="F29" s="8" t="n"/>
      <c r="G29" s="8" t="n"/>
      <c r="H29" s="8" t="n"/>
      <c r="I29" s="8" t="n"/>
      <c r="J29" s="8" t="n"/>
    </row>
    <row r="30">
      <c r="A30" t="inlineStr">
        <is>
          <t>GAP-A812-4-027</t>
        </is>
      </c>
      <c r="B30" s="8" t="n"/>
      <c r="C30" s="8" t="n"/>
      <c r="D30" s="8" t="n"/>
      <c r="E30" s="8" t="n"/>
      <c r="F30" s="8" t="n"/>
      <c r="G30" s="8" t="n"/>
      <c r="H30" s="8" t="n"/>
      <c r="I30" s="8" t="n"/>
      <c r="J30" s="8" t="n"/>
    </row>
    <row r="31">
      <c r="A31" t="inlineStr">
        <is>
          <t>GAP-A812-4-028</t>
        </is>
      </c>
      <c r="B31" s="8" t="n"/>
      <c r="C31" s="8" t="n"/>
      <c r="D31" s="8" t="n"/>
      <c r="E31" s="8" t="n"/>
      <c r="F31" s="8" t="n"/>
      <c r="G31" s="8" t="n"/>
      <c r="H31" s="8" t="n"/>
      <c r="I31" s="8" t="n"/>
      <c r="J31" s="8" t="n"/>
    </row>
    <row r="32">
      <c r="A32" t="inlineStr">
        <is>
          <t>GAP-A812-4-029</t>
        </is>
      </c>
      <c r="B32" s="8" t="n"/>
      <c r="C32" s="8" t="n"/>
      <c r="D32" s="8" t="n"/>
      <c r="E32" s="8" t="n"/>
      <c r="F32" s="8" t="n"/>
      <c r="G32" s="8" t="n"/>
      <c r="H32" s="8" t="n"/>
      <c r="I32" s="8" t="n"/>
      <c r="J32" s="8" t="n"/>
    </row>
    <row r="33">
      <c r="A33" t="inlineStr">
        <is>
          <t>GAP-A812-4-030</t>
        </is>
      </c>
      <c r="B33" s="8" t="n"/>
      <c r="C33" s="8" t="n"/>
      <c r="D33" s="8" t="n"/>
      <c r="E33" s="8" t="n"/>
      <c r="F33" s="8" t="n"/>
      <c r="G33" s="8" t="n"/>
      <c r="H33" s="8" t="n"/>
      <c r="I33" s="8" t="n"/>
      <c r="J33" s="8" t="n"/>
    </row>
    <row r="34">
      <c r="A34" t="inlineStr">
        <is>
          <t>GAP-A812-4-031</t>
        </is>
      </c>
      <c r="B34" s="8" t="n"/>
      <c r="C34" s="8" t="n"/>
      <c r="D34" s="8" t="n"/>
      <c r="E34" s="8" t="n"/>
      <c r="F34" s="8" t="n"/>
      <c r="G34" s="8" t="n"/>
      <c r="H34" s="8" t="n"/>
      <c r="I34" s="8" t="n"/>
      <c r="J34" s="8" t="n"/>
    </row>
    <row r="35">
      <c r="A35" t="inlineStr">
        <is>
          <t>GAP-A812-4-032</t>
        </is>
      </c>
      <c r="B35" s="8" t="n"/>
      <c r="C35" s="8" t="n"/>
      <c r="D35" s="8" t="n"/>
      <c r="E35" s="8" t="n"/>
      <c r="F35" s="8" t="n"/>
      <c r="G35" s="8" t="n"/>
      <c r="H35" s="8" t="n"/>
      <c r="I35" s="8" t="n"/>
      <c r="J35" s="8" t="n"/>
    </row>
    <row r="36">
      <c r="A36" t="inlineStr">
        <is>
          <t>GAP-A812-4-033</t>
        </is>
      </c>
      <c r="B36" s="8" t="n"/>
      <c r="C36" s="8" t="n"/>
      <c r="D36" s="8" t="n"/>
      <c r="E36" s="8" t="n"/>
      <c r="F36" s="8" t="n"/>
      <c r="G36" s="8" t="n"/>
      <c r="H36" s="8" t="n"/>
      <c r="I36" s="8" t="n"/>
      <c r="J36" s="8" t="n"/>
    </row>
    <row r="37">
      <c r="A37" t="inlineStr">
        <is>
          <t>GAP-A812-4-034</t>
        </is>
      </c>
      <c r="B37" s="8" t="n"/>
      <c r="C37" s="8" t="n"/>
      <c r="D37" s="8" t="n"/>
      <c r="E37" s="8" t="n"/>
      <c r="F37" s="8" t="n"/>
      <c r="G37" s="8" t="n"/>
      <c r="H37" s="8" t="n"/>
      <c r="I37" s="8" t="n"/>
      <c r="J37" s="8" t="n"/>
    </row>
    <row r="38">
      <c r="A38" t="inlineStr">
        <is>
          <t>GAP-A812-4-035</t>
        </is>
      </c>
      <c r="B38" s="8" t="n"/>
      <c r="C38" s="8" t="n"/>
      <c r="D38" s="8" t="n"/>
      <c r="E38" s="8" t="n"/>
      <c r="F38" s="8" t="n"/>
      <c r="G38" s="8" t="n"/>
      <c r="H38" s="8" t="n"/>
      <c r="I38" s="8" t="n"/>
      <c r="J38" s="8" t="n"/>
    </row>
    <row r="39">
      <c r="A39" t="inlineStr">
        <is>
          <t>GAP-A812-4-036</t>
        </is>
      </c>
      <c r="B39" s="8" t="n"/>
      <c r="C39" s="8" t="n"/>
      <c r="D39" s="8" t="n"/>
      <c r="E39" s="8" t="n"/>
      <c r="F39" s="8" t="n"/>
      <c r="G39" s="8" t="n"/>
      <c r="H39" s="8" t="n"/>
      <c r="I39" s="8" t="n"/>
      <c r="J39" s="8" t="n"/>
    </row>
    <row r="40">
      <c r="A40" t="inlineStr">
        <is>
          <t>GAP-A812-4-037</t>
        </is>
      </c>
      <c r="B40" s="8" t="n"/>
      <c r="C40" s="8" t="n"/>
      <c r="D40" s="8" t="n"/>
      <c r="E40" s="8" t="n"/>
      <c r="F40" s="8" t="n"/>
      <c r="G40" s="8" t="n"/>
      <c r="H40" s="8" t="n"/>
      <c r="I40" s="8" t="n"/>
      <c r="J40" s="8" t="n"/>
    </row>
    <row r="41">
      <c r="A41" t="inlineStr">
        <is>
          <t>GAP-A812-4-038</t>
        </is>
      </c>
      <c r="B41" s="8" t="n"/>
      <c r="C41" s="8" t="n"/>
      <c r="D41" s="8" t="n"/>
      <c r="E41" s="8" t="n"/>
      <c r="F41" s="8" t="n"/>
      <c r="G41" s="8" t="n"/>
      <c r="H41" s="8" t="n"/>
      <c r="I41" s="8" t="n"/>
      <c r="J41" s="8" t="n"/>
    </row>
    <row r="42">
      <c r="A42" t="inlineStr">
        <is>
          <t>GAP-A812-4-039</t>
        </is>
      </c>
      <c r="B42" s="8" t="n"/>
      <c r="C42" s="8" t="n"/>
      <c r="D42" s="8" t="n"/>
      <c r="E42" s="8" t="n"/>
      <c r="F42" s="8" t="n"/>
      <c r="G42" s="8" t="n"/>
      <c r="H42" s="8" t="n"/>
      <c r="I42" s="8" t="n"/>
      <c r="J42" s="8" t="n"/>
    </row>
    <row r="43">
      <c r="A43" t="inlineStr">
        <is>
          <t>GAP-A812-4-040</t>
        </is>
      </c>
      <c r="B43" s="8" t="n"/>
      <c r="C43" s="8" t="n"/>
      <c r="D43" s="8" t="n"/>
      <c r="E43" s="8" t="n"/>
      <c r="F43" s="8" t="n"/>
      <c r="G43" s="8" t="n"/>
      <c r="H43" s="8" t="n"/>
      <c r="I43" s="8" t="n"/>
      <c r="J43" s="8" t="n"/>
    </row>
  </sheetData>
  <mergeCells count="2">
    <mergeCell ref="A1:J1"/>
    <mergeCell ref="A2:J2"/>
  </mergeCells>
  <dataValidations count="3">
    <dataValidation sqref="C7 C8 C9 C10 C11 C12 C13 C14 C15 C16 C17 C18 C19 C20 C21 C22 C23 C24 C25 C26 C27 C28 C29 C30 C31 C32 C33 C34 C35 C36 C37 C38 C39 C40 C41 C42 C43" showDropDown="0" showInputMessage="0" showErrorMessage="0" allowBlank="0" type="list">
      <formula1>"Logging,Alerting,SIEM,FP Management,Incident Response,SOC,Dashboards"</formula1>
    </dataValidation>
    <dataValidation sqref="D7 D8 D9 D10 D11 D12 D13 D14 D15 D16 D17 D18 D19 D20 D21 D22 D23 D24 D25 D26 D27 D28 D29 D30 D31 D32 D33 D34 D35 D36 D37 D38 D39 D40 D41 D42 D43" showDropDown="0" showInputMessage="0" showErrorMessage="0" allowBlank="0" type="list">
      <formula1>"Critical,High,Medium,Low"</formula1>
    </dataValidation>
    <dataValidation sqref="I7 I8 I9 I10 I11 I12 I13 I14 I15 I16 I17 I18 I19 I20 I21 I22 I23 I24 I25 I26 I27 I28 I29 I30 I31 I32 I33 I34 I35 I36 I37 I38 I39 I40 I41 I42 I43" showDropDown="0" showInputMessage="0" showErrorMessage="0" allowBlank="0" type="list">
      <formula1>"Not Started,In Progress,Complete,Blocked"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3"/>
  <sheetViews>
    <sheetView workbookViewId="0">
      <pane ySplit="3" topLeftCell="A4" activePane="bottomLeft" state="frozen"/>
      <selection pane="bottomLeft" activeCell="A1" sqref="A1"/>
    </sheetView>
  </sheetViews>
  <sheetFormatPr baseColWidth="8" defaultRowHeight="15"/>
  <cols>
    <col width="20" customWidth="1" min="1" max="1"/>
    <col width="20" customWidth="1" min="2" max="2"/>
    <col width="40" customWidth="1" min="3" max="3"/>
    <col width="30" customWidth="1" min="4" max="4"/>
    <col width="20" customWidth="1" min="5" max="5"/>
    <col width="20" customWidth="1" min="6" max="6"/>
    <col width="25" customWidth="1" min="7" max="7"/>
    <col width="20" customWidth="1" min="8" max="8"/>
  </cols>
  <sheetData>
    <row r="1" ht="25" customHeight="1">
      <c r="A1" s="1" t="inlineStr">
        <is>
          <t>Evidence Register - Domain 4 (Monitoring &amp; Response)</t>
        </is>
      </c>
    </row>
    <row r="2">
      <c r="A2" s="2" t="inlineStr">
        <is>
          <t>Track all evidence collected for monitoring and response assessment (100 rows)</t>
        </is>
      </c>
    </row>
    <row r="3">
      <c r="A3" s="6" t="inlineStr">
        <is>
          <t>Evidence ID</t>
        </is>
      </c>
      <c r="B3" s="6" t="inlineStr">
        <is>
          <t>Evidence Type</t>
        </is>
      </c>
      <c r="C3" s="6" t="inlineStr">
        <is>
          <t>Description</t>
        </is>
      </c>
      <c r="D3" s="6" t="inlineStr">
        <is>
          <t>Location/Link</t>
        </is>
      </c>
      <c r="E3" s="6" t="inlineStr">
        <is>
          <t>Date Collected</t>
        </is>
      </c>
      <c r="F3" s="6" t="inlineStr">
        <is>
          <t>Collected By</t>
        </is>
      </c>
      <c r="G3" s="6" t="inlineStr">
        <is>
          <t>Related Requirement</t>
        </is>
      </c>
      <c r="H3" s="6" t="inlineStr">
        <is>
          <t>Verification Status</t>
        </is>
      </c>
    </row>
    <row r="4">
      <c r="A4" s="7" t="inlineStr">
        <is>
          <t>A812-4-LOG-001</t>
        </is>
      </c>
      <c r="B4" s="7" t="inlineStr">
        <is>
          <t>Screenshot</t>
        </is>
      </c>
      <c r="C4" s="7" t="inlineStr">
        <is>
          <t>SIEM showing DLP log ingestion</t>
        </is>
      </c>
      <c r="D4" s="7" t="inlineStr">
        <is>
          <t>/evidence/siem_dlp_logs.png</t>
        </is>
      </c>
      <c r="E4" s="7" t="inlineStr">
        <is>
          <t>2025-01-06</t>
        </is>
      </c>
      <c r="F4" s="7" t="inlineStr">
        <is>
          <t>SIEM Admin</t>
        </is>
      </c>
      <c r="G4" s="7" t="inlineStr">
        <is>
          <t>Logging_Configuration #1</t>
        </is>
      </c>
      <c r="H4" s="7" t="inlineStr">
        <is>
          <t>Verified</t>
        </is>
      </c>
    </row>
    <row r="5">
      <c r="A5" s="7" t="inlineStr">
        <is>
          <t>A812-4-ALT-001</t>
        </is>
      </c>
      <c r="B5" s="7" t="inlineStr">
        <is>
          <t>Config</t>
        </is>
      </c>
      <c r="C5" s="7" t="inlineStr">
        <is>
          <t>Alert rule configuration export</t>
        </is>
      </c>
      <c r="D5" s="7" t="inlineStr">
        <is>
          <t>/evidence/alert_rules.json</t>
        </is>
      </c>
      <c r="E5" s="7" t="inlineStr">
        <is>
          <t>2025-01-06</t>
        </is>
      </c>
      <c r="F5" s="7" t="inlineStr">
        <is>
          <t>DLP Admin</t>
        </is>
      </c>
      <c r="G5" s="7" t="inlineStr">
        <is>
          <t>Alert_Rules_Inventory</t>
        </is>
      </c>
      <c r="H5" s="7" t="inlineStr">
        <is>
          <t>Verified</t>
        </is>
      </c>
    </row>
    <row r="6">
      <c r="A6" s="7" t="inlineStr">
        <is>
          <t>A812-4-SIEM-001</t>
        </is>
      </c>
      <c r="B6" s="7" t="inlineStr">
        <is>
          <t>Screenshot</t>
        </is>
      </c>
      <c r="C6" s="7" t="inlineStr">
        <is>
          <t>SIEM correlation rule for insider threat</t>
        </is>
      </c>
      <c r="D6" s="7" t="inlineStr">
        <is>
          <t>/evidence/correlation_rule.png</t>
        </is>
      </c>
      <c r="E6" s="7" t="inlineStr">
        <is>
          <t>2025-01-06</t>
        </is>
      </c>
      <c r="F6" s="7" t="inlineStr">
        <is>
          <t>SOC Lead</t>
        </is>
      </c>
      <c r="G6" s="7" t="inlineStr">
        <is>
          <t>SIEM_Integration #12</t>
        </is>
      </c>
      <c r="H6" s="7" t="inlineStr">
        <is>
          <t>Verified</t>
        </is>
      </c>
    </row>
    <row r="7">
      <c r="A7" s="7" t="inlineStr">
        <is>
          <t>A812-4-FP-001</t>
        </is>
      </c>
      <c r="B7" s="7" t="inlineStr">
        <is>
          <t>Dashboard</t>
        </is>
      </c>
      <c r="C7" s="7" t="inlineStr">
        <is>
          <t>False positive rate dashboard</t>
        </is>
      </c>
      <c r="D7" s="7" t="inlineStr">
        <is>
          <t>/evidence/fp_dashboard.png</t>
        </is>
      </c>
      <c r="E7" s="7" t="inlineStr">
        <is>
          <t>2025-01-06</t>
        </is>
      </c>
      <c r="F7" s="7" t="inlineStr">
        <is>
          <t>DLP Admin</t>
        </is>
      </c>
      <c r="G7" s="7" t="inlineStr">
        <is>
          <t>False_Positive_Management #1</t>
        </is>
      </c>
      <c r="H7" s="7" t="inlineStr">
        <is>
          <t>Verified</t>
        </is>
      </c>
    </row>
    <row r="8">
      <c r="A8" s="7" t="inlineStr">
        <is>
          <t>A812-4-IR-001</t>
        </is>
      </c>
      <c r="B8" s="7" t="inlineStr">
        <is>
          <t>Report</t>
        </is>
      </c>
      <c r="C8" s="7" t="inlineStr">
        <is>
          <t>Incident response SLA compliance report</t>
        </is>
      </c>
      <c r="D8" s="7" t="inlineStr">
        <is>
          <t>/evidence/sla_report.pdf</t>
        </is>
      </c>
      <c r="E8" s="7" t="inlineStr">
        <is>
          <t>2025-01-06</t>
        </is>
      </c>
      <c r="F8" s="7" t="inlineStr">
        <is>
          <t>SOC Lead</t>
        </is>
      </c>
      <c r="G8" s="7" t="inlineStr">
        <is>
          <t>Incident_Response_Workflow #23</t>
        </is>
      </c>
      <c r="H8" s="7" t="inlineStr">
        <is>
          <t>Verified</t>
        </is>
      </c>
    </row>
    <row r="9">
      <c r="A9" s="8" t="n"/>
      <c r="B9" s="8" t="n"/>
      <c r="C9" s="8" t="n"/>
      <c r="D9" s="8" t="n"/>
      <c r="E9" s="8" t="n"/>
      <c r="F9" s="8" t="n"/>
      <c r="G9" s="8" t="n"/>
      <c r="H9" s="8" t="n"/>
    </row>
    <row r="10">
      <c r="A10" s="8" t="n"/>
      <c r="B10" s="8" t="n"/>
      <c r="C10" s="8" t="n"/>
      <c r="D10" s="8" t="n"/>
      <c r="E10" s="8" t="n"/>
      <c r="F10" s="8" t="n"/>
      <c r="G10" s="8" t="n"/>
      <c r="H10" s="8" t="n"/>
    </row>
    <row r="11">
      <c r="A11" s="8" t="n"/>
      <c r="B11" s="8" t="n"/>
      <c r="C11" s="8" t="n"/>
      <c r="D11" s="8" t="n"/>
      <c r="E11" s="8" t="n"/>
      <c r="F11" s="8" t="n"/>
      <c r="G11" s="8" t="n"/>
      <c r="H11" s="8" t="n"/>
    </row>
    <row r="12">
      <c r="A12" s="8" t="n"/>
      <c r="B12" s="8" t="n"/>
      <c r="C12" s="8" t="n"/>
      <c r="D12" s="8" t="n"/>
      <c r="E12" s="8" t="n"/>
      <c r="F12" s="8" t="n"/>
      <c r="G12" s="8" t="n"/>
      <c r="H12" s="8" t="n"/>
    </row>
    <row r="13">
      <c r="A13" s="8" t="n"/>
      <c r="B13" s="8" t="n"/>
      <c r="C13" s="8" t="n"/>
      <c r="D13" s="8" t="n"/>
      <c r="E13" s="8" t="n"/>
      <c r="F13" s="8" t="n"/>
      <c r="G13" s="8" t="n"/>
      <c r="H13" s="8" t="n"/>
    </row>
    <row r="14">
      <c r="A14" s="8" t="n"/>
      <c r="B14" s="8" t="n"/>
      <c r="C14" s="8" t="n"/>
      <c r="D14" s="8" t="n"/>
      <c r="E14" s="8" t="n"/>
      <c r="F14" s="8" t="n"/>
      <c r="G14" s="8" t="n"/>
      <c r="H14" s="8" t="n"/>
    </row>
    <row r="15">
      <c r="A15" s="8" t="n"/>
      <c r="B15" s="8" t="n"/>
      <c r="C15" s="8" t="n"/>
      <c r="D15" s="8" t="n"/>
      <c r="E15" s="8" t="n"/>
      <c r="F15" s="8" t="n"/>
      <c r="G15" s="8" t="n"/>
      <c r="H15" s="8" t="n"/>
    </row>
    <row r="16">
      <c r="A16" s="8" t="n"/>
      <c r="B16" s="8" t="n"/>
      <c r="C16" s="8" t="n"/>
      <c r="D16" s="8" t="n"/>
      <c r="E16" s="8" t="n"/>
      <c r="F16" s="8" t="n"/>
      <c r="G16" s="8" t="n"/>
      <c r="H16" s="8" t="n"/>
    </row>
    <row r="17">
      <c r="A17" s="8" t="n"/>
      <c r="B17" s="8" t="n"/>
      <c r="C17" s="8" t="n"/>
      <c r="D17" s="8" t="n"/>
      <c r="E17" s="8" t="n"/>
      <c r="F17" s="8" t="n"/>
      <c r="G17" s="8" t="n"/>
      <c r="H17" s="8" t="n"/>
    </row>
    <row r="18">
      <c r="A18" s="8" t="n"/>
      <c r="B18" s="8" t="n"/>
      <c r="C18" s="8" t="n"/>
      <c r="D18" s="8" t="n"/>
      <c r="E18" s="8" t="n"/>
      <c r="F18" s="8" t="n"/>
      <c r="G18" s="8" t="n"/>
      <c r="H18" s="8" t="n"/>
    </row>
    <row r="19">
      <c r="A19" s="8" t="n"/>
      <c r="B19" s="8" t="n"/>
      <c r="C19" s="8" t="n"/>
      <c r="D19" s="8" t="n"/>
      <c r="E19" s="8" t="n"/>
      <c r="F19" s="8" t="n"/>
      <c r="G19" s="8" t="n"/>
      <c r="H19" s="8" t="n"/>
    </row>
    <row r="20">
      <c r="A20" s="8" t="n"/>
      <c r="B20" s="8" t="n"/>
      <c r="C20" s="8" t="n"/>
      <c r="D20" s="8" t="n"/>
      <c r="E20" s="8" t="n"/>
      <c r="F20" s="8" t="n"/>
      <c r="G20" s="8" t="n"/>
      <c r="H20" s="8" t="n"/>
    </row>
    <row r="21">
      <c r="A21" s="8" t="n"/>
      <c r="B21" s="8" t="n"/>
      <c r="C21" s="8" t="n"/>
      <c r="D21" s="8" t="n"/>
      <c r="E21" s="8" t="n"/>
      <c r="F21" s="8" t="n"/>
      <c r="G21" s="8" t="n"/>
      <c r="H21" s="8" t="n"/>
    </row>
    <row r="22">
      <c r="A22" s="8" t="n"/>
      <c r="B22" s="8" t="n"/>
      <c r="C22" s="8" t="n"/>
      <c r="D22" s="8" t="n"/>
      <c r="E22" s="8" t="n"/>
      <c r="F22" s="8" t="n"/>
      <c r="G22" s="8" t="n"/>
      <c r="H22" s="8" t="n"/>
    </row>
    <row r="23">
      <c r="A23" s="8" t="n"/>
      <c r="B23" s="8" t="n"/>
      <c r="C23" s="8" t="n"/>
      <c r="D23" s="8" t="n"/>
      <c r="E23" s="8" t="n"/>
      <c r="F23" s="8" t="n"/>
      <c r="G23" s="8" t="n"/>
      <c r="H23" s="8" t="n"/>
    </row>
    <row r="24">
      <c r="A24" s="8" t="n"/>
      <c r="B24" s="8" t="n"/>
      <c r="C24" s="8" t="n"/>
      <c r="D24" s="8" t="n"/>
      <c r="E24" s="8" t="n"/>
      <c r="F24" s="8" t="n"/>
      <c r="G24" s="8" t="n"/>
      <c r="H24" s="8" t="n"/>
    </row>
    <row r="25">
      <c r="A25" s="8" t="n"/>
      <c r="B25" s="8" t="n"/>
      <c r="C25" s="8" t="n"/>
      <c r="D25" s="8" t="n"/>
      <c r="E25" s="8" t="n"/>
      <c r="F25" s="8" t="n"/>
      <c r="G25" s="8" t="n"/>
      <c r="H25" s="8" t="n"/>
    </row>
    <row r="26">
      <c r="A26" s="8" t="n"/>
      <c r="B26" s="8" t="n"/>
      <c r="C26" s="8" t="n"/>
      <c r="D26" s="8" t="n"/>
      <c r="E26" s="8" t="n"/>
      <c r="F26" s="8" t="n"/>
      <c r="G26" s="8" t="n"/>
      <c r="H26" s="8" t="n"/>
    </row>
    <row r="27">
      <c r="A27" s="8" t="n"/>
      <c r="B27" s="8" t="n"/>
      <c r="C27" s="8" t="n"/>
      <c r="D27" s="8" t="n"/>
      <c r="E27" s="8" t="n"/>
      <c r="F27" s="8" t="n"/>
      <c r="G27" s="8" t="n"/>
      <c r="H27" s="8" t="n"/>
    </row>
    <row r="28">
      <c r="A28" s="8" t="n"/>
      <c r="B28" s="8" t="n"/>
      <c r="C28" s="8" t="n"/>
      <c r="D28" s="8" t="n"/>
      <c r="E28" s="8" t="n"/>
      <c r="F28" s="8" t="n"/>
      <c r="G28" s="8" t="n"/>
      <c r="H28" s="8" t="n"/>
    </row>
    <row r="29">
      <c r="A29" s="8" t="n"/>
      <c r="B29" s="8" t="n"/>
      <c r="C29" s="8" t="n"/>
      <c r="D29" s="8" t="n"/>
      <c r="E29" s="8" t="n"/>
      <c r="F29" s="8" t="n"/>
      <c r="G29" s="8" t="n"/>
      <c r="H29" s="8" t="n"/>
    </row>
    <row r="30">
      <c r="A30" s="8" t="n"/>
      <c r="B30" s="8" t="n"/>
      <c r="C30" s="8" t="n"/>
      <c r="D30" s="8" t="n"/>
      <c r="E30" s="8" t="n"/>
      <c r="F30" s="8" t="n"/>
      <c r="G30" s="8" t="n"/>
      <c r="H30" s="8" t="n"/>
    </row>
    <row r="31">
      <c r="A31" s="8" t="n"/>
      <c r="B31" s="8" t="n"/>
      <c r="C31" s="8" t="n"/>
      <c r="D31" s="8" t="n"/>
      <c r="E31" s="8" t="n"/>
      <c r="F31" s="8" t="n"/>
      <c r="G31" s="8" t="n"/>
      <c r="H31" s="8" t="n"/>
    </row>
    <row r="32">
      <c r="A32" s="8" t="n"/>
      <c r="B32" s="8" t="n"/>
      <c r="C32" s="8" t="n"/>
      <c r="D32" s="8" t="n"/>
      <c r="E32" s="8" t="n"/>
      <c r="F32" s="8" t="n"/>
      <c r="G32" s="8" t="n"/>
      <c r="H32" s="8" t="n"/>
    </row>
    <row r="33">
      <c r="A33" s="8" t="n"/>
      <c r="B33" s="8" t="n"/>
      <c r="C33" s="8" t="n"/>
      <c r="D33" s="8" t="n"/>
      <c r="E33" s="8" t="n"/>
      <c r="F33" s="8" t="n"/>
      <c r="G33" s="8" t="n"/>
      <c r="H33" s="8" t="n"/>
    </row>
    <row r="34">
      <c r="A34" s="8" t="n"/>
      <c r="B34" s="8" t="n"/>
      <c r="C34" s="8" t="n"/>
      <c r="D34" s="8" t="n"/>
      <c r="E34" s="8" t="n"/>
      <c r="F34" s="8" t="n"/>
      <c r="G34" s="8" t="n"/>
      <c r="H34" s="8" t="n"/>
    </row>
    <row r="35">
      <c r="A35" s="8" t="n"/>
      <c r="B35" s="8" t="n"/>
      <c r="C35" s="8" t="n"/>
      <c r="D35" s="8" t="n"/>
      <c r="E35" s="8" t="n"/>
      <c r="F35" s="8" t="n"/>
      <c r="G35" s="8" t="n"/>
      <c r="H35" s="8" t="n"/>
    </row>
    <row r="36">
      <c r="A36" s="8" t="n"/>
      <c r="B36" s="8" t="n"/>
      <c r="C36" s="8" t="n"/>
      <c r="D36" s="8" t="n"/>
      <c r="E36" s="8" t="n"/>
      <c r="F36" s="8" t="n"/>
      <c r="G36" s="8" t="n"/>
      <c r="H36" s="8" t="n"/>
    </row>
    <row r="37">
      <c r="A37" s="8" t="n"/>
      <c r="B37" s="8" t="n"/>
      <c r="C37" s="8" t="n"/>
      <c r="D37" s="8" t="n"/>
      <c r="E37" s="8" t="n"/>
      <c r="F37" s="8" t="n"/>
      <c r="G37" s="8" t="n"/>
      <c r="H37" s="8" t="n"/>
    </row>
    <row r="38">
      <c r="A38" s="8" t="n"/>
      <c r="B38" s="8" t="n"/>
      <c r="C38" s="8" t="n"/>
      <c r="D38" s="8" t="n"/>
      <c r="E38" s="8" t="n"/>
      <c r="F38" s="8" t="n"/>
      <c r="G38" s="8" t="n"/>
      <c r="H38" s="8" t="n"/>
    </row>
    <row r="39">
      <c r="A39" s="8" t="n"/>
      <c r="B39" s="8" t="n"/>
      <c r="C39" s="8" t="n"/>
      <c r="D39" s="8" t="n"/>
      <c r="E39" s="8" t="n"/>
      <c r="F39" s="8" t="n"/>
      <c r="G39" s="8" t="n"/>
      <c r="H39" s="8" t="n"/>
    </row>
    <row r="40">
      <c r="A40" s="8" t="n"/>
      <c r="B40" s="8" t="n"/>
      <c r="C40" s="8" t="n"/>
      <c r="D40" s="8" t="n"/>
      <c r="E40" s="8" t="n"/>
      <c r="F40" s="8" t="n"/>
      <c r="G40" s="8" t="n"/>
      <c r="H40" s="8" t="n"/>
    </row>
    <row r="41">
      <c r="A41" s="8" t="n"/>
      <c r="B41" s="8" t="n"/>
      <c r="C41" s="8" t="n"/>
      <c r="D41" s="8" t="n"/>
      <c r="E41" s="8" t="n"/>
      <c r="F41" s="8" t="n"/>
      <c r="G41" s="8" t="n"/>
      <c r="H41" s="8" t="n"/>
    </row>
    <row r="42">
      <c r="A42" s="8" t="n"/>
      <c r="B42" s="8" t="n"/>
      <c r="C42" s="8" t="n"/>
      <c r="D42" s="8" t="n"/>
      <c r="E42" s="8" t="n"/>
      <c r="F42" s="8" t="n"/>
      <c r="G42" s="8" t="n"/>
      <c r="H42" s="8" t="n"/>
    </row>
    <row r="43">
      <c r="A43" s="8" t="n"/>
      <c r="B43" s="8" t="n"/>
      <c r="C43" s="8" t="n"/>
      <c r="D43" s="8" t="n"/>
      <c r="E43" s="8" t="n"/>
      <c r="F43" s="8" t="n"/>
      <c r="G43" s="8" t="n"/>
      <c r="H43" s="8" t="n"/>
    </row>
    <row r="44">
      <c r="A44" s="8" t="n"/>
      <c r="B44" s="8" t="n"/>
      <c r="C44" s="8" t="n"/>
      <c r="D44" s="8" t="n"/>
      <c r="E44" s="8" t="n"/>
      <c r="F44" s="8" t="n"/>
      <c r="G44" s="8" t="n"/>
      <c r="H44" s="8" t="n"/>
    </row>
    <row r="45">
      <c r="A45" s="8" t="n"/>
      <c r="B45" s="8" t="n"/>
      <c r="C45" s="8" t="n"/>
      <c r="D45" s="8" t="n"/>
      <c r="E45" s="8" t="n"/>
      <c r="F45" s="8" t="n"/>
      <c r="G45" s="8" t="n"/>
      <c r="H45" s="8" t="n"/>
    </row>
    <row r="46">
      <c r="A46" s="8" t="n"/>
      <c r="B46" s="8" t="n"/>
      <c r="C46" s="8" t="n"/>
      <c r="D46" s="8" t="n"/>
      <c r="E46" s="8" t="n"/>
      <c r="F46" s="8" t="n"/>
      <c r="G46" s="8" t="n"/>
      <c r="H46" s="8" t="n"/>
    </row>
    <row r="47">
      <c r="A47" s="8" t="n"/>
      <c r="B47" s="8" t="n"/>
      <c r="C47" s="8" t="n"/>
      <c r="D47" s="8" t="n"/>
      <c r="E47" s="8" t="n"/>
      <c r="F47" s="8" t="n"/>
      <c r="G47" s="8" t="n"/>
      <c r="H47" s="8" t="n"/>
    </row>
    <row r="48">
      <c r="A48" s="8" t="n"/>
      <c r="B48" s="8" t="n"/>
      <c r="C48" s="8" t="n"/>
      <c r="D48" s="8" t="n"/>
      <c r="E48" s="8" t="n"/>
      <c r="F48" s="8" t="n"/>
      <c r="G48" s="8" t="n"/>
      <c r="H48" s="8" t="n"/>
    </row>
    <row r="49">
      <c r="A49" s="8" t="n"/>
      <c r="B49" s="8" t="n"/>
      <c r="C49" s="8" t="n"/>
      <c r="D49" s="8" t="n"/>
      <c r="E49" s="8" t="n"/>
      <c r="F49" s="8" t="n"/>
      <c r="G49" s="8" t="n"/>
      <c r="H49" s="8" t="n"/>
    </row>
    <row r="50">
      <c r="A50" s="8" t="n"/>
      <c r="B50" s="8" t="n"/>
      <c r="C50" s="8" t="n"/>
      <c r="D50" s="8" t="n"/>
      <c r="E50" s="8" t="n"/>
      <c r="F50" s="8" t="n"/>
      <c r="G50" s="8" t="n"/>
      <c r="H50" s="8" t="n"/>
    </row>
    <row r="51">
      <c r="A51" s="8" t="n"/>
      <c r="B51" s="8" t="n"/>
      <c r="C51" s="8" t="n"/>
      <c r="D51" s="8" t="n"/>
      <c r="E51" s="8" t="n"/>
      <c r="F51" s="8" t="n"/>
      <c r="G51" s="8" t="n"/>
      <c r="H51" s="8" t="n"/>
    </row>
    <row r="52">
      <c r="A52" s="8" t="n"/>
      <c r="B52" s="8" t="n"/>
      <c r="C52" s="8" t="n"/>
      <c r="D52" s="8" t="n"/>
      <c r="E52" s="8" t="n"/>
      <c r="F52" s="8" t="n"/>
      <c r="G52" s="8" t="n"/>
      <c r="H52" s="8" t="n"/>
    </row>
    <row r="53">
      <c r="A53" s="8" t="n"/>
      <c r="B53" s="8" t="n"/>
      <c r="C53" s="8" t="n"/>
      <c r="D53" s="8" t="n"/>
      <c r="E53" s="8" t="n"/>
      <c r="F53" s="8" t="n"/>
      <c r="G53" s="8" t="n"/>
      <c r="H53" s="8" t="n"/>
    </row>
    <row r="54">
      <c r="A54" s="8" t="n"/>
      <c r="B54" s="8" t="n"/>
      <c r="C54" s="8" t="n"/>
      <c r="D54" s="8" t="n"/>
      <c r="E54" s="8" t="n"/>
      <c r="F54" s="8" t="n"/>
      <c r="G54" s="8" t="n"/>
      <c r="H54" s="8" t="n"/>
    </row>
    <row r="55">
      <c r="A55" s="8" t="n"/>
      <c r="B55" s="8" t="n"/>
      <c r="C55" s="8" t="n"/>
      <c r="D55" s="8" t="n"/>
      <c r="E55" s="8" t="n"/>
      <c r="F55" s="8" t="n"/>
      <c r="G55" s="8" t="n"/>
      <c r="H55" s="8" t="n"/>
    </row>
    <row r="56">
      <c r="A56" s="8" t="n"/>
      <c r="B56" s="8" t="n"/>
      <c r="C56" s="8" t="n"/>
      <c r="D56" s="8" t="n"/>
      <c r="E56" s="8" t="n"/>
      <c r="F56" s="8" t="n"/>
      <c r="G56" s="8" t="n"/>
      <c r="H56" s="8" t="n"/>
    </row>
    <row r="57">
      <c r="A57" s="8" t="n"/>
      <c r="B57" s="8" t="n"/>
      <c r="C57" s="8" t="n"/>
      <c r="D57" s="8" t="n"/>
      <c r="E57" s="8" t="n"/>
      <c r="F57" s="8" t="n"/>
      <c r="G57" s="8" t="n"/>
      <c r="H57" s="8" t="n"/>
    </row>
    <row r="58">
      <c r="A58" s="8" t="n"/>
      <c r="B58" s="8" t="n"/>
      <c r="C58" s="8" t="n"/>
      <c r="D58" s="8" t="n"/>
      <c r="E58" s="8" t="n"/>
      <c r="F58" s="8" t="n"/>
      <c r="G58" s="8" t="n"/>
      <c r="H58" s="8" t="n"/>
    </row>
    <row r="59">
      <c r="A59" s="8" t="n"/>
      <c r="B59" s="8" t="n"/>
      <c r="C59" s="8" t="n"/>
      <c r="D59" s="8" t="n"/>
      <c r="E59" s="8" t="n"/>
      <c r="F59" s="8" t="n"/>
      <c r="G59" s="8" t="n"/>
      <c r="H59" s="8" t="n"/>
    </row>
    <row r="60">
      <c r="A60" s="8" t="n"/>
      <c r="B60" s="8" t="n"/>
      <c r="C60" s="8" t="n"/>
      <c r="D60" s="8" t="n"/>
      <c r="E60" s="8" t="n"/>
      <c r="F60" s="8" t="n"/>
      <c r="G60" s="8" t="n"/>
      <c r="H60" s="8" t="n"/>
    </row>
    <row r="61">
      <c r="A61" s="8" t="n"/>
      <c r="B61" s="8" t="n"/>
      <c r="C61" s="8" t="n"/>
      <c r="D61" s="8" t="n"/>
      <c r="E61" s="8" t="n"/>
      <c r="F61" s="8" t="n"/>
      <c r="G61" s="8" t="n"/>
      <c r="H61" s="8" t="n"/>
    </row>
    <row r="62">
      <c r="A62" s="8" t="n"/>
      <c r="B62" s="8" t="n"/>
      <c r="C62" s="8" t="n"/>
      <c r="D62" s="8" t="n"/>
      <c r="E62" s="8" t="n"/>
      <c r="F62" s="8" t="n"/>
      <c r="G62" s="8" t="n"/>
      <c r="H62" s="8" t="n"/>
    </row>
    <row r="63">
      <c r="A63" s="8" t="n"/>
      <c r="B63" s="8" t="n"/>
      <c r="C63" s="8" t="n"/>
      <c r="D63" s="8" t="n"/>
      <c r="E63" s="8" t="n"/>
      <c r="F63" s="8" t="n"/>
      <c r="G63" s="8" t="n"/>
      <c r="H63" s="8" t="n"/>
    </row>
    <row r="64">
      <c r="A64" s="8" t="n"/>
      <c r="B64" s="8" t="n"/>
      <c r="C64" s="8" t="n"/>
      <c r="D64" s="8" t="n"/>
      <c r="E64" s="8" t="n"/>
      <c r="F64" s="8" t="n"/>
      <c r="G64" s="8" t="n"/>
      <c r="H64" s="8" t="n"/>
    </row>
    <row r="65">
      <c r="A65" s="8" t="n"/>
      <c r="B65" s="8" t="n"/>
      <c r="C65" s="8" t="n"/>
      <c r="D65" s="8" t="n"/>
      <c r="E65" s="8" t="n"/>
      <c r="F65" s="8" t="n"/>
      <c r="G65" s="8" t="n"/>
      <c r="H65" s="8" t="n"/>
    </row>
    <row r="66">
      <c r="A66" s="8" t="n"/>
      <c r="B66" s="8" t="n"/>
      <c r="C66" s="8" t="n"/>
      <c r="D66" s="8" t="n"/>
      <c r="E66" s="8" t="n"/>
      <c r="F66" s="8" t="n"/>
      <c r="G66" s="8" t="n"/>
      <c r="H66" s="8" t="n"/>
    </row>
    <row r="67">
      <c r="A67" s="8" t="n"/>
      <c r="B67" s="8" t="n"/>
      <c r="C67" s="8" t="n"/>
      <c r="D67" s="8" t="n"/>
      <c r="E67" s="8" t="n"/>
      <c r="F67" s="8" t="n"/>
      <c r="G67" s="8" t="n"/>
      <c r="H67" s="8" t="n"/>
    </row>
    <row r="68">
      <c r="A68" s="8" t="n"/>
      <c r="B68" s="8" t="n"/>
      <c r="C68" s="8" t="n"/>
      <c r="D68" s="8" t="n"/>
      <c r="E68" s="8" t="n"/>
      <c r="F68" s="8" t="n"/>
      <c r="G68" s="8" t="n"/>
      <c r="H68" s="8" t="n"/>
    </row>
    <row r="69">
      <c r="A69" s="8" t="n"/>
      <c r="B69" s="8" t="n"/>
      <c r="C69" s="8" t="n"/>
      <c r="D69" s="8" t="n"/>
      <c r="E69" s="8" t="n"/>
      <c r="F69" s="8" t="n"/>
      <c r="G69" s="8" t="n"/>
      <c r="H69" s="8" t="n"/>
    </row>
    <row r="70">
      <c r="A70" s="8" t="n"/>
      <c r="B70" s="8" t="n"/>
      <c r="C70" s="8" t="n"/>
      <c r="D70" s="8" t="n"/>
      <c r="E70" s="8" t="n"/>
      <c r="F70" s="8" t="n"/>
      <c r="G70" s="8" t="n"/>
      <c r="H70" s="8" t="n"/>
    </row>
    <row r="71">
      <c r="A71" s="8" t="n"/>
      <c r="B71" s="8" t="n"/>
      <c r="C71" s="8" t="n"/>
      <c r="D71" s="8" t="n"/>
      <c r="E71" s="8" t="n"/>
      <c r="F71" s="8" t="n"/>
      <c r="G71" s="8" t="n"/>
      <c r="H71" s="8" t="n"/>
    </row>
    <row r="72">
      <c r="A72" s="8" t="n"/>
      <c r="B72" s="8" t="n"/>
      <c r="C72" s="8" t="n"/>
      <c r="D72" s="8" t="n"/>
      <c r="E72" s="8" t="n"/>
      <c r="F72" s="8" t="n"/>
      <c r="G72" s="8" t="n"/>
      <c r="H72" s="8" t="n"/>
    </row>
    <row r="73">
      <c r="A73" s="8" t="n"/>
      <c r="B73" s="8" t="n"/>
      <c r="C73" s="8" t="n"/>
      <c r="D73" s="8" t="n"/>
      <c r="E73" s="8" t="n"/>
      <c r="F73" s="8" t="n"/>
      <c r="G73" s="8" t="n"/>
      <c r="H73" s="8" t="n"/>
    </row>
    <row r="74">
      <c r="A74" s="8" t="n"/>
      <c r="B74" s="8" t="n"/>
      <c r="C74" s="8" t="n"/>
      <c r="D74" s="8" t="n"/>
      <c r="E74" s="8" t="n"/>
      <c r="F74" s="8" t="n"/>
      <c r="G74" s="8" t="n"/>
      <c r="H74" s="8" t="n"/>
    </row>
    <row r="75">
      <c r="A75" s="8" t="n"/>
      <c r="B75" s="8" t="n"/>
      <c r="C75" s="8" t="n"/>
      <c r="D75" s="8" t="n"/>
      <c r="E75" s="8" t="n"/>
      <c r="F75" s="8" t="n"/>
      <c r="G75" s="8" t="n"/>
      <c r="H75" s="8" t="n"/>
    </row>
    <row r="76">
      <c r="A76" s="8" t="n"/>
      <c r="B76" s="8" t="n"/>
      <c r="C76" s="8" t="n"/>
      <c r="D76" s="8" t="n"/>
      <c r="E76" s="8" t="n"/>
      <c r="F76" s="8" t="n"/>
      <c r="G76" s="8" t="n"/>
      <c r="H76" s="8" t="n"/>
    </row>
    <row r="77">
      <c r="A77" s="8" t="n"/>
      <c r="B77" s="8" t="n"/>
      <c r="C77" s="8" t="n"/>
      <c r="D77" s="8" t="n"/>
      <c r="E77" s="8" t="n"/>
      <c r="F77" s="8" t="n"/>
      <c r="G77" s="8" t="n"/>
      <c r="H77" s="8" t="n"/>
    </row>
    <row r="78">
      <c r="A78" s="8" t="n"/>
      <c r="B78" s="8" t="n"/>
      <c r="C78" s="8" t="n"/>
      <c r="D78" s="8" t="n"/>
      <c r="E78" s="8" t="n"/>
      <c r="F78" s="8" t="n"/>
      <c r="G78" s="8" t="n"/>
      <c r="H78" s="8" t="n"/>
    </row>
    <row r="79">
      <c r="A79" s="8" t="n"/>
      <c r="B79" s="8" t="n"/>
      <c r="C79" s="8" t="n"/>
      <c r="D79" s="8" t="n"/>
      <c r="E79" s="8" t="n"/>
      <c r="F79" s="8" t="n"/>
      <c r="G79" s="8" t="n"/>
      <c r="H79" s="8" t="n"/>
    </row>
    <row r="80">
      <c r="A80" s="8" t="n"/>
      <c r="B80" s="8" t="n"/>
      <c r="C80" s="8" t="n"/>
      <c r="D80" s="8" t="n"/>
      <c r="E80" s="8" t="n"/>
      <c r="F80" s="8" t="n"/>
      <c r="G80" s="8" t="n"/>
      <c r="H80" s="8" t="n"/>
    </row>
    <row r="81">
      <c r="A81" s="8" t="n"/>
      <c r="B81" s="8" t="n"/>
      <c r="C81" s="8" t="n"/>
      <c r="D81" s="8" t="n"/>
      <c r="E81" s="8" t="n"/>
      <c r="F81" s="8" t="n"/>
      <c r="G81" s="8" t="n"/>
      <c r="H81" s="8" t="n"/>
    </row>
    <row r="82">
      <c r="A82" s="8" t="n"/>
      <c r="B82" s="8" t="n"/>
      <c r="C82" s="8" t="n"/>
      <c r="D82" s="8" t="n"/>
      <c r="E82" s="8" t="n"/>
      <c r="F82" s="8" t="n"/>
      <c r="G82" s="8" t="n"/>
      <c r="H82" s="8" t="n"/>
    </row>
    <row r="83">
      <c r="A83" s="8" t="n"/>
      <c r="B83" s="8" t="n"/>
      <c r="C83" s="8" t="n"/>
      <c r="D83" s="8" t="n"/>
      <c r="E83" s="8" t="n"/>
      <c r="F83" s="8" t="n"/>
      <c r="G83" s="8" t="n"/>
      <c r="H83" s="8" t="n"/>
    </row>
    <row r="84">
      <c r="A84" s="8" t="n"/>
      <c r="B84" s="8" t="n"/>
      <c r="C84" s="8" t="n"/>
      <c r="D84" s="8" t="n"/>
      <c r="E84" s="8" t="n"/>
      <c r="F84" s="8" t="n"/>
      <c r="G84" s="8" t="n"/>
      <c r="H84" s="8" t="n"/>
    </row>
    <row r="85">
      <c r="A85" s="8" t="n"/>
      <c r="B85" s="8" t="n"/>
      <c r="C85" s="8" t="n"/>
      <c r="D85" s="8" t="n"/>
      <c r="E85" s="8" t="n"/>
      <c r="F85" s="8" t="n"/>
      <c r="G85" s="8" t="n"/>
      <c r="H85" s="8" t="n"/>
    </row>
    <row r="86">
      <c r="A86" s="8" t="n"/>
      <c r="B86" s="8" t="n"/>
      <c r="C86" s="8" t="n"/>
      <c r="D86" s="8" t="n"/>
      <c r="E86" s="8" t="n"/>
      <c r="F86" s="8" t="n"/>
      <c r="G86" s="8" t="n"/>
      <c r="H86" s="8" t="n"/>
    </row>
    <row r="87">
      <c r="A87" s="8" t="n"/>
      <c r="B87" s="8" t="n"/>
      <c r="C87" s="8" t="n"/>
      <c r="D87" s="8" t="n"/>
      <c r="E87" s="8" t="n"/>
      <c r="F87" s="8" t="n"/>
      <c r="G87" s="8" t="n"/>
      <c r="H87" s="8" t="n"/>
    </row>
    <row r="88">
      <c r="A88" s="8" t="n"/>
      <c r="B88" s="8" t="n"/>
      <c r="C88" s="8" t="n"/>
      <c r="D88" s="8" t="n"/>
      <c r="E88" s="8" t="n"/>
      <c r="F88" s="8" t="n"/>
      <c r="G88" s="8" t="n"/>
      <c r="H88" s="8" t="n"/>
    </row>
    <row r="89">
      <c r="A89" s="8" t="n"/>
      <c r="B89" s="8" t="n"/>
      <c r="C89" s="8" t="n"/>
      <c r="D89" s="8" t="n"/>
      <c r="E89" s="8" t="n"/>
      <c r="F89" s="8" t="n"/>
      <c r="G89" s="8" t="n"/>
      <c r="H89" s="8" t="n"/>
    </row>
    <row r="90">
      <c r="A90" s="8" t="n"/>
      <c r="B90" s="8" t="n"/>
      <c r="C90" s="8" t="n"/>
      <c r="D90" s="8" t="n"/>
      <c r="E90" s="8" t="n"/>
      <c r="F90" s="8" t="n"/>
      <c r="G90" s="8" t="n"/>
      <c r="H90" s="8" t="n"/>
    </row>
    <row r="91">
      <c r="A91" s="8" t="n"/>
      <c r="B91" s="8" t="n"/>
      <c r="C91" s="8" t="n"/>
      <c r="D91" s="8" t="n"/>
      <c r="E91" s="8" t="n"/>
      <c r="F91" s="8" t="n"/>
      <c r="G91" s="8" t="n"/>
      <c r="H91" s="8" t="n"/>
    </row>
    <row r="92">
      <c r="A92" s="8" t="n"/>
      <c r="B92" s="8" t="n"/>
      <c r="C92" s="8" t="n"/>
      <c r="D92" s="8" t="n"/>
      <c r="E92" s="8" t="n"/>
      <c r="F92" s="8" t="n"/>
      <c r="G92" s="8" t="n"/>
      <c r="H92" s="8" t="n"/>
    </row>
    <row r="93">
      <c r="A93" s="8" t="n"/>
      <c r="B93" s="8" t="n"/>
      <c r="C93" s="8" t="n"/>
      <c r="D93" s="8" t="n"/>
      <c r="E93" s="8" t="n"/>
      <c r="F93" s="8" t="n"/>
      <c r="G93" s="8" t="n"/>
      <c r="H93" s="8" t="n"/>
    </row>
    <row r="94">
      <c r="A94" s="8" t="n"/>
      <c r="B94" s="8" t="n"/>
      <c r="C94" s="8" t="n"/>
      <c r="D94" s="8" t="n"/>
      <c r="E94" s="8" t="n"/>
      <c r="F94" s="8" t="n"/>
      <c r="G94" s="8" t="n"/>
      <c r="H94" s="8" t="n"/>
    </row>
    <row r="95">
      <c r="A95" s="8" t="n"/>
      <c r="B95" s="8" t="n"/>
      <c r="C95" s="8" t="n"/>
      <c r="D95" s="8" t="n"/>
      <c r="E95" s="8" t="n"/>
      <c r="F95" s="8" t="n"/>
      <c r="G95" s="8" t="n"/>
      <c r="H95" s="8" t="n"/>
    </row>
    <row r="96">
      <c r="A96" s="8" t="n"/>
      <c r="B96" s="8" t="n"/>
      <c r="C96" s="8" t="n"/>
      <c r="D96" s="8" t="n"/>
      <c r="E96" s="8" t="n"/>
      <c r="F96" s="8" t="n"/>
      <c r="G96" s="8" t="n"/>
      <c r="H96" s="8" t="n"/>
    </row>
    <row r="97">
      <c r="A97" s="8" t="n"/>
      <c r="B97" s="8" t="n"/>
      <c r="C97" s="8" t="n"/>
      <c r="D97" s="8" t="n"/>
      <c r="E97" s="8" t="n"/>
      <c r="F97" s="8" t="n"/>
      <c r="G97" s="8" t="n"/>
      <c r="H97" s="8" t="n"/>
    </row>
    <row r="98">
      <c r="A98" s="8" t="n"/>
      <c r="B98" s="8" t="n"/>
      <c r="C98" s="8" t="n"/>
      <c r="D98" s="8" t="n"/>
      <c r="E98" s="8" t="n"/>
      <c r="F98" s="8" t="n"/>
      <c r="G98" s="8" t="n"/>
      <c r="H98" s="8" t="n"/>
    </row>
    <row r="99">
      <c r="A99" s="8" t="n"/>
      <c r="B99" s="8" t="n"/>
      <c r="C99" s="8" t="n"/>
      <c r="D99" s="8" t="n"/>
      <c r="E99" s="8" t="n"/>
      <c r="F99" s="8" t="n"/>
      <c r="G99" s="8" t="n"/>
      <c r="H99" s="8" t="n"/>
    </row>
    <row r="100">
      <c r="A100" s="8" t="n"/>
      <c r="B100" s="8" t="n"/>
      <c r="C100" s="8" t="n"/>
      <c r="D100" s="8" t="n"/>
      <c r="E100" s="8" t="n"/>
      <c r="F100" s="8" t="n"/>
      <c r="G100" s="8" t="n"/>
      <c r="H100" s="8" t="n"/>
    </row>
    <row r="101">
      <c r="A101" s="8" t="n"/>
      <c r="B101" s="8" t="n"/>
      <c r="C101" s="8" t="n"/>
      <c r="D101" s="8" t="n"/>
      <c r="E101" s="8" t="n"/>
      <c r="F101" s="8" t="n"/>
      <c r="G101" s="8" t="n"/>
      <c r="H101" s="8" t="n"/>
    </row>
    <row r="102">
      <c r="A102" s="8" t="n"/>
      <c r="B102" s="8" t="n"/>
      <c r="C102" s="8" t="n"/>
      <c r="D102" s="8" t="n"/>
      <c r="E102" s="8" t="n"/>
      <c r="F102" s="8" t="n"/>
      <c r="G102" s="8" t="n"/>
      <c r="H102" s="8" t="n"/>
    </row>
    <row r="103">
      <c r="A103" s="8" t="n"/>
      <c r="B103" s="8" t="n"/>
      <c r="C103" s="8" t="n"/>
      <c r="D103" s="8" t="n"/>
      <c r="E103" s="8" t="n"/>
      <c r="F103" s="8" t="n"/>
      <c r="G103" s="8" t="n"/>
      <c r="H103" s="8" t="n"/>
    </row>
  </sheetData>
  <mergeCells count="2">
    <mergeCell ref="A2:H2"/>
    <mergeCell ref="A1:H1"/>
  </mergeCells>
  <dataValidations count="2">
    <dataValidation sqref="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showDropDown="0" showInputMessage="0" showErrorMessage="0" allowBlank="0" type="list">
      <formula1>"Config,Screenshot,Log,Report,Dashboard,Other"</formula1>
    </dataValidation>
    <dataValidation sqref="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0" showInputMessage="0" showErrorMessage="0" allowBlank="0" type="list">
      <formula1>"Verified,Pending,Rejected"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2"/>
  <sheetViews>
    <sheetView workbookViewId="0">
      <pane ySplit="2" topLeftCell="A3" activePane="bottomLeft" state="frozen"/>
      <selection pane="bottomLeft" activeCell="A1" sqref="A1"/>
    </sheetView>
  </sheetViews>
  <sheetFormatPr baseColWidth="8" defaultRowHeight="15"/>
  <cols>
    <col width="30" customWidth="1" min="1" max="1"/>
    <col width="20" customWidth="1" min="2" max="2"/>
    <col width="20" customWidth="1" min="3" max="3"/>
    <col width="25" customWidth="1" min="4" max="4"/>
  </cols>
  <sheetData>
    <row r="1" ht="30" customHeight="1">
      <c r="A1" s="1" t="inlineStr">
        <is>
          <t>Domain 4 - Monitoring &amp; Response Summary Dashboard</t>
        </is>
      </c>
    </row>
    <row r="3">
      <c r="A3" s="3" t="inlineStr">
        <is>
          <t>Assessment Date:</t>
        </is>
      </c>
      <c r="B3" s="4" t="n"/>
    </row>
    <row r="4">
      <c r="A4" s="3" t="inlineStr">
        <is>
          <t>Completed By:</t>
        </is>
      </c>
      <c r="B4" s="4" t="n"/>
    </row>
    <row r="5">
      <c r="A5" s="3" t="inlineStr">
        <is>
          <t>Approved By:</t>
        </is>
      </c>
      <c r="B5" s="4" t="n"/>
    </row>
    <row r="6">
      <c r="A6" s="3" t="inlineStr">
        <is>
          <t>Next Review:</t>
        </is>
      </c>
      <c r="B6" s="9">
        <f>B3+90</f>
        <v/>
      </c>
    </row>
    <row r="8">
      <c r="A8" s="2" t="inlineStr">
        <is>
          <t>OVERALL DOMAIN 4 COMPLIANCE SCORE</t>
        </is>
      </c>
    </row>
    <row r="9">
      <c r="A9" s="6" t="inlineStr">
        <is>
          <t>Metric</t>
        </is>
      </c>
      <c r="B9" s="6" t="inlineStr">
        <is>
          <t>Value</t>
        </is>
      </c>
      <c r="C9" s="6" t="inlineStr">
        <is>
          <t>Target</t>
        </is>
      </c>
      <c r="D9" s="6" t="inlineStr">
        <is>
          <t>Status</t>
        </is>
      </c>
    </row>
    <row r="10">
      <c r="A10" t="inlineStr">
        <is>
          <t>Logging Configuration Complete %</t>
        </is>
      </c>
      <c r="B10" s="10">
        <f>COUNTIF(Logging_Configuration!C:C,"Yes")/25*100</f>
        <v/>
      </c>
      <c r="C10" t="inlineStr">
        <is>
          <t>90%</t>
        </is>
      </c>
      <c r="D10">
        <f>IF(B10&gt;=90.0,"✅ On Target",IF(B10&gt;=80.0,"⚠️ Close","❌ Action Needed"))</f>
        <v/>
      </c>
    </row>
    <row r="11">
      <c r="A11" t="inlineStr">
        <is>
          <t>Alert Rules Documented %</t>
        </is>
      </c>
      <c r="B11" s="10">
        <f>COUNTA(Alert_Rules_Inventory!A4:A33)/30*100</f>
        <v/>
      </c>
      <c r="C11" t="inlineStr">
        <is>
          <t>80%</t>
        </is>
      </c>
      <c r="D11">
        <f>IF(B11&gt;=80.0,"✅ On Target",IF(B11&gt;=70.0,"⚠️ Close","❌ Action Needed"))</f>
        <v/>
      </c>
    </row>
    <row r="12">
      <c r="A12" t="inlineStr">
        <is>
          <t>SIEM Integration Complete %</t>
        </is>
      </c>
      <c r="B12" s="10">
        <f>COUNTIF(SIEM_Integration!C:C,"Yes")/25*100</f>
        <v/>
      </c>
      <c r="C12" t="inlineStr">
        <is>
          <t>90%</t>
        </is>
      </c>
      <c r="D12">
        <f>IF(B12&gt;=90.0,"✅ On Target",IF(B12&gt;=80.0,"⚠️ Close","❌ Action Needed"))</f>
        <v/>
      </c>
    </row>
    <row r="13">
      <c r="A13" t="inlineStr">
        <is>
          <t>False Positive Rate %</t>
        </is>
      </c>
      <c r="B13" s="10">
        <f>AVERAGE(Alert_Rules_Inventory!J4:J33)</f>
        <v/>
      </c>
      <c r="C13" t="inlineStr">
        <is>
          <t>&lt;10%</t>
        </is>
      </c>
      <c r="D13">
        <f>IF(B13&lt;=10,"✅ On Target",IF(B13&lt;=15,"⚠️ Close","❌ Action Needed"))</f>
        <v/>
      </c>
    </row>
    <row r="14">
      <c r="A14" t="inlineStr">
        <is>
          <t>Incident Response SLA Compliance %</t>
        </is>
      </c>
      <c r="B14" s="10">
        <f>AVERAGE(Incident_Response_Workflow!E35:E38)</f>
        <v/>
      </c>
      <c r="C14" t="inlineStr">
        <is>
          <t>&gt;90%</t>
        </is>
      </c>
      <c r="D14">
        <f>IF(B14&gt;=90,"✅ On Target",IF(B14&gt;=80,"⚠️ Close","❌ Action Needed"))</f>
        <v/>
      </c>
    </row>
    <row r="15">
      <c r="A15" t="inlineStr">
        <is>
          <t>SOC Integration Complete %</t>
        </is>
      </c>
      <c r="B15" s="10">
        <f>COUNTIF(SOC_Integration!C:C,"Yes")/20*100</f>
        <v/>
      </c>
      <c r="C15" t="inlineStr">
        <is>
          <t>85%</t>
        </is>
      </c>
      <c r="D15">
        <f>IF(B15&gt;=85.0,"✅ On Target",IF(B15&gt;=75.0,"⚠️ Close","❌ Action Needed"))</f>
        <v/>
      </c>
    </row>
    <row r="16">
      <c r="A16" t="inlineStr">
        <is>
          <t>Dashboards Deployed %</t>
        </is>
      </c>
      <c r="B16" s="10">
        <f>COUNTIF(Dashboards_Reporting!C:C,"Yes")/20*100</f>
        <v/>
      </c>
      <c r="C16" t="inlineStr">
        <is>
          <t>80%</t>
        </is>
      </c>
      <c r="D16">
        <f>IF(B16&gt;=80.0,"✅ On Target",IF(B16&gt;=70.0,"⚠️ Close","❌ Action Needed"))</f>
        <v/>
      </c>
    </row>
    <row r="17">
      <c r="A17" s="11" t="inlineStr">
        <is>
          <t>OVERALL DOMAIN 4 COMPLIANCE</t>
        </is>
      </c>
      <c r="B17" s="12">
        <f>AVERAGE(B10:B16)</f>
        <v/>
      </c>
      <c r="C17" s="3" t="inlineStr">
        <is>
          <t>&gt;85%</t>
        </is>
      </c>
      <c r="D17" s="11">
        <f>IF(B17&gt;=85,"✅ Pass",IF(B17&gt;=70,"⚠️ Conditional","❌ Fail"))</f>
        <v/>
      </c>
    </row>
    <row r="19">
      <c r="A19" s="2" t="inlineStr">
        <is>
          <t>KEY FINDINGS</t>
        </is>
      </c>
    </row>
    <row r="20">
      <c r="A20" s="3" t="inlineStr">
        <is>
          <t>Total Alerts per Day (Avg):</t>
        </is>
      </c>
      <c r="B20">
        <f>Alert_Volume_Metrics!C7</f>
        <v/>
      </c>
    </row>
    <row r="21">
      <c r="A21" s="3" t="inlineStr">
        <is>
          <t>False Positive Rate (Avg):</t>
        </is>
      </c>
      <c r="B21">
        <f>AVERAGE(Alert_Rules_Inventory!J4:J33)</f>
        <v/>
      </c>
    </row>
    <row r="22">
      <c r="A22" s="3" t="inlineStr">
        <is>
          <t>MTTD (Mean Time to Detect):</t>
        </is>
      </c>
      <c r="B22" s="4" t="n"/>
    </row>
    <row r="23">
      <c r="A23" s="3" t="inlineStr">
        <is>
          <t>MTTR (Mean Time to Respond):</t>
        </is>
      </c>
      <c r="B23" s="4" t="n"/>
    </row>
    <row r="24">
      <c r="A24" s="3" t="inlineStr">
        <is>
          <t>Critical Gaps Count:</t>
        </is>
      </c>
      <c r="B24">
        <f>COUNTIF(Gap_Analysis!D:D,"Critical")</f>
        <v/>
      </c>
    </row>
    <row r="25">
      <c r="A25" s="3" t="inlineStr">
        <is>
          <t>Evidence Completeness %:</t>
        </is>
      </c>
      <c r="B25" s="10">
        <f>COUNTA(Evidence_Register!A4:A103)/100*100</f>
        <v/>
      </c>
    </row>
    <row r="27">
      <c r="A27" s="2" t="inlineStr">
        <is>
          <t>APPROVAL WORKFLOW</t>
        </is>
      </c>
    </row>
    <row r="28">
      <c r="A28" s="6" t="inlineStr">
        <is>
          <t>Role</t>
        </is>
      </c>
      <c r="B28" s="6" t="inlineStr">
        <is>
          <t>Name</t>
        </is>
      </c>
      <c r="C28" s="6" t="inlineStr">
        <is>
          <t>Signature</t>
        </is>
      </c>
      <c r="D28" s="6" t="inlineStr">
        <is>
          <t>Date</t>
        </is>
      </c>
    </row>
    <row r="29">
      <c r="A29" t="inlineStr">
        <is>
          <t>DLP Administrator</t>
        </is>
      </c>
      <c r="B29" s="4" t="n"/>
      <c r="C29" s="4" t="n"/>
      <c r="D29" s="4" t="n"/>
    </row>
    <row r="30">
      <c r="A30" t="inlineStr">
        <is>
          <t>SOC Lead</t>
        </is>
      </c>
      <c r="B30" s="4" t="n"/>
      <c r="C30" s="4" t="n"/>
      <c r="D30" s="4" t="n"/>
    </row>
    <row r="31">
      <c r="A31" t="inlineStr">
        <is>
          <t>CISO</t>
        </is>
      </c>
      <c r="B31" s="4" t="n"/>
      <c r="C31" s="4" t="n"/>
      <c r="D31" s="4" t="n"/>
    </row>
    <row r="32">
      <c r="A32" t="inlineStr">
        <is>
          <t>DPO</t>
        </is>
      </c>
      <c r="B32" s="4" t="n"/>
      <c r="C32" s="4" t="n"/>
      <c r="D32" s="4" t="n"/>
    </row>
  </sheetData>
  <mergeCells count="4">
    <mergeCell ref="A1:D1"/>
    <mergeCell ref="A27:D27"/>
    <mergeCell ref="A8:D8"/>
    <mergeCell ref="A19:D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2026-02-08T10:49:41Z</dcterms:created>
  <dcterms:modified xmlns:dcterms="http://purl.org/dc/terms/" xmlns:xsi="http://www.w3.org/2001/XMLSchema-instance" xsi:type="dcterms:W3CDTF">2026-02-08T10:49:41Z</dcterms:modified>
</cp:coreProperties>
</file>