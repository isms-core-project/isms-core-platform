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lassification Schema" sheetId="2" state="visible" r:id="rId2"/>
    <sheet xmlns:r="http://schemas.openxmlformats.org/officeDocument/2006/relationships" name="Sensitive Data Inventory" sheetId="3" state="visible" r:id="rId3"/>
    <sheet xmlns:r="http://schemas.openxmlformats.org/officeDocument/2006/relationships" name="Data Location Mapping" sheetId="4" state="visible" r:id="rId4"/>
    <sheet xmlns:r="http://schemas.openxmlformats.org/officeDocument/2006/relationships" name="Data Owner Assignment" sheetId="5" state="visible" r:id="rId5"/>
    <sheet xmlns:r="http://schemas.openxmlformats.org/officeDocument/2006/relationships" name="Regulatory Mapping" sheetId="6" state="visible" r:id="rId6"/>
    <sheet xmlns:r="http://schemas.openxmlformats.org/officeDocument/2006/relationships" name="Labelling Methods" sheetId="7" state="visible" r:id="rId7"/>
    <sheet xmlns:r="http://schemas.openxmlformats.org/officeDocument/2006/relationships" name="Discovery Results"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FFFFFF"/>
      <sz val="12"/>
    </font>
    <font>
      <b val="1"/>
    </font>
    <font>
      <name val="Calibri"/>
      <i val="1"/>
      <sz val="10"/>
    </font>
    <font>
      <name val="Calibri"/>
      <b val="1"/>
      <color rgb="00FFFFFF"/>
      <sz val="10"/>
    </font>
    <font>
      <name val="Calibri"/>
      <i val="1"/>
      <color rgb="00003366"/>
      <sz val="10"/>
    </font>
    <font>
      <name val="Calibri"/>
      <b val="1"/>
      <color rgb="00FFFFFF"/>
      <sz val="11"/>
    </font>
    <font>
      <name val="Calibri"/>
      <color rgb="00000000"/>
      <sz val="10"/>
    </font>
    <font>
      <name val="Calibri"/>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7" fillId="11" borderId="1" pivotButton="0" quotePrefix="0" xfId="0"/>
    <xf numFmtId="0" fontId="0" fillId="11" borderId="1" applyAlignment="1" pivotButton="0" quotePrefix="0" xfId="0">
      <alignment horizontal="left" vertical="top" wrapText="1"/>
    </xf>
    <xf numFmtId="0" fontId="0" fillId="12" borderId="1" applyAlignment="1" pivotButton="0" quotePrefix="0" xfId="0">
      <alignment horizontal="left" vertical="top" wrapText="1"/>
    </xf>
    <xf numFmtId="0" fontId="1" fillId="8"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8" borderId="1" applyAlignment="1" pivotButton="0" quotePrefix="0" xfId="0">
      <alignment horizontal="center" vertical="center" wrapText="1"/>
    </xf>
    <xf numFmtId="0" fontId="0" fillId="11" borderId="1" pivotButton="0" quotePrefix="0" xfId="0"/>
    <xf numFmtId="0" fontId="0" fillId="12" borderId="1" pivotButton="0" quotePrefix="0" xfId="0"/>
    <xf numFmtId="0" fontId="1" fillId="8" borderId="0" applyAlignment="1" pivotButton="0" quotePrefix="0" xfId="0">
      <alignment horizontal="center" vertical="center" wrapText="1"/>
    </xf>
    <xf numFmtId="0" fontId="10" fillId="0" borderId="0" applyAlignment="1" pivotButton="0" quotePrefix="0" xfId="0">
      <alignment horizontal="left" vertical="center"/>
    </xf>
    <xf numFmtId="0" fontId="11" fillId="8" borderId="1" applyAlignment="1" pivotButton="0" quotePrefix="0" xfId="0">
      <alignment horizontal="left" vertical="center"/>
    </xf>
    <xf numFmtId="0" fontId="12" fillId="0" borderId="1" pivotButton="0" quotePrefix="0" xfId="0"/>
    <xf numFmtId="164" fontId="12" fillId="0" borderId="1" pivotButton="0" quotePrefix="0" xfId="0"/>
    <xf numFmtId="0" fontId="4" fillId="10" borderId="1" pivotButton="0" quotePrefix="0" xfId="0"/>
    <xf numFmtId="164" fontId="4" fillId="10" borderId="1" pivotButton="0" quotePrefix="0" xfId="0"/>
    <xf numFmtId="0" fontId="0" fillId="0" borderId="1" applyAlignment="1" pivotButton="0" quotePrefix="0" xfId="0">
      <alignment horizontal="center" vertical="center" wrapText="1"/>
    </xf>
    <xf numFmtId="0" fontId="13" fillId="0" borderId="1" pivotButton="0" quotePrefix="0" xfId="0"/>
    <xf numFmtId="0" fontId="11" fillId="13" borderId="1" applyAlignment="1" pivotButton="0" quotePrefix="0" xfId="0">
      <alignment horizontal="left" vertical="center"/>
    </xf>
    <xf numFmtId="0" fontId="13" fillId="12" borderId="1" pivotButton="0" quotePrefix="0" xfId="0"/>
    <xf numFmtId="0" fontId="10" fillId="0" borderId="1" applyAlignment="1" pivotButton="0" quotePrefix="0" xfId="0">
      <alignment horizontal="center" vertical="center"/>
    </xf>
    <xf numFmtId="0" fontId="11" fillId="9" borderId="1" applyAlignment="1" pivotButton="0" quotePrefix="0" xfId="0">
      <alignment horizontal="center" vertical="center"/>
    </xf>
    <xf numFmtId="0" fontId="7" fillId="0" borderId="1" pivotButton="0" quotePrefix="0" xfId="0"/>
    <xf numFmtId="0" fontId="11"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ISMS-IMP-A.8.12.2  -  Data Classification Assessment
ISO/IEC 27001:2022 - Control A.8.12: Data Leakage Prevention</t>
        </is>
      </c>
    </row>
    <row r="3">
      <c r="A3" s="2" t="inlineStr">
        <is>
          <t>Document Information</t>
        </is>
      </c>
    </row>
    <row r="4">
      <c r="A4" s="3" t="inlineStr">
        <is>
          <t>Document ID</t>
        </is>
      </c>
      <c r="B4" t="inlineStr">
        <is>
          <t>ISMS-IMP-A.8.12.2</t>
        </is>
      </c>
    </row>
    <row r="5">
      <c r="A5" s="3" t="inlineStr">
        <is>
          <t>Workbook Title</t>
        </is>
      </c>
      <c r="B5" t="inlineStr">
        <is>
          <t>Data Classification Assessment</t>
        </is>
      </c>
    </row>
    <row r="6">
      <c r="A6" s="3" t="inlineStr">
        <is>
          <t>Control Reference</t>
        </is>
      </c>
      <c r="B6" t="inlineStr">
        <is>
          <t>ISO/IEC 27001:2022 - Control A.8.12: Data Leakage Prevention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in sequence.</t>
        </is>
      </c>
    </row>
    <row r="14">
      <c r="A14" t="inlineStr">
        <is>
          <t>2. Fill all yellow-highlighted cells with your organisation's information.</t>
        </is>
      </c>
    </row>
    <row r="15">
      <c r="A15" t="inlineStr">
        <is>
          <t>3. Use dropdown menus where provided.</t>
        </is>
      </c>
    </row>
    <row r="16">
      <c r="A16" t="inlineStr">
        <is>
          <t>4. Document your data classification schema (minimum 4 levels).</t>
        </is>
      </c>
    </row>
    <row r="17">
      <c r="A17" t="inlineStr">
        <is>
          <t>5. Inventory all sensitive data categories.</t>
        </is>
      </c>
    </row>
    <row r="18">
      <c r="A18" t="inlineStr">
        <is>
          <t>6. Map data to storage locations and assign data owners.</t>
        </is>
      </c>
    </row>
    <row r="19">
      <c r="A19" t="inlineStr">
        <is>
          <t>7. Map data categories to regulatory requirements.</t>
        </is>
      </c>
    </row>
    <row r="20">
      <c r="A20" t="inlineStr">
        <is>
          <t>8. Maintain the Evidence Register for audit traceability.</t>
        </is>
      </c>
    </row>
    <row r="21">
      <c r="A21" t="inlineStr">
        <is>
          <t>9. Obtain final approval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0" customWidth="1" min="1" max="1"/>
    <col width="40" customWidth="1" min="2" max="2"/>
    <col width="40" customWidth="1" min="3" max="3"/>
    <col width="35" customWidth="1" min="4" max="4"/>
    <col width="30" customWidth="1" min="5" max="5"/>
    <col width="18" customWidth="1" min="6" max="6"/>
    <col width="18" customWidth="1" min="7" max="7"/>
    <col width="18" customWidth="1" min="8" max="8"/>
    <col width="25" customWidth="1" min="9" max="9"/>
    <col width="18" customWidth="1" min="10" max="10"/>
  </cols>
  <sheetData>
    <row r="1" ht="35" customHeight="1">
      <c r="A1" s="11" t="inlineStr">
        <is>
          <t>DATA CLASSIFICATION SCHEMA</t>
        </is>
      </c>
    </row>
    <row r="2">
      <c r="A2" s="12" t="inlineStr">
        <is>
          <t>Document your organisational data classification levels and handling requirements</t>
        </is>
      </c>
    </row>
    <row r="4">
      <c r="A4" s="13" t="inlineStr">
        <is>
          <t>Classification Level</t>
        </is>
      </c>
      <c r="B4" s="13" t="inlineStr">
        <is>
          <t>Definition</t>
        </is>
      </c>
      <c r="C4" s="13" t="inlineStr">
        <is>
          <t>Examples</t>
        </is>
      </c>
      <c r="D4" s="13" t="inlineStr">
        <is>
          <t>Handling Requirements</t>
        </is>
      </c>
      <c r="E4" s="13" t="inlineStr">
        <is>
          <t>Access Controls</t>
        </is>
      </c>
      <c r="F4" s="13" t="inlineStr">
        <is>
          <t>Encryption Required</t>
        </is>
      </c>
      <c r="G4" s="13" t="inlineStr">
        <is>
          <t>DLP Monitoring</t>
        </is>
      </c>
      <c r="H4" s="13" t="inlineStr">
        <is>
          <t>Retention Period</t>
        </is>
      </c>
      <c r="I4" s="13" t="inlineStr">
        <is>
          <t>Disposal Method</t>
        </is>
      </c>
      <c r="J4" s="13" t="inlineStr">
        <is>
          <t>Evidence ID</t>
        </is>
      </c>
    </row>
    <row r="5">
      <c r="A5" s="14" t="inlineStr">
        <is>
          <t>Public</t>
        </is>
      </c>
      <c r="B5" s="15" t="inlineStr">
        <is>
          <t>[Define what Public means for your organisation]</t>
        </is>
      </c>
      <c r="C5" s="15" t="inlineStr">
        <is>
          <t>[Examples: Press releases, marketing materials, public website]</t>
        </is>
      </c>
      <c r="D5" s="15" t="inlineStr">
        <is>
          <t>[Handling: Can be shared externally]</t>
        </is>
      </c>
      <c r="E5" s="15" t="inlineStr">
        <is>
          <t>[Access: No restrictions]</t>
        </is>
      </c>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sheetData>
  <mergeCells count="2">
    <mergeCell ref="A1:J1"/>
    <mergeCell ref="A2:J2"/>
  </mergeCells>
  <dataValidations count="2">
    <dataValidation sqref="G6 G7 G8 G9 G10 G11 G12 G13 G14 G15 G16 G17 G18 G19 G20 G21 G22 G23 G24 G25 G26 G27 G28 G29 G30 G31 G32 G33 G34 G35 G36 G37 G38 G39 G40 G41 G42 G43 G44 G45 G46 G47 G48 G49 G50 G51 G52 G53 G54 G55" showDropDown="1" showInputMessage="0" showErrorMessage="1" allowBlank="0" errorTitle="Invalid Entry" error="Invalid value. Select from dropdown." type="list">
      <formula1>"Yes,No,Partial,Planned,N/A"</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0" allowBlank="0"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20" customWidth="1" min="4" max="4"/>
    <col width="35" customWidth="1" min="5" max="5"/>
    <col width="25" customWidth="1" min="6" max="6"/>
    <col width="25" customWidth="1" min="7" max="7"/>
    <col width="18" customWidth="1" min="8" max="8"/>
    <col width="18" customWidth="1" min="9" max="9"/>
    <col width="18" customWidth="1" min="10" max="10"/>
    <col width="18" customWidth="1" min="11" max="11"/>
  </cols>
  <sheetData>
    <row r="1" ht="35" customHeight="1">
      <c r="A1" s="11" t="inlineStr">
        <is>
          <t>SENSITIVE DATA INVENTORY</t>
        </is>
      </c>
    </row>
    <row r="2">
      <c r="A2" s="12" t="inlineStr">
        <is>
          <t>Inventory ALL sensitive data categories requiring DLP protection</t>
        </is>
      </c>
    </row>
    <row r="4">
      <c r="A4" s="13" t="inlineStr">
        <is>
          <t>Data Category</t>
        </is>
      </c>
      <c r="B4" s="13" t="inlineStr">
        <is>
          <t>Data Type</t>
        </is>
      </c>
      <c r="C4" s="13" t="inlineStr">
        <is>
          <t>Classification Level</t>
        </is>
      </c>
      <c r="D4" s="13" t="inlineStr">
        <is>
          <t>Regulatory Requirement</t>
        </is>
      </c>
      <c r="E4" s="13" t="inlineStr">
        <is>
          <t>Data Examples</t>
        </is>
      </c>
      <c r="F4" s="13" t="inlineStr">
        <is>
          <t>Business Owner</t>
        </is>
      </c>
      <c r="G4" s="13" t="inlineStr">
        <is>
          <t>Data Steward</t>
        </is>
      </c>
      <c r="H4" s="13" t="inlineStr">
        <is>
          <t>Estimated Volume</t>
        </is>
      </c>
      <c r="I4" s="13" t="inlineStr">
        <is>
          <t>Discovery Status</t>
        </is>
      </c>
      <c r="J4" s="13" t="inlineStr">
        <is>
          <t>DLP Protection</t>
        </is>
      </c>
      <c r="K4" s="13" t="inlineStr">
        <is>
          <t>Evidence ID</t>
        </is>
      </c>
    </row>
    <row r="5">
      <c r="A5" s="15" t="inlineStr">
        <is>
          <t>Personal Names</t>
        </is>
      </c>
      <c r="B5" s="15" t="inlineStr">
        <is>
          <t>PII</t>
        </is>
      </c>
      <c r="C5" s="15" t="inlineStr">
        <is>
          <t>Confidential</t>
        </is>
      </c>
      <c r="D5" s="15" t="inlineStr">
        <is>
          <t>FADP/GDPR</t>
        </is>
      </c>
      <c r="E5" s="15" t="inlineStr">
        <is>
          <t>First name, last name, full name</t>
        </is>
      </c>
      <c r="F5" s="15" t="inlineStr">
        <is>
          <t>[Owner]</t>
        </is>
      </c>
      <c r="G5" s="15" t="inlineStr">
        <is>
          <t>[Steward]</t>
        </is>
      </c>
      <c r="H5" s="15" t="inlineStr">
        <is>
          <t>[Volume]</t>
        </is>
      </c>
      <c r="I5" s="15" t="inlineStr">
        <is>
          <t>Discovered</t>
        </is>
      </c>
      <c r="J5" s="15" t="inlineStr">
        <is>
          <t>Yes</t>
        </is>
      </c>
      <c r="K5" s="15" t="inlineStr">
        <is>
          <t>A812-2-INV-001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5">
    <dataValidation sqref="J6 J7 J8 J9 J10 J11 J12 J13 J14 J15 J16 J17 J18 J19 J20 J21 J22 J23 J24 J25 J26 J27 J28 J29 J30 J31 J32 J33 J34 J35 J36 J37 J38 J39 J40 J41 J42 J43 J44 J45 J46 J47 J48 J49 J50 J51 J52 J53 J54 J55" showDropDown="1" showInputMessage="0" showErrorMessage="1" allowBlank="0" errorTitle="Invalid Entry" error="Invalid value. Select from dropdown." type="list">
      <formula1>"Yes,No,Partial,Planned,N/A"</formula1>
    </dataValidation>
    <dataValidation sqref="C6 C7 C8 C9 C10 C11 C12 C13 C14 C15 C16 C17 C18 C19 C20 C21 C22 C23 C24 C25 C26 C27 C28 C29 C30 C31 C32 C33 C34 C35 C36 C37 C38 C39 C40 C41 C42 C43 C44 C45 C46 C47 C48 C49 C50 C51 C52 C53 C54 C55" showDropDown="1" showInputMessage="0" showErrorMessage="0" allowBlank="0" type="list">
      <formula1>"Public,Internal,Confidential,Restricted"</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"PII,Financial,IP,Credentials,Business Confidential,Other"</formula1>
    </dataValidation>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"FADP,GDPR,PCI-DSS,FADP/GDPR,Multiple,None"</formula1>
    </dataValidation>
    <dataValidation sqref="I6 I7 I8 I9 I10 I11 I12 I13 I14 I15 I16 I17 I18 I19 I20 I21 I22 I23 I24 I25 I26 I27 I28 I29 I30 I31 I32 I33 I34 I35 I36 I37 I38 I39 I40 I41 I42 I43 I44 I45 I46 I47 I48 I49 I50 I51 I52 I53 I54 I55" showDropDown="1" showInputMessage="0" showErrorMessage="0" allowBlank="0" type="list">
      <formula1>"Discovered,In Progress,Not Started"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30" customWidth="1" min="3" max="3"/>
    <col width="35" customWidth="1" min="4" max="4"/>
    <col width="18" customWidth="1" min="5" max="5"/>
    <col width="15" customWidth="1" min="6" max="6"/>
    <col width="18" customWidth="1" min="7" max="7"/>
    <col width="18" customWidth="1" min="8" max="8"/>
    <col width="18" customWidth="1" min="9" max="9"/>
    <col width="18" customWidth="1" min="10" max="10"/>
    <col width="18" customWidth="1" min="11" max="11"/>
  </cols>
  <sheetData>
    <row r="1" ht="35" customHeight="1">
      <c r="A1" s="11" t="inlineStr">
        <is>
          <t>DATA LOCATION MAPPING</t>
        </is>
      </c>
    </row>
    <row r="2">
      <c r="A2" s="12" t="inlineStr">
        <is>
          <t>Map sensitive data categories to storage locations (file servers, databases, cloud, endpoints)</t>
        </is>
      </c>
    </row>
    <row r="4">
      <c r="A4" s="13" t="inlineStr">
        <is>
          <t>Data Category</t>
        </is>
      </c>
      <c r="B4" s="13" t="inlineStr">
        <is>
          <t>Storage Location Type</t>
        </is>
      </c>
      <c r="C4" s="13" t="inlineStr">
        <is>
          <t>Specific Location</t>
        </is>
      </c>
      <c r="D4" s="13" t="inlineStr">
        <is>
          <t>Path/Schema</t>
        </is>
      </c>
      <c r="E4" s="13" t="inlineStr">
        <is>
          <t>Estimated Records/Files</t>
        </is>
      </c>
      <c r="F4" s="13" t="inlineStr">
        <is>
          <t>Last Discovery Scan</t>
        </is>
      </c>
      <c r="G4" s="13" t="inlineStr">
        <is>
          <t>DLP Coverage</t>
        </is>
      </c>
      <c r="H4" s="13" t="inlineStr">
        <is>
          <t>Encryption at Rest</t>
        </is>
      </c>
      <c r="I4" s="13" t="inlineStr">
        <is>
          <t>Access Controls</t>
        </is>
      </c>
      <c r="J4" s="13" t="inlineStr">
        <is>
          <t>Data Owner Notified</t>
        </is>
      </c>
      <c r="K4" s="13" t="inlineStr">
        <is>
          <t>Evidence ID</t>
        </is>
      </c>
    </row>
    <row r="5">
      <c r="A5" s="15" t="inlineStr">
        <is>
          <t>Credit Card Numbers</t>
        </is>
      </c>
      <c r="B5" s="15" t="inlineStr">
        <is>
          <t>Database</t>
        </is>
      </c>
      <c r="C5" s="15" t="inlineStr">
        <is>
          <t>SQL-PROD-01</t>
        </is>
      </c>
      <c r="D5" s="15" t="inlineStr">
        <is>
          <t>dbo.Payments.CCNumber</t>
        </is>
      </c>
      <c r="E5" s="15" t="inlineStr">
        <is>
          <t>250000</t>
        </is>
      </c>
      <c r="F5" s="15" t="inlineStr">
        <is>
          <t>2024-12-10</t>
        </is>
      </c>
      <c r="G5" s="15" t="inlineStr">
        <is>
          <t>Yes</t>
        </is>
      </c>
      <c r="H5" s="15" t="inlineStr">
        <is>
          <t>Yes</t>
        </is>
      </c>
      <c r="I5" s="15" t="inlineStr">
        <is>
          <t>Yes</t>
        </is>
      </c>
      <c r="J5" s="15" t="inlineStr">
        <is>
          <t>Yes</t>
        </is>
      </c>
      <c r="K5" s="15" t="inlineStr">
        <is>
          <t>A812-2-LOC-001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3">
    <dataValidation sqref="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"Yes,No,Pending"</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"File Server,Database,Endpoint,Cloud,Email,Backup,Other"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30" customWidth="1" min="1" max="1"/>
    <col width="25" customWidth="1" min="2" max="2"/>
    <col width="20" customWidth="1" min="3" max="3"/>
    <col width="30" customWidth="1" min="4" max="4"/>
    <col width="25" customWidth="1" min="5" max="5"/>
    <col width="20" customWidth="1" min="6" max="6"/>
    <col width="30" customWidth="1" min="7" max="7"/>
    <col width="18" customWidth="1" min="8" max="8"/>
    <col width="18" customWidth="1" min="9" max="9"/>
    <col width="15" customWidth="1" min="10" max="10"/>
    <col width="18" customWidth="1" min="11" max="11"/>
  </cols>
  <sheetData>
    <row r="1" ht="35" customHeight="1">
      <c r="A1" s="11" t="inlineStr">
        <is>
          <t>DATA OWNER ASSIGNMENT</t>
        </is>
      </c>
    </row>
    <row r="2">
      <c r="A2" s="12" t="inlineStr">
        <is>
          <t>Assign data owners and stewards for each data category - accountability is key!</t>
        </is>
      </c>
    </row>
    <row r="4">
      <c r="A4" s="13" t="inlineStr">
        <is>
          <t>Data Category</t>
        </is>
      </c>
      <c r="B4" s="13" t="inlineStr">
        <is>
          <t>Business Owner Name</t>
        </is>
      </c>
      <c r="C4" s="13" t="inlineStr">
        <is>
          <t>Business Owner Department</t>
        </is>
      </c>
      <c r="D4" s="13" t="inlineStr">
        <is>
          <t>Business Owner Email</t>
        </is>
      </c>
      <c r="E4" s="13" t="inlineStr">
        <is>
          <t>Data Steward Name</t>
        </is>
      </c>
      <c r="F4" s="13" t="inlineStr">
        <is>
          <t>Data Steward Department</t>
        </is>
      </c>
      <c r="G4" s="13" t="inlineStr">
        <is>
          <t>Data Steward Email</t>
        </is>
      </c>
      <c r="H4" s="13" t="inlineStr">
        <is>
          <t>Ownership Documented</t>
        </is>
      </c>
      <c r="I4" s="13" t="inlineStr">
        <is>
          <t>Owner Training Complete</t>
        </is>
      </c>
      <c r="J4" s="13" t="inlineStr">
        <is>
          <t>Last Review Date</t>
        </is>
      </c>
      <c r="K4" s="13" t="inlineStr">
        <is>
          <t>Evidence ID</t>
        </is>
      </c>
    </row>
    <row r="5">
      <c r="A5" s="15" t="inlineStr">
        <is>
          <t>Customer PII</t>
        </is>
      </c>
      <c r="B5" s="15" t="inlineStr">
        <is>
          <t>Jane Smith</t>
        </is>
      </c>
      <c r="C5" s="15" t="inlineStr">
        <is>
          <t>Sales</t>
        </is>
      </c>
      <c r="D5" s="15" t="inlineStr">
        <is>
          <t>jane.smith@example.ch</t>
        </is>
      </c>
      <c r="E5" s="15" t="inlineStr">
        <is>
          <t>John Security</t>
        </is>
      </c>
      <c r="F5" s="15" t="inlineStr">
        <is>
          <t>IT Security</t>
        </is>
      </c>
      <c r="G5" s="15" t="inlineStr">
        <is>
          <t>john.sec@example.ch</t>
        </is>
      </c>
      <c r="H5" s="15" t="inlineStr">
        <is>
          <t>Yes</t>
        </is>
      </c>
      <c r="I5" s="15" t="inlineStr">
        <is>
          <t>Yes</t>
        </is>
      </c>
      <c r="J5" s="15" t="inlineStr">
        <is>
          <t>2024-12-01</t>
        </is>
      </c>
      <c r="K5" s="15" t="inlineStr">
        <is>
          <t>A812-2-OWN-001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2">
    <dataValidation sqref="I6 I7 I8 I9 I10 I11 I12 I13 I14 I15 I16 I17 I18 I19 I20 I21 I22 I23 I24 I25 I26 I27 I28 I29 I30 I31 I32 I33 I34 I35 I36 I37 I38 I39 I40 I41 I42 I43 I44 I45 I46 I47 I48 I49 I50 I51 I52 I53 I54 I55" showDropDown="1" showInputMessage="0" showErrorMessage="1" allowBlank="0" errorTitle="Invalid Entry" error="Invalid value. Select from dropdown." type="list">
      <formula1>"Yes,No,Partial,Planned,N/A"</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"Yes,No,Pending"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30" customWidth="1" min="1" max="1"/>
    <col width="20" customWidth="1" min="2" max="2"/>
    <col width="25" customWidth="1" min="3" max="3"/>
    <col width="40" customWidth="1" min="4" max="4"/>
    <col width="18" customWidth="1" min="5" max="5"/>
    <col width="18" customWidth="1" min="6" max="6"/>
    <col width="18" customWidth="1" min="7" max="7"/>
    <col width="30" customWidth="1" min="8" max="8"/>
    <col width="18" customWidth="1" min="9" max="9"/>
  </cols>
  <sheetData>
    <row r="1" ht="35" customHeight="1">
      <c r="A1" s="11" t="inlineStr">
        <is>
          <t>REGULATORY COMPLIANCE MAPPING</t>
        </is>
      </c>
    </row>
    <row r="2">
      <c r="A2" s="12" t="inlineStr">
        <is>
          <t>Map data categories to regulatory requirements (FADP, GDPR, PCI-DSS, etc.)</t>
        </is>
      </c>
    </row>
    <row r="4">
      <c r="A4" s="13" t="inlineStr">
        <is>
          <t>Data Category</t>
        </is>
      </c>
      <c r="B4" s="13" t="inlineStr">
        <is>
          <t>Regulation</t>
        </is>
      </c>
      <c r="C4" s="13" t="inlineStr">
        <is>
          <t>Specific Article/Section</t>
        </is>
      </c>
      <c r="D4" s="13" t="inlineStr">
        <is>
          <t>Requirement Summary</t>
        </is>
      </c>
      <c r="E4" s="13" t="inlineStr">
        <is>
          <t>Compliance Status</t>
        </is>
      </c>
      <c r="F4" s="13" t="inlineStr">
        <is>
          <t>DLP Controls Required</t>
        </is>
      </c>
      <c r="G4" s="13" t="inlineStr">
        <is>
          <t>Breach Notification Required</t>
        </is>
      </c>
      <c r="H4" s="13" t="inlineStr">
        <is>
          <t>Data Subject Rights</t>
        </is>
      </c>
      <c r="I4" s="13" t="inlineStr">
        <is>
          <t>Evidence ID</t>
        </is>
      </c>
    </row>
    <row r="5">
      <c r="A5" s="15" t="inlineStr">
        <is>
          <t>Personal Names</t>
        </is>
      </c>
      <c r="B5" s="15" t="inlineStr">
        <is>
          <t>FADP</t>
        </is>
      </c>
      <c r="C5" s="15" t="inlineStr">
        <is>
          <t>Article 4(1)</t>
        </is>
      </c>
      <c r="D5" s="15" t="inlineStr">
        <is>
          <t>Defined as personal data, requires appropriate protection measures</t>
        </is>
      </c>
      <c r="E5" s="15" t="inlineStr">
        <is>
          <t>Compliant</t>
        </is>
      </c>
      <c r="F5" s="15" t="inlineStr">
        <is>
          <t>Yes</t>
        </is>
      </c>
      <c r="G5" s="15" t="inlineStr">
        <is>
          <t>Yes</t>
        </is>
      </c>
      <c r="H5" s="15" t="inlineStr">
        <is>
          <t>Access, deletion, portability</t>
        </is>
      </c>
      <c r="I5" s="15" t="inlineStr">
        <is>
          <t>A812-2-REG-001</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4">
    <dataValidation sqref="B6 B7 B8 B9 B10 B11 B12 B13 B14 B15 B16 B17 B18 B19 B20 B21 B22 B23 B24 B25 B26 B27 B28 B29 B30 B31 B32 B33 B34 B35 B36 B37 B38 B39 B40 B41 B42 B43 B44 B45 B46 B47 B48 B49 B50 B51 B52 B53 B54 B55" showDropDown="0" showInputMessage="0" showErrorMessage="0" allowBlank="0" type="list">
      <formula1>"FADP,GDPR,PCI-DSS,HIPAA,SOX,FADP/GDPR,Multiple,Other,None"</formula1>
    </dataValidation>
    <dataValidation sqref="F6 F7 F8 F9 F10 F11 F12 F13 F14 F15 F16 F17 F18 F19 F20 F21 F22 F23 F24 F25 F26 F27 F28 F29 F30 F31 F32 F33 F34 F35 F36 F37 F38 F39 F40 F41 F42 F43 F44 F45 F46 F47 F48 F49 F50 F51 F52 F53 F54 F55" showDropDown="1" showInputMessage="0" showErrorMessage="1" allowBlank="0" errorTitle="Invalid Entry" error="Invalid value. Select from dropdown." type="list">
      <formula1>"Yes,No,Partial,Planned,N/A"</formula1>
    </dataValidation>
    <dataValidation sqref="G6 G7 G8 G9 G10 G11 G12 G13 G14 G15 G16 G17 G18 G19 G20 G21 G22 G23 G24 G25 G26 G27 G28 G29 G30 G31 G32 G33 G34 G35 G36 G37 G38 G39 G40 G41 G42 G43 G44 G45 G46 G47 G48 G49 G50 G51 G52 G53 G54 G55" showDropDown="1" showInputMessage="0" showErrorMessage="0" allowBlank="0" type="list">
      <formula1>"Yes,No,N/A"</formula1>
    </dataValidation>
    <dataValidation sqref="E6 E7 E8 E9 E10 E11 E12 E13 E14 E15 E16 E17 E18 E19 E20 E21 E22 E23 E24 E25 E26 E27 E28 E29 E30 E31 E32 E33 E34 E35 E36 E37 E38 E39 E40 E41 E42 E43 E44 E45 E46 E47 E48 E49 E50 E51 E52 E53 E54 E55" showDropDown="1" showInputMessage="0" showErrorMessage="0" allowBlank="0" type="list">
      <formula1>"Compliant,Non-Compliant,Partial,Planned,N/A"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25" customWidth="1" min="1" max="1"/>
    <col width="20" customWidth="1" min="2" max="2"/>
    <col width="25" customWidth="1" min="3" max="3"/>
    <col width="30" customWidth="1" min="4" max="4"/>
    <col width="18" customWidth="1" min="5" max="5"/>
    <col width="18" customWidth="1" min="6" max="6"/>
    <col width="18" customWidth="1" min="7" max="7"/>
    <col width="15" customWidth="1" min="8" max="8"/>
    <col width="18" customWidth="1" min="9" max="9"/>
  </cols>
  <sheetData>
    <row r="1" ht="35" customHeight="1">
      <c r="A1" s="11" t="inlineStr">
        <is>
          <t>DATA LABELING METHODS</t>
        </is>
      </c>
    </row>
    <row r="2">
      <c r="A2" s="12" t="inlineStr">
        <is>
          <t>Assess data labeling and classification marking methods across systems</t>
        </is>
      </c>
    </row>
    <row r="4">
      <c r="A4" s="13" t="inlineStr">
        <is>
          <t>System/Application</t>
        </is>
      </c>
      <c r="B4" s="13" t="inlineStr">
        <is>
          <t>Labeling Method</t>
        </is>
      </c>
      <c r="C4" s="13" t="inlineStr">
        <is>
          <t>Classification Tool</t>
        </is>
      </c>
      <c r="D4" s="13" t="inlineStr">
        <is>
          <t>Supported Labels</t>
        </is>
      </c>
      <c r="E4" s="13" t="inlineStr">
        <is>
          <t>User Training Provided</t>
        </is>
      </c>
      <c r="F4" s="13" t="inlineStr">
        <is>
          <t>Enforcement Capability</t>
        </is>
      </c>
      <c r="G4" s="13" t="inlineStr">
        <is>
          <t>DLP Integration</t>
        </is>
      </c>
      <c r="H4" s="13" t="inlineStr">
        <is>
          <t>Adoption Rate %</t>
        </is>
      </c>
      <c r="I4" s="13" t="inlineStr">
        <is>
          <t>Evidence ID</t>
        </is>
      </c>
    </row>
    <row r="5">
      <c r="A5" s="15" t="inlineStr">
        <is>
          <t>Microsoft 365</t>
        </is>
      </c>
      <c r="B5" s="15" t="inlineStr">
        <is>
          <t>Automated</t>
        </is>
      </c>
      <c r="C5" s="15" t="inlineStr">
        <is>
          <t>Microsoft Purview (AIP)</t>
        </is>
      </c>
      <c r="D5" s="15" t="inlineStr">
        <is>
          <t>Public, Internal, Confidential, Restricted</t>
        </is>
      </c>
      <c r="E5" s="15" t="inlineStr">
        <is>
          <t>Yes</t>
        </is>
      </c>
      <c r="F5" s="15" t="inlineStr">
        <is>
          <t>Yes</t>
        </is>
      </c>
      <c r="G5" s="15" t="inlineStr">
        <is>
          <t>Yes</t>
        </is>
      </c>
      <c r="H5" s="15" t="inlineStr">
        <is>
          <t>85</t>
        </is>
      </c>
      <c r="I5" s="15" t="inlineStr">
        <is>
          <t>A812-2-LBL-001</t>
        </is>
      </c>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sheetData>
  <mergeCells count="2">
    <mergeCell ref="A1:I1"/>
    <mergeCell ref="A2:I2"/>
  </mergeCells>
  <dataValidations count="2">
    <dataValidation sqref="E6 E7 E8 E9 E10 E11 E12 E13 E14 E15 E16 E17 E18 E19 E20 E21 E22 E23 E24 E25 E26 E27 E28 E29 E30 E31 E32 E33 E34 E35 E36 E37 E38 E39 E40 E41 E42 E43 E44 E45 E46 E47 E48 E49 E50 E51 E52 E53 E54 E55 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showDropDown="1" showInputMessage="0" showErrorMessage="1" allowBlank="0" errorTitle="Invalid Entry" error="Invalid value. Select from dropdown." type="list">
      <formula1>"Yes,No,Partial,Planned,N/A"</formula1>
    </dataValidation>
    <dataValidation sqref="B6 B7 B8 B9 B10 B11 B12 B13 B14 B15 B16 B17 B18 B19 B20 B21 B22 B23 B24 B25 B26 B27 B28 B29 B30 B31 B32 B33 B34 B35 B36 B37 B38 B39 B40 B41 B42 B43 B44 B45 B46 B47 B48 B49 B50 B51 B52 B53 B54 B55" showDropDown="1" showInputMessage="0" showErrorMessage="0" allowBlank="0" type="list">
      <formula1>"Manual,Automated,Metadata,None"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25" customWidth="1" min="1" max="1"/>
    <col width="30" customWidth="1" min="2" max="2"/>
    <col width="15" customWidth="1" min="3" max="3"/>
    <col width="30" customWidth="1" min="4" max="4"/>
    <col width="15" customWidth="1" min="5" max="5"/>
    <col width="15" customWidth="1" min="6" max="6"/>
    <col width="15" customWidth="1" min="7" max="7"/>
    <col width="18" customWidth="1" min="8" max="8"/>
    <col width="18" customWidth="1" min="9" max="9"/>
    <col width="18" customWidth="1" min="10" max="10"/>
  </cols>
  <sheetData>
    <row r="1" ht="35" customHeight="1">
      <c r="A1" s="11" t="inlineStr">
        <is>
          <t>DATA DISCOVERY RESULTS</t>
        </is>
      </c>
    </row>
    <row r="2">
      <c r="A2" s="12" t="inlineStr">
        <is>
          <t>Document data discovery and scanning results (Spirion, BigID, manual audits)</t>
        </is>
      </c>
    </row>
    <row r="4">
      <c r="A4" s="13" t="inlineStr">
        <is>
          <t>Discovery Tool</t>
        </is>
      </c>
      <c r="B4" s="13" t="inlineStr">
        <is>
          <t>Scan Target</t>
        </is>
      </c>
      <c r="C4" s="13" t="inlineStr">
        <is>
          <t>Scan Date</t>
        </is>
      </c>
      <c r="D4" s="13" t="inlineStr">
        <is>
          <t>Data Categories Found</t>
        </is>
      </c>
      <c r="E4" s="13" t="inlineStr">
        <is>
          <t>Total Findings</t>
        </is>
      </c>
      <c r="F4" s="13" t="inlineStr">
        <is>
          <t>Critical Findings</t>
        </is>
      </c>
      <c r="G4" s="13" t="inlineStr">
        <is>
          <t>False Positive Rate %</t>
        </is>
      </c>
      <c r="H4" s="13" t="inlineStr">
        <is>
          <t>Remediation Status</t>
        </is>
      </c>
      <c r="I4" s="13" t="inlineStr">
        <is>
          <t>Data Owner Notified</t>
        </is>
      </c>
      <c r="J4" s="13" t="inlineStr">
        <is>
          <t>Evidence ID</t>
        </is>
      </c>
    </row>
    <row r="5">
      <c r="A5" s="15" t="inlineStr">
        <is>
          <t>Spirion</t>
        </is>
      </c>
      <c r="B5" s="15" t="inlineStr">
        <is>
          <t>FS-HR-01</t>
        </is>
      </c>
      <c r="C5" s="15" t="inlineStr">
        <is>
          <t>2024-12-15</t>
        </is>
      </c>
      <c r="D5" s="15" t="inlineStr">
        <is>
          <t>PII, SSN, AHV</t>
        </is>
      </c>
      <c r="E5" s="15" t="inlineStr">
        <is>
          <t>5243</t>
        </is>
      </c>
      <c r="F5" s="15" t="inlineStr">
        <is>
          <t>1200</t>
        </is>
      </c>
      <c r="G5" s="15" t="inlineStr">
        <is>
          <t>15</t>
        </is>
      </c>
      <c r="H5" s="15" t="inlineStr">
        <is>
          <t>In Progress</t>
        </is>
      </c>
      <c r="I5" s="15" t="inlineStr">
        <is>
          <t>Yes</t>
        </is>
      </c>
      <c r="J5" s="15" t="inlineStr">
        <is>
          <t>A812-2-DSC-001</t>
        </is>
      </c>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row r="55">
      <c r="A55" s="16" t="n"/>
      <c r="B55" s="16" t="n"/>
      <c r="C55" s="16" t="n"/>
      <c r="D55" s="16" t="n"/>
      <c r="E55" s="16" t="n"/>
      <c r="F55" s="16" t="n"/>
      <c r="G55" s="16" t="n"/>
      <c r="H55" s="16" t="n"/>
      <c r="I55" s="16" t="n"/>
      <c r="J55" s="16" t="n"/>
    </row>
  </sheetData>
  <mergeCells count="2">
    <mergeCell ref="A1:J1"/>
    <mergeCell ref="A2:J2"/>
  </mergeCells>
  <dataValidations count="2">
    <dataValidation sqref="I6 I7 I8 I9 I10 I11 I12 I13 I14 I15 I16 I17 I18 I19 I20 I21 I22 I23 I24 I25 I26 I27 I28 I29 I30 I31 I32 I33 I34 I35 I36 I37 I38 I39 I40 I41 I42 I43 I44 I45 I46 I47 I48 I49 I50 I51 I52 I53 I54 I55" showDropDown="1" showInputMessage="0" showErrorMessage="0" allowBlank="0" type="list">
      <formula1>"Yes,No,Pending"</formula1>
    </dataValidation>
    <dataValidation sqref="H6 H7 H8 H9 H10 H11 H12 H13 H14 H15 H16 H17 H18 H19 H20 H21 H22 H23 H24 H25 H26 H27 H28 H29 H30 H31 H32 H33 H34 H35 H36 H37 H38 H39 H40 H41 H42 H43 H44 H45 H46 H47 H48 H49 H50 H51 H52 H53 H54 H55" showDropDown="1" showInputMessage="0" showErrorMessage="0" allowBlank="0" type="list">
      <formula1>"Complete,In Progress,Planned,Not Started"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5"/>
  <sheetViews>
    <sheetView showGridLines="0" workbookViewId="0">
      <pane ySplit="4" topLeftCell="A5" activePane="bottomLeft" state="frozen"/>
      <selection pane="bottomLeft" activeCell="A1" sqref="A1"/>
    </sheetView>
  </sheetViews>
  <sheetFormatPr baseColWidth="8" defaultRowHeight="15"/>
  <cols>
    <col width="18" customWidth="1" min="1" max="1"/>
    <col width="35" customWidth="1" min="2" max="2"/>
    <col width="25" customWidth="1" min="3" max="3"/>
    <col width="15" customWidth="1" min="4" max="4"/>
    <col width="30" customWidth="1" min="5" max="5"/>
    <col width="30" customWidth="1" min="6" max="6"/>
    <col width="35" customWidth="1" min="7" max="7"/>
    <col width="20" customWidth="1" min="8" max="8"/>
    <col width="15" customWidth="1" min="9" max="9"/>
    <col width="15" customWidth="1" min="10" max="10"/>
    <col width="18" customWidth="1" min="11" max="11"/>
  </cols>
  <sheetData>
    <row r="1" ht="35" customHeight="1">
      <c r="A1" s="11" t="inlineStr">
        <is>
          <t>GAP ANALYSIS - IDENTIFIED DEFICIENCIES</t>
        </is>
      </c>
    </row>
    <row r="2">
      <c r="A2" s="12" t="inlineStr">
        <is>
          <t>Document all data classification gaps and remediation plans</t>
        </is>
      </c>
    </row>
    <row r="4">
      <c r="A4" s="13" t="inlineStr">
        <is>
          <t>Gap ID</t>
        </is>
      </c>
      <c r="B4" s="13" t="inlineStr">
        <is>
          <t>Gap Description</t>
        </is>
      </c>
      <c r="C4" s="13" t="inlineStr">
        <is>
          <t>Affected Data Category</t>
        </is>
      </c>
      <c r="D4" s="13" t="inlineStr">
        <is>
          <t>Risk Level</t>
        </is>
      </c>
      <c r="E4" s="13" t="inlineStr">
        <is>
          <t>Business Impact</t>
        </is>
      </c>
      <c r="F4" s="13" t="inlineStr">
        <is>
          <t>Root Cause</t>
        </is>
      </c>
      <c r="G4" s="13" t="inlineStr">
        <is>
          <t>Remediation Plan</t>
        </is>
      </c>
      <c r="H4" s="13" t="inlineStr">
        <is>
          <t>Owner</t>
        </is>
      </c>
      <c r="I4" s="13" t="inlineStr">
        <is>
          <t>Target Date</t>
        </is>
      </c>
      <c r="J4" s="13" t="inlineStr">
        <is>
          <t>Status</t>
        </is>
      </c>
      <c r="K4" s="13" t="inlineStr">
        <is>
          <t>Evidence ID</t>
        </is>
      </c>
    </row>
    <row r="5">
      <c r="A5" s="15" t="inlineStr">
        <is>
          <t>GAP-A812-2-001</t>
        </is>
      </c>
      <c r="B5" s="15" t="inlineStr">
        <is>
          <t>No data classification schema documented</t>
        </is>
      </c>
      <c r="C5" s="15" t="inlineStr">
        <is>
          <t>All data</t>
        </is>
      </c>
      <c r="D5" s="15" t="inlineStr">
        <is>
          <t>Critical</t>
        </is>
      </c>
      <c r="E5" s="15" t="inlineStr">
        <is>
          <t>Uncontrolled data handling, no DLP baseline</t>
        </is>
      </c>
      <c r="F5" s="15" t="inlineStr">
        <is>
          <t>Schema never formally defined</t>
        </is>
      </c>
      <c r="G5" s="15" t="inlineStr">
        <is>
          <t>Create and approve 4-tier classification schema</t>
        </is>
      </c>
      <c r="H5" s="15" t="inlineStr">
        <is>
          <t>[Owner]</t>
        </is>
      </c>
      <c r="I5" s="15" t="inlineStr">
        <is>
          <t>[Date]</t>
        </is>
      </c>
      <c r="J5" s="15" t="inlineStr">
        <is>
          <t>Open</t>
        </is>
      </c>
      <c r="K5" s="15" t="inlineStr">
        <is>
          <t>A812-2-GAP-001</t>
        </is>
      </c>
    </row>
    <row r="6">
      <c r="A6" s="16" t="n"/>
      <c r="B6" s="16" t="n"/>
      <c r="C6" s="16" t="n"/>
      <c r="D6" s="16" t="n"/>
      <c r="E6" s="16" t="n"/>
      <c r="F6" s="16" t="n"/>
      <c r="G6" s="16" t="n"/>
      <c r="H6" s="16" t="n"/>
      <c r="I6" s="16" t="n"/>
      <c r="J6" s="16" t="n"/>
      <c r="K6" s="16" t="n"/>
    </row>
    <row r="7">
      <c r="A7" s="16" t="n"/>
      <c r="B7" s="16" t="n"/>
      <c r="C7" s="16" t="n"/>
      <c r="D7" s="16" t="n"/>
      <c r="E7" s="16" t="n"/>
      <c r="F7" s="16" t="n"/>
      <c r="G7" s="16" t="n"/>
      <c r="H7" s="16" t="n"/>
      <c r="I7" s="16" t="n"/>
      <c r="J7" s="16" t="n"/>
      <c r="K7" s="16" t="n"/>
    </row>
    <row r="8">
      <c r="A8" s="16" t="n"/>
      <c r="B8" s="16" t="n"/>
      <c r="C8" s="16" t="n"/>
      <c r="D8" s="16" t="n"/>
      <c r="E8" s="16" t="n"/>
      <c r="F8" s="16" t="n"/>
      <c r="G8" s="16" t="n"/>
      <c r="H8" s="16" t="n"/>
      <c r="I8" s="16" t="n"/>
      <c r="J8" s="16" t="n"/>
      <c r="K8" s="16" t="n"/>
    </row>
    <row r="9">
      <c r="A9" s="16" t="n"/>
      <c r="B9" s="16" t="n"/>
      <c r="C9" s="16" t="n"/>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sheetData>
  <mergeCells count="2">
    <mergeCell ref="A2:K2"/>
    <mergeCell ref="A1:K1"/>
  </mergeCells>
  <dataValidations count="2">
    <dataValidation sqref="D6 D7 D8 D9 D10 D11 D12 D13 D14 D15 D16 D17 D18 D19 D20 D21 D22 D23 D24 D25 D26 D27 D28 D29 D30 D31 D32 D33 D34 D35 D36 D37 D38 D39 D40 D41 D42 D43 D44 D45 D46 D47 D48 D49 D50 D51 D52 D53 D54 D55" showDropDown="1" showInputMessage="0" showErrorMessage="0" allowBlank="0" type="list">
      <formula1>"Critical,High,Medium,Low"</formula1>
    </dataValidation>
    <dataValidation sqref="J6 J7 J8 J9 J10 J11 J12 J13 J14 J15 J16 J17 J18 J19 J20 J21 J22 J23 J24 J25 J26 J27 J28 J29 J30 J31 J32 J33 J34 J35 J36 J37 J38 J39 J40 J41 J42 J43 J44 J45 J46 J47 J48 J49 J50 J51 J52 J53 J54 J55" showDropDown="1" showInputMessage="0" showErrorMessage="0" allowBlank="0" type="list">
      <formula1>"Open,In Progress,Resolved,Accepted,Closed"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7" t="inlineStr">
        <is>
          <t>EVIDENCE REGISTER</t>
        </is>
      </c>
      <c r="B1" s="6" t="n"/>
      <c r="C1" s="6" t="n"/>
      <c r="D1" s="6" t="n"/>
      <c r="E1" s="6" t="n"/>
      <c r="F1" s="6" t="n"/>
      <c r="G1" s="6" t="n"/>
      <c r="H1" s="6" t="n"/>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0" t="inlineStr">
        <is>
          <t>Classification Schema</t>
        </is>
      </c>
      <c r="C5" s="20" t="inlineStr">
        <is>
          <t>Configuration file</t>
        </is>
      </c>
      <c r="D5" s="20" t="inlineStr">
        <is>
          <t>Data classification policy configuration export</t>
        </is>
      </c>
      <c r="E5" s="20" t="inlineStr">
        <is>
          <t>\\fileserver\isms\evidence\dlp\classification-policy.pdf</t>
        </is>
      </c>
      <c r="F5" s="20" t="inlineStr">
        <is>
          <t>22.02.2026</t>
        </is>
      </c>
      <c r="G5" s="20" t="inlineStr">
        <is>
          <t>IT Security Team</t>
        </is>
      </c>
      <c r="H5" s="20" t="inlineStr">
        <is>
          <t>Verified</t>
        </is>
      </c>
    </row>
    <row r="6">
      <c r="A6" s="21" t="n"/>
      <c r="B6" s="21" t="n"/>
      <c r="C6" s="21" t="n"/>
      <c r="D6" s="21" t="n"/>
      <c r="E6" s="21" t="n"/>
      <c r="F6" s="21" t="n"/>
      <c r="G6" s="21" t="n"/>
      <c r="H6" s="21" t="n"/>
    </row>
    <row r="7">
      <c r="A7" s="21" t="n"/>
      <c r="B7" s="21" t="n"/>
      <c r="C7" s="21" t="n"/>
      <c r="D7" s="21" t="n"/>
      <c r="E7" s="21" t="n"/>
      <c r="F7" s="21" t="n"/>
      <c r="G7" s="21" t="n"/>
      <c r="H7" s="21" t="n"/>
    </row>
    <row r="8">
      <c r="A8" s="21" t="n"/>
      <c r="B8" s="21" t="n"/>
      <c r="C8" s="21" t="n"/>
      <c r="D8" s="21" t="n"/>
      <c r="E8" s="21" t="n"/>
      <c r="F8" s="21" t="n"/>
      <c r="G8" s="21" t="n"/>
      <c r="H8" s="21" t="n"/>
    </row>
    <row r="9">
      <c r="A9" s="21" t="n"/>
      <c r="B9" s="21" t="n"/>
      <c r="C9" s="21" t="n"/>
      <c r="D9" s="21" t="n"/>
      <c r="E9" s="21" t="n"/>
      <c r="F9" s="21" t="n"/>
      <c r="G9" s="21" t="n"/>
      <c r="H9" s="21" t="n"/>
    </row>
    <row r="10">
      <c r="A10" s="21" t="n"/>
      <c r="B10" s="21" t="n"/>
      <c r="C10" s="21" t="n"/>
      <c r="D10" s="21" t="n"/>
      <c r="E10" s="21" t="n"/>
      <c r="F10" s="21" t="n"/>
      <c r="G10" s="21" t="n"/>
      <c r="H10" s="21" t="n"/>
    </row>
    <row r="11">
      <c r="A11" s="21" t="n"/>
      <c r="B11" s="21" t="n"/>
      <c r="C11" s="21" t="n"/>
      <c r="D11" s="21" t="n"/>
      <c r="E11" s="21" t="n"/>
      <c r="F11" s="21" t="n"/>
      <c r="G11" s="21" t="n"/>
      <c r="H11" s="21" t="n"/>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row r="62">
      <c r="A62" s="21" t="n"/>
      <c r="B62" s="21" t="n"/>
      <c r="C62" s="21" t="n"/>
      <c r="D62" s="21" t="n"/>
      <c r="E62" s="21" t="n"/>
      <c r="F62" s="21" t="n"/>
      <c r="G62" s="21" t="n"/>
      <c r="H62" s="21" t="n"/>
    </row>
    <row r="63">
      <c r="A63" s="21" t="n"/>
      <c r="B63" s="21" t="n"/>
      <c r="C63" s="21" t="n"/>
      <c r="D63" s="21" t="n"/>
      <c r="E63" s="21" t="n"/>
      <c r="F63" s="21" t="n"/>
      <c r="G63" s="21" t="n"/>
      <c r="H63" s="21" t="n"/>
    </row>
    <row r="64">
      <c r="A64" s="21" t="n"/>
      <c r="B64" s="21" t="n"/>
      <c r="C64" s="21" t="n"/>
      <c r="D64" s="21" t="n"/>
      <c r="E64" s="21" t="n"/>
      <c r="F64" s="21" t="n"/>
      <c r="G64" s="21" t="n"/>
      <c r="H64" s="21" t="n"/>
    </row>
    <row r="65">
      <c r="A65" s="21" t="n"/>
      <c r="B65" s="21" t="n"/>
      <c r="C65" s="21" t="n"/>
      <c r="D65" s="21" t="n"/>
      <c r="E65" s="21" t="n"/>
      <c r="F65" s="21" t="n"/>
      <c r="G65" s="21" t="n"/>
      <c r="H65" s="21" t="n"/>
    </row>
    <row r="66">
      <c r="A66" s="21" t="n"/>
      <c r="B66" s="21" t="n"/>
      <c r="C66" s="21" t="n"/>
      <c r="D66" s="21" t="n"/>
      <c r="E66" s="21" t="n"/>
      <c r="F66" s="21" t="n"/>
      <c r="G66" s="21" t="n"/>
      <c r="H66" s="21" t="n"/>
    </row>
    <row r="67">
      <c r="A67" s="21" t="n"/>
      <c r="B67" s="21" t="n"/>
      <c r="C67" s="21" t="n"/>
      <c r="D67" s="21" t="n"/>
      <c r="E67" s="21" t="n"/>
      <c r="F67" s="21" t="n"/>
      <c r="G67" s="21" t="n"/>
      <c r="H67" s="21" t="n"/>
    </row>
    <row r="68">
      <c r="A68" s="21" t="n"/>
      <c r="B68" s="21" t="n"/>
      <c r="C68" s="21" t="n"/>
      <c r="D68" s="21" t="n"/>
      <c r="E68" s="21" t="n"/>
      <c r="F68" s="21" t="n"/>
      <c r="G68" s="21" t="n"/>
      <c r="H68" s="21" t="n"/>
    </row>
    <row r="69">
      <c r="A69" s="21" t="n"/>
      <c r="B69" s="21" t="n"/>
      <c r="C69" s="21" t="n"/>
      <c r="D69" s="21" t="n"/>
      <c r="E69" s="21" t="n"/>
      <c r="F69" s="21" t="n"/>
      <c r="G69" s="21" t="n"/>
      <c r="H69" s="21" t="n"/>
    </row>
    <row r="70">
      <c r="A70" s="21" t="n"/>
      <c r="B70" s="21" t="n"/>
      <c r="C70" s="21" t="n"/>
      <c r="D70" s="21" t="n"/>
      <c r="E70" s="21" t="n"/>
      <c r="F70" s="21" t="n"/>
      <c r="G70" s="21" t="n"/>
      <c r="H70" s="21" t="n"/>
    </row>
    <row r="71">
      <c r="A71" s="21" t="n"/>
      <c r="B71" s="21" t="n"/>
      <c r="C71" s="21" t="n"/>
      <c r="D71" s="21" t="n"/>
      <c r="E71" s="21" t="n"/>
      <c r="F71" s="21" t="n"/>
      <c r="G71" s="21" t="n"/>
      <c r="H71" s="21" t="n"/>
    </row>
    <row r="72">
      <c r="A72" s="21" t="n"/>
      <c r="B72" s="21" t="n"/>
      <c r="C72" s="21" t="n"/>
      <c r="D72" s="21" t="n"/>
      <c r="E72" s="21" t="n"/>
      <c r="F72" s="21" t="n"/>
      <c r="G72" s="21" t="n"/>
      <c r="H72" s="21" t="n"/>
    </row>
    <row r="73">
      <c r="A73" s="21" t="n"/>
      <c r="B73" s="21" t="n"/>
      <c r="C73" s="21" t="n"/>
      <c r="D73" s="21" t="n"/>
      <c r="E73" s="21" t="n"/>
      <c r="F73" s="21" t="n"/>
      <c r="G73" s="21" t="n"/>
      <c r="H73" s="21" t="n"/>
    </row>
    <row r="74">
      <c r="A74" s="21" t="n"/>
      <c r="B74" s="21" t="n"/>
      <c r="C74" s="21" t="n"/>
      <c r="D74" s="21" t="n"/>
      <c r="E74" s="21" t="n"/>
      <c r="F74" s="21" t="n"/>
      <c r="G74" s="21" t="n"/>
      <c r="H74" s="21" t="n"/>
    </row>
    <row r="75">
      <c r="A75" s="21" t="n"/>
      <c r="B75" s="21" t="n"/>
      <c r="C75" s="21" t="n"/>
      <c r="D75" s="21" t="n"/>
      <c r="E75" s="21" t="n"/>
      <c r="F75" s="21" t="n"/>
      <c r="G75" s="21" t="n"/>
      <c r="H75" s="21" t="n"/>
    </row>
    <row r="76">
      <c r="A76" s="21" t="n"/>
      <c r="B76" s="21" t="n"/>
      <c r="C76" s="21" t="n"/>
      <c r="D76" s="21" t="n"/>
      <c r="E76" s="21" t="n"/>
      <c r="F76" s="21" t="n"/>
      <c r="G76" s="21" t="n"/>
      <c r="H76" s="21" t="n"/>
    </row>
    <row r="77">
      <c r="A77" s="21" t="n"/>
      <c r="B77" s="21" t="n"/>
      <c r="C77" s="21" t="n"/>
      <c r="D77" s="21" t="n"/>
      <c r="E77" s="21" t="n"/>
      <c r="F77" s="21" t="n"/>
      <c r="G77" s="21" t="n"/>
      <c r="H77" s="21" t="n"/>
    </row>
    <row r="78">
      <c r="A78" s="21" t="n"/>
      <c r="B78" s="21" t="n"/>
      <c r="C78" s="21" t="n"/>
      <c r="D78" s="21" t="n"/>
      <c r="E78" s="21" t="n"/>
      <c r="F78" s="21" t="n"/>
      <c r="G78" s="21" t="n"/>
      <c r="H78" s="21" t="n"/>
    </row>
    <row r="79">
      <c r="A79" s="21" t="n"/>
      <c r="B79" s="21" t="n"/>
      <c r="C79" s="21" t="n"/>
      <c r="D79" s="21" t="n"/>
      <c r="E79" s="21" t="n"/>
      <c r="F79" s="21" t="n"/>
      <c r="G79" s="21" t="n"/>
      <c r="H79" s="21" t="n"/>
    </row>
    <row r="80">
      <c r="A80" s="21" t="n"/>
      <c r="B80" s="21" t="n"/>
      <c r="C80" s="21" t="n"/>
      <c r="D80" s="21" t="n"/>
      <c r="E80" s="21" t="n"/>
      <c r="F80" s="21" t="n"/>
      <c r="G80" s="21" t="n"/>
      <c r="H80" s="21" t="n"/>
    </row>
    <row r="81">
      <c r="A81" s="21" t="n"/>
      <c r="B81" s="21" t="n"/>
      <c r="C81" s="21" t="n"/>
      <c r="D81" s="21" t="n"/>
      <c r="E81" s="21" t="n"/>
      <c r="F81" s="21" t="n"/>
      <c r="G81" s="21" t="n"/>
      <c r="H81" s="21" t="n"/>
    </row>
    <row r="82">
      <c r="A82" s="21" t="n"/>
      <c r="B82" s="21" t="n"/>
      <c r="C82" s="21" t="n"/>
      <c r="D82" s="21" t="n"/>
      <c r="E82" s="21" t="n"/>
      <c r="F82" s="21" t="n"/>
      <c r="G82" s="21" t="n"/>
      <c r="H82" s="21" t="n"/>
    </row>
    <row r="83">
      <c r="A83" s="21" t="n"/>
      <c r="B83" s="21" t="n"/>
      <c r="C83" s="21" t="n"/>
      <c r="D83" s="21" t="n"/>
      <c r="E83" s="21" t="n"/>
      <c r="F83" s="21" t="n"/>
      <c r="G83" s="21" t="n"/>
      <c r="H83" s="21" t="n"/>
    </row>
    <row r="84">
      <c r="A84" s="21" t="n"/>
      <c r="B84" s="21" t="n"/>
      <c r="C84" s="21" t="n"/>
      <c r="D84" s="21" t="n"/>
      <c r="E84" s="21" t="n"/>
      <c r="F84" s="21" t="n"/>
      <c r="G84" s="21" t="n"/>
      <c r="H84" s="21" t="n"/>
    </row>
    <row r="85">
      <c r="A85" s="21" t="n"/>
      <c r="B85" s="21" t="n"/>
      <c r="C85" s="21" t="n"/>
      <c r="D85" s="21" t="n"/>
      <c r="E85" s="21" t="n"/>
      <c r="F85" s="21" t="n"/>
      <c r="G85" s="21" t="n"/>
      <c r="H85" s="21" t="n"/>
    </row>
    <row r="86">
      <c r="A86" s="21" t="n"/>
      <c r="B86" s="21" t="n"/>
      <c r="C86" s="21" t="n"/>
      <c r="D86" s="21" t="n"/>
      <c r="E86" s="21" t="n"/>
      <c r="F86" s="21" t="n"/>
      <c r="G86" s="21" t="n"/>
      <c r="H86" s="21" t="n"/>
    </row>
    <row r="87">
      <c r="A87" s="21" t="n"/>
      <c r="B87" s="21" t="n"/>
      <c r="C87" s="21" t="n"/>
      <c r="D87" s="21" t="n"/>
      <c r="E87" s="21" t="n"/>
      <c r="F87" s="21" t="n"/>
      <c r="G87" s="21" t="n"/>
      <c r="H87" s="21" t="n"/>
    </row>
    <row r="88">
      <c r="A88" s="21" t="n"/>
      <c r="B88" s="21" t="n"/>
      <c r="C88" s="21" t="n"/>
      <c r="D88" s="21" t="n"/>
      <c r="E88" s="21" t="n"/>
      <c r="F88" s="21" t="n"/>
      <c r="G88" s="21" t="n"/>
      <c r="H88" s="21" t="n"/>
    </row>
    <row r="89">
      <c r="A89" s="21" t="n"/>
      <c r="B89" s="21" t="n"/>
      <c r="C89" s="21" t="n"/>
      <c r="D89" s="21" t="n"/>
      <c r="E89" s="21" t="n"/>
      <c r="F89" s="21" t="n"/>
      <c r="G89" s="21" t="n"/>
      <c r="H89" s="21" t="n"/>
    </row>
    <row r="90">
      <c r="A90" s="21" t="n"/>
      <c r="B90" s="21" t="n"/>
      <c r="C90" s="21" t="n"/>
      <c r="D90" s="21" t="n"/>
      <c r="E90" s="21" t="n"/>
      <c r="F90" s="21" t="n"/>
      <c r="G90" s="21" t="n"/>
      <c r="H90" s="21" t="n"/>
    </row>
    <row r="91">
      <c r="A91" s="21" t="n"/>
      <c r="B91" s="21" t="n"/>
      <c r="C91" s="21" t="n"/>
      <c r="D91" s="21" t="n"/>
      <c r="E91" s="21" t="n"/>
      <c r="F91" s="21" t="n"/>
      <c r="G91" s="21" t="n"/>
      <c r="H91" s="21" t="n"/>
    </row>
    <row r="92">
      <c r="A92" s="21" t="n"/>
      <c r="B92" s="21" t="n"/>
      <c r="C92" s="21" t="n"/>
      <c r="D92" s="21" t="n"/>
      <c r="E92" s="21" t="n"/>
      <c r="F92" s="21" t="n"/>
      <c r="G92" s="21" t="n"/>
      <c r="H92" s="21" t="n"/>
    </row>
    <row r="93">
      <c r="A93" s="21" t="n"/>
      <c r="B93" s="21" t="n"/>
      <c r="C93" s="21" t="n"/>
      <c r="D93" s="21" t="n"/>
      <c r="E93" s="21" t="n"/>
      <c r="F93" s="21" t="n"/>
      <c r="G93" s="21" t="n"/>
      <c r="H93" s="21" t="n"/>
    </row>
    <row r="94">
      <c r="A94" s="21" t="n"/>
      <c r="B94" s="21" t="n"/>
      <c r="C94" s="21" t="n"/>
      <c r="D94" s="21" t="n"/>
      <c r="E94" s="21" t="n"/>
      <c r="F94" s="21" t="n"/>
      <c r="G94" s="21" t="n"/>
      <c r="H94" s="21" t="n"/>
    </row>
    <row r="95">
      <c r="A95" s="21" t="n"/>
      <c r="B95" s="21" t="n"/>
      <c r="C95" s="21" t="n"/>
      <c r="D95" s="21" t="n"/>
      <c r="E95" s="21" t="n"/>
      <c r="F95" s="21" t="n"/>
      <c r="G95" s="21" t="n"/>
      <c r="H95" s="21" t="n"/>
    </row>
    <row r="96">
      <c r="A96" s="21" t="n"/>
      <c r="B96" s="21" t="n"/>
      <c r="C96" s="21" t="n"/>
      <c r="D96" s="21" t="n"/>
      <c r="E96" s="21" t="n"/>
      <c r="F96" s="21" t="n"/>
      <c r="G96" s="21" t="n"/>
      <c r="H96" s="21" t="n"/>
    </row>
    <row r="97">
      <c r="A97" s="21" t="n"/>
      <c r="B97" s="21" t="n"/>
      <c r="C97" s="21" t="n"/>
      <c r="D97" s="21" t="n"/>
      <c r="E97" s="21" t="n"/>
      <c r="F97" s="21" t="n"/>
      <c r="G97" s="21" t="n"/>
      <c r="H97" s="21" t="n"/>
    </row>
    <row r="98">
      <c r="A98" s="21" t="n"/>
      <c r="B98" s="21" t="n"/>
      <c r="C98" s="21" t="n"/>
      <c r="D98" s="21" t="n"/>
      <c r="E98" s="21" t="n"/>
      <c r="F98" s="21" t="n"/>
      <c r="G98" s="21" t="n"/>
      <c r="H98" s="21" t="n"/>
    </row>
    <row r="99">
      <c r="A99" s="21" t="n"/>
      <c r="B99" s="21" t="n"/>
      <c r="C99" s="21" t="n"/>
      <c r="D99" s="21" t="n"/>
      <c r="E99" s="21" t="n"/>
      <c r="F99" s="21" t="n"/>
      <c r="G99" s="21" t="n"/>
      <c r="H99" s="21" t="n"/>
    </row>
    <row r="100">
      <c r="A100" s="21" t="n"/>
      <c r="B100" s="21" t="n"/>
      <c r="C100" s="21" t="n"/>
      <c r="D100" s="21" t="n"/>
      <c r="E100" s="21" t="n"/>
      <c r="F100" s="21" t="n"/>
      <c r="G100" s="21" t="n"/>
      <c r="H100" s="21" t="n"/>
    </row>
    <row r="101">
      <c r="A101" s="21" t="n"/>
      <c r="B101" s="21" t="n"/>
      <c r="C101" s="21" t="n"/>
      <c r="D101" s="21" t="n"/>
      <c r="E101" s="21" t="n"/>
      <c r="F101" s="21" t="n"/>
      <c r="G101" s="21" t="n"/>
      <c r="H101" s="21" t="n"/>
    </row>
    <row r="102">
      <c r="A102" s="21" t="n"/>
      <c r="B102" s="21" t="n"/>
      <c r="C102" s="21" t="n"/>
      <c r="D102" s="21" t="n"/>
      <c r="E102" s="21" t="n"/>
      <c r="F102" s="21" t="n"/>
      <c r="G102" s="21" t="n"/>
      <c r="H102" s="21" t="n"/>
    </row>
    <row r="103">
      <c r="A103" s="21" t="n"/>
      <c r="B103" s="21" t="n"/>
      <c r="C103" s="21" t="n"/>
      <c r="D103" s="21" t="n"/>
      <c r="E103" s="21" t="n"/>
      <c r="F103" s="21" t="n"/>
      <c r="G103" s="21" t="n"/>
      <c r="H103" s="21" t="n"/>
    </row>
    <row r="104">
      <c r="A104" s="21" t="n"/>
      <c r="B104" s="21" t="n"/>
      <c r="C104" s="21" t="n"/>
      <c r="D104" s="21" t="n"/>
      <c r="E104" s="21" t="n"/>
      <c r="F104" s="21" t="n"/>
      <c r="G104" s="21" t="n"/>
      <c r="H104" s="21" t="n"/>
    </row>
    <row r="105">
      <c r="A105" s="21" t="n"/>
      <c r="B105" s="21" t="n"/>
      <c r="C105" s="21" t="n"/>
      <c r="D105" s="21" t="n"/>
      <c r="E105" s="21" t="n"/>
      <c r="F105" s="21" t="n"/>
      <c r="G105" s="21" t="n"/>
      <c r="H105" s="21" t="n"/>
    </row>
  </sheetData>
  <mergeCells count="2">
    <mergeCell ref="A2:H2"/>
    <mergeCell ref="A1:H1"/>
  </mergeCells>
  <dataValidations count="2">
    <dataValidation sqref="C6:C105" showDropDown="1" showInputMessage="0" showErrorMessage="0" allowBlank="1" type="list">
      <formula1>"Screenshot,Configuration File,Policy Document,Log Export,Report,Certificate,Email,Meeting Minutes,Other"</formula1>
    </dataValidation>
    <dataValidation sqref="H6:H105" showDropDown="1" showInputMessage="0" showErrorMessage="0" allowBlank="1" type="list">
      <formula1>"Verified,Pending,Rejected"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1"/>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22" t="inlineStr">
        <is>
          <t>DATA CLASSIFICATION ASSESSMENT — SUMMARY DASHBOARD</t>
        </is>
      </c>
    </row>
    <row r="2">
      <c r="A2" s="23" t="inlineStr">
        <is>
          <t>ISO/IEC 27001:2022 — Control A.8.12: Data Leakage Prevention</t>
        </is>
      </c>
    </row>
    <row r="4">
      <c r="A4" s="24" t="inlineStr">
        <is>
          <t>TABLE 1 – COMPLIANCE ASSESSMENT SUMMARY</t>
        </is>
      </c>
    </row>
    <row r="5">
      <c r="A5" s="13" t="inlineStr">
        <is>
          <t>Assessment Area</t>
        </is>
      </c>
      <c r="B5" s="13" t="inlineStr">
        <is>
          <t>Total Items</t>
        </is>
      </c>
      <c r="C5" s="13" t="inlineStr">
        <is>
          <t>Compliant</t>
        </is>
      </c>
      <c r="D5" s="13" t="inlineStr">
        <is>
          <t>Partial</t>
        </is>
      </c>
      <c r="E5" s="13" t="inlineStr">
        <is>
          <t>Non-Compliant</t>
        </is>
      </c>
      <c r="F5" s="13" t="inlineStr">
        <is>
          <t>N/A</t>
        </is>
      </c>
      <c r="G5" s="13" t="inlineStr">
        <is>
          <t>Compliance %</t>
        </is>
      </c>
    </row>
    <row r="6">
      <c r="A6" s="25" t="inlineStr">
        <is>
          <t>Classification Schema</t>
        </is>
      </c>
      <c r="B6" s="25">
        <f>C6+D6+E6+F6</f>
        <v/>
      </c>
      <c r="C6" s="25">
        <f>COUNTIF('Classification Schema'!G6:G55,"Yes")</f>
        <v/>
      </c>
      <c r="D6" s="25">
        <f>COUNTIF('Classification Schema'!G6:G55,"Partial")+COUNTIF('Classification Schema'!G6:G55,"Planned")</f>
        <v/>
      </c>
      <c r="E6" s="25">
        <f>COUNTIF('Classification Schema'!G6:G55,"No")</f>
        <v/>
      </c>
      <c r="F6" s="25">
        <f>COUNTIF('Classification Schema'!G6:G55,"N/A")</f>
        <v/>
      </c>
      <c r="G6" s="26">
        <f>IF((B6-F6)=0,0,C6/(B6-F6))</f>
        <v/>
      </c>
    </row>
    <row r="7">
      <c r="A7" s="25" t="inlineStr">
        <is>
          <t>Sensitive Data Inventory</t>
        </is>
      </c>
      <c r="B7" s="25">
        <f>C7+D7+E7+F7</f>
        <v/>
      </c>
      <c r="C7" s="25">
        <f>COUNTIF('Sensitive Data Inventory'!J6:J55,"Yes")</f>
        <v/>
      </c>
      <c r="D7" s="25">
        <f>COUNTIF('Sensitive Data Inventory'!J6:J55,"Partial")</f>
        <v/>
      </c>
      <c r="E7" s="25">
        <f>COUNTIF('Sensitive Data Inventory'!J6:J55,"No")</f>
        <v/>
      </c>
      <c r="F7" s="25">
        <f>COUNTIF('Sensitive Data Inventory'!J6:J55,"N/A")</f>
        <v/>
      </c>
      <c r="G7" s="26">
        <f>IF((B7-F7)=0,0,C7/(B7-F7))</f>
        <v/>
      </c>
    </row>
    <row r="8">
      <c r="A8" s="25" t="inlineStr">
        <is>
          <t>Data Location Mapping</t>
        </is>
      </c>
      <c r="B8" s="25">
        <f>C8+D8+E8+F8</f>
        <v/>
      </c>
      <c r="C8" s="25">
        <f>COUNTIF('Data Location Mapping'!G6:G55,"Yes")</f>
        <v/>
      </c>
      <c r="D8" s="25">
        <f>COUNTIF('Data Location Mapping'!G6:G55,"Partial")</f>
        <v/>
      </c>
      <c r="E8" s="25">
        <f>COUNTIF('Data Location Mapping'!G6:G55,"No")</f>
        <v/>
      </c>
      <c r="F8" s="25">
        <f>COUNTIF('Data Location Mapping'!G6:G55,"N/A")</f>
        <v/>
      </c>
      <c r="G8" s="26">
        <f>IF((B8-F8)=0,0,C8/(B8-F8))</f>
        <v/>
      </c>
    </row>
    <row r="9">
      <c r="A9" s="25" t="inlineStr">
        <is>
          <t>Data Owner Assignment</t>
        </is>
      </c>
      <c r="B9" s="25">
        <f>C9+D9+E9+F9</f>
        <v/>
      </c>
      <c r="C9" s="25">
        <f>COUNTIF('Data Owner Assignment'!H6:H55,"Yes")</f>
        <v/>
      </c>
      <c r="D9" s="25">
        <f>COUNTIF('Data Owner Assignment'!H6:H55,"Pending")</f>
        <v/>
      </c>
      <c r="E9" s="25">
        <f>COUNTIF('Data Owner Assignment'!H6:H55,"No")</f>
        <v/>
      </c>
      <c r="F9" s="25">
        <f>0</f>
        <v/>
      </c>
      <c r="G9" s="26">
        <f>IF((B9-F9)=0,0,C9/(B9-F9))</f>
        <v/>
      </c>
    </row>
    <row r="10">
      <c r="A10" s="25" t="inlineStr">
        <is>
          <t>Regulatory Mapping</t>
        </is>
      </c>
      <c r="B10" s="25">
        <f>C10+D10+E10+F10</f>
        <v/>
      </c>
      <c r="C10" s="25">
        <f>COUNTIF('Regulatory Mapping'!E6:E55,"Compliant")</f>
        <v/>
      </c>
      <c r="D10" s="25">
        <f>COUNTIF('Regulatory Mapping'!E6:E55,"Partial")+COUNTIF('Regulatory Mapping'!E6:E55,"Planned")</f>
        <v/>
      </c>
      <c r="E10" s="25">
        <f>COUNTIF('Regulatory Mapping'!E6:E55,"Non-Compliant")</f>
        <v/>
      </c>
      <c r="F10" s="25">
        <f>COUNTIF('Regulatory Mapping'!E6:E55,"N/A")</f>
        <v/>
      </c>
      <c r="G10" s="26">
        <f>IF((B10-F10)=0,0,C10/(B10-F10))</f>
        <v/>
      </c>
    </row>
    <row r="11">
      <c r="A11" s="25" t="inlineStr">
        <is>
          <t>Labelling Methods</t>
        </is>
      </c>
      <c r="B11" s="25">
        <f>C11+D11+E11+F11</f>
        <v/>
      </c>
      <c r="C11" s="25">
        <f>COUNTIF('Labelling Methods'!G6:G55,"Yes")</f>
        <v/>
      </c>
      <c r="D11" s="25">
        <f>COUNTIF('Labelling Methods'!G6:G55,"Partial")</f>
        <v/>
      </c>
      <c r="E11" s="25">
        <f>COUNTIF('Labelling Methods'!G6:G55,"No")</f>
        <v/>
      </c>
      <c r="F11" s="25">
        <f>COUNTIF('Labelling Methods'!G6:G55,"N/A")</f>
        <v/>
      </c>
      <c r="G11" s="26">
        <f>IF((B11-F11)=0,0,C11/(B11-F11))</f>
        <v/>
      </c>
    </row>
    <row r="12">
      <c r="A12" s="25" t="inlineStr">
        <is>
          <t>Discovery Results</t>
        </is>
      </c>
      <c r="B12" s="25">
        <f>C12+D12+E12+F12</f>
        <v/>
      </c>
      <c r="C12" s="25">
        <f>COUNTIF('Discovery Results'!H6:H55,"Complete")</f>
        <v/>
      </c>
      <c r="D12" s="25">
        <f>COUNTIF('Discovery Results'!H6:H55,"In Progress")+COUNTIF('Discovery Results'!H6:H55,"Planned")</f>
        <v/>
      </c>
      <c r="E12" s="25">
        <f>COUNTIF('Discovery Results'!H6:H55,"Not Started")</f>
        <v/>
      </c>
      <c r="F12" s="25">
        <f>0</f>
        <v/>
      </c>
      <c r="G12" s="26">
        <f>IF((B12-F12)=0,0,C12/(B12-F12))</f>
        <v/>
      </c>
    </row>
    <row r="13">
      <c r="A13" s="25" t="inlineStr">
        <is>
          <t>Gap Analysis</t>
        </is>
      </c>
      <c r="B13" s="25">
        <f>C13+D13+E13+F13</f>
        <v/>
      </c>
      <c r="C13" s="25">
        <f>COUNTIF('Gap Analysis'!J6:J55,"Resolved")+COUNTIF('Gap Analysis'!J6:J55,"Closed")+COUNTIF('Gap Analysis'!J6:J55,"Accepted")</f>
        <v/>
      </c>
      <c r="D13" s="25">
        <f>COUNTIF('Gap Analysis'!J6:J55,"In Progress")</f>
        <v/>
      </c>
      <c r="E13" s="25">
        <f>COUNTIF('Gap Analysis'!J6:J55,"Open")</f>
        <v/>
      </c>
      <c r="F13" s="25">
        <f>0</f>
        <v/>
      </c>
      <c r="G13" s="26">
        <f>IF((B13-F13)=0,0,C13/(B13-F13))</f>
        <v/>
      </c>
    </row>
    <row r="14">
      <c r="A14" s="27" t="inlineStr">
        <is>
          <t>TOTAL</t>
        </is>
      </c>
      <c r="B14" s="27">
        <f>SUM(B6:B13)</f>
        <v/>
      </c>
      <c r="C14" s="27">
        <f>SUM(C6:C13)</f>
        <v/>
      </c>
      <c r="D14" s="27">
        <f>SUM(D6:D13)</f>
        <v/>
      </c>
      <c r="E14" s="27">
        <f>SUM(E6:E13)</f>
        <v/>
      </c>
      <c r="F14" s="27">
        <f>SUM(F6:F13)</f>
        <v/>
      </c>
      <c r="G14" s="28">
        <f>IF((B14-F14)=0,0,C14/(B14-F14))</f>
        <v/>
      </c>
    </row>
    <row r="16">
      <c r="A16" s="24" t="inlineStr">
        <is>
          <t>TABLE 2 – KEY METRICS</t>
        </is>
      </c>
    </row>
    <row r="17">
      <c r="A17" s="13" t="inlineStr">
        <is>
          <t>Metric</t>
        </is>
      </c>
      <c r="B17" s="13" t="inlineStr">
        <is>
          <t>Value</t>
        </is>
      </c>
      <c r="C17" s="13" t="inlineStr">
        <is>
          <t>Target</t>
        </is>
      </c>
      <c r="D17" s="29" t="inlineStr"/>
      <c r="E17" s="29" t="inlineStr"/>
      <c r="F17" s="29" t="inlineStr"/>
      <c r="G17" s="29" t="inlineStr"/>
    </row>
    <row r="18">
      <c r="A18" s="30" t="inlineStr">
        <is>
          <t>Data Classification Levels with DLP Monitoring</t>
        </is>
      </c>
      <c r="B18" s="30">
        <f>COUNTIF('Classification Schema'!G6:G55,"Yes")</f>
        <v/>
      </c>
      <c r="C18" s="30" t="inlineStr">
        <is>
          <t>≥4</t>
        </is>
      </c>
      <c r="D18" s="6" t="n"/>
      <c r="E18" s="6" t="n"/>
      <c r="F18" s="6" t="n"/>
      <c r="G18" s="6" t="n"/>
    </row>
    <row r="19">
      <c r="A19" s="30" t="inlineStr">
        <is>
          <t>Sensitive Data Categories with DLP Protection</t>
        </is>
      </c>
      <c r="B19" s="30">
        <f>COUNTIF('Sensitive Data Inventory'!J6:J55,"Yes")</f>
        <v/>
      </c>
      <c r="C19" s="30" t="inlineStr">
        <is>
          <t>≥80%</t>
        </is>
      </c>
      <c r="D19" s="6" t="n"/>
      <c r="E19" s="6" t="n"/>
      <c r="F19" s="6" t="n"/>
      <c r="G19" s="6" t="n"/>
    </row>
    <row r="20">
      <c r="A20" s="30" t="inlineStr">
        <is>
          <t>Data Locations with DLP Coverage</t>
        </is>
      </c>
      <c r="B20" s="30">
        <f>COUNTIF('Data Location Mapping'!G6:G55,"Yes")</f>
        <v/>
      </c>
      <c r="C20" s="30" t="inlineStr">
        <is>
          <t>≥75%</t>
        </is>
      </c>
      <c r="D20" s="6" t="n"/>
      <c r="E20" s="6" t="n"/>
      <c r="F20" s="6" t="n"/>
      <c r="G20" s="6" t="n"/>
    </row>
    <row r="21">
      <c r="A21" s="30" t="inlineStr">
        <is>
          <t>Regulatory Requirements Compliant</t>
        </is>
      </c>
      <c r="B21" s="30">
        <f>COUNTIF('Regulatory Mapping'!E6:E55,"Compliant")</f>
        <v/>
      </c>
      <c r="C21" s="30" t="inlineStr">
        <is>
          <t>≥90%</t>
        </is>
      </c>
      <c r="D21" s="6" t="n"/>
      <c r="E21" s="6" t="n"/>
      <c r="F21" s="6" t="n"/>
      <c r="G21" s="6" t="n"/>
    </row>
    <row r="22">
      <c r="A22" s="30" t="inlineStr">
        <is>
          <t>Open Critical/High Data Gaps</t>
        </is>
      </c>
      <c r="B22" s="30">
        <f>COUNTIFS('Gap Analysis'!D6:D55,"Critical",'Gap Analysis'!J6:J55,"Open")+COUNTIFS('Gap Analysis'!D6:D55,"High",'Gap Analysis'!J6:J55,"Open")</f>
        <v/>
      </c>
      <c r="C22" s="30" t="inlineStr">
        <is>
          <t>0</t>
        </is>
      </c>
      <c r="D22" s="6" t="n"/>
      <c r="E22" s="6" t="n"/>
      <c r="F22" s="6" t="n"/>
      <c r="G22" s="6" t="n"/>
    </row>
    <row r="23">
      <c r="A23" s="30" t="inlineStr">
        <is>
          <t>Evidence Items Verified</t>
        </is>
      </c>
      <c r="B23" s="30">
        <f>COUNTIF('Evidence Register'!H6:H105,"Verified")</f>
        <v/>
      </c>
      <c r="C23" s="30" t="inlineStr">
        <is>
          <t>≥80%</t>
        </is>
      </c>
      <c r="D23" s="6" t="n"/>
      <c r="E23" s="6" t="n"/>
      <c r="F23" s="6" t="n"/>
      <c r="G23" s="6" t="n"/>
    </row>
    <row r="25">
      <c r="A25" s="31" t="inlineStr">
        <is>
          <t>TABLE 3 – KEY FINDINGS &amp; RECOMMENDATIONS</t>
        </is>
      </c>
    </row>
    <row r="26">
      <c r="A26" s="13" t="inlineStr">
        <is>
          <t>#</t>
        </is>
      </c>
      <c r="B26" s="13" t="inlineStr">
        <is>
          <t>Finding</t>
        </is>
      </c>
      <c r="C26" s="13" t="inlineStr">
        <is>
          <t>Impact</t>
        </is>
      </c>
      <c r="D26" s="13" t="inlineStr">
        <is>
          <t>Recommendation</t>
        </is>
      </c>
      <c r="E26" s="13" t="inlineStr">
        <is>
          <t>Priority</t>
        </is>
      </c>
      <c r="F26" s="13" t="inlineStr">
        <is>
          <t>Status</t>
        </is>
      </c>
      <c r="G26" s="13" t="inlineStr"/>
    </row>
    <row r="27">
      <c r="A27" s="32" t="inlineStr">
        <is>
          <t>1</t>
        </is>
      </c>
      <c r="B27" s="21" t="n"/>
      <c r="C27" s="21" t="n"/>
      <c r="D27" s="21" t="n"/>
      <c r="E27" s="21" t="n"/>
      <c r="F27" s="21" t="n"/>
      <c r="G27" s="21" t="n"/>
    </row>
    <row r="28">
      <c r="A28" s="32" t="inlineStr">
        <is>
          <t>2</t>
        </is>
      </c>
      <c r="B28" s="21" t="n"/>
      <c r="C28" s="21" t="n"/>
      <c r="D28" s="21" t="n"/>
      <c r="E28" s="21" t="n"/>
      <c r="F28" s="21" t="n"/>
      <c r="G28" s="21" t="n"/>
    </row>
    <row r="29">
      <c r="A29" s="32" t="inlineStr">
        <is>
          <t>3</t>
        </is>
      </c>
      <c r="B29" s="21" t="n"/>
      <c r="C29" s="21" t="n"/>
      <c r="D29" s="21" t="n"/>
      <c r="E29" s="21" t="n"/>
      <c r="F29" s="21" t="n"/>
      <c r="G29" s="21" t="n"/>
    </row>
    <row r="30">
      <c r="A30" s="32" t="inlineStr">
        <is>
          <t>4</t>
        </is>
      </c>
      <c r="B30" s="21" t="n"/>
      <c r="C30" s="21" t="n"/>
      <c r="D30" s="21" t="n"/>
      <c r="E30" s="21" t="n"/>
      <c r="F30" s="21" t="n"/>
      <c r="G30" s="21" t="n"/>
    </row>
    <row r="31">
      <c r="A31" s="32" t="inlineStr">
        <is>
          <t>5</t>
        </is>
      </c>
      <c r="B31" s="21" t="n"/>
      <c r="C31" s="21" t="n"/>
      <c r="D31" s="21" t="n"/>
      <c r="E31" s="21" t="n"/>
      <c r="F31" s="21" t="n"/>
      <c r="G31" s="21" t="n"/>
    </row>
  </sheetData>
  <mergeCells count="5">
    <mergeCell ref="A1:G1"/>
    <mergeCell ref="A4:G4"/>
    <mergeCell ref="A16:G16"/>
    <mergeCell ref="A2:G2"/>
    <mergeCell ref="A25:G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5"/>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2">
      <c r="A2" s="33" t="inlineStr">
        <is>
          <t>ISO/IEC 27001:2022 — Control A.8.12: Data Classification Assessment</t>
        </is>
      </c>
      <c r="B2" s="6" t="n"/>
      <c r="C2" s="6" t="n"/>
      <c r="D2" s="6" t="n"/>
      <c r="E2" s="6" t="n"/>
    </row>
    <row r="3">
      <c r="A3" s="34" t="inlineStr">
        <is>
          <t>ASSESSMENT SUMMARY</t>
        </is>
      </c>
      <c r="B3" s="6" t="n"/>
      <c r="C3" s="6" t="n"/>
      <c r="D3" s="6" t="n"/>
      <c r="E3" s="6" t="n"/>
    </row>
    <row r="4">
      <c r="A4" s="35" t="inlineStr">
        <is>
          <t>Document</t>
        </is>
      </c>
      <c r="B4" s="6" t="inlineStr">
        <is>
          <t>ISMS-IMP-A.8.12.2</t>
        </is>
      </c>
      <c r="C4" s="6" t="n"/>
      <c r="D4" s="6" t="n"/>
      <c r="E4" s="6" t="n"/>
    </row>
    <row r="5">
      <c r="A5" s="35" t="inlineStr">
        <is>
          <t>Assessment Period</t>
        </is>
      </c>
      <c r="B5" s="21" t="inlineStr"/>
      <c r="C5" s="6" t="n"/>
      <c r="D5" s="6" t="n"/>
      <c r="E5" s="6" t="n"/>
    </row>
    <row r="6">
      <c r="A6" s="35" t="inlineStr">
        <is>
          <t>Overall Compliance</t>
        </is>
      </c>
      <c r="B6" s="6">
        <f>'Summary Dashboard'!G14</f>
        <v/>
      </c>
      <c r="C6" s="6" t="n"/>
      <c r="D6" s="6" t="n"/>
      <c r="E6" s="6" t="n"/>
    </row>
    <row r="7">
      <c r="A7" s="35" t="inlineStr">
        <is>
          <t>Assessment Status</t>
        </is>
      </c>
      <c r="B7" s="21" t="inlineStr"/>
      <c r="C7" s="6" t="n"/>
      <c r="D7" s="6" t="n"/>
      <c r="E7" s="6" t="n"/>
    </row>
    <row r="8">
      <c r="A8" s="35" t="inlineStr">
        <is>
          <t>Assessed By:</t>
        </is>
      </c>
      <c r="B8" s="21" t="inlineStr"/>
      <c r="C8" s="6" t="n"/>
      <c r="D8" s="6" t="n"/>
      <c r="E8" s="6" t="n"/>
    </row>
    <row r="9">
      <c r="A9" s="34" t="inlineStr">
        <is>
          <t>COMPLETED BY (ASSESSOR)</t>
        </is>
      </c>
      <c r="B9" s="6" t="n"/>
      <c r="C9" s="6" t="n"/>
      <c r="D9" s="6" t="n"/>
      <c r="E9" s="6" t="n"/>
    </row>
    <row r="10">
      <c r="A10" s="35" t="inlineStr">
        <is>
          <t>Name</t>
        </is>
      </c>
      <c r="B10" s="21" t="inlineStr"/>
      <c r="C10" s="6" t="n"/>
      <c r="D10" s="6" t="n"/>
      <c r="E10" s="6" t="n"/>
    </row>
    <row r="11">
      <c r="A11" s="35" t="inlineStr">
        <is>
          <t>Title</t>
        </is>
      </c>
      <c r="B11" s="21" t="inlineStr"/>
      <c r="C11" s="6" t="n"/>
      <c r="D11" s="6" t="n"/>
      <c r="E11" s="6" t="n"/>
    </row>
    <row r="12">
      <c r="A12" s="35" t="inlineStr">
        <is>
          <t>Date</t>
        </is>
      </c>
      <c r="B12" s="21" t="inlineStr"/>
      <c r="C12" s="6" t="n"/>
      <c r="D12" s="6" t="n"/>
      <c r="E12" s="6" t="n"/>
    </row>
    <row r="13">
      <c r="A13" s="35" t="inlineStr">
        <is>
          <t>Signature</t>
        </is>
      </c>
      <c r="B13" s="21" t="inlineStr"/>
      <c r="C13" s="6" t="n"/>
      <c r="D13" s="6" t="n"/>
      <c r="E13" s="6" t="n"/>
    </row>
    <row r="14">
      <c r="A14" s="35" t="inlineStr">
        <is>
          <t>Comments</t>
        </is>
      </c>
      <c r="B14" s="21" t="inlineStr"/>
      <c r="C14" s="6" t="n"/>
      <c r="D14" s="6" t="n"/>
      <c r="E14" s="6" t="n"/>
    </row>
    <row r="16">
      <c r="A16" s="34" t="inlineStr">
        <is>
          <t>REVIEWED BY (ISO)</t>
        </is>
      </c>
      <c r="B16" s="6" t="n"/>
      <c r="C16" s="6" t="n"/>
      <c r="D16" s="6" t="n"/>
      <c r="E16" s="6" t="n"/>
    </row>
    <row r="17">
      <c r="A17" s="35" t="inlineStr">
        <is>
          <t>Name</t>
        </is>
      </c>
      <c r="B17" s="21" t="inlineStr"/>
      <c r="C17" s="6" t="n"/>
      <c r="D17" s="6" t="n"/>
      <c r="E17" s="6" t="n"/>
    </row>
    <row r="18">
      <c r="A18" s="35" t="inlineStr">
        <is>
          <t>Title</t>
        </is>
      </c>
      <c r="B18" s="21" t="inlineStr"/>
      <c r="C18" s="6" t="n"/>
      <c r="D18" s="6" t="n"/>
      <c r="E18" s="6" t="n"/>
    </row>
    <row r="19">
      <c r="A19" s="35" t="inlineStr">
        <is>
          <t>Date</t>
        </is>
      </c>
      <c r="B19" s="21" t="inlineStr"/>
      <c r="C19" s="6" t="n"/>
      <c r="D19" s="6" t="n"/>
      <c r="E19" s="6" t="n"/>
    </row>
    <row r="20">
      <c r="A20" s="35" t="inlineStr">
        <is>
          <t>Signature</t>
        </is>
      </c>
      <c r="B20" s="21" t="inlineStr"/>
      <c r="C20" s="6" t="n"/>
      <c r="D20" s="6" t="n"/>
      <c r="E20" s="6" t="n"/>
    </row>
    <row r="21">
      <c r="A21" s="35" t="inlineStr">
        <is>
          <t>Comments</t>
        </is>
      </c>
      <c r="B21" s="21" t="inlineStr"/>
      <c r="C21" s="6" t="n"/>
      <c r="D21" s="6" t="n"/>
      <c r="E21" s="6" t="n"/>
    </row>
    <row r="23">
      <c r="A23" s="36" t="inlineStr">
        <is>
          <t>APPROVED BY (CISO)</t>
        </is>
      </c>
      <c r="B23" s="6" t="n"/>
      <c r="C23" s="6" t="n"/>
      <c r="D23" s="6" t="n"/>
      <c r="E23" s="6" t="n"/>
    </row>
    <row r="24">
      <c r="A24" s="35" t="inlineStr">
        <is>
          <t>Name</t>
        </is>
      </c>
      <c r="B24" s="21" t="inlineStr"/>
      <c r="C24" s="6" t="n"/>
      <c r="D24" s="6" t="n"/>
      <c r="E24" s="6" t="n"/>
    </row>
    <row r="25">
      <c r="A25" s="35" t="inlineStr">
        <is>
          <t>Title</t>
        </is>
      </c>
      <c r="B25" s="21" t="inlineStr"/>
      <c r="C25" s="6" t="n"/>
      <c r="D25" s="6" t="n"/>
      <c r="E25" s="6" t="n"/>
    </row>
    <row r="26">
      <c r="A26" s="35" t="inlineStr">
        <is>
          <t>Date</t>
        </is>
      </c>
      <c r="B26" s="21" t="inlineStr"/>
      <c r="C26" s="6" t="n"/>
      <c r="D26" s="6" t="n"/>
      <c r="E26" s="6" t="n"/>
    </row>
    <row r="27">
      <c r="A27" s="35" t="inlineStr">
        <is>
          <t>Signature</t>
        </is>
      </c>
      <c r="B27" s="21" t="inlineStr"/>
      <c r="C27" s="6" t="n"/>
      <c r="D27" s="6" t="n"/>
      <c r="E27" s="6" t="n"/>
    </row>
    <row r="28">
      <c r="A28" s="35" t="inlineStr">
        <is>
          <t>Comments</t>
        </is>
      </c>
      <c r="B28" s="21" t="inlineStr"/>
      <c r="C28" s="6" t="n"/>
      <c r="D28" s="6" t="n"/>
      <c r="E28" s="6" t="n"/>
    </row>
    <row r="30">
      <c r="A30" s="35" t="inlineStr">
        <is>
          <t>FINAL DECISION:</t>
        </is>
      </c>
      <c r="B30" s="21" t="n"/>
      <c r="C30" s="6" t="n"/>
      <c r="D30" s="6" t="n"/>
      <c r="E30" s="6" t="n"/>
    </row>
    <row r="32">
      <c r="A32" s="34" t="inlineStr">
        <is>
          <t>NEXT REVIEW DETAILS</t>
        </is>
      </c>
      <c r="B32" s="6" t="n"/>
      <c r="C32" s="6" t="n"/>
      <c r="D32" s="6" t="n"/>
      <c r="E32" s="6" t="n"/>
    </row>
    <row r="33">
      <c r="A33" s="35" t="inlineStr">
        <is>
          <t>Next Review Date</t>
        </is>
      </c>
      <c r="B33" s="21" t="inlineStr"/>
      <c r="C33" s="6" t="n"/>
      <c r="D33" s="6" t="n"/>
      <c r="E33" s="6" t="n"/>
    </row>
    <row r="34">
      <c r="A34" s="35" t="inlineStr">
        <is>
          <t>Review Owner</t>
        </is>
      </c>
      <c r="B34" s="21" t="inlineStr"/>
      <c r="C34" s="6" t="n"/>
      <c r="D34" s="6" t="n"/>
      <c r="E34" s="6" t="n"/>
    </row>
    <row r="35">
      <c r="A35" s="35" t="inlineStr">
        <is>
          <t>Review Notes</t>
        </is>
      </c>
      <c r="B35" s="21" t="inlineStr"/>
      <c r="C35" s="6" t="n"/>
      <c r="D35" s="6" t="n"/>
      <c r="E35" s="6" t="n"/>
    </row>
  </sheetData>
  <mergeCells count="8">
    <mergeCell ref="A2:E2"/>
    <mergeCell ref="A16:E16"/>
    <mergeCell ref="B30:E30"/>
    <mergeCell ref="A1:E1"/>
    <mergeCell ref="A23:E23"/>
    <mergeCell ref="A32:E32"/>
    <mergeCell ref="A9:E9"/>
    <mergeCell ref="A3:E3"/>
  </mergeCells>
  <dataValidations count="2">
    <dataValidation sqref="B7" showDropDown="1" showInputMessage="0" showErrorMessage="0" allowBlank="1" type="list">
      <formula1>"Draft,In Review,Approved,Rejected"</formula1>
    </dataValidation>
    <dataValidation sqref="B30" showDropDown="1"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ISMS-IMP-A.8.12.2 — Data Classification Assessment</dc:title>
  <dc:description xmlns:dc="http://purl.org/dc/elements/1.1/">ISMS Implementation Workbook — ISMS-IMP-A.8.12.2</dc:description>
  <dc:subject xmlns:dc="http://purl.org/dc/elements/1.1/">ISO/IEC 27001:2022 — Control A.8.12: Data Leakage Prevention</dc:subject>
  <dcterms:created xmlns:dcterms="http://purl.org/dc/terms/" xmlns:xsi="http://www.w3.org/2001/XMLSchema-instance" xsi:type="dcterms:W3CDTF">2026-03-07T11:28:06Z</dcterms:created>
  <dcterms:modified xmlns:dcterms="http://purl.org/dc/terms/" xmlns:xsi="http://www.w3.org/2001/XMLSchema-instance" xsi:type="dcterms:W3CDTF">2026-03-07T11:28:07Z</dcterms:modified>
</cp:coreProperties>
</file>