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endor Security Assessment" sheetId="2" state="visible" r:id="rId2"/>
    <sheet xmlns:r="http://schemas.openxmlformats.org/officeDocument/2006/relationships" name="OSS Management" sheetId="3" state="visible" r:id="rId3"/>
    <sheet xmlns:r="http://schemas.openxmlformats.org/officeDocument/2006/relationships" name="Dependency Vulnerability Mgmt" sheetId="4" state="visible" r:id="rId4"/>
    <sheet xmlns:r="http://schemas.openxmlformats.org/officeDocument/2006/relationships" name="Third-Party Code &amp; Integration" sheetId="5" state="visible" r:id="rId5"/>
    <sheet xmlns:r="http://schemas.openxmlformats.org/officeDocument/2006/relationships" name="License Compliance &amp; Legal Risk"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name val="Calibri"/>
      <i val="1"/>
      <color rgb="00003366"/>
      <sz val="10"/>
    </font>
    <font>
      <b val="1"/>
      <sz val="10"/>
    </font>
    <font>
      <b val="1"/>
      <color rgb="004472C4"/>
      <sz val="11"/>
    </font>
    <font>
      <b val="1"/>
      <sz val="9"/>
    </font>
    <font>
      <i val="1"/>
      <color rgb="00666666"/>
      <sz val="9"/>
    </font>
    <font>
      <i val="1"/>
    </font>
    <font>
      <name val="Calibri"/>
      <b val="1"/>
      <color rgb="00FFFFFF"/>
      <sz val="11"/>
    </font>
    <font>
      <name val="Calibri"/>
      <color rgb="00808080"/>
      <sz val="10"/>
    </font>
    <font>
      <name val="Calibri"/>
      <b val="1"/>
      <color rgb="00FFFFFF"/>
      <sz val="10"/>
    </font>
    <font>
      <name val="Calibri"/>
      <b val="1"/>
      <color rgb="00000000"/>
    </font>
    <font>
      <name val="Calibri"/>
      <b val="1"/>
      <color rgb="00000000"/>
      <sz val="10"/>
    </font>
    <font>
      <name val="Calibri"/>
      <sz val="10"/>
    </font>
    <font>
      <name val="Calibri"/>
      <color rgb="00000000"/>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9" borderId="0" applyAlignment="1" pivotButton="0" quotePrefix="0" xfId="0">
      <alignment horizontal="left" vertical="center"/>
    </xf>
    <xf numFmtId="0" fontId="9"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10" fillId="10" borderId="1" applyAlignment="1" pivotButton="0" quotePrefix="0" xfId="0">
      <alignment horizontal="left" vertical="top" wrapText="1"/>
    </xf>
    <xf numFmtId="0" fontId="0" fillId="10" borderId="1" applyAlignment="1" pivotButton="0" quotePrefix="0" xfId="0">
      <alignment horizontal="left" vertical="top" wrapText="1"/>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pivotButton="0" quotePrefix="0" xfId="0"/>
    <xf numFmtId="0" fontId="13" fillId="11" borderId="1" pivotButton="0" quotePrefix="0" xfId="0"/>
    <xf numFmtId="0" fontId="0" fillId="10" borderId="1" pivotButton="0" quotePrefix="0" xfId="0"/>
    <xf numFmtId="0" fontId="1" fillId="8" borderId="2" applyAlignment="1" pivotButton="0" quotePrefix="0" xfId="0">
      <alignment horizontal="center" vertical="center" wrapText="1"/>
    </xf>
    <xf numFmtId="0" fontId="12" fillId="12" borderId="0" applyAlignment="1" pivotButton="0" quotePrefix="0" xfId="0">
      <alignment horizontal="center" vertical="center" wrapText="1"/>
    </xf>
    <xf numFmtId="0" fontId="14" fillId="8" borderId="1" applyAlignment="1" pivotButton="0" quotePrefix="0" xfId="0">
      <alignment horizontal="center" vertical="center" wrapText="1"/>
    </xf>
    <xf numFmtId="0" fontId="12" fillId="8" borderId="1" applyAlignment="1" pivotButton="0" quotePrefix="0" xfId="0">
      <alignment horizontal="left" vertical="center"/>
    </xf>
    <xf numFmtId="0" fontId="15"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6" fillId="9" borderId="1" applyAlignment="1" pivotButton="0" quotePrefix="0" xfId="0">
      <alignment horizontal="center"/>
    </xf>
    <xf numFmtId="164" fontId="4" fillId="9" borderId="1" applyAlignment="1" pivotButton="0" quotePrefix="0" xfId="0">
      <alignment horizontal="center"/>
    </xf>
    <xf numFmtId="0" fontId="15" fillId="9" borderId="1" applyAlignment="1" pivotButton="0" quotePrefix="0" xfId="0">
      <alignment horizontal="center"/>
    </xf>
    <xf numFmtId="0" fontId="17" fillId="0" borderId="1" pivotButton="0" quotePrefix="0" xfId="0"/>
    <xf numFmtId="0" fontId="18" fillId="0" borderId="1" applyAlignment="1" pivotButton="0" quotePrefix="0" xfId="0">
      <alignment horizontal="center"/>
    </xf>
    <xf numFmtId="0" fontId="12" fillId="13" borderId="1" applyAlignment="1" pivotButton="0" quotePrefix="0" xfId="0">
      <alignment horizontal="left" vertical="center"/>
    </xf>
    <xf numFmtId="0" fontId="18" fillId="10" borderId="1" applyAlignment="1" pivotButton="0" quotePrefix="0" xfId="0">
      <alignment horizontal="center"/>
    </xf>
    <xf numFmtId="0" fontId="1" fillId="8" borderId="1" applyAlignment="1" pivotButton="0" quotePrefix="0" xfId="0">
      <alignment horizontal="center" vertical="center"/>
    </xf>
    <xf numFmtId="0" fontId="6" fillId="0" borderId="1" applyAlignment="1" pivotButton="0" quotePrefix="0" xfId="0">
      <alignment horizontal="center" vertical="center"/>
    </xf>
    <xf numFmtId="0" fontId="19" fillId="12" borderId="1" pivotButton="0" quotePrefix="0" xfId="0"/>
    <xf numFmtId="0" fontId="20" fillId="0" borderId="0"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ISMS-IMP-A.8.28.4  -  Third-Party Code and Open Source Component Security
ISO/IEC 27001:2022 - Control A.8.28: Secure Coding</t>
        </is>
      </c>
    </row>
    <row r="3">
      <c r="A3" s="2" t="inlineStr">
        <is>
          <t>Document Information</t>
        </is>
      </c>
    </row>
    <row r="4">
      <c r="A4" s="3" t="inlineStr">
        <is>
          <t>Document ID</t>
        </is>
      </c>
      <c r="B4" t="inlineStr">
        <is>
          <t>ISMS-IMP-A.8.28.4</t>
        </is>
      </c>
    </row>
    <row r="5">
      <c r="A5" s="3" t="inlineStr">
        <is>
          <t>Workbook Title</t>
        </is>
      </c>
      <c r="B5" t="inlineStr">
        <is>
          <t>Third-Party Code and Open Source Component Security</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For each requirement, select Implementation Status from the dropdown menu.</t>
        </is>
      </c>
    </row>
    <row r="15">
      <c r="A15" t="inlineStr">
        <is>
          <t>3. Provide specific evidence references (URLs, file paths, system names).</t>
        </is>
      </c>
    </row>
    <row r="16">
      <c r="A16" t="inlineStr">
        <is>
          <t>4. Add Comments explaining implementation details or context.</t>
        </is>
      </c>
    </row>
    <row r="17">
      <c r="A17" t="inlineStr">
        <is>
          <t>5. Focus on ACTUAL PRACTICES, not just documented policies.</t>
        </is>
      </c>
    </row>
    <row r="18">
      <c r="A18" t="inlineStr">
        <is>
          <t>6. Review the Summary Dashboard to see overall compliance metrics.</t>
        </is>
      </c>
    </row>
    <row r="19">
      <c r="A19" t="inlineStr">
        <is>
          <t>7. Document all gaps in the Gap Analysis sheet with remediation plans.</t>
        </is>
      </c>
    </row>
    <row r="20">
      <c r="A20" t="inlineStr">
        <is>
          <t>8. Obtain required approvals on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VENDOR SECURITY ASSESSMENT</t>
        </is>
      </c>
    </row>
    <row r="2">
      <c r="A2" s="12" t="inlineStr">
        <is>
          <t>ISO 27001:2022 | Control A.8.28 | Vendor Security Assessment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Vendor Policy</t>
        </is>
      </c>
    </row>
    <row r="5">
      <c r="A5" s="15" t="inlineStr">
        <is>
          <t>V-01</t>
        </is>
      </c>
      <c r="B5" s="16" t="inlineStr">
        <is>
          <t>Vendor security assessment policy exists and is approved</t>
        </is>
      </c>
      <c r="C5" s="17" t="n"/>
      <c r="D5" s="18" t="inlineStr">
        <is>
          <t>Policy document, approval signatures, policy publication records</t>
        </is>
      </c>
      <c r="E5" s="19" t="n"/>
    </row>
    <row r="6">
      <c r="A6" s="14" t="inlineStr">
        <is>
          <t>▶ Vendor Assessment</t>
        </is>
      </c>
    </row>
    <row r="7">
      <c r="A7" s="15" t="inlineStr">
        <is>
          <t>V-02</t>
        </is>
      </c>
      <c r="B7" s="16" t="inlineStr">
        <is>
          <t>Security questionnaire sent to all vendors before onboarding</t>
        </is>
      </c>
      <c r="C7" s="17" t="n"/>
      <c r="D7" s="18" t="inlineStr">
        <is>
          <t>Questionnaire templates, completed questionnaires, vendor onboarding records</t>
        </is>
      </c>
      <c r="E7" s="19" t="n"/>
    </row>
    <row r="8">
      <c r="A8" s="15" t="inlineStr">
        <is>
          <t>V-03</t>
        </is>
      </c>
      <c r="B8" s="16" t="inlineStr">
        <is>
          <t>Vendor risk classification framework implemented (High/Medium/Low tiers)</t>
        </is>
      </c>
      <c r="C8" s="17" t="n"/>
      <c r="D8" s="18" t="inlineStr">
        <is>
          <t>Risk classification matrix, vendor tier assignments, risk scoring methodology</t>
        </is>
      </c>
      <c r="E8" s="19" t="n"/>
    </row>
    <row r="9">
      <c r="A9" s="14" t="inlineStr">
        <is>
          <t>▶ Vendor Contracting</t>
        </is>
      </c>
    </row>
    <row r="10">
      <c r="A10" s="15" t="inlineStr">
        <is>
          <t>V-04</t>
        </is>
      </c>
      <c r="B10" s="16" t="inlineStr">
        <is>
          <t>Contract security requirements defined for all vendors</t>
        </is>
      </c>
      <c r="C10" s="17" t="n"/>
      <c r="D10" s="18" t="inlineStr">
        <is>
          <t>Contract templates with security clauses, executed vendor contracts</t>
        </is>
      </c>
      <c r="E10" s="19" t="n"/>
    </row>
    <row r="11">
      <c r="A11" s="15" t="inlineStr">
        <is>
          <t>V-05</t>
        </is>
      </c>
      <c r="B11" s="16" t="inlineStr">
        <is>
          <t>Data protection requirements specified in vendor contracts (DPAs, data handling)</t>
        </is>
      </c>
      <c r="C11" s="17" t="n"/>
      <c r="D11" s="18" t="inlineStr">
        <is>
          <t>Contract sections on data handling, Data Processing Agreements (DPAs), privacy clauses</t>
        </is>
      </c>
      <c r="E11" s="19" t="n"/>
    </row>
    <row r="12">
      <c r="A12" s="15" t="inlineStr">
        <is>
          <t>V-06</t>
        </is>
      </c>
      <c r="B12" s="16" t="inlineStr">
        <is>
          <t>Incident response coordination requirements included in vendor contracts</t>
        </is>
      </c>
      <c r="C12" s="17" t="n"/>
      <c r="D12" s="18" t="inlineStr">
        <is>
          <t>Incident notification SLAs, contact procedures, escalation paths in contracts</t>
        </is>
      </c>
      <c r="E12" s="19" t="n"/>
    </row>
    <row r="13">
      <c r="A13" s="14" t="inlineStr">
        <is>
          <t>▶ Vendor Access Control</t>
        </is>
      </c>
    </row>
    <row r="14">
      <c r="A14" s="15" t="inlineStr">
        <is>
          <t>V-07</t>
        </is>
      </c>
      <c r="B14" s="16" t="inlineStr">
        <is>
          <t>Vendor access controls documented and enforced (least privilege)</t>
        </is>
      </c>
      <c r="C14" s="17" t="n"/>
      <c r="D14" s="18" t="inlineStr">
        <is>
          <t>Access logs, permission matrices, SSO configurations, access request records</t>
        </is>
      </c>
      <c r="E14" s="19" t="n"/>
    </row>
    <row r="15">
      <c r="A15" s="15" t="inlineStr">
        <is>
          <t>V-08</t>
        </is>
      </c>
      <c r="B15" s="16" t="inlineStr">
        <is>
          <t>Vendor accounts follow least privilege principle (minimal necessary permissions)</t>
        </is>
      </c>
      <c r="C15" s="17" t="n"/>
      <c r="D15" s="18" t="inlineStr">
        <is>
          <t>Access reviews, role definitions, permission audits, access justifications</t>
        </is>
      </c>
      <c r="E15" s="19" t="n"/>
    </row>
    <row r="16">
      <c r="A16" s="15" t="inlineStr">
        <is>
          <t>V-09</t>
        </is>
      </c>
      <c r="B16" s="16" t="inlineStr">
        <is>
          <t>Vendor access reviewed regularly (quarterly for high-risk vendors)</t>
        </is>
      </c>
      <c r="C16" s="17" t="n"/>
      <c r="D16" s="18" t="inlineStr">
        <is>
          <t>Access review reports, approval records, review meeting notes, access certification logs</t>
        </is>
      </c>
      <c r="E16" s="19" t="n"/>
    </row>
    <row r="17">
      <c r="A17" s="14" t="inlineStr">
        <is>
          <t>▶ Vendor Monitoring</t>
        </is>
      </c>
    </row>
    <row r="18">
      <c r="A18" s="15" t="inlineStr">
        <is>
          <t>V-10</t>
        </is>
      </c>
      <c r="B18" s="16" t="inlineStr">
        <is>
          <t>High-risk vendors undergo annual comprehensive security reviews</t>
        </is>
      </c>
      <c r="C18" s="17" t="n"/>
      <c r="D18" s="18" t="inlineStr">
        <is>
          <t>Review meeting notes, security assessment reports, vendor scorecards, review schedules</t>
        </is>
      </c>
      <c r="E18" s="19" t="n"/>
    </row>
    <row r="19">
      <c r="A19" s="15" t="inlineStr">
        <is>
          <t>V-11</t>
        </is>
      </c>
      <c r="B19" s="16" t="inlineStr">
        <is>
          <t>Vendor security incidents tracked and reviewed (lessons learned)</t>
        </is>
      </c>
      <c r="C19" s="17" t="n"/>
      <c r="D19" s="18" t="inlineStr">
        <is>
          <t>Incident logs, post-mortem reports, lessons learned documents, remediation plans</t>
        </is>
      </c>
      <c r="E19" s="19" t="n"/>
    </row>
    <row r="20">
      <c r="A20" s="15" t="inlineStr">
        <is>
          <t>V-12</t>
        </is>
      </c>
      <c r="B20" s="16" t="inlineStr">
        <is>
          <t>Vendor security posture monitored (security ratings, breach notifications)</t>
        </is>
      </c>
      <c r="C20" s="17" t="n"/>
      <c r="D20" s="18" t="inlineStr">
        <is>
          <t>Security rating subscriptions (BitSight, SecurityScorecard), monitoring reports, breach alerts</t>
        </is>
      </c>
      <c r="E20" s="19" t="n"/>
    </row>
    <row r="21">
      <c r="A21" s="14" t="inlineStr">
        <is>
          <t>▶ Vendor Compliance</t>
        </is>
      </c>
    </row>
    <row r="22">
      <c r="A22" s="15" t="inlineStr">
        <is>
          <t>V-13</t>
        </is>
      </c>
      <c r="B22" s="16" t="inlineStr">
        <is>
          <t>Vendor SOC 2 / ISO 27001 compliance verified where applicable</t>
        </is>
      </c>
      <c r="C22" s="17" t="n"/>
      <c r="D22" s="18" t="inlineStr">
        <is>
          <t>SOC 2 Type II reports, ISO 27001 certificates, attestation letters, compliance verification</t>
        </is>
      </c>
      <c r="E22" s="19" t="n"/>
    </row>
    <row r="23">
      <c r="A23" s="15" t="inlineStr">
        <is>
          <t>V-14</t>
        </is>
      </c>
      <c r="B23" s="16" t="inlineStr">
        <is>
          <t>Vendor data retention and deletion requirements specified in contracts</t>
        </is>
      </c>
      <c r="C23" s="17" t="n"/>
      <c r="D23" s="18" t="inlineStr">
        <is>
          <t>Contract data handling clauses, data deletion procedures, retention schedules</t>
        </is>
      </c>
      <c r="E23" s="19" t="n"/>
    </row>
    <row r="24">
      <c r="A24" s="14" t="inlineStr">
        <is>
          <t>▶ Vendor Assessment</t>
        </is>
      </c>
    </row>
    <row r="25">
      <c r="A25" s="15" t="inlineStr">
        <is>
          <t>V-15</t>
        </is>
      </c>
      <c r="B25" s="16" t="inlineStr">
        <is>
          <t>Vendor security questionnaire responses validated (not blindly accepted)</t>
        </is>
      </c>
      <c r="C25" s="17" t="n"/>
      <c r="D25" s="18" t="inlineStr">
        <is>
          <t>Validation notes, follow-up correspondence, independent verification evidence</t>
        </is>
      </c>
      <c r="E25" s="19" t="n"/>
    </row>
    <row r="26">
      <c r="A26" s="14" t="inlineStr">
        <is>
          <t>▶ Vendor Offboarding</t>
        </is>
      </c>
    </row>
    <row r="27">
      <c r="A27" s="15" t="inlineStr">
        <is>
          <t>V-16</t>
        </is>
      </c>
      <c r="B27" s="16" t="inlineStr">
        <is>
          <t>Vendor offboarding process includes security checklist (access revocation, data return)</t>
        </is>
      </c>
      <c r="C27" s="17" t="n"/>
      <c r="D27" s="18" t="inlineStr">
        <is>
          <t>Offboarding checklists, access revocation logs, data deletion certificates</t>
        </is>
      </c>
      <c r="E27" s="19" t="n"/>
    </row>
    <row r="28">
      <c r="A28" s="14" t="inlineStr">
        <is>
          <t>▶ Business Continuity</t>
        </is>
      </c>
    </row>
    <row r="29">
      <c r="A29" s="15" t="inlineStr">
        <is>
          <t>V-17</t>
        </is>
      </c>
      <c r="B29" s="16" t="inlineStr">
        <is>
          <t>Critical vendors have business continuity plans reviewed and tested</t>
        </is>
      </c>
      <c r="C29" s="17" t="n"/>
      <c r="D29" s="18" t="inlineStr">
        <is>
          <t>BCP documents, disaster recovery plans, BCP test results, failover procedures</t>
        </is>
      </c>
      <c r="E29" s="19" t="n"/>
    </row>
    <row r="30">
      <c r="A30" s="14" t="inlineStr">
        <is>
          <t>▶ Vendor Metrics</t>
        </is>
      </c>
    </row>
    <row r="31">
      <c r="A31" s="15" t="inlineStr">
        <is>
          <t>V-18</t>
        </is>
      </c>
      <c r="B31" s="16" t="inlineStr">
        <is>
          <t>Vendor security metrics tracked (% compliant vendors, review completion rates)</t>
        </is>
      </c>
      <c r="C31" s="17" t="n"/>
      <c r="D31" s="18" t="inlineStr">
        <is>
          <t>Vendor compliance dashboard, metrics reports, KPI tracking, trend analysis</t>
        </is>
      </c>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sheetData>
  <mergeCells count="12">
    <mergeCell ref="A24:F24"/>
    <mergeCell ref="A30:F30"/>
    <mergeCell ref="A28:F28"/>
    <mergeCell ref="A2:E2"/>
    <mergeCell ref="A13:F13"/>
    <mergeCell ref="A9:F9"/>
    <mergeCell ref="A6:F6"/>
    <mergeCell ref="A1:E1"/>
    <mergeCell ref="A17:F17"/>
    <mergeCell ref="A4:F4"/>
    <mergeCell ref="A26:F26"/>
    <mergeCell ref="A21:F21"/>
  </mergeCells>
  <dataValidations count="1">
    <dataValidation sqref="C5 C7 C8 C10 C11 C12 C14 C15 C16 C18 C19 C20 C22 C23 C25 C27 C29 C31 C32 C33 C34 C35 C36 C37 C38 C39 C40 C41 C42 C43 C44 C45 C46 C47 C48 C49 C50 C51 C52 C53 C54 C55 C56 C57 C58 C59 C60 C61 C62 C63"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OSS MANAGEMENT</t>
        </is>
      </c>
    </row>
    <row r="2">
      <c r="A2" s="12" t="inlineStr">
        <is>
          <t>ISO 27001:2022 | Control A.8.28 | OSS Management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OSS Policy</t>
        </is>
      </c>
    </row>
    <row r="5">
      <c r="A5" s="15" t="inlineStr">
        <is>
          <t>O-01</t>
        </is>
      </c>
      <c r="B5" s="16" t="inlineStr">
        <is>
          <t>OSS usage policy exists and is approved (defines acceptable OSS practices)</t>
        </is>
      </c>
      <c r="C5" s="17" t="n"/>
      <c r="D5" s="18" t="inlineStr">
        <is>
          <t>OSS policy document, approval signatures, policy distribution records</t>
        </is>
      </c>
      <c r="E5" s="19" t="n"/>
    </row>
    <row r="6">
      <c r="A6" s="15" t="inlineStr">
        <is>
          <t>O-02</t>
        </is>
      </c>
      <c r="B6" s="16" t="inlineStr">
        <is>
          <t>OSS approval workflow defined (request → review → approve process)</t>
        </is>
      </c>
      <c r="C6" s="17" t="n"/>
      <c r="D6" s="18" t="inlineStr">
        <is>
          <t>Workflow documentation, JIRA/ServiceNow workflow configs, process diagrams</t>
        </is>
      </c>
      <c r="E6" s="19" t="n"/>
    </row>
    <row r="7">
      <c r="A7" s="15" t="inlineStr">
        <is>
          <t>O-03</t>
        </is>
      </c>
      <c r="B7" s="16" t="inlineStr">
        <is>
          <t>OSS approval process enforced before production use (not bypassed)</t>
        </is>
      </c>
      <c r="C7" s="17" t="n"/>
      <c r="D7" s="18" t="inlineStr">
        <is>
          <t>Approval tickets, process audit logs, enforcement metrics, compliance reports</t>
        </is>
      </c>
      <c r="E7" s="19" t="n"/>
    </row>
    <row r="8">
      <c r="A8" s="14" t="inlineStr">
        <is>
          <t>▶ OSS Inventory</t>
        </is>
      </c>
    </row>
    <row r="9">
      <c r="A9" s="15" t="inlineStr">
        <is>
          <t>O-04</t>
        </is>
      </c>
      <c r="B9" s="16" t="inlineStr">
        <is>
          <t>OSS inventory maintained (SBOM) for all applications and services</t>
        </is>
      </c>
      <c r="C9" s="17" t="n"/>
      <c r="D9" s="18" t="inlineStr">
        <is>
          <t>SBOM exports (CycloneDX, SPDX format), inventory databases, dependency manifests</t>
        </is>
      </c>
      <c r="E9" s="19" t="n"/>
    </row>
    <row r="10">
      <c r="A10" s="15" t="inlineStr">
        <is>
          <t>O-05</t>
        </is>
      </c>
      <c r="B10" s="16" t="inlineStr">
        <is>
          <t>SBOM generated automatically in CI/CD pipeline (not manual)</t>
        </is>
      </c>
      <c r="C10" s="17" t="n"/>
      <c r="D10" s="18" t="inlineStr">
        <is>
          <t>CI/CD pipeline configs, build logs showing SBOM generation, automation scripts</t>
        </is>
      </c>
      <c r="E10" s="19" t="n"/>
    </row>
    <row r="11">
      <c r="A11" s="15" t="inlineStr">
        <is>
          <t>O-06</t>
        </is>
      </c>
      <c r="B11" s="16" t="inlineStr">
        <is>
          <t>OSS components tracked with specific version numbers (not version ranges)</t>
        </is>
      </c>
      <c r="C11" s="17" t="n"/>
      <c r="D11" s="18" t="inlineStr">
        <is>
          <t>Dependency manifests (package.json, requirements.txt, pom.xml), lockfiles</t>
        </is>
      </c>
      <c r="E11" s="19" t="n"/>
    </row>
    <row r="12">
      <c r="A12" s="15" t="inlineStr">
        <is>
          <t>O-07</t>
        </is>
      </c>
      <c r="B12" s="16" t="inlineStr">
        <is>
          <t>Transitive dependencies identified and tracked (dependencies of dependencies)</t>
        </is>
      </c>
      <c r="C12" s="17" t="n"/>
      <c r="D12" s="18" t="inlineStr">
        <is>
          <t>Dependency tree reports, SCA tool outputs showing full dependency graph</t>
        </is>
      </c>
      <c r="E12" s="19" t="n"/>
    </row>
    <row r="13">
      <c r="A13" s="14" t="inlineStr">
        <is>
          <t>▶ Dependency Health</t>
        </is>
      </c>
    </row>
    <row r="14">
      <c r="A14" s="15" t="inlineStr">
        <is>
          <t>O-08</t>
        </is>
      </c>
      <c r="B14" s="16" t="inlineStr">
        <is>
          <t>OSS license information captured in inventory for all dependencies</t>
        </is>
      </c>
      <c r="C14" s="17" t="n"/>
      <c r="D14" s="18" t="inlineStr">
        <is>
          <t>License scan reports, SBOM license fields, license identification logs</t>
        </is>
      </c>
      <c r="E14" s="19" t="n"/>
    </row>
    <row r="15">
      <c r="A15" s="15" t="inlineStr">
        <is>
          <t>O-09</t>
        </is>
      </c>
      <c r="B15" s="16" t="inlineStr">
        <is>
          <t>Abandoned/unmaintained OSS detected and tracked (staleness monitoring)</t>
        </is>
      </c>
      <c r="C15" s="17" t="n"/>
      <c r="D15" s="18" t="inlineStr">
        <is>
          <t>Dependency staleness reports, EOL (end-of-life) tracking, maintainer activity checks</t>
        </is>
      </c>
      <c r="E15" s="19" t="n"/>
    </row>
    <row r="16">
      <c r="A16" s="15" t="inlineStr">
        <is>
          <t>O-10</t>
        </is>
      </c>
      <c r="B16" s="16" t="inlineStr">
        <is>
          <t>OSS update policy defines acceptable staleness thresholds (e.g., &lt;6 months since last update)</t>
        </is>
      </c>
      <c r="C16" s="17" t="n"/>
      <c r="D16" s="18" t="inlineStr">
        <is>
          <t>Policy document with staleness thresholds, update frequency requirements</t>
        </is>
      </c>
      <c r="E16" s="19" t="n"/>
    </row>
    <row r="17">
      <c r="A17" s="14" t="inlineStr">
        <is>
          <t>▶ OSS Approval</t>
        </is>
      </c>
    </row>
    <row r="18">
      <c r="A18" s="15" t="inlineStr">
        <is>
          <t>O-11</t>
        </is>
      </c>
      <c r="B18" s="16" t="inlineStr">
        <is>
          <t>OSS components reviewed for security before approval (not rubber-stamped)</t>
        </is>
      </c>
      <c r="C18" s="17" t="n"/>
      <c r="D18" s="18" t="inlineStr">
        <is>
          <t>Security review checklists, approval criteria, security assessment notes</t>
        </is>
      </c>
      <c r="E18" s="19" t="n"/>
    </row>
    <row r="19">
      <c r="A19" s="15" t="inlineStr">
        <is>
          <t>O-12</t>
        </is>
      </c>
      <c r="B19" s="16" t="inlineStr">
        <is>
          <t>Restricted licenses flagged during approval process (GPL, AGPL, SSPL)</t>
        </is>
      </c>
      <c r="C19" s="17" t="n"/>
      <c r="D19" s="18" t="inlineStr">
        <is>
          <t>License allowlist/blocklist, flagging rules in approval workflow, legal review triggers</t>
        </is>
      </c>
      <c r="E19" s="19" t="n"/>
    </row>
    <row r="20">
      <c r="A20" s="15" t="inlineStr">
        <is>
          <t>O-13</t>
        </is>
      </c>
      <c r="B20" s="16" t="inlineStr">
        <is>
          <t>OSS alternatives evaluated before approval (build vs. buy vs. OSS decision)</t>
        </is>
      </c>
      <c r="C20" s="17" t="n"/>
      <c r="D20" s="18" t="inlineStr">
        <is>
          <t>Evaluation notes, decision records, alternative analysis documents</t>
        </is>
      </c>
      <c r="E20" s="19" t="n"/>
    </row>
    <row r="21">
      <c r="A21" s="14" t="inlineStr">
        <is>
          <t>▶ OSS Contribution</t>
        </is>
      </c>
    </row>
    <row r="22">
      <c r="A22" s="15" t="inlineStr">
        <is>
          <t>O-14</t>
        </is>
      </c>
      <c r="B22" s="16" t="inlineStr">
        <is>
          <t>OSS contribution guidelines exist if organisation contributes to OSS projects</t>
        </is>
      </c>
      <c r="C22" s="17" t="n"/>
      <c r="D22" s="18" t="inlineStr">
        <is>
          <t>Contribution policy, CLA (Contributor License Agreement) templates, approval process</t>
        </is>
      </c>
      <c r="E22" s="19" t="n"/>
    </row>
    <row r="23">
      <c r="A23" s="15" t="inlineStr">
        <is>
          <t>O-15</t>
        </is>
      </c>
      <c r="B23" s="16" t="inlineStr">
        <is>
          <t>OSS forks minimised and justified (upstream contributions preferred)</t>
        </is>
      </c>
      <c r="C23" s="17" t="n"/>
      <c r="D23" s="18" t="inlineStr">
        <is>
          <t>Fork justifications, upstream contribution plans, fork maintenance records</t>
        </is>
      </c>
      <c r="E23" s="19" t="n"/>
    </row>
    <row r="24">
      <c r="A24" s="14" t="inlineStr">
        <is>
          <t>▶ Supplier Risk</t>
        </is>
      </c>
    </row>
    <row r="25">
      <c r="A25" s="15" t="inlineStr">
        <is>
          <t>O-16</t>
        </is>
      </c>
      <c r="B25" s="16" t="inlineStr">
        <is>
          <t>OSS components with known high-risk maintainers flagged for review</t>
        </is>
      </c>
      <c r="C25" s="17" t="n"/>
      <c r="D25" s="18" t="inlineStr">
        <is>
          <t>Maintainer reputation checks, risk assessments, red flag criteria</t>
        </is>
      </c>
      <c r="E25" s="19" t="n"/>
    </row>
    <row r="26">
      <c r="A26" s="14" t="inlineStr">
        <is>
          <t>▶ OSS Metrics</t>
        </is>
      </c>
    </row>
    <row r="27">
      <c r="A27" s="15" t="inlineStr">
        <is>
          <t>O-17</t>
        </is>
      </c>
      <c r="B27" s="16" t="inlineStr">
        <is>
          <t>OSS inventory reviewed regularly (quarterly minimum) for accuracy</t>
        </is>
      </c>
      <c r="C27" s="17" t="n"/>
      <c r="D27" s="18" t="inlineStr">
        <is>
          <t>Inventory review reports, approval records, accuracy audit logs</t>
        </is>
      </c>
      <c r="E27" s="19" t="n"/>
    </row>
    <row r="28">
      <c r="A28" s="15" t="inlineStr">
        <is>
          <t>O-18</t>
        </is>
      </c>
      <c r="B28" s="16" t="inlineStr">
        <is>
          <t>OSS metrics tracked (% approved components, inventory coverage, SBOM completeness)</t>
        </is>
      </c>
      <c r="C28" s="17" t="n"/>
      <c r="D28" s="18" t="inlineStr">
        <is>
          <t>OSS compliance dashboard, metrics reports, KPI tracking</t>
        </is>
      </c>
      <c r="E28" s="19" t="n"/>
    </row>
    <row r="29">
      <c r="A29" s="6" t="n"/>
      <c r="B29" s="6" t="n"/>
      <c r="C29" s="17" t="n"/>
      <c r="D29" s="19" t="n"/>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sheetData>
  <mergeCells count="9">
    <mergeCell ref="A24:F24"/>
    <mergeCell ref="A2:E2"/>
    <mergeCell ref="A13:F13"/>
    <mergeCell ref="A8:F8"/>
    <mergeCell ref="A1:E1"/>
    <mergeCell ref="A17:F17"/>
    <mergeCell ref="A4:F4"/>
    <mergeCell ref="A26:F26"/>
    <mergeCell ref="A21:F21"/>
  </mergeCells>
  <dataValidations count="1">
    <dataValidation sqref="C5 C6 C7 C9 C10 C11 C12 C14 C15 C16 C18 C19 C20 C22 C23 C25 C27 C28 C29 C30 C31 C32 C33 C34 C35 C36 C37 C38 C39 C40 C41 C42 C43 C44 C45 C46 C47 C48 C49 C50 C51 C52 C53 C54 C55 C56 C57 C58 C59 C60"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DEPENDENCY VULNERABILITY MGMT</t>
        </is>
      </c>
    </row>
    <row r="2">
      <c r="A2" s="12" t="inlineStr">
        <is>
          <t>ISO 27001:2022 | Control A.8.28 | Dependency Vulnerability Mgmt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SCA Tooling</t>
        </is>
      </c>
    </row>
    <row r="5">
      <c r="A5" s="15" t="inlineStr">
        <is>
          <t>D-01</t>
        </is>
      </c>
      <c r="B5" s="16" t="inlineStr">
        <is>
          <t>SCA (Software Composition Analysis) tool deployed and scanning dependencies</t>
        </is>
      </c>
      <c r="C5" s="17" t="n"/>
      <c r="D5" s="18" t="inlineStr">
        <is>
          <t>SCA tool configurations (Snyk, Dependabot, WhiteSource, Sonatype), deployment records</t>
        </is>
      </c>
      <c r="E5" s="19" t="n"/>
    </row>
    <row r="6">
      <c r="A6" s="15" t="inlineStr">
        <is>
          <t>D-02</t>
        </is>
      </c>
      <c r="B6" s="16" t="inlineStr">
        <is>
          <t>SCA scans run automatically on every build/commit (not manual)</t>
        </is>
      </c>
      <c r="C6" s="17" t="n"/>
      <c r="D6" s="18" t="inlineStr">
        <is>
          <t>CI/CD pipeline configs, scan logs, automation evidence, build failure logs</t>
        </is>
      </c>
      <c r="E6" s="19" t="n"/>
    </row>
    <row r="7">
      <c r="A7" s="15" t="inlineStr">
        <is>
          <t>D-03</t>
        </is>
      </c>
      <c r="B7" s="16" t="inlineStr">
        <is>
          <t>SCA tool integrated with developer workflow (IDE plugins, PR checks)</t>
        </is>
      </c>
      <c r="C7" s="17" t="n"/>
      <c r="D7" s="18" t="inlineStr">
        <is>
          <t>IDE plugin configurations, PR check results, developer tool screenshots</t>
        </is>
      </c>
      <c r="E7" s="19" t="n"/>
    </row>
    <row r="8">
      <c r="A8" s="14" t="inlineStr">
        <is>
          <t>▶ Vulnerability Remediation</t>
        </is>
      </c>
    </row>
    <row r="9">
      <c r="A9" s="15" t="inlineStr">
        <is>
          <t>D-04</t>
        </is>
      </c>
      <c r="B9" s="16" t="inlineStr">
        <is>
          <t>Vulnerability alerts delivered to responsible teams (not ignored)</t>
        </is>
      </c>
      <c r="C9" s="17" t="n"/>
      <c r="D9" s="18" t="inlineStr">
        <is>
          <t>Alert routing configurations, notification logs, Slack/email integrations</t>
        </is>
      </c>
      <c r="E9" s="19" t="n"/>
    </row>
    <row r="10">
      <c r="A10" s="15" t="inlineStr">
        <is>
          <t>D-05</t>
        </is>
      </c>
      <c r="B10" s="16" t="inlineStr">
        <is>
          <t>Vulnerability remediation SLAs defined by severity (Critical/High/Medium/Low)</t>
        </is>
      </c>
      <c r="C10" s="17" t="n"/>
      <c r="D10" s="18" t="inlineStr">
        <is>
          <t>SLA policy document, severity definitions, remediation timelines</t>
        </is>
      </c>
      <c r="E10" s="19" t="n"/>
    </row>
    <row r="11">
      <c r="A11" s="15" t="inlineStr">
        <is>
          <t>D-06</t>
        </is>
      </c>
      <c r="B11" s="16" t="inlineStr">
        <is>
          <t>Critical vulnerabilities have &lt;7 day remediation SLA (e.g., Log4Shell scenarios)</t>
        </is>
      </c>
      <c r="C11" s="17" t="n"/>
      <c r="D11" s="18" t="inlineStr">
        <is>
          <t>SLA policy with critical timelines, compliance tracking, escalation procedures</t>
        </is>
      </c>
      <c r="E11" s="19" t="n"/>
    </row>
    <row r="12">
      <c r="A12" s="15" t="inlineStr">
        <is>
          <t>D-07</t>
        </is>
      </c>
      <c r="B12" s="16" t="inlineStr">
        <is>
          <t>High vulnerabilities have &lt;30 day remediation SLA</t>
        </is>
      </c>
      <c r="C12" s="17" t="n"/>
      <c r="D12" s="18" t="inlineStr">
        <is>
          <t>SLA policy with high severity timelines, tracking metrics, compliance reports</t>
        </is>
      </c>
      <c r="E12" s="19" t="n"/>
    </row>
    <row r="13">
      <c r="A13" s="14" t="inlineStr">
        <is>
          <t>▶ Vulnerability Triage</t>
        </is>
      </c>
    </row>
    <row r="14">
      <c r="A14" s="15" t="inlineStr">
        <is>
          <t>D-08</t>
        </is>
      </c>
      <c r="B14" s="16" t="inlineStr">
        <is>
          <t>Vulnerability triage process documented (risk assessment, prioritization)</t>
        </is>
      </c>
      <c r="C14" s="17" t="n"/>
      <c r="D14" s="18" t="inlineStr">
        <is>
          <t>Triage workflow documentation, decision criteria, risk scoring methodology</t>
        </is>
      </c>
      <c r="E14" s="19" t="n"/>
    </row>
    <row r="15">
      <c r="A15" s="15" t="inlineStr">
        <is>
          <t>D-09</t>
        </is>
      </c>
      <c r="B15" s="16" t="inlineStr">
        <is>
          <t>False positives documented with suppression justification (not silently ignored)</t>
        </is>
      </c>
      <c r="C15" s="17" t="n"/>
      <c r="D15" s="18" t="inlineStr">
        <is>
          <t>Suppression records, justification notes, approval logs, suppression review process</t>
        </is>
      </c>
      <c r="E15" s="19" t="n"/>
    </row>
    <row r="16">
      <c r="A16" s="14" t="inlineStr">
        <is>
          <t>▶ Dependency Updates</t>
        </is>
      </c>
    </row>
    <row r="17">
      <c r="A17" s="15" t="inlineStr">
        <is>
          <t>D-10</t>
        </is>
      </c>
      <c r="B17" s="16" t="inlineStr">
        <is>
          <t>Dependency update process documented (testing requirements, rollback plans)</t>
        </is>
      </c>
      <c r="C17" s="17" t="n"/>
      <c r="D17" s="18" t="inlineStr">
        <is>
          <t>Update procedures, testing requirements, rollback documentation, change management</t>
        </is>
      </c>
      <c r="E17" s="19" t="n"/>
    </row>
    <row r="18">
      <c r="A18" s="15" t="inlineStr">
        <is>
          <t>D-11</t>
        </is>
      </c>
      <c r="B18" s="16" t="inlineStr">
        <is>
          <t>Dependency updates tested before production deployment (not YOLO updates)</t>
        </is>
      </c>
      <c r="C18" s="17" t="n"/>
      <c r="D18" s="18" t="inlineStr">
        <is>
          <t>Test results, staging environment logs, regression test evidence, QA sign-offs</t>
        </is>
      </c>
      <c r="E18" s="19" t="n"/>
    </row>
    <row r="19">
      <c r="A19" s="14" t="inlineStr">
        <is>
          <t>▶ Dependency Management</t>
        </is>
      </c>
    </row>
    <row r="20">
      <c r="A20" s="15" t="inlineStr">
        <is>
          <t>D-12</t>
        </is>
      </c>
      <c r="B20" s="16" t="inlineStr">
        <is>
          <t>Transitive dependency vulnerabilities addressed (not just direct dependencies)</t>
        </is>
      </c>
      <c r="C20" s="17" t="n"/>
      <c r="D20" s="18" t="inlineStr">
        <is>
          <t>Transitive vulnerability remediation records, dependency tree analysis, patch logs</t>
        </is>
      </c>
      <c r="E20" s="19" t="n"/>
    </row>
    <row r="21">
      <c r="A21" s="15" t="inlineStr">
        <is>
          <t>D-13</t>
        </is>
      </c>
      <c r="B21" s="16" t="inlineStr">
        <is>
          <t>Dependency pinning used (lockfiles required: package-lock.json, Pipfile.lock, etc.)</t>
        </is>
      </c>
      <c r="C21" s="17" t="n"/>
      <c r="D21" s="18" t="inlineStr">
        <is>
          <t>Lockfile examples, policy enforcement, CI/CD checks for lockfile presence</t>
        </is>
      </c>
      <c r="E21" s="19" t="n"/>
    </row>
    <row r="22">
      <c r="A22" s="15" t="inlineStr">
        <is>
          <t>D-14</t>
        </is>
      </c>
      <c r="B22" s="16" t="inlineStr">
        <is>
          <t>Dependency version ranges minimised (avoid wildcards like '^1.0.0' or '~1.0.0')</t>
        </is>
      </c>
      <c r="C22" s="17" t="n"/>
      <c r="D22" s="18" t="inlineStr">
        <is>
          <t>Dependency manifests showing pinned versions, policy on version ranges</t>
        </is>
      </c>
      <c r="E22" s="19" t="n"/>
    </row>
    <row r="23">
      <c r="A23" s="14" t="inlineStr">
        <is>
          <t>▶ Emergency Response</t>
        </is>
      </c>
    </row>
    <row r="24">
      <c r="A24" s="15" t="inlineStr">
        <is>
          <t>D-15</t>
        </is>
      </c>
      <c r="B24" s="16" t="inlineStr">
        <is>
          <t>Emergency patching process for critical vulnerabilities (Log4Shell-style response plan)</t>
        </is>
      </c>
      <c r="C24" s="17" t="n"/>
      <c r="D24" s="18" t="inlineStr">
        <is>
          <t>Emergency response plans, drill records, war room procedures, communication plans</t>
        </is>
      </c>
      <c r="E24" s="19" t="n"/>
    </row>
    <row r="25">
      <c r="A25" s="14" t="inlineStr">
        <is>
          <t>▶ Risk Governance</t>
        </is>
      </c>
    </row>
    <row r="26">
      <c r="A26" s="15" t="inlineStr">
        <is>
          <t>D-16</t>
        </is>
      </c>
      <c r="B26" s="16" t="inlineStr">
        <is>
          <t>Vulnerability remediation tracked with metrics (MTTR, remediation rates)</t>
        </is>
      </c>
      <c r="C26" s="17" t="n"/>
      <c r="D26" s="18" t="inlineStr">
        <is>
          <t>Remediation dashboards, MTTR (Mean Time To Remediate) metrics, trend reports</t>
        </is>
      </c>
      <c r="E26" s="19" t="n"/>
    </row>
    <row r="27">
      <c r="A27" s="15" t="inlineStr">
        <is>
          <t>D-17</t>
        </is>
      </c>
      <c r="B27" s="16" t="inlineStr">
        <is>
          <t>Unpatched vulnerabilities require formal risk acceptance (no silent ignoring)</t>
        </is>
      </c>
      <c r="C27" s="17" t="n"/>
      <c r="D27" s="18" t="inlineStr">
        <is>
          <t>Risk acceptance forms, approval signatures, risk register, acceptance expiry tracking</t>
        </is>
      </c>
      <c r="E27" s="19" t="n"/>
    </row>
    <row r="28">
      <c r="A28" s="14" t="inlineStr">
        <is>
          <t>▶ Tool Effectiveness</t>
        </is>
      </c>
    </row>
    <row r="29">
      <c r="A29" s="15" t="inlineStr">
        <is>
          <t>D-18</t>
        </is>
      </c>
      <c r="B29" s="16" t="inlineStr">
        <is>
          <t>SCA tool effectiveness reviewed regularly (false negative testing, coverage checks)</t>
        </is>
      </c>
      <c r="C29" s="17" t="n"/>
      <c r="D29" s="18" t="inlineStr">
        <is>
          <t>Tool effectiveness reports, benchmark tests, false negative rate analysis</t>
        </is>
      </c>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sheetData>
  <mergeCells count="10">
    <mergeCell ref="A16:F16"/>
    <mergeCell ref="A28:F28"/>
    <mergeCell ref="A2:E2"/>
    <mergeCell ref="A13:F13"/>
    <mergeCell ref="A19:F19"/>
    <mergeCell ref="A23:F23"/>
    <mergeCell ref="A8:F8"/>
    <mergeCell ref="A1:E1"/>
    <mergeCell ref="A4:F4"/>
    <mergeCell ref="A25:F25"/>
  </mergeCells>
  <dataValidations count="1">
    <dataValidation sqref="C5 C6 C7 C9 C10 C11 C12 C14 C15 C17 C18 C20 C21 C22 C24 C26 C27 C29 C30 C31 C32 C33 C34 C35 C36 C37 C38 C39 C40 C41 C42 C43 C44 C45 C46 C47 C48 C49 C50 C51 C52 C53 C54 C55 C56 C57 C58 C59 C60 C61"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THIRD-PARTY CODE &amp; INTEGRATION</t>
        </is>
      </c>
    </row>
    <row r="2">
      <c r="A2" s="12" t="inlineStr">
        <is>
          <t>ISO 27001:2022 | Control A.8.28 | Third-Party Code &amp;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Integration Policy</t>
        </is>
      </c>
    </row>
    <row r="5">
      <c r="A5" s="15" t="inlineStr">
        <is>
          <t>T-01</t>
        </is>
      </c>
      <c r="B5" s="16" t="inlineStr">
        <is>
          <t>Third-party code integration policy exists (defines security review requirements)</t>
        </is>
      </c>
      <c r="C5" s="17" t="n"/>
      <c r="D5" s="18" t="inlineStr">
        <is>
          <t>Integration policy document, approval records, security review requirements</t>
        </is>
      </c>
      <c r="E5" s="19" t="n"/>
    </row>
    <row r="6">
      <c r="A6" s="15" t="inlineStr">
        <is>
          <t>T-02</t>
        </is>
      </c>
      <c r="B6" s="16" t="inlineStr">
        <is>
          <t>Security review required for all third-party integrations before production</t>
        </is>
      </c>
      <c r="C6" s="17" t="n"/>
      <c r="D6" s="18" t="inlineStr">
        <is>
          <t>Review checklists, approval workflow, integration assessment records</t>
        </is>
      </c>
      <c r="E6" s="19" t="n"/>
    </row>
    <row r="7">
      <c r="A7" s="14" t="inlineStr">
        <is>
          <t>▶ API Security</t>
        </is>
      </c>
    </row>
    <row r="8">
      <c r="A8" s="15" t="inlineStr">
        <is>
          <t>T-03</t>
        </is>
      </c>
      <c r="B8" s="16" t="inlineStr">
        <is>
          <t>Third-party APIs assessed for security risks (authentication, authorisation, data exposure)</t>
        </is>
      </c>
      <c r="C8" s="17" t="n"/>
      <c r="D8" s="18" t="inlineStr">
        <is>
          <t>API security assessments, risk ratings, vulnerability scan results</t>
        </is>
      </c>
      <c r="E8" s="19" t="n"/>
    </row>
    <row r="9">
      <c r="A9" s="15" t="inlineStr">
        <is>
          <t>T-04</t>
        </is>
      </c>
      <c r="B9" s="16" t="inlineStr">
        <is>
          <t>API authentication mechanisms reviewed (OAuth, API keys, mutual TLS)</t>
        </is>
      </c>
      <c r="C9" s="17" t="n"/>
      <c r="D9" s="18" t="inlineStr">
        <is>
          <t>Authentication config reviews, security assessment notes, credential management</t>
        </is>
      </c>
      <c r="E9" s="19" t="n"/>
    </row>
    <row r="10">
      <c r="A10" s="15" t="inlineStr">
        <is>
          <t>T-05</t>
        </is>
      </c>
      <c r="B10" s="16" t="inlineStr">
        <is>
          <t>API authorisation controls verified (least privilege, scope limitations)</t>
        </is>
      </c>
      <c r="C10" s="17" t="n"/>
      <c r="D10" s="18" t="inlineStr">
        <is>
          <t>Authorisation testing results, access reviews, scope definitions, permission audits</t>
        </is>
      </c>
      <c r="E10" s="19" t="n"/>
    </row>
    <row r="11">
      <c r="A11" s="15" t="inlineStr">
        <is>
          <t>T-06</t>
        </is>
      </c>
      <c r="B11" s="16" t="inlineStr">
        <is>
          <t>Third-party API rate limiting and abuse prevention assessed</t>
        </is>
      </c>
      <c r="C11" s="17" t="n"/>
      <c r="D11" s="18" t="inlineStr">
        <is>
          <t>Rate limiting configurations, abuse detection logs, throttling evidence</t>
        </is>
      </c>
      <c r="E11" s="19" t="n"/>
    </row>
    <row r="12">
      <c r="A12" s="14" t="inlineStr">
        <is>
          <t>▶ Code Review</t>
        </is>
      </c>
    </row>
    <row r="13">
      <c r="A13" s="15" t="inlineStr">
        <is>
          <t>T-07</t>
        </is>
      </c>
      <c r="B13" s="16" t="inlineStr">
        <is>
          <t>SDK/library source code reviewed where feasible (especially for critical dependencies)</t>
        </is>
      </c>
      <c r="C13" s="17" t="n"/>
      <c r="D13" s="18" t="inlineStr">
        <is>
          <t>Code review reports, static analysis results, security findings</t>
        </is>
      </c>
      <c r="E13" s="19" t="n"/>
    </row>
    <row r="14">
      <c r="A14" s="14" t="inlineStr">
        <is>
          <t>▶ Container Security</t>
        </is>
      </c>
    </row>
    <row r="15">
      <c r="A15" s="15" t="inlineStr">
        <is>
          <t>T-08</t>
        </is>
      </c>
      <c r="B15" s="16" t="inlineStr">
        <is>
          <t>Third-party container images scanned for vulnerabilities (Trivy, Clair, etc.)</t>
        </is>
      </c>
      <c r="C15" s="17" t="n"/>
      <c r="D15" s="18" t="inlineStr">
        <is>
          <t>Container scan reports, vulnerability findings, remediation evidence</t>
        </is>
      </c>
      <c r="E15" s="19" t="n"/>
    </row>
    <row r="16">
      <c r="A16" s="15" t="inlineStr">
        <is>
          <t>T-09</t>
        </is>
      </c>
      <c r="B16" s="16" t="inlineStr">
        <is>
          <t>Container base images from trusted sources only (official registries, verified publishers)</t>
        </is>
      </c>
      <c r="C16" s="17" t="n"/>
      <c r="D16" s="18" t="inlineStr">
        <is>
          <t>Image provenance records, registry configurations, trusted source lists</t>
        </is>
      </c>
      <c r="E16" s="19" t="n"/>
    </row>
    <row r="17">
      <c r="A17" s="14" t="inlineStr">
        <is>
          <t>▶ Package Integrity</t>
        </is>
      </c>
    </row>
    <row r="18">
      <c r="A18" s="15" t="inlineStr">
        <is>
          <t>T-10</t>
        </is>
      </c>
      <c r="B18" s="16" t="inlineStr">
        <is>
          <t>Package integrity verified before installation (checksums, GPG signatures)</t>
        </is>
      </c>
      <c r="C18" s="17" t="n"/>
      <c r="D18" s="18" t="inlineStr">
        <is>
          <t>Package verification configurations (GPG setup, SHA256 checks), verification logs</t>
        </is>
      </c>
      <c r="E18" s="19" t="n"/>
    </row>
    <row r="19">
      <c r="A19" s="15" t="inlineStr">
        <is>
          <t>T-11</t>
        </is>
      </c>
      <c r="B19" s="16" t="inlineStr">
        <is>
          <t>Package manager security features enabled (npm audit, pip-audit, bundler-audit)</t>
        </is>
      </c>
      <c r="C19" s="17" t="n"/>
      <c r="D19" s="18" t="inlineStr">
        <is>
          <t>Package manager configurations, audit command integration, CI/CD security checks</t>
        </is>
      </c>
      <c r="E19" s="19" t="n"/>
    </row>
    <row r="20">
      <c r="A20" s="15" t="inlineStr">
        <is>
          <t>T-12</t>
        </is>
      </c>
      <c r="B20" s="16" t="inlineStr">
        <is>
          <t>Typosquatting protection implemented (package name validation, allowlists)</t>
        </is>
      </c>
      <c r="C20" s="17" t="n"/>
      <c r="D20" s="18" t="inlineStr">
        <is>
          <t>Package allowlists, validation rules, namespace protection, monitoring alerts</t>
        </is>
      </c>
      <c r="E20" s="19" t="n"/>
    </row>
    <row r="21">
      <c r="A21" s="14" t="inlineStr">
        <is>
          <t>▶ Code Isolation</t>
        </is>
      </c>
    </row>
    <row r="22">
      <c r="A22" s="15" t="inlineStr">
        <is>
          <t>T-13</t>
        </is>
      </c>
      <c r="B22" s="16" t="inlineStr">
        <is>
          <t>Third-party code isolated from critical systems (sandboxing, containerization)</t>
        </is>
      </c>
      <c r="C22" s="17" t="n"/>
      <c r="D22" s="18" t="inlineStr">
        <is>
          <t>Architecture diagrams, isolation configurations, namespace separation, security boundaries</t>
        </is>
      </c>
      <c r="E22" s="19" t="n"/>
    </row>
    <row r="23">
      <c r="A23" s="15" t="inlineStr">
        <is>
          <t>T-14</t>
        </is>
      </c>
      <c r="B23" s="16" t="inlineStr">
        <is>
          <t>Vendor-provided code deployed with least privilege (minimal permissions)</t>
        </is>
      </c>
      <c r="C23" s="17" t="n"/>
      <c r="D23" s="18" t="inlineStr">
        <is>
          <t>Permission configurations, role definitions, privilege audits, access reviews</t>
        </is>
      </c>
      <c r="E23" s="19" t="n"/>
    </row>
    <row r="24">
      <c r="A24" s="14" t="inlineStr">
        <is>
          <t>▶ Code Escrow</t>
        </is>
      </c>
    </row>
    <row r="25">
      <c r="A25" s="15" t="inlineStr">
        <is>
          <t>T-15</t>
        </is>
      </c>
      <c r="B25" s="16" t="inlineStr">
        <is>
          <t>Code escrow agreements in place for critical vendors (optional, for business continuity)</t>
        </is>
      </c>
      <c r="C25" s="17" t="n"/>
      <c r="D25" s="18" t="inlineStr">
        <is>
          <t>Escrow agreements, escrow deposit verification, code access procedures</t>
        </is>
      </c>
      <c r="E25" s="19" t="n"/>
    </row>
    <row r="26">
      <c r="A26" s="14" t="inlineStr">
        <is>
          <t>▶ Integration Monitoring</t>
        </is>
      </c>
    </row>
    <row r="27">
      <c r="A27" s="15" t="inlineStr">
        <is>
          <t>T-16</t>
        </is>
      </c>
      <c r="B27" s="16" t="inlineStr">
        <is>
          <t>Third-party integration monitoring in place (API calls, error rates, anomalies)</t>
        </is>
      </c>
      <c r="C27" s="17" t="n"/>
      <c r="D27" s="18" t="inlineStr">
        <is>
          <t>Integration logs, monitoring dashboards, alert configurations, anomaly detection</t>
        </is>
      </c>
      <c r="E27" s="19" t="n"/>
    </row>
    <row r="28">
      <c r="A28" s="14" t="inlineStr">
        <is>
          <t>▶ Supply Chain Security</t>
        </is>
      </c>
    </row>
    <row r="29">
      <c r="A29" s="15" t="inlineStr">
        <is>
          <t>T-17</t>
        </is>
      </c>
      <c r="B29" s="16" t="inlineStr">
        <is>
          <t>Supply chain attack mitigations documented (dependency confusion, typosquatting, compromised packages)</t>
        </is>
      </c>
      <c r="C29" s="17" t="n"/>
      <c r="D29" s="18" t="inlineStr">
        <is>
          <t>Mitigation strategies, security controls, attack surface analysis, prevention measures</t>
        </is>
      </c>
      <c r="E29" s="19" t="n"/>
    </row>
    <row r="30">
      <c r="A30" s="15" t="inlineStr">
        <is>
          <t>T-18</t>
        </is>
      </c>
      <c r="B30" s="16" t="inlineStr">
        <is>
          <t>Third-party integration security reviewed regularly (annual reviews minimum)</t>
        </is>
      </c>
      <c r="C30" s="17" t="n"/>
      <c r="D30" s="18" t="inlineStr">
        <is>
          <t>Integration review reports, approval records, security reassessments, audit logs</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28:F28"/>
    <mergeCell ref="A2:E2"/>
    <mergeCell ref="A14:F14"/>
    <mergeCell ref="A1:E1"/>
    <mergeCell ref="A17:F17"/>
    <mergeCell ref="A12:F12"/>
    <mergeCell ref="A4:F4"/>
    <mergeCell ref="A26:F26"/>
    <mergeCell ref="A21:F21"/>
    <mergeCell ref="A7:F7"/>
  </mergeCells>
  <dataValidations count="1">
    <dataValidation sqref="C5 C6 C8 C9 C10 C11 C13 C15 C16 C18 C19 C20 C22 C23 C25 C27 C29 C30 C31 C32 C33 C34 C35 C36 C37 C38 C39 C40 C41 C42 C43 C44 C45 C46 C47 C48 C49 C50 C51 C52 C53 C54 C55 C56 C57 C58 C59 C60 C61 C62"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LICENSE COMPLIANCE &amp; LEGAL RISK</t>
        </is>
      </c>
    </row>
    <row r="2">
      <c r="A2" s="12" t="inlineStr">
        <is>
          <t>ISO 27001:2022 | Control A.8.28 | License Compliance &amp; Legal Risk</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License Policy</t>
        </is>
      </c>
    </row>
    <row r="5">
      <c r="A5" s="15" t="inlineStr">
        <is>
          <t>L-01</t>
        </is>
      </c>
      <c r="B5" s="16" t="inlineStr">
        <is>
          <t>License compliance policy exists and is approved by legal counsel</t>
        </is>
      </c>
      <c r="C5" s="17" t="n"/>
      <c r="D5" s="18" t="inlineStr">
        <is>
          <t>Policy document, legal approval signatures, policy distribution records</t>
        </is>
      </c>
      <c r="E5" s="19" t="n"/>
    </row>
    <row r="6">
      <c r="A6" s="14" t="inlineStr">
        <is>
          <t>▶ License Scanning</t>
        </is>
      </c>
    </row>
    <row r="7">
      <c r="A7" s="15" t="inlineStr">
        <is>
          <t>L-02</t>
        </is>
      </c>
      <c r="B7" s="16" t="inlineStr">
        <is>
          <t>License scanning tool deployed (FOSSA, Black Duck, WhiteSource, etc.)</t>
        </is>
      </c>
      <c r="C7" s="17" t="n"/>
      <c r="D7" s="18" t="inlineStr">
        <is>
          <t>License scan tool configurations, deployment records, integration evidence</t>
        </is>
      </c>
      <c r="E7" s="19" t="n"/>
    </row>
    <row r="8">
      <c r="A8" s="15" t="inlineStr">
        <is>
          <t>L-03</t>
        </is>
      </c>
      <c r="B8" s="16" t="inlineStr">
        <is>
          <t>License scans run automatically on every build (not manual/ad-hoc)</t>
        </is>
      </c>
      <c r="C8" s="17" t="n"/>
      <c r="D8" s="18" t="inlineStr">
        <is>
          <t>CI/CD configurations, scan logs, build pipeline evidence, automation scripts</t>
        </is>
      </c>
      <c r="E8" s="19" t="n"/>
    </row>
    <row r="9">
      <c r="A9" s="14" t="inlineStr">
        <is>
          <t>▶ License Inventory</t>
        </is>
      </c>
    </row>
    <row r="10">
      <c r="A10" s="15" t="inlineStr">
        <is>
          <t>L-04</t>
        </is>
      </c>
      <c r="B10" s="16" t="inlineStr">
        <is>
          <t>All dependency licenses identified and tracked (no unknown licenses)</t>
        </is>
      </c>
      <c r="C10" s="17" t="n"/>
      <c r="D10" s="18" t="inlineStr">
        <is>
          <t>License scan reports, SBOM license data, license inventory, unknown license alerts</t>
        </is>
      </c>
      <c r="E10" s="19" t="n"/>
    </row>
    <row r="11">
      <c r="A11" s="15" t="inlineStr">
        <is>
          <t>L-05</t>
        </is>
      </c>
      <c r="B11" s="16" t="inlineStr">
        <is>
          <t>License allowlist and blocklist defined (approved vs. restricted licenses)</t>
        </is>
      </c>
      <c r="C11" s="17" t="n"/>
      <c r="D11" s="18" t="inlineStr">
        <is>
          <t>Allowlist/blocklist documents, approval criteria, legal guidance, license policies</t>
        </is>
      </c>
      <c r="E11" s="19" t="n"/>
    </row>
    <row r="12">
      <c r="A12" s="14" t="inlineStr">
        <is>
          <t>▶ Copyleft Management</t>
        </is>
      </c>
    </row>
    <row r="13">
      <c r="A13" s="15" t="inlineStr">
        <is>
          <t>L-06</t>
        </is>
      </c>
      <c r="B13" s="16" t="inlineStr">
        <is>
          <t>Copyleft licenses flagged for legal review (GPL, AGPL, MPL, EPL)</t>
        </is>
      </c>
      <c r="C13" s="17" t="n"/>
      <c r="D13" s="18" t="inlineStr">
        <is>
          <t>Flagging rules in scan tools, legal review records, copyleft license alerts</t>
        </is>
      </c>
      <c r="E13" s="19" t="n"/>
    </row>
    <row r="14">
      <c r="A14" s="15" t="inlineStr">
        <is>
          <t>L-07</t>
        </is>
      </c>
      <c r="B14" s="16" t="inlineStr">
        <is>
          <t>License compatibility assessed (GPL + proprietary conflicts detected)</t>
        </is>
      </c>
      <c r="C14" s="17" t="n"/>
      <c r="D14" s="18" t="inlineStr">
        <is>
          <t>Compatibility matrix, conflict reports, license interaction analysis, legal opinions</t>
        </is>
      </c>
      <c r="E14" s="19" t="n"/>
    </row>
    <row r="15">
      <c r="A15" s="15" t="inlineStr">
        <is>
          <t>L-08</t>
        </is>
      </c>
      <c r="B15" s="16" t="inlineStr">
        <is>
          <t>Viral license contamination prevented (GPL/AGPL code isolated from proprietary code)</t>
        </is>
      </c>
      <c r="C15" s="17" t="n"/>
      <c r="D15" s="18" t="inlineStr">
        <is>
          <t>Isolation strategies, architecture reviews, code segregation, legal firewalls</t>
        </is>
      </c>
      <c r="E15" s="19" t="n"/>
    </row>
    <row r="16">
      <c r="A16" s="14" t="inlineStr">
        <is>
          <t>▶ License Enforcement</t>
        </is>
      </c>
    </row>
    <row r="17">
      <c r="A17" s="15" t="inlineStr">
        <is>
          <t>L-09</t>
        </is>
      </c>
      <c r="B17" s="16" t="inlineStr">
        <is>
          <t>Commercial licenses tracked with usage limits (seat counts, deployment restrictions)</t>
        </is>
      </c>
      <c r="C17" s="17" t="n"/>
      <c r="D17" s="18" t="inlineStr">
        <is>
          <t>License tracking system, usage reports, compliance monitoring, license renewals</t>
        </is>
      </c>
      <c r="E17" s="19" t="n"/>
    </row>
    <row r="18">
      <c r="A18" s="15" t="inlineStr">
        <is>
          <t>L-10</t>
        </is>
      </c>
      <c r="B18" s="16" t="inlineStr">
        <is>
          <t>License violation detection automated (blocklist enforcement, conflict detection)</t>
        </is>
      </c>
      <c r="C18" s="17" t="n"/>
      <c r="D18" s="18" t="inlineStr">
        <is>
          <t>Violation detection rules, alert configurations, automated blocking, CI/CD gates</t>
        </is>
      </c>
      <c r="E18" s="19" t="n"/>
    </row>
    <row r="19">
      <c r="A19" s="15" t="inlineStr">
        <is>
          <t>L-11</t>
        </is>
      </c>
      <c r="B19" s="16" t="inlineStr">
        <is>
          <t>License violations remediated with documented plan (not ignored)</t>
        </is>
      </c>
      <c r="C19" s="17" t="n"/>
      <c r="D19" s="18" t="inlineStr">
        <is>
          <t>Remediation plans, resolution records, alternative selection, legal consultation</t>
        </is>
      </c>
      <c r="E19" s="19" t="n"/>
    </row>
    <row r="20">
      <c r="A20" s="14" t="inlineStr">
        <is>
          <t>▶ Legal Review</t>
        </is>
      </c>
    </row>
    <row r="21">
      <c r="A21" s="15" t="inlineStr">
        <is>
          <t>L-12</t>
        </is>
      </c>
      <c r="B21" s="16" t="inlineStr">
        <is>
          <t>Legal review required for restrictive licenses (AGPL, SSPL, Business Source License)</t>
        </is>
      </c>
      <c r="C21" s="17" t="n"/>
      <c r="D21" s="18" t="inlineStr">
        <is>
          <t>Legal review requests, approval records, risk assessments, legal opinions</t>
        </is>
      </c>
      <c r="E21" s="19" t="n"/>
    </row>
    <row r="22">
      <c r="A22" s="14" t="inlineStr">
        <is>
          <t>▶ Attribution &amp; Notices</t>
        </is>
      </c>
    </row>
    <row r="23">
      <c r="A23" s="15" t="inlineStr">
        <is>
          <t>L-13</t>
        </is>
      </c>
      <c r="B23" s="16" t="inlineStr">
        <is>
          <t>Open source attribution maintained (LICENSE, NOTICE, THIRD_PARTY_LICENSES files)</t>
        </is>
      </c>
      <c r="C23" s="17" t="n"/>
      <c r="D23" s="18" t="inlineStr">
        <is>
          <t>Attribution files in repositories, automated generation scripts, distribution packages</t>
        </is>
      </c>
      <c r="E23" s="19" t="n"/>
    </row>
    <row r="24">
      <c r="A24" s="15" t="inlineStr">
        <is>
          <t>L-14</t>
        </is>
      </c>
      <c r="B24" s="16" t="inlineStr">
        <is>
          <t>Third-party license notices included in product distributions (legal requirement)</t>
        </is>
      </c>
      <c r="C24" s="17" t="n"/>
      <c r="D24" s="18" t="inlineStr">
        <is>
          <t>Distribution packages, license bundling, notice files, compliance documentation</t>
        </is>
      </c>
      <c r="E24" s="19" t="n"/>
    </row>
    <row r="25">
      <c r="A25" s="14" t="inlineStr">
        <is>
          <t>▶ Release Compliance</t>
        </is>
      </c>
    </row>
    <row r="26">
      <c r="A26" s="15" t="inlineStr">
        <is>
          <t>L-15</t>
        </is>
      </c>
      <c r="B26" s="16" t="inlineStr">
        <is>
          <t>License compliance verified before production release (release gate)</t>
        </is>
      </c>
      <c r="C26" s="17" t="n"/>
      <c r="D26" s="18" t="inlineStr">
        <is>
          <t>Release checklists, compliance sign-offs, license approval records, gate evidence</t>
        </is>
      </c>
      <c r="E26" s="19" t="n"/>
    </row>
    <row r="27">
      <c r="A27" s="15" t="inlineStr">
        <is>
          <t>L-16</t>
        </is>
      </c>
      <c r="B27" s="16" t="inlineStr">
        <is>
          <t>License audit trails maintained (license changes, approvals, violations)</t>
        </is>
      </c>
      <c r="C27" s="17" t="n"/>
      <c r="D27" s="18" t="inlineStr">
        <is>
          <t>Audit logs, compliance history, license change tracking, approval records</t>
        </is>
      </c>
      <c r="E27" s="19" t="n"/>
    </row>
    <row r="28">
      <c r="A28" s="14" t="inlineStr">
        <is>
          <t>▶ License Metrics</t>
        </is>
      </c>
    </row>
    <row r="29">
      <c r="A29" s="15" t="inlineStr">
        <is>
          <t>L-17</t>
        </is>
      </c>
      <c r="B29" s="16" t="inlineStr">
        <is>
          <t>License compliance training provided to developers (awareness of GPL, AGPL, etc.)</t>
        </is>
      </c>
      <c r="C29" s="17" t="n"/>
      <c r="D29" s="18" t="inlineStr">
        <is>
          <t>Training records, completion certificates, training materials, quiz results</t>
        </is>
      </c>
      <c r="E29" s="19" t="n"/>
    </row>
    <row r="30">
      <c r="A30" s="15" t="inlineStr">
        <is>
          <t>L-18</t>
        </is>
      </c>
      <c r="B30" s="16" t="inlineStr">
        <is>
          <t>License compliance metrics tracked (% compliant, violations, legal reviews)</t>
        </is>
      </c>
      <c r="C30" s="17" t="n"/>
      <c r="D30" s="18" t="inlineStr">
        <is>
          <t>Compliance dashboards, metrics reports, KPI tracking, trend analysis</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16:F16"/>
    <mergeCell ref="A28:F28"/>
    <mergeCell ref="A2:E2"/>
    <mergeCell ref="A9:F9"/>
    <mergeCell ref="A6:F6"/>
    <mergeCell ref="A1:E1"/>
    <mergeCell ref="A22:F22"/>
    <mergeCell ref="A12:F12"/>
    <mergeCell ref="A4:F4"/>
    <mergeCell ref="A20:F20"/>
    <mergeCell ref="A25:F25"/>
  </mergeCells>
  <dataValidations count="1">
    <dataValidation sqref="C5 C7 C8 C10 C11 C13 C14 C15 C17 C18 C19 C21 C23 C24 C26 C27 C29 C30 C31 C32 C33 C34 C35 C36 C37 C38 C39 C40 C41 C42 C43 C44 C45 C46 C47 C48 C49 C50 C51 C52 C53 C54 C55 C56 C57 C58 C59 C60 C61 C62"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3" t="inlineStr">
        <is>
          <t>Test Data Inventory</t>
        </is>
      </c>
      <c r="C5" s="23" t="inlineStr">
        <is>
          <t>Configuration file</t>
        </is>
      </c>
      <c r="D5" s="23" t="inlineStr">
        <is>
          <t>Data masking configuration for UAT environment</t>
        </is>
      </c>
      <c r="E5" s="23" t="inlineStr">
        <is>
          <t>\fileserver\isms\evidence\test-data\uat-masking-config.json</t>
        </is>
      </c>
      <c r="F5" s="23" t="inlineStr">
        <is>
          <t>2024-03-01</t>
        </is>
      </c>
      <c r="G5" s="23" t="inlineStr">
        <is>
          <t>Sarah Mitchell</t>
        </is>
      </c>
      <c r="H5" s="23" t="inlineStr">
        <is>
          <t>Verified</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5" t="inlineStr">
        <is>
          <t>GAP ANALYSIS &amp; REMEDIATION PLAN</t>
        </is>
      </c>
    </row>
    <row r="2">
      <c r="A2" s="26" t="inlineStr">
        <is>
          <t>Document all 'Not Implemented' and 'Partially Implemented' requirements. Assign owners, set target dates, and track remediation progress.</t>
        </is>
      </c>
    </row>
    <row r="3">
      <c r="A3" s="27" t="inlineStr">
        <is>
          <t>Gap ID</t>
        </is>
      </c>
      <c r="B3" s="27" t="inlineStr">
        <is>
          <t>Domain</t>
        </is>
      </c>
      <c r="C3" s="27" t="inlineStr">
        <is>
          <t>Requirement ID</t>
        </is>
      </c>
      <c r="D3" s="27" t="inlineStr">
        <is>
          <t>Requirement Description</t>
        </is>
      </c>
      <c r="E3" s="27" t="inlineStr">
        <is>
          <t>Current State</t>
        </is>
      </c>
      <c r="F3" s="27" t="inlineStr">
        <is>
          <t>Target State</t>
        </is>
      </c>
      <c r="G3" s="27" t="inlineStr">
        <is>
          <t>Priority</t>
        </is>
      </c>
      <c r="H3" s="27" t="inlineStr">
        <is>
          <t>Owner</t>
        </is>
      </c>
      <c r="I3" s="27" t="inlineStr">
        <is>
          <t>Target Date</t>
        </is>
      </c>
      <c r="J3" s="27" t="inlineStr">
        <is>
          <t>Status</t>
        </is>
      </c>
    </row>
    <row r="4">
      <c r="A4" s="23" t="inlineStr">
        <is>
          <t>GAP-001</t>
        </is>
      </c>
      <c r="B4" s="23" t="inlineStr">
        <is>
          <t>Vendor Security Assessment</t>
        </is>
      </c>
      <c r="C4" s="23" t="inlineStr">
        <is>
          <t>1.2</t>
        </is>
      </c>
      <c r="D4" s="23" t="inlineStr">
        <is>
          <t>Third-party code review before integration</t>
        </is>
      </c>
      <c r="E4" s="23" t="inlineStr">
        <is>
          <t>No security review of vendor code</t>
        </is>
      </c>
      <c r="F4" s="23" t="inlineStr">
        <is>
          <t>Mandatory security review with SAST/dependency scan</t>
        </is>
      </c>
      <c r="G4" s="23" t="inlineStr">
        <is>
          <t>High</t>
        </is>
      </c>
      <c r="H4" s="23" t="inlineStr">
        <is>
          <t>Security Team Lead</t>
        </is>
      </c>
      <c r="I4" s="23" t="inlineStr">
        <is>
          <t>28.02.2025</t>
        </is>
      </c>
      <c r="J4" s="23" t="inlineStr">
        <is>
          <t>In Progress</t>
        </is>
      </c>
    </row>
    <row r="5">
      <c r="A5" s="24" t="n"/>
      <c r="B5" s="24" t="n"/>
      <c r="C5" s="24" t="n"/>
      <c r="D5" s="24" t="n"/>
      <c r="E5" s="24" t="n"/>
      <c r="F5" s="24" t="n"/>
      <c r="G5" s="24" t="n"/>
      <c r="H5" s="24" t="n"/>
      <c r="I5" s="24" t="n"/>
      <c r="J5" s="24" t="n"/>
    </row>
    <row r="6">
      <c r="A6" s="24" t="n"/>
      <c r="B6" s="24" t="n"/>
      <c r="C6" s="24" t="n"/>
      <c r="D6" s="24" t="n"/>
      <c r="E6" s="24" t="n"/>
      <c r="F6" s="24" t="n"/>
      <c r="G6" s="24" t="n"/>
      <c r="H6" s="24" t="n"/>
      <c r="I6" s="24" t="n"/>
      <c r="J6" s="24" t="n"/>
    </row>
    <row r="7">
      <c r="A7" s="24" t="n"/>
      <c r="B7" s="24" t="n"/>
      <c r="C7" s="24" t="n"/>
      <c r="D7" s="24" t="n"/>
      <c r="E7" s="24" t="n"/>
      <c r="F7" s="24" t="n"/>
      <c r="G7" s="24" t="n"/>
      <c r="H7" s="24" t="n"/>
      <c r="I7" s="24" t="n"/>
      <c r="J7" s="24" t="n"/>
    </row>
    <row r="8">
      <c r="A8" s="24" t="n"/>
      <c r="B8" s="24" t="n"/>
      <c r="C8" s="24" t="n"/>
      <c r="D8" s="24" t="n"/>
      <c r="E8" s="24" t="n"/>
      <c r="F8" s="24" t="n"/>
      <c r="G8" s="24" t="n"/>
      <c r="H8" s="24" t="n"/>
      <c r="I8" s="24" t="n"/>
      <c r="J8" s="24" t="n"/>
    </row>
    <row r="9">
      <c r="A9" s="24" t="n"/>
      <c r="B9" s="24" t="n"/>
      <c r="C9" s="24" t="n"/>
      <c r="D9" s="24" t="n"/>
      <c r="E9" s="24" t="n"/>
      <c r="F9" s="24" t="n"/>
      <c r="G9" s="24" t="n"/>
      <c r="H9" s="24" t="n"/>
      <c r="I9" s="24" t="n"/>
      <c r="J9" s="24" t="n"/>
    </row>
    <row r="10">
      <c r="A10" s="24" t="n"/>
      <c r="B10" s="24" t="n"/>
      <c r="C10" s="24" t="n"/>
      <c r="D10" s="24" t="n"/>
      <c r="E10" s="24" t="n"/>
      <c r="F10" s="24" t="n"/>
      <c r="G10" s="24" t="n"/>
      <c r="H10" s="24" t="n"/>
      <c r="I10" s="24" t="n"/>
      <c r="J10" s="24" t="n"/>
    </row>
    <row r="11">
      <c r="A11" s="24" t="n"/>
      <c r="B11" s="24" t="n"/>
      <c r="C11" s="24" t="n"/>
      <c r="D11" s="24" t="n"/>
      <c r="E11" s="24" t="n"/>
      <c r="F11" s="24" t="n"/>
      <c r="G11" s="24" t="n"/>
      <c r="H11" s="24" t="n"/>
      <c r="I11" s="24" t="n"/>
      <c r="J11" s="24" t="n"/>
    </row>
    <row r="12">
      <c r="A12" s="24" t="n"/>
      <c r="B12" s="24" t="n"/>
      <c r="C12" s="24" t="n"/>
      <c r="D12" s="24" t="n"/>
      <c r="E12" s="24" t="n"/>
      <c r="F12" s="24" t="n"/>
      <c r="G12" s="24" t="n"/>
      <c r="H12" s="24" t="n"/>
      <c r="I12" s="24" t="n"/>
      <c r="J12" s="24" t="n"/>
    </row>
    <row r="13">
      <c r="A13" s="24" t="n"/>
      <c r="B13" s="24" t="n"/>
      <c r="C13" s="24" t="n"/>
      <c r="D13" s="24" t="n"/>
      <c r="E13" s="24" t="n"/>
      <c r="F13" s="24" t="n"/>
      <c r="G13" s="24" t="n"/>
      <c r="H13" s="24" t="n"/>
      <c r="I13" s="24" t="n"/>
      <c r="J13" s="24" t="n"/>
    </row>
    <row r="14">
      <c r="A14" s="24" t="n"/>
      <c r="B14" s="24" t="n"/>
      <c r="C14" s="24" t="n"/>
      <c r="D14" s="24" t="n"/>
      <c r="E14" s="24" t="n"/>
      <c r="F14" s="24" t="n"/>
      <c r="G14" s="24" t="n"/>
      <c r="H14" s="24" t="n"/>
      <c r="I14" s="24" t="n"/>
      <c r="J14" s="24" t="n"/>
    </row>
    <row r="15">
      <c r="A15" s="24" t="n"/>
      <c r="B15" s="24" t="n"/>
      <c r="C15" s="24" t="n"/>
      <c r="D15" s="24" t="n"/>
      <c r="E15" s="24" t="n"/>
      <c r="F15" s="24" t="n"/>
      <c r="G15" s="24" t="n"/>
      <c r="H15" s="24" t="n"/>
      <c r="I15" s="24" t="n"/>
      <c r="J15" s="24" t="n"/>
    </row>
    <row r="16">
      <c r="A16" s="24" t="n"/>
      <c r="B16" s="24" t="n"/>
      <c r="C16" s="24" t="n"/>
      <c r="D16" s="24" t="n"/>
      <c r="E16" s="24" t="n"/>
      <c r="F16" s="24" t="n"/>
      <c r="G16" s="24" t="n"/>
      <c r="H16" s="24" t="n"/>
      <c r="I16" s="24" t="n"/>
      <c r="J16" s="24" t="n"/>
    </row>
    <row r="17">
      <c r="A17" s="24" t="n"/>
      <c r="B17" s="24" t="n"/>
      <c r="C17" s="24" t="n"/>
      <c r="D17" s="24" t="n"/>
      <c r="E17" s="24" t="n"/>
      <c r="F17" s="24" t="n"/>
      <c r="G17" s="24" t="n"/>
      <c r="H17" s="24" t="n"/>
      <c r="I17" s="24" t="n"/>
      <c r="J17" s="24" t="n"/>
    </row>
    <row r="18">
      <c r="A18" s="24" t="n"/>
      <c r="B18" s="24" t="n"/>
      <c r="C18" s="24" t="n"/>
      <c r="D18" s="24" t="n"/>
      <c r="E18" s="24" t="n"/>
      <c r="F18" s="24" t="n"/>
      <c r="G18" s="24" t="n"/>
      <c r="H18" s="24" t="n"/>
      <c r="I18" s="24" t="n"/>
      <c r="J18" s="24" t="n"/>
    </row>
    <row r="19">
      <c r="A19" s="24" t="n"/>
      <c r="B19" s="24" t="n"/>
      <c r="C19" s="24" t="n"/>
      <c r="D19" s="24" t="n"/>
      <c r="E19" s="24" t="n"/>
      <c r="F19" s="24" t="n"/>
      <c r="G19" s="24" t="n"/>
      <c r="H19" s="24" t="n"/>
      <c r="I19" s="24" t="n"/>
      <c r="J19" s="24" t="n"/>
    </row>
    <row r="20">
      <c r="A20" s="24" t="n"/>
      <c r="B20" s="24" t="n"/>
      <c r="C20" s="24" t="n"/>
      <c r="D20" s="24" t="n"/>
      <c r="E20" s="24" t="n"/>
      <c r="F20" s="24" t="n"/>
      <c r="G20" s="24" t="n"/>
      <c r="H20" s="24" t="n"/>
      <c r="I20" s="24" t="n"/>
      <c r="J20" s="24" t="n"/>
    </row>
    <row r="21">
      <c r="A21" s="24" t="n"/>
      <c r="B21" s="24" t="n"/>
      <c r="C21" s="24" t="n"/>
      <c r="D21" s="24" t="n"/>
      <c r="E21" s="24" t="n"/>
      <c r="F21" s="24" t="n"/>
      <c r="G21" s="24" t="n"/>
      <c r="H21" s="24" t="n"/>
      <c r="I21" s="24" t="n"/>
      <c r="J21" s="24" t="n"/>
    </row>
    <row r="22">
      <c r="A22" s="24" t="n"/>
      <c r="B22" s="24" t="n"/>
      <c r="C22" s="24" t="n"/>
      <c r="D22" s="24" t="n"/>
      <c r="E22" s="24" t="n"/>
      <c r="F22" s="24" t="n"/>
      <c r="G22" s="24" t="n"/>
      <c r="H22" s="24" t="n"/>
      <c r="I22" s="24" t="n"/>
      <c r="J22" s="24" t="n"/>
    </row>
    <row r="23">
      <c r="A23" s="24" t="n"/>
      <c r="B23" s="24" t="n"/>
      <c r="C23" s="24" t="n"/>
      <c r="D23" s="24" t="n"/>
      <c r="E23" s="24" t="n"/>
      <c r="F23" s="24" t="n"/>
      <c r="G23" s="24" t="n"/>
      <c r="H23" s="24" t="n"/>
      <c r="I23" s="24" t="n"/>
      <c r="J23" s="24" t="n"/>
    </row>
    <row r="24">
      <c r="A24" s="24" t="n"/>
      <c r="B24" s="24" t="n"/>
      <c r="C24" s="24" t="n"/>
      <c r="D24" s="24" t="n"/>
      <c r="E24" s="24" t="n"/>
      <c r="F24" s="24" t="n"/>
      <c r="G24" s="24" t="n"/>
      <c r="H24" s="24" t="n"/>
      <c r="I24" s="24" t="n"/>
      <c r="J24" s="24" t="n"/>
    </row>
    <row r="25">
      <c r="A25" s="24" t="n"/>
      <c r="B25" s="24" t="n"/>
      <c r="C25" s="24" t="n"/>
      <c r="D25" s="24" t="n"/>
      <c r="E25" s="24" t="n"/>
      <c r="F25" s="24" t="n"/>
      <c r="G25" s="24" t="n"/>
      <c r="H25" s="24" t="n"/>
      <c r="I25" s="24" t="n"/>
      <c r="J25" s="24" t="n"/>
    </row>
    <row r="26">
      <c r="A26" s="24" t="n"/>
      <c r="B26" s="24" t="n"/>
      <c r="C26" s="24" t="n"/>
      <c r="D26" s="24" t="n"/>
      <c r="E26" s="24" t="n"/>
      <c r="F26" s="24" t="n"/>
      <c r="G26" s="24" t="n"/>
      <c r="H26" s="24" t="n"/>
      <c r="I26" s="24" t="n"/>
      <c r="J26" s="24" t="n"/>
    </row>
    <row r="27">
      <c r="A27" s="24" t="n"/>
      <c r="B27" s="24" t="n"/>
      <c r="C27" s="24" t="n"/>
      <c r="D27" s="24" t="n"/>
      <c r="E27" s="24" t="n"/>
      <c r="F27" s="24" t="n"/>
      <c r="G27" s="24" t="n"/>
      <c r="H27" s="24" t="n"/>
      <c r="I27" s="24" t="n"/>
      <c r="J27" s="24" t="n"/>
    </row>
    <row r="28">
      <c r="A28" s="24" t="n"/>
      <c r="B28" s="24" t="n"/>
      <c r="C28" s="24" t="n"/>
      <c r="D28" s="24" t="n"/>
      <c r="E28" s="24" t="n"/>
      <c r="F28" s="24" t="n"/>
      <c r="G28" s="24" t="n"/>
      <c r="H28" s="24" t="n"/>
      <c r="I28" s="24" t="n"/>
      <c r="J28" s="24" t="n"/>
    </row>
    <row r="29">
      <c r="A29" s="24" t="n"/>
      <c r="B29" s="24" t="n"/>
      <c r="C29" s="24" t="n"/>
      <c r="D29" s="24" t="n"/>
      <c r="E29" s="24" t="n"/>
      <c r="F29" s="24" t="n"/>
      <c r="G29" s="24" t="n"/>
      <c r="H29" s="24" t="n"/>
      <c r="I29" s="24" t="n"/>
      <c r="J29" s="24" t="n"/>
    </row>
    <row r="30">
      <c r="A30" s="24" t="n"/>
      <c r="B30" s="24" t="n"/>
      <c r="C30" s="24" t="n"/>
      <c r="D30" s="24" t="n"/>
      <c r="E30" s="24" t="n"/>
      <c r="F30" s="24" t="n"/>
      <c r="G30" s="24" t="n"/>
      <c r="H30" s="24" t="n"/>
      <c r="I30" s="24" t="n"/>
      <c r="J30" s="24" t="n"/>
    </row>
    <row r="31">
      <c r="A31" s="24" t="n"/>
      <c r="B31" s="24" t="n"/>
      <c r="C31" s="24" t="n"/>
      <c r="D31" s="24" t="n"/>
      <c r="E31" s="24" t="n"/>
      <c r="F31" s="24" t="n"/>
      <c r="G31" s="24" t="n"/>
      <c r="H31" s="24" t="n"/>
      <c r="I31" s="24" t="n"/>
      <c r="J31" s="24" t="n"/>
    </row>
    <row r="32">
      <c r="A32" s="24" t="n"/>
      <c r="B32" s="24" t="n"/>
      <c r="C32" s="24" t="n"/>
      <c r="D32" s="24" t="n"/>
      <c r="E32" s="24" t="n"/>
      <c r="F32" s="24" t="n"/>
      <c r="G32" s="24" t="n"/>
      <c r="H32" s="24" t="n"/>
      <c r="I32" s="24" t="n"/>
      <c r="J32" s="24" t="n"/>
    </row>
    <row r="33">
      <c r="A33" s="24" t="n"/>
      <c r="B33" s="24" t="n"/>
      <c r="C33" s="24" t="n"/>
      <c r="D33" s="24" t="n"/>
      <c r="E33" s="24" t="n"/>
      <c r="F33" s="24" t="n"/>
      <c r="G33" s="24" t="n"/>
      <c r="H33" s="24" t="n"/>
      <c r="I33" s="24" t="n"/>
      <c r="J33" s="24" t="n"/>
    </row>
    <row r="34">
      <c r="A34" s="24" t="n"/>
      <c r="B34" s="24" t="n"/>
      <c r="C34" s="24" t="n"/>
      <c r="D34" s="24" t="n"/>
      <c r="E34" s="24" t="n"/>
      <c r="F34" s="24" t="n"/>
      <c r="G34" s="24" t="n"/>
      <c r="H34" s="24" t="n"/>
      <c r="I34" s="24" t="n"/>
      <c r="J34" s="24" t="n"/>
    </row>
    <row r="35">
      <c r="A35" s="24" t="n"/>
      <c r="B35" s="24" t="n"/>
      <c r="C35" s="24" t="n"/>
      <c r="D35" s="24" t="n"/>
      <c r="E35" s="24" t="n"/>
      <c r="F35" s="24" t="n"/>
      <c r="G35" s="24" t="n"/>
      <c r="H35" s="24" t="n"/>
      <c r="I35" s="24" t="n"/>
      <c r="J35" s="24" t="n"/>
    </row>
    <row r="36">
      <c r="A36" s="24" t="n"/>
      <c r="B36" s="24" t="n"/>
      <c r="C36" s="24" t="n"/>
      <c r="D36" s="24" t="n"/>
      <c r="E36" s="24" t="n"/>
      <c r="F36" s="24" t="n"/>
      <c r="G36" s="24" t="n"/>
      <c r="H36" s="24" t="n"/>
      <c r="I36" s="24" t="n"/>
      <c r="J36" s="24" t="n"/>
    </row>
    <row r="37">
      <c r="A37" s="24" t="n"/>
      <c r="B37" s="24" t="n"/>
      <c r="C37" s="24" t="n"/>
      <c r="D37" s="24" t="n"/>
      <c r="E37" s="24" t="n"/>
      <c r="F37" s="24" t="n"/>
      <c r="G37" s="24" t="n"/>
      <c r="H37" s="24" t="n"/>
      <c r="I37" s="24" t="n"/>
      <c r="J37" s="24" t="n"/>
    </row>
    <row r="38">
      <c r="A38" s="24" t="n"/>
      <c r="B38" s="24" t="n"/>
      <c r="C38" s="24" t="n"/>
      <c r="D38" s="24" t="n"/>
      <c r="E38" s="24" t="n"/>
      <c r="F38" s="24" t="n"/>
      <c r="G38" s="24" t="n"/>
      <c r="H38" s="24" t="n"/>
      <c r="I38" s="24" t="n"/>
      <c r="J38" s="24" t="n"/>
    </row>
    <row r="39">
      <c r="A39" s="24" t="n"/>
      <c r="B39" s="24" t="n"/>
      <c r="C39" s="24" t="n"/>
      <c r="D39" s="24" t="n"/>
      <c r="E39" s="24" t="n"/>
      <c r="F39" s="24" t="n"/>
      <c r="G39" s="24" t="n"/>
      <c r="H39" s="24" t="n"/>
      <c r="I39" s="24" t="n"/>
      <c r="J39" s="24" t="n"/>
    </row>
    <row r="40">
      <c r="A40" s="24" t="n"/>
      <c r="B40" s="24" t="n"/>
      <c r="C40" s="24" t="n"/>
      <c r="D40" s="24" t="n"/>
      <c r="E40" s="24" t="n"/>
      <c r="F40" s="24" t="n"/>
      <c r="G40" s="24" t="n"/>
      <c r="H40" s="24" t="n"/>
      <c r="I40" s="24" t="n"/>
      <c r="J40" s="24" t="n"/>
    </row>
    <row r="41">
      <c r="A41" s="24" t="n"/>
      <c r="B41" s="24" t="n"/>
      <c r="C41" s="24" t="n"/>
      <c r="D41" s="24" t="n"/>
      <c r="E41" s="24" t="n"/>
      <c r="F41" s="24" t="n"/>
      <c r="G41" s="24" t="n"/>
      <c r="H41" s="24" t="n"/>
      <c r="I41" s="24" t="n"/>
      <c r="J41" s="24" t="n"/>
    </row>
    <row r="42">
      <c r="A42" s="24" t="n"/>
      <c r="B42" s="24" t="n"/>
      <c r="C42" s="24" t="n"/>
      <c r="D42" s="24" t="n"/>
      <c r="E42" s="24" t="n"/>
      <c r="F42" s="24" t="n"/>
      <c r="G42" s="24" t="n"/>
      <c r="H42" s="24" t="n"/>
      <c r="I42" s="24" t="n"/>
      <c r="J42" s="24" t="n"/>
    </row>
    <row r="43">
      <c r="A43" s="24" t="n"/>
      <c r="B43" s="24" t="n"/>
      <c r="C43" s="24" t="n"/>
      <c r="D43" s="24" t="n"/>
      <c r="E43" s="24" t="n"/>
      <c r="F43" s="24" t="n"/>
      <c r="G43" s="24" t="n"/>
      <c r="H43" s="24" t="n"/>
      <c r="I43" s="24" t="n"/>
      <c r="J43" s="24" t="n"/>
    </row>
    <row r="44">
      <c r="A44" s="24" t="n"/>
      <c r="B44" s="24" t="n"/>
      <c r="C44" s="24" t="n"/>
      <c r="D44" s="24" t="n"/>
      <c r="E44" s="24" t="n"/>
      <c r="F44" s="24" t="n"/>
      <c r="G44" s="24" t="n"/>
      <c r="H44" s="24" t="n"/>
      <c r="I44" s="24" t="n"/>
      <c r="J44" s="24" t="n"/>
    </row>
    <row r="45">
      <c r="A45" s="24" t="n"/>
      <c r="B45" s="24" t="n"/>
      <c r="C45" s="24" t="n"/>
      <c r="D45" s="24" t="n"/>
      <c r="E45" s="24" t="n"/>
      <c r="F45" s="24" t="n"/>
      <c r="G45" s="24" t="n"/>
      <c r="H45" s="24" t="n"/>
      <c r="I45" s="24" t="n"/>
      <c r="J45" s="24" t="n"/>
    </row>
    <row r="46">
      <c r="A46" s="24" t="n"/>
      <c r="B46" s="24" t="n"/>
      <c r="C46" s="24" t="n"/>
      <c r="D46" s="24" t="n"/>
      <c r="E46" s="24" t="n"/>
      <c r="F46" s="24" t="n"/>
      <c r="G46" s="24" t="n"/>
      <c r="H46" s="24" t="n"/>
      <c r="I46" s="24" t="n"/>
      <c r="J46" s="24" t="n"/>
    </row>
    <row r="47">
      <c r="A47" s="24" t="n"/>
      <c r="B47" s="24" t="n"/>
      <c r="C47" s="24" t="n"/>
      <c r="D47" s="24" t="n"/>
      <c r="E47" s="24" t="n"/>
      <c r="F47" s="24" t="n"/>
      <c r="G47" s="24" t="n"/>
      <c r="H47" s="24" t="n"/>
      <c r="I47" s="24" t="n"/>
      <c r="J47" s="24" t="n"/>
    </row>
    <row r="48">
      <c r="A48" s="24" t="n"/>
      <c r="B48" s="24" t="n"/>
      <c r="C48" s="24" t="n"/>
      <c r="D48" s="24" t="n"/>
      <c r="E48" s="24" t="n"/>
      <c r="F48" s="24" t="n"/>
      <c r="G48" s="24" t="n"/>
      <c r="H48" s="24" t="n"/>
      <c r="I48" s="24" t="n"/>
      <c r="J48" s="24" t="n"/>
    </row>
    <row r="49">
      <c r="A49" s="24" t="n"/>
      <c r="B49" s="24" t="n"/>
      <c r="C49" s="24" t="n"/>
      <c r="D49" s="24" t="n"/>
      <c r="E49" s="24" t="n"/>
      <c r="F49" s="24" t="n"/>
      <c r="G49" s="24" t="n"/>
      <c r="H49" s="24" t="n"/>
      <c r="I49" s="24" t="n"/>
      <c r="J49" s="24" t="n"/>
    </row>
    <row r="50">
      <c r="A50" s="24" t="n"/>
      <c r="B50" s="24" t="n"/>
      <c r="C50" s="24" t="n"/>
      <c r="D50" s="24" t="n"/>
      <c r="E50" s="24" t="n"/>
      <c r="F50" s="24" t="n"/>
      <c r="G50" s="24" t="n"/>
      <c r="H50" s="24" t="n"/>
      <c r="I50" s="24" t="n"/>
      <c r="J50" s="24" t="n"/>
    </row>
    <row r="51">
      <c r="A51" s="24" t="n"/>
      <c r="B51" s="24" t="n"/>
      <c r="C51" s="24" t="n"/>
      <c r="D51" s="24" t="n"/>
      <c r="E51" s="24" t="n"/>
      <c r="F51" s="24" t="n"/>
      <c r="G51" s="24" t="n"/>
      <c r="H51" s="24" t="n"/>
      <c r="I51" s="24" t="n"/>
      <c r="J51" s="24" t="n"/>
    </row>
    <row r="52">
      <c r="A52" s="24" t="n"/>
      <c r="B52" s="24" t="n"/>
      <c r="C52" s="24" t="n"/>
      <c r="D52" s="24" t="n"/>
      <c r="E52" s="24" t="n"/>
      <c r="F52" s="24" t="n"/>
      <c r="G52" s="24" t="n"/>
      <c r="H52" s="24" t="n"/>
      <c r="I52" s="24" t="n"/>
      <c r="J52" s="24" t="n"/>
    </row>
    <row r="53">
      <c r="A53" s="24" t="n"/>
      <c r="B53" s="24" t="n"/>
      <c r="C53" s="24" t="n"/>
      <c r="D53" s="24" t="n"/>
      <c r="E53" s="24" t="n"/>
      <c r="F53" s="24" t="n"/>
      <c r="G53" s="24" t="n"/>
      <c r="H53" s="24" t="n"/>
      <c r="I53" s="24" t="n"/>
      <c r="J53" s="24" t="n"/>
    </row>
    <row r="54">
      <c r="A54" s="24" t="n"/>
      <c r="B54" s="24" t="n"/>
      <c r="C54" s="24" t="n"/>
      <c r="D54" s="24" t="n"/>
      <c r="E54" s="24" t="n"/>
      <c r="F54" s="24" t="n"/>
      <c r="G54" s="24" t="n"/>
      <c r="H54" s="24" t="n"/>
      <c r="I54" s="24" t="n"/>
      <c r="J54" s="24" t="n"/>
    </row>
  </sheetData>
  <mergeCells count="2">
    <mergeCell ref="A1:J1"/>
    <mergeCell ref="A2:J2"/>
  </mergeCells>
  <dataValidations count="3">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promptTitle="Domain" prompt="Select assessment domain" type="list">
      <formula1>"Vendor Security Assessment,OSS Management,Dependency Vulnerability Mgmt,Third-Party Code &amp; Integration,License Compliance &amp; Legal Risk"</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promptTitle="Priority" prompt="Select priority level" type="list">
      <formula1>"Critical,High,Medium,Low"</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promptTitle="Gap Status" prompt="Select gap status"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1" t="inlineStr">
        <is>
          <t>THIRD-PARTY CODE AND OPEN SOURCE COMPONENT SECURITY — SUMMARY DASHBOARD</t>
        </is>
      </c>
    </row>
    <row r="2">
      <c r="A2" s="12" t="inlineStr">
        <is>
          <t>ISO/IEC 27001:2022 Annex A.8.28 — Secure Coding | Third-Party &amp; OSS Assessment</t>
        </is>
      </c>
    </row>
    <row r="4">
      <c r="A4" s="28" t="inlineStr">
        <is>
          <t>TABLE 1: ASSESSMENT AREA COMPLIANCE OVERVIEW</t>
        </is>
      </c>
      <c r="B4" s="6" t="n"/>
      <c r="C4" s="6" t="n"/>
      <c r="D4" s="6" t="n"/>
      <c r="E4" s="6" t="n"/>
      <c r="F4" s="6" t="n"/>
      <c r="G4" s="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6" t="inlineStr">
        <is>
          <t>Vendor Security Assessment</t>
        </is>
      </c>
      <c r="B6" s="30">
        <f>COUNTA('Vendor Security Assessment'!C4:C100)</f>
        <v/>
      </c>
      <c r="C6" s="30">
        <f>COUNTIF('Vendor Security Assessment'!C4:C100,"✅ Implemented")</f>
        <v/>
      </c>
      <c r="D6" s="30">
        <f>COUNTIF('Vendor Security Assessment'!C4:C100,"⚠️ Partially Implemented")</f>
        <v/>
      </c>
      <c r="E6" s="30">
        <f>COUNTIF('Vendor Security Assessment'!C4:C100,"❌ Not Implemented")</f>
        <v/>
      </c>
      <c r="F6" s="30">
        <f>COUNTIF('Vendor Security Assessment'!C4:C100,"N/A")</f>
        <v/>
      </c>
      <c r="G6" s="31">
        <f>IF((B6-F6)=0,0,C6/(B6-F6))</f>
        <v/>
      </c>
    </row>
    <row r="7">
      <c r="A7" s="6" t="inlineStr">
        <is>
          <t>OSS Management</t>
        </is>
      </c>
      <c r="B7" s="30">
        <f>COUNTA('OSS Management'!C4:C100)</f>
        <v/>
      </c>
      <c r="C7" s="30">
        <f>COUNTIF('OSS Management'!C4:C100,"✅ Implemented")</f>
        <v/>
      </c>
      <c r="D7" s="30">
        <f>COUNTIF('OSS Management'!C4:C100,"⚠️ Partially Implemented")</f>
        <v/>
      </c>
      <c r="E7" s="30">
        <f>COUNTIF('OSS Management'!C4:C100,"❌ Not Implemented")</f>
        <v/>
      </c>
      <c r="F7" s="30">
        <f>COUNTIF('OSS Management'!C4:C100,"N/A")</f>
        <v/>
      </c>
      <c r="G7" s="31">
        <f>IF((B7-F7)=0,0,C7/(B7-F7))</f>
        <v/>
      </c>
    </row>
    <row r="8">
      <c r="A8" s="6" t="inlineStr">
        <is>
          <t>Dependency Vulnerability Mgmt</t>
        </is>
      </c>
      <c r="B8" s="30">
        <f>COUNTA('Dependency Vulnerability Mgmt'!C4:C100)</f>
        <v/>
      </c>
      <c r="C8" s="30">
        <f>COUNTIF('Dependency Vulnerability Mgmt'!C4:C100,"✅ Implemented")</f>
        <v/>
      </c>
      <c r="D8" s="30">
        <f>COUNTIF('Dependency Vulnerability Mgmt'!C4:C100,"⚠️ Partially Implemented")</f>
        <v/>
      </c>
      <c r="E8" s="30">
        <f>COUNTIF('Dependency Vulnerability Mgmt'!C4:C100,"❌ Not Implemented")</f>
        <v/>
      </c>
      <c r="F8" s="30">
        <f>COUNTIF('Dependency Vulnerability Mgmt'!C4:C100,"N/A")</f>
        <v/>
      </c>
      <c r="G8" s="31">
        <f>IF((B8-F8)=0,0,C8/(B8-F8))</f>
        <v/>
      </c>
    </row>
    <row r="9">
      <c r="A9" s="6" t="inlineStr">
        <is>
          <t>Third-Party Code &amp; Integration</t>
        </is>
      </c>
      <c r="B9" s="30">
        <f>COUNTA('Third-Party Code &amp; Integration'!C4:C100)</f>
        <v/>
      </c>
      <c r="C9" s="30">
        <f>COUNTIF('Third-Party Code &amp; Integration'!C4:C100,"✅ Implemented")</f>
        <v/>
      </c>
      <c r="D9" s="30">
        <f>COUNTIF('Third-Party Code &amp; Integration'!C4:C100,"⚠️ Partially Implemented")</f>
        <v/>
      </c>
      <c r="E9" s="30">
        <f>COUNTIF('Third-Party Code &amp; Integration'!C4:C100,"❌ Not Implemented")</f>
        <v/>
      </c>
      <c r="F9" s="30">
        <f>COUNTIF('Third-Party Code &amp; Integration'!C4:C100,"N/A")</f>
        <v/>
      </c>
      <c r="G9" s="31">
        <f>IF((B9-F9)=0,0,C9/(B9-F9))</f>
        <v/>
      </c>
    </row>
    <row r="10">
      <c r="A10" s="6" t="inlineStr">
        <is>
          <t>License Compliance &amp; Legal Risk</t>
        </is>
      </c>
      <c r="B10" s="30">
        <f>COUNTA('License Compliance &amp; Legal Risk'!C4:C100)</f>
        <v/>
      </c>
      <c r="C10" s="30">
        <f>COUNTIF('License Compliance &amp; Legal Risk'!C4:C100,"✅ Implemented")</f>
        <v/>
      </c>
      <c r="D10" s="30">
        <f>COUNTIF('License Compliance &amp; Legal Risk'!C4:C100,"⚠️ Partially Implemented")</f>
        <v/>
      </c>
      <c r="E10" s="30">
        <f>COUNTIF('License Compliance &amp; Legal Risk'!C4:C100,"❌ Not Implemented")</f>
        <v/>
      </c>
      <c r="F10" s="30">
        <f>COUNTIF('License Compliance &amp; Legal Risk'!C4:C100,"N/A")</f>
        <v/>
      </c>
      <c r="G10" s="31">
        <f>IF((B10-F10)=0,0,C10/(B10-F10))</f>
        <v/>
      </c>
    </row>
    <row r="11">
      <c r="A11" s="32" t="inlineStr">
        <is>
          <t>TOTAL</t>
        </is>
      </c>
      <c r="B11" s="33">
        <f>SUM(B6:B10)</f>
        <v/>
      </c>
      <c r="C11" s="33">
        <f>SUM(C6:C10)</f>
        <v/>
      </c>
      <c r="D11" s="33">
        <f>SUM(D6:D10)</f>
        <v/>
      </c>
      <c r="E11" s="33">
        <f>SUM(E6:E10)</f>
        <v/>
      </c>
      <c r="F11" s="33">
        <f>SUM(F6:F10)</f>
        <v/>
      </c>
      <c r="G11" s="34">
        <f>IF((B11-F11)=0,0,C11/(B11-F11))</f>
        <v/>
      </c>
    </row>
    <row r="13">
      <c r="A13" s="28" t="inlineStr">
        <is>
          <t>TABLE 2: KEY METRICS</t>
        </is>
      </c>
      <c r="B13" s="6" t="n"/>
      <c r="C13" s="6" t="n"/>
      <c r="D13" s="6" t="n"/>
      <c r="E13" s="6" t="n"/>
      <c r="F13" s="6" t="n"/>
      <c r="G13" s="6" t="n"/>
    </row>
    <row r="14">
      <c r="A14" s="35" t="inlineStr">
        <is>
          <t>Metric</t>
        </is>
      </c>
      <c r="B14" s="35" t="inlineStr">
        <is>
          <t>Value</t>
        </is>
      </c>
      <c r="C14" s="35" t="inlineStr"/>
      <c r="D14" s="35" t="inlineStr"/>
      <c r="E14" s="35" t="inlineStr"/>
      <c r="F14" s="35" t="inlineStr"/>
      <c r="G14" s="35" t="inlineStr"/>
    </row>
    <row r="15">
      <c r="A15" s="36" t="inlineStr">
        <is>
          <t>Total Requirements Tracked</t>
        </is>
      </c>
      <c r="B15" s="37">
        <f>COUNTA('Vendor Security Assessment'!B5:B100)</f>
        <v/>
      </c>
      <c r="C15" s="6" t="n"/>
      <c r="D15" s="6" t="n"/>
      <c r="E15" s="6" t="n"/>
      <c r="F15" s="6" t="n"/>
      <c r="G15" s="6" t="n"/>
    </row>
    <row r="16">
      <c r="A16" s="36" t="inlineStr">
        <is>
          <t>Security Requirements Documented</t>
        </is>
      </c>
      <c r="B16" s="37">
        <f>COUNTIF('Vendor Security Assessment'!C5:C100,"✅ Implemented")</f>
        <v/>
      </c>
      <c r="C16" s="6" t="n"/>
      <c r="D16" s="6" t="n"/>
      <c r="E16" s="6" t="n"/>
      <c r="F16" s="6" t="n"/>
      <c r="G16" s="6" t="n"/>
    </row>
    <row r="17">
      <c r="A17" s="36" t="inlineStr">
        <is>
          <t>Threat Modeling Coverage</t>
        </is>
      </c>
      <c r="B17" s="37">
        <f>COUNTIF('Vendor Security Assessment'!C5:C100,"✅ Implemented")/COUNTA('Vendor Security Assessment'!B5:B100)</f>
        <v/>
      </c>
      <c r="C17" s="6" t="n"/>
      <c r="D17" s="6" t="n"/>
      <c r="E17" s="6" t="n"/>
      <c r="F17" s="6" t="n"/>
      <c r="G17" s="6" t="n"/>
    </row>
    <row r="18">
      <c r="A18" s="36" t="inlineStr">
        <is>
          <t>Total OSS Controls</t>
        </is>
      </c>
      <c r="B18" s="37">
        <f>COUNTA('OSS Management'!B5:B100)</f>
        <v/>
      </c>
      <c r="C18" s="6" t="n"/>
      <c r="D18" s="6" t="n"/>
      <c r="E18" s="6" t="n"/>
      <c r="F18" s="6" t="n"/>
      <c r="G18" s="6" t="n"/>
    </row>
    <row r="19">
      <c r="A19" s="36" t="inlineStr">
        <is>
          <t>OSS Controls Implemented</t>
        </is>
      </c>
      <c r="B19" s="37">
        <f>COUNTIF('OSS Management'!C5:C100,"✅ Implemented")</f>
        <v/>
      </c>
      <c r="C19" s="6" t="n"/>
      <c r="D19" s="6" t="n"/>
      <c r="E19" s="6" t="n"/>
      <c r="F19" s="6" t="n"/>
      <c r="G19" s="6" t="n"/>
    </row>
    <row r="20">
      <c r="A20" s="36" t="inlineStr">
        <is>
          <t>OSS Repository Security Controls</t>
        </is>
      </c>
      <c r="B20" s="37">
        <f>COUNTIF('OSS Management'!C5:C100,"✅ Implemented")</f>
        <v/>
      </c>
      <c r="C20" s="6" t="n"/>
      <c r="D20" s="6" t="n"/>
      <c r="E20" s="6" t="n"/>
      <c r="F20" s="6" t="n"/>
      <c r="G20" s="6" t="n"/>
    </row>
    <row r="21">
      <c r="A21" s="36" t="inlineStr">
        <is>
          <t>Total Pipeline Controls</t>
        </is>
      </c>
      <c r="B21" s="37">
        <f>COUNTA('Dependency Vulnerability Mgmt'!B5:B100)</f>
        <v/>
      </c>
      <c r="C21" s="6" t="n"/>
      <c r="D21" s="6" t="n"/>
      <c r="E21" s="6" t="n"/>
      <c r="F21" s="6" t="n"/>
      <c r="G21" s="6" t="n"/>
    </row>
    <row r="22">
      <c r="A22" s="36" t="inlineStr">
        <is>
          <t>Security Scans Integrated</t>
        </is>
      </c>
      <c r="B22" s="37">
        <f>COUNTIF('Dependency Vulnerability Mgmt'!C5:C100,"✅ Implemented")</f>
        <v/>
      </c>
      <c r="C22" s="6" t="n"/>
      <c r="D22" s="6" t="n"/>
      <c r="E22" s="6" t="n"/>
      <c r="F22" s="6" t="n"/>
      <c r="G22" s="6" t="n"/>
    </row>
    <row r="23">
      <c r="A23" s="36" t="inlineStr">
        <is>
          <t>Deployment Gates Active</t>
        </is>
      </c>
      <c r="B23" s="37">
        <f>COUNTIF('Dependency Vulnerability Mgmt'!C5:C100,"✅ Implemented")</f>
        <v/>
      </c>
      <c r="C23" s="6" t="n"/>
      <c r="D23" s="6" t="n"/>
      <c r="E23" s="6" t="n"/>
      <c r="F23" s="6" t="n"/>
      <c r="G23" s="6" t="n"/>
    </row>
    <row r="24">
      <c r="A24" s="36" t="inlineStr">
        <is>
          <t>Total Testing Controls</t>
        </is>
      </c>
      <c r="B24" s="37">
        <f>COUNTA('Third-Party Code &amp; Integration'!B5:B100)</f>
        <v/>
      </c>
      <c r="C24" s="6" t="n"/>
      <c r="D24" s="6" t="n"/>
      <c r="E24" s="6" t="n"/>
      <c r="F24" s="6" t="n"/>
      <c r="G24" s="6" t="n"/>
    </row>
    <row r="25">
      <c r="A25" s="36" t="inlineStr">
        <is>
          <t>SAST/DAST Integration</t>
        </is>
      </c>
      <c r="B25" s="37">
        <f>COUNTIF('Third-Party Code &amp; Integration'!C5:C100,"✅ Implemented")</f>
        <v/>
      </c>
      <c r="C25" s="6" t="n"/>
      <c r="D25" s="6" t="n"/>
      <c r="E25" s="6" t="n"/>
      <c r="F25" s="6" t="n"/>
      <c r="G25" s="6" t="n"/>
    </row>
    <row r="26">
      <c r="A26" s="36" t="inlineStr">
        <is>
          <t>Penetration Testing Coverage</t>
        </is>
      </c>
      <c r="B26" s="37">
        <f>COUNTIF('Third-Party Code &amp; Integration'!C5:C100,"✅ Implemented")</f>
        <v/>
      </c>
      <c r="C26" s="6" t="n"/>
      <c r="D26" s="6" t="n"/>
      <c r="E26" s="6" t="n"/>
      <c r="F26" s="6" t="n"/>
      <c r="G26" s="6" t="n"/>
    </row>
    <row r="27">
      <c r="A27" s="36" t="inlineStr">
        <is>
          <t>Total License Controls</t>
        </is>
      </c>
      <c r="B27" s="37">
        <f>COUNTA('License Compliance &amp; Legal Risk'!B5:B100)</f>
        <v/>
      </c>
      <c r="C27" s="6" t="n"/>
      <c r="D27" s="6" t="n"/>
      <c r="E27" s="6" t="n"/>
      <c r="F27" s="6" t="n"/>
      <c r="G27" s="6" t="n"/>
    </row>
    <row r="28">
      <c r="A28" s="36" t="inlineStr">
        <is>
          <t>Approval Workflows Active</t>
        </is>
      </c>
      <c r="B28" s="37">
        <f>COUNTIF('License Compliance &amp; Legal Risk'!C5:C100,"✅ Implemented")</f>
        <v/>
      </c>
      <c r="C28" s="6" t="n"/>
      <c r="D28" s="6" t="n"/>
      <c r="E28" s="6" t="n"/>
      <c r="F28" s="6" t="n"/>
      <c r="G28" s="6" t="n"/>
    </row>
    <row r="29">
      <c r="A29" s="36" t="inlineStr">
        <is>
          <t>License Management Compliance</t>
        </is>
      </c>
      <c r="B29" s="37">
        <f>COUNTIF('License Compliance &amp; Legal Risk'!C5:C100,"✅ Implemented")/COUNTA('License Compliance &amp; Legal Risk'!B5:B100)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8" t="inlineStr">
        <is>
          <t>TABLE 3: CRITICAL FINDINGS REQUIRING IMMEDIATE ATTENTION</t>
        </is>
      </c>
      <c r="B33" s="6" t="n"/>
      <c r="C33" s="6" t="n"/>
      <c r="D33" s="6" t="n"/>
      <c r="E33" s="6" t="n"/>
      <c r="F33" s="6" t="n"/>
      <c r="G33" s="6" t="n"/>
    </row>
    <row r="34">
      <c r="A34" s="35" t="inlineStr">
        <is>
          <t>Category</t>
        </is>
      </c>
      <c r="B34" s="35" t="inlineStr">
        <is>
          <t>Finding</t>
        </is>
      </c>
      <c r="C34" s="35" t="inlineStr">
        <is>
          <t>Count</t>
        </is>
      </c>
      <c r="D34" s="35" t="inlineStr">
        <is>
          <t>Severity</t>
        </is>
      </c>
      <c r="E34" s="35" t="inlineStr">
        <is>
          <t>Action Required</t>
        </is>
      </c>
      <c r="F34" s="35" t="inlineStr"/>
      <c r="G34" s="35" t="inlineStr"/>
    </row>
    <row r="35">
      <c r="A35" s="24" t="inlineStr">
        <is>
          <t>Vendor Security Assessment</t>
        </is>
      </c>
      <c r="B35" s="24" t="inlineStr">
        <is>
          <t>Requirements without security acceptance criteria</t>
        </is>
      </c>
      <c r="C35" s="39">
        <f>COUNTIF('Vendor Security Assessment'!C5:C100,"❌ Not Implemented")</f>
        <v/>
      </c>
      <c r="D35" s="24" t="inlineStr">
        <is>
          <t>Critical</t>
        </is>
      </c>
      <c r="E35" s="24" t="inlineStr">
        <is>
          <t>Immediate</t>
        </is>
      </c>
      <c r="F35" s="24" t="n"/>
      <c r="G35" s="24" t="n"/>
    </row>
    <row r="36">
      <c r="A36" s="24" t="inlineStr">
        <is>
          <t>OSS Management</t>
        </is>
      </c>
      <c r="B36" s="24" t="inlineStr">
        <is>
          <t>OSS controls not implemented</t>
        </is>
      </c>
      <c r="C36" s="39">
        <f>COUNTIF('OSS Management'!C5:C100,"❌ Not Implemented")</f>
        <v/>
      </c>
      <c r="D36" s="24" t="inlineStr">
        <is>
          <t>Critical</t>
        </is>
      </c>
      <c r="E36" s="24" t="inlineStr">
        <is>
          <t>Immediate</t>
        </is>
      </c>
      <c r="F36" s="24" t="n"/>
      <c r="G36" s="24" t="n"/>
    </row>
    <row r="37">
      <c r="A37" s="24" t="inlineStr">
        <is>
          <t>Dependency Vulnerability Mgmt</t>
        </is>
      </c>
      <c r="B37" s="24" t="inlineStr">
        <is>
          <t>Pipelines without SAST/SCA scanning</t>
        </is>
      </c>
      <c r="C37" s="39">
        <f>COUNTIF('Dependency Vulnerability Mgmt'!C5:C100,"❌ Not Implemented")</f>
        <v/>
      </c>
      <c r="D37" s="24" t="inlineStr">
        <is>
          <t>Critical</t>
        </is>
      </c>
      <c r="E37" s="24" t="inlineStr">
        <is>
          <t>Immediate</t>
        </is>
      </c>
      <c r="F37" s="24" t="n"/>
      <c r="G37" s="24" t="n"/>
    </row>
    <row r="38">
      <c r="A38" s="24" t="inlineStr">
        <is>
          <t>Third-Party Code &amp; Integration</t>
        </is>
      </c>
      <c r="B38" s="24" t="inlineStr">
        <is>
          <t>Production code without security testing</t>
        </is>
      </c>
      <c r="C38" s="39">
        <f>COUNTIF('Third-Party Code &amp; Integration'!C5:C100,"❌ Not Implemented")</f>
        <v/>
      </c>
      <c r="D38" s="24" t="inlineStr">
        <is>
          <t>Critical</t>
        </is>
      </c>
      <c r="E38" s="24" t="inlineStr">
        <is>
          <t>Immediate</t>
        </is>
      </c>
      <c r="F38" s="24" t="n"/>
      <c r="G38" s="24" t="n"/>
    </row>
    <row r="39">
      <c r="A39" s="24" t="inlineStr">
        <is>
          <t>License Compliance &amp; Legal Risk</t>
        </is>
      </c>
      <c r="B39" s="24" t="inlineStr">
        <is>
          <t>Releases without license approval</t>
        </is>
      </c>
      <c r="C39" s="39">
        <f>COUNTIF('License Compliance &amp; Legal Risk'!C5:C100,"❌ Not Implemented")</f>
        <v/>
      </c>
      <c r="D39" s="24" t="inlineStr">
        <is>
          <t>Critical</t>
        </is>
      </c>
      <c r="E39" s="24" t="inlineStr">
        <is>
          <t>Immediate</t>
        </is>
      </c>
      <c r="F39" s="24" t="n"/>
      <c r="G39" s="24" t="n"/>
    </row>
    <row r="40">
      <c r="A40" s="24" t="inlineStr">
        <is>
          <t>Vendor Security Assessment</t>
        </is>
      </c>
      <c r="B40" s="24" t="inlineStr">
        <is>
          <t>Missing threat modeling for high-risk apps</t>
        </is>
      </c>
      <c r="C40" s="39">
        <f>COUNTIF('Vendor Security Assessment'!C5:C100,"⚠️ Partially Implemented")</f>
        <v/>
      </c>
      <c r="D40" s="24" t="inlineStr">
        <is>
          <t>High</t>
        </is>
      </c>
      <c r="E40" s="24" t="inlineStr">
        <is>
          <t>Urgent</t>
        </is>
      </c>
      <c r="F40" s="24" t="n"/>
      <c r="G40" s="24" t="n"/>
    </row>
    <row r="41">
      <c r="A41" s="24" t="inlineStr">
        <is>
          <t>OSS Management</t>
        </is>
      </c>
      <c r="B41" s="24" t="inlineStr">
        <is>
          <t>OSS controls partially implemented</t>
        </is>
      </c>
      <c r="C41" s="39">
        <f>COUNTIF('OSS Management'!C5:C100,"⚠️ Partially Implemented")</f>
        <v/>
      </c>
      <c r="D41" s="24" t="inlineStr">
        <is>
          <t>High</t>
        </is>
      </c>
      <c r="E41" s="24" t="inlineStr">
        <is>
          <t>Urgent</t>
        </is>
      </c>
      <c r="F41" s="24" t="n"/>
      <c r="G41" s="24" t="n"/>
    </row>
    <row r="42">
      <c r="A42" s="24" t="inlineStr">
        <is>
          <t>Dependency Vulnerability Mgmt</t>
        </is>
      </c>
      <c r="B42" s="24" t="inlineStr">
        <is>
          <t>Security gates not enforced</t>
        </is>
      </c>
      <c r="C42" s="39">
        <f>COUNTIF('Dependency Vulnerability Mgmt'!C5:C100,"⚠️ Partially Implemented")</f>
        <v/>
      </c>
      <c r="D42" s="24" t="inlineStr">
        <is>
          <t>High</t>
        </is>
      </c>
      <c r="E42" s="24" t="inlineStr">
        <is>
          <t>Urgent</t>
        </is>
      </c>
      <c r="F42" s="24" t="n"/>
      <c r="G42" s="24" t="n"/>
    </row>
    <row r="43">
      <c r="A43" s="24" t="inlineStr">
        <is>
          <t>Third-Party Code &amp; Integration</t>
        </is>
      </c>
      <c r="B43" s="24" t="inlineStr">
        <is>
          <t>Incomplete third-party code review coverage</t>
        </is>
      </c>
      <c r="C43" s="39">
        <f>COUNTIF('Third-Party Code &amp; Integration'!C5:C100,"⚠️ Partially Implemented")</f>
        <v/>
      </c>
      <c r="D43" s="24" t="inlineStr">
        <is>
          <t>High</t>
        </is>
      </c>
      <c r="E43" s="24" t="inlineStr">
        <is>
          <t>Urgent</t>
        </is>
      </c>
      <c r="F43" s="24" t="n"/>
      <c r="G43" s="24" t="n"/>
    </row>
    <row r="44">
      <c r="A44" s="24" t="inlineStr">
        <is>
          <t>License Compliance &amp; Legal Risk</t>
        </is>
      </c>
      <c r="B44" s="24" t="inlineStr">
        <is>
          <t>License compliance gaps identified</t>
        </is>
      </c>
      <c r="C44" s="39">
        <f>COUNTIF('License Compliance &amp; Legal Risk'!C5:C100,"⚠️ Partially Implemented")</f>
        <v/>
      </c>
      <c r="D44" s="24" t="inlineStr">
        <is>
          <t>Medium</t>
        </is>
      </c>
      <c r="E44" s="24" t="inlineStr">
        <is>
          <t>Plan</t>
        </is>
      </c>
      <c r="F44" s="24" t="n"/>
      <c r="G44" s="24" t="n"/>
    </row>
    <row r="45">
      <c r="A45" s="24" t="n"/>
      <c r="B45" s="24" t="n"/>
      <c r="C45" s="24" t="n"/>
      <c r="D45" s="24" t="n"/>
      <c r="E45" s="24" t="n"/>
      <c r="F45" s="24" t="n"/>
      <c r="G45" s="24" t="n"/>
    </row>
    <row r="46">
      <c r="A46" s="24" t="n"/>
      <c r="B46" s="24" t="n"/>
      <c r="C46" s="24" t="n"/>
      <c r="D46" s="24" t="n"/>
      <c r="E46" s="24" t="n"/>
      <c r="F46" s="24" t="n"/>
      <c r="G46" s="24"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A.8.28: Secure Coding</t>
        </is>
      </c>
      <c r="B2" s="6" t="n"/>
      <c r="C2" s="6" t="n"/>
      <c r="D2" s="6" t="n"/>
      <c r="E2" s="6" t="n"/>
    </row>
    <row r="3">
      <c r="A3" s="42" t="inlineStr">
        <is>
          <t>ASSESSMENT SUMMARY</t>
        </is>
      </c>
      <c r="B3" s="6" t="n"/>
      <c r="C3" s="6" t="n"/>
      <c r="D3" s="6" t="n"/>
      <c r="E3" s="6" t="n"/>
    </row>
    <row r="4">
      <c r="A4" s="43" t="inlineStr">
        <is>
          <t>Document:</t>
        </is>
      </c>
      <c r="B4" s="6" t="inlineStr">
        <is>
          <t>ISMS-IMP-A.8.28.4 - Third-Party &amp; OSS Assessment</t>
        </is>
      </c>
      <c r="C4" s="6" t="n"/>
      <c r="D4" s="6" t="n"/>
      <c r="E4" s="6" t="n"/>
    </row>
    <row r="5">
      <c r="A5" s="43" t="inlineStr">
        <is>
          <t>Assessment Period:</t>
        </is>
      </c>
      <c r="B5" s="24" t="inlineStr"/>
      <c r="C5" s="24" t="n"/>
      <c r="D5" s="24" t="n"/>
      <c r="E5" s="24" t="n"/>
    </row>
    <row r="6">
      <c r="A6" s="43" t="inlineStr">
        <is>
          <t>Overall Compliance Rating:</t>
        </is>
      </c>
      <c r="B6" s="6">
        <f>'Summary Dashboard'!G9</f>
        <v/>
      </c>
      <c r="C6" s="6" t="n"/>
      <c r="D6" s="6" t="n"/>
      <c r="E6" s="6" t="n"/>
    </row>
    <row r="7">
      <c r="A7" s="43" t="inlineStr">
        <is>
          <t>Assessment Status:</t>
        </is>
      </c>
      <c r="B7" s="24" t="inlineStr"/>
      <c r="C7" s="24" t="n"/>
      <c r="D7" s="24" t="n"/>
      <c r="E7" s="24" t="n"/>
    </row>
    <row r="8">
      <c r="A8" s="43" t="inlineStr">
        <is>
          <t>Assessed By:</t>
        </is>
      </c>
      <c r="B8" s="24" t="inlineStr"/>
      <c r="C8" s="24" t="n"/>
      <c r="D8" s="24" t="n"/>
      <c r="E8" s="24" t="n"/>
    </row>
    <row r="11">
      <c r="A11" s="42" t="inlineStr">
        <is>
          <t>COMPLETED BY (ASSESSOR)</t>
        </is>
      </c>
      <c r="B11" s="6" t="n"/>
      <c r="C11" s="6" t="n"/>
      <c r="D11" s="6" t="n"/>
      <c r="E11" s="6" t="n"/>
    </row>
    <row r="12">
      <c r="A12" s="43" t="inlineStr">
        <is>
          <t>Name:</t>
        </is>
      </c>
      <c r="B12" s="24" t="n"/>
      <c r="C12" s="24" t="n"/>
      <c r="D12" s="24" t="n"/>
      <c r="E12" s="24" t="n"/>
    </row>
    <row r="13">
      <c r="A13" s="43" t="inlineStr">
        <is>
          <t>Title:</t>
        </is>
      </c>
      <c r="B13" s="24" t="n"/>
      <c r="C13" s="24" t="n"/>
      <c r="D13" s="24" t="n"/>
      <c r="E13" s="24" t="n"/>
    </row>
    <row r="14">
      <c r="A14" s="43" t="inlineStr">
        <is>
          <t>Date:</t>
        </is>
      </c>
      <c r="B14" s="24" t="n"/>
      <c r="C14" s="24" t="n"/>
      <c r="D14" s="24" t="n"/>
      <c r="E14" s="24" t="n"/>
    </row>
    <row r="15">
      <c r="A15" s="43" t="inlineStr">
        <is>
          <t>Signature:</t>
        </is>
      </c>
      <c r="B15" s="24" t="n"/>
      <c r="C15" s="24" t="n"/>
      <c r="D15" s="24" t="n"/>
      <c r="E15" s="24" t="n"/>
    </row>
    <row r="16">
      <c r="A16" s="43" t="inlineStr">
        <is>
          <t>Comments:</t>
        </is>
      </c>
      <c r="B16" s="24" t="n"/>
      <c r="C16" s="24" t="n"/>
      <c r="D16" s="24" t="n"/>
      <c r="E16" s="24" t="n"/>
    </row>
    <row r="18">
      <c r="A18" s="42" t="inlineStr">
        <is>
          <t>REVIEWED BY (INFORMATION SECURITY OFFICER)</t>
        </is>
      </c>
      <c r="B18" s="6" t="n"/>
      <c r="C18" s="6" t="n"/>
      <c r="D18" s="6" t="n"/>
      <c r="E18" s="6" t="n"/>
    </row>
    <row r="19">
      <c r="A19" s="43" t="inlineStr">
        <is>
          <t>Name:</t>
        </is>
      </c>
      <c r="B19" s="24" t="n"/>
      <c r="C19" s="24" t="n"/>
      <c r="D19" s="24" t="n"/>
      <c r="E19" s="24" t="n"/>
    </row>
    <row r="20">
      <c r="A20" s="43" t="inlineStr">
        <is>
          <t>Title:</t>
        </is>
      </c>
      <c r="B20" s="24" t="n"/>
      <c r="C20" s="24" t="n"/>
      <c r="D20" s="24" t="n"/>
      <c r="E20" s="24" t="n"/>
    </row>
    <row r="21">
      <c r="A21" s="43" t="inlineStr">
        <is>
          <t>Date:</t>
        </is>
      </c>
      <c r="B21" s="24" t="n"/>
      <c r="C21" s="24" t="n"/>
      <c r="D21" s="24" t="n"/>
      <c r="E21" s="24" t="n"/>
    </row>
    <row r="22">
      <c r="A22" s="43" t="inlineStr">
        <is>
          <t>Signature:</t>
        </is>
      </c>
      <c r="B22" s="24" t="n"/>
      <c r="C22" s="24" t="n"/>
      <c r="D22" s="24" t="n"/>
      <c r="E22" s="24" t="n"/>
    </row>
    <row r="23">
      <c r="A23" s="43" t="inlineStr">
        <is>
          <t>Comments:</t>
        </is>
      </c>
      <c r="B23" s="24" t="n"/>
      <c r="C23" s="24" t="n"/>
      <c r="D23" s="24" t="n"/>
      <c r="E23" s="24" t="n"/>
    </row>
    <row r="25">
      <c r="A25" s="44" t="inlineStr">
        <is>
          <t>APPROVED BY (CISO)</t>
        </is>
      </c>
      <c r="B25" s="6" t="n"/>
      <c r="C25" s="6" t="n"/>
      <c r="D25" s="6" t="n"/>
      <c r="E25" s="6" t="n"/>
    </row>
    <row r="26">
      <c r="A26" s="43" t="inlineStr">
        <is>
          <t>Name:</t>
        </is>
      </c>
      <c r="B26" s="24" t="n"/>
      <c r="C26" s="24" t="n"/>
      <c r="D26" s="24" t="n"/>
      <c r="E26" s="24" t="n"/>
    </row>
    <row r="27">
      <c r="A27" s="43" t="inlineStr">
        <is>
          <t>Title:</t>
        </is>
      </c>
      <c r="B27" s="24" t="n"/>
      <c r="C27" s="24" t="n"/>
      <c r="D27" s="24" t="n"/>
      <c r="E27" s="24" t="n"/>
    </row>
    <row r="28">
      <c r="A28" s="43" t="inlineStr">
        <is>
          <t>Date:</t>
        </is>
      </c>
      <c r="B28" s="24" t="n"/>
      <c r="C28" s="24" t="n"/>
      <c r="D28" s="24" t="n"/>
      <c r="E28" s="24" t="n"/>
    </row>
    <row r="29">
      <c r="A29" s="43" t="inlineStr">
        <is>
          <t>Signature:</t>
        </is>
      </c>
      <c r="B29" s="24" t="n"/>
      <c r="C29" s="24" t="n"/>
      <c r="D29" s="24" t="n"/>
      <c r="E29" s="24" t="n"/>
    </row>
    <row r="30">
      <c r="A30" s="43" t="inlineStr">
        <is>
          <t>Comments:</t>
        </is>
      </c>
      <c r="B30" s="24" t="n"/>
      <c r="C30" s="24" t="n"/>
      <c r="D30" s="24" t="n"/>
      <c r="E30" s="24" t="n"/>
    </row>
    <row r="32">
      <c r="A32" s="43" t="inlineStr">
        <is>
          <t>FINAL DECISION:</t>
        </is>
      </c>
      <c r="B32" s="24" t="n"/>
      <c r="C32" s="24" t="n"/>
      <c r="D32" s="24" t="n"/>
      <c r="E32" s="24" t="n"/>
    </row>
    <row r="35">
      <c r="A35" s="42" t="inlineStr">
        <is>
          <t>NEXT REVIEW DETAILS</t>
        </is>
      </c>
      <c r="B35" s="6" t="n"/>
      <c r="C35" s="6" t="n"/>
      <c r="D35" s="6" t="n"/>
      <c r="E35" s="6" t="n"/>
    </row>
    <row r="36">
      <c r="A36" s="43" t="inlineStr">
        <is>
          <t>Next Review Date:</t>
        </is>
      </c>
      <c r="B36" s="24" t="n"/>
      <c r="C36" s="24" t="n"/>
      <c r="D36" s="24" t="n"/>
      <c r="E36" s="24" t="n"/>
    </row>
    <row r="37">
      <c r="A37" s="43" t="inlineStr">
        <is>
          <t>Review Responsible:</t>
        </is>
      </c>
      <c r="B37" s="24" t="n"/>
      <c r="C37" s="24" t="n"/>
      <c r="D37" s="24" t="n"/>
      <c r="E37" s="24" t="n"/>
    </row>
    <row r="38">
      <c r="A38" s="43" t="inlineStr">
        <is>
          <t>Special Considerations:</t>
        </is>
      </c>
      <c r="B38" s="24" t="n"/>
      <c r="C38" s="24" t="n"/>
      <c r="D38" s="24" t="n"/>
      <c r="E38" s="2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ISMS-IMP-A.8.28.4 — Third-Party Code and Open Source Component Security</dc:title>
  <dc:description xmlns:dc="http://purl.org/dc/elements/1.1/">ISMS Implementation Workbook — ISMS-IMP-A.8.28.4</dc:description>
  <dc:subject xmlns:dc="http://purl.org/dc/elements/1.1/">ISO/IEC 27001:2022 — Control A.8.28: Secure Coding</dc:subject>
  <dcterms:created xmlns:dcterms="http://purl.org/dc/terms/" xmlns:xsi="http://www.w3.org/2001/XMLSchema-instance" xsi:type="dcterms:W3CDTF">2026-03-10T18:49:38Z</dcterms:created>
  <dcterms:modified xmlns:dcterms="http://purl.org/dc/terms/" xmlns:xsi="http://www.w3.org/2001/XMLSchema-instance" xsi:type="dcterms:W3CDTF">2026-03-10T18:49:39Z</dcterms:modified>
</cp:coreProperties>
</file>