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de Review Process" sheetId="2" state="visible" r:id="rId2"/>
    <sheet xmlns:r="http://schemas.openxmlformats.org/officeDocument/2006/relationships" name="Security Champion Review" sheetId="3" state="visible" r:id="rId3"/>
    <sheet xmlns:r="http://schemas.openxmlformats.org/officeDocument/2006/relationships" name="Unit Integration Testing" sheetId="4" state="visible" r:id="rId4"/>
    <sheet xmlns:r="http://schemas.openxmlformats.org/officeDocument/2006/relationships" name="API Application Testing" sheetId="5" state="visible" r:id="rId5"/>
    <sheet xmlns:r="http://schemas.openxmlformats.org/officeDocument/2006/relationships" name="External Testing Validation"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2F2F2"/>
        <bgColor rgb="00F2F2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2"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1"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8" fillId="13" borderId="1" pivotButton="0" quotePrefix="0" xfId="0"/>
    <xf numFmtId="0" fontId="19" fillId="0" borderId="0" pivotButton="0" quotePrefix="0" xfId="0"/>
    <xf numFmtId="0" fontId="1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ISMS-IMP-A.8.28.3  -  Code Review and Security Testing Processes
ISO/IEC 27001:2022 - Control A.8.28: Secure Coding</t>
        </is>
      </c>
    </row>
    <row r="3">
      <c r="A3" s="2" t="inlineStr">
        <is>
          <t>Document Information</t>
        </is>
      </c>
    </row>
    <row r="4">
      <c r="A4" s="3" t="inlineStr">
        <is>
          <t>Document ID</t>
        </is>
      </c>
      <c r="B4" t="inlineStr">
        <is>
          <t>ISMS-IMP-A.8.28.3</t>
        </is>
      </c>
    </row>
    <row r="5">
      <c r="A5" s="3" t="inlineStr">
        <is>
          <t>Workbook Title</t>
        </is>
      </c>
      <c r="B5" t="inlineStr">
        <is>
          <t>Code Review and Security Testing Processes</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Focus on EFFECTIVENESS, not just process existence.</t>
        </is>
      </c>
    </row>
    <row r="15">
      <c r="A15" t="inlineStr">
        <is>
          <t>3. For each requirement, select Implementation Status from the dropdown menu.</t>
        </is>
      </c>
    </row>
    <row r="16">
      <c r="A16" t="inlineStr">
        <is>
          <t>4. Provide evidence references documenting WHERE evidence can be found.</t>
        </is>
      </c>
    </row>
    <row r="17">
      <c r="A17" t="inlineStr">
        <is>
          <t>5. Sample actual code reviews to validate quality (not just process documentation).</t>
        </is>
      </c>
    </row>
    <row r="18">
      <c r="A18" t="inlineStr">
        <is>
          <t>6. Review the Summary Dashboard to see overall compliance metrics.</t>
        </is>
      </c>
    </row>
    <row r="19">
      <c r="A19" t="inlineStr">
        <is>
          <t>7. Document gaps with specific, actionable remediation plans.</t>
        </is>
      </c>
    </row>
    <row r="20">
      <c r="A20" t="inlineStr">
        <is>
          <t>8. Obtain approvals from both Security and Engineering leadership.</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CODE REVIEW PROCESS &amp; GOVERNANCE</t>
        </is>
      </c>
    </row>
    <row r="2">
      <c r="A2" s="12" t="inlineStr">
        <is>
          <t>ISO 27001:2022 | Control A.8.28 | Code Review Process &amp; Governance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Review Policy</t>
        </is>
      </c>
    </row>
    <row r="5">
      <c r="A5" s="15" t="inlineStr">
        <is>
          <t>1.1</t>
        </is>
      </c>
      <c r="B5" s="16" t="inlineStr">
        <is>
          <t>Peer review is mandatory for all production code changes</t>
        </is>
      </c>
      <c r="C5" s="17" t="n"/>
      <c r="D5" s="18" t="inlineStr">
        <is>
          <t>Repository settings showing branch protection, review approval requirements</t>
        </is>
      </c>
      <c r="E5" s="19" t="n"/>
    </row>
    <row r="6">
      <c r="A6" s="15" t="inlineStr">
        <is>
          <t>1.2</t>
        </is>
      </c>
      <c r="B6" s="16" t="inlineStr">
        <is>
          <t>Code review policy is documented and accessible to all developers</t>
        </is>
      </c>
      <c r="C6" s="17" t="n"/>
      <c r="D6" s="18" t="inlineStr">
        <is>
          <t>Code review policy document, developer handbook, internal wiki</t>
        </is>
      </c>
      <c r="E6" s="19" t="n"/>
    </row>
    <row r="7">
      <c r="A7" s="15" t="inlineStr">
        <is>
          <t>1.3</t>
        </is>
      </c>
      <c r="B7" s="16" t="inlineStr">
        <is>
          <t>Minimum reviewer qualifications are defined and enforced</t>
        </is>
      </c>
      <c r="C7" s="17" t="n"/>
      <c r="D7" s="18" t="inlineStr">
        <is>
          <t>Reviewer qualification criteria, approved reviewer list</t>
        </is>
      </c>
      <c r="E7" s="19" t="n"/>
    </row>
    <row r="8">
      <c r="A8" s="14" t="inlineStr">
        <is>
          <t>▶ Reviewer Training</t>
        </is>
      </c>
    </row>
    <row r="9">
      <c r="A9" s="15" t="inlineStr">
        <is>
          <t>1.4</t>
        </is>
      </c>
      <c r="B9" s="16" t="inlineStr">
        <is>
          <t>All reviewers are trained on secure code review practices</t>
        </is>
      </c>
      <c r="C9" s="17" t="n"/>
      <c r="D9" s="18" t="inlineStr">
        <is>
          <t>Training completion records, secure code review training materials</t>
        </is>
      </c>
      <c r="E9" s="19" t="n"/>
    </row>
    <row r="10">
      <c r="A10" s="14" t="inlineStr">
        <is>
          <t>▶ Review Process</t>
        </is>
      </c>
    </row>
    <row r="11">
      <c r="A11" s="15" t="inlineStr">
        <is>
          <t>1.5</t>
        </is>
      </c>
      <c r="B11" s="16" t="inlineStr">
        <is>
          <t>Security-focused checklist is used in all code reviews</t>
        </is>
      </c>
      <c r="C11" s="17" t="n"/>
      <c r="D11" s="18" t="inlineStr">
        <is>
          <t>Code review checklist template, checklist usage in PR comments</t>
        </is>
      </c>
      <c r="E11" s="19" t="n"/>
    </row>
    <row r="12">
      <c r="A12" s="14" t="inlineStr">
        <is>
          <t>▶ Review Tools</t>
        </is>
      </c>
    </row>
    <row r="13">
      <c r="A13" s="15" t="inlineStr">
        <is>
          <t>1.6</t>
        </is>
      </c>
      <c r="B13" s="16" t="inlineStr">
        <is>
          <t>Code review tools are integrated into development workflow</t>
        </is>
      </c>
      <c r="C13" s="17" t="n"/>
      <c r="D13" s="18" t="inlineStr">
        <is>
          <t>GitHub/GitLab/Bitbucket PR process, review tool configuration</t>
        </is>
      </c>
      <c r="E13" s="19" t="n"/>
    </row>
    <row r="14">
      <c r="A14" s="14" t="inlineStr">
        <is>
          <t>▶ Review Enforcement</t>
        </is>
      </c>
    </row>
    <row r="15">
      <c r="A15" s="15" t="inlineStr">
        <is>
          <t>1.7</t>
        </is>
      </c>
      <c r="B15" s="16" t="inlineStr">
        <is>
          <t>Review approval is required before code can be merged to production</t>
        </is>
      </c>
      <c r="C15" s="17" t="n"/>
      <c r="D15" s="18" t="inlineStr">
        <is>
          <t>Branch protection rules, merge approval logs</t>
        </is>
      </c>
      <c r="E15" s="19" t="n"/>
    </row>
    <row r="16">
      <c r="A16" s="14" t="inlineStr">
        <is>
          <t>▶ Review Metrics</t>
        </is>
      </c>
    </row>
    <row r="17">
      <c r="A17" s="15" t="inlineStr">
        <is>
          <t>1.8</t>
        </is>
      </c>
      <c r="B17" s="16" t="inlineStr">
        <is>
          <t>Code review coverage is measured and tracked</t>
        </is>
      </c>
      <c r="C17" s="17" t="n"/>
      <c r="D17" s="18" t="inlineStr">
        <is>
          <t>Review coverage metrics dashboard, coverage reports</t>
        </is>
      </c>
      <c r="E17" s="19" t="n"/>
    </row>
    <row r="18">
      <c r="A18" s="14" t="inlineStr">
        <is>
          <t>▶ Review Quality</t>
        </is>
      </c>
    </row>
    <row r="19">
      <c r="A19" s="15" t="inlineStr">
        <is>
          <t>1.9</t>
        </is>
      </c>
      <c r="B19" s="16" t="inlineStr">
        <is>
          <t>Review comments reference secure coding standards and best practices</t>
        </is>
      </c>
      <c r="C19" s="17" t="n"/>
      <c r="D19" s="18" t="inlineStr">
        <is>
          <t>Sample review comments with standards references</t>
        </is>
      </c>
      <c r="E19" s="19" t="n"/>
    </row>
    <row r="20">
      <c r="A20" s="14" t="inlineStr">
        <is>
          <t>▶ Review Process</t>
        </is>
      </c>
    </row>
    <row r="21">
      <c r="A21" s="15" t="inlineStr">
        <is>
          <t>1.10</t>
        </is>
      </c>
      <c r="B21" s="16" t="inlineStr">
        <is>
          <t>High-risk code changes require additional security review scrutiny</t>
        </is>
      </c>
      <c r="C21" s="17" t="n"/>
      <c r="D21" s="18" t="inlineStr">
        <is>
          <t>Risk-based review policy, high-risk change review records</t>
        </is>
      </c>
      <c r="E21" s="19" t="n"/>
    </row>
    <row r="22">
      <c r="A22" s="14" t="inlineStr">
        <is>
          <t>▶ Review Follow-up</t>
        </is>
      </c>
    </row>
    <row r="23">
      <c r="A23" s="15" t="inlineStr">
        <is>
          <t>1.11</t>
        </is>
      </c>
      <c r="B23" s="16" t="inlineStr">
        <is>
          <t>Security findings from code review are tracked to resolution</t>
        </is>
      </c>
      <c r="C23" s="17" t="n"/>
      <c r="D23" s="18" t="inlineStr">
        <is>
          <t>Finding tracking system (JIRA, GitHub Issues), resolution logs</t>
        </is>
      </c>
      <c r="E23" s="19" t="n"/>
    </row>
    <row r="24">
      <c r="A24" s="14" t="inlineStr">
        <is>
          <t>▶ Review Metrics</t>
        </is>
      </c>
    </row>
    <row r="25">
      <c r="A25" s="15" t="inlineStr">
        <is>
          <t>1.12</t>
        </is>
      </c>
      <c r="B25" s="16" t="inlineStr">
        <is>
          <t>Code review metrics are reported to management quarterly</t>
        </is>
      </c>
      <c r="C25" s="17" t="n"/>
      <c r="D25" s="18" t="inlineStr">
        <is>
          <t>Quarterly review metrics reports, management dashboards</t>
        </is>
      </c>
      <c r="E25" s="19" t="n"/>
    </row>
    <row r="26">
      <c r="A26" s="14" t="inlineStr">
        <is>
          <t>▶ Review Enforcement</t>
        </is>
      </c>
    </row>
    <row r="27">
      <c r="A27" s="15" t="inlineStr">
        <is>
          <t>1.13</t>
        </is>
      </c>
      <c r="B27" s="16" t="inlineStr">
        <is>
          <t>Review bypass requires documented approval and justification</t>
        </is>
      </c>
      <c r="C27" s="17" t="n"/>
      <c r="D27" s="18" t="inlineStr">
        <is>
          <t>Exception request process, bypass approval records</t>
        </is>
      </c>
      <c r="E27" s="19" t="n"/>
    </row>
    <row r="28">
      <c r="A28" s="14" t="inlineStr">
        <is>
          <t>▶ Review Tools</t>
        </is>
      </c>
    </row>
    <row r="29">
      <c r="A29" s="15" t="inlineStr">
        <is>
          <t>1.14</t>
        </is>
      </c>
      <c r="B29" s="16" t="inlineStr">
        <is>
          <t>Automated review assistance tools are deployed (PR bots, automated checks)</t>
        </is>
      </c>
      <c r="C29" s="17" t="n"/>
      <c r="D29" s="18" t="inlineStr">
        <is>
          <t>PR bot integration (Danger, CodeOwners), automated check configuration</t>
        </is>
      </c>
      <c r="E29" s="19" t="n"/>
    </row>
    <row r="30">
      <c r="A30" s="14" t="inlineStr">
        <is>
          <t>▶ Review Quality</t>
        </is>
      </c>
    </row>
    <row r="31">
      <c r="A31" s="15" t="inlineStr">
        <is>
          <t>1.15</t>
        </is>
      </c>
      <c r="B31" s="16" t="inlineStr">
        <is>
          <t>Code review quality is audited periodically</t>
        </is>
      </c>
      <c r="C31" s="17" t="n"/>
      <c r="D31" s="18" t="inlineStr">
        <is>
          <t>Review quality audit results, sample review assessments</t>
        </is>
      </c>
      <c r="E31" s="19" t="n"/>
    </row>
    <row r="32">
      <c r="A32" s="14" t="inlineStr">
        <is>
          <t>▶ Review Policy</t>
        </is>
      </c>
    </row>
    <row r="33">
      <c r="A33" s="15" t="inlineStr">
        <is>
          <t>1.16</t>
        </is>
      </c>
      <c r="B33" s="16" t="inlineStr">
        <is>
          <t>Self-review is not permitted for production code</t>
        </is>
      </c>
      <c r="C33" s="17" t="n"/>
      <c r="D33" s="18" t="inlineStr">
        <is>
          <t>Review policy prohibiting self-approval, enforcement evidence</t>
        </is>
      </c>
      <c r="E33" s="19" t="n"/>
    </row>
    <row r="34">
      <c r="A34" s="14" t="inlineStr">
        <is>
          <t>▶ Review Metrics</t>
        </is>
      </c>
    </row>
    <row r="35">
      <c r="A35" s="15" t="inlineStr">
        <is>
          <t>1.17</t>
        </is>
      </c>
      <c r="B35" s="16" t="inlineStr">
        <is>
          <t>Code review turnaround time is measured and within SLA</t>
        </is>
      </c>
      <c r="C35" s="17" t="n"/>
      <c r="D35" s="18" t="inlineStr">
        <is>
          <t>Review SLA metrics, turnaround time tracking</t>
        </is>
      </c>
      <c r="E35" s="19" t="n"/>
    </row>
    <row r="36">
      <c r="A36" s="14" t="inlineStr">
        <is>
          <t>▶ Continuous Improvement</t>
        </is>
      </c>
    </row>
    <row r="37">
      <c r="A37" s="15" t="inlineStr">
        <is>
          <t>1.18</t>
        </is>
      </c>
      <c r="B37" s="16" t="inlineStr">
        <is>
          <t>Code review process is continuously improved based on lessons learned</t>
        </is>
      </c>
      <c r="C37" s="17" t="n"/>
      <c r="D37" s="18" t="inlineStr">
        <is>
          <t>Process improvement backlog, retrospective notes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24:F24"/>
    <mergeCell ref="A16:F16"/>
    <mergeCell ref="A10:F10"/>
    <mergeCell ref="A28:F28"/>
    <mergeCell ref="A2:E2"/>
    <mergeCell ref="A14:F14"/>
    <mergeCell ref="A36:F36"/>
    <mergeCell ref="A32:F32"/>
    <mergeCell ref="A8:F8"/>
    <mergeCell ref="A26:F26"/>
    <mergeCell ref="A1:E1"/>
    <mergeCell ref="A22:F22"/>
    <mergeCell ref="A12:F12"/>
    <mergeCell ref="A4:F4"/>
    <mergeCell ref="A18:F18"/>
    <mergeCell ref="A20:F20"/>
    <mergeCell ref="A30:F30"/>
    <mergeCell ref="A34:F34"/>
  </mergeCells>
  <dataValidations count="1">
    <dataValidation sqref="C5 C6 C7 C9 C11 C13 C15 C17 C19 C21 C23 C25 C27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SECURITY CHAMPION REVIEW &amp; ARCHITECTURE</t>
        </is>
      </c>
    </row>
    <row r="2">
      <c r="A2" s="12" t="inlineStr">
        <is>
          <t>ISO 27001:2022 | Control A.8.28 | Security Champion Review &amp; Architecture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Champion Program</t>
        </is>
      </c>
    </row>
    <row r="5">
      <c r="A5" s="15" t="inlineStr">
        <is>
          <t>2.1</t>
        </is>
      </c>
      <c r="B5" s="16" t="inlineStr">
        <is>
          <t>Security Champion program is formally established</t>
        </is>
      </c>
      <c r="C5" s="17" t="n"/>
      <c r="D5" s="18" t="inlineStr">
        <is>
          <t>Program charter, Security Champion roster, program documentation</t>
        </is>
      </c>
      <c r="E5" s="19" t="n"/>
    </row>
    <row r="6">
      <c r="A6" s="15" t="inlineStr">
        <is>
          <t>2.2</t>
        </is>
      </c>
      <c r="B6" s="16" t="inlineStr">
        <is>
          <t>Security Champions are assigned to all development teams</t>
        </is>
      </c>
      <c r="C6" s="17" t="n"/>
      <c r="D6" s="18" t="inlineStr">
        <is>
          <t>Team assignments, Security Champion coverage matrix</t>
        </is>
      </c>
      <c r="E6" s="19" t="n"/>
    </row>
    <row r="7">
      <c r="A7" s="14" t="inlineStr">
        <is>
          <t>▶ Champion Training</t>
        </is>
      </c>
    </row>
    <row r="8">
      <c r="A8" s="15" t="inlineStr">
        <is>
          <t>2.3</t>
        </is>
      </c>
      <c r="B8" s="16" t="inlineStr">
        <is>
          <t>Security Champions are trained on secure development and threat modeling</t>
        </is>
      </c>
      <c r="C8" s="17" t="n"/>
      <c r="D8" s="18" t="inlineStr">
        <is>
          <t>Training certifications, secure development course completion records</t>
        </is>
      </c>
      <c r="E8" s="19" t="n"/>
    </row>
    <row r="9">
      <c r="A9" s="14" t="inlineStr">
        <is>
          <t>▶ Champion Process</t>
        </is>
      </c>
    </row>
    <row r="10">
      <c r="A10" s="15" t="inlineStr">
        <is>
          <t>2.4</t>
        </is>
      </c>
      <c r="B10" s="16" t="inlineStr">
        <is>
          <t>Criteria for Security Champion review are clearly defined</t>
        </is>
      </c>
      <c r="C10" s="17" t="n"/>
      <c r="D10" s="18" t="inlineStr">
        <is>
          <t>Review trigger criteria documentation (e.g., auth changes, crypto, PII)</t>
        </is>
      </c>
      <c r="E10" s="19" t="n"/>
    </row>
    <row r="11">
      <c r="A11" s="15" t="inlineStr">
        <is>
          <t>2.5</t>
        </is>
      </c>
      <c r="B11" s="16" t="inlineStr">
        <is>
          <t>High-risk code changes are automatically escalated to Security Champions</t>
        </is>
      </c>
      <c r="C11" s="17" t="n"/>
      <c r="D11" s="18" t="inlineStr">
        <is>
          <t>Escalation logs, Champion review records, automated escalation rules</t>
        </is>
      </c>
      <c r="E11" s="19" t="n"/>
    </row>
    <row r="12">
      <c r="A12" s="14" t="inlineStr">
        <is>
          <t>▶ Architecture Review</t>
        </is>
      </c>
    </row>
    <row r="13">
      <c r="A13" s="15" t="inlineStr">
        <is>
          <t>2.6</t>
        </is>
      </c>
      <c r="B13" s="16" t="inlineStr">
        <is>
          <t>Architecture review is required for all new systems and major changes</t>
        </is>
      </c>
      <c r="C13" s="17" t="n"/>
      <c r="D13" s="18" t="inlineStr">
        <is>
          <t>Architecture review policy, architecture review board meeting notes</t>
        </is>
      </c>
      <c r="E13" s="19" t="n"/>
    </row>
    <row r="14">
      <c r="A14" s="15" t="inlineStr">
        <is>
          <t>2.7</t>
        </is>
      </c>
      <c r="B14" s="16" t="inlineStr">
        <is>
          <t>Security design review is performed before implementation begins</t>
        </is>
      </c>
      <c r="C14" s="17" t="n"/>
      <c r="D14" s="18" t="inlineStr">
        <is>
          <t>Design review meeting notes, security design sign-off records</t>
        </is>
      </c>
      <c r="E14" s="19" t="n"/>
    </row>
    <row r="15">
      <c r="A15" s="14" t="inlineStr">
        <is>
          <t>▶ Threat Modeling</t>
        </is>
      </c>
    </row>
    <row r="16">
      <c r="A16" s="15" t="inlineStr">
        <is>
          <t>2.8</t>
        </is>
      </c>
      <c r="B16" s="16" t="inlineStr">
        <is>
          <t>Threat modeling is performed for security-sensitive features</t>
        </is>
      </c>
      <c r="C16" s="17" t="n"/>
      <c r="D16" s="18" t="inlineStr">
        <is>
          <t>Threat model documents, STRIDE analysis, attack trees</t>
        </is>
      </c>
      <c r="E16" s="19" t="n"/>
    </row>
    <row r="17">
      <c r="A17" s="14" t="inlineStr">
        <is>
          <t>▶ Champion Performance</t>
        </is>
      </c>
    </row>
    <row r="18">
      <c r="A18" s="15" t="inlineStr">
        <is>
          <t>2.9</t>
        </is>
      </c>
      <c r="B18" s="16" t="inlineStr">
        <is>
          <t>Security Champion availability and response time are tracked and meet SLA</t>
        </is>
      </c>
      <c r="C18" s="17" t="n"/>
      <c r="D18" s="18" t="inlineStr">
        <is>
          <t>Response time SLA metrics, Champion availability data</t>
        </is>
      </c>
      <c r="E18" s="19" t="n"/>
    </row>
    <row r="19">
      <c r="A19" s="14" t="inlineStr">
        <is>
          <t>▶ Champion Follow-up</t>
        </is>
      </c>
    </row>
    <row r="20">
      <c r="A20" s="15" t="inlineStr">
        <is>
          <t>2.10</t>
        </is>
      </c>
      <c r="B20" s="16" t="inlineStr">
        <is>
          <t>Security Champion recommendations are tracked to implementation</t>
        </is>
      </c>
      <c r="C20" s="17" t="n"/>
      <c r="D20" s="18" t="inlineStr">
        <is>
          <t>Recommendation tracking system, implementation verification</t>
        </is>
      </c>
      <c r="E20" s="19" t="n"/>
    </row>
    <row r="21">
      <c r="A21" s="14" t="inlineStr">
        <is>
          <t>▶ Champion Process</t>
        </is>
      </c>
    </row>
    <row r="22">
      <c r="A22" s="15" t="inlineStr">
        <is>
          <t>2.11</t>
        </is>
      </c>
      <c r="B22" s="16" t="inlineStr">
        <is>
          <t>Clear escalation path exists from Champions to AppSec team</t>
        </is>
      </c>
      <c r="C22" s="17" t="n"/>
      <c r="D22" s="18" t="inlineStr">
        <is>
          <t>Escalation procedures, escalation records, contact information</t>
        </is>
      </c>
      <c r="E22" s="19" t="n"/>
    </row>
    <row r="23">
      <c r="A23" s="14" t="inlineStr">
        <is>
          <t>▶ Champion Authority</t>
        </is>
      </c>
    </row>
    <row r="24">
      <c r="A24" s="15" t="inlineStr">
        <is>
          <t>2.12</t>
        </is>
      </c>
      <c r="B24" s="16" t="inlineStr">
        <is>
          <t>Security Champions have authority to block releases for security issues</t>
        </is>
      </c>
      <c r="C24" s="17" t="n"/>
      <c r="D24" s="18" t="inlineStr">
        <is>
          <t>Authority documentation, examples of Champion-blocked releases</t>
        </is>
      </c>
      <c r="E24" s="19" t="n"/>
    </row>
    <row r="25">
      <c r="A25" s="14" t="inlineStr">
        <is>
          <t>▶ Champion Metrics</t>
        </is>
      </c>
    </row>
    <row r="26">
      <c r="A26" s="15" t="inlineStr">
        <is>
          <t>2.13</t>
        </is>
      </c>
      <c r="B26" s="16" t="inlineStr">
        <is>
          <t>Security Champion program effectiveness is measured with KPIs</t>
        </is>
      </c>
      <c r="C26" s="17" t="n"/>
      <c r="D26" s="18" t="inlineStr">
        <is>
          <t>Program metrics dashboard, effectiveness assessment reports</t>
        </is>
      </c>
      <c r="E26" s="19" t="n"/>
    </row>
    <row r="27">
      <c r="A27" s="14" t="inlineStr">
        <is>
          <t>▶ Champion Program</t>
        </is>
      </c>
    </row>
    <row r="28">
      <c r="A28" s="15" t="inlineStr">
        <is>
          <t>2.14</t>
        </is>
      </c>
      <c r="B28" s="16" t="inlineStr">
        <is>
          <t>Regular Security Champion sync meetings are held</t>
        </is>
      </c>
      <c r="C28" s="17" t="n"/>
      <c r="D28" s="18" t="inlineStr">
        <is>
          <t>Meeting schedules, attendance records, meeting notes</t>
        </is>
      </c>
      <c r="E28" s="19" t="n"/>
    </row>
    <row r="29">
      <c r="A29" s="14" t="inlineStr">
        <is>
          <t>▶ Champion Resources</t>
        </is>
      </c>
    </row>
    <row r="30">
      <c r="A30" s="15" t="inlineStr">
        <is>
          <t>2.15</t>
        </is>
      </c>
      <c r="B30" s="16" t="inlineStr">
        <is>
          <t>Security Champion knowledge base and playbooks are maintained</t>
        </is>
      </c>
      <c r="C30" s="17" t="n"/>
      <c r="D30" s="18" t="inlineStr">
        <is>
          <t>Internal wiki, Security Champion playbooks, decision trees</t>
        </is>
      </c>
      <c r="E30" s="19" t="n"/>
    </row>
    <row r="31">
      <c r="A31" s="14" t="inlineStr">
        <is>
          <t>▶ Champion Training</t>
        </is>
      </c>
    </row>
    <row r="32">
      <c r="A32" s="15" t="inlineStr">
        <is>
          <t>2.16</t>
        </is>
      </c>
      <c r="B32" s="16" t="inlineStr">
        <is>
          <t>New Security Champions are onboarded with systematic training plan</t>
        </is>
      </c>
      <c r="C32" s="17" t="n"/>
      <c r="D32" s="18" t="inlineStr">
        <is>
          <t>Champion onboarding checklist, training plan documentation</t>
        </is>
      </c>
      <c r="E32" s="19" t="n"/>
    </row>
    <row r="33">
      <c r="A33" s="14" t="inlineStr">
        <is>
          <t>▶ Champion Program</t>
        </is>
      </c>
    </row>
    <row r="34">
      <c r="A34" s="15" t="inlineStr">
        <is>
          <t>2.17</t>
        </is>
      </c>
      <c r="B34" s="16" t="inlineStr">
        <is>
          <t>Security Champion contributions are recognised and rewarded</t>
        </is>
      </c>
      <c r="C34" s="17" t="n"/>
      <c r="D34" s="18" t="inlineStr">
        <is>
          <t>Recognition program documentation, awards, acknowledgments</t>
        </is>
      </c>
      <c r="E34" s="19" t="n"/>
    </row>
    <row r="35">
      <c r="A35" s="14" t="inlineStr">
        <is>
          <t>▶ Champion Training</t>
        </is>
      </c>
    </row>
    <row r="36">
      <c r="A36" s="15" t="inlineStr">
        <is>
          <t>2.18</t>
        </is>
      </c>
      <c r="B36" s="16" t="inlineStr">
        <is>
          <t>Security Champions receive regular updates on emerging threats</t>
        </is>
      </c>
      <c r="C36" s="17" t="n"/>
      <c r="D36" s="18" t="inlineStr">
        <is>
          <t>Threat intelligence briefings, security newsletters, training sessions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33:F33"/>
    <mergeCell ref="A2:E2"/>
    <mergeCell ref="A19:F19"/>
    <mergeCell ref="A23:F23"/>
    <mergeCell ref="A9:F9"/>
    <mergeCell ref="A27:F27"/>
    <mergeCell ref="A29:F29"/>
    <mergeCell ref="A31:F31"/>
    <mergeCell ref="A1:E1"/>
    <mergeCell ref="A17:F17"/>
    <mergeCell ref="A12:F12"/>
    <mergeCell ref="A4:F4"/>
    <mergeCell ref="A35:F35"/>
    <mergeCell ref="A21:F21"/>
    <mergeCell ref="A15:F15"/>
    <mergeCell ref="A7:F7"/>
    <mergeCell ref="A25:F25"/>
  </mergeCells>
  <dataValidations count="1">
    <dataValidation sqref="C5 C6 C8 C10 C11 C13 C14 C16 C18 C20 C22 C24 C26 C28 C30 C32 C34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SECURITY TESTING - UNIT &amp; INTEGRATION</t>
        </is>
      </c>
    </row>
    <row r="2">
      <c r="A2" s="12" t="inlineStr">
        <is>
          <t>ISO 27001:2022 | Control A.8.28 | Security Testing - Unit &amp;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Test Coverage</t>
        </is>
      </c>
    </row>
    <row r="5">
      <c r="A5" s="15" t="inlineStr">
        <is>
          <t>3.1</t>
        </is>
      </c>
      <c r="B5" s="16" t="inlineStr">
        <is>
          <t>Security test cases exist for all critical application functionality</t>
        </is>
      </c>
      <c r="C5" s="17" t="n"/>
      <c r="D5" s="18" t="inlineStr">
        <is>
          <t>Security test suite, test case repository, test documentation</t>
        </is>
      </c>
      <c r="E5" s="19" t="n"/>
    </row>
    <row r="6">
      <c r="A6" s="14" t="inlineStr">
        <is>
          <t>▶ Unit Testing</t>
        </is>
      </c>
    </row>
    <row r="7">
      <c r="A7" s="15" t="inlineStr">
        <is>
          <t>3.2</t>
        </is>
      </c>
      <c r="B7" s="16" t="inlineStr">
        <is>
          <t>Input validation is tested at the unit test level</t>
        </is>
      </c>
      <c r="C7" s="17" t="n"/>
      <c r="D7" s="18" t="inlineStr">
        <is>
          <t>Input validation unit tests, boundary testing, malicious input tests</t>
        </is>
      </c>
      <c r="E7" s="19" t="n"/>
    </row>
    <row r="8">
      <c r="A8" s="15" t="inlineStr">
        <is>
          <t>3.3</t>
        </is>
      </c>
      <c r="B8" s="16" t="inlineStr">
        <is>
          <t>Authentication logic is thoroughly tested with unit tests</t>
        </is>
      </c>
      <c r="C8" s="17" t="n"/>
      <c r="D8" s="18" t="inlineStr">
        <is>
          <t>Authentication unit test suites, auth failure test cases</t>
        </is>
      </c>
      <c r="E8" s="19" t="n"/>
    </row>
    <row r="9">
      <c r="A9" s="15" t="inlineStr">
        <is>
          <t>3.4</t>
        </is>
      </c>
      <c r="B9" s="16" t="inlineStr">
        <is>
          <t>Authorisation checks are tested at unit and integration levels</t>
        </is>
      </c>
      <c r="C9" s="17" t="n"/>
      <c r="D9" s="18" t="inlineStr">
        <is>
          <t>Authorisation test cases, access control test matrices</t>
        </is>
      </c>
      <c r="E9" s="19" t="n"/>
    </row>
    <row r="10">
      <c r="A10" s="14" t="inlineStr">
        <is>
          <t>▶ Integration Testing</t>
        </is>
      </c>
    </row>
    <row r="11">
      <c r="A11" s="15" t="inlineStr">
        <is>
          <t>3.5</t>
        </is>
      </c>
      <c r="B11" s="16" t="inlineStr">
        <is>
          <t>Session management security is tested</t>
        </is>
      </c>
      <c r="C11" s="17" t="n"/>
      <c r="D11" s="18" t="inlineStr">
        <is>
          <t>Session security test cases, timeout testing, session fixation tests</t>
        </is>
      </c>
      <c r="E11" s="19" t="n"/>
    </row>
    <row r="12">
      <c r="A12" s="14" t="inlineStr">
        <is>
          <t>▶ Unit Testing</t>
        </is>
      </c>
    </row>
    <row r="13">
      <c r="A13" s="15" t="inlineStr">
        <is>
          <t>3.6</t>
        </is>
      </c>
      <c r="B13" s="16" t="inlineStr">
        <is>
          <t>Cryptographic functions are tested for correct implementation</t>
        </is>
      </c>
      <c r="C13" s="17" t="n"/>
      <c r="D13" s="18" t="inlineStr">
        <is>
          <t>Cryptography unit tests, key generation tests, encryption/decryption tests</t>
        </is>
      </c>
      <c r="E13" s="19" t="n"/>
    </row>
    <row r="14">
      <c r="A14" s="15" t="inlineStr">
        <is>
          <t>3.7</t>
        </is>
      </c>
      <c r="B14" s="16" t="inlineStr">
        <is>
          <t>Error handling is tested to prevent information disclosure</t>
        </is>
      </c>
      <c r="C14" s="17" t="n"/>
      <c r="D14" s="18" t="inlineStr">
        <is>
          <t>Error handling test scenarios, exception testing, stack trace prevention tests</t>
        </is>
      </c>
      <c r="E14" s="19" t="n"/>
    </row>
    <row r="15">
      <c r="A15" s="14" t="inlineStr">
        <is>
          <t>▶ Integration Testing</t>
        </is>
      </c>
    </row>
    <row r="16">
      <c r="A16" s="15" t="inlineStr">
        <is>
          <t>3.8</t>
        </is>
      </c>
      <c r="B16" s="16" t="inlineStr">
        <is>
          <t>Integration tests validate end-to-end authentication/authorisation workflows</t>
        </is>
      </c>
      <c r="C16" s="17" t="n"/>
      <c r="D16" s="18" t="inlineStr">
        <is>
          <t>Integration test suites, workflow test scenarios</t>
        </is>
      </c>
      <c r="E16" s="19" t="n"/>
    </row>
    <row r="17">
      <c r="A17" s="14" t="inlineStr">
        <is>
          <t>▶ Test Metrics</t>
        </is>
      </c>
    </row>
    <row r="18">
      <c r="A18" s="15" t="inlineStr">
        <is>
          <t>3.9</t>
        </is>
      </c>
      <c r="B18" s="16" t="inlineStr">
        <is>
          <t>Security test coverage is measured and tracked</t>
        </is>
      </c>
      <c r="C18" s="17" t="n"/>
      <c r="D18" s="18" t="inlineStr">
        <is>
          <t>Test coverage metrics for security-critical code, coverage reports</t>
        </is>
      </c>
      <c r="E18" s="19" t="n"/>
    </row>
    <row r="19">
      <c r="A19" s="14" t="inlineStr">
        <is>
          <t>▶ Test Enforcement</t>
        </is>
      </c>
    </row>
    <row r="20">
      <c r="A20" s="15" t="inlineStr">
        <is>
          <t>3.10</t>
        </is>
      </c>
      <c r="B20" s="16" t="inlineStr">
        <is>
          <t>Failed security tests block CI/CD pipeline deployment</t>
        </is>
      </c>
      <c r="C20" s="17" t="n"/>
      <c r="D20" s="18" t="inlineStr">
        <is>
          <t>Pipeline configuration, test failure blocking evidence, failed build logs</t>
        </is>
      </c>
      <c r="E20" s="19" t="n"/>
    </row>
    <row r="21">
      <c r="A21" s="14" t="inlineStr">
        <is>
          <t>▶ Test Automation</t>
        </is>
      </c>
    </row>
    <row r="22">
      <c r="A22" s="15" t="inlineStr">
        <is>
          <t>3.11</t>
        </is>
      </c>
      <c r="B22" s="16" t="inlineStr">
        <is>
          <t>Security tests run automatically on every code commit</t>
        </is>
      </c>
      <c r="C22" s="17" t="n"/>
      <c r="D22" s="18" t="inlineStr">
        <is>
          <t>CI/CD configuration, test execution logs, automated test runs</t>
        </is>
      </c>
      <c r="E22" s="19" t="n"/>
    </row>
    <row r="23">
      <c r="A23" s="14" t="inlineStr">
        <is>
          <t>▶ Test Maintenance</t>
        </is>
      </c>
    </row>
    <row r="24">
      <c r="A24" s="15" t="inlineStr">
        <is>
          <t>3.12</t>
        </is>
      </c>
      <c r="B24" s="16" t="inlineStr">
        <is>
          <t>Security test maintenance process exists and tests are kept current</t>
        </is>
      </c>
      <c r="C24" s="17" t="n"/>
      <c r="D24" s="18" t="inlineStr">
        <is>
          <t>Test maintenance procedures, test update logs, deprecation handling</t>
        </is>
      </c>
      <c r="E24" s="19" t="n"/>
    </row>
    <row r="25">
      <c r="A25" s="14" t="inlineStr">
        <is>
          <t>▶ Test Quality</t>
        </is>
      </c>
    </row>
    <row r="26">
      <c r="A26" s="15" t="inlineStr">
        <is>
          <t>3.13</t>
        </is>
      </c>
      <c r="B26" s="16" t="inlineStr">
        <is>
          <t>Security test cases are peer-reviewed like production code</t>
        </is>
      </c>
      <c r="C26" s="17" t="n"/>
      <c r="D26" s="18" t="inlineStr">
        <is>
          <t>Test code review records, test PR approvals</t>
        </is>
      </c>
      <c r="E26" s="19" t="n"/>
    </row>
    <row r="27">
      <c r="A27" s="14" t="inlineStr">
        <is>
          <t>▶ Unit Testing</t>
        </is>
      </c>
    </row>
    <row r="28">
      <c r="A28" s="15" t="inlineStr">
        <is>
          <t>3.14</t>
        </is>
      </c>
      <c r="B28" s="16" t="inlineStr">
        <is>
          <t>Negative test cases are included for security-critical functions</t>
        </is>
      </c>
      <c r="C28" s="17" t="n"/>
      <c r="D28" s="18" t="inlineStr">
        <is>
          <t>Negative testing examples, failure mode testing</t>
        </is>
      </c>
      <c r="E28" s="19" t="n"/>
    </row>
    <row r="29">
      <c r="A29" s="15" t="inlineStr">
        <is>
          <t>3.15</t>
        </is>
      </c>
      <c r="B29" s="16" t="inlineStr">
        <is>
          <t>Boundary condition testing is performed for input validation</t>
        </is>
      </c>
      <c r="C29" s="17" t="n"/>
      <c r="D29" s="18" t="inlineStr">
        <is>
          <t>Boundary test cases, edge case testing, overflow testing</t>
        </is>
      </c>
      <c r="E29" s="19" t="n"/>
    </row>
    <row r="30">
      <c r="A30" s="14" t="inlineStr">
        <is>
          <t>▶ Integration Testing</t>
        </is>
      </c>
    </row>
    <row r="31">
      <c r="A31" s="15" t="inlineStr">
        <is>
          <t>3.16</t>
        </is>
      </c>
      <c r="B31" s="16" t="inlineStr">
        <is>
          <t>Race condition testing is performed where applicable</t>
        </is>
      </c>
      <c r="C31" s="17" t="n"/>
      <c r="D31" s="18" t="inlineStr">
        <is>
          <t>Concurrency test cases, threading tests, TOCTOU testing</t>
        </is>
      </c>
      <c r="E31" s="19" t="n"/>
    </row>
    <row r="32">
      <c r="A32" s="14" t="inlineStr">
        <is>
          <t>▶ Test Metrics</t>
        </is>
      </c>
    </row>
    <row r="33">
      <c r="A33" s="15" t="inlineStr">
        <is>
          <t>3.17</t>
        </is>
      </c>
      <c r="B33" s="16" t="inlineStr">
        <is>
          <t>Security test results are archived for audit and trend analysis</t>
        </is>
      </c>
      <c r="C33" s="17" t="n"/>
      <c r="D33" s="18" t="inlineStr">
        <is>
          <t>Test result storage, historical test data, trend reports</t>
        </is>
      </c>
      <c r="E33" s="19" t="n"/>
    </row>
    <row r="34">
      <c r="A34" s="14" t="inlineStr">
        <is>
          <t>▶ Test Environment</t>
        </is>
      </c>
    </row>
    <row r="35">
      <c r="A35" s="15" t="inlineStr">
        <is>
          <t>3.18</t>
        </is>
      </c>
      <c r="B35" s="16" t="inlineStr">
        <is>
          <t>Test environment security is validated (no production data)</t>
        </is>
      </c>
      <c r="C35" s="17" t="n"/>
      <c r="D35" s="18" t="inlineStr">
        <is>
          <t>Test environment security assessment, data handling procedures</t>
        </is>
      </c>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sheetData>
  <mergeCells count="16">
    <mergeCell ref="A10:F10"/>
    <mergeCell ref="A30:F30"/>
    <mergeCell ref="A2:E2"/>
    <mergeCell ref="A19:F19"/>
    <mergeCell ref="A23:F23"/>
    <mergeCell ref="A32:F32"/>
    <mergeCell ref="A27:F27"/>
    <mergeCell ref="A6:F6"/>
    <mergeCell ref="A1:E1"/>
    <mergeCell ref="A17:F17"/>
    <mergeCell ref="A12:F12"/>
    <mergeCell ref="A4:F4"/>
    <mergeCell ref="A34:F34"/>
    <mergeCell ref="A21:F21"/>
    <mergeCell ref="A15:F15"/>
    <mergeCell ref="A25:F25"/>
  </mergeCells>
  <dataValidations count="1">
    <dataValidation sqref="C5 C7 C8 C9 C11 C13 C14 C16 C18 C20 C22 C24 C26 C28 C29 C31 C33 C35 C36 C37 C38 C39 C40 C41 C42 C43 C44 C45 C46 C47 C48 C49 C50 C51 C52 C53 C54 C55 C56 C57 C58 C59 C60 C61 C62 C63 C64 C65 C66 C67"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API &amp; APPLICATION SECURITY TESTING</t>
        </is>
      </c>
    </row>
    <row r="2">
      <c r="A2" s="12" t="inlineStr">
        <is>
          <t>ISO 27001:2022 | Control A.8.28 | API &amp; Application Security Testing</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API Testing</t>
        </is>
      </c>
    </row>
    <row r="5">
      <c r="A5" s="15" t="inlineStr">
        <is>
          <t>4.1</t>
        </is>
      </c>
      <c r="B5" s="16" t="inlineStr">
        <is>
          <t>All APIs (REST, GraphQL, gRPC) have dedicated security test suites</t>
        </is>
      </c>
      <c r="C5" s="17" t="n"/>
      <c r="D5" s="18" t="inlineStr">
        <is>
          <t>API security test documentation, Postman/REST Assured collections</t>
        </is>
      </c>
      <c r="E5" s="19" t="n"/>
    </row>
    <row r="6">
      <c r="A6" s="15" t="inlineStr">
        <is>
          <t>4.2</t>
        </is>
      </c>
      <c r="B6" s="16" t="inlineStr">
        <is>
          <t>API authentication mechanisms are thoroughly tested</t>
        </is>
      </c>
      <c r="C6" s="17" t="n"/>
      <c r="D6" s="18" t="inlineStr">
        <is>
          <t>Auth testing scenarios (OAuth, JWT, API keys), token validation tests</t>
        </is>
      </c>
      <c r="E6" s="19" t="n"/>
    </row>
    <row r="7">
      <c r="A7" s="15" t="inlineStr">
        <is>
          <t>4.3</t>
        </is>
      </c>
      <c r="B7" s="16" t="inlineStr">
        <is>
          <t>Authorisation is tested for all API endpoints and operations</t>
        </is>
      </c>
      <c r="C7" s="17" t="n"/>
      <c r="D7" s="18" t="inlineStr">
        <is>
          <t>Endpoint authorisation test matrix, RBAC testing, privilege escalation tests</t>
        </is>
      </c>
      <c r="E7" s="19" t="n"/>
    </row>
    <row r="8">
      <c r="A8" s="15" t="inlineStr">
        <is>
          <t>4.4</t>
        </is>
      </c>
      <c r="B8" s="16" t="inlineStr">
        <is>
          <t>Input validation is tested for all API parameters</t>
        </is>
      </c>
      <c r="C8" s="17" t="n"/>
      <c r="D8" s="18" t="inlineStr">
        <is>
          <t>Input validation test cases, parameter fuzzing, type confusion tests</t>
        </is>
      </c>
      <c r="E8" s="19" t="n"/>
    </row>
    <row r="9">
      <c r="A9" s="14" t="inlineStr">
        <is>
          <t>▶ Injection Testing</t>
        </is>
      </c>
    </row>
    <row r="10">
      <c r="A10" s="15" t="inlineStr">
        <is>
          <t>4.5</t>
        </is>
      </c>
      <c r="B10" s="16" t="inlineStr">
        <is>
          <t>SQL injection testing is performed on all database-backed APIs</t>
        </is>
      </c>
      <c r="C10" s="17" t="n"/>
      <c r="D10" s="18" t="inlineStr">
        <is>
          <t>SQL injection test results, parameterized query validation</t>
        </is>
      </c>
      <c r="E10" s="19" t="n"/>
    </row>
    <row r="11">
      <c r="A11" s="15" t="inlineStr">
        <is>
          <t>4.6</t>
        </is>
      </c>
      <c r="B11" s="16" t="inlineStr">
        <is>
          <t>Cross-Site Scripting (XSS) testing is performed</t>
        </is>
      </c>
      <c r="C11" s="17" t="n"/>
      <c r="D11" s="18" t="inlineStr">
        <is>
          <t>XSS test scenarios, output encoding validation, CSP testing</t>
        </is>
      </c>
      <c r="E11" s="19" t="n"/>
    </row>
    <row r="12">
      <c r="A12" s="15" t="inlineStr">
        <is>
          <t>4.7</t>
        </is>
      </c>
      <c r="B12" s="16" t="inlineStr">
        <is>
          <t>XXE and deserialization vulnerability testing is performed</t>
        </is>
      </c>
      <c r="C12" s="17" t="n"/>
      <c r="D12" s="18" t="inlineStr">
        <is>
          <t>XXE test cases, unsafe deserialization tests, XML/JSON validation</t>
        </is>
      </c>
      <c r="E12" s="19" t="n"/>
    </row>
    <row r="13">
      <c r="A13" s="14" t="inlineStr">
        <is>
          <t>▶ API Testing</t>
        </is>
      </c>
    </row>
    <row r="14">
      <c r="A14" s="15" t="inlineStr">
        <is>
          <t>4.8</t>
        </is>
      </c>
      <c r="B14" s="16" t="inlineStr">
        <is>
          <t>API fuzzing is performed to discover unexpected behaviour</t>
        </is>
      </c>
      <c r="C14" s="17" t="n"/>
      <c r="D14" s="18" t="inlineStr">
        <is>
          <t>Fuzzing tool results (Burp Intruder, ffuf, RESTler), crash reports</t>
        </is>
      </c>
      <c r="E14" s="19" t="n"/>
    </row>
    <row r="15">
      <c r="A15" s="15" t="inlineStr">
        <is>
          <t>4.9</t>
        </is>
      </c>
      <c r="B15" s="16" t="inlineStr">
        <is>
          <t>API rate limiting and abuse prevention are tested</t>
        </is>
      </c>
      <c r="C15" s="17" t="n"/>
      <c r="D15" s="18" t="inlineStr">
        <is>
          <t>Rate limit test evidence, DoS protection testing, throttling validation</t>
        </is>
      </c>
      <c r="E15" s="19" t="n"/>
    </row>
    <row r="16">
      <c r="A16" s="15" t="inlineStr">
        <is>
          <t>4.10</t>
        </is>
      </c>
      <c r="B16" s="16" t="inlineStr">
        <is>
          <t>CORS configuration is validated for security</t>
        </is>
      </c>
      <c r="C16" s="17" t="n"/>
      <c r="D16" s="18" t="inlineStr">
        <is>
          <t>CORS test results, origin validation tests, preflight testing</t>
        </is>
      </c>
      <c r="E16" s="19" t="n"/>
    </row>
    <row r="17">
      <c r="A17" s="14" t="inlineStr">
        <is>
          <t>▶ Application Testing</t>
        </is>
      </c>
    </row>
    <row r="18">
      <c r="A18" s="15" t="inlineStr">
        <is>
          <t>4.11</t>
        </is>
      </c>
      <c r="B18" s="16" t="inlineStr">
        <is>
          <t>Security headers are validated in API responses</t>
        </is>
      </c>
      <c r="C18" s="17" t="n"/>
      <c r="D18" s="18" t="inlineStr">
        <is>
          <t>Header validation tests (HSTS, CSP, X-Frame-Options, etc.)</t>
        </is>
      </c>
      <c r="E18" s="19" t="n"/>
    </row>
    <row r="19">
      <c r="A19" s="14" t="inlineStr">
        <is>
          <t>▶ API Testing</t>
        </is>
      </c>
    </row>
    <row r="20">
      <c r="A20" s="15" t="inlineStr">
        <is>
          <t>4.12</t>
        </is>
      </c>
      <c r="B20" s="16" t="inlineStr">
        <is>
          <t>API error responses are tested for information disclosure</t>
        </is>
      </c>
      <c r="C20" s="17" t="n"/>
      <c r="D20" s="18" t="inlineStr">
        <is>
          <t>Error response security tests, stack trace prevention validation</t>
        </is>
      </c>
      <c r="E20" s="19" t="n"/>
    </row>
    <row r="21">
      <c r="A21" s="14" t="inlineStr">
        <is>
          <t>▶ Test Environment</t>
        </is>
      </c>
    </row>
    <row r="22">
      <c r="A22" s="15" t="inlineStr">
        <is>
          <t>4.13</t>
        </is>
      </c>
      <c r="B22" s="16" t="inlineStr">
        <is>
          <t>Staging/testing environment mirrors production security configuration</t>
        </is>
      </c>
      <c r="C22" s="17" t="n"/>
      <c r="D22" s="18" t="inlineStr">
        <is>
          <t>Environment parity documentation, configuration comparison</t>
        </is>
      </c>
      <c r="E22" s="19" t="n"/>
    </row>
    <row r="23">
      <c r="A23" s="15" t="inlineStr">
        <is>
          <t>4.14</t>
        </is>
      </c>
      <c r="B23" s="16" t="inlineStr">
        <is>
          <t>Test data is sanitized and does not include production data</t>
        </is>
      </c>
      <c r="C23" s="17" t="n"/>
      <c r="D23" s="18" t="inlineStr">
        <is>
          <t>Test data management policy, data anonymization procedures</t>
        </is>
      </c>
      <c r="E23" s="19" t="n"/>
    </row>
    <row r="24">
      <c r="A24" s="14" t="inlineStr">
        <is>
          <t>▶ API Testing</t>
        </is>
      </c>
    </row>
    <row r="25">
      <c r="A25" s="15" t="inlineStr">
        <is>
          <t>4.15</t>
        </is>
      </c>
      <c r="B25" s="16" t="inlineStr">
        <is>
          <t>API documentation is security-reviewed for sensitive information disclosure</t>
        </is>
      </c>
      <c r="C25" s="17" t="n"/>
      <c r="D25" s="18" t="inlineStr">
        <is>
          <t>API documentation review records, Swagger/OpenAPI security review</t>
        </is>
      </c>
      <c r="E25" s="19" t="n"/>
    </row>
    <row r="26">
      <c r="A26" s="15" t="inlineStr">
        <is>
          <t>4.16</t>
        </is>
      </c>
      <c r="B26" s="16" t="inlineStr">
        <is>
          <t>GraphQL-specific security testing is performed (if applicable)</t>
        </is>
      </c>
      <c r="C26" s="17" t="n"/>
      <c r="D26" s="18" t="inlineStr">
        <is>
          <t>GraphQL introspection testing, query depth limiting, batching abuse tests</t>
        </is>
      </c>
      <c r="E26" s="19" t="n"/>
    </row>
    <row r="27">
      <c r="A27" s="14" t="inlineStr">
        <is>
          <t>▶ Application Testing</t>
        </is>
      </c>
    </row>
    <row r="28">
      <c r="A28" s="15" t="inlineStr">
        <is>
          <t>4.17</t>
        </is>
      </c>
      <c r="B28" s="16" t="inlineStr">
        <is>
          <t>WebSocket security is tested (if applicable)</t>
        </is>
      </c>
      <c r="C28" s="17" t="n"/>
      <c r="D28" s="18" t="inlineStr">
        <is>
          <t>WebSocket test scenarios, connection hijacking tests, message validation</t>
        </is>
      </c>
      <c r="E28" s="19" t="n"/>
    </row>
    <row r="29">
      <c r="A29" s="14" t="inlineStr">
        <is>
          <t>▶ API Testing</t>
        </is>
      </c>
    </row>
    <row r="30">
      <c r="A30" s="15" t="inlineStr">
        <is>
          <t>4.18</t>
        </is>
      </c>
      <c r="B30" s="16" t="inlineStr">
        <is>
          <t>API versioning security is validated across versions</t>
        </is>
      </c>
      <c r="C30" s="17" t="n"/>
      <c r="D30" s="18" t="inlineStr">
        <is>
          <t>Version security tests, deprecated endpoint validation, migration testing</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2:E2"/>
    <mergeCell ref="A13:F13"/>
    <mergeCell ref="A19:F19"/>
    <mergeCell ref="A9:F9"/>
    <mergeCell ref="A27:F27"/>
    <mergeCell ref="A1:E1"/>
    <mergeCell ref="A17:F17"/>
    <mergeCell ref="A4:F4"/>
    <mergeCell ref="A21:F21"/>
    <mergeCell ref="A29:F29"/>
  </mergeCells>
  <dataValidations count="1">
    <dataValidation sqref="C5 C6 C7 C8 C10 C11 C12 C14 C15 C16 C18 C20 C22 C23 C25 C26 C28 C30 C31 C32 C33 C34 C35 C36 C37 C38 C39 C40 C41 C42 C43 C44 C45 C46 C47 C48 C49 C50 C51 C52 C53 C54 C55 C56 C57 C58 C59 C60 C61 C62"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EXTERNAL TESTING &amp; CONTINUOUS VALIDATION</t>
        </is>
      </c>
    </row>
    <row r="2">
      <c r="A2" s="12" t="inlineStr">
        <is>
          <t>ISO 27001:2022 | Control A.8.28 | External Testing &amp; Continuous Validation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Penetration Testing</t>
        </is>
      </c>
    </row>
    <row r="5">
      <c r="A5" s="15" t="inlineStr">
        <is>
          <t>5.1</t>
        </is>
      </c>
      <c r="B5" s="16" t="inlineStr">
        <is>
          <t>Annual penetration testing is performed for critical applications</t>
        </is>
      </c>
      <c r="C5" s="17" t="n"/>
      <c r="D5" s="18" t="inlineStr">
        <is>
          <t>Penetration test reports from last 12 months, test schedules</t>
        </is>
      </c>
      <c r="E5" s="19" t="n"/>
    </row>
    <row r="6">
      <c r="A6" s="15" t="inlineStr">
        <is>
          <t>5.2</t>
        </is>
      </c>
      <c r="B6" s="16" t="inlineStr">
        <is>
          <t>Penetration test scope covers all critical applications and APIs</t>
        </is>
      </c>
      <c r="C6" s="17" t="n"/>
      <c r="D6" s="18" t="inlineStr">
        <is>
          <t>Pentest scope documentation, application inventory</t>
        </is>
      </c>
      <c r="E6" s="19" t="n"/>
    </row>
    <row r="7">
      <c r="A7" s="15" t="inlineStr">
        <is>
          <t>5.3</t>
        </is>
      </c>
      <c r="B7" s="16" t="inlineStr">
        <is>
          <t>Penetration test findings are prioritised by risk and severity</t>
        </is>
      </c>
      <c r="C7" s="17" t="n"/>
      <c r="D7" s="18" t="inlineStr">
        <is>
          <t>Risk-ranked findings list, severity classification methodology</t>
        </is>
      </c>
      <c r="E7" s="19" t="n"/>
    </row>
    <row r="8">
      <c r="A8" s="14" t="inlineStr">
        <is>
          <t>▶ Remediation</t>
        </is>
      </c>
    </row>
    <row r="9">
      <c r="A9" s="15" t="inlineStr">
        <is>
          <t>5.4</t>
        </is>
      </c>
      <c r="B9" s="16" t="inlineStr">
        <is>
          <t>Critical pentest findings are remediated within 30 days</t>
        </is>
      </c>
      <c r="C9" s="17" t="n"/>
      <c r="D9" s="18" t="inlineStr">
        <is>
          <t>Remediation tracking system, SLA compliance metrics</t>
        </is>
      </c>
      <c r="E9" s="19" t="n"/>
    </row>
    <row r="10">
      <c r="A10" s="14" t="inlineStr">
        <is>
          <t>▶ Penetration Testing</t>
        </is>
      </c>
    </row>
    <row r="11">
      <c r="A11" s="15" t="inlineStr">
        <is>
          <t>5.5</t>
        </is>
      </c>
      <c r="B11" s="16" t="inlineStr">
        <is>
          <t>Penetration test retest validates that fixes are effective</t>
        </is>
      </c>
      <c r="C11" s="17" t="n"/>
      <c r="D11" s="18" t="inlineStr">
        <is>
          <t>Retest reports, fix validation evidence</t>
        </is>
      </c>
      <c r="E11" s="19" t="n"/>
    </row>
    <row r="12">
      <c r="A12" s="14" t="inlineStr">
        <is>
          <t>▶ Bug Bounty</t>
        </is>
      </c>
    </row>
    <row r="13">
      <c r="A13" s="15" t="inlineStr">
        <is>
          <t>5.6</t>
        </is>
      </c>
      <c r="B13" s="16" t="inlineStr">
        <is>
          <t>Bug bounty or responsible disclosure program is active</t>
        </is>
      </c>
      <c r="C13" s="17" t="n"/>
      <c r="D13" s="18" t="inlineStr">
        <is>
          <t>Bug bounty platform documentation (HackerOne, Bugcrowd), program page</t>
        </is>
      </c>
      <c r="E13" s="19" t="n"/>
    </row>
    <row r="14">
      <c r="A14" s="15" t="inlineStr">
        <is>
          <t>5.7</t>
        </is>
      </c>
      <c r="B14" s="16" t="inlineStr">
        <is>
          <t>Vulnerability disclosure policy is publicly published</t>
        </is>
      </c>
      <c r="C14" s="17" t="n"/>
      <c r="D14" s="18" t="inlineStr">
        <is>
          <t>Published security.txt or vulnerability disclosure policy URL</t>
        </is>
      </c>
      <c r="E14" s="19" t="n"/>
    </row>
    <row r="15">
      <c r="A15" s="15" t="inlineStr">
        <is>
          <t>5.8</t>
        </is>
      </c>
      <c r="B15" s="16" t="inlineStr">
        <is>
          <t>External vulnerability submissions are triaged within 48 hours</t>
        </is>
      </c>
      <c r="C15" s="17" t="n"/>
      <c r="D15" s="18" t="inlineStr">
        <is>
          <t>Triage SLA metrics, response time tracking</t>
        </is>
      </c>
      <c r="E15" s="19" t="n"/>
    </row>
    <row r="16">
      <c r="A16" s="15" t="inlineStr">
        <is>
          <t>5.9</t>
        </is>
      </c>
      <c r="B16" s="16" t="inlineStr">
        <is>
          <t>Security researcher communication is handled professionally</t>
        </is>
      </c>
      <c r="C16" s="17" t="n"/>
      <c r="D16" s="18" t="inlineStr">
        <is>
          <t>Communication templates, researcher feedback, response examples</t>
        </is>
      </c>
      <c r="E16" s="19" t="n"/>
    </row>
    <row r="17">
      <c r="A17" s="15" t="inlineStr">
        <is>
          <t>5.10</t>
        </is>
      </c>
      <c r="B17" s="16" t="inlineStr">
        <is>
          <t>Bug bounty payments are tracked and processed timely</t>
        </is>
      </c>
      <c r="C17" s="17" t="n"/>
      <c r="D17" s="18" t="inlineStr">
        <is>
          <t>Payment records, payout tracking, bounty statistics</t>
        </is>
      </c>
      <c r="E17" s="19" t="n"/>
    </row>
    <row r="18">
      <c r="A18" s="14" t="inlineStr">
        <is>
          <t>▶ Regression Testing</t>
        </is>
      </c>
    </row>
    <row r="19">
      <c r="A19" s="15" t="inlineStr">
        <is>
          <t>5.11</t>
        </is>
      </c>
      <c r="B19" s="16" t="inlineStr">
        <is>
          <t>Security regression tests exist for all past critical vulnerabilities</t>
        </is>
      </c>
      <c r="C19" s="17" t="n"/>
      <c r="D19" s="18" t="inlineStr">
        <is>
          <t>Regression test suite, vulnerability-specific tests</t>
        </is>
      </c>
      <c r="E19" s="19" t="n"/>
    </row>
    <row r="20">
      <c r="A20" s="15" t="inlineStr">
        <is>
          <t>5.12</t>
        </is>
      </c>
      <c r="B20" s="16" t="inlineStr">
        <is>
          <t>Security regression tests run automatically in CI/CD</t>
        </is>
      </c>
      <c r="C20" s="17" t="n"/>
      <c r="D20" s="18" t="inlineStr">
        <is>
          <t>CI/CD regression test execution logs, test automation</t>
        </is>
      </c>
      <c r="E20" s="19" t="n"/>
    </row>
    <row r="21">
      <c r="A21" s="14" t="inlineStr">
        <is>
          <t>▶ Metrics</t>
        </is>
      </c>
    </row>
    <row r="22">
      <c r="A22" s="15" t="inlineStr">
        <is>
          <t>5.13</t>
        </is>
      </c>
      <c r="B22" s="16" t="inlineStr">
        <is>
          <t>Security testing metrics are tracked over time</t>
        </is>
      </c>
      <c r="C22" s="17" t="n"/>
      <c r="D22" s="18" t="inlineStr">
        <is>
          <t>Historical metrics dashboard, trend analysis</t>
        </is>
      </c>
      <c r="E22" s="19" t="n"/>
    </row>
    <row r="23">
      <c r="A23" s="15" t="inlineStr">
        <is>
          <t>5.14</t>
        </is>
      </c>
      <c r="B23" s="16" t="inlineStr">
        <is>
          <t>Vulnerability trends are analysed to identify patterns</t>
        </is>
      </c>
      <c r="C23" s="17" t="n"/>
      <c r="D23" s="18" t="inlineStr">
        <is>
          <t>Vulnerability trend analysis reports, root cause analysis</t>
        </is>
      </c>
      <c r="E23" s="19" t="n"/>
    </row>
    <row r="24">
      <c r="A24" s="15" t="inlineStr">
        <is>
          <t>5.15</t>
        </is>
      </c>
      <c r="B24" s="16" t="inlineStr">
        <is>
          <t>Testing effectiveness is measured with KPIs</t>
        </is>
      </c>
      <c r="C24" s="17" t="n"/>
      <c r="D24" s="18" t="inlineStr">
        <is>
          <t>Testing effectiveness KPIs, detection rate metrics</t>
        </is>
      </c>
      <c r="E24" s="19" t="n"/>
    </row>
    <row r="25">
      <c r="A25" s="14" t="inlineStr">
        <is>
          <t>▶ Continuous Improvement</t>
        </is>
      </c>
    </row>
    <row r="26">
      <c r="A26" s="15" t="inlineStr">
        <is>
          <t>5.16</t>
        </is>
      </c>
      <c r="B26" s="16" t="inlineStr">
        <is>
          <t>False negative analysis is performed after security incidents</t>
        </is>
      </c>
      <c r="C26" s="17" t="n"/>
      <c r="D26" s="18" t="inlineStr">
        <is>
          <t>Post-incident analysis reports, testing gap assessments</t>
        </is>
      </c>
      <c r="E26" s="19" t="n"/>
    </row>
    <row r="27">
      <c r="A27" s="15" t="inlineStr">
        <is>
          <t>5.17</t>
        </is>
      </c>
      <c r="B27" s="16" t="inlineStr">
        <is>
          <t>Testing gaps identified in incidents are addressed systematically</t>
        </is>
      </c>
      <c r="C27" s="17" t="n"/>
      <c r="D27" s="18" t="inlineStr">
        <is>
          <t>Gap remediation plans, testing enhancement initiatives</t>
        </is>
      </c>
      <c r="E27" s="19" t="n"/>
    </row>
    <row r="28">
      <c r="A28" s="15" t="inlineStr">
        <is>
          <t>5.18</t>
        </is>
      </c>
      <c r="B28" s="16" t="inlineStr">
        <is>
          <t>Continuous improvement process drives testing program evolution</t>
        </is>
      </c>
      <c r="C28" s="17" t="n"/>
      <c r="D28" s="18" t="inlineStr">
        <is>
          <t>Improvement backlog, testing maturity roadmap</t>
        </is>
      </c>
      <c r="E28" s="19" t="n"/>
    </row>
    <row r="29">
      <c r="A29" s="6" t="n"/>
      <c r="B29" s="6" t="n"/>
      <c r="C29" s="17" t="n"/>
      <c r="D29" s="19" t="n"/>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sheetData>
  <mergeCells count="9">
    <mergeCell ref="A10:F10"/>
    <mergeCell ref="A2:E2"/>
    <mergeCell ref="A8:F8"/>
    <mergeCell ref="A1:E1"/>
    <mergeCell ref="A12:F12"/>
    <mergeCell ref="A4:F4"/>
    <mergeCell ref="A18:F18"/>
    <mergeCell ref="A21:F21"/>
    <mergeCell ref="A25:F25"/>
  </mergeCells>
  <dataValidations count="1">
    <dataValidation sqref="C5 C6 C7 C9 C11 C13 C14 C15 C16 C17 C19 C20 C22 C23 C24 C26 C27 C28 C29 C30 C31 C32 C33 C34 C35 C36 C37 C38 C39 C40 C41 C42 C43 C44 C45 C46 C47 C48 C49 C50 C51 C52 C53 C54 C55 C56 C57 C58 C59 C60"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3" t="inlineStr">
        <is>
          <t>Test Data Inventory</t>
        </is>
      </c>
      <c r="C5" s="23" t="inlineStr">
        <is>
          <t>Configuration file</t>
        </is>
      </c>
      <c r="D5" s="23" t="inlineStr">
        <is>
          <t>Data masking configuration for UAT environment</t>
        </is>
      </c>
      <c r="E5" s="23" t="inlineStr">
        <is>
          <t>\fileserver\isms\evidence\test-data\uat-masking-config.json</t>
        </is>
      </c>
      <c r="F5" s="23" t="inlineStr">
        <is>
          <t>2024-03-01</t>
        </is>
      </c>
      <c r="G5" s="23" t="inlineStr">
        <is>
          <t>Sarah Mitchell</t>
        </is>
      </c>
      <c r="H5" s="23" t="inlineStr">
        <is>
          <t>Verified</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0" t="inlineStr">
        <is>
          <t>GAP ANALYSIS &amp; REMEDIATION PLAN</t>
        </is>
      </c>
    </row>
    <row r="2">
      <c r="A2" s="25" t="inlineStr">
        <is>
          <t>Document all 'Not Implemented' and 'Partially Implemented' requirements. Assign owners, set target dates, and track remediation progress.</t>
        </is>
      </c>
    </row>
    <row r="3">
      <c r="A3" s="26" t="inlineStr">
        <is>
          <t>Gap ID</t>
        </is>
      </c>
      <c r="B3" s="26" t="inlineStr">
        <is>
          <t>Domain</t>
        </is>
      </c>
      <c r="C3" s="26" t="inlineStr">
        <is>
          <t>Requirement ID</t>
        </is>
      </c>
      <c r="D3" s="26" t="inlineStr">
        <is>
          <t>Requirement Description</t>
        </is>
      </c>
      <c r="E3" s="26" t="inlineStr">
        <is>
          <t>Current State</t>
        </is>
      </c>
      <c r="F3" s="26" t="inlineStr">
        <is>
          <t>Target State</t>
        </is>
      </c>
      <c r="G3" s="26" t="inlineStr">
        <is>
          <t>Priority</t>
        </is>
      </c>
      <c r="H3" s="26" t="inlineStr">
        <is>
          <t>Owner</t>
        </is>
      </c>
      <c r="I3" s="26" t="inlineStr">
        <is>
          <t>Target Date</t>
        </is>
      </c>
      <c r="J3" s="26" t="inlineStr">
        <is>
          <t>Status</t>
        </is>
      </c>
    </row>
    <row r="4">
      <c r="A4" s="23" t="inlineStr">
        <is>
          <t>GAP-001</t>
        </is>
      </c>
      <c r="B4" s="23" t="inlineStr">
        <is>
          <t>Code Review Process</t>
        </is>
      </c>
      <c r="C4" s="23" t="inlineStr">
        <is>
          <t>1.3</t>
        </is>
      </c>
      <c r="D4" s="23" t="inlineStr">
        <is>
          <t>Security-focused code review checklist used</t>
        </is>
      </c>
      <c r="E4" s="23" t="inlineStr">
        <is>
          <t>Generic code review without security focus</t>
        </is>
      </c>
      <c r="F4" s="23" t="inlineStr">
        <is>
          <t>OWASP Code Review Guide checklist integrated</t>
        </is>
      </c>
      <c r="G4" s="23" t="inlineStr">
        <is>
          <t>Critical</t>
        </is>
      </c>
      <c r="H4" s="23" t="inlineStr">
        <is>
          <t>Security Champion</t>
        </is>
      </c>
      <c r="I4" s="23" t="inlineStr">
        <is>
          <t>15.02.2025</t>
        </is>
      </c>
      <c r="J4" s="23" t="inlineStr">
        <is>
          <t>Open</t>
        </is>
      </c>
    </row>
    <row r="5">
      <c r="A5" s="24" t="n"/>
      <c r="B5" s="24" t="n"/>
      <c r="C5" s="24" t="n"/>
      <c r="D5" s="24" t="n"/>
      <c r="E5" s="24" t="n"/>
      <c r="F5" s="24" t="n"/>
      <c r="G5" s="24" t="n"/>
      <c r="H5" s="24" t="n"/>
      <c r="I5" s="24" t="n"/>
      <c r="J5" s="24" t="n"/>
    </row>
    <row r="6">
      <c r="A6" s="24" t="n"/>
      <c r="B6" s="24" t="n"/>
      <c r="C6" s="24" t="n"/>
      <c r="D6" s="24" t="n"/>
      <c r="E6" s="24" t="n"/>
      <c r="F6" s="24" t="n"/>
      <c r="G6" s="24" t="n"/>
      <c r="H6" s="24" t="n"/>
      <c r="I6" s="24" t="n"/>
      <c r="J6" s="24" t="n"/>
    </row>
    <row r="7">
      <c r="A7" s="24" t="n"/>
      <c r="B7" s="24" t="n"/>
      <c r="C7" s="24" t="n"/>
      <c r="D7" s="24" t="n"/>
      <c r="E7" s="24" t="n"/>
      <c r="F7" s="24" t="n"/>
      <c r="G7" s="24" t="n"/>
      <c r="H7" s="24" t="n"/>
      <c r="I7" s="24" t="n"/>
      <c r="J7" s="24" t="n"/>
    </row>
    <row r="8">
      <c r="A8" s="24" t="n"/>
      <c r="B8" s="24" t="n"/>
      <c r="C8" s="24" t="n"/>
      <c r="D8" s="24" t="n"/>
      <c r="E8" s="24" t="n"/>
      <c r="F8" s="24" t="n"/>
      <c r="G8" s="24" t="n"/>
      <c r="H8" s="24" t="n"/>
      <c r="I8" s="24" t="n"/>
      <c r="J8" s="24" t="n"/>
    </row>
    <row r="9">
      <c r="A9" s="24" t="n"/>
      <c r="B9" s="24" t="n"/>
      <c r="C9" s="24" t="n"/>
      <c r="D9" s="24" t="n"/>
      <c r="E9" s="24" t="n"/>
      <c r="F9" s="24" t="n"/>
      <c r="G9" s="24" t="n"/>
      <c r="H9" s="24" t="n"/>
      <c r="I9" s="24" t="n"/>
      <c r="J9" s="24" t="n"/>
    </row>
    <row r="10">
      <c r="A10" s="24" t="n"/>
      <c r="B10" s="24" t="n"/>
      <c r="C10" s="24" t="n"/>
      <c r="D10" s="24" t="n"/>
      <c r="E10" s="24" t="n"/>
      <c r="F10" s="24" t="n"/>
      <c r="G10" s="24" t="n"/>
      <c r="H10" s="24" t="n"/>
      <c r="I10" s="24" t="n"/>
      <c r="J10" s="24" t="n"/>
    </row>
    <row r="11">
      <c r="A11" s="24" t="n"/>
      <c r="B11" s="24" t="n"/>
      <c r="C11" s="24" t="n"/>
      <c r="D11" s="24" t="n"/>
      <c r="E11" s="24" t="n"/>
      <c r="F11" s="24" t="n"/>
      <c r="G11" s="24" t="n"/>
      <c r="H11" s="24" t="n"/>
      <c r="I11" s="24" t="n"/>
      <c r="J11" s="24" t="n"/>
    </row>
    <row r="12">
      <c r="A12" s="24" t="n"/>
      <c r="B12" s="24" t="n"/>
      <c r="C12" s="24" t="n"/>
      <c r="D12" s="24" t="n"/>
      <c r="E12" s="24" t="n"/>
      <c r="F12" s="24" t="n"/>
      <c r="G12" s="24" t="n"/>
      <c r="H12" s="24" t="n"/>
      <c r="I12" s="24" t="n"/>
      <c r="J12" s="24" t="n"/>
    </row>
    <row r="13">
      <c r="A13" s="24" t="n"/>
      <c r="B13" s="24" t="n"/>
      <c r="C13" s="24" t="n"/>
      <c r="D13" s="24" t="n"/>
      <c r="E13" s="24" t="n"/>
      <c r="F13" s="24" t="n"/>
      <c r="G13" s="24" t="n"/>
      <c r="H13" s="24" t="n"/>
      <c r="I13" s="24" t="n"/>
      <c r="J13" s="24" t="n"/>
    </row>
    <row r="14">
      <c r="A14" s="24" t="n"/>
      <c r="B14" s="24" t="n"/>
      <c r="C14" s="24" t="n"/>
      <c r="D14" s="24" t="n"/>
      <c r="E14" s="24" t="n"/>
      <c r="F14" s="24" t="n"/>
      <c r="G14" s="24" t="n"/>
      <c r="H14" s="24" t="n"/>
      <c r="I14" s="24" t="n"/>
      <c r="J14" s="24" t="n"/>
    </row>
    <row r="15">
      <c r="A15" s="24" t="n"/>
      <c r="B15" s="24" t="n"/>
      <c r="C15" s="24" t="n"/>
      <c r="D15" s="24" t="n"/>
      <c r="E15" s="24" t="n"/>
      <c r="F15" s="24" t="n"/>
      <c r="G15" s="24" t="n"/>
      <c r="H15" s="24" t="n"/>
      <c r="I15" s="24" t="n"/>
      <c r="J15" s="24" t="n"/>
    </row>
    <row r="16">
      <c r="A16" s="24" t="n"/>
      <c r="B16" s="24" t="n"/>
      <c r="C16" s="24" t="n"/>
      <c r="D16" s="24" t="n"/>
      <c r="E16" s="24" t="n"/>
      <c r="F16" s="24" t="n"/>
      <c r="G16" s="24" t="n"/>
      <c r="H16" s="24" t="n"/>
      <c r="I16" s="24" t="n"/>
      <c r="J16" s="24" t="n"/>
    </row>
    <row r="17">
      <c r="A17" s="24" t="n"/>
      <c r="B17" s="24" t="n"/>
      <c r="C17" s="24" t="n"/>
      <c r="D17" s="24" t="n"/>
      <c r="E17" s="24" t="n"/>
      <c r="F17" s="24" t="n"/>
      <c r="G17" s="24" t="n"/>
      <c r="H17" s="24" t="n"/>
      <c r="I17" s="24" t="n"/>
      <c r="J17" s="24" t="n"/>
    </row>
    <row r="18">
      <c r="A18" s="24" t="n"/>
      <c r="B18" s="24" t="n"/>
      <c r="C18" s="24" t="n"/>
      <c r="D18" s="24" t="n"/>
      <c r="E18" s="24" t="n"/>
      <c r="F18" s="24" t="n"/>
      <c r="G18" s="24" t="n"/>
      <c r="H18" s="24" t="n"/>
      <c r="I18" s="24" t="n"/>
      <c r="J18" s="24" t="n"/>
    </row>
    <row r="19">
      <c r="A19" s="24" t="n"/>
      <c r="B19" s="24" t="n"/>
      <c r="C19" s="24" t="n"/>
      <c r="D19" s="24" t="n"/>
      <c r="E19" s="24" t="n"/>
      <c r="F19" s="24" t="n"/>
      <c r="G19" s="24" t="n"/>
      <c r="H19" s="24" t="n"/>
      <c r="I19" s="24" t="n"/>
      <c r="J19" s="24" t="n"/>
    </row>
    <row r="20">
      <c r="A20" s="24" t="n"/>
      <c r="B20" s="24" t="n"/>
      <c r="C20" s="24" t="n"/>
      <c r="D20" s="24" t="n"/>
      <c r="E20" s="24" t="n"/>
      <c r="F20" s="24" t="n"/>
      <c r="G20" s="24" t="n"/>
      <c r="H20" s="24" t="n"/>
      <c r="I20" s="24" t="n"/>
      <c r="J20" s="24" t="n"/>
    </row>
    <row r="21">
      <c r="A21" s="24" t="n"/>
      <c r="B21" s="24" t="n"/>
      <c r="C21" s="24" t="n"/>
      <c r="D21" s="24" t="n"/>
      <c r="E21" s="24" t="n"/>
      <c r="F21" s="24" t="n"/>
      <c r="G21" s="24" t="n"/>
      <c r="H21" s="24" t="n"/>
      <c r="I21" s="24" t="n"/>
      <c r="J21" s="24" t="n"/>
    </row>
    <row r="22">
      <c r="A22" s="24" t="n"/>
      <c r="B22" s="24" t="n"/>
      <c r="C22" s="24" t="n"/>
      <c r="D22" s="24" t="n"/>
      <c r="E22" s="24" t="n"/>
      <c r="F22" s="24" t="n"/>
      <c r="G22" s="24" t="n"/>
      <c r="H22" s="24" t="n"/>
      <c r="I22" s="24" t="n"/>
      <c r="J22" s="24" t="n"/>
    </row>
    <row r="23">
      <c r="A23" s="24" t="n"/>
      <c r="B23" s="24" t="n"/>
      <c r="C23" s="24" t="n"/>
      <c r="D23" s="24" t="n"/>
      <c r="E23" s="24" t="n"/>
      <c r="F23" s="24" t="n"/>
      <c r="G23" s="24" t="n"/>
      <c r="H23" s="24" t="n"/>
      <c r="I23" s="24" t="n"/>
      <c r="J23" s="24" t="n"/>
    </row>
    <row r="24">
      <c r="A24" s="24" t="n"/>
      <c r="B24" s="24" t="n"/>
      <c r="C24" s="24" t="n"/>
      <c r="D24" s="24" t="n"/>
      <c r="E24" s="24" t="n"/>
      <c r="F24" s="24" t="n"/>
      <c r="G24" s="24" t="n"/>
      <c r="H24" s="24" t="n"/>
      <c r="I24" s="24" t="n"/>
      <c r="J24" s="24" t="n"/>
    </row>
    <row r="25">
      <c r="A25" s="24" t="n"/>
      <c r="B25" s="24" t="n"/>
      <c r="C25" s="24" t="n"/>
      <c r="D25" s="24" t="n"/>
      <c r="E25" s="24" t="n"/>
      <c r="F25" s="24" t="n"/>
      <c r="G25" s="24" t="n"/>
      <c r="H25" s="24" t="n"/>
      <c r="I25" s="24" t="n"/>
      <c r="J25" s="24" t="n"/>
    </row>
    <row r="26">
      <c r="A26" s="24" t="n"/>
      <c r="B26" s="24" t="n"/>
      <c r="C26" s="24" t="n"/>
      <c r="D26" s="24" t="n"/>
      <c r="E26" s="24" t="n"/>
      <c r="F26" s="24" t="n"/>
      <c r="G26" s="24" t="n"/>
      <c r="H26" s="24" t="n"/>
      <c r="I26" s="24" t="n"/>
      <c r="J26" s="24" t="n"/>
    </row>
    <row r="27">
      <c r="A27" s="24" t="n"/>
      <c r="B27" s="24" t="n"/>
      <c r="C27" s="24" t="n"/>
      <c r="D27" s="24" t="n"/>
      <c r="E27" s="24" t="n"/>
      <c r="F27" s="24" t="n"/>
      <c r="G27" s="24" t="n"/>
      <c r="H27" s="24" t="n"/>
      <c r="I27" s="24" t="n"/>
      <c r="J27" s="24" t="n"/>
    </row>
    <row r="28">
      <c r="A28" s="24" t="n"/>
      <c r="B28" s="24" t="n"/>
      <c r="C28" s="24" t="n"/>
      <c r="D28" s="24" t="n"/>
      <c r="E28" s="24" t="n"/>
      <c r="F28" s="24" t="n"/>
      <c r="G28" s="24" t="n"/>
      <c r="H28" s="24" t="n"/>
      <c r="I28" s="24" t="n"/>
      <c r="J28" s="24" t="n"/>
    </row>
    <row r="29">
      <c r="A29" s="24" t="n"/>
      <c r="B29" s="24" t="n"/>
      <c r="C29" s="24" t="n"/>
      <c r="D29" s="24" t="n"/>
      <c r="E29" s="24" t="n"/>
      <c r="F29" s="24" t="n"/>
      <c r="G29" s="24" t="n"/>
      <c r="H29" s="24" t="n"/>
      <c r="I29" s="24" t="n"/>
      <c r="J29" s="24" t="n"/>
    </row>
    <row r="30">
      <c r="A30" s="24" t="n"/>
      <c r="B30" s="24" t="n"/>
      <c r="C30" s="24" t="n"/>
      <c r="D30" s="24" t="n"/>
      <c r="E30" s="24" t="n"/>
      <c r="F30" s="24" t="n"/>
      <c r="G30" s="24" t="n"/>
      <c r="H30" s="24" t="n"/>
      <c r="I30" s="24" t="n"/>
      <c r="J30" s="24" t="n"/>
    </row>
    <row r="31">
      <c r="A31" s="24" t="n"/>
      <c r="B31" s="24" t="n"/>
      <c r="C31" s="24" t="n"/>
      <c r="D31" s="24" t="n"/>
      <c r="E31" s="24" t="n"/>
      <c r="F31" s="24" t="n"/>
      <c r="G31" s="24" t="n"/>
      <c r="H31" s="24" t="n"/>
      <c r="I31" s="24" t="n"/>
      <c r="J31" s="24" t="n"/>
    </row>
    <row r="32">
      <c r="A32" s="24" t="n"/>
      <c r="B32" s="24" t="n"/>
      <c r="C32" s="24" t="n"/>
      <c r="D32" s="24" t="n"/>
      <c r="E32" s="24" t="n"/>
      <c r="F32" s="24" t="n"/>
      <c r="G32" s="24" t="n"/>
      <c r="H32" s="24" t="n"/>
      <c r="I32" s="24" t="n"/>
      <c r="J32" s="24" t="n"/>
    </row>
    <row r="33">
      <c r="A33" s="24" t="n"/>
      <c r="B33" s="24" t="n"/>
      <c r="C33" s="24" t="n"/>
      <c r="D33" s="24" t="n"/>
      <c r="E33" s="24" t="n"/>
      <c r="F33" s="24" t="n"/>
      <c r="G33" s="24" t="n"/>
      <c r="H33" s="24" t="n"/>
      <c r="I33" s="24" t="n"/>
      <c r="J33" s="24" t="n"/>
    </row>
    <row r="34">
      <c r="A34" s="24" t="n"/>
      <c r="B34" s="24" t="n"/>
      <c r="C34" s="24" t="n"/>
      <c r="D34" s="24" t="n"/>
      <c r="E34" s="24" t="n"/>
      <c r="F34" s="24" t="n"/>
      <c r="G34" s="24" t="n"/>
      <c r="H34" s="24" t="n"/>
      <c r="I34" s="24" t="n"/>
      <c r="J34" s="24" t="n"/>
    </row>
    <row r="35">
      <c r="A35" s="24" t="n"/>
      <c r="B35" s="24" t="n"/>
      <c r="C35" s="24" t="n"/>
      <c r="D35" s="24" t="n"/>
      <c r="E35" s="24" t="n"/>
      <c r="F35" s="24" t="n"/>
      <c r="G35" s="24" t="n"/>
      <c r="H35" s="24" t="n"/>
      <c r="I35" s="24" t="n"/>
      <c r="J35" s="24" t="n"/>
    </row>
    <row r="36">
      <c r="A36" s="24" t="n"/>
      <c r="B36" s="24" t="n"/>
      <c r="C36" s="24" t="n"/>
      <c r="D36" s="24" t="n"/>
      <c r="E36" s="24" t="n"/>
      <c r="F36" s="24" t="n"/>
      <c r="G36" s="24" t="n"/>
      <c r="H36" s="24" t="n"/>
      <c r="I36" s="24" t="n"/>
      <c r="J36" s="24" t="n"/>
    </row>
    <row r="37">
      <c r="A37" s="24" t="n"/>
      <c r="B37" s="24" t="n"/>
      <c r="C37" s="24" t="n"/>
      <c r="D37" s="24" t="n"/>
      <c r="E37" s="24" t="n"/>
      <c r="F37" s="24" t="n"/>
      <c r="G37" s="24" t="n"/>
      <c r="H37" s="24" t="n"/>
      <c r="I37" s="24" t="n"/>
      <c r="J37" s="24" t="n"/>
    </row>
    <row r="38">
      <c r="A38" s="24" t="n"/>
      <c r="B38" s="24" t="n"/>
      <c r="C38" s="24" t="n"/>
      <c r="D38" s="24" t="n"/>
      <c r="E38" s="24" t="n"/>
      <c r="F38" s="24" t="n"/>
      <c r="G38" s="24" t="n"/>
      <c r="H38" s="24" t="n"/>
      <c r="I38" s="24" t="n"/>
      <c r="J38" s="24" t="n"/>
    </row>
    <row r="39">
      <c r="A39" s="24" t="n"/>
      <c r="B39" s="24" t="n"/>
      <c r="C39" s="24" t="n"/>
      <c r="D39" s="24" t="n"/>
      <c r="E39" s="24" t="n"/>
      <c r="F39" s="24" t="n"/>
      <c r="G39" s="24" t="n"/>
      <c r="H39" s="24" t="n"/>
      <c r="I39" s="24" t="n"/>
      <c r="J39" s="24" t="n"/>
    </row>
    <row r="40">
      <c r="A40" s="24" t="n"/>
      <c r="B40" s="24" t="n"/>
      <c r="C40" s="24" t="n"/>
      <c r="D40" s="24" t="n"/>
      <c r="E40" s="24" t="n"/>
      <c r="F40" s="24" t="n"/>
      <c r="G40" s="24" t="n"/>
      <c r="H40" s="24" t="n"/>
      <c r="I40" s="24" t="n"/>
      <c r="J40" s="24" t="n"/>
    </row>
    <row r="41">
      <c r="A41" s="24" t="n"/>
      <c r="B41" s="24" t="n"/>
      <c r="C41" s="24" t="n"/>
      <c r="D41" s="24" t="n"/>
      <c r="E41" s="24" t="n"/>
      <c r="F41" s="24" t="n"/>
      <c r="G41" s="24" t="n"/>
      <c r="H41" s="24" t="n"/>
      <c r="I41" s="24" t="n"/>
      <c r="J41" s="24" t="n"/>
    </row>
    <row r="42">
      <c r="A42" s="24" t="n"/>
      <c r="B42" s="24" t="n"/>
      <c r="C42" s="24" t="n"/>
      <c r="D42" s="24" t="n"/>
      <c r="E42" s="24" t="n"/>
      <c r="F42" s="24" t="n"/>
      <c r="G42" s="24" t="n"/>
      <c r="H42" s="24" t="n"/>
      <c r="I42" s="24" t="n"/>
      <c r="J42" s="24" t="n"/>
    </row>
    <row r="43">
      <c r="A43" s="24" t="n"/>
      <c r="B43" s="24" t="n"/>
      <c r="C43" s="24" t="n"/>
      <c r="D43" s="24" t="n"/>
      <c r="E43" s="24" t="n"/>
      <c r="F43" s="24" t="n"/>
      <c r="G43" s="24" t="n"/>
      <c r="H43" s="24" t="n"/>
      <c r="I43" s="24" t="n"/>
      <c r="J43" s="24" t="n"/>
    </row>
    <row r="44">
      <c r="A44" s="24" t="n"/>
      <c r="B44" s="24" t="n"/>
      <c r="C44" s="24" t="n"/>
      <c r="D44" s="24" t="n"/>
      <c r="E44" s="24" t="n"/>
      <c r="F44" s="24" t="n"/>
      <c r="G44" s="24" t="n"/>
      <c r="H44" s="24" t="n"/>
      <c r="I44" s="24" t="n"/>
      <c r="J44" s="24" t="n"/>
    </row>
    <row r="45">
      <c r="A45" s="24" t="n"/>
      <c r="B45" s="24" t="n"/>
      <c r="C45" s="24" t="n"/>
      <c r="D45" s="24" t="n"/>
      <c r="E45" s="24" t="n"/>
      <c r="F45" s="24" t="n"/>
      <c r="G45" s="24" t="n"/>
      <c r="H45" s="24" t="n"/>
      <c r="I45" s="24" t="n"/>
      <c r="J45" s="24" t="n"/>
    </row>
    <row r="46">
      <c r="A46" s="24" t="n"/>
      <c r="B46" s="24" t="n"/>
      <c r="C46" s="24" t="n"/>
      <c r="D46" s="24" t="n"/>
      <c r="E46" s="24" t="n"/>
      <c r="F46" s="24" t="n"/>
      <c r="G46" s="24" t="n"/>
      <c r="H46" s="24" t="n"/>
      <c r="I46" s="24" t="n"/>
      <c r="J46" s="24" t="n"/>
    </row>
    <row r="47">
      <c r="A47" s="24" t="n"/>
      <c r="B47" s="24" t="n"/>
      <c r="C47" s="24" t="n"/>
      <c r="D47" s="24" t="n"/>
      <c r="E47" s="24" t="n"/>
      <c r="F47" s="24" t="n"/>
      <c r="G47" s="24" t="n"/>
      <c r="H47" s="24" t="n"/>
      <c r="I47" s="24" t="n"/>
      <c r="J47" s="24" t="n"/>
    </row>
    <row r="48">
      <c r="A48" s="24" t="n"/>
      <c r="B48" s="24" t="n"/>
      <c r="C48" s="24" t="n"/>
      <c r="D48" s="24" t="n"/>
      <c r="E48" s="24" t="n"/>
      <c r="F48" s="24" t="n"/>
      <c r="G48" s="24" t="n"/>
      <c r="H48" s="24" t="n"/>
      <c r="I48" s="24" t="n"/>
      <c r="J48" s="24" t="n"/>
    </row>
    <row r="49">
      <c r="A49" s="24" t="n"/>
      <c r="B49" s="24" t="n"/>
      <c r="C49" s="24" t="n"/>
      <c r="D49" s="24" t="n"/>
      <c r="E49" s="24" t="n"/>
      <c r="F49" s="24" t="n"/>
      <c r="G49" s="24" t="n"/>
      <c r="H49" s="24" t="n"/>
      <c r="I49" s="24" t="n"/>
      <c r="J49" s="24" t="n"/>
    </row>
    <row r="50">
      <c r="A50" s="24" t="n"/>
      <c r="B50" s="24" t="n"/>
      <c r="C50" s="24" t="n"/>
      <c r="D50" s="24" t="n"/>
      <c r="E50" s="24" t="n"/>
      <c r="F50" s="24" t="n"/>
      <c r="G50" s="24" t="n"/>
      <c r="H50" s="24" t="n"/>
      <c r="I50" s="24" t="n"/>
      <c r="J50" s="24" t="n"/>
    </row>
    <row r="51">
      <c r="A51" s="24" t="n"/>
      <c r="B51" s="24" t="n"/>
      <c r="C51" s="24" t="n"/>
      <c r="D51" s="24" t="n"/>
      <c r="E51" s="24" t="n"/>
      <c r="F51" s="24" t="n"/>
      <c r="G51" s="24" t="n"/>
      <c r="H51" s="24" t="n"/>
      <c r="I51" s="24" t="n"/>
      <c r="J51" s="24" t="n"/>
    </row>
    <row r="52">
      <c r="A52" s="24" t="n"/>
      <c r="B52" s="24" t="n"/>
      <c r="C52" s="24" t="n"/>
      <c r="D52" s="24" t="n"/>
      <c r="E52" s="24" t="n"/>
      <c r="F52" s="24" t="n"/>
      <c r="G52" s="24" t="n"/>
      <c r="H52" s="24" t="n"/>
      <c r="I52" s="24" t="n"/>
      <c r="J52" s="24" t="n"/>
    </row>
    <row r="53">
      <c r="A53" s="24" t="n"/>
      <c r="B53" s="24" t="n"/>
      <c r="C53" s="24" t="n"/>
      <c r="D53" s="24" t="n"/>
      <c r="E53" s="24" t="n"/>
      <c r="F53" s="24" t="n"/>
      <c r="G53" s="24" t="n"/>
      <c r="H53" s="24" t="n"/>
      <c r="I53" s="24" t="n"/>
      <c r="J53" s="24" t="n"/>
    </row>
    <row r="54">
      <c r="A54" s="24" t="n"/>
      <c r="B54" s="24" t="n"/>
      <c r="C54" s="24" t="n"/>
      <c r="D54" s="24" t="n"/>
      <c r="E54" s="24" t="n"/>
      <c r="F54" s="24" t="n"/>
      <c r="G54" s="24" t="n"/>
      <c r="H54" s="24" t="n"/>
      <c r="I54" s="24" t="n"/>
      <c r="J54" s="24" t="n"/>
    </row>
  </sheetData>
  <mergeCells count="2">
    <mergeCell ref="A1:J1"/>
    <mergeCell ref="A2:J2"/>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7" t="inlineStr">
        <is>
          <t>CODE REVIEW AND SECURITY TESTING PROCESSES — SUMMARY DASHBOARD</t>
        </is>
      </c>
    </row>
    <row r="2">
      <c r="A2" s="12" t="inlineStr">
        <is>
          <t>ISO/IEC 27001:2022 Annex A.8.28 — Secure Coding | Code Review &amp; Testing Assessment</t>
        </is>
      </c>
    </row>
    <row r="4">
      <c r="A4" s="28" t="inlineStr">
        <is>
          <t>TABLE 1: ASSESSMENT AREA COMPLIANCE OVERVIEW</t>
        </is>
      </c>
      <c r="B4" s="6" t="n"/>
      <c r="C4" s="6" t="n"/>
      <c r="D4" s="6" t="n"/>
      <c r="E4" s="6" t="n"/>
      <c r="F4" s="6" t="n"/>
      <c r="G4" s="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6" t="inlineStr">
        <is>
          <t>Code Review Process</t>
        </is>
      </c>
      <c r="B6" s="30">
        <f>COUNTA('Code Review Process'!C4:C100)</f>
        <v/>
      </c>
      <c r="C6" s="30">
        <f>COUNTIF('Code Review Process'!C4:C100,"✅ Implemented")</f>
        <v/>
      </c>
      <c r="D6" s="30">
        <f>COUNTIF('Code Review Process'!C4:C100,"⚠️ Partially Implemented")</f>
        <v/>
      </c>
      <c r="E6" s="30">
        <f>COUNTIF('Code Review Process'!C4:C100,"❌ Not Implemented")</f>
        <v/>
      </c>
      <c r="F6" s="30">
        <f>COUNTIF('Code Review Process'!C4:C100,"N/A")</f>
        <v/>
      </c>
      <c r="G6" s="31">
        <f>IF((B6-F6)=0,0,C6/(B6-F6))</f>
        <v/>
      </c>
    </row>
    <row r="7">
      <c r="A7" s="6" t="inlineStr">
        <is>
          <t>Security Champion Review</t>
        </is>
      </c>
      <c r="B7" s="30">
        <f>COUNTA('Security Champion Review'!C4:C100)</f>
        <v/>
      </c>
      <c r="C7" s="30">
        <f>COUNTIF('Security Champion Review'!C4:C100,"✅ Implemented")</f>
        <v/>
      </c>
      <c r="D7" s="30">
        <f>COUNTIF('Security Champion Review'!C4:C100,"⚠️ Partially Implemented")</f>
        <v/>
      </c>
      <c r="E7" s="30">
        <f>COUNTIF('Security Champion Review'!C4:C100,"❌ Not Implemented")</f>
        <v/>
      </c>
      <c r="F7" s="30">
        <f>COUNTIF('Security Champion Review'!C4:C100,"N/A")</f>
        <v/>
      </c>
      <c r="G7" s="31">
        <f>IF((B7-F7)=0,0,C7/(B7-F7))</f>
        <v/>
      </c>
    </row>
    <row r="8">
      <c r="A8" s="6" t="inlineStr">
        <is>
          <t>Unit Integration Testing</t>
        </is>
      </c>
      <c r="B8" s="30">
        <f>COUNTA('Unit Integration Testing'!C4:C100)</f>
        <v/>
      </c>
      <c r="C8" s="30">
        <f>COUNTIF('Unit Integration Testing'!C4:C100,"✅ Implemented")</f>
        <v/>
      </c>
      <c r="D8" s="30">
        <f>COUNTIF('Unit Integration Testing'!C4:C100,"⚠️ Partially Implemented")</f>
        <v/>
      </c>
      <c r="E8" s="30">
        <f>COUNTIF('Unit Integration Testing'!C4:C100,"❌ Not Implemented")</f>
        <v/>
      </c>
      <c r="F8" s="30">
        <f>COUNTIF('Unit Integration Testing'!C4:C100,"N/A")</f>
        <v/>
      </c>
      <c r="G8" s="31">
        <f>IF((B8-F8)=0,0,C8/(B8-F8))</f>
        <v/>
      </c>
    </row>
    <row r="9">
      <c r="A9" s="6" t="inlineStr">
        <is>
          <t>API Application Testing</t>
        </is>
      </c>
      <c r="B9" s="30">
        <f>COUNTA('API Application Testing'!C4:C100)</f>
        <v/>
      </c>
      <c r="C9" s="30">
        <f>COUNTIF('API Application Testing'!C4:C100,"✅ Implemented")</f>
        <v/>
      </c>
      <c r="D9" s="30">
        <f>COUNTIF('API Application Testing'!C4:C100,"⚠️ Partially Implemented")</f>
        <v/>
      </c>
      <c r="E9" s="30">
        <f>COUNTIF('API Application Testing'!C4:C100,"❌ Not Implemented")</f>
        <v/>
      </c>
      <c r="F9" s="30">
        <f>COUNTIF('API Application Testing'!C4:C100,"N/A")</f>
        <v/>
      </c>
      <c r="G9" s="31">
        <f>IF((B9-F9)=0,0,C9/(B9-F9))</f>
        <v/>
      </c>
    </row>
    <row r="10">
      <c r="A10" s="6" t="inlineStr">
        <is>
          <t>External Testing Validation</t>
        </is>
      </c>
      <c r="B10" s="30">
        <f>COUNTA('External Testing Validation'!C4:C100)</f>
        <v/>
      </c>
      <c r="C10" s="30">
        <f>COUNTIF('External Testing Validation'!C4:C100,"✅ Implemented")</f>
        <v/>
      </c>
      <c r="D10" s="30">
        <f>COUNTIF('External Testing Validation'!C4:C100,"⚠️ Partially Implemented")</f>
        <v/>
      </c>
      <c r="E10" s="30">
        <f>COUNTIF('External Testing Validation'!C4:C100,"❌ Not Implemented")</f>
        <v/>
      </c>
      <c r="F10" s="30">
        <f>COUNTIF('External Testing Validation'!C4:C100,"N/A")</f>
        <v/>
      </c>
      <c r="G10" s="31">
        <f>IF((B10-F10)=0,0,C10/(B10-F10))</f>
        <v/>
      </c>
    </row>
    <row r="11">
      <c r="A11" s="32" t="inlineStr">
        <is>
          <t>TOTAL</t>
        </is>
      </c>
      <c r="B11" s="33">
        <f>SUM(B6:B10)</f>
        <v/>
      </c>
      <c r="C11" s="33">
        <f>SUM(C6:C10)</f>
        <v/>
      </c>
      <c r="D11" s="33">
        <f>SUM(D6:D10)</f>
        <v/>
      </c>
      <c r="E11" s="33">
        <f>SUM(E6:E10)</f>
        <v/>
      </c>
      <c r="F11" s="33">
        <f>SUM(F6:F10)</f>
        <v/>
      </c>
      <c r="G11" s="34">
        <f>IF((B11-F11)=0,0,C11/(B11-F11))</f>
        <v/>
      </c>
    </row>
    <row r="13">
      <c r="A13" s="28" t="inlineStr">
        <is>
          <t>TABLE 2: KEY METRICS</t>
        </is>
      </c>
      <c r="B13" s="6" t="n"/>
      <c r="C13" s="6" t="n"/>
      <c r="D13" s="6" t="n"/>
      <c r="E13" s="6" t="n"/>
      <c r="F13" s="6" t="n"/>
      <c r="G13" s="6" t="n"/>
    </row>
    <row r="14">
      <c r="A14" s="35" t="inlineStr">
        <is>
          <t>Metric</t>
        </is>
      </c>
      <c r="B14" s="35" t="inlineStr">
        <is>
          <t>Value</t>
        </is>
      </c>
      <c r="C14" s="35" t="inlineStr"/>
      <c r="D14" s="35" t="inlineStr"/>
      <c r="E14" s="35" t="inlineStr"/>
      <c r="F14" s="35" t="inlineStr"/>
      <c r="G14" s="35" t="inlineStr"/>
    </row>
    <row r="15">
      <c r="A15" s="36" t="inlineStr">
        <is>
          <t>Total Requirements Tracked</t>
        </is>
      </c>
      <c r="B15" s="37">
        <f>COUNTA('Code Review Process'!B5:B100)</f>
        <v/>
      </c>
      <c r="C15" s="6" t="n"/>
      <c r="D15" s="6" t="n"/>
      <c r="E15" s="6" t="n"/>
      <c r="F15" s="6" t="n"/>
      <c r="G15" s="6" t="n"/>
    </row>
    <row r="16">
      <c r="A16" s="36" t="inlineStr">
        <is>
          <t>Security Requirements Documented</t>
        </is>
      </c>
      <c r="B16" s="37">
        <f>COUNTIF('Code Review Process'!C5:C100,"✅ Implemented")</f>
        <v/>
      </c>
      <c r="C16" s="6" t="n"/>
      <c r="D16" s="6" t="n"/>
      <c r="E16" s="6" t="n"/>
      <c r="F16" s="6" t="n"/>
      <c r="G16" s="6" t="n"/>
    </row>
    <row r="17">
      <c r="A17" s="36" t="inlineStr">
        <is>
          <t>Threat Modeling Coverage</t>
        </is>
      </c>
      <c r="B17" s="37">
        <f>COUNTIF('Code Review Process'!C5:C100,"✅ Implemented")/COUNTA('Code Review Process'!B5:B100)</f>
        <v/>
      </c>
      <c r="C17" s="6" t="n"/>
      <c r="D17" s="6" t="n"/>
      <c r="E17" s="6" t="n"/>
      <c r="F17" s="6" t="n"/>
      <c r="G17" s="6" t="n"/>
    </row>
    <row r="18">
      <c r="A18" s="36" t="inlineStr">
        <is>
          <t>Total Dev Environment Controls</t>
        </is>
      </c>
      <c r="B18" s="37">
        <f>COUNTA('Security Champion Review'!B5:B100)</f>
        <v/>
      </c>
      <c r="C18" s="6" t="n"/>
      <c r="D18" s="6" t="n"/>
      <c r="E18" s="6" t="n"/>
      <c r="F18" s="6" t="n"/>
      <c r="G18" s="6" t="n"/>
    </row>
    <row r="19">
      <c r="A19" s="36" t="inlineStr">
        <is>
          <t>Workstations with Security Tools</t>
        </is>
      </c>
      <c r="B19" s="37">
        <f>COUNTIF('Security Champion Review'!C5:C100,"✅ Implemented")</f>
        <v/>
      </c>
      <c r="C19" s="6" t="n"/>
      <c r="D19" s="6" t="n"/>
      <c r="E19" s="6" t="n"/>
      <c r="F19" s="6" t="n"/>
      <c r="G19" s="6" t="n"/>
    </row>
    <row r="20">
      <c r="A20" s="36" t="inlineStr">
        <is>
          <t>Repository Security Controls</t>
        </is>
      </c>
      <c r="B20" s="37">
        <f>COUNTIF('Security Champion Review'!C5:C100,"✅ Implemented")</f>
        <v/>
      </c>
      <c r="C20" s="6" t="n"/>
      <c r="D20" s="6" t="n"/>
      <c r="E20" s="6" t="n"/>
      <c r="F20" s="6" t="n"/>
      <c r="G20" s="6" t="n"/>
    </row>
    <row r="21">
      <c r="A21" s="36" t="inlineStr">
        <is>
          <t>Total Pipeline Controls</t>
        </is>
      </c>
      <c r="B21" s="37">
        <f>COUNTA('Unit Integration Testing'!B5:B100)</f>
        <v/>
      </c>
      <c r="C21" s="6" t="n"/>
      <c r="D21" s="6" t="n"/>
      <c r="E21" s="6" t="n"/>
      <c r="F21" s="6" t="n"/>
      <c r="G21" s="6" t="n"/>
    </row>
    <row r="22">
      <c r="A22" s="36" t="inlineStr">
        <is>
          <t>Security Scans Integrated</t>
        </is>
      </c>
      <c r="B22" s="37">
        <f>COUNTIF('Unit Integration Testing'!C5:C100,"✅ Implemented")</f>
        <v/>
      </c>
      <c r="C22" s="6" t="n"/>
      <c r="D22" s="6" t="n"/>
      <c r="E22" s="6" t="n"/>
      <c r="F22" s="6" t="n"/>
      <c r="G22" s="6" t="n"/>
    </row>
    <row r="23">
      <c r="A23" s="36" t="inlineStr">
        <is>
          <t>Deployment Gates Active</t>
        </is>
      </c>
      <c r="B23" s="37">
        <f>COUNTIF('Unit Integration Testing'!C5:C100,"✅ Implemented")</f>
        <v/>
      </c>
      <c r="C23" s="6" t="n"/>
      <c r="D23" s="6" t="n"/>
      <c r="E23" s="6" t="n"/>
      <c r="F23" s="6" t="n"/>
      <c r="G23" s="6" t="n"/>
    </row>
    <row r="24">
      <c r="A24" s="36" t="inlineStr">
        <is>
          <t>Total Testing Controls</t>
        </is>
      </c>
      <c r="B24" s="37">
        <f>COUNTA('API Application Testing'!B5:B100)</f>
        <v/>
      </c>
      <c r="C24" s="6" t="n"/>
      <c r="D24" s="6" t="n"/>
      <c r="E24" s="6" t="n"/>
      <c r="F24" s="6" t="n"/>
      <c r="G24" s="6" t="n"/>
    </row>
    <row r="25">
      <c r="A25" s="36" t="inlineStr">
        <is>
          <t>SAST/DAST Integration</t>
        </is>
      </c>
      <c r="B25" s="37">
        <f>COUNTIF('API Application Testing'!C5:C100,"✅ Implemented")</f>
        <v/>
      </c>
      <c r="C25" s="6" t="n"/>
      <c r="D25" s="6" t="n"/>
      <c r="E25" s="6" t="n"/>
      <c r="F25" s="6" t="n"/>
      <c r="G25" s="6" t="n"/>
    </row>
    <row r="26">
      <c r="A26" s="36" t="inlineStr">
        <is>
          <t>Penetration Testing Coverage</t>
        </is>
      </c>
      <c r="B26" s="37">
        <f>COUNTIF('API Application Testing'!C5:C100,"✅ Implemented")</f>
        <v/>
      </c>
      <c r="C26" s="6" t="n"/>
      <c r="D26" s="6" t="n"/>
      <c r="E26" s="6" t="n"/>
      <c r="F26" s="6" t="n"/>
      <c r="G26" s="6" t="n"/>
    </row>
    <row r="27">
      <c r="A27" s="36" t="inlineStr">
        <is>
          <t>Total Release Controls</t>
        </is>
      </c>
      <c r="B27" s="37">
        <f>COUNTA('External Testing Validation'!B5:B100)</f>
        <v/>
      </c>
      <c r="C27" s="6" t="n"/>
      <c r="D27" s="6" t="n"/>
      <c r="E27" s="6" t="n"/>
      <c r="F27" s="6" t="n"/>
      <c r="G27" s="6" t="n"/>
    </row>
    <row r="28">
      <c r="A28" s="36" t="inlineStr">
        <is>
          <t>Approval Workflows Active</t>
        </is>
      </c>
      <c r="B28" s="37">
        <f>COUNTIF('External Testing Validation'!C5:C100,"✅ Implemented")</f>
        <v/>
      </c>
      <c r="C28" s="6" t="n"/>
      <c r="D28" s="6" t="n"/>
      <c r="E28" s="6" t="n"/>
      <c r="F28" s="6" t="n"/>
      <c r="G28" s="6" t="n"/>
    </row>
    <row r="29">
      <c r="A29" s="36" t="inlineStr">
        <is>
          <t>Change Management Compliance</t>
        </is>
      </c>
      <c r="B29" s="37">
        <f>COUNTIF('External Testing Validation'!C5:C100,"✅ Implemented")/COUNTA('External Testing Validation'!B5:B100)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8" t="inlineStr">
        <is>
          <t>TABLE 3: CRITICAL FINDINGS REQUIRING IMMEDIATE ATTENTION</t>
        </is>
      </c>
      <c r="B33" s="6" t="n"/>
      <c r="C33" s="6" t="n"/>
      <c r="D33" s="6" t="n"/>
      <c r="E33" s="6" t="n"/>
      <c r="F33" s="6" t="n"/>
      <c r="G33" s="6" t="n"/>
    </row>
    <row r="34">
      <c r="A34" s="35" t="inlineStr">
        <is>
          <t>Category</t>
        </is>
      </c>
      <c r="B34" s="35" t="inlineStr">
        <is>
          <t>Finding</t>
        </is>
      </c>
      <c r="C34" s="35" t="inlineStr">
        <is>
          <t>Count</t>
        </is>
      </c>
      <c r="D34" s="35" t="inlineStr">
        <is>
          <t>Severity</t>
        </is>
      </c>
      <c r="E34" s="35" t="inlineStr">
        <is>
          <t>Action Required</t>
        </is>
      </c>
      <c r="F34" s="35" t="inlineStr"/>
      <c r="G34" s="35" t="inlineStr"/>
    </row>
    <row r="35">
      <c r="A35" s="24" t="inlineStr">
        <is>
          <t>Code Review Process</t>
        </is>
      </c>
      <c r="B35" s="24" t="inlineStr">
        <is>
          <t>Requirements without security acceptance criteria</t>
        </is>
      </c>
      <c r="C35" s="39">
        <f>COUNTIF('Code Review Process'!C5:C100,"❌ Not Implemented")</f>
        <v/>
      </c>
      <c r="D35" s="24" t="inlineStr">
        <is>
          <t>Critical</t>
        </is>
      </c>
      <c r="E35" s="24" t="inlineStr">
        <is>
          <t>Immediate</t>
        </is>
      </c>
      <c r="F35" s="24" t="n"/>
      <c r="G35" s="24" t="n"/>
    </row>
    <row r="36">
      <c r="A36" s="24" t="inlineStr">
        <is>
          <t>Security Champion Review</t>
        </is>
      </c>
      <c r="B36" s="24" t="inlineStr">
        <is>
          <t>Developer workstations without EDR/security tools</t>
        </is>
      </c>
      <c r="C36" s="39">
        <f>COUNTIF('Security Champion Review'!C5:C100,"❌ Not Implemented")</f>
        <v/>
      </c>
      <c r="D36" s="24" t="inlineStr">
        <is>
          <t>Critical</t>
        </is>
      </c>
      <c r="E36" s="24" t="inlineStr">
        <is>
          <t>Immediate</t>
        </is>
      </c>
      <c r="F36" s="24" t="n"/>
      <c r="G36" s="24" t="n"/>
    </row>
    <row r="37">
      <c r="A37" s="24" t="inlineStr">
        <is>
          <t>Unit Integration Testing</t>
        </is>
      </c>
      <c r="B37" s="24" t="inlineStr">
        <is>
          <t>Pipelines without SAST/SCA scanning</t>
        </is>
      </c>
      <c r="C37" s="39">
        <f>COUNTIF('Unit Integration Testing'!C5:C100,"❌ Not Implemented")</f>
        <v/>
      </c>
      <c r="D37" s="24" t="inlineStr">
        <is>
          <t>Critical</t>
        </is>
      </c>
      <c r="E37" s="24" t="inlineStr">
        <is>
          <t>Immediate</t>
        </is>
      </c>
      <c r="F37" s="24" t="n"/>
      <c r="G37" s="24" t="n"/>
    </row>
    <row r="38">
      <c r="A38" s="24" t="inlineStr">
        <is>
          <t>API Application Testing</t>
        </is>
      </c>
      <c r="B38" s="24" t="inlineStr">
        <is>
          <t>Production code without security testing</t>
        </is>
      </c>
      <c r="C38" s="39">
        <f>COUNTIF('API Application Testing'!C5:C100,"❌ Not Implemented")</f>
        <v/>
      </c>
      <c r="D38" s="24" t="inlineStr">
        <is>
          <t>Critical</t>
        </is>
      </c>
      <c r="E38" s="24" t="inlineStr">
        <is>
          <t>Immediate</t>
        </is>
      </c>
      <c r="F38" s="24" t="n"/>
      <c r="G38" s="24" t="n"/>
    </row>
    <row r="39">
      <c r="A39" s="24" t="inlineStr">
        <is>
          <t>External Testing Validation</t>
        </is>
      </c>
      <c r="B39" s="24" t="inlineStr">
        <is>
          <t>Releases without security approval</t>
        </is>
      </c>
      <c r="C39" s="39">
        <f>COUNTIF('External Testing Validation'!C5:C100,"❌ Not Implemented")</f>
        <v/>
      </c>
      <c r="D39" s="24" t="inlineStr">
        <is>
          <t>Critical</t>
        </is>
      </c>
      <c r="E39" s="24" t="inlineStr">
        <is>
          <t>Immediate</t>
        </is>
      </c>
      <c r="F39" s="24" t="n"/>
      <c r="G39" s="24" t="n"/>
    </row>
    <row r="40">
      <c r="A40" s="24" t="inlineStr">
        <is>
          <t>Code Review Process</t>
        </is>
      </c>
      <c r="B40" s="24" t="inlineStr">
        <is>
          <t>Missing threat modeling for high-risk apps</t>
        </is>
      </c>
      <c r="C40" s="39">
        <f>COUNTIF('Code Review Process'!C5:C100,"⚠️ Partially Implemented")</f>
        <v/>
      </c>
      <c r="D40" s="24" t="inlineStr">
        <is>
          <t>High</t>
        </is>
      </c>
      <c r="E40" s="24" t="inlineStr">
        <is>
          <t>Urgent</t>
        </is>
      </c>
      <c r="F40" s="24" t="n"/>
      <c r="G40" s="24" t="n"/>
    </row>
    <row r="41">
      <c r="A41" s="24" t="inlineStr">
        <is>
          <t>Security Champion Review</t>
        </is>
      </c>
      <c r="B41" s="24" t="inlineStr">
        <is>
          <t>Repositories without MFA enforcement</t>
        </is>
      </c>
      <c r="C41" s="39">
        <f>COUNTIF('Security Champion Review'!C5:C100,"⚠️ Partially Implemented")</f>
        <v/>
      </c>
      <c r="D41" s="24" t="inlineStr">
        <is>
          <t>High</t>
        </is>
      </c>
      <c r="E41" s="24" t="inlineStr">
        <is>
          <t>Urgent</t>
        </is>
      </c>
      <c r="F41" s="24" t="n"/>
      <c r="G41" s="24" t="n"/>
    </row>
    <row r="42">
      <c r="A42" s="24" t="inlineStr">
        <is>
          <t>Unit Integration Testing</t>
        </is>
      </c>
      <c r="B42" s="24" t="inlineStr">
        <is>
          <t>Security gates not enforced</t>
        </is>
      </c>
      <c r="C42" s="39">
        <f>COUNTIF('Unit Integration Testing'!C5:C100,"⚠️ Partially Implemented")</f>
        <v/>
      </c>
      <c r="D42" s="24" t="inlineStr">
        <is>
          <t>High</t>
        </is>
      </c>
      <c r="E42" s="24" t="inlineStr">
        <is>
          <t>Urgent</t>
        </is>
      </c>
      <c r="F42" s="24" t="n"/>
      <c r="G42" s="24" t="n"/>
    </row>
    <row r="43">
      <c r="A43" s="24" t="inlineStr">
        <is>
          <t>API Application Testing</t>
        </is>
      </c>
      <c r="B43" s="24" t="inlineStr">
        <is>
          <t>Incomplete DAST coverage</t>
        </is>
      </c>
      <c r="C43" s="39">
        <f>COUNTIF('API Application Testing'!C5:C100,"⚠️ Partially Implemented")</f>
        <v/>
      </c>
      <c r="D43" s="24" t="inlineStr">
        <is>
          <t>High</t>
        </is>
      </c>
      <c r="E43" s="24" t="inlineStr">
        <is>
          <t>Urgent</t>
        </is>
      </c>
      <c r="F43" s="24" t="n"/>
      <c r="G43" s="24" t="n"/>
    </row>
    <row r="44">
      <c r="A44" s="24" t="inlineStr">
        <is>
          <t>External Testing Validation</t>
        </is>
      </c>
      <c r="B44" s="24" t="inlineStr">
        <is>
          <t>Emergency changes without post-review</t>
        </is>
      </c>
      <c r="C44" s="39">
        <f>COUNTIF('External Testing Validation'!C5:C100,"⚠️ Partially Implemented")</f>
        <v/>
      </c>
      <c r="D44" s="24" t="inlineStr">
        <is>
          <t>Medium</t>
        </is>
      </c>
      <c r="E44" s="24" t="inlineStr">
        <is>
          <t>Plan</t>
        </is>
      </c>
      <c r="F44" s="24" t="n"/>
      <c r="G44" s="24" t="n"/>
    </row>
    <row r="45">
      <c r="A45" s="24" t="n"/>
      <c r="B45" s="24" t="n"/>
      <c r="C45" s="24" t="n"/>
      <c r="D45" s="24" t="n"/>
      <c r="E45" s="24" t="n"/>
      <c r="F45" s="24" t="n"/>
      <c r="G45" s="24" t="n"/>
    </row>
    <row r="46">
      <c r="A46" s="24" t="n"/>
      <c r="B46" s="24" t="n"/>
      <c r="C46" s="24" t="n"/>
      <c r="D46" s="24" t="n"/>
      <c r="E46" s="24" t="n"/>
      <c r="F46" s="24" t="n"/>
      <c r="G46" s="24"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A.8.28: Secure Coding</t>
        </is>
      </c>
      <c r="B2" s="6" t="n"/>
      <c r="C2" s="6" t="n"/>
      <c r="D2" s="6" t="n"/>
      <c r="E2" s="6" t="n"/>
    </row>
    <row r="3">
      <c r="A3" s="42" t="inlineStr">
        <is>
          <t>ASSESSMENT SUMMARY</t>
        </is>
      </c>
      <c r="B3" s="6" t="n"/>
      <c r="C3" s="6" t="n"/>
      <c r="D3" s="6" t="n"/>
      <c r="E3" s="6" t="n"/>
    </row>
    <row r="4">
      <c r="A4" s="43" t="inlineStr">
        <is>
          <t>Document:</t>
        </is>
      </c>
      <c r="B4" s="6" t="inlineStr">
        <is>
          <t>ISMS-IMP-A.8.28.3 - Code Review &amp; Testing Assessment</t>
        </is>
      </c>
      <c r="C4" s="6" t="n"/>
      <c r="D4" s="6" t="n"/>
      <c r="E4" s="6" t="n"/>
    </row>
    <row r="5">
      <c r="A5" s="43" t="inlineStr">
        <is>
          <t>Assessment Period:</t>
        </is>
      </c>
      <c r="B5" s="24" t="inlineStr"/>
      <c r="C5" s="24" t="n"/>
      <c r="D5" s="24" t="n"/>
      <c r="E5" s="24" t="n"/>
    </row>
    <row r="6">
      <c r="A6" s="43" t="inlineStr">
        <is>
          <t>Overall Compliance Rating:</t>
        </is>
      </c>
      <c r="B6" s="6">
        <f>'Summary Dashboard'!G9</f>
        <v/>
      </c>
      <c r="C6" s="6" t="n"/>
      <c r="D6" s="6" t="n"/>
      <c r="E6" s="6" t="n"/>
    </row>
    <row r="7">
      <c r="A7" s="43" t="inlineStr">
        <is>
          <t>Assessment Status:</t>
        </is>
      </c>
      <c r="B7" s="24" t="inlineStr"/>
      <c r="C7" s="24" t="n"/>
      <c r="D7" s="24" t="n"/>
      <c r="E7" s="24" t="n"/>
    </row>
    <row r="8">
      <c r="A8" s="43" t="inlineStr">
        <is>
          <t>Assessed By:</t>
        </is>
      </c>
      <c r="B8" s="24" t="inlineStr"/>
      <c r="C8" s="24" t="n"/>
      <c r="D8" s="24" t="n"/>
      <c r="E8" s="24" t="n"/>
    </row>
    <row r="11">
      <c r="A11" s="42" t="inlineStr">
        <is>
          <t>COMPLETED BY (ASSESSOR)</t>
        </is>
      </c>
      <c r="B11" s="6" t="n"/>
      <c r="C11" s="6" t="n"/>
      <c r="D11" s="6" t="n"/>
      <c r="E11" s="6" t="n"/>
    </row>
    <row r="12">
      <c r="A12" s="43" t="inlineStr">
        <is>
          <t>Name:</t>
        </is>
      </c>
      <c r="B12" s="24" t="n"/>
      <c r="C12" s="24" t="n"/>
      <c r="D12" s="24" t="n"/>
      <c r="E12" s="24" t="n"/>
    </row>
    <row r="13">
      <c r="A13" s="43" t="inlineStr">
        <is>
          <t>Title:</t>
        </is>
      </c>
      <c r="B13" s="24" t="n"/>
      <c r="C13" s="24" t="n"/>
      <c r="D13" s="24" t="n"/>
      <c r="E13" s="24" t="n"/>
    </row>
    <row r="14">
      <c r="A14" s="43" t="inlineStr">
        <is>
          <t>Date:</t>
        </is>
      </c>
      <c r="B14" s="24" t="n"/>
      <c r="C14" s="24" t="n"/>
      <c r="D14" s="24" t="n"/>
      <c r="E14" s="24" t="n"/>
    </row>
    <row r="15">
      <c r="A15" s="43" t="inlineStr">
        <is>
          <t>Signature:</t>
        </is>
      </c>
      <c r="B15" s="24" t="n"/>
      <c r="C15" s="24" t="n"/>
      <c r="D15" s="24" t="n"/>
      <c r="E15" s="24" t="n"/>
    </row>
    <row r="16">
      <c r="A16" s="43" t="inlineStr">
        <is>
          <t>Comments:</t>
        </is>
      </c>
      <c r="B16" s="24" t="n"/>
      <c r="C16" s="24" t="n"/>
      <c r="D16" s="24" t="n"/>
      <c r="E16" s="24" t="n"/>
    </row>
    <row r="18">
      <c r="A18" s="42" t="inlineStr">
        <is>
          <t>REVIEWED BY (INFORMATION SECURITY OFFICER)</t>
        </is>
      </c>
      <c r="B18" s="6" t="n"/>
      <c r="C18" s="6" t="n"/>
      <c r="D18" s="6" t="n"/>
      <c r="E18" s="6" t="n"/>
    </row>
    <row r="19">
      <c r="A19" s="43" t="inlineStr">
        <is>
          <t>Name:</t>
        </is>
      </c>
      <c r="B19" s="24" t="n"/>
      <c r="C19" s="24" t="n"/>
      <c r="D19" s="24" t="n"/>
      <c r="E19" s="24" t="n"/>
    </row>
    <row r="20">
      <c r="A20" s="43" t="inlineStr">
        <is>
          <t>Title:</t>
        </is>
      </c>
      <c r="B20" s="24" t="n"/>
      <c r="C20" s="24" t="n"/>
      <c r="D20" s="24" t="n"/>
      <c r="E20" s="24" t="n"/>
    </row>
    <row r="21">
      <c r="A21" s="43" t="inlineStr">
        <is>
          <t>Date:</t>
        </is>
      </c>
      <c r="B21" s="24" t="n"/>
      <c r="C21" s="24" t="n"/>
      <c r="D21" s="24" t="n"/>
      <c r="E21" s="24" t="n"/>
    </row>
    <row r="22">
      <c r="A22" s="43" t="inlineStr">
        <is>
          <t>Signature:</t>
        </is>
      </c>
      <c r="B22" s="24" t="n"/>
      <c r="C22" s="24" t="n"/>
      <c r="D22" s="24" t="n"/>
      <c r="E22" s="24" t="n"/>
    </row>
    <row r="23">
      <c r="A23" s="43" t="inlineStr">
        <is>
          <t>Comments:</t>
        </is>
      </c>
      <c r="B23" s="24" t="n"/>
      <c r="C23" s="24" t="n"/>
      <c r="D23" s="24" t="n"/>
      <c r="E23" s="24" t="n"/>
    </row>
    <row r="25">
      <c r="A25" s="44" t="inlineStr">
        <is>
          <t>APPROVED BY (CISO)</t>
        </is>
      </c>
      <c r="B25" s="6" t="n"/>
      <c r="C25" s="6" t="n"/>
      <c r="D25" s="6" t="n"/>
      <c r="E25" s="6" t="n"/>
    </row>
    <row r="26">
      <c r="A26" s="43" t="inlineStr">
        <is>
          <t>Name:</t>
        </is>
      </c>
      <c r="B26" s="24" t="n"/>
      <c r="C26" s="24" t="n"/>
      <c r="D26" s="24" t="n"/>
      <c r="E26" s="24" t="n"/>
    </row>
    <row r="27">
      <c r="A27" s="43" t="inlineStr">
        <is>
          <t>Title:</t>
        </is>
      </c>
      <c r="B27" s="24" t="n"/>
      <c r="C27" s="24" t="n"/>
      <c r="D27" s="24" t="n"/>
      <c r="E27" s="24" t="n"/>
    </row>
    <row r="28">
      <c r="A28" s="43" t="inlineStr">
        <is>
          <t>Date:</t>
        </is>
      </c>
      <c r="B28" s="24" t="n"/>
      <c r="C28" s="24" t="n"/>
      <c r="D28" s="24" t="n"/>
      <c r="E28" s="24" t="n"/>
    </row>
    <row r="29">
      <c r="A29" s="43" t="inlineStr">
        <is>
          <t>Signature:</t>
        </is>
      </c>
      <c r="B29" s="24" t="n"/>
      <c r="C29" s="24" t="n"/>
      <c r="D29" s="24" t="n"/>
      <c r="E29" s="24" t="n"/>
    </row>
    <row r="30">
      <c r="A30" s="43" t="inlineStr">
        <is>
          <t>Comments:</t>
        </is>
      </c>
      <c r="B30" s="24" t="n"/>
      <c r="C30" s="24" t="n"/>
      <c r="D30" s="24" t="n"/>
      <c r="E30" s="24" t="n"/>
    </row>
    <row r="32">
      <c r="A32" s="43" t="inlineStr">
        <is>
          <t>FINAL DECISION:</t>
        </is>
      </c>
      <c r="B32" s="24" t="n"/>
      <c r="C32" s="24" t="n"/>
      <c r="D32" s="24" t="n"/>
      <c r="E32" s="24" t="n"/>
    </row>
    <row r="35">
      <c r="A35" s="42" t="inlineStr">
        <is>
          <t>NEXT REVIEW DETAILS</t>
        </is>
      </c>
      <c r="B35" s="6" t="n"/>
      <c r="C35" s="6" t="n"/>
      <c r="D35" s="6" t="n"/>
      <c r="E35" s="6" t="n"/>
    </row>
    <row r="36">
      <c r="A36" s="43" t="inlineStr">
        <is>
          <t>Next Review Date:</t>
        </is>
      </c>
      <c r="B36" s="24" t="n"/>
      <c r="C36" s="24" t="n"/>
      <c r="D36" s="24" t="n"/>
      <c r="E36" s="24" t="n"/>
    </row>
    <row r="37">
      <c r="A37" s="43" t="inlineStr">
        <is>
          <t>Review Responsible:</t>
        </is>
      </c>
      <c r="B37" s="24" t="n"/>
      <c r="C37" s="24" t="n"/>
      <c r="D37" s="24" t="n"/>
      <c r="E37" s="24" t="n"/>
    </row>
    <row r="38">
      <c r="A38" s="43" t="inlineStr">
        <is>
          <t>Special Considerations:</t>
        </is>
      </c>
      <c r="B38" s="24" t="n"/>
      <c r="C38" s="24" t="n"/>
      <c r="D38" s="24" t="n"/>
      <c r="E38" s="2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ISMS-IMP-A.8.28.3 — Code Review and Security Testing Processes</dc:title>
  <dc:description xmlns:dc="http://purl.org/dc/elements/1.1/">ISMS Implementation Workbook — ISMS-IMP-A.8.28.3</dc:description>
  <dc:subject xmlns:dc="http://purl.org/dc/elements/1.1/">ISO/IEC 27001:2022 — Control A.8.28: Secure Coding</dc:subject>
  <dcterms:created xmlns:dcterms="http://purl.org/dc/terms/" xmlns:xsi="http://www.w3.org/2001/XMLSchema-instance" xsi:type="dcterms:W3CDTF">2026-03-07T11:28:27Z</dcterms:created>
  <dcterms:modified xmlns:dcterms="http://purl.org/dc/terms/" xmlns:xsi="http://www.w3.org/2001/XMLSchema-instance" xsi:type="dcterms:W3CDTF">2026-03-07T11:28:27Z</dcterms:modified>
</cp:coreProperties>
</file>