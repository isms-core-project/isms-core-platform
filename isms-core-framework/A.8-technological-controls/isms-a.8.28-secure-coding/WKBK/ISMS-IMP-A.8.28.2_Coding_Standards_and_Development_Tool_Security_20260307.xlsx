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ding Standards Adoption" sheetId="2" state="visible" r:id="rId2"/>
    <sheet xmlns:r="http://schemas.openxmlformats.org/officeDocument/2006/relationships" name="SAST SCA Tools" sheetId="3" state="visible" r:id="rId3"/>
    <sheet xmlns:r="http://schemas.openxmlformats.org/officeDocument/2006/relationships" name="DAST Security Testing Tools" sheetId="4" state="visible" r:id="rId4"/>
    <sheet xmlns:r="http://schemas.openxmlformats.org/officeDocument/2006/relationships" name="IDE Plugins Linters" sheetId="5" state="visible" r:id="rId5"/>
    <sheet xmlns:r="http://schemas.openxmlformats.org/officeDocument/2006/relationships" name="Tool Effectiveness Metrics"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color rgb="004472C4"/>
      <sz val="11"/>
    </font>
    <font>
      <b val="1"/>
      <sz val="9"/>
    </font>
    <font>
      <i val="1"/>
      <color rgb="00666666"/>
      <sz val="9"/>
    </font>
    <font>
      <b val="1"/>
      <color rgb="00FFFFFF"/>
      <sz val="14"/>
    </font>
    <font>
      <name val="Calibri"/>
      <b val="1"/>
      <color rgb="00FFFFFF"/>
      <sz val="11"/>
    </font>
    <font>
      <name val="Calibri"/>
      <b val="1"/>
      <color rgb="00000000"/>
    </font>
    <font>
      <name val="Calibri"/>
      <b val="1"/>
      <color rgb="00000000"/>
      <sz val="10"/>
    </font>
    <font>
      <name val="Calibri"/>
      <sz val="10"/>
    </font>
    <font>
      <name val="Calibri"/>
      <color rgb="00000000"/>
      <sz val="10"/>
    </font>
    <font>
      <i val="1"/>
    </font>
    <font>
      <name val="Calibri"/>
      <color rgb="00808080"/>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9" borderId="0" applyAlignment="1" pivotButton="0" quotePrefix="0" xfId="0">
      <alignment horizontal="left" vertical="center"/>
    </xf>
    <xf numFmtId="0" fontId="7"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0" fillId="10" borderId="1" applyAlignment="1" pivotButton="0" quotePrefix="0" xfId="0">
      <alignment horizontal="left" vertical="top" wrapText="1"/>
    </xf>
    <xf numFmtId="0" fontId="0" fillId="11" borderId="1" pivotButton="0" quotePrefix="0" xfId="0"/>
    <xf numFmtId="0" fontId="5" fillId="11" borderId="1" applyAlignment="1" pivotButton="0" quotePrefix="0" xfId="0">
      <alignment horizontal="left" vertical="top" wrapText="1"/>
    </xf>
    <xf numFmtId="0" fontId="0" fillId="11" borderId="1" applyAlignment="1" pivotButton="0" quotePrefix="0" xfId="0">
      <alignment horizontal="center" vertical="center" wrapText="1"/>
    </xf>
    <xf numFmtId="0" fontId="0" fillId="11" borderId="1" applyAlignment="1" pivotButton="0" quotePrefix="0" xfId="0">
      <alignment horizontal="left" vertical="top" wrapText="1"/>
    </xf>
    <xf numFmtId="0" fontId="1" fillId="8" borderId="0" applyAlignment="1" pivotButton="0" quotePrefix="0" xfId="0">
      <alignment horizontal="center" vertical="center"/>
    </xf>
    <xf numFmtId="0" fontId="15" fillId="0" borderId="0" applyAlignment="1" pivotButton="0" quotePrefix="0" xfId="0">
      <alignment horizontal="left" vertical="center"/>
    </xf>
    <xf numFmtId="0" fontId="10" fillId="8" borderId="1" pivotButton="0" quotePrefix="0" xfId="0"/>
    <xf numFmtId="0" fontId="16" fillId="11" borderId="1" pivotButton="0" quotePrefix="0" xfId="0"/>
    <xf numFmtId="0" fontId="0" fillId="10" borderId="1" pivotButton="0" quotePrefix="0" xfId="0"/>
    <xf numFmtId="0" fontId="17" fillId="13" borderId="0" applyAlignment="1" pivotButton="0" quotePrefix="0" xfId="0">
      <alignment horizontal="center" vertical="center" wrapText="1"/>
    </xf>
    <xf numFmtId="0" fontId="17" fillId="8" borderId="1" applyAlignment="1" pivotButton="0" quotePrefix="0" xfId="0">
      <alignment horizontal="center" vertical="center" wrapText="1"/>
    </xf>
    <xf numFmtId="0" fontId="9" fillId="8" borderId="0" applyAlignment="1" pivotButton="0" quotePrefix="0" xfId="0">
      <alignment horizontal="center" vertical="center" wrapText="1"/>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2" fillId="9" borderId="1" applyAlignment="1" pivotButton="0" quotePrefix="0" xfId="0">
      <alignment horizontal="center"/>
    </xf>
    <xf numFmtId="164" fontId="4" fillId="9" borderId="1" applyAlignment="1" pivotButton="0" quotePrefix="0" xfId="0">
      <alignment horizontal="center"/>
    </xf>
    <xf numFmtId="0" fontId="11" fillId="9" borderId="1" applyAlignment="1" pivotButton="0" quotePrefix="0" xfId="0">
      <alignment horizontal="center"/>
    </xf>
    <xf numFmtId="0" fontId="13" fillId="0" borderId="1" pivotButton="0" quotePrefix="0" xfId="0"/>
    <xf numFmtId="0" fontId="14" fillId="0" borderId="1" applyAlignment="1" pivotButton="0" quotePrefix="0" xfId="0">
      <alignment horizontal="center"/>
    </xf>
    <xf numFmtId="0" fontId="10" fillId="12" borderId="1" applyAlignment="1" pivotButton="0" quotePrefix="0" xfId="0">
      <alignment horizontal="left" vertical="center"/>
    </xf>
    <xf numFmtId="0" fontId="14" fillId="10" borderId="1" applyAlignment="1" pivotButton="0" quotePrefix="0" xfId="0">
      <alignment horizont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8" fillId="13" borderId="1" pivotButton="0" quotePrefix="0" xfId="0"/>
    <xf numFmtId="0" fontId="19" fillId="0" borderId="0" pivotButton="0" quotePrefix="0" xfId="0"/>
    <xf numFmtId="0" fontId="1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ISMS-IMP-A.8.28.2  -  Coding Standards and Development Tool Security
ISO/IEC 27001:2022 - Control A.8.28: Secure Coding</t>
        </is>
      </c>
    </row>
    <row r="3">
      <c r="A3" s="2" t="inlineStr">
        <is>
          <t>Document Information</t>
        </is>
      </c>
    </row>
    <row r="4">
      <c r="A4" s="3" t="inlineStr">
        <is>
          <t>Document ID</t>
        </is>
      </c>
      <c r="B4" t="inlineStr">
        <is>
          <t>ISMS-IMP-A.8.28.2</t>
        </is>
      </c>
    </row>
    <row r="5">
      <c r="A5" s="3" t="inlineStr">
        <is>
          <t>Workbook Title</t>
        </is>
      </c>
      <c r="B5" t="inlineStr">
        <is>
          <t>Coding Standards and Development Tool Security</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Coding Standards, SAST/SCA, DAST, IDE Plugins, Tool Metrics.</t>
        </is>
      </c>
    </row>
    <row r="14">
      <c r="A14" t="inlineStr">
        <is>
          <t>2. Assess DEPLOYMENT (is it there?) and EFFECTIVENESS (does it work?).</t>
        </is>
      </c>
    </row>
    <row r="15">
      <c r="A15" t="inlineStr">
        <is>
          <t>3. For tools: assess whether they are configured and used properly, not just deployed.</t>
        </is>
      </c>
    </row>
    <row r="16">
      <c r="A16" t="inlineStr">
        <is>
          <t>4. Provide specific tool names and versions as evidence.</t>
        </is>
      </c>
    </row>
    <row r="17">
      <c r="A17" t="inlineStr">
        <is>
          <t>5. Reference actual scan results, configuration files, and adoption metrics.</t>
        </is>
      </c>
    </row>
    <row r="18">
      <c r="A18" t="inlineStr">
        <is>
          <t>6. Use Tool Effectiveness Metrics sheet to track measurable outcomes.</t>
        </is>
      </c>
    </row>
    <row r="19">
      <c r="A19" t="inlineStr">
        <is>
          <t>7. Document gaps with specific remediation actions.</t>
        </is>
      </c>
    </row>
    <row r="20">
      <c r="A20" t="inlineStr">
        <is>
          <t>8. Obtain approvals from both Security and Development leadership.</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CODING STANDARDS ADOPTION</t>
        </is>
      </c>
    </row>
    <row r="2">
      <c r="A2" s="12" t="inlineStr">
        <is>
          <t>ISO 27001:2022 | Control A.8.28 | Coding Standards Adoption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Standards Documentation</t>
        </is>
      </c>
    </row>
    <row r="5">
      <c r="A5" s="15" t="inlineStr">
        <is>
          <t>1.1</t>
        </is>
      </c>
      <c r="B5" s="16" t="inlineStr">
        <is>
          <t>Organisation has documented secure coding standards</t>
        </is>
      </c>
      <c r="C5" s="17" t="n"/>
      <c r="D5" s="18" t="inlineStr">
        <is>
          <t>Secure coding standards document, developer wiki, internal guidelines</t>
        </is>
      </c>
      <c r="E5" s="19" t="n"/>
    </row>
    <row r="6">
      <c r="A6" s="15" t="inlineStr">
        <is>
          <t>1.2</t>
        </is>
      </c>
      <c r="B6" s="16" t="inlineStr">
        <is>
          <t>Coding standards reference OWASP Top 10 and CWE Top 25</t>
        </is>
      </c>
      <c r="C6" s="17" t="n"/>
      <c r="D6" s="18" t="inlineStr">
        <is>
          <t>Standards document with OWASP/CWE mappings, policy references</t>
        </is>
      </c>
      <c r="E6" s="19" t="n"/>
    </row>
    <row r="7">
      <c r="A7" s="15" t="inlineStr">
        <is>
          <t>1.3</t>
        </is>
      </c>
      <c r="B7" s="16" t="inlineStr">
        <is>
          <t>Standards cover input validation requirements for all languages used</t>
        </is>
      </c>
      <c r="C7" s="17" t="n"/>
      <c r="D7" s="18" t="inlineStr">
        <is>
          <t>Language-specific input validation guidelines, code examples</t>
        </is>
      </c>
      <c r="E7" s="19" t="n"/>
    </row>
    <row r="8">
      <c r="A8" s="15" t="inlineStr">
        <is>
          <t>1.4</t>
        </is>
      </c>
      <c r="B8" s="16" t="inlineStr">
        <is>
          <t>Standards cover output encoding/escaping requirements</t>
        </is>
      </c>
      <c r="C8" s="17" t="n"/>
      <c r="D8" s="18" t="inlineStr">
        <is>
          <t>XSS prevention guidelines, encoding standards documentation</t>
        </is>
      </c>
      <c r="E8" s="19" t="n"/>
    </row>
    <row r="9">
      <c r="A9" s="15" t="inlineStr">
        <is>
          <t>1.5</t>
        </is>
      </c>
      <c r="B9" s="16" t="inlineStr">
        <is>
          <t>Standards cover authentication and session management requirements</t>
        </is>
      </c>
      <c r="C9" s="17" t="n"/>
      <c r="D9" s="18" t="inlineStr">
        <is>
          <t>Auth standards, session handling guidelines, JWT/token standards</t>
        </is>
      </c>
      <c r="E9" s="19" t="n"/>
    </row>
    <row r="10">
      <c r="A10" s="15" t="inlineStr">
        <is>
          <t>1.6</t>
        </is>
      </c>
      <c r="B10" s="16" t="inlineStr">
        <is>
          <t>Standards cover cryptography requirements (algorithms, key management)</t>
        </is>
      </c>
      <c r="C10" s="17" t="n"/>
      <c r="D10" s="18" t="inlineStr">
        <is>
          <t>Crypto standards, approved algorithms list, key management policies</t>
        </is>
      </c>
      <c r="E10" s="19" t="n"/>
    </row>
    <row r="11">
      <c r="A11" s="15" t="inlineStr">
        <is>
          <t>1.7</t>
        </is>
      </c>
      <c r="B11" s="16" t="inlineStr">
        <is>
          <t>Standards cover error handling and logging requirements</t>
        </is>
      </c>
      <c r="C11" s="17" t="n"/>
      <c r="D11" s="18" t="inlineStr">
        <is>
          <t>Logging standards, error handling patterns, log retention policies</t>
        </is>
      </c>
      <c r="E11" s="19" t="n"/>
    </row>
    <row r="12">
      <c r="A12" s="14" t="inlineStr">
        <is>
          <t>▶ Training &amp; Awareness</t>
        </is>
      </c>
    </row>
    <row r="13">
      <c r="A13" s="15" t="inlineStr">
        <is>
          <t>1.8</t>
        </is>
      </c>
      <c r="B13" s="16" t="inlineStr">
        <is>
          <t>Developers are trained on secure coding standards</t>
        </is>
      </c>
      <c r="C13" s="17" t="n"/>
      <c r="D13" s="18" t="inlineStr">
        <is>
          <t>Training completion records, training materials, attendance logs</t>
        </is>
      </c>
      <c r="E13" s="19" t="n"/>
    </row>
    <row r="14">
      <c r="A14" s="14" t="inlineStr">
        <is>
          <t>▶ Accessibility</t>
        </is>
      </c>
    </row>
    <row r="15">
      <c r="A15" s="15" t="inlineStr">
        <is>
          <t>1.9</t>
        </is>
      </c>
      <c r="B15" s="16" t="inlineStr">
        <is>
          <t>Secure coding standards are easily accessible to all developers</t>
        </is>
      </c>
      <c r="C15" s="17" t="n"/>
      <c r="D15" s="18" t="inlineStr">
        <is>
          <t>Internal wiki links, IDE bookmarks, quick reference guides</t>
        </is>
      </c>
      <c r="E15" s="19" t="n"/>
    </row>
    <row r="16">
      <c r="A16" s="14" t="inlineStr">
        <is>
          <t>▶ Standards Maintenance</t>
        </is>
      </c>
    </row>
    <row r="17">
      <c r="A17" s="15" t="inlineStr">
        <is>
          <t>1.10</t>
        </is>
      </c>
      <c r="B17" s="16" t="inlineStr">
        <is>
          <t>Standards are reviewed and updated at least annually</t>
        </is>
      </c>
      <c r="C17" s="17" t="n"/>
      <c r="D17" s="18" t="inlineStr">
        <is>
          <t>Standards review schedule, change logs, version history</t>
        </is>
      </c>
      <c r="E17" s="19" t="n"/>
    </row>
    <row r="18">
      <c r="A18" s="14" t="inlineStr">
        <is>
          <t>▶ Standards Documentation</t>
        </is>
      </c>
    </row>
    <row r="19">
      <c r="A19" s="15" t="inlineStr">
        <is>
          <t>1.11</t>
        </is>
      </c>
      <c r="B19" s="16" t="inlineStr">
        <is>
          <t>Language-specific secure coding guides exist for primary languages</t>
        </is>
      </c>
      <c r="C19" s="17" t="n"/>
      <c r="D19" s="18" t="inlineStr">
        <is>
          <t>Python/Java/JavaScript/etc. specific security guidelines</t>
        </is>
      </c>
      <c r="E19" s="19" t="n"/>
    </row>
    <row r="20">
      <c r="A20" s="15" t="inlineStr">
        <is>
          <t>1.12</t>
        </is>
      </c>
      <c r="B20" s="16" t="inlineStr">
        <is>
          <t>Standards include code examples (secure vs. insecure patterns)</t>
        </is>
      </c>
      <c r="C20" s="17" t="n"/>
      <c r="D20" s="18" t="inlineStr">
        <is>
          <t>Code example repository, good/bad pattern documentation</t>
        </is>
      </c>
      <c r="E20" s="19" t="n"/>
    </row>
    <row r="21">
      <c r="A21" s="14" t="inlineStr">
        <is>
          <t>▶ Standards Enforcement</t>
        </is>
      </c>
    </row>
    <row r="22">
      <c r="A22" s="15" t="inlineStr">
        <is>
          <t>1.13</t>
        </is>
      </c>
      <c r="B22" s="16" t="inlineStr">
        <is>
          <t>Compliance with standards is measured and tracked</t>
        </is>
      </c>
      <c r="C22" s="17" t="n"/>
      <c r="D22" s="18" t="inlineStr">
        <is>
          <t>Compliance metrics, SAST rule compliance, audit results</t>
        </is>
      </c>
      <c r="E22" s="19" t="n"/>
    </row>
    <row r="23">
      <c r="A23" s="15" t="inlineStr">
        <is>
          <t>1.14</t>
        </is>
      </c>
      <c r="B23" s="16" t="inlineStr">
        <is>
          <t>Standards violations are identified during code review</t>
        </is>
      </c>
      <c r="C23" s="17" t="n"/>
      <c r="D23" s="18" t="inlineStr">
        <is>
          <t>Code review checklists, review comments, violation tracking</t>
        </is>
      </c>
      <c r="E23" s="19" t="n"/>
    </row>
    <row r="24">
      <c r="A24" s="14" t="inlineStr">
        <is>
          <t>▶ Standards Governance</t>
        </is>
      </c>
    </row>
    <row r="25">
      <c r="A25" s="15" t="inlineStr">
        <is>
          <t>1.15</t>
        </is>
      </c>
      <c r="B25" s="16" t="inlineStr">
        <is>
          <t>Developers can request clarifications or exceptions to standards</t>
        </is>
      </c>
      <c r="C25" s="17" t="n"/>
      <c r="D25" s="18" t="inlineStr">
        <is>
          <t>Exception request process, clarification tickets, security champion reviews</t>
        </is>
      </c>
      <c r="E25" s="19" t="n"/>
    </row>
    <row r="26">
      <c r="A26" s="14" t="inlineStr">
        <is>
          <t>▶ Standards Enforcement</t>
        </is>
      </c>
    </row>
    <row r="27">
      <c r="A27" s="15" t="inlineStr">
        <is>
          <t>1.16</t>
        </is>
      </c>
      <c r="B27" s="16" t="inlineStr">
        <is>
          <t>Standards compliance is part of developer performance evaluation</t>
        </is>
      </c>
      <c r="C27" s="17" t="n"/>
      <c r="D27" s="18" t="inlineStr">
        <is>
          <t>Performance review criteria, security KPIs for developers</t>
        </is>
      </c>
      <c r="E27" s="19" t="n"/>
    </row>
    <row r="28">
      <c r="A28" s="14" t="inlineStr">
        <is>
          <t>▶ Training &amp; Awareness</t>
        </is>
      </c>
    </row>
    <row r="29">
      <c r="A29" s="15" t="inlineStr">
        <is>
          <t>1.17</t>
        </is>
      </c>
      <c r="B29" s="16" t="inlineStr">
        <is>
          <t>Secure coding champions help developers apply standards</t>
        </is>
      </c>
      <c r="C29" s="17" t="n"/>
      <c r="D29" s="18" t="inlineStr">
        <is>
          <t>Security champion program documentation, champion activity logs</t>
        </is>
      </c>
      <c r="E29" s="19" t="n"/>
    </row>
    <row r="30">
      <c r="A30" s="15" t="inlineStr">
        <is>
          <t>1.18</t>
        </is>
      </c>
      <c r="B30" s="16" t="inlineStr">
        <is>
          <t>New hire onboarding includes secure coding standards training</t>
        </is>
      </c>
      <c r="C30" s="17" t="n"/>
      <c r="D30" s="18" t="inlineStr">
        <is>
          <t>Onboarding checklist, new hire training materials, completion records</t>
        </is>
      </c>
      <c r="E30" s="19" t="n"/>
    </row>
    <row r="31">
      <c r="A31" s="20" t="n"/>
      <c r="B31" s="21" t="inlineStr">
        <is>
          <t>Banned/unsafe functions list maintained — language-specific unsafe APIs prohibited (e.g. strcpy/strcat in C, eval() in Python/JS, pickle.loads() in Python, exec() in PHP)</t>
        </is>
      </c>
      <c r="C31" s="22" t="n"/>
      <c r="D31" s="23" t="n"/>
      <c r="E31" s="23" t="n"/>
    </row>
    <row r="32">
      <c r="A32" s="20" t="n"/>
      <c r="B32" s="21" t="inlineStr">
        <is>
          <t>Memory safety requirements defined for C/C++ code — buffer overflow prevention (bounds checking, safe libraries), use-after-free detection</t>
        </is>
      </c>
      <c r="C32" s="22" t="n"/>
      <c r="D32" s="23" t="n"/>
      <c r="E32" s="23" t="n"/>
    </row>
    <row r="33">
      <c r="A33" s="20" t="n"/>
      <c r="B33" s="21" t="inlineStr">
        <is>
          <t>Integer overflow/underflow protections required for arithmetic on untrusted input</t>
        </is>
      </c>
      <c r="C33" s="22" t="n"/>
      <c r="D33" s="23" t="n"/>
      <c r="E33" s="23"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16:F16"/>
    <mergeCell ref="A28:F28"/>
    <mergeCell ref="A2:E2"/>
    <mergeCell ref="A14:F14"/>
    <mergeCell ref="A1:E1"/>
    <mergeCell ref="A12:F12"/>
    <mergeCell ref="A4:F4"/>
    <mergeCell ref="A18:F18"/>
    <mergeCell ref="A26:F26"/>
    <mergeCell ref="A21:F21"/>
  </mergeCells>
  <dataValidations count="1">
    <dataValidation sqref="C5 C6 C7 C8 C9 C10 C11 C13 C15 C17 C19 C20 C22 C23 C25 C27 C29 C30 C31 C32 C33 C34 C35 C36 C37 C38 C39 C40 C41 C42 C43 C44 C45 C46 C47 C48 C49 C50 C51 C52 C53 C54 C55 C56 C57 C58 C59 C60 C61 C62" showDropDown="0" showInputMessage="0" showErrorMessage="0" allowBlank="0"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SAST &amp; SCA TOOLS</t>
        </is>
      </c>
    </row>
    <row r="2">
      <c r="A2" s="12" t="inlineStr">
        <is>
          <t>ISO 27001:2022 | Control A.8.28 | SAST &amp; SCA Tools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SAST Deployment</t>
        </is>
      </c>
    </row>
    <row r="5">
      <c r="A5" s="15" t="inlineStr">
        <is>
          <t>2.1</t>
        </is>
      </c>
      <c r="B5" s="16" t="inlineStr">
        <is>
          <t>SAST (Static Application Security Testing) tool is deployed</t>
        </is>
      </c>
      <c r="C5" s="17" t="n"/>
      <c r="D5" s="18" t="inlineStr">
        <is>
          <t>Tool license, deployment documentation, access credentials</t>
        </is>
      </c>
      <c r="E5" s="19" t="n"/>
    </row>
    <row r="6">
      <c r="A6" s="14" t="inlineStr">
        <is>
          <t>▶ SAST Configuration</t>
        </is>
      </c>
    </row>
    <row r="7">
      <c r="A7" s="15" t="inlineStr">
        <is>
          <t>2.2</t>
        </is>
      </c>
      <c r="B7" s="16" t="inlineStr">
        <is>
          <t>SAST tool covers all primary programming languages used</t>
        </is>
      </c>
      <c r="C7" s="17" t="n"/>
      <c r="D7" s="18" t="inlineStr">
        <is>
          <t>Language support documentation, configuration for each language</t>
        </is>
      </c>
      <c r="E7" s="19" t="n"/>
    </row>
    <row r="8">
      <c r="A8" s="14" t="inlineStr">
        <is>
          <t>▶ SAST Integration</t>
        </is>
      </c>
    </row>
    <row r="9">
      <c r="A9" s="15" t="inlineStr">
        <is>
          <t>2.3</t>
        </is>
      </c>
      <c r="B9" s="16" t="inlineStr">
        <is>
          <t>SAST scans run automatically on every code commit/PR</t>
        </is>
      </c>
      <c r="C9" s="17" t="n"/>
      <c r="D9" s="18" t="inlineStr">
        <is>
          <t>CI/CD integration config, pipeline logs showing SAST execution</t>
        </is>
      </c>
      <c r="E9" s="19" t="n"/>
    </row>
    <row r="10">
      <c r="A10" s="14" t="inlineStr">
        <is>
          <t>▶ SAST Configuration</t>
        </is>
      </c>
    </row>
    <row r="11">
      <c r="A11" s="15" t="inlineStr">
        <is>
          <t>2.4</t>
        </is>
      </c>
      <c r="B11" s="16" t="inlineStr">
        <is>
          <t>SAST tool is configured with security-focused rulesets</t>
        </is>
      </c>
      <c r="C11" s="17" t="n"/>
      <c r="D11" s="18" t="inlineStr">
        <is>
          <t>Ruleset configuration, enabled security rules list</t>
        </is>
      </c>
      <c r="E11" s="19" t="n"/>
    </row>
    <row r="12">
      <c r="A12" s="15" t="inlineStr">
        <is>
          <t>2.5</t>
        </is>
      </c>
      <c r="B12" s="16" t="inlineStr">
        <is>
          <t>SAST findings are prioritised by severity (Critical/High/Medium/Low)</t>
        </is>
      </c>
      <c r="C12" s="17" t="n"/>
      <c r="D12" s="18" t="inlineStr">
        <is>
          <t>Severity classification schema, findings dashboard</t>
        </is>
      </c>
      <c r="E12" s="19" t="n"/>
    </row>
    <row r="13">
      <c r="A13" s="14" t="inlineStr">
        <is>
          <t>▶ SAST Integration</t>
        </is>
      </c>
    </row>
    <row r="14">
      <c r="A14" s="15" t="inlineStr">
        <is>
          <t>2.6</t>
        </is>
      </c>
      <c r="B14" s="16" t="inlineStr">
        <is>
          <t>Critical/High SAST findings block code deployment</t>
        </is>
      </c>
      <c r="C14" s="17" t="n"/>
      <c r="D14" s="18" t="inlineStr">
        <is>
          <t>Quality gate configuration, blocked deployment logs</t>
        </is>
      </c>
      <c r="E14" s="19" t="n"/>
    </row>
    <row r="15">
      <c r="A15" s="14" t="inlineStr">
        <is>
          <t>▶ SAST Configuration</t>
        </is>
      </c>
    </row>
    <row r="16">
      <c r="A16" s="15" t="inlineStr">
        <is>
          <t>2.7</t>
        </is>
      </c>
      <c r="B16" s="16" t="inlineStr">
        <is>
          <t>SAST false positives can be suppressed with justification</t>
        </is>
      </c>
      <c r="C16" s="17" t="n"/>
      <c r="D16" s="18" t="inlineStr">
        <is>
          <t>Suppression process, suppression audit trail, justification records</t>
        </is>
      </c>
      <c r="E16" s="19" t="n"/>
    </row>
    <row r="17">
      <c r="A17" s="14" t="inlineStr">
        <is>
          <t>▶ SAST Remediation</t>
        </is>
      </c>
    </row>
    <row r="18">
      <c r="A18" s="15" t="inlineStr">
        <is>
          <t>2.8</t>
        </is>
      </c>
      <c r="B18" s="16" t="inlineStr">
        <is>
          <t>SAST findings are tracked to resolution in ticketing system</t>
        </is>
      </c>
      <c r="C18" s="17" t="n"/>
      <c r="D18" s="18" t="inlineStr">
        <is>
          <t>JIRA/Azure DevOps integration, vulnerability tracking tickets</t>
        </is>
      </c>
      <c r="E18" s="19" t="n"/>
    </row>
    <row r="19">
      <c r="A19" s="14" t="inlineStr">
        <is>
          <t>▶ SCA Deployment</t>
        </is>
      </c>
    </row>
    <row r="20">
      <c r="A20" s="15" t="inlineStr">
        <is>
          <t>2.9</t>
        </is>
      </c>
      <c r="B20" s="16" t="inlineStr">
        <is>
          <t>SCA (Software Composition Analysis) tool is deployed</t>
        </is>
      </c>
      <c r="C20" s="17" t="n"/>
      <c r="D20" s="18" t="inlineStr">
        <is>
          <t>Tool license, deployment documentation, access credentials</t>
        </is>
      </c>
      <c r="E20" s="19" t="n"/>
    </row>
    <row r="21">
      <c r="A21" s="14" t="inlineStr">
        <is>
          <t>▶ SCA Configuration</t>
        </is>
      </c>
    </row>
    <row r="22">
      <c r="A22" s="15" t="inlineStr">
        <is>
          <t>2.10</t>
        </is>
      </c>
      <c r="B22" s="16" t="inlineStr">
        <is>
          <t>SCA tool scans all dependency manifests (package.json, pom.xml, etc.)</t>
        </is>
      </c>
      <c r="C22" s="17" t="n"/>
      <c r="D22" s="18" t="inlineStr">
        <is>
          <t>Supported manifest files list, scan coverage reports</t>
        </is>
      </c>
      <c r="E22" s="19" t="n"/>
    </row>
    <row r="23">
      <c r="A23" s="14" t="inlineStr">
        <is>
          <t>▶ SCA Integration</t>
        </is>
      </c>
    </row>
    <row r="24">
      <c r="A24" s="15" t="inlineStr">
        <is>
          <t>2.11</t>
        </is>
      </c>
      <c r="B24" s="16" t="inlineStr">
        <is>
          <t>SCA scans run automatically on every build</t>
        </is>
      </c>
      <c r="C24" s="17" t="n"/>
      <c r="D24" s="18" t="inlineStr">
        <is>
          <t>CI/CD integration, build logs showing SCA execution</t>
        </is>
      </c>
      <c r="E24" s="19" t="n"/>
    </row>
    <row r="25">
      <c r="A25" s="14" t="inlineStr">
        <is>
          <t>▶ SCA Configuration</t>
        </is>
      </c>
    </row>
    <row r="26">
      <c r="A26" s="15" t="inlineStr">
        <is>
          <t>2.12</t>
        </is>
      </c>
      <c r="B26" s="16" t="inlineStr">
        <is>
          <t>SCA tool checks for known vulnerabilities in dependencies (CVEs)</t>
        </is>
      </c>
      <c r="C26" s="17" t="n"/>
      <c r="D26" s="18" t="inlineStr">
        <is>
          <t>Vulnerability database updates, CVE detection reports</t>
        </is>
      </c>
      <c r="E26" s="19" t="n"/>
    </row>
    <row r="27">
      <c r="A27" s="15" t="inlineStr">
        <is>
          <t>2.13</t>
        </is>
      </c>
      <c r="B27" s="16" t="inlineStr">
        <is>
          <t>SCA tool checks for license compliance issues</t>
        </is>
      </c>
      <c r="C27" s="17" t="n"/>
      <c r="D27" s="18" t="inlineStr">
        <is>
          <t>License policy configuration, license violation reports</t>
        </is>
      </c>
      <c r="E27" s="19" t="n"/>
    </row>
    <row r="28">
      <c r="A28" s="14" t="inlineStr">
        <is>
          <t>▶ SCA Integration</t>
        </is>
      </c>
    </row>
    <row r="29">
      <c r="A29" s="15" t="inlineStr">
        <is>
          <t>2.14</t>
        </is>
      </c>
      <c r="B29" s="16" t="inlineStr">
        <is>
          <t>Critical/High vulnerability findings block deployment</t>
        </is>
      </c>
      <c r="C29" s="17" t="n"/>
      <c r="D29" s="18" t="inlineStr">
        <is>
          <t>Quality gate configuration, blocked deployment logs</t>
        </is>
      </c>
      <c r="E29" s="19" t="n"/>
    </row>
    <row r="30">
      <c r="A30" s="14" t="inlineStr">
        <is>
          <t>▶ SCA Remediation</t>
        </is>
      </c>
    </row>
    <row r="31">
      <c r="A31" s="15" t="inlineStr">
        <is>
          <t>2.15</t>
        </is>
      </c>
      <c r="B31" s="16" t="inlineStr">
        <is>
          <t>SCA tool provides remediation guidance (upgrade paths)</t>
        </is>
      </c>
      <c r="C31" s="17" t="n"/>
      <c r="D31" s="18" t="inlineStr">
        <is>
          <t>Remediation recommendations, automated PR generation</t>
        </is>
      </c>
      <c r="E31" s="19" t="n"/>
    </row>
    <row r="32">
      <c r="A32" s="15" t="inlineStr">
        <is>
          <t>2.16</t>
        </is>
      </c>
      <c r="B32" s="16" t="inlineStr">
        <is>
          <t>Dependency vulnerabilities have defined SLAs for remediation</t>
        </is>
      </c>
      <c r="C32" s="17" t="n"/>
      <c r="D32" s="18" t="inlineStr">
        <is>
          <t>Vulnerability remediation SLA policy, SLA tracking metrics</t>
        </is>
      </c>
      <c r="E32" s="19" t="n"/>
    </row>
    <row r="33">
      <c r="A33" s="14" t="inlineStr">
        <is>
          <t>▶ Tool Governance</t>
        </is>
      </c>
    </row>
    <row r="34">
      <c r="A34" s="15" t="inlineStr">
        <is>
          <t>2.17</t>
        </is>
      </c>
      <c r="B34" s="16" t="inlineStr">
        <is>
          <t>SAST and SCA findings are reviewed by security team regularly</t>
        </is>
      </c>
      <c r="C34" s="17" t="n"/>
      <c r="D34" s="18" t="inlineStr">
        <is>
          <t>Security review meeting notes, findings triage records</t>
        </is>
      </c>
      <c r="E34" s="19" t="n"/>
    </row>
    <row r="35">
      <c r="A35" s="14" t="inlineStr">
        <is>
          <t>▶ Tool Effectiveness</t>
        </is>
      </c>
    </row>
    <row r="36">
      <c r="A36" s="15" t="inlineStr">
        <is>
          <t>2.18</t>
        </is>
      </c>
      <c r="B36" s="16" t="inlineStr">
        <is>
          <t>Metrics track SAST/SCA finding trends and remediation velocity</t>
        </is>
      </c>
      <c r="C36" s="17" t="n"/>
      <c r="D36" s="18" t="inlineStr">
        <is>
          <t>Security metrics dashboard, trend analysis reports</t>
        </is>
      </c>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sheetData>
  <mergeCells count="17">
    <mergeCell ref="A33:F33"/>
    <mergeCell ref="A10:F10"/>
    <mergeCell ref="A28:F28"/>
    <mergeCell ref="A30:F30"/>
    <mergeCell ref="A2:E2"/>
    <mergeCell ref="A13:F13"/>
    <mergeCell ref="A19:F19"/>
    <mergeCell ref="A23:F23"/>
    <mergeCell ref="A8:F8"/>
    <mergeCell ref="A6:F6"/>
    <mergeCell ref="A1:E1"/>
    <mergeCell ref="A17:F17"/>
    <mergeCell ref="A35:F35"/>
    <mergeCell ref="A4:F4"/>
    <mergeCell ref="A21:F21"/>
    <mergeCell ref="A15:F15"/>
    <mergeCell ref="A25:F25"/>
  </mergeCells>
  <dataValidations count="1">
    <dataValidation sqref="C5 C7 C9 C11 C12 C14 C16 C18 C20 C22 C24 C26 C27 C29 C31 C32 C34 C36 C37 C38 C39 C40 C41 C42 C43 C44 C45 C46 C47 C48 C49 C50 C51 C52 C53 C54 C55 C56 C57 C58 C59 C60 C61 C62 C63 C64 C65 C66 C67 C68" showDropDown="0" showInputMessage="0" showErrorMessage="0" allowBlank="0"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DAST &amp; SECURITY TESTING TOOLS</t>
        </is>
      </c>
    </row>
    <row r="2">
      <c r="A2" s="12" t="inlineStr">
        <is>
          <t>ISO 27001:2022 | Control A.8.28 | DAST &amp; Security Testing Tools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DAST Deployment</t>
        </is>
      </c>
    </row>
    <row r="5">
      <c r="A5" s="15" t="inlineStr">
        <is>
          <t>3.1</t>
        </is>
      </c>
      <c r="B5" s="16" t="inlineStr">
        <is>
          <t>DAST (Dynamic Application Security Testing) tool is deployed</t>
        </is>
      </c>
      <c r="C5" s="17" t="n"/>
      <c r="D5" s="18" t="inlineStr">
        <is>
          <t>Tool license, deployment documentation, scanning infrastructure</t>
        </is>
      </c>
      <c r="E5" s="19" t="n"/>
    </row>
    <row r="6">
      <c r="A6" s="14" t="inlineStr">
        <is>
          <t>▶ DAST Configuration</t>
        </is>
      </c>
    </row>
    <row r="7">
      <c r="A7" s="15" t="inlineStr">
        <is>
          <t>3.2</t>
        </is>
      </c>
      <c r="B7" s="16" t="inlineStr">
        <is>
          <t>DAST scans run against staging/pre-production environments</t>
        </is>
      </c>
      <c r="C7" s="17" t="n"/>
      <c r="D7" s="18" t="inlineStr">
        <is>
          <t>Scan configuration, target environment documentation</t>
        </is>
      </c>
      <c r="E7" s="19" t="n"/>
    </row>
    <row r="8">
      <c r="A8" s="14" t="inlineStr">
        <is>
          <t>▶ DAST Integration</t>
        </is>
      </c>
    </row>
    <row r="9">
      <c r="A9" s="15" t="inlineStr">
        <is>
          <t>3.3</t>
        </is>
      </c>
      <c r="B9" s="16" t="inlineStr">
        <is>
          <t>DAST scans are executed before production releases</t>
        </is>
      </c>
      <c r="C9" s="17" t="n"/>
      <c r="D9" s="18" t="inlineStr">
        <is>
          <t>Release checklist with DAST requirement, scan reports</t>
        </is>
      </c>
      <c r="E9" s="19" t="n"/>
    </row>
    <row r="10">
      <c r="A10" s="14" t="inlineStr">
        <is>
          <t>▶ DAST Configuration</t>
        </is>
      </c>
    </row>
    <row r="11">
      <c r="A11" s="15" t="inlineStr">
        <is>
          <t>3.4</t>
        </is>
      </c>
      <c r="B11" s="16" t="inlineStr">
        <is>
          <t>DAST tool tests for OWASP Top 10 vulnerabilities</t>
        </is>
      </c>
      <c r="C11" s="17" t="n"/>
      <c r="D11" s="18" t="inlineStr">
        <is>
          <t>Scan policy configuration, OWASP Top 10 test coverage</t>
        </is>
      </c>
      <c r="E11" s="19" t="n"/>
    </row>
    <row r="12">
      <c r="A12" s="15" t="inlineStr">
        <is>
          <t>3.5</t>
        </is>
      </c>
      <c r="B12" s="16" t="inlineStr">
        <is>
          <t>DAST scans include authenticated testing (logged-in scenarios)</t>
        </is>
      </c>
      <c r="C12" s="17" t="n"/>
      <c r="D12" s="18" t="inlineStr">
        <is>
          <t>Authentication configuration, authenticated scan results</t>
        </is>
      </c>
      <c r="E12" s="19" t="n"/>
    </row>
    <row r="13">
      <c r="A13" s="15" t="inlineStr">
        <is>
          <t>3.6</t>
        </is>
      </c>
      <c r="B13" s="16" t="inlineStr">
        <is>
          <t>DAST findings are classified by severity and risk</t>
        </is>
      </c>
      <c r="C13" s="17" t="n"/>
      <c r="D13" s="18" t="inlineStr">
        <is>
          <t>Severity schema, risk scoring methodology</t>
        </is>
      </c>
      <c r="E13" s="19" t="n"/>
    </row>
    <row r="14">
      <c r="A14" s="14" t="inlineStr">
        <is>
          <t>▶ DAST Integration</t>
        </is>
      </c>
    </row>
    <row r="15">
      <c r="A15" s="15" t="inlineStr">
        <is>
          <t>3.7</t>
        </is>
      </c>
      <c r="B15" s="16" t="inlineStr">
        <is>
          <t>Critical DAST findings block production deployment</t>
        </is>
      </c>
      <c r="C15" s="17" t="n"/>
      <c r="D15" s="18" t="inlineStr">
        <is>
          <t>Release gate configuration, blocked release records</t>
        </is>
      </c>
      <c r="E15" s="19" t="n"/>
    </row>
    <row r="16">
      <c r="A16" s="14" t="inlineStr">
        <is>
          <t>▶ DAST Remediation</t>
        </is>
      </c>
    </row>
    <row r="17">
      <c r="A17" s="15" t="inlineStr">
        <is>
          <t>3.8</t>
        </is>
      </c>
      <c r="B17" s="16" t="inlineStr">
        <is>
          <t>DAST false positives are validated and documented</t>
        </is>
      </c>
      <c r="C17" s="17" t="n"/>
      <c r="D17" s="18" t="inlineStr">
        <is>
          <t>False positive validation process, validation records</t>
        </is>
      </c>
      <c r="E17" s="19" t="n"/>
    </row>
    <row r="18">
      <c r="A18" s="14" t="inlineStr">
        <is>
          <t>▶ API Testing</t>
        </is>
      </c>
    </row>
    <row r="19">
      <c r="A19" s="15" t="inlineStr">
        <is>
          <t>3.9</t>
        </is>
      </c>
      <c r="B19" s="16" t="inlineStr">
        <is>
          <t>API security testing tools are deployed for API testing</t>
        </is>
      </c>
      <c r="C19" s="17" t="n"/>
      <c r="D19" s="18" t="inlineStr">
        <is>
          <t>API testing tool documentation (Postman, REST Assured, etc.)</t>
        </is>
      </c>
      <c r="E19" s="19" t="n"/>
    </row>
    <row r="20">
      <c r="A20" s="15" t="inlineStr">
        <is>
          <t>3.10</t>
        </is>
      </c>
      <c r="B20" s="16" t="inlineStr">
        <is>
          <t>API tests include authentication and authorisation testing</t>
        </is>
      </c>
      <c r="C20" s="17" t="n"/>
      <c r="D20" s="18" t="inlineStr">
        <is>
          <t>API test scenarios, auth bypass test cases</t>
        </is>
      </c>
      <c r="E20" s="19" t="n"/>
    </row>
    <row r="21">
      <c r="A21" s="15" t="inlineStr">
        <is>
          <t>3.11</t>
        </is>
      </c>
      <c r="B21" s="16" t="inlineStr">
        <is>
          <t>API tests include input validation and injection testing</t>
        </is>
      </c>
      <c r="C21" s="17" t="n"/>
      <c r="D21" s="18" t="inlineStr">
        <is>
          <t>API fuzzing results, injection test cases</t>
        </is>
      </c>
      <c r="E21" s="19" t="n"/>
    </row>
    <row r="22">
      <c r="A22" s="14" t="inlineStr">
        <is>
          <t>▶ Container Security</t>
        </is>
      </c>
    </row>
    <row r="23">
      <c r="A23" s="15" t="inlineStr">
        <is>
          <t>3.12</t>
        </is>
      </c>
      <c r="B23" s="16" t="inlineStr">
        <is>
          <t>Container/image scanning tool is deployed</t>
        </is>
      </c>
      <c r="C23" s="17" t="n"/>
      <c r="D23" s="18" t="inlineStr">
        <is>
          <t>Tool documentation (Trivy, Clair, Anchore), scan integration</t>
        </is>
      </c>
      <c r="E23" s="19" t="n"/>
    </row>
    <row r="24">
      <c r="A24" s="15" t="inlineStr">
        <is>
          <t>3.13</t>
        </is>
      </c>
      <c r="B24" s="16" t="inlineStr">
        <is>
          <t>Container images are scanned before deployment</t>
        </is>
      </c>
      <c r="C24" s="17" t="n"/>
      <c r="D24" s="18" t="inlineStr">
        <is>
          <t>Container scan results, vulnerability reports</t>
        </is>
      </c>
      <c r="E24" s="19" t="n"/>
    </row>
    <row r="25">
      <c r="A25" s="14" t="inlineStr">
        <is>
          <t>▶ IaC Security</t>
        </is>
      </c>
    </row>
    <row r="26">
      <c r="A26" s="15" t="inlineStr">
        <is>
          <t>3.14</t>
        </is>
      </c>
      <c r="B26" s="16" t="inlineStr">
        <is>
          <t>IaC (Infrastructure-as-Code) scanning tool is deployed</t>
        </is>
      </c>
      <c r="C26" s="17" t="n"/>
      <c r="D26" s="18" t="inlineStr">
        <is>
          <t>Tool documentation (Checkov, tfsec, Terrascan), scan config</t>
        </is>
      </c>
      <c r="E26" s="19" t="n"/>
    </row>
    <row r="27">
      <c r="A27" s="15" t="inlineStr">
        <is>
          <t>3.15</t>
        </is>
      </c>
      <c r="B27" s="16" t="inlineStr">
        <is>
          <t>IaC is scanned for misconfigurations before deployment</t>
        </is>
      </c>
      <c r="C27" s="17" t="n"/>
      <c r="D27" s="18" t="inlineStr">
        <is>
          <t>IaC scan results, misconfiguration findings</t>
        </is>
      </c>
      <c r="E27" s="19" t="n"/>
    </row>
    <row r="28">
      <c r="A28" s="14" t="inlineStr">
        <is>
          <t>▶ Testing Governance</t>
        </is>
      </c>
    </row>
    <row r="29">
      <c r="A29" s="15" t="inlineStr">
        <is>
          <t>3.16</t>
        </is>
      </c>
      <c r="B29" s="16" t="inlineStr">
        <is>
          <t>Security testing results are archived for audit purposes</t>
        </is>
      </c>
      <c r="C29" s="17" t="n"/>
      <c r="D29" s="18" t="inlineStr">
        <is>
          <t>Test result storage, historical scan archives</t>
        </is>
      </c>
      <c r="E29" s="19" t="n"/>
    </row>
    <row r="30">
      <c r="A30" s="14" t="inlineStr">
        <is>
          <t>▶ Penetration Testing</t>
        </is>
      </c>
    </row>
    <row r="31">
      <c r="A31" s="15" t="inlineStr">
        <is>
          <t>3.17</t>
        </is>
      </c>
      <c r="B31" s="16" t="inlineStr">
        <is>
          <t>Penetration testing is performed annually for critical applications</t>
        </is>
      </c>
      <c r="C31" s="17" t="n"/>
      <c r="D31" s="18" t="inlineStr">
        <is>
          <t>Pentest reports, remediation tracking, retest results</t>
        </is>
      </c>
      <c r="E31" s="19" t="n"/>
    </row>
    <row r="32">
      <c r="A32" s="14" t="inlineStr">
        <is>
          <t>▶ External Testing</t>
        </is>
      </c>
    </row>
    <row r="33">
      <c r="A33" s="15" t="inlineStr">
        <is>
          <t>3.18</t>
        </is>
      </c>
      <c r="B33" s="16" t="inlineStr">
        <is>
          <t>Bug bounty or responsible disclosure program is active</t>
        </is>
      </c>
      <c r="C33" s="17" t="n"/>
      <c r="D33" s="18" t="inlineStr">
        <is>
          <t>Bug bounty platform (HackerOne, Bugcrowd), submission records</t>
        </is>
      </c>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sheetData>
  <mergeCells count="14">
    <mergeCell ref="A16:F16"/>
    <mergeCell ref="A10:F10"/>
    <mergeCell ref="A28:F28"/>
    <mergeCell ref="A2:E2"/>
    <mergeCell ref="A14:F14"/>
    <mergeCell ref="A32:F32"/>
    <mergeCell ref="A8:F8"/>
    <mergeCell ref="A6:F6"/>
    <mergeCell ref="A1:E1"/>
    <mergeCell ref="A22:F22"/>
    <mergeCell ref="A18:F18"/>
    <mergeCell ref="A4:F4"/>
    <mergeCell ref="A30:F30"/>
    <mergeCell ref="A25:F25"/>
  </mergeCells>
  <dataValidations count="1">
    <dataValidation sqref="C5 C7 C9 C11 C12 C13 C15 C17 C19 C20 C21 C23 C24 C26 C27 C29 C31 C33 C34 C35 C36 C37 C38 C39 C40 C41 C42 C43 C44 C45 C46 C47 C48 C49 C50 C51 C52 C53 C54 C55 C56 C57 C58 C59 C60 C61 C62 C63 C64 C65" showDropDown="0" showInputMessage="0" showErrorMessage="0" allowBlank="0"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IDE PLUGINS &amp; LINTERS</t>
        </is>
      </c>
    </row>
    <row r="2">
      <c r="A2" s="12" t="inlineStr">
        <is>
          <t>ISO 27001:2022 | Control A.8.28 | IDE Plugins &amp; Linters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IDE Plugins</t>
        </is>
      </c>
    </row>
    <row r="5">
      <c r="A5" s="15" t="inlineStr">
        <is>
          <t>4.1</t>
        </is>
      </c>
      <c r="B5" s="16" t="inlineStr">
        <is>
          <t>Security-focused IDE plugins are available for developers</t>
        </is>
      </c>
      <c r="C5" s="17" t="n"/>
      <c r="D5" s="18" t="inlineStr">
        <is>
          <t>Plugin catalog, installation guides, approved plugin list</t>
        </is>
      </c>
      <c r="E5" s="19" t="n"/>
    </row>
    <row r="6">
      <c r="A6" s="15" t="inlineStr">
        <is>
          <t>4.2</t>
        </is>
      </c>
      <c r="B6" s="16" t="inlineStr">
        <is>
          <t>SAST IDE plugins provide real-time security feedback</t>
        </is>
      </c>
      <c r="C6" s="17" t="n"/>
      <c r="D6" s="18" t="inlineStr">
        <is>
          <t>SonarLint, Snyk IDE plugin, or similar tool documentation</t>
        </is>
      </c>
      <c r="E6" s="19" t="n"/>
    </row>
    <row r="7">
      <c r="A7" s="14" t="inlineStr">
        <is>
          <t>▶ IDE Configuration</t>
        </is>
      </c>
    </row>
    <row r="8">
      <c r="A8" s="15" t="inlineStr">
        <is>
          <t>4.3</t>
        </is>
      </c>
      <c r="B8" s="16" t="inlineStr">
        <is>
          <t>IDE plugins are integrated with organisational security policies</t>
        </is>
      </c>
      <c r="C8" s="17" t="n"/>
      <c r="D8" s="18" t="inlineStr">
        <is>
          <t>Plugin configuration synced with SAST/SCA rules</t>
        </is>
      </c>
      <c r="E8" s="19" t="n"/>
    </row>
    <row r="9">
      <c r="A9" s="14" t="inlineStr">
        <is>
          <t>▶ IDE Adoption</t>
        </is>
      </c>
    </row>
    <row r="10">
      <c r="A10" s="15" t="inlineStr">
        <is>
          <t>4.4</t>
        </is>
      </c>
      <c r="B10" s="16" t="inlineStr">
        <is>
          <t>IDE plugin adoption rate is measured and tracked</t>
        </is>
      </c>
      <c r="C10" s="17" t="n"/>
      <c r="D10" s="18" t="inlineStr">
        <is>
          <t>Plugin telemetry, adoption metrics dashboard</t>
        </is>
      </c>
      <c r="E10" s="19" t="n"/>
    </row>
    <row r="11">
      <c r="A11" s="14" t="inlineStr">
        <is>
          <t>▶ IDE Training</t>
        </is>
      </c>
    </row>
    <row r="12">
      <c r="A12" s="15" t="inlineStr">
        <is>
          <t>4.5</t>
        </is>
      </c>
      <c r="B12" s="16" t="inlineStr">
        <is>
          <t>Developers receive training on using IDE security plugins</t>
        </is>
      </c>
      <c r="C12" s="17" t="n"/>
      <c r="D12" s="18" t="inlineStr">
        <is>
          <t>Plugin training materials, usage documentation</t>
        </is>
      </c>
      <c r="E12" s="19" t="n"/>
    </row>
    <row r="13">
      <c r="A13" s="14" t="inlineStr">
        <is>
          <t>▶ Linting</t>
        </is>
      </c>
    </row>
    <row r="14">
      <c r="A14" s="15" t="inlineStr">
        <is>
          <t>4.6</t>
        </is>
      </c>
      <c r="B14" s="16" t="inlineStr">
        <is>
          <t>Code linters are configured with security rules</t>
        </is>
      </c>
      <c r="C14" s="17" t="n"/>
      <c r="D14" s="18" t="inlineStr">
        <is>
          <t>Linter configuration files (eslint, pylint, rubocop), security rules enabled</t>
        </is>
      </c>
      <c r="E14" s="19" t="n"/>
    </row>
    <row r="15">
      <c r="A15" s="15" t="inlineStr">
        <is>
          <t>4.7</t>
        </is>
      </c>
      <c r="B15" s="16" t="inlineStr">
        <is>
          <t>Linters run automatically in developer IDEs</t>
        </is>
      </c>
      <c r="C15" s="17" t="n"/>
      <c r="D15" s="18" t="inlineStr">
        <is>
          <t>IDE linter integration, pre-commit hook configuration</t>
        </is>
      </c>
      <c r="E15" s="19" t="n"/>
    </row>
    <row r="16">
      <c r="A16" s="15" t="inlineStr">
        <is>
          <t>4.8</t>
        </is>
      </c>
      <c r="B16" s="16" t="inlineStr">
        <is>
          <t>Linting rules are enforced in CI/CD pipeline</t>
        </is>
      </c>
      <c r="C16" s="17" t="n"/>
      <c r="D16" s="18" t="inlineStr">
        <is>
          <t>Pipeline linting step, linting failure logs</t>
        </is>
      </c>
      <c r="E16" s="19" t="n"/>
    </row>
    <row r="17">
      <c r="A17" s="14" t="inlineStr">
        <is>
          <t>▶ Secret Prevention</t>
        </is>
      </c>
    </row>
    <row r="18">
      <c r="A18" s="15" t="inlineStr">
        <is>
          <t>4.9</t>
        </is>
      </c>
      <c r="B18" s="16" t="inlineStr">
        <is>
          <t>Secret scanning pre-commit hooks are deployed</t>
        </is>
      </c>
      <c r="C18" s="17" t="n"/>
      <c r="D18" s="18" t="inlineStr">
        <is>
          <t>Git hooks configuration (git-secrets, detect-secrets), hook installation</t>
        </is>
      </c>
      <c r="E18" s="19" t="n"/>
    </row>
    <row r="19">
      <c r="A19" s="15" t="inlineStr">
        <is>
          <t>4.10</t>
        </is>
      </c>
      <c r="B19" s="16" t="inlineStr">
        <is>
          <t>Pre-commit hooks prevent commits containing secrets</t>
        </is>
      </c>
      <c r="C19" s="17" t="n"/>
      <c r="D19" s="18" t="inlineStr">
        <is>
          <t>Blocked commit logs, secret detection examples</t>
        </is>
      </c>
      <c r="E19" s="19" t="n"/>
    </row>
    <row r="20">
      <c r="A20" s="15" t="inlineStr">
        <is>
          <t>4.11</t>
        </is>
      </c>
      <c r="B20" s="16" t="inlineStr">
        <is>
          <t>Developers can bypass pre-commit hooks only with justification</t>
        </is>
      </c>
      <c r="C20" s="17" t="n"/>
      <c r="D20" s="18" t="inlineStr">
        <is>
          <t>Bypass process documentation, bypass audit logs</t>
        </is>
      </c>
      <c r="E20" s="19" t="n"/>
    </row>
    <row r="21">
      <c r="A21" s="14" t="inlineStr">
        <is>
          <t>▶ Code Quality</t>
        </is>
      </c>
    </row>
    <row r="22">
      <c r="A22" s="15" t="inlineStr">
        <is>
          <t>4.12</t>
        </is>
      </c>
      <c r="B22" s="16" t="inlineStr">
        <is>
          <t>Code formatting tools enforce consistent style</t>
        </is>
      </c>
      <c r="C22" s="17" t="n"/>
      <c r="D22" s="18" t="inlineStr">
        <is>
          <t>Prettier, Black, gofmt configuration, formatting enforcement</t>
        </is>
      </c>
      <c r="E22" s="19" t="n"/>
    </row>
    <row r="23">
      <c r="A23" s="15" t="inlineStr">
        <is>
          <t>4.13</t>
        </is>
      </c>
      <c r="B23" s="16" t="inlineStr">
        <is>
          <t>Complexity metrics are tracked (cyclomatic complexity, etc.)</t>
        </is>
      </c>
      <c r="C23" s="17" t="n"/>
      <c r="D23" s="18" t="inlineStr">
        <is>
          <t>SonarQube complexity metrics, code quality dashboards</t>
        </is>
      </c>
      <c r="E23" s="19" t="n"/>
    </row>
    <row r="24">
      <c r="A24" s="15" t="inlineStr">
        <is>
          <t>4.14</t>
        </is>
      </c>
      <c r="B24" s="16" t="inlineStr">
        <is>
          <t>Code coverage metrics are tracked and enforced</t>
        </is>
      </c>
      <c r="C24" s="17" t="n"/>
      <c r="D24" s="18" t="inlineStr">
        <is>
          <t>Coverage reports, minimum coverage thresholds</t>
        </is>
      </c>
      <c r="E24" s="19" t="n"/>
    </row>
    <row r="25">
      <c r="A25" s="14" t="inlineStr">
        <is>
          <t>▶ Dependency Management</t>
        </is>
      </c>
    </row>
    <row r="26">
      <c r="A26" s="15" t="inlineStr">
        <is>
          <t>4.15</t>
        </is>
      </c>
      <c r="B26" s="16" t="inlineStr">
        <is>
          <t>Dependency update tools provide automated update PRs</t>
        </is>
      </c>
      <c r="C26" s="17" t="n"/>
      <c r="D26" s="18" t="inlineStr">
        <is>
          <t>Dependabot, Renovate Bot configuration, automated PRs</t>
        </is>
      </c>
      <c r="E26" s="19" t="n"/>
    </row>
    <row r="27">
      <c r="A27" s="14" t="inlineStr">
        <is>
          <t>▶ IDE Plugins</t>
        </is>
      </c>
    </row>
    <row r="28">
      <c r="A28" s="15" t="inlineStr">
        <is>
          <t>4.16</t>
        </is>
      </c>
      <c r="B28" s="16" t="inlineStr">
        <is>
          <t>IDE plugins provide inline documentation for secure coding</t>
        </is>
      </c>
      <c r="C28" s="17" t="n"/>
      <c r="D28" s="18" t="inlineStr">
        <is>
          <t>Context-aware security hints, inline documentation</t>
        </is>
      </c>
      <c r="E28" s="19" t="n"/>
    </row>
    <row r="29">
      <c r="A29" s="14" t="inlineStr">
        <is>
          <t>▶ Tool Governance</t>
        </is>
      </c>
    </row>
    <row r="30">
      <c r="A30" s="15" t="inlineStr">
        <is>
          <t>4.17</t>
        </is>
      </c>
      <c r="B30" s="16" t="inlineStr">
        <is>
          <t>Developer feedback on tool usability is collected and acted upon</t>
        </is>
      </c>
      <c r="C30" s="17" t="n"/>
      <c r="D30" s="18" t="inlineStr">
        <is>
          <t>Developer surveys, tool improvement backlog</t>
        </is>
      </c>
      <c r="E30" s="19" t="n"/>
    </row>
    <row r="31">
      <c r="A31" s="15" t="inlineStr">
        <is>
          <t>4.18</t>
        </is>
      </c>
      <c r="B31" s="16" t="inlineStr">
        <is>
          <t>Tool performance impact on developer workflow is monitored</t>
        </is>
      </c>
      <c r="C31" s="17" t="n"/>
      <c r="D31" s="18" t="inlineStr">
        <is>
          <t>Performance metrics, developer satisfaction scores</t>
        </is>
      </c>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sheetData>
  <mergeCells count="12">
    <mergeCell ref="A11:F11"/>
    <mergeCell ref="A2:E2"/>
    <mergeCell ref="A13:F13"/>
    <mergeCell ref="A9:F9"/>
    <mergeCell ref="A27:F27"/>
    <mergeCell ref="A1:E1"/>
    <mergeCell ref="A17:F17"/>
    <mergeCell ref="A4:F4"/>
    <mergeCell ref="A21:F21"/>
    <mergeCell ref="A29:F29"/>
    <mergeCell ref="A7:F7"/>
    <mergeCell ref="A25:F25"/>
  </mergeCells>
  <dataValidations count="1">
    <dataValidation sqref="C5 C6 C8 C10 C12 C14 C15 C16 C18 C19 C20 C22 C23 C24 C26 C28 C30 C31 C32 C33 C34 C35 C36 C37 C38 C39 C40 C41 C42 C43 C44 C45 C46 C47 C48 C49 C50 C51 C52 C53 C54 C55 C56 C57 C58 C59 C60 C61 C62 C63" showDropDown="0" showInputMessage="0" showErrorMessage="0" allowBlank="0"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STANDARDS &amp; TOOLS ASSESSMENT: TOOL EFFECTIVENESS &amp; METRICS</t>
        </is>
      </c>
    </row>
    <row r="2">
      <c r="A2" s="12" t="inlineStr">
        <is>
          <t>ISO 27001:2022 | Control A.8.28 | Tool Effectiveness &amp; Metrics</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Metrics &amp; Measurement</t>
        </is>
      </c>
    </row>
    <row r="5">
      <c r="A5" s="15" t="inlineStr">
        <is>
          <t>5.1</t>
        </is>
      </c>
      <c r="B5" s="16" t="inlineStr">
        <is>
          <t>Security tool effectiveness is measured with KPIs</t>
        </is>
      </c>
      <c r="C5" s="17" t="n"/>
      <c r="D5" s="18" t="inlineStr">
        <is>
          <t>KPI dashboard, effectiveness metrics definition</t>
        </is>
      </c>
      <c r="E5" s="19" t="n"/>
    </row>
    <row r="6">
      <c r="A6" s="15" t="inlineStr">
        <is>
          <t>5.2</t>
        </is>
      </c>
      <c r="B6" s="16" t="inlineStr">
        <is>
          <t>Vulnerability detection rate is tracked per tool</t>
        </is>
      </c>
      <c r="C6" s="17" t="n"/>
      <c r="D6" s="18" t="inlineStr">
        <is>
          <t>Detection metrics by tool, true positive rates</t>
        </is>
      </c>
      <c r="E6" s="19" t="n"/>
    </row>
    <row r="7">
      <c r="A7" s="14" t="inlineStr">
        <is>
          <t>▶ Tool Tuning</t>
        </is>
      </c>
    </row>
    <row r="8">
      <c r="A8" s="15" t="inlineStr">
        <is>
          <t>5.3</t>
        </is>
      </c>
      <c r="B8" s="16" t="inlineStr">
        <is>
          <t>False positive rate is measured and minimised</t>
        </is>
      </c>
      <c r="C8" s="17" t="n"/>
      <c r="D8" s="18" t="inlineStr">
        <is>
          <t>False positive metrics, tuning efforts documentation</t>
        </is>
      </c>
      <c r="E8" s="19" t="n"/>
    </row>
    <row r="9">
      <c r="A9" s="14" t="inlineStr">
        <is>
          <t>▶ Metrics &amp; Measurement</t>
        </is>
      </c>
    </row>
    <row r="10">
      <c r="A10" s="15" t="inlineStr">
        <is>
          <t>5.4</t>
        </is>
      </c>
      <c r="B10" s="16" t="inlineStr">
        <is>
          <t>Mean time to remediation (MTTR) is tracked for findings</t>
        </is>
      </c>
      <c r="C10" s="17" t="n"/>
      <c r="D10" s="18" t="inlineStr">
        <is>
          <t>MTTR metrics, remediation velocity dashboard</t>
        </is>
      </c>
      <c r="E10" s="19" t="n"/>
    </row>
    <row r="11">
      <c r="A11" s="14" t="inlineStr">
        <is>
          <t>▶ Tool Coverage</t>
        </is>
      </c>
    </row>
    <row r="12">
      <c r="A12" s="15" t="inlineStr">
        <is>
          <t>5.5</t>
        </is>
      </c>
      <c r="B12" s="16" t="inlineStr">
        <is>
          <t>Tool coverage is measured (% of codebase scanned)</t>
        </is>
      </c>
      <c r="C12" s="17" t="n"/>
      <c r="D12" s="18" t="inlineStr">
        <is>
          <t>Coverage reports, unscanned code identification</t>
        </is>
      </c>
      <c r="E12" s="19" t="n"/>
    </row>
    <row r="13">
      <c r="A13" s="14" t="inlineStr">
        <is>
          <t>▶ Metrics &amp; Measurement</t>
        </is>
      </c>
    </row>
    <row r="14">
      <c r="A14" s="15" t="inlineStr">
        <is>
          <t>5.6</t>
        </is>
      </c>
      <c r="B14" s="16" t="inlineStr">
        <is>
          <t>Security tool findings trends are analysed over time</t>
        </is>
      </c>
      <c r="C14" s="17" t="n"/>
      <c r="D14" s="18" t="inlineStr">
        <is>
          <t>Trend analysis reports, historical metrics</t>
        </is>
      </c>
      <c r="E14" s="19" t="n"/>
    </row>
    <row r="15">
      <c r="A15" s="14" t="inlineStr">
        <is>
          <t>▶ Tool Governance</t>
        </is>
      </c>
    </row>
    <row r="16">
      <c r="A16" s="15" t="inlineStr">
        <is>
          <t>5.7</t>
        </is>
      </c>
      <c r="B16" s="16" t="inlineStr">
        <is>
          <t>Tool costs are tracked and justified by value delivered</t>
        </is>
      </c>
      <c r="C16" s="17" t="n"/>
      <c r="D16" s="18" t="inlineStr">
        <is>
          <t>Cost-benefit analysis, ROI documentation</t>
        </is>
      </c>
      <c r="E16" s="19" t="n"/>
    </row>
    <row r="17">
      <c r="A17" s="14" t="inlineStr">
        <is>
          <t>▶ Tool Performance</t>
        </is>
      </c>
    </row>
    <row r="18">
      <c r="A18" s="15" t="inlineStr">
        <is>
          <t>5.8</t>
        </is>
      </c>
      <c r="B18" s="16" t="inlineStr">
        <is>
          <t>Tool performance (scan time, resource usage) is monitored</t>
        </is>
      </c>
      <c r="C18" s="17" t="n"/>
      <c r="D18" s="18" t="inlineStr">
        <is>
          <t>Performance monitoring, scan duration metrics</t>
        </is>
      </c>
      <c r="E18" s="19" t="n"/>
    </row>
    <row r="19">
      <c r="A19" s="14" t="inlineStr">
        <is>
          <t>▶ Tool Integration</t>
        </is>
      </c>
    </row>
    <row r="20">
      <c r="A20" s="15" t="inlineStr">
        <is>
          <t>5.9</t>
        </is>
      </c>
      <c r="B20" s="16" t="inlineStr">
        <is>
          <t>Duplicate findings across tools are identified and deduplicated</t>
        </is>
      </c>
      <c r="C20" s="17" t="n"/>
      <c r="D20" s="18" t="inlineStr">
        <is>
          <t>Deduplication process, consolidated findings reports</t>
        </is>
      </c>
      <c r="E20" s="19" t="n"/>
    </row>
    <row r="21">
      <c r="A21" s="14" t="inlineStr">
        <is>
          <t>▶ Metrics &amp; Measurement</t>
        </is>
      </c>
    </row>
    <row r="22">
      <c r="A22" s="15" t="inlineStr">
        <is>
          <t>5.10</t>
        </is>
      </c>
      <c r="B22" s="16" t="inlineStr">
        <is>
          <t>Security findings are correlated with production incidents</t>
        </is>
      </c>
      <c r="C22" s="17" t="n"/>
      <c r="D22" s="18" t="inlineStr">
        <is>
          <t>Incident analysis, finding-to-incident correlation reports</t>
        </is>
      </c>
      <c r="E22" s="19" t="n"/>
    </row>
    <row r="23">
      <c r="A23" s="14" t="inlineStr">
        <is>
          <t>▶ Tool Integration</t>
        </is>
      </c>
    </row>
    <row r="24">
      <c r="A24" s="15" t="inlineStr">
        <is>
          <t>5.11</t>
        </is>
      </c>
      <c r="B24" s="16" t="inlineStr">
        <is>
          <t>Tool findings are integrated with vulnerability management system</t>
        </is>
      </c>
      <c r="C24" s="17" t="n"/>
      <c r="D24" s="18" t="inlineStr">
        <is>
          <t>VM system integration, unified vulnerability tracking</t>
        </is>
      </c>
      <c r="E24" s="19" t="n"/>
    </row>
    <row r="25">
      <c r="A25" s="14" t="inlineStr">
        <is>
          <t>▶ Reporting</t>
        </is>
      </c>
    </row>
    <row r="26">
      <c r="A26" s="15" t="inlineStr">
        <is>
          <t>5.12</t>
        </is>
      </c>
      <c r="B26" s="16" t="inlineStr">
        <is>
          <t>Security metrics are reported to management quarterly</t>
        </is>
      </c>
      <c r="C26" s="17" t="n"/>
      <c r="D26" s="18" t="inlineStr">
        <is>
          <t>Management reports, executive dashboards</t>
        </is>
      </c>
      <c r="E26" s="19" t="n"/>
    </row>
    <row r="27">
      <c r="A27" s="14" t="inlineStr">
        <is>
          <t>▶ Tool Governance</t>
        </is>
      </c>
    </row>
    <row r="28">
      <c r="A28" s="15" t="inlineStr">
        <is>
          <t>5.13</t>
        </is>
      </c>
      <c r="B28" s="16" t="inlineStr">
        <is>
          <t>Tool configuration changes are tracked and audited</t>
        </is>
      </c>
      <c r="C28" s="17" t="n"/>
      <c r="D28" s="18" t="inlineStr">
        <is>
          <t>Configuration change logs, audit trails</t>
        </is>
      </c>
      <c r="E28" s="19" t="n"/>
    </row>
    <row r="29">
      <c r="A29" s="15" t="inlineStr">
        <is>
          <t>5.14</t>
        </is>
      </c>
      <c r="B29" s="16" t="inlineStr">
        <is>
          <t>Tool licenses are managed and renewal dates tracked</t>
        </is>
      </c>
      <c r="C29" s="17" t="n"/>
      <c r="D29" s="18" t="inlineStr">
        <is>
          <t>License management system, renewal calendar</t>
        </is>
      </c>
      <c r="E29" s="19" t="n"/>
    </row>
    <row r="30">
      <c r="A30" s="14" t="inlineStr">
        <is>
          <t>▶ Tool Selection</t>
        </is>
      </c>
    </row>
    <row r="31">
      <c r="A31" s="15" t="inlineStr">
        <is>
          <t>5.15</t>
        </is>
      </c>
      <c r="B31" s="16" t="inlineStr">
        <is>
          <t>New tools are evaluated against security requirements</t>
        </is>
      </c>
      <c r="C31" s="17" t="n"/>
      <c r="D31" s="18" t="inlineStr">
        <is>
          <t>Tool evaluation framework, POC results</t>
        </is>
      </c>
      <c r="E31" s="19" t="n"/>
    </row>
    <row r="32">
      <c r="A32" s="14" t="inlineStr">
        <is>
          <t>▶ Tool Maintenance</t>
        </is>
      </c>
    </row>
    <row r="33">
      <c r="A33" s="15" t="inlineStr">
        <is>
          <t>5.16</t>
        </is>
      </c>
      <c r="B33" s="16" t="inlineStr">
        <is>
          <t>Tools are regularly updated to latest stable versions</t>
        </is>
      </c>
      <c r="C33" s="17" t="n"/>
      <c r="D33" s="18" t="inlineStr">
        <is>
          <t>Tool version inventory, update schedule</t>
        </is>
      </c>
      <c r="E33" s="19" t="n"/>
    </row>
    <row r="34">
      <c r="A34" s="14" t="inlineStr">
        <is>
          <t>▶ Tool Effectiveness</t>
        </is>
      </c>
    </row>
    <row r="35">
      <c r="A35" s="15" t="inlineStr">
        <is>
          <t>5.17</t>
        </is>
      </c>
      <c r="B35" s="16" t="inlineStr">
        <is>
          <t>Tool effectiveness is benchmarked against industry standards</t>
        </is>
      </c>
      <c r="C35" s="17" t="n"/>
      <c r="D35" s="18" t="inlineStr">
        <is>
          <t>Benchmark comparison reports, industry metrics</t>
        </is>
      </c>
      <c r="E35" s="19" t="n"/>
    </row>
    <row r="36">
      <c r="A36" s="14" t="inlineStr">
        <is>
          <t>▶ Tool Governance</t>
        </is>
      </c>
    </row>
    <row r="37">
      <c r="A37" s="15" t="inlineStr">
        <is>
          <t>5.18</t>
        </is>
      </c>
      <c r="B37" s="16" t="inlineStr">
        <is>
          <t>Continuous improvement process exists for tool optimization</t>
        </is>
      </c>
      <c r="C37" s="17" t="n"/>
      <c r="D37" s="18" t="inlineStr">
        <is>
          <t>Improvement backlog, optimization initiatives</t>
        </is>
      </c>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row r="64">
      <c r="A64" s="6" t="n"/>
      <c r="B64" s="6" t="n"/>
      <c r="C64" s="17" t="n"/>
      <c r="D64" s="19" t="n"/>
      <c r="E64" s="19" t="n"/>
    </row>
    <row r="65">
      <c r="A65" s="6" t="n"/>
      <c r="B65" s="6" t="n"/>
      <c r="C65" s="17" t="n"/>
      <c r="D65" s="19" t="n"/>
      <c r="E65" s="19" t="n"/>
    </row>
    <row r="66">
      <c r="A66" s="6" t="n"/>
      <c r="B66" s="6" t="n"/>
      <c r="C66" s="17" t="n"/>
      <c r="D66" s="19" t="n"/>
      <c r="E66" s="19" t="n"/>
    </row>
    <row r="67">
      <c r="A67" s="6" t="n"/>
      <c r="B67" s="6" t="n"/>
      <c r="C67" s="17" t="n"/>
      <c r="D67" s="19" t="n"/>
      <c r="E67" s="19" t="n"/>
    </row>
    <row r="68">
      <c r="A68" s="6" t="n"/>
      <c r="B68" s="6" t="n"/>
      <c r="C68" s="17" t="n"/>
      <c r="D68" s="19" t="n"/>
      <c r="E68" s="19" t="n"/>
    </row>
    <row r="69">
      <c r="A69" s="6" t="n"/>
      <c r="B69" s="6" t="n"/>
      <c r="C69" s="17" t="n"/>
      <c r="D69" s="19" t="n"/>
      <c r="E69" s="19" t="n"/>
    </row>
  </sheetData>
  <mergeCells count="18">
    <mergeCell ref="A11:F11"/>
    <mergeCell ref="A30:F30"/>
    <mergeCell ref="A2:E2"/>
    <mergeCell ref="A13:F13"/>
    <mergeCell ref="A19:F19"/>
    <mergeCell ref="A36:F36"/>
    <mergeCell ref="A23:F23"/>
    <mergeCell ref="A9:F9"/>
    <mergeCell ref="A27:F27"/>
    <mergeCell ref="A32:F32"/>
    <mergeCell ref="A1:E1"/>
    <mergeCell ref="A17:F17"/>
    <mergeCell ref="A34:F34"/>
    <mergeCell ref="A4:F4"/>
    <mergeCell ref="A21:F21"/>
    <mergeCell ref="A15:F15"/>
    <mergeCell ref="A7:F7"/>
    <mergeCell ref="A25:F25"/>
  </mergeCells>
  <dataValidations count="1">
    <dataValidation sqref="C5 C6 C8 C10 C12 C14 C16 C18 C20 C22 C24 C26 C28 C29 C31 C33 C35 C37 C38 C39 C40 C41 C42 C43 C44 C45 C46 C47 C48 C49 C50 C51 C52 C53 C54 C55 C56 C57 C58 C59 C60 C61 C62 C63 C64 C65 C66 C67 C68 C69" showDropDown="0" showInputMessage="0" showErrorMessage="0" allowBlank="0"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4" t="inlineStr">
        <is>
          <t>EVIDENCE REGISTER</t>
        </is>
      </c>
    </row>
    <row r="2">
      <c r="A2" s="25" t="inlineStr">
        <is>
          <t>List all evidence files/documents referenced in this assessment (audit traceability).</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Test Data Inventory</t>
        </is>
      </c>
      <c r="C5" s="27" t="inlineStr">
        <is>
          <t>Configuration file</t>
        </is>
      </c>
      <c r="D5" s="27" t="inlineStr">
        <is>
          <t>Data masking configuration for UAT environment</t>
        </is>
      </c>
      <c r="E5" s="27" t="inlineStr">
        <is>
          <t>\fileserver\isms\evidence\test-data\uat-masking-config.json</t>
        </is>
      </c>
      <c r="F5" s="27" t="inlineStr">
        <is>
          <t>2024-03-01</t>
        </is>
      </c>
      <c r="G5" s="27" t="inlineStr">
        <is>
          <t>Sarah Mitchell</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4" t="inlineStr">
        <is>
          <t>GAP ANALYSIS &amp; REMEDIATION PLAN</t>
        </is>
      </c>
    </row>
    <row r="2">
      <c r="A2" s="29" t="inlineStr">
        <is>
          <t>Document all 'Not Implemented' and 'Partially Implemented' requirements. Assign owners, set target dates, and track remediation progress.</t>
        </is>
      </c>
    </row>
    <row r="3">
      <c r="A3" s="30" t="inlineStr">
        <is>
          <t>Gap ID</t>
        </is>
      </c>
      <c r="B3" s="30" t="inlineStr">
        <is>
          <t>Domain</t>
        </is>
      </c>
      <c r="C3" s="30" t="inlineStr">
        <is>
          <t>Requirement ID</t>
        </is>
      </c>
      <c r="D3" s="30" t="inlineStr">
        <is>
          <t>Requirement Description</t>
        </is>
      </c>
      <c r="E3" s="30" t="inlineStr">
        <is>
          <t>Current State</t>
        </is>
      </c>
      <c r="F3" s="30" t="inlineStr">
        <is>
          <t>Target State</t>
        </is>
      </c>
      <c r="G3" s="30" t="inlineStr">
        <is>
          <t>Priority</t>
        </is>
      </c>
      <c r="H3" s="30" t="inlineStr">
        <is>
          <t>Owner</t>
        </is>
      </c>
      <c r="I3" s="30" t="inlineStr">
        <is>
          <t>Target Date</t>
        </is>
      </c>
      <c r="J3" s="30" t="inlineStr">
        <is>
          <t>Status</t>
        </is>
      </c>
    </row>
    <row r="4">
      <c r="A4" s="27" t="inlineStr">
        <is>
          <t>GAP-001</t>
        </is>
      </c>
      <c r="B4" s="27" t="inlineStr">
        <is>
          <t>SAST &amp; SCA Tools</t>
        </is>
      </c>
      <c r="C4" s="27" t="inlineStr">
        <is>
          <t>2.2</t>
        </is>
      </c>
      <c r="D4" s="27" t="inlineStr">
        <is>
          <t>SonarQube integrated into CI/CD pipeline</t>
        </is>
      </c>
      <c r="E4" s="27" t="inlineStr">
        <is>
          <t>SAST runs manually outside pipeline</t>
        </is>
      </c>
      <c r="F4" s="27" t="inlineStr">
        <is>
          <t>Automated SAST scans with quality gates in Jenkins</t>
        </is>
      </c>
      <c r="G4" s="27" t="inlineStr">
        <is>
          <t>High</t>
        </is>
      </c>
      <c r="H4" s="27" t="inlineStr">
        <is>
          <t>DevSecOps Lead</t>
        </is>
      </c>
      <c r="I4" s="27" t="inlineStr">
        <is>
          <t>28.02.2025</t>
        </is>
      </c>
      <c r="J4" s="27" t="inlineStr">
        <is>
          <t>In Progress</t>
        </is>
      </c>
    </row>
    <row r="5">
      <c r="A5" s="28" t="n"/>
      <c r="B5" s="28" t="n"/>
      <c r="C5" s="28" t="n"/>
      <c r="D5" s="28" t="n"/>
      <c r="E5" s="28" t="n"/>
      <c r="F5" s="28" t="n"/>
      <c r="G5" s="28" t="n"/>
      <c r="H5" s="28" t="n"/>
      <c r="I5" s="28" t="n"/>
      <c r="J5" s="28" t="n"/>
    </row>
    <row r="6">
      <c r="A6" s="28" t="n"/>
      <c r="B6" s="28" t="n"/>
      <c r="C6" s="28" t="n"/>
      <c r="D6" s="28" t="n"/>
      <c r="E6" s="28" t="n"/>
      <c r="F6" s="28" t="n"/>
      <c r="G6" s="28" t="n"/>
      <c r="H6" s="28" t="n"/>
      <c r="I6" s="28" t="n"/>
      <c r="J6" s="28" t="n"/>
    </row>
    <row r="7">
      <c r="A7" s="28" t="n"/>
      <c r="B7" s="28" t="n"/>
      <c r="C7" s="28" t="n"/>
      <c r="D7" s="28" t="n"/>
      <c r="E7" s="28" t="n"/>
      <c r="F7" s="28" t="n"/>
      <c r="G7" s="28" t="n"/>
      <c r="H7" s="28" t="n"/>
      <c r="I7" s="28" t="n"/>
      <c r="J7" s="28" t="n"/>
    </row>
    <row r="8">
      <c r="A8" s="28" t="n"/>
      <c r="B8" s="28" t="n"/>
      <c r="C8" s="28" t="n"/>
      <c r="D8" s="28" t="n"/>
      <c r="E8" s="28" t="n"/>
      <c r="F8" s="28" t="n"/>
      <c r="G8" s="28" t="n"/>
      <c r="H8" s="28" t="n"/>
      <c r="I8" s="28" t="n"/>
      <c r="J8" s="28" t="n"/>
    </row>
    <row r="9">
      <c r="A9" s="28" t="n"/>
      <c r="B9" s="28" t="n"/>
      <c r="C9" s="28" t="n"/>
      <c r="D9" s="28" t="n"/>
      <c r="E9" s="28" t="n"/>
      <c r="F9" s="28" t="n"/>
      <c r="G9" s="28" t="n"/>
      <c r="H9" s="28" t="n"/>
      <c r="I9" s="28" t="n"/>
      <c r="J9" s="28" t="n"/>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sheetData>
  <mergeCells count="2">
    <mergeCell ref="A1:J1"/>
    <mergeCell ref="A2:J2"/>
  </mergeCells>
  <dataValidations count="2">
    <dataValidation sqref="G4:G200" showDropDown="0" showInputMessage="0" showErrorMessage="0" allowBlank="0" type="list">
      <formula1>"Critical,High,Medium,Low"</formula1>
    </dataValidation>
    <dataValidation sqref="J4:J200" showDropDown="0" showInputMessage="0" showErrorMessage="0" allowBlank="0"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1" t="inlineStr">
        <is>
          <t>CODING STANDARDS AND DEVELOPMENT TOOL SECURITY — SUMMARY DASHBOARD</t>
        </is>
      </c>
    </row>
    <row r="2">
      <c r="A2" s="12" t="inlineStr">
        <is>
          <t>ISO/IEC 27001:2022 Annex A.8.28 — Secure Coding | Standards &amp; Tools Assessment</t>
        </is>
      </c>
    </row>
    <row r="4">
      <c r="A4" s="32" t="inlineStr">
        <is>
          <t>TABLE 1: ASSESSMENT AREA COMPLIANCE OVERVIEW</t>
        </is>
      </c>
      <c r="B4" s="6" t="n"/>
      <c r="C4" s="6" t="n"/>
      <c r="D4" s="6" t="n"/>
      <c r="E4" s="6" t="n"/>
      <c r="F4" s="6" t="n"/>
      <c r="G4" s="6" t="n"/>
    </row>
    <row r="5">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6" t="inlineStr">
        <is>
          <t>Coding Standards Adoption</t>
        </is>
      </c>
      <c r="B6" s="34">
        <f>COUNTA('Coding Standards Adoption'!C4:C100)</f>
        <v/>
      </c>
      <c r="C6" s="34">
        <f>COUNTIF('Coding Standards Adoption'!C4:C100,"✅ Implemented")</f>
        <v/>
      </c>
      <c r="D6" s="34">
        <f>COUNTIF('Coding Standards Adoption'!C4:C100,"⚠️ Partially Implemented")</f>
        <v/>
      </c>
      <c r="E6" s="34">
        <f>COUNTIF('Coding Standards Adoption'!C4:C100,"❌ Not Implemented")</f>
        <v/>
      </c>
      <c r="F6" s="34">
        <f>COUNTIF('Coding Standards Adoption'!C4:C100,"N/A")</f>
        <v/>
      </c>
      <c r="G6" s="35">
        <f>IF((B6-F6)=0,0,C6/(B6-F6))</f>
        <v/>
      </c>
    </row>
    <row r="7">
      <c r="A7" s="6" t="inlineStr">
        <is>
          <t>SAST SCA Tools</t>
        </is>
      </c>
      <c r="B7" s="34">
        <f>COUNTA('SAST SCA Tools'!C4:C100)</f>
        <v/>
      </c>
      <c r="C7" s="34">
        <f>COUNTIF('SAST SCA Tools'!C4:C100,"✅ Implemented")</f>
        <v/>
      </c>
      <c r="D7" s="34">
        <f>COUNTIF('SAST SCA Tools'!C4:C100,"⚠️ Partially Implemented")</f>
        <v/>
      </c>
      <c r="E7" s="34">
        <f>COUNTIF('SAST SCA Tools'!C4:C100,"❌ Not Implemented")</f>
        <v/>
      </c>
      <c r="F7" s="34">
        <f>COUNTIF('SAST SCA Tools'!C4:C100,"N/A")</f>
        <v/>
      </c>
      <c r="G7" s="35">
        <f>IF((B7-F7)=0,0,C7/(B7-F7))</f>
        <v/>
      </c>
    </row>
    <row r="8">
      <c r="A8" s="6" t="inlineStr">
        <is>
          <t>DAST Security Testing Tools</t>
        </is>
      </c>
      <c r="B8" s="34">
        <f>COUNTA('DAST Security Testing Tools'!C4:C100)</f>
        <v/>
      </c>
      <c r="C8" s="34">
        <f>COUNTIF('DAST Security Testing Tools'!C4:C100,"✅ Implemented")</f>
        <v/>
      </c>
      <c r="D8" s="34">
        <f>COUNTIF('DAST Security Testing Tools'!C4:C100,"⚠️ Partially Implemented")</f>
        <v/>
      </c>
      <c r="E8" s="34">
        <f>COUNTIF('DAST Security Testing Tools'!C4:C100,"❌ Not Implemented")</f>
        <v/>
      </c>
      <c r="F8" s="34">
        <f>COUNTIF('DAST Security Testing Tools'!C4:C100,"N/A")</f>
        <v/>
      </c>
      <c r="G8" s="35">
        <f>IF((B8-F8)=0,0,C8/(B8-F8))</f>
        <v/>
      </c>
    </row>
    <row r="9">
      <c r="A9" s="6" t="inlineStr">
        <is>
          <t>IDE Plugins Linters</t>
        </is>
      </c>
      <c r="B9" s="34">
        <f>COUNTA('IDE Plugins Linters'!C4:C100)</f>
        <v/>
      </c>
      <c r="C9" s="34">
        <f>COUNTIF('IDE Plugins Linters'!C4:C100,"✅ Implemented")</f>
        <v/>
      </c>
      <c r="D9" s="34">
        <f>COUNTIF('IDE Plugins Linters'!C4:C100,"⚠️ Partially Implemented")</f>
        <v/>
      </c>
      <c r="E9" s="34">
        <f>COUNTIF('IDE Plugins Linters'!C4:C100,"❌ Not Implemented")</f>
        <v/>
      </c>
      <c r="F9" s="34">
        <f>COUNTIF('IDE Plugins Linters'!C4:C100,"N/A")</f>
        <v/>
      </c>
      <c r="G9" s="35">
        <f>IF((B9-F9)=0,0,C9/(B9-F9))</f>
        <v/>
      </c>
    </row>
    <row r="10">
      <c r="A10" s="6" t="inlineStr">
        <is>
          <t>Tool Effectiveness Metrics</t>
        </is>
      </c>
      <c r="B10" s="34">
        <f>COUNTA('Tool Effectiveness Metrics'!C4:C100)</f>
        <v/>
      </c>
      <c r="C10" s="34">
        <f>COUNTIF('Tool Effectiveness Metrics'!C4:C100,"✅ Implemented")</f>
        <v/>
      </c>
      <c r="D10" s="34">
        <f>COUNTIF('Tool Effectiveness Metrics'!C4:C100,"⚠️ Partially Implemented")</f>
        <v/>
      </c>
      <c r="E10" s="34">
        <f>COUNTIF('Tool Effectiveness Metrics'!C4:C100,"❌ Not Implemented")</f>
        <v/>
      </c>
      <c r="F10" s="34">
        <f>COUNTIF('Tool Effectiveness Metrics'!C4:C100,"N/A")</f>
        <v/>
      </c>
      <c r="G10" s="35">
        <f>IF((B10-F10)=0,0,C10/(B10-F10))</f>
        <v/>
      </c>
    </row>
    <row r="11">
      <c r="A11" s="36" t="inlineStr">
        <is>
          <t>TOTAL</t>
        </is>
      </c>
      <c r="B11" s="37">
        <f>SUM(B6:B10)</f>
        <v/>
      </c>
      <c r="C11" s="37">
        <f>SUM(C6:C10)</f>
        <v/>
      </c>
      <c r="D11" s="37">
        <f>SUM(D6:D10)</f>
        <v/>
      </c>
      <c r="E11" s="37">
        <f>SUM(E6:E10)</f>
        <v/>
      </c>
      <c r="F11" s="37">
        <f>SUM(F6:F10)</f>
        <v/>
      </c>
      <c r="G11" s="38">
        <f>IF((B11-F11)=0,0,C11/(B11-F11))</f>
        <v/>
      </c>
    </row>
    <row r="13">
      <c r="A13" s="32" t="inlineStr">
        <is>
          <t>TABLE 2: KEY METRICS</t>
        </is>
      </c>
      <c r="B13" s="6" t="n"/>
      <c r="C13" s="6" t="n"/>
      <c r="D13" s="6" t="n"/>
      <c r="E13" s="6" t="n"/>
      <c r="F13" s="6" t="n"/>
      <c r="G13" s="6" t="n"/>
    </row>
    <row r="14">
      <c r="A14" s="39" t="inlineStr">
        <is>
          <t>Metric</t>
        </is>
      </c>
      <c r="B14" s="39" t="inlineStr">
        <is>
          <t>Value</t>
        </is>
      </c>
      <c r="C14" s="39" t="inlineStr"/>
      <c r="D14" s="39" t="inlineStr"/>
      <c r="E14" s="39" t="inlineStr"/>
      <c r="F14" s="39" t="inlineStr"/>
      <c r="G14" s="39" t="inlineStr"/>
    </row>
    <row r="15">
      <c r="A15" s="40" t="inlineStr">
        <is>
          <t>Total Coding Standards</t>
        </is>
      </c>
      <c r="B15" s="41">
        <f>COUNTA('Coding Standards Adoption'!B5:B100)</f>
        <v/>
      </c>
      <c r="C15" s="6" t="n"/>
      <c r="D15" s="6" t="n"/>
      <c r="E15" s="6" t="n"/>
      <c r="F15" s="6" t="n"/>
      <c r="G15" s="6" t="n"/>
    </row>
    <row r="16">
      <c r="A16" s="40" t="inlineStr">
        <is>
          <t>Standards Fully Adopted</t>
        </is>
      </c>
      <c r="B16" s="41">
        <f>COUNTIF('Coding Standards Adoption'!C5:C100,"✅ Implemented")</f>
        <v/>
      </c>
      <c r="C16" s="6" t="n"/>
      <c r="D16" s="6" t="n"/>
      <c r="E16" s="6" t="n"/>
      <c r="F16" s="6" t="n"/>
      <c r="G16" s="6" t="n"/>
    </row>
    <row r="17">
      <c r="A17" s="40" t="inlineStr">
        <is>
          <t>Standards Adoption Rate</t>
        </is>
      </c>
      <c r="B17" s="41">
        <f>COUNTIF('Coding Standards Adoption'!C5:C100,"✅ Implemented")/COUNTA('Coding Standards Adoption'!B5:B100)</f>
        <v/>
      </c>
      <c r="C17" s="6" t="n"/>
      <c r="D17" s="6" t="n"/>
      <c r="E17" s="6" t="n"/>
      <c r="F17" s="6" t="n"/>
      <c r="G17" s="6" t="n"/>
    </row>
    <row r="18">
      <c r="A18" s="40" t="inlineStr">
        <is>
          <t>Total SAST/SCA Tools</t>
        </is>
      </c>
      <c r="B18" s="41">
        <f>COUNTA('SAST SCA Tools'!B5:B100)</f>
        <v/>
      </c>
      <c r="C18" s="6" t="n"/>
      <c r="D18" s="6" t="n"/>
      <c r="E18" s="6" t="n"/>
      <c r="F18" s="6" t="n"/>
      <c r="G18" s="6" t="n"/>
    </row>
    <row r="19">
      <c r="A19" s="40" t="inlineStr">
        <is>
          <t>Tools Fully Integrated</t>
        </is>
      </c>
      <c r="B19" s="41">
        <f>COUNTIF('SAST SCA Tools'!C5:C100,"✅ Implemented")</f>
        <v/>
      </c>
      <c r="C19" s="6" t="n"/>
      <c r="D19" s="6" t="n"/>
      <c r="E19" s="6" t="n"/>
      <c r="F19" s="6" t="n"/>
      <c r="G19" s="6" t="n"/>
    </row>
    <row r="20">
      <c r="A20" s="40" t="inlineStr">
        <is>
          <t>SAST/SCA Coverage</t>
        </is>
      </c>
      <c r="B20" s="41">
        <f>COUNTIF('SAST SCA Tools'!C5:C100,"✅ Implemented")/COUNTA('SAST SCA Tools'!B5:B100)</f>
        <v/>
      </c>
      <c r="C20" s="6" t="n"/>
      <c r="D20" s="6" t="n"/>
      <c r="E20" s="6" t="n"/>
      <c r="F20" s="6" t="n"/>
      <c r="G20" s="6" t="n"/>
    </row>
    <row r="21">
      <c r="A21" s="40" t="inlineStr">
        <is>
          <t>Total DAST Tools</t>
        </is>
      </c>
      <c r="B21" s="41">
        <f>COUNTA('DAST Security Testing Tools'!B5:B100)</f>
        <v/>
      </c>
      <c r="C21" s="6" t="n"/>
      <c r="D21" s="6" t="n"/>
      <c r="E21" s="6" t="n"/>
      <c r="F21" s="6" t="n"/>
      <c r="G21" s="6" t="n"/>
    </row>
    <row r="22">
      <c r="A22" s="40" t="inlineStr">
        <is>
          <t>DAST Tools Active</t>
        </is>
      </c>
      <c r="B22" s="41">
        <f>COUNTIF('DAST Security Testing Tools'!C5:C100,"✅ Implemented")</f>
        <v/>
      </c>
      <c r="C22" s="6" t="n"/>
      <c r="D22" s="6" t="n"/>
      <c r="E22" s="6" t="n"/>
      <c r="F22" s="6" t="n"/>
      <c r="G22" s="6" t="n"/>
    </row>
    <row r="23">
      <c r="A23" s="40" t="inlineStr">
        <is>
          <t>DAST Testing Coverage</t>
        </is>
      </c>
      <c r="B23" s="41">
        <f>COUNTIF('DAST Security Testing Tools'!C5:C100,"✅ Implemented")/COUNTA('DAST Security Testing Tools'!B5:B100)</f>
        <v/>
      </c>
      <c r="C23" s="6" t="n"/>
      <c r="D23" s="6" t="n"/>
      <c r="E23" s="6" t="n"/>
      <c r="F23" s="6" t="n"/>
      <c r="G23" s="6" t="n"/>
    </row>
    <row r="24">
      <c r="A24" s="40" t="inlineStr">
        <is>
          <t>Total IDE Plugins</t>
        </is>
      </c>
      <c r="B24" s="41">
        <f>COUNTA('IDE Plugins Linters'!B5:B100)</f>
        <v/>
      </c>
      <c r="C24" s="6" t="n"/>
      <c r="D24" s="6" t="n"/>
      <c r="E24" s="6" t="n"/>
      <c r="F24" s="6" t="n"/>
      <c r="G24" s="6" t="n"/>
    </row>
    <row r="25">
      <c r="A25" s="40" t="inlineStr">
        <is>
          <t>Plugins Deployed</t>
        </is>
      </c>
      <c r="B25" s="41">
        <f>COUNTIF('IDE Plugins Linters'!C5:C100,"✅ Implemented")</f>
        <v/>
      </c>
      <c r="C25" s="6" t="n"/>
      <c r="D25" s="6" t="n"/>
      <c r="E25" s="6" t="n"/>
      <c r="F25" s="6" t="n"/>
      <c r="G25" s="6" t="n"/>
    </row>
    <row r="26">
      <c r="A26" s="40" t="inlineStr">
        <is>
          <t>Plugin Adoption Rate</t>
        </is>
      </c>
      <c r="B26" s="41">
        <f>COUNTIF('IDE Plugins Linters'!C5:C100,"✅ Implemented")/COUNTA('IDE Plugins Linters'!B5:B100)</f>
        <v/>
      </c>
      <c r="C26" s="6" t="n"/>
      <c r="D26" s="6" t="n"/>
      <c r="E26" s="6" t="n"/>
      <c r="F26" s="6" t="n"/>
      <c r="G26" s="6" t="n"/>
    </row>
    <row r="27">
      <c r="A27" s="40" t="inlineStr">
        <is>
          <t>Total Effectiveness Metrics</t>
        </is>
      </c>
      <c r="B27" s="41">
        <f>COUNTA('Tool Effectiveness Metrics'!B5:B100)</f>
        <v/>
      </c>
      <c r="C27" s="6" t="n"/>
      <c r="D27" s="6" t="n"/>
      <c r="E27" s="6" t="n"/>
      <c r="F27" s="6" t="n"/>
      <c r="G27" s="6" t="n"/>
    </row>
    <row r="28">
      <c r="A28" s="40" t="inlineStr">
        <is>
          <t>Metrics Tracked</t>
        </is>
      </c>
      <c r="B28" s="41">
        <f>COUNTIF('Tool Effectiveness Metrics'!C5:C100,"✅ Implemented")</f>
        <v/>
      </c>
      <c r="C28" s="6" t="n"/>
      <c r="D28" s="6" t="n"/>
      <c r="E28" s="6" t="n"/>
      <c r="F28" s="6" t="n"/>
      <c r="G28" s="6" t="n"/>
    </row>
    <row r="29">
      <c r="A29" s="40" t="inlineStr">
        <is>
          <t>Overall Tool Effectiveness</t>
        </is>
      </c>
      <c r="B29" s="41">
        <f>COUNTIF('Tool Effectiveness Metrics'!C5:C100,"✅ Implemented")/COUNTA('Tool Effectiveness Metrics'!B5:B100)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42" t="inlineStr">
        <is>
          <t>TABLE 3: CRITICAL FINDINGS REQUIRING IMMEDIATE ATTENTION</t>
        </is>
      </c>
      <c r="B33" s="6" t="n"/>
      <c r="C33" s="6" t="n"/>
      <c r="D33" s="6" t="n"/>
      <c r="E33" s="6" t="n"/>
      <c r="F33" s="6" t="n"/>
      <c r="G33" s="6" t="n"/>
    </row>
    <row r="34">
      <c r="A34" s="39" t="inlineStr">
        <is>
          <t>Category</t>
        </is>
      </c>
      <c r="B34" s="39" t="inlineStr">
        <is>
          <t>Finding</t>
        </is>
      </c>
      <c r="C34" s="39" t="inlineStr">
        <is>
          <t>Count</t>
        </is>
      </c>
      <c r="D34" s="39" t="inlineStr">
        <is>
          <t>Severity</t>
        </is>
      </c>
      <c r="E34" s="39" t="inlineStr">
        <is>
          <t>Action Required</t>
        </is>
      </c>
      <c r="F34" s="39" t="inlineStr"/>
      <c r="G34" s="39" t="inlineStr"/>
    </row>
    <row r="35">
      <c r="A35" s="28" t="inlineStr">
        <is>
          <t>Coding Standards Adoption</t>
        </is>
      </c>
      <c r="B35" s="28" t="inlineStr">
        <is>
          <t>No coding standards enforced</t>
        </is>
      </c>
      <c r="C35" s="43">
        <f>COUNTIF('Coding Standards Adoption'!C5:C100,"❌ Not Implemented")</f>
        <v/>
      </c>
      <c r="D35" s="28" t="inlineStr">
        <is>
          <t>Critical</t>
        </is>
      </c>
      <c r="E35" s="28" t="inlineStr">
        <is>
          <t>Immediate</t>
        </is>
      </c>
      <c r="F35" s="28" t="n"/>
      <c r="G35" s="28" t="n"/>
    </row>
    <row r="36">
      <c r="A36" s="28" t="inlineStr">
        <is>
          <t>SAST SCA Tools</t>
        </is>
      </c>
      <c r="B36" s="28" t="inlineStr">
        <is>
          <t>Missing SAST/SCA in CI/CD pipeline</t>
        </is>
      </c>
      <c r="C36" s="43">
        <f>COUNTIF('SAST SCA Tools'!C5:C100,"❌ Not Implemented")</f>
        <v/>
      </c>
      <c r="D36" s="28" t="inlineStr">
        <is>
          <t>Critical</t>
        </is>
      </c>
      <c r="E36" s="28" t="inlineStr">
        <is>
          <t>Immediate</t>
        </is>
      </c>
      <c r="F36" s="28" t="n"/>
      <c r="G36" s="28" t="n"/>
    </row>
    <row r="37">
      <c r="A37" s="28" t="inlineStr">
        <is>
          <t>DAST Security Testing Tools</t>
        </is>
      </c>
      <c r="B37" s="28" t="inlineStr">
        <is>
          <t>Zero DAST coverage for APIs</t>
        </is>
      </c>
      <c r="C37" s="43">
        <f>COUNTIF('DAST Security Testing Tools'!C5:C100,"❌ Not Implemented")</f>
        <v/>
      </c>
      <c r="D37" s="28" t="inlineStr">
        <is>
          <t>Critical</t>
        </is>
      </c>
      <c r="E37" s="28" t="inlineStr">
        <is>
          <t>Immediate</t>
        </is>
      </c>
      <c r="F37" s="28" t="n"/>
      <c r="G37" s="28" t="n"/>
    </row>
    <row r="38">
      <c r="A38" s="28" t="inlineStr">
        <is>
          <t>IDE Plugins Linters</t>
        </is>
      </c>
      <c r="B38" s="28" t="inlineStr">
        <is>
          <t>No security plugins in developer IDEs</t>
        </is>
      </c>
      <c r="C38" s="43">
        <f>COUNTIF('IDE Plugins Linters'!C5:C100,"❌ Not Implemented")</f>
        <v/>
      </c>
      <c r="D38" s="28" t="inlineStr">
        <is>
          <t>Critical</t>
        </is>
      </c>
      <c r="E38" s="28" t="inlineStr">
        <is>
          <t>Immediate</t>
        </is>
      </c>
      <c r="F38" s="28" t="n"/>
      <c r="G38" s="28" t="n"/>
    </row>
    <row r="39">
      <c r="A39" s="28" t="inlineStr">
        <is>
          <t>Tool Effectiveness Metrics</t>
        </is>
      </c>
      <c r="B39" s="28" t="inlineStr">
        <is>
          <t>No metrics tracking tool effectiveness</t>
        </is>
      </c>
      <c r="C39" s="43">
        <f>COUNTIF('Tool Effectiveness Metrics'!C5:C100,"❌ Not Implemented")</f>
        <v/>
      </c>
      <c r="D39" s="28" t="inlineStr">
        <is>
          <t>Critical</t>
        </is>
      </c>
      <c r="E39" s="28" t="inlineStr">
        <is>
          <t>Immediate</t>
        </is>
      </c>
      <c r="F39" s="28" t="n"/>
      <c r="G39" s="28" t="n"/>
    </row>
    <row r="40">
      <c r="A40" s="28" t="inlineStr">
        <is>
          <t>Coding Standards Adoption</t>
        </is>
      </c>
      <c r="B40" s="28" t="inlineStr">
        <is>
          <t>Inconsistent standards adoption</t>
        </is>
      </c>
      <c r="C40" s="43">
        <f>COUNTIF('Coding Standards Adoption'!C5:C100,"⚠️ Partially Implemented")</f>
        <v/>
      </c>
      <c r="D40" s="28" t="inlineStr">
        <is>
          <t>High</t>
        </is>
      </c>
      <c r="E40" s="28" t="inlineStr">
        <is>
          <t>Urgent</t>
        </is>
      </c>
      <c r="F40" s="28" t="n"/>
      <c r="G40" s="28" t="n"/>
    </row>
    <row r="41">
      <c r="A41" s="28" t="inlineStr">
        <is>
          <t>SAST SCA Tools</t>
        </is>
      </c>
      <c r="B41" s="28" t="inlineStr">
        <is>
          <t>Incomplete SAST/SCA integration</t>
        </is>
      </c>
      <c r="C41" s="43">
        <f>COUNTIF('SAST SCA Tools'!C5:C100,"⚠️ Partially Implemented")</f>
        <v/>
      </c>
      <c r="D41" s="28" t="inlineStr">
        <is>
          <t>High</t>
        </is>
      </c>
      <c r="E41" s="28" t="inlineStr">
        <is>
          <t>Urgent</t>
        </is>
      </c>
      <c r="F41" s="28" t="n"/>
      <c r="G41" s="28" t="n"/>
    </row>
    <row r="42">
      <c r="A42" s="28" t="inlineStr">
        <is>
          <t>DAST Security Testing Tools</t>
        </is>
      </c>
      <c r="B42" s="28" t="inlineStr">
        <is>
          <t>Partial DAST implementation</t>
        </is>
      </c>
      <c r="C42" s="43">
        <f>COUNTIF('DAST Security Testing Tools'!C5:C100,"⚠️ Partially Implemented")</f>
        <v/>
      </c>
      <c r="D42" s="28" t="inlineStr">
        <is>
          <t>High</t>
        </is>
      </c>
      <c r="E42" s="28" t="inlineStr">
        <is>
          <t>Urgent</t>
        </is>
      </c>
      <c r="F42" s="28" t="n"/>
      <c r="G42" s="28" t="n"/>
    </row>
    <row r="43">
      <c r="A43" s="28" t="inlineStr">
        <is>
          <t>IDE Plugins Linters</t>
        </is>
      </c>
      <c r="B43" s="28" t="inlineStr">
        <is>
          <t>Low plugin adoption rates</t>
        </is>
      </c>
      <c r="C43" s="43">
        <f>COUNTIF('IDE Plugins Linters'!C5:C100,"⚠️ Partially Implemented")</f>
        <v/>
      </c>
      <c r="D43" s="28" t="inlineStr">
        <is>
          <t>High</t>
        </is>
      </c>
      <c r="E43" s="28" t="inlineStr">
        <is>
          <t>Urgent</t>
        </is>
      </c>
      <c r="F43" s="28" t="n"/>
      <c r="G43" s="28" t="n"/>
    </row>
    <row r="44">
      <c r="A44" s="28" t="inlineStr">
        <is>
          <t>Tool Effectiveness Metrics</t>
        </is>
      </c>
      <c r="B44" s="28" t="inlineStr">
        <is>
          <t>Incomplete metrics collection</t>
        </is>
      </c>
      <c r="C44" s="43">
        <f>COUNTIF('Tool Effectiveness Metrics'!C5:C100,"⚠️ Partially Implemented")</f>
        <v/>
      </c>
      <c r="D44" s="28" t="inlineStr">
        <is>
          <t>Medium</t>
        </is>
      </c>
      <c r="E44" s="28" t="inlineStr">
        <is>
          <t>Plan</t>
        </is>
      </c>
      <c r="F44" s="28" t="n"/>
      <c r="G44" s="28" t="n"/>
    </row>
    <row r="45">
      <c r="A45" s="28" t="n"/>
      <c r="B45" s="28" t="n"/>
      <c r="C45" s="28" t="n"/>
      <c r="D45" s="28" t="n"/>
      <c r="E45" s="28" t="n"/>
      <c r="F45" s="28" t="n"/>
      <c r="G45" s="28" t="n"/>
    </row>
    <row r="46">
      <c r="A46" s="28" t="n"/>
      <c r="B46" s="28" t="n"/>
      <c r="C46" s="28" t="n"/>
      <c r="D46" s="28" t="n"/>
      <c r="E46" s="28" t="n"/>
      <c r="F46" s="28" t="n"/>
      <c r="G46" s="28"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4" t="inlineStr">
        <is>
          <t>ASSESSMENT APPROVAL AND SIGN-OFF</t>
        </is>
      </c>
      <c r="B1" s="6" t="n"/>
      <c r="C1" s="6" t="n"/>
      <c r="D1" s="6" t="n"/>
      <c r="E1" s="6" t="n"/>
    </row>
    <row r="2">
      <c r="A2" s="45" t="inlineStr">
        <is>
          <t>ISO/IEC 27001:2022 - Control A.8.28: Secure Coding</t>
        </is>
      </c>
      <c r="B2" s="6" t="n"/>
      <c r="C2" s="6" t="n"/>
      <c r="D2" s="6" t="n"/>
      <c r="E2" s="6" t="n"/>
    </row>
    <row r="3">
      <c r="A3" s="46" t="inlineStr">
        <is>
          <t>ASSESSMENT SUMMARY</t>
        </is>
      </c>
      <c r="B3" s="6" t="n"/>
      <c r="C3" s="6" t="n"/>
      <c r="D3" s="6" t="n"/>
      <c r="E3" s="6" t="n"/>
    </row>
    <row r="4">
      <c r="A4" s="47" t="inlineStr">
        <is>
          <t>Document:</t>
        </is>
      </c>
      <c r="B4" s="6" t="inlineStr">
        <is>
          <t>ISMS-IMP-A.8.28.2 - Standards &amp; Tools Assessment</t>
        </is>
      </c>
      <c r="C4" s="6" t="n"/>
      <c r="D4" s="6" t="n"/>
      <c r="E4" s="6" t="n"/>
    </row>
    <row r="5">
      <c r="A5" s="47" t="inlineStr">
        <is>
          <t>Assessment Period:</t>
        </is>
      </c>
      <c r="B5" s="28" t="inlineStr"/>
      <c r="C5" s="28" t="n"/>
      <c r="D5" s="28" t="n"/>
      <c r="E5" s="28" t="n"/>
    </row>
    <row r="6">
      <c r="A6" s="47" t="inlineStr">
        <is>
          <t>Overall Compliance Rating:</t>
        </is>
      </c>
      <c r="B6" s="6">
        <f>'Summary Dashboard'!G9</f>
        <v/>
      </c>
      <c r="C6" s="6" t="n"/>
      <c r="D6" s="6" t="n"/>
      <c r="E6" s="6" t="n"/>
    </row>
    <row r="7">
      <c r="A7" s="47" t="inlineStr">
        <is>
          <t>Assessment Status:</t>
        </is>
      </c>
      <c r="B7" s="28" t="inlineStr"/>
      <c r="C7" s="28" t="n"/>
      <c r="D7" s="28" t="n"/>
      <c r="E7" s="28" t="n"/>
    </row>
    <row r="8">
      <c r="A8" s="47" t="inlineStr">
        <is>
          <t>Assessed By:</t>
        </is>
      </c>
      <c r="B8" s="28" t="inlineStr"/>
      <c r="C8" s="28" t="n"/>
      <c r="D8" s="28" t="n"/>
      <c r="E8" s="28" t="n"/>
    </row>
    <row r="11">
      <c r="A11" s="46" t="inlineStr">
        <is>
          <t>COMPLETED BY (ASSESSOR)</t>
        </is>
      </c>
      <c r="B11" s="6" t="n"/>
      <c r="C11" s="6" t="n"/>
      <c r="D11" s="6" t="n"/>
      <c r="E11" s="6" t="n"/>
    </row>
    <row r="12">
      <c r="A12" s="47" t="inlineStr">
        <is>
          <t>Name:</t>
        </is>
      </c>
      <c r="B12" s="28" t="n"/>
      <c r="C12" s="28" t="n"/>
      <c r="D12" s="28" t="n"/>
      <c r="E12" s="28" t="n"/>
    </row>
    <row r="13">
      <c r="A13" s="47" t="inlineStr">
        <is>
          <t>Title:</t>
        </is>
      </c>
      <c r="B13" s="28" t="n"/>
      <c r="C13" s="28" t="n"/>
      <c r="D13" s="28" t="n"/>
      <c r="E13" s="28" t="n"/>
    </row>
    <row r="14">
      <c r="A14" s="47" t="inlineStr">
        <is>
          <t>Date:</t>
        </is>
      </c>
      <c r="B14" s="28" t="n"/>
      <c r="C14" s="28" t="n"/>
      <c r="D14" s="28" t="n"/>
      <c r="E14" s="28" t="n"/>
    </row>
    <row r="15">
      <c r="A15" s="47" t="inlineStr">
        <is>
          <t>Signature:</t>
        </is>
      </c>
      <c r="B15" s="28" t="n"/>
      <c r="C15" s="28" t="n"/>
      <c r="D15" s="28" t="n"/>
      <c r="E15" s="28" t="n"/>
    </row>
    <row r="16">
      <c r="A16" s="47" t="inlineStr">
        <is>
          <t>Comments:</t>
        </is>
      </c>
      <c r="B16" s="28" t="n"/>
      <c r="C16" s="28" t="n"/>
      <c r="D16" s="28" t="n"/>
      <c r="E16" s="28" t="n"/>
    </row>
    <row r="18">
      <c r="A18" s="46" t="inlineStr">
        <is>
          <t>REVIEWED BY (INFORMATION SECURITY OFFICER)</t>
        </is>
      </c>
      <c r="B18" s="6" t="n"/>
      <c r="C18" s="6" t="n"/>
      <c r="D18" s="6" t="n"/>
      <c r="E18" s="6" t="n"/>
    </row>
    <row r="19">
      <c r="A19" s="47" t="inlineStr">
        <is>
          <t>Name:</t>
        </is>
      </c>
      <c r="B19" s="28" t="n"/>
      <c r="C19" s="28" t="n"/>
      <c r="D19" s="28" t="n"/>
      <c r="E19" s="28" t="n"/>
    </row>
    <row r="20">
      <c r="A20" s="47" t="inlineStr">
        <is>
          <t>Title:</t>
        </is>
      </c>
      <c r="B20" s="28" t="n"/>
      <c r="C20" s="28" t="n"/>
      <c r="D20" s="28" t="n"/>
      <c r="E20" s="28" t="n"/>
    </row>
    <row r="21">
      <c r="A21" s="47" t="inlineStr">
        <is>
          <t>Date:</t>
        </is>
      </c>
      <c r="B21" s="28" t="n"/>
      <c r="C21" s="28" t="n"/>
      <c r="D21" s="28" t="n"/>
      <c r="E21" s="28" t="n"/>
    </row>
    <row r="22">
      <c r="A22" s="47" t="inlineStr">
        <is>
          <t>Signature:</t>
        </is>
      </c>
      <c r="B22" s="28" t="n"/>
      <c r="C22" s="28" t="n"/>
      <c r="D22" s="28" t="n"/>
      <c r="E22" s="28" t="n"/>
    </row>
    <row r="23">
      <c r="A23" s="47" t="inlineStr">
        <is>
          <t>Comments:</t>
        </is>
      </c>
      <c r="B23" s="28" t="n"/>
      <c r="C23" s="28" t="n"/>
      <c r="D23" s="28" t="n"/>
      <c r="E23" s="28" t="n"/>
    </row>
    <row r="25">
      <c r="A25" s="48" t="inlineStr">
        <is>
          <t>APPROVED BY (CISO)</t>
        </is>
      </c>
      <c r="B25" s="6" t="n"/>
      <c r="C25" s="6" t="n"/>
      <c r="D25" s="6" t="n"/>
      <c r="E25" s="6" t="n"/>
    </row>
    <row r="26">
      <c r="A26" s="47" t="inlineStr">
        <is>
          <t>Name:</t>
        </is>
      </c>
      <c r="B26" s="28" t="n"/>
      <c r="C26" s="28" t="n"/>
      <c r="D26" s="28" t="n"/>
      <c r="E26" s="28" t="n"/>
    </row>
    <row r="27">
      <c r="A27" s="47" t="inlineStr">
        <is>
          <t>Title:</t>
        </is>
      </c>
      <c r="B27" s="28" t="n"/>
      <c r="C27" s="28" t="n"/>
      <c r="D27" s="28" t="n"/>
      <c r="E27" s="28" t="n"/>
    </row>
    <row r="28">
      <c r="A28" s="47" t="inlineStr">
        <is>
          <t>Date:</t>
        </is>
      </c>
      <c r="B28" s="28" t="n"/>
      <c r="C28" s="28" t="n"/>
      <c r="D28" s="28" t="n"/>
      <c r="E28" s="28" t="n"/>
    </row>
    <row r="29">
      <c r="A29" s="47" t="inlineStr">
        <is>
          <t>Signature:</t>
        </is>
      </c>
      <c r="B29" s="28" t="n"/>
      <c r="C29" s="28" t="n"/>
      <c r="D29" s="28" t="n"/>
      <c r="E29" s="28" t="n"/>
    </row>
    <row r="30">
      <c r="A30" s="47" t="inlineStr">
        <is>
          <t>Comments:</t>
        </is>
      </c>
      <c r="B30" s="28" t="n"/>
      <c r="C30" s="28" t="n"/>
      <c r="D30" s="28" t="n"/>
      <c r="E30" s="28" t="n"/>
    </row>
    <row r="32">
      <c r="A32" s="47" t="inlineStr">
        <is>
          <t>FINAL DECISION:</t>
        </is>
      </c>
      <c r="B32" s="28" t="n"/>
      <c r="C32" s="28" t="n"/>
      <c r="D32" s="28" t="n"/>
      <c r="E32" s="28" t="n"/>
    </row>
    <row r="35">
      <c r="A35" s="46" t="inlineStr">
        <is>
          <t>NEXT REVIEW DETAILS</t>
        </is>
      </c>
      <c r="B35" s="6" t="n"/>
      <c r="C35" s="6" t="n"/>
      <c r="D35" s="6" t="n"/>
      <c r="E35" s="6" t="n"/>
    </row>
    <row r="36">
      <c r="A36" s="47" t="inlineStr">
        <is>
          <t>Next Review Date:</t>
        </is>
      </c>
      <c r="B36" s="28" t="n"/>
      <c r="C36" s="28" t="n"/>
      <c r="D36" s="28" t="n"/>
      <c r="E36" s="28" t="n"/>
    </row>
    <row r="37">
      <c r="A37" s="47" t="inlineStr">
        <is>
          <t>Review Responsible:</t>
        </is>
      </c>
      <c r="B37" s="28" t="n"/>
      <c r="C37" s="28" t="n"/>
      <c r="D37" s="28" t="n"/>
      <c r="E37" s="28" t="n"/>
    </row>
    <row r="38">
      <c r="A38" s="47" t="inlineStr">
        <is>
          <t>Special Considerations:</t>
        </is>
      </c>
      <c r="B38" s="28" t="n"/>
      <c r="C38" s="28" t="n"/>
      <c r="D38" s="28" t="n"/>
      <c r="E38" s="2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ISMS-IMP-A.8.28.2 — Coding Standards and Development Tool Security</dc:title>
  <dc:description xmlns:dc="http://purl.org/dc/elements/1.1/">ISMS Implementation Workbook — ISMS-IMP-A.8.28.2</dc:description>
  <dc:subject xmlns:dc="http://purl.org/dc/elements/1.1/">ISO/IEC 27001:2022 — Control A.8.28: Secure Coding</dc:subject>
  <dcterms:created xmlns:dcterms="http://purl.org/dc/terms/" xmlns:xsi="http://www.w3.org/2001/XMLSchema-instance" xsi:type="dcterms:W3CDTF">2026-03-07T11:28:26Z</dcterms:created>
  <dcterms:modified xmlns:dcterms="http://purl.org/dc/terms/" xmlns:xsi="http://www.w3.org/2001/XMLSchema-instance" xsi:type="dcterms:W3CDTF">2026-03-07T11:28:26Z</dcterms:modified>
</cp:coreProperties>
</file>