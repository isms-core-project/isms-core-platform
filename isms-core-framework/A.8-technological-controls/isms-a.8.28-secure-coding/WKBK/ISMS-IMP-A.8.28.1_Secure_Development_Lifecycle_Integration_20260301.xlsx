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Requirements Design" sheetId="2" state="visible" r:id="rId2"/>
    <sheet xmlns:r="http://schemas.openxmlformats.org/officeDocument/2006/relationships" name="Development Environment" sheetId="3" state="visible" r:id="rId3"/>
    <sheet xmlns:r="http://schemas.openxmlformats.org/officeDocument/2006/relationships" name="Build Deployment Pipeline" sheetId="4" state="visible" r:id="rId4"/>
    <sheet xmlns:r="http://schemas.openxmlformats.org/officeDocument/2006/relationships" name="Security Testing Integration" sheetId="5" state="visible" r:id="rId5"/>
    <sheet xmlns:r="http://schemas.openxmlformats.org/officeDocument/2006/relationships" name="Release Change Management"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pivotButton="0" quotePrefix="0" xfId="0"/>
    <xf numFmtId="0" fontId="5" fillId="11" borderId="1" applyAlignment="1" pivotButton="0" quotePrefix="0" xfId="0">
      <alignment horizontal="left" vertical="top" wrapText="1"/>
    </xf>
    <xf numFmtId="0" fontId="0" fillId="11" borderId="1" applyAlignment="1" pivotButton="0" quotePrefix="0" xfId="0">
      <alignment horizontal="center" vertical="center" wrapText="1"/>
    </xf>
    <xf numFmtId="0" fontId="0" fillId="11"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1"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16" fillId="11" borderId="1" applyAlignment="1" pivotButton="0" quotePrefix="0" xfId="0">
      <alignment vertical="top" wrapText="1"/>
    </xf>
    <xf numFmtId="0" fontId="18" fillId="0" borderId="0" pivotButton="0" quotePrefix="0" xfId="0"/>
    <xf numFmtId="0" fontId="0" fillId="14" borderId="0" applyAlignment="1" pivotButton="0" quotePrefix="0" xfId="0">
      <alignment wrapText="1"/>
    </xf>
    <xf numFmtId="0" fontId="0" fillId="15" borderId="0" applyAlignment="1" pivotButton="0" quotePrefix="0" xfId="0">
      <alignment wrapText="1"/>
    </xf>
    <xf numFmtId="0" fontId="0" fillId="10" borderId="0" applyAlignment="1" pivotButton="0" quotePrefix="0" xfId="0">
      <alignment wrapText="1"/>
    </xf>
    <xf numFmtId="0" fontId="0" fillId="16" borderId="0" applyAlignment="1" pivotButton="0" quotePrefix="0" xfId="0">
      <alignment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2"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9" fillId="13"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ISMS-IMP-A.8.28.1  -  Secure Development Lifecycle Integration
ISO/IEC 27001:2022 - Control A.8.28: Secure Coding</t>
        </is>
      </c>
    </row>
    <row r="3">
      <c r="A3" s="2" t="inlineStr">
        <is>
          <t>Document Information</t>
        </is>
      </c>
    </row>
    <row r="4">
      <c r="A4" s="3" t="inlineStr">
        <is>
          <t>Document ID</t>
        </is>
      </c>
      <c r="B4" t="inlineStr">
        <is>
          <t>ISMS-IMP-A.8.28.1</t>
        </is>
      </c>
    </row>
    <row r="5">
      <c r="A5" s="3" t="inlineStr">
        <is>
          <t>Workbook Title</t>
        </is>
      </c>
      <c r="B5" t="inlineStr">
        <is>
          <t>Secure Development Lifecycle Integration</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For each requirement, select Implementation Status from the dropdown menu.</t>
        </is>
      </c>
    </row>
    <row r="15">
      <c r="A15" t="inlineStr">
        <is>
          <t>3. Provide Evidence Reference documenting WHERE the evidence can be found.</t>
        </is>
      </c>
    </row>
    <row r="16">
      <c r="A16" t="inlineStr">
        <is>
          <t>4. Add Comments explaining implementation details, exceptions, or context.</t>
        </is>
      </c>
    </row>
    <row r="17">
      <c r="A17" t="inlineStr">
        <is>
          <t>5. Review the Summary Dashboard to see overall compliance metrics.</t>
        </is>
      </c>
    </row>
    <row r="18">
      <c r="A18" t="inlineStr">
        <is>
          <t>6. Document all gaps in the Gap Analysis sheet with remediation plans.</t>
        </is>
      </c>
    </row>
    <row r="19">
      <c r="A19" t="inlineStr">
        <is>
          <t>7. Maintain the Evidence Register for comprehensive audit trail.</t>
        </is>
      </c>
    </row>
    <row r="20">
      <c r="A20" t="inlineStr">
        <is>
          <t>8. Obtain required approvals on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SECURITY REQUIREMENTS &amp; DESIGN</t>
        </is>
      </c>
    </row>
    <row r="2">
      <c r="A2" s="12" t="inlineStr">
        <is>
          <t>ISO 27001:2022 | Control A.8.28 | Security Requirements &amp; Design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Requirements Definition</t>
        </is>
      </c>
    </row>
    <row r="5">
      <c r="A5" s="15" t="inlineStr">
        <is>
          <t>1.1</t>
        </is>
      </c>
      <c r="B5" s="16" t="inlineStr">
        <is>
          <t>Security requirements are documented for all new development projects</t>
        </is>
      </c>
      <c r="C5" s="17" t="n"/>
      <c r="D5" s="18" t="inlineStr">
        <is>
          <t>Requirements documents, user stories with security acceptance criteria, requirements management system records</t>
        </is>
      </c>
      <c r="E5" s="19" t="n"/>
    </row>
    <row r="6">
      <c r="A6" s="15" t="inlineStr">
        <is>
          <t>1.2</t>
        </is>
      </c>
      <c r="B6" s="16" t="inlineStr">
        <is>
          <t>Threat modeling is performed for high-risk applications before implementation</t>
        </is>
      </c>
      <c r="C6" s="17" t="n"/>
      <c r="D6" s="18" t="inlineStr">
        <is>
          <t>Threat model documents, STRIDE analysis, attack trees, threat modeling session notes</t>
        </is>
      </c>
      <c r="E6" s="19" t="n"/>
    </row>
    <row r="7">
      <c r="A7" s="14" t="inlineStr">
        <is>
          <t>▶ Design Review</t>
        </is>
      </c>
    </row>
    <row r="8">
      <c r="A8" s="15" t="inlineStr">
        <is>
          <t>1.3</t>
        </is>
      </c>
      <c r="B8" s="16" t="inlineStr">
        <is>
          <t>Security design reviews are conducted before implementation begins</t>
        </is>
      </c>
      <c r="C8" s="17" t="n"/>
      <c r="D8" s="18" t="inlineStr">
        <is>
          <t>Architecture review meeting notes, approved design documents, security sign-off records</t>
        </is>
      </c>
      <c r="E8" s="19" t="n"/>
    </row>
    <row r="9">
      <c r="A9" s="14" t="inlineStr">
        <is>
          <t>▶ Requirements Definition</t>
        </is>
      </c>
    </row>
    <row r="10">
      <c r="A10" s="15" t="inlineStr">
        <is>
          <t>1.4</t>
        </is>
      </c>
      <c r="B10" s="16" t="inlineStr">
        <is>
          <t>Authentication and authorisation requirements are defined upfront for all applications</t>
        </is>
      </c>
      <c r="C10" s="17" t="n"/>
      <c r="D10" s="18" t="inlineStr">
        <is>
          <t>Security specifications, access control matrices, identity management requirements</t>
        </is>
      </c>
      <c r="E10" s="19" t="n"/>
    </row>
    <row r="11">
      <c r="A11" s="15" t="inlineStr">
        <is>
          <t>1.5</t>
        </is>
      </c>
      <c r="B11" s="16" t="inlineStr">
        <is>
          <t>Data classification is performed for all data handled by applications</t>
        </is>
      </c>
      <c r="C11" s="17" t="n"/>
      <c r="D11" s="18" t="inlineStr">
        <is>
          <t>Data classification register, data flow diagrams, data handling requirements</t>
        </is>
      </c>
      <c r="E11" s="19" t="n"/>
    </row>
    <row r="12">
      <c r="A12" s="15" t="inlineStr">
        <is>
          <t>1.6</t>
        </is>
      </c>
      <c r="B12" s="16" t="inlineStr">
        <is>
          <t>Cryptographic requirements are specified when sensitive data is involved</t>
        </is>
      </c>
      <c r="C12" s="17" t="n"/>
      <c r="D12" s="18" t="inlineStr">
        <is>
          <t>Crypto standards documentation, algorithm approval records, key management specs</t>
        </is>
      </c>
      <c r="E12" s="19" t="n"/>
    </row>
    <row r="13">
      <c r="A13" s="14" t="inlineStr">
        <is>
          <t>▶ Requirements Management</t>
        </is>
      </c>
    </row>
    <row r="14">
      <c r="A14" s="15" t="inlineStr">
        <is>
          <t>1.7</t>
        </is>
      </c>
      <c r="B14" s="16" t="inlineStr">
        <is>
          <t>Security requirements are tracked throughout the entire SDLC</t>
        </is>
      </c>
      <c r="C14" s="17" t="n"/>
      <c r="D14" s="18" t="inlineStr">
        <is>
          <t>Requirement traceability matrix, ticket system reports, requirements coverage metrics</t>
        </is>
      </c>
      <c r="E14" s="19" t="n"/>
    </row>
    <row r="15">
      <c r="A15" s="14" t="inlineStr">
        <is>
          <t>▶ Requirements Definition</t>
        </is>
      </c>
    </row>
    <row r="16">
      <c r="A16" s="15" t="inlineStr">
        <is>
          <t>1.8</t>
        </is>
      </c>
      <c r="B16" s="16" t="inlineStr">
        <is>
          <t>Privacy requirements (GDPR, CCPA, etc.) are incorporated into design phase</t>
        </is>
      </c>
      <c r="C16" s="17" t="n"/>
      <c r="D16" s="18" t="inlineStr">
        <is>
          <t>Privacy impact assessments, data protection by design documentation, consent mechanisms</t>
        </is>
      </c>
      <c r="E16" s="19" t="n"/>
    </row>
    <row r="17">
      <c r="A17" s="14" t="inlineStr">
        <is>
          <t>▶ Design Review</t>
        </is>
      </c>
    </row>
    <row r="18">
      <c r="A18" s="15" t="inlineStr">
        <is>
          <t>1.9</t>
        </is>
      </c>
      <c r="B18" s="16" t="inlineStr">
        <is>
          <t>Secure coding standards are referenced in all project documentation</t>
        </is>
      </c>
      <c r="C18" s="17" t="n"/>
      <c r="D18" s="18" t="inlineStr">
        <is>
          <t>Project wikis, coding guidelines links, onboarding documentation</t>
        </is>
      </c>
      <c r="E18" s="19" t="n"/>
    </row>
    <row r="19">
      <c r="A19" s="14" t="inlineStr">
        <is>
          <t>▶ Requirements Definition</t>
        </is>
      </c>
    </row>
    <row r="20">
      <c r="A20" s="15" t="inlineStr">
        <is>
          <t>1.10</t>
        </is>
      </c>
      <c r="B20" s="16" t="inlineStr">
        <is>
          <t>Security acceptance criteria are defined for all user stories and features</t>
        </is>
      </c>
      <c r="C20" s="17" t="n"/>
      <c r="D20" s="18" t="inlineStr">
        <is>
          <t>JIRA/Azure DevOps stories with security DoD, acceptance criteria templates</t>
        </is>
      </c>
      <c r="E20" s="19" t="n"/>
    </row>
    <row r="21">
      <c r="A21" s="15" t="inlineStr">
        <is>
          <t>1.11</t>
        </is>
      </c>
      <c r="B21" s="16" t="inlineStr">
        <is>
          <t>API security requirements are documented for all APIs (internal and external)</t>
        </is>
      </c>
      <c r="C21" s="17" t="n"/>
      <c r="D21" s="18" t="inlineStr">
        <is>
          <t>API security specifications, OpenAPI security schemes, API gateway policies</t>
        </is>
      </c>
      <c r="E21" s="19" t="n"/>
    </row>
    <row r="22">
      <c r="A22" s="14" t="inlineStr">
        <is>
          <t>▶ Design Review</t>
        </is>
      </c>
    </row>
    <row r="23">
      <c r="A23" s="15" t="inlineStr">
        <is>
          <t>1.12</t>
        </is>
      </c>
      <c r="B23" s="16" t="inlineStr">
        <is>
          <t>Third-party integration security is assessed during design phase</t>
        </is>
      </c>
      <c r="C23" s="17" t="n"/>
      <c r="D23" s="18" t="inlineStr">
        <is>
          <t>Vendor security assessments, integration security reviews, API security analysis</t>
        </is>
      </c>
      <c r="E23" s="19" t="n"/>
    </row>
    <row r="24">
      <c r="A24" s="15" t="inlineStr">
        <is>
          <t>1.13</t>
        </is>
      </c>
      <c r="B24" s="16" t="inlineStr">
        <is>
          <t>Error handling and logging requirements are specified in design</t>
        </is>
      </c>
      <c r="C24" s="17" t="n"/>
      <c r="D24" s="18" t="inlineStr">
        <is>
          <t>Logging standards, error handling patterns documentation, log retention policies</t>
        </is>
      </c>
      <c r="E24" s="19" t="n"/>
    </row>
    <row r="25">
      <c r="A25" s="14" t="inlineStr">
        <is>
          <t>▶ Requirements Definition</t>
        </is>
      </c>
    </row>
    <row r="26">
      <c r="A26" s="15" t="inlineStr">
        <is>
          <t>1.14</t>
        </is>
      </c>
      <c r="B26" s="16" t="inlineStr">
        <is>
          <t>Security testing requirements are defined before development starts</t>
        </is>
      </c>
      <c r="C26" s="17" t="n"/>
      <c r="D26" s="18" t="inlineStr">
        <is>
          <t>Test plans, security test case specifications, testing strategy documents</t>
        </is>
      </c>
      <c r="E26" s="19" t="n"/>
    </row>
    <row r="27">
      <c r="A27" s="15" t="inlineStr">
        <is>
          <t>1.15</t>
        </is>
      </c>
      <c r="B27" s="16" t="inlineStr">
        <is>
          <t>Compliance requirements are mapped to technical controls in design</t>
        </is>
      </c>
      <c r="C27" s="17" t="n"/>
      <c r="D27" s="18" t="inlineStr">
        <is>
          <t>Compliance mapping documents, control implementation matrix, regulatory requirements docs</t>
        </is>
      </c>
      <c r="E27" s="19" t="n"/>
    </row>
    <row r="28">
      <c r="A28" s="14" t="inlineStr">
        <is>
          <t>▶ Design Review</t>
        </is>
      </c>
    </row>
    <row r="29">
      <c r="A29" s="15" t="inlineStr">
        <is>
          <t>1.16</t>
        </is>
      </c>
      <c r="B29" s="16" t="inlineStr">
        <is>
          <t>Security Champions are involved in requirements and design review</t>
        </is>
      </c>
      <c r="C29" s="17" t="n"/>
      <c r="D29" s="18" t="inlineStr">
        <is>
          <t>Review meeting attendance, Security Champion feedback records, design review checklists</t>
        </is>
      </c>
      <c r="E29" s="19" t="n"/>
    </row>
    <row r="30">
      <c r="A30" s="15" t="inlineStr">
        <is>
          <t>1.17</t>
        </is>
      </c>
      <c r="B30" s="16" t="inlineStr">
        <is>
          <t>Secure design patterns are documented and promoted for common scenarios</t>
        </is>
      </c>
      <c r="C30" s="17" t="n"/>
      <c r="D30" s="18" t="inlineStr">
        <is>
          <t>Design pattern library, secure architecture templates, reference architectures</t>
        </is>
      </c>
      <c r="E30" s="19" t="n"/>
    </row>
    <row r="31">
      <c r="A31" s="14" t="inlineStr">
        <is>
          <t>▶ Requirements Definition</t>
        </is>
      </c>
    </row>
    <row r="32">
      <c r="A32" s="15" t="inlineStr">
        <is>
          <t>1.18</t>
        </is>
      </c>
      <c r="B32" s="16" t="inlineStr">
        <is>
          <t>Security requirements are risk-based and proportional to data sensitivity</t>
        </is>
      </c>
      <c r="C32" s="17" t="n"/>
      <c r="D32" s="18" t="inlineStr">
        <is>
          <t>Risk assessment documentation, security control selection justification</t>
        </is>
      </c>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sheetData>
  <mergeCells count="13">
    <mergeCell ref="A28:F28"/>
    <mergeCell ref="A2:E2"/>
    <mergeCell ref="A13:F13"/>
    <mergeCell ref="A19:F19"/>
    <mergeCell ref="A9:F9"/>
    <mergeCell ref="A31:F31"/>
    <mergeCell ref="A1:E1"/>
    <mergeCell ref="A17:F17"/>
    <mergeCell ref="A22:F22"/>
    <mergeCell ref="A4:F4"/>
    <mergeCell ref="A15:F15"/>
    <mergeCell ref="A7:F7"/>
    <mergeCell ref="A25:F25"/>
  </mergeCells>
  <dataValidations count="1">
    <dataValidation sqref="C5 C6 C8 C10 C11 C12 C14 C16 C18 C20 C21 C23 C24 C26 C27 C29 C30 C32 C33 C34 C35 C36 C37 C38 C39 C40 C41 C42 C43 C44 C45 C46 C47 C48 C49 C50 C51 C52 C53 C54 C55 C56 C57 C58 C59 C60 C61 C62 C63 C64"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DEVELOPMENT ENVIRONMENT &amp; TOOLING</t>
        </is>
      </c>
    </row>
    <row r="2">
      <c r="A2" s="12" t="inlineStr">
        <is>
          <t>ISO 27001:2022 | Control A.8.28 | Development Environment &amp; Tooling</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Environment Security</t>
        </is>
      </c>
    </row>
    <row r="5">
      <c r="A5" s="15" t="inlineStr">
        <is>
          <t>2.1</t>
        </is>
      </c>
      <c r="B5" s="16" t="inlineStr">
        <is>
          <t>Development environments are logically isolated from production systems</t>
        </is>
      </c>
      <c r="C5" s="17" t="n"/>
      <c r="D5" s="18" t="inlineStr">
        <is>
          <t>Network diagrams, firewall rules, network segmentation documentation</t>
        </is>
      </c>
      <c r="E5" s="19" t="n"/>
    </row>
    <row r="6">
      <c r="A6" s="14" t="inlineStr">
        <is>
          <t>▶ Workstation Security</t>
        </is>
      </c>
    </row>
    <row r="7">
      <c r="A7" s="15" t="inlineStr">
        <is>
          <t>2.2</t>
        </is>
      </c>
      <c r="B7" s="16" t="inlineStr">
        <is>
          <t>Developer workstations have mandatory security tooling installed (EDR, DLP, etc.)</t>
        </is>
      </c>
      <c r="C7" s="17" t="n"/>
      <c r="D7" s="18" t="inlineStr">
        <is>
          <t>EDR deployment reports, endpoint security compliance dashboards, security agent status</t>
        </is>
      </c>
      <c r="E7" s="19" t="n"/>
    </row>
    <row r="8">
      <c r="A8" s="14" t="inlineStr">
        <is>
          <t>▶ Development Tools</t>
        </is>
      </c>
    </row>
    <row r="9">
      <c r="A9" s="15" t="inlineStr">
        <is>
          <t>2.3</t>
        </is>
      </c>
      <c r="B9" s="16" t="inlineStr">
        <is>
          <t>IDE security plugins are available and promoted to all developers</t>
        </is>
      </c>
      <c r="C9" s="17" t="n"/>
      <c r="D9" s="18" t="inlineStr">
        <is>
          <t>IDE plugin catalog, installation instructions, adoption metrics</t>
        </is>
      </c>
      <c r="E9" s="19" t="n"/>
    </row>
    <row r="10">
      <c r="A10" s="15" t="inlineStr">
        <is>
          <t>2.4</t>
        </is>
      </c>
      <c r="B10" s="16" t="inlineStr">
        <is>
          <t>Pre-commit hooks prevent secret commits to version control</t>
        </is>
      </c>
      <c r="C10" s="17" t="n"/>
      <c r="D10" s="18" t="inlineStr">
        <is>
          <t>Git hooks configuration, secret scanner setup (git-secrets, detect-secrets), violation reports</t>
        </is>
      </c>
      <c r="E10" s="19" t="n"/>
    </row>
    <row r="11">
      <c r="A11" s="14" t="inlineStr">
        <is>
          <t>▶ Repository Security</t>
        </is>
      </c>
    </row>
    <row r="12">
      <c r="A12" s="15" t="inlineStr">
        <is>
          <t>2.5</t>
        </is>
      </c>
      <c r="B12" s="16" t="inlineStr">
        <is>
          <t>Code repositories require authentication and authorisation (SSO/MFA)</t>
        </is>
      </c>
      <c r="C12" s="17" t="n"/>
      <c r="D12" s="18" t="inlineStr">
        <is>
          <t>GitHub/GitLab access logs, SSO configuration, MFA enforcement policies</t>
        </is>
      </c>
      <c r="E12" s="19" t="n"/>
    </row>
    <row r="13">
      <c r="A13" s="15" t="inlineStr">
        <is>
          <t>2.6</t>
        </is>
      </c>
      <c r="B13" s="16" t="inlineStr">
        <is>
          <t>Branch protection rules enforce mandatory peer review for production branches</t>
        </is>
      </c>
      <c r="C13" s="17" t="n"/>
      <c r="D13" s="18" t="inlineStr">
        <is>
          <t>Repository settings screenshots, branch protection rules configuration, merge policies</t>
        </is>
      </c>
      <c r="E13" s="19" t="n"/>
    </row>
    <row r="14">
      <c r="A14" s="14" t="inlineStr">
        <is>
          <t>▶ Environment Security</t>
        </is>
      </c>
    </row>
    <row r="15">
      <c r="A15" s="15" t="inlineStr">
        <is>
          <t>2.7</t>
        </is>
      </c>
      <c r="B15" s="16" t="inlineStr">
        <is>
          <t>Development and testing use anonymized or synthetic data (not production data)</t>
        </is>
      </c>
      <c r="C15" s="17" t="n"/>
      <c r="D15" s="18" t="inlineStr">
        <is>
          <t>Data masking procedures, test data generation tools, data usage policies</t>
        </is>
      </c>
      <c r="E15" s="19" t="n"/>
    </row>
    <row r="16">
      <c r="A16" s="14" t="inlineStr">
        <is>
          <t>▶ Development Tools</t>
        </is>
      </c>
    </row>
    <row r="17">
      <c r="A17" s="15" t="inlineStr">
        <is>
          <t>2.8</t>
        </is>
      </c>
      <c r="B17" s="16" t="inlineStr">
        <is>
          <t>Secrets management solution is available and documented for developers</t>
        </is>
      </c>
      <c r="C17" s="17" t="n"/>
      <c r="D17" s="18" t="inlineStr">
        <is>
          <t>Vault/secrets manager documentation, developer usage guidelines, secrets rotation policies</t>
        </is>
      </c>
      <c r="E17" s="19" t="n"/>
    </row>
    <row r="18">
      <c r="A18" s="14" t="inlineStr">
        <is>
          <t>▶ Environment Security</t>
        </is>
      </c>
    </row>
    <row r="19">
      <c r="A19" s="15" t="inlineStr">
        <is>
          <t>2.9</t>
        </is>
      </c>
      <c r="B19" s="16" t="inlineStr">
        <is>
          <t>Local development environments use HTTPS/TLS where applicable</t>
        </is>
      </c>
      <c r="C19" s="17" t="n"/>
      <c r="D19" s="18" t="inlineStr">
        <is>
          <t>Development proxy configs, local cert management, TLS enforcement policies</t>
        </is>
      </c>
      <c r="E19" s="19" t="n"/>
    </row>
    <row r="20">
      <c r="A20" s="14" t="inlineStr">
        <is>
          <t>▶ Development Tools</t>
        </is>
      </c>
    </row>
    <row r="21">
      <c r="A21" s="15" t="inlineStr">
        <is>
          <t>2.10</t>
        </is>
      </c>
      <c r="B21" s="16" t="inlineStr">
        <is>
          <t>Dependency management tools scan for vulnerabilities in developer environments</t>
        </is>
      </c>
      <c r="C21" s="17" t="n"/>
      <c r="D21" s="18" t="inlineStr">
        <is>
          <t>npm audit, pip-audit, Dependabot integration, vulnerability scan results</t>
        </is>
      </c>
      <c r="E21" s="19" t="n"/>
    </row>
    <row r="22">
      <c r="A22" s="14" t="inlineStr">
        <is>
          <t>▶ Workstation Security</t>
        </is>
      </c>
    </row>
    <row r="23">
      <c r="A23" s="15" t="inlineStr">
        <is>
          <t>2.11</t>
        </is>
      </c>
      <c r="B23" s="16" t="inlineStr">
        <is>
          <t>Development environment hardening guidelines exist and are enforced</t>
        </is>
      </c>
      <c r="C23" s="17" t="n"/>
      <c r="D23" s="18" t="inlineStr">
        <is>
          <t>Developer workstation security baseline, configuration management records</t>
        </is>
      </c>
      <c r="E23" s="19" t="n"/>
    </row>
    <row r="24">
      <c r="A24" s="14" t="inlineStr">
        <is>
          <t>▶ Repository Security</t>
        </is>
      </c>
    </row>
    <row r="25">
      <c r="A25" s="15" t="inlineStr">
        <is>
          <t>2.12</t>
        </is>
      </c>
      <c r="B25" s="16" t="inlineStr">
        <is>
          <t>Multi-factor authentication (MFA) is enforced for all code repository access</t>
        </is>
      </c>
      <c r="C25" s="17" t="n"/>
      <c r="D25" s="18" t="inlineStr">
        <is>
          <t>MFA enforcement policies, authentication logs, MFA adoption metrics</t>
        </is>
      </c>
      <c r="E25" s="19" t="n"/>
    </row>
    <row r="26">
      <c r="A26" s="14" t="inlineStr">
        <is>
          <t>▶ Development Tools</t>
        </is>
      </c>
    </row>
    <row r="27">
      <c r="A27" s="15" t="inlineStr">
        <is>
          <t>2.13</t>
        </is>
      </c>
      <c r="B27" s="16" t="inlineStr">
        <is>
          <t>Development tools and IDEs are kept up-to-date with security patches</t>
        </is>
      </c>
      <c r="C27" s="17" t="n"/>
      <c r="D27" s="18" t="inlineStr">
        <is>
          <t>Tool version inventory, patch management records, software update policies</t>
        </is>
      </c>
      <c r="E27" s="19" t="n"/>
    </row>
    <row r="28">
      <c r="A28" s="14" t="inlineStr">
        <is>
          <t>▶ Training &amp; Awareness</t>
        </is>
      </c>
    </row>
    <row r="29">
      <c r="A29" s="15" t="inlineStr">
        <is>
          <t>2.14</t>
        </is>
      </c>
      <c r="B29" s="16" t="inlineStr">
        <is>
          <t>Secure coding training resources are accessible to all developers</t>
        </is>
      </c>
      <c r="C29" s="17" t="n"/>
      <c r="D29" s="18" t="inlineStr">
        <is>
          <t>Training portal links, OWASP resources, internal wiki, training completion records</t>
        </is>
      </c>
      <c r="E29" s="19" t="n"/>
    </row>
    <row r="30">
      <c r="A30" s="14" t="inlineStr">
        <is>
          <t>▶ Environment Security</t>
        </is>
      </c>
    </row>
    <row r="31">
      <c r="A31" s="15" t="inlineStr">
        <is>
          <t>2.15</t>
        </is>
      </c>
      <c r="B31" s="16" t="inlineStr">
        <is>
          <t>Development containers/VMs use secure, hardened base images</t>
        </is>
      </c>
      <c r="C31" s="17" t="n"/>
      <c r="D31" s="18" t="inlineStr">
        <is>
          <t>Approved image catalog, image scanning results, base image security standards</t>
        </is>
      </c>
      <c r="E31" s="19" t="n"/>
    </row>
    <row r="32">
      <c r="A32" s="14" t="inlineStr">
        <is>
          <t>▶ Repository Security</t>
        </is>
      </c>
    </row>
    <row r="33">
      <c r="A33" s="15" t="inlineStr">
        <is>
          <t>2.16</t>
        </is>
      </c>
      <c r="B33" s="16" t="inlineStr">
        <is>
          <t>Code repository activity is logged and monitored for anomalies</t>
        </is>
      </c>
      <c r="C33" s="17" t="n"/>
      <c r="D33" s="18" t="inlineStr">
        <is>
          <t>Repository audit logs, SIEM integration, anomaly detection alerts</t>
        </is>
      </c>
      <c r="E33" s="19" t="n"/>
    </row>
    <row r="34">
      <c r="A34" s="14" t="inlineStr">
        <is>
          <t>▶ Development Tools</t>
        </is>
      </c>
    </row>
    <row r="35">
      <c r="A35" s="15" t="inlineStr">
        <is>
          <t>2.17</t>
        </is>
      </c>
      <c r="B35" s="16" t="inlineStr">
        <is>
          <t>Personal access tokens and API keys have expiration policies</t>
        </is>
      </c>
      <c r="C35" s="17" t="n"/>
      <c r="D35" s="18" t="inlineStr">
        <is>
          <t>Token lifecycle policies, key rotation procedures, token expiration reports</t>
        </is>
      </c>
      <c r="E35" s="19" t="n"/>
    </row>
    <row r="36">
      <c r="A36" s="14" t="inlineStr">
        <is>
          <t>▶ Training &amp; Awareness</t>
        </is>
      </c>
    </row>
    <row r="37">
      <c r="A37" s="15" t="inlineStr">
        <is>
          <t>2.18</t>
        </is>
      </c>
      <c r="B37" s="16" t="inlineStr">
        <is>
          <t>Developers have access to security documentation and secure code examples</t>
        </is>
      </c>
      <c r="C37" s="17" t="n"/>
      <c r="D37" s="18" t="inlineStr">
        <is>
          <t>Internal security wiki, code example repository, secure coding cheat sheets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24:F24"/>
    <mergeCell ref="A16:F16"/>
    <mergeCell ref="A11:F11"/>
    <mergeCell ref="A28:F28"/>
    <mergeCell ref="A2:E2"/>
    <mergeCell ref="A14:F14"/>
    <mergeCell ref="A36:F36"/>
    <mergeCell ref="A32:F32"/>
    <mergeCell ref="A8:F8"/>
    <mergeCell ref="A26:F26"/>
    <mergeCell ref="A6:F6"/>
    <mergeCell ref="A1:E1"/>
    <mergeCell ref="A22:F22"/>
    <mergeCell ref="A18:F18"/>
    <mergeCell ref="A4:F4"/>
    <mergeCell ref="A34:F34"/>
    <mergeCell ref="A20:F20"/>
    <mergeCell ref="A30:F30"/>
  </mergeCells>
  <dataValidations count="1">
    <dataValidation sqref="C5 C7 C9 C10 C12 C13 C15 C17 C19 C21 C23 C25 C27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BUILD &amp; DEPLOYMENT PIPELINE</t>
        </is>
      </c>
    </row>
    <row r="2">
      <c r="A2" s="12" t="inlineStr">
        <is>
          <t>ISO 27001:2022 | Control A.8.28 | Build &amp; Deployment Pipeline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Pipeline Security</t>
        </is>
      </c>
    </row>
    <row r="5">
      <c r="A5" s="15" t="inlineStr">
        <is>
          <t>3.1</t>
        </is>
      </c>
      <c r="B5" s="16" t="inlineStr">
        <is>
          <t>CI/CD pipelines enforce automated security checks on every build</t>
        </is>
      </c>
      <c r="C5" s="17" t="n"/>
      <c r="D5" s="18" t="inlineStr">
        <is>
          <t>Pipeline configuration files (Jenkinsfile, .gitlab-ci.yml), build logs showing security scans</t>
        </is>
      </c>
      <c r="E5" s="19" t="n"/>
    </row>
    <row r="6">
      <c r="A6" s="14" t="inlineStr">
        <is>
          <t>▶ Security Scanning</t>
        </is>
      </c>
    </row>
    <row r="7">
      <c r="A7" s="15" t="inlineStr">
        <is>
          <t>3.2</t>
        </is>
      </c>
      <c r="B7" s="16" t="inlineStr">
        <is>
          <t>SAST (Static Application Security Testing) tools are integrated into build pipeline</t>
        </is>
      </c>
      <c r="C7" s="17" t="n"/>
      <c r="D7" s="18" t="inlineStr">
        <is>
          <t>SAST scan results, tool integration config (SonarQube, Semgrep, Checkmarx)</t>
        </is>
      </c>
      <c r="E7" s="19" t="n"/>
    </row>
    <row r="8">
      <c r="A8" s="15" t="inlineStr">
        <is>
          <t>3.3</t>
        </is>
      </c>
      <c r="B8" s="16" t="inlineStr">
        <is>
          <t>SCA (Software Composition Analysis) tools scan dependencies during every build</t>
        </is>
      </c>
      <c r="C8" s="17" t="n"/>
      <c r="D8" s="18" t="inlineStr">
        <is>
          <t>SCA scan reports (Snyk, WhiteSource, Dependency-Check), vulnerability alerts</t>
        </is>
      </c>
      <c r="E8" s="19" t="n"/>
    </row>
    <row r="9">
      <c r="A9" s="15" t="inlineStr">
        <is>
          <t>3.4</t>
        </is>
      </c>
      <c r="B9" s="16" t="inlineStr">
        <is>
          <t>Secret scanning runs automatically on every commit</t>
        </is>
      </c>
      <c r="C9" s="17" t="n"/>
      <c r="D9" s="18" t="inlineStr">
        <is>
          <t>Secret scanner logs (TruffleHog, GitGuardian), detected secret alerts, remediation records</t>
        </is>
      </c>
      <c r="E9" s="19" t="n"/>
    </row>
    <row r="10">
      <c r="A10" s="14" t="inlineStr">
        <is>
          <t>▶ Artifact Security</t>
        </is>
      </c>
    </row>
    <row r="11">
      <c r="A11" s="15" t="inlineStr">
        <is>
          <t>3.5</t>
        </is>
      </c>
      <c r="B11" s="16" t="inlineStr">
        <is>
          <t>Build artifacts are signed and signature verification is enforced</t>
        </is>
      </c>
      <c r="C11" s="17" t="n"/>
      <c r="D11" s="18" t="inlineStr">
        <is>
          <t>Code signing certificates, artifact signatures, signature verification logs</t>
        </is>
      </c>
      <c r="E11" s="19" t="n"/>
    </row>
    <row r="12">
      <c r="A12" s="14" t="inlineStr">
        <is>
          <t>▶ Security Scanning</t>
        </is>
      </c>
    </row>
    <row r="13">
      <c r="A13" s="15" t="inlineStr">
        <is>
          <t>3.6</t>
        </is>
      </c>
      <c r="B13" s="16" t="inlineStr">
        <is>
          <t>Container images are scanned for vulnerabilities before deployment</t>
        </is>
      </c>
      <c r="C13" s="17" t="n"/>
      <c r="D13" s="18" t="inlineStr">
        <is>
          <t>Trivy/Clair/Anchore scan results, image vulnerability reports, scan policies</t>
        </is>
      </c>
      <c r="E13" s="19" t="n"/>
    </row>
    <row r="14">
      <c r="A14" s="15" t="inlineStr">
        <is>
          <t>3.7</t>
        </is>
      </c>
      <c r="B14" s="16" t="inlineStr">
        <is>
          <t>Infrastructure-as-Code (IaC) is scanned for security misconfigurations</t>
        </is>
      </c>
      <c r="C14" s="17" t="n"/>
      <c r="D14" s="18" t="inlineStr">
        <is>
          <t>Checkov/tfsec/Terrascan results, IaC security scan reports, policy violations</t>
        </is>
      </c>
      <c r="E14" s="19" t="n"/>
    </row>
    <row r="15">
      <c r="A15" s="14" t="inlineStr">
        <is>
          <t>▶ Pipeline Security</t>
        </is>
      </c>
    </row>
    <row r="16">
      <c r="A16" s="15" t="inlineStr">
        <is>
          <t>3.8</t>
        </is>
      </c>
      <c r="B16" s="16" t="inlineStr">
        <is>
          <t>Build pipelines fail on critical or high severity vulnerabilities</t>
        </is>
      </c>
      <c r="C16" s="17" t="n"/>
      <c r="D16" s="18" t="inlineStr">
        <is>
          <t>Pipeline failure logs, quality gate configuration, vulnerability threshold policies</t>
        </is>
      </c>
      <c r="E16" s="19" t="n"/>
    </row>
    <row r="17">
      <c r="A17" s="14" t="inlineStr">
        <is>
          <t>▶ Deployment Controls</t>
        </is>
      </c>
    </row>
    <row r="18">
      <c r="A18" s="15" t="inlineStr">
        <is>
          <t>3.9</t>
        </is>
      </c>
      <c r="B18" s="16" t="inlineStr">
        <is>
          <t>Deployment to production requires explicit approval</t>
        </is>
      </c>
      <c r="C18" s="17" t="n"/>
      <c r="D18" s="18" t="inlineStr">
        <is>
          <t>Approval workflows, deployment gate records, approval audit logs</t>
        </is>
      </c>
      <c r="E18" s="19" t="n"/>
    </row>
    <row r="19">
      <c r="A19" s="14" t="inlineStr">
        <is>
          <t>▶ Pipeline Security</t>
        </is>
      </c>
    </row>
    <row r="20">
      <c r="A20" s="15" t="inlineStr">
        <is>
          <t>3.10</t>
        </is>
      </c>
      <c r="B20" s="16" t="inlineStr">
        <is>
          <t>Pipeline service accounts use least-privilege access principles</t>
        </is>
      </c>
      <c r="C20" s="17" t="n"/>
      <c r="D20" s="18" t="inlineStr">
        <is>
          <t>Service account permissions, IAM policies, privilege reviews</t>
        </is>
      </c>
      <c r="E20" s="19" t="n"/>
    </row>
    <row r="21">
      <c r="A21" s="15" t="inlineStr">
        <is>
          <t>3.11</t>
        </is>
      </c>
      <c r="B21" s="16" t="inlineStr">
        <is>
          <t>Build environments are ephemeral and disposable (not persistent)</t>
        </is>
      </c>
      <c r="C21" s="17" t="n"/>
      <c r="D21" s="18" t="inlineStr">
        <is>
          <t>Build agent lifecycle documentation, container/VM configs, environment refresh logs</t>
        </is>
      </c>
      <c r="E21" s="19" t="n"/>
    </row>
    <row r="22">
      <c r="A22" s="15" t="inlineStr">
        <is>
          <t>3.12</t>
        </is>
      </c>
      <c r="B22" s="16" t="inlineStr">
        <is>
          <t>Pipeline configurations are version-controlled and peer-reviewed</t>
        </is>
      </c>
      <c r="C22" s="17" t="n"/>
      <c r="D22" s="18" t="inlineStr">
        <is>
          <t>CI/CD config files in git, change history, pipeline review records</t>
        </is>
      </c>
      <c r="E22" s="19" t="n"/>
    </row>
    <row r="23">
      <c r="A23" s="14" t="inlineStr">
        <is>
          <t>▶ Security Scanning</t>
        </is>
      </c>
    </row>
    <row r="24">
      <c r="A24" s="15" t="inlineStr">
        <is>
          <t>3.13</t>
        </is>
      </c>
      <c r="B24" s="16" t="inlineStr">
        <is>
          <t>Security scan results are archived and historically trackable</t>
        </is>
      </c>
      <c r="C24" s="17" t="n"/>
      <c r="D24" s="18" t="inlineStr">
        <is>
          <t>Scan result storage, historical trend reports, vulnerability tracking database</t>
        </is>
      </c>
      <c r="E24" s="19" t="n"/>
    </row>
    <row r="25">
      <c r="A25" s="14" t="inlineStr">
        <is>
          <t>▶ Deployment Controls</t>
        </is>
      </c>
    </row>
    <row r="26">
      <c r="A26" s="15" t="inlineStr">
        <is>
          <t>3.14</t>
        </is>
      </c>
      <c r="B26" s="16" t="inlineStr">
        <is>
          <t>Rollback procedures are tested and documented</t>
        </is>
      </c>
      <c r="C26" s="17" t="n"/>
      <c r="D26" s="18" t="inlineStr">
        <is>
          <t>Rollback runbooks, rollback test results, disaster recovery procedures</t>
        </is>
      </c>
      <c r="E26" s="19" t="n"/>
    </row>
    <row r="27">
      <c r="A27" s="15" t="inlineStr">
        <is>
          <t>3.15</t>
        </is>
      </c>
      <c r="B27" s="16" t="inlineStr">
        <is>
          <t>Deployment logs are sent to centralised logging/SIEM</t>
        </is>
      </c>
      <c r="C27" s="17" t="n"/>
      <c r="D27" s="18" t="inlineStr">
        <is>
          <t>SIEM integration, deployment audit logs, log retention policies</t>
        </is>
      </c>
      <c r="E27" s="19" t="n"/>
    </row>
    <row r="28">
      <c r="A28" s="14" t="inlineStr">
        <is>
          <t>▶ Pipeline Security</t>
        </is>
      </c>
    </row>
    <row r="29">
      <c r="A29" s="15" t="inlineStr">
        <is>
          <t>3.16</t>
        </is>
      </c>
      <c r="B29" s="16" t="inlineStr">
        <is>
          <t>Pipeline secrets are managed securely (not hardcoded in configs)</t>
        </is>
      </c>
      <c r="C29" s="17" t="n"/>
      <c r="D29" s="18" t="inlineStr">
        <is>
          <t>Secrets management integration, vault usage, secret rotation logs</t>
        </is>
      </c>
      <c r="E29" s="19" t="n"/>
    </row>
    <row r="30">
      <c r="A30" s="14" t="inlineStr">
        <is>
          <t>▶ Artifact Security</t>
        </is>
      </c>
    </row>
    <row r="31">
      <c r="A31" s="15" t="inlineStr">
        <is>
          <t>3.17</t>
        </is>
      </c>
      <c r="B31" s="16" t="inlineStr">
        <is>
          <t>Build reproducibility is ensured (deterministic builds where possible)</t>
        </is>
      </c>
      <c r="C31" s="17" t="n"/>
      <c r="D31" s="18" t="inlineStr">
        <is>
          <t>Build reproducibility documentation, dependency pinning, lockfiles</t>
        </is>
      </c>
      <c r="E31" s="19" t="n"/>
    </row>
    <row r="32">
      <c r="A32" s="14" t="inlineStr">
        <is>
          <t>▶ Security Scanning</t>
        </is>
      </c>
    </row>
    <row r="33">
      <c r="A33" s="15" t="inlineStr">
        <is>
          <t>3.18</t>
        </is>
      </c>
      <c r="B33" s="16" t="inlineStr">
        <is>
          <t>Failed security scans trigger notifications to security team</t>
        </is>
      </c>
      <c r="C33" s="17" t="n"/>
      <c r="D33" s="18" t="inlineStr">
        <is>
          <t>Alert configuration, notification logs, incident escalation procedures</t>
        </is>
      </c>
      <c r="E33" s="19" t="n"/>
    </row>
    <row r="34">
      <c r="A34" s="20" t="n"/>
      <c r="B34" s="21" t="inlineStr">
        <is>
          <t>SBOM (Software Bill of Materials) generated and archived for each release</t>
        </is>
      </c>
      <c r="C34" s="22" t="n"/>
      <c r="D34" s="23" t="n"/>
      <c r="E34" s="23" t="n"/>
    </row>
    <row r="35">
      <c r="A35" s="20" t="n"/>
      <c r="B35" s="21" t="inlineStr">
        <is>
          <t>Dependency pinning enforced — lockfiles committed, no floating version ranges in production dependencies</t>
        </is>
      </c>
      <c r="C35" s="22" t="n"/>
      <c r="D35" s="23" t="n"/>
      <c r="E35" s="23" t="n"/>
    </row>
    <row r="36">
      <c r="A36" s="20" t="n"/>
      <c r="B36" s="21" t="inlineStr">
        <is>
          <t>Supply chain attack detection — build artefact integrity verified (checksums, signed artefacts)</t>
        </is>
      </c>
      <c r="C36" s="22" t="n"/>
      <c r="D36" s="23" t="n"/>
      <c r="E36" s="23"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sheetData>
  <mergeCells count="14">
    <mergeCell ref="A10:F10"/>
    <mergeCell ref="A28:F28"/>
    <mergeCell ref="A2:E2"/>
    <mergeCell ref="A19:F19"/>
    <mergeCell ref="A23:F23"/>
    <mergeCell ref="A32:F32"/>
    <mergeCell ref="A6:F6"/>
    <mergeCell ref="A1:E1"/>
    <mergeCell ref="A17:F17"/>
    <mergeCell ref="A12:F12"/>
    <mergeCell ref="A4:F4"/>
    <mergeCell ref="A30:F30"/>
    <mergeCell ref="A15:F15"/>
    <mergeCell ref="A25:F25"/>
  </mergeCells>
  <dataValidations count="1">
    <dataValidation sqref="C5 C7 C8 C9 C11 C13 C14 C16 C18 C20 C21 C22 C24 C26 C27 C29 C31 C33 C34 C35 C36 C37 C38 C39 C40 C41 C42 C43 C44 C45 C46 C47 C48 C49 C50 C51 C52 C53 C54 C55 C56 C57 C58 C59 C60 C61 C62 C63 C64 C65"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1"/>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SECURITY TESTING INTEGRATION</t>
        </is>
      </c>
    </row>
    <row r="2">
      <c r="A2" s="12" t="inlineStr">
        <is>
          <t>ISO 27001:2022 | Control A.8.28 | Security Testing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Test Planning</t>
        </is>
      </c>
    </row>
    <row r="5">
      <c r="A5" s="15" t="inlineStr">
        <is>
          <t>4.1</t>
        </is>
      </c>
      <c r="B5" s="16" t="inlineStr">
        <is>
          <t>Security test cases are written for all critical functionality</t>
        </is>
      </c>
      <c r="C5" s="17" t="n"/>
      <c r="D5" s="18" t="inlineStr">
        <is>
          <t>Security test suite, test case repository, test coverage reports</t>
        </is>
      </c>
      <c r="E5" s="19" t="n"/>
    </row>
    <row r="6">
      <c r="A6" s="14" t="inlineStr">
        <is>
          <t>▶ Unit Testing</t>
        </is>
      </c>
    </row>
    <row r="7">
      <c r="A7" s="15" t="inlineStr">
        <is>
          <t>4.2</t>
        </is>
      </c>
      <c r="B7" s="16" t="inlineStr">
        <is>
          <t>Unit tests include security-focused test cases (input validation, etc.)</t>
        </is>
      </c>
      <c r="C7" s="17" t="n"/>
      <c r="D7" s="18" t="inlineStr">
        <is>
          <t>Unit test suites with security tests, code coverage reports</t>
        </is>
      </c>
      <c r="E7" s="19" t="n"/>
    </row>
    <row r="8">
      <c r="A8" s="14" t="inlineStr">
        <is>
          <t>▶ Integration Testing</t>
        </is>
      </c>
    </row>
    <row r="9">
      <c r="A9" s="15" t="inlineStr">
        <is>
          <t>4.3</t>
        </is>
      </c>
      <c r="B9" s="16" t="inlineStr">
        <is>
          <t>Integration tests validate authentication and authorisation mechanisms</t>
        </is>
      </c>
      <c r="C9" s="17" t="n"/>
      <c r="D9" s="18" t="inlineStr">
        <is>
          <t>Integration test suites, auth test results, test scenarios</t>
        </is>
      </c>
      <c r="E9" s="19" t="n"/>
    </row>
    <row r="10">
      <c r="A10" s="14" t="inlineStr">
        <is>
          <t>▶ Dynamic Testing</t>
        </is>
      </c>
    </row>
    <row r="11">
      <c r="A11" s="15" t="inlineStr">
        <is>
          <t>4.4</t>
        </is>
      </c>
      <c r="B11" s="16" t="inlineStr">
        <is>
          <t>DAST (Dynamic Application Security Testing) runs against staging environments</t>
        </is>
      </c>
      <c r="C11" s="17" t="n"/>
      <c r="D11" s="18" t="inlineStr">
        <is>
          <t>DAST scan reports (OWASP ZAP, Burp Suite, Acunetix), vulnerability findings</t>
        </is>
      </c>
      <c r="E11" s="19" t="n"/>
    </row>
    <row r="12">
      <c r="A12" s="14" t="inlineStr">
        <is>
          <t>▶ API Testing</t>
        </is>
      </c>
    </row>
    <row r="13">
      <c r="A13" s="15" t="inlineStr">
        <is>
          <t>4.5</t>
        </is>
      </c>
      <c r="B13" s="16" t="inlineStr">
        <is>
          <t>API security testing is performed (fuzzing, schema validation, injection tests)</t>
        </is>
      </c>
      <c r="C13" s="17" t="n"/>
      <c r="D13" s="18" t="inlineStr">
        <is>
          <t>API test results, fuzzing reports, Postman/REST Assured test suites</t>
        </is>
      </c>
      <c r="E13" s="19" t="n"/>
    </row>
    <row r="14">
      <c r="A14" s="14" t="inlineStr">
        <is>
          <t>▶ Penetration Testing</t>
        </is>
      </c>
    </row>
    <row r="15">
      <c r="A15" s="15" t="inlineStr">
        <is>
          <t>4.6</t>
        </is>
      </c>
      <c r="B15" s="16" t="inlineStr">
        <is>
          <t>Penetration testing is conducted for high-risk applications annually</t>
        </is>
      </c>
      <c r="C15" s="17" t="n"/>
      <c r="D15" s="18" t="inlineStr">
        <is>
          <t>Pentest reports, findings tracking, remediation validation</t>
        </is>
      </c>
      <c r="E15" s="19" t="n"/>
    </row>
    <row r="16">
      <c r="A16" s="14" t="inlineStr">
        <is>
          <t>▶ Regression Testing</t>
        </is>
      </c>
    </row>
    <row r="17">
      <c r="A17" s="15" t="inlineStr">
        <is>
          <t>4.7</t>
        </is>
      </c>
      <c r="B17" s="16" t="inlineStr">
        <is>
          <t>Security regression tests prevent reintroduction of known vulnerabilities</t>
        </is>
      </c>
      <c r="C17" s="17" t="n"/>
      <c r="D17" s="18" t="inlineStr">
        <is>
          <t>Regression test suite, vulnerability fix validation tests</t>
        </is>
      </c>
      <c r="E17" s="19" t="n"/>
    </row>
    <row r="18">
      <c r="A18" s="14" t="inlineStr">
        <is>
          <t>▶ Test Environment</t>
        </is>
      </c>
    </row>
    <row r="19">
      <c r="A19" s="15" t="inlineStr">
        <is>
          <t>4.8</t>
        </is>
      </c>
      <c r="B19" s="16" t="inlineStr">
        <is>
          <t>Test environments mirror production security configurations</t>
        </is>
      </c>
      <c r="C19" s="17" t="n"/>
      <c r="D19" s="18" t="inlineStr">
        <is>
          <t>Environment parity documentation, configuration comparisons</t>
        </is>
      </c>
      <c r="E19" s="19" t="n"/>
    </row>
    <row r="20">
      <c r="A20" s="14" t="inlineStr">
        <is>
          <t>▶ Test Automation</t>
        </is>
      </c>
    </row>
    <row r="21">
      <c r="A21" s="15" t="inlineStr">
        <is>
          <t>4.9</t>
        </is>
      </c>
      <c r="B21" s="16" t="inlineStr">
        <is>
          <t>Automated security tests run in CI/CD pipeline on every build</t>
        </is>
      </c>
      <c r="C21" s="17" t="n"/>
      <c r="D21" s="18" t="inlineStr">
        <is>
          <t>Pipeline test execution logs, automated test results</t>
        </is>
      </c>
      <c r="E21" s="19" t="n"/>
    </row>
    <row r="22">
      <c r="A22" s="14" t="inlineStr">
        <is>
          <t>▶ Test Planning</t>
        </is>
      </c>
    </row>
    <row r="23">
      <c r="A23" s="15" t="inlineStr">
        <is>
          <t>4.10</t>
        </is>
      </c>
      <c r="B23" s="16" t="inlineStr">
        <is>
          <t>Security testing results are reviewed before release approval</t>
        </is>
      </c>
      <c r="C23" s="17" t="n"/>
      <c r="D23" s="18" t="inlineStr">
        <is>
          <t>Release gate checklists, security sign-off records, test result reviews</t>
        </is>
      </c>
      <c r="E23" s="19" t="n"/>
    </row>
    <row r="24">
      <c r="A24" s="14" t="inlineStr">
        <is>
          <t>▶ Performance Testing</t>
        </is>
      </c>
    </row>
    <row r="25">
      <c r="A25" s="15" t="inlineStr">
        <is>
          <t>4.11</t>
        </is>
      </c>
      <c r="B25" s="16" t="inlineStr">
        <is>
          <t>Performance testing includes assessment of security control overhead</t>
        </is>
      </c>
      <c r="C25" s="17" t="n"/>
      <c r="D25" s="18" t="inlineStr">
        <is>
          <t>Load test results with security controls enabled, performance baselines</t>
        </is>
      </c>
      <c r="E25" s="19" t="n"/>
    </row>
    <row r="26">
      <c r="A26" s="14" t="inlineStr">
        <is>
          <t>▶ External Testing</t>
        </is>
      </c>
    </row>
    <row r="27">
      <c r="A27" s="15" t="inlineStr">
        <is>
          <t>4.12</t>
        </is>
      </c>
      <c r="B27" s="16" t="inlineStr">
        <is>
          <t>Bug bounty or responsible disclosure program provides external testing</t>
        </is>
      </c>
      <c r="C27" s="17" t="n"/>
      <c r="D27" s="18" t="inlineStr">
        <is>
          <t>Bug bounty platform reports (HackerOne, Bugcrowd), vulnerability submissions</t>
        </is>
      </c>
      <c r="E27" s="19" t="n"/>
    </row>
    <row r="28">
      <c r="A28" s="14" t="inlineStr">
        <is>
          <t>▶ Test Planning</t>
        </is>
      </c>
    </row>
    <row r="29">
      <c r="A29" s="15" t="inlineStr">
        <is>
          <t>4.13</t>
        </is>
      </c>
      <c r="B29" s="16" t="inlineStr">
        <is>
          <t>Security Champions participate in test planning and review</t>
        </is>
      </c>
      <c r="C29" s="17" t="n"/>
      <c r="D29" s="18" t="inlineStr">
        <is>
          <t>Test planning meeting notes, Security Champion involvement records</t>
        </is>
      </c>
      <c r="E29" s="19" t="n"/>
    </row>
    <row r="30">
      <c r="A30" s="14" t="inlineStr">
        <is>
          <t>▶ Test Automation</t>
        </is>
      </c>
    </row>
    <row r="31">
      <c r="A31" s="15" t="inlineStr">
        <is>
          <t>4.14</t>
        </is>
      </c>
      <c r="B31" s="16" t="inlineStr">
        <is>
          <t>Failed security tests block deployment to production</t>
        </is>
      </c>
      <c r="C31" s="17" t="n"/>
      <c r="D31" s="18" t="inlineStr">
        <is>
          <t>Quality gate configuration, blocked deployment logs, override procedures</t>
        </is>
      </c>
      <c r="E31" s="19" t="n"/>
    </row>
    <row r="32">
      <c r="A32" s="14" t="inlineStr">
        <is>
          <t>▶ Test Planning</t>
        </is>
      </c>
    </row>
    <row r="33">
      <c r="A33" s="15" t="inlineStr">
        <is>
          <t>4.15</t>
        </is>
      </c>
      <c r="B33" s="16" t="inlineStr">
        <is>
          <t>Security test coverage is measured and tracked over time</t>
        </is>
      </c>
      <c r="C33" s="17" t="n"/>
      <c r="D33" s="18" t="inlineStr">
        <is>
          <t>Coverage metrics, security test inventory, trend analysis</t>
        </is>
      </c>
      <c r="E33" s="19" t="n"/>
    </row>
    <row r="34">
      <c r="A34" s="14" t="inlineStr">
        <is>
          <t>▶ Integration Testing</t>
        </is>
      </c>
    </row>
    <row r="35">
      <c r="A35" s="15" t="inlineStr">
        <is>
          <t>4.16</t>
        </is>
      </c>
      <c r="B35" s="16" t="inlineStr">
        <is>
          <t>Authentication and session management are thoroughly tested</t>
        </is>
      </c>
      <c r="C35" s="17" t="n"/>
      <c r="D35" s="18" t="inlineStr">
        <is>
          <t>Auth test scenarios, session security tests, credential handling tests</t>
        </is>
      </c>
      <c r="E35" s="19" t="n"/>
    </row>
    <row r="36">
      <c r="A36" s="14" t="inlineStr">
        <is>
          <t>▶ API Testing</t>
        </is>
      </c>
    </row>
    <row r="37">
      <c r="A37" s="15" t="inlineStr">
        <is>
          <t>4.17</t>
        </is>
      </c>
      <c r="B37" s="16" t="inlineStr">
        <is>
          <t>Input validation testing covers all user input vectors</t>
        </is>
      </c>
      <c r="C37" s="17" t="n"/>
      <c r="D37" s="18" t="inlineStr">
        <is>
          <t>Input validation test cases, injection testing results, fuzzing outputs</t>
        </is>
      </c>
      <c r="E37" s="19" t="n"/>
    </row>
    <row r="38">
      <c r="A38" s="14" t="inlineStr">
        <is>
          <t>▶ Test Environment</t>
        </is>
      </c>
    </row>
    <row r="39">
      <c r="A39" s="15" t="inlineStr">
        <is>
          <t>4.18</t>
        </is>
      </c>
      <c r="B39" s="16" t="inlineStr">
        <is>
          <t>Security test data is maintained separately from production data</t>
        </is>
      </c>
      <c r="C39" s="17" t="n"/>
      <c r="D39" s="18" t="inlineStr">
        <is>
          <t>Test data management procedures, synthetic data generation tools</t>
        </is>
      </c>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row r="70">
      <c r="A70" s="6" t="n"/>
      <c r="B70" s="6" t="n"/>
      <c r="C70" s="17" t="n"/>
      <c r="D70" s="19" t="n"/>
      <c r="E70" s="19" t="n"/>
    </row>
    <row r="71">
      <c r="A71" s="6" t="n"/>
      <c r="B71" s="6" t="n"/>
      <c r="C71" s="17" t="n"/>
      <c r="D71" s="19" t="n"/>
      <c r="E71" s="19" t="n"/>
    </row>
  </sheetData>
  <mergeCells count="20">
    <mergeCell ref="A16:F16"/>
    <mergeCell ref="A1:E1"/>
    <mergeCell ref="A12:F12"/>
    <mergeCell ref="A18:F18"/>
    <mergeCell ref="A26:F26"/>
    <mergeCell ref="A14:F14"/>
    <mergeCell ref="A32:F32"/>
    <mergeCell ref="A8:F8"/>
    <mergeCell ref="A22:F22"/>
    <mergeCell ref="A4:F4"/>
    <mergeCell ref="A20:F20"/>
    <mergeCell ref="A38:F38"/>
    <mergeCell ref="A10:F10"/>
    <mergeCell ref="A28:F28"/>
    <mergeCell ref="A2:E2"/>
    <mergeCell ref="A34:F34"/>
    <mergeCell ref="A30:F30"/>
    <mergeCell ref="A24:F24"/>
    <mergeCell ref="A36:F36"/>
    <mergeCell ref="A6:F6"/>
  </mergeCells>
  <dataValidations count="1">
    <dataValidation sqref="C5 C7 C9 C11 C13 C15 C17 C19 C21 C23 C25 C27 C29 C31 C33 C35 C37 C39 C40 C41 C42 C43 C44 C45 C46 C47 C48 C49 C50 C51 C52 C53 C54 C55 C56 C57 C58 C59 C60 C61 C62 C63 C64 C65 C66 C67 C68 C69 C70 C71"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SDLC ASSESSMENT: RELEASE &amp; CHANGE MANAGEMENT</t>
        </is>
      </c>
    </row>
    <row r="2">
      <c r="A2" s="12" t="inlineStr">
        <is>
          <t>ISO 27001:2022 | Control A.8.28 | Release &amp; Change Management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Release Process</t>
        </is>
      </c>
    </row>
    <row r="5">
      <c r="A5" s="15" t="inlineStr">
        <is>
          <t>5.1</t>
        </is>
      </c>
      <c r="B5" s="16" t="inlineStr">
        <is>
          <t>Security review is mandatory for all production releases</t>
        </is>
      </c>
      <c r="C5" s="17" t="n"/>
      <c r="D5" s="18" t="inlineStr">
        <is>
          <t>Release checklists with security sign-off, security review records</t>
        </is>
      </c>
      <c r="E5" s="19" t="n"/>
    </row>
    <row r="6">
      <c r="A6" s="14" t="inlineStr">
        <is>
          <t>▶ Release Documentation</t>
        </is>
      </c>
    </row>
    <row r="7">
      <c r="A7" s="15" t="inlineStr">
        <is>
          <t>5.2</t>
        </is>
      </c>
      <c r="B7" s="16" t="inlineStr">
        <is>
          <t>Release notes document all security-relevant changes</t>
        </is>
      </c>
      <c r="C7" s="17" t="n"/>
      <c r="D7" s="18" t="inlineStr">
        <is>
          <t>Release notes, change logs with security tags, security update notifications</t>
        </is>
      </c>
      <c r="E7" s="19" t="n"/>
    </row>
    <row r="8">
      <c r="A8" s="14" t="inlineStr">
        <is>
          <t>▶ Change Management</t>
        </is>
      </c>
    </row>
    <row r="9">
      <c r="A9" s="15" t="inlineStr">
        <is>
          <t>5.3</t>
        </is>
      </c>
      <c r="B9" s="16" t="inlineStr">
        <is>
          <t>Emergency hotfix process includes security assessment</t>
        </is>
      </c>
      <c r="C9" s="17" t="n"/>
      <c r="D9" s="18" t="inlineStr">
        <is>
          <t>Hotfix procedures, emergency change records, security review logs</t>
        </is>
      </c>
      <c r="E9" s="19" t="n"/>
    </row>
    <row r="10">
      <c r="A10" s="14" t="inlineStr">
        <is>
          <t>▶ Release Process</t>
        </is>
      </c>
    </row>
    <row r="11">
      <c r="A11" s="15" t="inlineStr">
        <is>
          <t>5.4</t>
        </is>
      </c>
      <c r="B11" s="16" t="inlineStr">
        <is>
          <t>Rollback plans are prepared and tested for all production releases</t>
        </is>
      </c>
      <c r="C11" s="17" t="n"/>
      <c r="D11" s="18" t="inlineStr">
        <is>
          <t>Rollback procedures, rollback test results, disaster recovery plans</t>
        </is>
      </c>
      <c r="E11" s="19" t="n"/>
    </row>
    <row r="12">
      <c r="A12" s="15" t="inlineStr">
        <is>
          <t>5.5</t>
        </is>
      </c>
      <c r="B12" s="16" t="inlineStr">
        <is>
          <t>Post-deployment verification includes security checks</t>
        </is>
      </c>
      <c r="C12" s="17" t="n"/>
      <c r="D12" s="18" t="inlineStr">
        <is>
          <t>Smoke test results, security validation logs, post-deployment checklists</t>
        </is>
      </c>
      <c r="E12" s="19" t="n"/>
    </row>
    <row r="13">
      <c r="A13" s="14" t="inlineStr">
        <is>
          <t>▶ Patch Management</t>
        </is>
      </c>
    </row>
    <row r="14">
      <c r="A14" s="15" t="inlineStr">
        <is>
          <t>5.6</t>
        </is>
      </c>
      <c r="B14" s="16" t="inlineStr">
        <is>
          <t>Security patches are prioritised and tracked with defined SLAs</t>
        </is>
      </c>
      <c r="C14" s="17" t="n"/>
      <c r="D14" s="18" t="inlineStr">
        <is>
          <t>Security patch SLA, vulnerability remediation tracker, patching metrics</t>
        </is>
      </c>
      <c r="E14" s="19" t="n"/>
    </row>
    <row r="15">
      <c r="A15" s="14" t="inlineStr">
        <is>
          <t>▶ Change Management</t>
        </is>
      </c>
    </row>
    <row r="16">
      <c r="A16" s="15" t="inlineStr">
        <is>
          <t>5.7</t>
        </is>
      </c>
      <c r="B16" s="16" t="inlineStr">
        <is>
          <t>Configuration changes follow formal change management process</t>
        </is>
      </c>
      <c r="C16" s="17" t="n"/>
      <c r="D16" s="18" t="inlineStr">
        <is>
          <t>Change requests, CAB approval records, configuration change logs</t>
        </is>
      </c>
      <c r="E16" s="19" t="n"/>
    </row>
    <row r="17">
      <c r="A17" s="14" t="inlineStr">
        <is>
          <t>▶ Access Control</t>
        </is>
      </c>
    </row>
    <row r="18">
      <c r="A18" s="15" t="inlineStr">
        <is>
          <t>5.8</t>
        </is>
      </c>
      <c r="B18" s="16" t="inlineStr">
        <is>
          <t>Production access is logged, monitored, and reviewed</t>
        </is>
      </c>
      <c r="C18" s="17" t="n"/>
      <c r="D18" s="18" t="inlineStr">
        <is>
          <t>Production access logs, privileged access monitoring, access reviews</t>
        </is>
      </c>
      <c r="E18" s="19" t="n"/>
    </row>
    <row r="19">
      <c r="A19" s="14" t="inlineStr">
        <is>
          <t>▶ Release Process</t>
        </is>
      </c>
    </row>
    <row r="20">
      <c r="A20" s="15" t="inlineStr">
        <is>
          <t>5.9</t>
        </is>
      </c>
      <c r="B20" s="16" t="inlineStr">
        <is>
          <t>Feature flags enable controlled rollout of security features</t>
        </is>
      </c>
      <c r="C20" s="17" t="n"/>
      <c r="D20" s="18" t="inlineStr">
        <is>
          <t>Feature flag configurations, gradual rollout plans, feature toggle logs</t>
        </is>
      </c>
      <c r="E20" s="19" t="n"/>
    </row>
    <row r="21">
      <c r="A21" s="14" t="inlineStr">
        <is>
          <t>▶ Release Documentation</t>
        </is>
      </c>
    </row>
    <row r="22">
      <c r="A22" s="15" t="inlineStr">
        <is>
          <t>5.10</t>
        </is>
      </c>
      <c r="B22" s="16" t="inlineStr">
        <is>
          <t>Security metrics are collected and reviewed post-release</t>
        </is>
      </c>
      <c r="C22" s="17" t="n"/>
      <c r="D22" s="18" t="inlineStr">
        <is>
          <t>Post-release security reports, incident metrics, security KPI dashboards</t>
        </is>
      </c>
      <c r="E22" s="19" t="n"/>
    </row>
    <row r="23">
      <c r="A23" s="15" t="inlineStr">
        <is>
          <t>5.11</t>
        </is>
      </c>
      <c r="B23" s="16" t="inlineStr">
        <is>
          <t>Communication plan exists for security-relevant releases</t>
        </is>
      </c>
      <c r="C23" s="17" t="n"/>
      <c r="D23" s="18" t="inlineStr">
        <is>
          <t>Communication templates, stakeholder notification logs, security bulletins</t>
        </is>
      </c>
      <c r="E23" s="19" t="n"/>
    </row>
    <row r="24">
      <c r="A24" s="14" t="inlineStr">
        <is>
          <t>▶ Release Process</t>
        </is>
      </c>
    </row>
    <row r="25">
      <c r="A25" s="15" t="inlineStr">
        <is>
          <t>5.12</t>
        </is>
      </c>
      <c r="B25" s="16" t="inlineStr">
        <is>
          <t>Release frequency balances security needs with business velocity</t>
        </is>
      </c>
      <c r="C25" s="17" t="n"/>
      <c r="D25" s="18" t="inlineStr">
        <is>
          <t>Release calendar, security vs. feature delivery metrics, deployment frequency</t>
        </is>
      </c>
      <c r="E25" s="19" t="n"/>
    </row>
    <row r="26">
      <c r="A26" s="14" t="inlineStr">
        <is>
          <t>▶ Patch Management</t>
        </is>
      </c>
    </row>
    <row r="27">
      <c r="A27" s="15" t="inlineStr">
        <is>
          <t>5.13</t>
        </is>
      </c>
      <c r="B27" s="16" t="inlineStr">
        <is>
          <t>Post-incident releases are tracked and undergo enhanced scrutiny</t>
        </is>
      </c>
      <c r="C27" s="17" t="n"/>
      <c r="D27" s="18" t="inlineStr">
        <is>
          <t>Incident-driven release logs, security fix tracking, post-incident reviews</t>
        </is>
      </c>
      <c r="E27" s="19" t="n"/>
    </row>
    <row r="28">
      <c r="A28" s="14" t="inlineStr">
        <is>
          <t>▶ Release Documentation</t>
        </is>
      </c>
    </row>
    <row r="29">
      <c r="A29" s="15" t="inlineStr">
        <is>
          <t>5.14</t>
        </is>
      </c>
      <c r="B29" s="16" t="inlineStr">
        <is>
          <t>Compliance artifacts are updated with each relevant release</t>
        </is>
      </c>
      <c r="C29" s="17" t="n"/>
      <c r="D29" s="18" t="inlineStr">
        <is>
          <t>Compliance documentation updates, attestation records, audit trail</t>
        </is>
      </c>
      <c r="E29" s="19" t="n"/>
    </row>
    <row r="30">
      <c r="A30" s="14" t="inlineStr">
        <is>
          <t>▶ Continuous Improvement</t>
        </is>
      </c>
    </row>
    <row r="31">
      <c r="A31" s="15" t="inlineStr">
        <is>
          <t>5.15</t>
        </is>
      </c>
      <c r="B31" s="16" t="inlineStr">
        <is>
          <t>Lessons learned from security issues feed into process improvements</t>
        </is>
      </c>
      <c r="C31" s="17" t="n"/>
      <c r="D31" s="18" t="inlineStr">
        <is>
          <t>Retrospective notes, security improvement backlog, process change records</t>
        </is>
      </c>
      <c r="E31" s="19" t="n"/>
    </row>
    <row r="32">
      <c r="A32" s="14" t="inlineStr">
        <is>
          <t>▶ Release Process</t>
        </is>
      </c>
    </row>
    <row r="33">
      <c r="A33" s="15" t="inlineStr">
        <is>
          <t>5.16</t>
        </is>
      </c>
      <c r="B33" s="16" t="inlineStr">
        <is>
          <t>Release approvals require sign-off from security stakeholders</t>
        </is>
      </c>
      <c r="C33" s="17" t="n"/>
      <c r="D33" s="18" t="inlineStr">
        <is>
          <t>Approval workflow records, security sign-off documentation</t>
        </is>
      </c>
      <c r="E33" s="19" t="n"/>
    </row>
    <row r="34">
      <c r="A34" s="14" t="inlineStr">
        <is>
          <t>▶ Release Documentation</t>
        </is>
      </c>
    </row>
    <row r="35">
      <c r="A35" s="15" t="inlineStr">
        <is>
          <t>5.17</t>
        </is>
      </c>
      <c r="B35" s="16" t="inlineStr">
        <is>
          <t>Version control and release tags are properly maintained</t>
        </is>
      </c>
      <c r="C35" s="17" t="n"/>
      <c r="D35" s="18" t="inlineStr">
        <is>
          <t>Git tags, release versioning records, artifact version tracking</t>
        </is>
      </c>
      <c r="E35" s="19" t="n"/>
    </row>
    <row r="36">
      <c r="A36" s="15" t="inlineStr">
        <is>
          <t>5.18</t>
        </is>
      </c>
      <c r="B36" s="16" t="inlineStr">
        <is>
          <t>Security scan results are archived with release artifacts</t>
        </is>
      </c>
      <c r="C36" s="17" t="n"/>
      <c r="D36" s="18" t="inlineStr">
        <is>
          <t>Scan result archives, release documentation bundles, compliance packages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24:F24"/>
    <mergeCell ref="A10:F10"/>
    <mergeCell ref="A28:F28"/>
    <mergeCell ref="A30:F30"/>
    <mergeCell ref="A2:E2"/>
    <mergeCell ref="A13:F13"/>
    <mergeCell ref="A19:F19"/>
    <mergeCell ref="A32:F32"/>
    <mergeCell ref="A8:F8"/>
    <mergeCell ref="A6:F6"/>
    <mergeCell ref="A1:E1"/>
    <mergeCell ref="A17:F17"/>
    <mergeCell ref="A34:F34"/>
    <mergeCell ref="A4:F4"/>
    <mergeCell ref="A26:F26"/>
    <mergeCell ref="A21:F21"/>
    <mergeCell ref="A15:F15"/>
  </mergeCells>
  <dataValidations count="1">
    <dataValidation sqref="C5 C7 C9 C11 C12 C14 C16 C18 C20 C22 C23 C25 C27 C29 C31 C33 C35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Test Data Inventory</t>
        </is>
      </c>
      <c r="C5" s="27" t="inlineStr">
        <is>
          <t>Configuration file</t>
        </is>
      </c>
      <c r="D5" s="27" t="inlineStr">
        <is>
          <t>Data masking configuration for UAT environment</t>
        </is>
      </c>
      <c r="E5" s="27" t="inlineStr">
        <is>
          <t>\fileserver\isms\evidence\test-data\uat-masking-config.json</t>
        </is>
      </c>
      <c r="F5" s="27" t="inlineStr">
        <is>
          <t>2024-03-01</t>
        </is>
      </c>
      <c r="G5" s="27" t="inlineStr">
        <is>
          <t>Sarah Mitchell</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0"/>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11" t="inlineStr">
        <is>
          <t>GAP ANALYSIS &amp; REMEDIATION PLAN</t>
        </is>
      </c>
    </row>
    <row r="2">
      <c r="A2" s="29" t="inlineStr">
        <is>
          <t>Document all 'Not Implemented' and 'Partially Implemented' requirements. Assign owners, set target dates, and track remediation progress.</t>
        </is>
      </c>
    </row>
    <row r="3">
      <c r="A3" s="30" t="inlineStr">
        <is>
          <t>Gap ID</t>
        </is>
      </c>
      <c r="B3" s="30" t="inlineStr">
        <is>
          <t>Domain</t>
        </is>
      </c>
      <c r="C3" s="30" t="inlineStr">
        <is>
          <t>Requirement ID</t>
        </is>
      </c>
      <c r="D3" s="30" t="inlineStr">
        <is>
          <t>Requirement Description</t>
        </is>
      </c>
      <c r="E3" s="30" t="inlineStr">
        <is>
          <t>Current State</t>
        </is>
      </c>
      <c r="F3" s="30" t="inlineStr">
        <is>
          <t>Target State</t>
        </is>
      </c>
      <c r="G3" s="30" t="inlineStr">
        <is>
          <t>Priority</t>
        </is>
      </c>
      <c r="H3" s="30" t="inlineStr">
        <is>
          <t>Owner</t>
        </is>
      </c>
      <c r="I3" s="30" t="inlineStr">
        <is>
          <t>Target Date</t>
        </is>
      </c>
      <c r="J3" s="30" t="inlineStr">
        <is>
          <t>Status</t>
        </is>
      </c>
    </row>
    <row r="4">
      <c r="A4" s="31" t="inlineStr">
        <is>
          <t>GAP-001</t>
        </is>
      </c>
      <c r="B4" s="31" t="inlineStr">
        <is>
          <t>Development Environment</t>
        </is>
      </c>
      <c r="C4" s="31" t="inlineStr">
        <is>
          <t>2.4</t>
        </is>
      </c>
      <c r="D4" s="31" t="inlineStr">
        <is>
          <t>Pre-commit hooks prevent secret commits</t>
        </is>
      </c>
      <c r="E4" s="31" t="inlineStr">
        <is>
          <t>No pre-commit hooks configured</t>
        </is>
      </c>
      <c r="F4" s="31" t="inlineStr">
        <is>
          <t>Git-secrets installed on all dev workstations</t>
        </is>
      </c>
      <c r="G4" s="31" t="inlineStr">
        <is>
          <t>High</t>
        </is>
      </c>
      <c r="H4" s="31" t="inlineStr">
        <is>
          <t>DevOps Lead</t>
        </is>
      </c>
      <c r="I4" s="31" t="inlineStr">
        <is>
          <t>31.01.2025</t>
        </is>
      </c>
      <c r="J4" s="31" t="inlineStr">
        <is>
          <t>In Progress</t>
        </is>
      </c>
    </row>
    <row r="5">
      <c r="A5" s="28" t="n"/>
      <c r="B5" s="28" t="n"/>
      <c r="C5" s="28" t="n"/>
      <c r="D5" s="28" t="n"/>
      <c r="E5" s="28" t="n"/>
      <c r="F5" s="28" t="n"/>
      <c r="G5" s="28" t="n"/>
      <c r="H5" s="28" t="n"/>
      <c r="I5" s="28" t="n"/>
      <c r="J5" s="28" t="n"/>
    </row>
    <row r="6">
      <c r="A6" s="28" t="n"/>
      <c r="B6" s="28" t="n"/>
      <c r="C6" s="28" t="n"/>
      <c r="D6" s="28" t="n"/>
      <c r="E6" s="28" t="n"/>
      <c r="F6" s="28" t="n"/>
      <c r="G6" s="28" t="n"/>
      <c r="H6" s="28" t="n"/>
      <c r="I6" s="28" t="n"/>
      <c r="J6" s="28" t="n"/>
    </row>
    <row r="7">
      <c r="A7" s="28" t="n"/>
      <c r="B7" s="28" t="n"/>
      <c r="C7" s="28" t="n"/>
      <c r="D7" s="28" t="n"/>
      <c r="E7" s="28" t="n"/>
      <c r="F7" s="28" t="n"/>
      <c r="G7" s="28" t="n"/>
      <c r="H7" s="28" t="n"/>
      <c r="I7" s="28" t="n"/>
      <c r="J7" s="28" t="n"/>
    </row>
    <row r="8">
      <c r="A8" s="28" t="n"/>
      <c r="B8" s="28" t="n"/>
      <c r="C8" s="28" t="n"/>
      <c r="D8" s="28" t="n"/>
      <c r="E8" s="28" t="n"/>
      <c r="F8" s="28" t="n"/>
      <c r="G8" s="28" t="n"/>
      <c r="H8" s="28" t="n"/>
      <c r="I8" s="28" t="n"/>
      <c r="J8" s="28" t="n"/>
    </row>
    <row r="9">
      <c r="A9" s="28" t="n"/>
      <c r="B9" s="28" t="n"/>
      <c r="C9" s="28" t="n"/>
      <c r="D9" s="28" t="n"/>
      <c r="E9" s="28" t="n"/>
      <c r="F9" s="28" t="n"/>
      <c r="G9" s="28" t="n"/>
      <c r="H9" s="28" t="n"/>
      <c r="I9" s="28" t="n"/>
      <c r="J9" s="28" t="n"/>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row r="56">
      <c r="A56" s="32" t="inlineStr">
        <is>
          <t>Priority Guidance:</t>
        </is>
      </c>
    </row>
    <row r="57">
      <c r="A57" s="33" t="inlineStr">
        <is>
          <t>Critical: Exploitable vulnerability or compliance blocker - fix immediately</t>
        </is>
      </c>
    </row>
    <row r="58">
      <c r="A58" s="34" t="inlineStr">
        <is>
          <t>High: Significant security risk or major compliance gap - fix within 30 days</t>
        </is>
      </c>
    </row>
    <row r="59">
      <c r="A59" s="35" t="inlineStr">
        <is>
          <t>Medium: Moderate security risk or minor compliance gap - fix within 90 days</t>
        </is>
      </c>
    </row>
    <row r="60">
      <c r="A60" s="36" t="inlineStr">
        <is>
          <t>Low: Low security risk or improvement opportunity - fix when resources available</t>
        </is>
      </c>
    </row>
  </sheetData>
  <mergeCells count="7">
    <mergeCell ref="A1:J1"/>
    <mergeCell ref="A58:J58"/>
    <mergeCell ref="A56:J56"/>
    <mergeCell ref="A59:J59"/>
    <mergeCell ref="A57:J57"/>
    <mergeCell ref="A2:J2"/>
    <mergeCell ref="A60:J60"/>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7" t="inlineStr">
        <is>
          <t>SECURE DEVELOPMENT LIFECYCLE INTEGRATION — SUMMARY DASHBOARD</t>
        </is>
      </c>
    </row>
    <row r="2">
      <c r="A2" s="12" t="inlineStr">
        <is>
          <t>ISO/IEC 27001:2022 Annex A.8.28 — Secure Coding | SDLC Assessment</t>
        </is>
      </c>
    </row>
    <row r="4">
      <c r="A4" s="38" t="inlineStr">
        <is>
          <t>TABLE 1: ASSESSMENT AREA COMPLIANCE OVERVIEW</t>
        </is>
      </c>
      <c r="B4" s="6" t="n"/>
      <c r="C4" s="6" t="n"/>
      <c r="D4" s="6" t="n"/>
      <c r="E4" s="6" t="n"/>
      <c r="F4" s="6" t="n"/>
      <c r="G4" s="6" t="n"/>
    </row>
    <row r="5">
      <c r="A5" s="39" t="inlineStr">
        <is>
          <t>Assessment Area</t>
        </is>
      </c>
      <c r="B5" s="39" t="inlineStr">
        <is>
          <t>Total Items</t>
        </is>
      </c>
      <c r="C5" s="39" t="inlineStr">
        <is>
          <t>Compliant</t>
        </is>
      </c>
      <c r="D5" s="39" t="inlineStr">
        <is>
          <t>Partial</t>
        </is>
      </c>
      <c r="E5" s="39" t="inlineStr">
        <is>
          <t>Non-Compliant</t>
        </is>
      </c>
      <c r="F5" s="39" t="inlineStr">
        <is>
          <t>N/A</t>
        </is>
      </c>
      <c r="G5" s="39" t="inlineStr">
        <is>
          <t>Compliance %</t>
        </is>
      </c>
    </row>
    <row r="6">
      <c r="A6" s="6" t="inlineStr">
        <is>
          <t>Security Requirements Design</t>
        </is>
      </c>
      <c r="B6" s="40">
        <f>COUNTA('Security Requirements Design'!C4:C100)</f>
        <v/>
      </c>
      <c r="C6" s="40">
        <f>COUNTIF('Security Requirements Design'!C4:C100,"✅ Implemented")</f>
        <v/>
      </c>
      <c r="D6" s="40">
        <f>COUNTIF('Security Requirements Design'!C4:C100,"⚠️ Partially Implemented")</f>
        <v/>
      </c>
      <c r="E6" s="40">
        <f>COUNTIF('Security Requirements Design'!C4:C100,"❌ Not Implemented")</f>
        <v/>
      </c>
      <c r="F6" s="40">
        <f>COUNTIF('Security Requirements Design'!C4:C100,"N/A")</f>
        <v/>
      </c>
      <c r="G6" s="41">
        <f>IF((B6-F6)=0,0,C6/(B6-F6))</f>
        <v/>
      </c>
    </row>
    <row r="7">
      <c r="A7" s="6" t="inlineStr">
        <is>
          <t>Development Environment</t>
        </is>
      </c>
      <c r="B7" s="40">
        <f>COUNTA('Development Environment'!C4:C100)</f>
        <v/>
      </c>
      <c r="C7" s="40">
        <f>COUNTIF('Development Environment'!C4:C100,"✅ Implemented")</f>
        <v/>
      </c>
      <c r="D7" s="40">
        <f>COUNTIF('Development Environment'!C4:C100,"⚠️ Partially Implemented")</f>
        <v/>
      </c>
      <c r="E7" s="40">
        <f>COUNTIF('Development Environment'!C4:C100,"❌ Not Implemented")</f>
        <v/>
      </c>
      <c r="F7" s="40">
        <f>COUNTIF('Development Environment'!C4:C100,"N/A")</f>
        <v/>
      </c>
      <c r="G7" s="41">
        <f>IF((B7-F7)=0,0,C7/(B7-F7))</f>
        <v/>
      </c>
    </row>
    <row r="8">
      <c r="A8" s="6" t="inlineStr">
        <is>
          <t>Build Deployment Pipeline</t>
        </is>
      </c>
      <c r="B8" s="40">
        <f>COUNTA('Build Deployment Pipeline'!C4:C100)</f>
        <v/>
      </c>
      <c r="C8" s="40">
        <f>COUNTIF('Build Deployment Pipeline'!C4:C100,"✅ Implemented")</f>
        <v/>
      </c>
      <c r="D8" s="40">
        <f>COUNTIF('Build Deployment Pipeline'!C4:C100,"⚠️ Partially Implemented")</f>
        <v/>
      </c>
      <c r="E8" s="40">
        <f>COUNTIF('Build Deployment Pipeline'!C4:C100,"❌ Not Implemented")</f>
        <v/>
      </c>
      <c r="F8" s="40">
        <f>COUNTIF('Build Deployment Pipeline'!C4:C100,"N/A")</f>
        <v/>
      </c>
      <c r="G8" s="41">
        <f>IF((B8-F8)=0,0,C8/(B8-F8))</f>
        <v/>
      </c>
    </row>
    <row r="9">
      <c r="A9" s="6" t="inlineStr">
        <is>
          <t>Security Testing Integration</t>
        </is>
      </c>
      <c r="B9" s="40">
        <f>COUNTA('Security Testing Integration'!C4:C100)</f>
        <v/>
      </c>
      <c r="C9" s="40">
        <f>COUNTIF('Security Testing Integration'!C4:C100,"✅ Implemented")</f>
        <v/>
      </c>
      <c r="D9" s="40">
        <f>COUNTIF('Security Testing Integration'!C4:C100,"⚠️ Partially Implemented")</f>
        <v/>
      </c>
      <c r="E9" s="40">
        <f>COUNTIF('Security Testing Integration'!C4:C100,"❌ Not Implemented")</f>
        <v/>
      </c>
      <c r="F9" s="40">
        <f>COUNTIF('Security Testing Integration'!C4:C100,"N/A")</f>
        <v/>
      </c>
      <c r="G9" s="41">
        <f>IF((B9-F9)=0,0,C9/(B9-F9))</f>
        <v/>
      </c>
    </row>
    <row r="10">
      <c r="A10" s="6" t="inlineStr">
        <is>
          <t>Release Change Management</t>
        </is>
      </c>
      <c r="B10" s="40">
        <f>COUNTA('Release Change Management'!C4:C100)</f>
        <v/>
      </c>
      <c r="C10" s="40">
        <f>COUNTIF('Release Change Management'!C4:C100,"✅ Implemented")</f>
        <v/>
      </c>
      <c r="D10" s="40">
        <f>COUNTIF('Release Change Management'!C4:C100,"⚠️ Partially Implemented")</f>
        <v/>
      </c>
      <c r="E10" s="40">
        <f>COUNTIF('Release Change Management'!C4:C100,"❌ Not Implemented")</f>
        <v/>
      </c>
      <c r="F10" s="40">
        <f>COUNTIF('Release Change Management'!C4:C100,"N/A")</f>
        <v/>
      </c>
      <c r="G10" s="41">
        <f>IF((B10-F10)=0,0,C10/(B10-F10))</f>
        <v/>
      </c>
    </row>
    <row r="11">
      <c r="A11" s="42" t="inlineStr">
        <is>
          <t>TOTAL</t>
        </is>
      </c>
      <c r="B11" s="43">
        <f>SUM(B6:B10)</f>
        <v/>
      </c>
      <c r="C11" s="43">
        <f>SUM(C6:C10)</f>
        <v/>
      </c>
      <c r="D11" s="43">
        <f>SUM(D6:D10)</f>
        <v/>
      </c>
      <c r="E11" s="43">
        <f>SUM(E6:E10)</f>
        <v/>
      </c>
      <c r="F11" s="43">
        <f>SUM(F6:F10)</f>
        <v/>
      </c>
      <c r="G11" s="44">
        <f>IF((B11-F11)=0,0,C11/(B11-F11))</f>
        <v/>
      </c>
    </row>
    <row r="13">
      <c r="A13" s="38" t="inlineStr">
        <is>
          <t>TABLE 2: KEY METRICS</t>
        </is>
      </c>
      <c r="B13" s="6" t="n"/>
      <c r="C13" s="6" t="n"/>
      <c r="D13" s="6" t="n"/>
      <c r="E13" s="6" t="n"/>
      <c r="F13" s="6" t="n"/>
      <c r="G13" s="6" t="n"/>
    </row>
    <row r="14">
      <c r="A14" s="45" t="inlineStr">
        <is>
          <t>Metric</t>
        </is>
      </c>
      <c r="B14" s="45" t="inlineStr">
        <is>
          <t>Value</t>
        </is>
      </c>
      <c r="C14" s="45" t="inlineStr"/>
      <c r="D14" s="45" t="inlineStr"/>
      <c r="E14" s="45" t="inlineStr"/>
      <c r="F14" s="45" t="inlineStr"/>
      <c r="G14" s="45" t="inlineStr"/>
    </row>
    <row r="15">
      <c r="A15" s="46" t="inlineStr">
        <is>
          <t>Total Requirements Tracked</t>
        </is>
      </c>
      <c r="B15" s="47">
        <f>COUNTA('Security Requirements Design'!B5:B100)</f>
        <v/>
      </c>
      <c r="C15" s="6" t="n"/>
      <c r="D15" s="6" t="n"/>
      <c r="E15" s="6" t="n"/>
      <c r="F15" s="6" t="n"/>
      <c r="G15" s="6" t="n"/>
    </row>
    <row r="16">
      <c r="A16" s="46" t="inlineStr">
        <is>
          <t>Security Requirements Documented</t>
        </is>
      </c>
      <c r="B16" s="47">
        <f>COUNTIF('Security Requirements Design'!C5:C100,"✅ Implemented")</f>
        <v/>
      </c>
      <c r="C16" s="6" t="n"/>
      <c r="D16" s="6" t="n"/>
      <c r="E16" s="6" t="n"/>
      <c r="F16" s="6" t="n"/>
      <c r="G16" s="6" t="n"/>
    </row>
    <row r="17">
      <c r="A17" s="46" t="inlineStr">
        <is>
          <t>Threat Modeling Coverage</t>
        </is>
      </c>
      <c r="B17" s="47">
        <f>COUNTIF('Security Requirements Design'!C5:C100,"✅ Implemented")/COUNTA('Security Requirements Design'!B5:B100)</f>
        <v/>
      </c>
      <c r="C17" s="6" t="n"/>
      <c r="D17" s="6" t="n"/>
      <c r="E17" s="6" t="n"/>
      <c r="F17" s="6" t="n"/>
      <c r="G17" s="6" t="n"/>
    </row>
    <row r="18">
      <c r="A18" s="46" t="inlineStr">
        <is>
          <t>Total Dev Environment Controls</t>
        </is>
      </c>
      <c r="B18" s="47">
        <f>COUNTA('Development Environment'!B5:B100)</f>
        <v/>
      </c>
      <c r="C18" s="6" t="n"/>
      <c r="D18" s="6" t="n"/>
      <c r="E18" s="6" t="n"/>
      <c r="F18" s="6" t="n"/>
      <c r="G18" s="6" t="n"/>
    </row>
    <row r="19">
      <c r="A19" s="46" t="inlineStr">
        <is>
          <t>Workstations with Security Tools</t>
        </is>
      </c>
      <c r="B19" s="47">
        <f>COUNTIF('Development Environment'!C5:C100,"✅ Implemented")</f>
        <v/>
      </c>
      <c r="C19" s="6" t="n"/>
      <c r="D19" s="6" t="n"/>
      <c r="E19" s="6" t="n"/>
      <c r="F19" s="6" t="n"/>
      <c r="G19" s="6" t="n"/>
    </row>
    <row r="20">
      <c r="A20" s="46" t="inlineStr">
        <is>
          <t>Repository Security Controls</t>
        </is>
      </c>
      <c r="B20" s="47">
        <f>COUNTIF('Development Environment'!C5:C100,"✅ Implemented")</f>
        <v/>
      </c>
      <c r="C20" s="6" t="n"/>
      <c r="D20" s="6" t="n"/>
      <c r="E20" s="6" t="n"/>
      <c r="F20" s="6" t="n"/>
      <c r="G20" s="6" t="n"/>
    </row>
    <row r="21">
      <c r="A21" s="46" t="inlineStr">
        <is>
          <t>Total Pipeline Controls</t>
        </is>
      </c>
      <c r="B21" s="47">
        <f>COUNTA('Build Deployment Pipeline'!B5:B100)</f>
        <v/>
      </c>
      <c r="C21" s="6" t="n"/>
      <c r="D21" s="6" t="n"/>
      <c r="E21" s="6" t="n"/>
      <c r="F21" s="6" t="n"/>
      <c r="G21" s="6" t="n"/>
    </row>
    <row r="22">
      <c r="A22" s="46" t="inlineStr">
        <is>
          <t>Security Scans Integrated</t>
        </is>
      </c>
      <c r="B22" s="47">
        <f>COUNTIF('Build Deployment Pipeline'!C5:C100,"✅ Implemented")</f>
        <v/>
      </c>
      <c r="C22" s="6" t="n"/>
      <c r="D22" s="6" t="n"/>
      <c r="E22" s="6" t="n"/>
      <c r="F22" s="6" t="n"/>
      <c r="G22" s="6" t="n"/>
    </row>
    <row r="23">
      <c r="A23" s="46" t="inlineStr">
        <is>
          <t>Deployment Gates Active</t>
        </is>
      </c>
      <c r="B23" s="47">
        <f>COUNTIF('Build Deployment Pipeline'!C5:C100,"✅ Implemented")</f>
        <v/>
      </c>
      <c r="C23" s="6" t="n"/>
      <c r="D23" s="6" t="n"/>
      <c r="E23" s="6" t="n"/>
      <c r="F23" s="6" t="n"/>
      <c r="G23" s="6" t="n"/>
    </row>
    <row r="24">
      <c r="A24" s="46" t="inlineStr">
        <is>
          <t>Total Testing Controls</t>
        </is>
      </c>
      <c r="B24" s="47">
        <f>COUNTA('Security Testing Integration'!B5:B100)</f>
        <v/>
      </c>
      <c r="C24" s="6" t="n"/>
      <c r="D24" s="6" t="n"/>
      <c r="E24" s="6" t="n"/>
      <c r="F24" s="6" t="n"/>
      <c r="G24" s="6" t="n"/>
    </row>
    <row r="25">
      <c r="A25" s="46" t="inlineStr">
        <is>
          <t>SAST/DAST Integration</t>
        </is>
      </c>
      <c r="B25" s="47">
        <f>COUNTIF('Security Testing Integration'!C5:C100,"✅ Implemented")</f>
        <v/>
      </c>
      <c r="C25" s="6" t="n"/>
      <c r="D25" s="6" t="n"/>
      <c r="E25" s="6" t="n"/>
      <c r="F25" s="6" t="n"/>
      <c r="G25" s="6" t="n"/>
    </row>
    <row r="26">
      <c r="A26" s="46" t="inlineStr">
        <is>
          <t>Penetration Testing Coverage</t>
        </is>
      </c>
      <c r="B26" s="47">
        <f>COUNTIF('Security Testing Integration'!C5:C100,"✅ Implemented")</f>
        <v/>
      </c>
      <c r="C26" s="6" t="n"/>
      <c r="D26" s="6" t="n"/>
      <c r="E26" s="6" t="n"/>
      <c r="F26" s="6" t="n"/>
      <c r="G26" s="6" t="n"/>
    </row>
    <row r="27">
      <c r="A27" s="46" t="inlineStr">
        <is>
          <t>Total Release Controls</t>
        </is>
      </c>
      <c r="B27" s="47">
        <f>COUNTA('Release Change Management'!B5:B100)</f>
        <v/>
      </c>
      <c r="C27" s="6" t="n"/>
      <c r="D27" s="6" t="n"/>
      <c r="E27" s="6" t="n"/>
      <c r="F27" s="6" t="n"/>
      <c r="G27" s="6" t="n"/>
    </row>
    <row r="28">
      <c r="A28" s="46" t="inlineStr">
        <is>
          <t>Approval Workflows Active</t>
        </is>
      </c>
      <c r="B28" s="47">
        <f>COUNTIF('Release Change Management'!C5:C100,"✅ Implemented")</f>
        <v/>
      </c>
      <c r="C28" s="6" t="n"/>
      <c r="D28" s="6" t="n"/>
      <c r="E28" s="6" t="n"/>
      <c r="F28" s="6" t="n"/>
      <c r="G28" s="6" t="n"/>
    </row>
    <row r="29">
      <c r="A29" s="46" t="inlineStr">
        <is>
          <t>Change Management Compliance</t>
        </is>
      </c>
      <c r="B29" s="47">
        <f>COUNTIF('Release Change Management'!C5:C100,"✅ Implemented")/COUNTA('Release Change Management'!B5:B100)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48" t="inlineStr">
        <is>
          <t>TABLE 3: CRITICAL FINDINGS REQUIRING IMMEDIATE ATTENTION</t>
        </is>
      </c>
      <c r="B33" s="6" t="n"/>
      <c r="C33" s="6" t="n"/>
      <c r="D33" s="6" t="n"/>
      <c r="E33" s="6" t="n"/>
      <c r="F33" s="6" t="n"/>
      <c r="G33" s="6" t="n"/>
    </row>
    <row r="34">
      <c r="A34" s="45" t="inlineStr">
        <is>
          <t>Category</t>
        </is>
      </c>
      <c r="B34" s="45" t="inlineStr">
        <is>
          <t>Finding</t>
        </is>
      </c>
      <c r="C34" s="45" t="inlineStr">
        <is>
          <t>Count</t>
        </is>
      </c>
      <c r="D34" s="45" t="inlineStr">
        <is>
          <t>Severity</t>
        </is>
      </c>
      <c r="E34" s="45" t="inlineStr">
        <is>
          <t>Action Required</t>
        </is>
      </c>
      <c r="F34" s="45" t="inlineStr"/>
      <c r="G34" s="45" t="inlineStr"/>
    </row>
    <row r="35">
      <c r="A35" s="28" t="inlineStr">
        <is>
          <t>Security Requirements Design</t>
        </is>
      </c>
      <c r="B35" s="28" t="inlineStr">
        <is>
          <t>Requirements without security acceptance criteria</t>
        </is>
      </c>
      <c r="C35" s="49">
        <f>COUNTIF('Security Requirements Design'!C5:C100,"❌ Not Implemented")</f>
        <v/>
      </c>
      <c r="D35" s="28" t="inlineStr">
        <is>
          <t>Critical</t>
        </is>
      </c>
      <c r="E35" s="28" t="inlineStr">
        <is>
          <t>Immediate</t>
        </is>
      </c>
      <c r="F35" s="28" t="n"/>
      <c r="G35" s="28" t="n"/>
    </row>
    <row r="36">
      <c r="A36" s="28" t="inlineStr">
        <is>
          <t>Development Environment</t>
        </is>
      </c>
      <c r="B36" s="28" t="inlineStr">
        <is>
          <t>Developer workstations without EDR/security tools</t>
        </is>
      </c>
      <c r="C36" s="49">
        <f>COUNTIF('Development Environment'!C5:C100,"❌ Not Implemented")</f>
        <v/>
      </c>
      <c r="D36" s="28" t="inlineStr">
        <is>
          <t>Critical</t>
        </is>
      </c>
      <c r="E36" s="28" t="inlineStr">
        <is>
          <t>Immediate</t>
        </is>
      </c>
      <c r="F36" s="28" t="n"/>
      <c r="G36" s="28" t="n"/>
    </row>
    <row r="37">
      <c r="A37" s="28" t="inlineStr">
        <is>
          <t>Build Deployment Pipeline</t>
        </is>
      </c>
      <c r="B37" s="28" t="inlineStr">
        <is>
          <t>Pipelines without SAST/SCA scanning</t>
        </is>
      </c>
      <c r="C37" s="49">
        <f>COUNTIF('Build Deployment Pipeline'!C5:C100,"❌ Not Implemented")</f>
        <v/>
      </c>
      <c r="D37" s="28" t="inlineStr">
        <is>
          <t>Critical</t>
        </is>
      </c>
      <c r="E37" s="28" t="inlineStr">
        <is>
          <t>Immediate</t>
        </is>
      </c>
      <c r="F37" s="28" t="n"/>
      <c r="G37" s="28" t="n"/>
    </row>
    <row r="38">
      <c r="A38" s="28" t="inlineStr">
        <is>
          <t>Security Testing Integration</t>
        </is>
      </c>
      <c r="B38" s="28" t="inlineStr">
        <is>
          <t>Production code without security testing</t>
        </is>
      </c>
      <c r="C38" s="49">
        <f>COUNTIF('Security Testing Integration'!C5:C100,"❌ Not Implemented")</f>
        <v/>
      </c>
      <c r="D38" s="28" t="inlineStr">
        <is>
          <t>Critical</t>
        </is>
      </c>
      <c r="E38" s="28" t="inlineStr">
        <is>
          <t>Immediate</t>
        </is>
      </c>
      <c r="F38" s="28" t="n"/>
      <c r="G38" s="28" t="n"/>
    </row>
    <row r="39">
      <c r="A39" s="28" t="inlineStr">
        <is>
          <t>Release Change Management</t>
        </is>
      </c>
      <c r="B39" s="28" t="inlineStr">
        <is>
          <t>Releases without security approval</t>
        </is>
      </c>
      <c r="C39" s="49">
        <f>COUNTIF('Release Change Management'!C5:C100,"❌ Not Implemented")</f>
        <v/>
      </c>
      <c r="D39" s="28" t="inlineStr">
        <is>
          <t>Critical</t>
        </is>
      </c>
      <c r="E39" s="28" t="inlineStr">
        <is>
          <t>Immediate</t>
        </is>
      </c>
      <c r="F39" s="28" t="n"/>
      <c r="G39" s="28" t="n"/>
    </row>
    <row r="40">
      <c r="A40" s="28" t="inlineStr">
        <is>
          <t>Security Requirements Design</t>
        </is>
      </c>
      <c r="B40" s="28" t="inlineStr">
        <is>
          <t>Missing threat modeling for high-risk apps</t>
        </is>
      </c>
      <c r="C40" s="49">
        <f>COUNTIF('Security Requirements Design'!C5:C100,"⚠️ Partially Implemented")</f>
        <v/>
      </c>
      <c r="D40" s="28" t="inlineStr">
        <is>
          <t>High</t>
        </is>
      </c>
      <c r="E40" s="28" t="inlineStr">
        <is>
          <t>Urgent</t>
        </is>
      </c>
      <c r="F40" s="28" t="n"/>
      <c r="G40" s="28" t="n"/>
    </row>
    <row r="41">
      <c r="A41" s="28" t="inlineStr">
        <is>
          <t>Development Environment</t>
        </is>
      </c>
      <c r="B41" s="28" t="inlineStr">
        <is>
          <t>Repositories without MFA enforcement</t>
        </is>
      </c>
      <c r="C41" s="49">
        <f>COUNTIF('Development Environment'!C5:C100,"⚠️ Partially Implemented")</f>
        <v/>
      </c>
      <c r="D41" s="28" t="inlineStr">
        <is>
          <t>High</t>
        </is>
      </c>
      <c r="E41" s="28" t="inlineStr">
        <is>
          <t>Urgent</t>
        </is>
      </c>
      <c r="F41" s="28" t="n"/>
      <c r="G41" s="28" t="n"/>
    </row>
    <row r="42">
      <c r="A42" s="28" t="inlineStr">
        <is>
          <t>Build Deployment Pipeline</t>
        </is>
      </c>
      <c r="B42" s="28" t="inlineStr">
        <is>
          <t>Security gates not enforced</t>
        </is>
      </c>
      <c r="C42" s="49">
        <f>COUNTIF('Build Deployment Pipeline'!C5:C100,"⚠️ Partially Implemented")</f>
        <v/>
      </c>
      <c r="D42" s="28" t="inlineStr">
        <is>
          <t>High</t>
        </is>
      </c>
      <c r="E42" s="28" t="inlineStr">
        <is>
          <t>Urgent</t>
        </is>
      </c>
      <c r="F42" s="28" t="n"/>
      <c r="G42" s="28" t="n"/>
    </row>
    <row r="43">
      <c r="A43" s="28" t="inlineStr">
        <is>
          <t>Security Testing Integration</t>
        </is>
      </c>
      <c r="B43" s="28" t="inlineStr">
        <is>
          <t>Incomplete DAST coverage</t>
        </is>
      </c>
      <c r="C43" s="49">
        <f>COUNTIF('Security Testing Integration'!C5:C100,"⚠️ Partially Implemented")</f>
        <v/>
      </c>
      <c r="D43" s="28" t="inlineStr">
        <is>
          <t>High</t>
        </is>
      </c>
      <c r="E43" s="28" t="inlineStr">
        <is>
          <t>Urgent</t>
        </is>
      </c>
      <c r="F43" s="28" t="n"/>
      <c r="G43" s="28" t="n"/>
    </row>
    <row r="44">
      <c r="A44" s="28" t="inlineStr">
        <is>
          <t>Release Change Management</t>
        </is>
      </c>
      <c r="B44" s="28" t="inlineStr">
        <is>
          <t>Emergency changes without post-review</t>
        </is>
      </c>
      <c r="C44" s="49">
        <f>COUNTIF('Release Change Management'!C5:C100,"⚠️ Partially Implemented")</f>
        <v/>
      </c>
      <c r="D44" s="28" t="inlineStr">
        <is>
          <t>Medium</t>
        </is>
      </c>
      <c r="E44" s="28" t="inlineStr">
        <is>
          <t>Plan</t>
        </is>
      </c>
      <c r="F44" s="28" t="n"/>
      <c r="G44" s="28" t="n"/>
    </row>
    <row r="45">
      <c r="A45" s="28" t="n"/>
      <c r="B45" s="28" t="n"/>
      <c r="C45" s="28" t="n"/>
      <c r="D45" s="28" t="n"/>
      <c r="E45" s="28" t="n"/>
      <c r="F45" s="28" t="n"/>
      <c r="G45" s="28" t="n"/>
    </row>
    <row r="46">
      <c r="A46" s="28" t="n"/>
      <c r="B46" s="28" t="n"/>
      <c r="C46" s="28" t="n"/>
      <c r="D46" s="28" t="n"/>
      <c r="E46" s="28" t="n"/>
      <c r="F46" s="28" t="n"/>
      <c r="G46" s="28"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0" t="inlineStr">
        <is>
          <t>ASSESSMENT APPROVAL AND SIGN-OFF</t>
        </is>
      </c>
      <c r="B1" s="6" t="n"/>
      <c r="C1" s="6" t="n"/>
      <c r="D1" s="6" t="n"/>
      <c r="E1" s="6" t="n"/>
    </row>
    <row r="2">
      <c r="A2" s="51" t="inlineStr">
        <is>
          <t>ISO/IEC 27001:2022 - Control A.8.28: Secure Coding</t>
        </is>
      </c>
      <c r="B2" s="6" t="n"/>
      <c r="C2" s="6" t="n"/>
      <c r="D2" s="6" t="n"/>
      <c r="E2" s="6" t="n"/>
    </row>
    <row r="3">
      <c r="A3" s="52" t="inlineStr">
        <is>
          <t>ASSESSMENT SUMMARY</t>
        </is>
      </c>
      <c r="B3" s="6" t="n"/>
      <c r="C3" s="6" t="n"/>
      <c r="D3" s="6" t="n"/>
      <c r="E3" s="6" t="n"/>
    </row>
    <row r="4">
      <c r="A4" s="32" t="inlineStr">
        <is>
          <t>Document:</t>
        </is>
      </c>
      <c r="B4" s="6" t="inlineStr">
        <is>
          <t>ISMS-IMP-A.8.28.1 - SDLC Assessment</t>
        </is>
      </c>
      <c r="C4" s="6" t="n"/>
      <c r="D4" s="6" t="n"/>
      <c r="E4" s="6" t="n"/>
    </row>
    <row r="5">
      <c r="A5" s="32" t="inlineStr">
        <is>
          <t>Assessment Period:</t>
        </is>
      </c>
      <c r="B5" s="28" t="inlineStr"/>
      <c r="C5" s="28" t="n"/>
      <c r="D5" s="28" t="n"/>
      <c r="E5" s="28" t="n"/>
    </row>
    <row r="6">
      <c r="A6" s="32" t="inlineStr">
        <is>
          <t>Overall Compliance Rating:</t>
        </is>
      </c>
      <c r="B6" s="6">
        <f>'Summary Dashboard'!G9</f>
        <v/>
      </c>
      <c r="C6" s="6" t="n"/>
      <c r="D6" s="6" t="n"/>
      <c r="E6" s="6" t="n"/>
    </row>
    <row r="7">
      <c r="A7" s="32" t="inlineStr">
        <is>
          <t>Assessment Status:</t>
        </is>
      </c>
      <c r="B7" s="28" t="inlineStr"/>
      <c r="C7" s="28" t="n"/>
      <c r="D7" s="28" t="n"/>
      <c r="E7" s="28" t="n"/>
    </row>
    <row r="8">
      <c r="A8" s="32" t="inlineStr">
        <is>
          <t>Assessed By:</t>
        </is>
      </c>
      <c r="B8" s="28" t="inlineStr"/>
      <c r="C8" s="28" t="n"/>
      <c r="D8" s="28" t="n"/>
      <c r="E8" s="28" t="n"/>
    </row>
    <row r="11">
      <c r="A11" s="52" t="inlineStr">
        <is>
          <t>COMPLETED BY (ASSESSOR)</t>
        </is>
      </c>
      <c r="B11" s="6" t="n"/>
      <c r="C11" s="6" t="n"/>
      <c r="D11" s="6" t="n"/>
      <c r="E11" s="6" t="n"/>
    </row>
    <row r="12">
      <c r="A12" s="32" t="inlineStr">
        <is>
          <t>Name:</t>
        </is>
      </c>
      <c r="B12" s="28" t="n"/>
      <c r="C12" s="28" t="n"/>
      <c r="D12" s="28" t="n"/>
      <c r="E12" s="28" t="n"/>
    </row>
    <row r="13">
      <c r="A13" s="32" t="inlineStr">
        <is>
          <t>Title:</t>
        </is>
      </c>
      <c r="B13" s="28" t="n"/>
      <c r="C13" s="28" t="n"/>
      <c r="D13" s="28" t="n"/>
      <c r="E13" s="28" t="n"/>
    </row>
    <row r="14">
      <c r="A14" s="32" t="inlineStr">
        <is>
          <t>Date:</t>
        </is>
      </c>
      <c r="B14" s="28" t="n"/>
      <c r="C14" s="28" t="n"/>
      <c r="D14" s="28" t="n"/>
      <c r="E14" s="28" t="n"/>
    </row>
    <row r="15">
      <c r="A15" s="32" t="inlineStr">
        <is>
          <t>Signature:</t>
        </is>
      </c>
      <c r="B15" s="28" t="n"/>
      <c r="C15" s="28" t="n"/>
      <c r="D15" s="28" t="n"/>
      <c r="E15" s="28" t="n"/>
    </row>
    <row r="16">
      <c r="A16" s="32" t="inlineStr">
        <is>
          <t>Comments:</t>
        </is>
      </c>
      <c r="B16" s="28" t="n"/>
      <c r="C16" s="28" t="n"/>
      <c r="D16" s="28" t="n"/>
      <c r="E16" s="28" t="n"/>
    </row>
    <row r="18">
      <c r="A18" s="52" t="inlineStr">
        <is>
          <t>REVIEWED BY (INFORMATION SECURITY OFFICER)</t>
        </is>
      </c>
      <c r="B18" s="6" t="n"/>
      <c r="C18" s="6" t="n"/>
      <c r="D18" s="6" t="n"/>
      <c r="E18" s="6" t="n"/>
    </row>
    <row r="19">
      <c r="A19" s="32" t="inlineStr">
        <is>
          <t>Name:</t>
        </is>
      </c>
      <c r="B19" s="28" t="n"/>
      <c r="C19" s="28" t="n"/>
      <c r="D19" s="28" t="n"/>
      <c r="E19" s="28" t="n"/>
    </row>
    <row r="20">
      <c r="A20" s="32" t="inlineStr">
        <is>
          <t>Title:</t>
        </is>
      </c>
      <c r="B20" s="28" t="n"/>
      <c r="C20" s="28" t="n"/>
      <c r="D20" s="28" t="n"/>
      <c r="E20" s="28" t="n"/>
    </row>
    <row r="21">
      <c r="A21" s="32" t="inlineStr">
        <is>
          <t>Date:</t>
        </is>
      </c>
      <c r="B21" s="28" t="n"/>
      <c r="C21" s="28" t="n"/>
      <c r="D21" s="28" t="n"/>
      <c r="E21" s="28" t="n"/>
    </row>
    <row r="22">
      <c r="A22" s="32" t="inlineStr">
        <is>
          <t>Signature:</t>
        </is>
      </c>
      <c r="B22" s="28" t="n"/>
      <c r="C22" s="28" t="n"/>
      <c r="D22" s="28" t="n"/>
      <c r="E22" s="28" t="n"/>
    </row>
    <row r="23">
      <c r="A23" s="32" t="inlineStr">
        <is>
          <t>Comments:</t>
        </is>
      </c>
      <c r="B23" s="28" t="n"/>
      <c r="C23" s="28" t="n"/>
      <c r="D23" s="28" t="n"/>
      <c r="E23" s="28" t="n"/>
    </row>
    <row r="25">
      <c r="A25" s="53" t="inlineStr">
        <is>
          <t>APPROVED BY (CISO)</t>
        </is>
      </c>
      <c r="B25" s="6" t="n"/>
      <c r="C25" s="6" t="n"/>
      <c r="D25" s="6" t="n"/>
      <c r="E25" s="6" t="n"/>
    </row>
    <row r="26">
      <c r="A26" s="32" t="inlineStr">
        <is>
          <t>Name:</t>
        </is>
      </c>
      <c r="B26" s="28" t="n"/>
      <c r="C26" s="28" t="n"/>
      <c r="D26" s="28" t="n"/>
      <c r="E26" s="28" t="n"/>
    </row>
    <row r="27">
      <c r="A27" s="32" t="inlineStr">
        <is>
          <t>Title:</t>
        </is>
      </c>
      <c r="B27" s="28" t="n"/>
      <c r="C27" s="28" t="n"/>
      <c r="D27" s="28" t="n"/>
      <c r="E27" s="28" t="n"/>
    </row>
    <row r="28">
      <c r="A28" s="32" t="inlineStr">
        <is>
          <t>Date:</t>
        </is>
      </c>
      <c r="B28" s="28" t="n"/>
      <c r="C28" s="28" t="n"/>
      <c r="D28" s="28" t="n"/>
      <c r="E28" s="28" t="n"/>
    </row>
    <row r="29">
      <c r="A29" s="32" t="inlineStr">
        <is>
          <t>Signature:</t>
        </is>
      </c>
      <c r="B29" s="28" t="n"/>
      <c r="C29" s="28" t="n"/>
      <c r="D29" s="28" t="n"/>
      <c r="E29" s="28" t="n"/>
    </row>
    <row r="30">
      <c r="A30" s="32" t="inlineStr">
        <is>
          <t>Comments:</t>
        </is>
      </c>
      <c r="B30" s="28" t="n"/>
      <c r="C30" s="28" t="n"/>
      <c r="D30" s="28" t="n"/>
      <c r="E30" s="28" t="n"/>
    </row>
    <row r="32">
      <c r="A32" s="32" t="inlineStr">
        <is>
          <t>FINAL DECISION:</t>
        </is>
      </c>
      <c r="B32" s="28" t="n"/>
      <c r="C32" s="28" t="n"/>
      <c r="D32" s="28" t="n"/>
      <c r="E32" s="28" t="n"/>
    </row>
    <row r="35">
      <c r="A35" s="52" t="inlineStr">
        <is>
          <t>NEXT REVIEW DETAILS</t>
        </is>
      </c>
      <c r="B35" s="6" t="n"/>
      <c r="C35" s="6" t="n"/>
      <c r="D35" s="6" t="n"/>
      <c r="E35" s="6" t="n"/>
    </row>
    <row r="36">
      <c r="A36" s="32" t="inlineStr">
        <is>
          <t>Next Review Date:</t>
        </is>
      </c>
      <c r="B36" s="28" t="n"/>
      <c r="C36" s="28" t="n"/>
      <c r="D36" s="28" t="n"/>
      <c r="E36" s="28" t="n"/>
    </row>
    <row r="37">
      <c r="A37" s="32" t="inlineStr">
        <is>
          <t>Review Responsible:</t>
        </is>
      </c>
      <c r="B37" s="28" t="n"/>
      <c r="C37" s="28" t="n"/>
      <c r="D37" s="28" t="n"/>
      <c r="E37" s="28" t="n"/>
    </row>
    <row r="38">
      <c r="A38" s="32" t="inlineStr">
        <is>
          <t>Special Considerations:</t>
        </is>
      </c>
      <c r="B38" s="28" t="n"/>
      <c r="C38" s="28" t="n"/>
      <c r="D38" s="28" t="n"/>
      <c r="E38" s="2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ISMS-IMP-A.8.28.1 — Secure Development Lifecycle Integration</dc:title>
  <dc:description xmlns:dc="http://purl.org/dc/elements/1.1/">ISMS Implementation Workbook — ISMS-IMP-A.8.28.1</dc:description>
  <dc:subject xmlns:dc="http://purl.org/dc/elements/1.1/">ISO/IEC 27001:2022 — Control A.8.28: Secure Coding</dc:subject>
  <dcterms:created xmlns:dcterms="http://purl.org/dc/terms/" xmlns:xsi="http://www.w3.org/2001/XMLSchema-instance" xsi:type="dcterms:W3CDTF">2026-03-01T16:58:20Z</dcterms:created>
  <dcterms:modified xmlns:dcterms="http://purl.org/dc/terms/" xmlns:xsi="http://www.w3.org/2001/XMLSchema-instance" xsi:type="dcterms:W3CDTF">2026-03-01T16:58:20Z</dcterms:modified>
</cp:coreProperties>
</file>