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CHF &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4" borderId="1" applyAlignment="1" pivotButton="0" quotePrefix="0" xfId="0">
      <alignment horizontal="left" vertical="center" wrapText="1"/>
    </xf>
    <xf numFmtId="164" fontId="0" fillId="3" borderId="1" applyAlignment="1" pivotButton="0" quotePrefix="0" xfId="0">
      <alignment horizontal="left" vertical="center" wrapText="1"/>
    </xf>
    <xf numFmtId="0" fontId="11" fillId="6" borderId="0" applyAlignment="1" pivotButton="0" quotePrefix="0" xfId="0">
      <alignment horizontal="center" vertical="center" wrapText="1"/>
    </xf>
    <xf numFmtId="0" fontId="1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ISMS-IMP-A.8.28.5 – Secure Coding Compliance Summary Dashboard
ISO/IEC 27001:2022 - Control A.8.28: Secure Coding - Executive Overview</t>
        </is>
      </c>
    </row>
    <row r="3">
      <c r="A3" s="2" t="inlineStr">
        <is>
          <t>Document Information</t>
        </is>
      </c>
    </row>
    <row r="4">
      <c r="A4" s="3" t="inlineStr">
        <is>
          <t>Document ID</t>
        </is>
      </c>
      <c r="B4" t="inlineStr">
        <is>
          <t>ISMS-IMP-A.8.28.5</t>
        </is>
      </c>
    </row>
    <row r="5">
      <c r="A5" s="3" t="inlineStr">
        <is>
          <t>Report Type</t>
        </is>
      </c>
      <c r="B5" t="inlineStr">
        <is>
          <t>Compliance Summary Dashboard</t>
        </is>
      </c>
    </row>
    <row r="6">
      <c r="A6" s="3" t="inlineStr">
        <is>
          <t>Related Policy</t>
        </is>
      </c>
      <c r="B6" t="inlineStr">
        <is>
          <t>ISMS-POL-A.8.28 (Secure Coding)</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Organisation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AVERAGE(C25:C28)</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Register'!N20:N119,"&gt;=15",'Risk Register'!Q20:Q119,"&lt;&gt;Closed")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SDLC Assessment</t>
        </is>
      </c>
      <c r="B26" s="8" t="inlineStr">
        <is>
          <t>ISMS-IMP-A.8.28.1.xlsx</t>
        </is>
      </c>
      <c r="C26" s="8">
        <f>[ISMS-IMP-A.8.28.1.xlsx]'Summary Dashboard'!G8</f>
        <v/>
      </c>
      <c r="D26" s="8">
        <f>[ISMS-IMP-A.8.28.1.xlsx]'Summary Dashboard'!B8</f>
        <v/>
      </c>
      <c r="E26" s="8">
        <f>[ISMS-IMP-A.8.28.1.xlsx]'Summary Dashboard'!C8</f>
        <v/>
      </c>
      <c r="F26" s="8">
        <f>[ISMS-IMP-A.8.28.1.xlsx]'Summary Dashboard'!D8</f>
        <v/>
      </c>
      <c r="G26" s="8">
        <f>[ISMS-IMP-A.8.28.1.xlsx]'Summary Dashboard'!E8</f>
        <v/>
      </c>
      <c r="H26" s="4" t="n"/>
    </row>
    <row r="27">
      <c r="A27" s="8" t="inlineStr">
        <is>
          <t>Standards &amp; Tools Assessment</t>
        </is>
      </c>
      <c r="B27" s="8" t="inlineStr">
        <is>
          <t>ISMS-IMP-A.8.28.2.xlsx</t>
        </is>
      </c>
      <c r="C27" s="8">
        <f>[ISMS-IMP-A.8.28.2.xlsx]'Summary Dashboard'!G8</f>
        <v/>
      </c>
      <c r="D27" s="8">
        <f>[ISMS-IMP-A.8.28.2.xlsx]'Summary Dashboard'!B8</f>
        <v/>
      </c>
      <c r="E27" s="8">
        <f>[ISMS-IMP-A.8.28.2.xlsx]'Summary Dashboard'!C8</f>
        <v/>
      </c>
      <c r="F27" s="8">
        <f>[ISMS-IMP-A.8.28.2.xlsx]'Summary Dashboard'!D8</f>
        <v/>
      </c>
      <c r="G27" s="8">
        <f>[ISMS-IMP-A.8.28.2.xlsx]'Summary Dashboard'!E8</f>
        <v/>
      </c>
      <c r="H27" s="4" t="n"/>
    </row>
    <row r="28">
      <c r="A28" s="8" t="inlineStr">
        <is>
          <t>Code Review &amp; Testing Assessment</t>
        </is>
      </c>
      <c r="B28" s="8" t="inlineStr">
        <is>
          <t>ISMS-IMP-A.8.28.3.xlsx</t>
        </is>
      </c>
      <c r="C28" s="8">
        <f>[ISMS-IMP-A.8.28.3.xlsx]'Summary Dashboard'!G8</f>
        <v/>
      </c>
      <c r="D28" s="8">
        <f>[ISMS-IMP-A.8.28.3.xlsx]'Summary Dashboard'!B8</f>
        <v/>
      </c>
      <c r="E28" s="8">
        <f>[ISMS-IMP-A.8.28.3.xlsx]'Summary Dashboard'!C8</f>
        <v/>
      </c>
      <c r="F28" s="8">
        <f>[ISMS-IMP-A.8.28.3.xlsx]'Summary Dashboard'!D8</f>
        <v/>
      </c>
      <c r="G28" s="8">
        <f>[ISMS-IMP-A.8.28.3.xlsx]'Summary Dashboard'!E8</f>
        <v/>
      </c>
      <c r="H28" s="4" t="n"/>
    </row>
    <row r="29">
      <c r="A29" s="8" t="inlineStr">
        <is>
          <t>Third-Party &amp; OSS Assessment</t>
        </is>
      </c>
      <c r="B29" s="8" t="inlineStr">
        <is>
          <t>ISMS-IMP-A.8.28.4.xlsx</t>
        </is>
      </c>
      <c r="C29" s="8">
        <f>[ISMS-IMP-A.8.28.4.xlsx]'Summary Dashboard'!G8</f>
        <v/>
      </c>
      <c r="D29" s="8">
        <f>[ISMS-IMP-A.8.28.4.xlsx]'Summary Dashboard'!B8</f>
        <v/>
      </c>
      <c r="E29" s="8">
        <f>[ISMS-IMP-A.8.28.4.xlsx]'Summary Dashboard'!C8</f>
        <v/>
      </c>
      <c r="F29" s="8">
        <f>[ISMS-IMP-A.8.28.4.xlsx]'Summary Dashboard'!D8</f>
        <v/>
      </c>
      <c r="G29" s="8">
        <f>[ISMS-IMP-A.8.28.4.xlsx]'Summary Dashboard'!E8</f>
        <v/>
      </c>
      <c r="H29" s="4" t="n"/>
    </row>
    <row r="30">
      <c r="A30" s="11" t="inlineStr">
        <is>
          <t>TOTAL</t>
        </is>
      </c>
      <c r="B30" s="12" t="inlineStr">
        <is>
          <t>(Aggregated)</t>
        </is>
      </c>
      <c r="C30" s="13">
        <f>AVERAGE(C26:C29)</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IF(C21&gt;=95%,"Excellent",IF(C21&gt;=90%,"Good",IF(C21&gt;=80%,"Adequate",IF(C21&gt;=70%,"Needs Improvement","Critical"))))</f>
        <v/>
      </c>
    </row>
    <row r="59">
      <c r="A59" s="3" t="inlineStr">
        <is>
          <t>Security Posture:</t>
        </is>
      </c>
      <c r="B59" s="9">
        <f>IF(C21&gt;=90%,"Strong",IF(C21&gt;=75%,"Adequate","Weak"))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inlineStr"/>
    </row>
    <row r="83">
      <c r="A83" s="3" t="inlineStr">
        <is>
          <t>Budget Gap:</t>
        </is>
      </c>
      <c r="B83" s="18">
        <f>B83-B82</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"ISMS-IMP-A.8.28.1,ISMS-IMP-A.8.28.2,ISMS-IMP-A.8.28.3,ISMS-IMP-A.8.28.4"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Utilised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Secure Coding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Secure Coding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40"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"ISMS-IMP-A.8.28.1,ISMS-IMP-A.8.28.2,ISMS-IMP-A.8.28.3,ISMS-IMP-A.8.28.4"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Centralised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Dashboard Summary</t>
        </is>
      </c>
    </row>
    <row r="4">
      <c r="A4" s="3" t="inlineStr">
        <is>
          <t>Assessment Document</t>
        </is>
      </c>
      <c r="B4" s="4" t="inlineStr">
        <is>
          <t>ISMS-IMP-A.8.28.5 - Compliance Summary Dashboard</t>
        </is>
      </c>
    </row>
    <row r="5">
      <c r="A5" s="3" t="inlineStr">
        <is>
          <t>Assessment Period</t>
        </is>
      </c>
      <c r="B5" s="4" t="inlineStr"/>
    </row>
    <row r="6">
      <c r="A6" s="3" t="inlineStr">
        <is>
          <t>Portfolio Compliance (Average)</t>
        </is>
      </c>
      <c r="B6" s="9">
        <f>'Executive Dashboard'!C29</f>
        <v/>
      </c>
    </row>
    <row r="7">
      <c r="A7" s="3" t="inlineStr">
        <is>
          <t>Dashboard Status</t>
        </is>
      </c>
      <c r="B7" s="4" t="inlineStr"/>
    </row>
    <row r="10">
      <c r="A10" s="27"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27" t="inlineStr">
        <is>
          <t>REVIEWED BY (INFORMATION SECURITY OFFICER)</t>
        </is>
      </c>
    </row>
    <row r="19">
      <c r="A19" s="3" t="inlineStr">
        <is>
          <t>Name:</t>
        </is>
      </c>
      <c r="B19" s="4" t="n"/>
    </row>
    <row r="20">
      <c r="A20" s="3" t="inlineStr">
        <is>
          <t>Date:</t>
        </is>
      </c>
      <c r="B20" s="4" t="n"/>
    </row>
    <row r="21">
      <c r="A21" s="3" t="inlineStr">
        <is>
          <t>Review Notes:</t>
        </is>
      </c>
      <c r="B21" s="4" t="n"/>
    </row>
    <row r="24">
      <c r="A24" s="28" t="inlineStr">
        <is>
          <t>APPROVED BY (CISO)</t>
        </is>
      </c>
    </row>
    <row r="25">
      <c r="A25" s="3" t="inlineStr">
        <is>
          <t>Name:</t>
        </is>
      </c>
      <c r="B25" s="4" t="n"/>
    </row>
    <row r="26">
      <c r="A26" s="3" t="inlineStr">
        <is>
          <t>Date:</t>
        </is>
      </c>
      <c r="B26" s="4" t="n"/>
    </row>
    <row r="27">
      <c r="A27" s="3" t="inlineStr">
        <is>
          <t>Approval Decision:</t>
        </is>
      </c>
      <c r="B27" s="4" t="n"/>
    </row>
    <row r="28">
      <c r="A28" s="3" t="inlineStr">
        <is>
          <t>Conditions/Notes:</t>
        </is>
      </c>
      <c r="B28" s="4" t="n"/>
    </row>
    <row r="31">
      <c r="A31" s="10" t="inlineStr">
        <is>
          <t>NEXT REVIEW DETAILS</t>
        </is>
      </c>
    </row>
    <row r="32">
      <c r="A32" s="3" t="inlineStr">
        <is>
          <t>Next Review Date:</t>
        </is>
      </c>
      <c r="B32" s="4" t="n"/>
    </row>
    <row r="33">
      <c r="A33" s="3" t="inlineStr">
        <is>
          <t>Review Responsible:</t>
        </is>
      </c>
      <c r="B33" s="4" t="n"/>
    </row>
    <row r="34">
      <c r="A34" s="3" t="inlineStr">
        <is>
          <t>Special Considerations:</t>
        </is>
      </c>
      <c r="B34" s="4"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2026-02-10T22:24:06Z</dcterms:created>
  <dcterms:modified xmlns:dcterms="http://purl.org/dc/terms/" xmlns:xsi="http://www.w3.org/2001/XMLSchema-instance" xsi:type="dcterms:W3CDTF">2026-02-10T22:24:07Z</dcterms:modified>
</cp:coreProperties>
</file>