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Vendor_Security_Assessment" sheetId="2" state="visible" r:id="rId2"/>
    <sheet xmlns:r="http://schemas.openxmlformats.org/officeDocument/2006/relationships" name="OSS_Management" sheetId="3" state="visible" r:id="rId3"/>
    <sheet xmlns:r="http://schemas.openxmlformats.org/officeDocument/2006/relationships" name="Dependency_Vulnerability_Mgmt" sheetId="4" state="visible" r:id="rId4"/>
    <sheet xmlns:r="http://schemas.openxmlformats.org/officeDocument/2006/relationships" name="Third_Party_Code_Review" sheetId="5" state="visible" r:id="rId5"/>
    <sheet xmlns:r="http://schemas.openxmlformats.org/officeDocument/2006/relationships" name="License_Compliance" sheetId="6" state="visible" r:id="rId6"/>
    <sheet xmlns:r="http://schemas.openxmlformats.org/officeDocument/2006/relationships" name="Summary_Dashboard" sheetId="7" state="visible" r:id="rId7"/>
    <sheet xmlns:r="http://schemas.openxmlformats.org/officeDocument/2006/relationships" name="Evidence_Register" sheetId="8" state="visible" r:id="rId8"/>
    <sheet xmlns:r="http://schemas.openxmlformats.org/officeDocument/2006/relationships" name="Gap_Analysis" sheetId="9" state="visible" r:id="rId9"/>
    <sheet xmlns:r="http://schemas.openxmlformats.org/officeDocument/2006/relationships" name="Approval_Sign_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b val="1"/>
      <color rgb="00FFFFFF"/>
      <sz val="16"/>
    </font>
    <font>
      <name val="Calibri"/>
      <b val="1"/>
      <color rgb="00FFFFFF"/>
      <sz val="12"/>
    </font>
    <font>
      <name val="Calibri"/>
      <sz val="10"/>
    </font>
    <font>
      <name val="Calibri"/>
      <b val="1"/>
      <i val="1"/>
      <sz val="10"/>
    </font>
    <font>
      <name val="Calibri"/>
      <b val="1"/>
      <sz val="10"/>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s>
  <borders count="3">
    <border>
      <left/>
      <right/>
      <top/>
      <bottom/>
      <diagonal/>
    </border>
    <border>
      <left style="medium"/>
      <right style="medium"/>
      <top style="medium"/>
      <bottom style="medium"/>
    </border>
    <border>
      <left style="thin"/>
      <right style="thin"/>
      <top style="thin"/>
      <bottom style="thin"/>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center" vertical="center" wrapText="1"/>
    </xf>
    <xf numFmtId="0" fontId="1" fillId="2" borderId="1" applyAlignment="1" pivotButton="0" quotePrefix="0" xfId="0">
      <alignment horizontal="center" vertical="center" wrapText="1"/>
    </xf>
    <xf numFmtId="0" fontId="5" fillId="0" borderId="0" pivotButton="0" quotePrefix="0" xfId="0"/>
    <xf numFmtId="0" fontId="0" fillId="4" borderId="0" pivotButton="0" quotePrefix="0" xfId="0"/>
    <xf numFmtId="0" fontId="5" fillId="5" borderId="2" applyAlignment="1" pivotButton="0" quotePrefix="0" xfId="0">
      <alignment horizontal="center" vertical="center" wrapText="1"/>
    </xf>
    <xf numFmtId="0" fontId="3" fillId="0" borderId="2" applyAlignment="1" pivotButton="0" quotePrefix="0" xfId="0">
      <alignment horizontal="center" vertical="top"/>
    </xf>
    <xf numFmtId="0" fontId="3" fillId="0" borderId="2" applyAlignment="1" pivotButton="0" quotePrefix="0" xfId="0">
      <alignment horizontal="left" vertical="top" wrapText="1"/>
    </xf>
    <xf numFmtId="0" fontId="3" fillId="4" borderId="2" applyAlignment="1" pivotButton="0" quotePrefix="0" xfId="0">
      <alignment horizontal="left" vertical="top" wrapText="1"/>
    </xf>
    <xf numFmtId="0" fontId="3" fillId="0" borderId="2" applyAlignment="1" pivotButton="0" quotePrefix="0" xfId="0">
      <alignment horizontal="center" vertical="center"/>
    </xf>
    <xf numFmtId="0" fontId="0" fillId="0" borderId="2" applyAlignment="1" pivotButton="0" quotePrefix="0" xfId="0">
      <alignment horizontal="center" vertical="center" wrapText="1"/>
    </xf>
    <xf numFmtId="164" fontId="0" fillId="0" borderId="2" applyAlignment="1" pivotButton="0" quotePrefix="0" xfId="0">
      <alignment horizontal="center" vertical="center" wrapText="1"/>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2" fillId="3" borderId="0" pivotButton="0" quotePrefix="0" xfId="0"/>
    <xf numFmtId="164" fontId="0" fillId="0" borderId="0" pivotButton="0" quotePrefix="0" xfId="0"/>
    <xf numFmtId="0" fontId="0" fillId="4" borderId="2" pivotButton="0" quotePrefix="0" xfId="0"/>
    <xf numFmtId="0" fontId="5" fillId="0" borderId="0" applyAlignment="1" pivotButton="0" quotePrefix="0" xfId="0">
      <alignment horizontal="left" vertical="top" wrapText="1"/>
    </xf>
    <xf numFmtId="0" fontId="5" fillId="5" borderId="0" pivotButton="0" quotePrefix="0" xfId="0"/>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E7E6E6"/>
          <b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5" customWidth="1" min="1" max="1"/>
    <col width="90" customWidth="1" min="2" max="2"/>
  </cols>
  <sheetData>
    <row r="1">
      <c r="A1" s="1" t="inlineStr">
        <is>
          <t>ISMS Control A.8.28.4 - Third-Party &amp; OSS Assessment Instructions</t>
        </is>
      </c>
    </row>
    <row r="3">
      <c r="A3" s="2" t="inlineStr">
        <is>
          <t>1. ASSESSMENT OVERVIEW</t>
        </is>
      </c>
    </row>
    <row r="4" ht="200" customHeight="1">
      <c r="A4" s="3" t="inlineStr">
        <is>
          <t>This assessment evaluates your organization's management of third-party dependencies, open source software (OSS), vendor-provided components, and external code integrations.
Supply chain security is critical - major breaches like SolarWinds, Log4Shell, and Codecov exploited weaknesses in third-party software management. This assessment ensures you have proper controls to prevent similar incidents.
PHILOSOPHY (Richard Feynman): "The first principle is that you must not fool yourself—and you are the easiest person to fool."
This assessment focuses on ACTUAL PRACTICES, not just documented policies. Having a vendor questionnaire ≠ vendors are secure. Having an SCA tool ≠ vulnerabilities are fixed. We verify what actually works, not what's written down.
ANTI-CARGO-CULT REMINDER: Don't just go through the motions. If you mark something "Implemented," you should be able to demonstrate it working right now. If you can't, it's "Partially Implemented" or "Not Implemented." Honesty in assessment leads to real security improvements.</t>
        </is>
      </c>
    </row>
    <row r="6">
      <c r="A6" s="2" t="inlineStr">
        <is>
          <t>2. ASSESSMENT DOMAINS (90 Requirements Total)</t>
        </is>
      </c>
    </row>
    <row r="7" ht="280" customHeight="1">
      <c r="A7" s="3" t="inlineStr">
        <is>
          <t>This assessment covers 5 domains with 18 requirements each:
DOMAIN 1: VENDOR SECURITY ASSESSMENT (Sheet: Vendor_Security_Assessment)
- Focus: Vendor due diligence, contracts, access controls, risk management
- Key Question: Do we know which vendors have access to our systems/data and are they secure?
- Common Pitfall: Vendor onboarding without security review (blind trust)
DOMAIN 2: OPEN SOURCE SOFTWARE MANAGEMENT (Sheet: OSS_Management)
- Focus: OSS approval, inventory (SBOM), license tracking, abandoned dependencies
- Key Question: Do we maintain an accurate inventory of all open source dependencies?
- Common Pitfall: "npm install" without review, no SBOM, stale dependencies ignored
DOMAIN 3: DEPENDENCY VULNERABILITY MANAGEMENT (Sheet: Dependency_Vulnerability_Mgmt)
- Focus: SCA tools, vulnerability detection, remediation SLAs, lockfiles
- Key Question: Are dependencies scanned for vulnerabilities and patched within SLAs?
- Common Pitfall: Ignoring SCA tool alerts, no SLA for patching (Log4Shell scenarios)
DOMAIN 4: THIRD-PARTY CODE REVIEW &amp; INTEGRATION (Sheet: Third_Party_Code_Review)
- Focus: Integration security, API assessment, package integrity, supply chain attacks
- Key Question: Are third-party integrations security reviewed before production?
- Common Pitfall: Vendor code deployed without review, no package verification (typosquatting risk)
DOMAIN 5: LICENSE COMPLIANCE &amp; LEGAL RISK (Sheet: License_Compliance)
- Focus: License identification, GPL/copyleft management, legal compliance
- Key Question: Are all dependency licenses identified and compatible with our code?
- Common Pitfall: GPL contamination (mixing GPL code with proprietary), missing attribution files</t>
        </is>
      </c>
    </row>
    <row r="9">
      <c r="A9" s="2" t="inlineStr">
        <is>
          <t>3. HOW TO COMPLETE THIS ASSESSMENT</t>
        </is>
      </c>
    </row>
    <row r="10" ht="380" customHeight="1">
      <c r="A10" s="3" t="inlineStr">
        <is>
          <t>STEP 1: Review Each Domain Sheet
- Navigate to each domain sheet (Vendor_Security_Assessment, OSS_Management, etc.)
- Read each requirement carefully
- Consider the evidence examples provided
STEP 2: Assess Implementation Status
For each requirement, select the appropriate status from the dropdown in Column C:
- "Implemented" = Requirement fully met, evidence available, working as intended
- "Partially Implemented" = Requirement partially met, some gaps exist
- "Not Implemented" = Requirement not met, significant gaps
- "N/A" = Requirement not applicable to your environment (use sparingly)
STEP 3: Document Evidence (Column D)
Provide specific evidence references:
- Good: "Vendor security policy v2.1 approved 15.03.2024, SharePoint link: [URL]"
- Good: "Snyk SCA scans in CI/CD, see Jenkins pipeline config line 45"
- Bad: "We have this"
- Bad: "Compliant"
STEP 4: Add Comments/Context (Column E)
Use this for:
- Clarifying partial implementations
- Noting planned improvements
- Explaining N/A selections
- Documenting compensating controls
STEP 5: Track Evidence (Evidence_Register Sheet)
- Log all evidence in the centralized Evidence Register
- Include evidence location, owner, verification status
- This creates an audit trail
STEP 6: Identify Gaps (Gap_Analysis Sheet)
- For "Not Implemented" or "Partially Implemented" items, create a gap entry
- Assign owner, target date, remediation plan
- Track gap closure
STEP 7: Review Summary (Summary_Dashboard Sheet)
- Check overall compliance percentage
- Review domain-specific compliance
- Identify highest-risk gaps
STEP 8: Obtain Approval (Approval_Sign_Off Sheet)
- Submit completed assessment for review
- Obtain signatures from required approvers
- Archive completed workbook</t>
        </is>
      </c>
    </row>
    <row r="12">
      <c r="A12" s="2" t="inlineStr">
        <is>
          <t>4. EVIDENCE REQUIREMENTS &amp; EXAMPLES</t>
        </is>
      </c>
    </row>
    <row r="13" ht="320" customHeight="1">
      <c r="A13" s="3" t="inlineStr">
        <is>
          <t>WHAT MAKES GOOD EVIDENCE?
GOOD Evidence Characteristics:
✓ Specific: References exact documents, systems, or configurations
✓ Verifiable: Can be independently validated by an auditor
✓ Current: Recent evidence (within last 12 months for most items)
✓ Traceable: Clear location/link/reference provided
EVIDENCE TYPE EXAMPLES:
Policy Documents: "Vendor Security Assessment Policy v1.2, approved 10.01.2025, stored at: SharePoint/Policies/Vendor_Security.pdf"
Tool Configurations: "Snyk SCA integration, see GitHub Actions workflow: .github/workflows/security-scan.yml, lines 25-40"
Scan Reports: "Dependency scan report dated 05.01.2025, 147 dependencies scanned, 3 high vulnerabilities found, see Jenkins build #1234"
Process Evidence: "OSS approval workflow in JIRA, project key: SEC, approval workflow screenshot dated 03.01.2025"
Contracts: "Vendor contract with Acme Corp, executed 12.11.2024, security clauses Section 8.1-8.5, contract ID: VC-2024-045"
Logs/Records: "Vendor access review completed 20.12.2024, 12 vendors reviewed, access log export attached"
Metrics/Dashboards: "SCA vulnerability remediation dashboard, MTTR = 4.2 days for critical vulns, dashboard URL: [internal]"
BAD Evidence (Avoid These):
✗ "We do this" - Not specific, not verifiable
✗ "Compliant" - Meaningless without details
✗ "Yes" - Provides no evidence reference
✗ "See attached" - Without clear file reference
✗ "It's in the system" - Which system? Where?</t>
        </is>
      </c>
    </row>
    <row r="15">
      <c r="A15" s="2" t="inlineStr">
        <is>
          <t>5. ANTI-CARGO-CULT: COMMON FALSE POSITIVES</t>
        </is>
      </c>
    </row>
    <row r="16" ht="340" customHeight="1">
      <c r="A16" s="3" t="inlineStr">
        <is>
          <t>These look like "Implemented" but often aren't (be honest!):
❌ "We have a vendor questionnaire" ≠ Vendors are secure
Reality Check: Do you validate questionnaire answers? Are they tailored to risk level? Do you follow up on concerning responses? If you just file them away, mark "Partially Implemented."
❌ "We scan for vulnerabilities" ≠ Vulnerabilities are fixed
Reality Check: What's your mean time to remediate critical vulns? Are SLAs actually met? Or do you have 500 unaddressed findings? Scanning without remediation is theater.
❌ "We track licenses" ≠ License compliance
Reality Check: Do you remediate violations? Is legal involved in GPL decisions? Are attribution files actually maintained? Or is it just a report nobody reads?
❌ "We have an OSS policy" ≠ OSS is managed
Reality Check: Is the approval process enforced? Do teams bypass it? Is your SBOM accurate and complete? Or is the policy a dusty PDF?
❌ "We use lockfiles" ≠ Dependencies are pinned
Reality Check: Are lockfiles checked into version control? Are they generated automatically? Or do developers delete them when they cause conflicts?
❌ "We review vendor contracts" ≠ Contracts have security requirements
Reality Check: Do contracts actually include security clauses? Or is it just boilerplate with no enforcement? Can you show me the security sections?
❌ "Developers know about security" ≠ Security is practiced
Reality Check: Do developers actually follow secure coding practices? Or did they attend one training and forget it? Evidence speaks louder than assumptions.
FEYNMAN'S CHALLENGE: "What I cannot create, I do not understand."
If you can't demonstrate the control working RIGHT NOW, you don't have the control. Be honest with yourself.</t>
        </is>
      </c>
    </row>
    <row r="18">
      <c r="A18" s="2" t="inlineStr">
        <is>
          <t>6. SCORING GUIDANCE &amp; SUCCESS CRITERIA</t>
        </is>
      </c>
    </row>
    <row r="19" ht="380" customHeight="1">
      <c r="A19" s="3" t="inlineStr">
        <is>
          <t>COMPLIANCE CALCULATION:
Compliance % = (Implemented + Partially Implemented × 0.5) / (Total Requirements - N/A) × 100
Example: Domain has 18 requirements
- 10 Implemented = 10 points
- 4 Partially Implemented = 2 points (4 × 0.5)
- 3 Not Implemented = 0 points
- 1 N/A = excluded from calculation
- Compliance % = (10 + 2) / (18 - 1) × 100 = 70.6%
TARGET COMPLIANCE LEVELS:
- Overall Assessment: ≥ 70% (minimum acceptable)
- Vendor Security Assessment: ≥ 65% (contracts take time)
- OSS Management: ≥ 75% (foundational requirement)
- Dependency Vulnerability Mgmt: ≥ 80% (critical for security)
- Third-Party Code Review: ≥ 65% (depends on complexity)
- License Compliance: ≥ 70% (legal requirement)
MATURITY ROADMAP:
Year 1 (Initial): 70-75% overall compliance - Basic controls in place
Year 2 (Optimization): 80-85% overall compliance - Controls effective and measurable
Year 3+ (Mature): 90%+ overall compliance - Continuous improvement culture
CRITICAL REQUIREMENTS (Must be "Implemented"):
These cannot be "Partially Implemented" or "Not Implemented" regardless of overall score:
- O-04: OSS inventory maintained (SBOM) - You must know what you're running
- D-02: SCA scans run automatically - Manual scans don't scale
- D-06: Critical vulnerabilities &lt;7 day SLA - Log4Shell cannot wait 30 days
- L-04: All dependency licenses identified - Ignorance is not a legal defense
- L-07: License compatibility assessed - GPL contamination is expensive to fix
RED FLAGS (Immediate CISO Escalation):
- No OSS inventory (SBOM) exists - You're flying blind
- No SCA tool deployed - Vulnerabilities are invisible
- Critical vulnerabilities &gt;30 days unpatched - Active exploitation risk
- GPL contamination discovered (GPL + proprietary code) - Legal liability
- Vendor breach involving company data - Incident response required</t>
        </is>
      </c>
    </row>
    <row r="21">
      <c r="A21" s="2" t="inlineStr">
        <is>
          <t>7. RESOURCES &amp; CONTACTS</t>
        </is>
      </c>
    </row>
    <row r="22" ht="200" customHeight="1">
      <c r="A22" s="3" t="inlineStr">
        <is>
          <t>ASSESSMENT SUPPORT:
- Application Security Lead: [Contact details]
- CISO Office: [Contact details]
- Legal Counsel (License Compliance): [Contact details]
- Procurement (Vendor Contracts): [Contact details]
RELATED POLICIES &amp; DOCUMENTS:
- ISMS-POL-A.8.28 - Secure Coding Policy (Master Policy)
- ISMS-POL-A.8.28-S2.4 - Third-Party &amp; OSS Management Policy
- ISMS-IMP-A.8.28.1 - SDLC Assessment
- ISMS-IMP-A.8.28.2 - Standards &amp; Tools Assessment
INDUSTRY FRAMEWORKS:
- SLSA (Supply-chain Levels for Software Artifacts): https://slsa.dev
- NIST SSDF (Secure Software Development Framework): NIST SP 800-218
- OWASP Dependency-Check: https://owasp.org/www-project-dependency-check/
- CycloneDX SBOM Standard: https://cyclonedx.org
QUESTIONS OR ISSUES?
Contact the Application Security team or use the assessment feedback mechanism.</t>
        </is>
      </c>
    </row>
    <row r="24">
      <c r="A24" s="4" t="inlineStr">
        <is>
          <t>END OF INSTRUCTIONS - Proceed to Domain Assessment Sheets</t>
        </is>
      </c>
    </row>
  </sheetData>
  <mergeCells count="16">
    <mergeCell ref="A4:B4"/>
    <mergeCell ref="A21:B21"/>
    <mergeCell ref="A16:B16"/>
    <mergeCell ref="A24:B24"/>
    <mergeCell ref="A15:B15"/>
    <mergeCell ref="A7:B7"/>
    <mergeCell ref="A19:B19"/>
    <mergeCell ref="A10:B10"/>
    <mergeCell ref="A13:B13"/>
    <mergeCell ref="A1:B1"/>
    <mergeCell ref="A18:B18"/>
    <mergeCell ref="A9:B9"/>
    <mergeCell ref="A3:B3"/>
    <mergeCell ref="A6:B6"/>
    <mergeCell ref="A22:B22"/>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1: Vendor Security Assessment</t>
        </is>
      </c>
    </row>
    <row r="2">
      <c r="A2" s="6" t="inlineStr">
        <is>
          <t>Assessment Date:</t>
        </is>
      </c>
      <c r="C2" s="7" t="inlineStr">
        <is>
          <t>08.02.2026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V-01</t>
        </is>
      </c>
      <c r="B4" s="10" t="inlineStr">
        <is>
          <t>Vendor security assessment policy exists and is approved
Evidence Examples: Policy document, approval signatures, policy publication records</t>
        </is>
      </c>
      <c r="C4" s="11" t="n"/>
      <c r="D4" s="11" t="n"/>
      <c r="E4" s="11" t="n"/>
      <c r="F4" s="12">
        <f>IF(C4="Implemented","✓",IF(C4="Partially Implemented","◐",IF(C4="Not Implemented","✗",IF(C4="N/A","—",""))))</f>
        <v/>
      </c>
    </row>
    <row r="5" ht="60" customHeight="1">
      <c r="A5" s="9" t="inlineStr">
        <is>
          <t>V-02</t>
        </is>
      </c>
      <c r="B5" s="10" t="inlineStr">
        <is>
          <t>Security questionnaire sent to all vendors before onboarding
Evidence Examples: Questionnaire templates, completed questionnaires, vendor onboarding records</t>
        </is>
      </c>
      <c r="C5" s="11" t="n"/>
      <c r="D5" s="11" t="n"/>
      <c r="E5" s="11" t="n"/>
      <c r="F5" s="12">
        <f>IF(C5="Implemented","✓",IF(C5="Partially Implemented","◐",IF(C5="Not Implemented","✗",IF(C5="N/A","—",""))))</f>
        <v/>
      </c>
    </row>
    <row r="6" ht="60" customHeight="1">
      <c r="A6" s="9" t="inlineStr">
        <is>
          <t>V-03</t>
        </is>
      </c>
      <c r="B6" s="10" t="inlineStr">
        <is>
          <t>Vendor risk classification framework implemented (High/Medium/Low tiers)
Evidence Examples: Risk classification matrix, vendor tier assignments, risk scoring methodology</t>
        </is>
      </c>
      <c r="C6" s="11" t="n"/>
      <c r="D6" s="11" t="n"/>
      <c r="E6" s="11" t="n"/>
      <c r="F6" s="12">
        <f>IF(C6="Implemented","✓",IF(C6="Partially Implemented","◐",IF(C6="Not Implemented","✗",IF(C6="N/A","—",""))))</f>
        <v/>
      </c>
    </row>
    <row r="7" ht="60" customHeight="1">
      <c r="A7" s="9" t="inlineStr">
        <is>
          <t>V-04</t>
        </is>
      </c>
      <c r="B7" s="10" t="inlineStr">
        <is>
          <t>Contract security requirements defined for all vendors
Evidence Examples: Contract templates with security clauses, executed vendor contracts</t>
        </is>
      </c>
      <c r="C7" s="11" t="n"/>
      <c r="D7" s="11" t="n"/>
      <c r="E7" s="11" t="n"/>
      <c r="F7" s="12">
        <f>IF(C7="Implemented","✓",IF(C7="Partially Implemented","◐",IF(C7="Not Implemented","✗",IF(C7="N/A","—",""))))</f>
        <v/>
      </c>
    </row>
    <row r="8" ht="60" customHeight="1">
      <c r="A8" s="9" t="inlineStr">
        <is>
          <t>V-05</t>
        </is>
      </c>
      <c r="B8" s="10" t="inlineStr">
        <is>
          <t>Data protection requirements specified in vendor contracts (DPAs, data handling)
Evidence Examples: Contract sections on data handling, Data Processing Agreements (DPAs), privacy clauses</t>
        </is>
      </c>
      <c r="C8" s="11" t="n"/>
      <c r="D8" s="11" t="n"/>
      <c r="E8" s="11" t="n"/>
      <c r="F8" s="12">
        <f>IF(C8="Implemented","✓",IF(C8="Partially Implemented","◐",IF(C8="Not Implemented","✗",IF(C8="N/A","—",""))))</f>
        <v/>
      </c>
    </row>
    <row r="9" ht="60" customHeight="1">
      <c r="A9" s="9" t="inlineStr">
        <is>
          <t>V-06</t>
        </is>
      </c>
      <c r="B9" s="10" t="inlineStr">
        <is>
          <t>Incident response coordination requirements included in vendor contracts
Evidence Examples: Incident notification SLAs, contact procedures, escalation paths in contracts</t>
        </is>
      </c>
      <c r="C9" s="11" t="n"/>
      <c r="D9" s="11" t="n"/>
      <c r="E9" s="11" t="n"/>
      <c r="F9" s="12">
        <f>IF(C9="Implemented","✓",IF(C9="Partially Implemented","◐",IF(C9="Not Implemented","✗",IF(C9="N/A","—",""))))</f>
        <v/>
      </c>
    </row>
    <row r="10" ht="60" customHeight="1">
      <c r="A10" s="9" t="inlineStr">
        <is>
          <t>V-07</t>
        </is>
      </c>
      <c r="B10" s="10" t="inlineStr">
        <is>
          <t>Vendor access controls documented and enforced (least privilege)
Evidence Examples: Access logs, permission matrices, SSO configurations, access request records</t>
        </is>
      </c>
      <c r="C10" s="11" t="n"/>
      <c r="D10" s="11" t="n"/>
      <c r="E10" s="11" t="n"/>
      <c r="F10" s="12">
        <f>IF(C10="Implemented","✓",IF(C10="Partially Implemented","◐",IF(C10="Not Implemented","✗",IF(C10="N/A","—",""))))</f>
        <v/>
      </c>
    </row>
    <row r="11" ht="60" customHeight="1">
      <c r="A11" s="9" t="inlineStr">
        <is>
          <t>V-08</t>
        </is>
      </c>
      <c r="B11" s="10" t="inlineStr">
        <is>
          <t>Vendor accounts follow least privilege principle (minimal necessary permissions)
Evidence Examples: Access reviews, role definitions, permission audits, access justifications</t>
        </is>
      </c>
      <c r="C11" s="11" t="n"/>
      <c r="D11" s="11" t="n"/>
      <c r="E11" s="11" t="n"/>
      <c r="F11" s="12">
        <f>IF(C11="Implemented","✓",IF(C11="Partially Implemented","◐",IF(C11="Not Implemented","✗",IF(C11="N/A","—",""))))</f>
        <v/>
      </c>
    </row>
    <row r="12" ht="60" customHeight="1">
      <c r="A12" s="9" t="inlineStr">
        <is>
          <t>V-09</t>
        </is>
      </c>
      <c r="B12" s="10" t="inlineStr">
        <is>
          <t>Vendor access reviewed regularly (quarterly for high-risk vendors)
Evidence Examples: Access review reports, approval records, review meeting notes, access certification logs</t>
        </is>
      </c>
      <c r="C12" s="11" t="n"/>
      <c r="D12" s="11" t="n"/>
      <c r="E12" s="11" t="n"/>
      <c r="F12" s="12">
        <f>IF(C12="Implemented","✓",IF(C12="Partially Implemented","◐",IF(C12="Not Implemented","✗",IF(C12="N/A","—",""))))</f>
        <v/>
      </c>
    </row>
    <row r="13" ht="60" customHeight="1">
      <c r="A13" s="9" t="inlineStr">
        <is>
          <t>V-10</t>
        </is>
      </c>
      <c r="B13" s="10" t="inlineStr">
        <is>
          <t>High-risk vendors undergo annual comprehensive security reviews
Evidence Examples: Review meeting notes, security assessment reports, vendor scorecards, review schedules</t>
        </is>
      </c>
      <c r="C13" s="11" t="n"/>
      <c r="D13" s="11" t="n"/>
      <c r="E13" s="11" t="n"/>
      <c r="F13" s="12">
        <f>IF(C13="Implemented","✓",IF(C13="Partially Implemented","◐",IF(C13="Not Implemented","✗",IF(C13="N/A","—",""))))</f>
        <v/>
      </c>
    </row>
    <row r="14" ht="60" customHeight="1">
      <c r="A14" s="9" t="inlineStr">
        <is>
          <t>V-11</t>
        </is>
      </c>
      <c r="B14" s="10" t="inlineStr">
        <is>
          <t>Vendor security incidents tracked and reviewed (lessons learned)
Evidence Examples: Incident logs, post-mortem reports, lessons learned documents, remediation plans</t>
        </is>
      </c>
      <c r="C14" s="11" t="n"/>
      <c r="D14" s="11" t="n"/>
      <c r="E14" s="11" t="n"/>
      <c r="F14" s="12">
        <f>IF(C14="Implemented","✓",IF(C14="Partially Implemented","◐",IF(C14="Not Implemented","✗",IF(C14="N/A","—",""))))</f>
        <v/>
      </c>
    </row>
    <row r="15" ht="60" customHeight="1">
      <c r="A15" s="9" t="inlineStr">
        <is>
          <t>V-12</t>
        </is>
      </c>
      <c r="B15" s="10" t="inlineStr">
        <is>
          <t>Vendor security posture monitored (security ratings, breach notifications)
Evidence Examples: Security rating subscriptions (BitSight, SecurityScorecard), monitoring reports, breach alerts</t>
        </is>
      </c>
      <c r="C15" s="11" t="n"/>
      <c r="D15" s="11" t="n"/>
      <c r="E15" s="11" t="n"/>
      <c r="F15" s="12">
        <f>IF(C15="Implemented","✓",IF(C15="Partially Implemented","◐",IF(C15="Not Implemented","✗",IF(C15="N/A","—",""))))</f>
        <v/>
      </c>
    </row>
    <row r="16" ht="60" customHeight="1">
      <c r="A16" s="9" t="inlineStr">
        <is>
          <t>V-13</t>
        </is>
      </c>
      <c r="B16" s="10" t="inlineStr">
        <is>
          <t>Vendor SOC 2 / ISO 27001 compliance verified where applicable
Evidence Examples: SOC 2 Type II reports, ISO 27001 certificates, attestation letters, compliance verification</t>
        </is>
      </c>
      <c r="C16" s="11" t="n"/>
      <c r="D16" s="11" t="n"/>
      <c r="E16" s="11" t="n"/>
      <c r="F16" s="12">
        <f>IF(C16="Implemented","✓",IF(C16="Partially Implemented","◐",IF(C16="Not Implemented","✗",IF(C16="N/A","—",""))))</f>
        <v/>
      </c>
    </row>
    <row r="17" ht="60" customHeight="1">
      <c r="A17" s="9" t="inlineStr">
        <is>
          <t>V-14</t>
        </is>
      </c>
      <c r="B17" s="10" t="inlineStr">
        <is>
          <t>Vendor data retention and deletion requirements specified in contracts
Evidence Examples: Contract data handling clauses, data deletion procedures, retention schedules</t>
        </is>
      </c>
      <c r="C17" s="11" t="n"/>
      <c r="D17" s="11" t="n"/>
      <c r="E17" s="11" t="n"/>
      <c r="F17" s="12">
        <f>IF(C17="Implemented","✓",IF(C17="Partially Implemented","◐",IF(C17="Not Implemented","✗",IF(C17="N/A","—",""))))</f>
        <v/>
      </c>
    </row>
    <row r="18" ht="60" customHeight="1">
      <c r="A18" s="9" t="inlineStr">
        <is>
          <t>V-15</t>
        </is>
      </c>
      <c r="B18" s="10" t="inlineStr">
        <is>
          <t>Vendor security questionnaire responses validated (not blindly accepted)
Evidence Examples: Validation notes, follow-up correspondence, independent verification evidence</t>
        </is>
      </c>
      <c r="C18" s="11" t="n"/>
      <c r="D18" s="11" t="n"/>
      <c r="E18" s="11" t="n"/>
      <c r="F18" s="12">
        <f>IF(C18="Implemented","✓",IF(C18="Partially Implemented","◐",IF(C18="Not Implemented","✗",IF(C18="N/A","—",""))))</f>
        <v/>
      </c>
    </row>
    <row r="19" ht="60" customHeight="1">
      <c r="A19" s="9" t="inlineStr">
        <is>
          <t>V-16</t>
        </is>
      </c>
      <c r="B19" s="10" t="inlineStr">
        <is>
          <t>Vendor offboarding process includes security checklist (access revocation, data return)
Evidence Examples: Offboarding checklists, access revocation logs, data deletion certificates</t>
        </is>
      </c>
      <c r="C19" s="11" t="n"/>
      <c r="D19" s="11" t="n"/>
      <c r="E19" s="11" t="n"/>
      <c r="F19" s="12">
        <f>IF(C19="Implemented","✓",IF(C19="Partially Implemented","◐",IF(C19="Not Implemented","✗",IF(C19="N/A","—",""))))</f>
        <v/>
      </c>
    </row>
    <row r="20" ht="60" customHeight="1">
      <c r="A20" s="9" t="inlineStr">
        <is>
          <t>V-17</t>
        </is>
      </c>
      <c r="B20" s="10" t="inlineStr">
        <is>
          <t>Critical vendors have business continuity plans reviewed and tested
Evidence Examples: BCP documents, disaster recovery plans, BCP test results, failover procedures</t>
        </is>
      </c>
      <c r="C20" s="11" t="n"/>
      <c r="D20" s="11" t="n"/>
      <c r="E20" s="11" t="n"/>
      <c r="F20" s="12">
        <f>IF(C20="Implemented","✓",IF(C20="Partially Implemented","◐",IF(C20="Not Implemented","✗",IF(C20="N/A","—",""))))</f>
        <v/>
      </c>
    </row>
    <row r="21" ht="60" customHeight="1">
      <c r="A21" s="9" t="inlineStr">
        <is>
          <t>V-18</t>
        </is>
      </c>
      <c r="B21" s="10" t="inlineStr">
        <is>
          <t>Vendor security metrics tracked (% compliant vendors, review completion rates)
Evidence Examples: Vendor compliance dashboard, metrics reports, KPI tracking, trend analysis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2: Open Source Software Management</t>
        </is>
      </c>
    </row>
    <row r="2">
      <c r="A2" s="6" t="inlineStr">
        <is>
          <t>Assessment Date:</t>
        </is>
      </c>
      <c r="C2" s="7" t="inlineStr">
        <is>
          <t>08.02.2026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O-01</t>
        </is>
      </c>
      <c r="B4" s="10" t="inlineStr">
        <is>
          <t>OSS usage policy exists and is approved (defines acceptable OSS practices)
Evidence Examples: OSS policy document, approval signatures, policy distribution records</t>
        </is>
      </c>
      <c r="C4" s="11" t="n"/>
      <c r="D4" s="11" t="n"/>
      <c r="E4" s="11" t="n"/>
      <c r="F4" s="12">
        <f>IF(C4="Implemented","✓",IF(C4="Partially Implemented","◐",IF(C4="Not Implemented","✗",IF(C4="N/A","—",""))))</f>
        <v/>
      </c>
    </row>
    <row r="5" ht="60" customHeight="1">
      <c r="A5" s="9" t="inlineStr">
        <is>
          <t>O-02</t>
        </is>
      </c>
      <c r="B5" s="10" t="inlineStr">
        <is>
          <t>OSS approval workflow defined (request → review → approve process)
Evidence Examples: Workflow documentation, JIRA/ServiceNow workflow configs, process diagrams</t>
        </is>
      </c>
      <c r="C5" s="11" t="n"/>
      <c r="D5" s="11" t="n"/>
      <c r="E5" s="11" t="n"/>
      <c r="F5" s="12">
        <f>IF(C5="Implemented","✓",IF(C5="Partially Implemented","◐",IF(C5="Not Implemented","✗",IF(C5="N/A","—",""))))</f>
        <v/>
      </c>
    </row>
    <row r="6" ht="60" customHeight="1">
      <c r="A6" s="9" t="inlineStr">
        <is>
          <t>O-03</t>
        </is>
      </c>
      <c r="B6" s="10" t="inlineStr">
        <is>
          <t>OSS approval process enforced before production use (not bypassed)
Evidence Examples: Approval tickets, process audit logs, enforcement metrics, compliance reports</t>
        </is>
      </c>
      <c r="C6" s="11" t="n"/>
      <c r="D6" s="11" t="n"/>
      <c r="E6" s="11" t="n"/>
      <c r="F6" s="12">
        <f>IF(C6="Implemented","✓",IF(C6="Partially Implemented","◐",IF(C6="Not Implemented","✗",IF(C6="N/A","—",""))))</f>
        <v/>
      </c>
    </row>
    <row r="7" ht="60" customHeight="1">
      <c r="A7" s="9" t="inlineStr">
        <is>
          <t>O-04</t>
        </is>
      </c>
      <c r="B7" s="10" t="inlineStr">
        <is>
          <t>OSS inventory maintained (SBOM) for all applications and services
Evidence Examples: SBOM exports (CycloneDX, SPDX format), inventory databases, dependency manifests</t>
        </is>
      </c>
      <c r="C7" s="11" t="n"/>
      <c r="D7" s="11" t="n"/>
      <c r="E7" s="11" t="n"/>
      <c r="F7" s="12">
        <f>IF(C7="Implemented","✓",IF(C7="Partially Implemented","◐",IF(C7="Not Implemented","✗",IF(C7="N/A","—",""))))</f>
        <v/>
      </c>
    </row>
    <row r="8" ht="60" customHeight="1">
      <c r="A8" s="9" t="inlineStr">
        <is>
          <t>O-05</t>
        </is>
      </c>
      <c r="B8" s="10" t="inlineStr">
        <is>
          <t>SBOM generated automatically in CI/CD pipeline (not manual)
Evidence Examples: CI/CD pipeline configs, build logs showing SBOM generation, automation scripts</t>
        </is>
      </c>
      <c r="C8" s="11" t="n"/>
      <c r="D8" s="11" t="n"/>
      <c r="E8" s="11" t="n"/>
      <c r="F8" s="12">
        <f>IF(C8="Implemented","✓",IF(C8="Partially Implemented","◐",IF(C8="Not Implemented","✗",IF(C8="N/A","—",""))))</f>
        <v/>
      </c>
    </row>
    <row r="9" ht="60" customHeight="1">
      <c r="A9" s="9" t="inlineStr">
        <is>
          <t>O-06</t>
        </is>
      </c>
      <c r="B9" s="10" t="inlineStr">
        <is>
          <t>OSS components tracked with specific version numbers (not version ranges)
Evidence Examples: Dependency manifests (package.json, requirements.txt, pom.xml), lockfiles</t>
        </is>
      </c>
      <c r="C9" s="11" t="n"/>
      <c r="D9" s="11" t="n"/>
      <c r="E9" s="11" t="n"/>
      <c r="F9" s="12">
        <f>IF(C9="Implemented","✓",IF(C9="Partially Implemented","◐",IF(C9="Not Implemented","✗",IF(C9="N/A","—",""))))</f>
        <v/>
      </c>
    </row>
    <row r="10" ht="60" customHeight="1">
      <c r="A10" s="9" t="inlineStr">
        <is>
          <t>O-07</t>
        </is>
      </c>
      <c r="B10" s="10" t="inlineStr">
        <is>
          <t>Transitive dependencies identified and tracked (dependencies of dependencies)
Evidence Examples: Dependency tree reports, SCA tool outputs showing full dependency graph</t>
        </is>
      </c>
      <c r="C10" s="11" t="n"/>
      <c r="D10" s="11" t="n"/>
      <c r="E10" s="11" t="n"/>
      <c r="F10" s="12">
        <f>IF(C10="Implemented","✓",IF(C10="Partially Implemented","◐",IF(C10="Not Implemented","✗",IF(C10="N/A","—",""))))</f>
        <v/>
      </c>
    </row>
    <row r="11" ht="60" customHeight="1">
      <c r="A11" s="9" t="inlineStr">
        <is>
          <t>O-08</t>
        </is>
      </c>
      <c r="B11" s="10" t="inlineStr">
        <is>
          <t>OSS license information captured in inventory for all dependencies
Evidence Examples: License scan reports, SBOM license fields, license identification logs</t>
        </is>
      </c>
      <c r="C11" s="11" t="n"/>
      <c r="D11" s="11" t="n"/>
      <c r="E11" s="11" t="n"/>
      <c r="F11" s="12">
        <f>IF(C11="Implemented","✓",IF(C11="Partially Implemented","◐",IF(C11="Not Implemented","✗",IF(C11="N/A","—",""))))</f>
        <v/>
      </c>
    </row>
    <row r="12" ht="60" customHeight="1">
      <c r="A12" s="9" t="inlineStr">
        <is>
          <t>O-09</t>
        </is>
      </c>
      <c r="B12" s="10" t="inlineStr">
        <is>
          <t>Abandoned/unmaintained OSS detected and tracked (staleness monitoring)
Evidence Examples: Dependency staleness reports, EOL (end-of-life) tracking, maintainer activity checks</t>
        </is>
      </c>
      <c r="C12" s="11" t="n"/>
      <c r="D12" s="11" t="n"/>
      <c r="E12" s="11" t="n"/>
      <c r="F12" s="12">
        <f>IF(C12="Implemented","✓",IF(C12="Partially Implemented","◐",IF(C12="Not Implemented","✗",IF(C12="N/A","—",""))))</f>
        <v/>
      </c>
    </row>
    <row r="13" ht="60" customHeight="1">
      <c r="A13" s="9" t="inlineStr">
        <is>
          <t>O-10</t>
        </is>
      </c>
      <c r="B13" s="10" t="inlineStr">
        <is>
          <t>OSS update policy defines acceptable staleness thresholds (e.g., &lt;6 months since last update)
Evidence Examples: Policy document with staleness thresholds, update frequency requirements</t>
        </is>
      </c>
      <c r="C13" s="11" t="n"/>
      <c r="D13" s="11" t="n"/>
      <c r="E13" s="11" t="n"/>
      <c r="F13" s="12">
        <f>IF(C13="Implemented","✓",IF(C13="Partially Implemented","◐",IF(C13="Not Implemented","✗",IF(C13="N/A","—",""))))</f>
        <v/>
      </c>
    </row>
    <row r="14" ht="60" customHeight="1">
      <c r="A14" s="9" t="inlineStr">
        <is>
          <t>O-11</t>
        </is>
      </c>
      <c r="B14" s="10" t="inlineStr">
        <is>
          <t>OSS components reviewed for security before approval (not rubber-stamped)
Evidence Examples: Security review checklists, approval criteria, security assessment notes</t>
        </is>
      </c>
      <c r="C14" s="11" t="n"/>
      <c r="D14" s="11" t="n"/>
      <c r="E14" s="11" t="n"/>
      <c r="F14" s="12">
        <f>IF(C14="Implemented","✓",IF(C14="Partially Implemented","◐",IF(C14="Not Implemented","✗",IF(C14="N/A","—",""))))</f>
        <v/>
      </c>
    </row>
    <row r="15" ht="60" customHeight="1">
      <c r="A15" s="9" t="inlineStr">
        <is>
          <t>O-12</t>
        </is>
      </c>
      <c r="B15" s="10" t="inlineStr">
        <is>
          <t>Restricted licenses flagged during approval process (GPL, AGPL, SSPL)
Evidence Examples: License allowlist/blocklist, flagging rules in approval workflow, legal review triggers</t>
        </is>
      </c>
      <c r="C15" s="11" t="n"/>
      <c r="D15" s="11" t="n"/>
      <c r="E15" s="11" t="n"/>
      <c r="F15" s="12">
        <f>IF(C15="Implemented","✓",IF(C15="Partially Implemented","◐",IF(C15="Not Implemented","✗",IF(C15="N/A","—",""))))</f>
        <v/>
      </c>
    </row>
    <row r="16" ht="60" customHeight="1">
      <c r="A16" s="9" t="inlineStr">
        <is>
          <t>O-13</t>
        </is>
      </c>
      <c r="B16" s="10" t="inlineStr">
        <is>
          <t>OSS alternatives evaluated before approval (build vs. buy vs. OSS decision)
Evidence Examples: Evaluation notes, decision records, alternative analysis documents</t>
        </is>
      </c>
      <c r="C16" s="11" t="n"/>
      <c r="D16" s="11" t="n"/>
      <c r="E16" s="11" t="n"/>
      <c r="F16" s="12">
        <f>IF(C16="Implemented","✓",IF(C16="Partially Implemented","◐",IF(C16="Not Implemented","✗",IF(C16="N/A","—",""))))</f>
        <v/>
      </c>
    </row>
    <row r="17" ht="60" customHeight="1">
      <c r="A17" s="9" t="inlineStr">
        <is>
          <t>O-14</t>
        </is>
      </c>
      <c r="B17" s="10" t="inlineStr">
        <is>
          <t>OSS contribution guidelines exist if organization contributes to OSS projects
Evidence Examples: Contribution policy, CLA (Contributor License Agreement) templates, approval process</t>
        </is>
      </c>
      <c r="C17" s="11" t="n"/>
      <c r="D17" s="11" t="n"/>
      <c r="E17" s="11" t="n"/>
      <c r="F17" s="12">
        <f>IF(C17="Implemented","✓",IF(C17="Partially Implemented","◐",IF(C17="Not Implemented","✗",IF(C17="N/A","—",""))))</f>
        <v/>
      </c>
    </row>
    <row r="18" ht="60" customHeight="1">
      <c r="A18" s="9" t="inlineStr">
        <is>
          <t>O-15</t>
        </is>
      </c>
      <c r="B18" s="10" t="inlineStr">
        <is>
          <t>OSS forks minimized and justified (upstream contributions preferred)
Evidence Examples: Fork justifications, upstream contribution plans, fork maintenance records</t>
        </is>
      </c>
      <c r="C18" s="11" t="n"/>
      <c r="D18" s="11" t="n"/>
      <c r="E18" s="11" t="n"/>
      <c r="F18" s="12">
        <f>IF(C18="Implemented","✓",IF(C18="Partially Implemented","◐",IF(C18="Not Implemented","✗",IF(C18="N/A","—",""))))</f>
        <v/>
      </c>
    </row>
    <row r="19" ht="60" customHeight="1">
      <c r="A19" s="9" t="inlineStr">
        <is>
          <t>O-16</t>
        </is>
      </c>
      <c r="B19" s="10" t="inlineStr">
        <is>
          <t>OSS components with known high-risk maintainers flagged for review
Evidence Examples: Maintainer reputation checks, risk assessments, red flag criteria</t>
        </is>
      </c>
      <c r="C19" s="11" t="n"/>
      <c r="D19" s="11" t="n"/>
      <c r="E19" s="11" t="n"/>
      <c r="F19" s="12">
        <f>IF(C19="Implemented","✓",IF(C19="Partially Implemented","◐",IF(C19="Not Implemented","✗",IF(C19="N/A","—",""))))</f>
        <v/>
      </c>
    </row>
    <row r="20" ht="60" customHeight="1">
      <c r="A20" s="9" t="inlineStr">
        <is>
          <t>O-17</t>
        </is>
      </c>
      <c r="B20" s="10" t="inlineStr">
        <is>
          <t>OSS inventory reviewed regularly (quarterly minimum) for accuracy
Evidence Examples: Inventory review reports, approval records, accuracy audit logs</t>
        </is>
      </c>
      <c r="C20" s="11" t="n"/>
      <c r="D20" s="11" t="n"/>
      <c r="E20" s="11" t="n"/>
      <c r="F20" s="12">
        <f>IF(C20="Implemented","✓",IF(C20="Partially Implemented","◐",IF(C20="Not Implemented","✗",IF(C20="N/A","—",""))))</f>
        <v/>
      </c>
    </row>
    <row r="21" ht="60" customHeight="1">
      <c r="A21" s="9" t="inlineStr">
        <is>
          <t>O-18</t>
        </is>
      </c>
      <c r="B21" s="10" t="inlineStr">
        <is>
          <t>OSS metrics tracked (% approved components, inventory coverage, SBOM completeness)
Evidence Examples: OSS compliance dashboard, metrics reports, KPI tracking</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3: Dependency Vulnerability Management</t>
        </is>
      </c>
    </row>
    <row r="2">
      <c r="A2" s="6" t="inlineStr">
        <is>
          <t>Assessment Date:</t>
        </is>
      </c>
      <c r="C2" s="7" t="inlineStr">
        <is>
          <t>08.02.2026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D-01</t>
        </is>
      </c>
      <c r="B4" s="10" t="inlineStr">
        <is>
          <t>SCA (Software Composition Analysis) tool deployed and scanning dependencies
Evidence Examples: SCA tool configurations (Snyk, Dependabot, WhiteSource, Sonatype), deployment records</t>
        </is>
      </c>
      <c r="C4" s="11" t="n"/>
      <c r="D4" s="11" t="n"/>
      <c r="E4" s="11" t="n"/>
      <c r="F4" s="12">
        <f>IF(C4="Implemented","✓",IF(C4="Partially Implemented","◐",IF(C4="Not Implemented","✗",IF(C4="N/A","—",""))))</f>
        <v/>
      </c>
    </row>
    <row r="5" ht="60" customHeight="1">
      <c r="A5" s="9" t="inlineStr">
        <is>
          <t>D-02</t>
        </is>
      </c>
      <c r="B5" s="10" t="inlineStr">
        <is>
          <t>SCA scans run automatically on every build/commit (not manual)
Evidence Examples: CI/CD pipeline configs, scan logs, automation evidence, build failure logs</t>
        </is>
      </c>
      <c r="C5" s="11" t="n"/>
      <c r="D5" s="11" t="n"/>
      <c r="E5" s="11" t="n"/>
      <c r="F5" s="12">
        <f>IF(C5="Implemented","✓",IF(C5="Partially Implemented","◐",IF(C5="Not Implemented","✗",IF(C5="N/A","—",""))))</f>
        <v/>
      </c>
    </row>
    <row r="6" ht="60" customHeight="1">
      <c r="A6" s="9" t="inlineStr">
        <is>
          <t>D-03</t>
        </is>
      </c>
      <c r="B6" s="10" t="inlineStr">
        <is>
          <t>SCA tool integrated with developer workflow (IDE plugins, PR checks)
Evidence Examples: IDE plugin configurations, PR check results, developer tool screenshots</t>
        </is>
      </c>
      <c r="C6" s="11" t="n"/>
      <c r="D6" s="11" t="n"/>
      <c r="E6" s="11" t="n"/>
      <c r="F6" s="12">
        <f>IF(C6="Implemented","✓",IF(C6="Partially Implemented","◐",IF(C6="Not Implemented","✗",IF(C6="N/A","—",""))))</f>
        <v/>
      </c>
    </row>
    <row r="7" ht="60" customHeight="1">
      <c r="A7" s="9" t="inlineStr">
        <is>
          <t>D-04</t>
        </is>
      </c>
      <c r="B7" s="10" t="inlineStr">
        <is>
          <t>Vulnerability alerts delivered to responsible teams (not ignored)
Evidence Examples: Alert routing configurations, notification logs, Slack/email integrations</t>
        </is>
      </c>
      <c r="C7" s="11" t="n"/>
      <c r="D7" s="11" t="n"/>
      <c r="E7" s="11" t="n"/>
      <c r="F7" s="12">
        <f>IF(C7="Implemented","✓",IF(C7="Partially Implemented","◐",IF(C7="Not Implemented","✗",IF(C7="N/A","—",""))))</f>
        <v/>
      </c>
    </row>
    <row r="8" ht="60" customHeight="1">
      <c r="A8" s="9" t="inlineStr">
        <is>
          <t>D-05</t>
        </is>
      </c>
      <c r="B8" s="10" t="inlineStr">
        <is>
          <t>Vulnerability remediation SLAs defined by severity (Critical/High/Medium/Low)
Evidence Examples: SLA policy document, severity definitions, remediation timelines</t>
        </is>
      </c>
      <c r="C8" s="11" t="n"/>
      <c r="D8" s="11" t="n"/>
      <c r="E8" s="11" t="n"/>
      <c r="F8" s="12">
        <f>IF(C8="Implemented","✓",IF(C8="Partially Implemented","◐",IF(C8="Not Implemented","✗",IF(C8="N/A","—",""))))</f>
        <v/>
      </c>
    </row>
    <row r="9" ht="60" customHeight="1">
      <c r="A9" s="9" t="inlineStr">
        <is>
          <t>D-06</t>
        </is>
      </c>
      <c r="B9" s="10" t="inlineStr">
        <is>
          <t>Critical vulnerabilities have &lt;7 day remediation SLA (e.g., Log4Shell scenarios)
Evidence Examples: SLA policy with critical timelines, compliance tracking, escalation procedures</t>
        </is>
      </c>
      <c r="C9" s="11" t="n"/>
      <c r="D9" s="11" t="n"/>
      <c r="E9" s="11" t="n"/>
      <c r="F9" s="12">
        <f>IF(C9="Implemented","✓",IF(C9="Partially Implemented","◐",IF(C9="Not Implemented","✗",IF(C9="N/A","—",""))))</f>
        <v/>
      </c>
    </row>
    <row r="10" ht="60" customHeight="1">
      <c r="A10" s="9" t="inlineStr">
        <is>
          <t>D-07</t>
        </is>
      </c>
      <c r="B10" s="10" t="inlineStr">
        <is>
          <t>High vulnerabilities have &lt;30 day remediation SLA
Evidence Examples: SLA policy with high severity timelines, tracking metrics, compliance reports</t>
        </is>
      </c>
      <c r="C10" s="11" t="n"/>
      <c r="D10" s="11" t="n"/>
      <c r="E10" s="11" t="n"/>
      <c r="F10" s="12">
        <f>IF(C10="Implemented","✓",IF(C10="Partially Implemented","◐",IF(C10="Not Implemented","✗",IF(C10="N/A","—",""))))</f>
        <v/>
      </c>
    </row>
    <row r="11" ht="60" customHeight="1">
      <c r="A11" s="9" t="inlineStr">
        <is>
          <t>D-08</t>
        </is>
      </c>
      <c r="B11" s="10" t="inlineStr">
        <is>
          <t>Vulnerability triage process documented (risk assessment, prioritization)
Evidence Examples: Triage workflow documentation, decision criteria, risk scoring methodology</t>
        </is>
      </c>
      <c r="C11" s="11" t="n"/>
      <c r="D11" s="11" t="n"/>
      <c r="E11" s="11" t="n"/>
      <c r="F11" s="12">
        <f>IF(C11="Implemented","✓",IF(C11="Partially Implemented","◐",IF(C11="Not Implemented","✗",IF(C11="N/A","—",""))))</f>
        <v/>
      </c>
    </row>
    <row r="12" ht="60" customHeight="1">
      <c r="A12" s="9" t="inlineStr">
        <is>
          <t>D-09</t>
        </is>
      </c>
      <c r="B12" s="10" t="inlineStr">
        <is>
          <t>False positives documented with suppression justification (not silently ignored)
Evidence Examples: Suppression records, justification notes, approval logs, suppression review process</t>
        </is>
      </c>
      <c r="C12" s="11" t="n"/>
      <c r="D12" s="11" t="n"/>
      <c r="E12" s="11" t="n"/>
      <c r="F12" s="12">
        <f>IF(C12="Implemented","✓",IF(C12="Partially Implemented","◐",IF(C12="Not Implemented","✗",IF(C12="N/A","—",""))))</f>
        <v/>
      </c>
    </row>
    <row r="13" ht="60" customHeight="1">
      <c r="A13" s="9" t="inlineStr">
        <is>
          <t>D-10</t>
        </is>
      </c>
      <c r="B13" s="10" t="inlineStr">
        <is>
          <t>Dependency update process documented (testing requirements, rollback plans)
Evidence Examples: Update procedures, testing requirements, rollback documentation, change management</t>
        </is>
      </c>
      <c r="C13" s="11" t="n"/>
      <c r="D13" s="11" t="n"/>
      <c r="E13" s="11" t="n"/>
      <c r="F13" s="12">
        <f>IF(C13="Implemented","✓",IF(C13="Partially Implemented","◐",IF(C13="Not Implemented","✗",IF(C13="N/A","—",""))))</f>
        <v/>
      </c>
    </row>
    <row r="14" ht="60" customHeight="1">
      <c r="A14" s="9" t="inlineStr">
        <is>
          <t>D-11</t>
        </is>
      </c>
      <c r="B14" s="10" t="inlineStr">
        <is>
          <t>Dependency updates tested before production deployment (not YOLO updates)
Evidence Examples: Test results, staging environment logs, regression test evidence, QA sign-offs</t>
        </is>
      </c>
      <c r="C14" s="11" t="n"/>
      <c r="D14" s="11" t="n"/>
      <c r="E14" s="11" t="n"/>
      <c r="F14" s="12">
        <f>IF(C14="Implemented","✓",IF(C14="Partially Implemented","◐",IF(C14="Not Implemented","✗",IF(C14="N/A","—",""))))</f>
        <v/>
      </c>
    </row>
    <row r="15" ht="60" customHeight="1">
      <c r="A15" s="9" t="inlineStr">
        <is>
          <t>D-12</t>
        </is>
      </c>
      <c r="B15" s="10" t="inlineStr">
        <is>
          <t>Transitive dependency vulnerabilities addressed (not just direct dependencies)
Evidence Examples: Transitive vulnerability remediation records, dependency tree analysis, patch logs</t>
        </is>
      </c>
      <c r="C15" s="11" t="n"/>
      <c r="D15" s="11" t="n"/>
      <c r="E15" s="11" t="n"/>
      <c r="F15" s="12">
        <f>IF(C15="Implemented","✓",IF(C15="Partially Implemented","◐",IF(C15="Not Implemented","✗",IF(C15="N/A","—",""))))</f>
        <v/>
      </c>
    </row>
    <row r="16" ht="60" customHeight="1">
      <c r="A16" s="9" t="inlineStr">
        <is>
          <t>D-13</t>
        </is>
      </c>
      <c r="B16" s="10" t="inlineStr">
        <is>
          <t>Dependency pinning used (lockfiles required: package-lock.json, Pipfile.lock, etc.)
Evidence Examples: Lockfile examples, policy enforcement, CI/CD checks for lockfile presence</t>
        </is>
      </c>
      <c r="C16" s="11" t="n"/>
      <c r="D16" s="11" t="n"/>
      <c r="E16" s="11" t="n"/>
      <c r="F16" s="12">
        <f>IF(C16="Implemented","✓",IF(C16="Partially Implemented","◐",IF(C16="Not Implemented","✗",IF(C16="N/A","—",""))))</f>
        <v/>
      </c>
    </row>
    <row r="17" ht="60" customHeight="1">
      <c r="A17" s="9" t="inlineStr">
        <is>
          <t>D-14</t>
        </is>
      </c>
      <c r="B17" s="10" t="inlineStr">
        <is>
          <t>Dependency version ranges minimized (avoid wildcards like '^1.0.0' or '~1.0.0')
Evidence Examples: Dependency manifests showing pinned versions, policy on version ranges</t>
        </is>
      </c>
      <c r="C17" s="11" t="n"/>
      <c r="D17" s="11" t="n"/>
      <c r="E17" s="11" t="n"/>
      <c r="F17" s="12">
        <f>IF(C17="Implemented","✓",IF(C17="Partially Implemented","◐",IF(C17="Not Implemented","✗",IF(C17="N/A","—",""))))</f>
        <v/>
      </c>
    </row>
    <row r="18" ht="60" customHeight="1">
      <c r="A18" s="9" t="inlineStr">
        <is>
          <t>D-15</t>
        </is>
      </c>
      <c r="B18" s="10" t="inlineStr">
        <is>
          <t>Emergency patching process for critical vulnerabilities (Log4Shell-style response plan)
Evidence Examples: Emergency response plans, drill records, war room procedures, communication plans</t>
        </is>
      </c>
      <c r="C18" s="11" t="n"/>
      <c r="D18" s="11" t="n"/>
      <c r="E18" s="11" t="n"/>
      <c r="F18" s="12">
        <f>IF(C18="Implemented","✓",IF(C18="Partially Implemented","◐",IF(C18="Not Implemented","✗",IF(C18="N/A","—",""))))</f>
        <v/>
      </c>
    </row>
    <row r="19" ht="60" customHeight="1">
      <c r="A19" s="9" t="inlineStr">
        <is>
          <t>D-16</t>
        </is>
      </c>
      <c r="B19" s="10" t="inlineStr">
        <is>
          <t>Vulnerability remediation tracked with metrics (MTTR, remediation rates)
Evidence Examples: Remediation dashboards, MTTR (Mean Time To Remediate) metrics, trend reports</t>
        </is>
      </c>
      <c r="C19" s="11" t="n"/>
      <c r="D19" s="11" t="n"/>
      <c r="E19" s="11" t="n"/>
      <c r="F19" s="12">
        <f>IF(C19="Implemented","✓",IF(C19="Partially Implemented","◐",IF(C19="Not Implemented","✗",IF(C19="N/A","—",""))))</f>
        <v/>
      </c>
    </row>
    <row r="20" ht="60" customHeight="1">
      <c r="A20" s="9" t="inlineStr">
        <is>
          <t>D-17</t>
        </is>
      </c>
      <c r="B20" s="10" t="inlineStr">
        <is>
          <t>Unpatched vulnerabilities require formal risk acceptance (no silent ignoring)
Evidence Examples: Risk acceptance forms, approval signatures, risk register, acceptance expiry tracking</t>
        </is>
      </c>
      <c r="C20" s="11" t="n"/>
      <c r="D20" s="11" t="n"/>
      <c r="E20" s="11" t="n"/>
      <c r="F20" s="12">
        <f>IF(C20="Implemented","✓",IF(C20="Partially Implemented","◐",IF(C20="Not Implemented","✗",IF(C20="N/A","—",""))))</f>
        <v/>
      </c>
    </row>
    <row r="21" ht="60" customHeight="1">
      <c r="A21" s="9" t="inlineStr">
        <is>
          <t>D-18</t>
        </is>
      </c>
      <c r="B21" s="10" t="inlineStr">
        <is>
          <t>SCA tool effectiveness reviewed regularly (false negative testing, coverage checks)
Evidence Examples: Tool effectiveness reports, benchmark tests, false negative rate analysis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4: Third-Party Code Review &amp; Integration</t>
        </is>
      </c>
    </row>
    <row r="2">
      <c r="A2" s="6" t="inlineStr">
        <is>
          <t>Assessment Date:</t>
        </is>
      </c>
      <c r="C2" s="7" t="inlineStr">
        <is>
          <t>08.02.2026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T-01</t>
        </is>
      </c>
      <c r="B4" s="10" t="inlineStr">
        <is>
          <t>Third-party code integration policy exists (defines security review requirements)
Evidence Examples: Integration policy document, approval records, security review requirements</t>
        </is>
      </c>
      <c r="C4" s="11" t="n"/>
      <c r="D4" s="11" t="n"/>
      <c r="E4" s="11" t="n"/>
      <c r="F4" s="12">
        <f>IF(C4="Implemented","✓",IF(C4="Partially Implemented","◐",IF(C4="Not Implemented","✗",IF(C4="N/A","—",""))))</f>
        <v/>
      </c>
    </row>
    <row r="5" ht="60" customHeight="1">
      <c r="A5" s="9" t="inlineStr">
        <is>
          <t>T-02</t>
        </is>
      </c>
      <c r="B5" s="10" t="inlineStr">
        <is>
          <t>Security review required for all third-party integrations before production
Evidence Examples: Review checklists, approval workflow, integration assessment records</t>
        </is>
      </c>
      <c r="C5" s="11" t="n"/>
      <c r="D5" s="11" t="n"/>
      <c r="E5" s="11" t="n"/>
      <c r="F5" s="12">
        <f>IF(C5="Implemented","✓",IF(C5="Partially Implemented","◐",IF(C5="Not Implemented","✗",IF(C5="N/A","—",""))))</f>
        <v/>
      </c>
    </row>
    <row r="6" ht="60" customHeight="1">
      <c r="A6" s="9" t="inlineStr">
        <is>
          <t>T-03</t>
        </is>
      </c>
      <c r="B6" s="10" t="inlineStr">
        <is>
          <t>Third-party APIs assessed for security risks (authentication, authorization, data exposure)
Evidence Examples: API security assessments, risk ratings, vulnerability scan results</t>
        </is>
      </c>
      <c r="C6" s="11" t="n"/>
      <c r="D6" s="11" t="n"/>
      <c r="E6" s="11" t="n"/>
      <c r="F6" s="12">
        <f>IF(C6="Implemented","✓",IF(C6="Partially Implemented","◐",IF(C6="Not Implemented","✗",IF(C6="N/A","—",""))))</f>
        <v/>
      </c>
    </row>
    <row r="7" ht="60" customHeight="1">
      <c r="A7" s="9" t="inlineStr">
        <is>
          <t>T-04</t>
        </is>
      </c>
      <c r="B7" s="10" t="inlineStr">
        <is>
          <t>API authentication mechanisms reviewed (OAuth, API keys, mutual TLS)
Evidence Examples: Authentication config reviews, security assessment notes, credential management</t>
        </is>
      </c>
      <c r="C7" s="11" t="n"/>
      <c r="D7" s="11" t="n"/>
      <c r="E7" s="11" t="n"/>
      <c r="F7" s="12">
        <f>IF(C7="Implemented","✓",IF(C7="Partially Implemented","◐",IF(C7="Not Implemented","✗",IF(C7="N/A","—",""))))</f>
        <v/>
      </c>
    </row>
    <row r="8" ht="60" customHeight="1">
      <c r="A8" s="9" t="inlineStr">
        <is>
          <t>T-05</t>
        </is>
      </c>
      <c r="B8" s="10" t="inlineStr">
        <is>
          <t>API authorization controls verified (least privilege, scope limitations)
Evidence Examples: Authorization testing results, access reviews, scope definitions, permission audits</t>
        </is>
      </c>
      <c r="C8" s="11" t="n"/>
      <c r="D8" s="11" t="n"/>
      <c r="E8" s="11" t="n"/>
      <c r="F8" s="12">
        <f>IF(C8="Implemented","✓",IF(C8="Partially Implemented","◐",IF(C8="Not Implemented","✗",IF(C8="N/A","—",""))))</f>
        <v/>
      </c>
    </row>
    <row r="9" ht="60" customHeight="1">
      <c r="A9" s="9" t="inlineStr">
        <is>
          <t>T-06</t>
        </is>
      </c>
      <c r="B9" s="10" t="inlineStr">
        <is>
          <t>Third-party API rate limiting and abuse prevention assessed
Evidence Examples: Rate limiting configurations, abuse detection logs, throttling evidence</t>
        </is>
      </c>
      <c r="C9" s="11" t="n"/>
      <c r="D9" s="11" t="n"/>
      <c r="E9" s="11" t="n"/>
      <c r="F9" s="12">
        <f>IF(C9="Implemented","✓",IF(C9="Partially Implemented","◐",IF(C9="Not Implemented","✗",IF(C9="N/A","—",""))))</f>
        <v/>
      </c>
    </row>
    <row r="10" ht="60" customHeight="1">
      <c r="A10" s="9" t="inlineStr">
        <is>
          <t>T-07</t>
        </is>
      </c>
      <c r="B10" s="10" t="inlineStr">
        <is>
          <t>SDK/library source code reviewed where feasible (especially for critical dependencies)
Evidence Examples: Code review reports, static analysis results, security findings</t>
        </is>
      </c>
      <c r="C10" s="11" t="n"/>
      <c r="D10" s="11" t="n"/>
      <c r="E10" s="11" t="n"/>
      <c r="F10" s="12">
        <f>IF(C10="Implemented","✓",IF(C10="Partially Implemented","◐",IF(C10="Not Implemented","✗",IF(C10="N/A","—",""))))</f>
        <v/>
      </c>
    </row>
    <row r="11" ht="60" customHeight="1">
      <c r="A11" s="9" t="inlineStr">
        <is>
          <t>T-08</t>
        </is>
      </c>
      <c r="B11" s="10" t="inlineStr">
        <is>
          <t>Third-party container images scanned for vulnerabilities (Trivy, Clair, etc.)
Evidence Examples: Container scan reports, vulnerability findings, remediation evidence</t>
        </is>
      </c>
      <c r="C11" s="11" t="n"/>
      <c r="D11" s="11" t="n"/>
      <c r="E11" s="11" t="n"/>
      <c r="F11" s="12">
        <f>IF(C11="Implemented","✓",IF(C11="Partially Implemented","◐",IF(C11="Not Implemented","✗",IF(C11="N/A","—",""))))</f>
        <v/>
      </c>
    </row>
    <row r="12" ht="60" customHeight="1">
      <c r="A12" s="9" t="inlineStr">
        <is>
          <t>T-09</t>
        </is>
      </c>
      <c r="B12" s="10" t="inlineStr">
        <is>
          <t>Container base images from trusted sources only (official registries, verified publishers)
Evidence Examples: Image provenance records, registry configurations, trusted source lists</t>
        </is>
      </c>
      <c r="C12" s="11" t="n"/>
      <c r="D12" s="11" t="n"/>
      <c r="E12" s="11" t="n"/>
      <c r="F12" s="12">
        <f>IF(C12="Implemented","✓",IF(C12="Partially Implemented","◐",IF(C12="Not Implemented","✗",IF(C12="N/A","—",""))))</f>
        <v/>
      </c>
    </row>
    <row r="13" ht="60" customHeight="1">
      <c r="A13" s="9" t="inlineStr">
        <is>
          <t>T-10</t>
        </is>
      </c>
      <c r="B13" s="10" t="inlineStr">
        <is>
          <t>Package integrity verified before installation (checksums, GPG signatures)
Evidence Examples: Package verification configurations (GPG setup, SHA256 checks), verification logs</t>
        </is>
      </c>
      <c r="C13" s="11" t="n"/>
      <c r="D13" s="11" t="n"/>
      <c r="E13" s="11" t="n"/>
      <c r="F13" s="12">
        <f>IF(C13="Implemented","✓",IF(C13="Partially Implemented","◐",IF(C13="Not Implemented","✗",IF(C13="N/A","—",""))))</f>
        <v/>
      </c>
    </row>
    <row r="14" ht="60" customHeight="1">
      <c r="A14" s="9" t="inlineStr">
        <is>
          <t>T-11</t>
        </is>
      </c>
      <c r="B14" s="10" t="inlineStr">
        <is>
          <t>Package manager security features enabled (npm audit, pip-audit, bundler-audit)
Evidence Examples: Package manager configurations, audit command integration, CI/CD security checks</t>
        </is>
      </c>
      <c r="C14" s="11" t="n"/>
      <c r="D14" s="11" t="n"/>
      <c r="E14" s="11" t="n"/>
      <c r="F14" s="12">
        <f>IF(C14="Implemented","✓",IF(C14="Partially Implemented","◐",IF(C14="Not Implemented","✗",IF(C14="N/A","—",""))))</f>
        <v/>
      </c>
    </row>
    <row r="15" ht="60" customHeight="1">
      <c r="A15" s="9" t="inlineStr">
        <is>
          <t>T-12</t>
        </is>
      </c>
      <c r="B15" s="10" t="inlineStr">
        <is>
          <t>Typosquatting protection implemented (package name validation, allowlists)
Evidence Examples: Package allowlists, validation rules, namespace protection, monitoring alerts</t>
        </is>
      </c>
      <c r="C15" s="11" t="n"/>
      <c r="D15" s="11" t="n"/>
      <c r="E15" s="11" t="n"/>
      <c r="F15" s="12">
        <f>IF(C15="Implemented","✓",IF(C15="Partially Implemented","◐",IF(C15="Not Implemented","✗",IF(C15="N/A","—",""))))</f>
        <v/>
      </c>
    </row>
    <row r="16" ht="60" customHeight="1">
      <c r="A16" s="9" t="inlineStr">
        <is>
          <t>T-13</t>
        </is>
      </c>
      <c r="B16" s="10" t="inlineStr">
        <is>
          <t>Third-party code isolated from critical systems (sandboxing, containerization)
Evidence Examples: Architecture diagrams, isolation configurations, namespace separation, security boundaries</t>
        </is>
      </c>
      <c r="C16" s="11" t="n"/>
      <c r="D16" s="11" t="n"/>
      <c r="E16" s="11" t="n"/>
      <c r="F16" s="12">
        <f>IF(C16="Implemented","✓",IF(C16="Partially Implemented","◐",IF(C16="Not Implemented","✗",IF(C16="N/A","—",""))))</f>
        <v/>
      </c>
    </row>
    <row r="17" ht="60" customHeight="1">
      <c r="A17" s="9" t="inlineStr">
        <is>
          <t>T-14</t>
        </is>
      </c>
      <c r="B17" s="10" t="inlineStr">
        <is>
          <t>Vendor-provided code deployed with least privilege (minimal permissions)
Evidence Examples: Permission configurations, role definitions, privilege audits, access reviews</t>
        </is>
      </c>
      <c r="C17" s="11" t="n"/>
      <c r="D17" s="11" t="n"/>
      <c r="E17" s="11" t="n"/>
      <c r="F17" s="12">
        <f>IF(C17="Implemented","✓",IF(C17="Partially Implemented","◐",IF(C17="Not Implemented","✗",IF(C17="N/A","—",""))))</f>
        <v/>
      </c>
    </row>
    <row r="18" ht="60" customHeight="1">
      <c r="A18" s="9" t="inlineStr">
        <is>
          <t>T-15</t>
        </is>
      </c>
      <c r="B18" s="10" t="inlineStr">
        <is>
          <t>Code escrow agreements in place for critical vendors (optional, for business continuity)
Evidence Examples: Escrow agreements, escrow deposit verification, code access procedures</t>
        </is>
      </c>
      <c r="C18" s="11" t="n"/>
      <c r="D18" s="11" t="n"/>
      <c r="E18" s="11" t="n"/>
      <c r="F18" s="12">
        <f>IF(C18="Implemented","✓",IF(C18="Partially Implemented","◐",IF(C18="Not Implemented","✗",IF(C18="N/A","—",""))))</f>
        <v/>
      </c>
    </row>
    <row r="19" ht="60" customHeight="1">
      <c r="A19" s="9" t="inlineStr">
        <is>
          <t>T-16</t>
        </is>
      </c>
      <c r="B19" s="10" t="inlineStr">
        <is>
          <t>Third-party integration monitoring in place (API calls, error rates, anomalies)
Evidence Examples: Integration logs, monitoring dashboards, alert configurations, anomaly detection</t>
        </is>
      </c>
      <c r="C19" s="11" t="n"/>
      <c r="D19" s="11" t="n"/>
      <c r="E19" s="11" t="n"/>
      <c r="F19" s="12">
        <f>IF(C19="Implemented","✓",IF(C19="Partially Implemented","◐",IF(C19="Not Implemented","✗",IF(C19="N/A","—",""))))</f>
        <v/>
      </c>
    </row>
    <row r="20" ht="60" customHeight="1">
      <c r="A20" s="9" t="inlineStr">
        <is>
          <t>T-17</t>
        </is>
      </c>
      <c r="B20" s="10" t="inlineStr">
        <is>
          <t>Supply chain attack mitigations documented (dependency confusion, typosquatting, compromised packages)
Evidence Examples: Mitigation strategies, security controls, attack surface analysis, prevention measures</t>
        </is>
      </c>
      <c r="C20" s="11" t="n"/>
      <c r="D20" s="11" t="n"/>
      <c r="E20" s="11" t="n"/>
      <c r="F20" s="12">
        <f>IF(C20="Implemented","✓",IF(C20="Partially Implemented","◐",IF(C20="Not Implemented","✗",IF(C20="N/A","—",""))))</f>
        <v/>
      </c>
    </row>
    <row r="21" ht="60" customHeight="1">
      <c r="A21" s="9" t="inlineStr">
        <is>
          <t>T-18</t>
        </is>
      </c>
      <c r="B21" s="10" t="inlineStr">
        <is>
          <t>Third-party integration security reviewed regularly (annual reviews minimum)
Evidence Examples: Integration review reports, approval records, security reassessments, audit logs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5: License Compliance &amp; Legal Risk</t>
        </is>
      </c>
    </row>
    <row r="2">
      <c r="A2" s="6" t="inlineStr">
        <is>
          <t>Assessment Date:</t>
        </is>
      </c>
      <c r="C2" s="7" t="inlineStr">
        <is>
          <t>08.02.2026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L-01</t>
        </is>
      </c>
      <c r="B4" s="10" t="inlineStr">
        <is>
          <t>License compliance policy exists and is approved by legal counsel
Evidence Examples: Policy document, legal approval signatures, policy distribution records</t>
        </is>
      </c>
      <c r="C4" s="11" t="n"/>
      <c r="D4" s="11" t="n"/>
      <c r="E4" s="11" t="n"/>
      <c r="F4" s="12">
        <f>IF(C4="Implemented","✓",IF(C4="Partially Implemented","◐",IF(C4="Not Implemented","✗",IF(C4="N/A","—",""))))</f>
        <v/>
      </c>
    </row>
    <row r="5" ht="60" customHeight="1">
      <c r="A5" s="9" t="inlineStr">
        <is>
          <t>L-02</t>
        </is>
      </c>
      <c r="B5" s="10" t="inlineStr">
        <is>
          <t>License scanning tool deployed (FOSSA, Black Duck, WhiteSource, etc.)
Evidence Examples: License scan tool configurations, deployment records, integration evidence</t>
        </is>
      </c>
      <c r="C5" s="11" t="n"/>
      <c r="D5" s="11" t="n"/>
      <c r="E5" s="11" t="n"/>
      <c r="F5" s="12">
        <f>IF(C5="Implemented","✓",IF(C5="Partially Implemented","◐",IF(C5="Not Implemented","✗",IF(C5="N/A","—",""))))</f>
        <v/>
      </c>
    </row>
    <row r="6" ht="60" customHeight="1">
      <c r="A6" s="9" t="inlineStr">
        <is>
          <t>L-03</t>
        </is>
      </c>
      <c r="B6" s="10" t="inlineStr">
        <is>
          <t>License scans run automatically on every build (not manual/ad-hoc)
Evidence Examples: CI/CD configurations, scan logs, build pipeline evidence, automation scripts</t>
        </is>
      </c>
      <c r="C6" s="11" t="n"/>
      <c r="D6" s="11" t="n"/>
      <c r="E6" s="11" t="n"/>
      <c r="F6" s="12">
        <f>IF(C6="Implemented","✓",IF(C6="Partially Implemented","◐",IF(C6="Not Implemented","✗",IF(C6="N/A","—",""))))</f>
        <v/>
      </c>
    </row>
    <row r="7" ht="60" customHeight="1">
      <c r="A7" s="9" t="inlineStr">
        <is>
          <t>L-04</t>
        </is>
      </c>
      <c r="B7" s="10" t="inlineStr">
        <is>
          <t>All dependency licenses identified and tracked (no unknown licenses)
Evidence Examples: License scan reports, SBOM license data, license inventory, unknown license alerts</t>
        </is>
      </c>
      <c r="C7" s="11" t="n"/>
      <c r="D7" s="11" t="n"/>
      <c r="E7" s="11" t="n"/>
      <c r="F7" s="12">
        <f>IF(C7="Implemented","✓",IF(C7="Partially Implemented","◐",IF(C7="Not Implemented","✗",IF(C7="N/A","—",""))))</f>
        <v/>
      </c>
    </row>
    <row r="8" ht="60" customHeight="1">
      <c r="A8" s="9" t="inlineStr">
        <is>
          <t>L-05</t>
        </is>
      </c>
      <c r="B8" s="10" t="inlineStr">
        <is>
          <t>License allowlist and blocklist defined (approved vs. restricted licenses)
Evidence Examples: Allowlist/blocklist documents, approval criteria, legal guidance, license policies</t>
        </is>
      </c>
      <c r="C8" s="11" t="n"/>
      <c r="D8" s="11" t="n"/>
      <c r="E8" s="11" t="n"/>
      <c r="F8" s="12">
        <f>IF(C8="Implemented","✓",IF(C8="Partially Implemented","◐",IF(C8="Not Implemented","✗",IF(C8="N/A","—",""))))</f>
        <v/>
      </c>
    </row>
    <row r="9" ht="60" customHeight="1">
      <c r="A9" s="9" t="inlineStr">
        <is>
          <t>L-06</t>
        </is>
      </c>
      <c r="B9" s="10" t="inlineStr">
        <is>
          <t>Copyleft licenses flagged for legal review (GPL, AGPL, MPL, EPL)
Evidence Examples: Flagging rules in scan tools, legal review records, copyleft license alerts</t>
        </is>
      </c>
      <c r="C9" s="11" t="n"/>
      <c r="D9" s="11" t="n"/>
      <c r="E9" s="11" t="n"/>
      <c r="F9" s="12">
        <f>IF(C9="Implemented","✓",IF(C9="Partially Implemented","◐",IF(C9="Not Implemented","✗",IF(C9="N/A","—",""))))</f>
        <v/>
      </c>
    </row>
    <row r="10" ht="60" customHeight="1">
      <c r="A10" s="9" t="inlineStr">
        <is>
          <t>L-07</t>
        </is>
      </c>
      <c r="B10" s="10" t="inlineStr">
        <is>
          <t>License compatibility assessed (GPL + proprietary conflicts detected)
Evidence Examples: Compatibility matrix, conflict reports, license interaction analysis, legal opinions</t>
        </is>
      </c>
      <c r="C10" s="11" t="n"/>
      <c r="D10" s="11" t="n"/>
      <c r="E10" s="11" t="n"/>
      <c r="F10" s="12">
        <f>IF(C10="Implemented","✓",IF(C10="Partially Implemented","◐",IF(C10="Not Implemented","✗",IF(C10="N/A","—",""))))</f>
        <v/>
      </c>
    </row>
    <row r="11" ht="60" customHeight="1">
      <c r="A11" s="9" t="inlineStr">
        <is>
          <t>L-08</t>
        </is>
      </c>
      <c r="B11" s="10" t="inlineStr">
        <is>
          <t>Viral license contamination prevented (GPL/AGPL code isolated from proprietary code)
Evidence Examples: Isolation strategies, architecture reviews, code segregation, legal firewalls</t>
        </is>
      </c>
      <c r="C11" s="11" t="n"/>
      <c r="D11" s="11" t="n"/>
      <c r="E11" s="11" t="n"/>
      <c r="F11" s="12">
        <f>IF(C11="Implemented","✓",IF(C11="Partially Implemented","◐",IF(C11="Not Implemented","✗",IF(C11="N/A","—",""))))</f>
        <v/>
      </c>
    </row>
    <row r="12" ht="60" customHeight="1">
      <c r="A12" s="9" t="inlineStr">
        <is>
          <t>L-09</t>
        </is>
      </c>
      <c r="B12" s="10" t="inlineStr">
        <is>
          <t>Commercial licenses tracked with usage limits (seat counts, deployment restrictions)
Evidence Examples: License tracking system, usage reports, compliance monitoring, license renewals</t>
        </is>
      </c>
      <c r="C12" s="11" t="n"/>
      <c r="D12" s="11" t="n"/>
      <c r="E12" s="11" t="n"/>
      <c r="F12" s="12">
        <f>IF(C12="Implemented","✓",IF(C12="Partially Implemented","◐",IF(C12="Not Implemented","✗",IF(C12="N/A","—",""))))</f>
        <v/>
      </c>
    </row>
    <row r="13" ht="60" customHeight="1">
      <c r="A13" s="9" t="inlineStr">
        <is>
          <t>L-10</t>
        </is>
      </c>
      <c r="B13" s="10" t="inlineStr">
        <is>
          <t>License violation detection automated (blocklist enforcement, conflict detection)
Evidence Examples: Violation detection rules, alert configurations, automated blocking, CI/CD gates</t>
        </is>
      </c>
      <c r="C13" s="11" t="n"/>
      <c r="D13" s="11" t="n"/>
      <c r="E13" s="11" t="n"/>
      <c r="F13" s="12">
        <f>IF(C13="Implemented","✓",IF(C13="Partially Implemented","◐",IF(C13="Not Implemented","✗",IF(C13="N/A","—",""))))</f>
        <v/>
      </c>
    </row>
    <row r="14" ht="60" customHeight="1">
      <c r="A14" s="9" t="inlineStr">
        <is>
          <t>L-11</t>
        </is>
      </c>
      <c r="B14" s="10" t="inlineStr">
        <is>
          <t>License violations remediated with documented plan (not ignored)
Evidence Examples: Remediation plans, resolution records, alternative selection, legal consultation</t>
        </is>
      </c>
      <c r="C14" s="11" t="n"/>
      <c r="D14" s="11" t="n"/>
      <c r="E14" s="11" t="n"/>
      <c r="F14" s="12">
        <f>IF(C14="Implemented","✓",IF(C14="Partially Implemented","◐",IF(C14="Not Implemented","✗",IF(C14="N/A","—",""))))</f>
        <v/>
      </c>
    </row>
    <row r="15" ht="60" customHeight="1">
      <c r="A15" s="9" t="inlineStr">
        <is>
          <t>L-12</t>
        </is>
      </c>
      <c r="B15" s="10" t="inlineStr">
        <is>
          <t>Legal review required for restrictive licenses (AGPL, SSPL, Business Source License)
Evidence Examples: Legal review requests, approval records, risk assessments, legal opinions</t>
        </is>
      </c>
      <c r="C15" s="11" t="n"/>
      <c r="D15" s="11" t="n"/>
      <c r="E15" s="11" t="n"/>
      <c r="F15" s="12">
        <f>IF(C15="Implemented","✓",IF(C15="Partially Implemented","◐",IF(C15="Not Implemented","✗",IF(C15="N/A","—",""))))</f>
        <v/>
      </c>
    </row>
    <row r="16" ht="60" customHeight="1">
      <c r="A16" s="9" t="inlineStr">
        <is>
          <t>L-13</t>
        </is>
      </c>
      <c r="B16" s="10" t="inlineStr">
        <is>
          <t>Open source attribution maintained (LICENSE, NOTICE, THIRD_PARTY_LICENSES files)
Evidence Examples: Attribution files in repositories, automated generation scripts, distribution packages</t>
        </is>
      </c>
      <c r="C16" s="11" t="n"/>
      <c r="D16" s="11" t="n"/>
      <c r="E16" s="11" t="n"/>
      <c r="F16" s="12">
        <f>IF(C16="Implemented","✓",IF(C16="Partially Implemented","◐",IF(C16="Not Implemented","✗",IF(C16="N/A","—",""))))</f>
        <v/>
      </c>
    </row>
    <row r="17" ht="60" customHeight="1">
      <c r="A17" s="9" t="inlineStr">
        <is>
          <t>L-14</t>
        </is>
      </c>
      <c r="B17" s="10" t="inlineStr">
        <is>
          <t>Third-party license notices included in product distributions (legal requirement)
Evidence Examples: Distribution packages, license bundling, notice files, compliance documentation</t>
        </is>
      </c>
      <c r="C17" s="11" t="n"/>
      <c r="D17" s="11" t="n"/>
      <c r="E17" s="11" t="n"/>
      <c r="F17" s="12">
        <f>IF(C17="Implemented","✓",IF(C17="Partially Implemented","◐",IF(C17="Not Implemented","✗",IF(C17="N/A","—",""))))</f>
        <v/>
      </c>
    </row>
    <row r="18" ht="60" customHeight="1">
      <c r="A18" s="9" t="inlineStr">
        <is>
          <t>L-15</t>
        </is>
      </c>
      <c r="B18" s="10" t="inlineStr">
        <is>
          <t>License compliance verified before production release (release gate)
Evidence Examples: Release checklists, compliance sign-offs, license approval records, gate evidence</t>
        </is>
      </c>
      <c r="C18" s="11" t="n"/>
      <c r="D18" s="11" t="n"/>
      <c r="E18" s="11" t="n"/>
      <c r="F18" s="12">
        <f>IF(C18="Implemented","✓",IF(C18="Partially Implemented","◐",IF(C18="Not Implemented","✗",IF(C18="N/A","—",""))))</f>
        <v/>
      </c>
    </row>
    <row r="19" ht="60" customHeight="1">
      <c r="A19" s="9" t="inlineStr">
        <is>
          <t>L-16</t>
        </is>
      </c>
      <c r="B19" s="10" t="inlineStr">
        <is>
          <t>License audit trails maintained (license changes, approvals, violations)
Evidence Examples: Audit logs, compliance history, license change tracking, approval records</t>
        </is>
      </c>
      <c r="C19" s="11" t="n"/>
      <c r="D19" s="11" t="n"/>
      <c r="E19" s="11" t="n"/>
      <c r="F19" s="12">
        <f>IF(C19="Implemented","✓",IF(C19="Partially Implemented","◐",IF(C19="Not Implemented","✗",IF(C19="N/A","—",""))))</f>
        <v/>
      </c>
    </row>
    <row r="20" ht="60" customHeight="1">
      <c r="A20" s="9" t="inlineStr">
        <is>
          <t>L-17</t>
        </is>
      </c>
      <c r="B20" s="10" t="inlineStr">
        <is>
          <t>License compliance training provided to developers (awareness of GPL, AGPL, etc.)
Evidence Examples: Training records, completion certificates, training materials, quiz results</t>
        </is>
      </c>
      <c r="C20" s="11" t="n"/>
      <c r="D20" s="11" t="n"/>
      <c r="E20" s="11" t="n"/>
      <c r="F20" s="12">
        <f>IF(C20="Implemented","✓",IF(C20="Partially Implemented","◐",IF(C20="Not Implemented","✗",IF(C20="N/A","—",""))))</f>
        <v/>
      </c>
    </row>
    <row r="21" ht="60" customHeight="1">
      <c r="A21" s="9" t="inlineStr">
        <is>
          <t>L-18</t>
        </is>
      </c>
      <c r="B21" s="10" t="inlineStr">
        <is>
          <t>License compliance metrics tracked (% compliant, violations, legal reviews)
Evidence Examples: Compliance dashboards, metrics reports, KPI tracking, trend analysis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5" customWidth="1" min="7" max="7"/>
    <col width="15" customWidth="1" min="8" max="8"/>
  </cols>
  <sheetData>
    <row r="1">
      <c r="A1" s="1" t="inlineStr">
        <is>
          <t>Assessment Summary Dashboard</t>
        </is>
      </c>
    </row>
    <row r="3">
      <c r="A3" s="6" t="inlineStr">
        <is>
          <t>Assessment Date:</t>
        </is>
      </c>
      <c r="B3" t="inlineStr">
        <is>
          <t>08.02.2026</t>
        </is>
      </c>
      <c r="D3" s="6" t="inlineStr">
        <is>
          <t>Assessor:</t>
        </is>
      </c>
      <c r="E3" s="7" t="n"/>
    </row>
    <row r="5">
      <c r="A5" s="2" t="inlineStr">
        <is>
          <t>Domain Compliance Overview</t>
        </is>
      </c>
    </row>
    <row r="6">
      <c r="A6" s="8" t="inlineStr">
        <is>
          <t>Domain</t>
        </is>
      </c>
      <c r="B6" s="8" t="inlineStr">
        <is>
          <t>Total</t>
        </is>
      </c>
      <c r="C6" s="8" t="inlineStr">
        <is>
          <t>Impl.</t>
        </is>
      </c>
      <c r="D6" s="8" t="inlineStr">
        <is>
          <t>Partial</t>
        </is>
      </c>
      <c r="E6" s="8" t="inlineStr">
        <is>
          <t>Not Impl.</t>
        </is>
      </c>
      <c r="F6" s="8" t="inlineStr">
        <is>
          <t>N/A</t>
        </is>
      </c>
      <c r="G6" s="8" t="inlineStr">
        <is>
          <t>Compliance %</t>
        </is>
      </c>
      <c r="H6" s="8" t="inlineStr">
        <is>
          <t>Status</t>
        </is>
      </c>
    </row>
    <row r="7">
      <c r="A7" s="13" t="inlineStr">
        <is>
          <t>Vendor Security Assessment</t>
        </is>
      </c>
      <c r="B7" s="13" t="n">
        <v>18</v>
      </c>
      <c r="C7" s="13">
        <f>COUNTIF(Vendor_Security_Assessment!C4:C21,"Implemented")</f>
        <v/>
      </c>
      <c r="D7" s="13">
        <f>COUNTIF(Vendor_Security_Assessment!C4:C21,"Partially Implemented")</f>
        <v/>
      </c>
      <c r="E7" s="13">
        <f>COUNTIF(Vendor_Security_Assessment!C4:C21,"Not Implemented")</f>
        <v/>
      </c>
      <c r="F7" s="13">
        <f>COUNTIF(Vendor_Security_Assessment!C4:C21,"N/A")</f>
        <v/>
      </c>
      <c r="G7" s="14">
        <f>IF((B7-F7)=0,0,(C7+D7*0.5)/(B7-F7))</f>
        <v/>
      </c>
      <c r="H7" s="13">
        <f>IF(G7&gt;=0.8,"🟢 Green",IF(G7&gt;=0.5,"🟡 Yellow","🔴 Red"))</f>
        <v/>
      </c>
    </row>
    <row r="8">
      <c r="A8" s="13" t="inlineStr">
        <is>
          <t>OSS Management</t>
        </is>
      </c>
      <c r="B8" s="13" t="n">
        <v>18</v>
      </c>
      <c r="C8" s="13">
        <f>COUNTIF(OSS_Management!C4:C21,"Implemented")</f>
        <v/>
      </c>
      <c r="D8" s="13">
        <f>COUNTIF(OSS_Management!C4:C21,"Partially Implemented")</f>
        <v/>
      </c>
      <c r="E8" s="13">
        <f>COUNTIF(OSS_Management!C4:C21,"Not Implemented")</f>
        <v/>
      </c>
      <c r="F8" s="13">
        <f>COUNTIF(OSS_Management!C4:C21,"N/A")</f>
        <v/>
      </c>
      <c r="G8" s="14">
        <f>IF((B8-F8)=0,0,(C8+D8*0.5)/(B8-F8))</f>
        <v/>
      </c>
      <c r="H8" s="13">
        <f>IF(G8&gt;=0.8,"🟢 Green",IF(G8&gt;=0.5,"🟡 Yellow","🔴 Red"))</f>
        <v/>
      </c>
    </row>
    <row r="9">
      <c r="A9" s="13" t="inlineStr">
        <is>
          <t>Dependency Vulnerability Mgmt</t>
        </is>
      </c>
      <c r="B9" s="13" t="n">
        <v>18</v>
      </c>
      <c r="C9" s="13">
        <f>COUNTIF(Dependency_Vulnerability_Mgmt!C4:C21,"Implemented")</f>
        <v/>
      </c>
      <c r="D9" s="13">
        <f>COUNTIF(Dependency_Vulnerability_Mgmt!C4:C21,"Partially Implemented")</f>
        <v/>
      </c>
      <c r="E9" s="13">
        <f>COUNTIF(Dependency_Vulnerability_Mgmt!C4:C21,"Not Implemented")</f>
        <v/>
      </c>
      <c r="F9" s="13">
        <f>COUNTIF(Dependency_Vulnerability_Mgmt!C4:C21,"N/A")</f>
        <v/>
      </c>
      <c r="G9" s="14">
        <f>IF((B9-F9)=0,0,(C9+D9*0.5)/(B9-F9))</f>
        <v/>
      </c>
      <c r="H9" s="13">
        <f>IF(G9&gt;=0.8,"🟢 Green",IF(G9&gt;=0.5,"🟡 Yellow","🔴 Red"))</f>
        <v/>
      </c>
    </row>
    <row r="10">
      <c r="A10" s="13" t="inlineStr">
        <is>
          <t>Third-Party Code Review</t>
        </is>
      </c>
      <c r="B10" s="13" t="n">
        <v>18</v>
      </c>
      <c r="C10" s="13">
        <f>COUNTIF(Third_Party_Code_Review!C4:C21,"Implemented")</f>
        <v/>
      </c>
      <c r="D10" s="13">
        <f>COUNTIF(Third_Party_Code_Review!C4:C21,"Partially Implemented")</f>
        <v/>
      </c>
      <c r="E10" s="13">
        <f>COUNTIF(Third_Party_Code_Review!C4:C21,"Not Implemented")</f>
        <v/>
      </c>
      <c r="F10" s="13">
        <f>COUNTIF(Third_Party_Code_Review!C4:C21,"N/A")</f>
        <v/>
      </c>
      <c r="G10" s="14">
        <f>IF((B10-F10)=0,0,(C10+D10*0.5)/(B10-F10))</f>
        <v/>
      </c>
      <c r="H10" s="13">
        <f>IF(G10&gt;=0.8,"🟢 Green",IF(G10&gt;=0.5,"🟡 Yellow","🔴 Red"))</f>
        <v/>
      </c>
    </row>
    <row r="11">
      <c r="A11" s="13" t="inlineStr">
        <is>
          <t>License Compliance</t>
        </is>
      </c>
      <c r="B11" s="13" t="n">
        <v>18</v>
      </c>
      <c r="C11" s="13">
        <f>COUNTIF(License_Compliance!C4:C21,"Implemented")</f>
        <v/>
      </c>
      <c r="D11" s="13">
        <f>COUNTIF(License_Compliance!C4:C21,"Partially Implemented")</f>
        <v/>
      </c>
      <c r="E11" s="13">
        <f>COUNTIF(License_Compliance!C4:C21,"Not Implemented")</f>
        <v/>
      </c>
      <c r="F11" s="13">
        <f>COUNTIF(License_Compliance!C4:C21,"N/A")</f>
        <v/>
      </c>
      <c r="G11" s="14">
        <f>IF((B11-F11)=0,0,(C11+D11*0.5)/(B11-F11))</f>
        <v/>
      </c>
      <c r="H11" s="13">
        <f>IF(G11&gt;=0.8,"🟢 Green",IF(G11&gt;=0.5,"🟡 Yellow","🔴 Red"))</f>
        <v/>
      </c>
    </row>
    <row r="12">
      <c r="A12" s="15" t="inlineStr">
        <is>
          <t>OVERALL TOTAL</t>
        </is>
      </c>
      <c r="B12" s="15">
        <f>SUM(B7:B11)</f>
        <v/>
      </c>
      <c r="C12" s="15">
        <f>SUM(C7:C11)</f>
        <v/>
      </c>
      <c r="D12" s="15">
        <f>SUM(D7:D11)</f>
        <v/>
      </c>
      <c r="E12" s="15">
        <f>SUM(E7:E11)</f>
        <v/>
      </c>
      <c r="F12" s="15">
        <f>SUM(F7:F11)</f>
        <v/>
      </c>
      <c r="G12" s="16">
        <f>IF((B12-F12)=0,0,(C12+D12*0.5)/(B12-F12))</f>
        <v/>
      </c>
      <c r="H12" s="15">
        <f>IF(G12&gt;=0.7,"🟢 Pass","🔴 Fail")</f>
        <v/>
      </c>
    </row>
    <row r="14">
      <c r="A14" s="17" t="inlineStr">
        <is>
          <t>Key Statistics</t>
        </is>
      </c>
    </row>
    <row r="15">
      <c r="A15" s="6" t="inlineStr">
        <is>
          <t>Total Requirements:</t>
        </is>
      </c>
      <c r="B15">
        <f>B12</f>
        <v/>
      </c>
    </row>
    <row r="16">
      <c r="A16" s="6" t="inlineStr">
        <is>
          <t>Overall Compliance %:</t>
        </is>
      </c>
      <c r="B16" s="18">
        <f>G12</f>
        <v/>
      </c>
    </row>
    <row r="17">
      <c r="A17" s="6" t="inlineStr">
        <is>
          <t>Critical Gaps (Not Impl.):</t>
        </is>
      </c>
      <c r="B17">
        <f>E12</f>
        <v/>
      </c>
    </row>
    <row r="18">
      <c r="A18" s="6" t="inlineStr">
        <is>
          <t>Evidence Completeness:</t>
        </is>
      </c>
      <c r="B18">
        <f>COUNTA(Evidence_Register!D2:D200)/COUNTA(Evidence_Register!A2:A200)</f>
        <v/>
      </c>
    </row>
  </sheetData>
  <mergeCells count="3">
    <mergeCell ref="A14:H14"/>
    <mergeCell ref="A5:H5"/>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2"/>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15" customWidth="1" min="3" max="3"/>
    <col width="35" customWidth="1" min="4" max="4"/>
    <col width="12" customWidth="1" min="5" max="5"/>
    <col width="20" customWidth="1" min="6" max="6"/>
    <col width="15" customWidth="1" min="7" max="7"/>
    <col width="20" customWidth="1" min="8" max="8"/>
    <col width="12" customWidth="1" min="9" max="9"/>
    <col width="30" customWidth="1" min="10" max="10"/>
  </cols>
  <sheetData>
    <row r="1">
      <c r="A1" s="5" t="inlineStr">
        <is>
          <t>Evidence Register</t>
        </is>
      </c>
    </row>
    <row r="2">
      <c r="A2" s="8" t="inlineStr">
        <is>
          <t>Req ID</t>
        </is>
      </c>
      <c r="B2" s="8" t="inlineStr">
        <is>
          <t>Requirement Description</t>
        </is>
      </c>
      <c r="C2" s="8" t="inlineStr">
        <is>
          <t>Evidence Type</t>
        </is>
      </c>
      <c r="D2" s="8" t="inlineStr">
        <is>
          <t>Evidence Location</t>
        </is>
      </c>
      <c r="E2" s="8" t="inlineStr">
        <is>
          <t>Evidence Date</t>
        </is>
      </c>
      <c r="F2" s="8" t="inlineStr">
        <is>
          <t>Evidence Owner</t>
        </is>
      </c>
      <c r="G2" s="8" t="inlineStr">
        <is>
          <t>Verification Status</t>
        </is>
      </c>
      <c r="H2" s="8" t="inlineStr">
        <is>
          <t>Verifier Name</t>
        </is>
      </c>
      <c r="I2" s="8" t="inlineStr">
        <is>
          <t>Verification Date</t>
        </is>
      </c>
      <c r="J2" s="8" t="inlineStr">
        <is>
          <t>Notes</t>
        </is>
      </c>
    </row>
    <row r="3">
      <c r="A3" s="19" t="n"/>
      <c r="B3" s="19" t="n"/>
      <c r="C3" s="19" t="n"/>
      <c r="D3" s="19" t="n"/>
      <c r="E3" s="19" t="n"/>
      <c r="F3" s="19" t="n"/>
      <c r="G3" s="19" t="n"/>
      <c r="H3" s="19" t="n"/>
      <c r="I3" s="19" t="n"/>
      <c r="J3" s="19" t="n"/>
    </row>
    <row r="4">
      <c r="A4" s="19" t="n"/>
      <c r="B4" s="19" t="n"/>
      <c r="C4" s="19" t="n"/>
      <c r="D4" s="19" t="n"/>
      <c r="E4" s="19" t="n"/>
      <c r="F4" s="19" t="n"/>
      <c r="G4" s="19" t="n"/>
      <c r="H4" s="19" t="n"/>
      <c r="I4" s="19" t="n"/>
      <c r="J4" s="19" t="n"/>
    </row>
    <row r="5">
      <c r="A5" s="19" t="n"/>
      <c r="B5" s="19" t="n"/>
      <c r="C5" s="19" t="n"/>
      <c r="D5" s="19" t="n"/>
      <c r="E5" s="19" t="n"/>
      <c r="F5" s="19" t="n"/>
      <c r="G5" s="19" t="n"/>
      <c r="H5" s="19" t="n"/>
      <c r="I5" s="19" t="n"/>
      <c r="J5" s="19" t="n"/>
    </row>
    <row r="6">
      <c r="A6" s="19" t="n"/>
      <c r="B6" s="19" t="n"/>
      <c r="C6" s="19" t="n"/>
      <c r="D6" s="19" t="n"/>
      <c r="E6" s="19" t="n"/>
      <c r="F6" s="19" t="n"/>
      <c r="G6" s="19" t="n"/>
      <c r="H6" s="19" t="n"/>
      <c r="I6" s="19" t="n"/>
      <c r="J6" s="19" t="n"/>
    </row>
    <row r="7">
      <c r="A7" s="19" t="n"/>
      <c r="B7" s="19" t="n"/>
      <c r="C7" s="19" t="n"/>
      <c r="D7" s="19" t="n"/>
      <c r="E7" s="19" t="n"/>
      <c r="F7" s="19" t="n"/>
      <c r="G7" s="19" t="n"/>
      <c r="H7" s="19" t="n"/>
      <c r="I7" s="19" t="n"/>
      <c r="J7" s="19" t="n"/>
    </row>
    <row r="8">
      <c r="A8" s="19" t="n"/>
      <c r="B8" s="19" t="n"/>
      <c r="C8" s="19" t="n"/>
      <c r="D8" s="19" t="n"/>
      <c r="E8" s="19" t="n"/>
      <c r="F8" s="19" t="n"/>
      <c r="G8" s="19" t="n"/>
      <c r="H8" s="19" t="n"/>
      <c r="I8" s="19" t="n"/>
      <c r="J8" s="19" t="n"/>
    </row>
    <row r="9">
      <c r="A9" s="19" t="n"/>
      <c r="B9" s="19" t="n"/>
      <c r="C9" s="19" t="n"/>
      <c r="D9" s="19" t="n"/>
      <c r="E9" s="19" t="n"/>
      <c r="F9" s="19" t="n"/>
      <c r="G9" s="19" t="n"/>
      <c r="H9" s="19" t="n"/>
      <c r="I9" s="19" t="n"/>
      <c r="J9" s="19" t="n"/>
    </row>
    <row r="10">
      <c r="A10" s="19" t="n"/>
      <c r="B10" s="19" t="n"/>
      <c r="C10" s="19" t="n"/>
      <c r="D10" s="19" t="n"/>
      <c r="E10" s="19" t="n"/>
      <c r="F10" s="19" t="n"/>
      <c r="G10" s="19" t="n"/>
      <c r="H10" s="19" t="n"/>
      <c r="I10" s="19" t="n"/>
      <c r="J10" s="19" t="n"/>
    </row>
    <row r="11">
      <c r="A11" s="19" t="n"/>
      <c r="B11" s="19" t="n"/>
      <c r="C11" s="19" t="n"/>
      <c r="D11" s="19" t="n"/>
      <c r="E11" s="19" t="n"/>
      <c r="F11" s="19" t="n"/>
      <c r="G11" s="19" t="n"/>
      <c r="H11" s="19" t="n"/>
      <c r="I11" s="19" t="n"/>
      <c r="J11" s="19" t="n"/>
    </row>
    <row r="12">
      <c r="A12" s="19" t="n"/>
      <c r="B12" s="19" t="n"/>
      <c r="C12" s="19" t="n"/>
      <c r="D12" s="19" t="n"/>
      <c r="E12" s="19" t="n"/>
      <c r="F12" s="19" t="n"/>
      <c r="G12" s="19" t="n"/>
      <c r="H12" s="19" t="n"/>
      <c r="I12" s="19" t="n"/>
      <c r="J12" s="19" t="n"/>
    </row>
    <row r="13">
      <c r="A13" s="19" t="n"/>
      <c r="B13" s="19" t="n"/>
      <c r="C13" s="19" t="n"/>
      <c r="D13" s="19" t="n"/>
      <c r="E13" s="19" t="n"/>
      <c r="F13" s="19" t="n"/>
      <c r="G13" s="19" t="n"/>
      <c r="H13" s="19" t="n"/>
      <c r="I13" s="19" t="n"/>
      <c r="J13" s="19" t="n"/>
    </row>
    <row r="14">
      <c r="A14" s="19" t="n"/>
      <c r="B14" s="19" t="n"/>
      <c r="C14" s="19" t="n"/>
      <c r="D14" s="19" t="n"/>
      <c r="E14" s="19" t="n"/>
      <c r="F14" s="19" t="n"/>
      <c r="G14" s="19" t="n"/>
      <c r="H14" s="19" t="n"/>
      <c r="I14" s="19" t="n"/>
      <c r="J14" s="19" t="n"/>
    </row>
    <row r="15">
      <c r="A15" s="19" t="n"/>
      <c r="B15" s="19" t="n"/>
      <c r="C15" s="19" t="n"/>
      <c r="D15" s="19" t="n"/>
      <c r="E15" s="19" t="n"/>
      <c r="F15" s="19" t="n"/>
      <c r="G15" s="19" t="n"/>
      <c r="H15" s="19" t="n"/>
      <c r="I15" s="19" t="n"/>
      <c r="J15" s="19" t="n"/>
    </row>
    <row r="16">
      <c r="A16" s="19" t="n"/>
      <c r="B16" s="19" t="n"/>
      <c r="C16" s="19" t="n"/>
      <c r="D16" s="19" t="n"/>
      <c r="E16" s="19" t="n"/>
      <c r="F16" s="19" t="n"/>
      <c r="G16" s="19" t="n"/>
      <c r="H16" s="19" t="n"/>
      <c r="I16" s="19" t="n"/>
      <c r="J16" s="19" t="n"/>
    </row>
    <row r="17">
      <c r="A17" s="19" t="n"/>
      <c r="B17" s="19" t="n"/>
      <c r="C17" s="19" t="n"/>
      <c r="D17" s="19" t="n"/>
      <c r="E17" s="19" t="n"/>
      <c r="F17" s="19" t="n"/>
      <c r="G17" s="19" t="n"/>
      <c r="H17" s="19" t="n"/>
      <c r="I17" s="19" t="n"/>
      <c r="J17" s="19" t="n"/>
    </row>
    <row r="18">
      <c r="A18" s="19" t="n"/>
      <c r="B18" s="19" t="n"/>
      <c r="C18" s="19" t="n"/>
      <c r="D18" s="19" t="n"/>
      <c r="E18" s="19" t="n"/>
      <c r="F18" s="19" t="n"/>
      <c r="G18" s="19" t="n"/>
      <c r="H18" s="19" t="n"/>
      <c r="I18" s="19" t="n"/>
      <c r="J18" s="19" t="n"/>
    </row>
    <row r="19">
      <c r="A19" s="19" t="n"/>
      <c r="B19" s="19" t="n"/>
      <c r="C19" s="19" t="n"/>
      <c r="D19" s="19" t="n"/>
      <c r="E19" s="19" t="n"/>
      <c r="F19" s="19" t="n"/>
      <c r="G19" s="19" t="n"/>
      <c r="H19" s="19" t="n"/>
      <c r="I19" s="19" t="n"/>
      <c r="J19" s="19" t="n"/>
    </row>
    <row r="20">
      <c r="A20" s="19" t="n"/>
      <c r="B20" s="19" t="n"/>
      <c r="C20" s="19" t="n"/>
      <c r="D20" s="19" t="n"/>
      <c r="E20" s="19" t="n"/>
      <c r="F20" s="19" t="n"/>
      <c r="G20" s="19" t="n"/>
      <c r="H20" s="19" t="n"/>
      <c r="I20" s="19" t="n"/>
      <c r="J20" s="19" t="n"/>
    </row>
    <row r="21">
      <c r="A21" s="19" t="n"/>
      <c r="B21" s="19" t="n"/>
      <c r="C21" s="19" t="n"/>
      <c r="D21" s="19" t="n"/>
      <c r="E21" s="19" t="n"/>
      <c r="F21" s="19" t="n"/>
      <c r="G21" s="19" t="n"/>
      <c r="H21" s="19" t="n"/>
      <c r="I21" s="19" t="n"/>
      <c r="J21" s="19" t="n"/>
    </row>
    <row r="22">
      <c r="A22" s="19" t="n"/>
      <c r="B22" s="19" t="n"/>
      <c r="C22" s="19" t="n"/>
      <c r="D22" s="19" t="n"/>
      <c r="E22" s="19" t="n"/>
      <c r="F22" s="19" t="n"/>
      <c r="G22" s="19" t="n"/>
      <c r="H22" s="19" t="n"/>
      <c r="I22" s="19" t="n"/>
      <c r="J22" s="19" t="n"/>
    </row>
    <row r="23">
      <c r="A23" s="19" t="n"/>
      <c r="B23" s="19" t="n"/>
      <c r="C23" s="19" t="n"/>
      <c r="D23" s="19" t="n"/>
      <c r="E23" s="19" t="n"/>
      <c r="F23" s="19" t="n"/>
      <c r="G23" s="19" t="n"/>
      <c r="H23" s="19" t="n"/>
      <c r="I23" s="19" t="n"/>
      <c r="J23" s="19" t="n"/>
    </row>
    <row r="24">
      <c r="A24" s="19" t="n"/>
      <c r="B24" s="19" t="n"/>
      <c r="C24" s="19" t="n"/>
      <c r="D24" s="19" t="n"/>
      <c r="E24" s="19" t="n"/>
      <c r="F24" s="19" t="n"/>
      <c r="G24" s="19" t="n"/>
      <c r="H24" s="19" t="n"/>
      <c r="I24" s="19" t="n"/>
      <c r="J24" s="19" t="n"/>
    </row>
    <row r="25">
      <c r="A25" s="19" t="n"/>
      <c r="B25" s="19" t="n"/>
      <c r="C25" s="19" t="n"/>
      <c r="D25" s="19" t="n"/>
      <c r="E25" s="19" t="n"/>
      <c r="F25" s="19" t="n"/>
      <c r="G25" s="19" t="n"/>
      <c r="H25" s="19" t="n"/>
      <c r="I25" s="19" t="n"/>
      <c r="J25" s="19" t="n"/>
    </row>
    <row r="26">
      <c r="A26" s="19" t="n"/>
      <c r="B26" s="19" t="n"/>
      <c r="C26" s="19" t="n"/>
      <c r="D26" s="19" t="n"/>
      <c r="E26" s="19" t="n"/>
      <c r="F26" s="19" t="n"/>
      <c r="G26" s="19" t="n"/>
      <c r="H26" s="19" t="n"/>
      <c r="I26" s="19" t="n"/>
      <c r="J26" s="19" t="n"/>
    </row>
    <row r="27">
      <c r="A27" s="19" t="n"/>
      <c r="B27" s="19" t="n"/>
      <c r="C27" s="19" t="n"/>
      <c r="D27" s="19" t="n"/>
      <c r="E27" s="19" t="n"/>
      <c r="F27" s="19" t="n"/>
      <c r="G27" s="19" t="n"/>
      <c r="H27" s="19" t="n"/>
      <c r="I27" s="19" t="n"/>
      <c r="J27" s="19" t="n"/>
    </row>
    <row r="28">
      <c r="A28" s="19" t="n"/>
      <c r="B28" s="19" t="n"/>
      <c r="C28" s="19" t="n"/>
      <c r="D28" s="19" t="n"/>
      <c r="E28" s="19" t="n"/>
      <c r="F28" s="19" t="n"/>
      <c r="G28" s="19" t="n"/>
      <c r="H28" s="19" t="n"/>
      <c r="I28" s="19" t="n"/>
      <c r="J28" s="19" t="n"/>
    </row>
    <row r="29">
      <c r="A29" s="19" t="n"/>
      <c r="B29" s="19" t="n"/>
      <c r="C29" s="19" t="n"/>
      <c r="D29" s="19" t="n"/>
      <c r="E29" s="19" t="n"/>
      <c r="F29" s="19" t="n"/>
      <c r="G29" s="19" t="n"/>
      <c r="H29" s="19" t="n"/>
      <c r="I29" s="19" t="n"/>
      <c r="J29" s="19" t="n"/>
    </row>
    <row r="30">
      <c r="A30" s="19" t="n"/>
      <c r="B30" s="19" t="n"/>
      <c r="C30" s="19" t="n"/>
      <c r="D30" s="19" t="n"/>
      <c r="E30" s="19" t="n"/>
      <c r="F30" s="19" t="n"/>
      <c r="G30" s="19" t="n"/>
      <c r="H30" s="19" t="n"/>
      <c r="I30" s="19" t="n"/>
      <c r="J30" s="19" t="n"/>
    </row>
    <row r="31">
      <c r="A31" s="19" t="n"/>
      <c r="B31" s="19" t="n"/>
      <c r="C31" s="19" t="n"/>
      <c r="D31" s="19" t="n"/>
      <c r="E31" s="19" t="n"/>
      <c r="F31" s="19" t="n"/>
      <c r="G31" s="19" t="n"/>
      <c r="H31" s="19" t="n"/>
      <c r="I31" s="19" t="n"/>
      <c r="J31" s="19" t="n"/>
    </row>
    <row r="32">
      <c r="A32" s="19" t="n"/>
      <c r="B32" s="19" t="n"/>
      <c r="C32" s="19" t="n"/>
      <c r="D32" s="19" t="n"/>
      <c r="E32" s="19" t="n"/>
      <c r="F32" s="19" t="n"/>
      <c r="G32" s="19" t="n"/>
      <c r="H32" s="19" t="n"/>
      <c r="I32" s="19" t="n"/>
      <c r="J32" s="19" t="n"/>
    </row>
    <row r="33">
      <c r="A33" s="19" t="n"/>
      <c r="B33" s="19" t="n"/>
      <c r="C33" s="19" t="n"/>
      <c r="D33" s="19" t="n"/>
      <c r="E33" s="19" t="n"/>
      <c r="F33" s="19" t="n"/>
      <c r="G33" s="19" t="n"/>
      <c r="H33" s="19" t="n"/>
      <c r="I33" s="19" t="n"/>
      <c r="J33" s="19" t="n"/>
    </row>
    <row r="34">
      <c r="A34" s="19" t="n"/>
      <c r="B34" s="19" t="n"/>
      <c r="C34" s="19" t="n"/>
      <c r="D34" s="19" t="n"/>
      <c r="E34" s="19" t="n"/>
      <c r="F34" s="19" t="n"/>
      <c r="G34" s="19" t="n"/>
      <c r="H34" s="19" t="n"/>
      <c r="I34" s="19" t="n"/>
      <c r="J34" s="19" t="n"/>
    </row>
    <row r="35">
      <c r="A35" s="19" t="n"/>
      <c r="B35" s="19" t="n"/>
      <c r="C35" s="19" t="n"/>
      <c r="D35" s="19" t="n"/>
      <c r="E35" s="19" t="n"/>
      <c r="F35" s="19" t="n"/>
      <c r="G35" s="19" t="n"/>
      <c r="H35" s="19" t="n"/>
      <c r="I35" s="19" t="n"/>
      <c r="J35" s="19" t="n"/>
    </row>
    <row r="36">
      <c r="A36" s="19" t="n"/>
      <c r="B36" s="19" t="n"/>
      <c r="C36" s="19" t="n"/>
      <c r="D36" s="19" t="n"/>
      <c r="E36" s="19" t="n"/>
      <c r="F36" s="19" t="n"/>
      <c r="G36" s="19" t="n"/>
      <c r="H36" s="19" t="n"/>
      <c r="I36" s="19" t="n"/>
      <c r="J36" s="19" t="n"/>
    </row>
    <row r="37">
      <c r="A37" s="19" t="n"/>
      <c r="B37" s="19" t="n"/>
      <c r="C37" s="19" t="n"/>
      <c r="D37" s="19" t="n"/>
      <c r="E37" s="19" t="n"/>
      <c r="F37" s="19" t="n"/>
      <c r="G37" s="19" t="n"/>
      <c r="H37" s="19" t="n"/>
      <c r="I37" s="19" t="n"/>
      <c r="J37" s="19" t="n"/>
    </row>
    <row r="38">
      <c r="A38" s="19" t="n"/>
      <c r="B38" s="19" t="n"/>
      <c r="C38" s="19" t="n"/>
      <c r="D38" s="19" t="n"/>
      <c r="E38" s="19" t="n"/>
      <c r="F38" s="19" t="n"/>
      <c r="G38" s="19" t="n"/>
      <c r="H38" s="19" t="n"/>
      <c r="I38" s="19" t="n"/>
      <c r="J38" s="19" t="n"/>
    </row>
    <row r="39">
      <c r="A39" s="19" t="n"/>
      <c r="B39" s="19" t="n"/>
      <c r="C39" s="19" t="n"/>
      <c r="D39" s="19" t="n"/>
      <c r="E39" s="19" t="n"/>
      <c r="F39" s="19" t="n"/>
      <c r="G39" s="19" t="n"/>
      <c r="H39" s="19" t="n"/>
      <c r="I39" s="19" t="n"/>
      <c r="J39" s="19" t="n"/>
    </row>
    <row r="40">
      <c r="A40" s="19" t="n"/>
      <c r="B40" s="19" t="n"/>
      <c r="C40" s="19" t="n"/>
      <c r="D40" s="19" t="n"/>
      <c r="E40" s="19" t="n"/>
      <c r="F40" s="19" t="n"/>
      <c r="G40" s="19" t="n"/>
      <c r="H40" s="19" t="n"/>
      <c r="I40" s="19" t="n"/>
      <c r="J40" s="19" t="n"/>
    </row>
    <row r="41">
      <c r="A41" s="19" t="n"/>
      <c r="B41" s="19" t="n"/>
      <c r="C41" s="19" t="n"/>
      <c r="D41" s="19" t="n"/>
      <c r="E41" s="19" t="n"/>
      <c r="F41" s="19" t="n"/>
      <c r="G41" s="19" t="n"/>
      <c r="H41" s="19" t="n"/>
      <c r="I41" s="19" t="n"/>
      <c r="J41" s="19" t="n"/>
    </row>
    <row r="42">
      <c r="A42" s="19" t="n"/>
      <c r="B42" s="19" t="n"/>
      <c r="C42" s="19" t="n"/>
      <c r="D42" s="19" t="n"/>
      <c r="E42" s="19" t="n"/>
      <c r="F42" s="19" t="n"/>
      <c r="G42" s="19" t="n"/>
      <c r="H42" s="19" t="n"/>
      <c r="I42" s="19" t="n"/>
      <c r="J42" s="19" t="n"/>
    </row>
    <row r="43">
      <c r="A43" s="19" t="n"/>
      <c r="B43" s="19" t="n"/>
      <c r="C43" s="19" t="n"/>
      <c r="D43" s="19" t="n"/>
      <c r="E43" s="19" t="n"/>
      <c r="F43" s="19" t="n"/>
      <c r="G43" s="19" t="n"/>
      <c r="H43" s="19" t="n"/>
      <c r="I43" s="19" t="n"/>
      <c r="J43" s="19" t="n"/>
    </row>
    <row r="44">
      <c r="A44" s="19" t="n"/>
      <c r="B44" s="19" t="n"/>
      <c r="C44" s="19" t="n"/>
      <c r="D44" s="19" t="n"/>
      <c r="E44" s="19" t="n"/>
      <c r="F44" s="19" t="n"/>
      <c r="G44" s="19" t="n"/>
      <c r="H44" s="19" t="n"/>
      <c r="I44" s="19" t="n"/>
      <c r="J44" s="19" t="n"/>
    </row>
    <row r="45">
      <c r="A45" s="19" t="n"/>
      <c r="B45" s="19" t="n"/>
      <c r="C45" s="19" t="n"/>
      <c r="D45" s="19" t="n"/>
      <c r="E45" s="19" t="n"/>
      <c r="F45" s="19" t="n"/>
      <c r="G45" s="19" t="n"/>
      <c r="H45" s="19" t="n"/>
      <c r="I45" s="19" t="n"/>
      <c r="J45" s="19" t="n"/>
    </row>
    <row r="46">
      <c r="A46" s="19" t="n"/>
      <c r="B46" s="19" t="n"/>
      <c r="C46" s="19" t="n"/>
      <c r="D46" s="19" t="n"/>
      <c r="E46" s="19" t="n"/>
      <c r="F46" s="19" t="n"/>
      <c r="G46" s="19" t="n"/>
      <c r="H46" s="19" t="n"/>
      <c r="I46" s="19" t="n"/>
      <c r="J46" s="19" t="n"/>
    </row>
    <row r="47">
      <c r="A47" s="19" t="n"/>
      <c r="B47" s="19" t="n"/>
      <c r="C47" s="19" t="n"/>
      <c r="D47" s="19" t="n"/>
      <c r="E47" s="19" t="n"/>
      <c r="F47" s="19" t="n"/>
      <c r="G47" s="19" t="n"/>
      <c r="H47" s="19" t="n"/>
      <c r="I47" s="19" t="n"/>
      <c r="J47" s="19" t="n"/>
    </row>
    <row r="48">
      <c r="A48" s="19" t="n"/>
      <c r="B48" s="19" t="n"/>
      <c r="C48" s="19" t="n"/>
      <c r="D48" s="19" t="n"/>
      <c r="E48" s="19" t="n"/>
      <c r="F48" s="19" t="n"/>
      <c r="G48" s="19" t="n"/>
      <c r="H48" s="19" t="n"/>
      <c r="I48" s="19" t="n"/>
      <c r="J48" s="19" t="n"/>
    </row>
    <row r="49">
      <c r="A49" s="19" t="n"/>
      <c r="B49" s="19" t="n"/>
      <c r="C49" s="19" t="n"/>
      <c r="D49" s="19" t="n"/>
      <c r="E49" s="19" t="n"/>
      <c r="F49" s="19" t="n"/>
      <c r="G49" s="19" t="n"/>
      <c r="H49" s="19" t="n"/>
      <c r="I49" s="19" t="n"/>
      <c r="J49" s="19" t="n"/>
    </row>
    <row r="50">
      <c r="A50" s="19" t="n"/>
      <c r="B50" s="19" t="n"/>
      <c r="C50" s="19" t="n"/>
      <c r="D50" s="19" t="n"/>
      <c r="E50" s="19" t="n"/>
      <c r="F50" s="19" t="n"/>
      <c r="G50" s="19" t="n"/>
      <c r="H50" s="19" t="n"/>
      <c r="I50" s="19" t="n"/>
      <c r="J50" s="19" t="n"/>
    </row>
    <row r="51">
      <c r="A51" s="19" t="n"/>
      <c r="B51" s="19" t="n"/>
      <c r="C51" s="19" t="n"/>
      <c r="D51" s="19" t="n"/>
      <c r="E51" s="19" t="n"/>
      <c r="F51" s="19" t="n"/>
      <c r="G51" s="19" t="n"/>
      <c r="H51" s="19" t="n"/>
      <c r="I51" s="19" t="n"/>
      <c r="J51" s="19" t="n"/>
    </row>
    <row r="52">
      <c r="A52" s="19" t="n"/>
      <c r="B52" s="19" t="n"/>
      <c r="C52" s="19" t="n"/>
      <c r="D52" s="19" t="n"/>
      <c r="E52" s="19" t="n"/>
      <c r="F52" s="19" t="n"/>
      <c r="G52" s="19" t="n"/>
      <c r="H52" s="19" t="n"/>
      <c r="I52" s="19" t="n"/>
      <c r="J52" s="19" t="n"/>
    </row>
    <row r="53">
      <c r="A53" s="19" t="n"/>
      <c r="B53" s="19" t="n"/>
      <c r="C53" s="19" t="n"/>
      <c r="D53" s="19" t="n"/>
      <c r="E53" s="19" t="n"/>
      <c r="F53" s="19" t="n"/>
      <c r="G53" s="19" t="n"/>
      <c r="H53" s="19" t="n"/>
      <c r="I53" s="19" t="n"/>
      <c r="J53" s="19" t="n"/>
    </row>
    <row r="54">
      <c r="A54" s="19" t="n"/>
      <c r="B54" s="19" t="n"/>
      <c r="C54" s="19" t="n"/>
      <c r="D54" s="19" t="n"/>
      <c r="E54" s="19" t="n"/>
      <c r="F54" s="19" t="n"/>
      <c r="G54" s="19" t="n"/>
      <c r="H54" s="19" t="n"/>
      <c r="I54" s="19" t="n"/>
      <c r="J54" s="19" t="n"/>
    </row>
    <row r="55">
      <c r="A55" s="19" t="n"/>
      <c r="B55" s="19" t="n"/>
      <c r="C55" s="19" t="n"/>
      <c r="D55" s="19" t="n"/>
      <c r="E55" s="19" t="n"/>
      <c r="F55" s="19" t="n"/>
      <c r="G55" s="19" t="n"/>
      <c r="H55" s="19" t="n"/>
      <c r="I55" s="19" t="n"/>
      <c r="J55" s="19" t="n"/>
    </row>
    <row r="56">
      <c r="A56" s="19" t="n"/>
      <c r="B56" s="19" t="n"/>
      <c r="C56" s="19" t="n"/>
      <c r="D56" s="19" t="n"/>
      <c r="E56" s="19" t="n"/>
      <c r="F56" s="19" t="n"/>
      <c r="G56" s="19" t="n"/>
      <c r="H56" s="19" t="n"/>
      <c r="I56" s="19" t="n"/>
      <c r="J56" s="19" t="n"/>
    </row>
    <row r="57">
      <c r="A57" s="19" t="n"/>
      <c r="B57" s="19" t="n"/>
      <c r="C57" s="19" t="n"/>
      <c r="D57" s="19" t="n"/>
      <c r="E57" s="19" t="n"/>
      <c r="F57" s="19" t="n"/>
      <c r="G57" s="19" t="n"/>
      <c r="H57" s="19" t="n"/>
      <c r="I57" s="19" t="n"/>
      <c r="J57" s="19" t="n"/>
    </row>
    <row r="58">
      <c r="A58" s="19" t="n"/>
      <c r="B58" s="19" t="n"/>
      <c r="C58" s="19" t="n"/>
      <c r="D58" s="19" t="n"/>
      <c r="E58" s="19" t="n"/>
      <c r="F58" s="19" t="n"/>
      <c r="G58" s="19" t="n"/>
      <c r="H58" s="19" t="n"/>
      <c r="I58" s="19" t="n"/>
      <c r="J58" s="19" t="n"/>
    </row>
    <row r="59">
      <c r="A59" s="19" t="n"/>
      <c r="B59" s="19" t="n"/>
      <c r="C59" s="19" t="n"/>
      <c r="D59" s="19" t="n"/>
      <c r="E59" s="19" t="n"/>
      <c r="F59" s="19" t="n"/>
      <c r="G59" s="19" t="n"/>
      <c r="H59" s="19" t="n"/>
      <c r="I59" s="19" t="n"/>
      <c r="J59" s="19" t="n"/>
    </row>
    <row r="60">
      <c r="A60" s="19" t="n"/>
      <c r="B60" s="19" t="n"/>
      <c r="C60" s="19" t="n"/>
      <c r="D60" s="19" t="n"/>
      <c r="E60" s="19" t="n"/>
      <c r="F60" s="19" t="n"/>
      <c r="G60" s="19" t="n"/>
      <c r="H60" s="19" t="n"/>
      <c r="I60" s="19" t="n"/>
      <c r="J60" s="19" t="n"/>
    </row>
    <row r="61">
      <c r="A61" s="19" t="n"/>
      <c r="B61" s="19" t="n"/>
      <c r="C61" s="19" t="n"/>
      <c r="D61" s="19" t="n"/>
      <c r="E61" s="19" t="n"/>
      <c r="F61" s="19" t="n"/>
      <c r="G61" s="19" t="n"/>
      <c r="H61" s="19" t="n"/>
      <c r="I61" s="19" t="n"/>
      <c r="J61" s="19" t="n"/>
    </row>
    <row r="62">
      <c r="A62" s="19" t="n"/>
      <c r="B62" s="19" t="n"/>
      <c r="C62" s="19" t="n"/>
      <c r="D62" s="19" t="n"/>
      <c r="E62" s="19" t="n"/>
      <c r="F62" s="19" t="n"/>
      <c r="G62" s="19" t="n"/>
      <c r="H62" s="19" t="n"/>
      <c r="I62" s="19" t="n"/>
      <c r="J62" s="19" t="n"/>
    </row>
    <row r="63">
      <c r="A63" s="19" t="n"/>
      <c r="B63" s="19" t="n"/>
      <c r="C63" s="19" t="n"/>
      <c r="D63" s="19" t="n"/>
      <c r="E63" s="19" t="n"/>
      <c r="F63" s="19" t="n"/>
      <c r="G63" s="19" t="n"/>
      <c r="H63" s="19" t="n"/>
      <c r="I63" s="19" t="n"/>
      <c r="J63" s="19" t="n"/>
    </row>
    <row r="64">
      <c r="A64" s="19" t="n"/>
      <c r="B64" s="19" t="n"/>
      <c r="C64" s="19" t="n"/>
      <c r="D64" s="19" t="n"/>
      <c r="E64" s="19" t="n"/>
      <c r="F64" s="19" t="n"/>
      <c r="G64" s="19" t="n"/>
      <c r="H64" s="19" t="n"/>
      <c r="I64" s="19" t="n"/>
      <c r="J64" s="19" t="n"/>
    </row>
    <row r="65">
      <c r="A65" s="19" t="n"/>
      <c r="B65" s="19" t="n"/>
      <c r="C65" s="19" t="n"/>
      <c r="D65" s="19" t="n"/>
      <c r="E65" s="19" t="n"/>
      <c r="F65" s="19" t="n"/>
      <c r="G65" s="19" t="n"/>
      <c r="H65" s="19" t="n"/>
      <c r="I65" s="19" t="n"/>
      <c r="J65" s="19" t="n"/>
    </row>
    <row r="66">
      <c r="A66" s="19" t="n"/>
      <c r="B66" s="19" t="n"/>
      <c r="C66" s="19" t="n"/>
      <c r="D66" s="19" t="n"/>
      <c r="E66" s="19" t="n"/>
      <c r="F66" s="19" t="n"/>
      <c r="G66" s="19" t="n"/>
      <c r="H66" s="19" t="n"/>
      <c r="I66" s="19" t="n"/>
      <c r="J66" s="19" t="n"/>
    </row>
    <row r="67">
      <c r="A67" s="19" t="n"/>
      <c r="B67" s="19" t="n"/>
      <c r="C67" s="19" t="n"/>
      <c r="D67" s="19" t="n"/>
      <c r="E67" s="19" t="n"/>
      <c r="F67" s="19" t="n"/>
      <c r="G67" s="19" t="n"/>
      <c r="H67" s="19" t="n"/>
      <c r="I67" s="19" t="n"/>
      <c r="J67" s="19" t="n"/>
    </row>
    <row r="68">
      <c r="A68" s="19" t="n"/>
      <c r="B68" s="19" t="n"/>
      <c r="C68" s="19" t="n"/>
      <c r="D68" s="19" t="n"/>
      <c r="E68" s="19" t="n"/>
      <c r="F68" s="19" t="n"/>
      <c r="G68" s="19" t="n"/>
      <c r="H68" s="19" t="n"/>
      <c r="I68" s="19" t="n"/>
      <c r="J68" s="19" t="n"/>
    </row>
    <row r="69">
      <c r="A69" s="19" t="n"/>
      <c r="B69" s="19" t="n"/>
      <c r="C69" s="19" t="n"/>
      <c r="D69" s="19" t="n"/>
      <c r="E69" s="19" t="n"/>
      <c r="F69" s="19" t="n"/>
      <c r="G69" s="19" t="n"/>
      <c r="H69" s="19" t="n"/>
      <c r="I69" s="19" t="n"/>
      <c r="J69" s="19" t="n"/>
    </row>
    <row r="70">
      <c r="A70" s="19" t="n"/>
      <c r="B70" s="19" t="n"/>
      <c r="C70" s="19" t="n"/>
      <c r="D70" s="19" t="n"/>
      <c r="E70" s="19" t="n"/>
      <c r="F70" s="19" t="n"/>
      <c r="G70" s="19" t="n"/>
      <c r="H70" s="19" t="n"/>
      <c r="I70" s="19" t="n"/>
      <c r="J70" s="19" t="n"/>
    </row>
    <row r="71">
      <c r="A71" s="19" t="n"/>
      <c r="B71" s="19" t="n"/>
      <c r="C71" s="19" t="n"/>
      <c r="D71" s="19" t="n"/>
      <c r="E71" s="19" t="n"/>
      <c r="F71" s="19" t="n"/>
      <c r="G71" s="19" t="n"/>
      <c r="H71" s="19" t="n"/>
      <c r="I71" s="19" t="n"/>
      <c r="J71" s="19" t="n"/>
    </row>
    <row r="72">
      <c r="A72" s="19" t="n"/>
      <c r="B72" s="19" t="n"/>
      <c r="C72" s="19" t="n"/>
      <c r="D72" s="19" t="n"/>
      <c r="E72" s="19" t="n"/>
      <c r="F72" s="19" t="n"/>
      <c r="G72" s="19" t="n"/>
      <c r="H72" s="19" t="n"/>
      <c r="I72" s="19" t="n"/>
      <c r="J72" s="19" t="n"/>
    </row>
    <row r="73">
      <c r="A73" s="19" t="n"/>
      <c r="B73" s="19" t="n"/>
      <c r="C73" s="19" t="n"/>
      <c r="D73" s="19" t="n"/>
      <c r="E73" s="19" t="n"/>
      <c r="F73" s="19" t="n"/>
      <c r="G73" s="19" t="n"/>
      <c r="H73" s="19" t="n"/>
      <c r="I73" s="19" t="n"/>
      <c r="J73" s="19" t="n"/>
    </row>
    <row r="74">
      <c r="A74" s="19" t="n"/>
      <c r="B74" s="19" t="n"/>
      <c r="C74" s="19" t="n"/>
      <c r="D74" s="19" t="n"/>
      <c r="E74" s="19" t="n"/>
      <c r="F74" s="19" t="n"/>
      <c r="G74" s="19" t="n"/>
      <c r="H74" s="19" t="n"/>
      <c r="I74" s="19" t="n"/>
      <c r="J74" s="19" t="n"/>
    </row>
    <row r="75">
      <c r="A75" s="19" t="n"/>
      <c r="B75" s="19" t="n"/>
      <c r="C75" s="19" t="n"/>
      <c r="D75" s="19" t="n"/>
      <c r="E75" s="19" t="n"/>
      <c r="F75" s="19" t="n"/>
      <c r="G75" s="19" t="n"/>
      <c r="H75" s="19" t="n"/>
      <c r="I75" s="19" t="n"/>
      <c r="J75" s="19" t="n"/>
    </row>
    <row r="76">
      <c r="A76" s="19" t="n"/>
      <c r="B76" s="19" t="n"/>
      <c r="C76" s="19" t="n"/>
      <c r="D76" s="19" t="n"/>
      <c r="E76" s="19" t="n"/>
      <c r="F76" s="19" t="n"/>
      <c r="G76" s="19" t="n"/>
      <c r="H76" s="19" t="n"/>
      <c r="I76" s="19" t="n"/>
      <c r="J76" s="19" t="n"/>
    </row>
    <row r="77">
      <c r="A77" s="19" t="n"/>
      <c r="B77" s="19" t="n"/>
      <c r="C77" s="19" t="n"/>
      <c r="D77" s="19" t="n"/>
      <c r="E77" s="19" t="n"/>
      <c r="F77" s="19" t="n"/>
      <c r="G77" s="19" t="n"/>
      <c r="H77" s="19" t="n"/>
      <c r="I77" s="19" t="n"/>
      <c r="J77" s="19" t="n"/>
    </row>
    <row r="78">
      <c r="A78" s="19" t="n"/>
      <c r="B78" s="19" t="n"/>
      <c r="C78" s="19" t="n"/>
      <c r="D78" s="19" t="n"/>
      <c r="E78" s="19" t="n"/>
      <c r="F78" s="19" t="n"/>
      <c r="G78" s="19" t="n"/>
      <c r="H78" s="19" t="n"/>
      <c r="I78" s="19" t="n"/>
      <c r="J78" s="19" t="n"/>
    </row>
    <row r="79">
      <c r="A79" s="19" t="n"/>
      <c r="B79" s="19" t="n"/>
      <c r="C79" s="19" t="n"/>
      <c r="D79" s="19" t="n"/>
      <c r="E79" s="19" t="n"/>
      <c r="F79" s="19" t="n"/>
      <c r="G79" s="19" t="n"/>
      <c r="H79" s="19" t="n"/>
      <c r="I79" s="19" t="n"/>
      <c r="J79" s="19" t="n"/>
    </row>
    <row r="80">
      <c r="A80" s="19" t="n"/>
      <c r="B80" s="19" t="n"/>
      <c r="C80" s="19" t="n"/>
      <c r="D80" s="19" t="n"/>
      <c r="E80" s="19" t="n"/>
      <c r="F80" s="19" t="n"/>
      <c r="G80" s="19" t="n"/>
      <c r="H80" s="19" t="n"/>
      <c r="I80" s="19" t="n"/>
      <c r="J80" s="19" t="n"/>
    </row>
    <row r="81">
      <c r="A81" s="19" t="n"/>
      <c r="B81" s="19" t="n"/>
      <c r="C81" s="19" t="n"/>
      <c r="D81" s="19" t="n"/>
      <c r="E81" s="19" t="n"/>
      <c r="F81" s="19" t="n"/>
      <c r="G81" s="19" t="n"/>
      <c r="H81" s="19" t="n"/>
      <c r="I81" s="19" t="n"/>
      <c r="J81" s="19" t="n"/>
    </row>
    <row r="82">
      <c r="A82" s="19" t="n"/>
      <c r="B82" s="19" t="n"/>
      <c r="C82" s="19" t="n"/>
      <c r="D82" s="19" t="n"/>
      <c r="E82" s="19" t="n"/>
      <c r="F82" s="19" t="n"/>
      <c r="G82" s="19" t="n"/>
      <c r="H82" s="19" t="n"/>
      <c r="I82" s="19" t="n"/>
      <c r="J82" s="19" t="n"/>
    </row>
    <row r="83">
      <c r="A83" s="19" t="n"/>
      <c r="B83" s="19" t="n"/>
      <c r="C83" s="19" t="n"/>
      <c r="D83" s="19" t="n"/>
      <c r="E83" s="19" t="n"/>
      <c r="F83" s="19" t="n"/>
      <c r="G83" s="19" t="n"/>
      <c r="H83" s="19" t="n"/>
      <c r="I83" s="19" t="n"/>
      <c r="J83" s="19" t="n"/>
    </row>
    <row r="84">
      <c r="A84" s="19" t="n"/>
      <c r="B84" s="19" t="n"/>
      <c r="C84" s="19" t="n"/>
      <c r="D84" s="19" t="n"/>
      <c r="E84" s="19" t="n"/>
      <c r="F84" s="19" t="n"/>
      <c r="G84" s="19" t="n"/>
      <c r="H84" s="19" t="n"/>
      <c r="I84" s="19" t="n"/>
      <c r="J84" s="19" t="n"/>
    </row>
    <row r="85">
      <c r="A85" s="19" t="n"/>
      <c r="B85" s="19" t="n"/>
      <c r="C85" s="19" t="n"/>
      <c r="D85" s="19" t="n"/>
      <c r="E85" s="19" t="n"/>
      <c r="F85" s="19" t="n"/>
      <c r="G85" s="19" t="n"/>
      <c r="H85" s="19" t="n"/>
      <c r="I85" s="19" t="n"/>
      <c r="J85" s="19" t="n"/>
    </row>
    <row r="86">
      <c r="A86" s="19" t="n"/>
      <c r="B86" s="19" t="n"/>
      <c r="C86" s="19" t="n"/>
      <c r="D86" s="19" t="n"/>
      <c r="E86" s="19" t="n"/>
      <c r="F86" s="19" t="n"/>
      <c r="G86" s="19" t="n"/>
      <c r="H86" s="19" t="n"/>
      <c r="I86" s="19" t="n"/>
      <c r="J86" s="19" t="n"/>
    </row>
    <row r="87">
      <c r="A87" s="19" t="n"/>
      <c r="B87" s="19" t="n"/>
      <c r="C87" s="19" t="n"/>
      <c r="D87" s="19" t="n"/>
      <c r="E87" s="19" t="n"/>
      <c r="F87" s="19" t="n"/>
      <c r="G87" s="19" t="n"/>
      <c r="H87" s="19" t="n"/>
      <c r="I87" s="19" t="n"/>
      <c r="J87" s="19" t="n"/>
    </row>
    <row r="88">
      <c r="A88" s="19" t="n"/>
      <c r="B88" s="19" t="n"/>
      <c r="C88" s="19" t="n"/>
      <c r="D88" s="19" t="n"/>
      <c r="E88" s="19" t="n"/>
      <c r="F88" s="19" t="n"/>
      <c r="G88" s="19" t="n"/>
      <c r="H88" s="19" t="n"/>
      <c r="I88" s="19" t="n"/>
      <c r="J88" s="19" t="n"/>
    </row>
    <row r="89">
      <c r="A89" s="19" t="n"/>
      <c r="B89" s="19" t="n"/>
      <c r="C89" s="19" t="n"/>
      <c r="D89" s="19" t="n"/>
      <c r="E89" s="19" t="n"/>
      <c r="F89" s="19" t="n"/>
      <c r="G89" s="19" t="n"/>
      <c r="H89" s="19" t="n"/>
      <c r="I89" s="19" t="n"/>
      <c r="J89" s="19" t="n"/>
    </row>
    <row r="90">
      <c r="A90" s="19" t="n"/>
      <c r="B90" s="19" t="n"/>
      <c r="C90" s="19" t="n"/>
      <c r="D90" s="19" t="n"/>
      <c r="E90" s="19" t="n"/>
      <c r="F90" s="19" t="n"/>
      <c r="G90" s="19" t="n"/>
      <c r="H90" s="19" t="n"/>
      <c r="I90" s="19" t="n"/>
      <c r="J90" s="19" t="n"/>
    </row>
    <row r="91">
      <c r="A91" s="19" t="n"/>
      <c r="B91" s="19" t="n"/>
      <c r="C91" s="19" t="n"/>
      <c r="D91" s="19" t="n"/>
      <c r="E91" s="19" t="n"/>
      <c r="F91" s="19" t="n"/>
      <c r="G91" s="19" t="n"/>
      <c r="H91" s="19" t="n"/>
      <c r="I91" s="19" t="n"/>
      <c r="J91" s="19" t="n"/>
    </row>
    <row r="92">
      <c r="A92" s="19" t="n"/>
      <c r="B92" s="19" t="n"/>
      <c r="C92" s="19" t="n"/>
      <c r="D92" s="19" t="n"/>
      <c r="E92" s="19" t="n"/>
      <c r="F92" s="19" t="n"/>
      <c r="G92" s="19" t="n"/>
      <c r="H92" s="19" t="n"/>
      <c r="I92" s="19" t="n"/>
      <c r="J92" s="19" t="n"/>
    </row>
    <row r="93">
      <c r="A93" s="19" t="n"/>
      <c r="B93" s="19" t="n"/>
      <c r="C93" s="19" t="n"/>
      <c r="D93" s="19" t="n"/>
      <c r="E93" s="19" t="n"/>
      <c r="F93" s="19" t="n"/>
      <c r="G93" s="19" t="n"/>
      <c r="H93" s="19" t="n"/>
      <c r="I93" s="19" t="n"/>
      <c r="J93" s="19" t="n"/>
    </row>
    <row r="94">
      <c r="A94" s="19" t="n"/>
      <c r="B94" s="19" t="n"/>
      <c r="C94" s="19" t="n"/>
      <c r="D94" s="19" t="n"/>
      <c r="E94" s="19" t="n"/>
      <c r="F94" s="19" t="n"/>
      <c r="G94" s="19" t="n"/>
      <c r="H94" s="19" t="n"/>
      <c r="I94" s="19" t="n"/>
      <c r="J94" s="19" t="n"/>
    </row>
    <row r="95">
      <c r="A95" s="19" t="n"/>
      <c r="B95" s="19" t="n"/>
      <c r="C95" s="19" t="n"/>
      <c r="D95" s="19" t="n"/>
      <c r="E95" s="19" t="n"/>
      <c r="F95" s="19" t="n"/>
      <c r="G95" s="19" t="n"/>
      <c r="H95" s="19" t="n"/>
      <c r="I95" s="19" t="n"/>
      <c r="J95" s="19" t="n"/>
    </row>
    <row r="96">
      <c r="A96" s="19" t="n"/>
      <c r="B96" s="19" t="n"/>
      <c r="C96" s="19" t="n"/>
      <c r="D96" s="19" t="n"/>
      <c r="E96" s="19" t="n"/>
      <c r="F96" s="19" t="n"/>
      <c r="G96" s="19" t="n"/>
      <c r="H96" s="19" t="n"/>
      <c r="I96" s="19" t="n"/>
      <c r="J96" s="19" t="n"/>
    </row>
    <row r="97">
      <c r="A97" s="19" t="n"/>
      <c r="B97" s="19" t="n"/>
      <c r="C97" s="19" t="n"/>
      <c r="D97" s="19" t="n"/>
      <c r="E97" s="19" t="n"/>
      <c r="F97" s="19" t="n"/>
      <c r="G97" s="19" t="n"/>
      <c r="H97" s="19" t="n"/>
      <c r="I97" s="19" t="n"/>
      <c r="J97" s="19" t="n"/>
    </row>
    <row r="98">
      <c r="A98" s="19" t="n"/>
      <c r="B98" s="19" t="n"/>
      <c r="C98" s="19" t="n"/>
      <c r="D98" s="19" t="n"/>
      <c r="E98" s="19" t="n"/>
      <c r="F98" s="19" t="n"/>
      <c r="G98" s="19" t="n"/>
      <c r="H98" s="19" t="n"/>
      <c r="I98" s="19" t="n"/>
      <c r="J98" s="19" t="n"/>
    </row>
    <row r="99">
      <c r="A99" s="19" t="n"/>
      <c r="B99" s="19" t="n"/>
      <c r="C99" s="19" t="n"/>
      <c r="D99" s="19" t="n"/>
      <c r="E99" s="19" t="n"/>
      <c r="F99" s="19" t="n"/>
      <c r="G99" s="19" t="n"/>
      <c r="H99" s="19" t="n"/>
      <c r="I99" s="19" t="n"/>
      <c r="J99" s="19" t="n"/>
    </row>
    <row r="100">
      <c r="A100" s="19" t="n"/>
      <c r="B100" s="19" t="n"/>
      <c r="C100" s="19" t="n"/>
      <c r="D100" s="19" t="n"/>
      <c r="E100" s="19" t="n"/>
      <c r="F100" s="19" t="n"/>
      <c r="G100" s="19" t="n"/>
      <c r="H100" s="19" t="n"/>
      <c r="I100" s="19" t="n"/>
      <c r="J100" s="19" t="n"/>
    </row>
    <row r="101">
      <c r="A101" s="19" t="n"/>
      <c r="B101" s="19" t="n"/>
      <c r="C101" s="19" t="n"/>
      <c r="D101" s="19" t="n"/>
      <c r="E101" s="19" t="n"/>
      <c r="F101" s="19" t="n"/>
      <c r="G101" s="19" t="n"/>
      <c r="H101" s="19" t="n"/>
      <c r="I101" s="19" t="n"/>
      <c r="J101" s="19" t="n"/>
    </row>
    <row r="102">
      <c r="A102" s="19" t="n"/>
      <c r="B102" s="19" t="n"/>
      <c r="C102" s="19" t="n"/>
      <c r="D102" s="19" t="n"/>
      <c r="E102" s="19" t="n"/>
      <c r="F102" s="19" t="n"/>
      <c r="G102" s="19" t="n"/>
      <c r="H102" s="19" t="n"/>
      <c r="I102" s="19" t="n"/>
      <c r="J102" s="19" t="n"/>
    </row>
  </sheetData>
  <mergeCells count="1">
    <mergeCell ref="A1:F1"/>
  </mergeCells>
  <dataValidations count="2">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showDropDown="0" showInputMessage="0" showErrorMessage="0" allowBlank="0" promptTitle="Evidence Type" prompt="Select evidence type" type="list">
      <formula1>"Document,Screenshot,Report,Configuration,URL,Recording,Database Query,Log File,Other"</formula1>
    </dataValidation>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showDropDown="0" showInputMessage="0" showErrorMessage="0" allowBlank="0" promptTitle="Verification Status" prompt="Select verification status" type="list">
      <formula1>"Pending,Verified,Rejected"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2"/>
  <sheetViews>
    <sheetView workbookViewId="0">
      <pane ySplit="2" topLeftCell="A3" activePane="bottomLeft" state="frozen"/>
      <selection pane="bottomLeft" activeCell="A1" sqref="A1"/>
    </sheetView>
  </sheetViews>
  <sheetFormatPr baseColWidth="8" defaultRowHeight="15"/>
  <cols>
    <col width="10" customWidth="1" min="1" max="1"/>
    <col width="25" customWidth="1" min="2" max="2"/>
    <col width="10" customWidth="1" min="3" max="3"/>
    <col width="35" customWidth="1" min="4" max="4"/>
    <col width="30" customWidth="1" min="5" max="5"/>
    <col width="30" customWidth="1" min="6" max="6"/>
    <col width="12" customWidth="1" min="7" max="7"/>
    <col width="35" customWidth="1" min="8" max="8"/>
    <col width="20" customWidth="1" min="9" max="9"/>
    <col width="12" customWidth="1" min="10" max="10"/>
    <col width="15" customWidth="1" min="11" max="11"/>
    <col width="12" customWidth="1" min="12" max="12"/>
    <col width="30" customWidth="1" min="13" max="13"/>
  </cols>
  <sheetData>
    <row r="1">
      <c r="A1" s="5" t="inlineStr">
        <is>
          <t>Gap Analysis &amp; Remediation Tracking</t>
        </is>
      </c>
    </row>
    <row r="2">
      <c r="A2" s="8" t="inlineStr">
        <is>
          <t>Gap ID</t>
        </is>
      </c>
      <c r="B2" s="8" t="inlineStr">
        <is>
          <t>Domain</t>
        </is>
      </c>
      <c r="C2" s="8" t="inlineStr">
        <is>
          <t>Req ID</t>
        </is>
      </c>
      <c r="D2" s="8" t="inlineStr">
        <is>
          <t>Gap Description</t>
        </is>
      </c>
      <c r="E2" s="8" t="inlineStr">
        <is>
          <t>Current State</t>
        </is>
      </c>
      <c r="F2" s="8" t="inlineStr">
        <is>
          <t>Target State</t>
        </is>
      </c>
      <c r="G2" s="8" t="inlineStr">
        <is>
          <t>Risk Level</t>
        </is>
      </c>
      <c r="H2" s="8" t="inlineStr">
        <is>
          <t>Remediation Plan</t>
        </is>
      </c>
      <c r="I2" s="8" t="inlineStr">
        <is>
          <t>Owner</t>
        </is>
      </c>
      <c r="J2" s="8" t="inlineStr">
        <is>
          <t>Target Date</t>
        </is>
      </c>
      <c r="K2" s="8" t="inlineStr">
        <is>
          <t>Status</t>
        </is>
      </c>
      <c r="L2" s="8" t="inlineStr">
        <is>
          <t>Closure Date</t>
        </is>
      </c>
      <c r="M2" s="8" t="inlineStr">
        <is>
          <t>Notes</t>
        </is>
      </c>
    </row>
    <row r="3">
      <c r="A3" t="inlineStr">
        <is>
          <t>GAP-001</t>
        </is>
      </c>
      <c r="B3" s="19" t="n"/>
      <c r="C3" s="19" t="n"/>
      <c r="D3" s="19" t="n"/>
      <c r="E3" s="19" t="n"/>
      <c r="F3" s="19" t="n"/>
      <c r="G3" s="19" t="n"/>
      <c r="H3" s="19" t="n"/>
      <c r="I3" s="19" t="n"/>
      <c r="J3" s="19" t="n"/>
      <c r="K3" s="19" t="n"/>
      <c r="L3" s="19" t="n"/>
      <c r="M3" s="19" t="n"/>
    </row>
    <row r="4">
      <c r="A4">
        <f>"GAP-"&amp;TEXT(ROW()-2,"000")</f>
        <v/>
      </c>
      <c r="B4" s="19" t="n"/>
      <c r="C4" s="19" t="n"/>
      <c r="D4" s="19" t="n"/>
      <c r="E4" s="19" t="n"/>
      <c r="F4" s="19" t="n"/>
      <c r="G4" s="19" t="n"/>
      <c r="H4" s="19" t="n"/>
      <c r="I4" s="19" t="n"/>
      <c r="J4" s="19" t="n"/>
      <c r="K4" s="19" t="n"/>
      <c r="L4" s="19" t="n"/>
      <c r="M4" s="19" t="n"/>
    </row>
    <row r="5">
      <c r="A5">
        <f>"GAP-"&amp;TEXT(ROW()-2,"000")</f>
        <v/>
      </c>
      <c r="B5" s="19" t="n"/>
      <c r="C5" s="19" t="n"/>
      <c r="D5" s="19" t="n"/>
      <c r="E5" s="19" t="n"/>
      <c r="F5" s="19" t="n"/>
      <c r="G5" s="19" t="n"/>
      <c r="H5" s="19" t="n"/>
      <c r="I5" s="19" t="n"/>
      <c r="J5" s="19" t="n"/>
      <c r="K5" s="19" t="n"/>
      <c r="L5" s="19" t="n"/>
      <c r="M5" s="19" t="n"/>
    </row>
    <row r="6">
      <c r="A6">
        <f>"GAP-"&amp;TEXT(ROW()-2,"000")</f>
        <v/>
      </c>
      <c r="B6" s="19" t="n"/>
      <c r="C6" s="19" t="n"/>
      <c r="D6" s="19" t="n"/>
      <c r="E6" s="19" t="n"/>
      <c r="F6" s="19" t="n"/>
      <c r="G6" s="19" t="n"/>
      <c r="H6" s="19" t="n"/>
      <c r="I6" s="19" t="n"/>
      <c r="J6" s="19" t="n"/>
      <c r="K6" s="19" t="n"/>
      <c r="L6" s="19" t="n"/>
      <c r="M6" s="19" t="n"/>
    </row>
    <row r="7">
      <c r="A7">
        <f>"GAP-"&amp;TEXT(ROW()-2,"000")</f>
        <v/>
      </c>
      <c r="B7" s="19" t="n"/>
      <c r="C7" s="19" t="n"/>
      <c r="D7" s="19" t="n"/>
      <c r="E7" s="19" t="n"/>
      <c r="F7" s="19" t="n"/>
      <c r="G7" s="19" t="n"/>
      <c r="H7" s="19" t="n"/>
      <c r="I7" s="19" t="n"/>
      <c r="J7" s="19" t="n"/>
      <c r="K7" s="19" t="n"/>
      <c r="L7" s="19" t="n"/>
      <c r="M7" s="19" t="n"/>
    </row>
    <row r="8">
      <c r="A8">
        <f>"GAP-"&amp;TEXT(ROW()-2,"000")</f>
        <v/>
      </c>
      <c r="B8" s="19" t="n"/>
      <c r="C8" s="19" t="n"/>
      <c r="D8" s="19" t="n"/>
      <c r="E8" s="19" t="n"/>
      <c r="F8" s="19" t="n"/>
      <c r="G8" s="19" t="n"/>
      <c r="H8" s="19" t="n"/>
      <c r="I8" s="19" t="n"/>
      <c r="J8" s="19" t="n"/>
      <c r="K8" s="19" t="n"/>
      <c r="L8" s="19" t="n"/>
      <c r="M8" s="19" t="n"/>
    </row>
    <row r="9">
      <c r="A9">
        <f>"GAP-"&amp;TEXT(ROW()-2,"000")</f>
        <v/>
      </c>
      <c r="B9" s="19" t="n"/>
      <c r="C9" s="19" t="n"/>
      <c r="D9" s="19" t="n"/>
      <c r="E9" s="19" t="n"/>
      <c r="F9" s="19" t="n"/>
      <c r="G9" s="19" t="n"/>
      <c r="H9" s="19" t="n"/>
      <c r="I9" s="19" t="n"/>
      <c r="J9" s="19" t="n"/>
      <c r="K9" s="19" t="n"/>
      <c r="L9" s="19" t="n"/>
      <c r="M9" s="19" t="n"/>
    </row>
    <row r="10">
      <c r="A10">
        <f>"GAP-"&amp;TEXT(ROW()-2,"000")</f>
        <v/>
      </c>
      <c r="B10" s="19" t="n"/>
      <c r="C10" s="19" t="n"/>
      <c r="D10" s="19" t="n"/>
      <c r="E10" s="19" t="n"/>
      <c r="F10" s="19" t="n"/>
      <c r="G10" s="19" t="n"/>
      <c r="H10" s="19" t="n"/>
      <c r="I10" s="19" t="n"/>
      <c r="J10" s="19" t="n"/>
      <c r="K10" s="19" t="n"/>
      <c r="L10" s="19" t="n"/>
      <c r="M10" s="19" t="n"/>
    </row>
    <row r="11">
      <c r="A11">
        <f>"GAP-"&amp;TEXT(ROW()-2,"000")</f>
        <v/>
      </c>
      <c r="B11" s="19" t="n"/>
      <c r="C11" s="19" t="n"/>
      <c r="D11" s="19" t="n"/>
      <c r="E11" s="19" t="n"/>
      <c r="F11" s="19" t="n"/>
      <c r="G11" s="19" t="n"/>
      <c r="H11" s="19" t="n"/>
      <c r="I11" s="19" t="n"/>
      <c r="J11" s="19" t="n"/>
      <c r="K11" s="19" t="n"/>
      <c r="L11" s="19" t="n"/>
      <c r="M11" s="19" t="n"/>
    </row>
    <row r="12">
      <c r="A12">
        <f>"GAP-"&amp;TEXT(ROW()-2,"000")</f>
        <v/>
      </c>
      <c r="B12" s="19" t="n"/>
      <c r="C12" s="19" t="n"/>
      <c r="D12" s="19" t="n"/>
      <c r="E12" s="19" t="n"/>
      <c r="F12" s="19" t="n"/>
      <c r="G12" s="19" t="n"/>
      <c r="H12" s="19" t="n"/>
      <c r="I12" s="19" t="n"/>
      <c r="J12" s="19" t="n"/>
      <c r="K12" s="19" t="n"/>
      <c r="L12" s="19" t="n"/>
      <c r="M12" s="19" t="n"/>
    </row>
    <row r="13">
      <c r="A13">
        <f>"GAP-"&amp;TEXT(ROW()-2,"000")</f>
        <v/>
      </c>
      <c r="B13" s="19" t="n"/>
      <c r="C13" s="19" t="n"/>
      <c r="D13" s="19" t="n"/>
      <c r="E13" s="19" t="n"/>
      <c r="F13" s="19" t="n"/>
      <c r="G13" s="19" t="n"/>
      <c r="H13" s="19" t="n"/>
      <c r="I13" s="19" t="n"/>
      <c r="J13" s="19" t="n"/>
      <c r="K13" s="19" t="n"/>
      <c r="L13" s="19" t="n"/>
      <c r="M13" s="19" t="n"/>
    </row>
    <row r="14">
      <c r="A14">
        <f>"GAP-"&amp;TEXT(ROW()-2,"000")</f>
        <v/>
      </c>
      <c r="B14" s="19" t="n"/>
      <c r="C14" s="19" t="n"/>
      <c r="D14" s="19" t="n"/>
      <c r="E14" s="19" t="n"/>
      <c r="F14" s="19" t="n"/>
      <c r="G14" s="19" t="n"/>
      <c r="H14" s="19" t="n"/>
      <c r="I14" s="19" t="n"/>
      <c r="J14" s="19" t="n"/>
      <c r="K14" s="19" t="n"/>
      <c r="L14" s="19" t="n"/>
      <c r="M14" s="19" t="n"/>
    </row>
    <row r="15">
      <c r="A15">
        <f>"GAP-"&amp;TEXT(ROW()-2,"000")</f>
        <v/>
      </c>
      <c r="B15" s="19" t="n"/>
      <c r="C15" s="19" t="n"/>
      <c r="D15" s="19" t="n"/>
      <c r="E15" s="19" t="n"/>
      <c r="F15" s="19" t="n"/>
      <c r="G15" s="19" t="n"/>
      <c r="H15" s="19" t="n"/>
      <c r="I15" s="19" t="n"/>
      <c r="J15" s="19" t="n"/>
      <c r="K15" s="19" t="n"/>
      <c r="L15" s="19" t="n"/>
      <c r="M15" s="19" t="n"/>
    </row>
    <row r="16">
      <c r="A16">
        <f>"GAP-"&amp;TEXT(ROW()-2,"000")</f>
        <v/>
      </c>
      <c r="B16" s="19" t="n"/>
      <c r="C16" s="19" t="n"/>
      <c r="D16" s="19" t="n"/>
      <c r="E16" s="19" t="n"/>
      <c r="F16" s="19" t="n"/>
      <c r="G16" s="19" t="n"/>
      <c r="H16" s="19" t="n"/>
      <c r="I16" s="19" t="n"/>
      <c r="J16" s="19" t="n"/>
      <c r="K16" s="19" t="n"/>
      <c r="L16" s="19" t="n"/>
      <c r="M16" s="19" t="n"/>
    </row>
    <row r="17">
      <c r="A17">
        <f>"GAP-"&amp;TEXT(ROW()-2,"000")</f>
        <v/>
      </c>
      <c r="B17" s="19" t="n"/>
      <c r="C17" s="19" t="n"/>
      <c r="D17" s="19" t="n"/>
      <c r="E17" s="19" t="n"/>
      <c r="F17" s="19" t="n"/>
      <c r="G17" s="19" t="n"/>
      <c r="H17" s="19" t="n"/>
      <c r="I17" s="19" t="n"/>
      <c r="J17" s="19" t="n"/>
      <c r="K17" s="19" t="n"/>
      <c r="L17" s="19" t="n"/>
      <c r="M17" s="19" t="n"/>
    </row>
    <row r="18">
      <c r="A18">
        <f>"GAP-"&amp;TEXT(ROW()-2,"000")</f>
        <v/>
      </c>
      <c r="B18" s="19" t="n"/>
      <c r="C18" s="19" t="n"/>
      <c r="D18" s="19" t="n"/>
      <c r="E18" s="19" t="n"/>
      <c r="F18" s="19" t="n"/>
      <c r="G18" s="19" t="n"/>
      <c r="H18" s="19" t="n"/>
      <c r="I18" s="19" t="n"/>
      <c r="J18" s="19" t="n"/>
      <c r="K18" s="19" t="n"/>
      <c r="L18" s="19" t="n"/>
      <c r="M18" s="19" t="n"/>
    </row>
    <row r="19">
      <c r="A19">
        <f>"GAP-"&amp;TEXT(ROW()-2,"000")</f>
        <v/>
      </c>
      <c r="B19" s="19" t="n"/>
      <c r="C19" s="19" t="n"/>
      <c r="D19" s="19" t="n"/>
      <c r="E19" s="19" t="n"/>
      <c r="F19" s="19" t="n"/>
      <c r="G19" s="19" t="n"/>
      <c r="H19" s="19" t="n"/>
      <c r="I19" s="19" t="n"/>
      <c r="J19" s="19" t="n"/>
      <c r="K19" s="19" t="n"/>
      <c r="L19" s="19" t="n"/>
      <c r="M19" s="19" t="n"/>
    </row>
    <row r="20">
      <c r="A20">
        <f>"GAP-"&amp;TEXT(ROW()-2,"000")</f>
        <v/>
      </c>
      <c r="B20" s="19" t="n"/>
      <c r="C20" s="19" t="n"/>
      <c r="D20" s="19" t="n"/>
      <c r="E20" s="19" t="n"/>
      <c r="F20" s="19" t="n"/>
      <c r="G20" s="19" t="n"/>
      <c r="H20" s="19" t="n"/>
      <c r="I20" s="19" t="n"/>
      <c r="J20" s="19" t="n"/>
      <c r="K20" s="19" t="n"/>
      <c r="L20" s="19" t="n"/>
      <c r="M20" s="19" t="n"/>
    </row>
    <row r="21">
      <c r="A21">
        <f>"GAP-"&amp;TEXT(ROW()-2,"000")</f>
        <v/>
      </c>
      <c r="B21" s="19" t="n"/>
      <c r="C21" s="19" t="n"/>
      <c r="D21" s="19" t="n"/>
      <c r="E21" s="19" t="n"/>
      <c r="F21" s="19" t="n"/>
      <c r="G21" s="19" t="n"/>
      <c r="H21" s="19" t="n"/>
      <c r="I21" s="19" t="n"/>
      <c r="J21" s="19" t="n"/>
      <c r="K21" s="19" t="n"/>
      <c r="L21" s="19" t="n"/>
      <c r="M21" s="19" t="n"/>
    </row>
    <row r="22">
      <c r="A22">
        <f>"GAP-"&amp;TEXT(ROW()-2,"000")</f>
        <v/>
      </c>
      <c r="B22" s="19" t="n"/>
      <c r="C22" s="19" t="n"/>
      <c r="D22" s="19" t="n"/>
      <c r="E22" s="19" t="n"/>
      <c r="F22" s="19" t="n"/>
      <c r="G22" s="19" t="n"/>
      <c r="H22" s="19" t="n"/>
      <c r="I22" s="19" t="n"/>
      <c r="J22" s="19" t="n"/>
      <c r="K22" s="19" t="n"/>
      <c r="L22" s="19" t="n"/>
      <c r="M22" s="19" t="n"/>
    </row>
    <row r="23">
      <c r="A23">
        <f>"GAP-"&amp;TEXT(ROW()-2,"000")</f>
        <v/>
      </c>
      <c r="B23" s="19" t="n"/>
      <c r="C23" s="19" t="n"/>
      <c r="D23" s="19" t="n"/>
      <c r="E23" s="19" t="n"/>
      <c r="F23" s="19" t="n"/>
      <c r="G23" s="19" t="n"/>
      <c r="H23" s="19" t="n"/>
      <c r="I23" s="19" t="n"/>
      <c r="J23" s="19" t="n"/>
      <c r="K23" s="19" t="n"/>
      <c r="L23" s="19" t="n"/>
      <c r="M23" s="19" t="n"/>
    </row>
    <row r="24">
      <c r="A24">
        <f>"GAP-"&amp;TEXT(ROW()-2,"000")</f>
        <v/>
      </c>
      <c r="B24" s="19" t="n"/>
      <c r="C24" s="19" t="n"/>
      <c r="D24" s="19" t="n"/>
      <c r="E24" s="19" t="n"/>
      <c r="F24" s="19" t="n"/>
      <c r="G24" s="19" t="n"/>
      <c r="H24" s="19" t="n"/>
      <c r="I24" s="19" t="n"/>
      <c r="J24" s="19" t="n"/>
      <c r="K24" s="19" t="n"/>
      <c r="L24" s="19" t="n"/>
      <c r="M24" s="19" t="n"/>
    </row>
    <row r="25">
      <c r="A25">
        <f>"GAP-"&amp;TEXT(ROW()-2,"000")</f>
        <v/>
      </c>
      <c r="B25" s="19" t="n"/>
      <c r="C25" s="19" t="n"/>
      <c r="D25" s="19" t="n"/>
      <c r="E25" s="19" t="n"/>
      <c r="F25" s="19" t="n"/>
      <c r="G25" s="19" t="n"/>
      <c r="H25" s="19" t="n"/>
      <c r="I25" s="19" t="n"/>
      <c r="J25" s="19" t="n"/>
      <c r="K25" s="19" t="n"/>
      <c r="L25" s="19" t="n"/>
      <c r="M25" s="19" t="n"/>
    </row>
    <row r="26">
      <c r="A26">
        <f>"GAP-"&amp;TEXT(ROW()-2,"000")</f>
        <v/>
      </c>
      <c r="B26" s="19" t="n"/>
      <c r="C26" s="19" t="n"/>
      <c r="D26" s="19" t="n"/>
      <c r="E26" s="19" t="n"/>
      <c r="F26" s="19" t="n"/>
      <c r="G26" s="19" t="n"/>
      <c r="H26" s="19" t="n"/>
      <c r="I26" s="19" t="n"/>
      <c r="J26" s="19" t="n"/>
      <c r="K26" s="19" t="n"/>
      <c r="L26" s="19" t="n"/>
      <c r="M26" s="19" t="n"/>
    </row>
    <row r="27">
      <c r="A27">
        <f>"GAP-"&amp;TEXT(ROW()-2,"000")</f>
        <v/>
      </c>
      <c r="B27" s="19" t="n"/>
      <c r="C27" s="19" t="n"/>
      <c r="D27" s="19" t="n"/>
      <c r="E27" s="19" t="n"/>
      <c r="F27" s="19" t="n"/>
      <c r="G27" s="19" t="n"/>
      <c r="H27" s="19" t="n"/>
      <c r="I27" s="19" t="n"/>
      <c r="J27" s="19" t="n"/>
      <c r="K27" s="19" t="n"/>
      <c r="L27" s="19" t="n"/>
      <c r="M27" s="19" t="n"/>
    </row>
    <row r="28">
      <c r="A28">
        <f>"GAP-"&amp;TEXT(ROW()-2,"000")</f>
        <v/>
      </c>
      <c r="B28" s="19" t="n"/>
      <c r="C28" s="19" t="n"/>
      <c r="D28" s="19" t="n"/>
      <c r="E28" s="19" t="n"/>
      <c r="F28" s="19" t="n"/>
      <c r="G28" s="19" t="n"/>
      <c r="H28" s="19" t="n"/>
      <c r="I28" s="19" t="n"/>
      <c r="J28" s="19" t="n"/>
      <c r="K28" s="19" t="n"/>
      <c r="L28" s="19" t="n"/>
      <c r="M28" s="19" t="n"/>
    </row>
    <row r="29">
      <c r="A29">
        <f>"GAP-"&amp;TEXT(ROW()-2,"000")</f>
        <v/>
      </c>
      <c r="B29" s="19" t="n"/>
      <c r="C29" s="19" t="n"/>
      <c r="D29" s="19" t="n"/>
      <c r="E29" s="19" t="n"/>
      <c r="F29" s="19" t="n"/>
      <c r="G29" s="19" t="n"/>
      <c r="H29" s="19" t="n"/>
      <c r="I29" s="19" t="n"/>
      <c r="J29" s="19" t="n"/>
      <c r="K29" s="19" t="n"/>
      <c r="L29" s="19" t="n"/>
      <c r="M29" s="19" t="n"/>
    </row>
    <row r="30">
      <c r="A30">
        <f>"GAP-"&amp;TEXT(ROW()-2,"000")</f>
        <v/>
      </c>
      <c r="B30" s="19" t="n"/>
      <c r="C30" s="19" t="n"/>
      <c r="D30" s="19" t="n"/>
      <c r="E30" s="19" t="n"/>
      <c r="F30" s="19" t="n"/>
      <c r="G30" s="19" t="n"/>
      <c r="H30" s="19" t="n"/>
      <c r="I30" s="19" t="n"/>
      <c r="J30" s="19" t="n"/>
      <c r="K30" s="19" t="n"/>
      <c r="L30" s="19" t="n"/>
      <c r="M30" s="19" t="n"/>
    </row>
    <row r="31">
      <c r="A31">
        <f>"GAP-"&amp;TEXT(ROW()-2,"000")</f>
        <v/>
      </c>
      <c r="B31" s="19" t="n"/>
      <c r="C31" s="19" t="n"/>
      <c r="D31" s="19" t="n"/>
      <c r="E31" s="19" t="n"/>
      <c r="F31" s="19" t="n"/>
      <c r="G31" s="19" t="n"/>
      <c r="H31" s="19" t="n"/>
      <c r="I31" s="19" t="n"/>
      <c r="J31" s="19" t="n"/>
      <c r="K31" s="19" t="n"/>
      <c r="L31" s="19" t="n"/>
      <c r="M31" s="19" t="n"/>
    </row>
    <row r="32">
      <c r="A32">
        <f>"GAP-"&amp;TEXT(ROW()-2,"000")</f>
        <v/>
      </c>
      <c r="B32" s="19" t="n"/>
      <c r="C32" s="19" t="n"/>
      <c r="D32" s="19" t="n"/>
      <c r="E32" s="19" t="n"/>
      <c r="F32" s="19" t="n"/>
      <c r="G32" s="19" t="n"/>
      <c r="H32" s="19" t="n"/>
      <c r="I32" s="19" t="n"/>
      <c r="J32" s="19" t="n"/>
      <c r="K32" s="19" t="n"/>
      <c r="L32" s="19" t="n"/>
      <c r="M32" s="19" t="n"/>
    </row>
    <row r="33">
      <c r="A33">
        <f>"GAP-"&amp;TEXT(ROW()-2,"000")</f>
        <v/>
      </c>
      <c r="B33" s="19" t="n"/>
      <c r="C33" s="19" t="n"/>
      <c r="D33" s="19" t="n"/>
      <c r="E33" s="19" t="n"/>
      <c r="F33" s="19" t="n"/>
      <c r="G33" s="19" t="n"/>
      <c r="H33" s="19" t="n"/>
      <c r="I33" s="19" t="n"/>
      <c r="J33" s="19" t="n"/>
      <c r="K33" s="19" t="n"/>
      <c r="L33" s="19" t="n"/>
      <c r="M33" s="19" t="n"/>
    </row>
    <row r="34">
      <c r="A34">
        <f>"GAP-"&amp;TEXT(ROW()-2,"000")</f>
        <v/>
      </c>
      <c r="B34" s="19" t="n"/>
      <c r="C34" s="19" t="n"/>
      <c r="D34" s="19" t="n"/>
      <c r="E34" s="19" t="n"/>
      <c r="F34" s="19" t="n"/>
      <c r="G34" s="19" t="n"/>
      <c r="H34" s="19" t="n"/>
      <c r="I34" s="19" t="n"/>
      <c r="J34" s="19" t="n"/>
      <c r="K34" s="19" t="n"/>
      <c r="L34" s="19" t="n"/>
      <c r="M34" s="19" t="n"/>
    </row>
    <row r="35">
      <c r="A35">
        <f>"GAP-"&amp;TEXT(ROW()-2,"000")</f>
        <v/>
      </c>
      <c r="B35" s="19" t="n"/>
      <c r="C35" s="19" t="n"/>
      <c r="D35" s="19" t="n"/>
      <c r="E35" s="19" t="n"/>
      <c r="F35" s="19" t="n"/>
      <c r="G35" s="19" t="n"/>
      <c r="H35" s="19" t="n"/>
      <c r="I35" s="19" t="n"/>
      <c r="J35" s="19" t="n"/>
      <c r="K35" s="19" t="n"/>
      <c r="L35" s="19" t="n"/>
      <c r="M35" s="19" t="n"/>
    </row>
    <row r="36">
      <c r="A36">
        <f>"GAP-"&amp;TEXT(ROW()-2,"000")</f>
        <v/>
      </c>
      <c r="B36" s="19" t="n"/>
      <c r="C36" s="19" t="n"/>
      <c r="D36" s="19" t="n"/>
      <c r="E36" s="19" t="n"/>
      <c r="F36" s="19" t="n"/>
      <c r="G36" s="19" t="n"/>
      <c r="H36" s="19" t="n"/>
      <c r="I36" s="19" t="n"/>
      <c r="J36" s="19" t="n"/>
      <c r="K36" s="19" t="n"/>
      <c r="L36" s="19" t="n"/>
      <c r="M36" s="19" t="n"/>
    </row>
    <row r="37">
      <c r="A37">
        <f>"GAP-"&amp;TEXT(ROW()-2,"000")</f>
        <v/>
      </c>
      <c r="B37" s="19" t="n"/>
      <c r="C37" s="19" t="n"/>
      <c r="D37" s="19" t="n"/>
      <c r="E37" s="19" t="n"/>
      <c r="F37" s="19" t="n"/>
      <c r="G37" s="19" t="n"/>
      <c r="H37" s="19" t="n"/>
      <c r="I37" s="19" t="n"/>
      <c r="J37" s="19" t="n"/>
      <c r="K37" s="19" t="n"/>
      <c r="L37" s="19" t="n"/>
      <c r="M37" s="19" t="n"/>
    </row>
    <row r="38">
      <c r="A38">
        <f>"GAP-"&amp;TEXT(ROW()-2,"000")</f>
        <v/>
      </c>
      <c r="B38" s="19" t="n"/>
      <c r="C38" s="19" t="n"/>
      <c r="D38" s="19" t="n"/>
      <c r="E38" s="19" t="n"/>
      <c r="F38" s="19" t="n"/>
      <c r="G38" s="19" t="n"/>
      <c r="H38" s="19" t="n"/>
      <c r="I38" s="19" t="n"/>
      <c r="J38" s="19" t="n"/>
      <c r="K38" s="19" t="n"/>
      <c r="L38" s="19" t="n"/>
      <c r="M38" s="19" t="n"/>
    </row>
    <row r="39">
      <c r="A39">
        <f>"GAP-"&amp;TEXT(ROW()-2,"000")</f>
        <v/>
      </c>
      <c r="B39" s="19" t="n"/>
      <c r="C39" s="19" t="n"/>
      <c r="D39" s="19" t="n"/>
      <c r="E39" s="19" t="n"/>
      <c r="F39" s="19" t="n"/>
      <c r="G39" s="19" t="n"/>
      <c r="H39" s="19" t="n"/>
      <c r="I39" s="19" t="n"/>
      <c r="J39" s="19" t="n"/>
      <c r="K39" s="19" t="n"/>
      <c r="L39" s="19" t="n"/>
      <c r="M39" s="19" t="n"/>
    </row>
    <row r="40">
      <c r="A40">
        <f>"GAP-"&amp;TEXT(ROW()-2,"000")</f>
        <v/>
      </c>
      <c r="B40" s="19" t="n"/>
      <c r="C40" s="19" t="n"/>
      <c r="D40" s="19" t="n"/>
      <c r="E40" s="19" t="n"/>
      <c r="F40" s="19" t="n"/>
      <c r="G40" s="19" t="n"/>
      <c r="H40" s="19" t="n"/>
      <c r="I40" s="19" t="n"/>
      <c r="J40" s="19" t="n"/>
      <c r="K40" s="19" t="n"/>
      <c r="L40" s="19" t="n"/>
      <c r="M40" s="19" t="n"/>
    </row>
    <row r="41">
      <c r="A41">
        <f>"GAP-"&amp;TEXT(ROW()-2,"000")</f>
        <v/>
      </c>
      <c r="B41" s="19" t="n"/>
      <c r="C41" s="19" t="n"/>
      <c r="D41" s="19" t="n"/>
      <c r="E41" s="19" t="n"/>
      <c r="F41" s="19" t="n"/>
      <c r="G41" s="19" t="n"/>
      <c r="H41" s="19" t="n"/>
      <c r="I41" s="19" t="n"/>
      <c r="J41" s="19" t="n"/>
      <c r="K41" s="19" t="n"/>
      <c r="L41" s="19" t="n"/>
      <c r="M41" s="19" t="n"/>
    </row>
    <row r="42">
      <c r="A42">
        <f>"GAP-"&amp;TEXT(ROW()-2,"000")</f>
        <v/>
      </c>
      <c r="B42" s="19" t="n"/>
      <c r="C42" s="19" t="n"/>
      <c r="D42" s="19" t="n"/>
      <c r="E42" s="19" t="n"/>
      <c r="F42" s="19" t="n"/>
      <c r="G42" s="19" t="n"/>
      <c r="H42" s="19" t="n"/>
      <c r="I42" s="19" t="n"/>
      <c r="J42" s="19" t="n"/>
      <c r="K42" s="19" t="n"/>
      <c r="L42" s="19" t="n"/>
      <c r="M42" s="19" t="n"/>
    </row>
    <row r="43">
      <c r="A43">
        <f>"GAP-"&amp;TEXT(ROW()-2,"000")</f>
        <v/>
      </c>
      <c r="B43" s="19" t="n"/>
      <c r="C43" s="19" t="n"/>
      <c r="D43" s="19" t="n"/>
      <c r="E43" s="19" t="n"/>
      <c r="F43" s="19" t="n"/>
      <c r="G43" s="19" t="n"/>
      <c r="H43" s="19" t="n"/>
      <c r="I43" s="19" t="n"/>
      <c r="J43" s="19" t="n"/>
      <c r="K43" s="19" t="n"/>
      <c r="L43" s="19" t="n"/>
      <c r="M43" s="19" t="n"/>
    </row>
    <row r="44">
      <c r="A44">
        <f>"GAP-"&amp;TEXT(ROW()-2,"000")</f>
        <v/>
      </c>
      <c r="B44" s="19" t="n"/>
      <c r="C44" s="19" t="n"/>
      <c r="D44" s="19" t="n"/>
      <c r="E44" s="19" t="n"/>
      <c r="F44" s="19" t="n"/>
      <c r="G44" s="19" t="n"/>
      <c r="H44" s="19" t="n"/>
      <c r="I44" s="19" t="n"/>
      <c r="J44" s="19" t="n"/>
      <c r="K44" s="19" t="n"/>
      <c r="L44" s="19" t="n"/>
      <c r="M44" s="19" t="n"/>
    </row>
    <row r="45">
      <c r="A45">
        <f>"GAP-"&amp;TEXT(ROW()-2,"000")</f>
        <v/>
      </c>
      <c r="B45" s="19" t="n"/>
      <c r="C45" s="19" t="n"/>
      <c r="D45" s="19" t="n"/>
      <c r="E45" s="19" t="n"/>
      <c r="F45" s="19" t="n"/>
      <c r="G45" s="19" t="n"/>
      <c r="H45" s="19" t="n"/>
      <c r="I45" s="19" t="n"/>
      <c r="J45" s="19" t="n"/>
      <c r="K45" s="19" t="n"/>
      <c r="L45" s="19" t="n"/>
      <c r="M45" s="19" t="n"/>
    </row>
    <row r="46">
      <c r="A46">
        <f>"GAP-"&amp;TEXT(ROW()-2,"000")</f>
        <v/>
      </c>
      <c r="B46" s="19" t="n"/>
      <c r="C46" s="19" t="n"/>
      <c r="D46" s="19" t="n"/>
      <c r="E46" s="19" t="n"/>
      <c r="F46" s="19" t="n"/>
      <c r="G46" s="19" t="n"/>
      <c r="H46" s="19" t="n"/>
      <c r="I46" s="19" t="n"/>
      <c r="J46" s="19" t="n"/>
      <c r="K46" s="19" t="n"/>
      <c r="L46" s="19" t="n"/>
      <c r="M46" s="19" t="n"/>
    </row>
    <row r="47">
      <c r="A47">
        <f>"GAP-"&amp;TEXT(ROW()-2,"000")</f>
        <v/>
      </c>
      <c r="B47" s="19" t="n"/>
      <c r="C47" s="19" t="n"/>
      <c r="D47" s="19" t="n"/>
      <c r="E47" s="19" t="n"/>
      <c r="F47" s="19" t="n"/>
      <c r="G47" s="19" t="n"/>
      <c r="H47" s="19" t="n"/>
      <c r="I47" s="19" t="n"/>
      <c r="J47" s="19" t="n"/>
      <c r="K47" s="19" t="n"/>
      <c r="L47" s="19" t="n"/>
      <c r="M47" s="19" t="n"/>
    </row>
    <row r="48">
      <c r="A48">
        <f>"GAP-"&amp;TEXT(ROW()-2,"000")</f>
        <v/>
      </c>
      <c r="B48" s="19" t="n"/>
      <c r="C48" s="19" t="n"/>
      <c r="D48" s="19" t="n"/>
      <c r="E48" s="19" t="n"/>
      <c r="F48" s="19" t="n"/>
      <c r="G48" s="19" t="n"/>
      <c r="H48" s="19" t="n"/>
      <c r="I48" s="19" t="n"/>
      <c r="J48" s="19" t="n"/>
      <c r="K48" s="19" t="n"/>
      <c r="L48" s="19" t="n"/>
      <c r="M48" s="19" t="n"/>
    </row>
    <row r="49">
      <c r="A49">
        <f>"GAP-"&amp;TEXT(ROW()-2,"000")</f>
        <v/>
      </c>
      <c r="B49" s="19" t="n"/>
      <c r="C49" s="19" t="n"/>
      <c r="D49" s="19" t="n"/>
      <c r="E49" s="19" t="n"/>
      <c r="F49" s="19" t="n"/>
      <c r="G49" s="19" t="n"/>
      <c r="H49" s="19" t="n"/>
      <c r="I49" s="19" t="n"/>
      <c r="J49" s="19" t="n"/>
      <c r="K49" s="19" t="n"/>
      <c r="L49" s="19" t="n"/>
      <c r="M49" s="19" t="n"/>
    </row>
    <row r="50">
      <c r="A50">
        <f>"GAP-"&amp;TEXT(ROW()-2,"000")</f>
        <v/>
      </c>
      <c r="B50" s="19" t="n"/>
      <c r="C50" s="19" t="n"/>
      <c r="D50" s="19" t="n"/>
      <c r="E50" s="19" t="n"/>
      <c r="F50" s="19" t="n"/>
      <c r="G50" s="19" t="n"/>
      <c r="H50" s="19" t="n"/>
      <c r="I50" s="19" t="n"/>
      <c r="J50" s="19" t="n"/>
      <c r="K50" s="19" t="n"/>
      <c r="L50" s="19" t="n"/>
      <c r="M50" s="19" t="n"/>
    </row>
    <row r="51">
      <c r="A51">
        <f>"GAP-"&amp;TEXT(ROW()-2,"000")</f>
        <v/>
      </c>
      <c r="B51" s="19" t="n"/>
      <c r="C51" s="19" t="n"/>
      <c r="D51" s="19" t="n"/>
      <c r="E51" s="19" t="n"/>
      <c r="F51" s="19" t="n"/>
      <c r="G51" s="19" t="n"/>
      <c r="H51" s="19" t="n"/>
      <c r="I51" s="19" t="n"/>
      <c r="J51" s="19" t="n"/>
      <c r="K51" s="19" t="n"/>
      <c r="L51" s="19" t="n"/>
      <c r="M51" s="19" t="n"/>
    </row>
    <row r="52">
      <c r="A52">
        <f>"GAP-"&amp;TEXT(ROW()-2,"000")</f>
        <v/>
      </c>
      <c r="B52" s="19" t="n"/>
      <c r="C52" s="19" t="n"/>
      <c r="D52" s="19" t="n"/>
      <c r="E52" s="19" t="n"/>
      <c r="F52" s="19" t="n"/>
      <c r="G52" s="19" t="n"/>
      <c r="H52" s="19" t="n"/>
      <c r="I52" s="19" t="n"/>
      <c r="J52" s="19" t="n"/>
      <c r="K52" s="19" t="n"/>
      <c r="L52" s="19" t="n"/>
      <c r="M52" s="19" t="n"/>
    </row>
    <row r="53">
      <c r="A53">
        <f>"GAP-"&amp;TEXT(ROW()-2,"000")</f>
        <v/>
      </c>
      <c r="B53" s="19" t="n"/>
      <c r="C53" s="19" t="n"/>
      <c r="D53" s="19" t="n"/>
      <c r="E53" s="19" t="n"/>
      <c r="F53" s="19" t="n"/>
      <c r="G53" s="19" t="n"/>
      <c r="H53" s="19" t="n"/>
      <c r="I53" s="19" t="n"/>
      <c r="J53" s="19" t="n"/>
      <c r="K53" s="19" t="n"/>
      <c r="L53" s="19" t="n"/>
      <c r="M53" s="19" t="n"/>
    </row>
    <row r="54">
      <c r="A54">
        <f>"GAP-"&amp;TEXT(ROW()-2,"000")</f>
        <v/>
      </c>
      <c r="B54" s="19" t="n"/>
      <c r="C54" s="19" t="n"/>
      <c r="D54" s="19" t="n"/>
      <c r="E54" s="19" t="n"/>
      <c r="F54" s="19" t="n"/>
      <c r="G54" s="19" t="n"/>
      <c r="H54" s="19" t="n"/>
      <c r="I54" s="19" t="n"/>
      <c r="J54" s="19" t="n"/>
      <c r="K54" s="19" t="n"/>
      <c r="L54" s="19" t="n"/>
      <c r="M54" s="19" t="n"/>
    </row>
    <row r="55">
      <c r="A55">
        <f>"GAP-"&amp;TEXT(ROW()-2,"000")</f>
        <v/>
      </c>
      <c r="B55" s="19" t="n"/>
      <c r="C55" s="19" t="n"/>
      <c r="D55" s="19" t="n"/>
      <c r="E55" s="19" t="n"/>
      <c r="F55" s="19" t="n"/>
      <c r="G55" s="19" t="n"/>
      <c r="H55" s="19" t="n"/>
      <c r="I55" s="19" t="n"/>
      <c r="J55" s="19" t="n"/>
      <c r="K55" s="19" t="n"/>
      <c r="L55" s="19" t="n"/>
      <c r="M55" s="19" t="n"/>
    </row>
    <row r="56">
      <c r="A56">
        <f>"GAP-"&amp;TEXT(ROW()-2,"000")</f>
        <v/>
      </c>
      <c r="B56" s="19" t="n"/>
      <c r="C56" s="19" t="n"/>
      <c r="D56" s="19" t="n"/>
      <c r="E56" s="19" t="n"/>
      <c r="F56" s="19" t="n"/>
      <c r="G56" s="19" t="n"/>
      <c r="H56" s="19" t="n"/>
      <c r="I56" s="19" t="n"/>
      <c r="J56" s="19" t="n"/>
      <c r="K56" s="19" t="n"/>
      <c r="L56" s="19" t="n"/>
      <c r="M56" s="19" t="n"/>
    </row>
    <row r="57">
      <c r="A57">
        <f>"GAP-"&amp;TEXT(ROW()-2,"000")</f>
        <v/>
      </c>
      <c r="B57" s="19" t="n"/>
      <c r="C57" s="19" t="n"/>
      <c r="D57" s="19" t="n"/>
      <c r="E57" s="19" t="n"/>
      <c r="F57" s="19" t="n"/>
      <c r="G57" s="19" t="n"/>
      <c r="H57" s="19" t="n"/>
      <c r="I57" s="19" t="n"/>
      <c r="J57" s="19" t="n"/>
      <c r="K57" s="19" t="n"/>
      <c r="L57" s="19" t="n"/>
      <c r="M57" s="19" t="n"/>
    </row>
    <row r="58">
      <c r="A58">
        <f>"GAP-"&amp;TEXT(ROW()-2,"000")</f>
        <v/>
      </c>
      <c r="B58" s="19" t="n"/>
      <c r="C58" s="19" t="n"/>
      <c r="D58" s="19" t="n"/>
      <c r="E58" s="19" t="n"/>
      <c r="F58" s="19" t="n"/>
      <c r="G58" s="19" t="n"/>
      <c r="H58" s="19" t="n"/>
      <c r="I58" s="19" t="n"/>
      <c r="J58" s="19" t="n"/>
      <c r="K58" s="19" t="n"/>
      <c r="L58" s="19" t="n"/>
      <c r="M58" s="19" t="n"/>
    </row>
    <row r="59">
      <c r="A59">
        <f>"GAP-"&amp;TEXT(ROW()-2,"000")</f>
        <v/>
      </c>
      <c r="B59" s="19" t="n"/>
      <c r="C59" s="19" t="n"/>
      <c r="D59" s="19" t="n"/>
      <c r="E59" s="19" t="n"/>
      <c r="F59" s="19" t="n"/>
      <c r="G59" s="19" t="n"/>
      <c r="H59" s="19" t="n"/>
      <c r="I59" s="19" t="n"/>
      <c r="J59" s="19" t="n"/>
      <c r="K59" s="19" t="n"/>
      <c r="L59" s="19" t="n"/>
      <c r="M59" s="19" t="n"/>
    </row>
    <row r="60">
      <c r="A60">
        <f>"GAP-"&amp;TEXT(ROW()-2,"000")</f>
        <v/>
      </c>
      <c r="B60" s="19" t="n"/>
      <c r="C60" s="19" t="n"/>
      <c r="D60" s="19" t="n"/>
      <c r="E60" s="19" t="n"/>
      <c r="F60" s="19" t="n"/>
      <c r="G60" s="19" t="n"/>
      <c r="H60" s="19" t="n"/>
      <c r="I60" s="19" t="n"/>
      <c r="J60" s="19" t="n"/>
      <c r="K60" s="19" t="n"/>
      <c r="L60" s="19" t="n"/>
      <c r="M60" s="19" t="n"/>
    </row>
    <row r="61">
      <c r="A61">
        <f>"GAP-"&amp;TEXT(ROW()-2,"000")</f>
        <v/>
      </c>
      <c r="B61" s="19" t="n"/>
      <c r="C61" s="19" t="n"/>
      <c r="D61" s="19" t="n"/>
      <c r="E61" s="19" t="n"/>
      <c r="F61" s="19" t="n"/>
      <c r="G61" s="19" t="n"/>
      <c r="H61" s="19" t="n"/>
      <c r="I61" s="19" t="n"/>
      <c r="J61" s="19" t="n"/>
      <c r="K61" s="19" t="n"/>
      <c r="L61" s="19" t="n"/>
      <c r="M61" s="19" t="n"/>
    </row>
    <row r="62">
      <c r="A62">
        <f>"GAP-"&amp;TEXT(ROW()-2,"000")</f>
        <v/>
      </c>
      <c r="B62" s="19" t="n"/>
      <c r="C62" s="19" t="n"/>
      <c r="D62" s="19" t="n"/>
      <c r="E62" s="19" t="n"/>
      <c r="F62" s="19" t="n"/>
      <c r="G62" s="19" t="n"/>
      <c r="H62" s="19" t="n"/>
      <c r="I62" s="19" t="n"/>
      <c r="J62" s="19" t="n"/>
      <c r="K62" s="19" t="n"/>
      <c r="L62" s="19" t="n"/>
      <c r="M62" s="19" t="n"/>
    </row>
    <row r="63">
      <c r="A63">
        <f>"GAP-"&amp;TEXT(ROW()-2,"000")</f>
        <v/>
      </c>
      <c r="B63" s="19" t="n"/>
      <c r="C63" s="19" t="n"/>
      <c r="D63" s="19" t="n"/>
      <c r="E63" s="19" t="n"/>
      <c r="F63" s="19" t="n"/>
      <c r="G63" s="19" t="n"/>
      <c r="H63" s="19" t="n"/>
      <c r="I63" s="19" t="n"/>
      <c r="J63" s="19" t="n"/>
      <c r="K63" s="19" t="n"/>
      <c r="L63" s="19" t="n"/>
      <c r="M63" s="19" t="n"/>
    </row>
    <row r="64">
      <c r="A64">
        <f>"GAP-"&amp;TEXT(ROW()-2,"000")</f>
        <v/>
      </c>
      <c r="B64" s="19" t="n"/>
      <c r="C64" s="19" t="n"/>
      <c r="D64" s="19" t="n"/>
      <c r="E64" s="19" t="n"/>
      <c r="F64" s="19" t="n"/>
      <c r="G64" s="19" t="n"/>
      <c r="H64" s="19" t="n"/>
      <c r="I64" s="19" t="n"/>
      <c r="J64" s="19" t="n"/>
      <c r="K64" s="19" t="n"/>
      <c r="L64" s="19" t="n"/>
      <c r="M64" s="19" t="n"/>
    </row>
    <row r="65">
      <c r="A65">
        <f>"GAP-"&amp;TEXT(ROW()-2,"000")</f>
        <v/>
      </c>
      <c r="B65" s="19" t="n"/>
      <c r="C65" s="19" t="n"/>
      <c r="D65" s="19" t="n"/>
      <c r="E65" s="19" t="n"/>
      <c r="F65" s="19" t="n"/>
      <c r="G65" s="19" t="n"/>
      <c r="H65" s="19" t="n"/>
      <c r="I65" s="19" t="n"/>
      <c r="J65" s="19" t="n"/>
      <c r="K65" s="19" t="n"/>
      <c r="L65" s="19" t="n"/>
      <c r="M65" s="19" t="n"/>
    </row>
    <row r="66">
      <c r="A66">
        <f>"GAP-"&amp;TEXT(ROW()-2,"000")</f>
        <v/>
      </c>
      <c r="B66" s="19" t="n"/>
      <c r="C66" s="19" t="n"/>
      <c r="D66" s="19" t="n"/>
      <c r="E66" s="19" t="n"/>
      <c r="F66" s="19" t="n"/>
      <c r="G66" s="19" t="n"/>
      <c r="H66" s="19" t="n"/>
      <c r="I66" s="19" t="n"/>
      <c r="J66" s="19" t="n"/>
      <c r="K66" s="19" t="n"/>
      <c r="L66" s="19" t="n"/>
      <c r="M66" s="19" t="n"/>
    </row>
    <row r="67">
      <c r="A67">
        <f>"GAP-"&amp;TEXT(ROW()-2,"000")</f>
        <v/>
      </c>
      <c r="B67" s="19" t="n"/>
      <c r="C67" s="19" t="n"/>
      <c r="D67" s="19" t="n"/>
      <c r="E67" s="19" t="n"/>
      <c r="F67" s="19" t="n"/>
      <c r="G67" s="19" t="n"/>
      <c r="H67" s="19" t="n"/>
      <c r="I67" s="19" t="n"/>
      <c r="J67" s="19" t="n"/>
      <c r="K67" s="19" t="n"/>
      <c r="L67" s="19" t="n"/>
      <c r="M67" s="19" t="n"/>
    </row>
    <row r="68">
      <c r="A68">
        <f>"GAP-"&amp;TEXT(ROW()-2,"000")</f>
        <v/>
      </c>
      <c r="B68" s="19" t="n"/>
      <c r="C68" s="19" t="n"/>
      <c r="D68" s="19" t="n"/>
      <c r="E68" s="19" t="n"/>
      <c r="F68" s="19" t="n"/>
      <c r="G68" s="19" t="n"/>
      <c r="H68" s="19" t="n"/>
      <c r="I68" s="19" t="n"/>
      <c r="J68" s="19" t="n"/>
      <c r="K68" s="19" t="n"/>
      <c r="L68" s="19" t="n"/>
      <c r="M68" s="19" t="n"/>
    </row>
    <row r="69">
      <c r="A69">
        <f>"GAP-"&amp;TEXT(ROW()-2,"000")</f>
        <v/>
      </c>
      <c r="B69" s="19" t="n"/>
      <c r="C69" s="19" t="n"/>
      <c r="D69" s="19" t="n"/>
      <c r="E69" s="19" t="n"/>
      <c r="F69" s="19" t="n"/>
      <c r="G69" s="19" t="n"/>
      <c r="H69" s="19" t="n"/>
      <c r="I69" s="19" t="n"/>
      <c r="J69" s="19" t="n"/>
      <c r="K69" s="19" t="n"/>
      <c r="L69" s="19" t="n"/>
      <c r="M69" s="19" t="n"/>
    </row>
    <row r="70">
      <c r="A70">
        <f>"GAP-"&amp;TEXT(ROW()-2,"000")</f>
        <v/>
      </c>
      <c r="B70" s="19" t="n"/>
      <c r="C70" s="19" t="n"/>
      <c r="D70" s="19" t="n"/>
      <c r="E70" s="19" t="n"/>
      <c r="F70" s="19" t="n"/>
      <c r="G70" s="19" t="n"/>
      <c r="H70" s="19" t="n"/>
      <c r="I70" s="19" t="n"/>
      <c r="J70" s="19" t="n"/>
      <c r="K70" s="19" t="n"/>
      <c r="L70" s="19" t="n"/>
      <c r="M70" s="19" t="n"/>
    </row>
    <row r="71">
      <c r="A71">
        <f>"GAP-"&amp;TEXT(ROW()-2,"000")</f>
        <v/>
      </c>
      <c r="B71" s="19" t="n"/>
      <c r="C71" s="19" t="n"/>
      <c r="D71" s="19" t="n"/>
      <c r="E71" s="19" t="n"/>
      <c r="F71" s="19" t="n"/>
      <c r="G71" s="19" t="n"/>
      <c r="H71" s="19" t="n"/>
      <c r="I71" s="19" t="n"/>
      <c r="J71" s="19" t="n"/>
      <c r="K71" s="19" t="n"/>
      <c r="L71" s="19" t="n"/>
      <c r="M71" s="19" t="n"/>
    </row>
    <row r="72">
      <c r="A72">
        <f>"GAP-"&amp;TEXT(ROW()-2,"000")</f>
        <v/>
      </c>
      <c r="B72" s="19" t="n"/>
      <c r="C72" s="19" t="n"/>
      <c r="D72" s="19" t="n"/>
      <c r="E72" s="19" t="n"/>
      <c r="F72" s="19" t="n"/>
      <c r="G72" s="19" t="n"/>
      <c r="H72" s="19" t="n"/>
      <c r="I72" s="19" t="n"/>
      <c r="J72" s="19" t="n"/>
      <c r="K72" s="19" t="n"/>
      <c r="L72" s="19" t="n"/>
      <c r="M72" s="19" t="n"/>
    </row>
    <row r="73">
      <c r="A73">
        <f>"GAP-"&amp;TEXT(ROW()-2,"000")</f>
        <v/>
      </c>
      <c r="B73" s="19" t="n"/>
      <c r="C73" s="19" t="n"/>
      <c r="D73" s="19" t="n"/>
      <c r="E73" s="19" t="n"/>
      <c r="F73" s="19" t="n"/>
      <c r="G73" s="19" t="n"/>
      <c r="H73" s="19" t="n"/>
      <c r="I73" s="19" t="n"/>
      <c r="J73" s="19" t="n"/>
      <c r="K73" s="19" t="n"/>
      <c r="L73" s="19" t="n"/>
      <c r="M73" s="19" t="n"/>
    </row>
    <row r="74">
      <c r="A74">
        <f>"GAP-"&amp;TEXT(ROW()-2,"000")</f>
        <v/>
      </c>
      <c r="B74" s="19" t="n"/>
      <c r="C74" s="19" t="n"/>
      <c r="D74" s="19" t="n"/>
      <c r="E74" s="19" t="n"/>
      <c r="F74" s="19" t="n"/>
      <c r="G74" s="19" t="n"/>
      <c r="H74" s="19" t="n"/>
      <c r="I74" s="19" t="n"/>
      <c r="J74" s="19" t="n"/>
      <c r="K74" s="19" t="n"/>
      <c r="L74" s="19" t="n"/>
      <c r="M74" s="19" t="n"/>
    </row>
    <row r="75">
      <c r="A75">
        <f>"GAP-"&amp;TEXT(ROW()-2,"000")</f>
        <v/>
      </c>
      <c r="B75" s="19" t="n"/>
      <c r="C75" s="19" t="n"/>
      <c r="D75" s="19" t="n"/>
      <c r="E75" s="19" t="n"/>
      <c r="F75" s="19" t="n"/>
      <c r="G75" s="19" t="n"/>
      <c r="H75" s="19" t="n"/>
      <c r="I75" s="19" t="n"/>
      <c r="J75" s="19" t="n"/>
      <c r="K75" s="19" t="n"/>
      <c r="L75" s="19" t="n"/>
      <c r="M75" s="19" t="n"/>
    </row>
    <row r="76">
      <c r="A76">
        <f>"GAP-"&amp;TEXT(ROW()-2,"000")</f>
        <v/>
      </c>
      <c r="B76" s="19" t="n"/>
      <c r="C76" s="19" t="n"/>
      <c r="D76" s="19" t="n"/>
      <c r="E76" s="19" t="n"/>
      <c r="F76" s="19" t="n"/>
      <c r="G76" s="19" t="n"/>
      <c r="H76" s="19" t="n"/>
      <c r="I76" s="19" t="n"/>
      <c r="J76" s="19" t="n"/>
      <c r="K76" s="19" t="n"/>
      <c r="L76" s="19" t="n"/>
      <c r="M76" s="19" t="n"/>
    </row>
    <row r="77">
      <c r="A77">
        <f>"GAP-"&amp;TEXT(ROW()-2,"000")</f>
        <v/>
      </c>
      <c r="B77" s="19" t="n"/>
      <c r="C77" s="19" t="n"/>
      <c r="D77" s="19" t="n"/>
      <c r="E77" s="19" t="n"/>
      <c r="F77" s="19" t="n"/>
      <c r="G77" s="19" t="n"/>
      <c r="H77" s="19" t="n"/>
      <c r="I77" s="19" t="n"/>
      <c r="J77" s="19" t="n"/>
      <c r="K77" s="19" t="n"/>
      <c r="L77" s="19" t="n"/>
      <c r="M77" s="19" t="n"/>
    </row>
    <row r="78">
      <c r="A78">
        <f>"GAP-"&amp;TEXT(ROW()-2,"000")</f>
        <v/>
      </c>
      <c r="B78" s="19" t="n"/>
      <c r="C78" s="19" t="n"/>
      <c r="D78" s="19" t="n"/>
      <c r="E78" s="19" t="n"/>
      <c r="F78" s="19" t="n"/>
      <c r="G78" s="19" t="n"/>
      <c r="H78" s="19" t="n"/>
      <c r="I78" s="19" t="n"/>
      <c r="J78" s="19" t="n"/>
      <c r="K78" s="19" t="n"/>
      <c r="L78" s="19" t="n"/>
      <c r="M78" s="19" t="n"/>
    </row>
    <row r="79">
      <c r="A79">
        <f>"GAP-"&amp;TEXT(ROW()-2,"000")</f>
        <v/>
      </c>
      <c r="B79" s="19" t="n"/>
      <c r="C79" s="19" t="n"/>
      <c r="D79" s="19" t="n"/>
      <c r="E79" s="19" t="n"/>
      <c r="F79" s="19" t="n"/>
      <c r="G79" s="19" t="n"/>
      <c r="H79" s="19" t="n"/>
      <c r="I79" s="19" t="n"/>
      <c r="J79" s="19" t="n"/>
      <c r="K79" s="19" t="n"/>
      <c r="L79" s="19" t="n"/>
      <c r="M79" s="19" t="n"/>
    </row>
    <row r="80">
      <c r="A80">
        <f>"GAP-"&amp;TEXT(ROW()-2,"000")</f>
        <v/>
      </c>
      <c r="B80" s="19" t="n"/>
      <c r="C80" s="19" t="n"/>
      <c r="D80" s="19" t="n"/>
      <c r="E80" s="19" t="n"/>
      <c r="F80" s="19" t="n"/>
      <c r="G80" s="19" t="n"/>
      <c r="H80" s="19" t="n"/>
      <c r="I80" s="19" t="n"/>
      <c r="J80" s="19" t="n"/>
      <c r="K80" s="19" t="n"/>
      <c r="L80" s="19" t="n"/>
      <c r="M80" s="19" t="n"/>
    </row>
    <row r="81">
      <c r="A81">
        <f>"GAP-"&amp;TEXT(ROW()-2,"000")</f>
        <v/>
      </c>
      <c r="B81" s="19" t="n"/>
      <c r="C81" s="19" t="n"/>
      <c r="D81" s="19" t="n"/>
      <c r="E81" s="19" t="n"/>
      <c r="F81" s="19" t="n"/>
      <c r="G81" s="19" t="n"/>
      <c r="H81" s="19" t="n"/>
      <c r="I81" s="19" t="n"/>
      <c r="J81" s="19" t="n"/>
      <c r="K81" s="19" t="n"/>
      <c r="L81" s="19" t="n"/>
      <c r="M81" s="19" t="n"/>
    </row>
    <row r="82">
      <c r="A82">
        <f>"GAP-"&amp;TEXT(ROW()-2,"000")</f>
        <v/>
      </c>
      <c r="B82" s="19" t="n"/>
      <c r="C82" s="19" t="n"/>
      <c r="D82" s="19" t="n"/>
      <c r="E82" s="19" t="n"/>
      <c r="F82" s="19" t="n"/>
      <c r="G82" s="19" t="n"/>
      <c r="H82" s="19" t="n"/>
      <c r="I82" s="19" t="n"/>
      <c r="J82" s="19" t="n"/>
      <c r="K82" s="19" t="n"/>
      <c r="L82" s="19" t="n"/>
      <c r="M82" s="19" t="n"/>
    </row>
    <row r="83">
      <c r="A83">
        <f>"GAP-"&amp;TEXT(ROW()-2,"000")</f>
        <v/>
      </c>
      <c r="B83" s="19" t="n"/>
      <c r="C83" s="19" t="n"/>
      <c r="D83" s="19" t="n"/>
      <c r="E83" s="19" t="n"/>
      <c r="F83" s="19" t="n"/>
      <c r="G83" s="19" t="n"/>
      <c r="H83" s="19" t="n"/>
      <c r="I83" s="19" t="n"/>
      <c r="J83" s="19" t="n"/>
      <c r="K83" s="19" t="n"/>
      <c r="L83" s="19" t="n"/>
      <c r="M83" s="19" t="n"/>
    </row>
    <row r="84">
      <c r="A84">
        <f>"GAP-"&amp;TEXT(ROW()-2,"000")</f>
        <v/>
      </c>
      <c r="B84" s="19" t="n"/>
      <c r="C84" s="19" t="n"/>
      <c r="D84" s="19" t="n"/>
      <c r="E84" s="19" t="n"/>
      <c r="F84" s="19" t="n"/>
      <c r="G84" s="19" t="n"/>
      <c r="H84" s="19" t="n"/>
      <c r="I84" s="19" t="n"/>
      <c r="J84" s="19" t="n"/>
      <c r="K84" s="19" t="n"/>
      <c r="L84" s="19" t="n"/>
      <c r="M84" s="19" t="n"/>
    </row>
    <row r="85">
      <c r="A85">
        <f>"GAP-"&amp;TEXT(ROW()-2,"000")</f>
        <v/>
      </c>
      <c r="B85" s="19" t="n"/>
      <c r="C85" s="19" t="n"/>
      <c r="D85" s="19" t="n"/>
      <c r="E85" s="19" t="n"/>
      <c r="F85" s="19" t="n"/>
      <c r="G85" s="19" t="n"/>
      <c r="H85" s="19" t="n"/>
      <c r="I85" s="19" t="n"/>
      <c r="J85" s="19" t="n"/>
      <c r="K85" s="19" t="n"/>
      <c r="L85" s="19" t="n"/>
      <c r="M85" s="19" t="n"/>
    </row>
    <row r="86">
      <c r="A86">
        <f>"GAP-"&amp;TEXT(ROW()-2,"000")</f>
        <v/>
      </c>
      <c r="B86" s="19" t="n"/>
      <c r="C86" s="19" t="n"/>
      <c r="D86" s="19" t="n"/>
      <c r="E86" s="19" t="n"/>
      <c r="F86" s="19" t="n"/>
      <c r="G86" s="19" t="n"/>
      <c r="H86" s="19" t="n"/>
      <c r="I86" s="19" t="n"/>
      <c r="J86" s="19" t="n"/>
      <c r="K86" s="19" t="n"/>
      <c r="L86" s="19" t="n"/>
      <c r="M86" s="19" t="n"/>
    </row>
    <row r="87">
      <c r="A87">
        <f>"GAP-"&amp;TEXT(ROW()-2,"000")</f>
        <v/>
      </c>
      <c r="B87" s="19" t="n"/>
      <c r="C87" s="19" t="n"/>
      <c r="D87" s="19" t="n"/>
      <c r="E87" s="19" t="n"/>
      <c r="F87" s="19" t="n"/>
      <c r="G87" s="19" t="n"/>
      <c r="H87" s="19" t="n"/>
      <c r="I87" s="19" t="n"/>
      <c r="J87" s="19" t="n"/>
      <c r="K87" s="19" t="n"/>
      <c r="L87" s="19" t="n"/>
      <c r="M87" s="19" t="n"/>
    </row>
    <row r="88">
      <c r="A88">
        <f>"GAP-"&amp;TEXT(ROW()-2,"000")</f>
        <v/>
      </c>
      <c r="B88" s="19" t="n"/>
      <c r="C88" s="19" t="n"/>
      <c r="D88" s="19" t="n"/>
      <c r="E88" s="19" t="n"/>
      <c r="F88" s="19" t="n"/>
      <c r="G88" s="19" t="n"/>
      <c r="H88" s="19" t="n"/>
      <c r="I88" s="19" t="n"/>
      <c r="J88" s="19" t="n"/>
      <c r="K88" s="19" t="n"/>
      <c r="L88" s="19" t="n"/>
      <c r="M88" s="19" t="n"/>
    </row>
    <row r="89">
      <c r="A89">
        <f>"GAP-"&amp;TEXT(ROW()-2,"000")</f>
        <v/>
      </c>
      <c r="B89" s="19" t="n"/>
      <c r="C89" s="19" t="n"/>
      <c r="D89" s="19" t="n"/>
      <c r="E89" s="19" t="n"/>
      <c r="F89" s="19" t="n"/>
      <c r="G89" s="19" t="n"/>
      <c r="H89" s="19" t="n"/>
      <c r="I89" s="19" t="n"/>
      <c r="J89" s="19" t="n"/>
      <c r="K89" s="19" t="n"/>
      <c r="L89" s="19" t="n"/>
      <c r="M89" s="19" t="n"/>
    </row>
    <row r="90">
      <c r="A90">
        <f>"GAP-"&amp;TEXT(ROW()-2,"000")</f>
        <v/>
      </c>
      <c r="B90" s="19" t="n"/>
      <c r="C90" s="19" t="n"/>
      <c r="D90" s="19" t="n"/>
      <c r="E90" s="19" t="n"/>
      <c r="F90" s="19" t="n"/>
      <c r="G90" s="19" t="n"/>
      <c r="H90" s="19" t="n"/>
      <c r="I90" s="19" t="n"/>
      <c r="J90" s="19" t="n"/>
      <c r="K90" s="19" t="n"/>
      <c r="L90" s="19" t="n"/>
      <c r="M90" s="19" t="n"/>
    </row>
    <row r="91">
      <c r="A91">
        <f>"GAP-"&amp;TEXT(ROW()-2,"000")</f>
        <v/>
      </c>
      <c r="B91" s="19" t="n"/>
      <c r="C91" s="19" t="n"/>
      <c r="D91" s="19" t="n"/>
      <c r="E91" s="19" t="n"/>
      <c r="F91" s="19" t="n"/>
      <c r="G91" s="19" t="n"/>
      <c r="H91" s="19" t="n"/>
      <c r="I91" s="19" t="n"/>
      <c r="J91" s="19" t="n"/>
      <c r="K91" s="19" t="n"/>
      <c r="L91" s="19" t="n"/>
      <c r="M91" s="19" t="n"/>
    </row>
    <row r="92">
      <c r="A92">
        <f>"GAP-"&amp;TEXT(ROW()-2,"000")</f>
        <v/>
      </c>
      <c r="B92" s="19" t="n"/>
      <c r="C92" s="19" t="n"/>
      <c r="D92" s="19" t="n"/>
      <c r="E92" s="19" t="n"/>
      <c r="F92" s="19" t="n"/>
      <c r="G92" s="19" t="n"/>
      <c r="H92" s="19" t="n"/>
      <c r="I92" s="19" t="n"/>
      <c r="J92" s="19" t="n"/>
      <c r="K92" s="19" t="n"/>
      <c r="L92" s="19" t="n"/>
      <c r="M92" s="19" t="n"/>
    </row>
    <row r="93">
      <c r="A93">
        <f>"GAP-"&amp;TEXT(ROW()-2,"000")</f>
        <v/>
      </c>
      <c r="B93" s="19" t="n"/>
      <c r="C93" s="19" t="n"/>
      <c r="D93" s="19" t="n"/>
      <c r="E93" s="19" t="n"/>
      <c r="F93" s="19" t="n"/>
      <c r="G93" s="19" t="n"/>
      <c r="H93" s="19" t="n"/>
      <c r="I93" s="19" t="n"/>
      <c r="J93" s="19" t="n"/>
      <c r="K93" s="19" t="n"/>
      <c r="L93" s="19" t="n"/>
      <c r="M93" s="19" t="n"/>
    </row>
    <row r="94">
      <c r="A94">
        <f>"GAP-"&amp;TEXT(ROW()-2,"000")</f>
        <v/>
      </c>
      <c r="B94" s="19" t="n"/>
      <c r="C94" s="19" t="n"/>
      <c r="D94" s="19" t="n"/>
      <c r="E94" s="19" t="n"/>
      <c r="F94" s="19" t="n"/>
      <c r="G94" s="19" t="n"/>
      <c r="H94" s="19" t="n"/>
      <c r="I94" s="19" t="n"/>
      <c r="J94" s="19" t="n"/>
      <c r="K94" s="19" t="n"/>
      <c r="L94" s="19" t="n"/>
      <c r="M94" s="19" t="n"/>
    </row>
    <row r="95">
      <c r="A95">
        <f>"GAP-"&amp;TEXT(ROW()-2,"000")</f>
        <v/>
      </c>
      <c r="B95" s="19" t="n"/>
      <c r="C95" s="19" t="n"/>
      <c r="D95" s="19" t="n"/>
      <c r="E95" s="19" t="n"/>
      <c r="F95" s="19" t="n"/>
      <c r="G95" s="19" t="n"/>
      <c r="H95" s="19" t="n"/>
      <c r="I95" s="19" t="n"/>
      <c r="J95" s="19" t="n"/>
      <c r="K95" s="19" t="n"/>
      <c r="L95" s="19" t="n"/>
      <c r="M95" s="19" t="n"/>
    </row>
    <row r="96">
      <c r="A96">
        <f>"GAP-"&amp;TEXT(ROW()-2,"000")</f>
        <v/>
      </c>
      <c r="B96" s="19" t="n"/>
      <c r="C96" s="19" t="n"/>
      <c r="D96" s="19" t="n"/>
      <c r="E96" s="19" t="n"/>
      <c r="F96" s="19" t="n"/>
      <c r="G96" s="19" t="n"/>
      <c r="H96" s="19" t="n"/>
      <c r="I96" s="19" t="n"/>
      <c r="J96" s="19" t="n"/>
      <c r="K96" s="19" t="n"/>
      <c r="L96" s="19" t="n"/>
      <c r="M96" s="19" t="n"/>
    </row>
    <row r="97">
      <c r="A97">
        <f>"GAP-"&amp;TEXT(ROW()-2,"000")</f>
        <v/>
      </c>
      <c r="B97" s="19" t="n"/>
      <c r="C97" s="19" t="n"/>
      <c r="D97" s="19" t="n"/>
      <c r="E97" s="19" t="n"/>
      <c r="F97" s="19" t="n"/>
      <c r="G97" s="19" t="n"/>
      <c r="H97" s="19" t="n"/>
      <c r="I97" s="19" t="n"/>
      <c r="J97" s="19" t="n"/>
      <c r="K97" s="19" t="n"/>
      <c r="L97" s="19" t="n"/>
      <c r="M97" s="19" t="n"/>
    </row>
    <row r="98">
      <c r="A98">
        <f>"GAP-"&amp;TEXT(ROW()-2,"000")</f>
        <v/>
      </c>
      <c r="B98" s="19" t="n"/>
      <c r="C98" s="19" t="n"/>
      <c r="D98" s="19" t="n"/>
      <c r="E98" s="19" t="n"/>
      <c r="F98" s="19" t="n"/>
      <c r="G98" s="19" t="n"/>
      <c r="H98" s="19" t="n"/>
      <c r="I98" s="19" t="n"/>
      <c r="J98" s="19" t="n"/>
      <c r="K98" s="19" t="n"/>
      <c r="L98" s="19" t="n"/>
      <c r="M98" s="19" t="n"/>
    </row>
    <row r="99">
      <c r="A99">
        <f>"GAP-"&amp;TEXT(ROW()-2,"000")</f>
        <v/>
      </c>
      <c r="B99" s="19" t="n"/>
      <c r="C99" s="19" t="n"/>
      <c r="D99" s="19" t="n"/>
      <c r="E99" s="19" t="n"/>
      <c r="F99" s="19" t="n"/>
      <c r="G99" s="19" t="n"/>
      <c r="H99" s="19" t="n"/>
      <c r="I99" s="19" t="n"/>
      <c r="J99" s="19" t="n"/>
      <c r="K99" s="19" t="n"/>
      <c r="L99" s="19" t="n"/>
      <c r="M99" s="19" t="n"/>
    </row>
    <row r="100">
      <c r="A100">
        <f>"GAP-"&amp;TEXT(ROW()-2,"000")</f>
        <v/>
      </c>
      <c r="B100" s="19" t="n"/>
      <c r="C100" s="19" t="n"/>
      <c r="D100" s="19" t="n"/>
      <c r="E100" s="19" t="n"/>
      <c r="F100" s="19" t="n"/>
      <c r="G100" s="19" t="n"/>
      <c r="H100" s="19" t="n"/>
      <c r="I100" s="19" t="n"/>
      <c r="J100" s="19" t="n"/>
      <c r="K100" s="19" t="n"/>
      <c r="L100" s="19" t="n"/>
      <c r="M100" s="19" t="n"/>
    </row>
    <row r="101">
      <c r="A101">
        <f>"GAP-"&amp;TEXT(ROW()-2,"000")</f>
        <v/>
      </c>
      <c r="B101" s="19" t="n"/>
      <c r="C101" s="19" t="n"/>
      <c r="D101" s="19" t="n"/>
      <c r="E101" s="19" t="n"/>
      <c r="F101" s="19" t="n"/>
      <c r="G101" s="19" t="n"/>
      <c r="H101" s="19" t="n"/>
      <c r="I101" s="19" t="n"/>
      <c r="J101" s="19" t="n"/>
      <c r="K101" s="19" t="n"/>
      <c r="L101" s="19" t="n"/>
      <c r="M101" s="19" t="n"/>
    </row>
    <row r="102">
      <c r="A102">
        <f>"GAP-"&amp;TEXT(ROW()-2,"000")</f>
        <v/>
      </c>
      <c r="B102" s="19" t="n"/>
      <c r="C102" s="19" t="n"/>
      <c r="D102" s="19" t="n"/>
      <c r="E102" s="19" t="n"/>
      <c r="F102" s="19" t="n"/>
      <c r="G102" s="19" t="n"/>
      <c r="H102" s="19" t="n"/>
      <c r="I102" s="19" t="n"/>
      <c r="J102" s="19" t="n"/>
      <c r="K102" s="19" t="n"/>
      <c r="L102" s="19" t="n"/>
      <c r="M102" s="19" t="n"/>
    </row>
  </sheetData>
  <mergeCells count="1">
    <mergeCell ref="A1:F1"/>
  </mergeCells>
  <conditionalFormatting sqref="J3:J102">
    <cfRule type="cellIs" priority="1" operator="lessThan" dxfId="2">
      <formula>TODAY()</formula>
    </cfRule>
  </conditionalFormatting>
  <dataValidations count="3">
    <dataValidation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showDropDown="0" showInputMessage="0" showErrorMessage="0" allowBlank="0" promptTitle="Domain" prompt="Select assessment domain" type="list">
      <formula1>"Vendor Security Assessment,OSS Management,Dependency Vulnerability Mgmt,Third-Party Code Review,License Compliance"</formula1>
    </dataValidation>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showDropDown="0" showInputMessage="0" showErrorMessage="0" allowBlank="0" promptTitle="Priority" prompt="Select priority level" type="list">
      <formula1>"Critical,High,Medium,Low"</formula1>
    </dataValidation>
    <dataValidation sqref="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showDropDown="0" showInputMessage="0" showErrorMessage="0" allowBlank="0" promptTitle="Gap Status" prompt="Select gap status" type="list">
      <formula1>"Open,In Progress,Resolved,Closed,Deferred"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0" customWidth="1" min="1" max="1"/>
    <col width="60" customWidth="1" min="2" max="2"/>
  </cols>
  <sheetData>
    <row r="1">
      <c r="A1" s="1" t="inlineStr">
        <is>
          <t>Assessment Approval &amp; Sign-Off</t>
        </is>
      </c>
    </row>
    <row r="3">
      <c r="A3" s="17" t="inlineStr">
        <is>
          <t>Assessment Summary</t>
        </is>
      </c>
    </row>
    <row r="4">
      <c r="A4" s="20" t="inlineStr">
        <is>
          <t>Assessment Date:</t>
        </is>
      </c>
      <c r="B4" s="3" t="inlineStr">
        <is>
          <t>08.02.2026</t>
        </is>
      </c>
    </row>
    <row r="5">
      <c r="A5" s="20" t="inlineStr">
        <is>
          <t>Overall Compliance %:</t>
        </is>
      </c>
      <c r="B5" s="3">
        <f>Summary_Dashboard!G11</f>
        <v/>
      </c>
    </row>
    <row r="6">
      <c r="A6" s="20" t="inlineStr">
        <is>
          <t>Total Requirements:</t>
        </is>
      </c>
      <c r="B6" s="3">
        <f>Summary_Dashboard!B11</f>
        <v/>
      </c>
    </row>
    <row r="7">
      <c r="A7" s="20" t="inlineStr">
        <is>
          <t>Critical Gaps:</t>
        </is>
      </c>
      <c r="B7" s="3">
        <f>Summary_Dashboard!E11</f>
        <v/>
      </c>
    </row>
    <row r="9">
      <c r="A9" s="17" t="inlineStr">
        <is>
          <t>Required Approvals</t>
        </is>
      </c>
    </row>
    <row r="10">
      <c r="A10" s="21" t="inlineStr">
        <is>
          <t>Role</t>
        </is>
      </c>
      <c r="B10" s="21" t="inlineStr">
        <is>
          <t>Details</t>
        </is>
      </c>
    </row>
    <row r="11">
      <c r="A11" s="20" t="inlineStr">
        <is>
          <t>Application Security Lead (Technical Review)</t>
        </is>
      </c>
    </row>
    <row r="12">
      <c r="A12" t="inlineStr">
        <is>
          <t xml:space="preserve">  Name:</t>
        </is>
      </c>
      <c r="B12" s="7" t="inlineStr"/>
    </row>
    <row r="13">
      <c r="A13" t="inlineStr">
        <is>
          <t xml:space="preserve">  Signature:</t>
        </is>
      </c>
      <c r="B13" s="7" t="inlineStr"/>
    </row>
    <row r="14">
      <c r="A14" t="inlineStr">
        <is>
          <t xml:space="preserve">  Date:</t>
        </is>
      </c>
      <c r="B14" s="7" t="inlineStr"/>
    </row>
    <row r="15">
      <c r="A15" t="inlineStr">
        <is>
          <t xml:space="preserve">  Decision:</t>
        </is>
      </c>
      <c r="B15" s="7" t="inlineStr"/>
    </row>
    <row r="16">
      <c r="A16" t="inlineStr">
        <is>
          <t xml:space="preserve">  Comments:</t>
        </is>
      </c>
      <c r="B16" s="7" t="inlineStr"/>
    </row>
    <row r="18">
      <c r="A18" s="20" t="inlineStr">
        <is>
          <t>Chief Information Security Officer (CISO Approval)</t>
        </is>
      </c>
    </row>
    <row r="19">
      <c r="A19" t="inlineStr">
        <is>
          <t xml:space="preserve">  Name:</t>
        </is>
      </c>
      <c r="B19" s="7" t="inlineStr"/>
    </row>
    <row r="20">
      <c r="A20" t="inlineStr">
        <is>
          <t xml:space="preserve">  Signature:</t>
        </is>
      </c>
      <c r="B20" s="7" t="inlineStr"/>
    </row>
    <row r="21">
      <c r="A21" t="inlineStr">
        <is>
          <t xml:space="preserve">  Date:</t>
        </is>
      </c>
      <c r="B21" s="7" t="inlineStr"/>
    </row>
    <row r="22">
      <c r="A22" t="inlineStr">
        <is>
          <t xml:space="preserve">  Decision:</t>
        </is>
      </c>
      <c r="B22" s="7" t="inlineStr"/>
    </row>
    <row r="23">
      <c r="A23" t="inlineStr">
        <is>
          <t xml:space="preserve">  Comments:</t>
        </is>
      </c>
      <c r="B23" s="7" t="inlineStr"/>
    </row>
    <row r="25">
      <c r="A25" s="20" t="inlineStr">
        <is>
          <t>Legal Counsel (License Compliance Approval)</t>
        </is>
      </c>
    </row>
    <row r="26">
      <c r="A26" t="inlineStr">
        <is>
          <t xml:space="preserve">  Name:</t>
        </is>
      </c>
      <c r="B26" s="7" t="inlineStr"/>
    </row>
    <row r="27">
      <c r="A27" t="inlineStr">
        <is>
          <t xml:space="preserve">  Signature:</t>
        </is>
      </c>
      <c r="B27" s="7" t="inlineStr"/>
    </row>
    <row r="28">
      <c r="A28" t="inlineStr">
        <is>
          <t xml:space="preserve">  Date:</t>
        </is>
      </c>
      <c r="B28" s="7" t="inlineStr"/>
    </row>
    <row r="29">
      <c r="A29" t="inlineStr">
        <is>
          <t xml:space="preserve">  Decision:</t>
        </is>
      </c>
      <c r="B29" s="7" t="inlineStr"/>
    </row>
    <row r="30">
      <c r="A30" t="inlineStr">
        <is>
          <t xml:space="preserve">  Comments:</t>
        </is>
      </c>
      <c r="B30" s="7" t="inlineStr"/>
    </row>
    <row r="32">
      <c r="A32" s="20" t="inlineStr">
        <is>
          <t>Procurement Lead (Vendor Management Approval)</t>
        </is>
      </c>
    </row>
    <row r="33">
      <c r="A33" t="inlineStr">
        <is>
          <t xml:space="preserve">  Name:</t>
        </is>
      </c>
      <c r="B33" s="7" t="inlineStr"/>
    </row>
    <row r="34">
      <c r="A34" t="inlineStr">
        <is>
          <t xml:space="preserve">  Signature:</t>
        </is>
      </c>
      <c r="B34" s="7" t="inlineStr"/>
    </row>
    <row r="35">
      <c r="A35" t="inlineStr">
        <is>
          <t xml:space="preserve">  Date:</t>
        </is>
      </c>
      <c r="B35" s="7" t="inlineStr"/>
    </row>
    <row r="36">
      <c r="A36" t="inlineStr">
        <is>
          <t xml:space="preserve">  Decision:</t>
        </is>
      </c>
      <c r="B36" s="7" t="inlineStr"/>
    </row>
    <row r="37">
      <c r="A37" t="inlineStr">
        <is>
          <t xml:space="preserve">  Comments:</t>
        </is>
      </c>
      <c r="B37" s="7" t="inlineStr"/>
    </row>
  </sheetData>
  <mergeCells count="7">
    <mergeCell ref="B4:F4"/>
    <mergeCell ref="B7:F7"/>
    <mergeCell ref="B6:F6"/>
    <mergeCell ref="B5:F5"/>
    <mergeCell ref="A1:B1"/>
    <mergeCell ref="A9:B9"/>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Assessment Tool</dc:creator>
  <dc:title xmlns:dc="http://purl.org/dc/elements/1.1/">ISMS Control A.8.28.4 - Third-Party &amp; OSS Assessment</dc:title>
  <dc:description xmlns:dc="http://purl.org/dc/elements/1.1/">Assessment workbook for third-party dependencies and open source software management</dc:description>
  <dc:subject xmlns:dc="http://purl.org/dc/elements/1.1/">Supply Chain Security Assessment</dc:subject>
  <dcterms:created xmlns:dcterms="http://purl.org/dc/terms/" xmlns:xsi="http://www.w3.org/2001/XMLSchema-instance" xsi:type="dcterms:W3CDTF">2026-02-08T11:26:29Z</dcterms:created>
  <dcterms:modified xmlns:dcterms="http://purl.org/dc/terms/" xmlns:xsi="http://www.w3.org/2001/XMLSchema-instance" xsi:type="dcterms:W3CDTF">2026-02-08T11:26:30Z</dcterms:modified>
</cp:coreProperties>
</file>