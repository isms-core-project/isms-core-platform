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ecurity Requirements Design" sheetId="2" state="visible" r:id="rId2"/>
    <sheet xmlns:r="http://schemas.openxmlformats.org/officeDocument/2006/relationships" name="Development Environment" sheetId="3" state="visible" r:id="rId3"/>
    <sheet xmlns:r="http://schemas.openxmlformats.org/officeDocument/2006/relationships" name="Build Deployment Pipeline" sheetId="4" state="visible" r:id="rId4"/>
    <sheet xmlns:r="http://schemas.openxmlformats.org/officeDocument/2006/relationships" name="Security Testing Integration" sheetId="5" state="visible" r:id="rId5"/>
    <sheet xmlns:r="http://schemas.openxmlformats.org/officeDocument/2006/relationships" name="Release Change Management" sheetId="6" state="visible" r:id="rId6"/>
    <sheet xmlns:r="http://schemas.openxmlformats.org/officeDocument/2006/relationships" name="Summary Dashboard" sheetId="7" state="visible" r:id="rId7"/>
    <sheet xmlns:r="http://schemas.openxmlformats.org/officeDocument/2006/relationships" name="Evidence Register" sheetId="8" state="visible" r:id="rId8"/>
    <sheet xmlns:r="http://schemas.openxmlformats.org/officeDocument/2006/relationships" name="Gap Analysis" sheetId="9" state="visible" r:id="rId9"/>
    <sheet xmlns:r="http://schemas.openxmlformats.org/officeDocument/2006/relationships" name="Approval Sign-Of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  <color rgb="00FFFFFF"/>
      <sz val="11"/>
    </font>
    <font>
      <b val="1"/>
      <sz val="10"/>
    </font>
    <font>
      <i val="1"/>
      <sz val="10"/>
    </font>
    <font>
      <b val="1"/>
      <color rgb="00FFFFFF"/>
      <sz val="12"/>
    </font>
    <font>
      <b val="1"/>
      <color rgb="00C00000"/>
      <sz val="10"/>
    </font>
    <font>
      <b val="1"/>
    </font>
    <font>
      <color rgb="00C00000"/>
      <sz val="10"/>
    </font>
    <font>
      <name val="Calibri"/>
      <b val="1"/>
      <sz val="10"/>
    </font>
    <font>
      <b val="1"/>
      <color rgb="004472C4"/>
      <sz val="11"/>
    </font>
    <font>
      <b val="1"/>
      <sz val="9"/>
    </font>
    <font>
      <i val="1"/>
      <color rgb="00666666"/>
      <sz val="9"/>
    </font>
    <font>
      <b val="1"/>
      <sz val="13"/>
    </font>
    <font>
      <b val="1"/>
      <sz val="14"/>
    </font>
    <font>
      <b val="1"/>
      <sz val="12"/>
    </font>
    <font>
      <b val="1"/>
      <sz val="11"/>
    </font>
    <font>
      <b val="1"/>
      <color rgb="00C00000"/>
      <sz val="12"/>
    </font>
    <font>
      <i val="1"/>
      <sz val="9"/>
    </font>
  </fonts>
  <fills count="10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FFCC"/>
        <bgColor rgb="00FFFFCC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pivotButton="0" quotePrefix="0" xfId="0"/>
    <xf numFmtId="0" fontId="4" fillId="0" borderId="0" pivotButton="0" quotePrefix="0" xfId="0"/>
    <xf numFmtId="0" fontId="5" fillId="5" borderId="0" pivotButton="0" quotePrefix="0" xfId="0"/>
    <xf numFmtId="0" fontId="6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6" borderId="0" pivotButton="0" quotePrefix="0" xfId="0"/>
    <xf numFmtId="0" fontId="8" fillId="0" borderId="0" applyAlignment="1" pivotButton="0" quotePrefix="0" xfId="0">
      <alignment horizontal="center"/>
    </xf>
    <xf numFmtId="0" fontId="8" fillId="4" borderId="0" pivotButton="0" quotePrefix="0" xfId="0"/>
    <xf numFmtId="0" fontId="8" fillId="7" borderId="0" pivotButton="0" quotePrefix="0" xfId="0"/>
    <xf numFmtId="0" fontId="8" fillId="8" borderId="0" pivotButton="0" quotePrefix="0" xfId="0"/>
    <xf numFmtId="0" fontId="0" fillId="0" borderId="0" applyAlignment="1" pivotButton="0" quotePrefix="0" xfId="0">
      <alignment wrapText="1"/>
    </xf>
    <xf numFmtId="0" fontId="6" fillId="9" borderId="0" applyAlignment="1" pivotButton="0" quotePrefix="0" xfId="0">
      <alignment horizontal="center" vertical="center"/>
    </xf>
    <xf numFmtId="0" fontId="9" fillId="0" borderId="0" applyAlignment="1" pivotButton="0" quotePrefix="0" xfId="0">
      <alignment wrapText="1"/>
    </xf>
    <xf numFmtId="0" fontId="10" fillId="6" borderId="1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14" fillId="0" borderId="0" pivotButton="0" quotePrefix="0" xfId="0"/>
    <xf numFmtId="9" fontId="15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6" fillId="3" borderId="0" applyAlignment="1" pivotButton="0" quotePrefix="0" xfId="0">
      <alignment horizontal="center"/>
    </xf>
    <xf numFmtId="9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6" fillId="4" borderId="0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0" fontId="5" fillId="0" borderId="0" applyAlignment="1" pivotButton="0" quotePrefix="0" xfId="0">
      <alignment wrapText="1"/>
    </xf>
    <xf numFmtId="0" fontId="13" fillId="6" borderId="0" pivotButton="0" quotePrefix="0" xfId="0"/>
    <xf numFmtId="0" fontId="13" fillId="6" borderId="1" applyAlignment="1" pivotButton="0" quotePrefix="0" xfId="0">
      <alignment vertical="top" wrapText="1"/>
    </xf>
    <xf numFmtId="0" fontId="0" fillId="8" borderId="0" applyAlignment="1" pivotButton="0" quotePrefix="0" xfId="0">
      <alignment wrapText="1"/>
    </xf>
    <xf numFmtId="0" fontId="0" fillId="7" borderId="0" applyAlignment="1" pivotButton="0" quotePrefix="0" xfId="0">
      <alignment wrapText="1"/>
    </xf>
    <xf numFmtId="0" fontId="0" fillId="5" borderId="0" applyAlignment="1" pivotButton="0" quotePrefix="0" xfId="0">
      <alignment wrapText="1"/>
    </xf>
    <xf numFmtId="0" fontId="0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/>
    </xf>
    <xf numFmtId="9" fontId="18" fillId="0" borderId="0" pivotButton="0" quotePrefix="0" xfId="0"/>
    <xf numFmtId="0" fontId="17" fillId="0" borderId="0" pivotButton="0" quotePrefix="0" xfId="0"/>
    <xf numFmtId="0" fontId="8" fillId="4" borderId="0" applyAlignment="1" pivotButton="0" quotePrefix="0" xfId="0">
      <alignment horizontal="center"/>
    </xf>
    <xf numFmtId="0" fontId="8" fillId="7" borderId="0" applyAlignment="1" pivotButton="0" quotePrefix="0" xfId="0">
      <alignment horizontal="center"/>
    </xf>
    <xf numFmtId="0" fontId="8" fillId="8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4" fillId="6" borderId="0" applyAlignment="1" pivotButton="0" quotePrefix="0" xfId="0">
      <alignment horizontal="center" vertical="center"/>
    </xf>
    <xf numFmtId="0" fontId="0" fillId="5" borderId="1" pivotButton="0" quotePrefix="0" xfId="0"/>
    <xf numFmtId="0" fontId="19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35" customWidth="1" min="3" max="3"/>
    <col width="35" customWidth="1" min="4" max="4"/>
    <col width="20" customWidth="1" min="5" max="5"/>
    <col width="20" customWidth="1" min="6" max="6"/>
  </cols>
  <sheetData>
    <row r="1" ht="30" customHeight="1">
      <c r="A1" s="1" t="inlineStr">
        <is>
          <t>ISMS-IMP-A.8.28.1 – SDLC Assessment</t>
        </is>
      </c>
    </row>
    <row r="2" ht="20" customHeight="1">
      <c r="A2" s="2" t="inlineStr">
        <is>
          <t>ISO/IEC 27001:2022 - Control A.8.28: Secure Coding (SDLC)</t>
        </is>
      </c>
    </row>
    <row r="4">
      <c r="A4" s="3" t="inlineStr">
        <is>
          <t>DOCUMENT INFORMATION</t>
        </is>
      </c>
    </row>
    <row r="5">
      <c r="A5" s="4" t="inlineStr">
        <is>
          <t>Document ID:</t>
        </is>
      </c>
      <c r="B5" t="inlineStr">
        <is>
          <t>ISMS-IMP-A.8.28.1</t>
        </is>
      </c>
    </row>
    <row r="6">
      <c r="A6" s="4" t="inlineStr">
        <is>
          <t>Assessment Area:</t>
        </is>
      </c>
      <c r="B6" t="inlineStr">
        <is>
          <t>Secure Software Development Lifecycle</t>
        </is>
      </c>
    </row>
    <row r="7">
      <c r="A7" s="4" t="inlineStr">
        <is>
          <t>Related Policy:</t>
        </is>
      </c>
      <c r="B7" t="inlineStr">
        <is>
          <t>ISMS-POL-A.8.28-S2.1 (SDLC Requirements)</t>
        </is>
      </c>
    </row>
    <row r="8">
      <c r="A8" s="4" t="inlineStr">
        <is>
          <t>Version:</t>
        </is>
      </c>
      <c r="B8" t="inlineStr">
        <is>
          <t>1.0</t>
        </is>
      </c>
    </row>
    <row r="9">
      <c r="A9" s="4" t="inlineStr">
        <is>
          <t>Assessment Date:</t>
        </is>
      </c>
      <c r="B9" s="5" t="inlineStr">
        <is>
          <t>[USER INPUT - Enter assessment date]</t>
        </is>
      </c>
    </row>
    <row r="10">
      <c r="A10" s="4" t="inlineStr">
        <is>
          <t>Completed By:</t>
        </is>
      </c>
      <c r="B10" s="5" t="inlineStr">
        <is>
          <t>[USER INPUT - Enter assessor name]</t>
        </is>
      </c>
    </row>
    <row r="11">
      <c r="A11" s="4" t="inlineStr">
        <is>
          <t>Organisation:</t>
        </is>
      </c>
      <c r="B11" s="5" t="inlineStr">
        <is>
          <t>[USER INPUT - Enter organisation name]</t>
        </is>
      </c>
    </row>
    <row r="12">
      <c r="A12" s="4" t="inlineStr">
        <is>
          <t>Review Cycle:</t>
        </is>
      </c>
      <c r="B12" t="inlineStr">
        <is>
          <t>Quarterly or when SDLC processes change</t>
        </is>
      </c>
    </row>
    <row r="15" ht="25" customHeight="1">
      <c r="A15" s="6" t="inlineStr">
        <is>
          <t>HOW TO USE THIS WORKBOOK</t>
        </is>
      </c>
    </row>
    <row r="16" ht="30" customHeight="1">
      <c r="A16" s="7" t="inlineStr">
        <is>
          <t>1. Complete each assessment domain sheet sequentially (Security Requirements → Development Environment → Build Pipeline → Security Testing → Release Management)</t>
        </is>
      </c>
    </row>
    <row r="17" ht="20" customHeight="1">
      <c r="A17" s="7" t="inlineStr">
        <is>
          <t>2. For each requirement, select Implementation Status from dropdown menu</t>
        </is>
      </c>
    </row>
    <row r="18" ht="30" customHeight="1">
      <c r="A18" s="7" t="inlineStr">
        <is>
          <t>3. Provide Evidence Reference - document WHERE the evidence can be found (URL, file path, system name)</t>
        </is>
      </c>
    </row>
    <row r="19" ht="20" customHeight="1">
      <c r="A19" s="7" t="inlineStr">
        <is>
          <t>4. Add Comments explaining implementation details, exceptions, or context</t>
        </is>
      </c>
    </row>
    <row r="20" ht="20" customHeight="1">
      <c r="A20" s="7" t="inlineStr">
        <is>
          <t>5. Review the Summary Dashboard to see overall compliance metrics</t>
        </is>
      </c>
    </row>
    <row r="21" ht="20" customHeight="1">
      <c r="A21" s="7" t="inlineStr">
        <is>
          <t>6. Document all gaps in the Gap Analysis sheet with remediation plans</t>
        </is>
      </c>
    </row>
    <row r="22" ht="20" customHeight="1">
      <c r="A22" s="7" t="inlineStr">
        <is>
          <t>7. Maintain the Evidence Register for comprehensive audit trail</t>
        </is>
      </c>
    </row>
    <row r="23" ht="20" customHeight="1">
      <c r="A23" s="7" t="inlineStr">
        <is>
          <t>8. Obtain required approvals on the Approval Sign-Off sheet</t>
        </is>
      </c>
    </row>
    <row r="24" ht="20" customHeight="1">
      <c r="A24" s="7" t="inlineStr"/>
    </row>
    <row r="25" ht="30" customHeight="1">
      <c r="A25" s="8" t="inlineStr">
        <is>
          <t>⚠️  IMPORTANT: This is a TECHNICAL assessment. Focus on what is ACTUALLY implemented, not what is planned or documented.</t>
        </is>
      </c>
    </row>
    <row r="26" ht="30" customHeight="1">
      <c r="A26" s="7" t="inlineStr">
        <is>
          <t xml:space="preserve">   As Feynman said: 'The first principle is that you must not fool yourself—and you are the easiest person to fool.'</t>
        </is>
      </c>
    </row>
    <row r="29">
      <c r="A29" s="6" t="inlineStr">
        <is>
          <t>ASSESSMENT DOMAINS</t>
        </is>
      </c>
    </row>
    <row r="30">
      <c r="A30" s="9" t="inlineStr">
        <is>
          <t>Domain</t>
        </is>
      </c>
      <c r="B30" s="9" t="inlineStr">
        <is>
          <t>Focus Area</t>
        </is>
      </c>
      <c r="C30" s="9" t="inlineStr">
        <is>
          <t>Requirements</t>
        </is>
      </c>
    </row>
    <row r="31">
      <c r="A31" t="inlineStr">
        <is>
          <t>1. Security Requirements &amp; Design</t>
        </is>
      </c>
      <c r="B31" t="inlineStr">
        <is>
          <t>Threat modeling, security requirements, design reviews</t>
        </is>
      </c>
    </row>
    <row r="32">
      <c r="A32" t="inlineStr">
        <is>
          <t>2. Development Environment &amp; Tooling</t>
        </is>
      </c>
      <c r="B32" t="inlineStr">
        <is>
          <t>Developer workstations, IDE plugins, repository security</t>
        </is>
      </c>
    </row>
    <row r="33">
      <c r="A33" t="inlineStr">
        <is>
          <t>3. Build &amp; Deployment Pipeline</t>
        </is>
      </c>
      <c r="B33" t="inlineStr">
        <is>
          <t>CI/CD security, SAST/SCA/DAST, artifact signing</t>
        </is>
      </c>
    </row>
    <row r="34">
      <c r="A34" t="inlineStr">
        <is>
          <t>4. Security Testing Integration</t>
        </is>
      </c>
      <c r="B34" t="inlineStr">
        <is>
          <t>Unit/integration/API testing, pentest, bug bounty</t>
        </is>
      </c>
    </row>
    <row r="35">
      <c r="A35" t="inlineStr">
        <is>
          <t>5. Release &amp; Change Management</t>
        </is>
      </c>
      <c r="B35" t="inlineStr">
        <is>
          <t>Release approval, patching, post-deployment verification</t>
        </is>
      </c>
    </row>
    <row r="36">
      <c r="C36" s="10" t="inlineStr">
        <is>
          <t>90 Total</t>
        </is>
      </c>
    </row>
    <row r="39">
      <c r="A39" s="6" t="inlineStr">
        <is>
          <t>IMPLEMENTATION STATUS LEGEND</t>
        </is>
      </c>
    </row>
    <row r="40">
      <c r="A40" s="9" t="inlineStr">
        <is>
          <t>Status</t>
        </is>
      </c>
      <c r="B40" s="9" t="inlineStr">
        <is>
          <t>Symbol</t>
        </is>
      </c>
      <c r="C40" s="9" t="inlineStr">
        <is>
          <t>Description</t>
        </is>
      </c>
      <c r="D40" s="9" t="inlineStr">
        <is>
          <t>When to Use</t>
        </is>
      </c>
    </row>
    <row r="41" ht="30" customHeight="1">
      <c r="A41" s="11" t="inlineStr">
        <is>
          <t>Implemented</t>
        </is>
      </c>
      <c r="B41" t="inlineStr">
        <is>
          <t>✅</t>
        </is>
      </c>
      <c r="C41" s="7" t="inlineStr">
        <is>
          <t>Requirement fully implemented and operational</t>
        </is>
      </c>
    </row>
    <row r="42" ht="30" customHeight="1">
      <c r="A42" s="12" t="inlineStr">
        <is>
          <t>Partially Implemented</t>
        </is>
      </c>
      <c r="B42" t="inlineStr">
        <is>
          <t>⚠️</t>
        </is>
      </c>
      <c r="C42" s="7" t="inlineStr">
        <is>
          <t>Requirement partially met or limited coverage</t>
        </is>
      </c>
    </row>
    <row r="43" ht="30" customHeight="1">
      <c r="A43" s="13" t="inlineStr">
        <is>
          <t>Not Implemented</t>
        </is>
      </c>
      <c r="B43" t="inlineStr">
        <is>
          <t>❌</t>
        </is>
      </c>
      <c r="C43" s="7" t="inlineStr">
        <is>
          <t>Requirement not implemented</t>
        </is>
      </c>
    </row>
    <row r="44" ht="30" customHeight="1">
      <c r="A44" s="9" t="inlineStr">
        <is>
          <t>N/A</t>
        </is>
      </c>
      <c r="B44" t="inlineStr">
        <is>
          <t>N/A</t>
        </is>
      </c>
      <c r="C44" s="7" t="inlineStr">
        <is>
          <t>Not applicable to this environment</t>
        </is>
      </c>
    </row>
    <row r="47">
      <c r="A47" s="6" t="inlineStr">
        <is>
          <t>ACCEPTABLE EVIDENCE (Examples)</t>
        </is>
      </c>
    </row>
    <row r="48">
      <c r="A48" s="14" t="inlineStr">
        <is>
          <t>✓ SDLC documentation (process flows, procedures, developer guides)</t>
        </is>
      </c>
    </row>
    <row r="49">
      <c r="A49" s="14" t="inlineStr">
        <is>
          <t>✓ Tool configurations (CI/CD pipelines, security scanner settings)</t>
        </is>
      </c>
    </row>
    <row r="50">
      <c r="A50" s="14" t="inlineStr">
        <is>
          <t>✓ Scan results (SAST/SCA/DAST reports with timestamps)</t>
        </is>
      </c>
    </row>
    <row r="51">
      <c r="A51" s="14" t="inlineStr">
        <is>
          <t>✓ Code repository settings (branch protection rules, access controls)</t>
        </is>
      </c>
    </row>
    <row r="52">
      <c r="A52" s="14" t="inlineStr">
        <is>
          <t>✓ Training records (security training completion, attendance logs)</t>
        </is>
      </c>
    </row>
    <row r="53">
      <c r="A53" s="14" t="inlineStr">
        <is>
          <t>✓ Architecture diagrams (threat models, security design reviews)</t>
        </is>
      </c>
    </row>
    <row r="54">
      <c r="A54" s="14" t="inlineStr">
        <is>
          <t>✓ Meeting notes (design review meetings, security champion sessions)</t>
        </is>
      </c>
    </row>
    <row r="55">
      <c r="A55" s="14" t="inlineStr">
        <is>
          <t>✓ Policy documents (secure coding standards, security policies)</t>
        </is>
      </c>
    </row>
    <row r="56">
      <c r="A56" s="14" t="inlineStr">
        <is>
          <t>✓ Audit logs (access logs, deployment logs, security events)</t>
        </is>
      </c>
    </row>
    <row r="57">
      <c r="A57" s="14" t="inlineStr">
        <is>
          <t>✓ Test results (security test execution, penetration test reports)</t>
        </is>
      </c>
    </row>
    <row r="58">
      <c r="A58" s="14" t="inlineStr">
        <is>
          <t>✓ Approval records (release approvals, security sign-offs)</t>
        </is>
      </c>
    </row>
    <row r="59">
      <c r="A59" s="14" t="inlineStr">
        <is>
          <t>✓ Incident reports (security incidents, lessons learned)</t>
        </is>
      </c>
    </row>
    <row r="60">
      <c r="A60" s="14" t="inlineStr">
        <is>
          <t>✓ Metrics dashboards (vulnerability trends, security KPIs)</t>
        </is>
      </c>
    </row>
    <row r="61">
      <c r="A61" s="14" t="inlineStr">
        <is>
          <t>✓ Configuration files (git hooks, IDE plugins, tool configs)</t>
        </is>
      </c>
    </row>
    <row r="62">
      <c r="A62" s="14" t="inlineStr">
        <is>
          <t>✓ Screenshots (tool outputs, dashboard views, configurations)</t>
        </is>
      </c>
    </row>
    <row r="65">
      <c r="A65" s="15" t="inlineStr">
        <is>
          <t>COMMON PITFALLS TO AVOID</t>
        </is>
      </c>
    </row>
    <row r="66" ht="25" customHeight="1">
      <c r="A66" s="16" t="inlineStr">
        <is>
          <t>❌ Marking something 'Implemented' because it's documented - documentation ≠ implementation</t>
        </is>
      </c>
    </row>
    <row r="67" ht="25" customHeight="1">
      <c r="A67" s="16" t="inlineStr">
        <is>
          <t>❌ Using 'N/A' as a way to avoid difficult assessments - be honest about gaps</t>
        </is>
      </c>
    </row>
    <row r="68" ht="25" customHeight="1">
      <c r="A68" s="16" t="inlineStr">
        <is>
          <t>❌ Providing vague evidence like 'in our wiki' - give specific links or locations</t>
        </is>
      </c>
    </row>
    <row r="69" ht="25" customHeight="1">
      <c r="A69" s="16" t="inlineStr">
        <is>
          <t>❌ Confusing 'we plan to do this' with 'we do this' - plans don't count</t>
        </is>
      </c>
    </row>
    <row r="70" ht="25" customHeight="1">
      <c r="A70" s="16" t="inlineStr">
        <is>
          <t>❌ Rating based on what the tool CAN do vs. what is ACTUALLY configured</t>
        </is>
      </c>
    </row>
    <row r="71" ht="25" customHeight="1">
      <c r="A71" s="16" t="inlineStr">
        <is>
          <t>❌ Assuming developers follow guidelines without evidence of enforcement</t>
        </is>
      </c>
    </row>
    <row r="72" ht="25" customHeight="1">
      <c r="A72" s="16" t="inlineStr">
        <is>
          <t>❌ Marking 'Implemented' for tools that exist but aren't actually used</t>
        </is>
      </c>
    </row>
    <row r="73" ht="25" customHeight="1">
      <c r="A73" s="16" t="inlineStr">
        <is>
          <t>❌ Ignoring technical debt - 'we know it's bad but...' means Not Implemented</t>
        </is>
      </c>
    </row>
  </sheetData>
  <mergeCells count="59">
    <mergeCell ref="A16:F16"/>
    <mergeCell ref="A54:F54"/>
    <mergeCell ref="B7:F7"/>
    <mergeCell ref="A66:F66"/>
    <mergeCell ref="B31:F31"/>
    <mergeCell ref="A18:F18"/>
    <mergeCell ref="A50:F50"/>
    <mergeCell ref="A56:F56"/>
    <mergeCell ref="A26:F26"/>
    <mergeCell ref="A21:F21"/>
    <mergeCell ref="A55:F55"/>
    <mergeCell ref="A57:F57"/>
    <mergeCell ref="A2:F2"/>
    <mergeCell ref="A71:F71"/>
    <mergeCell ref="B12:F12"/>
    <mergeCell ref="A47:F47"/>
    <mergeCell ref="B11:F11"/>
    <mergeCell ref="A23:F23"/>
    <mergeCell ref="A22:F22"/>
    <mergeCell ref="A17:F17"/>
    <mergeCell ref="A4:F4"/>
    <mergeCell ref="B8:F8"/>
    <mergeCell ref="A20:F20"/>
    <mergeCell ref="C42:F42"/>
    <mergeCell ref="A53:F53"/>
    <mergeCell ref="A62:F62"/>
    <mergeCell ref="A29:F29"/>
    <mergeCell ref="A72:F72"/>
    <mergeCell ref="A65:F65"/>
    <mergeCell ref="A52:F52"/>
    <mergeCell ref="A19:F19"/>
    <mergeCell ref="B34:F34"/>
    <mergeCell ref="A68:F68"/>
    <mergeCell ref="B10:F10"/>
    <mergeCell ref="A67:F67"/>
    <mergeCell ref="A58:F58"/>
    <mergeCell ref="A48:F48"/>
    <mergeCell ref="C41:F41"/>
    <mergeCell ref="A39:F39"/>
    <mergeCell ref="A15:F15"/>
    <mergeCell ref="B9:F9"/>
    <mergeCell ref="C44:F44"/>
    <mergeCell ref="A59:F59"/>
    <mergeCell ref="A24:F24"/>
    <mergeCell ref="A73:F73"/>
    <mergeCell ref="A49:F49"/>
    <mergeCell ref="A51:F51"/>
    <mergeCell ref="B6:F6"/>
    <mergeCell ref="A60:F60"/>
    <mergeCell ref="B33:F33"/>
    <mergeCell ref="A1:F1"/>
    <mergeCell ref="C43:F43"/>
    <mergeCell ref="A70:F70"/>
    <mergeCell ref="B5:F5"/>
    <mergeCell ref="A61:F61"/>
    <mergeCell ref="B32:F32"/>
    <mergeCell ref="A69:F69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22" customWidth="1" min="3" max="3"/>
    <col width="35" customWidth="1" min="4" max="4"/>
    <col width="40" customWidth="1" min="5" max="5"/>
    <col width="12" customWidth="1" min="6" max="6"/>
  </cols>
  <sheetData>
    <row r="1" ht="30" customHeight="1">
      <c r="A1" s="1" t="inlineStr">
        <is>
          <t>SDLC Assessment: Security Requirements &amp; Design</t>
        </is>
      </c>
    </row>
    <row r="2" ht="30" customHeight="1">
      <c r="A2" s="17" t="inlineStr">
        <is>
          <t>ID</t>
        </is>
      </c>
      <c r="B2" s="17" t="inlineStr">
        <is>
          <t>Requirement</t>
        </is>
      </c>
      <c r="C2" s="17" t="inlineStr">
        <is>
          <t>Implementation Status</t>
        </is>
      </c>
      <c r="D2" s="17" t="inlineStr">
        <is>
          <t>Evidence Reference</t>
        </is>
      </c>
      <c r="E2" s="17" t="inlineStr">
        <is>
          <t>Comments</t>
        </is>
      </c>
      <c r="F2" s="17" t="inlineStr">
        <is>
          <t>Compliance</t>
        </is>
      </c>
    </row>
    <row r="3" ht="20" customHeight="1">
      <c r="A3" s="18" t="inlineStr">
        <is>
          <t>▶ Requirements Definition</t>
        </is>
      </c>
    </row>
    <row r="4" ht="45" customHeight="1">
      <c r="A4" s="19" t="inlineStr">
        <is>
          <t>1.1</t>
        </is>
      </c>
      <c r="B4" s="20" t="inlineStr">
        <is>
          <t>Security requirements are documented for all new development projects</t>
        </is>
      </c>
      <c r="C4" s="21" t="n"/>
      <c r="D4" s="22" t="inlineStr">
        <is>
          <t>Requirements documents, user stories with security acceptance criteria, requirements management system records</t>
        </is>
      </c>
      <c r="E4" s="23" t="n"/>
      <c r="F4" s="24">
        <f>IF(C4="Implemented","✅",IF(C4="Partially Implemented","⚠️",IF(C4="Not Implemented","❌",IF(C4="N/A","N/A",""))))</f>
        <v/>
      </c>
    </row>
    <row r="5" ht="45" customHeight="1">
      <c r="A5" s="19" t="inlineStr">
        <is>
          <t>1.2</t>
        </is>
      </c>
      <c r="B5" s="20" t="inlineStr">
        <is>
          <t>Threat modeling is performed for high-risk applications before implementation</t>
        </is>
      </c>
      <c r="C5" s="21" t="n"/>
      <c r="D5" s="22" t="inlineStr">
        <is>
          <t>Threat model documents, STRIDE analysis, attack trees, threat modeling session notes</t>
        </is>
      </c>
      <c r="E5" s="23" t="n"/>
      <c r="F5" s="24">
        <f>IF(C5="Implemented","✅",IF(C5="Partially Implemented","⚠️",IF(C5="Not Implemented","❌",IF(C5="N/A","N/A",""))))</f>
        <v/>
      </c>
    </row>
    <row r="6" ht="20" customHeight="1">
      <c r="A6" s="18" t="inlineStr">
        <is>
          <t>▶ Design Review</t>
        </is>
      </c>
    </row>
    <row r="7" ht="45" customHeight="1">
      <c r="A7" s="19" t="inlineStr">
        <is>
          <t>1.3</t>
        </is>
      </c>
      <c r="B7" s="20" t="inlineStr">
        <is>
          <t>Security design reviews are conducted before implementation begins</t>
        </is>
      </c>
      <c r="C7" s="21" t="n"/>
      <c r="D7" s="22" t="inlineStr">
        <is>
          <t>Architecture review meeting notes, approved design documents, security sign-off records</t>
        </is>
      </c>
      <c r="E7" s="23" t="n"/>
      <c r="F7" s="24">
        <f>IF(C7="Implemented","✅",IF(C7="Partially Implemented","⚠️",IF(C7="Not Implemented","❌",IF(C7="N/A","N/A",""))))</f>
        <v/>
      </c>
    </row>
    <row r="8" ht="20" customHeight="1">
      <c r="A8" s="18" t="inlineStr">
        <is>
          <t>▶ Requirements Definition</t>
        </is>
      </c>
    </row>
    <row r="9" ht="45" customHeight="1">
      <c r="A9" s="19" t="inlineStr">
        <is>
          <t>1.4</t>
        </is>
      </c>
      <c r="B9" s="20" t="inlineStr">
        <is>
          <t>Authentication and authorization requirements are defined upfront for all applications</t>
        </is>
      </c>
      <c r="C9" s="21" t="n"/>
      <c r="D9" s="22" t="inlineStr">
        <is>
          <t>Security specifications, access control matrices, identity management requirements</t>
        </is>
      </c>
      <c r="E9" s="23" t="n"/>
      <c r="F9" s="24">
        <f>IF(C9="Implemented","✅",IF(C9="Partially Implemented","⚠️",IF(C9="Not Implemented","❌",IF(C9="N/A","N/A",""))))</f>
        <v/>
      </c>
    </row>
    <row r="10" ht="45" customHeight="1">
      <c r="A10" s="19" t="inlineStr">
        <is>
          <t>1.5</t>
        </is>
      </c>
      <c r="B10" s="20" t="inlineStr">
        <is>
          <t>Data classification is performed for all data handled by applications</t>
        </is>
      </c>
      <c r="C10" s="21" t="n"/>
      <c r="D10" s="22" t="inlineStr">
        <is>
          <t>Data classification register, data flow diagrams, data handling requirements</t>
        </is>
      </c>
      <c r="E10" s="23" t="n"/>
      <c r="F10" s="24">
        <f>IF(C10="Implemented","✅",IF(C10="Partially Implemented","⚠️",IF(C10="Not Implemented","❌",IF(C10="N/A","N/A",""))))</f>
        <v/>
      </c>
    </row>
    <row r="11" ht="45" customHeight="1">
      <c r="A11" s="19" t="inlineStr">
        <is>
          <t>1.6</t>
        </is>
      </c>
      <c r="B11" s="20" t="inlineStr">
        <is>
          <t>Cryptographic requirements are specified when sensitive data is involved</t>
        </is>
      </c>
      <c r="C11" s="21" t="n"/>
      <c r="D11" s="22" t="inlineStr">
        <is>
          <t>Crypto standards documentation, algorithm approval records, key management specs</t>
        </is>
      </c>
      <c r="E11" s="23" t="n"/>
      <c r="F11" s="24">
        <f>IF(C11="Implemented","✅",IF(C11="Partially Implemented","⚠️",IF(C11="Not Implemented","❌",IF(C11="N/A","N/A",""))))</f>
        <v/>
      </c>
    </row>
    <row r="12" ht="20" customHeight="1">
      <c r="A12" s="18" t="inlineStr">
        <is>
          <t>▶ Requirements Management</t>
        </is>
      </c>
    </row>
    <row r="13" ht="45" customHeight="1">
      <c r="A13" s="19" t="inlineStr">
        <is>
          <t>1.7</t>
        </is>
      </c>
      <c r="B13" s="20" t="inlineStr">
        <is>
          <t>Security requirements are tracked throughout the entire SDLC</t>
        </is>
      </c>
      <c r="C13" s="21" t="n"/>
      <c r="D13" s="22" t="inlineStr">
        <is>
          <t>Requirement traceability matrix, ticket system reports, requirements coverage metrics</t>
        </is>
      </c>
      <c r="E13" s="23" t="n"/>
      <c r="F13" s="24">
        <f>IF(C13="Implemented","✅",IF(C13="Partially Implemented","⚠️",IF(C13="Not Implemented","❌",IF(C13="N/A","N/A",""))))</f>
        <v/>
      </c>
    </row>
    <row r="14" ht="20" customHeight="1">
      <c r="A14" s="18" t="inlineStr">
        <is>
          <t>▶ Requirements Definition</t>
        </is>
      </c>
    </row>
    <row r="15" ht="45" customHeight="1">
      <c r="A15" s="19" t="inlineStr">
        <is>
          <t>1.8</t>
        </is>
      </c>
      <c r="B15" s="20" t="inlineStr">
        <is>
          <t>Privacy requirements (GDPR, CCPA, etc.) are incorporated into design phase</t>
        </is>
      </c>
      <c r="C15" s="21" t="n"/>
      <c r="D15" s="22" t="inlineStr">
        <is>
          <t>Privacy impact assessments, data protection by design documentation, consent mechanisms</t>
        </is>
      </c>
      <c r="E15" s="23" t="n"/>
      <c r="F15" s="24">
        <f>IF(C15="Implemented","✅",IF(C15="Partially Implemented","⚠️",IF(C15="Not Implemented","❌",IF(C15="N/A","N/A",""))))</f>
        <v/>
      </c>
    </row>
    <row r="16" ht="20" customHeight="1">
      <c r="A16" s="18" t="inlineStr">
        <is>
          <t>▶ Design Review</t>
        </is>
      </c>
    </row>
    <row r="17" ht="45" customHeight="1">
      <c r="A17" s="19" t="inlineStr">
        <is>
          <t>1.9</t>
        </is>
      </c>
      <c r="B17" s="20" t="inlineStr">
        <is>
          <t>Secure coding standards are referenced in all project documentation</t>
        </is>
      </c>
      <c r="C17" s="21" t="n"/>
      <c r="D17" s="22" t="inlineStr">
        <is>
          <t>Project wikis, coding guidelines links, onboarding documentation</t>
        </is>
      </c>
      <c r="E17" s="23" t="n"/>
      <c r="F17" s="24">
        <f>IF(C17="Implemented","✅",IF(C17="Partially Implemented","⚠️",IF(C17="Not Implemented","❌",IF(C17="N/A","N/A",""))))</f>
        <v/>
      </c>
    </row>
    <row r="18" ht="20" customHeight="1">
      <c r="A18" s="18" t="inlineStr">
        <is>
          <t>▶ Requirements Definition</t>
        </is>
      </c>
    </row>
    <row r="19" ht="45" customHeight="1">
      <c r="A19" s="19" t="inlineStr">
        <is>
          <t>1.10</t>
        </is>
      </c>
      <c r="B19" s="20" t="inlineStr">
        <is>
          <t>Security acceptance criteria are defined for all user stories and features</t>
        </is>
      </c>
      <c r="C19" s="21" t="n"/>
      <c r="D19" s="22" t="inlineStr">
        <is>
          <t>JIRA/Azure DevOps stories with security DoD, acceptance criteria templates</t>
        </is>
      </c>
      <c r="E19" s="23" t="n"/>
      <c r="F19" s="24">
        <f>IF(C19="Implemented","✅",IF(C19="Partially Implemented","⚠️",IF(C19="Not Implemented","❌",IF(C19="N/A","N/A",""))))</f>
        <v/>
      </c>
    </row>
    <row r="20" ht="45" customHeight="1">
      <c r="A20" s="19" t="inlineStr">
        <is>
          <t>1.11</t>
        </is>
      </c>
      <c r="B20" s="20" t="inlineStr">
        <is>
          <t>API security requirements are documented for all APIs (internal and external)</t>
        </is>
      </c>
      <c r="C20" s="21" t="n"/>
      <c r="D20" s="22" t="inlineStr">
        <is>
          <t>API security specifications, OpenAPI security schemes, API gateway policies</t>
        </is>
      </c>
      <c r="E20" s="23" t="n"/>
      <c r="F20" s="24">
        <f>IF(C20="Implemented","✅",IF(C20="Partially Implemented","⚠️",IF(C20="Not Implemented","❌",IF(C20="N/A","N/A",""))))</f>
        <v/>
      </c>
    </row>
    <row r="21" ht="20" customHeight="1">
      <c r="A21" s="18" t="inlineStr">
        <is>
          <t>▶ Design Review</t>
        </is>
      </c>
    </row>
    <row r="22" ht="45" customHeight="1">
      <c r="A22" s="19" t="inlineStr">
        <is>
          <t>1.12</t>
        </is>
      </c>
      <c r="B22" s="20" t="inlineStr">
        <is>
          <t>Third-party integration security is assessed during design phase</t>
        </is>
      </c>
      <c r="C22" s="21" t="n"/>
      <c r="D22" s="22" t="inlineStr">
        <is>
          <t>Vendor security assessments, integration security reviews, API security analysis</t>
        </is>
      </c>
      <c r="E22" s="23" t="n"/>
      <c r="F22" s="24">
        <f>IF(C22="Implemented","✅",IF(C22="Partially Implemented","⚠️",IF(C22="Not Implemented","❌",IF(C22="N/A","N/A",""))))</f>
        <v/>
      </c>
    </row>
    <row r="23" ht="45" customHeight="1">
      <c r="A23" s="19" t="inlineStr">
        <is>
          <t>1.13</t>
        </is>
      </c>
      <c r="B23" s="20" t="inlineStr">
        <is>
          <t>Error handling and logging requirements are specified in design</t>
        </is>
      </c>
      <c r="C23" s="21" t="n"/>
      <c r="D23" s="22" t="inlineStr">
        <is>
          <t>Logging standards, error handling patterns documentation, log retention policies</t>
        </is>
      </c>
      <c r="E23" s="23" t="n"/>
      <c r="F23" s="24">
        <f>IF(C23="Implemented","✅",IF(C23="Partially Implemented","⚠️",IF(C23="Not Implemented","❌",IF(C23="N/A","N/A",""))))</f>
        <v/>
      </c>
    </row>
    <row r="24" ht="20" customHeight="1">
      <c r="A24" s="18" t="inlineStr">
        <is>
          <t>▶ Requirements Definition</t>
        </is>
      </c>
    </row>
    <row r="25" ht="45" customHeight="1">
      <c r="A25" s="19" t="inlineStr">
        <is>
          <t>1.14</t>
        </is>
      </c>
      <c r="B25" s="20" t="inlineStr">
        <is>
          <t>Security testing requirements are defined before development starts</t>
        </is>
      </c>
      <c r="C25" s="21" t="n"/>
      <c r="D25" s="22" t="inlineStr">
        <is>
          <t>Test plans, security test case specifications, testing strategy documents</t>
        </is>
      </c>
      <c r="E25" s="23" t="n"/>
      <c r="F25" s="24">
        <f>IF(C25="Implemented","✅",IF(C25="Partially Implemented","⚠️",IF(C25="Not Implemented","❌",IF(C25="N/A","N/A",""))))</f>
        <v/>
      </c>
    </row>
    <row r="26" ht="45" customHeight="1">
      <c r="A26" s="19" t="inlineStr">
        <is>
          <t>1.15</t>
        </is>
      </c>
      <c r="B26" s="20" t="inlineStr">
        <is>
          <t>Compliance requirements are mapped to technical controls in design</t>
        </is>
      </c>
      <c r="C26" s="21" t="n"/>
      <c r="D26" s="22" t="inlineStr">
        <is>
          <t>Compliance mapping documents, control implementation matrix, regulatory requirements docs</t>
        </is>
      </c>
      <c r="E26" s="23" t="n"/>
      <c r="F26" s="24">
        <f>IF(C26="Implemented","✅",IF(C26="Partially Implemented","⚠️",IF(C26="Not Implemented","❌",IF(C26="N/A","N/A",""))))</f>
        <v/>
      </c>
    </row>
    <row r="27" ht="20" customHeight="1">
      <c r="A27" s="18" t="inlineStr">
        <is>
          <t>▶ Design Review</t>
        </is>
      </c>
    </row>
    <row r="28" ht="45" customHeight="1">
      <c r="A28" s="19" t="inlineStr">
        <is>
          <t>1.16</t>
        </is>
      </c>
      <c r="B28" s="20" t="inlineStr">
        <is>
          <t>Security Champions are involved in requirements and design review</t>
        </is>
      </c>
      <c r="C28" s="21" t="n"/>
      <c r="D28" s="22" t="inlineStr">
        <is>
          <t>Review meeting attendance, Security Champion feedback records, design review checklists</t>
        </is>
      </c>
      <c r="E28" s="23" t="n"/>
      <c r="F28" s="24">
        <f>IF(C28="Implemented","✅",IF(C28="Partially Implemented","⚠️",IF(C28="Not Implemented","❌",IF(C28="N/A","N/A",""))))</f>
        <v/>
      </c>
    </row>
    <row r="29" ht="45" customHeight="1">
      <c r="A29" s="19" t="inlineStr">
        <is>
          <t>1.17</t>
        </is>
      </c>
      <c r="B29" s="20" t="inlineStr">
        <is>
          <t>Secure design patterns are documented and promoted for common scenarios</t>
        </is>
      </c>
      <c r="C29" s="21" t="n"/>
      <c r="D29" s="22" t="inlineStr">
        <is>
          <t>Design pattern library, secure architecture templates, reference architectures</t>
        </is>
      </c>
      <c r="E29" s="23" t="n"/>
      <c r="F29" s="24">
        <f>IF(C29="Implemented","✅",IF(C29="Partially Implemented","⚠️",IF(C29="Not Implemented","❌",IF(C29="N/A","N/A",""))))</f>
        <v/>
      </c>
    </row>
    <row r="30" ht="20" customHeight="1">
      <c r="A30" s="18" t="inlineStr">
        <is>
          <t>▶ Requirements Definition</t>
        </is>
      </c>
    </row>
    <row r="31" ht="45" customHeight="1">
      <c r="A31" s="19" t="inlineStr">
        <is>
          <t>1.18</t>
        </is>
      </c>
      <c r="B31" s="20" t="inlineStr">
        <is>
          <t>Security requirements are risk-based and proportional to data sensitivity</t>
        </is>
      </c>
      <c r="C31" s="21" t="n"/>
      <c r="D31" s="22" t="inlineStr">
        <is>
          <t>Risk assessment documentation, security control selection justification</t>
        </is>
      </c>
      <c r="E31" s="23" t="n"/>
      <c r="F31" s="24">
        <f>IF(C31="Implemented","✅",IF(C31="Partially Implemented","⚠️",IF(C31="Not Implemented","❌",IF(C31="N/A","N/A",""))))</f>
        <v/>
      </c>
    </row>
  </sheetData>
  <mergeCells count="12">
    <mergeCell ref="A24:F24"/>
    <mergeCell ref="A16:F16"/>
    <mergeCell ref="A30:F30"/>
    <mergeCell ref="A14:F14"/>
    <mergeCell ref="A1:F1"/>
    <mergeCell ref="A27:F27"/>
    <mergeCell ref="A8:F8"/>
    <mergeCell ref="A6:F6"/>
    <mergeCell ref="A12:F12"/>
    <mergeCell ref="A18:F18"/>
    <mergeCell ref="A3:F3"/>
    <mergeCell ref="A21:F21"/>
  </mergeCells>
  <dataValidations count="1">
    <dataValidation sqref="C4 C5 C7 C9 C10 C11 C13 C15 C17 C19 C20 C22 C23 C25 C26 C28 C29 C31" showDropDown="0" showInputMessage="0" showErrorMessage="0" allowBlank="0" type="list">
      <formula1>"Implemented,Partially Implemented,Not Implemented,N/A"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22" customWidth="1" min="3" max="3"/>
    <col width="35" customWidth="1" min="4" max="4"/>
    <col width="40" customWidth="1" min="5" max="5"/>
    <col width="12" customWidth="1" min="6" max="6"/>
  </cols>
  <sheetData>
    <row r="1" ht="30" customHeight="1">
      <c r="A1" s="1" t="inlineStr">
        <is>
          <t>SDLC Assessment: Development Environment &amp; Tooling</t>
        </is>
      </c>
    </row>
    <row r="2" ht="30" customHeight="1">
      <c r="A2" s="17" t="inlineStr">
        <is>
          <t>ID</t>
        </is>
      </c>
      <c r="B2" s="17" t="inlineStr">
        <is>
          <t>Requirement</t>
        </is>
      </c>
      <c r="C2" s="17" t="inlineStr">
        <is>
          <t>Implementation Status</t>
        </is>
      </c>
      <c r="D2" s="17" t="inlineStr">
        <is>
          <t>Evidence Reference</t>
        </is>
      </c>
      <c r="E2" s="17" t="inlineStr">
        <is>
          <t>Comments</t>
        </is>
      </c>
      <c r="F2" s="17" t="inlineStr">
        <is>
          <t>Compliance</t>
        </is>
      </c>
    </row>
    <row r="3" ht="20" customHeight="1">
      <c r="A3" s="18" t="inlineStr">
        <is>
          <t>▶ Environment Security</t>
        </is>
      </c>
    </row>
    <row r="4" ht="45" customHeight="1">
      <c r="A4" s="19" t="inlineStr">
        <is>
          <t>2.1</t>
        </is>
      </c>
      <c r="B4" s="20" t="inlineStr">
        <is>
          <t>Development environments are logically isolated from production systems</t>
        </is>
      </c>
      <c r="C4" s="21" t="n"/>
      <c r="D4" s="22" t="inlineStr">
        <is>
          <t>Network diagrams, firewall rules, network segmentation documentation</t>
        </is>
      </c>
      <c r="E4" s="23" t="n"/>
      <c r="F4" s="24">
        <f>IF(C4="Implemented","✅",IF(C4="Partially Implemented","⚠️",IF(C4="Not Implemented","❌",IF(C4="N/A","N/A",""))))</f>
        <v/>
      </c>
    </row>
    <row r="5" ht="20" customHeight="1">
      <c r="A5" s="18" t="inlineStr">
        <is>
          <t>▶ Workstation Security</t>
        </is>
      </c>
    </row>
    <row r="6" ht="45" customHeight="1">
      <c r="A6" s="19" t="inlineStr">
        <is>
          <t>2.2</t>
        </is>
      </c>
      <c r="B6" s="20" t="inlineStr">
        <is>
          <t>Developer workstations have mandatory security tooling installed (EDR, DLP, etc.)</t>
        </is>
      </c>
      <c r="C6" s="21" t="n"/>
      <c r="D6" s="22" t="inlineStr">
        <is>
          <t>EDR deployment reports, endpoint security compliance dashboards, security agent status</t>
        </is>
      </c>
      <c r="E6" s="23" t="n"/>
      <c r="F6" s="24">
        <f>IF(C6="Implemented","✅",IF(C6="Partially Implemented","⚠️",IF(C6="Not Implemented","❌",IF(C6="N/A","N/A",""))))</f>
        <v/>
      </c>
    </row>
    <row r="7" ht="20" customHeight="1">
      <c r="A7" s="18" t="inlineStr">
        <is>
          <t>▶ Development Tools</t>
        </is>
      </c>
    </row>
    <row r="8" ht="45" customHeight="1">
      <c r="A8" s="19" t="inlineStr">
        <is>
          <t>2.3</t>
        </is>
      </c>
      <c r="B8" s="20" t="inlineStr">
        <is>
          <t>IDE security plugins are available and promoted to all developers</t>
        </is>
      </c>
      <c r="C8" s="21" t="n"/>
      <c r="D8" s="22" t="inlineStr">
        <is>
          <t>IDE plugin catalog, installation instructions, adoption metrics</t>
        </is>
      </c>
      <c r="E8" s="23" t="n"/>
      <c r="F8" s="24">
        <f>IF(C8="Implemented","✅",IF(C8="Partially Implemented","⚠️",IF(C8="Not Implemented","❌",IF(C8="N/A","N/A",""))))</f>
        <v/>
      </c>
    </row>
    <row r="9" ht="45" customHeight="1">
      <c r="A9" s="19" t="inlineStr">
        <is>
          <t>2.4</t>
        </is>
      </c>
      <c r="B9" s="20" t="inlineStr">
        <is>
          <t>Pre-commit hooks prevent secret commits to version control</t>
        </is>
      </c>
      <c r="C9" s="21" t="n"/>
      <c r="D9" s="22" t="inlineStr">
        <is>
          <t>Git hooks configuration, secret scanner setup (git-secrets, detect-secrets), violation reports</t>
        </is>
      </c>
      <c r="E9" s="23" t="n"/>
      <c r="F9" s="24">
        <f>IF(C9="Implemented","✅",IF(C9="Partially Implemented","⚠️",IF(C9="Not Implemented","❌",IF(C9="N/A","N/A",""))))</f>
        <v/>
      </c>
    </row>
    <row r="10" ht="20" customHeight="1">
      <c r="A10" s="18" t="inlineStr">
        <is>
          <t>▶ Repository Security</t>
        </is>
      </c>
    </row>
    <row r="11" ht="45" customHeight="1">
      <c r="A11" s="19" t="inlineStr">
        <is>
          <t>2.5</t>
        </is>
      </c>
      <c r="B11" s="20" t="inlineStr">
        <is>
          <t>Code repositories require authentication and authorization (SSO/MFA)</t>
        </is>
      </c>
      <c r="C11" s="21" t="n"/>
      <c r="D11" s="22" t="inlineStr">
        <is>
          <t>GitHub/GitLab access logs, SSO configuration, MFA enforcement policies</t>
        </is>
      </c>
      <c r="E11" s="23" t="n"/>
      <c r="F11" s="24">
        <f>IF(C11="Implemented","✅",IF(C11="Partially Implemented","⚠️",IF(C11="Not Implemented","❌",IF(C11="N/A","N/A",""))))</f>
        <v/>
      </c>
    </row>
    <row r="12" ht="45" customHeight="1">
      <c r="A12" s="19" t="inlineStr">
        <is>
          <t>2.6</t>
        </is>
      </c>
      <c r="B12" s="20" t="inlineStr">
        <is>
          <t>Branch protection rules enforce mandatory peer review for production branches</t>
        </is>
      </c>
      <c r="C12" s="21" t="n"/>
      <c r="D12" s="22" t="inlineStr">
        <is>
          <t>Repository settings screenshots, branch protection rules configuration, merge policies</t>
        </is>
      </c>
      <c r="E12" s="23" t="n"/>
      <c r="F12" s="24">
        <f>IF(C12="Implemented","✅",IF(C12="Partially Implemented","⚠️",IF(C12="Not Implemented","❌",IF(C12="N/A","N/A",""))))</f>
        <v/>
      </c>
    </row>
    <row r="13" ht="20" customHeight="1">
      <c r="A13" s="18" t="inlineStr">
        <is>
          <t>▶ Environment Security</t>
        </is>
      </c>
    </row>
    <row r="14" ht="45" customHeight="1">
      <c r="A14" s="19" t="inlineStr">
        <is>
          <t>2.7</t>
        </is>
      </c>
      <c r="B14" s="20" t="inlineStr">
        <is>
          <t>Development and testing use anonymized or synthetic data (not production data)</t>
        </is>
      </c>
      <c r="C14" s="21" t="n"/>
      <c r="D14" s="22" t="inlineStr">
        <is>
          <t>Data masking procedures, test data generation tools, data usage policies</t>
        </is>
      </c>
      <c r="E14" s="23" t="n"/>
      <c r="F14" s="24">
        <f>IF(C14="Implemented","✅",IF(C14="Partially Implemented","⚠️",IF(C14="Not Implemented","❌",IF(C14="N/A","N/A",""))))</f>
        <v/>
      </c>
    </row>
    <row r="15" ht="20" customHeight="1">
      <c r="A15" s="18" t="inlineStr">
        <is>
          <t>▶ Development Tools</t>
        </is>
      </c>
    </row>
    <row r="16" ht="45" customHeight="1">
      <c r="A16" s="19" t="inlineStr">
        <is>
          <t>2.8</t>
        </is>
      </c>
      <c r="B16" s="20" t="inlineStr">
        <is>
          <t>Secrets management solution is available and documented for developers</t>
        </is>
      </c>
      <c r="C16" s="21" t="n"/>
      <c r="D16" s="22" t="inlineStr">
        <is>
          <t>Vault/secrets manager documentation, developer usage guidelines, secrets rotation policies</t>
        </is>
      </c>
      <c r="E16" s="23" t="n"/>
      <c r="F16" s="24">
        <f>IF(C16="Implemented","✅",IF(C16="Partially Implemented","⚠️",IF(C16="Not Implemented","❌",IF(C16="N/A","N/A",""))))</f>
        <v/>
      </c>
    </row>
    <row r="17" ht="20" customHeight="1">
      <c r="A17" s="18" t="inlineStr">
        <is>
          <t>▶ Environment Security</t>
        </is>
      </c>
    </row>
    <row r="18" ht="45" customHeight="1">
      <c r="A18" s="19" t="inlineStr">
        <is>
          <t>2.9</t>
        </is>
      </c>
      <c r="B18" s="20" t="inlineStr">
        <is>
          <t>Local development environments use HTTPS/TLS where applicable</t>
        </is>
      </c>
      <c r="C18" s="21" t="n"/>
      <c r="D18" s="22" t="inlineStr">
        <is>
          <t>Development proxy configs, local cert management, TLS enforcement policies</t>
        </is>
      </c>
      <c r="E18" s="23" t="n"/>
      <c r="F18" s="24">
        <f>IF(C18="Implemented","✅",IF(C18="Partially Implemented","⚠️",IF(C18="Not Implemented","❌",IF(C18="N/A","N/A",""))))</f>
        <v/>
      </c>
    </row>
    <row r="19" ht="20" customHeight="1">
      <c r="A19" s="18" t="inlineStr">
        <is>
          <t>▶ Development Tools</t>
        </is>
      </c>
    </row>
    <row r="20" ht="45" customHeight="1">
      <c r="A20" s="19" t="inlineStr">
        <is>
          <t>2.10</t>
        </is>
      </c>
      <c r="B20" s="20" t="inlineStr">
        <is>
          <t>Dependency management tools scan for vulnerabilities in developer environments</t>
        </is>
      </c>
      <c r="C20" s="21" t="n"/>
      <c r="D20" s="22" t="inlineStr">
        <is>
          <t>npm audit, pip-audit, Dependabot integration, vulnerability scan results</t>
        </is>
      </c>
      <c r="E20" s="23" t="n"/>
      <c r="F20" s="24">
        <f>IF(C20="Implemented","✅",IF(C20="Partially Implemented","⚠️",IF(C20="Not Implemented","❌",IF(C20="N/A","N/A",""))))</f>
        <v/>
      </c>
    </row>
    <row r="21" ht="20" customHeight="1">
      <c r="A21" s="18" t="inlineStr">
        <is>
          <t>▶ Workstation Security</t>
        </is>
      </c>
    </row>
    <row r="22" ht="45" customHeight="1">
      <c r="A22" s="19" t="inlineStr">
        <is>
          <t>2.11</t>
        </is>
      </c>
      <c r="B22" s="20" t="inlineStr">
        <is>
          <t>Development environment hardening guidelines exist and are enforced</t>
        </is>
      </c>
      <c r="C22" s="21" t="n"/>
      <c r="D22" s="22" t="inlineStr">
        <is>
          <t>Developer workstation security baseline, configuration management records</t>
        </is>
      </c>
      <c r="E22" s="23" t="n"/>
      <c r="F22" s="24">
        <f>IF(C22="Implemented","✅",IF(C22="Partially Implemented","⚠️",IF(C22="Not Implemented","❌",IF(C22="N/A","N/A",""))))</f>
        <v/>
      </c>
    </row>
    <row r="23" ht="20" customHeight="1">
      <c r="A23" s="18" t="inlineStr">
        <is>
          <t>▶ Repository Security</t>
        </is>
      </c>
    </row>
    <row r="24" ht="45" customHeight="1">
      <c r="A24" s="19" t="inlineStr">
        <is>
          <t>2.12</t>
        </is>
      </c>
      <c r="B24" s="20" t="inlineStr">
        <is>
          <t>Multi-factor authentication (MFA) is enforced for all code repository access</t>
        </is>
      </c>
      <c r="C24" s="21" t="n"/>
      <c r="D24" s="22" t="inlineStr">
        <is>
          <t>MFA enforcement policies, authentication logs, MFA adoption metrics</t>
        </is>
      </c>
      <c r="E24" s="23" t="n"/>
      <c r="F24" s="24">
        <f>IF(C24="Implemented","✅",IF(C24="Partially Implemented","⚠️",IF(C24="Not Implemented","❌",IF(C24="N/A","N/A",""))))</f>
        <v/>
      </c>
    </row>
    <row r="25" ht="20" customHeight="1">
      <c r="A25" s="18" t="inlineStr">
        <is>
          <t>▶ Development Tools</t>
        </is>
      </c>
    </row>
    <row r="26" ht="45" customHeight="1">
      <c r="A26" s="19" t="inlineStr">
        <is>
          <t>2.13</t>
        </is>
      </c>
      <c r="B26" s="20" t="inlineStr">
        <is>
          <t>Development tools and IDEs are kept up-to-date with security patches</t>
        </is>
      </c>
      <c r="C26" s="21" t="n"/>
      <c r="D26" s="22" t="inlineStr">
        <is>
          <t>Tool version inventory, patch management records, software update policies</t>
        </is>
      </c>
      <c r="E26" s="23" t="n"/>
      <c r="F26" s="24">
        <f>IF(C26="Implemented","✅",IF(C26="Partially Implemented","⚠️",IF(C26="Not Implemented","❌",IF(C26="N/A","N/A",""))))</f>
        <v/>
      </c>
    </row>
    <row r="27" ht="20" customHeight="1">
      <c r="A27" s="18" t="inlineStr">
        <is>
          <t>▶ Training &amp; Awareness</t>
        </is>
      </c>
    </row>
    <row r="28" ht="45" customHeight="1">
      <c r="A28" s="19" t="inlineStr">
        <is>
          <t>2.14</t>
        </is>
      </c>
      <c r="B28" s="20" t="inlineStr">
        <is>
          <t>Secure coding training resources are accessible to all developers</t>
        </is>
      </c>
      <c r="C28" s="21" t="n"/>
      <c r="D28" s="22" t="inlineStr">
        <is>
          <t>Training portal links, OWASP resources, internal wiki, training completion records</t>
        </is>
      </c>
      <c r="E28" s="23" t="n"/>
      <c r="F28" s="24">
        <f>IF(C28="Implemented","✅",IF(C28="Partially Implemented","⚠️",IF(C28="Not Implemented","❌",IF(C28="N/A","N/A",""))))</f>
        <v/>
      </c>
    </row>
    <row r="29" ht="20" customHeight="1">
      <c r="A29" s="18" t="inlineStr">
        <is>
          <t>▶ Environment Security</t>
        </is>
      </c>
    </row>
    <row r="30" ht="45" customHeight="1">
      <c r="A30" s="19" t="inlineStr">
        <is>
          <t>2.15</t>
        </is>
      </c>
      <c r="B30" s="20" t="inlineStr">
        <is>
          <t>Development containers/VMs use secure, hardened base images</t>
        </is>
      </c>
      <c r="C30" s="21" t="n"/>
      <c r="D30" s="22" t="inlineStr">
        <is>
          <t>Approved image catalog, image scanning results, base image security standards</t>
        </is>
      </c>
      <c r="E30" s="23" t="n"/>
      <c r="F30" s="24">
        <f>IF(C30="Implemented","✅",IF(C30="Partially Implemented","⚠️",IF(C30="Not Implemented","❌",IF(C30="N/A","N/A",""))))</f>
        <v/>
      </c>
    </row>
    <row r="31" ht="20" customHeight="1">
      <c r="A31" s="18" t="inlineStr">
        <is>
          <t>▶ Repository Security</t>
        </is>
      </c>
    </row>
    <row r="32" ht="45" customHeight="1">
      <c r="A32" s="19" t="inlineStr">
        <is>
          <t>2.16</t>
        </is>
      </c>
      <c r="B32" s="20" t="inlineStr">
        <is>
          <t>Code repository activity is logged and monitored for anomalies</t>
        </is>
      </c>
      <c r="C32" s="21" t="n"/>
      <c r="D32" s="22" t="inlineStr">
        <is>
          <t>Repository audit logs, SIEM integration, anomaly detection alerts</t>
        </is>
      </c>
      <c r="E32" s="23" t="n"/>
      <c r="F32" s="24">
        <f>IF(C32="Implemented","✅",IF(C32="Partially Implemented","⚠️",IF(C32="Not Implemented","❌",IF(C32="N/A","N/A",""))))</f>
        <v/>
      </c>
    </row>
    <row r="33" ht="20" customHeight="1">
      <c r="A33" s="18" t="inlineStr">
        <is>
          <t>▶ Development Tools</t>
        </is>
      </c>
    </row>
    <row r="34" ht="45" customHeight="1">
      <c r="A34" s="19" t="inlineStr">
        <is>
          <t>2.17</t>
        </is>
      </c>
      <c r="B34" s="20" t="inlineStr">
        <is>
          <t>Personal access tokens and API keys have expiration policies</t>
        </is>
      </c>
      <c r="C34" s="21" t="n"/>
      <c r="D34" s="22" t="inlineStr">
        <is>
          <t>Token lifecycle policies, key rotation procedures, token expiration reports</t>
        </is>
      </c>
      <c r="E34" s="23" t="n"/>
      <c r="F34" s="24">
        <f>IF(C34="Implemented","✅",IF(C34="Partially Implemented","⚠️",IF(C34="Not Implemented","❌",IF(C34="N/A","N/A",""))))</f>
        <v/>
      </c>
    </row>
    <row r="35" ht="20" customHeight="1">
      <c r="A35" s="18" t="inlineStr">
        <is>
          <t>▶ Training &amp; Awareness</t>
        </is>
      </c>
    </row>
    <row r="36" ht="45" customHeight="1">
      <c r="A36" s="19" t="inlineStr">
        <is>
          <t>2.18</t>
        </is>
      </c>
      <c r="B36" s="20" t="inlineStr">
        <is>
          <t>Developers have access to security documentation and secure code examples</t>
        </is>
      </c>
      <c r="C36" s="21" t="n"/>
      <c r="D36" s="22" t="inlineStr">
        <is>
          <t>Internal security wiki, code example repository, secure coding cheat sheets</t>
        </is>
      </c>
      <c r="E36" s="23" t="n"/>
      <c r="F36" s="24">
        <f>IF(C36="Implemented","✅",IF(C36="Partially Implemented","⚠️",IF(C36="Not Implemented","❌",IF(C36="N/A","N/A",""))))</f>
        <v/>
      </c>
    </row>
  </sheetData>
  <mergeCells count="17">
    <mergeCell ref="A33:F33"/>
    <mergeCell ref="A10:F10"/>
    <mergeCell ref="A13:F13"/>
    <mergeCell ref="A19:F19"/>
    <mergeCell ref="A1:F1"/>
    <mergeCell ref="A5:F5"/>
    <mergeCell ref="A23:F23"/>
    <mergeCell ref="A27:F27"/>
    <mergeCell ref="A29:F29"/>
    <mergeCell ref="A31:F31"/>
    <mergeCell ref="A17:F17"/>
    <mergeCell ref="A35:F35"/>
    <mergeCell ref="A3:F3"/>
    <mergeCell ref="A21:F21"/>
    <mergeCell ref="A15:F15"/>
    <mergeCell ref="A7:F7"/>
    <mergeCell ref="A25:F25"/>
  </mergeCells>
  <dataValidations count="1">
    <dataValidation sqref="C4 C6 C8 C9 C11 C12 C14 C16 C18 C20 C22 C24 C26 C28 C30 C32 C34 C36" showDropDown="0" showInputMessage="0" showErrorMessage="0" allowBlank="0" type="list">
      <formula1>"Implemented,Partially Implemented,Not Implemented,N/A"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22" customWidth="1" min="3" max="3"/>
    <col width="35" customWidth="1" min="4" max="4"/>
    <col width="40" customWidth="1" min="5" max="5"/>
    <col width="12" customWidth="1" min="6" max="6"/>
  </cols>
  <sheetData>
    <row r="1" ht="30" customHeight="1">
      <c r="A1" s="1" t="inlineStr">
        <is>
          <t>SDLC Assessment: Build &amp; Deployment Pipeline</t>
        </is>
      </c>
    </row>
    <row r="2" ht="30" customHeight="1">
      <c r="A2" s="17" t="inlineStr">
        <is>
          <t>ID</t>
        </is>
      </c>
      <c r="B2" s="17" t="inlineStr">
        <is>
          <t>Requirement</t>
        </is>
      </c>
      <c r="C2" s="17" t="inlineStr">
        <is>
          <t>Implementation Status</t>
        </is>
      </c>
      <c r="D2" s="17" t="inlineStr">
        <is>
          <t>Evidence Reference</t>
        </is>
      </c>
      <c r="E2" s="17" t="inlineStr">
        <is>
          <t>Comments</t>
        </is>
      </c>
      <c r="F2" s="17" t="inlineStr">
        <is>
          <t>Compliance</t>
        </is>
      </c>
    </row>
    <row r="3" ht="20" customHeight="1">
      <c r="A3" s="18" t="inlineStr">
        <is>
          <t>▶ Pipeline Security</t>
        </is>
      </c>
    </row>
    <row r="4" ht="45" customHeight="1">
      <c r="A4" s="19" t="inlineStr">
        <is>
          <t>3.1</t>
        </is>
      </c>
      <c r="B4" s="20" t="inlineStr">
        <is>
          <t>CI/CD pipelines enforce automated security checks on every build</t>
        </is>
      </c>
      <c r="C4" s="21" t="n"/>
      <c r="D4" s="22" t="inlineStr">
        <is>
          <t>Pipeline configuration files (Jenkinsfile, .gitlab-ci.yml), build logs showing security scans</t>
        </is>
      </c>
      <c r="E4" s="23" t="n"/>
      <c r="F4" s="24">
        <f>IF(C4="Implemented","✅",IF(C4="Partially Implemented","⚠️",IF(C4="Not Implemented","❌",IF(C4="N/A","N/A",""))))</f>
        <v/>
      </c>
    </row>
    <row r="5" ht="20" customHeight="1">
      <c r="A5" s="18" t="inlineStr">
        <is>
          <t>▶ Security Scanning</t>
        </is>
      </c>
    </row>
    <row r="6" ht="45" customHeight="1">
      <c r="A6" s="19" t="inlineStr">
        <is>
          <t>3.2</t>
        </is>
      </c>
      <c r="B6" s="20" t="inlineStr">
        <is>
          <t>SAST (Static Application Security Testing) tools are integrated into build pipeline</t>
        </is>
      </c>
      <c r="C6" s="21" t="n"/>
      <c r="D6" s="22" t="inlineStr">
        <is>
          <t>SAST scan results, tool integration config (SonarQube, Semgrep, Checkmarx)</t>
        </is>
      </c>
      <c r="E6" s="23" t="n"/>
      <c r="F6" s="24">
        <f>IF(C6="Implemented","✅",IF(C6="Partially Implemented","⚠️",IF(C6="Not Implemented","❌",IF(C6="N/A","N/A",""))))</f>
        <v/>
      </c>
    </row>
    <row r="7" ht="45" customHeight="1">
      <c r="A7" s="19" t="inlineStr">
        <is>
          <t>3.3</t>
        </is>
      </c>
      <c r="B7" s="20" t="inlineStr">
        <is>
          <t>SCA (Software Composition Analysis) tools scan dependencies during every build</t>
        </is>
      </c>
      <c r="C7" s="21" t="n"/>
      <c r="D7" s="22" t="inlineStr">
        <is>
          <t>SCA scan reports (Snyk, WhiteSource, Dependency-Check), vulnerability alerts</t>
        </is>
      </c>
      <c r="E7" s="23" t="n"/>
      <c r="F7" s="24">
        <f>IF(C7="Implemented","✅",IF(C7="Partially Implemented","⚠️",IF(C7="Not Implemented","❌",IF(C7="N/A","N/A",""))))</f>
        <v/>
      </c>
    </row>
    <row r="8" ht="45" customHeight="1">
      <c r="A8" s="19" t="inlineStr">
        <is>
          <t>3.4</t>
        </is>
      </c>
      <c r="B8" s="20" t="inlineStr">
        <is>
          <t>Secret scanning runs automatically on every commit</t>
        </is>
      </c>
      <c r="C8" s="21" t="n"/>
      <c r="D8" s="22" t="inlineStr">
        <is>
          <t>Secret scanner logs (TruffleHog, GitGuardian), detected secret alerts, remediation records</t>
        </is>
      </c>
      <c r="E8" s="23" t="n"/>
      <c r="F8" s="24">
        <f>IF(C8="Implemented","✅",IF(C8="Partially Implemented","⚠️",IF(C8="Not Implemented","❌",IF(C8="N/A","N/A",""))))</f>
        <v/>
      </c>
    </row>
    <row r="9" ht="20" customHeight="1">
      <c r="A9" s="18" t="inlineStr">
        <is>
          <t>▶ Artifact Security</t>
        </is>
      </c>
    </row>
    <row r="10" ht="45" customHeight="1">
      <c r="A10" s="19" t="inlineStr">
        <is>
          <t>3.5</t>
        </is>
      </c>
      <c r="B10" s="20" t="inlineStr">
        <is>
          <t>Build artifacts are signed and signature verification is enforced</t>
        </is>
      </c>
      <c r="C10" s="21" t="n"/>
      <c r="D10" s="22" t="inlineStr">
        <is>
          <t>Code signing certificates, artifact signatures, signature verification logs</t>
        </is>
      </c>
      <c r="E10" s="23" t="n"/>
      <c r="F10" s="24">
        <f>IF(C10="Implemented","✅",IF(C10="Partially Implemented","⚠️",IF(C10="Not Implemented","❌",IF(C10="N/A","N/A",""))))</f>
        <v/>
      </c>
    </row>
    <row r="11" ht="20" customHeight="1">
      <c r="A11" s="18" t="inlineStr">
        <is>
          <t>▶ Security Scanning</t>
        </is>
      </c>
    </row>
    <row r="12" ht="45" customHeight="1">
      <c r="A12" s="19" t="inlineStr">
        <is>
          <t>3.6</t>
        </is>
      </c>
      <c r="B12" s="20" t="inlineStr">
        <is>
          <t>Container images are scanned for vulnerabilities before deployment</t>
        </is>
      </c>
      <c r="C12" s="21" t="n"/>
      <c r="D12" s="22" t="inlineStr">
        <is>
          <t>Trivy/Clair/Anchore scan results, image vulnerability reports, scan policies</t>
        </is>
      </c>
      <c r="E12" s="23" t="n"/>
      <c r="F12" s="24">
        <f>IF(C12="Implemented","✅",IF(C12="Partially Implemented","⚠️",IF(C12="Not Implemented","❌",IF(C12="N/A","N/A",""))))</f>
        <v/>
      </c>
    </row>
    <row r="13" ht="45" customHeight="1">
      <c r="A13" s="19" t="inlineStr">
        <is>
          <t>3.7</t>
        </is>
      </c>
      <c r="B13" s="20" t="inlineStr">
        <is>
          <t>Infrastructure-as-Code (IaC) is scanned for security misconfigurations</t>
        </is>
      </c>
      <c r="C13" s="21" t="n"/>
      <c r="D13" s="22" t="inlineStr">
        <is>
          <t>Checkov/tfsec/Terrascan results, IaC security scan reports, policy violations</t>
        </is>
      </c>
      <c r="E13" s="23" t="n"/>
      <c r="F13" s="24">
        <f>IF(C13="Implemented","✅",IF(C13="Partially Implemented","⚠️",IF(C13="Not Implemented","❌",IF(C13="N/A","N/A",""))))</f>
        <v/>
      </c>
    </row>
    <row r="14" ht="20" customHeight="1">
      <c r="A14" s="18" t="inlineStr">
        <is>
          <t>▶ Pipeline Security</t>
        </is>
      </c>
    </row>
    <row r="15" ht="45" customHeight="1">
      <c r="A15" s="19" t="inlineStr">
        <is>
          <t>3.8</t>
        </is>
      </c>
      <c r="B15" s="20" t="inlineStr">
        <is>
          <t>Build pipelines fail on critical or high severity vulnerabilities</t>
        </is>
      </c>
      <c r="C15" s="21" t="n"/>
      <c r="D15" s="22" t="inlineStr">
        <is>
          <t>Pipeline failure logs, quality gate configuration, vulnerability threshold policies</t>
        </is>
      </c>
      <c r="E15" s="23" t="n"/>
      <c r="F15" s="24">
        <f>IF(C15="Implemented","✅",IF(C15="Partially Implemented","⚠️",IF(C15="Not Implemented","❌",IF(C15="N/A","N/A",""))))</f>
        <v/>
      </c>
    </row>
    <row r="16" ht="20" customHeight="1">
      <c r="A16" s="18" t="inlineStr">
        <is>
          <t>▶ Deployment Controls</t>
        </is>
      </c>
    </row>
    <row r="17" ht="45" customHeight="1">
      <c r="A17" s="19" t="inlineStr">
        <is>
          <t>3.9</t>
        </is>
      </c>
      <c r="B17" s="20" t="inlineStr">
        <is>
          <t>Deployment to production requires explicit approval</t>
        </is>
      </c>
      <c r="C17" s="21" t="n"/>
      <c r="D17" s="22" t="inlineStr">
        <is>
          <t>Approval workflows, deployment gate records, approval audit logs</t>
        </is>
      </c>
      <c r="E17" s="23" t="n"/>
      <c r="F17" s="24">
        <f>IF(C17="Implemented","✅",IF(C17="Partially Implemented","⚠️",IF(C17="Not Implemented","❌",IF(C17="N/A","N/A",""))))</f>
        <v/>
      </c>
    </row>
    <row r="18" ht="20" customHeight="1">
      <c r="A18" s="18" t="inlineStr">
        <is>
          <t>▶ Pipeline Security</t>
        </is>
      </c>
    </row>
    <row r="19" ht="45" customHeight="1">
      <c r="A19" s="19" t="inlineStr">
        <is>
          <t>3.10</t>
        </is>
      </c>
      <c r="B19" s="20" t="inlineStr">
        <is>
          <t>Pipeline service accounts use least-privilege access principles</t>
        </is>
      </c>
      <c r="C19" s="21" t="n"/>
      <c r="D19" s="22" t="inlineStr">
        <is>
          <t>Service account permissions, IAM policies, privilege reviews</t>
        </is>
      </c>
      <c r="E19" s="23" t="n"/>
      <c r="F19" s="24">
        <f>IF(C19="Implemented","✅",IF(C19="Partially Implemented","⚠️",IF(C19="Not Implemented","❌",IF(C19="N/A","N/A",""))))</f>
        <v/>
      </c>
    </row>
    <row r="20" ht="45" customHeight="1">
      <c r="A20" s="19" t="inlineStr">
        <is>
          <t>3.11</t>
        </is>
      </c>
      <c r="B20" s="20" t="inlineStr">
        <is>
          <t>Build environments are ephemeral and disposable (not persistent)</t>
        </is>
      </c>
      <c r="C20" s="21" t="n"/>
      <c r="D20" s="22" t="inlineStr">
        <is>
          <t>Build agent lifecycle documentation, container/VM configs, environment refresh logs</t>
        </is>
      </c>
      <c r="E20" s="23" t="n"/>
      <c r="F20" s="24">
        <f>IF(C20="Implemented","✅",IF(C20="Partially Implemented","⚠️",IF(C20="Not Implemented","❌",IF(C20="N/A","N/A",""))))</f>
        <v/>
      </c>
    </row>
    <row r="21" ht="45" customHeight="1">
      <c r="A21" s="19" t="inlineStr">
        <is>
          <t>3.12</t>
        </is>
      </c>
      <c r="B21" s="20" t="inlineStr">
        <is>
          <t>Pipeline configurations are version-controlled and peer-reviewed</t>
        </is>
      </c>
      <c r="C21" s="21" t="n"/>
      <c r="D21" s="22" t="inlineStr">
        <is>
          <t>CI/CD config files in git, change history, pipeline review records</t>
        </is>
      </c>
      <c r="E21" s="23" t="n"/>
      <c r="F21" s="24">
        <f>IF(C21="Implemented","✅",IF(C21="Partially Implemented","⚠️",IF(C21="Not Implemented","❌",IF(C21="N/A","N/A",""))))</f>
        <v/>
      </c>
    </row>
    <row r="22" ht="20" customHeight="1">
      <c r="A22" s="18" t="inlineStr">
        <is>
          <t>▶ Security Scanning</t>
        </is>
      </c>
    </row>
    <row r="23" ht="45" customHeight="1">
      <c r="A23" s="19" t="inlineStr">
        <is>
          <t>3.13</t>
        </is>
      </c>
      <c r="B23" s="20" t="inlineStr">
        <is>
          <t>Security scan results are archived and historically trackable</t>
        </is>
      </c>
      <c r="C23" s="21" t="n"/>
      <c r="D23" s="22" t="inlineStr">
        <is>
          <t>Scan result storage, historical trend reports, vulnerability tracking database</t>
        </is>
      </c>
      <c r="E23" s="23" t="n"/>
      <c r="F23" s="24">
        <f>IF(C23="Implemented","✅",IF(C23="Partially Implemented","⚠️",IF(C23="Not Implemented","❌",IF(C23="N/A","N/A",""))))</f>
        <v/>
      </c>
    </row>
    <row r="24" ht="20" customHeight="1">
      <c r="A24" s="18" t="inlineStr">
        <is>
          <t>▶ Deployment Controls</t>
        </is>
      </c>
    </row>
    <row r="25" ht="45" customHeight="1">
      <c r="A25" s="19" t="inlineStr">
        <is>
          <t>3.14</t>
        </is>
      </c>
      <c r="B25" s="20" t="inlineStr">
        <is>
          <t>Rollback procedures are tested and documented</t>
        </is>
      </c>
      <c r="C25" s="21" t="n"/>
      <c r="D25" s="22" t="inlineStr">
        <is>
          <t>Rollback runbooks, rollback test results, disaster recovery procedures</t>
        </is>
      </c>
      <c r="E25" s="23" t="n"/>
      <c r="F25" s="24">
        <f>IF(C25="Implemented","✅",IF(C25="Partially Implemented","⚠️",IF(C25="Not Implemented","❌",IF(C25="N/A","N/A",""))))</f>
        <v/>
      </c>
    </row>
    <row r="26" ht="45" customHeight="1">
      <c r="A26" s="19" t="inlineStr">
        <is>
          <t>3.15</t>
        </is>
      </c>
      <c r="B26" s="20" t="inlineStr">
        <is>
          <t>Deployment logs are sent to centralised logging/SIEM</t>
        </is>
      </c>
      <c r="C26" s="21" t="n"/>
      <c r="D26" s="22" t="inlineStr">
        <is>
          <t>SIEM integration, deployment audit logs, log retention policies</t>
        </is>
      </c>
      <c r="E26" s="23" t="n"/>
      <c r="F26" s="24">
        <f>IF(C26="Implemented","✅",IF(C26="Partially Implemented","⚠️",IF(C26="Not Implemented","❌",IF(C26="N/A","N/A",""))))</f>
        <v/>
      </c>
    </row>
    <row r="27" ht="20" customHeight="1">
      <c r="A27" s="18" t="inlineStr">
        <is>
          <t>▶ Pipeline Security</t>
        </is>
      </c>
    </row>
    <row r="28" ht="45" customHeight="1">
      <c r="A28" s="19" t="inlineStr">
        <is>
          <t>3.16</t>
        </is>
      </c>
      <c r="B28" s="20" t="inlineStr">
        <is>
          <t>Pipeline secrets are managed securely (not hardcoded in configs)</t>
        </is>
      </c>
      <c r="C28" s="21" t="n"/>
      <c r="D28" s="22" t="inlineStr">
        <is>
          <t>Secrets management integration, vault usage, secret rotation logs</t>
        </is>
      </c>
      <c r="E28" s="23" t="n"/>
      <c r="F28" s="24">
        <f>IF(C28="Implemented","✅",IF(C28="Partially Implemented","⚠️",IF(C28="Not Implemented","❌",IF(C28="N/A","N/A",""))))</f>
        <v/>
      </c>
    </row>
    <row r="29" ht="20" customHeight="1">
      <c r="A29" s="18" t="inlineStr">
        <is>
          <t>▶ Artifact Security</t>
        </is>
      </c>
    </row>
    <row r="30" ht="45" customHeight="1">
      <c r="A30" s="19" t="inlineStr">
        <is>
          <t>3.17</t>
        </is>
      </c>
      <c r="B30" s="20" t="inlineStr">
        <is>
          <t>Build reproducibility is ensured (deterministic builds where possible)</t>
        </is>
      </c>
      <c r="C30" s="21" t="n"/>
      <c r="D30" s="22" t="inlineStr">
        <is>
          <t>Build reproducibility documentation, dependency pinning, lockfiles</t>
        </is>
      </c>
      <c r="E30" s="23" t="n"/>
      <c r="F30" s="24">
        <f>IF(C30="Implemented","✅",IF(C30="Partially Implemented","⚠️",IF(C30="Not Implemented","❌",IF(C30="N/A","N/A",""))))</f>
        <v/>
      </c>
    </row>
    <row r="31" ht="20" customHeight="1">
      <c r="A31" s="18" t="inlineStr">
        <is>
          <t>▶ Security Scanning</t>
        </is>
      </c>
    </row>
    <row r="32" ht="45" customHeight="1">
      <c r="A32" s="19" t="inlineStr">
        <is>
          <t>3.18</t>
        </is>
      </c>
      <c r="B32" s="20" t="inlineStr">
        <is>
          <t>Failed security scans trigger notifications to security team</t>
        </is>
      </c>
      <c r="C32" s="21" t="n"/>
      <c r="D32" s="22" t="inlineStr">
        <is>
          <t>Alert configuration, notification logs, incident escalation procedures</t>
        </is>
      </c>
      <c r="E32" s="23" t="n"/>
      <c r="F32" s="24">
        <f>IF(C32="Implemented","✅",IF(C32="Partially Implemented","⚠️",IF(C32="Not Implemented","❌",IF(C32="N/A","N/A",""))))</f>
        <v/>
      </c>
    </row>
  </sheetData>
  <mergeCells count="13">
    <mergeCell ref="A24:F24"/>
    <mergeCell ref="A16:F16"/>
    <mergeCell ref="A11:F11"/>
    <mergeCell ref="A14:F14"/>
    <mergeCell ref="A1:F1"/>
    <mergeCell ref="A5:F5"/>
    <mergeCell ref="A9:F9"/>
    <mergeCell ref="A27:F27"/>
    <mergeCell ref="A31:F31"/>
    <mergeCell ref="A22:F22"/>
    <mergeCell ref="A18:F18"/>
    <mergeCell ref="A3:F3"/>
    <mergeCell ref="A29:F29"/>
  </mergeCells>
  <dataValidations count="1">
    <dataValidation sqref="C4 C6 C7 C8 C10 C12 C13 C15 C17 C19 C20 C21 C23 C25 C26 C28 C30 C32" showDropDown="0" showInputMessage="0" showErrorMessage="0" allowBlank="0" type="list">
      <formula1>"Implemented,Partially Implemented,Not Implemented,N/A"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22" customWidth="1" min="3" max="3"/>
    <col width="35" customWidth="1" min="4" max="4"/>
    <col width="40" customWidth="1" min="5" max="5"/>
    <col width="12" customWidth="1" min="6" max="6"/>
  </cols>
  <sheetData>
    <row r="1" ht="30" customHeight="1">
      <c r="A1" s="1" t="inlineStr">
        <is>
          <t>SDLC Assessment: Security Testing Integration</t>
        </is>
      </c>
    </row>
    <row r="2" ht="30" customHeight="1">
      <c r="A2" s="17" t="inlineStr">
        <is>
          <t>ID</t>
        </is>
      </c>
      <c r="B2" s="17" t="inlineStr">
        <is>
          <t>Requirement</t>
        </is>
      </c>
      <c r="C2" s="17" t="inlineStr">
        <is>
          <t>Implementation Status</t>
        </is>
      </c>
      <c r="D2" s="17" t="inlineStr">
        <is>
          <t>Evidence Reference</t>
        </is>
      </c>
      <c r="E2" s="17" t="inlineStr">
        <is>
          <t>Comments</t>
        </is>
      </c>
      <c r="F2" s="17" t="inlineStr">
        <is>
          <t>Compliance</t>
        </is>
      </c>
    </row>
    <row r="3" ht="20" customHeight="1">
      <c r="A3" s="18" t="inlineStr">
        <is>
          <t>▶ Test Planning</t>
        </is>
      </c>
    </row>
    <row r="4" ht="45" customHeight="1">
      <c r="A4" s="19" t="inlineStr">
        <is>
          <t>4.1</t>
        </is>
      </c>
      <c r="B4" s="20" t="inlineStr">
        <is>
          <t>Security test cases are written for all critical functionality</t>
        </is>
      </c>
      <c r="C4" s="21" t="n"/>
      <c r="D4" s="22" t="inlineStr">
        <is>
          <t>Security test suite, test case repository, test coverage reports</t>
        </is>
      </c>
      <c r="E4" s="23" t="n"/>
      <c r="F4" s="24">
        <f>IF(C4="Implemented","✅",IF(C4="Partially Implemented","⚠️",IF(C4="Not Implemented","❌",IF(C4="N/A","N/A",""))))</f>
        <v/>
      </c>
    </row>
    <row r="5" ht="20" customHeight="1">
      <c r="A5" s="18" t="inlineStr">
        <is>
          <t>▶ Unit Testing</t>
        </is>
      </c>
    </row>
    <row r="6" ht="45" customHeight="1">
      <c r="A6" s="19" t="inlineStr">
        <is>
          <t>4.2</t>
        </is>
      </c>
      <c r="B6" s="20" t="inlineStr">
        <is>
          <t>Unit tests include security-focused test cases (input validation, etc.)</t>
        </is>
      </c>
      <c r="C6" s="21" t="n"/>
      <c r="D6" s="22" t="inlineStr">
        <is>
          <t>Unit test suites with security tests, code coverage reports</t>
        </is>
      </c>
      <c r="E6" s="23" t="n"/>
      <c r="F6" s="24">
        <f>IF(C6="Implemented","✅",IF(C6="Partially Implemented","⚠️",IF(C6="Not Implemented","❌",IF(C6="N/A","N/A",""))))</f>
        <v/>
      </c>
    </row>
    <row r="7" ht="20" customHeight="1">
      <c r="A7" s="18" t="inlineStr">
        <is>
          <t>▶ Integration Testing</t>
        </is>
      </c>
    </row>
    <row r="8" ht="45" customHeight="1">
      <c r="A8" s="19" t="inlineStr">
        <is>
          <t>4.3</t>
        </is>
      </c>
      <c r="B8" s="20" t="inlineStr">
        <is>
          <t>Integration tests validate authentication and authorization mechanisms</t>
        </is>
      </c>
      <c r="C8" s="21" t="n"/>
      <c r="D8" s="22" t="inlineStr">
        <is>
          <t>Integration test suites, auth test results, test scenarios</t>
        </is>
      </c>
      <c r="E8" s="23" t="n"/>
      <c r="F8" s="24">
        <f>IF(C8="Implemented","✅",IF(C8="Partially Implemented","⚠️",IF(C8="Not Implemented","❌",IF(C8="N/A","N/A",""))))</f>
        <v/>
      </c>
    </row>
    <row r="9" ht="20" customHeight="1">
      <c r="A9" s="18" t="inlineStr">
        <is>
          <t>▶ Dynamic Testing</t>
        </is>
      </c>
    </row>
    <row r="10" ht="45" customHeight="1">
      <c r="A10" s="19" t="inlineStr">
        <is>
          <t>4.4</t>
        </is>
      </c>
      <c r="B10" s="20" t="inlineStr">
        <is>
          <t>DAST (Dynamic Application Security Testing) runs against staging environments</t>
        </is>
      </c>
      <c r="C10" s="21" t="n"/>
      <c r="D10" s="22" t="inlineStr">
        <is>
          <t>DAST scan reports (OWASP ZAP, Burp Suite, Acunetix), vulnerability findings</t>
        </is>
      </c>
      <c r="E10" s="23" t="n"/>
      <c r="F10" s="24">
        <f>IF(C10="Implemented","✅",IF(C10="Partially Implemented","⚠️",IF(C10="Not Implemented","❌",IF(C10="N/A","N/A",""))))</f>
        <v/>
      </c>
    </row>
    <row r="11" ht="20" customHeight="1">
      <c r="A11" s="18" t="inlineStr">
        <is>
          <t>▶ API Testing</t>
        </is>
      </c>
    </row>
    <row r="12" ht="45" customHeight="1">
      <c r="A12" s="19" t="inlineStr">
        <is>
          <t>4.5</t>
        </is>
      </c>
      <c r="B12" s="20" t="inlineStr">
        <is>
          <t>API security testing is performed (fuzzing, schema validation, injection tests)</t>
        </is>
      </c>
      <c r="C12" s="21" t="n"/>
      <c r="D12" s="22" t="inlineStr">
        <is>
          <t>API test results, fuzzing reports, Postman/REST Assured test suites</t>
        </is>
      </c>
      <c r="E12" s="23" t="n"/>
      <c r="F12" s="24">
        <f>IF(C12="Implemented","✅",IF(C12="Partially Implemented","⚠️",IF(C12="Not Implemented","❌",IF(C12="N/A","N/A",""))))</f>
        <v/>
      </c>
    </row>
    <row r="13" ht="20" customHeight="1">
      <c r="A13" s="18" t="inlineStr">
        <is>
          <t>▶ Penetration Testing</t>
        </is>
      </c>
    </row>
    <row r="14" ht="45" customHeight="1">
      <c r="A14" s="19" t="inlineStr">
        <is>
          <t>4.6</t>
        </is>
      </c>
      <c r="B14" s="20" t="inlineStr">
        <is>
          <t>Penetration testing is conducted for high-risk applications annually</t>
        </is>
      </c>
      <c r="C14" s="21" t="n"/>
      <c r="D14" s="22" t="inlineStr">
        <is>
          <t>Pentest reports, findings tracking, remediation validation</t>
        </is>
      </c>
      <c r="E14" s="23" t="n"/>
      <c r="F14" s="24">
        <f>IF(C14="Implemented","✅",IF(C14="Partially Implemented","⚠️",IF(C14="Not Implemented","❌",IF(C14="N/A","N/A",""))))</f>
        <v/>
      </c>
    </row>
    <row r="15" ht="20" customHeight="1">
      <c r="A15" s="18" t="inlineStr">
        <is>
          <t>▶ Regression Testing</t>
        </is>
      </c>
    </row>
    <row r="16" ht="45" customHeight="1">
      <c r="A16" s="19" t="inlineStr">
        <is>
          <t>4.7</t>
        </is>
      </c>
      <c r="B16" s="20" t="inlineStr">
        <is>
          <t>Security regression tests prevent reintroduction of known vulnerabilities</t>
        </is>
      </c>
      <c r="C16" s="21" t="n"/>
      <c r="D16" s="22" t="inlineStr">
        <is>
          <t>Regression test suite, vulnerability fix validation tests</t>
        </is>
      </c>
      <c r="E16" s="23" t="n"/>
      <c r="F16" s="24">
        <f>IF(C16="Implemented","✅",IF(C16="Partially Implemented","⚠️",IF(C16="Not Implemented","❌",IF(C16="N/A","N/A",""))))</f>
        <v/>
      </c>
    </row>
    <row r="17" ht="20" customHeight="1">
      <c r="A17" s="18" t="inlineStr">
        <is>
          <t>▶ Test Environment</t>
        </is>
      </c>
    </row>
    <row r="18" ht="45" customHeight="1">
      <c r="A18" s="19" t="inlineStr">
        <is>
          <t>4.8</t>
        </is>
      </c>
      <c r="B18" s="20" t="inlineStr">
        <is>
          <t>Test environments mirror production security configurations</t>
        </is>
      </c>
      <c r="C18" s="21" t="n"/>
      <c r="D18" s="22" t="inlineStr">
        <is>
          <t>Environment parity documentation, configuration comparisons</t>
        </is>
      </c>
      <c r="E18" s="23" t="n"/>
      <c r="F18" s="24">
        <f>IF(C18="Implemented","✅",IF(C18="Partially Implemented","⚠️",IF(C18="Not Implemented","❌",IF(C18="N/A","N/A",""))))</f>
        <v/>
      </c>
    </row>
    <row r="19" ht="20" customHeight="1">
      <c r="A19" s="18" t="inlineStr">
        <is>
          <t>▶ Test Automation</t>
        </is>
      </c>
    </row>
    <row r="20" ht="45" customHeight="1">
      <c r="A20" s="19" t="inlineStr">
        <is>
          <t>4.9</t>
        </is>
      </c>
      <c r="B20" s="20" t="inlineStr">
        <is>
          <t>Automated security tests run in CI/CD pipeline on every build</t>
        </is>
      </c>
      <c r="C20" s="21" t="n"/>
      <c r="D20" s="22" t="inlineStr">
        <is>
          <t>Pipeline test execution logs, automated test results</t>
        </is>
      </c>
      <c r="E20" s="23" t="n"/>
      <c r="F20" s="24">
        <f>IF(C20="Implemented","✅",IF(C20="Partially Implemented","⚠️",IF(C20="Not Implemented","❌",IF(C20="N/A","N/A",""))))</f>
        <v/>
      </c>
    </row>
    <row r="21" ht="20" customHeight="1">
      <c r="A21" s="18" t="inlineStr">
        <is>
          <t>▶ Test Planning</t>
        </is>
      </c>
    </row>
    <row r="22" ht="45" customHeight="1">
      <c r="A22" s="19" t="inlineStr">
        <is>
          <t>4.10</t>
        </is>
      </c>
      <c r="B22" s="20" t="inlineStr">
        <is>
          <t>Security testing results are reviewed before release approval</t>
        </is>
      </c>
      <c r="C22" s="21" t="n"/>
      <c r="D22" s="22" t="inlineStr">
        <is>
          <t>Release gate checklists, security sign-off records, test result reviews</t>
        </is>
      </c>
      <c r="E22" s="23" t="n"/>
      <c r="F22" s="24">
        <f>IF(C22="Implemented","✅",IF(C22="Partially Implemented","⚠️",IF(C22="Not Implemented","❌",IF(C22="N/A","N/A",""))))</f>
        <v/>
      </c>
    </row>
    <row r="23" ht="20" customHeight="1">
      <c r="A23" s="18" t="inlineStr">
        <is>
          <t>▶ Performance Testing</t>
        </is>
      </c>
    </row>
    <row r="24" ht="45" customHeight="1">
      <c r="A24" s="19" t="inlineStr">
        <is>
          <t>4.11</t>
        </is>
      </c>
      <c r="B24" s="20" t="inlineStr">
        <is>
          <t>Performance testing includes assessment of security control overhead</t>
        </is>
      </c>
      <c r="C24" s="21" t="n"/>
      <c r="D24" s="22" t="inlineStr">
        <is>
          <t>Load test results with security controls enabled, performance baselines</t>
        </is>
      </c>
      <c r="E24" s="23" t="n"/>
      <c r="F24" s="24">
        <f>IF(C24="Implemented","✅",IF(C24="Partially Implemented","⚠️",IF(C24="Not Implemented","❌",IF(C24="N/A","N/A",""))))</f>
        <v/>
      </c>
    </row>
    <row r="25" ht="20" customHeight="1">
      <c r="A25" s="18" t="inlineStr">
        <is>
          <t>▶ External Testing</t>
        </is>
      </c>
    </row>
    <row r="26" ht="45" customHeight="1">
      <c r="A26" s="19" t="inlineStr">
        <is>
          <t>4.12</t>
        </is>
      </c>
      <c r="B26" s="20" t="inlineStr">
        <is>
          <t>Bug bounty or responsible disclosure program provides external testing</t>
        </is>
      </c>
      <c r="C26" s="21" t="n"/>
      <c r="D26" s="22" t="inlineStr">
        <is>
          <t>Bug bounty platform reports (HackerOne, Bugcrowd), vulnerability submissions</t>
        </is>
      </c>
      <c r="E26" s="23" t="n"/>
      <c r="F26" s="24">
        <f>IF(C26="Implemented","✅",IF(C26="Partially Implemented","⚠️",IF(C26="Not Implemented","❌",IF(C26="N/A","N/A",""))))</f>
        <v/>
      </c>
    </row>
    <row r="27" ht="20" customHeight="1">
      <c r="A27" s="18" t="inlineStr">
        <is>
          <t>▶ Test Planning</t>
        </is>
      </c>
    </row>
    <row r="28" ht="45" customHeight="1">
      <c r="A28" s="19" t="inlineStr">
        <is>
          <t>4.13</t>
        </is>
      </c>
      <c r="B28" s="20" t="inlineStr">
        <is>
          <t>Security Champions participate in test planning and review</t>
        </is>
      </c>
      <c r="C28" s="21" t="n"/>
      <c r="D28" s="22" t="inlineStr">
        <is>
          <t>Test planning meeting notes, Security Champion involvement records</t>
        </is>
      </c>
      <c r="E28" s="23" t="n"/>
      <c r="F28" s="24">
        <f>IF(C28="Implemented","✅",IF(C28="Partially Implemented","⚠️",IF(C28="Not Implemented","❌",IF(C28="N/A","N/A",""))))</f>
        <v/>
      </c>
    </row>
    <row r="29" ht="20" customHeight="1">
      <c r="A29" s="18" t="inlineStr">
        <is>
          <t>▶ Test Automation</t>
        </is>
      </c>
    </row>
    <row r="30" ht="45" customHeight="1">
      <c r="A30" s="19" t="inlineStr">
        <is>
          <t>4.14</t>
        </is>
      </c>
      <c r="B30" s="20" t="inlineStr">
        <is>
          <t>Failed security tests block deployment to production</t>
        </is>
      </c>
      <c r="C30" s="21" t="n"/>
      <c r="D30" s="22" t="inlineStr">
        <is>
          <t>Quality gate configuration, blocked deployment logs, override procedures</t>
        </is>
      </c>
      <c r="E30" s="23" t="n"/>
      <c r="F30" s="24">
        <f>IF(C30="Implemented","✅",IF(C30="Partially Implemented","⚠️",IF(C30="Not Implemented","❌",IF(C30="N/A","N/A",""))))</f>
        <v/>
      </c>
    </row>
    <row r="31" ht="20" customHeight="1">
      <c r="A31" s="18" t="inlineStr">
        <is>
          <t>▶ Test Planning</t>
        </is>
      </c>
    </row>
    <row r="32" ht="45" customHeight="1">
      <c r="A32" s="19" t="inlineStr">
        <is>
          <t>4.15</t>
        </is>
      </c>
      <c r="B32" s="20" t="inlineStr">
        <is>
          <t>Security test coverage is measured and tracked over time</t>
        </is>
      </c>
      <c r="C32" s="21" t="n"/>
      <c r="D32" s="22" t="inlineStr">
        <is>
          <t>Coverage metrics, security test inventory, trend analysis</t>
        </is>
      </c>
      <c r="E32" s="23" t="n"/>
      <c r="F32" s="24">
        <f>IF(C32="Implemented","✅",IF(C32="Partially Implemented","⚠️",IF(C32="Not Implemented","❌",IF(C32="N/A","N/A",""))))</f>
        <v/>
      </c>
    </row>
    <row r="33" ht="20" customHeight="1">
      <c r="A33" s="18" t="inlineStr">
        <is>
          <t>▶ Integration Testing</t>
        </is>
      </c>
    </row>
    <row r="34" ht="45" customHeight="1">
      <c r="A34" s="19" t="inlineStr">
        <is>
          <t>4.16</t>
        </is>
      </c>
      <c r="B34" s="20" t="inlineStr">
        <is>
          <t>Authentication and session management are thoroughly tested</t>
        </is>
      </c>
      <c r="C34" s="21" t="n"/>
      <c r="D34" s="22" t="inlineStr">
        <is>
          <t>Auth test scenarios, session security tests, credential handling tests</t>
        </is>
      </c>
      <c r="E34" s="23" t="n"/>
      <c r="F34" s="24">
        <f>IF(C34="Implemented","✅",IF(C34="Partially Implemented","⚠️",IF(C34="Not Implemented","❌",IF(C34="N/A","N/A",""))))</f>
        <v/>
      </c>
    </row>
    <row r="35" ht="20" customHeight="1">
      <c r="A35" s="18" t="inlineStr">
        <is>
          <t>▶ API Testing</t>
        </is>
      </c>
    </row>
    <row r="36" ht="45" customHeight="1">
      <c r="A36" s="19" t="inlineStr">
        <is>
          <t>4.17</t>
        </is>
      </c>
      <c r="B36" s="20" t="inlineStr">
        <is>
          <t>Input validation testing covers all user input vectors</t>
        </is>
      </c>
      <c r="C36" s="21" t="n"/>
      <c r="D36" s="22" t="inlineStr">
        <is>
          <t>Input validation test cases, injection testing results, fuzzing outputs</t>
        </is>
      </c>
      <c r="E36" s="23" t="n"/>
      <c r="F36" s="24">
        <f>IF(C36="Implemented","✅",IF(C36="Partially Implemented","⚠️",IF(C36="Not Implemented","❌",IF(C36="N/A","N/A",""))))</f>
        <v/>
      </c>
    </row>
    <row r="37" ht="20" customHeight="1">
      <c r="A37" s="18" t="inlineStr">
        <is>
          <t>▶ Test Environment</t>
        </is>
      </c>
    </row>
    <row r="38" ht="45" customHeight="1">
      <c r="A38" s="19" t="inlineStr">
        <is>
          <t>4.18</t>
        </is>
      </c>
      <c r="B38" s="20" t="inlineStr">
        <is>
          <t>Security test data is maintained separately from production data</t>
        </is>
      </c>
      <c r="C38" s="21" t="n"/>
      <c r="D38" s="22" t="inlineStr">
        <is>
          <t>Test data management procedures, synthetic data generation tools</t>
        </is>
      </c>
      <c r="E38" s="23" t="n"/>
      <c r="F38" s="24">
        <f>IF(C38="Implemented","✅",IF(C38="Partially Implemented","⚠️",IF(C38="Not Implemented","❌",IF(C38="N/A","N/A",""))))</f>
        <v/>
      </c>
    </row>
  </sheetData>
  <mergeCells count="19">
    <mergeCell ref="A37:F37"/>
    <mergeCell ref="A27:F27"/>
    <mergeCell ref="A3:F3"/>
    <mergeCell ref="A21:F21"/>
    <mergeCell ref="A33:F33"/>
    <mergeCell ref="A5:F5"/>
    <mergeCell ref="A23:F23"/>
    <mergeCell ref="A17:F17"/>
    <mergeCell ref="A35:F35"/>
    <mergeCell ref="A29:F29"/>
    <mergeCell ref="A13:F13"/>
    <mergeCell ref="A19:F19"/>
    <mergeCell ref="A9:F9"/>
    <mergeCell ref="A31:F31"/>
    <mergeCell ref="A15:F15"/>
    <mergeCell ref="A11:F11"/>
    <mergeCell ref="A1:F1"/>
    <mergeCell ref="A7:F7"/>
    <mergeCell ref="A25:F25"/>
  </mergeCells>
  <dataValidations count="1">
    <dataValidation sqref="C4 C6 C8 C10 C12 C14 C16 C18 C20 C22 C24 C26 C28 C30 C32 C34 C36 C38" showDropDown="0" showInputMessage="0" showErrorMessage="0" allowBlank="0" type="list">
      <formula1>"Implemented,Partially Implemented,Not Implemented,N/A"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22" customWidth="1" min="3" max="3"/>
    <col width="35" customWidth="1" min="4" max="4"/>
    <col width="40" customWidth="1" min="5" max="5"/>
    <col width="12" customWidth="1" min="6" max="6"/>
  </cols>
  <sheetData>
    <row r="1" ht="30" customHeight="1">
      <c r="A1" s="1" t="inlineStr">
        <is>
          <t>SDLC Assessment: Release &amp; Change Management</t>
        </is>
      </c>
    </row>
    <row r="2" ht="30" customHeight="1">
      <c r="A2" s="17" t="inlineStr">
        <is>
          <t>ID</t>
        </is>
      </c>
      <c r="B2" s="17" t="inlineStr">
        <is>
          <t>Requirement</t>
        </is>
      </c>
      <c r="C2" s="17" t="inlineStr">
        <is>
          <t>Implementation Status</t>
        </is>
      </c>
      <c r="D2" s="17" t="inlineStr">
        <is>
          <t>Evidence Reference</t>
        </is>
      </c>
      <c r="E2" s="17" t="inlineStr">
        <is>
          <t>Comments</t>
        </is>
      </c>
      <c r="F2" s="17" t="inlineStr">
        <is>
          <t>Compliance</t>
        </is>
      </c>
    </row>
    <row r="3" ht="20" customHeight="1">
      <c r="A3" s="18" t="inlineStr">
        <is>
          <t>▶ Release Process</t>
        </is>
      </c>
    </row>
    <row r="4" ht="45" customHeight="1">
      <c r="A4" s="19" t="inlineStr">
        <is>
          <t>5.1</t>
        </is>
      </c>
      <c r="B4" s="20" t="inlineStr">
        <is>
          <t>Security review is mandatory for all production releases</t>
        </is>
      </c>
      <c r="C4" s="21" t="n"/>
      <c r="D4" s="22" t="inlineStr">
        <is>
          <t>Release checklists with security sign-off, security review records</t>
        </is>
      </c>
      <c r="E4" s="23" t="n"/>
      <c r="F4" s="24">
        <f>IF(C4="Implemented","✅",IF(C4="Partially Implemented","⚠️",IF(C4="Not Implemented","❌",IF(C4="N/A","N/A",""))))</f>
        <v/>
      </c>
    </row>
    <row r="5" ht="20" customHeight="1">
      <c r="A5" s="18" t="inlineStr">
        <is>
          <t>▶ Release Documentation</t>
        </is>
      </c>
    </row>
    <row r="6" ht="45" customHeight="1">
      <c r="A6" s="19" t="inlineStr">
        <is>
          <t>5.2</t>
        </is>
      </c>
      <c r="B6" s="20" t="inlineStr">
        <is>
          <t>Release notes document all security-relevant changes</t>
        </is>
      </c>
      <c r="C6" s="21" t="n"/>
      <c r="D6" s="22" t="inlineStr">
        <is>
          <t>Release notes, change logs with security tags, security update notifications</t>
        </is>
      </c>
      <c r="E6" s="23" t="n"/>
      <c r="F6" s="24">
        <f>IF(C6="Implemented","✅",IF(C6="Partially Implemented","⚠️",IF(C6="Not Implemented","❌",IF(C6="N/A","N/A",""))))</f>
        <v/>
      </c>
    </row>
    <row r="7" ht="20" customHeight="1">
      <c r="A7" s="18" t="inlineStr">
        <is>
          <t>▶ Change Management</t>
        </is>
      </c>
    </row>
    <row r="8" ht="45" customHeight="1">
      <c r="A8" s="19" t="inlineStr">
        <is>
          <t>5.3</t>
        </is>
      </c>
      <c r="B8" s="20" t="inlineStr">
        <is>
          <t>Emergency hotfix process includes security assessment</t>
        </is>
      </c>
      <c r="C8" s="21" t="n"/>
      <c r="D8" s="22" t="inlineStr">
        <is>
          <t>Hotfix procedures, emergency change records, security review logs</t>
        </is>
      </c>
      <c r="E8" s="23" t="n"/>
      <c r="F8" s="24">
        <f>IF(C8="Implemented","✅",IF(C8="Partially Implemented","⚠️",IF(C8="Not Implemented","❌",IF(C8="N/A","N/A",""))))</f>
        <v/>
      </c>
    </row>
    <row r="9" ht="20" customHeight="1">
      <c r="A9" s="18" t="inlineStr">
        <is>
          <t>▶ Release Process</t>
        </is>
      </c>
    </row>
    <row r="10" ht="45" customHeight="1">
      <c r="A10" s="19" t="inlineStr">
        <is>
          <t>5.4</t>
        </is>
      </c>
      <c r="B10" s="20" t="inlineStr">
        <is>
          <t>Rollback plans are prepared and tested for all production releases</t>
        </is>
      </c>
      <c r="C10" s="21" t="n"/>
      <c r="D10" s="22" t="inlineStr">
        <is>
          <t>Rollback procedures, rollback test results, disaster recovery plans</t>
        </is>
      </c>
      <c r="E10" s="23" t="n"/>
      <c r="F10" s="24">
        <f>IF(C10="Implemented","✅",IF(C10="Partially Implemented","⚠️",IF(C10="Not Implemented","❌",IF(C10="N/A","N/A",""))))</f>
        <v/>
      </c>
    </row>
    <row r="11" ht="45" customHeight="1">
      <c r="A11" s="19" t="inlineStr">
        <is>
          <t>5.5</t>
        </is>
      </c>
      <c r="B11" s="20" t="inlineStr">
        <is>
          <t>Post-deployment verification includes security checks</t>
        </is>
      </c>
      <c r="C11" s="21" t="n"/>
      <c r="D11" s="22" t="inlineStr">
        <is>
          <t>Smoke test results, security validation logs, post-deployment checklists</t>
        </is>
      </c>
      <c r="E11" s="23" t="n"/>
      <c r="F11" s="24">
        <f>IF(C11="Implemented","✅",IF(C11="Partially Implemented","⚠️",IF(C11="Not Implemented","❌",IF(C11="N/A","N/A",""))))</f>
        <v/>
      </c>
    </row>
    <row r="12" ht="20" customHeight="1">
      <c r="A12" s="18" t="inlineStr">
        <is>
          <t>▶ Patch Management</t>
        </is>
      </c>
    </row>
    <row r="13" ht="45" customHeight="1">
      <c r="A13" s="19" t="inlineStr">
        <is>
          <t>5.6</t>
        </is>
      </c>
      <c r="B13" s="20" t="inlineStr">
        <is>
          <t>Security patches are prioritised and tracked with defined SLAs</t>
        </is>
      </c>
      <c r="C13" s="21" t="n"/>
      <c r="D13" s="22" t="inlineStr">
        <is>
          <t>Security patch SLA, vulnerability remediation tracker, patching metrics</t>
        </is>
      </c>
      <c r="E13" s="23" t="n"/>
      <c r="F13" s="24">
        <f>IF(C13="Implemented","✅",IF(C13="Partially Implemented","⚠️",IF(C13="Not Implemented","❌",IF(C13="N/A","N/A",""))))</f>
        <v/>
      </c>
    </row>
    <row r="14" ht="20" customHeight="1">
      <c r="A14" s="18" t="inlineStr">
        <is>
          <t>▶ Change Management</t>
        </is>
      </c>
    </row>
    <row r="15" ht="45" customHeight="1">
      <c r="A15" s="19" t="inlineStr">
        <is>
          <t>5.7</t>
        </is>
      </c>
      <c r="B15" s="20" t="inlineStr">
        <is>
          <t>Configuration changes follow formal change management process</t>
        </is>
      </c>
      <c r="C15" s="21" t="n"/>
      <c r="D15" s="22" t="inlineStr">
        <is>
          <t>Change requests, CAB approval records, configuration change logs</t>
        </is>
      </c>
      <c r="E15" s="23" t="n"/>
      <c r="F15" s="24">
        <f>IF(C15="Implemented","✅",IF(C15="Partially Implemented","⚠️",IF(C15="Not Implemented","❌",IF(C15="N/A","N/A",""))))</f>
        <v/>
      </c>
    </row>
    <row r="16" ht="20" customHeight="1">
      <c r="A16" s="18" t="inlineStr">
        <is>
          <t>▶ Access Control</t>
        </is>
      </c>
    </row>
    <row r="17" ht="45" customHeight="1">
      <c r="A17" s="19" t="inlineStr">
        <is>
          <t>5.8</t>
        </is>
      </c>
      <c r="B17" s="20" t="inlineStr">
        <is>
          <t>Production access is logged, monitored, and reviewed</t>
        </is>
      </c>
      <c r="C17" s="21" t="n"/>
      <c r="D17" s="22" t="inlineStr">
        <is>
          <t>Production access logs, privileged access monitoring, access reviews</t>
        </is>
      </c>
      <c r="E17" s="23" t="n"/>
      <c r="F17" s="24">
        <f>IF(C17="Implemented","✅",IF(C17="Partially Implemented","⚠️",IF(C17="Not Implemented","❌",IF(C17="N/A","N/A",""))))</f>
        <v/>
      </c>
    </row>
    <row r="18" ht="20" customHeight="1">
      <c r="A18" s="18" t="inlineStr">
        <is>
          <t>▶ Release Process</t>
        </is>
      </c>
    </row>
    <row r="19" ht="45" customHeight="1">
      <c r="A19" s="19" t="inlineStr">
        <is>
          <t>5.9</t>
        </is>
      </c>
      <c r="B19" s="20" t="inlineStr">
        <is>
          <t>Feature flags enable controlled rollout of security features</t>
        </is>
      </c>
      <c r="C19" s="21" t="n"/>
      <c r="D19" s="22" t="inlineStr">
        <is>
          <t>Feature flag configurations, gradual rollout plans, feature toggle logs</t>
        </is>
      </c>
      <c r="E19" s="23" t="n"/>
      <c r="F19" s="24">
        <f>IF(C19="Implemented","✅",IF(C19="Partially Implemented","⚠️",IF(C19="Not Implemented","❌",IF(C19="N/A","N/A",""))))</f>
        <v/>
      </c>
    </row>
    <row r="20" ht="20" customHeight="1">
      <c r="A20" s="18" t="inlineStr">
        <is>
          <t>▶ Release Documentation</t>
        </is>
      </c>
    </row>
    <row r="21" ht="45" customHeight="1">
      <c r="A21" s="19" t="inlineStr">
        <is>
          <t>5.10</t>
        </is>
      </c>
      <c r="B21" s="20" t="inlineStr">
        <is>
          <t>Security metrics are collected and reviewed post-release</t>
        </is>
      </c>
      <c r="C21" s="21" t="n"/>
      <c r="D21" s="22" t="inlineStr">
        <is>
          <t>Post-release security reports, incident metrics, security KPI dashboards</t>
        </is>
      </c>
      <c r="E21" s="23" t="n"/>
      <c r="F21" s="24">
        <f>IF(C21="Implemented","✅",IF(C21="Partially Implemented","⚠️",IF(C21="Not Implemented","❌",IF(C21="N/A","N/A",""))))</f>
        <v/>
      </c>
    </row>
    <row r="22" ht="45" customHeight="1">
      <c r="A22" s="19" t="inlineStr">
        <is>
          <t>5.11</t>
        </is>
      </c>
      <c r="B22" s="20" t="inlineStr">
        <is>
          <t>Communication plan exists for security-relevant releases</t>
        </is>
      </c>
      <c r="C22" s="21" t="n"/>
      <c r="D22" s="22" t="inlineStr">
        <is>
          <t>Communication templates, stakeholder notification logs, security bulletins</t>
        </is>
      </c>
      <c r="E22" s="23" t="n"/>
      <c r="F22" s="24">
        <f>IF(C22="Implemented","✅",IF(C22="Partially Implemented","⚠️",IF(C22="Not Implemented","❌",IF(C22="N/A","N/A",""))))</f>
        <v/>
      </c>
    </row>
    <row r="23" ht="20" customHeight="1">
      <c r="A23" s="18" t="inlineStr">
        <is>
          <t>▶ Release Process</t>
        </is>
      </c>
    </row>
    <row r="24" ht="45" customHeight="1">
      <c r="A24" s="19" t="inlineStr">
        <is>
          <t>5.12</t>
        </is>
      </c>
      <c r="B24" s="20" t="inlineStr">
        <is>
          <t>Release frequency balances security needs with business velocity</t>
        </is>
      </c>
      <c r="C24" s="21" t="n"/>
      <c r="D24" s="22" t="inlineStr">
        <is>
          <t>Release calendar, security vs. feature delivery metrics, deployment frequency</t>
        </is>
      </c>
      <c r="E24" s="23" t="n"/>
      <c r="F24" s="24">
        <f>IF(C24="Implemented","✅",IF(C24="Partially Implemented","⚠️",IF(C24="Not Implemented","❌",IF(C24="N/A","N/A",""))))</f>
        <v/>
      </c>
    </row>
    <row r="25" ht="20" customHeight="1">
      <c r="A25" s="18" t="inlineStr">
        <is>
          <t>▶ Patch Management</t>
        </is>
      </c>
    </row>
    <row r="26" ht="45" customHeight="1">
      <c r="A26" s="19" t="inlineStr">
        <is>
          <t>5.13</t>
        </is>
      </c>
      <c r="B26" s="20" t="inlineStr">
        <is>
          <t>Post-incident releases are tracked and undergo enhanced scrutiny</t>
        </is>
      </c>
      <c r="C26" s="21" t="n"/>
      <c r="D26" s="22" t="inlineStr">
        <is>
          <t>Incident-driven release logs, security fix tracking, post-incident reviews</t>
        </is>
      </c>
      <c r="E26" s="23" t="n"/>
      <c r="F26" s="24">
        <f>IF(C26="Implemented","✅",IF(C26="Partially Implemented","⚠️",IF(C26="Not Implemented","❌",IF(C26="N/A","N/A",""))))</f>
        <v/>
      </c>
    </row>
    <row r="27" ht="20" customHeight="1">
      <c r="A27" s="18" t="inlineStr">
        <is>
          <t>▶ Release Documentation</t>
        </is>
      </c>
    </row>
    <row r="28" ht="45" customHeight="1">
      <c r="A28" s="19" t="inlineStr">
        <is>
          <t>5.14</t>
        </is>
      </c>
      <c r="B28" s="20" t="inlineStr">
        <is>
          <t>Compliance artifacts are updated with each relevant release</t>
        </is>
      </c>
      <c r="C28" s="21" t="n"/>
      <c r="D28" s="22" t="inlineStr">
        <is>
          <t>Compliance documentation updates, attestation records, audit trail</t>
        </is>
      </c>
      <c r="E28" s="23" t="n"/>
      <c r="F28" s="24">
        <f>IF(C28="Implemented","✅",IF(C28="Partially Implemented","⚠️",IF(C28="Not Implemented","❌",IF(C28="N/A","N/A",""))))</f>
        <v/>
      </c>
    </row>
    <row r="29" ht="20" customHeight="1">
      <c r="A29" s="18" t="inlineStr">
        <is>
          <t>▶ Continuous Improvement</t>
        </is>
      </c>
    </row>
    <row r="30" ht="45" customHeight="1">
      <c r="A30" s="19" t="inlineStr">
        <is>
          <t>5.15</t>
        </is>
      </c>
      <c r="B30" s="20" t="inlineStr">
        <is>
          <t>Lessons learned from security issues feed into process improvements</t>
        </is>
      </c>
      <c r="C30" s="21" t="n"/>
      <c r="D30" s="22" t="inlineStr">
        <is>
          <t>Retrospective notes, security improvement backlog, process change records</t>
        </is>
      </c>
      <c r="E30" s="23" t="n"/>
      <c r="F30" s="24">
        <f>IF(C30="Implemented","✅",IF(C30="Partially Implemented","⚠️",IF(C30="Not Implemented","❌",IF(C30="N/A","N/A",""))))</f>
        <v/>
      </c>
    </row>
    <row r="31" ht="20" customHeight="1">
      <c r="A31" s="18" t="inlineStr">
        <is>
          <t>▶ Release Process</t>
        </is>
      </c>
    </row>
    <row r="32" ht="45" customHeight="1">
      <c r="A32" s="19" t="inlineStr">
        <is>
          <t>5.16</t>
        </is>
      </c>
      <c r="B32" s="20" t="inlineStr">
        <is>
          <t>Release approvals require sign-off from security stakeholders</t>
        </is>
      </c>
      <c r="C32" s="21" t="n"/>
      <c r="D32" s="22" t="inlineStr">
        <is>
          <t>Approval workflow records, security sign-off documentation</t>
        </is>
      </c>
      <c r="E32" s="23" t="n"/>
      <c r="F32" s="24">
        <f>IF(C32="Implemented","✅",IF(C32="Partially Implemented","⚠️",IF(C32="Not Implemented","❌",IF(C32="N/A","N/A",""))))</f>
        <v/>
      </c>
    </row>
    <row r="33" ht="20" customHeight="1">
      <c r="A33" s="18" t="inlineStr">
        <is>
          <t>▶ Release Documentation</t>
        </is>
      </c>
    </row>
    <row r="34" ht="45" customHeight="1">
      <c r="A34" s="19" t="inlineStr">
        <is>
          <t>5.17</t>
        </is>
      </c>
      <c r="B34" s="20" t="inlineStr">
        <is>
          <t>Version control and release tags are properly maintained</t>
        </is>
      </c>
      <c r="C34" s="21" t="n"/>
      <c r="D34" s="22" t="inlineStr">
        <is>
          <t>Git tags, release versioning records, artifact version tracking</t>
        </is>
      </c>
      <c r="E34" s="23" t="n"/>
      <c r="F34" s="24">
        <f>IF(C34="Implemented","✅",IF(C34="Partially Implemented","⚠️",IF(C34="Not Implemented","❌",IF(C34="N/A","N/A",""))))</f>
        <v/>
      </c>
    </row>
    <row r="35" ht="45" customHeight="1">
      <c r="A35" s="19" t="inlineStr">
        <is>
          <t>5.18</t>
        </is>
      </c>
      <c r="B35" s="20" t="inlineStr">
        <is>
          <t>Security scan results are archived with release artifacts</t>
        </is>
      </c>
      <c r="C35" s="21" t="n"/>
      <c r="D35" s="22" t="inlineStr">
        <is>
          <t>Scan result archives, release documentation bundles, compliance packages</t>
        </is>
      </c>
      <c r="E35" s="23" t="n"/>
      <c r="F35" s="24">
        <f>IF(C35="Implemented","✅",IF(C35="Partially Implemented","⚠️",IF(C35="Not Implemented","❌",IF(C35="N/A","N/A",""))))</f>
        <v/>
      </c>
    </row>
  </sheetData>
  <mergeCells count="16">
    <mergeCell ref="A16:F16"/>
    <mergeCell ref="A33:F33"/>
    <mergeCell ref="A14:F14"/>
    <mergeCell ref="A1:F1"/>
    <mergeCell ref="A5:F5"/>
    <mergeCell ref="A9:F9"/>
    <mergeCell ref="A23:F23"/>
    <mergeCell ref="A27:F27"/>
    <mergeCell ref="A31:F31"/>
    <mergeCell ref="A12:F12"/>
    <mergeCell ref="A18:F18"/>
    <mergeCell ref="A3:F3"/>
    <mergeCell ref="A20:F20"/>
    <mergeCell ref="A29:F29"/>
    <mergeCell ref="A7:F7"/>
    <mergeCell ref="A25:F25"/>
  </mergeCells>
  <dataValidations count="1">
    <dataValidation sqref="C4 C6 C8 C10 C11 C13 C15 C17 C19 C21 C22 C24 C26 C28 C30 C32 C34 C35" showDropDown="0" showInputMessage="0" showErrorMessage="0" allowBlank="0" type="list">
      <formula1>"Implemented,Partially Implemented,Not Implemented,N/A"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5" customWidth="1" min="3" max="3"/>
    <col width="20" customWidth="1" min="4" max="4"/>
    <col width="25" customWidth="1" min="5" max="5"/>
  </cols>
  <sheetData>
    <row r="1" ht="30" customHeight="1">
      <c r="A1" s="1" t="inlineStr">
        <is>
          <t>SDLC Assessment - Summary Dashboard</t>
        </is>
      </c>
    </row>
    <row r="3">
      <c r="A3" s="25" t="inlineStr">
        <is>
          <t>Assessment Date:</t>
        </is>
      </c>
      <c r="B3">
        <f>Instructions!B8</f>
        <v/>
      </c>
    </row>
    <row r="4">
      <c r="A4" s="25" t="inlineStr">
        <is>
          <t>Assessor:</t>
        </is>
      </c>
      <c r="B4">
        <f>Instructions!B9</f>
        <v/>
      </c>
    </row>
    <row r="5">
      <c r="A5" s="25" t="inlineStr">
        <is>
          <t>Organisation:</t>
        </is>
      </c>
      <c r="B5">
        <f>Instructions!B10</f>
        <v/>
      </c>
    </row>
    <row r="7">
      <c r="A7" s="26" t="inlineStr">
        <is>
          <t>Overall SDLC Compliance Score:</t>
        </is>
      </c>
      <c r="C7" s="27">
        <f>(COUNTIF('Security Requirements Design'!C:C,"Implemented")+
COUNTIF('Development Environment'!C:C,"Implemented")+
COUNTIF('Build Deployment Pipeline'!C:C,"Implemented")+
COUNTIF('Security Testing Integration'!C:C,"Implemented")+
COUNTIF('Release Change Management'!C:C,"Implemented"))/
(COUNTA('Security Requirements Design'!C:C)+
COUNTA('Development Environment'!C:C)+
COUNTA('Build Deployment Pipeline'!C:C)+
COUNTA('Security Testing Integration'!C:C)+
COUNTA('Release Change Management'!C:C)-5-
COUNTIF('Security Requirements Design'!C:C,"N/A")-
COUNTIF('Development Environment'!C:C,"N/A")-
COUNTIF('Build Deployment Pipeline'!C:C,"N/A")-
COUNTIF('Security Testing Integration'!C:C,"N/A")-
COUNTIF('Release Change Management'!C:C,"N/A"))</f>
        <v/>
      </c>
      <c r="D7" s="28">
        <f>IF(C7&gt;=0.8,"🟢 Compliant",IF(C7&gt;=0.6,"🟡 Needs Improvement","🔴 Non-Compliant"))</f>
        <v/>
      </c>
    </row>
    <row r="10">
      <c r="A10" s="29" t="inlineStr">
        <is>
          <t>Domain Compliance Breakdown</t>
        </is>
      </c>
    </row>
    <row r="11">
      <c r="A11" s="17" t="inlineStr">
        <is>
          <t>Domain</t>
        </is>
      </c>
      <c r="B11" s="17" t="inlineStr">
        <is>
          <t>Compliance %</t>
        </is>
      </c>
      <c r="C11" s="17" t="inlineStr">
        <is>
          <t>Status</t>
        </is>
      </c>
      <c r="D11" s="17" t="inlineStr">
        <is>
          <t>Not Implemented</t>
        </is>
      </c>
      <c r="E11" s="17" t="inlineStr">
        <is>
          <t>Partially Implemented</t>
        </is>
      </c>
    </row>
    <row r="12">
      <c r="A12" t="inlineStr">
        <is>
          <t>1. Security Requirements &amp; Design</t>
        </is>
      </c>
      <c r="B12" s="30">
        <f>COUNTIF('Security Requirements Design'!C:C,"Implemented")/(COUNTA('Security Requirements Design'!C:C)-1-COUNTIF('Security Requirements Design'!C:C,"N/A"))</f>
        <v/>
      </c>
      <c r="C12" s="31">
        <f>IF(B12&gt;=0.8,"🟢",IF(B12&gt;=0.6,"🟡","🔴"))</f>
        <v/>
      </c>
      <c r="D12" s="31">
        <f>COUNTIF('Security Requirements Design'!C:C,"Not Implemented")</f>
        <v/>
      </c>
      <c r="E12" s="31">
        <f>COUNTIF('Security Requirements Design'!C:C,"Partially Implemented")</f>
        <v/>
      </c>
    </row>
    <row r="13">
      <c r="A13" t="inlineStr">
        <is>
          <t>2. Development Environment &amp; Tooling</t>
        </is>
      </c>
      <c r="B13" s="30">
        <f>COUNTIF('Development Environment'!C:C,"Implemented")/(COUNTA('Development Environment'!C:C)-1-COUNTIF('Development Environment'!C:C,"N/A"))</f>
        <v/>
      </c>
      <c r="C13" s="31">
        <f>IF(B13&gt;=0.8,"🟢",IF(B13&gt;=0.6,"🟡","🔴"))</f>
        <v/>
      </c>
      <c r="D13" s="31">
        <f>COUNTIF('Development Environment'!C:C,"Not Implemented")</f>
        <v/>
      </c>
      <c r="E13" s="31">
        <f>COUNTIF('Development Environment'!C:C,"Partially Implemented")</f>
        <v/>
      </c>
    </row>
    <row r="14">
      <c r="A14" t="inlineStr">
        <is>
          <t>3. Build &amp; Deployment Pipeline</t>
        </is>
      </c>
      <c r="B14" s="30">
        <f>COUNTIF('Build Deployment Pipeline'!C:C,"Implemented")/(COUNTA('Build Deployment Pipeline'!C:C)-1-COUNTIF('Build Deployment Pipeline'!C:C,"N/A"))</f>
        <v/>
      </c>
      <c r="C14" s="31">
        <f>IF(B14&gt;=0.8,"🟢",IF(B14&gt;=0.6,"🟡","🔴"))</f>
        <v/>
      </c>
      <c r="D14" s="31">
        <f>COUNTIF('Build Deployment Pipeline'!C:C,"Not Implemented")</f>
        <v/>
      </c>
      <c r="E14" s="31">
        <f>COUNTIF('Build Deployment Pipeline'!C:C,"Partially Implemented")</f>
        <v/>
      </c>
    </row>
    <row r="15">
      <c r="A15" t="inlineStr">
        <is>
          <t>4. Security Testing Integration</t>
        </is>
      </c>
      <c r="B15" s="30">
        <f>COUNTIF('Security Testing Integration'!C:C,"Implemented")/(COUNTA('Security Testing Integration'!C:C)-1-COUNTIF('Security Testing Integration'!C:C,"N/A"))</f>
        <v/>
      </c>
      <c r="C15" s="31">
        <f>IF(B15&gt;=0.8,"🟢",IF(B15&gt;=0.6,"🟡","🔴"))</f>
        <v/>
      </c>
      <c r="D15" s="31">
        <f>COUNTIF('Security Testing Integration'!C:C,"Not Implemented")</f>
        <v/>
      </c>
      <c r="E15" s="31">
        <f>COUNTIF('Security Testing Integration'!C:C,"Partially Implemented")</f>
        <v/>
      </c>
    </row>
    <row r="16">
      <c r="A16" t="inlineStr">
        <is>
          <t>5. Release &amp; Change Management</t>
        </is>
      </c>
      <c r="B16" s="30">
        <f>COUNTIF('Release Change Management'!C:C,"Implemented")/(COUNTA('Release Change Management'!C:C)-1-COUNTIF('Release Change Management'!C:C,"N/A"))</f>
        <v/>
      </c>
      <c r="C16" s="31">
        <f>IF(B16&gt;=0.8,"🟢",IF(B16&gt;=0.6,"🟡","🔴"))</f>
        <v/>
      </c>
      <c r="D16" s="31">
        <f>COUNTIF('Release Change Management'!C:C,"Not Implemented")</f>
        <v/>
      </c>
      <c r="E16" s="31">
        <f>COUNTIF('Release Change Management'!C:C,"Partially Implemented")</f>
        <v/>
      </c>
    </row>
    <row r="18">
      <c r="A18" s="32" t="inlineStr">
        <is>
          <t>Summary Statistics</t>
        </is>
      </c>
    </row>
    <row r="19">
      <c r="A19" s="25" t="inlineStr">
        <is>
          <t>Total Requirements Assessed:</t>
        </is>
      </c>
      <c r="B19" s="33">
        <f>COUNTA('Security Requirements Design'!C:C)+COUNTA('Development Environment'!C:C)+COUNTA('Build Deployment Pipeline'!C:C)+COUNTA('Security Testing Integration'!C:C)+COUNTA('Release Change Management'!C:C)-5</f>
        <v/>
      </c>
    </row>
    <row r="20">
      <c r="A20" s="25" t="inlineStr">
        <is>
          <t>Implemented:</t>
        </is>
      </c>
      <c r="B20" s="33">
        <f>COUNTIF('Security Requirements Design'!C:C,"Implemented")+COUNTIF('Development Environment'!C:C,"Implemented")+COUNTIF('Build Deployment Pipeline'!C:C,"Implemented")+COUNTIF('Security Testing Integration'!C:C,"Implemented")+COUNTIF('Release Change Management'!C:C,"Implemented")</f>
        <v/>
      </c>
    </row>
    <row r="21">
      <c r="A21" s="25" t="inlineStr">
        <is>
          <t>Partially Implemented:</t>
        </is>
      </c>
      <c r="B21" s="33">
        <f>COUNTIF('Security Requirements Design'!C:C,"Partially Implemented")+COUNTIF('Development Environment'!C:C,"Partially Implemented")+COUNTIF('Build Deployment Pipeline'!C:C,"Partially Implemented")+COUNTIF('Security Testing Integration'!C:C,"Partially Implemented")+COUNTIF('Release Change Management'!C:C,"Partially Implemented")</f>
        <v/>
      </c>
    </row>
    <row r="22">
      <c r="A22" s="25" t="inlineStr">
        <is>
          <t>Not Implemented:</t>
        </is>
      </c>
      <c r="B22" s="33">
        <f>COUNTIF('Security Requirements Design'!C:C,"Not Implemented")+COUNTIF('Development Environment'!C:C,"Not Implemented")+COUNTIF('Build Deployment Pipeline'!C:C,"Not Implemented")+COUNTIF('Security Testing Integration'!C:C,"Not Implemented")+COUNTIF('Release Change Management'!C:C,"Not Implemented")</f>
        <v/>
      </c>
    </row>
    <row r="23">
      <c r="A23" s="25" t="inlineStr">
        <is>
          <t>Not Applicable (N/A):</t>
        </is>
      </c>
      <c r="B23" s="33">
        <f>COUNTIF('Security Requirements Design'!C:C,"N/A")+COUNTIF('Development Environment'!C:C,"N/A")+COUNTIF('Build Deployment Pipeline'!C:C,"N/A")+COUNTIF('Security Testing Integration'!C:C,"N/A")+COUNTIF('Release Change Management'!C:C,"N/A")</f>
        <v/>
      </c>
    </row>
    <row r="25">
      <c r="A25" s="29" t="inlineStr">
        <is>
          <t>Recommendations</t>
        </is>
      </c>
    </row>
    <row r="26" ht="25" customHeight="1">
      <c r="A26" s="14" t="inlineStr">
        <is>
          <t>• Focus remediation efforts on 'Not Implemented' items first, then 'Partially Implemented'</t>
        </is>
      </c>
    </row>
    <row r="27" ht="25" customHeight="1">
      <c r="A27" s="14" t="inlineStr">
        <is>
          <t>• Prioritize gaps in Build &amp; Deployment Pipeline - these provide automated security controls</t>
        </is>
      </c>
    </row>
    <row r="28" ht="25" customHeight="1">
      <c r="A28" s="14" t="inlineStr">
        <is>
          <t>• Document all evidence thoroughly - lack of evidence ≠ lack of implementation</t>
        </is>
      </c>
    </row>
    <row r="29" ht="25" customHeight="1">
      <c r="A29" s="14" t="inlineStr">
        <is>
          <t>• Review 'N/A' items carefully - are they genuinely not applicable or just difficult?</t>
        </is>
      </c>
    </row>
    <row r="30" ht="25" customHeight="1">
      <c r="A30" s="14" t="inlineStr">
        <is>
          <t>• Set target dates for all gaps in the Gap Analysis sheet</t>
        </is>
      </c>
    </row>
    <row r="31" ht="25" customHeight="1">
      <c r="A31" s="14" t="inlineStr">
        <is>
          <t>• Schedule quarterly re-assessments to track improvement</t>
        </is>
      </c>
    </row>
  </sheetData>
  <mergeCells count="12">
    <mergeCell ref="A30:E30"/>
    <mergeCell ref="A29:E29"/>
    <mergeCell ref="D7:E7"/>
    <mergeCell ref="A7:B7"/>
    <mergeCell ref="A26:E26"/>
    <mergeCell ref="A10:E10"/>
    <mergeCell ref="A25:E25"/>
    <mergeCell ref="A28:E28"/>
    <mergeCell ref="A1:E1"/>
    <mergeCell ref="A31:E31"/>
    <mergeCell ref="A18:E18"/>
    <mergeCell ref="A27:E2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8" customWidth="1" min="3" max="3"/>
    <col width="40" customWidth="1" min="4" max="4"/>
    <col width="35" customWidth="1" min="5" max="5"/>
    <col width="15" customWidth="1" min="6" max="6"/>
    <col width="20" customWidth="1" min="7" max="7"/>
  </cols>
  <sheetData>
    <row r="1" ht="25" customHeight="1">
      <c r="A1" s="1" t="inlineStr">
        <is>
          <t>Evidence Register</t>
        </is>
      </c>
    </row>
    <row r="2" ht="30" customHeight="1">
      <c r="A2" s="34" t="inlineStr">
        <is>
          <t>Document all evidence supporting your SDLC assessment. Each requirement should have traceable evidence.</t>
        </is>
      </c>
    </row>
    <row r="3">
      <c r="A3" s="17" t="inlineStr">
        <is>
          <t>Evidence ID</t>
        </is>
      </c>
      <c r="B3" s="17" t="inlineStr">
        <is>
          <t>Related Requirement</t>
        </is>
      </c>
      <c r="C3" s="17" t="inlineStr">
        <is>
          <t>Evidence Type</t>
        </is>
      </c>
      <c r="D3" s="17" t="inlineStr">
        <is>
          <t>Description</t>
        </is>
      </c>
      <c r="E3" s="17" t="inlineStr">
        <is>
          <t>Location/Link</t>
        </is>
      </c>
      <c r="F3" s="17" t="inlineStr">
        <is>
          <t>Collection Date</t>
        </is>
      </c>
      <c r="G3" s="17" t="inlineStr">
        <is>
          <t>Collected By</t>
        </is>
      </c>
    </row>
    <row r="4">
      <c r="A4" s="35" t="inlineStr">
        <is>
          <t>E001</t>
        </is>
      </c>
      <c r="B4" s="35" t="inlineStr">
        <is>
          <t>1.1 - Security Requirements</t>
        </is>
      </c>
      <c r="C4" s="35" t="inlineStr">
        <is>
          <t>Document</t>
        </is>
      </c>
      <c r="D4" s="35" t="inlineStr">
        <is>
          <t>SDLC Process Documentation</t>
        </is>
      </c>
      <c r="E4" s="35" t="inlineStr">
        <is>
          <t>https://wiki.company.com/sdlc</t>
        </is>
      </c>
      <c r="F4" s="35" t="inlineStr">
        <is>
          <t>01.01.2025</t>
        </is>
      </c>
      <c r="G4" s="35" t="inlineStr">
        <is>
          <t>Security Team</t>
        </is>
      </c>
    </row>
    <row r="5">
      <c r="A5" s="35" t="inlineStr">
        <is>
          <t>E002</t>
        </is>
      </c>
      <c r="B5" s="35" t="inlineStr">
        <is>
          <t>3.2 - SAST Integration</t>
        </is>
      </c>
      <c r="C5" s="35" t="inlineStr">
        <is>
          <t>Screenshot</t>
        </is>
      </c>
      <c r="D5" s="35" t="inlineStr">
        <is>
          <t>SonarQube Pipeline Configuration</t>
        </is>
      </c>
      <c r="E5" s="35" t="inlineStr">
        <is>
          <t>file://evidence/sonarqube_config.png</t>
        </is>
      </c>
      <c r="F5" s="35" t="inlineStr">
        <is>
          <t>05.01.2025</t>
        </is>
      </c>
      <c r="G5" s="35" t="inlineStr">
        <is>
          <t>DevOps Lead</t>
        </is>
      </c>
    </row>
    <row r="6">
      <c r="A6" s="35" t="inlineStr">
        <is>
          <t>E003</t>
        </is>
      </c>
      <c r="B6" s="35" t="inlineStr">
        <is>
          <t>4.4 - DAST Scanning</t>
        </is>
      </c>
      <c r="C6" s="35" t="inlineStr">
        <is>
          <t>Report</t>
        </is>
      </c>
      <c r="D6" s="35" t="inlineStr">
        <is>
          <t>OWASP ZAP Scan Results</t>
        </is>
      </c>
      <c r="E6" s="35" t="inlineStr">
        <is>
          <t>https://security-portal.company.com/reports/zap/</t>
        </is>
      </c>
      <c r="F6" s="35" t="inlineStr">
        <is>
          <t>06.01.2025</t>
        </is>
      </c>
      <c r="G6" s="35" t="inlineStr">
        <is>
          <t>Security Analyst</t>
        </is>
      </c>
    </row>
  </sheetData>
  <mergeCells count="2">
    <mergeCell ref="A2:G2"/>
    <mergeCell ref="A1:G1"/>
  </mergeCells>
  <dataValidations count="1">
    <dataValidation sqref="C4:C200" showDropDown="0" showInputMessage="0" showErrorMessage="0" allowBlank="0" type="list">
      <formula1>"Document,Screenshot,Report,Configuration,URL,Log File,Diagram,Policy,Procedure,Test Result,Scan Result,Other"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35" customWidth="1" min="4" max="4"/>
    <col width="25" customWidth="1" min="5" max="5"/>
    <col width="25" customWidth="1" min="6" max="6"/>
    <col width="12" customWidth="1" min="7" max="7"/>
    <col width="20" customWidth="1" min="8" max="8"/>
    <col width="12" customWidth="1" min="9" max="9"/>
    <col width="15" customWidth="1" min="10" max="10"/>
  </cols>
  <sheetData>
    <row r="1" ht="25" customHeight="1">
      <c r="A1" s="1" t="inlineStr">
        <is>
          <t>Gap Analysis &amp; Remediation Plan</t>
        </is>
      </c>
    </row>
    <row r="2" ht="30" customHeight="1">
      <c r="A2" s="34" t="inlineStr">
        <is>
          <t>Document all 'Not Implemented' and 'Partially Implemented' requirements. Assign owners, set target dates, and track remediation progress.</t>
        </is>
      </c>
    </row>
    <row r="3">
      <c r="A3" s="17" t="inlineStr">
        <is>
          <t>Gap ID</t>
        </is>
      </c>
      <c r="B3" s="17" t="inlineStr">
        <is>
          <t>Domain</t>
        </is>
      </c>
      <c r="C3" s="17" t="inlineStr">
        <is>
          <t>Requirement ID</t>
        </is>
      </c>
      <c r="D3" s="17" t="inlineStr">
        <is>
          <t>Requirement Description</t>
        </is>
      </c>
      <c r="E3" s="17" t="inlineStr">
        <is>
          <t>Current State</t>
        </is>
      </c>
      <c r="F3" s="17" t="inlineStr">
        <is>
          <t>Target State</t>
        </is>
      </c>
      <c r="G3" s="17" t="inlineStr">
        <is>
          <t>Priority</t>
        </is>
      </c>
      <c r="H3" s="17" t="inlineStr">
        <is>
          <t>Owner</t>
        </is>
      </c>
      <c r="I3" s="17" t="inlineStr">
        <is>
          <t>Target Date</t>
        </is>
      </c>
      <c r="J3" s="17" t="inlineStr">
        <is>
          <t>Status</t>
        </is>
      </c>
    </row>
    <row r="4" ht="40" customHeight="1">
      <c r="A4" s="36" t="inlineStr">
        <is>
          <t>GAP-001</t>
        </is>
      </c>
      <c r="B4" s="36" t="inlineStr">
        <is>
          <t>Development Environment</t>
        </is>
      </c>
      <c r="C4" s="36" t="inlineStr">
        <is>
          <t>2.4</t>
        </is>
      </c>
      <c r="D4" s="36" t="inlineStr">
        <is>
          <t>Pre-commit hooks prevent secret commits</t>
        </is>
      </c>
      <c r="E4" s="36" t="inlineStr">
        <is>
          <t>No pre-commit hooks configured</t>
        </is>
      </c>
      <c r="F4" s="36" t="inlineStr">
        <is>
          <t>Git-secrets installed on all dev workstations</t>
        </is>
      </c>
      <c r="G4" s="36" t="inlineStr">
        <is>
          <t>High</t>
        </is>
      </c>
      <c r="H4" s="36" t="inlineStr">
        <is>
          <t>DevOps Lead</t>
        </is>
      </c>
      <c r="I4" s="36" t="inlineStr">
        <is>
          <t>31.01.2025</t>
        </is>
      </c>
      <c r="J4" s="36" t="inlineStr">
        <is>
          <t>In Progress</t>
        </is>
      </c>
    </row>
    <row r="5" ht="40" customHeight="1">
      <c r="A5" s="36" t="inlineStr">
        <is>
          <t>GAP-002</t>
        </is>
      </c>
      <c r="B5" s="36" t="inlineStr">
        <is>
          <t>Build Pipeline</t>
        </is>
      </c>
      <c r="C5" s="36" t="inlineStr">
        <is>
          <t>3.2</t>
        </is>
      </c>
      <c r="D5" s="36" t="inlineStr">
        <is>
          <t>SAST tools integrated into build pipeline</t>
        </is>
      </c>
      <c r="E5" s="36" t="inlineStr">
        <is>
          <t>SAST runs manually, not in pipeline</t>
        </is>
      </c>
      <c r="F5" s="36" t="inlineStr">
        <is>
          <t>SonarQube integrated with automated quality gates</t>
        </is>
      </c>
      <c r="G5" s="36" t="inlineStr">
        <is>
          <t>Critical</t>
        </is>
      </c>
      <c r="H5" s="36" t="inlineStr">
        <is>
          <t>CI/CD Engineer</t>
        </is>
      </c>
      <c r="I5" s="36" t="inlineStr">
        <is>
          <t>15.02.2025</t>
        </is>
      </c>
      <c r="J5" s="36" t="inlineStr">
        <is>
          <t>Open</t>
        </is>
      </c>
    </row>
    <row r="6" ht="40" customHeight="1">
      <c r="A6" s="36" t="inlineStr">
        <is>
          <t>GAP-003</t>
        </is>
      </c>
      <c r="B6" s="36" t="inlineStr">
        <is>
          <t>Security Testing</t>
        </is>
      </c>
      <c r="C6" s="36" t="inlineStr">
        <is>
          <t>4.4</t>
        </is>
      </c>
      <c r="D6" s="36" t="inlineStr">
        <is>
          <t>DAST runs against staging</t>
        </is>
      </c>
      <c r="E6" s="36" t="inlineStr">
        <is>
          <t>No DAST scanning performed</t>
        </is>
      </c>
      <c r="F6" s="36" t="inlineStr">
        <is>
          <t>OWASP ZAP automated scans before production</t>
        </is>
      </c>
      <c r="G6" s="36" t="inlineStr">
        <is>
          <t>High</t>
        </is>
      </c>
      <c r="H6" s="36" t="inlineStr">
        <is>
          <t>Security Team</t>
        </is>
      </c>
      <c r="I6" s="36" t="inlineStr">
        <is>
          <t>28.02.2025</t>
        </is>
      </c>
      <c r="J6" s="36" t="inlineStr">
        <is>
          <t>Open</t>
        </is>
      </c>
    </row>
    <row r="8">
      <c r="A8" s="25" t="inlineStr">
        <is>
          <t>Priority Guidance:</t>
        </is>
      </c>
    </row>
    <row r="9" ht="20" customHeight="1">
      <c r="A9" s="37" t="inlineStr">
        <is>
          <t>Critical: Exploitable vulnerability or compliance blocker - fix immediately</t>
        </is>
      </c>
    </row>
    <row r="10" ht="20" customHeight="1">
      <c r="A10" s="38" t="inlineStr">
        <is>
          <t>High: Significant security risk or major compliance gap - fix within 30 days</t>
        </is>
      </c>
    </row>
    <row r="11" ht="20" customHeight="1">
      <c r="A11" s="39" t="inlineStr">
        <is>
          <t>Medium: Moderate security risk or minor compliance gap - fix within 90 days</t>
        </is>
      </c>
    </row>
    <row r="12" ht="20" customHeight="1">
      <c r="A12" s="40" t="inlineStr">
        <is>
          <t>Low: Low security risk or improvement opportunity - fix when resources available</t>
        </is>
      </c>
    </row>
  </sheetData>
  <mergeCells count="7">
    <mergeCell ref="A1:J1"/>
    <mergeCell ref="A8:J8"/>
    <mergeCell ref="A9:J9"/>
    <mergeCell ref="A12:J12"/>
    <mergeCell ref="A2:J2"/>
    <mergeCell ref="A10:J10"/>
    <mergeCell ref="A11:J11"/>
  </mergeCells>
  <dataValidations count="2">
    <dataValidation sqref="G4:G200" showDropDown="0" showInputMessage="0" showErrorMessage="0" allowBlank="0" type="list">
      <formula1>"Critical,High,Medium,Low"</formula1>
    </dataValidation>
    <dataValidation sqref="J4:J200" showDropDown="0" showInputMessage="0" showErrorMessage="0" allowBlank="0" type="list">
      <formula1>"Open,In Progress,Resolved,Closed,Deferred"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15" customWidth="1" min="4" max="4"/>
  </cols>
  <sheetData>
    <row r="1" ht="30" customHeight="1">
      <c r="A1" s="1" t="inlineStr">
        <is>
          <t>SDLC Assessment - Approval Sign-Off</t>
        </is>
      </c>
    </row>
    <row r="2" ht="20" customHeight="1">
      <c r="A2" s="2" t="inlineStr">
        <is>
          <t>Formal approval workflow for assessment completion</t>
        </is>
      </c>
    </row>
    <row r="4">
      <c r="A4" s="41" t="inlineStr">
        <is>
          <t>ASSESSMENT SUMMARY</t>
        </is>
      </c>
    </row>
    <row r="6">
      <c r="A6" s="25" t="inlineStr">
        <is>
          <t>Assessment Date:</t>
        </is>
      </c>
      <c r="B6" s="25">
        <f>Instructions!B8</f>
        <v/>
      </c>
    </row>
    <row r="7">
      <c r="A7" s="25" t="inlineStr">
        <is>
          <t>Assessor Name:</t>
        </is>
      </c>
      <c r="B7" s="25">
        <f>Instructions!B9</f>
        <v/>
      </c>
    </row>
    <row r="8">
      <c r="A8" s="25" t="inlineStr">
        <is>
          <t>Organisation:</t>
        </is>
      </c>
      <c r="B8" s="25">
        <f>Instructions!B10</f>
        <v/>
      </c>
    </row>
    <row r="9">
      <c r="A9" s="25" t="inlineStr">
        <is>
          <t>Overall Compliance Score:</t>
        </is>
      </c>
      <c r="B9" s="42">
        <f>'Summary Dashboard'!C7</f>
        <v/>
      </c>
    </row>
    <row r="10">
      <c r="A10" s="25" t="inlineStr">
        <is>
          <t>Compliance Status:</t>
        </is>
      </c>
      <c r="B10" s="43">
        <f>'Summary Dashboard'!D7</f>
        <v/>
      </c>
    </row>
    <row r="13">
      <c r="A13" s="41" t="inlineStr">
        <is>
          <t>KEY FINDINGS</t>
        </is>
      </c>
    </row>
    <row r="15">
      <c r="A15" s="25" t="inlineStr">
        <is>
          <t>Total Requirements:</t>
        </is>
      </c>
      <c r="B15" s="10">
        <f>'Summary Dashboard'!B19</f>
        <v/>
      </c>
    </row>
    <row r="16">
      <c r="A16" s="25" t="inlineStr">
        <is>
          <t>Implemented:</t>
        </is>
      </c>
      <c r="B16" s="44">
        <f>'Summary Dashboard'!B20</f>
        <v/>
      </c>
    </row>
    <row r="17">
      <c r="A17" s="25" t="inlineStr">
        <is>
          <t>Partially Implemented:</t>
        </is>
      </c>
      <c r="B17" s="45">
        <f>'Summary Dashboard'!B21</f>
        <v/>
      </c>
    </row>
    <row r="18">
      <c r="A18" s="25" t="inlineStr">
        <is>
          <t>Not Implemented:</t>
        </is>
      </c>
      <c r="B18" s="46">
        <f>'Summary Dashboard'!B22</f>
        <v/>
      </c>
    </row>
    <row r="19">
      <c r="A19" s="25" t="inlineStr">
        <is>
          <t>Not Applicable:</t>
        </is>
      </c>
      <c r="B19" s="47">
        <f>'Summary Dashboard'!B23</f>
        <v/>
      </c>
    </row>
    <row r="22">
      <c r="A22" s="48" t="inlineStr">
        <is>
          <t>APPROVAL WORKFLOW</t>
        </is>
      </c>
    </row>
    <row r="23">
      <c r="A23" s="49" t="inlineStr">
        <is>
          <t>Role</t>
        </is>
      </c>
      <c r="B23" s="49" t="inlineStr">
        <is>
          <t>Name</t>
        </is>
      </c>
      <c r="C23" s="49" t="inlineStr">
        <is>
          <t>Signature</t>
        </is>
      </c>
      <c r="D23" s="49" t="inlineStr">
        <is>
          <t>Date</t>
        </is>
      </c>
    </row>
    <row r="24" ht="25" customHeight="1">
      <c r="A24" s="4" t="inlineStr">
        <is>
          <t>Assessment Completer</t>
        </is>
      </c>
      <c r="B24" s="50" t="n"/>
      <c r="C24" s="50" t="n"/>
      <c r="D24" s="50" t="n"/>
    </row>
    <row r="25" ht="25" customHeight="1">
      <c r="A25" s="4" t="inlineStr">
        <is>
          <t>Application Security Lead</t>
        </is>
      </c>
      <c r="B25" s="50" t="n"/>
      <c r="C25" s="50" t="n"/>
      <c r="D25" s="50" t="n"/>
    </row>
    <row r="26" ht="25" customHeight="1">
      <c r="A26" s="4" t="inlineStr">
        <is>
          <t>Development Manager / Engineering Lead</t>
        </is>
      </c>
      <c r="B26" s="50" t="n"/>
      <c r="C26" s="50" t="n"/>
      <c r="D26" s="50" t="n"/>
    </row>
    <row r="27" ht="25" customHeight="1">
      <c r="A27" s="4" t="inlineStr">
        <is>
          <t>CISO / Security Director</t>
        </is>
      </c>
      <c r="B27" s="50" t="n"/>
      <c r="C27" s="50" t="n"/>
      <c r="D27" s="50" t="n"/>
    </row>
    <row r="29">
      <c r="A29" s="41" t="inlineStr">
        <is>
          <t>APPROVAL NOTES / CONDITIONS</t>
        </is>
      </c>
    </row>
    <row r="30">
      <c r="A30" s="51" t="inlineStr">
        <is>
          <t xml:space="preserve">Enter any conditions, exceptions, or notes related to this approval:
</t>
        </is>
      </c>
    </row>
    <row r="31"/>
    <row r="32"/>
    <row r="33"/>
    <row r="34"/>
    <row r="35"/>
    <row r="37">
      <c r="A37" s="48" t="inlineStr">
        <is>
          <t>APPROVAL CRITERIA</t>
        </is>
      </c>
    </row>
    <row r="38" ht="20" customHeight="1">
      <c r="A38" s="14" t="inlineStr">
        <is>
          <t>✓ All assessment domains have been completed</t>
        </is>
      </c>
    </row>
    <row r="39" ht="20" customHeight="1">
      <c r="A39" s="14" t="inlineStr">
        <is>
          <t>✓ Evidence references are provided for all 'Implemented' claims</t>
        </is>
      </c>
    </row>
    <row r="40" ht="20" customHeight="1">
      <c r="A40" s="14" t="inlineStr">
        <is>
          <t>✓ Gap Analysis sheet documents all 'Not Implemented' items</t>
        </is>
      </c>
    </row>
    <row r="41" ht="20" customHeight="1">
      <c r="A41" s="14" t="inlineStr">
        <is>
          <t>✓ Remediation plans include owners and target dates</t>
        </is>
      </c>
    </row>
    <row r="42" ht="20" customHeight="1">
      <c r="A42" s="14" t="inlineStr">
        <is>
          <t>✓ Assessment findings are accurate and verifiable</t>
        </is>
      </c>
    </row>
    <row r="43" ht="20" customHeight="1">
      <c r="A43" s="14" t="inlineStr">
        <is>
          <t>✓ Summary Dashboard reflects true compliance posture</t>
        </is>
      </c>
    </row>
  </sheetData>
  <mergeCells count="14">
    <mergeCell ref="A1:D1"/>
    <mergeCell ref="A37:D37"/>
    <mergeCell ref="A40:D40"/>
    <mergeCell ref="A22:D22"/>
    <mergeCell ref="A4:D4"/>
    <mergeCell ref="A38:D38"/>
    <mergeCell ref="A39:D39"/>
    <mergeCell ref="A29:D29"/>
    <mergeCell ref="A43:D43"/>
    <mergeCell ref="A41:D41"/>
    <mergeCell ref="A2:D2"/>
    <mergeCell ref="A42:D42"/>
    <mergeCell ref="A13:D13"/>
    <mergeCell ref="A30:D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2026-02-10T22:24:05Z</dcterms:created>
  <dcterms:modified xmlns:dcterms="http://purl.org/dc/terms/" xmlns:xsi="http://www.w3.org/2001/XMLSchema-instance" xsi:type="dcterms:W3CDTF">2026-02-10T22:24:05Z</dcterms:modified>
</cp:coreProperties>
</file>