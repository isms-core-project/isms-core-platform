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pute Resources" sheetId="1" state="visible" r:id="rId1"/>
    <sheet xmlns:r="http://schemas.openxmlformats.org/officeDocument/2006/relationships" name="Storage Resources" sheetId="2" state="visible" r:id="rId2"/>
    <sheet xmlns:r="http://schemas.openxmlformats.org/officeDocument/2006/relationships" name="Network Resources" sheetId="3" state="visible" r:id="rId3"/>
    <sheet xmlns:r="http://schemas.openxmlformats.org/officeDocument/2006/relationships" name="Application Resources" sheetId="4" state="visible" r:id="rId4"/>
    <sheet xmlns:r="http://schemas.openxmlformats.org/officeDocument/2006/relationships" name="Cloud Resources" sheetId="5" state="visible" r:id="rId5"/>
    <sheet xmlns:r="http://schemas.openxmlformats.org/officeDocument/2006/relationships" name="Threshold Summary" sheetId="6" state="visible" r:id="rId6"/>
    <sheet xmlns:r="http://schemas.openxmlformats.org/officeDocument/2006/relationships" name="Coverage Analysis" sheetId="7" state="visible" r:id="rId7"/>
    <sheet xmlns:r="http://schemas.openxmlformats.org/officeDocument/2006/relationships" name="Instructions &amp; Legend" sheetId="8" state="visible" r:id="rId8"/>
    <sheet xmlns:r="http://schemas.openxmlformats.org/officeDocument/2006/relationships" name="Evidence Register" sheetId="9" state="visible" r:id="rId9"/>
    <sheet xmlns:r="http://schemas.openxmlformats.org/officeDocument/2006/relationships" name="Summary Dashboard" sheetId="10" state="visible" r:id="rId10"/>
    <sheet xmlns:r="http://schemas.openxmlformats.org/officeDocument/2006/relationships" name="Approval Sign-Off" sheetId="11" state="visible" r:id="rId11"/>
  </sheets>
  <definedNames/>
  <calcPr calcId="124519" fullCalcOnLoad="1"/>
</workbook>
</file>

<file path=xl/styles.xml><?xml version="1.0" encoding="utf-8"?>
<styleSheet xmlns="http://schemas.openxmlformats.org/spreadsheetml/2006/main">
  <numFmts count="1">
    <numFmt numFmtId="164" formatCode="0.0%"/>
  </numFmts>
  <fonts count="17">
    <font>
      <name val="Calibri"/>
      <family val="2"/>
      <color theme="1"/>
      <sz val="11"/>
      <scheme val="minor"/>
    </font>
    <font>
      <name val="Calibri"/>
      <b val="1"/>
      <color rgb="00FFFFFF"/>
      <sz val="14"/>
    </font>
    <font>
      <name val="Calibri"/>
      <b val="1"/>
      <sz val="12"/>
    </font>
    <font>
      <name val="Calibri"/>
      <b val="1"/>
    </font>
    <font>
      <name val="Calibri"/>
      <b val="1"/>
      <sz val="10"/>
    </font>
    <font>
      <name val="Calibri"/>
      <b val="1"/>
      <color rgb="00FFFFFF"/>
      <sz val="11"/>
    </font>
    <font>
      <b val="1"/>
    </font>
    <font>
      <b val="1"/>
      <sz val="12"/>
    </font>
    <font>
      <b val="1"/>
      <sz val="14"/>
    </font>
    <font>
      <i val="1"/>
      <sz val="9"/>
    </font>
    <font>
      <i val="1"/>
    </font>
    <font>
      <i val="1"/>
      <color rgb="00003366"/>
      <sz val="10"/>
    </font>
    <font>
      <b val="1"/>
      <color rgb="00FFFFFF"/>
      <sz val="11"/>
    </font>
    <font>
      <b val="1"/>
      <sz val="10"/>
    </font>
    <font>
      <color rgb="00000000"/>
    </font>
    <font>
      <b val="1"/>
      <color rgb="00000000"/>
    </font>
    <font>
      <name val="Calibri"/>
      <i val="1"/>
      <color rgb="00003366"/>
      <sz val="10"/>
    </font>
  </fonts>
  <fills count="17">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003366"/>
        <bgColor rgb="00003366"/>
      </patternFill>
    </fill>
    <fill>
      <patternFill patternType="solid">
        <fgColor rgb="00D9D9D9"/>
        <bgColor rgb="00D9D9D9"/>
      </patternFill>
    </fill>
    <fill>
      <patternFill patternType="solid">
        <fgColor rgb="00F2F2F2"/>
        <bgColor rgb="00F2F2F2"/>
      </patternFill>
    </fill>
    <fill>
      <patternFill patternType="solid">
        <fgColor rgb="00FFFFCC"/>
        <bgColor rgb="00FFFFCC"/>
      </patternFill>
    </fill>
    <fill>
      <patternFill patternType="solid">
        <fgColor rgb="00C6EFCE"/>
        <bgColor rgb="00C6EFCE"/>
      </patternFill>
    </fill>
    <fill>
      <patternFill patternType="solid">
        <fgColor rgb="00FFEB9C"/>
        <bgColor rgb="00FFEB9C"/>
      </patternFill>
    </fill>
    <fill>
      <patternFill patternType="solid">
        <fgColor rgb="00FFC7CE"/>
        <bgColor rgb="00FFC7CE"/>
      </patternFill>
    </fill>
    <fill>
      <patternFill patternType="solid">
        <fgColor rgb="004472C4"/>
        <bgColor rgb="004472C4"/>
      </patternFill>
    </fill>
    <fill>
      <patternFill patternType="solid">
        <fgColor rgb="00C00000"/>
        <bgColor rgb="00C00000"/>
      </patternFill>
    </fill>
  </fills>
  <borders count="2">
    <border>
      <left/>
      <right/>
      <top/>
      <bottom/>
      <diagonal/>
    </border>
    <border>
      <left style="thin"/>
      <right style="thin"/>
      <top style="thin"/>
      <bottom style="thin"/>
    </border>
  </borders>
  <cellStyleXfs count="1">
    <xf numFmtId="0" fontId="0" fillId="0" borderId="0"/>
  </cellStyleXfs>
  <cellXfs count="43">
    <xf numFmtId="0" fontId="0" fillId="0" borderId="0" pivotButton="0" quotePrefix="0" xfId="0"/>
    <xf numFmtId="0" fontId="1" fillId="8" borderId="0" applyAlignment="1" pivotButton="0" quotePrefix="0" xfId="0">
      <alignment horizontal="center" vertical="center" wrapText="1"/>
    </xf>
    <xf numFmtId="0" fontId="5" fillId="8" borderId="0" applyAlignment="1" pivotButton="0" quotePrefix="0" xfId="0">
      <alignment horizontal="center" vertical="center" wrapText="1"/>
    </xf>
    <xf numFmtId="0" fontId="4" fillId="9" borderId="1" applyAlignment="1" pivotButton="0" quotePrefix="0" xfId="0">
      <alignment horizontal="center" vertical="center" wrapText="1"/>
    </xf>
    <xf numFmtId="0" fontId="0" fillId="10" borderId="1" applyAlignment="1" pivotButton="0" quotePrefix="0" xfId="0">
      <alignment horizontal="left" vertical="center" wrapText="1"/>
    </xf>
    <xf numFmtId="0" fontId="0" fillId="11" borderId="1" applyAlignment="1" pivotButton="0" quotePrefix="0" xfId="0">
      <alignment horizontal="left" vertical="center" wrapText="1"/>
    </xf>
    <xf numFmtId="0" fontId="0" fillId="0" borderId="1" pivotButton="0" quotePrefix="0" xfId="0"/>
    <xf numFmtId="0" fontId="0" fillId="12" borderId="1" pivotButton="0" quotePrefix="0" xfId="0"/>
    <xf numFmtId="0" fontId="0" fillId="13" borderId="1" pivotButton="0" quotePrefix="0" xfId="0"/>
    <xf numFmtId="0" fontId="0" fillId="14" borderId="1" pivotButton="0" quotePrefix="0" xfId="0"/>
    <xf numFmtId="0" fontId="6" fillId="0" borderId="1" pivotButton="0" quotePrefix="0" xfId="0"/>
    <xf numFmtId="0" fontId="7" fillId="0" borderId="0" pivotButton="0" quotePrefix="0" xfId="0"/>
    <xf numFmtId="0" fontId="8" fillId="0" borderId="0" pivotButton="0" quotePrefix="0" xfId="0"/>
    <xf numFmtId="0" fontId="9"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1" fillId="8" borderId="0" applyAlignment="1" pivotButton="0" quotePrefix="0" xfId="0">
      <alignment horizontal="center" vertical="center"/>
    </xf>
    <xf numFmtId="0" fontId="10" fillId="0" borderId="0" applyAlignment="1" pivotButton="0" quotePrefix="0" xfId="0">
      <alignment horizontal="left" vertical="center"/>
    </xf>
    <xf numFmtId="0" fontId="5" fillId="8" borderId="1" applyAlignment="1" pivotButton="0" quotePrefix="0" xfId="0">
      <alignment horizontal="center" vertical="center" wrapText="1"/>
    </xf>
    <xf numFmtId="0" fontId="11" fillId="0" borderId="0" applyAlignment="1" pivotButton="0" quotePrefix="0" xfId="0">
      <alignment horizontal="left" vertical="center"/>
    </xf>
    <xf numFmtId="0" fontId="12" fillId="15" borderId="1" applyAlignment="1" pivotButton="0" quotePrefix="0" xfId="0">
      <alignment horizontal="left" vertical="center"/>
    </xf>
    <xf numFmtId="0" fontId="13" fillId="9" borderId="1" applyAlignment="1" pivotButton="0" quotePrefix="0" xfId="0">
      <alignment horizontal="center" vertical="center" wrapText="1"/>
    </xf>
    <xf numFmtId="0" fontId="14" fillId="0" borderId="1" applyAlignment="1" pivotButton="0" quotePrefix="0" xfId="0">
      <alignment horizontal="left" vertical="center"/>
    </xf>
    <xf numFmtId="0" fontId="14" fillId="0" borderId="1" applyAlignment="1" pivotButton="0" quotePrefix="0" xfId="0">
      <alignment horizontal="center" vertical="center"/>
    </xf>
    <xf numFmtId="164" fontId="14" fillId="0" borderId="1" applyAlignment="1" pivotButton="0" quotePrefix="0" xfId="0">
      <alignment horizontal="center" vertical="center"/>
    </xf>
    <xf numFmtId="0" fontId="13" fillId="9" borderId="1" applyAlignment="1" pivotButton="0" quotePrefix="0" xfId="0">
      <alignment horizontal="center" vertical="center"/>
    </xf>
    <xf numFmtId="0" fontId="12" fillId="16" borderId="1" applyAlignment="1" pivotButton="0" quotePrefix="0" xfId="0">
      <alignment horizontal="left" vertical="center"/>
    </xf>
    <xf numFmtId="0" fontId="0" fillId="11" borderId="1" applyAlignment="1" pivotButton="0" quotePrefix="0" xfId="0">
      <alignment horizontal="left" vertical="center"/>
    </xf>
    <xf numFmtId="0" fontId="0" fillId="11" borderId="1" pivotButton="0" quotePrefix="0" xfId="0"/>
    <xf numFmtId="0" fontId="15" fillId="0" borderId="1" pivotButton="0" quotePrefix="0" xfId="0"/>
    <xf numFmtId="0" fontId="1" fillId="8" borderId="1" applyAlignment="1" pivotButton="0" quotePrefix="0" xfId="0">
      <alignment horizontal="center" vertical="center"/>
    </xf>
    <xf numFmtId="0" fontId="16" fillId="0" borderId="1" applyAlignment="1" pivotButton="0" quotePrefix="0" xfId="0">
      <alignment horizontal="center" vertical="center"/>
    </xf>
    <xf numFmtId="0" fontId="12" fillId="15" borderId="1" pivotButton="0" quotePrefix="0" xfId="0"/>
    <xf numFmtId="0" fontId="6" fillId="0" borderId="0" pivotButton="0" quotePrefix="0" xfId="0"/>
    <xf numFmtId="164" fontId="0" fillId="0" borderId="1" pivotButton="0" quotePrefix="0" xfId="0"/>
    <xf numFmtId="0" fontId="12" fillId="8"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54"/>
  <sheetViews>
    <sheetView showGridLines="0" workbookViewId="0">
      <pane ySplit="3" topLeftCell="A4" activePane="bottomLeft" state="frozen"/>
      <selection pane="bottomLeft" activeCell="A1" sqref="A1"/>
    </sheetView>
  </sheetViews>
  <sheetFormatPr baseColWidth="8" defaultRowHeight="15"/>
  <cols>
    <col width="30" customWidth="1" min="1" max="1"/>
    <col width="20" customWidth="1" min="2" max="2"/>
    <col width="20" customWidth="1" min="3" max="3"/>
    <col width="25" customWidth="1" min="4" max="4"/>
    <col width="15" customWidth="1" min="5" max="5"/>
    <col width="15" customWidth="1" min="6" max="6"/>
    <col width="18" customWidth="1" min="7" max="7"/>
    <col width="15" customWidth="1" min="8" max="8"/>
    <col width="15" customWidth="1" min="9" max="9"/>
    <col width="20" customWidth="1" min="10" max="10"/>
    <col width="15" customWidth="1" min="11" max="11"/>
    <col width="15" customWidth="1" min="12" max="12"/>
    <col width="18" customWidth="1" min="13" max="13"/>
  </cols>
  <sheetData>
    <row r="1" ht="35" customHeight="1">
      <c r="A1" s="1" t="inlineStr">
        <is>
          <t>COMPUTE CAPACITY UTILIZATION</t>
        </is>
      </c>
    </row>
    <row r="2">
      <c r="A2" s="2" t="inlineStr">
        <is>
          <t>Document current CPU and memory capacity utilization</t>
        </is>
      </c>
    </row>
    <row r="3">
      <c r="A3" s="3" t="inlineStr">
        <is>
          <t>Resource Name</t>
        </is>
      </c>
      <c r="B3" s="3" t="inlineStr">
        <is>
          <t>Resource Type</t>
        </is>
      </c>
      <c r="C3" s="3" t="inlineStr">
        <is>
          <t>Location/Cluster</t>
        </is>
      </c>
      <c r="D3" s="3" t="inlineStr">
        <is>
          <t>Business Function</t>
        </is>
      </c>
      <c r="E3" s="3" t="inlineStr">
        <is>
          <t>Total CPU (Cores)</t>
        </is>
      </c>
      <c r="F3" s="3" t="inlineStr">
        <is>
          <t>Used CPU (Cores)</t>
        </is>
      </c>
      <c r="G3" s="3" t="inlineStr">
        <is>
          <t>CPU Utilization (%)</t>
        </is>
      </c>
      <c r="H3" s="3" t="inlineStr">
        <is>
          <t>Total Memory (GB)</t>
        </is>
      </c>
      <c r="I3" s="3" t="inlineStr">
        <is>
          <t>Used Memory (GB)</t>
        </is>
      </c>
      <c r="J3" s="3" t="inlineStr">
        <is>
          <t>Memory Utilization (%)</t>
        </is>
      </c>
      <c r="K3" s="3" t="inlineStr">
        <is>
          <t>Peak CPU (%)</t>
        </is>
      </c>
      <c r="L3" s="3" t="inlineStr">
        <is>
          <t>Peak Memory (%)</t>
        </is>
      </c>
      <c r="M3" s="3" t="inlineStr">
        <is>
          <t>Threshold Status</t>
        </is>
      </c>
    </row>
    <row r="4">
      <c r="A4" s="4" t="inlineStr">
        <is>
          <t>server01.example.com</t>
        </is>
      </c>
      <c r="B4" s="4" t="inlineStr">
        <is>
          <t>Physical Server</t>
        </is>
      </c>
      <c r="C4" s="4" t="inlineStr">
        <is>
          <t>DC1-Rack5</t>
        </is>
      </c>
      <c r="D4" s="4" t="inlineStr">
        <is>
          <t>Web Application</t>
        </is>
      </c>
      <c r="E4" s="4" t="inlineStr">
        <is>
          <t>16</t>
        </is>
      </c>
      <c r="F4" s="4" t="inlineStr">
        <is>
          <t>8</t>
        </is>
      </c>
      <c r="G4" s="4">
        <f>IF(AND(E4&lt;&gt;"", F4&lt;&gt;""), ROUND((F4/E4)*100, 1), "")</f>
        <v/>
      </c>
      <c r="H4" s="4" t="inlineStr">
        <is>
          <t>64</t>
        </is>
      </c>
      <c r="I4" s="4" t="inlineStr">
        <is>
          <t>32</t>
        </is>
      </c>
      <c r="J4" s="4">
        <f>IF(AND(H4&lt;&gt;"", I4&lt;&gt;""), ROUND((I4/H4)*100, 1), "")</f>
        <v/>
      </c>
      <c r="K4" s="4" t="inlineStr">
        <is>
          <t>75</t>
        </is>
      </c>
      <c r="L4" s="4" t="inlineStr">
        <is>
          <t>60</t>
        </is>
      </c>
      <c r="M4" s="4">
        <f>IF(A4="", "", IF(OR(G4="", J4=""), "Not Monitored", IF(OR(G4&gt;85, J4&gt;90), "❌ Critical", IF(OR(G4&gt;70, J4&gt;75), "⚠️ Warning", "✅ OK"))))</f>
        <v/>
      </c>
    </row>
    <row r="5">
      <c r="A5" s="5" t="n"/>
      <c r="B5" s="5" t="n"/>
      <c r="C5" s="5" t="n"/>
      <c r="D5" s="5" t="n"/>
      <c r="E5" s="5" t="n"/>
      <c r="F5" s="5" t="n"/>
      <c r="G5" s="6">
        <f>IF(AND(E5&lt;&gt;"", F5&lt;&gt;""), ROUND((F5/E5)*100, 1), "")</f>
        <v/>
      </c>
      <c r="H5" s="5" t="n"/>
      <c r="I5" s="5" t="n"/>
      <c r="J5" s="6">
        <f>IF(AND(H5&lt;&gt;"", I5&lt;&gt;""), ROUND((I5/H5)*100, 1), "")</f>
        <v/>
      </c>
      <c r="K5" s="5" t="n"/>
      <c r="L5" s="5" t="n"/>
      <c r="M5" s="6">
        <f>IF(A5="", "", IF(OR(G5="", J5=""), "Not Monitored", IF(OR(G5&gt;85, J5&gt;90), "❌ Critical", IF(OR(G5&gt;70, J5&gt;75), "⚠️ Warning", "✅ OK"))))</f>
        <v/>
      </c>
    </row>
    <row r="6">
      <c r="A6" s="5" t="n"/>
      <c r="B6" s="5" t="n"/>
      <c r="C6" s="5" t="n"/>
      <c r="D6" s="5" t="n"/>
      <c r="E6" s="5" t="n"/>
      <c r="F6" s="5" t="n"/>
      <c r="G6" s="6">
        <f>IF(AND(E6&lt;&gt;"", F6&lt;&gt;""), ROUND((F6/E6)*100, 1), "")</f>
        <v/>
      </c>
      <c r="H6" s="5" t="n"/>
      <c r="I6" s="5" t="n"/>
      <c r="J6" s="6">
        <f>IF(AND(H6&lt;&gt;"", I6&lt;&gt;""), ROUND((I6/H6)*100, 1), "")</f>
        <v/>
      </c>
      <c r="K6" s="5" t="n"/>
      <c r="L6" s="5" t="n"/>
      <c r="M6" s="6">
        <f>IF(A6="", "", IF(OR(G6="", J6=""), "Not Monitored", IF(OR(G6&gt;85, J6&gt;90), "❌ Critical", IF(OR(G6&gt;70, J6&gt;75), "⚠️ Warning", "✅ OK"))))</f>
        <v/>
      </c>
    </row>
    <row r="7">
      <c r="A7" s="5" t="n"/>
      <c r="B7" s="5" t="n"/>
      <c r="C7" s="5" t="n"/>
      <c r="D7" s="5" t="n"/>
      <c r="E7" s="5" t="n"/>
      <c r="F7" s="5" t="n"/>
      <c r="G7" s="6">
        <f>IF(AND(E7&lt;&gt;"", F7&lt;&gt;""), ROUND((F7/E7)*100, 1), "")</f>
        <v/>
      </c>
      <c r="H7" s="5" t="n"/>
      <c r="I7" s="5" t="n"/>
      <c r="J7" s="6">
        <f>IF(AND(H7&lt;&gt;"", I7&lt;&gt;""), ROUND((I7/H7)*100, 1), "")</f>
        <v/>
      </c>
      <c r="K7" s="5" t="n"/>
      <c r="L7" s="5" t="n"/>
      <c r="M7" s="6">
        <f>IF(A7="", "", IF(OR(G7="", J7=""), "Not Monitored", IF(OR(G7&gt;85, J7&gt;90), "❌ Critical", IF(OR(G7&gt;70, J7&gt;75), "⚠️ Warning", "✅ OK"))))</f>
        <v/>
      </c>
    </row>
    <row r="8">
      <c r="A8" s="5" t="n"/>
      <c r="B8" s="5" t="n"/>
      <c r="C8" s="5" t="n"/>
      <c r="D8" s="5" t="n"/>
      <c r="E8" s="5" t="n"/>
      <c r="F8" s="5" t="n"/>
      <c r="G8" s="6">
        <f>IF(AND(E8&lt;&gt;"", F8&lt;&gt;""), ROUND((F8/E8)*100, 1), "")</f>
        <v/>
      </c>
      <c r="H8" s="5" t="n"/>
      <c r="I8" s="5" t="n"/>
      <c r="J8" s="6">
        <f>IF(AND(H8&lt;&gt;"", I8&lt;&gt;""), ROUND((I8/H8)*100, 1), "")</f>
        <v/>
      </c>
      <c r="K8" s="5" t="n"/>
      <c r="L8" s="5" t="n"/>
      <c r="M8" s="6">
        <f>IF(A8="", "", IF(OR(G8="", J8=""), "Not Monitored", IF(OR(G8&gt;85, J8&gt;90), "❌ Critical", IF(OR(G8&gt;70, J8&gt;75), "⚠️ Warning", "✅ OK"))))</f>
        <v/>
      </c>
    </row>
    <row r="9">
      <c r="A9" s="5" t="n"/>
      <c r="B9" s="5" t="n"/>
      <c r="C9" s="5" t="n"/>
      <c r="D9" s="5" t="n"/>
      <c r="E9" s="5" t="n"/>
      <c r="F9" s="5" t="n"/>
      <c r="G9" s="6">
        <f>IF(AND(E9&lt;&gt;"", F9&lt;&gt;""), ROUND((F9/E9)*100, 1), "")</f>
        <v/>
      </c>
      <c r="H9" s="5" t="n"/>
      <c r="I9" s="5" t="n"/>
      <c r="J9" s="6">
        <f>IF(AND(H9&lt;&gt;"", I9&lt;&gt;""), ROUND((I9/H9)*100, 1), "")</f>
        <v/>
      </c>
      <c r="K9" s="5" t="n"/>
      <c r="L9" s="5" t="n"/>
      <c r="M9" s="6">
        <f>IF(A9="", "", IF(OR(G9="", J9=""), "Not Monitored", IF(OR(G9&gt;85, J9&gt;90), "❌ Critical", IF(OR(G9&gt;70, J9&gt;75), "⚠️ Warning", "✅ OK"))))</f>
        <v/>
      </c>
    </row>
    <row r="10">
      <c r="A10" s="5" t="n"/>
      <c r="B10" s="5" t="n"/>
      <c r="C10" s="5" t="n"/>
      <c r="D10" s="5" t="n"/>
      <c r="E10" s="5" t="n"/>
      <c r="F10" s="5" t="n"/>
      <c r="G10" s="6">
        <f>IF(AND(E10&lt;&gt;"", F10&lt;&gt;""), ROUND((F10/E10)*100, 1), "")</f>
        <v/>
      </c>
      <c r="H10" s="5" t="n"/>
      <c r="I10" s="5" t="n"/>
      <c r="J10" s="6">
        <f>IF(AND(H10&lt;&gt;"", I10&lt;&gt;""), ROUND((I10/H10)*100, 1), "")</f>
        <v/>
      </c>
      <c r="K10" s="5" t="n"/>
      <c r="L10" s="5" t="n"/>
      <c r="M10" s="6">
        <f>IF(A10="", "", IF(OR(G10="", J10=""), "Not Monitored", IF(OR(G10&gt;85, J10&gt;90), "❌ Critical", IF(OR(G10&gt;70, J10&gt;75), "⚠️ Warning", "✅ OK"))))</f>
        <v/>
      </c>
    </row>
    <row r="11">
      <c r="A11" s="5" t="n"/>
      <c r="B11" s="5" t="n"/>
      <c r="C11" s="5" t="n"/>
      <c r="D11" s="5" t="n"/>
      <c r="E11" s="5" t="n"/>
      <c r="F11" s="5" t="n"/>
      <c r="G11" s="6">
        <f>IF(AND(E11&lt;&gt;"", F11&lt;&gt;""), ROUND((F11/E11)*100, 1), "")</f>
        <v/>
      </c>
      <c r="H11" s="5" t="n"/>
      <c r="I11" s="5" t="n"/>
      <c r="J11" s="6">
        <f>IF(AND(H11&lt;&gt;"", I11&lt;&gt;""), ROUND((I11/H11)*100, 1), "")</f>
        <v/>
      </c>
      <c r="K11" s="5" t="n"/>
      <c r="L11" s="5" t="n"/>
      <c r="M11" s="6">
        <f>IF(A11="", "", IF(OR(G11="", J11=""), "Not Monitored", IF(OR(G11&gt;85, J11&gt;90), "❌ Critical", IF(OR(G11&gt;70, J11&gt;75), "⚠️ Warning", "✅ OK"))))</f>
        <v/>
      </c>
    </row>
    <row r="12">
      <c r="A12" s="5" t="n"/>
      <c r="B12" s="5" t="n"/>
      <c r="C12" s="5" t="n"/>
      <c r="D12" s="5" t="n"/>
      <c r="E12" s="5" t="n"/>
      <c r="F12" s="5" t="n"/>
      <c r="G12" s="6">
        <f>IF(AND(E12&lt;&gt;"", F12&lt;&gt;""), ROUND((F12/E12)*100, 1), "")</f>
        <v/>
      </c>
      <c r="H12" s="5" t="n"/>
      <c r="I12" s="5" t="n"/>
      <c r="J12" s="6">
        <f>IF(AND(H12&lt;&gt;"", I12&lt;&gt;""), ROUND((I12/H12)*100, 1), "")</f>
        <v/>
      </c>
      <c r="K12" s="5" t="n"/>
      <c r="L12" s="5" t="n"/>
      <c r="M12" s="6">
        <f>IF(A12="", "", IF(OR(G12="", J12=""), "Not Monitored", IF(OR(G12&gt;85, J12&gt;90), "❌ Critical", IF(OR(G12&gt;70, J12&gt;75), "⚠️ Warning", "✅ OK"))))</f>
        <v/>
      </c>
    </row>
    <row r="13">
      <c r="A13" s="5" t="n"/>
      <c r="B13" s="5" t="n"/>
      <c r="C13" s="5" t="n"/>
      <c r="D13" s="5" t="n"/>
      <c r="E13" s="5" t="n"/>
      <c r="F13" s="5" t="n"/>
      <c r="G13" s="6">
        <f>IF(AND(E13&lt;&gt;"", F13&lt;&gt;""), ROUND((F13/E13)*100, 1), "")</f>
        <v/>
      </c>
      <c r="H13" s="5" t="n"/>
      <c r="I13" s="5" t="n"/>
      <c r="J13" s="6">
        <f>IF(AND(H13&lt;&gt;"", I13&lt;&gt;""), ROUND((I13/H13)*100, 1), "")</f>
        <v/>
      </c>
      <c r="K13" s="5" t="n"/>
      <c r="L13" s="5" t="n"/>
      <c r="M13" s="6">
        <f>IF(A13="", "", IF(OR(G13="", J13=""), "Not Monitored", IF(OR(G13&gt;85, J13&gt;90), "❌ Critical", IF(OR(G13&gt;70, J13&gt;75), "⚠️ Warning", "✅ OK"))))</f>
        <v/>
      </c>
    </row>
    <row r="14">
      <c r="A14" s="5" t="n"/>
      <c r="B14" s="5" t="n"/>
      <c r="C14" s="5" t="n"/>
      <c r="D14" s="5" t="n"/>
      <c r="E14" s="5" t="n"/>
      <c r="F14" s="5" t="n"/>
      <c r="G14" s="6">
        <f>IF(AND(E14&lt;&gt;"", F14&lt;&gt;""), ROUND((F14/E14)*100, 1), "")</f>
        <v/>
      </c>
      <c r="H14" s="5" t="n"/>
      <c r="I14" s="5" t="n"/>
      <c r="J14" s="6">
        <f>IF(AND(H14&lt;&gt;"", I14&lt;&gt;""), ROUND((I14/H14)*100, 1), "")</f>
        <v/>
      </c>
      <c r="K14" s="5" t="n"/>
      <c r="L14" s="5" t="n"/>
      <c r="M14" s="6">
        <f>IF(A14="", "", IF(OR(G14="", J14=""), "Not Monitored", IF(OR(G14&gt;85, J14&gt;90), "❌ Critical", IF(OR(G14&gt;70, J14&gt;75), "⚠️ Warning", "✅ OK"))))</f>
        <v/>
      </c>
    </row>
    <row r="15">
      <c r="A15" s="5" t="n"/>
      <c r="B15" s="5" t="n"/>
      <c r="C15" s="5" t="n"/>
      <c r="D15" s="5" t="n"/>
      <c r="E15" s="5" t="n"/>
      <c r="F15" s="5" t="n"/>
      <c r="G15" s="6">
        <f>IF(AND(E15&lt;&gt;"", F15&lt;&gt;""), ROUND((F15/E15)*100, 1), "")</f>
        <v/>
      </c>
      <c r="H15" s="5" t="n"/>
      <c r="I15" s="5" t="n"/>
      <c r="J15" s="6">
        <f>IF(AND(H15&lt;&gt;"", I15&lt;&gt;""), ROUND((I15/H15)*100, 1), "")</f>
        <v/>
      </c>
      <c r="K15" s="5" t="n"/>
      <c r="L15" s="5" t="n"/>
      <c r="M15" s="6">
        <f>IF(A15="", "", IF(OR(G15="", J15=""), "Not Monitored", IF(OR(G15&gt;85, J15&gt;90), "❌ Critical", IF(OR(G15&gt;70, J15&gt;75), "⚠️ Warning", "✅ OK"))))</f>
        <v/>
      </c>
    </row>
    <row r="16">
      <c r="A16" s="5" t="n"/>
      <c r="B16" s="5" t="n"/>
      <c r="C16" s="5" t="n"/>
      <c r="D16" s="5" t="n"/>
      <c r="E16" s="5" t="n"/>
      <c r="F16" s="5" t="n"/>
      <c r="G16" s="6">
        <f>IF(AND(E16&lt;&gt;"", F16&lt;&gt;""), ROUND((F16/E16)*100, 1), "")</f>
        <v/>
      </c>
      <c r="H16" s="5" t="n"/>
      <c r="I16" s="5" t="n"/>
      <c r="J16" s="6">
        <f>IF(AND(H16&lt;&gt;"", I16&lt;&gt;""), ROUND((I16/H16)*100, 1), "")</f>
        <v/>
      </c>
      <c r="K16" s="5" t="n"/>
      <c r="L16" s="5" t="n"/>
      <c r="M16" s="6">
        <f>IF(A16="", "", IF(OR(G16="", J16=""), "Not Monitored", IF(OR(G16&gt;85, J16&gt;90), "❌ Critical", IF(OR(G16&gt;70, J16&gt;75), "⚠️ Warning", "✅ OK"))))</f>
        <v/>
      </c>
    </row>
    <row r="17">
      <c r="A17" s="5" t="n"/>
      <c r="B17" s="5" t="n"/>
      <c r="C17" s="5" t="n"/>
      <c r="D17" s="5" t="n"/>
      <c r="E17" s="5" t="n"/>
      <c r="F17" s="5" t="n"/>
      <c r="G17" s="6">
        <f>IF(AND(E17&lt;&gt;"", F17&lt;&gt;""), ROUND((F17/E17)*100, 1), "")</f>
        <v/>
      </c>
      <c r="H17" s="5" t="n"/>
      <c r="I17" s="5" t="n"/>
      <c r="J17" s="6">
        <f>IF(AND(H17&lt;&gt;"", I17&lt;&gt;""), ROUND((I17/H17)*100, 1), "")</f>
        <v/>
      </c>
      <c r="K17" s="5" t="n"/>
      <c r="L17" s="5" t="n"/>
      <c r="M17" s="6">
        <f>IF(A17="", "", IF(OR(G17="", J17=""), "Not Monitored", IF(OR(G17&gt;85, J17&gt;90), "❌ Critical", IF(OR(G17&gt;70, J17&gt;75), "⚠️ Warning", "✅ OK"))))</f>
        <v/>
      </c>
    </row>
    <row r="18">
      <c r="A18" s="5" t="n"/>
      <c r="B18" s="5" t="n"/>
      <c r="C18" s="5" t="n"/>
      <c r="D18" s="5" t="n"/>
      <c r="E18" s="5" t="n"/>
      <c r="F18" s="5" t="n"/>
      <c r="G18" s="6">
        <f>IF(AND(E18&lt;&gt;"", F18&lt;&gt;""), ROUND((F18/E18)*100, 1), "")</f>
        <v/>
      </c>
      <c r="H18" s="5" t="n"/>
      <c r="I18" s="5" t="n"/>
      <c r="J18" s="6">
        <f>IF(AND(H18&lt;&gt;"", I18&lt;&gt;""), ROUND((I18/H18)*100, 1), "")</f>
        <v/>
      </c>
      <c r="K18" s="5" t="n"/>
      <c r="L18" s="5" t="n"/>
      <c r="M18" s="6">
        <f>IF(A18="", "", IF(OR(G18="", J18=""), "Not Monitored", IF(OR(G18&gt;85, J18&gt;90), "❌ Critical", IF(OR(G18&gt;70, J18&gt;75), "⚠️ Warning", "✅ OK"))))</f>
        <v/>
      </c>
    </row>
    <row r="19">
      <c r="A19" s="5" t="n"/>
      <c r="B19" s="5" t="n"/>
      <c r="C19" s="5" t="n"/>
      <c r="D19" s="5" t="n"/>
      <c r="E19" s="5" t="n"/>
      <c r="F19" s="5" t="n"/>
      <c r="G19" s="6">
        <f>IF(AND(E19&lt;&gt;"", F19&lt;&gt;""), ROUND((F19/E19)*100, 1), "")</f>
        <v/>
      </c>
      <c r="H19" s="5" t="n"/>
      <c r="I19" s="5" t="n"/>
      <c r="J19" s="6">
        <f>IF(AND(H19&lt;&gt;"", I19&lt;&gt;""), ROUND((I19/H19)*100, 1), "")</f>
        <v/>
      </c>
      <c r="K19" s="5" t="n"/>
      <c r="L19" s="5" t="n"/>
      <c r="M19" s="6">
        <f>IF(A19="", "", IF(OR(G19="", J19=""), "Not Monitored", IF(OR(G19&gt;85, J19&gt;90), "❌ Critical", IF(OR(G19&gt;70, J19&gt;75), "⚠️ Warning", "✅ OK"))))</f>
        <v/>
      </c>
    </row>
    <row r="20">
      <c r="A20" s="5" t="n"/>
      <c r="B20" s="5" t="n"/>
      <c r="C20" s="5" t="n"/>
      <c r="D20" s="5" t="n"/>
      <c r="E20" s="5" t="n"/>
      <c r="F20" s="5" t="n"/>
      <c r="G20" s="6">
        <f>IF(AND(E20&lt;&gt;"", F20&lt;&gt;""), ROUND((F20/E20)*100, 1), "")</f>
        <v/>
      </c>
      <c r="H20" s="5" t="n"/>
      <c r="I20" s="5" t="n"/>
      <c r="J20" s="6">
        <f>IF(AND(H20&lt;&gt;"", I20&lt;&gt;""), ROUND((I20/H20)*100, 1), "")</f>
        <v/>
      </c>
      <c r="K20" s="5" t="n"/>
      <c r="L20" s="5" t="n"/>
      <c r="M20" s="6">
        <f>IF(A20="", "", IF(OR(G20="", J20=""), "Not Monitored", IF(OR(G20&gt;85, J20&gt;90), "❌ Critical", IF(OR(G20&gt;70, J20&gt;75), "⚠️ Warning", "✅ OK"))))</f>
        <v/>
      </c>
    </row>
    <row r="21">
      <c r="A21" s="5" t="n"/>
      <c r="B21" s="5" t="n"/>
      <c r="C21" s="5" t="n"/>
      <c r="D21" s="5" t="n"/>
      <c r="E21" s="5" t="n"/>
      <c r="F21" s="5" t="n"/>
      <c r="G21" s="6">
        <f>IF(AND(E21&lt;&gt;"", F21&lt;&gt;""), ROUND((F21/E21)*100, 1), "")</f>
        <v/>
      </c>
      <c r="H21" s="5" t="n"/>
      <c r="I21" s="5" t="n"/>
      <c r="J21" s="6">
        <f>IF(AND(H21&lt;&gt;"", I21&lt;&gt;""), ROUND((I21/H21)*100, 1), "")</f>
        <v/>
      </c>
      <c r="K21" s="5" t="n"/>
      <c r="L21" s="5" t="n"/>
      <c r="M21" s="6">
        <f>IF(A21="", "", IF(OR(G21="", J21=""), "Not Monitored", IF(OR(G21&gt;85, J21&gt;90), "❌ Critical", IF(OR(G21&gt;70, J21&gt;75), "⚠️ Warning", "✅ OK"))))</f>
        <v/>
      </c>
    </row>
    <row r="22">
      <c r="A22" s="5" t="n"/>
      <c r="B22" s="5" t="n"/>
      <c r="C22" s="5" t="n"/>
      <c r="D22" s="5" t="n"/>
      <c r="E22" s="5" t="n"/>
      <c r="F22" s="5" t="n"/>
      <c r="G22" s="6">
        <f>IF(AND(E22&lt;&gt;"", F22&lt;&gt;""), ROUND((F22/E22)*100, 1), "")</f>
        <v/>
      </c>
      <c r="H22" s="5" t="n"/>
      <c r="I22" s="5" t="n"/>
      <c r="J22" s="6">
        <f>IF(AND(H22&lt;&gt;"", I22&lt;&gt;""), ROUND((I22/H22)*100, 1), "")</f>
        <v/>
      </c>
      <c r="K22" s="5" t="n"/>
      <c r="L22" s="5" t="n"/>
      <c r="M22" s="6">
        <f>IF(A22="", "", IF(OR(G22="", J22=""), "Not Monitored", IF(OR(G22&gt;85, J22&gt;90), "❌ Critical", IF(OR(G22&gt;70, J22&gt;75), "⚠️ Warning", "✅ OK"))))</f>
        <v/>
      </c>
    </row>
    <row r="23">
      <c r="A23" s="5" t="n"/>
      <c r="B23" s="5" t="n"/>
      <c r="C23" s="5" t="n"/>
      <c r="D23" s="5" t="n"/>
      <c r="E23" s="5" t="n"/>
      <c r="F23" s="5" t="n"/>
      <c r="G23" s="6">
        <f>IF(AND(E23&lt;&gt;"", F23&lt;&gt;""), ROUND((F23/E23)*100, 1), "")</f>
        <v/>
      </c>
      <c r="H23" s="5" t="n"/>
      <c r="I23" s="5" t="n"/>
      <c r="J23" s="6">
        <f>IF(AND(H23&lt;&gt;"", I23&lt;&gt;""), ROUND((I23/H23)*100, 1), "")</f>
        <v/>
      </c>
      <c r="K23" s="5" t="n"/>
      <c r="L23" s="5" t="n"/>
      <c r="M23" s="6">
        <f>IF(A23="", "", IF(OR(G23="", J23=""), "Not Monitored", IF(OR(G23&gt;85, J23&gt;90), "❌ Critical", IF(OR(G23&gt;70, J23&gt;75), "⚠️ Warning", "✅ OK"))))</f>
        <v/>
      </c>
    </row>
    <row r="24">
      <c r="A24" s="5" t="n"/>
      <c r="B24" s="5" t="n"/>
      <c r="C24" s="5" t="n"/>
      <c r="D24" s="5" t="n"/>
      <c r="E24" s="5" t="n"/>
      <c r="F24" s="5" t="n"/>
      <c r="G24" s="6">
        <f>IF(AND(E24&lt;&gt;"", F24&lt;&gt;""), ROUND((F24/E24)*100, 1), "")</f>
        <v/>
      </c>
      <c r="H24" s="5" t="n"/>
      <c r="I24" s="5" t="n"/>
      <c r="J24" s="6">
        <f>IF(AND(H24&lt;&gt;"", I24&lt;&gt;""), ROUND((I24/H24)*100, 1), "")</f>
        <v/>
      </c>
      <c r="K24" s="5" t="n"/>
      <c r="L24" s="5" t="n"/>
      <c r="M24" s="6">
        <f>IF(A24="", "", IF(OR(G24="", J24=""), "Not Monitored", IF(OR(G24&gt;85, J24&gt;90), "❌ Critical", IF(OR(G24&gt;70, J24&gt;75), "⚠️ Warning", "✅ OK"))))</f>
        <v/>
      </c>
    </row>
    <row r="25">
      <c r="A25" s="5" t="n"/>
      <c r="B25" s="5" t="n"/>
      <c r="C25" s="5" t="n"/>
      <c r="D25" s="5" t="n"/>
      <c r="E25" s="5" t="n"/>
      <c r="F25" s="5" t="n"/>
      <c r="G25" s="6">
        <f>IF(AND(E25&lt;&gt;"", F25&lt;&gt;""), ROUND((F25/E25)*100, 1), "")</f>
        <v/>
      </c>
      <c r="H25" s="5" t="n"/>
      <c r="I25" s="5" t="n"/>
      <c r="J25" s="6">
        <f>IF(AND(H25&lt;&gt;"", I25&lt;&gt;""), ROUND((I25/H25)*100, 1), "")</f>
        <v/>
      </c>
      <c r="K25" s="5" t="n"/>
      <c r="L25" s="5" t="n"/>
      <c r="M25" s="6">
        <f>IF(A25="", "", IF(OR(G25="", J25=""), "Not Monitored", IF(OR(G25&gt;85, J25&gt;90), "❌ Critical", IF(OR(G25&gt;70, J25&gt;75), "⚠️ Warning", "✅ OK"))))</f>
        <v/>
      </c>
    </row>
    <row r="26">
      <c r="A26" s="5" t="n"/>
      <c r="B26" s="5" t="n"/>
      <c r="C26" s="5" t="n"/>
      <c r="D26" s="5" t="n"/>
      <c r="E26" s="5" t="n"/>
      <c r="F26" s="5" t="n"/>
      <c r="G26" s="6">
        <f>IF(AND(E26&lt;&gt;"", F26&lt;&gt;""), ROUND((F26/E26)*100, 1), "")</f>
        <v/>
      </c>
      <c r="H26" s="5" t="n"/>
      <c r="I26" s="5" t="n"/>
      <c r="J26" s="6">
        <f>IF(AND(H26&lt;&gt;"", I26&lt;&gt;""), ROUND((I26/H26)*100, 1), "")</f>
        <v/>
      </c>
      <c r="K26" s="5" t="n"/>
      <c r="L26" s="5" t="n"/>
      <c r="M26" s="6">
        <f>IF(A26="", "", IF(OR(G26="", J26=""), "Not Monitored", IF(OR(G26&gt;85, J26&gt;90), "❌ Critical", IF(OR(G26&gt;70, J26&gt;75), "⚠️ Warning", "✅ OK"))))</f>
        <v/>
      </c>
    </row>
    <row r="27">
      <c r="A27" s="5" t="n"/>
      <c r="B27" s="5" t="n"/>
      <c r="C27" s="5" t="n"/>
      <c r="D27" s="5" t="n"/>
      <c r="E27" s="5" t="n"/>
      <c r="F27" s="5" t="n"/>
      <c r="G27" s="6">
        <f>IF(AND(E27&lt;&gt;"", F27&lt;&gt;""), ROUND((F27/E27)*100, 1), "")</f>
        <v/>
      </c>
      <c r="H27" s="5" t="n"/>
      <c r="I27" s="5" t="n"/>
      <c r="J27" s="6">
        <f>IF(AND(H27&lt;&gt;"", I27&lt;&gt;""), ROUND((I27/H27)*100, 1), "")</f>
        <v/>
      </c>
      <c r="K27" s="5" t="n"/>
      <c r="L27" s="5" t="n"/>
      <c r="M27" s="6">
        <f>IF(A27="", "", IF(OR(G27="", J27=""), "Not Monitored", IF(OR(G27&gt;85, J27&gt;90), "❌ Critical", IF(OR(G27&gt;70, J27&gt;75), "⚠️ Warning", "✅ OK"))))</f>
        <v/>
      </c>
    </row>
    <row r="28">
      <c r="A28" s="5" t="n"/>
      <c r="B28" s="5" t="n"/>
      <c r="C28" s="5" t="n"/>
      <c r="D28" s="5" t="n"/>
      <c r="E28" s="5" t="n"/>
      <c r="F28" s="5" t="n"/>
      <c r="G28" s="6">
        <f>IF(AND(E28&lt;&gt;"", F28&lt;&gt;""), ROUND((F28/E28)*100, 1), "")</f>
        <v/>
      </c>
      <c r="H28" s="5" t="n"/>
      <c r="I28" s="5" t="n"/>
      <c r="J28" s="6">
        <f>IF(AND(H28&lt;&gt;"", I28&lt;&gt;""), ROUND((I28/H28)*100, 1), "")</f>
        <v/>
      </c>
      <c r="K28" s="5" t="n"/>
      <c r="L28" s="5" t="n"/>
      <c r="M28" s="6">
        <f>IF(A28="", "", IF(OR(G28="", J28=""), "Not Monitored", IF(OR(G28&gt;85, J28&gt;90), "❌ Critical", IF(OR(G28&gt;70, J28&gt;75), "⚠️ Warning", "✅ OK"))))</f>
        <v/>
      </c>
    </row>
    <row r="29">
      <c r="A29" s="5" t="n"/>
      <c r="B29" s="5" t="n"/>
      <c r="C29" s="5" t="n"/>
      <c r="D29" s="5" t="n"/>
      <c r="E29" s="5" t="n"/>
      <c r="F29" s="5" t="n"/>
      <c r="G29" s="6">
        <f>IF(AND(E29&lt;&gt;"", F29&lt;&gt;""), ROUND((F29/E29)*100, 1), "")</f>
        <v/>
      </c>
      <c r="H29" s="5" t="n"/>
      <c r="I29" s="5" t="n"/>
      <c r="J29" s="6">
        <f>IF(AND(H29&lt;&gt;"", I29&lt;&gt;""), ROUND((I29/H29)*100, 1), "")</f>
        <v/>
      </c>
      <c r="K29" s="5" t="n"/>
      <c r="L29" s="5" t="n"/>
      <c r="M29" s="6">
        <f>IF(A29="", "", IF(OR(G29="", J29=""), "Not Monitored", IF(OR(G29&gt;85, J29&gt;90), "❌ Critical", IF(OR(G29&gt;70, J29&gt;75), "⚠️ Warning", "✅ OK"))))</f>
        <v/>
      </c>
    </row>
    <row r="30">
      <c r="A30" s="5" t="n"/>
      <c r="B30" s="5" t="n"/>
      <c r="C30" s="5" t="n"/>
      <c r="D30" s="5" t="n"/>
      <c r="E30" s="5" t="n"/>
      <c r="F30" s="5" t="n"/>
      <c r="G30" s="6">
        <f>IF(AND(E30&lt;&gt;"", F30&lt;&gt;""), ROUND((F30/E30)*100, 1), "")</f>
        <v/>
      </c>
      <c r="H30" s="5" t="n"/>
      <c r="I30" s="5" t="n"/>
      <c r="J30" s="6">
        <f>IF(AND(H30&lt;&gt;"", I30&lt;&gt;""), ROUND((I30/H30)*100, 1), "")</f>
        <v/>
      </c>
      <c r="K30" s="5" t="n"/>
      <c r="L30" s="5" t="n"/>
      <c r="M30" s="6">
        <f>IF(A30="", "", IF(OR(G30="", J30=""), "Not Monitored", IF(OR(G30&gt;85, J30&gt;90), "❌ Critical", IF(OR(G30&gt;70, J30&gt;75), "⚠️ Warning", "✅ OK"))))</f>
        <v/>
      </c>
    </row>
    <row r="31">
      <c r="A31" s="5" t="n"/>
      <c r="B31" s="5" t="n"/>
      <c r="C31" s="5" t="n"/>
      <c r="D31" s="5" t="n"/>
      <c r="E31" s="5" t="n"/>
      <c r="F31" s="5" t="n"/>
      <c r="G31" s="6">
        <f>IF(AND(E31&lt;&gt;"", F31&lt;&gt;""), ROUND((F31/E31)*100, 1), "")</f>
        <v/>
      </c>
      <c r="H31" s="5" t="n"/>
      <c r="I31" s="5" t="n"/>
      <c r="J31" s="6">
        <f>IF(AND(H31&lt;&gt;"", I31&lt;&gt;""), ROUND((I31/H31)*100, 1), "")</f>
        <v/>
      </c>
      <c r="K31" s="5" t="n"/>
      <c r="L31" s="5" t="n"/>
      <c r="M31" s="6">
        <f>IF(A31="", "", IF(OR(G31="", J31=""), "Not Monitored", IF(OR(G31&gt;85, J31&gt;90), "❌ Critical", IF(OR(G31&gt;70, J31&gt;75), "⚠️ Warning", "✅ OK"))))</f>
        <v/>
      </c>
    </row>
    <row r="32">
      <c r="A32" s="5" t="n"/>
      <c r="B32" s="5" t="n"/>
      <c r="C32" s="5" t="n"/>
      <c r="D32" s="5" t="n"/>
      <c r="E32" s="5" t="n"/>
      <c r="F32" s="5" t="n"/>
      <c r="G32" s="6">
        <f>IF(AND(E32&lt;&gt;"", F32&lt;&gt;""), ROUND((F32/E32)*100, 1), "")</f>
        <v/>
      </c>
      <c r="H32" s="5" t="n"/>
      <c r="I32" s="5" t="n"/>
      <c r="J32" s="6">
        <f>IF(AND(H32&lt;&gt;"", I32&lt;&gt;""), ROUND((I32/H32)*100, 1), "")</f>
        <v/>
      </c>
      <c r="K32" s="5" t="n"/>
      <c r="L32" s="5" t="n"/>
      <c r="M32" s="6">
        <f>IF(A32="", "", IF(OR(G32="", J32=""), "Not Monitored", IF(OR(G32&gt;85, J32&gt;90), "❌ Critical", IF(OR(G32&gt;70, J32&gt;75), "⚠️ Warning", "✅ OK"))))</f>
        <v/>
      </c>
    </row>
    <row r="33">
      <c r="A33" s="5" t="n"/>
      <c r="B33" s="5" t="n"/>
      <c r="C33" s="5" t="n"/>
      <c r="D33" s="5" t="n"/>
      <c r="E33" s="5" t="n"/>
      <c r="F33" s="5" t="n"/>
      <c r="G33" s="6">
        <f>IF(AND(E33&lt;&gt;"", F33&lt;&gt;""), ROUND((F33/E33)*100, 1), "")</f>
        <v/>
      </c>
      <c r="H33" s="5" t="n"/>
      <c r="I33" s="5" t="n"/>
      <c r="J33" s="6">
        <f>IF(AND(H33&lt;&gt;"", I33&lt;&gt;""), ROUND((I33/H33)*100, 1), "")</f>
        <v/>
      </c>
      <c r="K33" s="5" t="n"/>
      <c r="L33" s="5" t="n"/>
      <c r="M33" s="6">
        <f>IF(A33="", "", IF(OR(G33="", J33=""), "Not Monitored", IF(OR(G33&gt;85, J33&gt;90), "❌ Critical", IF(OR(G33&gt;70, J33&gt;75), "⚠️ Warning", "✅ OK"))))</f>
        <v/>
      </c>
    </row>
    <row r="34">
      <c r="A34" s="5" t="n"/>
      <c r="B34" s="5" t="n"/>
      <c r="C34" s="5" t="n"/>
      <c r="D34" s="5" t="n"/>
      <c r="E34" s="5" t="n"/>
      <c r="F34" s="5" t="n"/>
      <c r="G34" s="6">
        <f>IF(AND(E34&lt;&gt;"", F34&lt;&gt;""), ROUND((F34/E34)*100, 1), "")</f>
        <v/>
      </c>
      <c r="H34" s="5" t="n"/>
      <c r="I34" s="5" t="n"/>
      <c r="J34" s="6">
        <f>IF(AND(H34&lt;&gt;"", I34&lt;&gt;""), ROUND((I34/H34)*100, 1), "")</f>
        <v/>
      </c>
      <c r="K34" s="5" t="n"/>
      <c r="L34" s="5" t="n"/>
      <c r="M34" s="6">
        <f>IF(A34="", "", IF(OR(G34="", J34=""), "Not Monitored", IF(OR(G34&gt;85, J34&gt;90), "❌ Critical", IF(OR(G34&gt;70, J34&gt;75), "⚠️ Warning", "✅ OK"))))</f>
        <v/>
      </c>
    </row>
    <row r="35">
      <c r="A35" s="5" t="n"/>
      <c r="B35" s="5" t="n"/>
      <c r="C35" s="5" t="n"/>
      <c r="D35" s="5" t="n"/>
      <c r="E35" s="5" t="n"/>
      <c r="F35" s="5" t="n"/>
      <c r="G35" s="6">
        <f>IF(AND(E35&lt;&gt;"", F35&lt;&gt;""), ROUND((F35/E35)*100, 1), "")</f>
        <v/>
      </c>
      <c r="H35" s="5" t="n"/>
      <c r="I35" s="5" t="n"/>
      <c r="J35" s="6">
        <f>IF(AND(H35&lt;&gt;"", I35&lt;&gt;""), ROUND((I35/H35)*100, 1), "")</f>
        <v/>
      </c>
      <c r="K35" s="5" t="n"/>
      <c r="L35" s="5" t="n"/>
      <c r="M35" s="6">
        <f>IF(A35="", "", IF(OR(G35="", J35=""), "Not Monitored", IF(OR(G35&gt;85, J35&gt;90), "❌ Critical", IF(OR(G35&gt;70, J35&gt;75), "⚠️ Warning", "✅ OK"))))</f>
        <v/>
      </c>
    </row>
    <row r="36">
      <c r="A36" s="5" t="n"/>
      <c r="B36" s="5" t="n"/>
      <c r="C36" s="5" t="n"/>
      <c r="D36" s="5" t="n"/>
      <c r="E36" s="5" t="n"/>
      <c r="F36" s="5" t="n"/>
      <c r="G36" s="6">
        <f>IF(AND(E36&lt;&gt;"", F36&lt;&gt;""), ROUND((F36/E36)*100, 1), "")</f>
        <v/>
      </c>
      <c r="H36" s="5" t="n"/>
      <c r="I36" s="5" t="n"/>
      <c r="J36" s="6">
        <f>IF(AND(H36&lt;&gt;"", I36&lt;&gt;""), ROUND((I36/H36)*100, 1), "")</f>
        <v/>
      </c>
      <c r="K36" s="5" t="n"/>
      <c r="L36" s="5" t="n"/>
      <c r="M36" s="6">
        <f>IF(A36="", "", IF(OR(G36="", J36=""), "Not Monitored", IF(OR(G36&gt;85, J36&gt;90), "❌ Critical", IF(OR(G36&gt;70, J36&gt;75), "⚠️ Warning", "✅ OK"))))</f>
        <v/>
      </c>
    </row>
    <row r="37">
      <c r="A37" s="5" t="n"/>
      <c r="B37" s="5" t="n"/>
      <c r="C37" s="5" t="n"/>
      <c r="D37" s="5" t="n"/>
      <c r="E37" s="5" t="n"/>
      <c r="F37" s="5" t="n"/>
      <c r="G37" s="6">
        <f>IF(AND(E37&lt;&gt;"", F37&lt;&gt;""), ROUND((F37/E37)*100, 1), "")</f>
        <v/>
      </c>
      <c r="H37" s="5" t="n"/>
      <c r="I37" s="5" t="n"/>
      <c r="J37" s="6">
        <f>IF(AND(H37&lt;&gt;"", I37&lt;&gt;""), ROUND((I37/H37)*100, 1), "")</f>
        <v/>
      </c>
      <c r="K37" s="5" t="n"/>
      <c r="L37" s="5" t="n"/>
      <c r="M37" s="6">
        <f>IF(A37="", "", IF(OR(G37="", J37=""), "Not Monitored", IF(OR(G37&gt;85, J37&gt;90), "❌ Critical", IF(OR(G37&gt;70, J37&gt;75), "⚠️ Warning", "✅ OK"))))</f>
        <v/>
      </c>
    </row>
    <row r="38">
      <c r="A38" s="5" t="n"/>
      <c r="B38" s="5" t="n"/>
      <c r="C38" s="5" t="n"/>
      <c r="D38" s="5" t="n"/>
      <c r="E38" s="5" t="n"/>
      <c r="F38" s="5" t="n"/>
      <c r="G38" s="6">
        <f>IF(AND(E38&lt;&gt;"", F38&lt;&gt;""), ROUND((F38/E38)*100, 1), "")</f>
        <v/>
      </c>
      <c r="H38" s="5" t="n"/>
      <c r="I38" s="5" t="n"/>
      <c r="J38" s="6">
        <f>IF(AND(H38&lt;&gt;"", I38&lt;&gt;""), ROUND((I38/H38)*100, 1), "")</f>
        <v/>
      </c>
      <c r="K38" s="5" t="n"/>
      <c r="L38" s="5" t="n"/>
      <c r="M38" s="6">
        <f>IF(A38="", "", IF(OR(G38="", J38=""), "Not Monitored", IF(OR(G38&gt;85, J38&gt;90), "❌ Critical", IF(OR(G38&gt;70, J38&gt;75), "⚠️ Warning", "✅ OK"))))</f>
        <v/>
      </c>
    </row>
    <row r="39">
      <c r="A39" s="5" t="n"/>
      <c r="B39" s="5" t="n"/>
      <c r="C39" s="5" t="n"/>
      <c r="D39" s="5" t="n"/>
      <c r="E39" s="5" t="n"/>
      <c r="F39" s="5" t="n"/>
      <c r="G39" s="6">
        <f>IF(AND(E39&lt;&gt;"", F39&lt;&gt;""), ROUND((F39/E39)*100, 1), "")</f>
        <v/>
      </c>
      <c r="H39" s="5" t="n"/>
      <c r="I39" s="5" t="n"/>
      <c r="J39" s="6">
        <f>IF(AND(H39&lt;&gt;"", I39&lt;&gt;""), ROUND((I39/H39)*100, 1), "")</f>
        <v/>
      </c>
      <c r="K39" s="5" t="n"/>
      <c r="L39" s="5" t="n"/>
      <c r="M39" s="6">
        <f>IF(A39="", "", IF(OR(G39="", J39=""), "Not Monitored", IF(OR(G39&gt;85, J39&gt;90), "❌ Critical", IF(OR(G39&gt;70, J39&gt;75), "⚠️ Warning", "✅ OK"))))</f>
        <v/>
      </c>
    </row>
    <row r="40">
      <c r="A40" s="5" t="n"/>
      <c r="B40" s="5" t="n"/>
      <c r="C40" s="5" t="n"/>
      <c r="D40" s="5" t="n"/>
      <c r="E40" s="5" t="n"/>
      <c r="F40" s="5" t="n"/>
      <c r="G40" s="6">
        <f>IF(AND(E40&lt;&gt;"", F40&lt;&gt;""), ROUND((F40/E40)*100, 1), "")</f>
        <v/>
      </c>
      <c r="H40" s="5" t="n"/>
      <c r="I40" s="5" t="n"/>
      <c r="J40" s="6">
        <f>IF(AND(H40&lt;&gt;"", I40&lt;&gt;""), ROUND((I40/H40)*100, 1), "")</f>
        <v/>
      </c>
      <c r="K40" s="5" t="n"/>
      <c r="L40" s="5" t="n"/>
      <c r="M40" s="6">
        <f>IF(A40="", "", IF(OR(G40="", J40=""), "Not Monitored", IF(OR(G40&gt;85, J40&gt;90), "❌ Critical", IF(OR(G40&gt;70, J40&gt;75), "⚠️ Warning", "✅ OK"))))</f>
        <v/>
      </c>
    </row>
    <row r="41">
      <c r="A41" s="5" t="n"/>
      <c r="B41" s="5" t="n"/>
      <c r="C41" s="5" t="n"/>
      <c r="D41" s="5" t="n"/>
      <c r="E41" s="5" t="n"/>
      <c r="F41" s="5" t="n"/>
      <c r="G41" s="6">
        <f>IF(AND(E41&lt;&gt;"", F41&lt;&gt;""), ROUND((F41/E41)*100, 1), "")</f>
        <v/>
      </c>
      <c r="H41" s="5" t="n"/>
      <c r="I41" s="5" t="n"/>
      <c r="J41" s="6">
        <f>IF(AND(H41&lt;&gt;"", I41&lt;&gt;""), ROUND((I41/H41)*100, 1), "")</f>
        <v/>
      </c>
      <c r="K41" s="5" t="n"/>
      <c r="L41" s="5" t="n"/>
      <c r="M41" s="6">
        <f>IF(A41="", "", IF(OR(G41="", J41=""), "Not Monitored", IF(OR(G41&gt;85, J41&gt;90), "❌ Critical", IF(OR(G41&gt;70, J41&gt;75), "⚠️ Warning", "✅ OK"))))</f>
        <v/>
      </c>
    </row>
    <row r="42">
      <c r="A42" s="5" t="n"/>
      <c r="B42" s="5" t="n"/>
      <c r="C42" s="5" t="n"/>
      <c r="D42" s="5" t="n"/>
      <c r="E42" s="5" t="n"/>
      <c r="F42" s="5" t="n"/>
      <c r="G42" s="6">
        <f>IF(AND(E42&lt;&gt;"", F42&lt;&gt;""), ROUND((F42/E42)*100, 1), "")</f>
        <v/>
      </c>
      <c r="H42" s="5" t="n"/>
      <c r="I42" s="5" t="n"/>
      <c r="J42" s="6">
        <f>IF(AND(H42&lt;&gt;"", I42&lt;&gt;""), ROUND((I42/H42)*100, 1), "")</f>
        <v/>
      </c>
      <c r="K42" s="5" t="n"/>
      <c r="L42" s="5" t="n"/>
      <c r="M42" s="6">
        <f>IF(A42="", "", IF(OR(G42="", J42=""), "Not Monitored", IF(OR(G42&gt;85, J42&gt;90), "❌ Critical", IF(OR(G42&gt;70, J42&gt;75), "⚠️ Warning", "✅ OK"))))</f>
        <v/>
      </c>
    </row>
    <row r="43">
      <c r="A43" s="5" t="n"/>
      <c r="B43" s="5" t="n"/>
      <c r="C43" s="5" t="n"/>
      <c r="D43" s="5" t="n"/>
      <c r="E43" s="5" t="n"/>
      <c r="F43" s="5" t="n"/>
      <c r="G43" s="6">
        <f>IF(AND(E43&lt;&gt;"", F43&lt;&gt;""), ROUND((F43/E43)*100, 1), "")</f>
        <v/>
      </c>
      <c r="H43" s="5" t="n"/>
      <c r="I43" s="5" t="n"/>
      <c r="J43" s="6">
        <f>IF(AND(H43&lt;&gt;"", I43&lt;&gt;""), ROUND((I43/H43)*100, 1), "")</f>
        <v/>
      </c>
      <c r="K43" s="5" t="n"/>
      <c r="L43" s="5" t="n"/>
      <c r="M43" s="6">
        <f>IF(A43="", "", IF(OR(G43="", J43=""), "Not Monitored", IF(OR(G43&gt;85, J43&gt;90), "❌ Critical", IF(OR(G43&gt;70, J43&gt;75), "⚠️ Warning", "✅ OK"))))</f>
        <v/>
      </c>
    </row>
    <row r="44">
      <c r="A44" s="5" t="n"/>
      <c r="B44" s="5" t="n"/>
      <c r="C44" s="5" t="n"/>
      <c r="D44" s="5" t="n"/>
      <c r="E44" s="5" t="n"/>
      <c r="F44" s="5" t="n"/>
      <c r="G44" s="6">
        <f>IF(AND(E44&lt;&gt;"", F44&lt;&gt;""), ROUND((F44/E44)*100, 1), "")</f>
        <v/>
      </c>
      <c r="H44" s="5" t="n"/>
      <c r="I44" s="5" t="n"/>
      <c r="J44" s="6">
        <f>IF(AND(H44&lt;&gt;"", I44&lt;&gt;""), ROUND((I44/H44)*100, 1), "")</f>
        <v/>
      </c>
      <c r="K44" s="5" t="n"/>
      <c r="L44" s="5" t="n"/>
      <c r="M44" s="6">
        <f>IF(A44="", "", IF(OR(G44="", J44=""), "Not Monitored", IF(OR(G44&gt;85, J44&gt;90), "❌ Critical", IF(OR(G44&gt;70, J44&gt;75), "⚠️ Warning", "✅ OK"))))</f>
        <v/>
      </c>
    </row>
    <row r="45">
      <c r="A45" s="5" t="n"/>
      <c r="B45" s="5" t="n"/>
      <c r="C45" s="5" t="n"/>
      <c r="D45" s="5" t="n"/>
      <c r="E45" s="5" t="n"/>
      <c r="F45" s="5" t="n"/>
      <c r="G45" s="6">
        <f>IF(AND(E45&lt;&gt;"", F45&lt;&gt;""), ROUND((F45/E45)*100, 1), "")</f>
        <v/>
      </c>
      <c r="H45" s="5" t="n"/>
      <c r="I45" s="5" t="n"/>
      <c r="J45" s="6">
        <f>IF(AND(H45&lt;&gt;"", I45&lt;&gt;""), ROUND((I45/H45)*100, 1), "")</f>
        <v/>
      </c>
      <c r="K45" s="5" t="n"/>
      <c r="L45" s="5" t="n"/>
      <c r="M45" s="6">
        <f>IF(A45="", "", IF(OR(G45="", J45=""), "Not Monitored", IF(OR(G45&gt;85, J45&gt;90), "❌ Critical", IF(OR(G45&gt;70, J45&gt;75), "⚠️ Warning", "✅ OK"))))</f>
        <v/>
      </c>
    </row>
    <row r="46">
      <c r="A46" s="5" t="n"/>
      <c r="B46" s="5" t="n"/>
      <c r="C46" s="5" t="n"/>
      <c r="D46" s="5" t="n"/>
      <c r="E46" s="5" t="n"/>
      <c r="F46" s="5" t="n"/>
      <c r="G46" s="6">
        <f>IF(AND(E46&lt;&gt;"", F46&lt;&gt;""), ROUND((F46/E46)*100, 1), "")</f>
        <v/>
      </c>
      <c r="H46" s="5" t="n"/>
      <c r="I46" s="5" t="n"/>
      <c r="J46" s="6">
        <f>IF(AND(H46&lt;&gt;"", I46&lt;&gt;""), ROUND((I46/H46)*100, 1), "")</f>
        <v/>
      </c>
      <c r="K46" s="5" t="n"/>
      <c r="L46" s="5" t="n"/>
      <c r="M46" s="6">
        <f>IF(A46="", "", IF(OR(G46="", J46=""), "Not Monitored", IF(OR(G46&gt;85, J46&gt;90), "❌ Critical", IF(OR(G46&gt;70, J46&gt;75), "⚠️ Warning", "✅ OK"))))</f>
        <v/>
      </c>
    </row>
    <row r="47">
      <c r="A47" s="5" t="n"/>
      <c r="B47" s="5" t="n"/>
      <c r="C47" s="5" t="n"/>
      <c r="D47" s="5" t="n"/>
      <c r="E47" s="5" t="n"/>
      <c r="F47" s="5" t="n"/>
      <c r="G47" s="6">
        <f>IF(AND(E47&lt;&gt;"", F47&lt;&gt;""), ROUND((F47/E47)*100, 1), "")</f>
        <v/>
      </c>
      <c r="H47" s="5" t="n"/>
      <c r="I47" s="5" t="n"/>
      <c r="J47" s="6">
        <f>IF(AND(H47&lt;&gt;"", I47&lt;&gt;""), ROUND((I47/H47)*100, 1), "")</f>
        <v/>
      </c>
      <c r="K47" s="5" t="n"/>
      <c r="L47" s="5" t="n"/>
      <c r="M47" s="6">
        <f>IF(A47="", "", IF(OR(G47="", J47=""), "Not Monitored", IF(OR(G47&gt;85, J47&gt;90), "❌ Critical", IF(OR(G47&gt;70, J47&gt;75), "⚠️ Warning", "✅ OK"))))</f>
        <v/>
      </c>
    </row>
    <row r="48">
      <c r="A48" s="5" t="n"/>
      <c r="B48" s="5" t="n"/>
      <c r="C48" s="5" t="n"/>
      <c r="D48" s="5" t="n"/>
      <c r="E48" s="5" t="n"/>
      <c r="F48" s="5" t="n"/>
      <c r="G48" s="6">
        <f>IF(AND(E48&lt;&gt;"", F48&lt;&gt;""), ROUND((F48/E48)*100, 1), "")</f>
        <v/>
      </c>
      <c r="H48" s="5" t="n"/>
      <c r="I48" s="5" t="n"/>
      <c r="J48" s="6">
        <f>IF(AND(H48&lt;&gt;"", I48&lt;&gt;""), ROUND((I48/H48)*100, 1), "")</f>
        <v/>
      </c>
      <c r="K48" s="5" t="n"/>
      <c r="L48" s="5" t="n"/>
      <c r="M48" s="6">
        <f>IF(A48="", "", IF(OR(G48="", J48=""), "Not Monitored", IF(OR(G48&gt;85, J48&gt;90), "❌ Critical", IF(OR(G48&gt;70, J48&gt;75), "⚠️ Warning", "✅ OK"))))</f>
        <v/>
      </c>
    </row>
    <row r="49">
      <c r="A49" s="5" t="n"/>
      <c r="B49" s="5" t="n"/>
      <c r="C49" s="5" t="n"/>
      <c r="D49" s="5" t="n"/>
      <c r="E49" s="5" t="n"/>
      <c r="F49" s="5" t="n"/>
      <c r="G49" s="6">
        <f>IF(AND(E49&lt;&gt;"", F49&lt;&gt;""), ROUND((F49/E49)*100, 1), "")</f>
        <v/>
      </c>
      <c r="H49" s="5" t="n"/>
      <c r="I49" s="5" t="n"/>
      <c r="J49" s="6">
        <f>IF(AND(H49&lt;&gt;"", I49&lt;&gt;""), ROUND((I49/H49)*100, 1), "")</f>
        <v/>
      </c>
      <c r="K49" s="5" t="n"/>
      <c r="L49" s="5" t="n"/>
      <c r="M49" s="6">
        <f>IF(A49="", "", IF(OR(G49="", J49=""), "Not Monitored", IF(OR(G49&gt;85, J49&gt;90), "❌ Critical", IF(OR(G49&gt;70, J49&gt;75), "⚠️ Warning", "✅ OK"))))</f>
        <v/>
      </c>
    </row>
    <row r="50">
      <c r="A50" s="5" t="n"/>
      <c r="B50" s="5" t="n"/>
      <c r="C50" s="5" t="n"/>
      <c r="D50" s="5" t="n"/>
      <c r="E50" s="5" t="n"/>
      <c r="F50" s="5" t="n"/>
      <c r="G50" s="6">
        <f>IF(AND(E50&lt;&gt;"", F50&lt;&gt;""), ROUND((F50/E50)*100, 1), "")</f>
        <v/>
      </c>
      <c r="H50" s="5" t="n"/>
      <c r="I50" s="5" t="n"/>
      <c r="J50" s="6">
        <f>IF(AND(H50&lt;&gt;"", I50&lt;&gt;""), ROUND((I50/H50)*100, 1), "")</f>
        <v/>
      </c>
      <c r="K50" s="5" t="n"/>
      <c r="L50" s="5" t="n"/>
      <c r="M50" s="6">
        <f>IF(A50="", "", IF(OR(G50="", J50=""), "Not Monitored", IF(OR(G50&gt;85, J50&gt;90), "❌ Critical", IF(OR(G50&gt;70, J50&gt;75), "⚠️ Warning", "✅ OK"))))</f>
        <v/>
      </c>
    </row>
    <row r="51">
      <c r="A51" s="5" t="n"/>
      <c r="B51" s="5" t="n"/>
      <c r="C51" s="5" t="n"/>
      <c r="D51" s="5" t="n"/>
      <c r="E51" s="5" t="n"/>
      <c r="F51" s="5" t="n"/>
      <c r="G51" s="6">
        <f>IF(AND(E51&lt;&gt;"", F51&lt;&gt;""), ROUND((F51/E51)*100, 1), "")</f>
        <v/>
      </c>
      <c r="H51" s="5" t="n"/>
      <c r="I51" s="5" t="n"/>
      <c r="J51" s="6">
        <f>IF(AND(H51&lt;&gt;"", I51&lt;&gt;""), ROUND((I51/H51)*100, 1), "")</f>
        <v/>
      </c>
      <c r="K51" s="5" t="n"/>
      <c r="L51" s="5" t="n"/>
      <c r="M51" s="6">
        <f>IF(A51="", "", IF(OR(G51="", J51=""), "Not Monitored", IF(OR(G51&gt;85, J51&gt;90), "❌ Critical", IF(OR(G51&gt;70, J51&gt;75), "⚠️ Warning", "✅ OK"))))</f>
        <v/>
      </c>
    </row>
    <row r="52">
      <c r="A52" s="5" t="n"/>
      <c r="B52" s="5" t="n"/>
      <c r="C52" s="5" t="n"/>
      <c r="D52" s="5" t="n"/>
      <c r="E52" s="5" t="n"/>
      <c r="F52" s="5" t="n"/>
      <c r="G52" s="6">
        <f>IF(AND(E52&lt;&gt;"", F52&lt;&gt;""), ROUND((F52/E52)*100, 1), "")</f>
        <v/>
      </c>
      <c r="H52" s="5" t="n"/>
      <c r="I52" s="5" t="n"/>
      <c r="J52" s="6">
        <f>IF(AND(H52&lt;&gt;"", I52&lt;&gt;""), ROUND((I52/H52)*100, 1), "")</f>
        <v/>
      </c>
      <c r="K52" s="5" t="n"/>
      <c r="L52" s="5" t="n"/>
      <c r="M52" s="6">
        <f>IF(A52="", "", IF(OR(G52="", J52=""), "Not Monitored", IF(OR(G52&gt;85, J52&gt;90), "❌ Critical", IF(OR(G52&gt;70, J52&gt;75), "⚠️ Warning", "✅ OK"))))</f>
        <v/>
      </c>
    </row>
    <row r="53">
      <c r="A53" s="5" t="n"/>
      <c r="B53" s="5" t="n"/>
      <c r="C53" s="5" t="n"/>
      <c r="D53" s="5" t="n"/>
      <c r="E53" s="5" t="n"/>
      <c r="F53" s="5" t="n"/>
      <c r="G53" s="6">
        <f>IF(AND(E53&lt;&gt;"", F53&lt;&gt;""), ROUND((F53/E53)*100, 1), "")</f>
        <v/>
      </c>
      <c r="H53" s="5" t="n"/>
      <c r="I53" s="5" t="n"/>
      <c r="J53" s="6">
        <f>IF(AND(H53&lt;&gt;"", I53&lt;&gt;""), ROUND((I53/H53)*100, 1), "")</f>
        <v/>
      </c>
      <c r="K53" s="5" t="n"/>
      <c r="L53" s="5" t="n"/>
      <c r="M53" s="6">
        <f>IF(A53="", "", IF(OR(G53="", J53=""), "Not Monitored", IF(OR(G53&gt;85, J53&gt;90), "❌ Critical", IF(OR(G53&gt;70, J53&gt;75), "⚠️ Warning", "✅ OK"))))</f>
        <v/>
      </c>
    </row>
    <row r="54">
      <c r="A54" s="5" t="n"/>
      <c r="B54" s="5" t="n"/>
      <c r="C54" s="5" t="n"/>
      <c r="D54" s="5" t="n"/>
      <c r="E54" s="5" t="n"/>
      <c r="F54" s="5" t="n"/>
      <c r="G54" s="6">
        <f>IF(AND(E54&lt;&gt;"", F54&lt;&gt;""), ROUND((F54/E54)*100, 1), "")</f>
        <v/>
      </c>
      <c r="H54" s="5" t="n"/>
      <c r="I54" s="5" t="n"/>
      <c r="J54" s="6">
        <f>IF(AND(H54&lt;&gt;"", I54&lt;&gt;""), ROUND((I54/H54)*100, 1), "")</f>
        <v/>
      </c>
      <c r="K54" s="5" t="n"/>
      <c r="L54" s="5" t="n"/>
      <c r="M54" s="6">
        <f>IF(A54="", "", IF(OR(G54="", J54=""), "Not Monitored", IF(OR(G54&gt;85, J54&gt;90), "❌ Critical", IF(OR(G54&gt;70, J54&gt;75), "⚠️ Warning", "✅ OK"))))</f>
        <v/>
      </c>
    </row>
  </sheetData>
  <mergeCells count="2">
    <mergeCell ref="A2:M2"/>
    <mergeCell ref="A1:M1"/>
  </mergeCells>
  <dataValidations count="2">
    <dataValidation sqref="M4:M54" showDropDown="0" showInputMessage="0" showErrorMessage="0" allowBlank="0" type="list">
      <formula1>"✅ OK,⚠️ Warning,❌ Critical,Not Monitored"</formula1>
    </dataValidation>
    <dataValidation sqref="B4:B54" showDropDown="0" showInputMessage="0" showErrorMessage="0" allowBlank="0" type="list">
      <formula1>"Physical Server,Virtual Machine,Container/Pod,Cloud Instance,Other"</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54"/>
  <sheetViews>
    <sheetView showGridLines="0" workbookViewId="0">
      <pane ySplit="3" topLeftCell="A4" activePane="bottomLeft" state="frozen"/>
      <selection pane="bottomLeft" activeCell="A1" sqref="A1"/>
    </sheetView>
  </sheetViews>
  <sheetFormatPr baseColWidth="8" defaultRowHeight="15"/>
  <cols>
    <col width="30" customWidth="1" min="1" max="1"/>
    <col width="20" customWidth="1" min="2" max="2"/>
    <col width="25" customWidth="1" min="3" max="3"/>
    <col width="25" customWidth="1" min="4" max="4"/>
    <col width="18" customWidth="1" min="5" max="5"/>
    <col width="18" customWidth="1" min="6" max="6"/>
    <col width="20" customWidth="1" min="7" max="7"/>
    <col width="15" customWidth="1" min="8" max="8"/>
    <col width="18" customWidth="1" min="9" max="9"/>
    <col width="20" customWidth="1" min="10" max="10"/>
    <col width="18" customWidth="1" min="11" max="11"/>
  </cols>
  <sheetData>
    <row r="1" ht="35" customHeight="1">
      <c r="A1" s="1" t="inlineStr">
        <is>
          <t>STORAGE CAPACITY UTILIZATION</t>
        </is>
      </c>
    </row>
    <row r="2">
      <c r="A2" s="2" t="inlineStr">
        <is>
          <t>Document current disk, database, and backup storage capacity</t>
        </is>
      </c>
    </row>
    <row r="3">
      <c r="A3" s="3" t="inlineStr">
        <is>
          <t>Resource Name</t>
        </is>
      </c>
      <c r="B3" s="3" t="inlineStr">
        <is>
          <t>Storage Type</t>
        </is>
      </c>
      <c r="C3" s="3" t="inlineStr">
        <is>
          <t>Location/Server</t>
        </is>
      </c>
      <c r="D3" s="3" t="inlineStr">
        <is>
          <t>Business Function</t>
        </is>
      </c>
      <c r="E3" s="3" t="inlineStr">
        <is>
          <t>Total Capacity (GB)</t>
        </is>
      </c>
      <c r="F3" s="3" t="inlineStr">
        <is>
          <t>Used Capacity (GB)</t>
        </is>
      </c>
      <c r="G3" s="3" t="inlineStr">
        <is>
          <t>Available Capacity (GB)</t>
        </is>
      </c>
      <c r="H3" s="3" t="inlineStr">
        <is>
          <t>Utilization (%)</t>
        </is>
      </c>
      <c r="I3" s="3" t="inlineStr">
        <is>
          <t>Peak Utilization (%)</t>
        </is>
      </c>
      <c r="J3" s="3" t="inlineStr">
        <is>
          <t>Growth Rate (GB/month)</t>
        </is>
      </c>
      <c r="K3" s="3" t="inlineStr">
        <is>
          <t>Threshold Status</t>
        </is>
      </c>
    </row>
    <row r="4">
      <c r="A4" s="4" t="inlineStr">
        <is>
          <t>/dev/sda1 (/)</t>
        </is>
      </c>
      <c r="B4" s="4" t="inlineStr">
        <is>
          <t>Filesystem</t>
        </is>
      </c>
      <c r="C4" s="4" t="inlineStr">
        <is>
          <t>server01</t>
        </is>
      </c>
      <c r="D4" s="4" t="inlineStr">
        <is>
          <t>Operating System</t>
        </is>
      </c>
      <c r="E4" s="4" t="inlineStr">
        <is>
          <t>500</t>
        </is>
      </c>
      <c r="F4" s="4" t="inlineStr">
        <is>
          <t>375</t>
        </is>
      </c>
      <c r="G4" s="4">
        <f>IF(AND(E4&lt;&gt;"", F4&lt;&gt;""), E4-F4, "")</f>
        <v/>
      </c>
      <c r="H4" s="4">
        <f>IF(AND(E4&lt;&gt;"", F4&lt;&gt;""), ROUND((F4/E4)*100, 1), "")</f>
        <v/>
      </c>
      <c r="I4" s="4" t="inlineStr">
        <is>
          <t>80</t>
        </is>
      </c>
      <c r="J4" s="4" t="inlineStr">
        <is>
          <t>5</t>
        </is>
      </c>
      <c r="K4" s="4">
        <f>IF(A4="", "", IF(H4="", "Not Monitored", IF(H4&gt;85, "❌ Critical", IF(H4&gt;75, "⚠️ Warning", "✅ OK"))))</f>
        <v/>
      </c>
    </row>
    <row r="5">
      <c r="A5" s="5" t="n"/>
      <c r="B5" s="5" t="n"/>
      <c r="C5" s="5" t="n"/>
      <c r="D5" s="5" t="n"/>
      <c r="E5" s="5" t="n"/>
      <c r="F5" s="5" t="n"/>
      <c r="G5" s="6">
        <f>IF(AND(E5&lt;&gt;"", F5&lt;&gt;""), E5-F5, "")</f>
        <v/>
      </c>
      <c r="H5" s="6">
        <f>IF(AND(E5&lt;&gt;"", F5&lt;&gt;""), ROUND((F5/E5)*100, 1), "")</f>
        <v/>
      </c>
      <c r="I5" s="5" t="n"/>
      <c r="J5" s="5" t="n"/>
      <c r="K5" s="6">
        <f>IF(A5="", "", IF(H5="", "Not Monitored", IF(H5&gt;85, "❌ Critical", IF(H5&gt;75, "⚠️ Warning", "✅ OK"))))</f>
        <v/>
      </c>
    </row>
    <row r="6">
      <c r="A6" s="5" t="n"/>
      <c r="B6" s="5" t="n"/>
      <c r="C6" s="5" t="n"/>
      <c r="D6" s="5" t="n"/>
      <c r="E6" s="5" t="n"/>
      <c r="F6" s="5" t="n"/>
      <c r="G6" s="6">
        <f>IF(AND(E6&lt;&gt;"", F6&lt;&gt;""), E6-F6, "")</f>
        <v/>
      </c>
      <c r="H6" s="6">
        <f>IF(AND(E6&lt;&gt;"", F6&lt;&gt;""), ROUND((F6/E6)*100, 1), "")</f>
        <v/>
      </c>
      <c r="I6" s="5" t="n"/>
      <c r="J6" s="5" t="n"/>
      <c r="K6" s="6">
        <f>IF(A6="", "", IF(H6="", "Not Monitored", IF(H6&gt;85, "❌ Critical", IF(H6&gt;75, "⚠️ Warning", "✅ OK"))))</f>
        <v/>
      </c>
    </row>
    <row r="7">
      <c r="A7" s="5" t="n"/>
      <c r="B7" s="5" t="n"/>
      <c r="C7" s="5" t="n"/>
      <c r="D7" s="5" t="n"/>
      <c r="E7" s="5" t="n"/>
      <c r="F7" s="5" t="n"/>
      <c r="G7" s="6">
        <f>IF(AND(E7&lt;&gt;"", F7&lt;&gt;""), E7-F7, "")</f>
        <v/>
      </c>
      <c r="H7" s="6">
        <f>IF(AND(E7&lt;&gt;"", F7&lt;&gt;""), ROUND((F7/E7)*100, 1), "")</f>
        <v/>
      </c>
      <c r="I7" s="5" t="n"/>
      <c r="J7" s="5" t="n"/>
      <c r="K7" s="6">
        <f>IF(A7="", "", IF(H7="", "Not Monitored", IF(H7&gt;85, "❌ Critical", IF(H7&gt;75, "⚠️ Warning", "✅ OK"))))</f>
        <v/>
      </c>
    </row>
    <row r="8">
      <c r="A8" s="5" t="n"/>
      <c r="B8" s="5" t="n"/>
      <c r="C8" s="5" t="n"/>
      <c r="D8" s="5" t="n"/>
      <c r="E8" s="5" t="n"/>
      <c r="F8" s="5" t="n"/>
      <c r="G8" s="6">
        <f>IF(AND(E8&lt;&gt;"", F8&lt;&gt;""), E8-F8, "")</f>
        <v/>
      </c>
      <c r="H8" s="6">
        <f>IF(AND(E8&lt;&gt;"", F8&lt;&gt;""), ROUND((F8/E8)*100, 1), "")</f>
        <v/>
      </c>
      <c r="I8" s="5" t="n"/>
      <c r="J8" s="5" t="n"/>
      <c r="K8" s="6">
        <f>IF(A8="", "", IF(H8="", "Not Monitored", IF(H8&gt;85, "❌ Critical", IF(H8&gt;75, "⚠️ Warning", "✅ OK"))))</f>
        <v/>
      </c>
    </row>
    <row r="9">
      <c r="A9" s="5" t="n"/>
      <c r="B9" s="5" t="n"/>
      <c r="C9" s="5" t="n"/>
      <c r="D9" s="5" t="n"/>
      <c r="E9" s="5" t="n"/>
      <c r="F9" s="5" t="n"/>
      <c r="G9" s="6">
        <f>IF(AND(E9&lt;&gt;"", F9&lt;&gt;""), E9-F9, "")</f>
        <v/>
      </c>
      <c r="H9" s="6">
        <f>IF(AND(E9&lt;&gt;"", F9&lt;&gt;""), ROUND((F9/E9)*100, 1), "")</f>
        <v/>
      </c>
      <c r="I9" s="5" t="n"/>
      <c r="J9" s="5" t="n"/>
      <c r="K9" s="6">
        <f>IF(A9="", "", IF(H9="", "Not Monitored", IF(H9&gt;85, "❌ Critical", IF(H9&gt;75, "⚠️ Warning", "✅ OK"))))</f>
        <v/>
      </c>
    </row>
    <row r="10">
      <c r="A10" s="5" t="n"/>
      <c r="B10" s="5" t="n"/>
      <c r="C10" s="5" t="n"/>
      <c r="D10" s="5" t="n"/>
      <c r="E10" s="5" t="n"/>
      <c r="F10" s="5" t="n"/>
      <c r="G10" s="6">
        <f>IF(AND(E10&lt;&gt;"", F10&lt;&gt;""), E10-F10, "")</f>
        <v/>
      </c>
      <c r="H10" s="6">
        <f>IF(AND(E10&lt;&gt;"", F10&lt;&gt;""), ROUND((F10/E10)*100, 1), "")</f>
        <v/>
      </c>
      <c r="I10" s="5" t="n"/>
      <c r="J10" s="5" t="n"/>
      <c r="K10" s="6">
        <f>IF(A10="", "", IF(H10="", "Not Monitored", IF(H10&gt;85, "❌ Critical", IF(H10&gt;75, "⚠️ Warning", "✅ OK"))))</f>
        <v/>
      </c>
    </row>
    <row r="11">
      <c r="A11" s="5" t="n"/>
      <c r="B11" s="5" t="n"/>
      <c r="C11" s="5" t="n"/>
      <c r="D11" s="5" t="n"/>
      <c r="E11" s="5" t="n"/>
      <c r="F11" s="5" t="n"/>
      <c r="G11" s="6">
        <f>IF(AND(E11&lt;&gt;"", F11&lt;&gt;""), E11-F11, "")</f>
        <v/>
      </c>
      <c r="H11" s="6">
        <f>IF(AND(E11&lt;&gt;"", F11&lt;&gt;""), ROUND((F11/E11)*100, 1), "")</f>
        <v/>
      </c>
      <c r="I11" s="5" t="n"/>
      <c r="J11" s="5" t="n"/>
      <c r="K11" s="6">
        <f>IF(A11="", "", IF(H11="", "Not Monitored", IF(H11&gt;85, "❌ Critical", IF(H11&gt;75, "⚠️ Warning", "✅ OK"))))</f>
        <v/>
      </c>
    </row>
    <row r="12">
      <c r="A12" s="5" t="n"/>
      <c r="B12" s="5" t="n"/>
      <c r="C12" s="5" t="n"/>
      <c r="D12" s="5" t="n"/>
      <c r="E12" s="5" t="n"/>
      <c r="F12" s="5" t="n"/>
      <c r="G12" s="6">
        <f>IF(AND(E12&lt;&gt;"", F12&lt;&gt;""), E12-F12, "")</f>
        <v/>
      </c>
      <c r="H12" s="6">
        <f>IF(AND(E12&lt;&gt;"", F12&lt;&gt;""), ROUND((F12/E12)*100, 1), "")</f>
        <v/>
      </c>
      <c r="I12" s="5" t="n"/>
      <c r="J12" s="5" t="n"/>
      <c r="K12" s="6">
        <f>IF(A12="", "", IF(H12="", "Not Monitored", IF(H12&gt;85, "❌ Critical", IF(H12&gt;75, "⚠️ Warning", "✅ OK"))))</f>
        <v/>
      </c>
    </row>
    <row r="13">
      <c r="A13" s="5" t="n"/>
      <c r="B13" s="5" t="n"/>
      <c r="C13" s="5" t="n"/>
      <c r="D13" s="5" t="n"/>
      <c r="E13" s="5" t="n"/>
      <c r="F13" s="5" t="n"/>
      <c r="G13" s="6">
        <f>IF(AND(E13&lt;&gt;"", F13&lt;&gt;""), E13-F13, "")</f>
        <v/>
      </c>
      <c r="H13" s="6">
        <f>IF(AND(E13&lt;&gt;"", F13&lt;&gt;""), ROUND((F13/E13)*100, 1), "")</f>
        <v/>
      </c>
      <c r="I13" s="5" t="n"/>
      <c r="J13" s="5" t="n"/>
      <c r="K13" s="6">
        <f>IF(A13="", "", IF(H13="", "Not Monitored", IF(H13&gt;85, "❌ Critical", IF(H13&gt;75, "⚠️ Warning", "✅ OK"))))</f>
        <v/>
      </c>
    </row>
    <row r="14">
      <c r="A14" s="5" t="n"/>
      <c r="B14" s="5" t="n"/>
      <c r="C14" s="5" t="n"/>
      <c r="D14" s="5" t="n"/>
      <c r="E14" s="5" t="n"/>
      <c r="F14" s="5" t="n"/>
      <c r="G14" s="6">
        <f>IF(AND(E14&lt;&gt;"", F14&lt;&gt;""), E14-F14, "")</f>
        <v/>
      </c>
      <c r="H14" s="6">
        <f>IF(AND(E14&lt;&gt;"", F14&lt;&gt;""), ROUND((F14/E14)*100, 1), "")</f>
        <v/>
      </c>
      <c r="I14" s="5" t="n"/>
      <c r="J14" s="5" t="n"/>
      <c r="K14" s="6">
        <f>IF(A14="", "", IF(H14="", "Not Monitored", IF(H14&gt;85, "❌ Critical", IF(H14&gt;75, "⚠️ Warning", "✅ OK"))))</f>
        <v/>
      </c>
    </row>
    <row r="15">
      <c r="A15" s="5" t="n"/>
      <c r="B15" s="5" t="n"/>
      <c r="C15" s="5" t="n"/>
      <c r="D15" s="5" t="n"/>
      <c r="E15" s="5" t="n"/>
      <c r="F15" s="5" t="n"/>
      <c r="G15" s="6">
        <f>IF(AND(E15&lt;&gt;"", F15&lt;&gt;""), E15-F15, "")</f>
        <v/>
      </c>
      <c r="H15" s="6">
        <f>IF(AND(E15&lt;&gt;"", F15&lt;&gt;""), ROUND((F15/E15)*100, 1), "")</f>
        <v/>
      </c>
      <c r="I15" s="5" t="n"/>
      <c r="J15" s="5" t="n"/>
      <c r="K15" s="6">
        <f>IF(A15="", "", IF(H15="", "Not Monitored", IF(H15&gt;85, "❌ Critical", IF(H15&gt;75, "⚠️ Warning", "✅ OK"))))</f>
        <v/>
      </c>
    </row>
    <row r="16">
      <c r="A16" s="5" t="n"/>
      <c r="B16" s="5" t="n"/>
      <c r="C16" s="5" t="n"/>
      <c r="D16" s="5" t="n"/>
      <c r="E16" s="5" t="n"/>
      <c r="F16" s="5" t="n"/>
      <c r="G16" s="6">
        <f>IF(AND(E16&lt;&gt;"", F16&lt;&gt;""), E16-F16, "")</f>
        <v/>
      </c>
      <c r="H16" s="6">
        <f>IF(AND(E16&lt;&gt;"", F16&lt;&gt;""), ROUND((F16/E16)*100, 1), "")</f>
        <v/>
      </c>
      <c r="I16" s="5" t="n"/>
      <c r="J16" s="5" t="n"/>
      <c r="K16" s="6">
        <f>IF(A16="", "", IF(H16="", "Not Monitored", IF(H16&gt;85, "❌ Critical", IF(H16&gt;75, "⚠️ Warning", "✅ OK"))))</f>
        <v/>
      </c>
    </row>
    <row r="17">
      <c r="A17" s="5" t="n"/>
      <c r="B17" s="5" t="n"/>
      <c r="C17" s="5" t="n"/>
      <c r="D17" s="5" t="n"/>
      <c r="E17" s="5" t="n"/>
      <c r="F17" s="5" t="n"/>
      <c r="G17" s="6">
        <f>IF(AND(E17&lt;&gt;"", F17&lt;&gt;""), E17-F17, "")</f>
        <v/>
      </c>
      <c r="H17" s="6">
        <f>IF(AND(E17&lt;&gt;"", F17&lt;&gt;""), ROUND((F17/E17)*100, 1), "")</f>
        <v/>
      </c>
      <c r="I17" s="5" t="n"/>
      <c r="J17" s="5" t="n"/>
      <c r="K17" s="6">
        <f>IF(A17="", "", IF(H17="", "Not Monitored", IF(H17&gt;85, "❌ Critical", IF(H17&gt;75, "⚠️ Warning", "✅ OK"))))</f>
        <v/>
      </c>
    </row>
    <row r="18">
      <c r="A18" s="5" t="n"/>
      <c r="B18" s="5" t="n"/>
      <c r="C18" s="5" t="n"/>
      <c r="D18" s="5" t="n"/>
      <c r="E18" s="5" t="n"/>
      <c r="F18" s="5" t="n"/>
      <c r="G18" s="6">
        <f>IF(AND(E18&lt;&gt;"", F18&lt;&gt;""), E18-F18, "")</f>
        <v/>
      </c>
      <c r="H18" s="6">
        <f>IF(AND(E18&lt;&gt;"", F18&lt;&gt;""), ROUND((F18/E18)*100, 1), "")</f>
        <v/>
      </c>
      <c r="I18" s="5" t="n"/>
      <c r="J18" s="5" t="n"/>
      <c r="K18" s="6">
        <f>IF(A18="", "", IF(H18="", "Not Monitored", IF(H18&gt;85, "❌ Critical", IF(H18&gt;75, "⚠️ Warning", "✅ OK"))))</f>
        <v/>
      </c>
    </row>
    <row r="19">
      <c r="A19" s="5" t="n"/>
      <c r="B19" s="5" t="n"/>
      <c r="C19" s="5" t="n"/>
      <c r="D19" s="5" t="n"/>
      <c r="E19" s="5" t="n"/>
      <c r="F19" s="5" t="n"/>
      <c r="G19" s="6">
        <f>IF(AND(E19&lt;&gt;"", F19&lt;&gt;""), E19-F19, "")</f>
        <v/>
      </c>
      <c r="H19" s="6">
        <f>IF(AND(E19&lt;&gt;"", F19&lt;&gt;""), ROUND((F19/E19)*100, 1), "")</f>
        <v/>
      </c>
      <c r="I19" s="5" t="n"/>
      <c r="J19" s="5" t="n"/>
      <c r="K19" s="6">
        <f>IF(A19="", "", IF(H19="", "Not Monitored", IF(H19&gt;85, "❌ Critical", IF(H19&gt;75, "⚠️ Warning", "✅ OK"))))</f>
        <v/>
      </c>
    </row>
    <row r="20">
      <c r="A20" s="5" t="n"/>
      <c r="B20" s="5" t="n"/>
      <c r="C20" s="5" t="n"/>
      <c r="D20" s="5" t="n"/>
      <c r="E20" s="5" t="n"/>
      <c r="F20" s="5" t="n"/>
      <c r="G20" s="6">
        <f>IF(AND(E20&lt;&gt;"", F20&lt;&gt;""), E20-F20, "")</f>
        <v/>
      </c>
      <c r="H20" s="6">
        <f>IF(AND(E20&lt;&gt;"", F20&lt;&gt;""), ROUND((F20/E20)*100, 1), "")</f>
        <v/>
      </c>
      <c r="I20" s="5" t="n"/>
      <c r="J20" s="5" t="n"/>
      <c r="K20" s="6">
        <f>IF(A20="", "", IF(H20="", "Not Monitored", IF(H20&gt;85, "❌ Critical", IF(H20&gt;75, "⚠️ Warning", "✅ OK"))))</f>
        <v/>
      </c>
    </row>
    <row r="21">
      <c r="A21" s="5" t="n"/>
      <c r="B21" s="5" t="n"/>
      <c r="C21" s="5" t="n"/>
      <c r="D21" s="5" t="n"/>
      <c r="E21" s="5" t="n"/>
      <c r="F21" s="5" t="n"/>
      <c r="G21" s="6">
        <f>IF(AND(E21&lt;&gt;"", F21&lt;&gt;""), E21-F21, "")</f>
        <v/>
      </c>
      <c r="H21" s="6">
        <f>IF(AND(E21&lt;&gt;"", F21&lt;&gt;""), ROUND((F21/E21)*100, 1), "")</f>
        <v/>
      </c>
      <c r="I21" s="5" t="n"/>
      <c r="J21" s="5" t="n"/>
      <c r="K21" s="6">
        <f>IF(A21="", "", IF(H21="", "Not Monitored", IF(H21&gt;85, "❌ Critical", IF(H21&gt;75, "⚠️ Warning", "✅ OK"))))</f>
        <v/>
      </c>
    </row>
    <row r="22">
      <c r="A22" s="5" t="n"/>
      <c r="B22" s="5" t="n"/>
      <c r="C22" s="5" t="n"/>
      <c r="D22" s="5" t="n"/>
      <c r="E22" s="5" t="n"/>
      <c r="F22" s="5" t="n"/>
      <c r="G22" s="6">
        <f>IF(AND(E22&lt;&gt;"", F22&lt;&gt;""), E22-F22, "")</f>
        <v/>
      </c>
      <c r="H22" s="6">
        <f>IF(AND(E22&lt;&gt;"", F22&lt;&gt;""), ROUND((F22/E22)*100, 1), "")</f>
        <v/>
      </c>
      <c r="I22" s="5" t="n"/>
      <c r="J22" s="5" t="n"/>
      <c r="K22" s="6">
        <f>IF(A22="", "", IF(H22="", "Not Monitored", IF(H22&gt;85, "❌ Critical", IF(H22&gt;75, "⚠️ Warning", "✅ OK"))))</f>
        <v/>
      </c>
    </row>
    <row r="23">
      <c r="A23" s="5" t="n"/>
      <c r="B23" s="5" t="n"/>
      <c r="C23" s="5" t="n"/>
      <c r="D23" s="5" t="n"/>
      <c r="E23" s="5" t="n"/>
      <c r="F23" s="5" t="n"/>
      <c r="G23" s="6">
        <f>IF(AND(E23&lt;&gt;"", F23&lt;&gt;""), E23-F23, "")</f>
        <v/>
      </c>
      <c r="H23" s="6">
        <f>IF(AND(E23&lt;&gt;"", F23&lt;&gt;""), ROUND((F23/E23)*100, 1), "")</f>
        <v/>
      </c>
      <c r="I23" s="5" t="n"/>
      <c r="J23" s="5" t="n"/>
      <c r="K23" s="6">
        <f>IF(A23="", "", IF(H23="", "Not Monitored", IF(H23&gt;85, "❌ Critical", IF(H23&gt;75, "⚠️ Warning", "✅ OK"))))</f>
        <v/>
      </c>
    </row>
    <row r="24">
      <c r="A24" s="5" t="n"/>
      <c r="B24" s="5" t="n"/>
      <c r="C24" s="5" t="n"/>
      <c r="D24" s="5" t="n"/>
      <c r="E24" s="5" t="n"/>
      <c r="F24" s="5" t="n"/>
      <c r="G24" s="6">
        <f>IF(AND(E24&lt;&gt;"", F24&lt;&gt;""), E24-F24, "")</f>
        <v/>
      </c>
      <c r="H24" s="6">
        <f>IF(AND(E24&lt;&gt;"", F24&lt;&gt;""), ROUND((F24/E24)*100, 1), "")</f>
        <v/>
      </c>
      <c r="I24" s="5" t="n"/>
      <c r="J24" s="5" t="n"/>
      <c r="K24" s="6">
        <f>IF(A24="", "", IF(H24="", "Not Monitored", IF(H24&gt;85, "❌ Critical", IF(H24&gt;75, "⚠️ Warning", "✅ OK"))))</f>
        <v/>
      </c>
    </row>
    <row r="25">
      <c r="A25" s="5" t="n"/>
      <c r="B25" s="5" t="n"/>
      <c r="C25" s="5" t="n"/>
      <c r="D25" s="5" t="n"/>
      <c r="E25" s="5" t="n"/>
      <c r="F25" s="5" t="n"/>
      <c r="G25" s="6">
        <f>IF(AND(E25&lt;&gt;"", F25&lt;&gt;""), E25-F25, "")</f>
        <v/>
      </c>
      <c r="H25" s="6">
        <f>IF(AND(E25&lt;&gt;"", F25&lt;&gt;""), ROUND((F25/E25)*100, 1), "")</f>
        <v/>
      </c>
      <c r="I25" s="5" t="n"/>
      <c r="J25" s="5" t="n"/>
      <c r="K25" s="6">
        <f>IF(A25="", "", IF(H25="", "Not Monitored", IF(H25&gt;85, "❌ Critical", IF(H25&gt;75, "⚠️ Warning", "✅ OK"))))</f>
        <v/>
      </c>
    </row>
    <row r="26">
      <c r="A26" s="5" t="n"/>
      <c r="B26" s="5" t="n"/>
      <c r="C26" s="5" t="n"/>
      <c r="D26" s="5" t="n"/>
      <c r="E26" s="5" t="n"/>
      <c r="F26" s="5" t="n"/>
      <c r="G26" s="6">
        <f>IF(AND(E26&lt;&gt;"", F26&lt;&gt;""), E26-F26, "")</f>
        <v/>
      </c>
      <c r="H26" s="6">
        <f>IF(AND(E26&lt;&gt;"", F26&lt;&gt;""), ROUND((F26/E26)*100, 1), "")</f>
        <v/>
      </c>
      <c r="I26" s="5" t="n"/>
      <c r="J26" s="5" t="n"/>
      <c r="K26" s="6">
        <f>IF(A26="", "", IF(H26="", "Not Monitored", IF(H26&gt;85, "❌ Critical", IF(H26&gt;75, "⚠️ Warning", "✅ OK"))))</f>
        <v/>
      </c>
    </row>
    <row r="27">
      <c r="A27" s="5" t="n"/>
      <c r="B27" s="5" t="n"/>
      <c r="C27" s="5" t="n"/>
      <c r="D27" s="5" t="n"/>
      <c r="E27" s="5" t="n"/>
      <c r="F27" s="5" t="n"/>
      <c r="G27" s="6">
        <f>IF(AND(E27&lt;&gt;"", F27&lt;&gt;""), E27-F27, "")</f>
        <v/>
      </c>
      <c r="H27" s="6">
        <f>IF(AND(E27&lt;&gt;"", F27&lt;&gt;""), ROUND((F27/E27)*100, 1), "")</f>
        <v/>
      </c>
      <c r="I27" s="5" t="n"/>
      <c r="J27" s="5" t="n"/>
      <c r="K27" s="6">
        <f>IF(A27="", "", IF(H27="", "Not Monitored", IF(H27&gt;85, "❌ Critical", IF(H27&gt;75, "⚠️ Warning", "✅ OK"))))</f>
        <v/>
      </c>
    </row>
    <row r="28">
      <c r="A28" s="5" t="n"/>
      <c r="B28" s="5" t="n"/>
      <c r="C28" s="5" t="n"/>
      <c r="D28" s="5" t="n"/>
      <c r="E28" s="5" t="n"/>
      <c r="F28" s="5" t="n"/>
      <c r="G28" s="6">
        <f>IF(AND(E28&lt;&gt;"", F28&lt;&gt;""), E28-F28, "")</f>
        <v/>
      </c>
      <c r="H28" s="6">
        <f>IF(AND(E28&lt;&gt;"", F28&lt;&gt;""), ROUND((F28/E28)*100, 1), "")</f>
        <v/>
      </c>
      <c r="I28" s="5" t="n"/>
      <c r="J28" s="5" t="n"/>
      <c r="K28" s="6">
        <f>IF(A28="", "", IF(H28="", "Not Monitored", IF(H28&gt;85, "❌ Critical", IF(H28&gt;75, "⚠️ Warning", "✅ OK"))))</f>
        <v/>
      </c>
    </row>
    <row r="29">
      <c r="A29" s="5" t="n"/>
      <c r="B29" s="5" t="n"/>
      <c r="C29" s="5" t="n"/>
      <c r="D29" s="5" t="n"/>
      <c r="E29" s="5" t="n"/>
      <c r="F29" s="5" t="n"/>
      <c r="G29" s="6">
        <f>IF(AND(E29&lt;&gt;"", F29&lt;&gt;""), E29-F29, "")</f>
        <v/>
      </c>
      <c r="H29" s="6">
        <f>IF(AND(E29&lt;&gt;"", F29&lt;&gt;""), ROUND((F29/E29)*100, 1), "")</f>
        <v/>
      </c>
      <c r="I29" s="5" t="n"/>
      <c r="J29" s="5" t="n"/>
      <c r="K29" s="6">
        <f>IF(A29="", "", IF(H29="", "Not Monitored", IF(H29&gt;85, "❌ Critical", IF(H29&gt;75, "⚠️ Warning", "✅ OK"))))</f>
        <v/>
      </c>
    </row>
    <row r="30">
      <c r="A30" s="5" t="n"/>
      <c r="B30" s="5" t="n"/>
      <c r="C30" s="5" t="n"/>
      <c r="D30" s="5" t="n"/>
      <c r="E30" s="5" t="n"/>
      <c r="F30" s="5" t="n"/>
      <c r="G30" s="6">
        <f>IF(AND(E30&lt;&gt;"", F30&lt;&gt;""), E30-F30, "")</f>
        <v/>
      </c>
      <c r="H30" s="6">
        <f>IF(AND(E30&lt;&gt;"", F30&lt;&gt;""), ROUND((F30/E30)*100, 1), "")</f>
        <v/>
      </c>
      <c r="I30" s="5" t="n"/>
      <c r="J30" s="5" t="n"/>
      <c r="K30" s="6">
        <f>IF(A30="", "", IF(H30="", "Not Monitored", IF(H30&gt;85, "❌ Critical", IF(H30&gt;75, "⚠️ Warning", "✅ OK"))))</f>
        <v/>
      </c>
    </row>
    <row r="31">
      <c r="A31" s="5" t="n"/>
      <c r="B31" s="5" t="n"/>
      <c r="C31" s="5" t="n"/>
      <c r="D31" s="5" t="n"/>
      <c r="E31" s="5" t="n"/>
      <c r="F31" s="5" t="n"/>
      <c r="G31" s="6">
        <f>IF(AND(E31&lt;&gt;"", F31&lt;&gt;""), E31-F31, "")</f>
        <v/>
      </c>
      <c r="H31" s="6">
        <f>IF(AND(E31&lt;&gt;"", F31&lt;&gt;""), ROUND((F31/E31)*100, 1), "")</f>
        <v/>
      </c>
      <c r="I31" s="5" t="n"/>
      <c r="J31" s="5" t="n"/>
      <c r="K31" s="6">
        <f>IF(A31="", "", IF(H31="", "Not Monitored", IF(H31&gt;85, "❌ Critical", IF(H31&gt;75, "⚠️ Warning", "✅ OK"))))</f>
        <v/>
      </c>
    </row>
    <row r="32">
      <c r="A32" s="5" t="n"/>
      <c r="B32" s="5" t="n"/>
      <c r="C32" s="5" t="n"/>
      <c r="D32" s="5" t="n"/>
      <c r="E32" s="5" t="n"/>
      <c r="F32" s="5" t="n"/>
      <c r="G32" s="6">
        <f>IF(AND(E32&lt;&gt;"", F32&lt;&gt;""), E32-F32, "")</f>
        <v/>
      </c>
      <c r="H32" s="6">
        <f>IF(AND(E32&lt;&gt;"", F32&lt;&gt;""), ROUND((F32/E32)*100, 1), "")</f>
        <v/>
      </c>
      <c r="I32" s="5" t="n"/>
      <c r="J32" s="5" t="n"/>
      <c r="K32" s="6">
        <f>IF(A32="", "", IF(H32="", "Not Monitored", IF(H32&gt;85, "❌ Critical", IF(H32&gt;75, "⚠️ Warning", "✅ OK"))))</f>
        <v/>
      </c>
    </row>
    <row r="33">
      <c r="A33" s="5" t="n"/>
      <c r="B33" s="5" t="n"/>
      <c r="C33" s="5" t="n"/>
      <c r="D33" s="5" t="n"/>
      <c r="E33" s="5" t="n"/>
      <c r="F33" s="5" t="n"/>
      <c r="G33" s="6">
        <f>IF(AND(E33&lt;&gt;"", F33&lt;&gt;""), E33-F33, "")</f>
        <v/>
      </c>
      <c r="H33" s="6">
        <f>IF(AND(E33&lt;&gt;"", F33&lt;&gt;""), ROUND((F33/E33)*100, 1), "")</f>
        <v/>
      </c>
      <c r="I33" s="5" t="n"/>
      <c r="J33" s="5" t="n"/>
      <c r="K33" s="6">
        <f>IF(A33="", "", IF(H33="", "Not Monitored", IF(H33&gt;85, "❌ Critical", IF(H33&gt;75, "⚠️ Warning", "✅ OK"))))</f>
        <v/>
      </c>
    </row>
    <row r="34">
      <c r="A34" s="5" t="n"/>
      <c r="B34" s="5" t="n"/>
      <c r="C34" s="5" t="n"/>
      <c r="D34" s="5" t="n"/>
      <c r="E34" s="5" t="n"/>
      <c r="F34" s="5" t="n"/>
      <c r="G34" s="6">
        <f>IF(AND(E34&lt;&gt;"", F34&lt;&gt;""), E34-F34, "")</f>
        <v/>
      </c>
      <c r="H34" s="6">
        <f>IF(AND(E34&lt;&gt;"", F34&lt;&gt;""), ROUND((F34/E34)*100, 1), "")</f>
        <v/>
      </c>
      <c r="I34" s="5" t="n"/>
      <c r="J34" s="5" t="n"/>
      <c r="K34" s="6">
        <f>IF(A34="", "", IF(H34="", "Not Monitored", IF(H34&gt;85, "❌ Critical", IF(H34&gt;75, "⚠️ Warning", "✅ OK"))))</f>
        <v/>
      </c>
    </row>
    <row r="35">
      <c r="A35" s="5" t="n"/>
      <c r="B35" s="5" t="n"/>
      <c r="C35" s="5" t="n"/>
      <c r="D35" s="5" t="n"/>
      <c r="E35" s="5" t="n"/>
      <c r="F35" s="5" t="n"/>
      <c r="G35" s="6">
        <f>IF(AND(E35&lt;&gt;"", F35&lt;&gt;""), E35-F35, "")</f>
        <v/>
      </c>
      <c r="H35" s="6">
        <f>IF(AND(E35&lt;&gt;"", F35&lt;&gt;""), ROUND((F35/E35)*100, 1), "")</f>
        <v/>
      </c>
      <c r="I35" s="5" t="n"/>
      <c r="J35" s="5" t="n"/>
      <c r="K35" s="6">
        <f>IF(A35="", "", IF(H35="", "Not Monitored", IF(H35&gt;85, "❌ Critical", IF(H35&gt;75, "⚠️ Warning", "✅ OK"))))</f>
        <v/>
      </c>
    </row>
    <row r="36">
      <c r="A36" s="5" t="n"/>
      <c r="B36" s="5" t="n"/>
      <c r="C36" s="5" t="n"/>
      <c r="D36" s="5" t="n"/>
      <c r="E36" s="5" t="n"/>
      <c r="F36" s="5" t="n"/>
      <c r="G36" s="6">
        <f>IF(AND(E36&lt;&gt;"", F36&lt;&gt;""), E36-F36, "")</f>
        <v/>
      </c>
      <c r="H36" s="6">
        <f>IF(AND(E36&lt;&gt;"", F36&lt;&gt;""), ROUND((F36/E36)*100, 1), "")</f>
        <v/>
      </c>
      <c r="I36" s="5" t="n"/>
      <c r="J36" s="5" t="n"/>
      <c r="K36" s="6">
        <f>IF(A36="", "", IF(H36="", "Not Monitored", IF(H36&gt;85, "❌ Critical", IF(H36&gt;75, "⚠️ Warning", "✅ OK"))))</f>
        <v/>
      </c>
    </row>
    <row r="37">
      <c r="A37" s="5" t="n"/>
      <c r="B37" s="5" t="n"/>
      <c r="C37" s="5" t="n"/>
      <c r="D37" s="5" t="n"/>
      <c r="E37" s="5" t="n"/>
      <c r="F37" s="5" t="n"/>
      <c r="G37" s="6">
        <f>IF(AND(E37&lt;&gt;"", F37&lt;&gt;""), E37-F37, "")</f>
        <v/>
      </c>
      <c r="H37" s="6">
        <f>IF(AND(E37&lt;&gt;"", F37&lt;&gt;""), ROUND((F37/E37)*100, 1), "")</f>
        <v/>
      </c>
      <c r="I37" s="5" t="n"/>
      <c r="J37" s="5" t="n"/>
      <c r="K37" s="6">
        <f>IF(A37="", "", IF(H37="", "Not Monitored", IF(H37&gt;85, "❌ Critical", IF(H37&gt;75, "⚠️ Warning", "✅ OK"))))</f>
        <v/>
      </c>
    </row>
    <row r="38">
      <c r="A38" s="5" t="n"/>
      <c r="B38" s="5" t="n"/>
      <c r="C38" s="5" t="n"/>
      <c r="D38" s="5" t="n"/>
      <c r="E38" s="5" t="n"/>
      <c r="F38" s="5" t="n"/>
      <c r="G38" s="6">
        <f>IF(AND(E38&lt;&gt;"", F38&lt;&gt;""), E38-F38, "")</f>
        <v/>
      </c>
      <c r="H38" s="6">
        <f>IF(AND(E38&lt;&gt;"", F38&lt;&gt;""), ROUND((F38/E38)*100, 1), "")</f>
        <v/>
      </c>
      <c r="I38" s="5" t="n"/>
      <c r="J38" s="5" t="n"/>
      <c r="K38" s="6">
        <f>IF(A38="", "", IF(H38="", "Not Monitored", IF(H38&gt;85, "❌ Critical", IF(H38&gt;75, "⚠️ Warning", "✅ OK"))))</f>
        <v/>
      </c>
    </row>
    <row r="39">
      <c r="A39" s="5" t="n"/>
      <c r="B39" s="5" t="n"/>
      <c r="C39" s="5" t="n"/>
      <c r="D39" s="5" t="n"/>
      <c r="E39" s="5" t="n"/>
      <c r="F39" s="5" t="n"/>
      <c r="G39" s="6">
        <f>IF(AND(E39&lt;&gt;"", F39&lt;&gt;""), E39-F39, "")</f>
        <v/>
      </c>
      <c r="H39" s="6">
        <f>IF(AND(E39&lt;&gt;"", F39&lt;&gt;""), ROUND((F39/E39)*100, 1), "")</f>
        <v/>
      </c>
      <c r="I39" s="5" t="n"/>
      <c r="J39" s="5" t="n"/>
      <c r="K39" s="6">
        <f>IF(A39="", "", IF(H39="", "Not Monitored", IF(H39&gt;85, "❌ Critical", IF(H39&gt;75, "⚠️ Warning", "✅ OK"))))</f>
        <v/>
      </c>
    </row>
    <row r="40">
      <c r="A40" s="5" t="n"/>
      <c r="B40" s="5" t="n"/>
      <c r="C40" s="5" t="n"/>
      <c r="D40" s="5" t="n"/>
      <c r="E40" s="5" t="n"/>
      <c r="F40" s="5" t="n"/>
      <c r="G40" s="6">
        <f>IF(AND(E40&lt;&gt;"", F40&lt;&gt;""), E40-F40, "")</f>
        <v/>
      </c>
      <c r="H40" s="6">
        <f>IF(AND(E40&lt;&gt;"", F40&lt;&gt;""), ROUND((F40/E40)*100, 1), "")</f>
        <v/>
      </c>
      <c r="I40" s="5" t="n"/>
      <c r="J40" s="5" t="n"/>
      <c r="K40" s="6">
        <f>IF(A40="", "", IF(H40="", "Not Monitored", IF(H40&gt;85, "❌ Critical", IF(H40&gt;75, "⚠️ Warning", "✅ OK"))))</f>
        <v/>
      </c>
    </row>
    <row r="41">
      <c r="A41" s="5" t="n"/>
      <c r="B41" s="5" t="n"/>
      <c r="C41" s="5" t="n"/>
      <c r="D41" s="5" t="n"/>
      <c r="E41" s="5" t="n"/>
      <c r="F41" s="5" t="n"/>
      <c r="G41" s="6">
        <f>IF(AND(E41&lt;&gt;"", F41&lt;&gt;""), E41-F41, "")</f>
        <v/>
      </c>
      <c r="H41" s="6">
        <f>IF(AND(E41&lt;&gt;"", F41&lt;&gt;""), ROUND((F41/E41)*100, 1), "")</f>
        <v/>
      </c>
      <c r="I41" s="5" t="n"/>
      <c r="J41" s="5" t="n"/>
      <c r="K41" s="6">
        <f>IF(A41="", "", IF(H41="", "Not Monitored", IF(H41&gt;85, "❌ Critical", IF(H41&gt;75, "⚠️ Warning", "✅ OK"))))</f>
        <v/>
      </c>
    </row>
    <row r="42">
      <c r="A42" s="5" t="n"/>
      <c r="B42" s="5" t="n"/>
      <c r="C42" s="5" t="n"/>
      <c r="D42" s="5" t="n"/>
      <c r="E42" s="5" t="n"/>
      <c r="F42" s="5" t="n"/>
      <c r="G42" s="6">
        <f>IF(AND(E42&lt;&gt;"", F42&lt;&gt;""), E42-F42, "")</f>
        <v/>
      </c>
      <c r="H42" s="6">
        <f>IF(AND(E42&lt;&gt;"", F42&lt;&gt;""), ROUND((F42/E42)*100, 1), "")</f>
        <v/>
      </c>
      <c r="I42" s="5" t="n"/>
      <c r="J42" s="5" t="n"/>
      <c r="K42" s="6">
        <f>IF(A42="", "", IF(H42="", "Not Monitored", IF(H42&gt;85, "❌ Critical", IF(H42&gt;75, "⚠️ Warning", "✅ OK"))))</f>
        <v/>
      </c>
    </row>
    <row r="43">
      <c r="A43" s="5" t="n"/>
      <c r="B43" s="5" t="n"/>
      <c r="C43" s="5" t="n"/>
      <c r="D43" s="5" t="n"/>
      <c r="E43" s="5" t="n"/>
      <c r="F43" s="5" t="n"/>
      <c r="G43" s="6">
        <f>IF(AND(E43&lt;&gt;"", F43&lt;&gt;""), E43-F43, "")</f>
        <v/>
      </c>
      <c r="H43" s="6">
        <f>IF(AND(E43&lt;&gt;"", F43&lt;&gt;""), ROUND((F43/E43)*100, 1), "")</f>
        <v/>
      </c>
      <c r="I43" s="5" t="n"/>
      <c r="J43" s="5" t="n"/>
      <c r="K43" s="6">
        <f>IF(A43="", "", IF(H43="", "Not Monitored", IF(H43&gt;85, "❌ Critical", IF(H43&gt;75, "⚠️ Warning", "✅ OK"))))</f>
        <v/>
      </c>
    </row>
    <row r="44">
      <c r="A44" s="5" t="n"/>
      <c r="B44" s="5" t="n"/>
      <c r="C44" s="5" t="n"/>
      <c r="D44" s="5" t="n"/>
      <c r="E44" s="5" t="n"/>
      <c r="F44" s="5" t="n"/>
      <c r="G44" s="6">
        <f>IF(AND(E44&lt;&gt;"", F44&lt;&gt;""), E44-F44, "")</f>
        <v/>
      </c>
      <c r="H44" s="6">
        <f>IF(AND(E44&lt;&gt;"", F44&lt;&gt;""), ROUND((F44/E44)*100, 1), "")</f>
        <v/>
      </c>
      <c r="I44" s="5" t="n"/>
      <c r="J44" s="5" t="n"/>
      <c r="K44" s="6">
        <f>IF(A44="", "", IF(H44="", "Not Monitored", IF(H44&gt;85, "❌ Critical", IF(H44&gt;75, "⚠️ Warning", "✅ OK"))))</f>
        <v/>
      </c>
    </row>
    <row r="45">
      <c r="A45" s="5" t="n"/>
      <c r="B45" s="5" t="n"/>
      <c r="C45" s="5" t="n"/>
      <c r="D45" s="5" t="n"/>
      <c r="E45" s="5" t="n"/>
      <c r="F45" s="5" t="n"/>
      <c r="G45" s="6">
        <f>IF(AND(E45&lt;&gt;"", F45&lt;&gt;""), E45-F45, "")</f>
        <v/>
      </c>
      <c r="H45" s="6">
        <f>IF(AND(E45&lt;&gt;"", F45&lt;&gt;""), ROUND((F45/E45)*100, 1), "")</f>
        <v/>
      </c>
      <c r="I45" s="5" t="n"/>
      <c r="J45" s="5" t="n"/>
      <c r="K45" s="6">
        <f>IF(A45="", "", IF(H45="", "Not Monitored", IF(H45&gt;85, "❌ Critical", IF(H45&gt;75, "⚠️ Warning", "✅ OK"))))</f>
        <v/>
      </c>
    </row>
    <row r="46">
      <c r="A46" s="5" t="n"/>
      <c r="B46" s="5" t="n"/>
      <c r="C46" s="5" t="n"/>
      <c r="D46" s="5" t="n"/>
      <c r="E46" s="5" t="n"/>
      <c r="F46" s="5" t="n"/>
      <c r="G46" s="6">
        <f>IF(AND(E46&lt;&gt;"", F46&lt;&gt;""), E46-F46, "")</f>
        <v/>
      </c>
      <c r="H46" s="6">
        <f>IF(AND(E46&lt;&gt;"", F46&lt;&gt;""), ROUND((F46/E46)*100, 1), "")</f>
        <v/>
      </c>
      <c r="I46" s="5" t="n"/>
      <c r="J46" s="5" t="n"/>
      <c r="K46" s="6">
        <f>IF(A46="", "", IF(H46="", "Not Monitored", IF(H46&gt;85, "❌ Critical", IF(H46&gt;75, "⚠️ Warning", "✅ OK"))))</f>
        <v/>
      </c>
    </row>
    <row r="47">
      <c r="A47" s="5" t="n"/>
      <c r="B47" s="5" t="n"/>
      <c r="C47" s="5" t="n"/>
      <c r="D47" s="5" t="n"/>
      <c r="E47" s="5" t="n"/>
      <c r="F47" s="5" t="n"/>
      <c r="G47" s="6">
        <f>IF(AND(E47&lt;&gt;"", F47&lt;&gt;""), E47-F47, "")</f>
        <v/>
      </c>
      <c r="H47" s="6">
        <f>IF(AND(E47&lt;&gt;"", F47&lt;&gt;""), ROUND((F47/E47)*100, 1), "")</f>
        <v/>
      </c>
      <c r="I47" s="5" t="n"/>
      <c r="J47" s="5" t="n"/>
      <c r="K47" s="6">
        <f>IF(A47="", "", IF(H47="", "Not Monitored", IF(H47&gt;85, "❌ Critical", IF(H47&gt;75, "⚠️ Warning", "✅ OK"))))</f>
        <v/>
      </c>
    </row>
    <row r="48">
      <c r="A48" s="5" t="n"/>
      <c r="B48" s="5" t="n"/>
      <c r="C48" s="5" t="n"/>
      <c r="D48" s="5" t="n"/>
      <c r="E48" s="5" t="n"/>
      <c r="F48" s="5" t="n"/>
      <c r="G48" s="6">
        <f>IF(AND(E48&lt;&gt;"", F48&lt;&gt;""), E48-F48, "")</f>
        <v/>
      </c>
      <c r="H48" s="6">
        <f>IF(AND(E48&lt;&gt;"", F48&lt;&gt;""), ROUND((F48/E48)*100, 1), "")</f>
        <v/>
      </c>
      <c r="I48" s="5" t="n"/>
      <c r="J48" s="5" t="n"/>
      <c r="K48" s="6">
        <f>IF(A48="", "", IF(H48="", "Not Monitored", IF(H48&gt;85, "❌ Critical", IF(H48&gt;75, "⚠️ Warning", "✅ OK"))))</f>
        <v/>
      </c>
    </row>
    <row r="49">
      <c r="A49" s="5" t="n"/>
      <c r="B49" s="5" t="n"/>
      <c r="C49" s="5" t="n"/>
      <c r="D49" s="5" t="n"/>
      <c r="E49" s="5" t="n"/>
      <c r="F49" s="5" t="n"/>
      <c r="G49" s="6">
        <f>IF(AND(E49&lt;&gt;"", F49&lt;&gt;""), E49-F49, "")</f>
        <v/>
      </c>
      <c r="H49" s="6">
        <f>IF(AND(E49&lt;&gt;"", F49&lt;&gt;""), ROUND((F49/E49)*100, 1), "")</f>
        <v/>
      </c>
      <c r="I49" s="5" t="n"/>
      <c r="J49" s="5" t="n"/>
      <c r="K49" s="6">
        <f>IF(A49="", "", IF(H49="", "Not Monitored", IF(H49&gt;85, "❌ Critical", IF(H49&gt;75, "⚠️ Warning", "✅ OK"))))</f>
        <v/>
      </c>
    </row>
    <row r="50">
      <c r="A50" s="5" t="n"/>
      <c r="B50" s="5" t="n"/>
      <c r="C50" s="5" t="n"/>
      <c r="D50" s="5" t="n"/>
      <c r="E50" s="5" t="n"/>
      <c r="F50" s="5" t="n"/>
      <c r="G50" s="6">
        <f>IF(AND(E50&lt;&gt;"", F50&lt;&gt;""), E50-F50, "")</f>
        <v/>
      </c>
      <c r="H50" s="6">
        <f>IF(AND(E50&lt;&gt;"", F50&lt;&gt;""), ROUND((F50/E50)*100, 1), "")</f>
        <v/>
      </c>
      <c r="I50" s="5" t="n"/>
      <c r="J50" s="5" t="n"/>
      <c r="K50" s="6">
        <f>IF(A50="", "", IF(H50="", "Not Monitored", IF(H50&gt;85, "❌ Critical", IF(H50&gt;75, "⚠️ Warning", "✅ OK"))))</f>
        <v/>
      </c>
    </row>
    <row r="51">
      <c r="A51" s="5" t="n"/>
      <c r="B51" s="5" t="n"/>
      <c r="C51" s="5" t="n"/>
      <c r="D51" s="5" t="n"/>
      <c r="E51" s="5" t="n"/>
      <c r="F51" s="5" t="n"/>
      <c r="G51" s="6">
        <f>IF(AND(E51&lt;&gt;"", F51&lt;&gt;""), E51-F51, "")</f>
        <v/>
      </c>
      <c r="H51" s="6">
        <f>IF(AND(E51&lt;&gt;"", F51&lt;&gt;""), ROUND((F51/E51)*100, 1), "")</f>
        <v/>
      </c>
      <c r="I51" s="5" t="n"/>
      <c r="J51" s="5" t="n"/>
      <c r="K51" s="6">
        <f>IF(A51="", "", IF(H51="", "Not Monitored", IF(H51&gt;85, "❌ Critical", IF(H51&gt;75, "⚠️ Warning", "✅ OK"))))</f>
        <v/>
      </c>
    </row>
    <row r="52">
      <c r="A52" s="5" t="n"/>
      <c r="B52" s="5" t="n"/>
      <c r="C52" s="5" t="n"/>
      <c r="D52" s="5" t="n"/>
      <c r="E52" s="5" t="n"/>
      <c r="F52" s="5" t="n"/>
      <c r="G52" s="6">
        <f>IF(AND(E52&lt;&gt;"", F52&lt;&gt;""), E52-F52, "")</f>
        <v/>
      </c>
      <c r="H52" s="6">
        <f>IF(AND(E52&lt;&gt;"", F52&lt;&gt;""), ROUND((F52/E52)*100, 1), "")</f>
        <v/>
      </c>
      <c r="I52" s="5" t="n"/>
      <c r="J52" s="5" t="n"/>
      <c r="K52" s="6">
        <f>IF(A52="", "", IF(H52="", "Not Monitored", IF(H52&gt;85, "❌ Critical", IF(H52&gt;75, "⚠️ Warning", "✅ OK"))))</f>
        <v/>
      </c>
    </row>
    <row r="53">
      <c r="A53" s="5" t="n"/>
      <c r="B53" s="5" t="n"/>
      <c r="C53" s="5" t="n"/>
      <c r="D53" s="5" t="n"/>
      <c r="E53" s="5" t="n"/>
      <c r="F53" s="5" t="n"/>
      <c r="G53" s="6">
        <f>IF(AND(E53&lt;&gt;"", F53&lt;&gt;""), E53-F53, "")</f>
        <v/>
      </c>
      <c r="H53" s="6">
        <f>IF(AND(E53&lt;&gt;"", F53&lt;&gt;""), ROUND((F53/E53)*100, 1), "")</f>
        <v/>
      </c>
      <c r="I53" s="5" t="n"/>
      <c r="J53" s="5" t="n"/>
      <c r="K53" s="6">
        <f>IF(A53="", "", IF(H53="", "Not Monitored", IF(H53&gt;85, "❌ Critical", IF(H53&gt;75, "⚠️ Warning", "✅ OK"))))</f>
        <v/>
      </c>
    </row>
    <row r="54">
      <c r="A54" s="5" t="n"/>
      <c r="B54" s="5" t="n"/>
      <c r="C54" s="5" t="n"/>
      <c r="D54" s="5" t="n"/>
      <c r="E54" s="5" t="n"/>
      <c r="F54" s="5" t="n"/>
      <c r="G54" s="6">
        <f>IF(AND(E54&lt;&gt;"", F54&lt;&gt;""), E54-F54, "")</f>
        <v/>
      </c>
      <c r="H54" s="6">
        <f>IF(AND(E54&lt;&gt;"", F54&lt;&gt;""), ROUND((F54/E54)*100, 1), "")</f>
        <v/>
      </c>
      <c r="I54" s="5" t="n"/>
      <c r="J54" s="5" t="n"/>
      <c r="K54" s="6">
        <f>IF(A54="", "", IF(H54="", "Not Monitored", IF(H54&gt;85, "❌ Critical", IF(H54&gt;75, "⚠️ Warning", "✅ OK"))))</f>
        <v/>
      </c>
    </row>
  </sheetData>
  <mergeCells count="2">
    <mergeCell ref="A2:K2"/>
    <mergeCell ref="A1:K1"/>
  </mergeCells>
  <dataValidations count="2">
    <dataValidation sqref="K4:K54" showDropDown="0" showInputMessage="0" showErrorMessage="0" allowBlank="0" type="list">
      <formula1>"✅ OK,⚠️ Warning,❌ Critical,Not Monitored"</formula1>
    </dataValidation>
    <dataValidation sqref="B4:B54" showDropDown="0" showInputMessage="0" showErrorMessage="0" allowBlank="0" type="list">
      <formula1>"Filesystem,Database,Backup Repository,Archive,SAN/NAS,Object Storage,Other"</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54"/>
  <sheetViews>
    <sheetView showGridLines="0" workbookViewId="0">
      <pane ySplit="3" topLeftCell="A4" activePane="bottomLeft" state="frozen"/>
      <selection pane="bottomLeft" activeCell="A1" sqref="A1"/>
    </sheetView>
  </sheetViews>
  <sheetFormatPr baseColWidth="8" defaultRowHeight="15"/>
  <cols>
    <col width="25" customWidth="1" min="1" max="1"/>
    <col width="20" customWidth="1" min="2" max="2"/>
    <col width="20" customWidth="1" min="3" max="3"/>
    <col width="25" customWidth="1" min="4" max="4"/>
    <col width="18" customWidth="1" min="5" max="5"/>
    <col width="18" customWidth="1" min="6" max="6"/>
    <col width="18" customWidth="1" min="7" max="7"/>
    <col width="18" customWidth="1" min="8" max="8"/>
    <col width="18" customWidth="1" min="9" max="9"/>
    <col width="20" customWidth="1" min="10" max="10"/>
    <col width="15" customWidth="1" min="11" max="11"/>
    <col width="18" customWidth="1" min="12" max="12"/>
  </cols>
  <sheetData>
    <row r="1" ht="35" customHeight="1">
      <c r="A1" s="1" t="inlineStr">
        <is>
          <t>NETWORK CAPACITY UTILIZATION</t>
        </is>
      </c>
    </row>
    <row r="2">
      <c r="A2" s="2" t="inlineStr">
        <is>
          <t>Document network bandwidth, throughput, and service capacity</t>
        </is>
      </c>
    </row>
    <row r="3">
      <c r="A3" s="3" t="inlineStr">
        <is>
          <t>Resource Name</t>
        </is>
      </c>
      <c r="B3" s="3" t="inlineStr">
        <is>
          <t>Network Type</t>
        </is>
      </c>
      <c r="C3" s="3" t="inlineStr">
        <is>
          <t>Location</t>
        </is>
      </c>
      <c r="D3" s="3" t="inlineStr">
        <is>
          <t>Business Function</t>
        </is>
      </c>
      <c r="E3" s="3" t="inlineStr">
        <is>
          <t>Link Capacity (Mbps)</t>
        </is>
      </c>
      <c r="F3" s="3" t="inlineStr">
        <is>
          <t>Avg Inbound (Mbps)</t>
        </is>
      </c>
      <c r="G3" s="3" t="inlineStr">
        <is>
          <t>Avg Outbound (Mbps)</t>
        </is>
      </c>
      <c r="H3" s="3" t="inlineStr">
        <is>
          <t>Total Utilization (%)</t>
        </is>
      </c>
      <c r="I3" s="3" t="inlineStr">
        <is>
          <t>Peak Utilization (%)</t>
        </is>
      </c>
      <c r="J3" s="3" t="inlineStr">
        <is>
          <t>Concurrent Connections</t>
        </is>
      </c>
      <c r="K3" s="3" t="inlineStr">
        <is>
          <t>Connection Limit</t>
        </is>
      </c>
      <c r="L3" s="3" t="inlineStr">
        <is>
          <t>Threshold Status</t>
        </is>
      </c>
    </row>
    <row r="4">
      <c r="A4" s="4" t="inlineStr">
        <is>
          <t>WAN-Link-Primary</t>
        </is>
      </c>
      <c r="B4" s="4" t="inlineStr">
        <is>
          <t>WAN/Internet</t>
        </is>
      </c>
      <c r="C4" s="4" t="inlineStr">
        <is>
          <t>DC1</t>
        </is>
      </c>
      <c r="D4" s="4" t="inlineStr">
        <is>
          <t>Primary Internet</t>
        </is>
      </c>
      <c r="E4" s="4" t="inlineStr">
        <is>
          <t>1000</t>
        </is>
      </c>
      <c r="F4" s="4" t="inlineStr">
        <is>
          <t>350</t>
        </is>
      </c>
      <c r="G4" s="4" t="inlineStr">
        <is>
          <t>150</t>
        </is>
      </c>
      <c r="H4" s="4">
        <f>IF(AND(E4&lt;&gt;"", F4&lt;&gt;"", G4&lt;&gt;""), ROUND(((F4+G4)/E4)*100, 1), "")</f>
        <v/>
      </c>
      <c r="I4" s="4" t="inlineStr">
        <is>
          <t>75</t>
        </is>
      </c>
      <c r="J4" s="4" t="inlineStr">
        <is>
          <t>5000</t>
        </is>
      </c>
      <c r="K4" s="4" t="inlineStr">
        <is>
          <t>10000</t>
        </is>
      </c>
      <c r="L4" s="4">
        <f>IF(A4="", "", IF(H4="", "Not Monitored", IF(H4&gt;85, "❌ Critical", IF(H4&gt;70, "⚠️ Warning", "✅ OK"))))</f>
        <v/>
      </c>
    </row>
    <row r="5">
      <c r="A5" s="5" t="n"/>
      <c r="B5" s="5" t="n"/>
      <c r="C5" s="5" t="n"/>
      <c r="D5" s="5" t="n"/>
      <c r="E5" s="5" t="n"/>
      <c r="F5" s="5" t="n"/>
      <c r="G5" s="5" t="n"/>
      <c r="H5" s="6">
        <f>IF(AND(E5&lt;&gt;"", F5&lt;&gt;"", G5&lt;&gt;""), ROUND(((F5+G5)/E5)*100, 1), "")</f>
        <v/>
      </c>
      <c r="I5" s="5" t="n"/>
      <c r="J5" s="5" t="n"/>
      <c r="K5" s="5" t="n"/>
      <c r="L5" s="6">
        <f>IF(A5="", "", IF(H5="", "Not Monitored", IF(H5&gt;85, "❌ Critical", IF(H5&gt;70, "⚠️ Warning", "✅ OK"))))</f>
        <v/>
      </c>
    </row>
    <row r="6">
      <c r="A6" s="5" t="n"/>
      <c r="B6" s="5" t="n"/>
      <c r="C6" s="5" t="n"/>
      <c r="D6" s="5" t="n"/>
      <c r="E6" s="5" t="n"/>
      <c r="F6" s="5" t="n"/>
      <c r="G6" s="5" t="n"/>
      <c r="H6" s="6">
        <f>IF(AND(E6&lt;&gt;"", F6&lt;&gt;"", G6&lt;&gt;""), ROUND(((F6+G6)/E6)*100, 1), "")</f>
        <v/>
      </c>
      <c r="I6" s="5" t="n"/>
      <c r="J6" s="5" t="n"/>
      <c r="K6" s="5" t="n"/>
      <c r="L6" s="6">
        <f>IF(A6="", "", IF(H6="", "Not Monitored", IF(H6&gt;85, "❌ Critical", IF(H6&gt;70, "⚠️ Warning", "✅ OK"))))</f>
        <v/>
      </c>
    </row>
    <row r="7">
      <c r="A7" s="5" t="n"/>
      <c r="B7" s="5" t="n"/>
      <c r="C7" s="5" t="n"/>
      <c r="D7" s="5" t="n"/>
      <c r="E7" s="5" t="n"/>
      <c r="F7" s="5" t="n"/>
      <c r="G7" s="5" t="n"/>
      <c r="H7" s="6">
        <f>IF(AND(E7&lt;&gt;"", F7&lt;&gt;"", G7&lt;&gt;""), ROUND(((F7+G7)/E7)*100, 1), "")</f>
        <v/>
      </c>
      <c r="I7" s="5" t="n"/>
      <c r="J7" s="5" t="n"/>
      <c r="K7" s="5" t="n"/>
      <c r="L7" s="6">
        <f>IF(A7="", "", IF(H7="", "Not Monitored", IF(H7&gt;85, "❌ Critical", IF(H7&gt;70, "⚠️ Warning", "✅ OK"))))</f>
        <v/>
      </c>
    </row>
    <row r="8">
      <c r="A8" s="5" t="n"/>
      <c r="B8" s="5" t="n"/>
      <c r="C8" s="5" t="n"/>
      <c r="D8" s="5" t="n"/>
      <c r="E8" s="5" t="n"/>
      <c r="F8" s="5" t="n"/>
      <c r="G8" s="5" t="n"/>
      <c r="H8" s="6">
        <f>IF(AND(E8&lt;&gt;"", F8&lt;&gt;"", G8&lt;&gt;""), ROUND(((F8+G8)/E8)*100, 1), "")</f>
        <v/>
      </c>
      <c r="I8" s="5" t="n"/>
      <c r="J8" s="5" t="n"/>
      <c r="K8" s="5" t="n"/>
      <c r="L8" s="6">
        <f>IF(A8="", "", IF(H8="", "Not Monitored", IF(H8&gt;85, "❌ Critical", IF(H8&gt;70, "⚠️ Warning", "✅ OK"))))</f>
        <v/>
      </c>
    </row>
    <row r="9">
      <c r="A9" s="5" t="n"/>
      <c r="B9" s="5" t="n"/>
      <c r="C9" s="5" t="n"/>
      <c r="D9" s="5" t="n"/>
      <c r="E9" s="5" t="n"/>
      <c r="F9" s="5" t="n"/>
      <c r="G9" s="5" t="n"/>
      <c r="H9" s="6">
        <f>IF(AND(E9&lt;&gt;"", F9&lt;&gt;"", G9&lt;&gt;""), ROUND(((F9+G9)/E9)*100, 1), "")</f>
        <v/>
      </c>
      <c r="I9" s="5" t="n"/>
      <c r="J9" s="5" t="n"/>
      <c r="K9" s="5" t="n"/>
      <c r="L9" s="6">
        <f>IF(A9="", "", IF(H9="", "Not Monitored", IF(H9&gt;85, "❌ Critical", IF(H9&gt;70, "⚠️ Warning", "✅ OK"))))</f>
        <v/>
      </c>
    </row>
    <row r="10">
      <c r="A10" s="5" t="n"/>
      <c r="B10" s="5" t="n"/>
      <c r="C10" s="5" t="n"/>
      <c r="D10" s="5" t="n"/>
      <c r="E10" s="5" t="n"/>
      <c r="F10" s="5" t="n"/>
      <c r="G10" s="5" t="n"/>
      <c r="H10" s="6">
        <f>IF(AND(E10&lt;&gt;"", F10&lt;&gt;"", G10&lt;&gt;""), ROUND(((F10+G10)/E10)*100, 1), "")</f>
        <v/>
      </c>
      <c r="I10" s="5" t="n"/>
      <c r="J10" s="5" t="n"/>
      <c r="K10" s="5" t="n"/>
      <c r="L10" s="6">
        <f>IF(A10="", "", IF(H10="", "Not Monitored", IF(H10&gt;85, "❌ Critical", IF(H10&gt;70, "⚠️ Warning", "✅ OK"))))</f>
        <v/>
      </c>
    </row>
    <row r="11">
      <c r="A11" s="5" t="n"/>
      <c r="B11" s="5" t="n"/>
      <c r="C11" s="5" t="n"/>
      <c r="D11" s="5" t="n"/>
      <c r="E11" s="5" t="n"/>
      <c r="F11" s="5" t="n"/>
      <c r="G11" s="5" t="n"/>
      <c r="H11" s="6">
        <f>IF(AND(E11&lt;&gt;"", F11&lt;&gt;"", G11&lt;&gt;""), ROUND(((F11+G11)/E11)*100, 1), "")</f>
        <v/>
      </c>
      <c r="I11" s="5" t="n"/>
      <c r="J11" s="5" t="n"/>
      <c r="K11" s="5" t="n"/>
      <c r="L11" s="6">
        <f>IF(A11="", "", IF(H11="", "Not Monitored", IF(H11&gt;85, "❌ Critical", IF(H11&gt;70, "⚠️ Warning", "✅ OK"))))</f>
        <v/>
      </c>
    </row>
    <row r="12">
      <c r="A12" s="5" t="n"/>
      <c r="B12" s="5" t="n"/>
      <c r="C12" s="5" t="n"/>
      <c r="D12" s="5" t="n"/>
      <c r="E12" s="5" t="n"/>
      <c r="F12" s="5" t="n"/>
      <c r="G12" s="5" t="n"/>
      <c r="H12" s="6">
        <f>IF(AND(E12&lt;&gt;"", F12&lt;&gt;"", G12&lt;&gt;""), ROUND(((F12+G12)/E12)*100, 1), "")</f>
        <v/>
      </c>
      <c r="I12" s="5" t="n"/>
      <c r="J12" s="5" t="n"/>
      <c r="K12" s="5" t="n"/>
      <c r="L12" s="6">
        <f>IF(A12="", "", IF(H12="", "Not Monitored", IF(H12&gt;85, "❌ Critical", IF(H12&gt;70, "⚠️ Warning", "✅ OK"))))</f>
        <v/>
      </c>
    </row>
    <row r="13">
      <c r="A13" s="5" t="n"/>
      <c r="B13" s="5" t="n"/>
      <c r="C13" s="5" t="n"/>
      <c r="D13" s="5" t="n"/>
      <c r="E13" s="5" t="n"/>
      <c r="F13" s="5" t="n"/>
      <c r="G13" s="5" t="n"/>
      <c r="H13" s="6">
        <f>IF(AND(E13&lt;&gt;"", F13&lt;&gt;"", G13&lt;&gt;""), ROUND(((F13+G13)/E13)*100, 1), "")</f>
        <v/>
      </c>
      <c r="I13" s="5" t="n"/>
      <c r="J13" s="5" t="n"/>
      <c r="K13" s="5" t="n"/>
      <c r="L13" s="6">
        <f>IF(A13="", "", IF(H13="", "Not Monitored", IF(H13&gt;85, "❌ Critical", IF(H13&gt;70, "⚠️ Warning", "✅ OK"))))</f>
        <v/>
      </c>
    </row>
    <row r="14">
      <c r="A14" s="5" t="n"/>
      <c r="B14" s="5" t="n"/>
      <c r="C14" s="5" t="n"/>
      <c r="D14" s="5" t="n"/>
      <c r="E14" s="5" t="n"/>
      <c r="F14" s="5" t="n"/>
      <c r="G14" s="5" t="n"/>
      <c r="H14" s="6">
        <f>IF(AND(E14&lt;&gt;"", F14&lt;&gt;"", G14&lt;&gt;""), ROUND(((F14+G14)/E14)*100, 1), "")</f>
        <v/>
      </c>
      <c r="I14" s="5" t="n"/>
      <c r="J14" s="5" t="n"/>
      <c r="K14" s="5" t="n"/>
      <c r="L14" s="6">
        <f>IF(A14="", "", IF(H14="", "Not Monitored", IF(H14&gt;85, "❌ Critical", IF(H14&gt;70, "⚠️ Warning", "✅ OK"))))</f>
        <v/>
      </c>
    </row>
    <row r="15">
      <c r="A15" s="5" t="n"/>
      <c r="B15" s="5" t="n"/>
      <c r="C15" s="5" t="n"/>
      <c r="D15" s="5" t="n"/>
      <c r="E15" s="5" t="n"/>
      <c r="F15" s="5" t="n"/>
      <c r="G15" s="5" t="n"/>
      <c r="H15" s="6">
        <f>IF(AND(E15&lt;&gt;"", F15&lt;&gt;"", G15&lt;&gt;""), ROUND(((F15+G15)/E15)*100, 1), "")</f>
        <v/>
      </c>
      <c r="I15" s="5" t="n"/>
      <c r="J15" s="5" t="n"/>
      <c r="K15" s="5" t="n"/>
      <c r="L15" s="6">
        <f>IF(A15="", "", IF(H15="", "Not Monitored", IF(H15&gt;85, "❌ Critical", IF(H15&gt;70, "⚠️ Warning", "✅ OK"))))</f>
        <v/>
      </c>
    </row>
    <row r="16">
      <c r="A16" s="5" t="n"/>
      <c r="B16" s="5" t="n"/>
      <c r="C16" s="5" t="n"/>
      <c r="D16" s="5" t="n"/>
      <c r="E16" s="5" t="n"/>
      <c r="F16" s="5" t="n"/>
      <c r="G16" s="5" t="n"/>
      <c r="H16" s="6">
        <f>IF(AND(E16&lt;&gt;"", F16&lt;&gt;"", G16&lt;&gt;""), ROUND(((F16+G16)/E16)*100, 1), "")</f>
        <v/>
      </c>
      <c r="I16" s="5" t="n"/>
      <c r="J16" s="5" t="n"/>
      <c r="K16" s="5" t="n"/>
      <c r="L16" s="6">
        <f>IF(A16="", "", IF(H16="", "Not Monitored", IF(H16&gt;85, "❌ Critical", IF(H16&gt;70, "⚠️ Warning", "✅ OK"))))</f>
        <v/>
      </c>
    </row>
    <row r="17">
      <c r="A17" s="5" t="n"/>
      <c r="B17" s="5" t="n"/>
      <c r="C17" s="5" t="n"/>
      <c r="D17" s="5" t="n"/>
      <c r="E17" s="5" t="n"/>
      <c r="F17" s="5" t="n"/>
      <c r="G17" s="5" t="n"/>
      <c r="H17" s="6">
        <f>IF(AND(E17&lt;&gt;"", F17&lt;&gt;"", G17&lt;&gt;""), ROUND(((F17+G17)/E17)*100, 1), "")</f>
        <v/>
      </c>
      <c r="I17" s="5" t="n"/>
      <c r="J17" s="5" t="n"/>
      <c r="K17" s="5" t="n"/>
      <c r="L17" s="6">
        <f>IF(A17="", "", IF(H17="", "Not Monitored", IF(H17&gt;85, "❌ Critical", IF(H17&gt;70, "⚠️ Warning", "✅ OK"))))</f>
        <v/>
      </c>
    </row>
    <row r="18">
      <c r="A18" s="5" t="n"/>
      <c r="B18" s="5" t="n"/>
      <c r="C18" s="5" t="n"/>
      <c r="D18" s="5" t="n"/>
      <c r="E18" s="5" t="n"/>
      <c r="F18" s="5" t="n"/>
      <c r="G18" s="5" t="n"/>
      <c r="H18" s="6">
        <f>IF(AND(E18&lt;&gt;"", F18&lt;&gt;"", G18&lt;&gt;""), ROUND(((F18+G18)/E18)*100, 1), "")</f>
        <v/>
      </c>
      <c r="I18" s="5" t="n"/>
      <c r="J18" s="5" t="n"/>
      <c r="K18" s="5" t="n"/>
      <c r="L18" s="6">
        <f>IF(A18="", "", IF(H18="", "Not Monitored", IF(H18&gt;85, "❌ Critical", IF(H18&gt;70, "⚠️ Warning", "✅ OK"))))</f>
        <v/>
      </c>
    </row>
    <row r="19">
      <c r="A19" s="5" t="n"/>
      <c r="B19" s="5" t="n"/>
      <c r="C19" s="5" t="n"/>
      <c r="D19" s="5" t="n"/>
      <c r="E19" s="5" t="n"/>
      <c r="F19" s="5" t="n"/>
      <c r="G19" s="5" t="n"/>
      <c r="H19" s="6">
        <f>IF(AND(E19&lt;&gt;"", F19&lt;&gt;"", G19&lt;&gt;""), ROUND(((F19+G19)/E19)*100, 1), "")</f>
        <v/>
      </c>
      <c r="I19" s="5" t="n"/>
      <c r="J19" s="5" t="n"/>
      <c r="K19" s="5" t="n"/>
      <c r="L19" s="6">
        <f>IF(A19="", "", IF(H19="", "Not Monitored", IF(H19&gt;85, "❌ Critical", IF(H19&gt;70, "⚠️ Warning", "✅ OK"))))</f>
        <v/>
      </c>
    </row>
    <row r="20">
      <c r="A20" s="5" t="n"/>
      <c r="B20" s="5" t="n"/>
      <c r="C20" s="5" t="n"/>
      <c r="D20" s="5" t="n"/>
      <c r="E20" s="5" t="n"/>
      <c r="F20" s="5" t="n"/>
      <c r="G20" s="5" t="n"/>
      <c r="H20" s="6">
        <f>IF(AND(E20&lt;&gt;"", F20&lt;&gt;"", G20&lt;&gt;""), ROUND(((F20+G20)/E20)*100, 1), "")</f>
        <v/>
      </c>
      <c r="I20" s="5" t="n"/>
      <c r="J20" s="5" t="n"/>
      <c r="K20" s="5" t="n"/>
      <c r="L20" s="6">
        <f>IF(A20="", "", IF(H20="", "Not Monitored", IF(H20&gt;85, "❌ Critical", IF(H20&gt;70, "⚠️ Warning", "✅ OK"))))</f>
        <v/>
      </c>
    </row>
    <row r="21">
      <c r="A21" s="5" t="n"/>
      <c r="B21" s="5" t="n"/>
      <c r="C21" s="5" t="n"/>
      <c r="D21" s="5" t="n"/>
      <c r="E21" s="5" t="n"/>
      <c r="F21" s="5" t="n"/>
      <c r="G21" s="5" t="n"/>
      <c r="H21" s="6">
        <f>IF(AND(E21&lt;&gt;"", F21&lt;&gt;"", G21&lt;&gt;""), ROUND(((F21+G21)/E21)*100, 1), "")</f>
        <v/>
      </c>
      <c r="I21" s="5" t="n"/>
      <c r="J21" s="5" t="n"/>
      <c r="K21" s="5" t="n"/>
      <c r="L21" s="6">
        <f>IF(A21="", "", IF(H21="", "Not Monitored", IF(H21&gt;85, "❌ Critical", IF(H21&gt;70, "⚠️ Warning", "✅ OK"))))</f>
        <v/>
      </c>
    </row>
    <row r="22">
      <c r="A22" s="5" t="n"/>
      <c r="B22" s="5" t="n"/>
      <c r="C22" s="5" t="n"/>
      <c r="D22" s="5" t="n"/>
      <c r="E22" s="5" t="n"/>
      <c r="F22" s="5" t="n"/>
      <c r="G22" s="5" t="n"/>
      <c r="H22" s="6">
        <f>IF(AND(E22&lt;&gt;"", F22&lt;&gt;"", G22&lt;&gt;""), ROUND(((F22+G22)/E22)*100, 1), "")</f>
        <v/>
      </c>
      <c r="I22" s="5" t="n"/>
      <c r="J22" s="5" t="n"/>
      <c r="K22" s="5" t="n"/>
      <c r="L22" s="6">
        <f>IF(A22="", "", IF(H22="", "Not Monitored", IF(H22&gt;85, "❌ Critical", IF(H22&gt;70, "⚠️ Warning", "✅ OK"))))</f>
        <v/>
      </c>
    </row>
    <row r="23">
      <c r="A23" s="5" t="n"/>
      <c r="B23" s="5" t="n"/>
      <c r="C23" s="5" t="n"/>
      <c r="D23" s="5" t="n"/>
      <c r="E23" s="5" t="n"/>
      <c r="F23" s="5" t="n"/>
      <c r="G23" s="5" t="n"/>
      <c r="H23" s="6">
        <f>IF(AND(E23&lt;&gt;"", F23&lt;&gt;"", G23&lt;&gt;""), ROUND(((F23+G23)/E23)*100, 1), "")</f>
        <v/>
      </c>
      <c r="I23" s="5" t="n"/>
      <c r="J23" s="5" t="n"/>
      <c r="K23" s="5" t="n"/>
      <c r="L23" s="6">
        <f>IF(A23="", "", IF(H23="", "Not Monitored", IF(H23&gt;85, "❌ Critical", IF(H23&gt;70, "⚠️ Warning", "✅ OK"))))</f>
        <v/>
      </c>
    </row>
    <row r="24">
      <c r="A24" s="5" t="n"/>
      <c r="B24" s="5" t="n"/>
      <c r="C24" s="5" t="n"/>
      <c r="D24" s="5" t="n"/>
      <c r="E24" s="5" t="n"/>
      <c r="F24" s="5" t="n"/>
      <c r="G24" s="5" t="n"/>
      <c r="H24" s="6">
        <f>IF(AND(E24&lt;&gt;"", F24&lt;&gt;"", G24&lt;&gt;""), ROUND(((F24+G24)/E24)*100, 1), "")</f>
        <v/>
      </c>
      <c r="I24" s="5" t="n"/>
      <c r="J24" s="5" t="n"/>
      <c r="K24" s="5" t="n"/>
      <c r="L24" s="6">
        <f>IF(A24="", "", IF(H24="", "Not Monitored", IF(H24&gt;85, "❌ Critical", IF(H24&gt;70, "⚠️ Warning", "✅ OK"))))</f>
        <v/>
      </c>
    </row>
    <row r="25">
      <c r="A25" s="5" t="n"/>
      <c r="B25" s="5" t="n"/>
      <c r="C25" s="5" t="n"/>
      <c r="D25" s="5" t="n"/>
      <c r="E25" s="5" t="n"/>
      <c r="F25" s="5" t="n"/>
      <c r="G25" s="5" t="n"/>
      <c r="H25" s="6">
        <f>IF(AND(E25&lt;&gt;"", F25&lt;&gt;"", G25&lt;&gt;""), ROUND(((F25+G25)/E25)*100, 1), "")</f>
        <v/>
      </c>
      <c r="I25" s="5" t="n"/>
      <c r="J25" s="5" t="n"/>
      <c r="K25" s="5" t="n"/>
      <c r="L25" s="6">
        <f>IF(A25="", "", IF(H25="", "Not Monitored", IF(H25&gt;85, "❌ Critical", IF(H25&gt;70, "⚠️ Warning", "✅ OK"))))</f>
        <v/>
      </c>
    </row>
    <row r="26">
      <c r="A26" s="5" t="n"/>
      <c r="B26" s="5" t="n"/>
      <c r="C26" s="5" t="n"/>
      <c r="D26" s="5" t="n"/>
      <c r="E26" s="5" t="n"/>
      <c r="F26" s="5" t="n"/>
      <c r="G26" s="5" t="n"/>
      <c r="H26" s="6">
        <f>IF(AND(E26&lt;&gt;"", F26&lt;&gt;"", G26&lt;&gt;""), ROUND(((F26+G26)/E26)*100, 1), "")</f>
        <v/>
      </c>
      <c r="I26" s="5" t="n"/>
      <c r="J26" s="5" t="n"/>
      <c r="K26" s="5" t="n"/>
      <c r="L26" s="6">
        <f>IF(A26="", "", IF(H26="", "Not Monitored", IF(H26&gt;85, "❌ Critical", IF(H26&gt;70, "⚠️ Warning", "✅ OK"))))</f>
        <v/>
      </c>
    </row>
    <row r="27">
      <c r="A27" s="5" t="n"/>
      <c r="B27" s="5" t="n"/>
      <c r="C27" s="5" t="n"/>
      <c r="D27" s="5" t="n"/>
      <c r="E27" s="5" t="n"/>
      <c r="F27" s="5" t="n"/>
      <c r="G27" s="5" t="n"/>
      <c r="H27" s="6">
        <f>IF(AND(E27&lt;&gt;"", F27&lt;&gt;"", G27&lt;&gt;""), ROUND(((F27+G27)/E27)*100, 1), "")</f>
        <v/>
      </c>
      <c r="I27" s="5" t="n"/>
      <c r="J27" s="5" t="n"/>
      <c r="K27" s="5" t="n"/>
      <c r="L27" s="6">
        <f>IF(A27="", "", IF(H27="", "Not Monitored", IF(H27&gt;85, "❌ Critical", IF(H27&gt;70, "⚠️ Warning", "✅ OK"))))</f>
        <v/>
      </c>
    </row>
    <row r="28">
      <c r="A28" s="5" t="n"/>
      <c r="B28" s="5" t="n"/>
      <c r="C28" s="5" t="n"/>
      <c r="D28" s="5" t="n"/>
      <c r="E28" s="5" t="n"/>
      <c r="F28" s="5" t="n"/>
      <c r="G28" s="5" t="n"/>
      <c r="H28" s="6">
        <f>IF(AND(E28&lt;&gt;"", F28&lt;&gt;"", G28&lt;&gt;""), ROUND(((F28+G28)/E28)*100, 1), "")</f>
        <v/>
      </c>
      <c r="I28" s="5" t="n"/>
      <c r="J28" s="5" t="n"/>
      <c r="K28" s="5" t="n"/>
      <c r="L28" s="6">
        <f>IF(A28="", "", IF(H28="", "Not Monitored", IF(H28&gt;85, "❌ Critical", IF(H28&gt;70, "⚠️ Warning", "✅ OK"))))</f>
        <v/>
      </c>
    </row>
    <row r="29">
      <c r="A29" s="5" t="n"/>
      <c r="B29" s="5" t="n"/>
      <c r="C29" s="5" t="n"/>
      <c r="D29" s="5" t="n"/>
      <c r="E29" s="5" t="n"/>
      <c r="F29" s="5" t="n"/>
      <c r="G29" s="5" t="n"/>
      <c r="H29" s="6">
        <f>IF(AND(E29&lt;&gt;"", F29&lt;&gt;"", G29&lt;&gt;""), ROUND(((F29+G29)/E29)*100, 1), "")</f>
        <v/>
      </c>
      <c r="I29" s="5" t="n"/>
      <c r="J29" s="5" t="n"/>
      <c r="K29" s="5" t="n"/>
      <c r="L29" s="6">
        <f>IF(A29="", "", IF(H29="", "Not Monitored", IF(H29&gt;85, "❌ Critical", IF(H29&gt;70, "⚠️ Warning", "✅ OK"))))</f>
        <v/>
      </c>
    </row>
    <row r="30">
      <c r="A30" s="5" t="n"/>
      <c r="B30" s="5" t="n"/>
      <c r="C30" s="5" t="n"/>
      <c r="D30" s="5" t="n"/>
      <c r="E30" s="5" t="n"/>
      <c r="F30" s="5" t="n"/>
      <c r="G30" s="5" t="n"/>
      <c r="H30" s="6">
        <f>IF(AND(E30&lt;&gt;"", F30&lt;&gt;"", G30&lt;&gt;""), ROUND(((F30+G30)/E30)*100, 1), "")</f>
        <v/>
      </c>
      <c r="I30" s="5" t="n"/>
      <c r="J30" s="5" t="n"/>
      <c r="K30" s="5" t="n"/>
      <c r="L30" s="6">
        <f>IF(A30="", "", IF(H30="", "Not Monitored", IF(H30&gt;85, "❌ Critical", IF(H30&gt;70, "⚠️ Warning", "✅ OK"))))</f>
        <v/>
      </c>
    </row>
    <row r="31">
      <c r="A31" s="5" t="n"/>
      <c r="B31" s="5" t="n"/>
      <c r="C31" s="5" t="n"/>
      <c r="D31" s="5" t="n"/>
      <c r="E31" s="5" t="n"/>
      <c r="F31" s="5" t="n"/>
      <c r="G31" s="5" t="n"/>
      <c r="H31" s="6">
        <f>IF(AND(E31&lt;&gt;"", F31&lt;&gt;"", G31&lt;&gt;""), ROUND(((F31+G31)/E31)*100, 1), "")</f>
        <v/>
      </c>
      <c r="I31" s="5" t="n"/>
      <c r="J31" s="5" t="n"/>
      <c r="K31" s="5" t="n"/>
      <c r="L31" s="6">
        <f>IF(A31="", "", IF(H31="", "Not Monitored", IF(H31&gt;85, "❌ Critical", IF(H31&gt;70, "⚠️ Warning", "✅ OK"))))</f>
        <v/>
      </c>
    </row>
    <row r="32">
      <c r="A32" s="5" t="n"/>
      <c r="B32" s="5" t="n"/>
      <c r="C32" s="5" t="n"/>
      <c r="D32" s="5" t="n"/>
      <c r="E32" s="5" t="n"/>
      <c r="F32" s="5" t="n"/>
      <c r="G32" s="5" t="n"/>
      <c r="H32" s="6">
        <f>IF(AND(E32&lt;&gt;"", F32&lt;&gt;"", G32&lt;&gt;""), ROUND(((F32+G32)/E32)*100, 1), "")</f>
        <v/>
      </c>
      <c r="I32" s="5" t="n"/>
      <c r="J32" s="5" t="n"/>
      <c r="K32" s="5" t="n"/>
      <c r="L32" s="6">
        <f>IF(A32="", "", IF(H32="", "Not Monitored", IF(H32&gt;85, "❌ Critical", IF(H32&gt;70, "⚠️ Warning", "✅ OK"))))</f>
        <v/>
      </c>
    </row>
    <row r="33">
      <c r="A33" s="5" t="n"/>
      <c r="B33" s="5" t="n"/>
      <c r="C33" s="5" t="n"/>
      <c r="D33" s="5" t="n"/>
      <c r="E33" s="5" t="n"/>
      <c r="F33" s="5" t="n"/>
      <c r="G33" s="5" t="n"/>
      <c r="H33" s="6">
        <f>IF(AND(E33&lt;&gt;"", F33&lt;&gt;"", G33&lt;&gt;""), ROUND(((F33+G33)/E33)*100, 1), "")</f>
        <v/>
      </c>
      <c r="I33" s="5" t="n"/>
      <c r="J33" s="5" t="n"/>
      <c r="K33" s="5" t="n"/>
      <c r="L33" s="6">
        <f>IF(A33="", "", IF(H33="", "Not Monitored", IF(H33&gt;85, "❌ Critical", IF(H33&gt;70, "⚠️ Warning", "✅ OK"))))</f>
        <v/>
      </c>
    </row>
    <row r="34">
      <c r="A34" s="5" t="n"/>
      <c r="B34" s="5" t="n"/>
      <c r="C34" s="5" t="n"/>
      <c r="D34" s="5" t="n"/>
      <c r="E34" s="5" t="n"/>
      <c r="F34" s="5" t="n"/>
      <c r="G34" s="5" t="n"/>
      <c r="H34" s="6">
        <f>IF(AND(E34&lt;&gt;"", F34&lt;&gt;"", G34&lt;&gt;""), ROUND(((F34+G34)/E34)*100, 1), "")</f>
        <v/>
      </c>
      <c r="I34" s="5" t="n"/>
      <c r="J34" s="5" t="n"/>
      <c r="K34" s="5" t="n"/>
      <c r="L34" s="6">
        <f>IF(A34="", "", IF(H34="", "Not Monitored", IF(H34&gt;85, "❌ Critical", IF(H34&gt;70, "⚠️ Warning", "✅ OK"))))</f>
        <v/>
      </c>
    </row>
    <row r="35">
      <c r="A35" s="5" t="n"/>
      <c r="B35" s="5" t="n"/>
      <c r="C35" s="5" t="n"/>
      <c r="D35" s="5" t="n"/>
      <c r="E35" s="5" t="n"/>
      <c r="F35" s="5" t="n"/>
      <c r="G35" s="5" t="n"/>
      <c r="H35" s="6">
        <f>IF(AND(E35&lt;&gt;"", F35&lt;&gt;"", G35&lt;&gt;""), ROUND(((F35+G35)/E35)*100, 1), "")</f>
        <v/>
      </c>
      <c r="I35" s="5" t="n"/>
      <c r="J35" s="5" t="n"/>
      <c r="K35" s="5" t="n"/>
      <c r="L35" s="6">
        <f>IF(A35="", "", IF(H35="", "Not Monitored", IF(H35&gt;85, "❌ Critical", IF(H35&gt;70, "⚠️ Warning", "✅ OK"))))</f>
        <v/>
      </c>
    </row>
    <row r="36">
      <c r="A36" s="5" t="n"/>
      <c r="B36" s="5" t="n"/>
      <c r="C36" s="5" t="n"/>
      <c r="D36" s="5" t="n"/>
      <c r="E36" s="5" t="n"/>
      <c r="F36" s="5" t="n"/>
      <c r="G36" s="5" t="n"/>
      <c r="H36" s="6">
        <f>IF(AND(E36&lt;&gt;"", F36&lt;&gt;"", G36&lt;&gt;""), ROUND(((F36+G36)/E36)*100, 1), "")</f>
        <v/>
      </c>
      <c r="I36" s="5" t="n"/>
      <c r="J36" s="5" t="n"/>
      <c r="K36" s="5" t="n"/>
      <c r="L36" s="6">
        <f>IF(A36="", "", IF(H36="", "Not Monitored", IF(H36&gt;85, "❌ Critical", IF(H36&gt;70, "⚠️ Warning", "✅ OK"))))</f>
        <v/>
      </c>
    </row>
    <row r="37">
      <c r="A37" s="5" t="n"/>
      <c r="B37" s="5" t="n"/>
      <c r="C37" s="5" t="n"/>
      <c r="D37" s="5" t="n"/>
      <c r="E37" s="5" t="n"/>
      <c r="F37" s="5" t="n"/>
      <c r="G37" s="5" t="n"/>
      <c r="H37" s="6">
        <f>IF(AND(E37&lt;&gt;"", F37&lt;&gt;"", G37&lt;&gt;""), ROUND(((F37+G37)/E37)*100, 1), "")</f>
        <v/>
      </c>
      <c r="I37" s="5" t="n"/>
      <c r="J37" s="5" t="n"/>
      <c r="K37" s="5" t="n"/>
      <c r="L37" s="6">
        <f>IF(A37="", "", IF(H37="", "Not Monitored", IF(H37&gt;85, "❌ Critical", IF(H37&gt;70, "⚠️ Warning", "✅ OK"))))</f>
        <v/>
      </c>
    </row>
    <row r="38">
      <c r="A38" s="5" t="n"/>
      <c r="B38" s="5" t="n"/>
      <c r="C38" s="5" t="n"/>
      <c r="D38" s="5" t="n"/>
      <c r="E38" s="5" t="n"/>
      <c r="F38" s="5" t="n"/>
      <c r="G38" s="5" t="n"/>
      <c r="H38" s="6">
        <f>IF(AND(E38&lt;&gt;"", F38&lt;&gt;"", G38&lt;&gt;""), ROUND(((F38+G38)/E38)*100, 1), "")</f>
        <v/>
      </c>
      <c r="I38" s="5" t="n"/>
      <c r="J38" s="5" t="n"/>
      <c r="K38" s="5" t="n"/>
      <c r="L38" s="6">
        <f>IF(A38="", "", IF(H38="", "Not Monitored", IF(H38&gt;85, "❌ Critical", IF(H38&gt;70, "⚠️ Warning", "✅ OK"))))</f>
        <v/>
      </c>
    </row>
    <row r="39">
      <c r="A39" s="5" t="n"/>
      <c r="B39" s="5" t="n"/>
      <c r="C39" s="5" t="n"/>
      <c r="D39" s="5" t="n"/>
      <c r="E39" s="5" t="n"/>
      <c r="F39" s="5" t="n"/>
      <c r="G39" s="5" t="n"/>
      <c r="H39" s="6">
        <f>IF(AND(E39&lt;&gt;"", F39&lt;&gt;"", G39&lt;&gt;""), ROUND(((F39+G39)/E39)*100, 1), "")</f>
        <v/>
      </c>
      <c r="I39" s="5" t="n"/>
      <c r="J39" s="5" t="n"/>
      <c r="K39" s="5" t="n"/>
      <c r="L39" s="6">
        <f>IF(A39="", "", IF(H39="", "Not Monitored", IF(H39&gt;85, "❌ Critical", IF(H39&gt;70, "⚠️ Warning", "✅ OK"))))</f>
        <v/>
      </c>
    </row>
    <row r="40">
      <c r="A40" s="5" t="n"/>
      <c r="B40" s="5" t="n"/>
      <c r="C40" s="5" t="n"/>
      <c r="D40" s="5" t="n"/>
      <c r="E40" s="5" t="n"/>
      <c r="F40" s="5" t="n"/>
      <c r="G40" s="5" t="n"/>
      <c r="H40" s="6">
        <f>IF(AND(E40&lt;&gt;"", F40&lt;&gt;"", G40&lt;&gt;""), ROUND(((F40+G40)/E40)*100, 1), "")</f>
        <v/>
      </c>
      <c r="I40" s="5" t="n"/>
      <c r="J40" s="5" t="n"/>
      <c r="K40" s="5" t="n"/>
      <c r="L40" s="6">
        <f>IF(A40="", "", IF(H40="", "Not Monitored", IF(H40&gt;85, "❌ Critical", IF(H40&gt;70, "⚠️ Warning", "✅ OK"))))</f>
        <v/>
      </c>
    </row>
    <row r="41">
      <c r="A41" s="5" t="n"/>
      <c r="B41" s="5" t="n"/>
      <c r="C41" s="5" t="n"/>
      <c r="D41" s="5" t="n"/>
      <c r="E41" s="5" t="n"/>
      <c r="F41" s="5" t="n"/>
      <c r="G41" s="5" t="n"/>
      <c r="H41" s="6">
        <f>IF(AND(E41&lt;&gt;"", F41&lt;&gt;"", G41&lt;&gt;""), ROUND(((F41+G41)/E41)*100, 1), "")</f>
        <v/>
      </c>
      <c r="I41" s="5" t="n"/>
      <c r="J41" s="5" t="n"/>
      <c r="K41" s="5" t="n"/>
      <c r="L41" s="6">
        <f>IF(A41="", "", IF(H41="", "Not Monitored", IF(H41&gt;85, "❌ Critical", IF(H41&gt;70, "⚠️ Warning", "✅ OK"))))</f>
        <v/>
      </c>
    </row>
    <row r="42">
      <c r="A42" s="5" t="n"/>
      <c r="B42" s="5" t="n"/>
      <c r="C42" s="5" t="n"/>
      <c r="D42" s="5" t="n"/>
      <c r="E42" s="5" t="n"/>
      <c r="F42" s="5" t="n"/>
      <c r="G42" s="5" t="n"/>
      <c r="H42" s="6">
        <f>IF(AND(E42&lt;&gt;"", F42&lt;&gt;"", G42&lt;&gt;""), ROUND(((F42+G42)/E42)*100, 1), "")</f>
        <v/>
      </c>
      <c r="I42" s="5" t="n"/>
      <c r="J42" s="5" t="n"/>
      <c r="K42" s="5" t="n"/>
      <c r="L42" s="6">
        <f>IF(A42="", "", IF(H42="", "Not Monitored", IF(H42&gt;85, "❌ Critical", IF(H42&gt;70, "⚠️ Warning", "✅ OK"))))</f>
        <v/>
      </c>
    </row>
    <row r="43">
      <c r="A43" s="5" t="n"/>
      <c r="B43" s="5" t="n"/>
      <c r="C43" s="5" t="n"/>
      <c r="D43" s="5" t="n"/>
      <c r="E43" s="5" t="n"/>
      <c r="F43" s="5" t="n"/>
      <c r="G43" s="5" t="n"/>
      <c r="H43" s="6">
        <f>IF(AND(E43&lt;&gt;"", F43&lt;&gt;"", G43&lt;&gt;""), ROUND(((F43+G43)/E43)*100, 1), "")</f>
        <v/>
      </c>
      <c r="I43" s="5" t="n"/>
      <c r="J43" s="5" t="n"/>
      <c r="K43" s="5" t="n"/>
      <c r="L43" s="6">
        <f>IF(A43="", "", IF(H43="", "Not Monitored", IF(H43&gt;85, "❌ Critical", IF(H43&gt;70, "⚠️ Warning", "✅ OK"))))</f>
        <v/>
      </c>
    </row>
    <row r="44">
      <c r="A44" s="5" t="n"/>
      <c r="B44" s="5" t="n"/>
      <c r="C44" s="5" t="n"/>
      <c r="D44" s="5" t="n"/>
      <c r="E44" s="5" t="n"/>
      <c r="F44" s="5" t="n"/>
      <c r="G44" s="5" t="n"/>
      <c r="H44" s="6">
        <f>IF(AND(E44&lt;&gt;"", F44&lt;&gt;"", G44&lt;&gt;""), ROUND(((F44+G44)/E44)*100, 1), "")</f>
        <v/>
      </c>
      <c r="I44" s="5" t="n"/>
      <c r="J44" s="5" t="n"/>
      <c r="K44" s="5" t="n"/>
      <c r="L44" s="6">
        <f>IF(A44="", "", IF(H44="", "Not Monitored", IF(H44&gt;85, "❌ Critical", IF(H44&gt;70, "⚠️ Warning", "✅ OK"))))</f>
        <v/>
      </c>
    </row>
    <row r="45">
      <c r="A45" s="5" t="n"/>
      <c r="B45" s="5" t="n"/>
      <c r="C45" s="5" t="n"/>
      <c r="D45" s="5" t="n"/>
      <c r="E45" s="5" t="n"/>
      <c r="F45" s="5" t="n"/>
      <c r="G45" s="5" t="n"/>
      <c r="H45" s="6">
        <f>IF(AND(E45&lt;&gt;"", F45&lt;&gt;"", G45&lt;&gt;""), ROUND(((F45+G45)/E45)*100, 1), "")</f>
        <v/>
      </c>
      <c r="I45" s="5" t="n"/>
      <c r="J45" s="5" t="n"/>
      <c r="K45" s="5" t="n"/>
      <c r="L45" s="6">
        <f>IF(A45="", "", IF(H45="", "Not Monitored", IF(H45&gt;85, "❌ Critical", IF(H45&gt;70, "⚠️ Warning", "✅ OK"))))</f>
        <v/>
      </c>
    </row>
    <row r="46">
      <c r="A46" s="5" t="n"/>
      <c r="B46" s="5" t="n"/>
      <c r="C46" s="5" t="n"/>
      <c r="D46" s="5" t="n"/>
      <c r="E46" s="5" t="n"/>
      <c r="F46" s="5" t="n"/>
      <c r="G46" s="5" t="n"/>
      <c r="H46" s="6">
        <f>IF(AND(E46&lt;&gt;"", F46&lt;&gt;"", G46&lt;&gt;""), ROUND(((F46+G46)/E46)*100, 1), "")</f>
        <v/>
      </c>
      <c r="I46" s="5" t="n"/>
      <c r="J46" s="5" t="n"/>
      <c r="K46" s="5" t="n"/>
      <c r="L46" s="6">
        <f>IF(A46="", "", IF(H46="", "Not Monitored", IF(H46&gt;85, "❌ Critical", IF(H46&gt;70, "⚠️ Warning", "✅ OK"))))</f>
        <v/>
      </c>
    </row>
    <row r="47">
      <c r="A47" s="5" t="n"/>
      <c r="B47" s="5" t="n"/>
      <c r="C47" s="5" t="n"/>
      <c r="D47" s="5" t="n"/>
      <c r="E47" s="5" t="n"/>
      <c r="F47" s="5" t="n"/>
      <c r="G47" s="5" t="n"/>
      <c r="H47" s="6">
        <f>IF(AND(E47&lt;&gt;"", F47&lt;&gt;"", G47&lt;&gt;""), ROUND(((F47+G47)/E47)*100, 1), "")</f>
        <v/>
      </c>
      <c r="I47" s="5" t="n"/>
      <c r="J47" s="5" t="n"/>
      <c r="K47" s="5" t="n"/>
      <c r="L47" s="6">
        <f>IF(A47="", "", IF(H47="", "Not Monitored", IF(H47&gt;85, "❌ Critical", IF(H47&gt;70, "⚠️ Warning", "✅ OK"))))</f>
        <v/>
      </c>
    </row>
    <row r="48">
      <c r="A48" s="5" t="n"/>
      <c r="B48" s="5" t="n"/>
      <c r="C48" s="5" t="n"/>
      <c r="D48" s="5" t="n"/>
      <c r="E48" s="5" t="n"/>
      <c r="F48" s="5" t="n"/>
      <c r="G48" s="5" t="n"/>
      <c r="H48" s="6">
        <f>IF(AND(E48&lt;&gt;"", F48&lt;&gt;"", G48&lt;&gt;""), ROUND(((F48+G48)/E48)*100, 1), "")</f>
        <v/>
      </c>
      <c r="I48" s="5" t="n"/>
      <c r="J48" s="5" t="n"/>
      <c r="K48" s="5" t="n"/>
      <c r="L48" s="6">
        <f>IF(A48="", "", IF(H48="", "Not Monitored", IF(H48&gt;85, "❌ Critical", IF(H48&gt;70, "⚠️ Warning", "✅ OK"))))</f>
        <v/>
      </c>
    </row>
    <row r="49">
      <c r="A49" s="5" t="n"/>
      <c r="B49" s="5" t="n"/>
      <c r="C49" s="5" t="n"/>
      <c r="D49" s="5" t="n"/>
      <c r="E49" s="5" t="n"/>
      <c r="F49" s="5" t="n"/>
      <c r="G49" s="5" t="n"/>
      <c r="H49" s="6">
        <f>IF(AND(E49&lt;&gt;"", F49&lt;&gt;"", G49&lt;&gt;""), ROUND(((F49+G49)/E49)*100, 1), "")</f>
        <v/>
      </c>
      <c r="I49" s="5" t="n"/>
      <c r="J49" s="5" t="n"/>
      <c r="K49" s="5" t="n"/>
      <c r="L49" s="6">
        <f>IF(A49="", "", IF(H49="", "Not Monitored", IF(H49&gt;85, "❌ Critical", IF(H49&gt;70, "⚠️ Warning", "✅ OK"))))</f>
        <v/>
      </c>
    </row>
    <row r="50">
      <c r="A50" s="5" t="n"/>
      <c r="B50" s="5" t="n"/>
      <c r="C50" s="5" t="n"/>
      <c r="D50" s="5" t="n"/>
      <c r="E50" s="5" t="n"/>
      <c r="F50" s="5" t="n"/>
      <c r="G50" s="5" t="n"/>
      <c r="H50" s="6">
        <f>IF(AND(E50&lt;&gt;"", F50&lt;&gt;"", G50&lt;&gt;""), ROUND(((F50+G50)/E50)*100, 1), "")</f>
        <v/>
      </c>
      <c r="I50" s="5" t="n"/>
      <c r="J50" s="5" t="n"/>
      <c r="K50" s="5" t="n"/>
      <c r="L50" s="6">
        <f>IF(A50="", "", IF(H50="", "Not Monitored", IF(H50&gt;85, "❌ Critical", IF(H50&gt;70, "⚠️ Warning", "✅ OK"))))</f>
        <v/>
      </c>
    </row>
    <row r="51">
      <c r="A51" s="5" t="n"/>
      <c r="B51" s="5" t="n"/>
      <c r="C51" s="5" t="n"/>
      <c r="D51" s="5" t="n"/>
      <c r="E51" s="5" t="n"/>
      <c r="F51" s="5" t="n"/>
      <c r="G51" s="5" t="n"/>
      <c r="H51" s="6">
        <f>IF(AND(E51&lt;&gt;"", F51&lt;&gt;"", G51&lt;&gt;""), ROUND(((F51+G51)/E51)*100, 1), "")</f>
        <v/>
      </c>
      <c r="I51" s="5" t="n"/>
      <c r="J51" s="5" t="n"/>
      <c r="K51" s="5" t="n"/>
      <c r="L51" s="6">
        <f>IF(A51="", "", IF(H51="", "Not Monitored", IF(H51&gt;85, "❌ Critical", IF(H51&gt;70, "⚠️ Warning", "✅ OK"))))</f>
        <v/>
      </c>
    </row>
    <row r="52">
      <c r="A52" s="5" t="n"/>
      <c r="B52" s="5" t="n"/>
      <c r="C52" s="5" t="n"/>
      <c r="D52" s="5" t="n"/>
      <c r="E52" s="5" t="n"/>
      <c r="F52" s="5" t="n"/>
      <c r="G52" s="5" t="n"/>
      <c r="H52" s="6">
        <f>IF(AND(E52&lt;&gt;"", F52&lt;&gt;"", G52&lt;&gt;""), ROUND(((F52+G52)/E52)*100, 1), "")</f>
        <v/>
      </c>
      <c r="I52" s="5" t="n"/>
      <c r="J52" s="5" t="n"/>
      <c r="K52" s="5" t="n"/>
      <c r="L52" s="6">
        <f>IF(A52="", "", IF(H52="", "Not Monitored", IF(H52&gt;85, "❌ Critical", IF(H52&gt;70, "⚠️ Warning", "✅ OK"))))</f>
        <v/>
      </c>
    </row>
    <row r="53">
      <c r="A53" s="5" t="n"/>
      <c r="B53" s="5" t="n"/>
      <c r="C53" s="5" t="n"/>
      <c r="D53" s="5" t="n"/>
      <c r="E53" s="5" t="n"/>
      <c r="F53" s="5" t="n"/>
      <c r="G53" s="5" t="n"/>
      <c r="H53" s="6">
        <f>IF(AND(E53&lt;&gt;"", F53&lt;&gt;"", G53&lt;&gt;""), ROUND(((F53+G53)/E53)*100, 1), "")</f>
        <v/>
      </c>
      <c r="I53" s="5" t="n"/>
      <c r="J53" s="5" t="n"/>
      <c r="K53" s="5" t="n"/>
      <c r="L53" s="6">
        <f>IF(A53="", "", IF(H53="", "Not Monitored", IF(H53&gt;85, "❌ Critical", IF(H53&gt;70, "⚠️ Warning", "✅ OK"))))</f>
        <v/>
      </c>
    </row>
    <row r="54">
      <c r="A54" s="5" t="n"/>
      <c r="B54" s="5" t="n"/>
      <c r="C54" s="5" t="n"/>
      <c r="D54" s="5" t="n"/>
      <c r="E54" s="5" t="n"/>
      <c r="F54" s="5" t="n"/>
      <c r="G54" s="5" t="n"/>
      <c r="H54" s="6">
        <f>IF(AND(E54&lt;&gt;"", F54&lt;&gt;"", G54&lt;&gt;""), ROUND(((F54+G54)/E54)*100, 1), "")</f>
        <v/>
      </c>
      <c r="I54" s="5" t="n"/>
      <c r="J54" s="5" t="n"/>
      <c r="K54" s="5" t="n"/>
      <c r="L54" s="6">
        <f>IF(A54="", "", IF(H54="", "Not Monitored", IF(H54&gt;85, "❌ Critical", IF(H54&gt;70, "⚠️ Warning", "✅ OK"))))</f>
        <v/>
      </c>
    </row>
  </sheetData>
  <mergeCells count="2">
    <mergeCell ref="A2:L2"/>
    <mergeCell ref="A1:L1"/>
  </mergeCells>
  <dataValidations count="2">
    <dataValidation sqref="L4:L54" showDropDown="0" showInputMessage="0" showErrorMessage="0" allowBlank="0" type="list">
      <formula1>"✅ OK,⚠️ Warning,❌ Critical,Not Monitored"</formula1>
    </dataValidation>
    <dataValidation sqref="B4:B54" showDropDown="0" showInputMessage="0" showErrorMessage="0" allowBlank="0" type="list">
      <formula1>"WAN/Internet,LAN,Inter-DC Link,VPN,Load Balancer,Firewall,Other"</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54"/>
  <sheetViews>
    <sheetView showGridLines="0" workbookViewId="0">
      <pane ySplit="3" topLeftCell="A4" activePane="bottomLeft" state="frozen"/>
      <selection pane="bottomLeft" activeCell="A1" sqref="A1"/>
    </sheetView>
  </sheetViews>
  <sheetFormatPr baseColWidth="8" defaultRowHeight="15"/>
  <cols>
    <col width="25" customWidth="1" min="1" max="1"/>
    <col width="20" customWidth="1" min="2" max="2"/>
    <col width="25" customWidth="1" min="3" max="3"/>
    <col width="20" customWidth="1" min="4" max="4"/>
    <col width="20" customWidth="1" min="5" max="5"/>
    <col width="18" customWidth="1" min="6" max="6"/>
    <col width="20" customWidth="1" min="7" max="7"/>
    <col width="22" customWidth="1" min="8" max="8"/>
    <col width="22" customWidth="1" min="9" max="9"/>
    <col width="22" customWidth="1" min="10" max="10"/>
    <col width="18" customWidth="1" min="11" max="11"/>
  </cols>
  <sheetData>
    <row r="1" ht="35" customHeight="1">
      <c r="A1" s="1" t="inlineStr">
        <is>
          <t>APPLICATION CAPACITY UTILIZATION</t>
        </is>
      </c>
    </row>
    <row r="2">
      <c r="A2" s="2" t="inlineStr">
        <is>
          <t>Document application user sessions, transactions, and performance capacity</t>
        </is>
      </c>
    </row>
    <row r="3">
      <c r="A3" s="3" t="inlineStr">
        <is>
          <t>Application Name</t>
        </is>
      </c>
      <c r="B3" s="3" t="inlineStr">
        <is>
          <t>Application Type</t>
        </is>
      </c>
      <c r="C3" s="3" t="inlineStr">
        <is>
          <t>Business Function</t>
        </is>
      </c>
      <c r="D3" s="3" t="inlineStr">
        <is>
          <t>Max Concurrent Users</t>
        </is>
      </c>
      <c r="E3" s="3" t="inlineStr">
        <is>
          <t>Current Active Users</t>
        </is>
      </c>
      <c r="F3" s="3" t="inlineStr">
        <is>
          <t>User Utilization (%)</t>
        </is>
      </c>
      <c r="G3" s="3" t="inlineStr">
        <is>
          <t>Max Transactions/sec</t>
        </is>
      </c>
      <c r="H3" s="3" t="inlineStr">
        <is>
          <t>Current Transactions/sec</t>
        </is>
      </c>
      <c r="I3" s="3" t="inlineStr">
        <is>
          <t>Transaction Utilization (%)</t>
        </is>
      </c>
      <c r="J3" s="3" t="inlineStr">
        <is>
          <t>Avg Response Time (ms)</t>
        </is>
      </c>
      <c r="K3" s="3" t="inlineStr">
        <is>
          <t>Threshold Status</t>
        </is>
      </c>
    </row>
    <row r="4">
      <c r="A4" s="4" t="inlineStr">
        <is>
          <t>WebApp-Production</t>
        </is>
      </c>
      <c r="B4" s="4" t="inlineStr">
        <is>
          <t>Web Application</t>
        </is>
      </c>
      <c r="C4" s="4" t="inlineStr">
        <is>
          <t>Customer Portal</t>
        </is>
      </c>
      <c r="D4" s="4" t="inlineStr">
        <is>
          <t>1000</t>
        </is>
      </c>
      <c r="E4" s="4" t="inlineStr">
        <is>
          <t>650</t>
        </is>
      </c>
      <c r="F4" s="4">
        <f>IF(AND(D4&lt;&gt;"", E4&lt;&gt;""), ROUND((E4/D4)*100, 1), "")</f>
        <v/>
      </c>
      <c r="G4" s="4" t="inlineStr">
        <is>
          <t>500</t>
        </is>
      </c>
      <c r="H4" s="4" t="inlineStr">
        <is>
          <t>280</t>
        </is>
      </c>
      <c r="I4" s="4">
        <f>IF(AND(G4&lt;&gt;"", H4&lt;&gt;""), ROUND((H4/G4)*100, 1), "")</f>
        <v/>
      </c>
      <c r="J4" s="4" t="inlineStr">
        <is>
          <t>145</t>
        </is>
      </c>
      <c r="K4" s="4">
        <f>IF(A4="", "", IF(OR(F4="", I4=""), "Not Monitored", IF(OR(F4&gt;90, I4&gt;90), "❌ Critical", IF(OR(F4&gt;75, I4&gt;75), "⚠️ Warning", "✅ OK"))))</f>
        <v/>
      </c>
    </row>
    <row r="5">
      <c r="A5" s="5" t="n"/>
      <c r="B5" s="5" t="n"/>
      <c r="C5" s="5" t="n"/>
      <c r="D5" s="5" t="n"/>
      <c r="E5" s="5" t="n"/>
      <c r="F5" s="6">
        <f>IF(AND(D5&lt;&gt;"", E5&lt;&gt;""), ROUND((E5/D5)*100, 1), "")</f>
        <v/>
      </c>
      <c r="G5" s="5" t="n"/>
      <c r="H5" s="5" t="n"/>
      <c r="I5" s="6">
        <f>IF(AND(G5&lt;&gt;"", H5&lt;&gt;""), ROUND((H5/G5)*100, 1), "")</f>
        <v/>
      </c>
      <c r="J5" s="5" t="n"/>
      <c r="K5" s="6">
        <f>IF(A5="", "", IF(OR(F5="", I5=""), "Not Monitored", IF(OR(F5&gt;90, I5&gt;90), "❌ Critical", IF(OR(F5&gt;75, I5&gt;75), "⚠️ Warning", "✅ OK"))))</f>
        <v/>
      </c>
    </row>
    <row r="6">
      <c r="A6" s="5" t="n"/>
      <c r="B6" s="5" t="n"/>
      <c r="C6" s="5" t="n"/>
      <c r="D6" s="5" t="n"/>
      <c r="E6" s="5" t="n"/>
      <c r="F6" s="6">
        <f>IF(AND(D6&lt;&gt;"", E6&lt;&gt;""), ROUND((E6/D6)*100, 1), "")</f>
        <v/>
      </c>
      <c r="G6" s="5" t="n"/>
      <c r="H6" s="5" t="n"/>
      <c r="I6" s="6">
        <f>IF(AND(G6&lt;&gt;"", H6&lt;&gt;""), ROUND((H6/G6)*100, 1), "")</f>
        <v/>
      </c>
      <c r="J6" s="5" t="n"/>
      <c r="K6" s="6">
        <f>IF(A6="", "", IF(OR(F6="", I6=""), "Not Monitored", IF(OR(F6&gt;90, I6&gt;90), "❌ Critical", IF(OR(F6&gt;75, I6&gt;75), "⚠️ Warning", "✅ OK"))))</f>
        <v/>
      </c>
    </row>
    <row r="7">
      <c r="A7" s="5" t="n"/>
      <c r="B7" s="5" t="n"/>
      <c r="C7" s="5" t="n"/>
      <c r="D7" s="5" t="n"/>
      <c r="E7" s="5" t="n"/>
      <c r="F7" s="6">
        <f>IF(AND(D7&lt;&gt;"", E7&lt;&gt;""), ROUND((E7/D7)*100, 1), "")</f>
        <v/>
      </c>
      <c r="G7" s="5" t="n"/>
      <c r="H7" s="5" t="n"/>
      <c r="I7" s="6">
        <f>IF(AND(G7&lt;&gt;"", H7&lt;&gt;""), ROUND((H7/G7)*100, 1), "")</f>
        <v/>
      </c>
      <c r="J7" s="5" t="n"/>
      <c r="K7" s="6">
        <f>IF(A7="", "", IF(OR(F7="", I7=""), "Not Monitored", IF(OR(F7&gt;90, I7&gt;90), "❌ Critical", IF(OR(F7&gt;75, I7&gt;75), "⚠️ Warning", "✅ OK"))))</f>
        <v/>
      </c>
    </row>
    <row r="8">
      <c r="A8" s="5" t="n"/>
      <c r="B8" s="5" t="n"/>
      <c r="C8" s="5" t="n"/>
      <c r="D8" s="5" t="n"/>
      <c r="E8" s="5" t="n"/>
      <c r="F8" s="6">
        <f>IF(AND(D8&lt;&gt;"", E8&lt;&gt;""), ROUND((E8/D8)*100, 1), "")</f>
        <v/>
      </c>
      <c r="G8" s="5" t="n"/>
      <c r="H8" s="5" t="n"/>
      <c r="I8" s="6">
        <f>IF(AND(G8&lt;&gt;"", H8&lt;&gt;""), ROUND((H8/G8)*100, 1), "")</f>
        <v/>
      </c>
      <c r="J8" s="5" t="n"/>
      <c r="K8" s="6">
        <f>IF(A8="", "", IF(OR(F8="", I8=""), "Not Monitored", IF(OR(F8&gt;90, I8&gt;90), "❌ Critical", IF(OR(F8&gt;75, I8&gt;75), "⚠️ Warning", "✅ OK"))))</f>
        <v/>
      </c>
    </row>
    <row r="9">
      <c r="A9" s="5" t="n"/>
      <c r="B9" s="5" t="n"/>
      <c r="C9" s="5" t="n"/>
      <c r="D9" s="5" t="n"/>
      <c r="E9" s="5" t="n"/>
      <c r="F9" s="6">
        <f>IF(AND(D9&lt;&gt;"", E9&lt;&gt;""), ROUND((E9/D9)*100, 1), "")</f>
        <v/>
      </c>
      <c r="G9" s="5" t="n"/>
      <c r="H9" s="5" t="n"/>
      <c r="I9" s="6">
        <f>IF(AND(G9&lt;&gt;"", H9&lt;&gt;""), ROUND((H9/G9)*100, 1), "")</f>
        <v/>
      </c>
      <c r="J9" s="5" t="n"/>
      <c r="K9" s="6">
        <f>IF(A9="", "", IF(OR(F9="", I9=""), "Not Monitored", IF(OR(F9&gt;90, I9&gt;90), "❌ Critical", IF(OR(F9&gt;75, I9&gt;75), "⚠️ Warning", "✅ OK"))))</f>
        <v/>
      </c>
    </row>
    <row r="10">
      <c r="A10" s="5" t="n"/>
      <c r="B10" s="5" t="n"/>
      <c r="C10" s="5" t="n"/>
      <c r="D10" s="5" t="n"/>
      <c r="E10" s="5" t="n"/>
      <c r="F10" s="6">
        <f>IF(AND(D10&lt;&gt;"", E10&lt;&gt;""), ROUND((E10/D10)*100, 1), "")</f>
        <v/>
      </c>
      <c r="G10" s="5" t="n"/>
      <c r="H10" s="5" t="n"/>
      <c r="I10" s="6">
        <f>IF(AND(G10&lt;&gt;"", H10&lt;&gt;""), ROUND((H10/G10)*100, 1), "")</f>
        <v/>
      </c>
      <c r="J10" s="5" t="n"/>
      <c r="K10" s="6">
        <f>IF(A10="", "", IF(OR(F10="", I10=""), "Not Monitored", IF(OR(F10&gt;90, I10&gt;90), "❌ Critical", IF(OR(F10&gt;75, I10&gt;75), "⚠️ Warning", "✅ OK"))))</f>
        <v/>
      </c>
    </row>
    <row r="11">
      <c r="A11" s="5" t="n"/>
      <c r="B11" s="5" t="n"/>
      <c r="C11" s="5" t="n"/>
      <c r="D11" s="5" t="n"/>
      <c r="E11" s="5" t="n"/>
      <c r="F11" s="6">
        <f>IF(AND(D11&lt;&gt;"", E11&lt;&gt;""), ROUND((E11/D11)*100, 1), "")</f>
        <v/>
      </c>
      <c r="G11" s="5" t="n"/>
      <c r="H11" s="5" t="n"/>
      <c r="I11" s="6">
        <f>IF(AND(G11&lt;&gt;"", H11&lt;&gt;""), ROUND((H11/G11)*100, 1), "")</f>
        <v/>
      </c>
      <c r="J11" s="5" t="n"/>
      <c r="K11" s="6">
        <f>IF(A11="", "", IF(OR(F11="", I11=""), "Not Monitored", IF(OR(F11&gt;90, I11&gt;90), "❌ Critical", IF(OR(F11&gt;75, I11&gt;75), "⚠️ Warning", "✅ OK"))))</f>
        <v/>
      </c>
    </row>
    <row r="12">
      <c r="A12" s="5" t="n"/>
      <c r="B12" s="5" t="n"/>
      <c r="C12" s="5" t="n"/>
      <c r="D12" s="5" t="n"/>
      <c r="E12" s="5" t="n"/>
      <c r="F12" s="6">
        <f>IF(AND(D12&lt;&gt;"", E12&lt;&gt;""), ROUND((E12/D12)*100, 1), "")</f>
        <v/>
      </c>
      <c r="G12" s="5" t="n"/>
      <c r="H12" s="5" t="n"/>
      <c r="I12" s="6">
        <f>IF(AND(G12&lt;&gt;"", H12&lt;&gt;""), ROUND((H12/G12)*100, 1), "")</f>
        <v/>
      </c>
      <c r="J12" s="5" t="n"/>
      <c r="K12" s="6">
        <f>IF(A12="", "", IF(OR(F12="", I12=""), "Not Monitored", IF(OR(F12&gt;90, I12&gt;90), "❌ Critical", IF(OR(F12&gt;75, I12&gt;75), "⚠️ Warning", "✅ OK"))))</f>
        <v/>
      </c>
    </row>
    <row r="13">
      <c r="A13" s="5" t="n"/>
      <c r="B13" s="5" t="n"/>
      <c r="C13" s="5" t="n"/>
      <c r="D13" s="5" t="n"/>
      <c r="E13" s="5" t="n"/>
      <c r="F13" s="6">
        <f>IF(AND(D13&lt;&gt;"", E13&lt;&gt;""), ROUND((E13/D13)*100, 1), "")</f>
        <v/>
      </c>
      <c r="G13" s="5" t="n"/>
      <c r="H13" s="5" t="n"/>
      <c r="I13" s="6">
        <f>IF(AND(G13&lt;&gt;"", H13&lt;&gt;""), ROUND((H13/G13)*100, 1), "")</f>
        <v/>
      </c>
      <c r="J13" s="5" t="n"/>
      <c r="K13" s="6">
        <f>IF(A13="", "", IF(OR(F13="", I13=""), "Not Monitored", IF(OR(F13&gt;90, I13&gt;90), "❌ Critical", IF(OR(F13&gt;75, I13&gt;75), "⚠️ Warning", "✅ OK"))))</f>
        <v/>
      </c>
    </row>
    <row r="14">
      <c r="A14" s="5" t="n"/>
      <c r="B14" s="5" t="n"/>
      <c r="C14" s="5" t="n"/>
      <c r="D14" s="5" t="n"/>
      <c r="E14" s="5" t="n"/>
      <c r="F14" s="6">
        <f>IF(AND(D14&lt;&gt;"", E14&lt;&gt;""), ROUND((E14/D14)*100, 1), "")</f>
        <v/>
      </c>
      <c r="G14" s="5" t="n"/>
      <c r="H14" s="5" t="n"/>
      <c r="I14" s="6">
        <f>IF(AND(G14&lt;&gt;"", H14&lt;&gt;""), ROUND((H14/G14)*100, 1), "")</f>
        <v/>
      </c>
      <c r="J14" s="5" t="n"/>
      <c r="K14" s="6">
        <f>IF(A14="", "", IF(OR(F14="", I14=""), "Not Monitored", IF(OR(F14&gt;90, I14&gt;90), "❌ Critical", IF(OR(F14&gt;75, I14&gt;75), "⚠️ Warning", "✅ OK"))))</f>
        <v/>
      </c>
    </row>
    <row r="15">
      <c r="A15" s="5" t="n"/>
      <c r="B15" s="5" t="n"/>
      <c r="C15" s="5" t="n"/>
      <c r="D15" s="5" t="n"/>
      <c r="E15" s="5" t="n"/>
      <c r="F15" s="6">
        <f>IF(AND(D15&lt;&gt;"", E15&lt;&gt;""), ROUND((E15/D15)*100, 1), "")</f>
        <v/>
      </c>
      <c r="G15" s="5" t="n"/>
      <c r="H15" s="5" t="n"/>
      <c r="I15" s="6">
        <f>IF(AND(G15&lt;&gt;"", H15&lt;&gt;""), ROUND((H15/G15)*100, 1), "")</f>
        <v/>
      </c>
      <c r="J15" s="5" t="n"/>
      <c r="K15" s="6">
        <f>IF(A15="", "", IF(OR(F15="", I15=""), "Not Monitored", IF(OR(F15&gt;90, I15&gt;90), "❌ Critical", IF(OR(F15&gt;75, I15&gt;75), "⚠️ Warning", "✅ OK"))))</f>
        <v/>
      </c>
    </row>
    <row r="16">
      <c r="A16" s="5" t="n"/>
      <c r="B16" s="5" t="n"/>
      <c r="C16" s="5" t="n"/>
      <c r="D16" s="5" t="n"/>
      <c r="E16" s="5" t="n"/>
      <c r="F16" s="6">
        <f>IF(AND(D16&lt;&gt;"", E16&lt;&gt;""), ROUND((E16/D16)*100, 1), "")</f>
        <v/>
      </c>
      <c r="G16" s="5" t="n"/>
      <c r="H16" s="5" t="n"/>
      <c r="I16" s="6">
        <f>IF(AND(G16&lt;&gt;"", H16&lt;&gt;""), ROUND((H16/G16)*100, 1), "")</f>
        <v/>
      </c>
      <c r="J16" s="5" t="n"/>
      <c r="K16" s="6">
        <f>IF(A16="", "", IF(OR(F16="", I16=""), "Not Monitored", IF(OR(F16&gt;90, I16&gt;90), "❌ Critical", IF(OR(F16&gt;75, I16&gt;75), "⚠️ Warning", "✅ OK"))))</f>
        <v/>
      </c>
    </row>
    <row r="17">
      <c r="A17" s="5" t="n"/>
      <c r="B17" s="5" t="n"/>
      <c r="C17" s="5" t="n"/>
      <c r="D17" s="5" t="n"/>
      <c r="E17" s="5" t="n"/>
      <c r="F17" s="6">
        <f>IF(AND(D17&lt;&gt;"", E17&lt;&gt;""), ROUND((E17/D17)*100, 1), "")</f>
        <v/>
      </c>
      <c r="G17" s="5" t="n"/>
      <c r="H17" s="5" t="n"/>
      <c r="I17" s="6">
        <f>IF(AND(G17&lt;&gt;"", H17&lt;&gt;""), ROUND((H17/G17)*100, 1), "")</f>
        <v/>
      </c>
      <c r="J17" s="5" t="n"/>
      <c r="K17" s="6">
        <f>IF(A17="", "", IF(OR(F17="", I17=""), "Not Monitored", IF(OR(F17&gt;90, I17&gt;90), "❌ Critical", IF(OR(F17&gt;75, I17&gt;75), "⚠️ Warning", "✅ OK"))))</f>
        <v/>
      </c>
    </row>
    <row r="18">
      <c r="A18" s="5" t="n"/>
      <c r="B18" s="5" t="n"/>
      <c r="C18" s="5" t="n"/>
      <c r="D18" s="5" t="n"/>
      <c r="E18" s="5" t="n"/>
      <c r="F18" s="6">
        <f>IF(AND(D18&lt;&gt;"", E18&lt;&gt;""), ROUND((E18/D18)*100, 1), "")</f>
        <v/>
      </c>
      <c r="G18" s="5" t="n"/>
      <c r="H18" s="5" t="n"/>
      <c r="I18" s="6">
        <f>IF(AND(G18&lt;&gt;"", H18&lt;&gt;""), ROUND((H18/G18)*100, 1), "")</f>
        <v/>
      </c>
      <c r="J18" s="5" t="n"/>
      <c r="K18" s="6">
        <f>IF(A18="", "", IF(OR(F18="", I18=""), "Not Monitored", IF(OR(F18&gt;90, I18&gt;90), "❌ Critical", IF(OR(F18&gt;75, I18&gt;75), "⚠️ Warning", "✅ OK"))))</f>
        <v/>
      </c>
    </row>
    <row r="19">
      <c r="A19" s="5" t="n"/>
      <c r="B19" s="5" t="n"/>
      <c r="C19" s="5" t="n"/>
      <c r="D19" s="5" t="n"/>
      <c r="E19" s="5" t="n"/>
      <c r="F19" s="6">
        <f>IF(AND(D19&lt;&gt;"", E19&lt;&gt;""), ROUND((E19/D19)*100, 1), "")</f>
        <v/>
      </c>
      <c r="G19" s="5" t="n"/>
      <c r="H19" s="5" t="n"/>
      <c r="I19" s="6">
        <f>IF(AND(G19&lt;&gt;"", H19&lt;&gt;""), ROUND((H19/G19)*100, 1), "")</f>
        <v/>
      </c>
      <c r="J19" s="5" t="n"/>
      <c r="K19" s="6">
        <f>IF(A19="", "", IF(OR(F19="", I19=""), "Not Monitored", IF(OR(F19&gt;90, I19&gt;90), "❌ Critical", IF(OR(F19&gt;75, I19&gt;75), "⚠️ Warning", "✅ OK"))))</f>
        <v/>
      </c>
    </row>
    <row r="20">
      <c r="A20" s="5" t="n"/>
      <c r="B20" s="5" t="n"/>
      <c r="C20" s="5" t="n"/>
      <c r="D20" s="5" t="n"/>
      <c r="E20" s="5" t="n"/>
      <c r="F20" s="6">
        <f>IF(AND(D20&lt;&gt;"", E20&lt;&gt;""), ROUND((E20/D20)*100, 1), "")</f>
        <v/>
      </c>
      <c r="G20" s="5" t="n"/>
      <c r="H20" s="5" t="n"/>
      <c r="I20" s="6">
        <f>IF(AND(G20&lt;&gt;"", H20&lt;&gt;""), ROUND((H20/G20)*100, 1), "")</f>
        <v/>
      </c>
      <c r="J20" s="5" t="n"/>
      <c r="K20" s="6">
        <f>IF(A20="", "", IF(OR(F20="", I20=""), "Not Monitored", IF(OR(F20&gt;90, I20&gt;90), "❌ Critical", IF(OR(F20&gt;75, I20&gt;75), "⚠️ Warning", "✅ OK"))))</f>
        <v/>
      </c>
    </row>
    <row r="21">
      <c r="A21" s="5" t="n"/>
      <c r="B21" s="5" t="n"/>
      <c r="C21" s="5" t="n"/>
      <c r="D21" s="5" t="n"/>
      <c r="E21" s="5" t="n"/>
      <c r="F21" s="6">
        <f>IF(AND(D21&lt;&gt;"", E21&lt;&gt;""), ROUND((E21/D21)*100, 1), "")</f>
        <v/>
      </c>
      <c r="G21" s="5" t="n"/>
      <c r="H21" s="5" t="n"/>
      <c r="I21" s="6">
        <f>IF(AND(G21&lt;&gt;"", H21&lt;&gt;""), ROUND((H21/G21)*100, 1), "")</f>
        <v/>
      </c>
      <c r="J21" s="5" t="n"/>
      <c r="K21" s="6">
        <f>IF(A21="", "", IF(OR(F21="", I21=""), "Not Monitored", IF(OR(F21&gt;90, I21&gt;90), "❌ Critical", IF(OR(F21&gt;75, I21&gt;75), "⚠️ Warning", "✅ OK"))))</f>
        <v/>
      </c>
    </row>
    <row r="22">
      <c r="A22" s="5" t="n"/>
      <c r="B22" s="5" t="n"/>
      <c r="C22" s="5" t="n"/>
      <c r="D22" s="5" t="n"/>
      <c r="E22" s="5" t="n"/>
      <c r="F22" s="6">
        <f>IF(AND(D22&lt;&gt;"", E22&lt;&gt;""), ROUND((E22/D22)*100, 1), "")</f>
        <v/>
      </c>
      <c r="G22" s="5" t="n"/>
      <c r="H22" s="5" t="n"/>
      <c r="I22" s="6">
        <f>IF(AND(G22&lt;&gt;"", H22&lt;&gt;""), ROUND((H22/G22)*100, 1), "")</f>
        <v/>
      </c>
      <c r="J22" s="5" t="n"/>
      <c r="K22" s="6">
        <f>IF(A22="", "", IF(OR(F22="", I22=""), "Not Monitored", IF(OR(F22&gt;90, I22&gt;90), "❌ Critical", IF(OR(F22&gt;75, I22&gt;75), "⚠️ Warning", "✅ OK"))))</f>
        <v/>
      </c>
    </row>
    <row r="23">
      <c r="A23" s="5" t="n"/>
      <c r="B23" s="5" t="n"/>
      <c r="C23" s="5" t="n"/>
      <c r="D23" s="5" t="n"/>
      <c r="E23" s="5" t="n"/>
      <c r="F23" s="6">
        <f>IF(AND(D23&lt;&gt;"", E23&lt;&gt;""), ROUND((E23/D23)*100, 1), "")</f>
        <v/>
      </c>
      <c r="G23" s="5" t="n"/>
      <c r="H23" s="5" t="n"/>
      <c r="I23" s="6">
        <f>IF(AND(G23&lt;&gt;"", H23&lt;&gt;""), ROUND((H23/G23)*100, 1), "")</f>
        <v/>
      </c>
      <c r="J23" s="5" t="n"/>
      <c r="K23" s="6">
        <f>IF(A23="", "", IF(OR(F23="", I23=""), "Not Monitored", IF(OR(F23&gt;90, I23&gt;90), "❌ Critical", IF(OR(F23&gt;75, I23&gt;75), "⚠️ Warning", "✅ OK"))))</f>
        <v/>
      </c>
    </row>
    <row r="24">
      <c r="A24" s="5" t="n"/>
      <c r="B24" s="5" t="n"/>
      <c r="C24" s="5" t="n"/>
      <c r="D24" s="5" t="n"/>
      <c r="E24" s="5" t="n"/>
      <c r="F24" s="6">
        <f>IF(AND(D24&lt;&gt;"", E24&lt;&gt;""), ROUND((E24/D24)*100, 1), "")</f>
        <v/>
      </c>
      <c r="G24" s="5" t="n"/>
      <c r="H24" s="5" t="n"/>
      <c r="I24" s="6">
        <f>IF(AND(G24&lt;&gt;"", H24&lt;&gt;""), ROUND((H24/G24)*100, 1), "")</f>
        <v/>
      </c>
      <c r="J24" s="5" t="n"/>
      <c r="K24" s="6">
        <f>IF(A24="", "", IF(OR(F24="", I24=""), "Not Monitored", IF(OR(F24&gt;90, I24&gt;90), "❌ Critical", IF(OR(F24&gt;75, I24&gt;75), "⚠️ Warning", "✅ OK"))))</f>
        <v/>
      </c>
    </row>
    <row r="25">
      <c r="A25" s="5" t="n"/>
      <c r="B25" s="5" t="n"/>
      <c r="C25" s="5" t="n"/>
      <c r="D25" s="5" t="n"/>
      <c r="E25" s="5" t="n"/>
      <c r="F25" s="6">
        <f>IF(AND(D25&lt;&gt;"", E25&lt;&gt;""), ROUND((E25/D25)*100, 1), "")</f>
        <v/>
      </c>
      <c r="G25" s="5" t="n"/>
      <c r="H25" s="5" t="n"/>
      <c r="I25" s="6">
        <f>IF(AND(G25&lt;&gt;"", H25&lt;&gt;""), ROUND((H25/G25)*100, 1), "")</f>
        <v/>
      </c>
      <c r="J25" s="5" t="n"/>
      <c r="K25" s="6">
        <f>IF(A25="", "", IF(OR(F25="", I25=""), "Not Monitored", IF(OR(F25&gt;90, I25&gt;90), "❌ Critical", IF(OR(F25&gt;75, I25&gt;75), "⚠️ Warning", "✅ OK"))))</f>
        <v/>
      </c>
    </row>
    <row r="26">
      <c r="A26" s="5" t="n"/>
      <c r="B26" s="5" t="n"/>
      <c r="C26" s="5" t="n"/>
      <c r="D26" s="5" t="n"/>
      <c r="E26" s="5" t="n"/>
      <c r="F26" s="6">
        <f>IF(AND(D26&lt;&gt;"", E26&lt;&gt;""), ROUND((E26/D26)*100, 1), "")</f>
        <v/>
      </c>
      <c r="G26" s="5" t="n"/>
      <c r="H26" s="5" t="n"/>
      <c r="I26" s="6">
        <f>IF(AND(G26&lt;&gt;"", H26&lt;&gt;""), ROUND((H26/G26)*100, 1), "")</f>
        <v/>
      </c>
      <c r="J26" s="5" t="n"/>
      <c r="K26" s="6">
        <f>IF(A26="", "", IF(OR(F26="", I26=""), "Not Monitored", IF(OR(F26&gt;90, I26&gt;90), "❌ Critical", IF(OR(F26&gt;75, I26&gt;75), "⚠️ Warning", "✅ OK"))))</f>
        <v/>
      </c>
    </row>
    <row r="27">
      <c r="A27" s="5" t="n"/>
      <c r="B27" s="5" t="n"/>
      <c r="C27" s="5" t="n"/>
      <c r="D27" s="5" t="n"/>
      <c r="E27" s="5" t="n"/>
      <c r="F27" s="6">
        <f>IF(AND(D27&lt;&gt;"", E27&lt;&gt;""), ROUND((E27/D27)*100, 1), "")</f>
        <v/>
      </c>
      <c r="G27" s="5" t="n"/>
      <c r="H27" s="5" t="n"/>
      <c r="I27" s="6">
        <f>IF(AND(G27&lt;&gt;"", H27&lt;&gt;""), ROUND((H27/G27)*100, 1), "")</f>
        <v/>
      </c>
      <c r="J27" s="5" t="n"/>
      <c r="K27" s="6">
        <f>IF(A27="", "", IF(OR(F27="", I27=""), "Not Monitored", IF(OR(F27&gt;90, I27&gt;90), "❌ Critical", IF(OR(F27&gt;75, I27&gt;75), "⚠️ Warning", "✅ OK"))))</f>
        <v/>
      </c>
    </row>
    <row r="28">
      <c r="A28" s="5" t="n"/>
      <c r="B28" s="5" t="n"/>
      <c r="C28" s="5" t="n"/>
      <c r="D28" s="5" t="n"/>
      <c r="E28" s="5" t="n"/>
      <c r="F28" s="6">
        <f>IF(AND(D28&lt;&gt;"", E28&lt;&gt;""), ROUND((E28/D28)*100, 1), "")</f>
        <v/>
      </c>
      <c r="G28" s="5" t="n"/>
      <c r="H28" s="5" t="n"/>
      <c r="I28" s="6">
        <f>IF(AND(G28&lt;&gt;"", H28&lt;&gt;""), ROUND((H28/G28)*100, 1), "")</f>
        <v/>
      </c>
      <c r="J28" s="5" t="n"/>
      <c r="K28" s="6">
        <f>IF(A28="", "", IF(OR(F28="", I28=""), "Not Monitored", IF(OR(F28&gt;90, I28&gt;90), "❌ Critical", IF(OR(F28&gt;75, I28&gt;75), "⚠️ Warning", "✅ OK"))))</f>
        <v/>
      </c>
    </row>
    <row r="29">
      <c r="A29" s="5" t="n"/>
      <c r="B29" s="5" t="n"/>
      <c r="C29" s="5" t="n"/>
      <c r="D29" s="5" t="n"/>
      <c r="E29" s="5" t="n"/>
      <c r="F29" s="6">
        <f>IF(AND(D29&lt;&gt;"", E29&lt;&gt;""), ROUND((E29/D29)*100, 1), "")</f>
        <v/>
      </c>
      <c r="G29" s="5" t="n"/>
      <c r="H29" s="5" t="n"/>
      <c r="I29" s="6">
        <f>IF(AND(G29&lt;&gt;"", H29&lt;&gt;""), ROUND((H29/G29)*100, 1), "")</f>
        <v/>
      </c>
      <c r="J29" s="5" t="n"/>
      <c r="K29" s="6">
        <f>IF(A29="", "", IF(OR(F29="", I29=""), "Not Monitored", IF(OR(F29&gt;90, I29&gt;90), "❌ Critical", IF(OR(F29&gt;75, I29&gt;75), "⚠️ Warning", "✅ OK"))))</f>
        <v/>
      </c>
    </row>
    <row r="30">
      <c r="A30" s="5" t="n"/>
      <c r="B30" s="5" t="n"/>
      <c r="C30" s="5" t="n"/>
      <c r="D30" s="5" t="n"/>
      <c r="E30" s="5" t="n"/>
      <c r="F30" s="6">
        <f>IF(AND(D30&lt;&gt;"", E30&lt;&gt;""), ROUND((E30/D30)*100, 1), "")</f>
        <v/>
      </c>
      <c r="G30" s="5" t="n"/>
      <c r="H30" s="5" t="n"/>
      <c r="I30" s="6">
        <f>IF(AND(G30&lt;&gt;"", H30&lt;&gt;""), ROUND((H30/G30)*100, 1), "")</f>
        <v/>
      </c>
      <c r="J30" s="5" t="n"/>
      <c r="K30" s="6">
        <f>IF(A30="", "", IF(OR(F30="", I30=""), "Not Monitored", IF(OR(F30&gt;90, I30&gt;90), "❌ Critical", IF(OR(F30&gt;75, I30&gt;75), "⚠️ Warning", "✅ OK"))))</f>
        <v/>
      </c>
    </row>
    <row r="31">
      <c r="A31" s="5" t="n"/>
      <c r="B31" s="5" t="n"/>
      <c r="C31" s="5" t="n"/>
      <c r="D31" s="5" t="n"/>
      <c r="E31" s="5" t="n"/>
      <c r="F31" s="6">
        <f>IF(AND(D31&lt;&gt;"", E31&lt;&gt;""), ROUND((E31/D31)*100, 1), "")</f>
        <v/>
      </c>
      <c r="G31" s="5" t="n"/>
      <c r="H31" s="5" t="n"/>
      <c r="I31" s="6">
        <f>IF(AND(G31&lt;&gt;"", H31&lt;&gt;""), ROUND((H31/G31)*100, 1), "")</f>
        <v/>
      </c>
      <c r="J31" s="5" t="n"/>
      <c r="K31" s="6">
        <f>IF(A31="", "", IF(OR(F31="", I31=""), "Not Monitored", IF(OR(F31&gt;90, I31&gt;90), "❌ Critical", IF(OR(F31&gt;75, I31&gt;75), "⚠️ Warning", "✅ OK"))))</f>
        <v/>
      </c>
    </row>
    <row r="32">
      <c r="A32" s="5" t="n"/>
      <c r="B32" s="5" t="n"/>
      <c r="C32" s="5" t="n"/>
      <c r="D32" s="5" t="n"/>
      <c r="E32" s="5" t="n"/>
      <c r="F32" s="6">
        <f>IF(AND(D32&lt;&gt;"", E32&lt;&gt;""), ROUND((E32/D32)*100, 1), "")</f>
        <v/>
      </c>
      <c r="G32" s="5" t="n"/>
      <c r="H32" s="5" t="n"/>
      <c r="I32" s="6">
        <f>IF(AND(G32&lt;&gt;"", H32&lt;&gt;""), ROUND((H32/G32)*100, 1), "")</f>
        <v/>
      </c>
      <c r="J32" s="5" t="n"/>
      <c r="K32" s="6">
        <f>IF(A32="", "", IF(OR(F32="", I32=""), "Not Monitored", IF(OR(F32&gt;90, I32&gt;90), "❌ Critical", IF(OR(F32&gt;75, I32&gt;75), "⚠️ Warning", "✅ OK"))))</f>
        <v/>
      </c>
    </row>
    <row r="33">
      <c r="A33" s="5" t="n"/>
      <c r="B33" s="5" t="n"/>
      <c r="C33" s="5" t="n"/>
      <c r="D33" s="5" t="n"/>
      <c r="E33" s="5" t="n"/>
      <c r="F33" s="6">
        <f>IF(AND(D33&lt;&gt;"", E33&lt;&gt;""), ROUND((E33/D33)*100, 1), "")</f>
        <v/>
      </c>
      <c r="G33" s="5" t="n"/>
      <c r="H33" s="5" t="n"/>
      <c r="I33" s="6">
        <f>IF(AND(G33&lt;&gt;"", H33&lt;&gt;""), ROUND((H33/G33)*100, 1), "")</f>
        <v/>
      </c>
      <c r="J33" s="5" t="n"/>
      <c r="K33" s="6">
        <f>IF(A33="", "", IF(OR(F33="", I33=""), "Not Monitored", IF(OR(F33&gt;90, I33&gt;90), "❌ Critical", IF(OR(F33&gt;75, I33&gt;75), "⚠️ Warning", "✅ OK"))))</f>
        <v/>
      </c>
    </row>
    <row r="34">
      <c r="A34" s="5" t="n"/>
      <c r="B34" s="5" t="n"/>
      <c r="C34" s="5" t="n"/>
      <c r="D34" s="5" t="n"/>
      <c r="E34" s="5" t="n"/>
      <c r="F34" s="6">
        <f>IF(AND(D34&lt;&gt;"", E34&lt;&gt;""), ROUND((E34/D34)*100, 1), "")</f>
        <v/>
      </c>
      <c r="G34" s="5" t="n"/>
      <c r="H34" s="5" t="n"/>
      <c r="I34" s="6">
        <f>IF(AND(G34&lt;&gt;"", H34&lt;&gt;""), ROUND((H34/G34)*100, 1), "")</f>
        <v/>
      </c>
      <c r="J34" s="5" t="n"/>
      <c r="K34" s="6">
        <f>IF(A34="", "", IF(OR(F34="", I34=""), "Not Monitored", IF(OR(F34&gt;90, I34&gt;90), "❌ Critical", IF(OR(F34&gt;75, I34&gt;75), "⚠️ Warning", "✅ OK"))))</f>
        <v/>
      </c>
    </row>
    <row r="35">
      <c r="A35" s="5" t="n"/>
      <c r="B35" s="5" t="n"/>
      <c r="C35" s="5" t="n"/>
      <c r="D35" s="5" t="n"/>
      <c r="E35" s="5" t="n"/>
      <c r="F35" s="6">
        <f>IF(AND(D35&lt;&gt;"", E35&lt;&gt;""), ROUND((E35/D35)*100, 1), "")</f>
        <v/>
      </c>
      <c r="G35" s="5" t="n"/>
      <c r="H35" s="5" t="n"/>
      <c r="I35" s="6">
        <f>IF(AND(G35&lt;&gt;"", H35&lt;&gt;""), ROUND((H35/G35)*100, 1), "")</f>
        <v/>
      </c>
      <c r="J35" s="5" t="n"/>
      <c r="K35" s="6">
        <f>IF(A35="", "", IF(OR(F35="", I35=""), "Not Monitored", IF(OR(F35&gt;90, I35&gt;90), "❌ Critical", IF(OR(F35&gt;75, I35&gt;75), "⚠️ Warning", "✅ OK"))))</f>
        <v/>
      </c>
    </row>
    <row r="36">
      <c r="A36" s="5" t="n"/>
      <c r="B36" s="5" t="n"/>
      <c r="C36" s="5" t="n"/>
      <c r="D36" s="5" t="n"/>
      <c r="E36" s="5" t="n"/>
      <c r="F36" s="6">
        <f>IF(AND(D36&lt;&gt;"", E36&lt;&gt;""), ROUND((E36/D36)*100, 1), "")</f>
        <v/>
      </c>
      <c r="G36" s="5" t="n"/>
      <c r="H36" s="5" t="n"/>
      <c r="I36" s="6">
        <f>IF(AND(G36&lt;&gt;"", H36&lt;&gt;""), ROUND((H36/G36)*100, 1), "")</f>
        <v/>
      </c>
      <c r="J36" s="5" t="n"/>
      <c r="K36" s="6">
        <f>IF(A36="", "", IF(OR(F36="", I36=""), "Not Monitored", IF(OR(F36&gt;90, I36&gt;90), "❌ Critical", IF(OR(F36&gt;75, I36&gt;75), "⚠️ Warning", "✅ OK"))))</f>
        <v/>
      </c>
    </row>
    <row r="37">
      <c r="A37" s="5" t="n"/>
      <c r="B37" s="5" t="n"/>
      <c r="C37" s="5" t="n"/>
      <c r="D37" s="5" t="n"/>
      <c r="E37" s="5" t="n"/>
      <c r="F37" s="6">
        <f>IF(AND(D37&lt;&gt;"", E37&lt;&gt;""), ROUND((E37/D37)*100, 1), "")</f>
        <v/>
      </c>
      <c r="G37" s="5" t="n"/>
      <c r="H37" s="5" t="n"/>
      <c r="I37" s="6">
        <f>IF(AND(G37&lt;&gt;"", H37&lt;&gt;""), ROUND((H37/G37)*100, 1), "")</f>
        <v/>
      </c>
      <c r="J37" s="5" t="n"/>
      <c r="K37" s="6">
        <f>IF(A37="", "", IF(OR(F37="", I37=""), "Not Monitored", IF(OR(F37&gt;90, I37&gt;90), "❌ Critical", IF(OR(F37&gt;75, I37&gt;75), "⚠️ Warning", "✅ OK"))))</f>
        <v/>
      </c>
    </row>
    <row r="38">
      <c r="A38" s="5" t="n"/>
      <c r="B38" s="5" t="n"/>
      <c r="C38" s="5" t="n"/>
      <c r="D38" s="5" t="n"/>
      <c r="E38" s="5" t="n"/>
      <c r="F38" s="6">
        <f>IF(AND(D38&lt;&gt;"", E38&lt;&gt;""), ROUND((E38/D38)*100, 1), "")</f>
        <v/>
      </c>
      <c r="G38" s="5" t="n"/>
      <c r="H38" s="5" t="n"/>
      <c r="I38" s="6">
        <f>IF(AND(G38&lt;&gt;"", H38&lt;&gt;""), ROUND((H38/G38)*100, 1), "")</f>
        <v/>
      </c>
      <c r="J38" s="5" t="n"/>
      <c r="K38" s="6">
        <f>IF(A38="", "", IF(OR(F38="", I38=""), "Not Monitored", IF(OR(F38&gt;90, I38&gt;90), "❌ Critical", IF(OR(F38&gt;75, I38&gt;75), "⚠️ Warning", "✅ OK"))))</f>
        <v/>
      </c>
    </row>
    <row r="39">
      <c r="A39" s="5" t="n"/>
      <c r="B39" s="5" t="n"/>
      <c r="C39" s="5" t="n"/>
      <c r="D39" s="5" t="n"/>
      <c r="E39" s="5" t="n"/>
      <c r="F39" s="6">
        <f>IF(AND(D39&lt;&gt;"", E39&lt;&gt;""), ROUND((E39/D39)*100, 1), "")</f>
        <v/>
      </c>
      <c r="G39" s="5" t="n"/>
      <c r="H39" s="5" t="n"/>
      <c r="I39" s="6">
        <f>IF(AND(G39&lt;&gt;"", H39&lt;&gt;""), ROUND((H39/G39)*100, 1), "")</f>
        <v/>
      </c>
      <c r="J39" s="5" t="n"/>
      <c r="K39" s="6">
        <f>IF(A39="", "", IF(OR(F39="", I39=""), "Not Monitored", IF(OR(F39&gt;90, I39&gt;90), "❌ Critical", IF(OR(F39&gt;75, I39&gt;75), "⚠️ Warning", "✅ OK"))))</f>
        <v/>
      </c>
    </row>
    <row r="40">
      <c r="A40" s="5" t="n"/>
      <c r="B40" s="5" t="n"/>
      <c r="C40" s="5" t="n"/>
      <c r="D40" s="5" t="n"/>
      <c r="E40" s="5" t="n"/>
      <c r="F40" s="6">
        <f>IF(AND(D40&lt;&gt;"", E40&lt;&gt;""), ROUND((E40/D40)*100, 1), "")</f>
        <v/>
      </c>
      <c r="G40" s="5" t="n"/>
      <c r="H40" s="5" t="n"/>
      <c r="I40" s="6">
        <f>IF(AND(G40&lt;&gt;"", H40&lt;&gt;""), ROUND((H40/G40)*100, 1), "")</f>
        <v/>
      </c>
      <c r="J40" s="5" t="n"/>
      <c r="K40" s="6">
        <f>IF(A40="", "", IF(OR(F40="", I40=""), "Not Monitored", IF(OR(F40&gt;90, I40&gt;90), "❌ Critical", IF(OR(F40&gt;75, I40&gt;75), "⚠️ Warning", "✅ OK"))))</f>
        <v/>
      </c>
    </row>
    <row r="41">
      <c r="A41" s="5" t="n"/>
      <c r="B41" s="5" t="n"/>
      <c r="C41" s="5" t="n"/>
      <c r="D41" s="5" t="n"/>
      <c r="E41" s="5" t="n"/>
      <c r="F41" s="6">
        <f>IF(AND(D41&lt;&gt;"", E41&lt;&gt;""), ROUND((E41/D41)*100, 1), "")</f>
        <v/>
      </c>
      <c r="G41" s="5" t="n"/>
      <c r="H41" s="5" t="n"/>
      <c r="I41" s="6">
        <f>IF(AND(G41&lt;&gt;"", H41&lt;&gt;""), ROUND((H41/G41)*100, 1), "")</f>
        <v/>
      </c>
      <c r="J41" s="5" t="n"/>
      <c r="K41" s="6">
        <f>IF(A41="", "", IF(OR(F41="", I41=""), "Not Monitored", IF(OR(F41&gt;90, I41&gt;90), "❌ Critical", IF(OR(F41&gt;75, I41&gt;75), "⚠️ Warning", "✅ OK"))))</f>
        <v/>
      </c>
    </row>
    <row r="42">
      <c r="A42" s="5" t="n"/>
      <c r="B42" s="5" t="n"/>
      <c r="C42" s="5" t="n"/>
      <c r="D42" s="5" t="n"/>
      <c r="E42" s="5" t="n"/>
      <c r="F42" s="6">
        <f>IF(AND(D42&lt;&gt;"", E42&lt;&gt;""), ROUND((E42/D42)*100, 1), "")</f>
        <v/>
      </c>
      <c r="G42" s="5" t="n"/>
      <c r="H42" s="5" t="n"/>
      <c r="I42" s="6">
        <f>IF(AND(G42&lt;&gt;"", H42&lt;&gt;""), ROUND((H42/G42)*100, 1), "")</f>
        <v/>
      </c>
      <c r="J42" s="5" t="n"/>
      <c r="K42" s="6">
        <f>IF(A42="", "", IF(OR(F42="", I42=""), "Not Monitored", IF(OR(F42&gt;90, I42&gt;90), "❌ Critical", IF(OR(F42&gt;75, I42&gt;75), "⚠️ Warning", "✅ OK"))))</f>
        <v/>
      </c>
    </row>
    <row r="43">
      <c r="A43" s="5" t="n"/>
      <c r="B43" s="5" t="n"/>
      <c r="C43" s="5" t="n"/>
      <c r="D43" s="5" t="n"/>
      <c r="E43" s="5" t="n"/>
      <c r="F43" s="6">
        <f>IF(AND(D43&lt;&gt;"", E43&lt;&gt;""), ROUND((E43/D43)*100, 1), "")</f>
        <v/>
      </c>
      <c r="G43" s="5" t="n"/>
      <c r="H43" s="5" t="n"/>
      <c r="I43" s="6">
        <f>IF(AND(G43&lt;&gt;"", H43&lt;&gt;""), ROUND((H43/G43)*100, 1), "")</f>
        <v/>
      </c>
      <c r="J43" s="5" t="n"/>
      <c r="K43" s="6">
        <f>IF(A43="", "", IF(OR(F43="", I43=""), "Not Monitored", IF(OR(F43&gt;90, I43&gt;90), "❌ Critical", IF(OR(F43&gt;75, I43&gt;75), "⚠️ Warning", "✅ OK"))))</f>
        <v/>
      </c>
    </row>
    <row r="44">
      <c r="A44" s="5" t="n"/>
      <c r="B44" s="5" t="n"/>
      <c r="C44" s="5" t="n"/>
      <c r="D44" s="5" t="n"/>
      <c r="E44" s="5" t="n"/>
      <c r="F44" s="6">
        <f>IF(AND(D44&lt;&gt;"", E44&lt;&gt;""), ROUND((E44/D44)*100, 1), "")</f>
        <v/>
      </c>
      <c r="G44" s="5" t="n"/>
      <c r="H44" s="5" t="n"/>
      <c r="I44" s="6">
        <f>IF(AND(G44&lt;&gt;"", H44&lt;&gt;""), ROUND((H44/G44)*100, 1), "")</f>
        <v/>
      </c>
      <c r="J44" s="5" t="n"/>
      <c r="K44" s="6">
        <f>IF(A44="", "", IF(OR(F44="", I44=""), "Not Monitored", IF(OR(F44&gt;90, I44&gt;90), "❌ Critical", IF(OR(F44&gt;75, I44&gt;75), "⚠️ Warning", "✅ OK"))))</f>
        <v/>
      </c>
    </row>
    <row r="45">
      <c r="A45" s="5" t="n"/>
      <c r="B45" s="5" t="n"/>
      <c r="C45" s="5" t="n"/>
      <c r="D45" s="5" t="n"/>
      <c r="E45" s="5" t="n"/>
      <c r="F45" s="6">
        <f>IF(AND(D45&lt;&gt;"", E45&lt;&gt;""), ROUND((E45/D45)*100, 1), "")</f>
        <v/>
      </c>
      <c r="G45" s="5" t="n"/>
      <c r="H45" s="5" t="n"/>
      <c r="I45" s="6">
        <f>IF(AND(G45&lt;&gt;"", H45&lt;&gt;""), ROUND((H45/G45)*100, 1), "")</f>
        <v/>
      </c>
      <c r="J45" s="5" t="n"/>
      <c r="K45" s="6">
        <f>IF(A45="", "", IF(OR(F45="", I45=""), "Not Monitored", IF(OR(F45&gt;90, I45&gt;90), "❌ Critical", IF(OR(F45&gt;75, I45&gt;75), "⚠️ Warning", "✅ OK"))))</f>
        <v/>
      </c>
    </row>
    <row r="46">
      <c r="A46" s="5" t="n"/>
      <c r="B46" s="5" t="n"/>
      <c r="C46" s="5" t="n"/>
      <c r="D46" s="5" t="n"/>
      <c r="E46" s="5" t="n"/>
      <c r="F46" s="6">
        <f>IF(AND(D46&lt;&gt;"", E46&lt;&gt;""), ROUND((E46/D46)*100, 1), "")</f>
        <v/>
      </c>
      <c r="G46" s="5" t="n"/>
      <c r="H46" s="5" t="n"/>
      <c r="I46" s="6">
        <f>IF(AND(G46&lt;&gt;"", H46&lt;&gt;""), ROUND((H46/G46)*100, 1), "")</f>
        <v/>
      </c>
      <c r="J46" s="5" t="n"/>
      <c r="K46" s="6">
        <f>IF(A46="", "", IF(OR(F46="", I46=""), "Not Monitored", IF(OR(F46&gt;90, I46&gt;90), "❌ Critical", IF(OR(F46&gt;75, I46&gt;75), "⚠️ Warning", "✅ OK"))))</f>
        <v/>
      </c>
    </row>
    <row r="47">
      <c r="A47" s="5" t="n"/>
      <c r="B47" s="5" t="n"/>
      <c r="C47" s="5" t="n"/>
      <c r="D47" s="5" t="n"/>
      <c r="E47" s="5" t="n"/>
      <c r="F47" s="6">
        <f>IF(AND(D47&lt;&gt;"", E47&lt;&gt;""), ROUND((E47/D47)*100, 1), "")</f>
        <v/>
      </c>
      <c r="G47" s="5" t="n"/>
      <c r="H47" s="5" t="n"/>
      <c r="I47" s="6">
        <f>IF(AND(G47&lt;&gt;"", H47&lt;&gt;""), ROUND((H47/G47)*100, 1), "")</f>
        <v/>
      </c>
      <c r="J47" s="5" t="n"/>
      <c r="K47" s="6">
        <f>IF(A47="", "", IF(OR(F47="", I47=""), "Not Monitored", IF(OR(F47&gt;90, I47&gt;90), "❌ Critical", IF(OR(F47&gt;75, I47&gt;75), "⚠️ Warning", "✅ OK"))))</f>
        <v/>
      </c>
    </row>
    <row r="48">
      <c r="A48" s="5" t="n"/>
      <c r="B48" s="5" t="n"/>
      <c r="C48" s="5" t="n"/>
      <c r="D48" s="5" t="n"/>
      <c r="E48" s="5" t="n"/>
      <c r="F48" s="6">
        <f>IF(AND(D48&lt;&gt;"", E48&lt;&gt;""), ROUND((E48/D48)*100, 1), "")</f>
        <v/>
      </c>
      <c r="G48" s="5" t="n"/>
      <c r="H48" s="5" t="n"/>
      <c r="I48" s="6">
        <f>IF(AND(G48&lt;&gt;"", H48&lt;&gt;""), ROUND((H48/G48)*100, 1), "")</f>
        <v/>
      </c>
      <c r="J48" s="5" t="n"/>
      <c r="K48" s="6">
        <f>IF(A48="", "", IF(OR(F48="", I48=""), "Not Monitored", IF(OR(F48&gt;90, I48&gt;90), "❌ Critical", IF(OR(F48&gt;75, I48&gt;75), "⚠️ Warning", "✅ OK"))))</f>
        <v/>
      </c>
    </row>
    <row r="49">
      <c r="A49" s="5" t="n"/>
      <c r="B49" s="5" t="n"/>
      <c r="C49" s="5" t="n"/>
      <c r="D49" s="5" t="n"/>
      <c r="E49" s="5" t="n"/>
      <c r="F49" s="6">
        <f>IF(AND(D49&lt;&gt;"", E49&lt;&gt;""), ROUND((E49/D49)*100, 1), "")</f>
        <v/>
      </c>
      <c r="G49" s="5" t="n"/>
      <c r="H49" s="5" t="n"/>
      <c r="I49" s="6">
        <f>IF(AND(G49&lt;&gt;"", H49&lt;&gt;""), ROUND((H49/G49)*100, 1), "")</f>
        <v/>
      </c>
      <c r="J49" s="5" t="n"/>
      <c r="K49" s="6">
        <f>IF(A49="", "", IF(OR(F49="", I49=""), "Not Monitored", IF(OR(F49&gt;90, I49&gt;90), "❌ Critical", IF(OR(F49&gt;75, I49&gt;75), "⚠️ Warning", "✅ OK"))))</f>
        <v/>
      </c>
    </row>
    <row r="50">
      <c r="A50" s="5" t="n"/>
      <c r="B50" s="5" t="n"/>
      <c r="C50" s="5" t="n"/>
      <c r="D50" s="5" t="n"/>
      <c r="E50" s="5" t="n"/>
      <c r="F50" s="6">
        <f>IF(AND(D50&lt;&gt;"", E50&lt;&gt;""), ROUND((E50/D50)*100, 1), "")</f>
        <v/>
      </c>
      <c r="G50" s="5" t="n"/>
      <c r="H50" s="5" t="n"/>
      <c r="I50" s="6">
        <f>IF(AND(G50&lt;&gt;"", H50&lt;&gt;""), ROUND((H50/G50)*100, 1), "")</f>
        <v/>
      </c>
      <c r="J50" s="5" t="n"/>
      <c r="K50" s="6">
        <f>IF(A50="", "", IF(OR(F50="", I50=""), "Not Monitored", IF(OR(F50&gt;90, I50&gt;90), "❌ Critical", IF(OR(F50&gt;75, I50&gt;75), "⚠️ Warning", "✅ OK"))))</f>
        <v/>
      </c>
    </row>
    <row r="51">
      <c r="A51" s="5" t="n"/>
      <c r="B51" s="5" t="n"/>
      <c r="C51" s="5" t="n"/>
      <c r="D51" s="5" t="n"/>
      <c r="E51" s="5" t="n"/>
      <c r="F51" s="6">
        <f>IF(AND(D51&lt;&gt;"", E51&lt;&gt;""), ROUND((E51/D51)*100, 1), "")</f>
        <v/>
      </c>
      <c r="G51" s="5" t="n"/>
      <c r="H51" s="5" t="n"/>
      <c r="I51" s="6">
        <f>IF(AND(G51&lt;&gt;"", H51&lt;&gt;""), ROUND((H51/G51)*100, 1), "")</f>
        <v/>
      </c>
      <c r="J51" s="5" t="n"/>
      <c r="K51" s="6">
        <f>IF(A51="", "", IF(OR(F51="", I51=""), "Not Monitored", IF(OR(F51&gt;90, I51&gt;90), "❌ Critical", IF(OR(F51&gt;75, I51&gt;75), "⚠️ Warning", "✅ OK"))))</f>
        <v/>
      </c>
    </row>
    <row r="52">
      <c r="A52" s="5" t="n"/>
      <c r="B52" s="5" t="n"/>
      <c r="C52" s="5" t="n"/>
      <c r="D52" s="5" t="n"/>
      <c r="E52" s="5" t="n"/>
      <c r="F52" s="6">
        <f>IF(AND(D52&lt;&gt;"", E52&lt;&gt;""), ROUND((E52/D52)*100, 1), "")</f>
        <v/>
      </c>
      <c r="G52" s="5" t="n"/>
      <c r="H52" s="5" t="n"/>
      <c r="I52" s="6">
        <f>IF(AND(G52&lt;&gt;"", H52&lt;&gt;""), ROUND((H52/G52)*100, 1), "")</f>
        <v/>
      </c>
      <c r="J52" s="5" t="n"/>
      <c r="K52" s="6">
        <f>IF(A52="", "", IF(OR(F52="", I52=""), "Not Monitored", IF(OR(F52&gt;90, I52&gt;90), "❌ Critical", IF(OR(F52&gt;75, I52&gt;75), "⚠️ Warning", "✅ OK"))))</f>
        <v/>
      </c>
    </row>
    <row r="53">
      <c r="A53" s="5" t="n"/>
      <c r="B53" s="5" t="n"/>
      <c r="C53" s="5" t="n"/>
      <c r="D53" s="5" t="n"/>
      <c r="E53" s="5" t="n"/>
      <c r="F53" s="6">
        <f>IF(AND(D53&lt;&gt;"", E53&lt;&gt;""), ROUND((E53/D53)*100, 1), "")</f>
        <v/>
      </c>
      <c r="G53" s="5" t="n"/>
      <c r="H53" s="5" t="n"/>
      <c r="I53" s="6">
        <f>IF(AND(G53&lt;&gt;"", H53&lt;&gt;""), ROUND((H53/G53)*100, 1), "")</f>
        <v/>
      </c>
      <c r="J53" s="5" t="n"/>
      <c r="K53" s="6">
        <f>IF(A53="", "", IF(OR(F53="", I53=""), "Not Monitored", IF(OR(F53&gt;90, I53&gt;90), "❌ Critical", IF(OR(F53&gt;75, I53&gt;75), "⚠️ Warning", "✅ OK"))))</f>
        <v/>
      </c>
    </row>
    <row r="54">
      <c r="A54" s="5" t="n"/>
      <c r="B54" s="5" t="n"/>
      <c r="C54" s="5" t="n"/>
      <c r="D54" s="5" t="n"/>
      <c r="E54" s="5" t="n"/>
      <c r="F54" s="6">
        <f>IF(AND(D54&lt;&gt;"", E54&lt;&gt;""), ROUND((E54/D54)*100, 1), "")</f>
        <v/>
      </c>
      <c r="G54" s="5" t="n"/>
      <c r="H54" s="5" t="n"/>
      <c r="I54" s="6">
        <f>IF(AND(G54&lt;&gt;"", H54&lt;&gt;""), ROUND((H54/G54)*100, 1), "")</f>
        <v/>
      </c>
      <c r="J54" s="5" t="n"/>
      <c r="K54" s="6">
        <f>IF(A54="", "", IF(OR(F54="", I54=""), "Not Monitored", IF(OR(F54&gt;90, I54&gt;90), "❌ Critical", IF(OR(F54&gt;75, I54&gt;75), "⚠️ Warning", "✅ OK"))))</f>
        <v/>
      </c>
    </row>
  </sheetData>
  <mergeCells count="2">
    <mergeCell ref="A2:K2"/>
    <mergeCell ref="A1:K1"/>
  </mergeCells>
  <dataValidations count="2">
    <dataValidation sqref="K4:K54" showDropDown="0" showInputMessage="0" showErrorMessage="0" allowBlank="0" type="list">
      <formula1>"✅ OK,⚠️ Warning,❌ Critical,Not Monitored"</formula1>
    </dataValidation>
    <dataValidation sqref="B4:B53" showDropDown="0" showInputMessage="0" showErrorMessage="0" allowBlank="0" type="list">
      <formula1>"Web Application,Database,API Service,Message Queue,Batch Processing,SaaS Application,Other"</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54"/>
  <sheetViews>
    <sheetView showGridLines="0" workbookViewId="0">
      <pane ySplit="3" topLeftCell="A4" activePane="bottomLeft" state="frozen"/>
      <selection pane="bottomLeft" activeCell="A1" sqref="A1"/>
    </sheetView>
  </sheetViews>
  <sheetFormatPr baseColWidth="8" defaultRowHeight="15"/>
  <cols>
    <col width="15" customWidth="1" min="1" max="1"/>
    <col width="30" customWidth="1" min="2" max="2"/>
    <col width="15" customWidth="1" min="3" max="3"/>
    <col width="15" customWidth="1" min="4" max="4"/>
    <col width="15" customWidth="1" min="5" max="5"/>
    <col width="15" customWidth="1" min="6" max="6"/>
    <col width="18" customWidth="1" min="7" max="7"/>
    <col width="20" customWidth="1" min="8" max="8"/>
    <col width="20" customWidth="1" min="9" max="9"/>
    <col width="18" customWidth="1" min="10" max="10"/>
  </cols>
  <sheetData>
    <row r="1" ht="35" customHeight="1">
      <c r="A1" s="1" t="inlineStr">
        <is>
          <t>CLOUD SERVICE CAPACITY UTILIZATION</t>
        </is>
      </c>
    </row>
    <row r="2">
      <c r="A2" s="2" t="inlineStr">
        <is>
          <t>Document cloud service quotas, limits, and instance counts</t>
        </is>
      </c>
    </row>
    <row r="3">
      <c r="A3" s="3" t="inlineStr">
        <is>
          <t>Cloud Provider</t>
        </is>
      </c>
      <c r="B3" s="3" t="inlineStr">
        <is>
          <t>Service/Resource Type</t>
        </is>
      </c>
      <c r="C3" s="3" t="inlineStr">
        <is>
          <t>Region</t>
        </is>
      </c>
      <c r="D3" s="3" t="inlineStr">
        <is>
          <t>Quota/Limit</t>
        </is>
      </c>
      <c r="E3" s="3" t="inlineStr">
        <is>
          <t>Current Usage</t>
        </is>
      </c>
      <c r="F3" s="3" t="inlineStr">
        <is>
          <t>Utilization (%)</t>
        </is>
      </c>
      <c r="G3" s="3" t="inlineStr">
        <is>
          <t>Monthly Cost (CHF)</t>
        </is>
      </c>
      <c r="H3" s="3" t="inlineStr">
        <is>
          <t>Reserved Capacity</t>
        </is>
      </c>
      <c r="I3" s="3" t="inlineStr">
        <is>
          <t>Auto-Scaling Enabled</t>
        </is>
      </c>
      <c r="J3" s="3" t="inlineStr">
        <is>
          <t>Threshold Status</t>
        </is>
      </c>
    </row>
    <row r="4">
      <c r="A4" s="4" t="inlineStr">
        <is>
          <t>AWS</t>
        </is>
      </c>
      <c r="B4" s="4" t="inlineStr">
        <is>
          <t>EC2 Instances (t3.large)</t>
        </is>
      </c>
      <c r="C4" s="4" t="inlineStr">
        <is>
          <t>us-east-1</t>
        </is>
      </c>
      <c r="D4" s="4" t="inlineStr">
        <is>
          <t>100</t>
        </is>
      </c>
      <c r="E4" s="4" t="inlineStr">
        <is>
          <t>72</t>
        </is>
      </c>
      <c r="F4" s="4">
        <f>IF(AND(D4&lt;&gt;"", E4&lt;&gt;""), ROUND((E4/D4)*100, 1), "")</f>
        <v/>
      </c>
      <c r="G4" s="4" t="inlineStr">
        <is>
          <t>4320</t>
        </is>
      </c>
      <c r="H4" s="4" t="inlineStr">
        <is>
          <t>20 Reserved</t>
        </is>
      </c>
      <c r="I4" s="4" t="inlineStr">
        <is>
          <t>Yes</t>
        </is>
      </c>
      <c r="J4" s="4">
        <f>IF(A4="", "", IF(F4="", "Not Monitored", IF(F4&gt;85, "❌ Critical", IF(F4&gt;70, "⚠️ Warning", "✅ OK"))))</f>
        <v/>
      </c>
    </row>
    <row r="5">
      <c r="A5" s="5" t="n"/>
      <c r="B5" s="5" t="n"/>
      <c r="C5" s="5" t="n"/>
      <c r="D5" s="5" t="n"/>
      <c r="E5" s="5" t="n"/>
      <c r="F5" s="6">
        <f>IF(AND(D5&lt;&gt;"", E5&lt;&gt;""), ROUND((E5/D5)*100, 1), "")</f>
        <v/>
      </c>
      <c r="G5" s="5" t="n"/>
      <c r="H5" s="5" t="n"/>
      <c r="I5" s="5" t="n"/>
      <c r="J5" s="6">
        <f>IF(A5="", "", IF(F5="", "Not Monitored", IF(F5&gt;85, "❌ Critical", IF(F5&gt;70, "⚠️ Warning", "✅ OK"))))</f>
        <v/>
      </c>
    </row>
    <row r="6">
      <c r="A6" s="5" t="n"/>
      <c r="B6" s="5" t="n"/>
      <c r="C6" s="5" t="n"/>
      <c r="D6" s="5" t="n"/>
      <c r="E6" s="5" t="n"/>
      <c r="F6" s="6">
        <f>IF(AND(D6&lt;&gt;"", E6&lt;&gt;""), ROUND((E6/D6)*100, 1), "")</f>
        <v/>
      </c>
      <c r="G6" s="5" t="n"/>
      <c r="H6" s="5" t="n"/>
      <c r="I6" s="5" t="n"/>
      <c r="J6" s="6">
        <f>IF(A6="", "", IF(F6="", "Not Monitored", IF(F6&gt;85, "❌ Critical", IF(F6&gt;70, "⚠️ Warning", "✅ OK"))))</f>
        <v/>
      </c>
    </row>
    <row r="7">
      <c r="A7" s="5" t="n"/>
      <c r="B7" s="5" t="n"/>
      <c r="C7" s="5" t="n"/>
      <c r="D7" s="5" t="n"/>
      <c r="E7" s="5" t="n"/>
      <c r="F7" s="6">
        <f>IF(AND(D7&lt;&gt;"", E7&lt;&gt;""), ROUND((E7/D7)*100, 1), "")</f>
        <v/>
      </c>
      <c r="G7" s="5" t="n"/>
      <c r="H7" s="5" t="n"/>
      <c r="I7" s="5" t="n"/>
      <c r="J7" s="6">
        <f>IF(A7="", "", IF(F7="", "Not Monitored", IF(F7&gt;85, "❌ Critical", IF(F7&gt;70, "⚠️ Warning", "✅ OK"))))</f>
        <v/>
      </c>
    </row>
    <row r="8">
      <c r="A8" s="5" t="n"/>
      <c r="B8" s="5" t="n"/>
      <c r="C8" s="5" t="n"/>
      <c r="D8" s="5" t="n"/>
      <c r="E8" s="5" t="n"/>
      <c r="F8" s="6">
        <f>IF(AND(D8&lt;&gt;"", E8&lt;&gt;""), ROUND((E8/D8)*100, 1), "")</f>
        <v/>
      </c>
      <c r="G8" s="5" t="n"/>
      <c r="H8" s="5" t="n"/>
      <c r="I8" s="5" t="n"/>
      <c r="J8" s="6">
        <f>IF(A8="", "", IF(F8="", "Not Monitored", IF(F8&gt;85, "❌ Critical", IF(F8&gt;70, "⚠️ Warning", "✅ OK"))))</f>
        <v/>
      </c>
    </row>
    <row r="9">
      <c r="A9" s="5" t="n"/>
      <c r="B9" s="5" t="n"/>
      <c r="C9" s="5" t="n"/>
      <c r="D9" s="5" t="n"/>
      <c r="E9" s="5" t="n"/>
      <c r="F9" s="6">
        <f>IF(AND(D9&lt;&gt;"", E9&lt;&gt;""), ROUND((E9/D9)*100, 1), "")</f>
        <v/>
      </c>
      <c r="G9" s="5" t="n"/>
      <c r="H9" s="5" t="n"/>
      <c r="I9" s="5" t="n"/>
      <c r="J9" s="6">
        <f>IF(A9="", "", IF(F9="", "Not Monitored", IF(F9&gt;85, "❌ Critical", IF(F9&gt;70, "⚠️ Warning", "✅ OK"))))</f>
        <v/>
      </c>
    </row>
    <row r="10">
      <c r="A10" s="5" t="n"/>
      <c r="B10" s="5" t="n"/>
      <c r="C10" s="5" t="n"/>
      <c r="D10" s="5" t="n"/>
      <c r="E10" s="5" t="n"/>
      <c r="F10" s="6">
        <f>IF(AND(D10&lt;&gt;"", E10&lt;&gt;""), ROUND((E10/D10)*100, 1), "")</f>
        <v/>
      </c>
      <c r="G10" s="5" t="n"/>
      <c r="H10" s="5" t="n"/>
      <c r="I10" s="5" t="n"/>
      <c r="J10" s="6">
        <f>IF(A10="", "", IF(F10="", "Not Monitored", IF(F10&gt;85, "❌ Critical", IF(F10&gt;70, "⚠️ Warning", "✅ OK"))))</f>
        <v/>
      </c>
    </row>
    <row r="11">
      <c r="A11" s="5" t="n"/>
      <c r="B11" s="5" t="n"/>
      <c r="C11" s="5" t="n"/>
      <c r="D11" s="5" t="n"/>
      <c r="E11" s="5" t="n"/>
      <c r="F11" s="6">
        <f>IF(AND(D11&lt;&gt;"", E11&lt;&gt;""), ROUND((E11/D11)*100, 1), "")</f>
        <v/>
      </c>
      <c r="G11" s="5" t="n"/>
      <c r="H11" s="5" t="n"/>
      <c r="I11" s="5" t="n"/>
      <c r="J11" s="6">
        <f>IF(A11="", "", IF(F11="", "Not Monitored", IF(F11&gt;85, "❌ Critical", IF(F11&gt;70, "⚠️ Warning", "✅ OK"))))</f>
        <v/>
      </c>
    </row>
    <row r="12">
      <c r="A12" s="5" t="n"/>
      <c r="B12" s="5" t="n"/>
      <c r="C12" s="5" t="n"/>
      <c r="D12" s="5" t="n"/>
      <c r="E12" s="5" t="n"/>
      <c r="F12" s="6">
        <f>IF(AND(D12&lt;&gt;"", E12&lt;&gt;""), ROUND((E12/D12)*100, 1), "")</f>
        <v/>
      </c>
      <c r="G12" s="5" t="n"/>
      <c r="H12" s="5" t="n"/>
      <c r="I12" s="5" t="n"/>
      <c r="J12" s="6">
        <f>IF(A12="", "", IF(F12="", "Not Monitored", IF(F12&gt;85, "❌ Critical", IF(F12&gt;70, "⚠️ Warning", "✅ OK"))))</f>
        <v/>
      </c>
    </row>
    <row r="13">
      <c r="A13" s="5" t="n"/>
      <c r="B13" s="5" t="n"/>
      <c r="C13" s="5" t="n"/>
      <c r="D13" s="5" t="n"/>
      <c r="E13" s="5" t="n"/>
      <c r="F13" s="6">
        <f>IF(AND(D13&lt;&gt;"", E13&lt;&gt;""), ROUND((E13/D13)*100, 1), "")</f>
        <v/>
      </c>
      <c r="G13" s="5" t="n"/>
      <c r="H13" s="5" t="n"/>
      <c r="I13" s="5" t="n"/>
      <c r="J13" s="6">
        <f>IF(A13="", "", IF(F13="", "Not Monitored", IF(F13&gt;85, "❌ Critical", IF(F13&gt;70, "⚠️ Warning", "✅ OK"))))</f>
        <v/>
      </c>
    </row>
    <row r="14">
      <c r="A14" s="5" t="n"/>
      <c r="B14" s="5" t="n"/>
      <c r="C14" s="5" t="n"/>
      <c r="D14" s="5" t="n"/>
      <c r="E14" s="5" t="n"/>
      <c r="F14" s="6">
        <f>IF(AND(D14&lt;&gt;"", E14&lt;&gt;""), ROUND((E14/D14)*100, 1), "")</f>
        <v/>
      </c>
      <c r="G14" s="5" t="n"/>
      <c r="H14" s="5" t="n"/>
      <c r="I14" s="5" t="n"/>
      <c r="J14" s="6">
        <f>IF(A14="", "", IF(F14="", "Not Monitored", IF(F14&gt;85, "❌ Critical", IF(F14&gt;70, "⚠️ Warning", "✅ OK"))))</f>
        <v/>
      </c>
    </row>
    <row r="15">
      <c r="A15" s="5" t="n"/>
      <c r="B15" s="5" t="n"/>
      <c r="C15" s="5" t="n"/>
      <c r="D15" s="5" t="n"/>
      <c r="E15" s="5" t="n"/>
      <c r="F15" s="6">
        <f>IF(AND(D15&lt;&gt;"", E15&lt;&gt;""), ROUND((E15/D15)*100, 1), "")</f>
        <v/>
      </c>
      <c r="G15" s="5" t="n"/>
      <c r="H15" s="5" t="n"/>
      <c r="I15" s="5" t="n"/>
      <c r="J15" s="6">
        <f>IF(A15="", "", IF(F15="", "Not Monitored", IF(F15&gt;85, "❌ Critical", IF(F15&gt;70, "⚠️ Warning", "✅ OK"))))</f>
        <v/>
      </c>
    </row>
    <row r="16">
      <c r="A16" s="5" t="n"/>
      <c r="B16" s="5" t="n"/>
      <c r="C16" s="5" t="n"/>
      <c r="D16" s="5" t="n"/>
      <c r="E16" s="5" t="n"/>
      <c r="F16" s="6">
        <f>IF(AND(D16&lt;&gt;"", E16&lt;&gt;""), ROUND((E16/D16)*100, 1), "")</f>
        <v/>
      </c>
      <c r="G16" s="5" t="n"/>
      <c r="H16" s="5" t="n"/>
      <c r="I16" s="5" t="n"/>
      <c r="J16" s="6">
        <f>IF(A16="", "", IF(F16="", "Not Monitored", IF(F16&gt;85, "❌ Critical", IF(F16&gt;70, "⚠️ Warning", "✅ OK"))))</f>
        <v/>
      </c>
    </row>
    <row r="17">
      <c r="A17" s="5" t="n"/>
      <c r="B17" s="5" t="n"/>
      <c r="C17" s="5" t="n"/>
      <c r="D17" s="5" t="n"/>
      <c r="E17" s="5" t="n"/>
      <c r="F17" s="6">
        <f>IF(AND(D17&lt;&gt;"", E17&lt;&gt;""), ROUND((E17/D17)*100, 1), "")</f>
        <v/>
      </c>
      <c r="G17" s="5" t="n"/>
      <c r="H17" s="5" t="n"/>
      <c r="I17" s="5" t="n"/>
      <c r="J17" s="6">
        <f>IF(A17="", "", IF(F17="", "Not Monitored", IF(F17&gt;85, "❌ Critical", IF(F17&gt;70, "⚠️ Warning", "✅ OK"))))</f>
        <v/>
      </c>
    </row>
    <row r="18">
      <c r="A18" s="5" t="n"/>
      <c r="B18" s="5" t="n"/>
      <c r="C18" s="5" t="n"/>
      <c r="D18" s="5" t="n"/>
      <c r="E18" s="5" t="n"/>
      <c r="F18" s="6">
        <f>IF(AND(D18&lt;&gt;"", E18&lt;&gt;""), ROUND((E18/D18)*100, 1), "")</f>
        <v/>
      </c>
      <c r="G18" s="5" t="n"/>
      <c r="H18" s="5" t="n"/>
      <c r="I18" s="5" t="n"/>
      <c r="J18" s="6">
        <f>IF(A18="", "", IF(F18="", "Not Monitored", IF(F18&gt;85, "❌ Critical", IF(F18&gt;70, "⚠️ Warning", "✅ OK"))))</f>
        <v/>
      </c>
    </row>
    <row r="19">
      <c r="A19" s="5" t="n"/>
      <c r="B19" s="5" t="n"/>
      <c r="C19" s="5" t="n"/>
      <c r="D19" s="5" t="n"/>
      <c r="E19" s="5" t="n"/>
      <c r="F19" s="6">
        <f>IF(AND(D19&lt;&gt;"", E19&lt;&gt;""), ROUND((E19/D19)*100, 1), "")</f>
        <v/>
      </c>
      <c r="G19" s="5" t="n"/>
      <c r="H19" s="5" t="n"/>
      <c r="I19" s="5" t="n"/>
      <c r="J19" s="6">
        <f>IF(A19="", "", IF(F19="", "Not Monitored", IF(F19&gt;85, "❌ Critical", IF(F19&gt;70, "⚠️ Warning", "✅ OK"))))</f>
        <v/>
      </c>
    </row>
    <row r="20">
      <c r="A20" s="5" t="n"/>
      <c r="B20" s="5" t="n"/>
      <c r="C20" s="5" t="n"/>
      <c r="D20" s="5" t="n"/>
      <c r="E20" s="5" t="n"/>
      <c r="F20" s="6">
        <f>IF(AND(D20&lt;&gt;"", E20&lt;&gt;""), ROUND((E20/D20)*100, 1), "")</f>
        <v/>
      </c>
      <c r="G20" s="5" t="n"/>
      <c r="H20" s="5" t="n"/>
      <c r="I20" s="5" t="n"/>
      <c r="J20" s="6">
        <f>IF(A20="", "", IF(F20="", "Not Monitored", IF(F20&gt;85, "❌ Critical", IF(F20&gt;70, "⚠️ Warning", "✅ OK"))))</f>
        <v/>
      </c>
    </row>
    <row r="21">
      <c r="A21" s="5" t="n"/>
      <c r="B21" s="5" t="n"/>
      <c r="C21" s="5" t="n"/>
      <c r="D21" s="5" t="n"/>
      <c r="E21" s="5" t="n"/>
      <c r="F21" s="6">
        <f>IF(AND(D21&lt;&gt;"", E21&lt;&gt;""), ROUND((E21/D21)*100, 1), "")</f>
        <v/>
      </c>
      <c r="G21" s="5" t="n"/>
      <c r="H21" s="5" t="n"/>
      <c r="I21" s="5" t="n"/>
      <c r="J21" s="6">
        <f>IF(A21="", "", IF(F21="", "Not Monitored", IF(F21&gt;85, "❌ Critical", IF(F21&gt;70, "⚠️ Warning", "✅ OK"))))</f>
        <v/>
      </c>
    </row>
    <row r="22">
      <c r="A22" s="5" t="n"/>
      <c r="B22" s="5" t="n"/>
      <c r="C22" s="5" t="n"/>
      <c r="D22" s="5" t="n"/>
      <c r="E22" s="5" t="n"/>
      <c r="F22" s="6">
        <f>IF(AND(D22&lt;&gt;"", E22&lt;&gt;""), ROUND((E22/D22)*100, 1), "")</f>
        <v/>
      </c>
      <c r="G22" s="5" t="n"/>
      <c r="H22" s="5" t="n"/>
      <c r="I22" s="5" t="n"/>
      <c r="J22" s="6">
        <f>IF(A22="", "", IF(F22="", "Not Monitored", IF(F22&gt;85, "❌ Critical", IF(F22&gt;70, "⚠️ Warning", "✅ OK"))))</f>
        <v/>
      </c>
    </row>
    <row r="23">
      <c r="A23" s="5" t="n"/>
      <c r="B23" s="5" t="n"/>
      <c r="C23" s="5" t="n"/>
      <c r="D23" s="5" t="n"/>
      <c r="E23" s="5" t="n"/>
      <c r="F23" s="6">
        <f>IF(AND(D23&lt;&gt;"", E23&lt;&gt;""), ROUND((E23/D23)*100, 1), "")</f>
        <v/>
      </c>
      <c r="G23" s="5" t="n"/>
      <c r="H23" s="5" t="n"/>
      <c r="I23" s="5" t="n"/>
      <c r="J23" s="6">
        <f>IF(A23="", "", IF(F23="", "Not Monitored", IF(F23&gt;85, "❌ Critical", IF(F23&gt;70, "⚠️ Warning", "✅ OK"))))</f>
        <v/>
      </c>
    </row>
    <row r="24">
      <c r="A24" s="5" t="n"/>
      <c r="B24" s="5" t="n"/>
      <c r="C24" s="5" t="n"/>
      <c r="D24" s="5" t="n"/>
      <c r="E24" s="5" t="n"/>
      <c r="F24" s="6">
        <f>IF(AND(D24&lt;&gt;"", E24&lt;&gt;""), ROUND((E24/D24)*100, 1), "")</f>
        <v/>
      </c>
      <c r="G24" s="5" t="n"/>
      <c r="H24" s="5" t="n"/>
      <c r="I24" s="5" t="n"/>
      <c r="J24" s="6">
        <f>IF(A24="", "", IF(F24="", "Not Monitored", IF(F24&gt;85, "❌ Critical", IF(F24&gt;70, "⚠️ Warning", "✅ OK"))))</f>
        <v/>
      </c>
    </row>
    <row r="25">
      <c r="A25" s="5" t="n"/>
      <c r="B25" s="5" t="n"/>
      <c r="C25" s="5" t="n"/>
      <c r="D25" s="5" t="n"/>
      <c r="E25" s="5" t="n"/>
      <c r="F25" s="6">
        <f>IF(AND(D25&lt;&gt;"", E25&lt;&gt;""), ROUND((E25/D25)*100, 1), "")</f>
        <v/>
      </c>
      <c r="G25" s="5" t="n"/>
      <c r="H25" s="5" t="n"/>
      <c r="I25" s="5" t="n"/>
      <c r="J25" s="6">
        <f>IF(A25="", "", IF(F25="", "Not Monitored", IF(F25&gt;85, "❌ Critical", IF(F25&gt;70, "⚠️ Warning", "✅ OK"))))</f>
        <v/>
      </c>
    </row>
    <row r="26">
      <c r="A26" s="5" t="n"/>
      <c r="B26" s="5" t="n"/>
      <c r="C26" s="5" t="n"/>
      <c r="D26" s="5" t="n"/>
      <c r="E26" s="5" t="n"/>
      <c r="F26" s="6">
        <f>IF(AND(D26&lt;&gt;"", E26&lt;&gt;""), ROUND((E26/D26)*100, 1), "")</f>
        <v/>
      </c>
      <c r="G26" s="5" t="n"/>
      <c r="H26" s="5" t="n"/>
      <c r="I26" s="5" t="n"/>
      <c r="J26" s="6">
        <f>IF(A26="", "", IF(F26="", "Not Monitored", IF(F26&gt;85, "❌ Critical", IF(F26&gt;70, "⚠️ Warning", "✅ OK"))))</f>
        <v/>
      </c>
    </row>
    <row r="27">
      <c r="A27" s="5" t="n"/>
      <c r="B27" s="5" t="n"/>
      <c r="C27" s="5" t="n"/>
      <c r="D27" s="5" t="n"/>
      <c r="E27" s="5" t="n"/>
      <c r="F27" s="6">
        <f>IF(AND(D27&lt;&gt;"", E27&lt;&gt;""), ROUND((E27/D27)*100, 1), "")</f>
        <v/>
      </c>
      <c r="G27" s="5" t="n"/>
      <c r="H27" s="5" t="n"/>
      <c r="I27" s="5" t="n"/>
      <c r="J27" s="6">
        <f>IF(A27="", "", IF(F27="", "Not Monitored", IF(F27&gt;85, "❌ Critical", IF(F27&gt;70, "⚠️ Warning", "✅ OK"))))</f>
        <v/>
      </c>
    </row>
    <row r="28">
      <c r="A28" s="5" t="n"/>
      <c r="B28" s="5" t="n"/>
      <c r="C28" s="5" t="n"/>
      <c r="D28" s="5" t="n"/>
      <c r="E28" s="5" t="n"/>
      <c r="F28" s="6">
        <f>IF(AND(D28&lt;&gt;"", E28&lt;&gt;""), ROUND((E28/D28)*100, 1), "")</f>
        <v/>
      </c>
      <c r="G28" s="5" t="n"/>
      <c r="H28" s="5" t="n"/>
      <c r="I28" s="5" t="n"/>
      <c r="J28" s="6">
        <f>IF(A28="", "", IF(F28="", "Not Monitored", IF(F28&gt;85, "❌ Critical", IF(F28&gt;70, "⚠️ Warning", "✅ OK"))))</f>
        <v/>
      </c>
    </row>
    <row r="29">
      <c r="A29" s="5" t="n"/>
      <c r="B29" s="5" t="n"/>
      <c r="C29" s="5" t="n"/>
      <c r="D29" s="5" t="n"/>
      <c r="E29" s="5" t="n"/>
      <c r="F29" s="6">
        <f>IF(AND(D29&lt;&gt;"", E29&lt;&gt;""), ROUND((E29/D29)*100, 1), "")</f>
        <v/>
      </c>
      <c r="G29" s="5" t="n"/>
      <c r="H29" s="5" t="n"/>
      <c r="I29" s="5" t="n"/>
      <c r="J29" s="6">
        <f>IF(A29="", "", IF(F29="", "Not Monitored", IF(F29&gt;85, "❌ Critical", IF(F29&gt;70, "⚠️ Warning", "✅ OK"))))</f>
        <v/>
      </c>
    </row>
    <row r="30">
      <c r="A30" s="5" t="n"/>
      <c r="B30" s="5" t="n"/>
      <c r="C30" s="5" t="n"/>
      <c r="D30" s="5" t="n"/>
      <c r="E30" s="5" t="n"/>
      <c r="F30" s="6">
        <f>IF(AND(D30&lt;&gt;"", E30&lt;&gt;""), ROUND((E30/D30)*100, 1), "")</f>
        <v/>
      </c>
      <c r="G30" s="5" t="n"/>
      <c r="H30" s="5" t="n"/>
      <c r="I30" s="5" t="n"/>
      <c r="J30" s="6">
        <f>IF(A30="", "", IF(F30="", "Not Monitored", IF(F30&gt;85, "❌ Critical", IF(F30&gt;70, "⚠️ Warning", "✅ OK"))))</f>
        <v/>
      </c>
    </row>
    <row r="31">
      <c r="A31" s="5" t="n"/>
      <c r="B31" s="5" t="n"/>
      <c r="C31" s="5" t="n"/>
      <c r="D31" s="5" t="n"/>
      <c r="E31" s="5" t="n"/>
      <c r="F31" s="6">
        <f>IF(AND(D31&lt;&gt;"", E31&lt;&gt;""), ROUND((E31/D31)*100, 1), "")</f>
        <v/>
      </c>
      <c r="G31" s="5" t="n"/>
      <c r="H31" s="5" t="n"/>
      <c r="I31" s="5" t="n"/>
      <c r="J31" s="6">
        <f>IF(A31="", "", IF(F31="", "Not Monitored", IF(F31&gt;85, "❌ Critical", IF(F31&gt;70, "⚠️ Warning", "✅ OK"))))</f>
        <v/>
      </c>
    </row>
    <row r="32">
      <c r="A32" s="5" t="n"/>
      <c r="B32" s="5" t="n"/>
      <c r="C32" s="5" t="n"/>
      <c r="D32" s="5" t="n"/>
      <c r="E32" s="5" t="n"/>
      <c r="F32" s="6">
        <f>IF(AND(D32&lt;&gt;"", E32&lt;&gt;""), ROUND((E32/D32)*100, 1), "")</f>
        <v/>
      </c>
      <c r="G32" s="5" t="n"/>
      <c r="H32" s="5" t="n"/>
      <c r="I32" s="5" t="n"/>
      <c r="J32" s="6">
        <f>IF(A32="", "", IF(F32="", "Not Monitored", IF(F32&gt;85, "❌ Critical", IF(F32&gt;70, "⚠️ Warning", "✅ OK"))))</f>
        <v/>
      </c>
    </row>
    <row r="33">
      <c r="A33" s="5" t="n"/>
      <c r="B33" s="5" t="n"/>
      <c r="C33" s="5" t="n"/>
      <c r="D33" s="5" t="n"/>
      <c r="E33" s="5" t="n"/>
      <c r="F33" s="6">
        <f>IF(AND(D33&lt;&gt;"", E33&lt;&gt;""), ROUND((E33/D33)*100, 1), "")</f>
        <v/>
      </c>
      <c r="G33" s="5" t="n"/>
      <c r="H33" s="5" t="n"/>
      <c r="I33" s="5" t="n"/>
      <c r="J33" s="6">
        <f>IF(A33="", "", IF(F33="", "Not Monitored", IF(F33&gt;85, "❌ Critical", IF(F33&gt;70, "⚠️ Warning", "✅ OK"))))</f>
        <v/>
      </c>
    </row>
    <row r="34">
      <c r="A34" s="5" t="n"/>
      <c r="B34" s="5" t="n"/>
      <c r="C34" s="5" t="n"/>
      <c r="D34" s="5" t="n"/>
      <c r="E34" s="5" t="n"/>
      <c r="F34" s="6">
        <f>IF(AND(D34&lt;&gt;"", E34&lt;&gt;""), ROUND((E34/D34)*100, 1), "")</f>
        <v/>
      </c>
      <c r="G34" s="5" t="n"/>
      <c r="H34" s="5" t="n"/>
      <c r="I34" s="5" t="n"/>
      <c r="J34" s="6">
        <f>IF(A34="", "", IF(F34="", "Not Monitored", IF(F34&gt;85, "❌ Critical", IF(F34&gt;70, "⚠️ Warning", "✅ OK"))))</f>
        <v/>
      </c>
    </row>
    <row r="35">
      <c r="A35" s="5" t="n"/>
      <c r="B35" s="5" t="n"/>
      <c r="C35" s="5" t="n"/>
      <c r="D35" s="5" t="n"/>
      <c r="E35" s="5" t="n"/>
      <c r="F35" s="6">
        <f>IF(AND(D35&lt;&gt;"", E35&lt;&gt;""), ROUND((E35/D35)*100, 1), "")</f>
        <v/>
      </c>
      <c r="G35" s="5" t="n"/>
      <c r="H35" s="5" t="n"/>
      <c r="I35" s="5" t="n"/>
      <c r="J35" s="6">
        <f>IF(A35="", "", IF(F35="", "Not Monitored", IF(F35&gt;85, "❌ Critical", IF(F35&gt;70, "⚠️ Warning", "✅ OK"))))</f>
        <v/>
      </c>
    </row>
    <row r="36">
      <c r="A36" s="5" t="n"/>
      <c r="B36" s="5" t="n"/>
      <c r="C36" s="5" t="n"/>
      <c r="D36" s="5" t="n"/>
      <c r="E36" s="5" t="n"/>
      <c r="F36" s="6">
        <f>IF(AND(D36&lt;&gt;"", E36&lt;&gt;""), ROUND((E36/D36)*100, 1), "")</f>
        <v/>
      </c>
      <c r="G36" s="5" t="n"/>
      <c r="H36" s="5" t="n"/>
      <c r="I36" s="5" t="n"/>
      <c r="J36" s="6">
        <f>IF(A36="", "", IF(F36="", "Not Monitored", IF(F36&gt;85, "❌ Critical", IF(F36&gt;70, "⚠️ Warning", "✅ OK"))))</f>
        <v/>
      </c>
    </row>
    <row r="37">
      <c r="A37" s="5" t="n"/>
      <c r="B37" s="5" t="n"/>
      <c r="C37" s="5" t="n"/>
      <c r="D37" s="5" t="n"/>
      <c r="E37" s="5" t="n"/>
      <c r="F37" s="6">
        <f>IF(AND(D37&lt;&gt;"", E37&lt;&gt;""), ROUND((E37/D37)*100, 1), "")</f>
        <v/>
      </c>
      <c r="G37" s="5" t="n"/>
      <c r="H37" s="5" t="n"/>
      <c r="I37" s="5" t="n"/>
      <c r="J37" s="6">
        <f>IF(A37="", "", IF(F37="", "Not Monitored", IF(F37&gt;85, "❌ Critical", IF(F37&gt;70, "⚠️ Warning", "✅ OK"))))</f>
        <v/>
      </c>
    </row>
    <row r="38">
      <c r="A38" s="5" t="n"/>
      <c r="B38" s="5" t="n"/>
      <c r="C38" s="5" t="n"/>
      <c r="D38" s="5" t="n"/>
      <c r="E38" s="5" t="n"/>
      <c r="F38" s="6">
        <f>IF(AND(D38&lt;&gt;"", E38&lt;&gt;""), ROUND((E38/D38)*100, 1), "")</f>
        <v/>
      </c>
      <c r="G38" s="5" t="n"/>
      <c r="H38" s="5" t="n"/>
      <c r="I38" s="5" t="n"/>
      <c r="J38" s="6">
        <f>IF(A38="", "", IF(F38="", "Not Monitored", IF(F38&gt;85, "❌ Critical", IF(F38&gt;70, "⚠️ Warning", "✅ OK"))))</f>
        <v/>
      </c>
    </row>
    <row r="39">
      <c r="A39" s="5" t="n"/>
      <c r="B39" s="5" t="n"/>
      <c r="C39" s="5" t="n"/>
      <c r="D39" s="5" t="n"/>
      <c r="E39" s="5" t="n"/>
      <c r="F39" s="6">
        <f>IF(AND(D39&lt;&gt;"", E39&lt;&gt;""), ROUND((E39/D39)*100, 1), "")</f>
        <v/>
      </c>
      <c r="G39" s="5" t="n"/>
      <c r="H39" s="5" t="n"/>
      <c r="I39" s="5" t="n"/>
      <c r="J39" s="6">
        <f>IF(A39="", "", IF(F39="", "Not Monitored", IF(F39&gt;85, "❌ Critical", IF(F39&gt;70, "⚠️ Warning", "✅ OK"))))</f>
        <v/>
      </c>
    </row>
    <row r="40">
      <c r="A40" s="5" t="n"/>
      <c r="B40" s="5" t="n"/>
      <c r="C40" s="5" t="n"/>
      <c r="D40" s="5" t="n"/>
      <c r="E40" s="5" t="n"/>
      <c r="F40" s="6">
        <f>IF(AND(D40&lt;&gt;"", E40&lt;&gt;""), ROUND((E40/D40)*100, 1), "")</f>
        <v/>
      </c>
      <c r="G40" s="5" t="n"/>
      <c r="H40" s="5" t="n"/>
      <c r="I40" s="5" t="n"/>
      <c r="J40" s="6">
        <f>IF(A40="", "", IF(F40="", "Not Monitored", IF(F40&gt;85, "❌ Critical", IF(F40&gt;70, "⚠️ Warning", "✅ OK"))))</f>
        <v/>
      </c>
    </row>
    <row r="41">
      <c r="A41" s="5" t="n"/>
      <c r="B41" s="5" t="n"/>
      <c r="C41" s="5" t="n"/>
      <c r="D41" s="5" t="n"/>
      <c r="E41" s="5" t="n"/>
      <c r="F41" s="6">
        <f>IF(AND(D41&lt;&gt;"", E41&lt;&gt;""), ROUND((E41/D41)*100, 1), "")</f>
        <v/>
      </c>
      <c r="G41" s="5" t="n"/>
      <c r="H41" s="5" t="n"/>
      <c r="I41" s="5" t="n"/>
      <c r="J41" s="6">
        <f>IF(A41="", "", IF(F41="", "Not Monitored", IF(F41&gt;85, "❌ Critical", IF(F41&gt;70, "⚠️ Warning", "✅ OK"))))</f>
        <v/>
      </c>
    </row>
    <row r="42">
      <c r="A42" s="5" t="n"/>
      <c r="B42" s="5" t="n"/>
      <c r="C42" s="5" t="n"/>
      <c r="D42" s="5" t="n"/>
      <c r="E42" s="5" t="n"/>
      <c r="F42" s="6">
        <f>IF(AND(D42&lt;&gt;"", E42&lt;&gt;""), ROUND((E42/D42)*100, 1), "")</f>
        <v/>
      </c>
      <c r="G42" s="5" t="n"/>
      <c r="H42" s="5" t="n"/>
      <c r="I42" s="5" t="n"/>
      <c r="J42" s="6">
        <f>IF(A42="", "", IF(F42="", "Not Monitored", IF(F42&gt;85, "❌ Critical", IF(F42&gt;70, "⚠️ Warning", "✅ OK"))))</f>
        <v/>
      </c>
    </row>
    <row r="43">
      <c r="A43" s="5" t="n"/>
      <c r="B43" s="5" t="n"/>
      <c r="C43" s="5" t="n"/>
      <c r="D43" s="5" t="n"/>
      <c r="E43" s="5" t="n"/>
      <c r="F43" s="6">
        <f>IF(AND(D43&lt;&gt;"", E43&lt;&gt;""), ROUND((E43/D43)*100, 1), "")</f>
        <v/>
      </c>
      <c r="G43" s="5" t="n"/>
      <c r="H43" s="5" t="n"/>
      <c r="I43" s="5" t="n"/>
      <c r="J43" s="6">
        <f>IF(A43="", "", IF(F43="", "Not Monitored", IF(F43&gt;85, "❌ Critical", IF(F43&gt;70, "⚠️ Warning", "✅ OK"))))</f>
        <v/>
      </c>
    </row>
    <row r="44">
      <c r="A44" s="5" t="n"/>
      <c r="B44" s="5" t="n"/>
      <c r="C44" s="5" t="n"/>
      <c r="D44" s="5" t="n"/>
      <c r="E44" s="5" t="n"/>
      <c r="F44" s="6">
        <f>IF(AND(D44&lt;&gt;"", E44&lt;&gt;""), ROUND((E44/D44)*100, 1), "")</f>
        <v/>
      </c>
      <c r="G44" s="5" t="n"/>
      <c r="H44" s="5" t="n"/>
      <c r="I44" s="5" t="n"/>
      <c r="J44" s="6">
        <f>IF(A44="", "", IF(F44="", "Not Monitored", IF(F44&gt;85, "❌ Critical", IF(F44&gt;70, "⚠️ Warning", "✅ OK"))))</f>
        <v/>
      </c>
    </row>
    <row r="45">
      <c r="A45" s="5" t="n"/>
      <c r="B45" s="5" t="n"/>
      <c r="C45" s="5" t="n"/>
      <c r="D45" s="5" t="n"/>
      <c r="E45" s="5" t="n"/>
      <c r="F45" s="6">
        <f>IF(AND(D45&lt;&gt;"", E45&lt;&gt;""), ROUND((E45/D45)*100, 1), "")</f>
        <v/>
      </c>
      <c r="G45" s="5" t="n"/>
      <c r="H45" s="5" t="n"/>
      <c r="I45" s="5" t="n"/>
      <c r="J45" s="6">
        <f>IF(A45="", "", IF(F45="", "Not Monitored", IF(F45&gt;85, "❌ Critical", IF(F45&gt;70, "⚠️ Warning", "✅ OK"))))</f>
        <v/>
      </c>
    </row>
    <row r="46">
      <c r="A46" s="5" t="n"/>
      <c r="B46" s="5" t="n"/>
      <c r="C46" s="5" t="n"/>
      <c r="D46" s="5" t="n"/>
      <c r="E46" s="5" t="n"/>
      <c r="F46" s="6">
        <f>IF(AND(D46&lt;&gt;"", E46&lt;&gt;""), ROUND((E46/D46)*100, 1), "")</f>
        <v/>
      </c>
      <c r="G46" s="5" t="n"/>
      <c r="H46" s="5" t="n"/>
      <c r="I46" s="5" t="n"/>
      <c r="J46" s="6">
        <f>IF(A46="", "", IF(F46="", "Not Monitored", IF(F46&gt;85, "❌ Critical", IF(F46&gt;70, "⚠️ Warning", "✅ OK"))))</f>
        <v/>
      </c>
    </row>
    <row r="47">
      <c r="A47" s="5" t="n"/>
      <c r="B47" s="5" t="n"/>
      <c r="C47" s="5" t="n"/>
      <c r="D47" s="5" t="n"/>
      <c r="E47" s="5" t="n"/>
      <c r="F47" s="6">
        <f>IF(AND(D47&lt;&gt;"", E47&lt;&gt;""), ROUND((E47/D47)*100, 1), "")</f>
        <v/>
      </c>
      <c r="G47" s="5" t="n"/>
      <c r="H47" s="5" t="n"/>
      <c r="I47" s="5" t="n"/>
      <c r="J47" s="6">
        <f>IF(A47="", "", IF(F47="", "Not Monitored", IF(F47&gt;85, "❌ Critical", IF(F47&gt;70, "⚠️ Warning", "✅ OK"))))</f>
        <v/>
      </c>
    </row>
    <row r="48">
      <c r="A48" s="5" t="n"/>
      <c r="B48" s="5" t="n"/>
      <c r="C48" s="5" t="n"/>
      <c r="D48" s="5" t="n"/>
      <c r="E48" s="5" t="n"/>
      <c r="F48" s="6">
        <f>IF(AND(D48&lt;&gt;"", E48&lt;&gt;""), ROUND((E48/D48)*100, 1), "")</f>
        <v/>
      </c>
      <c r="G48" s="5" t="n"/>
      <c r="H48" s="5" t="n"/>
      <c r="I48" s="5" t="n"/>
      <c r="J48" s="6">
        <f>IF(A48="", "", IF(F48="", "Not Monitored", IF(F48&gt;85, "❌ Critical", IF(F48&gt;70, "⚠️ Warning", "✅ OK"))))</f>
        <v/>
      </c>
    </row>
    <row r="49">
      <c r="A49" s="5" t="n"/>
      <c r="B49" s="5" t="n"/>
      <c r="C49" s="5" t="n"/>
      <c r="D49" s="5" t="n"/>
      <c r="E49" s="5" t="n"/>
      <c r="F49" s="6">
        <f>IF(AND(D49&lt;&gt;"", E49&lt;&gt;""), ROUND((E49/D49)*100, 1), "")</f>
        <v/>
      </c>
      <c r="G49" s="5" t="n"/>
      <c r="H49" s="5" t="n"/>
      <c r="I49" s="5" t="n"/>
      <c r="J49" s="6">
        <f>IF(A49="", "", IF(F49="", "Not Monitored", IF(F49&gt;85, "❌ Critical", IF(F49&gt;70, "⚠️ Warning", "✅ OK"))))</f>
        <v/>
      </c>
    </row>
    <row r="50">
      <c r="A50" s="5" t="n"/>
      <c r="B50" s="5" t="n"/>
      <c r="C50" s="5" t="n"/>
      <c r="D50" s="5" t="n"/>
      <c r="E50" s="5" t="n"/>
      <c r="F50" s="6">
        <f>IF(AND(D50&lt;&gt;"", E50&lt;&gt;""), ROUND((E50/D50)*100, 1), "")</f>
        <v/>
      </c>
      <c r="G50" s="5" t="n"/>
      <c r="H50" s="5" t="n"/>
      <c r="I50" s="5" t="n"/>
      <c r="J50" s="6">
        <f>IF(A50="", "", IF(F50="", "Not Monitored", IF(F50&gt;85, "❌ Critical", IF(F50&gt;70, "⚠️ Warning", "✅ OK"))))</f>
        <v/>
      </c>
    </row>
    <row r="51">
      <c r="A51" s="5" t="n"/>
      <c r="B51" s="5" t="n"/>
      <c r="C51" s="5" t="n"/>
      <c r="D51" s="5" t="n"/>
      <c r="E51" s="5" t="n"/>
      <c r="F51" s="6">
        <f>IF(AND(D51&lt;&gt;"", E51&lt;&gt;""), ROUND((E51/D51)*100, 1), "")</f>
        <v/>
      </c>
      <c r="G51" s="5" t="n"/>
      <c r="H51" s="5" t="n"/>
      <c r="I51" s="5" t="n"/>
      <c r="J51" s="6">
        <f>IF(A51="", "", IF(F51="", "Not Monitored", IF(F51&gt;85, "❌ Critical", IF(F51&gt;70, "⚠️ Warning", "✅ OK"))))</f>
        <v/>
      </c>
    </row>
    <row r="52">
      <c r="A52" s="5" t="n"/>
      <c r="B52" s="5" t="n"/>
      <c r="C52" s="5" t="n"/>
      <c r="D52" s="5" t="n"/>
      <c r="E52" s="5" t="n"/>
      <c r="F52" s="6">
        <f>IF(AND(D52&lt;&gt;"", E52&lt;&gt;""), ROUND((E52/D52)*100, 1), "")</f>
        <v/>
      </c>
      <c r="G52" s="5" t="n"/>
      <c r="H52" s="5" t="n"/>
      <c r="I52" s="5" t="n"/>
      <c r="J52" s="6">
        <f>IF(A52="", "", IF(F52="", "Not Monitored", IF(F52&gt;85, "❌ Critical", IF(F52&gt;70, "⚠️ Warning", "✅ OK"))))</f>
        <v/>
      </c>
    </row>
    <row r="53">
      <c r="A53" s="5" t="n"/>
      <c r="B53" s="5" t="n"/>
      <c r="C53" s="5" t="n"/>
      <c r="D53" s="5" t="n"/>
      <c r="E53" s="5" t="n"/>
      <c r="F53" s="6">
        <f>IF(AND(D53&lt;&gt;"", E53&lt;&gt;""), ROUND((E53/D53)*100, 1), "")</f>
        <v/>
      </c>
      <c r="G53" s="5" t="n"/>
      <c r="H53" s="5" t="n"/>
      <c r="I53" s="5" t="n"/>
      <c r="J53" s="6">
        <f>IF(A53="", "", IF(F53="", "Not Monitored", IF(F53&gt;85, "❌ Critical", IF(F53&gt;70, "⚠️ Warning", "✅ OK"))))</f>
        <v/>
      </c>
    </row>
    <row r="54">
      <c r="A54" s="5" t="n"/>
      <c r="B54" s="5" t="n"/>
      <c r="C54" s="5" t="n"/>
      <c r="D54" s="5" t="n"/>
      <c r="E54" s="5" t="n"/>
      <c r="F54" s="6">
        <f>IF(AND(D54&lt;&gt;"", E54&lt;&gt;""), ROUND((E54/D54)*100, 1), "")</f>
        <v/>
      </c>
      <c r="G54" s="5" t="n"/>
      <c r="H54" s="5" t="n"/>
      <c r="I54" s="5" t="n"/>
      <c r="J54" s="6">
        <f>IF(A54="", "", IF(F54="", "Not Monitored", IF(F54&gt;85, "❌ Critical", IF(F54&gt;70, "⚠️ Warning", "✅ OK"))))</f>
        <v/>
      </c>
    </row>
  </sheetData>
  <mergeCells count="2">
    <mergeCell ref="A1:J1"/>
    <mergeCell ref="A2:J2"/>
  </mergeCells>
  <dataValidations count="3">
    <dataValidation sqref="J4:J54" showDropDown="0" showInputMessage="0" showErrorMessage="0" allowBlank="0" type="list">
      <formula1>"✅ OK,⚠️ Warning,❌ Critical,Not Monitored"</formula1>
    </dataValidation>
    <dataValidation sqref="I4:I53" showDropDown="0" showInputMessage="0" showErrorMessage="0" allowBlank="0" type="list">
      <formula1>"Yes,No"</formula1>
    </dataValidation>
    <dataValidation sqref="A4:A53" showDropDown="0" showInputMessage="0" showErrorMessage="0" allowBlank="0" type="list">
      <formula1>"AWS,Azure,GCP,Oracle Cloud,IBM Cloud,Alibaba Cloud,Other"</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3"/>
  <sheetViews>
    <sheetView showGridLines="0" workbookViewId="0">
      <pane ySplit="3" topLeftCell="A4" activePane="bottomLeft" state="frozen"/>
      <selection pane="bottomLeft" activeCell="A1" sqref="A1"/>
    </sheetView>
  </sheetViews>
  <sheetFormatPr baseColWidth="8" defaultRowHeight="15"/>
  <cols>
    <col width="25" customWidth="1" min="1" max="1"/>
    <col width="18" customWidth="1" min="2" max="2"/>
    <col width="15" customWidth="1" min="3" max="3"/>
    <col width="15" customWidth="1" min="4" max="4"/>
    <col width="15" customWidth="1" min="5" max="5"/>
    <col width="18" customWidth="1" min="6" max="6"/>
  </cols>
  <sheetData>
    <row r="1" ht="35" customHeight="1">
      <c r="A1" s="1" t="inlineStr">
        <is>
          <t>CAPACITY THRESHOLD STATUS SUMMARY</t>
        </is>
      </c>
    </row>
    <row r="2">
      <c r="A2" s="2" t="inlineStr">
        <is>
          <t>Aggregate view of resources by threshold status</t>
        </is>
      </c>
    </row>
    <row r="3">
      <c r="A3" s="3" t="inlineStr">
        <is>
          <t>Resource Category</t>
        </is>
      </c>
      <c r="B3" s="3" t="inlineStr">
        <is>
          <t>Total Resources</t>
        </is>
      </c>
      <c r="C3" s="3" t="inlineStr">
        <is>
          <t>✅ OK</t>
        </is>
      </c>
      <c r="D3" s="3" t="inlineStr">
        <is>
          <t>⚠ Warning</t>
        </is>
      </c>
      <c r="E3" s="3" t="inlineStr">
        <is>
          <t>❌ Critical</t>
        </is>
      </c>
      <c r="F3" s="3" t="inlineStr">
        <is>
          <t>Not Monitored</t>
        </is>
      </c>
    </row>
    <row r="4">
      <c r="A4" s="6" t="inlineStr">
        <is>
          <t>Compute Resources</t>
        </is>
      </c>
      <c r="B4" s="6">
        <f>COUNTA('Compute Resources'!A5:A54)</f>
        <v/>
      </c>
      <c r="C4" s="7">
        <f>COUNTIF('Compute Resources'!M5:M54,"✅ OK")</f>
        <v/>
      </c>
      <c r="D4" s="8">
        <f>COUNTIF('Compute Resources'!M5:M54,"⚠️ Warning")</f>
        <v/>
      </c>
      <c r="E4" s="9">
        <f>COUNTIF('Compute Resources'!M5:M54,"❌ Critical")</f>
        <v/>
      </c>
      <c r="F4" s="6">
        <f>COUNTIF('Compute Resources'!M5:M54,"Not Monitored")</f>
        <v/>
      </c>
    </row>
    <row r="5">
      <c r="A5" s="6" t="inlineStr">
        <is>
          <t>Storage Resources</t>
        </is>
      </c>
      <c r="B5" s="6">
        <f>COUNTA('Storage Resources'!A5:A54)</f>
        <v/>
      </c>
      <c r="C5" s="7">
        <f>COUNTIF('Storage Resources'!K5:K54,"✅ OK")</f>
        <v/>
      </c>
      <c r="D5" s="8">
        <f>COUNTIF('Storage Resources'!K5:K54,"⚠️ Warning")</f>
        <v/>
      </c>
      <c r="E5" s="9">
        <f>COUNTIF('Storage Resources'!K5:K54,"❌ Critical")</f>
        <v/>
      </c>
      <c r="F5" s="6">
        <f>COUNTIF('Storage Resources'!K5:K54,"Not Monitored")</f>
        <v/>
      </c>
    </row>
    <row r="6">
      <c r="A6" s="6" t="inlineStr">
        <is>
          <t>Network Resources</t>
        </is>
      </c>
      <c r="B6" s="6">
        <f>COUNTA('Network Resources'!A5:A54)</f>
        <v/>
      </c>
      <c r="C6" s="7">
        <f>COUNTIF('Network Resources'!L5:L54,"✅ OK")</f>
        <v/>
      </c>
      <c r="D6" s="8">
        <f>COUNTIF('Network Resources'!L5:L54,"⚠️ Warning")</f>
        <v/>
      </c>
      <c r="E6" s="9">
        <f>COUNTIF('Network Resources'!L5:L54,"❌ Critical")</f>
        <v/>
      </c>
      <c r="F6" s="6">
        <f>COUNTIF('Network Resources'!L5:L54,"Not Monitored")</f>
        <v/>
      </c>
    </row>
    <row r="7">
      <c r="A7" s="6" t="inlineStr">
        <is>
          <t>Application Resources</t>
        </is>
      </c>
      <c r="B7" s="6">
        <f>COUNTA('Application Resources'!A5:A54)</f>
        <v/>
      </c>
      <c r="C7" s="7">
        <f>COUNTIF('Application Resources'!K5:K54,"✅ OK")</f>
        <v/>
      </c>
      <c r="D7" s="8">
        <f>COUNTIF('Application Resources'!K5:K54,"⚠️ Warning")</f>
        <v/>
      </c>
      <c r="E7" s="9">
        <f>COUNTIF('Application Resources'!K5:K54,"❌ Critical")</f>
        <v/>
      </c>
      <c r="F7" s="6">
        <f>COUNTIF('Application Resources'!K5:K54,"Not Monitored")</f>
        <v/>
      </c>
    </row>
    <row r="8">
      <c r="A8" s="6" t="inlineStr">
        <is>
          <t>Cloud Resources</t>
        </is>
      </c>
      <c r="B8" s="6">
        <f>COUNTA('Cloud Resources'!A5:A54)</f>
        <v/>
      </c>
      <c r="C8" s="7">
        <f>COUNTIF('Cloud Resources'!J5:J54,"✅ OK")</f>
        <v/>
      </c>
      <c r="D8" s="8">
        <f>COUNTIF('Cloud Resources'!J5:J54,"⚠️ Warning")</f>
        <v/>
      </c>
      <c r="E8" s="9">
        <f>COUNTIF('Cloud Resources'!J5:J54,"❌ Critical")</f>
        <v/>
      </c>
      <c r="F8" s="6">
        <f>COUNTIF('Cloud Resources'!J5:J54,"Not Monitored")</f>
        <v/>
      </c>
    </row>
    <row r="10">
      <c r="A10" s="10" t="inlineStr">
        <is>
          <t>TOTAL</t>
        </is>
      </c>
      <c r="B10" s="10">
        <f>SUM(B4:B8)</f>
        <v/>
      </c>
      <c r="C10" s="10">
        <f>SUM(C4:C8)</f>
        <v/>
      </c>
      <c r="D10" s="10">
        <f>SUM(D4:D8)</f>
        <v/>
      </c>
      <c r="E10" s="10">
        <f>SUM(E4:E8)</f>
        <v/>
      </c>
      <c r="F10" s="10">
        <f>SUM(F4:F8)</f>
        <v/>
      </c>
    </row>
    <row r="12">
      <c r="A12" s="11" t="inlineStr">
        <is>
          <t>CAPACITY HEALTH SCORE</t>
        </is>
      </c>
      <c r="C12" s="12">
        <f>IF(B10&gt;0, ROUND((C10/B10)*100, 1), 0)</f>
        <v/>
      </c>
      <c r="D12" t="inlineStr">
        <is>
          <t>%</t>
        </is>
      </c>
    </row>
    <row r="13">
      <c r="A13" s="13" t="inlineStr">
        <is>
          <t>Health Score = (Resources at OK Status / Total Resources) x 100%</t>
        </is>
      </c>
    </row>
  </sheetData>
  <mergeCells count="4">
    <mergeCell ref="A13:F13"/>
    <mergeCell ref="A2:F2"/>
    <mergeCell ref="A1:F1"/>
    <mergeCell ref="A12:B1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60"/>
  <sheetViews>
    <sheetView showGridLines="0" workbookViewId="0">
      <pane ySplit="3" topLeftCell="A4" activePane="bottomLeft" state="frozen"/>
      <selection pane="bottomLeft" activeCell="A1" sqref="A1"/>
    </sheetView>
  </sheetViews>
  <sheetFormatPr baseColWidth="8" defaultRowHeight="15"/>
  <cols>
    <col width="35" customWidth="1" min="1" max="1"/>
    <col width="20" customWidth="1" min="2" max="2"/>
    <col width="40" customWidth="1" min="3" max="3"/>
    <col width="22" customWidth="1" min="4" max="4"/>
    <col width="25" customWidth="1" min="5" max="5"/>
  </cols>
  <sheetData>
    <row r="1" ht="35" customHeight="1">
      <c r="A1" s="1" t="inlineStr">
        <is>
          <t>MONITORING COVERAGE ANALYSIS</t>
        </is>
      </c>
    </row>
    <row r="2">
      <c r="A2" s="2" t="inlineStr">
        <is>
          <t>Identify resources not yet monitored for capacity</t>
        </is>
      </c>
    </row>
    <row r="3">
      <c r="A3" s="3" t="inlineStr">
        <is>
          <t>Coverage Metric</t>
        </is>
      </c>
      <c r="B3" s="3" t="inlineStr">
        <is>
          <t>Target</t>
        </is>
      </c>
      <c r="C3" s="3" t="inlineStr">
        <is>
          <t>Actual</t>
        </is>
      </c>
      <c r="D3" s="3" t="inlineStr">
        <is>
          <t>Gap</t>
        </is>
      </c>
      <c r="E3" s="3" t="inlineStr">
        <is>
          <t>Status</t>
        </is>
      </c>
    </row>
    <row r="4">
      <c r="A4" s="6" t="inlineStr">
        <is>
          <t>Production Systems Coverage</t>
        </is>
      </c>
      <c r="B4" s="6" t="inlineStr">
        <is>
          <t>100%</t>
        </is>
      </c>
      <c r="C4" s="5" t="n"/>
      <c r="D4" s="5" t="n"/>
      <c r="E4" s="5" t="n"/>
    </row>
    <row r="5">
      <c r="A5" s="6" t="inlineStr">
        <is>
          <t>Non-Production Systems Coverage</t>
        </is>
      </c>
      <c r="B5" s="6" t="inlineStr">
        <is>
          <t>90%</t>
        </is>
      </c>
      <c r="C5" s="5" t="n"/>
      <c r="D5" s="5" t="n"/>
      <c r="E5" s="5" t="n"/>
    </row>
    <row r="6">
      <c r="A6" s="6" t="inlineStr">
        <is>
          <t>Overall Coverage</t>
        </is>
      </c>
      <c r="B6" s="6" t="inlineStr">
        <is>
          <t>95%</t>
        </is>
      </c>
      <c r="C6" s="5" t="n"/>
      <c r="D6" s="5" t="n"/>
      <c r="E6" s="5" t="n"/>
    </row>
    <row r="8">
      <c r="A8" s="2" t="inlineStr">
        <is>
          <t>MONITORING GAPS - Resources Not Yet Monitored</t>
        </is>
      </c>
    </row>
    <row r="9">
      <c r="A9" s="3" t="inlineStr">
        <is>
          <t>Resource Name</t>
        </is>
      </c>
      <c r="B9" s="3" t="inlineStr">
        <is>
          <t>Resource Type</t>
        </is>
      </c>
      <c r="C9" s="3" t="inlineStr">
        <is>
          <t>Reason Not Monitored</t>
        </is>
      </c>
      <c r="D9" s="3" t="inlineStr">
        <is>
          <t>Planned Monitoring Date</t>
        </is>
      </c>
      <c r="E9" s="3" t="inlineStr">
        <is>
          <t>Responsible Party</t>
        </is>
      </c>
    </row>
    <row r="10">
      <c r="A10" s="4" t="inlineStr">
        <is>
          <t>[Resource name]</t>
        </is>
      </c>
      <c r="B10" s="4" t="inlineStr">
        <is>
          <t>[Type]</t>
        </is>
      </c>
      <c r="C10" s="4" t="inlineStr">
        <is>
          <t>[Legacy system, Technical constraint, etc.]</t>
        </is>
      </c>
      <c r="D10" s="4" t="inlineStr">
        <is>
          <t>[Date]</t>
        </is>
      </c>
      <c r="E10" s="4" t="inlineStr">
        <is>
          <t>[Team/Person]</t>
        </is>
      </c>
    </row>
    <row r="11">
      <c r="A11" s="5" t="n"/>
      <c r="B11" s="5" t="n"/>
      <c r="C11" s="5" t="n"/>
      <c r="D11" s="5" t="n"/>
      <c r="E11" s="5" t="n"/>
    </row>
    <row r="12">
      <c r="A12" s="5" t="n"/>
      <c r="B12" s="5" t="n"/>
      <c r="C12" s="5" t="n"/>
      <c r="D12" s="5" t="n"/>
      <c r="E12" s="5" t="n"/>
    </row>
    <row r="13">
      <c r="A13" s="5" t="n"/>
      <c r="B13" s="5" t="n"/>
      <c r="C13" s="5" t="n"/>
      <c r="D13" s="5" t="n"/>
      <c r="E13" s="5" t="n"/>
    </row>
    <row r="14">
      <c r="A14" s="5" t="n"/>
      <c r="B14" s="5" t="n"/>
      <c r="C14" s="5" t="n"/>
      <c r="D14" s="5" t="n"/>
      <c r="E14" s="5" t="n"/>
    </row>
    <row r="15">
      <c r="A15" s="5" t="n"/>
      <c r="B15" s="5" t="n"/>
      <c r="C15" s="5" t="n"/>
      <c r="D15" s="5" t="n"/>
      <c r="E15" s="5" t="n"/>
    </row>
    <row r="16">
      <c r="A16" s="5" t="n"/>
      <c r="B16" s="5" t="n"/>
      <c r="C16" s="5" t="n"/>
      <c r="D16" s="5" t="n"/>
      <c r="E16" s="5" t="n"/>
    </row>
    <row r="17">
      <c r="A17" s="5" t="n"/>
      <c r="B17" s="5" t="n"/>
      <c r="C17" s="5" t="n"/>
      <c r="D17" s="5" t="n"/>
      <c r="E17" s="5" t="n"/>
    </row>
    <row r="18">
      <c r="A18" s="5" t="n"/>
      <c r="B18" s="5" t="n"/>
      <c r="C18" s="5" t="n"/>
      <c r="D18" s="5" t="n"/>
      <c r="E18" s="5" t="n"/>
    </row>
    <row r="19">
      <c r="A19" s="5" t="n"/>
      <c r="B19" s="5" t="n"/>
      <c r="C19" s="5" t="n"/>
      <c r="D19" s="5" t="n"/>
      <c r="E19" s="5" t="n"/>
    </row>
    <row r="20">
      <c r="A20" s="5" t="n"/>
      <c r="B20" s="5" t="n"/>
      <c r="C20" s="5" t="n"/>
      <c r="D20" s="5" t="n"/>
      <c r="E20" s="5" t="n"/>
    </row>
    <row r="21">
      <c r="A21" s="5" t="n"/>
      <c r="B21" s="5" t="n"/>
      <c r="C21" s="5" t="n"/>
      <c r="D21" s="5" t="n"/>
      <c r="E21" s="5" t="n"/>
    </row>
    <row r="22">
      <c r="A22" s="5" t="n"/>
      <c r="B22" s="5" t="n"/>
      <c r="C22" s="5" t="n"/>
      <c r="D22" s="5" t="n"/>
      <c r="E22" s="5" t="n"/>
    </row>
    <row r="23">
      <c r="A23" s="5" t="n"/>
      <c r="B23" s="5" t="n"/>
      <c r="C23" s="5" t="n"/>
      <c r="D23" s="5" t="n"/>
      <c r="E23" s="5" t="n"/>
    </row>
    <row r="24">
      <c r="A24" s="5" t="n"/>
      <c r="B24" s="5" t="n"/>
      <c r="C24" s="5" t="n"/>
      <c r="D24" s="5" t="n"/>
      <c r="E24" s="5" t="n"/>
    </row>
    <row r="25">
      <c r="A25" s="5" t="n"/>
      <c r="B25" s="5" t="n"/>
      <c r="C25" s="5" t="n"/>
      <c r="D25" s="5" t="n"/>
      <c r="E25" s="5" t="n"/>
    </row>
    <row r="26">
      <c r="A26" s="5" t="n"/>
      <c r="B26" s="5" t="n"/>
      <c r="C26" s="5" t="n"/>
      <c r="D26" s="5" t="n"/>
      <c r="E26" s="5" t="n"/>
    </row>
    <row r="27">
      <c r="A27" s="5" t="n"/>
      <c r="B27" s="5" t="n"/>
      <c r="C27" s="5" t="n"/>
      <c r="D27" s="5" t="n"/>
      <c r="E27" s="5" t="n"/>
    </row>
    <row r="28">
      <c r="A28" s="5" t="n"/>
      <c r="B28" s="5" t="n"/>
      <c r="C28" s="5" t="n"/>
      <c r="D28" s="5" t="n"/>
      <c r="E28" s="5" t="n"/>
    </row>
    <row r="29">
      <c r="A29" s="5" t="n"/>
      <c r="B29" s="5" t="n"/>
      <c r="C29" s="5" t="n"/>
      <c r="D29" s="5" t="n"/>
      <c r="E29" s="5" t="n"/>
    </row>
    <row r="30">
      <c r="A30" s="5" t="n"/>
      <c r="B30" s="5" t="n"/>
      <c r="C30" s="5" t="n"/>
      <c r="D30" s="5" t="n"/>
      <c r="E30" s="5" t="n"/>
    </row>
    <row r="31">
      <c r="A31" s="5" t="n"/>
      <c r="B31" s="5" t="n"/>
      <c r="C31" s="5" t="n"/>
      <c r="D31" s="5" t="n"/>
      <c r="E31" s="5" t="n"/>
    </row>
    <row r="32">
      <c r="A32" s="5" t="n"/>
      <c r="B32" s="5" t="n"/>
      <c r="C32" s="5" t="n"/>
      <c r="D32" s="5" t="n"/>
      <c r="E32" s="5" t="n"/>
    </row>
    <row r="33">
      <c r="A33" s="5" t="n"/>
      <c r="B33" s="5" t="n"/>
      <c r="C33" s="5" t="n"/>
      <c r="D33" s="5" t="n"/>
      <c r="E33" s="5" t="n"/>
    </row>
    <row r="34">
      <c r="A34" s="5" t="n"/>
      <c r="B34" s="5" t="n"/>
      <c r="C34" s="5" t="n"/>
      <c r="D34" s="5" t="n"/>
      <c r="E34" s="5" t="n"/>
    </row>
    <row r="35">
      <c r="A35" s="5" t="n"/>
      <c r="B35" s="5" t="n"/>
      <c r="C35" s="5" t="n"/>
      <c r="D35" s="5" t="n"/>
      <c r="E35" s="5" t="n"/>
    </row>
    <row r="36">
      <c r="A36" s="5" t="n"/>
      <c r="B36" s="5" t="n"/>
      <c r="C36" s="5" t="n"/>
      <c r="D36" s="5" t="n"/>
      <c r="E36" s="5" t="n"/>
    </row>
    <row r="37">
      <c r="A37" s="5" t="n"/>
      <c r="B37" s="5" t="n"/>
      <c r="C37" s="5" t="n"/>
      <c r="D37" s="5" t="n"/>
      <c r="E37" s="5" t="n"/>
    </row>
    <row r="38">
      <c r="A38" s="5" t="n"/>
      <c r="B38" s="5" t="n"/>
      <c r="C38" s="5" t="n"/>
      <c r="D38" s="5" t="n"/>
      <c r="E38" s="5" t="n"/>
    </row>
    <row r="39">
      <c r="A39" s="5" t="n"/>
      <c r="B39" s="5" t="n"/>
      <c r="C39" s="5" t="n"/>
      <c r="D39" s="5" t="n"/>
      <c r="E39" s="5" t="n"/>
    </row>
    <row r="40">
      <c r="A40" s="5" t="n"/>
      <c r="B40" s="5" t="n"/>
      <c r="C40" s="5" t="n"/>
      <c r="D40" s="5" t="n"/>
      <c r="E40" s="5" t="n"/>
    </row>
    <row r="41">
      <c r="A41" s="5" t="n"/>
      <c r="B41" s="5" t="n"/>
      <c r="C41" s="5" t="n"/>
      <c r="D41" s="5" t="n"/>
      <c r="E41" s="5" t="n"/>
    </row>
    <row r="42">
      <c r="A42" s="5" t="n"/>
      <c r="B42" s="5" t="n"/>
      <c r="C42" s="5" t="n"/>
      <c r="D42" s="5" t="n"/>
      <c r="E42" s="5" t="n"/>
    </row>
    <row r="43">
      <c r="A43" s="5" t="n"/>
      <c r="B43" s="5" t="n"/>
      <c r="C43" s="5" t="n"/>
      <c r="D43" s="5" t="n"/>
      <c r="E43" s="5" t="n"/>
    </row>
    <row r="44">
      <c r="A44" s="5" t="n"/>
      <c r="B44" s="5" t="n"/>
      <c r="C44" s="5" t="n"/>
      <c r="D44" s="5" t="n"/>
      <c r="E44" s="5" t="n"/>
    </row>
    <row r="45">
      <c r="A45" s="5" t="n"/>
      <c r="B45" s="5" t="n"/>
      <c r="C45" s="5" t="n"/>
      <c r="D45" s="5" t="n"/>
      <c r="E45" s="5" t="n"/>
    </row>
    <row r="46">
      <c r="A46" s="5" t="n"/>
      <c r="B46" s="5" t="n"/>
      <c r="C46" s="5" t="n"/>
      <c r="D46" s="5" t="n"/>
      <c r="E46" s="5" t="n"/>
    </row>
    <row r="47">
      <c r="A47" s="5" t="n"/>
      <c r="B47" s="5" t="n"/>
      <c r="C47" s="5" t="n"/>
      <c r="D47" s="5" t="n"/>
      <c r="E47" s="5" t="n"/>
    </row>
    <row r="48">
      <c r="A48" s="5" t="n"/>
      <c r="B48" s="5" t="n"/>
      <c r="C48" s="5" t="n"/>
      <c r="D48" s="5" t="n"/>
      <c r="E48" s="5" t="n"/>
    </row>
    <row r="49">
      <c r="A49" s="5" t="n"/>
      <c r="B49" s="5" t="n"/>
      <c r="C49" s="5" t="n"/>
      <c r="D49" s="5" t="n"/>
      <c r="E49" s="5" t="n"/>
    </row>
    <row r="50">
      <c r="A50" s="5" t="n"/>
      <c r="B50" s="5" t="n"/>
      <c r="C50" s="5" t="n"/>
      <c r="D50" s="5" t="n"/>
      <c r="E50" s="5" t="n"/>
    </row>
    <row r="51">
      <c r="A51" s="5" t="n"/>
      <c r="B51" s="5" t="n"/>
      <c r="C51" s="5" t="n"/>
      <c r="D51" s="5" t="n"/>
      <c r="E51" s="5" t="n"/>
    </row>
    <row r="52">
      <c r="A52" s="5" t="n"/>
      <c r="B52" s="5" t="n"/>
      <c r="C52" s="5" t="n"/>
      <c r="D52" s="5" t="n"/>
      <c r="E52" s="5" t="n"/>
    </row>
    <row r="53">
      <c r="A53" s="5" t="n"/>
      <c r="B53" s="5" t="n"/>
      <c r="C53" s="5" t="n"/>
      <c r="D53" s="5" t="n"/>
      <c r="E53" s="5" t="n"/>
    </row>
    <row r="54">
      <c r="A54" s="5" t="n"/>
      <c r="B54" s="5" t="n"/>
      <c r="C54" s="5" t="n"/>
      <c r="D54" s="5" t="n"/>
      <c r="E54" s="5" t="n"/>
    </row>
    <row r="55">
      <c r="A55" s="5" t="n"/>
      <c r="B55" s="5" t="n"/>
      <c r="C55" s="5" t="n"/>
      <c r="D55" s="5" t="n"/>
      <c r="E55" s="5" t="n"/>
    </row>
    <row r="56">
      <c r="A56" s="5" t="n"/>
      <c r="B56" s="5" t="n"/>
      <c r="C56" s="5" t="n"/>
      <c r="D56" s="5" t="n"/>
      <c r="E56" s="5" t="n"/>
    </row>
    <row r="57">
      <c r="A57" s="5" t="n"/>
      <c r="B57" s="5" t="n"/>
      <c r="C57" s="5" t="n"/>
      <c r="D57" s="5" t="n"/>
      <c r="E57" s="5" t="n"/>
    </row>
    <row r="58">
      <c r="A58" s="5" t="n"/>
      <c r="B58" s="5" t="n"/>
      <c r="C58" s="5" t="n"/>
      <c r="D58" s="5" t="n"/>
      <c r="E58" s="5" t="n"/>
    </row>
    <row r="59">
      <c r="A59" s="5" t="n"/>
      <c r="B59" s="5" t="n"/>
      <c r="C59" s="5" t="n"/>
      <c r="D59" s="5" t="n"/>
      <c r="E59" s="5" t="n"/>
    </row>
    <row r="60">
      <c r="A60" s="5" t="n"/>
      <c r="B60" s="5" t="n"/>
      <c r="C60" s="5" t="n"/>
      <c r="D60" s="5" t="n"/>
      <c r="E60" s="5" t="n"/>
    </row>
  </sheetData>
  <mergeCells count="3">
    <mergeCell ref="A2:E2"/>
    <mergeCell ref="A1:E1"/>
    <mergeCell ref="A8:E8"/>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28"/>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4" t="inlineStr">
        <is>
          <t>ISMS-IMP-A.8.6-Assessment-1  -  Capacity Utilization Assessment
ISO/IEC 27001:2022 - Control A.8.6: Capacity Management</t>
        </is>
      </c>
    </row>
    <row r="3">
      <c r="A3" s="15" t="inlineStr">
        <is>
          <t>Document Information</t>
        </is>
      </c>
    </row>
    <row r="4">
      <c r="A4" s="16" t="inlineStr">
        <is>
          <t>Document ID</t>
        </is>
      </c>
      <c r="B4" t="inlineStr">
        <is>
          <t>ISMS-IMP-A.8.6-Assessment-1</t>
        </is>
      </c>
    </row>
    <row r="5">
      <c r="A5" s="16" t="inlineStr">
        <is>
          <t>Workbook Title</t>
        </is>
      </c>
      <c r="B5" t="inlineStr">
        <is>
          <t>Capacity Utilization Assessment</t>
        </is>
      </c>
    </row>
    <row r="6">
      <c r="A6" s="16" t="inlineStr">
        <is>
          <t>Control Reference</t>
        </is>
      </c>
      <c r="B6" t="inlineStr">
        <is>
          <t>ISO/IEC 27001:2022 - Control A.8.6: Capacity Management</t>
        </is>
      </c>
    </row>
    <row r="7">
      <c r="A7" s="16" t="inlineStr">
        <is>
          <t>Version</t>
        </is>
      </c>
      <c r="B7" t="inlineStr">
        <is>
          <t>1.0</t>
        </is>
      </c>
    </row>
    <row r="8">
      <c r="A8" s="16" t="inlineStr">
        <is>
          <t>Assessment Date</t>
        </is>
      </c>
      <c r="B8" s="17" t="inlineStr"/>
    </row>
    <row r="9">
      <c r="A9" s="16" t="inlineStr">
        <is>
          <t>Completed By</t>
        </is>
      </c>
      <c r="B9" s="17" t="inlineStr"/>
    </row>
    <row r="10">
      <c r="A10" s="16" t="inlineStr">
        <is>
          <t>Organisation</t>
        </is>
      </c>
      <c r="B10" s="17" t="inlineStr"/>
    </row>
    <row r="12">
      <c r="A12" s="15" t="inlineStr">
        <is>
          <t>Instructions</t>
        </is>
      </c>
    </row>
    <row r="13">
      <c r="A13" t="inlineStr">
        <is>
          <t>1. Complete each worksheet tab for applicable resource types.</t>
        </is>
      </c>
    </row>
    <row r="14">
      <c r="A14" t="inlineStr">
        <is>
          <t>2. Use dropdown menus for standardised entries (Status, Resource Type, etc.).</t>
        </is>
      </c>
    </row>
    <row r="15">
      <c r="A15" t="inlineStr">
        <is>
          <t>3. Fill in yellow-highlighted cells with your information.</t>
        </is>
      </c>
    </row>
    <row r="16">
      <c r="A16" t="inlineStr">
        <is>
          <t>4. Utilization percentages and threshold status auto-calculate where applicable.</t>
        </is>
      </c>
    </row>
    <row r="17">
      <c r="A17" t="inlineStr">
        <is>
          <t>5. Review Threshold Summary for overall capacity health.</t>
        </is>
      </c>
    </row>
    <row r="18">
      <c r="A18" t="inlineStr">
        <is>
          <t>6. Complete Coverage Analysis to identify monitoring gaps.</t>
        </is>
      </c>
    </row>
    <row r="19">
      <c r="A19" t="inlineStr">
        <is>
          <t>7. Provide evidence location/path for each assessment entry.</t>
        </is>
      </c>
    </row>
    <row r="20">
      <c r="A20" t="inlineStr">
        <is>
          <t>8. Maintain the Evidence Register for audit traceability.</t>
        </is>
      </c>
    </row>
    <row r="21">
      <c r="A21" t="inlineStr">
        <is>
          <t>9. Obtain final approval and sign-off in the Approval Sign-Off sheet.</t>
        </is>
      </c>
    </row>
    <row r="23">
      <c r="A23" s="15" t="inlineStr">
        <is>
          <t>Status Legend</t>
        </is>
      </c>
    </row>
    <row r="24">
      <c r="A24" s="18" t="inlineStr">
        <is>
          <t>Symbol</t>
        </is>
      </c>
      <c r="B24" s="18" t="inlineStr">
        <is>
          <t>Status</t>
        </is>
      </c>
      <c r="C24" s="18" t="inlineStr">
        <is>
          <t>Description</t>
        </is>
      </c>
    </row>
    <row r="25">
      <c r="A25" s="6" t="inlineStr">
        <is>
          <t>✓</t>
        </is>
      </c>
      <c r="B25" s="19" t="inlineStr">
        <is>
          <t>Compliant / Complete</t>
        </is>
      </c>
      <c r="C25" s="20" t="inlineStr">
        <is>
          <t>Requirement fully met</t>
        </is>
      </c>
    </row>
    <row r="26">
      <c r="A26" s="6" t="inlineStr">
        <is>
          <t>⚠</t>
        </is>
      </c>
      <c r="B26" s="21" t="inlineStr">
        <is>
          <t>Partial / In Progress</t>
        </is>
      </c>
      <c r="C26" s="20" t="inlineStr">
        <is>
          <t>Partially met or in progress</t>
        </is>
      </c>
    </row>
    <row r="27">
      <c r="A27" s="6" t="inlineStr">
        <is>
          <t>✗</t>
        </is>
      </c>
      <c r="B27" s="22" t="inlineStr">
        <is>
          <t>Non-Compliant / Not Started</t>
        </is>
      </c>
      <c r="C27" s="20" t="inlineStr">
        <is>
          <t>Requirement not met</t>
        </is>
      </c>
    </row>
    <row r="28">
      <c r="A28" s="6" t="inlineStr">
        <is>
          <t>—</t>
        </is>
      </c>
      <c r="B28" s="20" t="inlineStr">
        <is>
          <t>Not Applicable</t>
        </is>
      </c>
      <c r="C28" s="20" t="inlineStr">
        <is>
          <t>Not applicable to this assessment</t>
        </is>
      </c>
    </row>
  </sheetData>
  <mergeCells count="1">
    <mergeCell ref="A1:G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105"/>
  <sheetViews>
    <sheetView showGridLines="0" workbookViewId="0">
      <pane ySplit="4" topLeftCell="A5" activePane="bottomLeft" state="frozen"/>
      <selection pane="bottomLeft" activeCell="A1" sqref="A1"/>
    </sheetView>
  </sheetViews>
  <sheetFormatPr baseColWidth="8" defaultRowHeight="15"/>
  <cols>
    <col width="15" customWidth="1" min="1" max="1"/>
    <col width="25" customWidth="1" min="2" max="2"/>
    <col width="22" customWidth="1" min="3" max="3"/>
    <col width="40" customWidth="1" min="4" max="4"/>
    <col width="45" customWidth="1" min="5" max="5"/>
    <col width="16" customWidth="1" min="6" max="6"/>
    <col width="20" customWidth="1" min="7" max="7"/>
    <col width="22" customWidth="1" min="8" max="8"/>
  </cols>
  <sheetData>
    <row r="1" ht="35" customHeight="1">
      <c r="A1" s="23" t="inlineStr">
        <is>
          <t>EVIDENCE REGISTER</t>
        </is>
      </c>
    </row>
    <row r="2">
      <c r="A2" s="24" t="inlineStr">
        <is>
          <t>List all evidence files/documents referenced in this assessment (audit traceability).</t>
        </is>
      </c>
    </row>
    <row r="4">
      <c r="A4" s="25" t="inlineStr">
        <is>
          <t>Evidence ID</t>
        </is>
      </c>
      <c r="B4" s="25" t="inlineStr">
        <is>
          <t>Assessment Area</t>
        </is>
      </c>
      <c r="C4" s="25" t="inlineStr">
        <is>
          <t>Evidence Type</t>
        </is>
      </c>
      <c r="D4" s="25" t="inlineStr">
        <is>
          <t>Description</t>
        </is>
      </c>
      <c r="E4" s="25" t="inlineStr">
        <is>
          <t>Location/Path</t>
        </is>
      </c>
      <c r="F4" s="25" t="inlineStr">
        <is>
          <t>Date Collected</t>
        </is>
      </c>
      <c r="G4" s="25" t="inlineStr">
        <is>
          <t>Collected By</t>
        </is>
      </c>
      <c r="H4" s="25" t="inlineStr">
        <is>
          <t>Verification Status</t>
        </is>
      </c>
    </row>
    <row r="5">
      <c r="A5" s="4" t="inlineStr">
        <is>
          <t>EV-001</t>
        </is>
      </c>
      <c r="B5" s="4" t="inlineStr">
        <is>
          <t>Capacity Monitoring</t>
        </is>
      </c>
      <c r="C5" s="4" t="inlineStr">
        <is>
          <t>Monitoring dashboard</t>
        </is>
      </c>
      <c r="D5" s="4" t="inlineStr">
        <is>
          <t>Compute capacity dashboard showing current utilization metrics</t>
        </is>
      </c>
      <c r="E5" s="4" t="inlineStr">
        <is>
          <t>/monitoring/capacity/compute-dashboard.xlsx</t>
        </is>
      </c>
      <c r="F5" s="4" t="inlineStr">
        <is>
          <t>15.01.2026</t>
        </is>
      </c>
      <c r="G5" s="4" t="inlineStr">
        <is>
          <t>IT Operations</t>
        </is>
      </c>
      <c r="H5" s="4" t="inlineStr">
        <is>
          <t>Verified</t>
        </is>
      </c>
    </row>
    <row r="6">
      <c r="A6" s="5" t="n"/>
      <c r="B6" s="5" t="n"/>
      <c r="C6" s="5" t="n"/>
      <c r="D6" s="5" t="n"/>
      <c r="E6" s="5" t="n"/>
      <c r="F6" s="5" t="n"/>
      <c r="G6" s="5" t="n"/>
      <c r="H6" s="5" t="n"/>
    </row>
    <row r="7">
      <c r="A7" s="5" t="n"/>
      <c r="B7" s="5" t="n"/>
      <c r="C7" s="5" t="n"/>
      <c r="D7" s="5" t="n"/>
      <c r="E7" s="5" t="n"/>
      <c r="F7" s="5" t="n"/>
      <c r="G7" s="5" t="n"/>
      <c r="H7" s="5" t="n"/>
    </row>
    <row r="8">
      <c r="A8" s="5" t="n"/>
      <c r="B8" s="5" t="n"/>
      <c r="C8" s="5" t="n"/>
      <c r="D8" s="5" t="n"/>
      <c r="E8" s="5" t="n"/>
      <c r="F8" s="5" t="n"/>
      <c r="G8" s="5" t="n"/>
      <c r="H8" s="5" t="n"/>
    </row>
    <row r="9">
      <c r="A9" s="5" t="n"/>
      <c r="B9" s="5" t="n"/>
      <c r="C9" s="5" t="n"/>
      <c r="D9" s="5" t="n"/>
      <c r="E9" s="5" t="n"/>
      <c r="F9" s="5" t="n"/>
      <c r="G9" s="5" t="n"/>
      <c r="H9" s="5" t="n"/>
    </row>
    <row r="10">
      <c r="A10" s="5" t="n"/>
      <c r="B10" s="5" t="n"/>
      <c r="C10" s="5" t="n"/>
      <c r="D10" s="5" t="n"/>
      <c r="E10" s="5" t="n"/>
      <c r="F10" s="5" t="n"/>
      <c r="G10" s="5" t="n"/>
      <c r="H10" s="5" t="n"/>
    </row>
    <row r="11">
      <c r="A11" s="5" t="n"/>
      <c r="B11" s="5" t="n"/>
      <c r="C11" s="5" t="n"/>
      <c r="D11" s="5" t="n"/>
      <c r="E11" s="5" t="n"/>
      <c r="F11" s="5" t="n"/>
      <c r="G11" s="5" t="n"/>
      <c r="H11" s="5" t="n"/>
    </row>
    <row r="12">
      <c r="A12" s="5" t="n"/>
      <c r="B12" s="5" t="n"/>
      <c r="C12" s="5" t="n"/>
      <c r="D12" s="5" t="n"/>
      <c r="E12" s="5" t="n"/>
      <c r="F12" s="5" t="n"/>
      <c r="G12" s="5" t="n"/>
      <c r="H12" s="5" t="n"/>
    </row>
    <row r="13">
      <c r="A13" s="5" t="n"/>
      <c r="B13" s="5" t="n"/>
      <c r="C13" s="5" t="n"/>
      <c r="D13" s="5" t="n"/>
      <c r="E13" s="5" t="n"/>
      <c r="F13" s="5" t="n"/>
      <c r="G13" s="5" t="n"/>
      <c r="H13" s="5" t="n"/>
    </row>
    <row r="14">
      <c r="A14" s="5" t="n"/>
      <c r="B14" s="5" t="n"/>
      <c r="C14" s="5" t="n"/>
      <c r="D14" s="5" t="n"/>
      <c r="E14" s="5" t="n"/>
      <c r="F14" s="5" t="n"/>
      <c r="G14" s="5" t="n"/>
      <c r="H14" s="5" t="n"/>
    </row>
    <row r="15">
      <c r="A15" s="5" t="n"/>
      <c r="B15" s="5" t="n"/>
      <c r="C15" s="5" t="n"/>
      <c r="D15" s="5" t="n"/>
      <c r="E15" s="5" t="n"/>
      <c r="F15" s="5" t="n"/>
      <c r="G15" s="5" t="n"/>
      <c r="H15" s="5" t="n"/>
    </row>
    <row r="16">
      <c r="A16" s="5" t="n"/>
      <c r="B16" s="5" t="n"/>
      <c r="C16" s="5" t="n"/>
      <c r="D16" s="5" t="n"/>
      <c r="E16" s="5" t="n"/>
      <c r="F16" s="5" t="n"/>
      <c r="G16" s="5" t="n"/>
      <c r="H16" s="5" t="n"/>
    </row>
    <row r="17">
      <c r="A17" s="5" t="n"/>
      <c r="B17" s="5" t="n"/>
      <c r="C17" s="5" t="n"/>
      <c r="D17" s="5" t="n"/>
      <c r="E17" s="5" t="n"/>
      <c r="F17" s="5" t="n"/>
      <c r="G17" s="5" t="n"/>
      <c r="H17" s="5" t="n"/>
    </row>
    <row r="18">
      <c r="A18" s="5" t="n"/>
      <c r="B18" s="5" t="n"/>
      <c r="C18" s="5" t="n"/>
      <c r="D18" s="5" t="n"/>
      <c r="E18" s="5" t="n"/>
      <c r="F18" s="5" t="n"/>
      <c r="G18" s="5" t="n"/>
      <c r="H18" s="5" t="n"/>
    </row>
    <row r="19">
      <c r="A19" s="5" t="n"/>
      <c r="B19" s="5" t="n"/>
      <c r="C19" s="5" t="n"/>
      <c r="D19" s="5" t="n"/>
      <c r="E19" s="5" t="n"/>
      <c r="F19" s="5" t="n"/>
      <c r="G19" s="5" t="n"/>
      <c r="H19" s="5" t="n"/>
    </row>
    <row r="20">
      <c r="A20" s="5" t="n"/>
      <c r="B20" s="5" t="n"/>
      <c r="C20" s="5" t="n"/>
      <c r="D20" s="5" t="n"/>
      <c r="E20" s="5" t="n"/>
      <c r="F20" s="5" t="n"/>
      <c r="G20" s="5" t="n"/>
      <c r="H20" s="5" t="n"/>
    </row>
    <row r="21">
      <c r="A21" s="5" t="n"/>
      <c r="B21" s="5" t="n"/>
      <c r="C21" s="5" t="n"/>
      <c r="D21" s="5" t="n"/>
      <c r="E21" s="5" t="n"/>
      <c r="F21" s="5" t="n"/>
      <c r="G21" s="5" t="n"/>
      <c r="H21" s="5" t="n"/>
    </row>
    <row r="22">
      <c r="A22" s="5" t="n"/>
      <c r="B22" s="5" t="n"/>
      <c r="C22" s="5" t="n"/>
      <c r="D22" s="5" t="n"/>
      <c r="E22" s="5" t="n"/>
      <c r="F22" s="5" t="n"/>
      <c r="G22" s="5" t="n"/>
      <c r="H22" s="5" t="n"/>
    </row>
    <row r="23">
      <c r="A23" s="5" t="n"/>
      <c r="B23" s="5" t="n"/>
      <c r="C23" s="5" t="n"/>
      <c r="D23" s="5" t="n"/>
      <c r="E23" s="5" t="n"/>
      <c r="F23" s="5" t="n"/>
      <c r="G23" s="5" t="n"/>
      <c r="H23" s="5" t="n"/>
    </row>
    <row r="24">
      <c r="A24" s="5" t="n"/>
      <c r="B24" s="5" t="n"/>
      <c r="C24" s="5" t="n"/>
      <c r="D24" s="5" t="n"/>
      <c r="E24" s="5" t="n"/>
      <c r="F24" s="5" t="n"/>
      <c r="G24" s="5" t="n"/>
      <c r="H24" s="5" t="n"/>
    </row>
    <row r="25">
      <c r="A25" s="5" t="n"/>
      <c r="B25" s="5" t="n"/>
      <c r="C25" s="5" t="n"/>
      <c r="D25" s="5" t="n"/>
      <c r="E25" s="5" t="n"/>
      <c r="F25" s="5" t="n"/>
      <c r="G25" s="5" t="n"/>
      <c r="H25" s="5" t="n"/>
    </row>
    <row r="26">
      <c r="A26" s="5" t="n"/>
      <c r="B26" s="5" t="n"/>
      <c r="C26" s="5" t="n"/>
      <c r="D26" s="5" t="n"/>
      <c r="E26" s="5" t="n"/>
      <c r="F26" s="5" t="n"/>
      <c r="G26" s="5" t="n"/>
      <c r="H26" s="5" t="n"/>
    </row>
    <row r="27">
      <c r="A27" s="5" t="n"/>
      <c r="B27" s="5" t="n"/>
      <c r="C27" s="5" t="n"/>
      <c r="D27" s="5" t="n"/>
      <c r="E27" s="5" t="n"/>
      <c r="F27" s="5" t="n"/>
      <c r="G27" s="5" t="n"/>
      <c r="H27" s="5" t="n"/>
    </row>
    <row r="28">
      <c r="A28" s="5" t="n"/>
      <c r="B28" s="5" t="n"/>
      <c r="C28" s="5" t="n"/>
      <c r="D28" s="5" t="n"/>
      <c r="E28" s="5" t="n"/>
      <c r="F28" s="5" t="n"/>
      <c r="G28" s="5" t="n"/>
      <c r="H28" s="5" t="n"/>
    </row>
    <row r="29">
      <c r="A29" s="5" t="n"/>
      <c r="B29" s="5" t="n"/>
      <c r="C29" s="5" t="n"/>
      <c r="D29" s="5" t="n"/>
      <c r="E29" s="5" t="n"/>
      <c r="F29" s="5" t="n"/>
      <c r="G29" s="5" t="n"/>
      <c r="H29" s="5" t="n"/>
    </row>
    <row r="30">
      <c r="A30" s="5" t="n"/>
      <c r="B30" s="5" t="n"/>
      <c r="C30" s="5" t="n"/>
      <c r="D30" s="5" t="n"/>
      <c r="E30" s="5" t="n"/>
      <c r="F30" s="5" t="n"/>
      <c r="G30" s="5" t="n"/>
      <c r="H30" s="5" t="n"/>
    </row>
    <row r="31">
      <c r="A31" s="5" t="n"/>
      <c r="B31" s="5" t="n"/>
      <c r="C31" s="5" t="n"/>
      <c r="D31" s="5" t="n"/>
      <c r="E31" s="5" t="n"/>
      <c r="F31" s="5" t="n"/>
      <c r="G31" s="5" t="n"/>
      <c r="H31" s="5" t="n"/>
    </row>
    <row r="32">
      <c r="A32" s="5" t="n"/>
      <c r="B32" s="5" t="n"/>
      <c r="C32" s="5" t="n"/>
      <c r="D32" s="5" t="n"/>
      <c r="E32" s="5" t="n"/>
      <c r="F32" s="5" t="n"/>
      <c r="G32" s="5" t="n"/>
      <c r="H32" s="5" t="n"/>
    </row>
    <row r="33">
      <c r="A33" s="5" t="n"/>
      <c r="B33" s="5" t="n"/>
      <c r="C33" s="5" t="n"/>
      <c r="D33" s="5" t="n"/>
      <c r="E33" s="5" t="n"/>
      <c r="F33" s="5" t="n"/>
      <c r="G33" s="5" t="n"/>
      <c r="H33" s="5" t="n"/>
    </row>
    <row r="34">
      <c r="A34" s="5" t="n"/>
      <c r="B34" s="5" t="n"/>
      <c r="C34" s="5" t="n"/>
      <c r="D34" s="5" t="n"/>
      <c r="E34" s="5" t="n"/>
      <c r="F34" s="5" t="n"/>
      <c r="G34" s="5" t="n"/>
      <c r="H34" s="5" t="n"/>
    </row>
    <row r="35">
      <c r="A35" s="5" t="n"/>
      <c r="B35" s="5" t="n"/>
      <c r="C35" s="5" t="n"/>
      <c r="D35" s="5" t="n"/>
      <c r="E35" s="5" t="n"/>
      <c r="F35" s="5" t="n"/>
      <c r="G35" s="5" t="n"/>
      <c r="H35" s="5" t="n"/>
    </row>
    <row r="36">
      <c r="A36" s="5" t="n"/>
      <c r="B36" s="5" t="n"/>
      <c r="C36" s="5" t="n"/>
      <c r="D36" s="5" t="n"/>
      <c r="E36" s="5" t="n"/>
      <c r="F36" s="5" t="n"/>
      <c r="G36" s="5" t="n"/>
      <c r="H36" s="5" t="n"/>
    </row>
    <row r="37">
      <c r="A37" s="5" t="n"/>
      <c r="B37" s="5" t="n"/>
      <c r="C37" s="5" t="n"/>
      <c r="D37" s="5" t="n"/>
      <c r="E37" s="5" t="n"/>
      <c r="F37" s="5" t="n"/>
      <c r="G37" s="5" t="n"/>
      <c r="H37" s="5" t="n"/>
    </row>
    <row r="38">
      <c r="A38" s="5" t="n"/>
      <c r="B38" s="5" t="n"/>
      <c r="C38" s="5" t="n"/>
      <c r="D38" s="5" t="n"/>
      <c r="E38" s="5" t="n"/>
      <c r="F38" s="5" t="n"/>
      <c r="G38" s="5" t="n"/>
      <c r="H38" s="5" t="n"/>
    </row>
    <row r="39">
      <c r="A39" s="5" t="n"/>
      <c r="B39" s="5" t="n"/>
      <c r="C39" s="5" t="n"/>
      <c r="D39" s="5" t="n"/>
      <c r="E39" s="5" t="n"/>
      <c r="F39" s="5" t="n"/>
      <c r="G39" s="5" t="n"/>
      <c r="H39" s="5" t="n"/>
    </row>
    <row r="40">
      <c r="A40" s="5" t="n"/>
      <c r="B40" s="5" t="n"/>
      <c r="C40" s="5" t="n"/>
      <c r="D40" s="5" t="n"/>
      <c r="E40" s="5" t="n"/>
      <c r="F40" s="5" t="n"/>
      <c r="G40" s="5" t="n"/>
      <c r="H40" s="5" t="n"/>
    </row>
    <row r="41">
      <c r="A41" s="5" t="n"/>
      <c r="B41" s="5" t="n"/>
      <c r="C41" s="5" t="n"/>
      <c r="D41" s="5" t="n"/>
      <c r="E41" s="5" t="n"/>
      <c r="F41" s="5" t="n"/>
      <c r="G41" s="5" t="n"/>
      <c r="H41" s="5" t="n"/>
    </row>
    <row r="42">
      <c r="A42" s="5" t="n"/>
      <c r="B42" s="5" t="n"/>
      <c r="C42" s="5" t="n"/>
      <c r="D42" s="5" t="n"/>
      <c r="E42" s="5" t="n"/>
      <c r="F42" s="5" t="n"/>
      <c r="G42" s="5" t="n"/>
      <c r="H42" s="5" t="n"/>
    </row>
    <row r="43">
      <c r="A43" s="5" t="n"/>
      <c r="B43" s="5" t="n"/>
      <c r="C43" s="5" t="n"/>
      <c r="D43" s="5" t="n"/>
      <c r="E43" s="5" t="n"/>
      <c r="F43" s="5" t="n"/>
      <c r="G43" s="5" t="n"/>
      <c r="H43" s="5" t="n"/>
    </row>
    <row r="44">
      <c r="A44" s="5" t="n"/>
      <c r="B44" s="5" t="n"/>
      <c r="C44" s="5" t="n"/>
      <c r="D44" s="5" t="n"/>
      <c r="E44" s="5" t="n"/>
      <c r="F44" s="5" t="n"/>
      <c r="G44" s="5" t="n"/>
      <c r="H44" s="5" t="n"/>
    </row>
    <row r="45">
      <c r="A45" s="5" t="n"/>
      <c r="B45" s="5" t="n"/>
      <c r="C45" s="5" t="n"/>
      <c r="D45" s="5" t="n"/>
      <c r="E45" s="5" t="n"/>
      <c r="F45" s="5" t="n"/>
      <c r="G45" s="5" t="n"/>
      <c r="H45" s="5" t="n"/>
    </row>
    <row r="46">
      <c r="A46" s="5" t="n"/>
      <c r="B46" s="5" t="n"/>
      <c r="C46" s="5" t="n"/>
      <c r="D46" s="5" t="n"/>
      <c r="E46" s="5" t="n"/>
      <c r="F46" s="5" t="n"/>
      <c r="G46" s="5" t="n"/>
      <c r="H46" s="5" t="n"/>
    </row>
    <row r="47">
      <c r="A47" s="5" t="n"/>
      <c r="B47" s="5" t="n"/>
      <c r="C47" s="5" t="n"/>
      <c r="D47" s="5" t="n"/>
      <c r="E47" s="5" t="n"/>
      <c r="F47" s="5" t="n"/>
      <c r="G47" s="5" t="n"/>
      <c r="H47" s="5" t="n"/>
    </row>
    <row r="48">
      <c r="A48" s="5" t="n"/>
      <c r="B48" s="5" t="n"/>
      <c r="C48" s="5" t="n"/>
      <c r="D48" s="5" t="n"/>
      <c r="E48" s="5" t="n"/>
      <c r="F48" s="5" t="n"/>
      <c r="G48" s="5" t="n"/>
      <c r="H48" s="5" t="n"/>
    </row>
    <row r="49">
      <c r="A49" s="5" t="n"/>
      <c r="B49" s="5" t="n"/>
      <c r="C49" s="5" t="n"/>
      <c r="D49" s="5" t="n"/>
      <c r="E49" s="5" t="n"/>
      <c r="F49" s="5" t="n"/>
      <c r="G49" s="5" t="n"/>
      <c r="H49" s="5" t="n"/>
    </row>
    <row r="50">
      <c r="A50" s="5" t="n"/>
      <c r="B50" s="5" t="n"/>
      <c r="C50" s="5" t="n"/>
      <c r="D50" s="5" t="n"/>
      <c r="E50" s="5" t="n"/>
      <c r="F50" s="5" t="n"/>
      <c r="G50" s="5" t="n"/>
      <c r="H50" s="5" t="n"/>
    </row>
    <row r="51">
      <c r="A51" s="5" t="n"/>
      <c r="B51" s="5" t="n"/>
      <c r="C51" s="5" t="n"/>
      <c r="D51" s="5" t="n"/>
      <c r="E51" s="5" t="n"/>
      <c r="F51" s="5" t="n"/>
      <c r="G51" s="5" t="n"/>
      <c r="H51" s="5" t="n"/>
    </row>
    <row r="52">
      <c r="A52" s="5" t="n"/>
      <c r="B52" s="5" t="n"/>
      <c r="C52" s="5" t="n"/>
      <c r="D52" s="5" t="n"/>
      <c r="E52" s="5" t="n"/>
      <c r="F52" s="5" t="n"/>
      <c r="G52" s="5" t="n"/>
      <c r="H52" s="5" t="n"/>
    </row>
    <row r="53">
      <c r="A53" s="5" t="n"/>
      <c r="B53" s="5" t="n"/>
      <c r="C53" s="5" t="n"/>
      <c r="D53" s="5" t="n"/>
      <c r="E53" s="5" t="n"/>
      <c r="F53" s="5" t="n"/>
      <c r="G53" s="5" t="n"/>
      <c r="H53" s="5" t="n"/>
    </row>
    <row r="54">
      <c r="A54" s="5" t="n"/>
      <c r="B54" s="5" t="n"/>
      <c r="C54" s="5" t="n"/>
      <c r="D54" s="5" t="n"/>
      <c r="E54" s="5" t="n"/>
      <c r="F54" s="5" t="n"/>
      <c r="G54" s="5" t="n"/>
      <c r="H54" s="5" t="n"/>
    </row>
    <row r="55">
      <c r="A55" s="5" t="n"/>
      <c r="B55" s="5" t="n"/>
      <c r="C55" s="5" t="n"/>
      <c r="D55" s="5" t="n"/>
      <c r="E55" s="5" t="n"/>
      <c r="F55" s="5" t="n"/>
      <c r="G55" s="5" t="n"/>
      <c r="H55" s="5" t="n"/>
    </row>
    <row r="56">
      <c r="A56" s="5" t="n"/>
      <c r="B56" s="5" t="n"/>
      <c r="C56" s="5" t="n"/>
      <c r="D56" s="5" t="n"/>
      <c r="E56" s="5" t="n"/>
      <c r="F56" s="5" t="n"/>
      <c r="G56" s="5" t="n"/>
      <c r="H56" s="5" t="n"/>
    </row>
    <row r="57">
      <c r="A57" s="5" t="n"/>
      <c r="B57" s="5" t="n"/>
      <c r="C57" s="5" t="n"/>
      <c r="D57" s="5" t="n"/>
      <c r="E57" s="5" t="n"/>
      <c r="F57" s="5" t="n"/>
      <c r="G57" s="5" t="n"/>
      <c r="H57" s="5" t="n"/>
    </row>
    <row r="58">
      <c r="A58" s="5" t="n"/>
      <c r="B58" s="5" t="n"/>
      <c r="C58" s="5" t="n"/>
      <c r="D58" s="5" t="n"/>
      <c r="E58" s="5" t="n"/>
      <c r="F58" s="5" t="n"/>
      <c r="G58" s="5" t="n"/>
      <c r="H58" s="5" t="n"/>
    </row>
    <row r="59">
      <c r="A59" s="5" t="n"/>
      <c r="B59" s="5" t="n"/>
      <c r="C59" s="5" t="n"/>
      <c r="D59" s="5" t="n"/>
      <c r="E59" s="5" t="n"/>
      <c r="F59" s="5" t="n"/>
      <c r="G59" s="5" t="n"/>
      <c r="H59" s="5" t="n"/>
    </row>
    <row r="60">
      <c r="A60" s="5" t="n"/>
      <c r="B60" s="5" t="n"/>
      <c r="C60" s="5" t="n"/>
      <c r="D60" s="5" t="n"/>
      <c r="E60" s="5" t="n"/>
      <c r="F60" s="5" t="n"/>
      <c r="G60" s="5" t="n"/>
      <c r="H60" s="5" t="n"/>
    </row>
    <row r="61">
      <c r="A61" s="5" t="n"/>
      <c r="B61" s="5" t="n"/>
      <c r="C61" s="5" t="n"/>
      <c r="D61" s="5" t="n"/>
      <c r="E61" s="5" t="n"/>
      <c r="F61" s="5" t="n"/>
      <c r="G61" s="5" t="n"/>
      <c r="H61" s="5" t="n"/>
    </row>
    <row r="62">
      <c r="A62" s="5" t="n"/>
      <c r="B62" s="5" t="n"/>
      <c r="C62" s="5" t="n"/>
      <c r="D62" s="5" t="n"/>
      <c r="E62" s="5" t="n"/>
      <c r="F62" s="5" t="n"/>
      <c r="G62" s="5" t="n"/>
      <c r="H62" s="5" t="n"/>
    </row>
    <row r="63">
      <c r="A63" s="5" t="n"/>
      <c r="B63" s="5" t="n"/>
      <c r="C63" s="5" t="n"/>
      <c r="D63" s="5" t="n"/>
      <c r="E63" s="5" t="n"/>
      <c r="F63" s="5" t="n"/>
      <c r="G63" s="5" t="n"/>
      <c r="H63" s="5" t="n"/>
    </row>
    <row r="64">
      <c r="A64" s="5" t="n"/>
      <c r="B64" s="5" t="n"/>
      <c r="C64" s="5" t="n"/>
      <c r="D64" s="5" t="n"/>
      <c r="E64" s="5" t="n"/>
      <c r="F64" s="5" t="n"/>
      <c r="G64" s="5" t="n"/>
      <c r="H64" s="5" t="n"/>
    </row>
    <row r="65">
      <c r="A65" s="5" t="n"/>
      <c r="B65" s="5" t="n"/>
      <c r="C65" s="5" t="n"/>
      <c r="D65" s="5" t="n"/>
      <c r="E65" s="5" t="n"/>
      <c r="F65" s="5" t="n"/>
      <c r="G65" s="5" t="n"/>
      <c r="H65" s="5" t="n"/>
    </row>
    <row r="66">
      <c r="A66" s="5" t="n"/>
      <c r="B66" s="5" t="n"/>
      <c r="C66" s="5" t="n"/>
      <c r="D66" s="5" t="n"/>
      <c r="E66" s="5" t="n"/>
      <c r="F66" s="5" t="n"/>
      <c r="G66" s="5" t="n"/>
      <c r="H66" s="5" t="n"/>
    </row>
    <row r="67">
      <c r="A67" s="5" t="n"/>
      <c r="B67" s="5" t="n"/>
      <c r="C67" s="5" t="n"/>
      <c r="D67" s="5" t="n"/>
      <c r="E67" s="5" t="n"/>
      <c r="F67" s="5" t="n"/>
      <c r="G67" s="5" t="n"/>
      <c r="H67" s="5" t="n"/>
    </row>
    <row r="68">
      <c r="A68" s="5" t="n"/>
      <c r="B68" s="5" t="n"/>
      <c r="C68" s="5" t="n"/>
      <c r="D68" s="5" t="n"/>
      <c r="E68" s="5" t="n"/>
      <c r="F68" s="5" t="n"/>
      <c r="G68" s="5" t="n"/>
      <c r="H68" s="5" t="n"/>
    </row>
    <row r="69">
      <c r="A69" s="5" t="n"/>
      <c r="B69" s="5" t="n"/>
      <c r="C69" s="5" t="n"/>
      <c r="D69" s="5" t="n"/>
      <c r="E69" s="5" t="n"/>
      <c r="F69" s="5" t="n"/>
      <c r="G69" s="5" t="n"/>
      <c r="H69" s="5" t="n"/>
    </row>
    <row r="70">
      <c r="A70" s="5" t="n"/>
      <c r="B70" s="5" t="n"/>
      <c r="C70" s="5" t="n"/>
      <c r="D70" s="5" t="n"/>
      <c r="E70" s="5" t="n"/>
      <c r="F70" s="5" t="n"/>
      <c r="G70" s="5" t="n"/>
      <c r="H70" s="5" t="n"/>
    </row>
    <row r="71">
      <c r="A71" s="5" t="n"/>
      <c r="B71" s="5" t="n"/>
      <c r="C71" s="5" t="n"/>
      <c r="D71" s="5" t="n"/>
      <c r="E71" s="5" t="n"/>
      <c r="F71" s="5" t="n"/>
      <c r="G71" s="5" t="n"/>
      <c r="H71" s="5" t="n"/>
    </row>
    <row r="72">
      <c r="A72" s="5" t="n"/>
      <c r="B72" s="5" t="n"/>
      <c r="C72" s="5" t="n"/>
      <c r="D72" s="5" t="n"/>
      <c r="E72" s="5" t="n"/>
      <c r="F72" s="5" t="n"/>
      <c r="G72" s="5" t="n"/>
      <c r="H72" s="5" t="n"/>
    </row>
    <row r="73">
      <c r="A73" s="5" t="n"/>
      <c r="B73" s="5" t="n"/>
      <c r="C73" s="5" t="n"/>
      <c r="D73" s="5" t="n"/>
      <c r="E73" s="5" t="n"/>
      <c r="F73" s="5" t="n"/>
      <c r="G73" s="5" t="n"/>
      <c r="H73" s="5" t="n"/>
    </row>
    <row r="74">
      <c r="A74" s="5" t="n"/>
      <c r="B74" s="5" t="n"/>
      <c r="C74" s="5" t="n"/>
      <c r="D74" s="5" t="n"/>
      <c r="E74" s="5" t="n"/>
      <c r="F74" s="5" t="n"/>
      <c r="G74" s="5" t="n"/>
      <c r="H74" s="5" t="n"/>
    </row>
    <row r="75">
      <c r="A75" s="5" t="n"/>
      <c r="B75" s="5" t="n"/>
      <c r="C75" s="5" t="n"/>
      <c r="D75" s="5" t="n"/>
      <c r="E75" s="5" t="n"/>
      <c r="F75" s="5" t="n"/>
      <c r="G75" s="5" t="n"/>
      <c r="H75" s="5" t="n"/>
    </row>
    <row r="76">
      <c r="A76" s="5" t="n"/>
      <c r="B76" s="5" t="n"/>
      <c r="C76" s="5" t="n"/>
      <c r="D76" s="5" t="n"/>
      <c r="E76" s="5" t="n"/>
      <c r="F76" s="5" t="n"/>
      <c r="G76" s="5" t="n"/>
      <c r="H76" s="5" t="n"/>
    </row>
    <row r="77">
      <c r="A77" s="5" t="n"/>
      <c r="B77" s="5" t="n"/>
      <c r="C77" s="5" t="n"/>
      <c r="D77" s="5" t="n"/>
      <c r="E77" s="5" t="n"/>
      <c r="F77" s="5" t="n"/>
      <c r="G77" s="5" t="n"/>
      <c r="H77" s="5" t="n"/>
    </row>
    <row r="78">
      <c r="A78" s="5" t="n"/>
      <c r="B78" s="5" t="n"/>
      <c r="C78" s="5" t="n"/>
      <c r="D78" s="5" t="n"/>
      <c r="E78" s="5" t="n"/>
      <c r="F78" s="5" t="n"/>
      <c r="G78" s="5" t="n"/>
      <c r="H78" s="5" t="n"/>
    </row>
    <row r="79">
      <c r="A79" s="5" t="n"/>
      <c r="B79" s="5" t="n"/>
      <c r="C79" s="5" t="n"/>
      <c r="D79" s="5" t="n"/>
      <c r="E79" s="5" t="n"/>
      <c r="F79" s="5" t="n"/>
      <c r="G79" s="5" t="n"/>
      <c r="H79" s="5" t="n"/>
    </row>
    <row r="80">
      <c r="A80" s="5" t="n"/>
      <c r="B80" s="5" t="n"/>
      <c r="C80" s="5" t="n"/>
      <c r="D80" s="5" t="n"/>
      <c r="E80" s="5" t="n"/>
      <c r="F80" s="5" t="n"/>
      <c r="G80" s="5" t="n"/>
      <c r="H80" s="5" t="n"/>
    </row>
    <row r="81">
      <c r="A81" s="5" t="n"/>
      <c r="B81" s="5" t="n"/>
      <c r="C81" s="5" t="n"/>
      <c r="D81" s="5" t="n"/>
      <c r="E81" s="5" t="n"/>
      <c r="F81" s="5" t="n"/>
      <c r="G81" s="5" t="n"/>
      <c r="H81" s="5" t="n"/>
    </row>
    <row r="82">
      <c r="A82" s="5" t="n"/>
      <c r="B82" s="5" t="n"/>
      <c r="C82" s="5" t="n"/>
      <c r="D82" s="5" t="n"/>
      <c r="E82" s="5" t="n"/>
      <c r="F82" s="5" t="n"/>
      <c r="G82" s="5" t="n"/>
      <c r="H82" s="5" t="n"/>
    </row>
    <row r="83">
      <c r="A83" s="5" t="n"/>
      <c r="B83" s="5" t="n"/>
      <c r="C83" s="5" t="n"/>
      <c r="D83" s="5" t="n"/>
      <c r="E83" s="5" t="n"/>
      <c r="F83" s="5" t="n"/>
      <c r="G83" s="5" t="n"/>
      <c r="H83" s="5" t="n"/>
    </row>
    <row r="84">
      <c r="A84" s="5" t="n"/>
      <c r="B84" s="5" t="n"/>
      <c r="C84" s="5" t="n"/>
      <c r="D84" s="5" t="n"/>
      <c r="E84" s="5" t="n"/>
      <c r="F84" s="5" t="n"/>
      <c r="G84" s="5" t="n"/>
      <c r="H84" s="5" t="n"/>
    </row>
    <row r="85">
      <c r="A85" s="5" t="n"/>
      <c r="B85" s="5" t="n"/>
      <c r="C85" s="5" t="n"/>
      <c r="D85" s="5" t="n"/>
      <c r="E85" s="5" t="n"/>
      <c r="F85" s="5" t="n"/>
      <c r="G85" s="5" t="n"/>
      <c r="H85" s="5" t="n"/>
    </row>
    <row r="86">
      <c r="A86" s="5" t="n"/>
      <c r="B86" s="5" t="n"/>
      <c r="C86" s="5" t="n"/>
      <c r="D86" s="5" t="n"/>
      <c r="E86" s="5" t="n"/>
      <c r="F86" s="5" t="n"/>
      <c r="G86" s="5" t="n"/>
      <c r="H86" s="5" t="n"/>
    </row>
    <row r="87">
      <c r="A87" s="5" t="n"/>
      <c r="B87" s="5" t="n"/>
      <c r="C87" s="5" t="n"/>
      <c r="D87" s="5" t="n"/>
      <c r="E87" s="5" t="n"/>
      <c r="F87" s="5" t="n"/>
      <c r="G87" s="5" t="n"/>
      <c r="H87" s="5" t="n"/>
    </row>
    <row r="88">
      <c r="A88" s="5" t="n"/>
      <c r="B88" s="5" t="n"/>
      <c r="C88" s="5" t="n"/>
      <c r="D88" s="5" t="n"/>
      <c r="E88" s="5" t="n"/>
      <c r="F88" s="5" t="n"/>
      <c r="G88" s="5" t="n"/>
      <c r="H88" s="5" t="n"/>
    </row>
    <row r="89">
      <c r="A89" s="5" t="n"/>
      <c r="B89" s="5" t="n"/>
      <c r="C89" s="5" t="n"/>
      <c r="D89" s="5" t="n"/>
      <c r="E89" s="5" t="n"/>
      <c r="F89" s="5" t="n"/>
      <c r="G89" s="5" t="n"/>
      <c r="H89" s="5" t="n"/>
    </row>
    <row r="90">
      <c r="A90" s="5" t="n"/>
      <c r="B90" s="5" t="n"/>
      <c r="C90" s="5" t="n"/>
      <c r="D90" s="5" t="n"/>
      <c r="E90" s="5" t="n"/>
      <c r="F90" s="5" t="n"/>
      <c r="G90" s="5" t="n"/>
      <c r="H90" s="5" t="n"/>
    </row>
    <row r="91">
      <c r="A91" s="5" t="n"/>
      <c r="B91" s="5" t="n"/>
      <c r="C91" s="5" t="n"/>
      <c r="D91" s="5" t="n"/>
      <c r="E91" s="5" t="n"/>
      <c r="F91" s="5" t="n"/>
      <c r="G91" s="5" t="n"/>
      <c r="H91" s="5" t="n"/>
    </row>
    <row r="92">
      <c r="A92" s="5" t="n"/>
      <c r="B92" s="5" t="n"/>
      <c r="C92" s="5" t="n"/>
      <c r="D92" s="5" t="n"/>
      <c r="E92" s="5" t="n"/>
      <c r="F92" s="5" t="n"/>
      <c r="G92" s="5" t="n"/>
      <c r="H92" s="5" t="n"/>
    </row>
    <row r="93">
      <c r="A93" s="5" t="n"/>
      <c r="B93" s="5" t="n"/>
      <c r="C93" s="5" t="n"/>
      <c r="D93" s="5" t="n"/>
      <c r="E93" s="5" t="n"/>
      <c r="F93" s="5" t="n"/>
      <c r="G93" s="5" t="n"/>
      <c r="H93" s="5" t="n"/>
    </row>
    <row r="94">
      <c r="A94" s="5" t="n"/>
      <c r="B94" s="5" t="n"/>
      <c r="C94" s="5" t="n"/>
      <c r="D94" s="5" t="n"/>
      <c r="E94" s="5" t="n"/>
      <c r="F94" s="5" t="n"/>
      <c r="G94" s="5" t="n"/>
      <c r="H94" s="5" t="n"/>
    </row>
    <row r="95">
      <c r="A95" s="5" t="n"/>
      <c r="B95" s="5" t="n"/>
      <c r="C95" s="5" t="n"/>
      <c r="D95" s="5" t="n"/>
      <c r="E95" s="5" t="n"/>
      <c r="F95" s="5" t="n"/>
      <c r="G95" s="5" t="n"/>
      <c r="H95" s="5" t="n"/>
    </row>
    <row r="96">
      <c r="A96" s="5" t="n"/>
      <c r="B96" s="5" t="n"/>
      <c r="C96" s="5" t="n"/>
      <c r="D96" s="5" t="n"/>
      <c r="E96" s="5" t="n"/>
      <c r="F96" s="5" t="n"/>
      <c r="G96" s="5" t="n"/>
      <c r="H96" s="5" t="n"/>
    </row>
    <row r="97">
      <c r="A97" s="5" t="n"/>
      <c r="B97" s="5" t="n"/>
      <c r="C97" s="5" t="n"/>
      <c r="D97" s="5" t="n"/>
      <c r="E97" s="5" t="n"/>
      <c r="F97" s="5" t="n"/>
      <c r="G97" s="5" t="n"/>
      <c r="H97" s="5" t="n"/>
    </row>
    <row r="98">
      <c r="A98" s="5" t="n"/>
      <c r="B98" s="5" t="n"/>
      <c r="C98" s="5" t="n"/>
      <c r="D98" s="5" t="n"/>
      <c r="E98" s="5" t="n"/>
      <c r="F98" s="5" t="n"/>
      <c r="G98" s="5" t="n"/>
      <c r="H98" s="5" t="n"/>
    </row>
    <row r="99">
      <c r="A99" s="5" t="n"/>
      <c r="B99" s="5" t="n"/>
      <c r="C99" s="5" t="n"/>
      <c r="D99" s="5" t="n"/>
      <c r="E99" s="5" t="n"/>
      <c r="F99" s="5" t="n"/>
      <c r="G99" s="5" t="n"/>
      <c r="H99" s="5" t="n"/>
    </row>
    <row r="100">
      <c r="A100" s="5" t="n"/>
      <c r="B100" s="5" t="n"/>
      <c r="C100" s="5" t="n"/>
      <c r="D100" s="5" t="n"/>
      <c r="E100" s="5" t="n"/>
      <c r="F100" s="5" t="n"/>
      <c r="G100" s="5" t="n"/>
      <c r="H100" s="5" t="n"/>
    </row>
    <row r="101">
      <c r="A101" s="5" t="n"/>
      <c r="B101" s="5" t="n"/>
      <c r="C101" s="5" t="n"/>
      <c r="D101" s="5" t="n"/>
      <c r="E101" s="5" t="n"/>
      <c r="F101" s="5" t="n"/>
      <c r="G101" s="5" t="n"/>
      <c r="H101" s="5" t="n"/>
    </row>
    <row r="102">
      <c r="A102" s="5" t="n"/>
      <c r="B102" s="5" t="n"/>
      <c r="C102" s="5" t="n"/>
      <c r="D102" s="5" t="n"/>
      <c r="E102" s="5" t="n"/>
      <c r="F102" s="5" t="n"/>
      <c r="G102" s="5" t="n"/>
      <c r="H102" s="5" t="n"/>
    </row>
    <row r="103">
      <c r="A103" s="5" t="n"/>
      <c r="B103" s="5" t="n"/>
      <c r="C103" s="5" t="n"/>
      <c r="D103" s="5" t="n"/>
      <c r="E103" s="5" t="n"/>
      <c r="F103" s="5" t="n"/>
      <c r="G103" s="5" t="n"/>
      <c r="H103" s="5" t="n"/>
    </row>
    <row r="104">
      <c r="A104" s="5" t="n"/>
      <c r="B104" s="5" t="n"/>
      <c r="C104" s="5" t="n"/>
      <c r="D104" s="5" t="n"/>
      <c r="E104" s="5" t="n"/>
      <c r="F104" s="5" t="n"/>
      <c r="G104" s="5" t="n"/>
      <c r="H104" s="5" t="n"/>
    </row>
    <row r="105">
      <c r="A105" s="5" t="n"/>
      <c r="B105" s="5" t="n"/>
      <c r="C105" s="5" t="n"/>
      <c r="D105" s="5" t="n"/>
      <c r="E105" s="5" t="n"/>
      <c r="F105" s="5" t="n"/>
      <c r="G105" s="5" t="n"/>
      <c r="H105" s="5" t="n"/>
    </row>
  </sheetData>
  <mergeCells count="2">
    <mergeCell ref="A2:H2"/>
    <mergeCell ref="A1:H1"/>
  </mergeCells>
  <dataValidations count="2">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showDropDown="0" showInputMessage="0" showErrorMessage="0" allowBlank="1" type="list">
      <formula1>"Monitoring dashboard,Screenshot,Utilization report,Documentation,Capacity plan,Alert configuration,Audit log,Compliance report,Other"</formula1>
    </dataValidation>
    <dataValidation sqref="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showDropDown="0" showInputMessage="0" showErrorMessage="0" allowBlank="1" type="list">
      <formula1>"Verified,Pending verification,Not verified,Requires update"</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37"/>
  <sheetViews>
    <sheetView showGridLines="0" workbookViewId="0">
      <pane ySplit="2" topLeftCell="A3" activePane="bottomLeft" state="frozen"/>
      <selection pane="bottomLeft" activeCell="A1" sqref="A1"/>
    </sheetView>
  </sheetViews>
  <sheetFormatPr baseColWidth="8" defaultRowHeight="15"/>
  <cols>
    <col width="38" customWidth="1" min="1" max="1"/>
    <col width="18" customWidth="1" min="2" max="2"/>
    <col width="22" customWidth="1" min="3" max="3"/>
    <col width="18" customWidth="1" min="4" max="4"/>
    <col width="18" customWidth="1" min="5" max="5"/>
    <col width="22" customWidth="1" min="6" max="6"/>
    <col width="25" customWidth="1" min="7" max="7"/>
  </cols>
  <sheetData>
    <row r="1" ht="35" customHeight="1">
      <c r="A1" s="23" t="inlineStr">
        <is>
          <t>CAPACITY UTILIZATION ASSESSMENT — SUMMARY DASHBOARD</t>
        </is>
      </c>
    </row>
    <row r="2">
      <c r="A2" s="26" t="inlineStr">
        <is>
          <t>Consolidated capacity utilisation compliance across all infrastructure resource types.</t>
        </is>
      </c>
    </row>
    <row r="4">
      <c r="A4" s="27" t="inlineStr">
        <is>
          <t>TABLE 1 — ASSESSMENT AREA COMPLIANCE</t>
        </is>
      </c>
    </row>
    <row r="5">
      <c r="A5" s="28" t="inlineStr">
        <is>
          <t>Assessment Area</t>
        </is>
      </c>
      <c r="B5" s="28" t="inlineStr">
        <is>
          <t>Total Items</t>
        </is>
      </c>
      <c r="C5" s="28" t="inlineStr">
        <is>
          <t>Compliant</t>
        </is>
      </c>
      <c r="D5" s="28" t="inlineStr">
        <is>
          <t>Partial</t>
        </is>
      </c>
      <c r="E5" s="28" t="inlineStr">
        <is>
          <t>Non-Compliant</t>
        </is>
      </c>
      <c r="F5" s="28" t="inlineStr">
        <is>
          <t>N/A</t>
        </is>
      </c>
      <c r="G5" s="28" t="inlineStr">
        <is>
          <t>Compliance %</t>
        </is>
      </c>
    </row>
    <row r="6">
      <c r="A6" s="29" t="inlineStr">
        <is>
          <t>Compute Resources</t>
        </is>
      </c>
      <c r="B6" s="30">
        <f>C6+D6+E6+F6</f>
        <v/>
      </c>
      <c r="C6" s="30">
        <f>COUNTIF('Compute Resources'!M5:M54,"✅ OK")</f>
        <v/>
      </c>
      <c r="D6" s="30">
        <f>COUNTIF('Compute Resources'!M5:M54,"⚠️ Warning")</f>
        <v/>
      </c>
      <c r="E6" s="30">
        <f>COUNTIF('Compute Resources'!M5:M54,"❌ Critical")</f>
        <v/>
      </c>
      <c r="F6" s="30">
        <f>COUNTIF('Compute Resources'!M5:M54,"Not Monitored")</f>
        <v/>
      </c>
      <c r="G6" s="31">
        <f>IF((B6-F6)=0,0,C6/(B6-F6))</f>
        <v/>
      </c>
    </row>
    <row r="7">
      <c r="A7" s="29" t="inlineStr">
        <is>
          <t>Storage Resources</t>
        </is>
      </c>
      <c r="B7" s="30">
        <f>C7+D7+E7+F7</f>
        <v/>
      </c>
      <c r="C7" s="30">
        <f>COUNTIF('Storage Resources'!K5:K54,"✅ OK")</f>
        <v/>
      </c>
      <c r="D7" s="30">
        <f>COUNTIF('Storage Resources'!K5:K54,"⚠️ Warning")</f>
        <v/>
      </c>
      <c r="E7" s="30">
        <f>COUNTIF('Storage Resources'!K5:K54,"❌ Critical")</f>
        <v/>
      </c>
      <c r="F7" s="30">
        <f>COUNTIF('Storage Resources'!K5:K54,"Not Monitored")</f>
        <v/>
      </c>
      <c r="G7" s="31">
        <f>IF((B7-F7)=0,0,C7/(B7-F7))</f>
        <v/>
      </c>
    </row>
    <row r="8">
      <c r="A8" s="29" t="inlineStr">
        <is>
          <t>Network Resources</t>
        </is>
      </c>
      <c r="B8" s="30">
        <f>C8+D8+E8+F8</f>
        <v/>
      </c>
      <c r="C8" s="30">
        <f>COUNTIF('Network Resources'!L5:L54,"✅ OK")</f>
        <v/>
      </c>
      <c r="D8" s="30">
        <f>COUNTIF('Network Resources'!L5:L54,"⚠️ Warning")</f>
        <v/>
      </c>
      <c r="E8" s="30">
        <f>COUNTIF('Network Resources'!L5:L54,"❌ Critical")</f>
        <v/>
      </c>
      <c r="F8" s="30">
        <f>COUNTIF('Network Resources'!L5:L54,"Not Monitored")</f>
        <v/>
      </c>
      <c r="G8" s="31">
        <f>IF((B8-F8)=0,0,C8/(B8-F8))</f>
        <v/>
      </c>
    </row>
    <row r="9">
      <c r="A9" s="29" t="inlineStr">
        <is>
          <t>Application Resources</t>
        </is>
      </c>
      <c r="B9" s="30">
        <f>C9+D9+E9+F9</f>
        <v/>
      </c>
      <c r="C9" s="30">
        <f>COUNTIF('Application Resources'!K5:K54,"✅ OK")</f>
        <v/>
      </c>
      <c r="D9" s="30">
        <f>COUNTIF('Application Resources'!K5:K54,"⚠️ Warning")</f>
        <v/>
      </c>
      <c r="E9" s="30">
        <f>COUNTIF('Application Resources'!K5:K54,"❌ Critical")</f>
        <v/>
      </c>
      <c r="F9" s="30">
        <f>COUNTIF('Application Resources'!K5:K54,"Not Monitored")</f>
        <v/>
      </c>
      <c r="G9" s="31">
        <f>IF((B9-F9)=0,0,C9/(B9-F9))</f>
        <v/>
      </c>
    </row>
    <row r="10">
      <c r="A10" s="29" t="inlineStr">
        <is>
          <t>Cloud Resources</t>
        </is>
      </c>
      <c r="B10" s="30">
        <f>C10+D10+E10+F10</f>
        <v/>
      </c>
      <c r="C10" s="30">
        <f>COUNTIF('Cloud Resources'!J5:J54,"✅ OK")</f>
        <v/>
      </c>
      <c r="D10" s="30">
        <f>COUNTIF('Cloud Resources'!J5:J54,"⚠️ Warning")</f>
        <v/>
      </c>
      <c r="E10" s="30">
        <f>COUNTIF('Cloud Resources'!J5:J54,"❌ Critical")</f>
        <v/>
      </c>
      <c r="F10" s="30">
        <f>COUNTIF('Cloud Resources'!J5:J54,"Not Monitored")</f>
        <v/>
      </c>
      <c r="G10" s="31">
        <f>IF((B10-F10)=0,0,C10/(B10-F10))</f>
        <v/>
      </c>
    </row>
    <row r="12">
      <c r="A12" s="27" t="inlineStr">
        <is>
          <t>TABLE 2 — KEY PERFORMANCE INDICATORS</t>
        </is>
      </c>
    </row>
    <row r="13">
      <c r="A13" s="32" t="inlineStr">
        <is>
          <t>KPI Metric</t>
        </is>
      </c>
      <c r="B13" s="32" t="inlineStr">
        <is>
          <t>Value</t>
        </is>
      </c>
    </row>
    <row r="14">
      <c r="A14" s="29" t="inlineStr">
        <is>
          <t>Total Resources Monitored (All Types)</t>
        </is>
      </c>
      <c r="B14" s="30">
        <f>COUNTA('Compute Resources'!A5:A54)+COUNTA('Storage Resources'!A5:A54)+COUNTA('Network Resources'!A5:A54)+COUNTA('Application Resources'!A5:A54)+COUNTA('Cloud Resources'!A5:A54)</f>
        <v/>
      </c>
    </row>
    <row r="15">
      <c r="A15" s="29" t="inlineStr">
        <is>
          <t>Compute Resources — OK Rate</t>
        </is>
      </c>
      <c r="B15" s="31">
        <f>IFERROR(COUNTIF('Compute Resources'!M5:M54,"✅ OK")/COUNTA('Compute Resources'!A5:A54),0)</f>
        <v/>
      </c>
    </row>
    <row r="16">
      <c r="A16" s="29" t="inlineStr">
        <is>
          <t>Storage Resources — OK Rate</t>
        </is>
      </c>
      <c r="B16" s="31">
        <f>IFERROR(COUNTIF('Storage Resources'!K5:K54,"✅ OK")/COUNTA('Storage Resources'!A5:A54),0)</f>
        <v/>
      </c>
    </row>
    <row r="17">
      <c r="A17" s="29" t="inlineStr">
        <is>
          <t>Network Resources — OK Rate</t>
        </is>
      </c>
      <c r="B17" s="31">
        <f>IFERROR(COUNTIF('Network Resources'!L5:L54,"✅ OK")/COUNTA('Network Resources'!A5:A54),0)</f>
        <v/>
      </c>
    </row>
    <row r="18">
      <c r="A18" s="29" t="inlineStr">
        <is>
          <t>Application Resources — OK Rate</t>
        </is>
      </c>
      <c r="B18" s="31">
        <f>IFERROR(COUNTIF('Application Resources'!K5:K54,"✅ OK")/COUNTA('Application Resources'!A5:A54),0)</f>
        <v/>
      </c>
    </row>
    <row r="19">
      <c r="A19" s="29" t="inlineStr">
        <is>
          <t>Cloud Resources — OK Rate</t>
        </is>
      </c>
      <c r="B19" s="31">
        <f>IFERROR(COUNTIF('Cloud Resources'!J5:J54,"✅ OK")/COUNTA('Cloud Resources'!A5:A54),0)</f>
        <v/>
      </c>
    </row>
    <row r="20">
      <c r="A20" s="29" t="inlineStr">
        <is>
          <t>Resources at Critical Threshold</t>
        </is>
      </c>
      <c r="B20" s="30">
        <f>COUNTIF('Compute Resources'!M5:M54,"❌ Critical")+COUNTIF('Storage Resources'!K5:K54,"❌ Critical")+COUNTIF('Network Resources'!L5:L54,"❌ Critical")+COUNTIF('Application Resources'!K5:K54,"❌ Critical")+COUNTIF('Cloud Resources'!J5:J54,"❌ Critical")</f>
        <v/>
      </c>
    </row>
    <row r="21">
      <c r="A21" s="29" t="inlineStr">
        <is>
          <t>Resources at Warning Threshold</t>
        </is>
      </c>
      <c r="B21" s="30">
        <f>COUNTIF('Compute Resources'!M5:M54,"⚠️ Warning")+COUNTIF('Storage Resources'!K5:K54,"⚠️ Warning")+COUNTIF('Network Resources'!L5:L54,"⚠️ Warning")+COUNTIF('Application Resources'!K5:K54,"⚠️ Warning")+COUNTIF('Cloud Resources'!J5:J54,"⚠️ Warning")</f>
        <v/>
      </c>
    </row>
    <row r="23">
      <c r="A23" s="33" t="inlineStr">
        <is>
          <t>TABLE 3 — CRITICAL FINDINGS (COMPUTE RESOURCES AT CRITICAL THRESHOLD)</t>
        </is>
      </c>
    </row>
    <row r="24">
      <c r="A24" s="28" t="inlineStr">
        <is>
          <t>Resource Name</t>
        </is>
      </c>
      <c r="B24" s="28" t="inlineStr">
        <is>
          <t>Resource Type</t>
        </is>
      </c>
      <c r="C24" s="28" t="inlineStr">
        <is>
          <t>Location/Cluster</t>
        </is>
      </c>
      <c r="D24" s="28" t="inlineStr">
        <is>
          <t>CPU Util (%)</t>
        </is>
      </c>
      <c r="E24" s="28" t="inlineStr">
        <is>
          <t>Memory Util (%)</t>
        </is>
      </c>
      <c r="F24" s="28" t="inlineStr">
        <is>
          <t>Threshold Status</t>
        </is>
      </c>
      <c r="G24" s="28" t="inlineStr">
        <is>
          <t>Business Function</t>
        </is>
      </c>
    </row>
    <row r="25">
      <c r="A25" s="34" t="n"/>
      <c r="B25" s="34" t="n"/>
      <c r="C25" s="34" t="n"/>
      <c r="D25" s="34" t="n"/>
      <c r="E25" s="34" t="n"/>
      <c r="F25" s="34" t="n"/>
      <c r="G25" s="34" t="n"/>
    </row>
    <row r="26">
      <c r="A26" s="34" t="n"/>
      <c r="B26" s="34" t="n"/>
      <c r="C26" s="34" t="n"/>
      <c r="D26" s="34" t="n"/>
      <c r="E26" s="34" t="n"/>
      <c r="F26" s="34" t="n"/>
      <c r="G26" s="34" t="n"/>
    </row>
    <row r="27">
      <c r="A27" s="34" t="n"/>
      <c r="B27" s="34" t="n"/>
      <c r="C27" s="34" t="n"/>
      <c r="D27" s="34" t="n"/>
      <c r="E27" s="34" t="n"/>
      <c r="F27" s="34" t="n"/>
      <c r="G27" s="34" t="n"/>
    </row>
    <row r="28">
      <c r="A28" s="34" t="n"/>
      <c r="B28" s="34" t="n"/>
      <c r="C28" s="34" t="n"/>
      <c r="D28" s="34" t="n"/>
      <c r="E28" s="34" t="n"/>
      <c r="F28" s="34" t="n"/>
      <c r="G28" s="34" t="n"/>
    </row>
    <row r="29">
      <c r="A29" s="34" t="n"/>
      <c r="B29" s="34" t="n"/>
      <c r="C29" s="34" t="n"/>
      <c r="D29" s="34" t="n"/>
      <c r="E29" s="34" t="n"/>
      <c r="F29" s="34" t="n"/>
      <c r="G29" s="34" t="n"/>
    </row>
    <row r="30">
      <c r="A30" s="34" t="n"/>
      <c r="B30" s="34" t="n"/>
      <c r="C30" s="34" t="n"/>
      <c r="D30" s="34" t="n"/>
      <c r="E30" s="34" t="n"/>
      <c r="F30" s="34" t="n"/>
      <c r="G30" s="34" t="n"/>
    </row>
    <row r="31">
      <c r="A31" s="34" t="n"/>
      <c r="B31" s="34" t="n"/>
      <c r="C31" s="34" t="n"/>
      <c r="D31" s="34" t="n"/>
      <c r="E31" s="34" t="n"/>
      <c r="F31" s="34" t="n"/>
      <c r="G31" s="34" t="n"/>
    </row>
    <row r="32">
      <c r="A32" s="34" t="n"/>
      <c r="B32" s="34" t="n"/>
      <c r="C32" s="34" t="n"/>
      <c r="D32" s="34" t="n"/>
      <c r="E32" s="34" t="n"/>
      <c r="F32" s="34" t="n"/>
      <c r="G32" s="34" t="n"/>
    </row>
    <row r="33">
      <c r="A33" s="34" t="n"/>
      <c r="B33" s="34" t="n"/>
      <c r="C33" s="34" t="n"/>
      <c r="D33" s="34" t="n"/>
      <c r="E33" s="34" t="n"/>
      <c r="F33" s="34" t="n"/>
      <c r="G33" s="34" t="n"/>
    </row>
    <row r="34">
      <c r="A34" s="34" t="n"/>
      <c r="B34" s="34" t="n"/>
      <c r="C34" s="34" t="n"/>
      <c r="D34" s="34" t="n"/>
      <c r="E34" s="34" t="n"/>
      <c r="F34" s="34" t="n"/>
      <c r="G34" s="34" t="n"/>
    </row>
    <row r="35">
      <c r="A35" s="35" t="n"/>
      <c r="B35" s="35" t="n"/>
      <c r="C35" s="35" t="n"/>
      <c r="D35" s="35" t="n"/>
      <c r="E35" s="35" t="n"/>
      <c r="F35" s="35" t="n"/>
      <c r="G35" s="35" t="n"/>
    </row>
    <row r="36">
      <c r="A36" s="35" t="n"/>
      <c r="B36" s="35" t="n"/>
      <c r="C36" s="35" t="n"/>
      <c r="D36" s="35" t="n"/>
      <c r="E36" s="35" t="n"/>
      <c r="F36" s="35" t="n"/>
      <c r="G36" s="35" t="n"/>
    </row>
    <row r="37">
      <c r="A37" s="10" t="inlineStr">
        <is>
          <t>Total Resources at Critical Threshold:</t>
        </is>
      </c>
      <c r="B37" s="36">
        <f>COUNTIF('Compute Resources'!M5:M54,"❌ Critical")+COUNTIF('Storage Resources'!K5:K54,"❌ Critical")+COUNTIF('Network Resources'!L5:L54,"❌ Critical")+COUNTIF('Application Resources'!K5:K54,"❌ Critical")+COUNTIF('Cloud Resources'!J5:J54,"❌ Critical")</f>
        <v/>
      </c>
    </row>
  </sheetData>
  <mergeCells count="5">
    <mergeCell ref="A1:G1"/>
    <mergeCell ref="A12:G12"/>
    <mergeCell ref="A4:G4"/>
    <mergeCell ref="A2:G2"/>
    <mergeCell ref="A23:G23"/>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38"/>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20" customWidth="1" min="5" max="5"/>
  </cols>
  <sheetData>
    <row r="1" ht="35" customHeight="1">
      <c r="A1" s="37" t="inlineStr">
        <is>
          <t>ASSESSMENT APPROVAL AND SIGN-OFF</t>
        </is>
      </c>
      <c r="B1" s="6" t="n"/>
      <c r="C1" s="6" t="n"/>
      <c r="D1" s="6" t="n"/>
      <c r="E1" s="6" t="n"/>
    </row>
    <row r="2">
      <c r="A2" s="38" t="inlineStr">
        <is>
          <t>ISO/IEC 27001:2022 - Control A.8.6: Capacity Management</t>
        </is>
      </c>
      <c r="B2" s="6" t="n"/>
      <c r="C2" s="6" t="n"/>
      <c r="D2" s="6" t="n"/>
      <c r="E2" s="6" t="n"/>
    </row>
    <row r="3">
      <c r="A3" s="39" t="inlineStr">
        <is>
          <t>ASSESSMENT SUMMARY</t>
        </is>
      </c>
      <c r="B3" s="6" t="n"/>
      <c r="C3" s="6" t="n"/>
      <c r="D3" s="6" t="n"/>
      <c r="E3" s="6" t="n"/>
    </row>
    <row r="4">
      <c r="A4" s="40" t="inlineStr">
        <is>
          <t>Document:</t>
        </is>
      </c>
      <c r="B4" s="6" t="inlineStr">
        <is>
          <t>ISMS-IMP-A.8.6-Assessment-1 - Capacity Utilization Assessment</t>
        </is>
      </c>
      <c r="C4" s="6" t="n"/>
      <c r="D4" s="6" t="n"/>
      <c r="E4" s="6" t="n"/>
    </row>
    <row r="5">
      <c r="A5" s="40" t="inlineStr">
        <is>
          <t>Assessment Period:</t>
        </is>
      </c>
      <c r="B5" s="35" t="inlineStr"/>
      <c r="C5" s="6" t="n"/>
      <c r="D5" s="6" t="n"/>
      <c r="E5" s="6" t="n"/>
    </row>
    <row r="6">
      <c r="A6" s="40" t="inlineStr">
        <is>
          <t>Overall Compliance Rating:</t>
        </is>
      </c>
      <c r="B6" s="41">
        <f>IFERROR(AVERAGE('Summary Dashboard'!G6:G10),"")</f>
        <v/>
      </c>
      <c r="C6" s="6" t="n"/>
      <c r="D6" s="6" t="n"/>
      <c r="E6" s="6" t="n"/>
    </row>
    <row r="7">
      <c r="A7" s="40" t="inlineStr">
        <is>
          <t>Assessment Status:</t>
        </is>
      </c>
      <c r="B7" s="35" t="inlineStr"/>
      <c r="C7" s="6" t="n"/>
      <c r="D7" s="6" t="n"/>
      <c r="E7" s="6" t="n"/>
    </row>
    <row r="8">
      <c r="A8" s="40" t="inlineStr">
        <is>
          <t>Assessed By:</t>
        </is>
      </c>
      <c r="B8" s="35" t="inlineStr"/>
      <c r="C8" s="6" t="n"/>
      <c r="D8" s="6" t="n"/>
      <c r="E8" s="6" t="n"/>
    </row>
    <row r="11">
      <c r="A11" s="39" t="inlineStr">
        <is>
          <t>COMPLETED BY (ASSESSOR)</t>
        </is>
      </c>
      <c r="B11" s="6" t="n"/>
      <c r="C11" s="6" t="n"/>
      <c r="D11" s="6" t="n"/>
      <c r="E11" s="6" t="n"/>
    </row>
    <row r="12">
      <c r="A12" s="40" t="inlineStr">
        <is>
          <t>Name:</t>
        </is>
      </c>
      <c r="B12" s="35" t="n"/>
      <c r="C12" s="6" t="n"/>
      <c r="D12" s="6" t="n"/>
      <c r="E12" s="6" t="n"/>
    </row>
    <row r="13">
      <c r="A13" s="40" t="inlineStr">
        <is>
          <t>Title:</t>
        </is>
      </c>
      <c r="B13" s="35" t="n"/>
      <c r="C13" s="6" t="n"/>
      <c r="D13" s="6" t="n"/>
      <c r="E13" s="6" t="n"/>
    </row>
    <row r="14">
      <c r="A14" s="40" t="inlineStr">
        <is>
          <t>Date:</t>
        </is>
      </c>
      <c r="B14" s="35" t="n"/>
      <c r="C14" s="6" t="n"/>
      <c r="D14" s="6" t="n"/>
      <c r="E14" s="6" t="n"/>
    </row>
    <row r="15">
      <c r="A15" s="40" t="inlineStr">
        <is>
          <t>Signature:</t>
        </is>
      </c>
      <c r="B15" s="35" t="n"/>
      <c r="C15" s="6" t="n"/>
      <c r="D15" s="6" t="n"/>
      <c r="E15" s="6" t="n"/>
    </row>
    <row r="16">
      <c r="A16" s="40" t="inlineStr">
        <is>
          <t>Comments:</t>
        </is>
      </c>
      <c r="B16" s="35" t="n"/>
      <c r="C16" s="6" t="n"/>
      <c r="D16" s="6" t="n"/>
      <c r="E16" s="6" t="n"/>
    </row>
    <row r="18">
      <c r="A18" s="39" t="inlineStr">
        <is>
          <t>REVIEWED BY (INFORMATION SECURITY OFFICER)</t>
        </is>
      </c>
      <c r="B18" s="6" t="n"/>
      <c r="C18" s="6" t="n"/>
      <c r="D18" s="6" t="n"/>
      <c r="E18" s="6" t="n"/>
    </row>
    <row r="19">
      <c r="A19" s="40" t="inlineStr">
        <is>
          <t>Name:</t>
        </is>
      </c>
      <c r="B19" s="35" t="n"/>
      <c r="C19" s="6" t="n"/>
      <c r="D19" s="6" t="n"/>
      <c r="E19" s="6" t="n"/>
    </row>
    <row r="20">
      <c r="A20" s="40" t="inlineStr">
        <is>
          <t>Title:</t>
        </is>
      </c>
      <c r="B20" s="35" t="n"/>
      <c r="C20" s="6" t="n"/>
      <c r="D20" s="6" t="n"/>
      <c r="E20" s="6" t="n"/>
    </row>
    <row r="21">
      <c r="A21" s="40" t="inlineStr">
        <is>
          <t>Date:</t>
        </is>
      </c>
      <c r="B21" s="35" t="n"/>
      <c r="C21" s="6" t="n"/>
      <c r="D21" s="6" t="n"/>
      <c r="E21" s="6" t="n"/>
    </row>
    <row r="22">
      <c r="A22" s="40" t="inlineStr">
        <is>
          <t>Signature:</t>
        </is>
      </c>
      <c r="B22" s="35" t="n"/>
      <c r="C22" s="6" t="n"/>
      <c r="D22" s="6" t="n"/>
      <c r="E22" s="6" t="n"/>
    </row>
    <row r="23">
      <c r="A23" s="40" t="inlineStr">
        <is>
          <t>Comments:</t>
        </is>
      </c>
      <c r="B23" s="35" t="n"/>
      <c r="C23" s="6" t="n"/>
      <c r="D23" s="6" t="n"/>
      <c r="E23" s="6" t="n"/>
    </row>
    <row r="25">
      <c r="A25" s="42" t="inlineStr">
        <is>
          <t>APPROVED BY (CISO)</t>
        </is>
      </c>
      <c r="B25" s="6" t="n"/>
      <c r="C25" s="6" t="n"/>
      <c r="D25" s="6" t="n"/>
      <c r="E25" s="6" t="n"/>
    </row>
    <row r="26">
      <c r="A26" s="40" t="inlineStr">
        <is>
          <t>Name:</t>
        </is>
      </c>
      <c r="B26" s="35" t="n"/>
      <c r="C26" s="6" t="n"/>
      <c r="D26" s="6" t="n"/>
      <c r="E26" s="6" t="n"/>
    </row>
    <row r="27">
      <c r="A27" s="40" t="inlineStr">
        <is>
          <t>Title:</t>
        </is>
      </c>
      <c r="B27" s="35" t="n"/>
      <c r="C27" s="6" t="n"/>
      <c r="D27" s="6" t="n"/>
      <c r="E27" s="6" t="n"/>
    </row>
    <row r="28">
      <c r="A28" s="40" t="inlineStr">
        <is>
          <t>Date:</t>
        </is>
      </c>
      <c r="B28" s="35" t="n"/>
      <c r="C28" s="6" t="n"/>
      <c r="D28" s="6" t="n"/>
      <c r="E28" s="6" t="n"/>
    </row>
    <row r="29">
      <c r="A29" s="40" t="inlineStr">
        <is>
          <t>Signature:</t>
        </is>
      </c>
      <c r="B29" s="35" t="n"/>
      <c r="C29" s="6" t="n"/>
      <c r="D29" s="6" t="n"/>
      <c r="E29" s="6" t="n"/>
    </row>
    <row r="30">
      <c r="A30" s="40" t="inlineStr">
        <is>
          <t>Comments:</t>
        </is>
      </c>
      <c r="B30" s="35" t="n"/>
      <c r="C30" s="6" t="n"/>
      <c r="D30" s="6" t="n"/>
      <c r="E30" s="6" t="n"/>
    </row>
    <row r="32">
      <c r="A32" s="40" t="inlineStr">
        <is>
          <t>FINAL DECISION:</t>
        </is>
      </c>
      <c r="B32" s="35" t="n"/>
      <c r="C32" s="6" t="n"/>
      <c r="D32" s="6" t="n"/>
      <c r="E32" s="6" t="n"/>
    </row>
    <row r="35">
      <c r="A35" s="39" t="inlineStr">
        <is>
          <t>NEXT REVIEW DETAILS</t>
        </is>
      </c>
      <c r="B35" s="6" t="n"/>
      <c r="C35" s="6" t="n"/>
      <c r="D35" s="6" t="n"/>
      <c r="E35" s="6" t="n"/>
    </row>
    <row r="36">
      <c r="A36" s="40" t="inlineStr">
        <is>
          <t>Next Review Date:</t>
        </is>
      </c>
      <c r="B36" s="35" t="n"/>
      <c r="C36" s="6" t="n"/>
      <c r="D36" s="6" t="n"/>
      <c r="E36" s="6" t="n"/>
    </row>
    <row r="37">
      <c r="A37" s="40" t="inlineStr">
        <is>
          <t>Review Responsible:</t>
        </is>
      </c>
      <c r="B37" s="35" t="n"/>
      <c r="C37" s="6" t="n"/>
      <c r="D37" s="6" t="n"/>
      <c r="E37" s="6" t="n"/>
    </row>
    <row r="38">
      <c r="A38" s="40" t="inlineStr">
        <is>
          <t>Special Considerations:</t>
        </is>
      </c>
      <c r="B38" s="35" t="n"/>
      <c r="C38" s="6" t="n"/>
      <c r="D38" s="6" t="n"/>
      <c r="E38" s="6" t="n"/>
    </row>
  </sheetData>
  <mergeCells count="31">
    <mergeCell ref="B6:E6"/>
    <mergeCell ref="B30:E30"/>
    <mergeCell ref="A11:E11"/>
    <mergeCell ref="B15:E15"/>
    <mergeCell ref="A1:E1"/>
    <mergeCell ref="B5:E5"/>
    <mergeCell ref="B20:E20"/>
    <mergeCell ref="B36:E36"/>
    <mergeCell ref="B32:E32"/>
    <mergeCell ref="B26:E26"/>
    <mergeCell ref="B4:E4"/>
    <mergeCell ref="A25:E25"/>
    <mergeCell ref="B16:E16"/>
    <mergeCell ref="B7:E7"/>
    <mergeCell ref="A18:E18"/>
    <mergeCell ref="B22:E22"/>
    <mergeCell ref="A3:E3"/>
    <mergeCell ref="B27:E27"/>
    <mergeCell ref="A2:E2"/>
    <mergeCell ref="B12:E12"/>
    <mergeCell ref="B21:E21"/>
    <mergeCell ref="B14:E14"/>
    <mergeCell ref="B23:E23"/>
    <mergeCell ref="A35:E35"/>
    <mergeCell ref="B8:E8"/>
    <mergeCell ref="B13:E13"/>
    <mergeCell ref="B38:E38"/>
    <mergeCell ref="B29:E29"/>
    <mergeCell ref="B19:E19"/>
    <mergeCell ref="B37:E37"/>
    <mergeCell ref="B28:E28"/>
  </mergeCells>
  <dataValidations count="2">
    <dataValidation sqref="B7" showDropDown="0" showInputMessage="0" showErrorMessage="0" allowBlank="1" type="list">
      <formula1>"Draft,Final,Requires remediation,Re-assessment required"</formula1>
    </dataValidation>
    <dataValidation sqref="B32" showDropDown="0" showInputMessage="0" showErrorMessage="0"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ISMS-IMP-A.8.6-Assessment-1 — Capacity Utilization Assessment</dc:title>
  <dc:description xmlns:dc="http://purl.org/dc/elements/1.1/">ISMS Implementation Workbook — ISMS-IMP-A.8.6-Assessment-1</dc:description>
  <dc:subject xmlns:dc="http://purl.org/dc/elements/1.1/">ISO/IEC 27001:2022 — Control A.8.6: Capacity Management</dc:subject>
  <dcterms:created xmlns:dcterms="http://purl.org/dc/terms/" xmlns:xsi="http://www.w3.org/2001/XMLSchema-instance" xsi:type="dcterms:W3CDTF">2026-03-10T18:49:44Z</dcterms:created>
  <dcterms:modified xmlns:dcterms="http://purl.org/dc/terms/" xmlns:xsi="http://www.w3.org/2001/XMLSchema-instance" xsi:type="dcterms:W3CDTF">2026-03-10T18:49:44Z</dcterms:modified>
</cp:coreProperties>
</file>