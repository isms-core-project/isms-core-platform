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Historical Utilization" sheetId="2" state="visible" r:id="rId2"/>
    <sheet xmlns:r="http://schemas.openxmlformats.org/officeDocument/2006/relationships" name="Trend Analysis" sheetId="3" state="visible" r:id="rId3"/>
    <sheet xmlns:r="http://schemas.openxmlformats.org/officeDocument/2006/relationships" name="Capacity Forecasts" sheetId="4" state="visible" r:id="rId4"/>
    <sheet xmlns:r="http://schemas.openxmlformats.org/officeDocument/2006/relationships" name="Capacity Exhaustion" sheetId="5" state="visible" r:id="rId5"/>
    <sheet xmlns:r="http://schemas.openxmlformats.org/officeDocument/2006/relationships" name="Planned Expansions" sheetId="6" state="visible" r:id="rId6"/>
    <sheet xmlns:r="http://schemas.openxmlformats.org/officeDocument/2006/relationships" name="Forecast Accuracy" sheetId="7" state="visible" r:id="rId7"/>
    <sheet xmlns:r="http://schemas.openxmlformats.org/officeDocument/2006/relationships" name="Budget Planning"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calcPr calcId="124519" fullCalcOnLoad="1"/>
</workbook>
</file>

<file path=xl/styles.xml><?xml version="1.0" encoding="utf-8"?>
<styleSheet xmlns="http://schemas.openxmlformats.org/spreadsheetml/2006/main">
  <numFmts count="1">
    <numFmt numFmtId="164" formatCode="0.0%"/>
  </numFmts>
  <fonts count="14">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1"/>
    </font>
    <font>
      <i val="1"/>
    </font>
    <font>
      <i val="1"/>
      <color rgb="00003366"/>
      <sz val="10"/>
    </font>
    <font>
      <b val="1"/>
      <color rgb="00FFFFFF"/>
      <sz val="11"/>
    </font>
    <font>
      <b val="1"/>
      <sz val="10"/>
    </font>
    <font>
      <color rgb="00000000"/>
    </font>
    <font>
      <b val="1"/>
    </font>
    <font>
      <b val="1"/>
      <color rgb="00000000"/>
    </font>
    <font>
      <name val="Calibri"/>
      <i val="1"/>
      <color rgb="00003366"/>
      <sz val="10"/>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4472C4"/>
        <bgColor rgb="004472C4"/>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8" borderId="0" applyAlignment="1" pivotButton="0" quotePrefix="0" xfId="0">
      <alignment horizontal="center" vertical="center" wrapText="1"/>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1" borderId="1" applyAlignment="1" pivotButton="0" quotePrefix="0" xfId="0">
      <alignment horizontal="left" vertical="center" wrapText="1"/>
    </xf>
    <xf numFmtId="0" fontId="1" fillId="8" borderId="0" applyAlignment="1" pivotButton="0" quotePrefix="0" xfId="0">
      <alignment horizontal="center" vertical="center"/>
    </xf>
    <xf numFmtId="0" fontId="6" fillId="0" borderId="0" applyAlignment="1" pivotButton="0" quotePrefix="0" xfId="0">
      <alignment horizontal="left" vertical="center"/>
    </xf>
    <xf numFmtId="0" fontId="5" fillId="8" borderId="1" applyAlignment="1" pivotButton="0" quotePrefix="0" xfId="0">
      <alignment horizontal="center" vertical="center" wrapText="1"/>
    </xf>
    <xf numFmtId="0" fontId="7" fillId="0" borderId="0" applyAlignment="1" pivotButton="0" quotePrefix="0" xfId="0">
      <alignment horizontal="left" vertical="center"/>
    </xf>
    <xf numFmtId="0" fontId="8" fillId="12" borderId="1" applyAlignment="1" pivotButton="0" quotePrefix="0" xfId="0">
      <alignment horizontal="left" vertical="center"/>
    </xf>
    <xf numFmtId="0" fontId="9" fillId="9" borderId="1" applyAlignment="1" pivotButton="0" quotePrefix="0" xfId="0">
      <alignment horizontal="center" vertical="center" wrapText="1"/>
    </xf>
    <xf numFmtId="0" fontId="10" fillId="0" borderId="1" applyAlignment="1" pivotButton="0" quotePrefix="0" xfId="0">
      <alignment horizontal="left" vertical="center"/>
    </xf>
    <xf numFmtId="0" fontId="10" fillId="0" borderId="1" applyAlignment="1" pivotButton="0" quotePrefix="0" xfId="0">
      <alignment horizontal="center" vertical="center"/>
    </xf>
    <xf numFmtId="164" fontId="10" fillId="0" borderId="1" applyAlignment="1" pivotButton="0" quotePrefix="0" xfId="0">
      <alignment horizontal="center" vertical="center"/>
    </xf>
    <xf numFmtId="0" fontId="9" fillId="9" borderId="1" applyAlignment="1" pivotButton="0" quotePrefix="0" xfId="0">
      <alignment horizontal="center" vertical="center"/>
    </xf>
    <xf numFmtId="0" fontId="8" fillId="13" borderId="1" applyAlignment="1" pivotButton="0" quotePrefix="0" xfId="0">
      <alignment horizontal="left" vertical="center"/>
    </xf>
    <xf numFmtId="0" fontId="0" fillId="11" borderId="1" applyAlignment="1" pivotButton="0" quotePrefix="0" xfId="0">
      <alignment horizontal="left" vertical="center"/>
    </xf>
    <xf numFmtId="0" fontId="0" fillId="11" borderId="1" pivotButton="0" quotePrefix="0" xfId="0"/>
    <xf numFmtId="0" fontId="11" fillId="0" borderId="1" pivotButton="0" quotePrefix="0" xfId="0"/>
    <xf numFmtId="0" fontId="12" fillId="0" borderId="1" pivotButton="0" quotePrefix="0" xfId="0"/>
    <xf numFmtId="0" fontId="1" fillId="8" borderId="1" applyAlignment="1" pivotButton="0" quotePrefix="0" xfId="0">
      <alignment horizontal="center" vertical="center"/>
    </xf>
    <xf numFmtId="0" fontId="13" fillId="0" borderId="1" applyAlignment="1" pivotButton="0" quotePrefix="0" xfId="0">
      <alignment horizontal="center" vertical="center"/>
    </xf>
    <xf numFmtId="0" fontId="8" fillId="12" borderId="1" pivotButton="0" quotePrefix="0" xfId="0"/>
    <xf numFmtId="0" fontId="11" fillId="0" borderId="0" pivotButton="0" quotePrefix="0" xfId="0"/>
    <xf numFmtId="164" fontId="0" fillId="0" borderId="1" pivotButton="0" quotePrefix="0" xfId="0"/>
    <xf numFmtId="0" fontId="8"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ISMS-IMP-A.8.6-Assessment-2  -  Capacity Forecasting &amp; Planning
ISO/IEC 27001:2022 - Control A.8.6: Capacity Management</t>
        </is>
      </c>
    </row>
    <row r="3">
      <c r="A3" s="2" t="inlineStr">
        <is>
          <t>Document Information</t>
        </is>
      </c>
    </row>
    <row r="4">
      <c r="A4" s="3" t="inlineStr">
        <is>
          <t>Document ID</t>
        </is>
      </c>
      <c r="B4" t="inlineStr">
        <is>
          <t>ISMS-IMP-A.8.6-Assessment-2</t>
        </is>
      </c>
    </row>
    <row r="5">
      <c r="A5" s="3" t="inlineStr">
        <is>
          <t>Workbook Title</t>
        </is>
      </c>
      <c r="B5" t="inlineStr">
        <is>
          <t>Capacity Forecasting &amp; Planning</t>
        </is>
      </c>
    </row>
    <row r="6">
      <c r="A6" s="3" t="inlineStr">
        <is>
          <t>Control Reference</t>
        </is>
      </c>
      <c r="B6" t="inlineStr">
        <is>
          <t>ISO/IEC 27001:2022 - Control A.8.6: Capacity Management</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each worksheet tab for applicable systems/services.</t>
        </is>
      </c>
    </row>
    <row r="14">
      <c r="A14" t="inlineStr">
        <is>
          <t>2. Use dropdown menus for standardised entries (Status, Remediation, etc.).</t>
        </is>
      </c>
    </row>
    <row r="15">
      <c r="A15" t="inlineStr">
        <is>
          <t>3. Fill in yellow-highlighted cells with your information.</t>
        </is>
      </c>
    </row>
    <row r="16">
      <c r="A16" t="inlineStr">
        <is>
          <t>4. If Status = Partial or Non-Compliant, complete the Exception/Deviation section.</t>
        </is>
      </c>
    </row>
    <row r="17">
      <c r="A17" t="inlineStr">
        <is>
          <t>5. Check all applicable items in the Compliance Checklist for each section.</t>
        </is>
      </c>
    </row>
    <row r="18">
      <c r="A18" t="inlineStr">
        <is>
          <t>6. Provide evidence location/path for each implementation entry.</t>
        </is>
      </c>
    </row>
    <row r="19">
      <c r="A19" t="inlineStr">
        <is>
          <t>7. Summary Dashboard auto-calculates compliance statistics.</t>
        </is>
      </c>
    </row>
    <row r="20">
      <c r="A20" t="inlineStr">
        <is>
          <t>8. Maintain the Evidence Register for audit traceability.</t>
        </is>
      </c>
    </row>
    <row r="21">
      <c r="A21" t="inlineStr">
        <is>
          <t>9. Obtain final approval and sign-off in the Approval Sign-Off sheet.</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18" customWidth="1" min="3" max="3"/>
    <col width="20" customWidth="1" min="4" max="4"/>
    <col width="30" customWidth="1" min="5" max="5"/>
    <col width="25" customWidth="1" min="6" max="6"/>
  </cols>
  <sheetData>
    <row r="1" ht="35" customHeight="1">
      <c r="A1" s="11" t="inlineStr">
        <is>
          <t>HISTORICAL CAPACITY UTILIZATION DATA</t>
        </is>
      </c>
    </row>
    <row r="2">
      <c r="A2" s="12" t="inlineStr">
        <is>
          <t>Import historical utilization data from monitoring tools for trend analysis (6-24 months recommended)</t>
        </is>
      </c>
    </row>
    <row r="3">
      <c r="A3" s="13" t="inlineStr">
        <is>
          <t>Month/Date</t>
        </is>
      </c>
      <c r="B3" s="13" t="inlineStr">
        <is>
          <t>Resource Name</t>
        </is>
      </c>
      <c r="C3" s="13" t="inlineStr">
        <is>
          <t>Utilization (%)</t>
        </is>
      </c>
      <c r="D3" s="13" t="inlineStr">
        <is>
          <t>Peak Utilization (%)</t>
        </is>
      </c>
      <c r="E3" s="13" t="inlineStr">
        <is>
          <t>Notes</t>
        </is>
      </c>
      <c r="F3" s="13" t="inlineStr">
        <is>
          <t>Data Source</t>
        </is>
      </c>
    </row>
    <row r="4">
      <c r="A4" s="14" t="inlineStr">
        <is>
          <t>01.01.2026</t>
        </is>
      </c>
      <c r="B4" s="14" t="inlineStr">
        <is>
          <t>server01.example.com</t>
        </is>
      </c>
      <c r="C4" s="14" t="inlineStr">
        <is>
          <t>65.4</t>
        </is>
      </c>
      <c r="D4" s="14" t="inlineStr">
        <is>
          <t>78.2</t>
        </is>
      </c>
      <c r="E4" s="14" t="inlineStr">
        <is>
          <t>Q1 historical data</t>
        </is>
      </c>
      <c r="F4" s="14" t="inlineStr">
        <is>
          <t>Prometheus</t>
        </is>
      </c>
    </row>
    <row r="5">
      <c r="A5" s="15" t="n"/>
      <c r="B5" s="15" t="n"/>
      <c r="C5" s="15" t="n"/>
      <c r="D5" s="15" t="n"/>
      <c r="E5" s="15" t="n"/>
      <c r="F5" s="15" t="n"/>
    </row>
    <row r="6">
      <c r="A6" s="15" t="n"/>
      <c r="B6" s="15" t="n"/>
      <c r="C6" s="15" t="n"/>
      <c r="D6" s="15" t="n"/>
      <c r="E6" s="15" t="n"/>
      <c r="F6" s="15" t="n"/>
    </row>
    <row r="7">
      <c r="A7" s="15" t="n"/>
      <c r="B7" s="15" t="n"/>
      <c r="C7" s="15" t="n"/>
      <c r="D7" s="15" t="n"/>
      <c r="E7" s="15" t="n"/>
      <c r="F7" s="15" t="n"/>
    </row>
    <row r="8">
      <c r="A8" s="15" t="n"/>
      <c r="B8" s="15" t="n"/>
      <c r="C8" s="15" t="n"/>
      <c r="D8" s="15" t="n"/>
      <c r="E8" s="15" t="n"/>
      <c r="F8" s="15" t="n"/>
    </row>
    <row r="9">
      <c r="A9" s="15" t="n"/>
      <c r="B9" s="15" t="n"/>
      <c r="C9" s="15" t="n"/>
      <c r="D9" s="15" t="n"/>
      <c r="E9" s="15" t="n"/>
      <c r="F9" s="15" t="n"/>
    </row>
    <row r="10">
      <c r="A10" s="15" t="n"/>
      <c r="B10" s="15" t="n"/>
      <c r="C10" s="15" t="n"/>
      <c r="D10" s="15" t="n"/>
      <c r="E10" s="15" t="n"/>
      <c r="F10" s="15" t="n"/>
    </row>
    <row r="11">
      <c r="A11" s="15" t="n"/>
      <c r="B11" s="15" t="n"/>
      <c r="C11" s="15" t="n"/>
      <c r="D11" s="15" t="n"/>
      <c r="E11" s="15" t="n"/>
      <c r="F11" s="15" t="n"/>
    </row>
    <row r="12">
      <c r="A12" s="15" t="n"/>
      <c r="B12" s="15" t="n"/>
      <c r="C12" s="15" t="n"/>
      <c r="D12" s="15" t="n"/>
      <c r="E12" s="15" t="n"/>
      <c r="F12" s="15" t="n"/>
    </row>
    <row r="13">
      <c r="A13" s="15" t="n"/>
      <c r="B13" s="15" t="n"/>
      <c r="C13" s="15" t="n"/>
      <c r="D13" s="15" t="n"/>
      <c r="E13" s="15" t="n"/>
      <c r="F13" s="15" t="n"/>
    </row>
    <row r="14">
      <c r="A14" s="15" t="n"/>
      <c r="B14" s="15" t="n"/>
      <c r="C14" s="15" t="n"/>
      <c r="D14" s="15" t="n"/>
      <c r="E14" s="15" t="n"/>
      <c r="F14" s="15" t="n"/>
    </row>
    <row r="15">
      <c r="A15" s="15" t="n"/>
      <c r="B15" s="15" t="n"/>
      <c r="C15" s="15" t="n"/>
      <c r="D15" s="15" t="n"/>
      <c r="E15" s="15" t="n"/>
      <c r="F15" s="15" t="n"/>
    </row>
    <row r="16">
      <c r="A16" s="15" t="n"/>
      <c r="B16" s="15" t="n"/>
      <c r="C16" s="15" t="n"/>
      <c r="D16" s="15" t="n"/>
      <c r="E16" s="15" t="n"/>
      <c r="F16" s="15" t="n"/>
    </row>
    <row r="17">
      <c r="A17" s="15" t="n"/>
      <c r="B17" s="15" t="n"/>
      <c r="C17" s="15" t="n"/>
      <c r="D17" s="15" t="n"/>
      <c r="E17" s="15" t="n"/>
      <c r="F17" s="15" t="n"/>
    </row>
    <row r="18">
      <c r="A18" s="15" t="n"/>
      <c r="B18" s="15" t="n"/>
      <c r="C18" s="15" t="n"/>
      <c r="D18" s="15" t="n"/>
      <c r="E18" s="15" t="n"/>
      <c r="F18" s="15" t="n"/>
    </row>
    <row r="19">
      <c r="A19" s="15" t="n"/>
      <c r="B19" s="15" t="n"/>
      <c r="C19" s="15" t="n"/>
      <c r="D19" s="15" t="n"/>
      <c r="E19" s="15" t="n"/>
      <c r="F19" s="15" t="n"/>
    </row>
    <row r="20">
      <c r="A20" s="15" t="n"/>
      <c r="B20" s="15" t="n"/>
      <c r="C20" s="15" t="n"/>
      <c r="D20" s="15" t="n"/>
      <c r="E20" s="15" t="n"/>
      <c r="F20" s="15" t="n"/>
    </row>
    <row r="21">
      <c r="A21" s="15" t="n"/>
      <c r="B21" s="15" t="n"/>
      <c r="C21" s="15" t="n"/>
      <c r="D21" s="15" t="n"/>
      <c r="E21" s="15" t="n"/>
      <c r="F21" s="15" t="n"/>
    </row>
    <row r="22">
      <c r="A22" s="15" t="n"/>
      <c r="B22" s="15" t="n"/>
      <c r="C22" s="15" t="n"/>
      <c r="D22" s="15" t="n"/>
      <c r="E22" s="15" t="n"/>
      <c r="F22" s="15" t="n"/>
    </row>
    <row r="23">
      <c r="A23" s="15" t="n"/>
      <c r="B23" s="15" t="n"/>
      <c r="C23" s="15" t="n"/>
      <c r="D23" s="15" t="n"/>
      <c r="E23" s="15" t="n"/>
      <c r="F23" s="15" t="n"/>
    </row>
    <row r="24">
      <c r="A24" s="15" t="n"/>
      <c r="B24" s="15" t="n"/>
      <c r="C24" s="15" t="n"/>
      <c r="D24" s="15" t="n"/>
      <c r="E24" s="15" t="n"/>
      <c r="F24" s="15" t="n"/>
    </row>
    <row r="25">
      <c r="A25" s="15" t="n"/>
      <c r="B25" s="15" t="n"/>
      <c r="C25" s="15" t="n"/>
      <c r="D25" s="15" t="n"/>
      <c r="E25" s="15" t="n"/>
      <c r="F25" s="15" t="n"/>
    </row>
    <row r="26">
      <c r="A26" s="15" t="n"/>
      <c r="B26" s="15" t="n"/>
      <c r="C26" s="15" t="n"/>
      <c r="D26" s="15" t="n"/>
      <c r="E26" s="15" t="n"/>
      <c r="F26" s="15" t="n"/>
    </row>
    <row r="27">
      <c r="A27" s="15" t="n"/>
      <c r="B27" s="15" t="n"/>
      <c r="C27" s="15" t="n"/>
      <c r="D27" s="15" t="n"/>
      <c r="E27" s="15" t="n"/>
      <c r="F27" s="15" t="n"/>
    </row>
    <row r="28">
      <c r="A28" s="15" t="n"/>
      <c r="B28" s="15" t="n"/>
      <c r="C28" s="15" t="n"/>
      <c r="D28" s="15" t="n"/>
      <c r="E28" s="15" t="n"/>
      <c r="F28" s="15" t="n"/>
    </row>
    <row r="29">
      <c r="A29" s="15" t="n"/>
      <c r="B29" s="15" t="n"/>
      <c r="C29" s="15" t="n"/>
      <c r="D29" s="15" t="n"/>
      <c r="E29" s="15" t="n"/>
      <c r="F29" s="15" t="n"/>
    </row>
    <row r="30">
      <c r="A30" s="15" t="n"/>
      <c r="B30" s="15" t="n"/>
      <c r="C30" s="15" t="n"/>
      <c r="D30" s="15" t="n"/>
      <c r="E30" s="15" t="n"/>
      <c r="F30" s="15" t="n"/>
    </row>
    <row r="31">
      <c r="A31" s="15" t="n"/>
      <c r="B31" s="15" t="n"/>
      <c r="C31" s="15" t="n"/>
      <c r="D31" s="15" t="n"/>
      <c r="E31" s="15" t="n"/>
      <c r="F31" s="15" t="n"/>
    </row>
    <row r="32">
      <c r="A32" s="15" t="n"/>
      <c r="B32" s="15" t="n"/>
      <c r="C32" s="15" t="n"/>
      <c r="D32" s="15" t="n"/>
      <c r="E32" s="15" t="n"/>
      <c r="F32" s="15" t="n"/>
    </row>
    <row r="33">
      <c r="A33" s="15" t="n"/>
      <c r="B33" s="15" t="n"/>
      <c r="C33" s="15" t="n"/>
      <c r="D33" s="15" t="n"/>
      <c r="E33" s="15" t="n"/>
      <c r="F33" s="15" t="n"/>
    </row>
    <row r="34">
      <c r="A34" s="15" t="n"/>
      <c r="B34" s="15" t="n"/>
      <c r="C34" s="15" t="n"/>
      <c r="D34" s="15" t="n"/>
      <c r="E34" s="15" t="n"/>
      <c r="F34" s="15" t="n"/>
    </row>
    <row r="35">
      <c r="A35" s="15" t="n"/>
      <c r="B35" s="15" t="n"/>
      <c r="C35" s="15" t="n"/>
      <c r="D35" s="15" t="n"/>
      <c r="E35" s="15" t="n"/>
      <c r="F35" s="15" t="n"/>
    </row>
    <row r="36">
      <c r="A36" s="15" t="n"/>
      <c r="B36" s="15" t="n"/>
      <c r="C36" s="15" t="n"/>
      <c r="D36" s="15" t="n"/>
      <c r="E36" s="15" t="n"/>
      <c r="F36" s="15" t="n"/>
    </row>
    <row r="37">
      <c r="A37" s="15" t="n"/>
      <c r="B37" s="15" t="n"/>
      <c r="C37" s="15" t="n"/>
      <c r="D37" s="15" t="n"/>
      <c r="E37" s="15" t="n"/>
      <c r="F37" s="15" t="n"/>
    </row>
    <row r="38">
      <c r="A38" s="15" t="n"/>
      <c r="B38" s="15" t="n"/>
      <c r="C38" s="15" t="n"/>
      <c r="D38" s="15" t="n"/>
      <c r="E38" s="15" t="n"/>
      <c r="F38" s="15" t="n"/>
    </row>
    <row r="39">
      <c r="A39" s="15" t="n"/>
      <c r="B39" s="15" t="n"/>
      <c r="C39" s="15" t="n"/>
      <c r="D39" s="15" t="n"/>
      <c r="E39" s="15" t="n"/>
      <c r="F39" s="15" t="n"/>
    </row>
    <row r="40">
      <c r="A40" s="15" t="n"/>
      <c r="B40" s="15" t="n"/>
      <c r="C40" s="15" t="n"/>
      <c r="D40" s="15" t="n"/>
      <c r="E40" s="15" t="n"/>
      <c r="F40" s="15" t="n"/>
    </row>
    <row r="41">
      <c r="A41" s="15" t="n"/>
      <c r="B41" s="15" t="n"/>
      <c r="C41" s="15" t="n"/>
      <c r="D41" s="15" t="n"/>
      <c r="E41" s="15" t="n"/>
      <c r="F41" s="15" t="n"/>
    </row>
    <row r="42">
      <c r="A42" s="15" t="n"/>
      <c r="B42" s="15" t="n"/>
      <c r="C42" s="15" t="n"/>
      <c r="D42" s="15" t="n"/>
      <c r="E42" s="15" t="n"/>
      <c r="F42" s="15" t="n"/>
    </row>
    <row r="43">
      <c r="A43" s="15" t="n"/>
      <c r="B43" s="15" t="n"/>
      <c r="C43" s="15" t="n"/>
      <c r="D43" s="15" t="n"/>
      <c r="E43" s="15" t="n"/>
      <c r="F43" s="15" t="n"/>
    </row>
    <row r="44">
      <c r="A44" s="15" t="n"/>
      <c r="B44" s="15" t="n"/>
      <c r="C44" s="15" t="n"/>
      <c r="D44" s="15" t="n"/>
      <c r="E44" s="15" t="n"/>
      <c r="F44" s="15" t="n"/>
    </row>
    <row r="45">
      <c r="A45" s="15" t="n"/>
      <c r="B45" s="15" t="n"/>
      <c r="C45" s="15" t="n"/>
      <c r="D45" s="15" t="n"/>
      <c r="E45" s="15" t="n"/>
      <c r="F45" s="15" t="n"/>
    </row>
    <row r="46">
      <c r="A46" s="15" t="n"/>
      <c r="B46" s="15" t="n"/>
      <c r="C46" s="15" t="n"/>
      <c r="D46" s="15" t="n"/>
      <c r="E46" s="15" t="n"/>
      <c r="F46" s="15" t="n"/>
    </row>
    <row r="47">
      <c r="A47" s="15" t="n"/>
      <c r="B47" s="15" t="n"/>
      <c r="C47" s="15" t="n"/>
      <c r="D47" s="15" t="n"/>
      <c r="E47" s="15" t="n"/>
      <c r="F47" s="15" t="n"/>
    </row>
    <row r="48">
      <c r="A48" s="15" t="n"/>
      <c r="B48" s="15" t="n"/>
      <c r="C48" s="15" t="n"/>
      <c r="D48" s="15" t="n"/>
      <c r="E48" s="15" t="n"/>
      <c r="F48" s="15" t="n"/>
    </row>
    <row r="49">
      <c r="A49" s="15" t="n"/>
      <c r="B49" s="15" t="n"/>
      <c r="C49" s="15" t="n"/>
      <c r="D49" s="15" t="n"/>
      <c r="E49" s="15" t="n"/>
      <c r="F49" s="15" t="n"/>
    </row>
    <row r="50">
      <c r="A50" s="15" t="n"/>
      <c r="B50" s="15" t="n"/>
      <c r="C50" s="15" t="n"/>
      <c r="D50" s="15" t="n"/>
      <c r="E50" s="15" t="n"/>
      <c r="F50" s="15" t="n"/>
    </row>
    <row r="51">
      <c r="A51" s="15" t="n"/>
      <c r="B51" s="15" t="n"/>
      <c r="C51" s="15" t="n"/>
      <c r="D51" s="15" t="n"/>
      <c r="E51" s="15" t="n"/>
      <c r="F51" s="15" t="n"/>
    </row>
    <row r="52">
      <c r="A52" s="15" t="n"/>
      <c r="B52" s="15" t="n"/>
      <c r="C52" s="15" t="n"/>
      <c r="D52" s="15" t="n"/>
      <c r="E52" s="15" t="n"/>
      <c r="F52" s="15" t="n"/>
    </row>
    <row r="53">
      <c r="A53" s="15" t="n"/>
      <c r="B53" s="15" t="n"/>
      <c r="C53" s="15" t="n"/>
      <c r="D53" s="15" t="n"/>
      <c r="E53" s="15" t="n"/>
      <c r="F53" s="15" t="n"/>
    </row>
    <row r="54">
      <c r="A54" s="15" t="n"/>
      <c r="B54" s="15" t="n"/>
      <c r="C54" s="15" t="n"/>
      <c r="D54" s="15" t="n"/>
      <c r="E54" s="15" t="n"/>
      <c r="F54" s="15" t="n"/>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4"/>
  <sheetViews>
    <sheetView showGridLines="0" workbookViewId="0">
      <pane ySplit="3" topLeftCell="A4" activePane="bottomLeft" state="frozen"/>
      <selection pane="bottomLeft" activeCell="A1" sqref="A1"/>
    </sheetView>
  </sheetViews>
  <sheetFormatPr baseColWidth="8" defaultRowHeight="15"/>
  <cols>
    <col width="30" customWidth="1" min="1" max="1"/>
    <col width="20" customWidth="1" min="2" max="2"/>
    <col width="25" customWidth="1" min="3" max="3"/>
    <col width="15" customWidth="1" min="4" max="4"/>
    <col width="20" customWidth="1" min="5" max="5"/>
    <col width="30" customWidth="1" min="6" max="6"/>
    <col width="20" customWidth="1" min="7" max="7"/>
  </cols>
  <sheetData>
    <row r="1" ht="35" customHeight="1">
      <c r="A1" s="11" t="inlineStr">
        <is>
          <t>CAPACITY TREND ANALYSIS</t>
        </is>
      </c>
    </row>
    <row r="2">
      <c r="A2" s="12" t="inlineStr">
        <is>
          <t>Growth rates, seasonal patterns, and regression analysis per resource</t>
        </is>
      </c>
    </row>
    <row r="3">
      <c r="A3" s="13" t="inlineStr">
        <is>
          <t>Resource Name</t>
        </is>
      </c>
      <c r="B3" s="13" t="inlineStr">
        <is>
          <t>Trend Method</t>
        </is>
      </c>
      <c r="C3" s="13" t="inlineStr">
        <is>
          <t>Growth Rate (% per month)</t>
        </is>
      </c>
      <c r="D3" s="13" t="inlineStr">
        <is>
          <t>R-Squared</t>
        </is>
      </c>
      <c r="E3" s="13" t="inlineStr">
        <is>
          <t>Seasonal Pattern</t>
        </is>
      </c>
      <c r="F3" s="13" t="inlineStr">
        <is>
          <t>Notes</t>
        </is>
      </c>
      <c r="G3" s="13" t="inlineStr">
        <is>
          <t>Analyst</t>
        </is>
      </c>
    </row>
    <row r="4">
      <c r="A4" s="14" t="inlineStr">
        <is>
          <t>server01.example.com</t>
        </is>
      </c>
      <c r="B4" s="14" t="inlineStr">
        <is>
          <t>Linear Regression</t>
        </is>
      </c>
      <c r="C4" s="14" t="inlineStr">
        <is>
          <t>2.3</t>
        </is>
      </c>
      <c r="D4" s="14" t="inlineStr">
        <is>
          <t>0.87</t>
        </is>
      </c>
      <c r="E4" s="14" t="inlineStr">
        <is>
          <t>None</t>
        </is>
      </c>
      <c r="F4" s="14" t="inlineStr">
        <is>
          <t>Steady monthly growth pattern</t>
        </is>
      </c>
      <c r="G4" s="14" t="inlineStr">
        <is>
          <t>IT Operations</t>
        </is>
      </c>
    </row>
    <row r="5">
      <c r="A5" s="15" t="n"/>
      <c r="B5" s="15" t="n"/>
      <c r="C5" s="15" t="n"/>
      <c r="D5" s="15" t="n"/>
      <c r="E5" s="15" t="n"/>
      <c r="F5" s="15" t="n"/>
      <c r="G5" s="15" t="n"/>
    </row>
    <row r="6">
      <c r="A6" s="15" t="n"/>
      <c r="B6" s="15" t="n"/>
      <c r="C6" s="15" t="n"/>
      <c r="D6" s="15" t="n"/>
      <c r="E6" s="15" t="n"/>
      <c r="F6" s="15" t="n"/>
      <c r="G6" s="15" t="n"/>
    </row>
    <row r="7">
      <c r="A7" s="15" t="n"/>
      <c r="B7" s="15" t="n"/>
      <c r="C7" s="15" t="n"/>
      <c r="D7" s="15" t="n"/>
      <c r="E7" s="15" t="n"/>
      <c r="F7" s="15" t="n"/>
      <c r="G7" s="15" t="n"/>
    </row>
    <row r="8">
      <c r="A8" s="15" t="n"/>
      <c r="B8" s="15" t="n"/>
      <c r="C8" s="15" t="n"/>
      <c r="D8" s="15" t="n"/>
      <c r="E8" s="15" t="n"/>
      <c r="F8" s="15" t="n"/>
      <c r="G8" s="15" t="n"/>
    </row>
    <row r="9">
      <c r="A9" s="15" t="n"/>
      <c r="B9" s="15" t="n"/>
      <c r="C9" s="15" t="n"/>
      <c r="D9" s="15" t="n"/>
      <c r="E9" s="15" t="n"/>
      <c r="F9" s="15" t="n"/>
      <c r="G9" s="15" t="n"/>
    </row>
    <row r="10">
      <c r="A10" s="15" t="n"/>
      <c r="B10" s="15" t="n"/>
      <c r="C10" s="15" t="n"/>
      <c r="D10" s="15" t="n"/>
      <c r="E10" s="15" t="n"/>
      <c r="F10" s="15" t="n"/>
      <c r="G10" s="15" t="n"/>
    </row>
    <row r="11">
      <c r="A11" s="15" t="n"/>
      <c r="B11" s="15" t="n"/>
      <c r="C11" s="15" t="n"/>
      <c r="D11" s="15" t="n"/>
      <c r="E11" s="15" t="n"/>
      <c r="F11" s="15" t="n"/>
      <c r="G11" s="15" t="n"/>
    </row>
    <row r="12">
      <c r="A12" s="15" t="n"/>
      <c r="B12" s="15" t="n"/>
      <c r="C12" s="15" t="n"/>
      <c r="D12" s="15" t="n"/>
      <c r="E12" s="15" t="n"/>
      <c r="F12" s="15" t="n"/>
      <c r="G12" s="15" t="n"/>
    </row>
    <row r="13">
      <c r="A13" s="15" t="n"/>
      <c r="B13" s="15" t="n"/>
      <c r="C13" s="15" t="n"/>
      <c r="D13" s="15" t="n"/>
      <c r="E13" s="15" t="n"/>
      <c r="F13" s="15" t="n"/>
      <c r="G13" s="15" t="n"/>
    </row>
    <row r="14">
      <c r="A14" s="15" t="n"/>
      <c r="B14" s="15" t="n"/>
      <c r="C14" s="15" t="n"/>
      <c r="D14" s="15" t="n"/>
      <c r="E14" s="15" t="n"/>
      <c r="F14" s="15" t="n"/>
      <c r="G14" s="15" t="n"/>
    </row>
    <row r="15">
      <c r="A15" s="15" t="n"/>
      <c r="B15" s="15" t="n"/>
      <c r="C15" s="15" t="n"/>
      <c r="D15" s="15" t="n"/>
      <c r="E15" s="15" t="n"/>
      <c r="F15" s="15" t="n"/>
      <c r="G15" s="15" t="n"/>
    </row>
    <row r="16">
      <c r="A16" s="15" t="n"/>
      <c r="B16" s="15" t="n"/>
      <c r="C16" s="15" t="n"/>
      <c r="D16" s="15" t="n"/>
      <c r="E16" s="15" t="n"/>
      <c r="F16" s="15" t="n"/>
      <c r="G16" s="15" t="n"/>
    </row>
    <row r="17">
      <c r="A17" s="15" t="n"/>
      <c r="B17" s="15" t="n"/>
      <c r="C17" s="15" t="n"/>
      <c r="D17" s="15" t="n"/>
      <c r="E17" s="15" t="n"/>
      <c r="F17" s="15" t="n"/>
      <c r="G17" s="15" t="n"/>
    </row>
    <row r="18">
      <c r="A18" s="15" t="n"/>
      <c r="B18" s="15" t="n"/>
      <c r="C18" s="15" t="n"/>
      <c r="D18" s="15" t="n"/>
      <c r="E18" s="15" t="n"/>
      <c r="F18" s="15" t="n"/>
      <c r="G18" s="15" t="n"/>
    </row>
    <row r="19">
      <c r="A19" s="15" t="n"/>
      <c r="B19" s="15" t="n"/>
      <c r="C19" s="15" t="n"/>
      <c r="D19" s="15" t="n"/>
      <c r="E19" s="15" t="n"/>
      <c r="F19" s="15" t="n"/>
      <c r="G19" s="15" t="n"/>
    </row>
    <row r="20">
      <c r="A20" s="15" t="n"/>
      <c r="B20" s="15" t="n"/>
      <c r="C20" s="15" t="n"/>
      <c r="D20" s="15" t="n"/>
      <c r="E20" s="15" t="n"/>
      <c r="F20" s="15" t="n"/>
      <c r="G20" s="15" t="n"/>
    </row>
    <row r="21">
      <c r="A21" s="15" t="n"/>
      <c r="B21" s="15" t="n"/>
      <c r="C21" s="15" t="n"/>
      <c r="D21" s="15" t="n"/>
      <c r="E21" s="15" t="n"/>
      <c r="F21" s="15" t="n"/>
      <c r="G21" s="15" t="n"/>
    </row>
    <row r="22">
      <c r="A22" s="15" t="n"/>
      <c r="B22" s="15" t="n"/>
      <c r="C22" s="15" t="n"/>
      <c r="D22" s="15" t="n"/>
      <c r="E22" s="15" t="n"/>
      <c r="F22" s="15" t="n"/>
      <c r="G22" s="15" t="n"/>
    </row>
    <row r="23">
      <c r="A23" s="15" t="n"/>
      <c r="B23" s="15" t="n"/>
      <c r="C23" s="15" t="n"/>
      <c r="D23" s="15" t="n"/>
      <c r="E23" s="15" t="n"/>
      <c r="F23" s="15" t="n"/>
      <c r="G23" s="15" t="n"/>
    </row>
    <row r="24">
      <c r="A24" s="15" t="n"/>
      <c r="B24" s="15" t="n"/>
      <c r="C24" s="15" t="n"/>
      <c r="D24" s="15" t="n"/>
      <c r="E24" s="15" t="n"/>
      <c r="F24" s="15" t="n"/>
      <c r="G24" s="15" t="n"/>
    </row>
    <row r="25">
      <c r="A25" s="15" t="n"/>
      <c r="B25" s="15" t="n"/>
      <c r="C25" s="15" t="n"/>
      <c r="D25" s="15" t="n"/>
      <c r="E25" s="15" t="n"/>
      <c r="F25" s="15" t="n"/>
      <c r="G25" s="15" t="n"/>
    </row>
    <row r="26">
      <c r="A26" s="15" t="n"/>
      <c r="B26" s="15" t="n"/>
      <c r="C26" s="15" t="n"/>
      <c r="D26" s="15" t="n"/>
      <c r="E26" s="15" t="n"/>
      <c r="F26" s="15" t="n"/>
      <c r="G26" s="15" t="n"/>
    </row>
    <row r="27">
      <c r="A27" s="15" t="n"/>
      <c r="B27" s="15" t="n"/>
      <c r="C27" s="15" t="n"/>
      <c r="D27" s="15" t="n"/>
      <c r="E27" s="15" t="n"/>
      <c r="F27" s="15" t="n"/>
      <c r="G27" s="15" t="n"/>
    </row>
    <row r="28">
      <c r="A28" s="15" t="n"/>
      <c r="B28" s="15" t="n"/>
      <c r="C28" s="15" t="n"/>
      <c r="D28" s="15" t="n"/>
      <c r="E28" s="15" t="n"/>
      <c r="F28" s="15" t="n"/>
      <c r="G28" s="15" t="n"/>
    </row>
    <row r="29">
      <c r="A29" s="15" t="n"/>
      <c r="B29" s="15" t="n"/>
      <c r="C29" s="15" t="n"/>
      <c r="D29" s="15" t="n"/>
      <c r="E29" s="15" t="n"/>
      <c r="F29" s="15" t="n"/>
      <c r="G29" s="15" t="n"/>
    </row>
    <row r="30">
      <c r="A30" s="15" t="n"/>
      <c r="B30" s="15" t="n"/>
      <c r="C30" s="15" t="n"/>
      <c r="D30" s="15" t="n"/>
      <c r="E30" s="15" t="n"/>
      <c r="F30" s="15" t="n"/>
      <c r="G30" s="15" t="n"/>
    </row>
    <row r="31">
      <c r="A31" s="15" t="n"/>
      <c r="B31" s="15" t="n"/>
      <c r="C31" s="15" t="n"/>
      <c r="D31" s="15" t="n"/>
      <c r="E31" s="15" t="n"/>
      <c r="F31" s="15" t="n"/>
      <c r="G31" s="15" t="n"/>
    </row>
    <row r="32">
      <c r="A32" s="15" t="n"/>
      <c r="B32" s="15" t="n"/>
      <c r="C32" s="15" t="n"/>
      <c r="D32" s="15" t="n"/>
      <c r="E32" s="15" t="n"/>
      <c r="F32" s="15" t="n"/>
      <c r="G32" s="15" t="n"/>
    </row>
    <row r="33">
      <c r="A33" s="15" t="n"/>
      <c r="B33" s="15" t="n"/>
      <c r="C33" s="15" t="n"/>
      <c r="D33" s="15" t="n"/>
      <c r="E33" s="15" t="n"/>
      <c r="F33" s="15" t="n"/>
      <c r="G33" s="15" t="n"/>
    </row>
    <row r="34">
      <c r="A34" s="15" t="n"/>
      <c r="B34" s="15" t="n"/>
      <c r="C34" s="15" t="n"/>
      <c r="D34" s="15" t="n"/>
      <c r="E34" s="15" t="n"/>
      <c r="F34" s="15" t="n"/>
      <c r="G34" s="15" t="n"/>
    </row>
    <row r="35">
      <c r="A35" s="15" t="n"/>
      <c r="B35" s="15" t="n"/>
      <c r="C35" s="15" t="n"/>
      <c r="D35" s="15" t="n"/>
      <c r="E35" s="15" t="n"/>
      <c r="F35" s="15" t="n"/>
      <c r="G35" s="15" t="n"/>
    </row>
    <row r="36">
      <c r="A36" s="15" t="n"/>
      <c r="B36" s="15" t="n"/>
      <c r="C36" s="15" t="n"/>
      <c r="D36" s="15" t="n"/>
      <c r="E36" s="15" t="n"/>
      <c r="F36" s="15" t="n"/>
      <c r="G36" s="15" t="n"/>
    </row>
    <row r="37">
      <c r="A37" s="15" t="n"/>
      <c r="B37" s="15" t="n"/>
      <c r="C37" s="15" t="n"/>
      <c r="D37" s="15" t="n"/>
      <c r="E37" s="15" t="n"/>
      <c r="F37" s="15" t="n"/>
      <c r="G37" s="15" t="n"/>
    </row>
    <row r="38">
      <c r="A38" s="15" t="n"/>
      <c r="B38" s="15" t="n"/>
      <c r="C38" s="15" t="n"/>
      <c r="D38" s="15" t="n"/>
      <c r="E38" s="15" t="n"/>
      <c r="F38" s="15" t="n"/>
      <c r="G38" s="15" t="n"/>
    </row>
    <row r="39">
      <c r="A39" s="15" t="n"/>
      <c r="B39" s="15" t="n"/>
      <c r="C39" s="15" t="n"/>
      <c r="D39" s="15" t="n"/>
      <c r="E39" s="15" t="n"/>
      <c r="F39" s="15" t="n"/>
      <c r="G39" s="15" t="n"/>
    </row>
    <row r="40">
      <c r="A40" s="15" t="n"/>
      <c r="B40" s="15" t="n"/>
      <c r="C40" s="15" t="n"/>
      <c r="D40" s="15" t="n"/>
      <c r="E40" s="15" t="n"/>
      <c r="F40" s="15" t="n"/>
      <c r="G40" s="15" t="n"/>
    </row>
    <row r="41">
      <c r="A41" s="15" t="n"/>
      <c r="B41" s="15" t="n"/>
      <c r="C41" s="15" t="n"/>
      <c r="D41" s="15" t="n"/>
      <c r="E41" s="15" t="n"/>
      <c r="F41" s="15" t="n"/>
      <c r="G41" s="15" t="n"/>
    </row>
    <row r="42">
      <c r="A42" s="15" t="n"/>
      <c r="B42" s="15" t="n"/>
      <c r="C42" s="15" t="n"/>
      <c r="D42" s="15" t="n"/>
      <c r="E42" s="15" t="n"/>
      <c r="F42" s="15" t="n"/>
      <c r="G42" s="15" t="n"/>
    </row>
    <row r="43">
      <c r="A43" s="15" t="n"/>
      <c r="B43" s="15" t="n"/>
      <c r="C43" s="15" t="n"/>
      <c r="D43" s="15" t="n"/>
      <c r="E43" s="15" t="n"/>
      <c r="F43" s="15" t="n"/>
      <c r="G43" s="15" t="n"/>
    </row>
    <row r="44">
      <c r="A44" s="15" t="n"/>
      <c r="B44" s="15" t="n"/>
      <c r="C44" s="15" t="n"/>
      <c r="D44" s="15" t="n"/>
      <c r="E44" s="15" t="n"/>
      <c r="F44" s="15" t="n"/>
      <c r="G44" s="15" t="n"/>
    </row>
    <row r="45">
      <c r="A45" s="15" t="n"/>
      <c r="B45" s="15" t="n"/>
      <c r="C45" s="15" t="n"/>
      <c r="D45" s="15" t="n"/>
      <c r="E45" s="15" t="n"/>
      <c r="F45" s="15" t="n"/>
      <c r="G45" s="15" t="n"/>
    </row>
    <row r="46">
      <c r="A46" s="15" t="n"/>
      <c r="B46" s="15" t="n"/>
      <c r="C46" s="15" t="n"/>
      <c r="D46" s="15" t="n"/>
      <c r="E46" s="15" t="n"/>
      <c r="F46" s="15" t="n"/>
      <c r="G46" s="15" t="n"/>
    </row>
    <row r="47">
      <c r="A47" s="15" t="n"/>
      <c r="B47" s="15" t="n"/>
      <c r="C47" s="15" t="n"/>
      <c r="D47" s="15" t="n"/>
      <c r="E47" s="15" t="n"/>
      <c r="F47" s="15" t="n"/>
      <c r="G47" s="15" t="n"/>
    </row>
    <row r="48">
      <c r="A48" s="15" t="n"/>
      <c r="B48" s="15" t="n"/>
      <c r="C48" s="15" t="n"/>
      <c r="D48" s="15" t="n"/>
      <c r="E48" s="15" t="n"/>
      <c r="F48" s="15" t="n"/>
      <c r="G48" s="15" t="n"/>
    </row>
    <row r="49">
      <c r="A49" s="15" t="n"/>
      <c r="B49" s="15" t="n"/>
      <c r="C49" s="15" t="n"/>
      <c r="D49" s="15" t="n"/>
      <c r="E49" s="15" t="n"/>
      <c r="F49" s="15" t="n"/>
      <c r="G49" s="15" t="n"/>
    </row>
    <row r="50">
      <c r="A50" s="15" t="n"/>
      <c r="B50" s="15" t="n"/>
      <c r="C50" s="15" t="n"/>
      <c r="D50" s="15" t="n"/>
      <c r="E50" s="15" t="n"/>
      <c r="F50" s="15" t="n"/>
      <c r="G50" s="15" t="n"/>
    </row>
    <row r="51">
      <c r="A51" s="15" t="n"/>
      <c r="B51" s="15" t="n"/>
      <c r="C51" s="15" t="n"/>
      <c r="D51" s="15" t="n"/>
      <c r="E51" s="15" t="n"/>
      <c r="F51" s="15" t="n"/>
      <c r="G51" s="15" t="n"/>
    </row>
    <row r="52">
      <c r="A52" s="15" t="n"/>
      <c r="B52" s="15" t="n"/>
      <c r="C52" s="15" t="n"/>
      <c r="D52" s="15" t="n"/>
      <c r="E52" s="15" t="n"/>
      <c r="F52" s="15" t="n"/>
      <c r="G52" s="15" t="n"/>
    </row>
    <row r="53">
      <c r="A53" s="15" t="n"/>
      <c r="B53" s="15" t="n"/>
      <c r="C53" s="15" t="n"/>
      <c r="D53" s="15" t="n"/>
      <c r="E53" s="15" t="n"/>
      <c r="F53" s="15" t="n"/>
      <c r="G53" s="15" t="n"/>
    </row>
    <row r="54">
      <c r="A54" s="15" t="n"/>
      <c r="B54" s="15" t="n"/>
      <c r="C54" s="15" t="n"/>
      <c r="D54" s="15" t="n"/>
      <c r="E54" s="15" t="n"/>
      <c r="F54" s="15" t="n"/>
      <c r="G54" s="15" t="n"/>
    </row>
  </sheetData>
  <mergeCells count="2">
    <mergeCell ref="A2:G2"/>
    <mergeCell ref="A1:G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"Linear Regression,Growth Rate,Seasonal Model,Business-Driven,Manual Estimate"</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1" type="list">
      <formula1>"None,Weekly,Monthly,Quarterly,Annual,Custom"</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4"/>
  <sheetViews>
    <sheetView showGridLines="0" workbookViewId="0">
      <pane ySplit="3" topLeftCell="A4" activePane="bottomLeft" state="frozen"/>
      <selection pane="bottomLeft" activeCell="A1" sqref="A1"/>
    </sheetView>
  </sheetViews>
  <sheetFormatPr baseColWidth="8" defaultRowHeight="15"/>
  <cols>
    <col width="30" customWidth="1" min="1" max="1"/>
    <col width="22" customWidth="1" min="2" max="2"/>
    <col width="22" customWidth="1" min="3" max="3"/>
    <col width="22" customWidth="1" min="4" max="4"/>
    <col width="22" customWidth="1" min="5" max="5"/>
    <col width="22" customWidth="1" min="6" max="6"/>
    <col width="15" customWidth="1" min="7" max="7"/>
    <col width="30" customWidth="1" min="8" max="8"/>
    <col width="15" customWidth="1" min="9" max="9"/>
  </cols>
  <sheetData>
    <row r="1" ht="35" customHeight="1">
      <c r="A1" s="11" t="inlineStr">
        <is>
          <t>CAPACITY FORECASTS (6, 12, AND 24 MONTHS)</t>
        </is>
      </c>
    </row>
    <row r="2">
      <c r="A2" s="12" t="inlineStr">
        <is>
          <t>Short-, medium-, and long-term capacity projections per resource (columns D-F auto-calculate)</t>
        </is>
      </c>
    </row>
    <row r="3">
      <c r="A3" s="13" t="inlineStr">
        <is>
          <t>Resource Name</t>
        </is>
      </c>
      <c r="B3" s="13" t="inlineStr">
        <is>
          <t>Current Utilization (%)</t>
        </is>
      </c>
      <c r="C3" s="13" t="inlineStr">
        <is>
          <t>Growth Rate (%/month)</t>
        </is>
      </c>
      <c r="D3" s="13" t="inlineStr">
        <is>
          <t>6-Month Forecast (%)</t>
        </is>
      </c>
      <c r="E3" s="13" t="inlineStr">
        <is>
          <t>12-Month Forecast (%)</t>
        </is>
      </c>
      <c r="F3" s="13" t="inlineStr">
        <is>
          <t>24-Month Forecast (%)</t>
        </is>
      </c>
      <c r="G3" s="13" t="inlineStr">
        <is>
          <t>Confidence</t>
        </is>
      </c>
      <c r="H3" s="13" t="inlineStr">
        <is>
          <t>Assumptions</t>
        </is>
      </c>
      <c r="I3" s="13" t="inlineStr">
        <is>
          <t>Forecast Date</t>
        </is>
      </c>
    </row>
    <row r="4">
      <c r="A4" s="14" t="inlineStr">
        <is>
          <t>server01.example.com</t>
        </is>
      </c>
      <c r="B4" s="14" t="inlineStr">
        <is>
          <t>65.4</t>
        </is>
      </c>
      <c r="C4" s="14" t="inlineStr">
        <is>
          <t>2.3</t>
        </is>
      </c>
      <c r="D4" s="14">
        <f>IF(AND(B4&lt;&gt;"",C4&lt;&gt;""),B4+(C4*6),"")</f>
        <v/>
      </c>
      <c r="E4" s="14">
        <f>IF(AND(B4&lt;&gt;"",C4&lt;&gt;""),B4+(C4*12),"")</f>
        <v/>
      </c>
      <c r="F4" s="14">
        <f>IF(AND(B4&lt;&gt;"",C4&lt;&gt;""),B4+(C4*24),"")</f>
        <v/>
      </c>
      <c r="G4" s="14" t="inlineStr">
        <is>
          <t>High</t>
        </is>
      </c>
      <c r="H4" s="14" t="inlineStr">
        <is>
          <t>Based on 12-month historical trend</t>
        </is>
      </c>
      <c r="I4" s="14" t="inlineStr">
        <is>
          <t>22.02.2026</t>
        </is>
      </c>
    </row>
    <row r="5">
      <c r="A5" s="15" t="n"/>
      <c r="B5" s="15" t="n"/>
      <c r="C5" s="15" t="n"/>
      <c r="D5" s="15">
        <f>IF(AND(B5&lt;&gt;"",C5&lt;&gt;""),B5+(C5*6),"")</f>
        <v/>
      </c>
      <c r="E5" s="15">
        <f>IF(AND(B5&lt;&gt;"",C5&lt;&gt;""),B5+(C5*12),"")</f>
        <v/>
      </c>
      <c r="F5" s="15">
        <f>IF(AND(B5&lt;&gt;"",C5&lt;&gt;""),B5+(C5*24),"")</f>
        <v/>
      </c>
      <c r="G5" s="15" t="n"/>
      <c r="H5" s="15" t="n"/>
      <c r="I5" s="15" t="n"/>
    </row>
    <row r="6">
      <c r="A6" s="15" t="n"/>
      <c r="B6" s="15" t="n"/>
      <c r="C6" s="15" t="n"/>
      <c r="D6" s="15">
        <f>IF(AND(B6&lt;&gt;"",C6&lt;&gt;""),B6+(C6*6),"")</f>
        <v/>
      </c>
      <c r="E6" s="15">
        <f>IF(AND(B6&lt;&gt;"",C6&lt;&gt;""),B6+(C6*12),"")</f>
        <v/>
      </c>
      <c r="F6" s="15">
        <f>IF(AND(B6&lt;&gt;"",C6&lt;&gt;""),B6+(C6*24),"")</f>
        <v/>
      </c>
      <c r="G6" s="15" t="n"/>
      <c r="H6" s="15" t="n"/>
      <c r="I6" s="15" t="n"/>
    </row>
    <row r="7">
      <c r="A7" s="15" t="n"/>
      <c r="B7" s="15" t="n"/>
      <c r="C7" s="15" t="n"/>
      <c r="D7" s="15">
        <f>IF(AND(B7&lt;&gt;"",C7&lt;&gt;""),B7+(C7*6),"")</f>
        <v/>
      </c>
      <c r="E7" s="15">
        <f>IF(AND(B7&lt;&gt;"",C7&lt;&gt;""),B7+(C7*12),"")</f>
        <v/>
      </c>
      <c r="F7" s="15">
        <f>IF(AND(B7&lt;&gt;"",C7&lt;&gt;""),B7+(C7*24),"")</f>
        <v/>
      </c>
      <c r="G7" s="15" t="n"/>
      <c r="H7" s="15" t="n"/>
      <c r="I7" s="15" t="n"/>
    </row>
    <row r="8">
      <c r="A8" s="15" t="n"/>
      <c r="B8" s="15" t="n"/>
      <c r="C8" s="15" t="n"/>
      <c r="D8" s="15">
        <f>IF(AND(B8&lt;&gt;"",C8&lt;&gt;""),B8+(C8*6),"")</f>
        <v/>
      </c>
      <c r="E8" s="15">
        <f>IF(AND(B8&lt;&gt;"",C8&lt;&gt;""),B8+(C8*12),"")</f>
        <v/>
      </c>
      <c r="F8" s="15">
        <f>IF(AND(B8&lt;&gt;"",C8&lt;&gt;""),B8+(C8*24),"")</f>
        <v/>
      </c>
      <c r="G8" s="15" t="n"/>
      <c r="H8" s="15" t="n"/>
      <c r="I8" s="15" t="n"/>
    </row>
    <row r="9">
      <c r="A9" s="15" t="n"/>
      <c r="B9" s="15" t="n"/>
      <c r="C9" s="15" t="n"/>
      <c r="D9" s="15">
        <f>IF(AND(B9&lt;&gt;"",C9&lt;&gt;""),B9+(C9*6),"")</f>
        <v/>
      </c>
      <c r="E9" s="15">
        <f>IF(AND(B9&lt;&gt;"",C9&lt;&gt;""),B9+(C9*12),"")</f>
        <v/>
      </c>
      <c r="F9" s="15">
        <f>IF(AND(B9&lt;&gt;"",C9&lt;&gt;""),B9+(C9*24),"")</f>
        <v/>
      </c>
      <c r="G9" s="15" t="n"/>
      <c r="H9" s="15" t="n"/>
      <c r="I9" s="15" t="n"/>
    </row>
    <row r="10">
      <c r="A10" s="15" t="n"/>
      <c r="B10" s="15" t="n"/>
      <c r="C10" s="15" t="n"/>
      <c r="D10" s="15">
        <f>IF(AND(B10&lt;&gt;"",C10&lt;&gt;""),B10+(C10*6),"")</f>
        <v/>
      </c>
      <c r="E10" s="15">
        <f>IF(AND(B10&lt;&gt;"",C10&lt;&gt;""),B10+(C10*12),"")</f>
        <v/>
      </c>
      <c r="F10" s="15">
        <f>IF(AND(B10&lt;&gt;"",C10&lt;&gt;""),B10+(C10*24),"")</f>
        <v/>
      </c>
      <c r="G10" s="15" t="n"/>
      <c r="H10" s="15" t="n"/>
      <c r="I10" s="15" t="n"/>
    </row>
    <row r="11">
      <c r="A11" s="15" t="n"/>
      <c r="B11" s="15" t="n"/>
      <c r="C11" s="15" t="n"/>
      <c r="D11" s="15">
        <f>IF(AND(B11&lt;&gt;"",C11&lt;&gt;""),B11+(C11*6),"")</f>
        <v/>
      </c>
      <c r="E11" s="15">
        <f>IF(AND(B11&lt;&gt;"",C11&lt;&gt;""),B11+(C11*12),"")</f>
        <v/>
      </c>
      <c r="F11" s="15">
        <f>IF(AND(B11&lt;&gt;"",C11&lt;&gt;""),B11+(C11*24),"")</f>
        <v/>
      </c>
      <c r="G11" s="15" t="n"/>
      <c r="H11" s="15" t="n"/>
      <c r="I11" s="15" t="n"/>
    </row>
    <row r="12">
      <c r="A12" s="15" t="n"/>
      <c r="B12" s="15" t="n"/>
      <c r="C12" s="15" t="n"/>
      <c r="D12" s="15">
        <f>IF(AND(B12&lt;&gt;"",C12&lt;&gt;""),B12+(C12*6),"")</f>
        <v/>
      </c>
      <c r="E12" s="15">
        <f>IF(AND(B12&lt;&gt;"",C12&lt;&gt;""),B12+(C12*12),"")</f>
        <v/>
      </c>
      <c r="F12" s="15">
        <f>IF(AND(B12&lt;&gt;"",C12&lt;&gt;""),B12+(C12*24),"")</f>
        <v/>
      </c>
      <c r="G12" s="15" t="n"/>
      <c r="H12" s="15" t="n"/>
      <c r="I12" s="15" t="n"/>
    </row>
    <row r="13">
      <c r="A13" s="15" t="n"/>
      <c r="B13" s="15" t="n"/>
      <c r="C13" s="15" t="n"/>
      <c r="D13" s="15">
        <f>IF(AND(B13&lt;&gt;"",C13&lt;&gt;""),B13+(C13*6),"")</f>
        <v/>
      </c>
      <c r="E13" s="15">
        <f>IF(AND(B13&lt;&gt;"",C13&lt;&gt;""),B13+(C13*12),"")</f>
        <v/>
      </c>
      <c r="F13" s="15">
        <f>IF(AND(B13&lt;&gt;"",C13&lt;&gt;""),B13+(C13*24),"")</f>
        <v/>
      </c>
      <c r="G13" s="15" t="n"/>
      <c r="H13" s="15" t="n"/>
      <c r="I13" s="15" t="n"/>
    </row>
    <row r="14">
      <c r="A14" s="15" t="n"/>
      <c r="B14" s="15" t="n"/>
      <c r="C14" s="15" t="n"/>
      <c r="D14" s="15">
        <f>IF(AND(B14&lt;&gt;"",C14&lt;&gt;""),B14+(C14*6),"")</f>
        <v/>
      </c>
      <c r="E14" s="15">
        <f>IF(AND(B14&lt;&gt;"",C14&lt;&gt;""),B14+(C14*12),"")</f>
        <v/>
      </c>
      <c r="F14" s="15">
        <f>IF(AND(B14&lt;&gt;"",C14&lt;&gt;""),B14+(C14*24),"")</f>
        <v/>
      </c>
      <c r="G14" s="15" t="n"/>
      <c r="H14" s="15" t="n"/>
      <c r="I14" s="15" t="n"/>
    </row>
    <row r="15">
      <c r="A15" s="15" t="n"/>
      <c r="B15" s="15" t="n"/>
      <c r="C15" s="15" t="n"/>
      <c r="D15" s="15">
        <f>IF(AND(B15&lt;&gt;"",C15&lt;&gt;""),B15+(C15*6),"")</f>
        <v/>
      </c>
      <c r="E15" s="15">
        <f>IF(AND(B15&lt;&gt;"",C15&lt;&gt;""),B15+(C15*12),"")</f>
        <v/>
      </c>
      <c r="F15" s="15">
        <f>IF(AND(B15&lt;&gt;"",C15&lt;&gt;""),B15+(C15*24),"")</f>
        <v/>
      </c>
      <c r="G15" s="15" t="n"/>
      <c r="H15" s="15" t="n"/>
      <c r="I15" s="15" t="n"/>
    </row>
    <row r="16">
      <c r="A16" s="15" t="n"/>
      <c r="B16" s="15" t="n"/>
      <c r="C16" s="15" t="n"/>
      <c r="D16" s="15">
        <f>IF(AND(B16&lt;&gt;"",C16&lt;&gt;""),B16+(C16*6),"")</f>
        <v/>
      </c>
      <c r="E16" s="15">
        <f>IF(AND(B16&lt;&gt;"",C16&lt;&gt;""),B16+(C16*12),"")</f>
        <v/>
      </c>
      <c r="F16" s="15">
        <f>IF(AND(B16&lt;&gt;"",C16&lt;&gt;""),B16+(C16*24),"")</f>
        <v/>
      </c>
      <c r="G16" s="15" t="n"/>
      <c r="H16" s="15" t="n"/>
      <c r="I16" s="15" t="n"/>
    </row>
    <row r="17">
      <c r="A17" s="15" t="n"/>
      <c r="B17" s="15" t="n"/>
      <c r="C17" s="15" t="n"/>
      <c r="D17" s="15">
        <f>IF(AND(B17&lt;&gt;"",C17&lt;&gt;""),B17+(C17*6),"")</f>
        <v/>
      </c>
      <c r="E17" s="15">
        <f>IF(AND(B17&lt;&gt;"",C17&lt;&gt;""),B17+(C17*12),"")</f>
        <v/>
      </c>
      <c r="F17" s="15">
        <f>IF(AND(B17&lt;&gt;"",C17&lt;&gt;""),B17+(C17*24),"")</f>
        <v/>
      </c>
      <c r="G17" s="15" t="n"/>
      <c r="H17" s="15" t="n"/>
      <c r="I17" s="15" t="n"/>
    </row>
    <row r="18">
      <c r="A18" s="15" t="n"/>
      <c r="B18" s="15" t="n"/>
      <c r="C18" s="15" t="n"/>
      <c r="D18" s="15">
        <f>IF(AND(B18&lt;&gt;"",C18&lt;&gt;""),B18+(C18*6),"")</f>
        <v/>
      </c>
      <c r="E18" s="15">
        <f>IF(AND(B18&lt;&gt;"",C18&lt;&gt;""),B18+(C18*12),"")</f>
        <v/>
      </c>
      <c r="F18" s="15">
        <f>IF(AND(B18&lt;&gt;"",C18&lt;&gt;""),B18+(C18*24),"")</f>
        <v/>
      </c>
      <c r="G18" s="15" t="n"/>
      <c r="H18" s="15" t="n"/>
      <c r="I18" s="15" t="n"/>
    </row>
    <row r="19">
      <c r="A19" s="15" t="n"/>
      <c r="B19" s="15" t="n"/>
      <c r="C19" s="15" t="n"/>
      <c r="D19" s="15">
        <f>IF(AND(B19&lt;&gt;"",C19&lt;&gt;""),B19+(C19*6),"")</f>
        <v/>
      </c>
      <c r="E19" s="15">
        <f>IF(AND(B19&lt;&gt;"",C19&lt;&gt;""),B19+(C19*12),"")</f>
        <v/>
      </c>
      <c r="F19" s="15">
        <f>IF(AND(B19&lt;&gt;"",C19&lt;&gt;""),B19+(C19*24),"")</f>
        <v/>
      </c>
      <c r="G19" s="15" t="n"/>
      <c r="H19" s="15" t="n"/>
      <c r="I19" s="15" t="n"/>
    </row>
    <row r="20">
      <c r="A20" s="15" t="n"/>
      <c r="B20" s="15" t="n"/>
      <c r="C20" s="15" t="n"/>
      <c r="D20" s="15">
        <f>IF(AND(B20&lt;&gt;"",C20&lt;&gt;""),B20+(C20*6),"")</f>
        <v/>
      </c>
      <c r="E20" s="15">
        <f>IF(AND(B20&lt;&gt;"",C20&lt;&gt;""),B20+(C20*12),"")</f>
        <v/>
      </c>
      <c r="F20" s="15">
        <f>IF(AND(B20&lt;&gt;"",C20&lt;&gt;""),B20+(C20*24),"")</f>
        <v/>
      </c>
      <c r="G20" s="15" t="n"/>
      <c r="H20" s="15" t="n"/>
      <c r="I20" s="15" t="n"/>
    </row>
    <row r="21">
      <c r="A21" s="15" t="n"/>
      <c r="B21" s="15" t="n"/>
      <c r="C21" s="15" t="n"/>
      <c r="D21" s="15">
        <f>IF(AND(B21&lt;&gt;"",C21&lt;&gt;""),B21+(C21*6),"")</f>
        <v/>
      </c>
      <c r="E21" s="15">
        <f>IF(AND(B21&lt;&gt;"",C21&lt;&gt;""),B21+(C21*12),"")</f>
        <v/>
      </c>
      <c r="F21" s="15">
        <f>IF(AND(B21&lt;&gt;"",C21&lt;&gt;""),B21+(C21*24),"")</f>
        <v/>
      </c>
      <c r="G21" s="15" t="n"/>
      <c r="H21" s="15" t="n"/>
      <c r="I21" s="15" t="n"/>
    </row>
    <row r="22">
      <c r="A22" s="15" t="n"/>
      <c r="B22" s="15" t="n"/>
      <c r="C22" s="15" t="n"/>
      <c r="D22" s="15">
        <f>IF(AND(B22&lt;&gt;"",C22&lt;&gt;""),B22+(C22*6),"")</f>
        <v/>
      </c>
      <c r="E22" s="15">
        <f>IF(AND(B22&lt;&gt;"",C22&lt;&gt;""),B22+(C22*12),"")</f>
        <v/>
      </c>
      <c r="F22" s="15">
        <f>IF(AND(B22&lt;&gt;"",C22&lt;&gt;""),B22+(C22*24),"")</f>
        <v/>
      </c>
      <c r="G22" s="15" t="n"/>
      <c r="H22" s="15" t="n"/>
      <c r="I22" s="15" t="n"/>
    </row>
    <row r="23">
      <c r="A23" s="15" t="n"/>
      <c r="B23" s="15" t="n"/>
      <c r="C23" s="15" t="n"/>
      <c r="D23" s="15">
        <f>IF(AND(B23&lt;&gt;"",C23&lt;&gt;""),B23+(C23*6),"")</f>
        <v/>
      </c>
      <c r="E23" s="15">
        <f>IF(AND(B23&lt;&gt;"",C23&lt;&gt;""),B23+(C23*12),"")</f>
        <v/>
      </c>
      <c r="F23" s="15">
        <f>IF(AND(B23&lt;&gt;"",C23&lt;&gt;""),B23+(C23*24),"")</f>
        <v/>
      </c>
      <c r="G23" s="15" t="n"/>
      <c r="H23" s="15" t="n"/>
      <c r="I23" s="15" t="n"/>
    </row>
    <row r="24">
      <c r="A24" s="15" t="n"/>
      <c r="B24" s="15" t="n"/>
      <c r="C24" s="15" t="n"/>
      <c r="D24" s="15">
        <f>IF(AND(B24&lt;&gt;"",C24&lt;&gt;""),B24+(C24*6),"")</f>
        <v/>
      </c>
      <c r="E24" s="15">
        <f>IF(AND(B24&lt;&gt;"",C24&lt;&gt;""),B24+(C24*12),"")</f>
        <v/>
      </c>
      <c r="F24" s="15">
        <f>IF(AND(B24&lt;&gt;"",C24&lt;&gt;""),B24+(C24*24),"")</f>
        <v/>
      </c>
      <c r="G24" s="15" t="n"/>
      <c r="H24" s="15" t="n"/>
      <c r="I24" s="15" t="n"/>
    </row>
    <row r="25">
      <c r="A25" s="15" t="n"/>
      <c r="B25" s="15" t="n"/>
      <c r="C25" s="15" t="n"/>
      <c r="D25" s="15">
        <f>IF(AND(B25&lt;&gt;"",C25&lt;&gt;""),B25+(C25*6),"")</f>
        <v/>
      </c>
      <c r="E25" s="15">
        <f>IF(AND(B25&lt;&gt;"",C25&lt;&gt;""),B25+(C25*12),"")</f>
        <v/>
      </c>
      <c r="F25" s="15">
        <f>IF(AND(B25&lt;&gt;"",C25&lt;&gt;""),B25+(C25*24),"")</f>
        <v/>
      </c>
      <c r="G25" s="15" t="n"/>
      <c r="H25" s="15" t="n"/>
      <c r="I25" s="15" t="n"/>
    </row>
    <row r="26">
      <c r="A26" s="15" t="n"/>
      <c r="B26" s="15" t="n"/>
      <c r="C26" s="15" t="n"/>
      <c r="D26" s="15">
        <f>IF(AND(B26&lt;&gt;"",C26&lt;&gt;""),B26+(C26*6),"")</f>
        <v/>
      </c>
      <c r="E26" s="15">
        <f>IF(AND(B26&lt;&gt;"",C26&lt;&gt;""),B26+(C26*12),"")</f>
        <v/>
      </c>
      <c r="F26" s="15">
        <f>IF(AND(B26&lt;&gt;"",C26&lt;&gt;""),B26+(C26*24),"")</f>
        <v/>
      </c>
      <c r="G26" s="15" t="n"/>
      <c r="H26" s="15" t="n"/>
      <c r="I26" s="15" t="n"/>
    </row>
    <row r="27">
      <c r="A27" s="15" t="n"/>
      <c r="B27" s="15" t="n"/>
      <c r="C27" s="15" t="n"/>
      <c r="D27" s="15">
        <f>IF(AND(B27&lt;&gt;"",C27&lt;&gt;""),B27+(C27*6),"")</f>
        <v/>
      </c>
      <c r="E27" s="15">
        <f>IF(AND(B27&lt;&gt;"",C27&lt;&gt;""),B27+(C27*12),"")</f>
        <v/>
      </c>
      <c r="F27" s="15">
        <f>IF(AND(B27&lt;&gt;"",C27&lt;&gt;""),B27+(C27*24),"")</f>
        <v/>
      </c>
      <c r="G27" s="15" t="n"/>
      <c r="H27" s="15" t="n"/>
      <c r="I27" s="15" t="n"/>
    </row>
    <row r="28">
      <c r="A28" s="15" t="n"/>
      <c r="B28" s="15" t="n"/>
      <c r="C28" s="15" t="n"/>
      <c r="D28" s="15">
        <f>IF(AND(B28&lt;&gt;"",C28&lt;&gt;""),B28+(C28*6),"")</f>
        <v/>
      </c>
      <c r="E28" s="15">
        <f>IF(AND(B28&lt;&gt;"",C28&lt;&gt;""),B28+(C28*12),"")</f>
        <v/>
      </c>
      <c r="F28" s="15">
        <f>IF(AND(B28&lt;&gt;"",C28&lt;&gt;""),B28+(C28*24),"")</f>
        <v/>
      </c>
      <c r="G28" s="15" t="n"/>
      <c r="H28" s="15" t="n"/>
      <c r="I28" s="15" t="n"/>
    </row>
    <row r="29">
      <c r="A29" s="15" t="n"/>
      <c r="B29" s="15" t="n"/>
      <c r="C29" s="15" t="n"/>
      <c r="D29" s="15">
        <f>IF(AND(B29&lt;&gt;"",C29&lt;&gt;""),B29+(C29*6),"")</f>
        <v/>
      </c>
      <c r="E29" s="15">
        <f>IF(AND(B29&lt;&gt;"",C29&lt;&gt;""),B29+(C29*12),"")</f>
        <v/>
      </c>
      <c r="F29" s="15">
        <f>IF(AND(B29&lt;&gt;"",C29&lt;&gt;""),B29+(C29*24),"")</f>
        <v/>
      </c>
      <c r="G29" s="15" t="n"/>
      <c r="H29" s="15" t="n"/>
      <c r="I29" s="15" t="n"/>
    </row>
    <row r="30">
      <c r="A30" s="15" t="n"/>
      <c r="B30" s="15" t="n"/>
      <c r="C30" s="15" t="n"/>
      <c r="D30" s="15">
        <f>IF(AND(B30&lt;&gt;"",C30&lt;&gt;""),B30+(C30*6),"")</f>
        <v/>
      </c>
      <c r="E30" s="15">
        <f>IF(AND(B30&lt;&gt;"",C30&lt;&gt;""),B30+(C30*12),"")</f>
        <v/>
      </c>
      <c r="F30" s="15">
        <f>IF(AND(B30&lt;&gt;"",C30&lt;&gt;""),B30+(C30*24),"")</f>
        <v/>
      </c>
      <c r="G30" s="15" t="n"/>
      <c r="H30" s="15" t="n"/>
      <c r="I30" s="15" t="n"/>
    </row>
    <row r="31">
      <c r="A31" s="15" t="n"/>
      <c r="B31" s="15" t="n"/>
      <c r="C31" s="15" t="n"/>
      <c r="D31" s="15">
        <f>IF(AND(B31&lt;&gt;"",C31&lt;&gt;""),B31+(C31*6),"")</f>
        <v/>
      </c>
      <c r="E31" s="15">
        <f>IF(AND(B31&lt;&gt;"",C31&lt;&gt;""),B31+(C31*12),"")</f>
        <v/>
      </c>
      <c r="F31" s="15">
        <f>IF(AND(B31&lt;&gt;"",C31&lt;&gt;""),B31+(C31*24),"")</f>
        <v/>
      </c>
      <c r="G31" s="15" t="n"/>
      <c r="H31" s="15" t="n"/>
      <c r="I31" s="15" t="n"/>
    </row>
    <row r="32">
      <c r="A32" s="15" t="n"/>
      <c r="B32" s="15" t="n"/>
      <c r="C32" s="15" t="n"/>
      <c r="D32" s="15">
        <f>IF(AND(B32&lt;&gt;"",C32&lt;&gt;""),B32+(C32*6),"")</f>
        <v/>
      </c>
      <c r="E32" s="15">
        <f>IF(AND(B32&lt;&gt;"",C32&lt;&gt;""),B32+(C32*12),"")</f>
        <v/>
      </c>
      <c r="F32" s="15">
        <f>IF(AND(B32&lt;&gt;"",C32&lt;&gt;""),B32+(C32*24),"")</f>
        <v/>
      </c>
      <c r="G32" s="15" t="n"/>
      <c r="H32" s="15" t="n"/>
      <c r="I32" s="15" t="n"/>
    </row>
    <row r="33">
      <c r="A33" s="15" t="n"/>
      <c r="B33" s="15" t="n"/>
      <c r="C33" s="15" t="n"/>
      <c r="D33" s="15">
        <f>IF(AND(B33&lt;&gt;"",C33&lt;&gt;""),B33+(C33*6),"")</f>
        <v/>
      </c>
      <c r="E33" s="15">
        <f>IF(AND(B33&lt;&gt;"",C33&lt;&gt;""),B33+(C33*12),"")</f>
        <v/>
      </c>
      <c r="F33" s="15">
        <f>IF(AND(B33&lt;&gt;"",C33&lt;&gt;""),B33+(C33*24),"")</f>
        <v/>
      </c>
      <c r="G33" s="15" t="n"/>
      <c r="H33" s="15" t="n"/>
      <c r="I33" s="15" t="n"/>
    </row>
    <row r="34">
      <c r="A34" s="15" t="n"/>
      <c r="B34" s="15" t="n"/>
      <c r="C34" s="15" t="n"/>
      <c r="D34" s="15">
        <f>IF(AND(B34&lt;&gt;"",C34&lt;&gt;""),B34+(C34*6),"")</f>
        <v/>
      </c>
      <c r="E34" s="15">
        <f>IF(AND(B34&lt;&gt;"",C34&lt;&gt;""),B34+(C34*12),"")</f>
        <v/>
      </c>
      <c r="F34" s="15">
        <f>IF(AND(B34&lt;&gt;"",C34&lt;&gt;""),B34+(C34*24),"")</f>
        <v/>
      </c>
      <c r="G34" s="15" t="n"/>
      <c r="H34" s="15" t="n"/>
      <c r="I34" s="15" t="n"/>
    </row>
    <row r="35">
      <c r="A35" s="15" t="n"/>
      <c r="B35" s="15" t="n"/>
      <c r="C35" s="15" t="n"/>
      <c r="D35" s="15">
        <f>IF(AND(B35&lt;&gt;"",C35&lt;&gt;""),B35+(C35*6),"")</f>
        <v/>
      </c>
      <c r="E35" s="15">
        <f>IF(AND(B35&lt;&gt;"",C35&lt;&gt;""),B35+(C35*12),"")</f>
        <v/>
      </c>
      <c r="F35" s="15">
        <f>IF(AND(B35&lt;&gt;"",C35&lt;&gt;""),B35+(C35*24),"")</f>
        <v/>
      </c>
      <c r="G35" s="15" t="n"/>
      <c r="H35" s="15" t="n"/>
      <c r="I35" s="15" t="n"/>
    </row>
    <row r="36">
      <c r="A36" s="15" t="n"/>
      <c r="B36" s="15" t="n"/>
      <c r="C36" s="15" t="n"/>
      <c r="D36" s="15">
        <f>IF(AND(B36&lt;&gt;"",C36&lt;&gt;""),B36+(C36*6),"")</f>
        <v/>
      </c>
      <c r="E36" s="15">
        <f>IF(AND(B36&lt;&gt;"",C36&lt;&gt;""),B36+(C36*12),"")</f>
        <v/>
      </c>
      <c r="F36" s="15">
        <f>IF(AND(B36&lt;&gt;"",C36&lt;&gt;""),B36+(C36*24),"")</f>
        <v/>
      </c>
      <c r="G36" s="15" t="n"/>
      <c r="H36" s="15" t="n"/>
      <c r="I36" s="15" t="n"/>
    </row>
    <row r="37">
      <c r="A37" s="15" t="n"/>
      <c r="B37" s="15" t="n"/>
      <c r="C37" s="15" t="n"/>
      <c r="D37" s="15">
        <f>IF(AND(B37&lt;&gt;"",C37&lt;&gt;""),B37+(C37*6),"")</f>
        <v/>
      </c>
      <c r="E37" s="15">
        <f>IF(AND(B37&lt;&gt;"",C37&lt;&gt;""),B37+(C37*12),"")</f>
        <v/>
      </c>
      <c r="F37" s="15">
        <f>IF(AND(B37&lt;&gt;"",C37&lt;&gt;""),B37+(C37*24),"")</f>
        <v/>
      </c>
      <c r="G37" s="15" t="n"/>
      <c r="H37" s="15" t="n"/>
      <c r="I37" s="15" t="n"/>
    </row>
    <row r="38">
      <c r="A38" s="15" t="n"/>
      <c r="B38" s="15" t="n"/>
      <c r="C38" s="15" t="n"/>
      <c r="D38" s="15">
        <f>IF(AND(B38&lt;&gt;"",C38&lt;&gt;""),B38+(C38*6),"")</f>
        <v/>
      </c>
      <c r="E38" s="15">
        <f>IF(AND(B38&lt;&gt;"",C38&lt;&gt;""),B38+(C38*12),"")</f>
        <v/>
      </c>
      <c r="F38" s="15">
        <f>IF(AND(B38&lt;&gt;"",C38&lt;&gt;""),B38+(C38*24),"")</f>
        <v/>
      </c>
      <c r="G38" s="15" t="n"/>
      <c r="H38" s="15" t="n"/>
      <c r="I38" s="15" t="n"/>
    </row>
    <row r="39">
      <c r="A39" s="15" t="n"/>
      <c r="B39" s="15" t="n"/>
      <c r="C39" s="15" t="n"/>
      <c r="D39" s="15">
        <f>IF(AND(B39&lt;&gt;"",C39&lt;&gt;""),B39+(C39*6),"")</f>
        <v/>
      </c>
      <c r="E39" s="15">
        <f>IF(AND(B39&lt;&gt;"",C39&lt;&gt;""),B39+(C39*12),"")</f>
        <v/>
      </c>
      <c r="F39" s="15">
        <f>IF(AND(B39&lt;&gt;"",C39&lt;&gt;""),B39+(C39*24),"")</f>
        <v/>
      </c>
      <c r="G39" s="15" t="n"/>
      <c r="H39" s="15" t="n"/>
      <c r="I39" s="15" t="n"/>
    </row>
    <row r="40">
      <c r="A40" s="15" t="n"/>
      <c r="B40" s="15" t="n"/>
      <c r="C40" s="15" t="n"/>
      <c r="D40" s="15">
        <f>IF(AND(B40&lt;&gt;"",C40&lt;&gt;""),B40+(C40*6),"")</f>
        <v/>
      </c>
      <c r="E40" s="15">
        <f>IF(AND(B40&lt;&gt;"",C40&lt;&gt;""),B40+(C40*12),"")</f>
        <v/>
      </c>
      <c r="F40" s="15">
        <f>IF(AND(B40&lt;&gt;"",C40&lt;&gt;""),B40+(C40*24),"")</f>
        <v/>
      </c>
      <c r="G40" s="15" t="n"/>
      <c r="H40" s="15" t="n"/>
      <c r="I40" s="15" t="n"/>
    </row>
    <row r="41">
      <c r="A41" s="15" t="n"/>
      <c r="B41" s="15" t="n"/>
      <c r="C41" s="15" t="n"/>
      <c r="D41" s="15">
        <f>IF(AND(B41&lt;&gt;"",C41&lt;&gt;""),B41+(C41*6),"")</f>
        <v/>
      </c>
      <c r="E41" s="15">
        <f>IF(AND(B41&lt;&gt;"",C41&lt;&gt;""),B41+(C41*12),"")</f>
        <v/>
      </c>
      <c r="F41" s="15">
        <f>IF(AND(B41&lt;&gt;"",C41&lt;&gt;""),B41+(C41*24),"")</f>
        <v/>
      </c>
      <c r="G41" s="15" t="n"/>
      <c r="H41" s="15" t="n"/>
      <c r="I41" s="15" t="n"/>
    </row>
    <row r="42">
      <c r="A42" s="15" t="n"/>
      <c r="B42" s="15" t="n"/>
      <c r="C42" s="15" t="n"/>
      <c r="D42" s="15">
        <f>IF(AND(B42&lt;&gt;"",C42&lt;&gt;""),B42+(C42*6),"")</f>
        <v/>
      </c>
      <c r="E42" s="15">
        <f>IF(AND(B42&lt;&gt;"",C42&lt;&gt;""),B42+(C42*12),"")</f>
        <v/>
      </c>
      <c r="F42" s="15">
        <f>IF(AND(B42&lt;&gt;"",C42&lt;&gt;""),B42+(C42*24),"")</f>
        <v/>
      </c>
      <c r="G42" s="15" t="n"/>
      <c r="H42" s="15" t="n"/>
      <c r="I42" s="15" t="n"/>
    </row>
    <row r="43">
      <c r="A43" s="15" t="n"/>
      <c r="B43" s="15" t="n"/>
      <c r="C43" s="15" t="n"/>
      <c r="D43" s="15">
        <f>IF(AND(B43&lt;&gt;"",C43&lt;&gt;""),B43+(C43*6),"")</f>
        <v/>
      </c>
      <c r="E43" s="15">
        <f>IF(AND(B43&lt;&gt;"",C43&lt;&gt;""),B43+(C43*12),"")</f>
        <v/>
      </c>
      <c r="F43" s="15">
        <f>IF(AND(B43&lt;&gt;"",C43&lt;&gt;""),B43+(C43*24),"")</f>
        <v/>
      </c>
      <c r="G43" s="15" t="n"/>
      <c r="H43" s="15" t="n"/>
      <c r="I43" s="15" t="n"/>
    </row>
    <row r="44">
      <c r="A44" s="15" t="n"/>
      <c r="B44" s="15" t="n"/>
      <c r="C44" s="15" t="n"/>
      <c r="D44" s="15">
        <f>IF(AND(B44&lt;&gt;"",C44&lt;&gt;""),B44+(C44*6),"")</f>
        <v/>
      </c>
      <c r="E44" s="15">
        <f>IF(AND(B44&lt;&gt;"",C44&lt;&gt;""),B44+(C44*12),"")</f>
        <v/>
      </c>
      <c r="F44" s="15">
        <f>IF(AND(B44&lt;&gt;"",C44&lt;&gt;""),B44+(C44*24),"")</f>
        <v/>
      </c>
      <c r="G44" s="15" t="n"/>
      <c r="H44" s="15" t="n"/>
      <c r="I44" s="15" t="n"/>
    </row>
    <row r="45">
      <c r="A45" s="15" t="n"/>
      <c r="B45" s="15" t="n"/>
      <c r="C45" s="15" t="n"/>
      <c r="D45" s="15">
        <f>IF(AND(B45&lt;&gt;"",C45&lt;&gt;""),B45+(C45*6),"")</f>
        <v/>
      </c>
      <c r="E45" s="15">
        <f>IF(AND(B45&lt;&gt;"",C45&lt;&gt;""),B45+(C45*12),"")</f>
        <v/>
      </c>
      <c r="F45" s="15">
        <f>IF(AND(B45&lt;&gt;"",C45&lt;&gt;""),B45+(C45*24),"")</f>
        <v/>
      </c>
      <c r="G45" s="15" t="n"/>
      <c r="H45" s="15" t="n"/>
      <c r="I45" s="15" t="n"/>
    </row>
    <row r="46">
      <c r="A46" s="15" t="n"/>
      <c r="B46" s="15" t="n"/>
      <c r="C46" s="15" t="n"/>
      <c r="D46" s="15">
        <f>IF(AND(B46&lt;&gt;"",C46&lt;&gt;""),B46+(C46*6),"")</f>
        <v/>
      </c>
      <c r="E46" s="15">
        <f>IF(AND(B46&lt;&gt;"",C46&lt;&gt;""),B46+(C46*12),"")</f>
        <v/>
      </c>
      <c r="F46" s="15">
        <f>IF(AND(B46&lt;&gt;"",C46&lt;&gt;""),B46+(C46*24),"")</f>
        <v/>
      </c>
      <c r="G46" s="15" t="n"/>
      <c r="H46" s="15" t="n"/>
      <c r="I46" s="15" t="n"/>
    </row>
    <row r="47">
      <c r="A47" s="15" t="n"/>
      <c r="B47" s="15" t="n"/>
      <c r="C47" s="15" t="n"/>
      <c r="D47" s="15">
        <f>IF(AND(B47&lt;&gt;"",C47&lt;&gt;""),B47+(C47*6),"")</f>
        <v/>
      </c>
      <c r="E47" s="15">
        <f>IF(AND(B47&lt;&gt;"",C47&lt;&gt;""),B47+(C47*12),"")</f>
        <v/>
      </c>
      <c r="F47" s="15">
        <f>IF(AND(B47&lt;&gt;"",C47&lt;&gt;""),B47+(C47*24),"")</f>
        <v/>
      </c>
      <c r="G47" s="15" t="n"/>
      <c r="H47" s="15" t="n"/>
      <c r="I47" s="15" t="n"/>
    </row>
    <row r="48">
      <c r="A48" s="15" t="n"/>
      <c r="B48" s="15" t="n"/>
      <c r="C48" s="15" t="n"/>
      <c r="D48" s="15">
        <f>IF(AND(B48&lt;&gt;"",C48&lt;&gt;""),B48+(C48*6),"")</f>
        <v/>
      </c>
      <c r="E48" s="15">
        <f>IF(AND(B48&lt;&gt;"",C48&lt;&gt;""),B48+(C48*12),"")</f>
        <v/>
      </c>
      <c r="F48" s="15">
        <f>IF(AND(B48&lt;&gt;"",C48&lt;&gt;""),B48+(C48*24),"")</f>
        <v/>
      </c>
      <c r="G48" s="15" t="n"/>
      <c r="H48" s="15" t="n"/>
      <c r="I48" s="15" t="n"/>
    </row>
    <row r="49">
      <c r="A49" s="15" t="n"/>
      <c r="B49" s="15" t="n"/>
      <c r="C49" s="15" t="n"/>
      <c r="D49" s="15">
        <f>IF(AND(B49&lt;&gt;"",C49&lt;&gt;""),B49+(C49*6),"")</f>
        <v/>
      </c>
      <c r="E49" s="15">
        <f>IF(AND(B49&lt;&gt;"",C49&lt;&gt;""),B49+(C49*12),"")</f>
        <v/>
      </c>
      <c r="F49" s="15">
        <f>IF(AND(B49&lt;&gt;"",C49&lt;&gt;""),B49+(C49*24),"")</f>
        <v/>
      </c>
      <c r="G49" s="15" t="n"/>
      <c r="H49" s="15" t="n"/>
      <c r="I49" s="15" t="n"/>
    </row>
    <row r="50">
      <c r="A50" s="15" t="n"/>
      <c r="B50" s="15" t="n"/>
      <c r="C50" s="15" t="n"/>
      <c r="D50" s="15">
        <f>IF(AND(B50&lt;&gt;"",C50&lt;&gt;""),B50+(C50*6),"")</f>
        <v/>
      </c>
      <c r="E50" s="15">
        <f>IF(AND(B50&lt;&gt;"",C50&lt;&gt;""),B50+(C50*12),"")</f>
        <v/>
      </c>
      <c r="F50" s="15">
        <f>IF(AND(B50&lt;&gt;"",C50&lt;&gt;""),B50+(C50*24),"")</f>
        <v/>
      </c>
      <c r="G50" s="15" t="n"/>
      <c r="H50" s="15" t="n"/>
      <c r="I50" s="15" t="n"/>
    </row>
    <row r="51">
      <c r="A51" s="15" t="n"/>
      <c r="B51" s="15" t="n"/>
      <c r="C51" s="15" t="n"/>
      <c r="D51" s="15">
        <f>IF(AND(B51&lt;&gt;"",C51&lt;&gt;""),B51+(C51*6),"")</f>
        <v/>
      </c>
      <c r="E51" s="15">
        <f>IF(AND(B51&lt;&gt;"",C51&lt;&gt;""),B51+(C51*12),"")</f>
        <v/>
      </c>
      <c r="F51" s="15">
        <f>IF(AND(B51&lt;&gt;"",C51&lt;&gt;""),B51+(C51*24),"")</f>
        <v/>
      </c>
      <c r="G51" s="15" t="n"/>
      <c r="H51" s="15" t="n"/>
      <c r="I51" s="15" t="n"/>
    </row>
    <row r="52">
      <c r="A52" s="15" t="n"/>
      <c r="B52" s="15" t="n"/>
      <c r="C52" s="15" t="n"/>
      <c r="D52" s="15">
        <f>IF(AND(B52&lt;&gt;"",C52&lt;&gt;""),B52+(C52*6),"")</f>
        <v/>
      </c>
      <c r="E52" s="15">
        <f>IF(AND(B52&lt;&gt;"",C52&lt;&gt;""),B52+(C52*12),"")</f>
        <v/>
      </c>
      <c r="F52" s="15">
        <f>IF(AND(B52&lt;&gt;"",C52&lt;&gt;""),B52+(C52*24),"")</f>
        <v/>
      </c>
      <c r="G52" s="15" t="n"/>
      <c r="H52" s="15" t="n"/>
      <c r="I52" s="15" t="n"/>
    </row>
    <row r="53">
      <c r="A53" s="15" t="n"/>
      <c r="B53" s="15" t="n"/>
      <c r="C53" s="15" t="n"/>
      <c r="D53" s="15">
        <f>IF(AND(B53&lt;&gt;"",C53&lt;&gt;""),B53+(C53*6),"")</f>
        <v/>
      </c>
      <c r="E53" s="15">
        <f>IF(AND(B53&lt;&gt;"",C53&lt;&gt;""),B53+(C53*12),"")</f>
        <v/>
      </c>
      <c r="F53" s="15">
        <f>IF(AND(B53&lt;&gt;"",C53&lt;&gt;""),B53+(C53*24),"")</f>
        <v/>
      </c>
      <c r="G53" s="15" t="n"/>
      <c r="H53" s="15" t="n"/>
      <c r="I53" s="15" t="n"/>
    </row>
    <row r="54">
      <c r="A54" s="15" t="n"/>
      <c r="B54" s="15" t="n"/>
      <c r="C54" s="15" t="n"/>
      <c r="D54" s="15">
        <f>IF(AND(B54&lt;&gt;"",C54&lt;&gt;""),B54+(C54*6),"")</f>
        <v/>
      </c>
      <c r="E54" s="15">
        <f>IF(AND(B54&lt;&gt;"",C54&lt;&gt;""),B54+(C54*12),"")</f>
        <v/>
      </c>
      <c r="F54" s="15">
        <f>IF(AND(B54&lt;&gt;"",C54&lt;&gt;""),B54+(C54*24),"")</f>
        <v/>
      </c>
      <c r="G54" s="15" t="n"/>
      <c r="H54" s="15" t="n"/>
      <c r="I54" s="15" t="n"/>
    </row>
  </sheetData>
  <mergeCells count="2">
    <mergeCell ref="A1:I1"/>
    <mergeCell ref="A2:I2"/>
  </mergeCells>
  <dataValidations count="1">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5" customWidth="1" min="3" max="3"/>
    <col width="20" customWidth="1" min="4" max="4"/>
    <col width="22" customWidth="1" min="5" max="5"/>
    <col width="18" customWidth="1" min="6" max="6"/>
    <col width="22" customWidth="1" min="7" max="7"/>
    <col width="30" customWidth="1" min="8" max="8"/>
  </cols>
  <sheetData>
    <row r="1" ht="35" customHeight="1">
      <c r="A1" s="11" t="inlineStr">
        <is>
          <t>CAPACITY EXHAUSTION PROJECTIONS</t>
        </is>
      </c>
    </row>
    <row r="2">
      <c r="A2" s="12" t="inlineStr">
        <is>
          <t>Forecasted dates when resources will reach capacity thresholds (columns E-G auto-calculate)</t>
        </is>
      </c>
    </row>
    <row r="3">
      <c r="A3" s="13" t="inlineStr">
        <is>
          <t>Resource Name</t>
        </is>
      </c>
      <c r="B3" s="13" t="inlineStr">
        <is>
          <t>Current (%)</t>
        </is>
      </c>
      <c r="C3" s="13" t="inlineStr">
        <is>
          <t>Threshold (%)</t>
        </is>
      </c>
      <c r="D3" s="13" t="inlineStr">
        <is>
          <t>Growth Rate (%/mo)</t>
        </is>
      </c>
      <c r="E3" s="13" t="inlineStr">
        <is>
          <t>Months to Threshold</t>
        </is>
      </c>
      <c r="F3" s="13" t="inlineStr">
        <is>
          <t>Exhaustion Date</t>
        </is>
      </c>
      <c r="G3" s="13" t="inlineStr">
        <is>
          <t>Urgency</t>
        </is>
      </c>
      <c r="H3" s="13" t="inlineStr">
        <is>
          <t>Action Required</t>
        </is>
      </c>
    </row>
    <row r="4">
      <c r="A4" s="14" t="inlineStr">
        <is>
          <t>server01.example.com</t>
        </is>
      </c>
      <c r="B4" s="14" t="inlineStr">
        <is>
          <t>65.4</t>
        </is>
      </c>
      <c r="C4" s="14" t="inlineStr">
        <is>
          <t>85</t>
        </is>
      </c>
      <c r="D4" s="14" t="inlineStr">
        <is>
          <t>2.3</t>
        </is>
      </c>
      <c r="E4" s="14">
        <f>IF(AND(B4&lt;&gt;"",C4&lt;&gt;"",D4&lt;&gt;"",D4&gt;0),(C4-B4)/D4,"")</f>
        <v/>
      </c>
      <c r="F4" s="14">
        <f>IF(E4&lt;&gt;"",TODAY()+(E4*30),"")</f>
        <v/>
      </c>
      <c r="G4" s="14">
        <f>IF(A4="","",IF(E4="","No Risk",IF(E4&lt;=0,"CRITICAL",IF(E4&lt;=3,"Immediate (0-3mo)",IF(E4&lt;=6,"Short-term (3-6mo)",IF(E4&lt;=12,"Medium-term (6-12mo)","Long-term (&gt;12mo)"))))))</f>
        <v/>
      </c>
      <c r="H4" s="14" t="inlineStr">
        <is>
          <t>Initiate capacity expansion planning</t>
        </is>
      </c>
    </row>
    <row r="5">
      <c r="A5" s="15" t="n"/>
      <c r="B5" s="15" t="n"/>
      <c r="C5" s="15" t="n"/>
      <c r="D5" s="15" t="n"/>
      <c r="E5" s="15">
        <f>IF(AND(B5&lt;&gt;"",C5&lt;&gt;"",D5&lt;&gt;"",D5&gt;0),(C5-B5)/D5,"")</f>
        <v/>
      </c>
      <c r="F5" s="15">
        <f>IF(E5&lt;&gt;"",TODAY()+(E5*30),"")</f>
        <v/>
      </c>
      <c r="G5" s="15">
        <f>IF(A5="","",IF(E5="","No Risk",IF(E5&lt;=0,"CRITICAL",IF(E5&lt;=3,"Immediate (0-3mo)",IF(E5&lt;=6,"Short-term (3-6mo)",IF(E5&lt;=12,"Medium-term (6-12mo)","Long-term (&gt;12mo)"))))))</f>
        <v/>
      </c>
      <c r="H5" s="15" t="n"/>
    </row>
    <row r="6">
      <c r="A6" s="15" t="n"/>
      <c r="B6" s="15" t="n"/>
      <c r="C6" s="15" t="n"/>
      <c r="D6" s="15" t="n"/>
      <c r="E6" s="15">
        <f>IF(AND(B6&lt;&gt;"",C6&lt;&gt;"",D6&lt;&gt;"",D6&gt;0),(C6-B6)/D6,"")</f>
        <v/>
      </c>
      <c r="F6" s="15">
        <f>IF(E6&lt;&gt;"",TODAY()+(E6*30),"")</f>
        <v/>
      </c>
      <c r="G6" s="15">
        <f>IF(A6="","",IF(E6="","No Risk",IF(E6&lt;=0,"CRITICAL",IF(E6&lt;=3,"Immediate (0-3mo)",IF(E6&lt;=6,"Short-term (3-6mo)",IF(E6&lt;=12,"Medium-term (6-12mo)","Long-term (&gt;12mo)"))))))</f>
        <v/>
      </c>
      <c r="H6" s="15" t="n"/>
    </row>
    <row r="7">
      <c r="A7" s="15" t="n"/>
      <c r="B7" s="15" t="n"/>
      <c r="C7" s="15" t="n"/>
      <c r="D7" s="15" t="n"/>
      <c r="E7" s="15">
        <f>IF(AND(B7&lt;&gt;"",C7&lt;&gt;"",D7&lt;&gt;"",D7&gt;0),(C7-B7)/D7,"")</f>
        <v/>
      </c>
      <c r="F7" s="15">
        <f>IF(E7&lt;&gt;"",TODAY()+(E7*30),"")</f>
        <v/>
      </c>
      <c r="G7" s="15">
        <f>IF(A7="","",IF(E7="","No Risk",IF(E7&lt;=0,"CRITICAL",IF(E7&lt;=3,"Immediate (0-3mo)",IF(E7&lt;=6,"Short-term (3-6mo)",IF(E7&lt;=12,"Medium-term (6-12mo)","Long-term (&gt;12mo)"))))))</f>
        <v/>
      </c>
      <c r="H7" s="15" t="n"/>
    </row>
    <row r="8">
      <c r="A8" s="15" t="n"/>
      <c r="B8" s="15" t="n"/>
      <c r="C8" s="15" t="n"/>
      <c r="D8" s="15" t="n"/>
      <c r="E8" s="15">
        <f>IF(AND(B8&lt;&gt;"",C8&lt;&gt;"",D8&lt;&gt;"",D8&gt;0),(C8-B8)/D8,"")</f>
        <v/>
      </c>
      <c r="F8" s="15">
        <f>IF(E8&lt;&gt;"",TODAY()+(E8*30),"")</f>
        <v/>
      </c>
      <c r="G8" s="15">
        <f>IF(A8="","",IF(E8="","No Risk",IF(E8&lt;=0,"CRITICAL",IF(E8&lt;=3,"Immediate (0-3mo)",IF(E8&lt;=6,"Short-term (3-6mo)",IF(E8&lt;=12,"Medium-term (6-12mo)","Long-term (&gt;12mo)"))))))</f>
        <v/>
      </c>
      <c r="H8" s="15" t="n"/>
    </row>
    <row r="9">
      <c r="A9" s="15" t="n"/>
      <c r="B9" s="15" t="n"/>
      <c r="C9" s="15" t="n"/>
      <c r="D9" s="15" t="n"/>
      <c r="E9" s="15">
        <f>IF(AND(B9&lt;&gt;"",C9&lt;&gt;"",D9&lt;&gt;"",D9&gt;0),(C9-B9)/D9,"")</f>
        <v/>
      </c>
      <c r="F9" s="15">
        <f>IF(E9&lt;&gt;"",TODAY()+(E9*30),"")</f>
        <v/>
      </c>
      <c r="G9" s="15">
        <f>IF(A9="","",IF(E9="","No Risk",IF(E9&lt;=0,"CRITICAL",IF(E9&lt;=3,"Immediate (0-3mo)",IF(E9&lt;=6,"Short-term (3-6mo)",IF(E9&lt;=12,"Medium-term (6-12mo)","Long-term (&gt;12mo)"))))))</f>
        <v/>
      </c>
      <c r="H9" s="15" t="n"/>
    </row>
    <row r="10">
      <c r="A10" s="15" t="n"/>
      <c r="B10" s="15" t="n"/>
      <c r="C10" s="15" t="n"/>
      <c r="D10" s="15" t="n"/>
      <c r="E10" s="15">
        <f>IF(AND(B10&lt;&gt;"",C10&lt;&gt;"",D10&lt;&gt;"",D10&gt;0),(C10-B10)/D10,"")</f>
        <v/>
      </c>
      <c r="F10" s="15">
        <f>IF(E10&lt;&gt;"",TODAY()+(E10*30),"")</f>
        <v/>
      </c>
      <c r="G10" s="15">
        <f>IF(A10="","",IF(E10="","No Risk",IF(E10&lt;=0,"CRITICAL",IF(E10&lt;=3,"Immediate (0-3mo)",IF(E10&lt;=6,"Short-term (3-6mo)",IF(E10&lt;=12,"Medium-term (6-12mo)","Long-term (&gt;12mo)"))))))</f>
        <v/>
      </c>
      <c r="H10" s="15" t="n"/>
    </row>
    <row r="11">
      <c r="A11" s="15" t="n"/>
      <c r="B11" s="15" t="n"/>
      <c r="C11" s="15" t="n"/>
      <c r="D11" s="15" t="n"/>
      <c r="E11" s="15">
        <f>IF(AND(B11&lt;&gt;"",C11&lt;&gt;"",D11&lt;&gt;"",D11&gt;0),(C11-B11)/D11,"")</f>
        <v/>
      </c>
      <c r="F11" s="15">
        <f>IF(E11&lt;&gt;"",TODAY()+(E11*30),"")</f>
        <v/>
      </c>
      <c r="G11" s="15">
        <f>IF(A11="","",IF(E11="","No Risk",IF(E11&lt;=0,"CRITICAL",IF(E11&lt;=3,"Immediate (0-3mo)",IF(E11&lt;=6,"Short-term (3-6mo)",IF(E11&lt;=12,"Medium-term (6-12mo)","Long-term (&gt;12mo)"))))))</f>
        <v/>
      </c>
      <c r="H11" s="15" t="n"/>
    </row>
    <row r="12">
      <c r="A12" s="15" t="n"/>
      <c r="B12" s="15" t="n"/>
      <c r="C12" s="15" t="n"/>
      <c r="D12" s="15" t="n"/>
      <c r="E12" s="15">
        <f>IF(AND(B12&lt;&gt;"",C12&lt;&gt;"",D12&lt;&gt;"",D12&gt;0),(C12-B12)/D12,"")</f>
        <v/>
      </c>
      <c r="F12" s="15">
        <f>IF(E12&lt;&gt;"",TODAY()+(E12*30),"")</f>
        <v/>
      </c>
      <c r="G12" s="15">
        <f>IF(A12="","",IF(E12="","No Risk",IF(E12&lt;=0,"CRITICAL",IF(E12&lt;=3,"Immediate (0-3mo)",IF(E12&lt;=6,"Short-term (3-6mo)",IF(E12&lt;=12,"Medium-term (6-12mo)","Long-term (&gt;12mo)"))))))</f>
        <v/>
      </c>
      <c r="H12" s="15" t="n"/>
    </row>
    <row r="13">
      <c r="A13" s="15" t="n"/>
      <c r="B13" s="15" t="n"/>
      <c r="C13" s="15" t="n"/>
      <c r="D13" s="15" t="n"/>
      <c r="E13" s="15">
        <f>IF(AND(B13&lt;&gt;"",C13&lt;&gt;"",D13&lt;&gt;"",D13&gt;0),(C13-B13)/D13,"")</f>
        <v/>
      </c>
      <c r="F13" s="15">
        <f>IF(E13&lt;&gt;"",TODAY()+(E13*30),"")</f>
        <v/>
      </c>
      <c r="G13" s="15">
        <f>IF(A13="","",IF(E13="","No Risk",IF(E13&lt;=0,"CRITICAL",IF(E13&lt;=3,"Immediate (0-3mo)",IF(E13&lt;=6,"Short-term (3-6mo)",IF(E13&lt;=12,"Medium-term (6-12mo)","Long-term (&gt;12mo)"))))))</f>
        <v/>
      </c>
      <c r="H13" s="15" t="n"/>
    </row>
    <row r="14">
      <c r="A14" s="15" t="n"/>
      <c r="B14" s="15" t="n"/>
      <c r="C14" s="15" t="n"/>
      <c r="D14" s="15" t="n"/>
      <c r="E14" s="15">
        <f>IF(AND(B14&lt;&gt;"",C14&lt;&gt;"",D14&lt;&gt;"",D14&gt;0),(C14-B14)/D14,"")</f>
        <v/>
      </c>
      <c r="F14" s="15">
        <f>IF(E14&lt;&gt;"",TODAY()+(E14*30),"")</f>
        <v/>
      </c>
      <c r="G14" s="15">
        <f>IF(A14="","",IF(E14="","No Risk",IF(E14&lt;=0,"CRITICAL",IF(E14&lt;=3,"Immediate (0-3mo)",IF(E14&lt;=6,"Short-term (3-6mo)",IF(E14&lt;=12,"Medium-term (6-12mo)","Long-term (&gt;12mo)"))))))</f>
        <v/>
      </c>
      <c r="H14" s="15" t="n"/>
    </row>
    <row r="15">
      <c r="A15" s="15" t="n"/>
      <c r="B15" s="15" t="n"/>
      <c r="C15" s="15" t="n"/>
      <c r="D15" s="15" t="n"/>
      <c r="E15" s="15">
        <f>IF(AND(B15&lt;&gt;"",C15&lt;&gt;"",D15&lt;&gt;"",D15&gt;0),(C15-B15)/D15,"")</f>
        <v/>
      </c>
      <c r="F15" s="15">
        <f>IF(E15&lt;&gt;"",TODAY()+(E15*30),"")</f>
        <v/>
      </c>
      <c r="G15" s="15">
        <f>IF(A15="","",IF(E15="","No Risk",IF(E15&lt;=0,"CRITICAL",IF(E15&lt;=3,"Immediate (0-3mo)",IF(E15&lt;=6,"Short-term (3-6mo)",IF(E15&lt;=12,"Medium-term (6-12mo)","Long-term (&gt;12mo)"))))))</f>
        <v/>
      </c>
      <c r="H15" s="15" t="n"/>
    </row>
    <row r="16">
      <c r="A16" s="15" t="n"/>
      <c r="B16" s="15" t="n"/>
      <c r="C16" s="15" t="n"/>
      <c r="D16" s="15" t="n"/>
      <c r="E16" s="15">
        <f>IF(AND(B16&lt;&gt;"",C16&lt;&gt;"",D16&lt;&gt;"",D16&gt;0),(C16-B16)/D16,"")</f>
        <v/>
      </c>
      <c r="F16" s="15">
        <f>IF(E16&lt;&gt;"",TODAY()+(E16*30),"")</f>
        <v/>
      </c>
      <c r="G16" s="15">
        <f>IF(A16="","",IF(E16="","No Risk",IF(E16&lt;=0,"CRITICAL",IF(E16&lt;=3,"Immediate (0-3mo)",IF(E16&lt;=6,"Short-term (3-6mo)",IF(E16&lt;=12,"Medium-term (6-12mo)","Long-term (&gt;12mo)"))))))</f>
        <v/>
      </c>
      <c r="H16" s="15" t="n"/>
    </row>
    <row r="17">
      <c r="A17" s="15" t="n"/>
      <c r="B17" s="15" t="n"/>
      <c r="C17" s="15" t="n"/>
      <c r="D17" s="15" t="n"/>
      <c r="E17" s="15">
        <f>IF(AND(B17&lt;&gt;"",C17&lt;&gt;"",D17&lt;&gt;"",D17&gt;0),(C17-B17)/D17,"")</f>
        <v/>
      </c>
      <c r="F17" s="15">
        <f>IF(E17&lt;&gt;"",TODAY()+(E17*30),"")</f>
        <v/>
      </c>
      <c r="G17" s="15">
        <f>IF(A17="","",IF(E17="","No Risk",IF(E17&lt;=0,"CRITICAL",IF(E17&lt;=3,"Immediate (0-3mo)",IF(E17&lt;=6,"Short-term (3-6mo)",IF(E17&lt;=12,"Medium-term (6-12mo)","Long-term (&gt;12mo)"))))))</f>
        <v/>
      </c>
      <c r="H17" s="15" t="n"/>
    </row>
    <row r="18">
      <c r="A18" s="15" t="n"/>
      <c r="B18" s="15" t="n"/>
      <c r="C18" s="15" t="n"/>
      <c r="D18" s="15" t="n"/>
      <c r="E18" s="15">
        <f>IF(AND(B18&lt;&gt;"",C18&lt;&gt;"",D18&lt;&gt;"",D18&gt;0),(C18-B18)/D18,"")</f>
        <v/>
      </c>
      <c r="F18" s="15">
        <f>IF(E18&lt;&gt;"",TODAY()+(E18*30),"")</f>
        <v/>
      </c>
      <c r="G18" s="15">
        <f>IF(A18="","",IF(E18="","No Risk",IF(E18&lt;=0,"CRITICAL",IF(E18&lt;=3,"Immediate (0-3mo)",IF(E18&lt;=6,"Short-term (3-6mo)",IF(E18&lt;=12,"Medium-term (6-12mo)","Long-term (&gt;12mo)"))))))</f>
        <v/>
      </c>
      <c r="H18" s="15" t="n"/>
    </row>
    <row r="19">
      <c r="A19" s="15" t="n"/>
      <c r="B19" s="15" t="n"/>
      <c r="C19" s="15" t="n"/>
      <c r="D19" s="15" t="n"/>
      <c r="E19" s="15">
        <f>IF(AND(B19&lt;&gt;"",C19&lt;&gt;"",D19&lt;&gt;"",D19&gt;0),(C19-B19)/D19,"")</f>
        <v/>
      </c>
      <c r="F19" s="15">
        <f>IF(E19&lt;&gt;"",TODAY()+(E19*30),"")</f>
        <v/>
      </c>
      <c r="G19" s="15">
        <f>IF(A19="","",IF(E19="","No Risk",IF(E19&lt;=0,"CRITICAL",IF(E19&lt;=3,"Immediate (0-3mo)",IF(E19&lt;=6,"Short-term (3-6mo)",IF(E19&lt;=12,"Medium-term (6-12mo)","Long-term (&gt;12mo)"))))))</f>
        <v/>
      </c>
      <c r="H19" s="15" t="n"/>
    </row>
    <row r="20">
      <c r="A20" s="15" t="n"/>
      <c r="B20" s="15" t="n"/>
      <c r="C20" s="15" t="n"/>
      <c r="D20" s="15" t="n"/>
      <c r="E20" s="15">
        <f>IF(AND(B20&lt;&gt;"",C20&lt;&gt;"",D20&lt;&gt;"",D20&gt;0),(C20-B20)/D20,"")</f>
        <v/>
      </c>
      <c r="F20" s="15">
        <f>IF(E20&lt;&gt;"",TODAY()+(E20*30),"")</f>
        <v/>
      </c>
      <c r="G20" s="15">
        <f>IF(A20="","",IF(E20="","No Risk",IF(E20&lt;=0,"CRITICAL",IF(E20&lt;=3,"Immediate (0-3mo)",IF(E20&lt;=6,"Short-term (3-6mo)",IF(E20&lt;=12,"Medium-term (6-12mo)","Long-term (&gt;12mo)"))))))</f>
        <v/>
      </c>
      <c r="H20" s="15" t="n"/>
    </row>
    <row r="21">
      <c r="A21" s="15" t="n"/>
      <c r="B21" s="15" t="n"/>
      <c r="C21" s="15" t="n"/>
      <c r="D21" s="15" t="n"/>
      <c r="E21" s="15">
        <f>IF(AND(B21&lt;&gt;"",C21&lt;&gt;"",D21&lt;&gt;"",D21&gt;0),(C21-B21)/D21,"")</f>
        <v/>
      </c>
      <c r="F21" s="15">
        <f>IF(E21&lt;&gt;"",TODAY()+(E21*30),"")</f>
        <v/>
      </c>
      <c r="G21" s="15">
        <f>IF(A21="","",IF(E21="","No Risk",IF(E21&lt;=0,"CRITICAL",IF(E21&lt;=3,"Immediate (0-3mo)",IF(E21&lt;=6,"Short-term (3-6mo)",IF(E21&lt;=12,"Medium-term (6-12mo)","Long-term (&gt;12mo)"))))))</f>
        <v/>
      </c>
      <c r="H21" s="15" t="n"/>
    </row>
    <row r="22">
      <c r="A22" s="15" t="n"/>
      <c r="B22" s="15" t="n"/>
      <c r="C22" s="15" t="n"/>
      <c r="D22" s="15" t="n"/>
      <c r="E22" s="15">
        <f>IF(AND(B22&lt;&gt;"",C22&lt;&gt;"",D22&lt;&gt;"",D22&gt;0),(C22-B22)/D22,"")</f>
        <v/>
      </c>
      <c r="F22" s="15">
        <f>IF(E22&lt;&gt;"",TODAY()+(E22*30),"")</f>
        <v/>
      </c>
      <c r="G22" s="15">
        <f>IF(A22="","",IF(E22="","No Risk",IF(E22&lt;=0,"CRITICAL",IF(E22&lt;=3,"Immediate (0-3mo)",IF(E22&lt;=6,"Short-term (3-6mo)",IF(E22&lt;=12,"Medium-term (6-12mo)","Long-term (&gt;12mo)"))))))</f>
        <v/>
      </c>
      <c r="H22" s="15" t="n"/>
    </row>
    <row r="23">
      <c r="A23" s="15" t="n"/>
      <c r="B23" s="15" t="n"/>
      <c r="C23" s="15" t="n"/>
      <c r="D23" s="15" t="n"/>
      <c r="E23" s="15">
        <f>IF(AND(B23&lt;&gt;"",C23&lt;&gt;"",D23&lt;&gt;"",D23&gt;0),(C23-B23)/D23,"")</f>
        <v/>
      </c>
      <c r="F23" s="15">
        <f>IF(E23&lt;&gt;"",TODAY()+(E23*30),"")</f>
        <v/>
      </c>
      <c r="G23" s="15">
        <f>IF(A23="","",IF(E23="","No Risk",IF(E23&lt;=0,"CRITICAL",IF(E23&lt;=3,"Immediate (0-3mo)",IF(E23&lt;=6,"Short-term (3-6mo)",IF(E23&lt;=12,"Medium-term (6-12mo)","Long-term (&gt;12mo)"))))))</f>
        <v/>
      </c>
      <c r="H23" s="15" t="n"/>
    </row>
    <row r="24">
      <c r="A24" s="15" t="n"/>
      <c r="B24" s="15" t="n"/>
      <c r="C24" s="15" t="n"/>
      <c r="D24" s="15" t="n"/>
      <c r="E24" s="15">
        <f>IF(AND(B24&lt;&gt;"",C24&lt;&gt;"",D24&lt;&gt;"",D24&gt;0),(C24-B24)/D24,"")</f>
        <v/>
      </c>
      <c r="F24" s="15">
        <f>IF(E24&lt;&gt;"",TODAY()+(E24*30),"")</f>
        <v/>
      </c>
      <c r="G24" s="15">
        <f>IF(A24="","",IF(E24="","No Risk",IF(E24&lt;=0,"CRITICAL",IF(E24&lt;=3,"Immediate (0-3mo)",IF(E24&lt;=6,"Short-term (3-6mo)",IF(E24&lt;=12,"Medium-term (6-12mo)","Long-term (&gt;12mo)"))))))</f>
        <v/>
      </c>
      <c r="H24" s="15" t="n"/>
    </row>
    <row r="25">
      <c r="A25" s="15" t="n"/>
      <c r="B25" s="15" t="n"/>
      <c r="C25" s="15" t="n"/>
      <c r="D25" s="15" t="n"/>
      <c r="E25" s="15">
        <f>IF(AND(B25&lt;&gt;"",C25&lt;&gt;"",D25&lt;&gt;"",D25&gt;0),(C25-B25)/D25,"")</f>
        <v/>
      </c>
      <c r="F25" s="15">
        <f>IF(E25&lt;&gt;"",TODAY()+(E25*30),"")</f>
        <v/>
      </c>
      <c r="G25" s="15">
        <f>IF(A25="","",IF(E25="","No Risk",IF(E25&lt;=0,"CRITICAL",IF(E25&lt;=3,"Immediate (0-3mo)",IF(E25&lt;=6,"Short-term (3-6mo)",IF(E25&lt;=12,"Medium-term (6-12mo)","Long-term (&gt;12mo)"))))))</f>
        <v/>
      </c>
      <c r="H25" s="15" t="n"/>
    </row>
    <row r="26">
      <c r="A26" s="15" t="n"/>
      <c r="B26" s="15" t="n"/>
      <c r="C26" s="15" t="n"/>
      <c r="D26" s="15" t="n"/>
      <c r="E26" s="15">
        <f>IF(AND(B26&lt;&gt;"",C26&lt;&gt;"",D26&lt;&gt;"",D26&gt;0),(C26-B26)/D26,"")</f>
        <v/>
      </c>
      <c r="F26" s="15">
        <f>IF(E26&lt;&gt;"",TODAY()+(E26*30),"")</f>
        <v/>
      </c>
      <c r="G26" s="15">
        <f>IF(A26="","",IF(E26="","No Risk",IF(E26&lt;=0,"CRITICAL",IF(E26&lt;=3,"Immediate (0-3mo)",IF(E26&lt;=6,"Short-term (3-6mo)",IF(E26&lt;=12,"Medium-term (6-12mo)","Long-term (&gt;12mo)"))))))</f>
        <v/>
      </c>
      <c r="H26" s="15" t="n"/>
    </row>
    <row r="27">
      <c r="A27" s="15" t="n"/>
      <c r="B27" s="15" t="n"/>
      <c r="C27" s="15" t="n"/>
      <c r="D27" s="15" t="n"/>
      <c r="E27" s="15">
        <f>IF(AND(B27&lt;&gt;"",C27&lt;&gt;"",D27&lt;&gt;"",D27&gt;0),(C27-B27)/D27,"")</f>
        <v/>
      </c>
      <c r="F27" s="15">
        <f>IF(E27&lt;&gt;"",TODAY()+(E27*30),"")</f>
        <v/>
      </c>
      <c r="G27" s="15">
        <f>IF(A27="","",IF(E27="","No Risk",IF(E27&lt;=0,"CRITICAL",IF(E27&lt;=3,"Immediate (0-3mo)",IF(E27&lt;=6,"Short-term (3-6mo)",IF(E27&lt;=12,"Medium-term (6-12mo)","Long-term (&gt;12mo)"))))))</f>
        <v/>
      </c>
      <c r="H27" s="15" t="n"/>
    </row>
    <row r="28">
      <c r="A28" s="15" t="n"/>
      <c r="B28" s="15" t="n"/>
      <c r="C28" s="15" t="n"/>
      <c r="D28" s="15" t="n"/>
      <c r="E28" s="15">
        <f>IF(AND(B28&lt;&gt;"",C28&lt;&gt;"",D28&lt;&gt;"",D28&gt;0),(C28-B28)/D28,"")</f>
        <v/>
      </c>
      <c r="F28" s="15">
        <f>IF(E28&lt;&gt;"",TODAY()+(E28*30),"")</f>
        <v/>
      </c>
      <c r="G28" s="15">
        <f>IF(A28="","",IF(E28="","No Risk",IF(E28&lt;=0,"CRITICAL",IF(E28&lt;=3,"Immediate (0-3mo)",IF(E28&lt;=6,"Short-term (3-6mo)",IF(E28&lt;=12,"Medium-term (6-12mo)","Long-term (&gt;12mo)"))))))</f>
        <v/>
      </c>
      <c r="H28" s="15" t="n"/>
    </row>
    <row r="29">
      <c r="A29" s="15" t="n"/>
      <c r="B29" s="15" t="n"/>
      <c r="C29" s="15" t="n"/>
      <c r="D29" s="15" t="n"/>
      <c r="E29" s="15">
        <f>IF(AND(B29&lt;&gt;"",C29&lt;&gt;"",D29&lt;&gt;"",D29&gt;0),(C29-B29)/D29,"")</f>
        <v/>
      </c>
      <c r="F29" s="15">
        <f>IF(E29&lt;&gt;"",TODAY()+(E29*30),"")</f>
        <v/>
      </c>
      <c r="G29" s="15">
        <f>IF(A29="","",IF(E29="","No Risk",IF(E29&lt;=0,"CRITICAL",IF(E29&lt;=3,"Immediate (0-3mo)",IF(E29&lt;=6,"Short-term (3-6mo)",IF(E29&lt;=12,"Medium-term (6-12mo)","Long-term (&gt;12mo)"))))))</f>
        <v/>
      </c>
      <c r="H29" s="15" t="n"/>
    </row>
    <row r="30">
      <c r="A30" s="15" t="n"/>
      <c r="B30" s="15" t="n"/>
      <c r="C30" s="15" t="n"/>
      <c r="D30" s="15" t="n"/>
      <c r="E30" s="15">
        <f>IF(AND(B30&lt;&gt;"",C30&lt;&gt;"",D30&lt;&gt;"",D30&gt;0),(C30-B30)/D30,"")</f>
        <v/>
      </c>
      <c r="F30" s="15">
        <f>IF(E30&lt;&gt;"",TODAY()+(E30*30),"")</f>
        <v/>
      </c>
      <c r="G30" s="15">
        <f>IF(A30="","",IF(E30="","No Risk",IF(E30&lt;=0,"CRITICAL",IF(E30&lt;=3,"Immediate (0-3mo)",IF(E30&lt;=6,"Short-term (3-6mo)",IF(E30&lt;=12,"Medium-term (6-12mo)","Long-term (&gt;12mo)"))))))</f>
        <v/>
      </c>
      <c r="H30" s="15" t="n"/>
    </row>
    <row r="31">
      <c r="A31" s="15" t="n"/>
      <c r="B31" s="15" t="n"/>
      <c r="C31" s="15" t="n"/>
      <c r="D31" s="15" t="n"/>
      <c r="E31" s="15">
        <f>IF(AND(B31&lt;&gt;"",C31&lt;&gt;"",D31&lt;&gt;"",D31&gt;0),(C31-B31)/D31,"")</f>
        <v/>
      </c>
      <c r="F31" s="15">
        <f>IF(E31&lt;&gt;"",TODAY()+(E31*30),"")</f>
        <v/>
      </c>
      <c r="G31" s="15">
        <f>IF(A31="","",IF(E31="","No Risk",IF(E31&lt;=0,"CRITICAL",IF(E31&lt;=3,"Immediate (0-3mo)",IF(E31&lt;=6,"Short-term (3-6mo)",IF(E31&lt;=12,"Medium-term (6-12mo)","Long-term (&gt;12mo)"))))))</f>
        <v/>
      </c>
      <c r="H31" s="15" t="n"/>
    </row>
    <row r="32">
      <c r="A32" s="15" t="n"/>
      <c r="B32" s="15" t="n"/>
      <c r="C32" s="15" t="n"/>
      <c r="D32" s="15" t="n"/>
      <c r="E32" s="15">
        <f>IF(AND(B32&lt;&gt;"",C32&lt;&gt;"",D32&lt;&gt;"",D32&gt;0),(C32-B32)/D32,"")</f>
        <v/>
      </c>
      <c r="F32" s="15">
        <f>IF(E32&lt;&gt;"",TODAY()+(E32*30),"")</f>
        <v/>
      </c>
      <c r="G32" s="15">
        <f>IF(A32="","",IF(E32="","No Risk",IF(E32&lt;=0,"CRITICAL",IF(E32&lt;=3,"Immediate (0-3mo)",IF(E32&lt;=6,"Short-term (3-6mo)",IF(E32&lt;=12,"Medium-term (6-12mo)","Long-term (&gt;12mo)"))))))</f>
        <v/>
      </c>
      <c r="H32" s="15" t="n"/>
    </row>
    <row r="33">
      <c r="A33" s="15" t="n"/>
      <c r="B33" s="15" t="n"/>
      <c r="C33" s="15" t="n"/>
      <c r="D33" s="15" t="n"/>
      <c r="E33" s="15">
        <f>IF(AND(B33&lt;&gt;"",C33&lt;&gt;"",D33&lt;&gt;"",D33&gt;0),(C33-B33)/D33,"")</f>
        <v/>
      </c>
      <c r="F33" s="15">
        <f>IF(E33&lt;&gt;"",TODAY()+(E33*30),"")</f>
        <v/>
      </c>
      <c r="G33" s="15">
        <f>IF(A33="","",IF(E33="","No Risk",IF(E33&lt;=0,"CRITICAL",IF(E33&lt;=3,"Immediate (0-3mo)",IF(E33&lt;=6,"Short-term (3-6mo)",IF(E33&lt;=12,"Medium-term (6-12mo)","Long-term (&gt;12mo)"))))))</f>
        <v/>
      </c>
      <c r="H33" s="15" t="n"/>
    </row>
    <row r="34">
      <c r="A34" s="15" t="n"/>
      <c r="B34" s="15" t="n"/>
      <c r="C34" s="15" t="n"/>
      <c r="D34" s="15" t="n"/>
      <c r="E34" s="15">
        <f>IF(AND(B34&lt;&gt;"",C34&lt;&gt;"",D34&lt;&gt;"",D34&gt;0),(C34-B34)/D34,"")</f>
        <v/>
      </c>
      <c r="F34" s="15">
        <f>IF(E34&lt;&gt;"",TODAY()+(E34*30),"")</f>
        <v/>
      </c>
      <c r="G34" s="15">
        <f>IF(A34="","",IF(E34="","No Risk",IF(E34&lt;=0,"CRITICAL",IF(E34&lt;=3,"Immediate (0-3mo)",IF(E34&lt;=6,"Short-term (3-6mo)",IF(E34&lt;=12,"Medium-term (6-12mo)","Long-term (&gt;12mo)"))))))</f>
        <v/>
      </c>
      <c r="H34" s="15" t="n"/>
    </row>
    <row r="35">
      <c r="A35" s="15" t="n"/>
      <c r="B35" s="15" t="n"/>
      <c r="C35" s="15" t="n"/>
      <c r="D35" s="15" t="n"/>
      <c r="E35" s="15">
        <f>IF(AND(B35&lt;&gt;"",C35&lt;&gt;"",D35&lt;&gt;"",D35&gt;0),(C35-B35)/D35,"")</f>
        <v/>
      </c>
      <c r="F35" s="15">
        <f>IF(E35&lt;&gt;"",TODAY()+(E35*30),"")</f>
        <v/>
      </c>
      <c r="G35" s="15">
        <f>IF(A35="","",IF(E35="","No Risk",IF(E35&lt;=0,"CRITICAL",IF(E35&lt;=3,"Immediate (0-3mo)",IF(E35&lt;=6,"Short-term (3-6mo)",IF(E35&lt;=12,"Medium-term (6-12mo)","Long-term (&gt;12mo)"))))))</f>
        <v/>
      </c>
      <c r="H35" s="15" t="n"/>
    </row>
    <row r="36">
      <c r="A36" s="15" t="n"/>
      <c r="B36" s="15" t="n"/>
      <c r="C36" s="15" t="n"/>
      <c r="D36" s="15" t="n"/>
      <c r="E36" s="15">
        <f>IF(AND(B36&lt;&gt;"",C36&lt;&gt;"",D36&lt;&gt;"",D36&gt;0),(C36-B36)/D36,"")</f>
        <v/>
      </c>
      <c r="F36" s="15">
        <f>IF(E36&lt;&gt;"",TODAY()+(E36*30),"")</f>
        <v/>
      </c>
      <c r="G36" s="15">
        <f>IF(A36="","",IF(E36="","No Risk",IF(E36&lt;=0,"CRITICAL",IF(E36&lt;=3,"Immediate (0-3mo)",IF(E36&lt;=6,"Short-term (3-6mo)",IF(E36&lt;=12,"Medium-term (6-12mo)","Long-term (&gt;12mo)"))))))</f>
        <v/>
      </c>
      <c r="H36" s="15" t="n"/>
    </row>
    <row r="37">
      <c r="A37" s="15" t="n"/>
      <c r="B37" s="15" t="n"/>
      <c r="C37" s="15" t="n"/>
      <c r="D37" s="15" t="n"/>
      <c r="E37" s="15">
        <f>IF(AND(B37&lt;&gt;"",C37&lt;&gt;"",D37&lt;&gt;"",D37&gt;0),(C37-B37)/D37,"")</f>
        <v/>
      </c>
      <c r="F37" s="15">
        <f>IF(E37&lt;&gt;"",TODAY()+(E37*30),"")</f>
        <v/>
      </c>
      <c r="G37" s="15">
        <f>IF(A37="","",IF(E37="","No Risk",IF(E37&lt;=0,"CRITICAL",IF(E37&lt;=3,"Immediate (0-3mo)",IF(E37&lt;=6,"Short-term (3-6mo)",IF(E37&lt;=12,"Medium-term (6-12mo)","Long-term (&gt;12mo)"))))))</f>
        <v/>
      </c>
      <c r="H37" s="15" t="n"/>
    </row>
    <row r="38">
      <c r="A38" s="15" t="n"/>
      <c r="B38" s="15" t="n"/>
      <c r="C38" s="15" t="n"/>
      <c r="D38" s="15" t="n"/>
      <c r="E38" s="15">
        <f>IF(AND(B38&lt;&gt;"",C38&lt;&gt;"",D38&lt;&gt;"",D38&gt;0),(C38-B38)/D38,"")</f>
        <v/>
      </c>
      <c r="F38" s="15">
        <f>IF(E38&lt;&gt;"",TODAY()+(E38*30),"")</f>
        <v/>
      </c>
      <c r="G38" s="15">
        <f>IF(A38="","",IF(E38="","No Risk",IF(E38&lt;=0,"CRITICAL",IF(E38&lt;=3,"Immediate (0-3mo)",IF(E38&lt;=6,"Short-term (3-6mo)",IF(E38&lt;=12,"Medium-term (6-12mo)","Long-term (&gt;12mo)"))))))</f>
        <v/>
      </c>
      <c r="H38" s="15" t="n"/>
    </row>
    <row r="39">
      <c r="A39" s="15" t="n"/>
      <c r="B39" s="15" t="n"/>
      <c r="C39" s="15" t="n"/>
      <c r="D39" s="15" t="n"/>
      <c r="E39" s="15">
        <f>IF(AND(B39&lt;&gt;"",C39&lt;&gt;"",D39&lt;&gt;"",D39&gt;0),(C39-B39)/D39,"")</f>
        <v/>
      </c>
      <c r="F39" s="15">
        <f>IF(E39&lt;&gt;"",TODAY()+(E39*30),"")</f>
        <v/>
      </c>
      <c r="G39" s="15">
        <f>IF(A39="","",IF(E39="","No Risk",IF(E39&lt;=0,"CRITICAL",IF(E39&lt;=3,"Immediate (0-3mo)",IF(E39&lt;=6,"Short-term (3-6mo)",IF(E39&lt;=12,"Medium-term (6-12mo)","Long-term (&gt;12mo)"))))))</f>
        <v/>
      </c>
      <c r="H39" s="15" t="n"/>
    </row>
    <row r="40">
      <c r="A40" s="15" t="n"/>
      <c r="B40" s="15" t="n"/>
      <c r="C40" s="15" t="n"/>
      <c r="D40" s="15" t="n"/>
      <c r="E40" s="15">
        <f>IF(AND(B40&lt;&gt;"",C40&lt;&gt;"",D40&lt;&gt;"",D40&gt;0),(C40-B40)/D40,"")</f>
        <v/>
      </c>
      <c r="F40" s="15">
        <f>IF(E40&lt;&gt;"",TODAY()+(E40*30),"")</f>
        <v/>
      </c>
      <c r="G40" s="15">
        <f>IF(A40="","",IF(E40="","No Risk",IF(E40&lt;=0,"CRITICAL",IF(E40&lt;=3,"Immediate (0-3mo)",IF(E40&lt;=6,"Short-term (3-6mo)",IF(E40&lt;=12,"Medium-term (6-12mo)","Long-term (&gt;12mo)"))))))</f>
        <v/>
      </c>
      <c r="H40" s="15" t="n"/>
    </row>
    <row r="41">
      <c r="A41" s="15" t="n"/>
      <c r="B41" s="15" t="n"/>
      <c r="C41" s="15" t="n"/>
      <c r="D41" s="15" t="n"/>
      <c r="E41" s="15">
        <f>IF(AND(B41&lt;&gt;"",C41&lt;&gt;"",D41&lt;&gt;"",D41&gt;0),(C41-B41)/D41,"")</f>
        <v/>
      </c>
      <c r="F41" s="15">
        <f>IF(E41&lt;&gt;"",TODAY()+(E41*30),"")</f>
        <v/>
      </c>
      <c r="G41" s="15">
        <f>IF(A41="","",IF(E41="","No Risk",IF(E41&lt;=0,"CRITICAL",IF(E41&lt;=3,"Immediate (0-3mo)",IF(E41&lt;=6,"Short-term (3-6mo)",IF(E41&lt;=12,"Medium-term (6-12mo)","Long-term (&gt;12mo)"))))))</f>
        <v/>
      </c>
      <c r="H41" s="15" t="n"/>
    </row>
    <row r="42">
      <c r="A42" s="15" t="n"/>
      <c r="B42" s="15" t="n"/>
      <c r="C42" s="15" t="n"/>
      <c r="D42" s="15" t="n"/>
      <c r="E42" s="15">
        <f>IF(AND(B42&lt;&gt;"",C42&lt;&gt;"",D42&lt;&gt;"",D42&gt;0),(C42-B42)/D42,"")</f>
        <v/>
      </c>
      <c r="F42" s="15">
        <f>IF(E42&lt;&gt;"",TODAY()+(E42*30),"")</f>
        <v/>
      </c>
      <c r="G42" s="15">
        <f>IF(A42="","",IF(E42="","No Risk",IF(E42&lt;=0,"CRITICAL",IF(E42&lt;=3,"Immediate (0-3mo)",IF(E42&lt;=6,"Short-term (3-6mo)",IF(E42&lt;=12,"Medium-term (6-12mo)","Long-term (&gt;12mo)"))))))</f>
        <v/>
      </c>
      <c r="H42" s="15" t="n"/>
    </row>
    <row r="43">
      <c r="A43" s="15" t="n"/>
      <c r="B43" s="15" t="n"/>
      <c r="C43" s="15" t="n"/>
      <c r="D43" s="15" t="n"/>
      <c r="E43" s="15">
        <f>IF(AND(B43&lt;&gt;"",C43&lt;&gt;"",D43&lt;&gt;"",D43&gt;0),(C43-B43)/D43,"")</f>
        <v/>
      </c>
      <c r="F43" s="15">
        <f>IF(E43&lt;&gt;"",TODAY()+(E43*30),"")</f>
        <v/>
      </c>
      <c r="G43" s="15">
        <f>IF(A43="","",IF(E43="","No Risk",IF(E43&lt;=0,"CRITICAL",IF(E43&lt;=3,"Immediate (0-3mo)",IF(E43&lt;=6,"Short-term (3-6mo)",IF(E43&lt;=12,"Medium-term (6-12mo)","Long-term (&gt;12mo)"))))))</f>
        <v/>
      </c>
      <c r="H43" s="15" t="n"/>
    </row>
    <row r="44">
      <c r="A44" s="15" t="n"/>
      <c r="B44" s="15" t="n"/>
      <c r="C44" s="15" t="n"/>
      <c r="D44" s="15" t="n"/>
      <c r="E44" s="15">
        <f>IF(AND(B44&lt;&gt;"",C44&lt;&gt;"",D44&lt;&gt;"",D44&gt;0),(C44-B44)/D44,"")</f>
        <v/>
      </c>
      <c r="F44" s="15">
        <f>IF(E44&lt;&gt;"",TODAY()+(E44*30),"")</f>
        <v/>
      </c>
      <c r="G44" s="15">
        <f>IF(A44="","",IF(E44="","No Risk",IF(E44&lt;=0,"CRITICAL",IF(E44&lt;=3,"Immediate (0-3mo)",IF(E44&lt;=6,"Short-term (3-6mo)",IF(E44&lt;=12,"Medium-term (6-12mo)","Long-term (&gt;12mo)"))))))</f>
        <v/>
      </c>
      <c r="H44" s="15" t="n"/>
    </row>
    <row r="45">
      <c r="A45" s="15" t="n"/>
      <c r="B45" s="15" t="n"/>
      <c r="C45" s="15" t="n"/>
      <c r="D45" s="15" t="n"/>
      <c r="E45" s="15">
        <f>IF(AND(B45&lt;&gt;"",C45&lt;&gt;"",D45&lt;&gt;"",D45&gt;0),(C45-B45)/D45,"")</f>
        <v/>
      </c>
      <c r="F45" s="15">
        <f>IF(E45&lt;&gt;"",TODAY()+(E45*30),"")</f>
        <v/>
      </c>
      <c r="G45" s="15">
        <f>IF(A45="","",IF(E45="","No Risk",IF(E45&lt;=0,"CRITICAL",IF(E45&lt;=3,"Immediate (0-3mo)",IF(E45&lt;=6,"Short-term (3-6mo)",IF(E45&lt;=12,"Medium-term (6-12mo)","Long-term (&gt;12mo)"))))))</f>
        <v/>
      </c>
      <c r="H45" s="15" t="n"/>
    </row>
    <row r="46">
      <c r="A46" s="15" t="n"/>
      <c r="B46" s="15" t="n"/>
      <c r="C46" s="15" t="n"/>
      <c r="D46" s="15" t="n"/>
      <c r="E46" s="15">
        <f>IF(AND(B46&lt;&gt;"",C46&lt;&gt;"",D46&lt;&gt;"",D46&gt;0),(C46-B46)/D46,"")</f>
        <v/>
      </c>
      <c r="F46" s="15">
        <f>IF(E46&lt;&gt;"",TODAY()+(E46*30),"")</f>
        <v/>
      </c>
      <c r="G46" s="15">
        <f>IF(A46="","",IF(E46="","No Risk",IF(E46&lt;=0,"CRITICAL",IF(E46&lt;=3,"Immediate (0-3mo)",IF(E46&lt;=6,"Short-term (3-6mo)",IF(E46&lt;=12,"Medium-term (6-12mo)","Long-term (&gt;12mo)"))))))</f>
        <v/>
      </c>
      <c r="H46" s="15" t="n"/>
    </row>
    <row r="47">
      <c r="A47" s="15" t="n"/>
      <c r="B47" s="15" t="n"/>
      <c r="C47" s="15" t="n"/>
      <c r="D47" s="15" t="n"/>
      <c r="E47" s="15">
        <f>IF(AND(B47&lt;&gt;"",C47&lt;&gt;"",D47&lt;&gt;"",D47&gt;0),(C47-B47)/D47,"")</f>
        <v/>
      </c>
      <c r="F47" s="15">
        <f>IF(E47&lt;&gt;"",TODAY()+(E47*30),"")</f>
        <v/>
      </c>
      <c r="G47" s="15">
        <f>IF(A47="","",IF(E47="","No Risk",IF(E47&lt;=0,"CRITICAL",IF(E47&lt;=3,"Immediate (0-3mo)",IF(E47&lt;=6,"Short-term (3-6mo)",IF(E47&lt;=12,"Medium-term (6-12mo)","Long-term (&gt;12mo)"))))))</f>
        <v/>
      </c>
      <c r="H47" s="15" t="n"/>
    </row>
    <row r="48">
      <c r="A48" s="15" t="n"/>
      <c r="B48" s="15" t="n"/>
      <c r="C48" s="15" t="n"/>
      <c r="D48" s="15" t="n"/>
      <c r="E48" s="15">
        <f>IF(AND(B48&lt;&gt;"",C48&lt;&gt;"",D48&lt;&gt;"",D48&gt;0),(C48-B48)/D48,"")</f>
        <v/>
      </c>
      <c r="F48" s="15">
        <f>IF(E48&lt;&gt;"",TODAY()+(E48*30),"")</f>
        <v/>
      </c>
      <c r="G48" s="15">
        <f>IF(A48="","",IF(E48="","No Risk",IF(E48&lt;=0,"CRITICAL",IF(E48&lt;=3,"Immediate (0-3mo)",IF(E48&lt;=6,"Short-term (3-6mo)",IF(E48&lt;=12,"Medium-term (6-12mo)","Long-term (&gt;12mo)"))))))</f>
        <v/>
      </c>
      <c r="H48" s="15" t="n"/>
    </row>
    <row r="49">
      <c r="A49" s="15" t="n"/>
      <c r="B49" s="15" t="n"/>
      <c r="C49" s="15" t="n"/>
      <c r="D49" s="15" t="n"/>
      <c r="E49" s="15">
        <f>IF(AND(B49&lt;&gt;"",C49&lt;&gt;"",D49&lt;&gt;"",D49&gt;0),(C49-B49)/D49,"")</f>
        <v/>
      </c>
      <c r="F49" s="15">
        <f>IF(E49&lt;&gt;"",TODAY()+(E49*30),"")</f>
        <v/>
      </c>
      <c r="G49" s="15">
        <f>IF(A49="","",IF(E49="","No Risk",IF(E49&lt;=0,"CRITICAL",IF(E49&lt;=3,"Immediate (0-3mo)",IF(E49&lt;=6,"Short-term (3-6mo)",IF(E49&lt;=12,"Medium-term (6-12mo)","Long-term (&gt;12mo)"))))))</f>
        <v/>
      </c>
      <c r="H49" s="15" t="n"/>
    </row>
    <row r="50">
      <c r="A50" s="15" t="n"/>
      <c r="B50" s="15" t="n"/>
      <c r="C50" s="15" t="n"/>
      <c r="D50" s="15" t="n"/>
      <c r="E50" s="15">
        <f>IF(AND(B50&lt;&gt;"",C50&lt;&gt;"",D50&lt;&gt;"",D50&gt;0),(C50-B50)/D50,"")</f>
        <v/>
      </c>
      <c r="F50" s="15">
        <f>IF(E50&lt;&gt;"",TODAY()+(E50*30),"")</f>
        <v/>
      </c>
      <c r="G50" s="15">
        <f>IF(A50="","",IF(E50="","No Risk",IF(E50&lt;=0,"CRITICAL",IF(E50&lt;=3,"Immediate (0-3mo)",IF(E50&lt;=6,"Short-term (3-6mo)",IF(E50&lt;=12,"Medium-term (6-12mo)","Long-term (&gt;12mo)"))))))</f>
        <v/>
      </c>
      <c r="H50" s="15" t="n"/>
    </row>
    <row r="51">
      <c r="A51" s="15" t="n"/>
      <c r="B51" s="15" t="n"/>
      <c r="C51" s="15" t="n"/>
      <c r="D51" s="15" t="n"/>
      <c r="E51" s="15">
        <f>IF(AND(B51&lt;&gt;"",C51&lt;&gt;"",D51&lt;&gt;"",D51&gt;0),(C51-B51)/D51,"")</f>
        <v/>
      </c>
      <c r="F51" s="15">
        <f>IF(E51&lt;&gt;"",TODAY()+(E51*30),"")</f>
        <v/>
      </c>
      <c r="G51" s="15">
        <f>IF(A51="","",IF(E51="","No Risk",IF(E51&lt;=0,"CRITICAL",IF(E51&lt;=3,"Immediate (0-3mo)",IF(E51&lt;=6,"Short-term (3-6mo)",IF(E51&lt;=12,"Medium-term (6-12mo)","Long-term (&gt;12mo)"))))))</f>
        <v/>
      </c>
      <c r="H51" s="15" t="n"/>
    </row>
    <row r="52">
      <c r="A52" s="15" t="n"/>
      <c r="B52" s="15" t="n"/>
      <c r="C52" s="15" t="n"/>
      <c r="D52" s="15" t="n"/>
      <c r="E52" s="15">
        <f>IF(AND(B52&lt;&gt;"",C52&lt;&gt;"",D52&lt;&gt;"",D52&gt;0),(C52-B52)/D52,"")</f>
        <v/>
      </c>
      <c r="F52" s="15">
        <f>IF(E52&lt;&gt;"",TODAY()+(E52*30),"")</f>
        <v/>
      </c>
      <c r="G52" s="15">
        <f>IF(A52="","",IF(E52="","No Risk",IF(E52&lt;=0,"CRITICAL",IF(E52&lt;=3,"Immediate (0-3mo)",IF(E52&lt;=6,"Short-term (3-6mo)",IF(E52&lt;=12,"Medium-term (6-12mo)","Long-term (&gt;12mo)"))))))</f>
        <v/>
      </c>
      <c r="H52" s="15" t="n"/>
    </row>
    <row r="53">
      <c r="A53" s="15" t="n"/>
      <c r="B53" s="15" t="n"/>
      <c r="C53" s="15" t="n"/>
      <c r="D53" s="15" t="n"/>
      <c r="E53" s="15">
        <f>IF(AND(B53&lt;&gt;"",C53&lt;&gt;"",D53&lt;&gt;"",D53&gt;0),(C53-B53)/D53,"")</f>
        <v/>
      </c>
      <c r="F53" s="15">
        <f>IF(E53&lt;&gt;"",TODAY()+(E53*30),"")</f>
        <v/>
      </c>
      <c r="G53" s="15">
        <f>IF(A53="","",IF(E53="","No Risk",IF(E53&lt;=0,"CRITICAL",IF(E53&lt;=3,"Immediate (0-3mo)",IF(E53&lt;=6,"Short-term (3-6mo)",IF(E53&lt;=12,"Medium-term (6-12mo)","Long-term (&gt;12mo)"))))))</f>
        <v/>
      </c>
      <c r="H53" s="15" t="n"/>
    </row>
    <row r="54">
      <c r="A54" s="15" t="n"/>
      <c r="B54" s="15" t="n"/>
      <c r="C54" s="15" t="n"/>
      <c r="D54" s="15" t="n"/>
      <c r="E54" s="15">
        <f>IF(AND(B54&lt;&gt;"",C54&lt;&gt;"",D54&lt;&gt;"",D54&gt;0),(C54-B54)/D54,"")</f>
        <v/>
      </c>
      <c r="F54" s="15">
        <f>IF(E54&lt;&gt;"",TODAY()+(E54*30),"")</f>
        <v/>
      </c>
      <c r="G54" s="15">
        <f>IF(A54="","",IF(E54="","No Risk",IF(E54&lt;=0,"CRITICAL",IF(E54&lt;=3,"Immediate (0-3mo)",IF(E54&lt;=6,"Short-term (3-6mo)",IF(E54&lt;=12,"Medium-term (6-12mo)","Long-term (&gt;12mo)"))))))</f>
        <v/>
      </c>
      <c r="H54" s="15" t="n"/>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54"/>
  <sheetViews>
    <sheetView showGridLines="0" workbookViewId="0">
      <pane ySplit="3" topLeftCell="A4" activePane="bottomLeft" state="frozen"/>
      <selection pane="bottomLeft" activeCell="A1" sqref="A1"/>
    </sheetView>
  </sheetViews>
  <sheetFormatPr baseColWidth="8" defaultRowHeight="15"/>
  <cols>
    <col width="30" customWidth="1" min="1" max="1"/>
    <col width="18" customWidth="1" min="2" max="2"/>
    <col width="18" customWidth="1" min="3" max="3"/>
    <col width="20" customWidth="1" min="4" max="4"/>
    <col width="15" customWidth="1" min="5" max="5"/>
    <col width="18" customWidth="1" min="6" max="6"/>
    <col width="18" customWidth="1" min="7" max="7"/>
    <col width="18" customWidth="1" min="8" max="8"/>
    <col width="18" customWidth="1" min="9" max="9"/>
    <col width="20" customWidth="1" min="10" max="10"/>
  </cols>
  <sheetData>
    <row r="1" ht="35" customHeight="1">
      <c r="A1" s="11" t="inlineStr">
        <is>
          <t>PLANNED CAPACITY EXPANSIONS</t>
        </is>
      </c>
    </row>
    <row r="2">
      <c r="A2" s="12" t="inlineStr">
        <is>
          <t>Planned capacity additions with timelines, cost estimates, and approval status</t>
        </is>
      </c>
    </row>
    <row r="3">
      <c r="A3" s="13" t="inlineStr">
        <is>
          <t>Resource Name</t>
        </is>
      </c>
      <c r="B3" s="13" t="inlineStr">
        <is>
          <t>Current Capacity</t>
        </is>
      </c>
      <c r="C3" s="13" t="inlineStr">
        <is>
          <t>Expansion Amount</t>
        </is>
      </c>
      <c r="D3" s="13" t="inlineStr">
        <is>
          <t>New Total Capacity</t>
        </is>
      </c>
      <c r="E3" s="13" t="inlineStr">
        <is>
          <t>Planned Date</t>
        </is>
      </c>
      <c r="F3" s="13" t="inlineStr">
        <is>
          <t>Lead Time (days)</t>
        </is>
      </c>
      <c r="G3" s="13" t="inlineStr">
        <is>
          <t>Status</t>
        </is>
      </c>
      <c r="H3" s="13" t="inlineStr">
        <is>
          <t>Cost Estimate</t>
        </is>
      </c>
      <c r="I3" s="13" t="inlineStr">
        <is>
          <t>Approval Status</t>
        </is>
      </c>
      <c r="J3" s="13" t="inlineStr">
        <is>
          <t>Owner</t>
        </is>
      </c>
    </row>
    <row r="4">
      <c r="A4" s="14" t="inlineStr">
        <is>
          <t>server01.example.com</t>
        </is>
      </c>
      <c r="B4" s="14" t="inlineStr">
        <is>
          <t>2 TB</t>
        </is>
      </c>
      <c r="C4" s="14" t="inlineStr">
        <is>
          <t>2 TB</t>
        </is>
      </c>
      <c r="D4" s="14" t="inlineStr">
        <is>
          <t>4 TB</t>
        </is>
      </c>
      <c r="E4" s="14" t="inlineStr">
        <is>
          <t>30.06.2026</t>
        </is>
      </c>
      <c r="F4" s="14" t="inlineStr">
        <is>
          <t>90</t>
        </is>
      </c>
      <c r="G4" s="14" t="inlineStr">
        <is>
          <t>In Procurement</t>
        </is>
      </c>
      <c r="H4" s="14" t="inlineStr">
        <is>
          <t>15,000</t>
        </is>
      </c>
      <c r="I4" s="14" t="inlineStr">
        <is>
          <t>Approved</t>
        </is>
      </c>
      <c r="J4" s="14" t="inlineStr">
        <is>
          <t>IT Infrastructure</t>
        </is>
      </c>
    </row>
    <row r="5">
      <c r="A5" s="15" t="n"/>
      <c r="B5" s="15" t="n"/>
      <c r="C5" s="15" t="n"/>
      <c r="D5" s="15" t="n"/>
      <c r="E5" s="15" t="n"/>
      <c r="F5" s="15" t="n"/>
      <c r="G5" s="15" t="n"/>
      <c r="H5" s="15" t="n"/>
      <c r="I5" s="15" t="n"/>
      <c r="J5" s="15" t="n"/>
    </row>
    <row r="6">
      <c r="A6" s="15" t="n"/>
      <c r="B6" s="15" t="n"/>
      <c r="C6" s="15" t="n"/>
      <c r="D6" s="15" t="n"/>
      <c r="E6" s="15" t="n"/>
      <c r="F6" s="15" t="n"/>
      <c r="G6" s="15" t="n"/>
      <c r="H6" s="15" t="n"/>
      <c r="I6" s="15" t="n"/>
      <c r="J6" s="15" t="n"/>
    </row>
    <row r="7">
      <c r="A7" s="15" t="n"/>
      <c r="B7" s="15" t="n"/>
      <c r="C7" s="15" t="n"/>
      <c r="D7" s="15" t="n"/>
      <c r="E7" s="15" t="n"/>
      <c r="F7" s="15" t="n"/>
      <c r="G7" s="15" t="n"/>
      <c r="H7" s="15" t="n"/>
      <c r="I7" s="15" t="n"/>
      <c r="J7" s="15" t="n"/>
    </row>
    <row r="8">
      <c r="A8" s="15" t="n"/>
      <c r="B8" s="15" t="n"/>
      <c r="C8" s="15" t="n"/>
      <c r="D8" s="15" t="n"/>
      <c r="E8" s="15" t="n"/>
      <c r="F8" s="15" t="n"/>
      <c r="G8" s="15" t="n"/>
      <c r="H8" s="15" t="n"/>
      <c r="I8" s="15" t="n"/>
      <c r="J8" s="15" t="n"/>
    </row>
    <row r="9">
      <c r="A9" s="15" t="n"/>
      <c r="B9" s="15" t="n"/>
      <c r="C9" s="15" t="n"/>
      <c r="D9" s="15" t="n"/>
      <c r="E9" s="15" t="n"/>
      <c r="F9" s="15" t="n"/>
      <c r="G9" s="15" t="n"/>
      <c r="H9" s="15" t="n"/>
      <c r="I9" s="15" t="n"/>
      <c r="J9" s="15" t="n"/>
    </row>
    <row r="10">
      <c r="A10" s="15" t="n"/>
      <c r="B10" s="15" t="n"/>
      <c r="C10" s="15" t="n"/>
      <c r="D10" s="15" t="n"/>
      <c r="E10" s="15" t="n"/>
      <c r="F10" s="15" t="n"/>
      <c r="G10" s="15" t="n"/>
      <c r="H10" s="15" t="n"/>
      <c r="I10" s="15" t="n"/>
      <c r="J10" s="15" t="n"/>
    </row>
    <row r="11">
      <c r="A11" s="15" t="n"/>
      <c r="B11" s="15" t="n"/>
      <c r="C11" s="15" t="n"/>
      <c r="D11" s="15" t="n"/>
      <c r="E11" s="15" t="n"/>
      <c r="F11" s="15" t="n"/>
      <c r="G11" s="15" t="n"/>
      <c r="H11" s="15" t="n"/>
      <c r="I11" s="15" t="n"/>
      <c r="J11" s="15" t="n"/>
    </row>
    <row r="12">
      <c r="A12" s="15" t="n"/>
      <c r="B12" s="15" t="n"/>
      <c r="C12" s="15" t="n"/>
      <c r="D12" s="15" t="n"/>
      <c r="E12" s="15" t="n"/>
      <c r="F12" s="15" t="n"/>
      <c r="G12" s="15" t="n"/>
      <c r="H12" s="15" t="n"/>
      <c r="I12" s="15" t="n"/>
      <c r="J12" s="15" t="n"/>
    </row>
    <row r="13">
      <c r="A13" s="15" t="n"/>
      <c r="B13" s="15" t="n"/>
      <c r="C13" s="15" t="n"/>
      <c r="D13" s="15" t="n"/>
      <c r="E13" s="15" t="n"/>
      <c r="F13" s="15" t="n"/>
      <c r="G13" s="15" t="n"/>
      <c r="H13" s="15" t="n"/>
      <c r="I13" s="15" t="n"/>
      <c r="J13" s="15" t="n"/>
    </row>
    <row r="14">
      <c r="A14" s="15" t="n"/>
      <c r="B14" s="15" t="n"/>
      <c r="C14" s="15" t="n"/>
      <c r="D14" s="15" t="n"/>
      <c r="E14" s="15" t="n"/>
      <c r="F14" s="15" t="n"/>
      <c r="G14" s="15" t="n"/>
      <c r="H14" s="15" t="n"/>
      <c r="I14" s="15" t="n"/>
      <c r="J14" s="15" t="n"/>
    </row>
    <row r="15">
      <c r="A15" s="15" t="n"/>
      <c r="B15" s="15" t="n"/>
      <c r="C15" s="15" t="n"/>
      <c r="D15" s="15" t="n"/>
      <c r="E15" s="15" t="n"/>
      <c r="F15" s="15" t="n"/>
      <c r="G15" s="15" t="n"/>
      <c r="H15" s="15" t="n"/>
      <c r="I15" s="15" t="n"/>
      <c r="J15" s="15" t="n"/>
    </row>
    <row r="16">
      <c r="A16" s="15" t="n"/>
      <c r="B16" s="15" t="n"/>
      <c r="C16" s="15" t="n"/>
      <c r="D16" s="15" t="n"/>
      <c r="E16" s="15" t="n"/>
      <c r="F16" s="15" t="n"/>
      <c r="G16" s="15" t="n"/>
      <c r="H16" s="15" t="n"/>
      <c r="I16" s="15" t="n"/>
      <c r="J16" s="15" t="n"/>
    </row>
    <row r="17">
      <c r="A17" s="15" t="n"/>
      <c r="B17" s="15" t="n"/>
      <c r="C17" s="15" t="n"/>
      <c r="D17" s="15" t="n"/>
      <c r="E17" s="15" t="n"/>
      <c r="F17" s="15" t="n"/>
      <c r="G17" s="15" t="n"/>
      <c r="H17" s="15" t="n"/>
      <c r="I17" s="15" t="n"/>
      <c r="J17" s="15" t="n"/>
    </row>
    <row r="18">
      <c r="A18" s="15" t="n"/>
      <c r="B18" s="15" t="n"/>
      <c r="C18" s="15" t="n"/>
      <c r="D18" s="15" t="n"/>
      <c r="E18" s="15" t="n"/>
      <c r="F18" s="15" t="n"/>
      <c r="G18" s="15" t="n"/>
      <c r="H18" s="15" t="n"/>
      <c r="I18" s="15" t="n"/>
      <c r="J18" s="15" t="n"/>
    </row>
    <row r="19">
      <c r="A19" s="15" t="n"/>
      <c r="B19" s="15" t="n"/>
      <c r="C19" s="15" t="n"/>
      <c r="D19" s="15" t="n"/>
      <c r="E19" s="15" t="n"/>
      <c r="F19" s="15" t="n"/>
      <c r="G19" s="15" t="n"/>
      <c r="H19" s="15" t="n"/>
      <c r="I19" s="15" t="n"/>
      <c r="J19" s="15" t="n"/>
    </row>
    <row r="20">
      <c r="A20" s="15" t="n"/>
      <c r="B20" s="15" t="n"/>
      <c r="C20" s="15" t="n"/>
      <c r="D20" s="15" t="n"/>
      <c r="E20" s="15" t="n"/>
      <c r="F20" s="15" t="n"/>
      <c r="G20" s="15" t="n"/>
      <c r="H20" s="15" t="n"/>
      <c r="I20" s="15" t="n"/>
      <c r="J20" s="15" t="n"/>
    </row>
    <row r="21">
      <c r="A21" s="15" t="n"/>
      <c r="B21" s="15" t="n"/>
      <c r="C21" s="15" t="n"/>
      <c r="D21" s="15" t="n"/>
      <c r="E21" s="15" t="n"/>
      <c r="F21" s="15" t="n"/>
      <c r="G21" s="15" t="n"/>
      <c r="H21" s="15" t="n"/>
      <c r="I21" s="15" t="n"/>
      <c r="J21" s="15" t="n"/>
    </row>
    <row r="22">
      <c r="A22" s="15" t="n"/>
      <c r="B22" s="15" t="n"/>
      <c r="C22" s="15" t="n"/>
      <c r="D22" s="15" t="n"/>
      <c r="E22" s="15" t="n"/>
      <c r="F22" s="15" t="n"/>
      <c r="G22" s="15" t="n"/>
      <c r="H22" s="15" t="n"/>
      <c r="I22" s="15" t="n"/>
      <c r="J22" s="15" t="n"/>
    </row>
    <row r="23">
      <c r="A23" s="15" t="n"/>
      <c r="B23" s="15" t="n"/>
      <c r="C23" s="15" t="n"/>
      <c r="D23" s="15" t="n"/>
      <c r="E23" s="15" t="n"/>
      <c r="F23" s="15" t="n"/>
      <c r="G23" s="15" t="n"/>
      <c r="H23" s="15" t="n"/>
      <c r="I23" s="15" t="n"/>
      <c r="J23" s="15" t="n"/>
    </row>
    <row r="24">
      <c r="A24" s="15" t="n"/>
      <c r="B24" s="15" t="n"/>
      <c r="C24" s="15" t="n"/>
      <c r="D24" s="15" t="n"/>
      <c r="E24" s="15" t="n"/>
      <c r="F24" s="15" t="n"/>
      <c r="G24" s="15" t="n"/>
      <c r="H24" s="15" t="n"/>
      <c r="I24" s="15" t="n"/>
      <c r="J24" s="15" t="n"/>
    </row>
    <row r="25">
      <c r="A25" s="15" t="n"/>
      <c r="B25" s="15" t="n"/>
      <c r="C25" s="15" t="n"/>
      <c r="D25" s="15" t="n"/>
      <c r="E25" s="15" t="n"/>
      <c r="F25" s="15" t="n"/>
      <c r="G25" s="15" t="n"/>
      <c r="H25" s="15" t="n"/>
      <c r="I25" s="15" t="n"/>
      <c r="J25" s="15" t="n"/>
    </row>
    <row r="26">
      <c r="A26" s="15" t="n"/>
      <c r="B26" s="15" t="n"/>
      <c r="C26" s="15" t="n"/>
      <c r="D26" s="15" t="n"/>
      <c r="E26" s="15" t="n"/>
      <c r="F26" s="15" t="n"/>
      <c r="G26" s="15" t="n"/>
      <c r="H26" s="15" t="n"/>
      <c r="I26" s="15" t="n"/>
      <c r="J26" s="15" t="n"/>
    </row>
    <row r="27">
      <c r="A27" s="15" t="n"/>
      <c r="B27" s="15" t="n"/>
      <c r="C27" s="15" t="n"/>
      <c r="D27" s="15" t="n"/>
      <c r="E27" s="15" t="n"/>
      <c r="F27" s="15" t="n"/>
      <c r="G27" s="15" t="n"/>
      <c r="H27" s="15" t="n"/>
      <c r="I27" s="15" t="n"/>
      <c r="J27" s="15" t="n"/>
    </row>
    <row r="28">
      <c r="A28" s="15" t="n"/>
      <c r="B28" s="15" t="n"/>
      <c r="C28" s="15" t="n"/>
      <c r="D28" s="15" t="n"/>
      <c r="E28" s="15" t="n"/>
      <c r="F28" s="15" t="n"/>
      <c r="G28" s="15" t="n"/>
      <c r="H28" s="15" t="n"/>
      <c r="I28" s="15" t="n"/>
      <c r="J28" s="15" t="n"/>
    </row>
    <row r="29">
      <c r="A29" s="15" t="n"/>
      <c r="B29" s="15" t="n"/>
      <c r="C29" s="15" t="n"/>
      <c r="D29" s="15" t="n"/>
      <c r="E29" s="15" t="n"/>
      <c r="F29" s="15" t="n"/>
      <c r="G29" s="15" t="n"/>
      <c r="H29" s="15" t="n"/>
      <c r="I29" s="15" t="n"/>
      <c r="J29" s="15" t="n"/>
    </row>
    <row r="30">
      <c r="A30" s="15" t="n"/>
      <c r="B30" s="15" t="n"/>
      <c r="C30" s="15" t="n"/>
      <c r="D30" s="15" t="n"/>
      <c r="E30" s="15" t="n"/>
      <c r="F30" s="15" t="n"/>
      <c r="G30" s="15" t="n"/>
      <c r="H30" s="15" t="n"/>
      <c r="I30" s="15" t="n"/>
      <c r="J30" s="15" t="n"/>
    </row>
    <row r="31">
      <c r="A31" s="15" t="n"/>
      <c r="B31" s="15" t="n"/>
      <c r="C31" s="15" t="n"/>
      <c r="D31" s="15" t="n"/>
      <c r="E31" s="15" t="n"/>
      <c r="F31" s="15" t="n"/>
      <c r="G31" s="15" t="n"/>
      <c r="H31" s="15" t="n"/>
      <c r="I31" s="15" t="n"/>
      <c r="J31" s="15" t="n"/>
    </row>
    <row r="32">
      <c r="A32" s="15" t="n"/>
      <c r="B32" s="15" t="n"/>
      <c r="C32" s="15" t="n"/>
      <c r="D32" s="15" t="n"/>
      <c r="E32" s="15" t="n"/>
      <c r="F32" s="15" t="n"/>
      <c r="G32" s="15" t="n"/>
      <c r="H32" s="15" t="n"/>
      <c r="I32" s="15" t="n"/>
      <c r="J32" s="15" t="n"/>
    </row>
    <row r="33">
      <c r="A33" s="15" t="n"/>
      <c r="B33" s="15" t="n"/>
      <c r="C33" s="15" t="n"/>
      <c r="D33" s="15" t="n"/>
      <c r="E33" s="15" t="n"/>
      <c r="F33" s="15" t="n"/>
      <c r="G33" s="15" t="n"/>
      <c r="H33" s="15" t="n"/>
      <c r="I33" s="15" t="n"/>
      <c r="J33" s="15" t="n"/>
    </row>
    <row r="34">
      <c r="A34" s="15" t="n"/>
      <c r="B34" s="15" t="n"/>
      <c r="C34" s="15" t="n"/>
      <c r="D34" s="15" t="n"/>
      <c r="E34" s="15" t="n"/>
      <c r="F34" s="15" t="n"/>
      <c r="G34" s="15" t="n"/>
      <c r="H34" s="15" t="n"/>
      <c r="I34" s="15" t="n"/>
      <c r="J34" s="15" t="n"/>
    </row>
    <row r="35">
      <c r="A35" s="15" t="n"/>
      <c r="B35" s="15" t="n"/>
      <c r="C35" s="15" t="n"/>
      <c r="D35" s="15" t="n"/>
      <c r="E35" s="15" t="n"/>
      <c r="F35" s="15" t="n"/>
      <c r="G35" s="15" t="n"/>
      <c r="H35" s="15" t="n"/>
      <c r="I35" s="15" t="n"/>
      <c r="J35" s="15" t="n"/>
    </row>
    <row r="36">
      <c r="A36" s="15" t="n"/>
      <c r="B36" s="15" t="n"/>
      <c r="C36" s="15" t="n"/>
      <c r="D36" s="15" t="n"/>
      <c r="E36" s="15" t="n"/>
      <c r="F36" s="15" t="n"/>
      <c r="G36" s="15" t="n"/>
      <c r="H36" s="15" t="n"/>
      <c r="I36" s="15" t="n"/>
      <c r="J36" s="15" t="n"/>
    </row>
    <row r="37">
      <c r="A37" s="15" t="n"/>
      <c r="B37" s="15" t="n"/>
      <c r="C37" s="15" t="n"/>
      <c r="D37" s="15" t="n"/>
      <c r="E37" s="15" t="n"/>
      <c r="F37" s="15" t="n"/>
      <c r="G37" s="15" t="n"/>
      <c r="H37" s="15" t="n"/>
      <c r="I37" s="15" t="n"/>
      <c r="J37" s="15" t="n"/>
    </row>
    <row r="38">
      <c r="A38" s="15" t="n"/>
      <c r="B38" s="15" t="n"/>
      <c r="C38" s="15" t="n"/>
      <c r="D38" s="15" t="n"/>
      <c r="E38" s="15" t="n"/>
      <c r="F38" s="15" t="n"/>
      <c r="G38" s="15" t="n"/>
      <c r="H38" s="15" t="n"/>
      <c r="I38" s="15" t="n"/>
      <c r="J38" s="15" t="n"/>
    </row>
    <row r="39">
      <c r="A39" s="15" t="n"/>
      <c r="B39" s="15" t="n"/>
      <c r="C39" s="15" t="n"/>
      <c r="D39" s="15" t="n"/>
      <c r="E39" s="15" t="n"/>
      <c r="F39" s="15" t="n"/>
      <c r="G39" s="15" t="n"/>
      <c r="H39" s="15" t="n"/>
      <c r="I39" s="15" t="n"/>
      <c r="J39" s="15" t="n"/>
    </row>
    <row r="40">
      <c r="A40" s="15" t="n"/>
      <c r="B40" s="15" t="n"/>
      <c r="C40" s="15" t="n"/>
      <c r="D40" s="15" t="n"/>
      <c r="E40" s="15" t="n"/>
      <c r="F40" s="15" t="n"/>
      <c r="G40" s="15" t="n"/>
      <c r="H40" s="15" t="n"/>
      <c r="I40" s="15" t="n"/>
      <c r="J40" s="15" t="n"/>
    </row>
    <row r="41">
      <c r="A41" s="15" t="n"/>
      <c r="B41" s="15" t="n"/>
      <c r="C41" s="15" t="n"/>
      <c r="D41" s="15" t="n"/>
      <c r="E41" s="15" t="n"/>
      <c r="F41" s="15" t="n"/>
      <c r="G41" s="15" t="n"/>
      <c r="H41" s="15" t="n"/>
      <c r="I41" s="15" t="n"/>
      <c r="J41" s="15" t="n"/>
    </row>
    <row r="42">
      <c r="A42" s="15" t="n"/>
      <c r="B42" s="15" t="n"/>
      <c r="C42" s="15" t="n"/>
      <c r="D42" s="15" t="n"/>
      <c r="E42" s="15" t="n"/>
      <c r="F42" s="15" t="n"/>
      <c r="G42" s="15" t="n"/>
      <c r="H42" s="15" t="n"/>
      <c r="I42" s="15" t="n"/>
      <c r="J42" s="15" t="n"/>
    </row>
    <row r="43">
      <c r="A43" s="15" t="n"/>
      <c r="B43" s="15" t="n"/>
      <c r="C43" s="15" t="n"/>
      <c r="D43" s="15" t="n"/>
      <c r="E43" s="15" t="n"/>
      <c r="F43" s="15" t="n"/>
      <c r="G43" s="15" t="n"/>
      <c r="H43" s="15" t="n"/>
      <c r="I43" s="15" t="n"/>
      <c r="J43" s="15" t="n"/>
    </row>
    <row r="44">
      <c r="A44" s="15" t="n"/>
      <c r="B44" s="15" t="n"/>
      <c r="C44" s="15" t="n"/>
      <c r="D44" s="15" t="n"/>
      <c r="E44" s="15" t="n"/>
      <c r="F44" s="15" t="n"/>
      <c r="G44" s="15" t="n"/>
      <c r="H44" s="15" t="n"/>
      <c r="I44" s="15" t="n"/>
      <c r="J44" s="15" t="n"/>
    </row>
    <row r="45">
      <c r="A45" s="15" t="n"/>
      <c r="B45" s="15" t="n"/>
      <c r="C45" s="15" t="n"/>
      <c r="D45" s="15" t="n"/>
      <c r="E45" s="15" t="n"/>
      <c r="F45" s="15" t="n"/>
      <c r="G45" s="15" t="n"/>
      <c r="H45" s="15" t="n"/>
      <c r="I45" s="15" t="n"/>
      <c r="J45" s="15" t="n"/>
    </row>
    <row r="46">
      <c r="A46" s="15" t="n"/>
      <c r="B46" s="15" t="n"/>
      <c r="C46" s="15" t="n"/>
      <c r="D46" s="15" t="n"/>
      <c r="E46" s="15" t="n"/>
      <c r="F46" s="15" t="n"/>
      <c r="G46" s="15" t="n"/>
      <c r="H46" s="15" t="n"/>
      <c r="I46" s="15" t="n"/>
      <c r="J46" s="15" t="n"/>
    </row>
    <row r="47">
      <c r="A47" s="15" t="n"/>
      <c r="B47" s="15" t="n"/>
      <c r="C47" s="15" t="n"/>
      <c r="D47" s="15" t="n"/>
      <c r="E47" s="15" t="n"/>
      <c r="F47" s="15" t="n"/>
      <c r="G47" s="15" t="n"/>
      <c r="H47" s="15" t="n"/>
      <c r="I47" s="15" t="n"/>
      <c r="J47" s="15" t="n"/>
    </row>
    <row r="48">
      <c r="A48" s="15" t="n"/>
      <c r="B48" s="15" t="n"/>
      <c r="C48" s="15" t="n"/>
      <c r="D48" s="15" t="n"/>
      <c r="E48" s="15" t="n"/>
      <c r="F48" s="15" t="n"/>
      <c r="G48" s="15" t="n"/>
      <c r="H48" s="15" t="n"/>
      <c r="I48" s="15" t="n"/>
      <c r="J48" s="15" t="n"/>
    </row>
    <row r="49">
      <c r="A49" s="15" t="n"/>
      <c r="B49" s="15" t="n"/>
      <c r="C49" s="15" t="n"/>
      <c r="D49" s="15" t="n"/>
      <c r="E49" s="15" t="n"/>
      <c r="F49" s="15" t="n"/>
      <c r="G49" s="15" t="n"/>
      <c r="H49" s="15" t="n"/>
      <c r="I49" s="15" t="n"/>
      <c r="J49" s="15" t="n"/>
    </row>
    <row r="50">
      <c r="A50" s="15" t="n"/>
      <c r="B50" s="15" t="n"/>
      <c r="C50" s="15" t="n"/>
      <c r="D50" s="15" t="n"/>
      <c r="E50" s="15" t="n"/>
      <c r="F50" s="15" t="n"/>
      <c r="G50" s="15" t="n"/>
      <c r="H50" s="15" t="n"/>
      <c r="I50" s="15" t="n"/>
      <c r="J50" s="15" t="n"/>
    </row>
    <row r="51">
      <c r="A51" s="15" t="n"/>
      <c r="B51" s="15" t="n"/>
      <c r="C51" s="15" t="n"/>
      <c r="D51" s="15" t="n"/>
      <c r="E51" s="15" t="n"/>
      <c r="F51" s="15" t="n"/>
      <c r="G51" s="15" t="n"/>
      <c r="H51" s="15" t="n"/>
      <c r="I51" s="15" t="n"/>
      <c r="J51" s="15" t="n"/>
    </row>
    <row r="52">
      <c r="A52" s="15" t="n"/>
      <c r="B52" s="15" t="n"/>
      <c r="C52" s="15" t="n"/>
      <c r="D52" s="15" t="n"/>
      <c r="E52" s="15" t="n"/>
      <c r="F52" s="15" t="n"/>
      <c r="G52" s="15" t="n"/>
      <c r="H52" s="15" t="n"/>
      <c r="I52" s="15" t="n"/>
      <c r="J52" s="15" t="n"/>
    </row>
    <row r="53">
      <c r="A53" s="15" t="n"/>
      <c r="B53" s="15" t="n"/>
      <c r="C53" s="15" t="n"/>
      <c r="D53" s="15" t="n"/>
      <c r="E53" s="15" t="n"/>
      <c r="F53" s="15" t="n"/>
      <c r="G53" s="15" t="n"/>
      <c r="H53" s="15" t="n"/>
      <c r="I53" s="15" t="n"/>
      <c r="J53" s="15" t="n"/>
    </row>
    <row r="54">
      <c r="A54" s="15" t="n"/>
      <c r="B54" s="15" t="n"/>
      <c r="C54" s="15" t="n"/>
      <c r="D54" s="15" t="n"/>
      <c r="E54" s="15" t="n"/>
      <c r="F54" s="15" t="n"/>
      <c r="G54" s="15" t="n"/>
      <c r="H54" s="15" t="n"/>
      <c r="I54" s="15" t="n"/>
      <c r="J54" s="15" t="n"/>
    </row>
  </sheetData>
  <mergeCells count="2">
    <mergeCell ref="A1:J1"/>
    <mergeCell ref="A2:J2"/>
  </mergeCells>
  <dataValidations count="2">
    <dataValidation sqref="G5 G6 G7 G8 G9 G10 G11 G12 G13 G14 G15 G16 G17 G18 G19 G20 G21 G22 G23 G24 G25 G26 G27 G28 G29 G30 G31 G32 G33 G34 G35 G36 G37 G38 G39 G40 G41 G42 G43 G44 G45 G46 G47 G48 G49 G50 G51 G52 G53 G54" showDropDown="0" showInputMessage="0" showErrorMessage="0" allowBlank="1" type="list">
      <formula1>"Planned,In Procurement,Ordered,Delivered,Installed,Completed,Cancelled"</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1" type="list">
      <formula1>"Pending,Approved,Rejected,Deferred"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54"/>
  <sheetViews>
    <sheetView showGridLines="0" workbookViewId="0">
      <pane ySplit="3" topLeftCell="A4" activePane="bottomLeft" state="frozen"/>
      <selection pane="bottomLeft" activeCell="A1" sqref="A1"/>
    </sheetView>
  </sheetViews>
  <sheetFormatPr baseColWidth="8" defaultRowHeight="15"/>
  <cols>
    <col width="30" customWidth="1" min="1" max="1"/>
    <col width="15" customWidth="1" min="2" max="2"/>
    <col width="18" customWidth="1" min="3" max="3"/>
    <col width="18" customWidth="1" min="4" max="4"/>
    <col width="18" customWidth="1" min="5" max="5"/>
    <col width="20" customWidth="1" min="6" max="6"/>
    <col width="18" customWidth="1" min="7" max="7"/>
    <col width="30" customWidth="1" min="8" max="8"/>
  </cols>
  <sheetData>
    <row r="1" ht="35" customHeight="1">
      <c r="A1" s="11" t="inlineStr">
        <is>
          <t>FORECAST ACCURACY VALIDATION</t>
        </is>
      </c>
    </row>
    <row r="2">
      <c r="A2" s="12" t="inlineStr">
        <is>
          <t>Validation of previous forecasts vs. actual utilization (columns E-G auto-calculate)</t>
        </is>
      </c>
    </row>
    <row r="3">
      <c r="A3" s="13" t="inlineStr">
        <is>
          <t>Resource Name</t>
        </is>
      </c>
      <c r="B3" s="13" t="inlineStr">
        <is>
          <t>Forecast Date</t>
        </is>
      </c>
      <c r="C3" s="13" t="inlineStr">
        <is>
          <t>Forecasted Value</t>
        </is>
      </c>
      <c r="D3" s="13" t="inlineStr">
        <is>
          <t>Actual Value</t>
        </is>
      </c>
      <c r="E3" s="13" t="inlineStr">
        <is>
          <t>Absolute Error</t>
        </is>
      </c>
      <c r="F3" s="13" t="inlineStr">
        <is>
          <t>Percentage Error (%)</t>
        </is>
      </c>
      <c r="G3" s="13" t="inlineStr">
        <is>
          <t>Accuracy Rating</t>
        </is>
      </c>
      <c r="H3" s="13" t="inlineStr">
        <is>
          <t>Lessons Learned</t>
        </is>
      </c>
    </row>
    <row r="4">
      <c r="A4" s="14" t="inlineStr">
        <is>
          <t>server01.example.com</t>
        </is>
      </c>
      <c r="B4" s="14" t="inlineStr">
        <is>
          <t>01.09.2025</t>
        </is>
      </c>
      <c r="C4" s="14" t="inlineStr">
        <is>
          <t>75</t>
        </is>
      </c>
      <c r="D4" s="14" t="inlineStr">
        <is>
          <t>72</t>
        </is>
      </c>
      <c r="E4" s="14">
        <f>IF(AND(C4&lt;&gt;"",D4&lt;&gt;""),ABS(C4-D4),"")</f>
        <v/>
      </c>
      <c r="F4" s="14">
        <f>IF(AND(C4&lt;&gt;"",D4&lt;&gt;"",D4&lt;&gt;0),ABS((C4-D4)/D4)*100,"")</f>
        <v/>
      </c>
      <c r="G4" s="14">
        <f>IF(F4="","",IF(F4&lt;=5,"Excellent",IF(F4&lt;=10,"Good",IF(F4&lt;=15,"Acceptable","Poor"))))</f>
        <v/>
      </c>
      <c r="H4" s="14" t="inlineStr">
        <is>
          <t>Slight underestimate — adjust growth rate model</t>
        </is>
      </c>
    </row>
    <row r="5">
      <c r="A5" s="15" t="n"/>
      <c r="B5" s="15" t="n"/>
      <c r="C5" s="15" t="n"/>
      <c r="D5" s="15" t="n"/>
      <c r="E5" s="15">
        <f>IF(AND(C5&lt;&gt;"",D5&lt;&gt;""),ABS(C5-D5),"")</f>
        <v/>
      </c>
      <c r="F5" s="15">
        <f>IF(AND(C5&lt;&gt;"",D5&lt;&gt;"",D5&lt;&gt;0),ABS((C5-D5)/D5)*100,"")</f>
        <v/>
      </c>
      <c r="G5" s="15">
        <f>IF(F5="","",IF(F5&lt;=5,"Excellent",IF(F5&lt;=10,"Good",IF(F5&lt;=15,"Acceptable","Poor"))))</f>
        <v/>
      </c>
      <c r="H5" s="15" t="n"/>
    </row>
    <row r="6">
      <c r="A6" s="15" t="n"/>
      <c r="B6" s="15" t="n"/>
      <c r="C6" s="15" t="n"/>
      <c r="D6" s="15" t="n"/>
      <c r="E6" s="15">
        <f>IF(AND(C6&lt;&gt;"",D6&lt;&gt;""),ABS(C6-D6),"")</f>
        <v/>
      </c>
      <c r="F6" s="15">
        <f>IF(AND(C6&lt;&gt;"",D6&lt;&gt;"",D6&lt;&gt;0),ABS((C6-D6)/D6)*100,"")</f>
        <v/>
      </c>
      <c r="G6" s="15">
        <f>IF(F6="","",IF(F6&lt;=5,"Excellent",IF(F6&lt;=10,"Good",IF(F6&lt;=15,"Acceptable","Poor"))))</f>
        <v/>
      </c>
      <c r="H6" s="15" t="n"/>
    </row>
    <row r="7">
      <c r="A7" s="15" t="n"/>
      <c r="B7" s="15" t="n"/>
      <c r="C7" s="15" t="n"/>
      <c r="D7" s="15" t="n"/>
      <c r="E7" s="15">
        <f>IF(AND(C7&lt;&gt;"",D7&lt;&gt;""),ABS(C7-D7),"")</f>
        <v/>
      </c>
      <c r="F7" s="15">
        <f>IF(AND(C7&lt;&gt;"",D7&lt;&gt;"",D7&lt;&gt;0),ABS((C7-D7)/D7)*100,"")</f>
        <v/>
      </c>
      <c r="G7" s="15">
        <f>IF(F7="","",IF(F7&lt;=5,"Excellent",IF(F7&lt;=10,"Good",IF(F7&lt;=15,"Acceptable","Poor"))))</f>
        <v/>
      </c>
      <c r="H7" s="15" t="n"/>
    </row>
    <row r="8">
      <c r="A8" s="15" t="n"/>
      <c r="B8" s="15" t="n"/>
      <c r="C8" s="15" t="n"/>
      <c r="D8" s="15" t="n"/>
      <c r="E8" s="15">
        <f>IF(AND(C8&lt;&gt;"",D8&lt;&gt;""),ABS(C8-D8),"")</f>
        <v/>
      </c>
      <c r="F8" s="15">
        <f>IF(AND(C8&lt;&gt;"",D8&lt;&gt;"",D8&lt;&gt;0),ABS((C8-D8)/D8)*100,"")</f>
        <v/>
      </c>
      <c r="G8" s="15">
        <f>IF(F8="","",IF(F8&lt;=5,"Excellent",IF(F8&lt;=10,"Good",IF(F8&lt;=15,"Acceptable","Poor"))))</f>
        <v/>
      </c>
      <c r="H8" s="15" t="n"/>
    </row>
    <row r="9">
      <c r="A9" s="15" t="n"/>
      <c r="B9" s="15" t="n"/>
      <c r="C9" s="15" t="n"/>
      <c r="D9" s="15" t="n"/>
      <c r="E9" s="15">
        <f>IF(AND(C9&lt;&gt;"",D9&lt;&gt;""),ABS(C9-D9),"")</f>
        <v/>
      </c>
      <c r="F9" s="15">
        <f>IF(AND(C9&lt;&gt;"",D9&lt;&gt;"",D9&lt;&gt;0),ABS((C9-D9)/D9)*100,"")</f>
        <v/>
      </c>
      <c r="G9" s="15">
        <f>IF(F9="","",IF(F9&lt;=5,"Excellent",IF(F9&lt;=10,"Good",IF(F9&lt;=15,"Acceptable","Poor"))))</f>
        <v/>
      </c>
      <c r="H9" s="15" t="n"/>
    </row>
    <row r="10">
      <c r="A10" s="15" t="n"/>
      <c r="B10" s="15" t="n"/>
      <c r="C10" s="15" t="n"/>
      <c r="D10" s="15" t="n"/>
      <c r="E10" s="15">
        <f>IF(AND(C10&lt;&gt;"",D10&lt;&gt;""),ABS(C10-D10),"")</f>
        <v/>
      </c>
      <c r="F10" s="15">
        <f>IF(AND(C10&lt;&gt;"",D10&lt;&gt;"",D10&lt;&gt;0),ABS((C10-D10)/D10)*100,"")</f>
        <v/>
      </c>
      <c r="G10" s="15">
        <f>IF(F10="","",IF(F10&lt;=5,"Excellent",IF(F10&lt;=10,"Good",IF(F10&lt;=15,"Acceptable","Poor"))))</f>
        <v/>
      </c>
      <c r="H10" s="15" t="n"/>
    </row>
    <row r="11">
      <c r="A11" s="15" t="n"/>
      <c r="B11" s="15" t="n"/>
      <c r="C11" s="15" t="n"/>
      <c r="D11" s="15" t="n"/>
      <c r="E11" s="15">
        <f>IF(AND(C11&lt;&gt;"",D11&lt;&gt;""),ABS(C11-D11),"")</f>
        <v/>
      </c>
      <c r="F11" s="15">
        <f>IF(AND(C11&lt;&gt;"",D11&lt;&gt;"",D11&lt;&gt;0),ABS((C11-D11)/D11)*100,"")</f>
        <v/>
      </c>
      <c r="G11" s="15">
        <f>IF(F11="","",IF(F11&lt;=5,"Excellent",IF(F11&lt;=10,"Good",IF(F11&lt;=15,"Acceptable","Poor"))))</f>
        <v/>
      </c>
      <c r="H11" s="15" t="n"/>
    </row>
    <row r="12">
      <c r="A12" s="15" t="n"/>
      <c r="B12" s="15" t="n"/>
      <c r="C12" s="15" t="n"/>
      <c r="D12" s="15" t="n"/>
      <c r="E12" s="15">
        <f>IF(AND(C12&lt;&gt;"",D12&lt;&gt;""),ABS(C12-D12),"")</f>
        <v/>
      </c>
      <c r="F12" s="15">
        <f>IF(AND(C12&lt;&gt;"",D12&lt;&gt;"",D12&lt;&gt;0),ABS((C12-D12)/D12)*100,"")</f>
        <v/>
      </c>
      <c r="G12" s="15">
        <f>IF(F12="","",IF(F12&lt;=5,"Excellent",IF(F12&lt;=10,"Good",IF(F12&lt;=15,"Acceptable","Poor"))))</f>
        <v/>
      </c>
      <c r="H12" s="15" t="n"/>
    </row>
    <row r="13">
      <c r="A13" s="15" t="n"/>
      <c r="B13" s="15" t="n"/>
      <c r="C13" s="15" t="n"/>
      <c r="D13" s="15" t="n"/>
      <c r="E13" s="15">
        <f>IF(AND(C13&lt;&gt;"",D13&lt;&gt;""),ABS(C13-D13),"")</f>
        <v/>
      </c>
      <c r="F13" s="15">
        <f>IF(AND(C13&lt;&gt;"",D13&lt;&gt;"",D13&lt;&gt;0),ABS((C13-D13)/D13)*100,"")</f>
        <v/>
      </c>
      <c r="G13" s="15">
        <f>IF(F13="","",IF(F13&lt;=5,"Excellent",IF(F13&lt;=10,"Good",IF(F13&lt;=15,"Acceptable","Poor"))))</f>
        <v/>
      </c>
      <c r="H13" s="15" t="n"/>
    </row>
    <row r="14">
      <c r="A14" s="15" t="n"/>
      <c r="B14" s="15" t="n"/>
      <c r="C14" s="15" t="n"/>
      <c r="D14" s="15" t="n"/>
      <c r="E14" s="15">
        <f>IF(AND(C14&lt;&gt;"",D14&lt;&gt;""),ABS(C14-D14),"")</f>
        <v/>
      </c>
      <c r="F14" s="15">
        <f>IF(AND(C14&lt;&gt;"",D14&lt;&gt;"",D14&lt;&gt;0),ABS((C14-D14)/D14)*100,"")</f>
        <v/>
      </c>
      <c r="G14" s="15">
        <f>IF(F14="","",IF(F14&lt;=5,"Excellent",IF(F14&lt;=10,"Good",IF(F14&lt;=15,"Acceptable","Poor"))))</f>
        <v/>
      </c>
      <c r="H14" s="15" t="n"/>
    </row>
    <row r="15">
      <c r="A15" s="15" t="n"/>
      <c r="B15" s="15" t="n"/>
      <c r="C15" s="15" t="n"/>
      <c r="D15" s="15" t="n"/>
      <c r="E15" s="15">
        <f>IF(AND(C15&lt;&gt;"",D15&lt;&gt;""),ABS(C15-D15),"")</f>
        <v/>
      </c>
      <c r="F15" s="15">
        <f>IF(AND(C15&lt;&gt;"",D15&lt;&gt;"",D15&lt;&gt;0),ABS((C15-D15)/D15)*100,"")</f>
        <v/>
      </c>
      <c r="G15" s="15">
        <f>IF(F15="","",IF(F15&lt;=5,"Excellent",IF(F15&lt;=10,"Good",IF(F15&lt;=15,"Acceptable","Poor"))))</f>
        <v/>
      </c>
      <c r="H15" s="15" t="n"/>
    </row>
    <row r="16">
      <c r="A16" s="15" t="n"/>
      <c r="B16" s="15" t="n"/>
      <c r="C16" s="15" t="n"/>
      <c r="D16" s="15" t="n"/>
      <c r="E16" s="15">
        <f>IF(AND(C16&lt;&gt;"",D16&lt;&gt;""),ABS(C16-D16),"")</f>
        <v/>
      </c>
      <c r="F16" s="15">
        <f>IF(AND(C16&lt;&gt;"",D16&lt;&gt;"",D16&lt;&gt;0),ABS((C16-D16)/D16)*100,"")</f>
        <v/>
      </c>
      <c r="G16" s="15">
        <f>IF(F16="","",IF(F16&lt;=5,"Excellent",IF(F16&lt;=10,"Good",IF(F16&lt;=15,"Acceptable","Poor"))))</f>
        <v/>
      </c>
      <c r="H16" s="15" t="n"/>
    </row>
    <row r="17">
      <c r="A17" s="15" t="n"/>
      <c r="B17" s="15" t="n"/>
      <c r="C17" s="15" t="n"/>
      <c r="D17" s="15" t="n"/>
      <c r="E17" s="15">
        <f>IF(AND(C17&lt;&gt;"",D17&lt;&gt;""),ABS(C17-D17),"")</f>
        <v/>
      </c>
      <c r="F17" s="15">
        <f>IF(AND(C17&lt;&gt;"",D17&lt;&gt;"",D17&lt;&gt;0),ABS((C17-D17)/D17)*100,"")</f>
        <v/>
      </c>
      <c r="G17" s="15">
        <f>IF(F17="","",IF(F17&lt;=5,"Excellent",IF(F17&lt;=10,"Good",IF(F17&lt;=15,"Acceptable","Poor"))))</f>
        <v/>
      </c>
      <c r="H17" s="15" t="n"/>
    </row>
    <row r="18">
      <c r="A18" s="15" t="n"/>
      <c r="B18" s="15" t="n"/>
      <c r="C18" s="15" t="n"/>
      <c r="D18" s="15" t="n"/>
      <c r="E18" s="15">
        <f>IF(AND(C18&lt;&gt;"",D18&lt;&gt;""),ABS(C18-D18),"")</f>
        <v/>
      </c>
      <c r="F18" s="15">
        <f>IF(AND(C18&lt;&gt;"",D18&lt;&gt;"",D18&lt;&gt;0),ABS((C18-D18)/D18)*100,"")</f>
        <v/>
      </c>
      <c r="G18" s="15">
        <f>IF(F18="","",IF(F18&lt;=5,"Excellent",IF(F18&lt;=10,"Good",IF(F18&lt;=15,"Acceptable","Poor"))))</f>
        <v/>
      </c>
      <c r="H18" s="15" t="n"/>
    </row>
    <row r="19">
      <c r="A19" s="15" t="n"/>
      <c r="B19" s="15" t="n"/>
      <c r="C19" s="15" t="n"/>
      <c r="D19" s="15" t="n"/>
      <c r="E19" s="15">
        <f>IF(AND(C19&lt;&gt;"",D19&lt;&gt;""),ABS(C19-D19),"")</f>
        <v/>
      </c>
      <c r="F19" s="15">
        <f>IF(AND(C19&lt;&gt;"",D19&lt;&gt;"",D19&lt;&gt;0),ABS((C19-D19)/D19)*100,"")</f>
        <v/>
      </c>
      <c r="G19" s="15">
        <f>IF(F19="","",IF(F19&lt;=5,"Excellent",IF(F19&lt;=10,"Good",IF(F19&lt;=15,"Acceptable","Poor"))))</f>
        <v/>
      </c>
      <c r="H19" s="15" t="n"/>
    </row>
    <row r="20">
      <c r="A20" s="15" t="n"/>
      <c r="B20" s="15" t="n"/>
      <c r="C20" s="15" t="n"/>
      <c r="D20" s="15" t="n"/>
      <c r="E20" s="15">
        <f>IF(AND(C20&lt;&gt;"",D20&lt;&gt;""),ABS(C20-D20),"")</f>
        <v/>
      </c>
      <c r="F20" s="15">
        <f>IF(AND(C20&lt;&gt;"",D20&lt;&gt;"",D20&lt;&gt;0),ABS((C20-D20)/D20)*100,"")</f>
        <v/>
      </c>
      <c r="G20" s="15">
        <f>IF(F20="","",IF(F20&lt;=5,"Excellent",IF(F20&lt;=10,"Good",IF(F20&lt;=15,"Acceptable","Poor"))))</f>
        <v/>
      </c>
      <c r="H20" s="15" t="n"/>
    </row>
    <row r="21">
      <c r="A21" s="15" t="n"/>
      <c r="B21" s="15" t="n"/>
      <c r="C21" s="15" t="n"/>
      <c r="D21" s="15" t="n"/>
      <c r="E21" s="15">
        <f>IF(AND(C21&lt;&gt;"",D21&lt;&gt;""),ABS(C21-D21),"")</f>
        <v/>
      </c>
      <c r="F21" s="15">
        <f>IF(AND(C21&lt;&gt;"",D21&lt;&gt;"",D21&lt;&gt;0),ABS((C21-D21)/D21)*100,"")</f>
        <v/>
      </c>
      <c r="G21" s="15">
        <f>IF(F21="","",IF(F21&lt;=5,"Excellent",IF(F21&lt;=10,"Good",IF(F21&lt;=15,"Acceptable","Poor"))))</f>
        <v/>
      </c>
      <c r="H21" s="15" t="n"/>
    </row>
    <row r="22">
      <c r="A22" s="15" t="n"/>
      <c r="B22" s="15" t="n"/>
      <c r="C22" s="15" t="n"/>
      <c r="D22" s="15" t="n"/>
      <c r="E22" s="15">
        <f>IF(AND(C22&lt;&gt;"",D22&lt;&gt;""),ABS(C22-D22),"")</f>
        <v/>
      </c>
      <c r="F22" s="15">
        <f>IF(AND(C22&lt;&gt;"",D22&lt;&gt;"",D22&lt;&gt;0),ABS((C22-D22)/D22)*100,"")</f>
        <v/>
      </c>
      <c r="G22" s="15">
        <f>IF(F22="","",IF(F22&lt;=5,"Excellent",IF(F22&lt;=10,"Good",IF(F22&lt;=15,"Acceptable","Poor"))))</f>
        <v/>
      </c>
      <c r="H22" s="15" t="n"/>
    </row>
    <row r="23">
      <c r="A23" s="15" t="n"/>
      <c r="B23" s="15" t="n"/>
      <c r="C23" s="15" t="n"/>
      <c r="D23" s="15" t="n"/>
      <c r="E23" s="15">
        <f>IF(AND(C23&lt;&gt;"",D23&lt;&gt;""),ABS(C23-D23),"")</f>
        <v/>
      </c>
      <c r="F23" s="15">
        <f>IF(AND(C23&lt;&gt;"",D23&lt;&gt;"",D23&lt;&gt;0),ABS((C23-D23)/D23)*100,"")</f>
        <v/>
      </c>
      <c r="G23" s="15">
        <f>IF(F23="","",IF(F23&lt;=5,"Excellent",IF(F23&lt;=10,"Good",IF(F23&lt;=15,"Acceptable","Poor"))))</f>
        <v/>
      </c>
      <c r="H23" s="15" t="n"/>
    </row>
    <row r="24">
      <c r="A24" s="15" t="n"/>
      <c r="B24" s="15" t="n"/>
      <c r="C24" s="15" t="n"/>
      <c r="D24" s="15" t="n"/>
      <c r="E24" s="15">
        <f>IF(AND(C24&lt;&gt;"",D24&lt;&gt;""),ABS(C24-D24),"")</f>
        <v/>
      </c>
      <c r="F24" s="15">
        <f>IF(AND(C24&lt;&gt;"",D24&lt;&gt;"",D24&lt;&gt;0),ABS((C24-D24)/D24)*100,"")</f>
        <v/>
      </c>
      <c r="G24" s="15">
        <f>IF(F24="","",IF(F24&lt;=5,"Excellent",IF(F24&lt;=10,"Good",IF(F24&lt;=15,"Acceptable","Poor"))))</f>
        <v/>
      </c>
      <c r="H24" s="15" t="n"/>
    </row>
    <row r="25">
      <c r="A25" s="15" t="n"/>
      <c r="B25" s="15" t="n"/>
      <c r="C25" s="15" t="n"/>
      <c r="D25" s="15" t="n"/>
      <c r="E25" s="15">
        <f>IF(AND(C25&lt;&gt;"",D25&lt;&gt;""),ABS(C25-D25),"")</f>
        <v/>
      </c>
      <c r="F25" s="15">
        <f>IF(AND(C25&lt;&gt;"",D25&lt;&gt;"",D25&lt;&gt;0),ABS((C25-D25)/D25)*100,"")</f>
        <v/>
      </c>
      <c r="G25" s="15">
        <f>IF(F25="","",IF(F25&lt;=5,"Excellent",IF(F25&lt;=10,"Good",IF(F25&lt;=15,"Acceptable","Poor"))))</f>
        <v/>
      </c>
      <c r="H25" s="15" t="n"/>
    </row>
    <row r="26">
      <c r="A26" s="15" t="n"/>
      <c r="B26" s="15" t="n"/>
      <c r="C26" s="15" t="n"/>
      <c r="D26" s="15" t="n"/>
      <c r="E26" s="15">
        <f>IF(AND(C26&lt;&gt;"",D26&lt;&gt;""),ABS(C26-D26),"")</f>
        <v/>
      </c>
      <c r="F26" s="15">
        <f>IF(AND(C26&lt;&gt;"",D26&lt;&gt;"",D26&lt;&gt;0),ABS((C26-D26)/D26)*100,"")</f>
        <v/>
      </c>
      <c r="G26" s="15">
        <f>IF(F26="","",IF(F26&lt;=5,"Excellent",IF(F26&lt;=10,"Good",IF(F26&lt;=15,"Acceptable","Poor"))))</f>
        <v/>
      </c>
      <c r="H26" s="15" t="n"/>
    </row>
    <row r="27">
      <c r="A27" s="15" t="n"/>
      <c r="B27" s="15" t="n"/>
      <c r="C27" s="15" t="n"/>
      <c r="D27" s="15" t="n"/>
      <c r="E27" s="15">
        <f>IF(AND(C27&lt;&gt;"",D27&lt;&gt;""),ABS(C27-D27),"")</f>
        <v/>
      </c>
      <c r="F27" s="15">
        <f>IF(AND(C27&lt;&gt;"",D27&lt;&gt;"",D27&lt;&gt;0),ABS((C27-D27)/D27)*100,"")</f>
        <v/>
      </c>
      <c r="G27" s="15">
        <f>IF(F27="","",IF(F27&lt;=5,"Excellent",IF(F27&lt;=10,"Good",IF(F27&lt;=15,"Acceptable","Poor"))))</f>
        <v/>
      </c>
      <c r="H27" s="15" t="n"/>
    </row>
    <row r="28">
      <c r="A28" s="15" t="n"/>
      <c r="B28" s="15" t="n"/>
      <c r="C28" s="15" t="n"/>
      <c r="D28" s="15" t="n"/>
      <c r="E28" s="15">
        <f>IF(AND(C28&lt;&gt;"",D28&lt;&gt;""),ABS(C28-D28),"")</f>
        <v/>
      </c>
      <c r="F28" s="15">
        <f>IF(AND(C28&lt;&gt;"",D28&lt;&gt;"",D28&lt;&gt;0),ABS((C28-D28)/D28)*100,"")</f>
        <v/>
      </c>
      <c r="G28" s="15">
        <f>IF(F28="","",IF(F28&lt;=5,"Excellent",IF(F28&lt;=10,"Good",IF(F28&lt;=15,"Acceptable","Poor"))))</f>
        <v/>
      </c>
      <c r="H28" s="15" t="n"/>
    </row>
    <row r="29">
      <c r="A29" s="15" t="n"/>
      <c r="B29" s="15" t="n"/>
      <c r="C29" s="15" t="n"/>
      <c r="D29" s="15" t="n"/>
      <c r="E29" s="15">
        <f>IF(AND(C29&lt;&gt;"",D29&lt;&gt;""),ABS(C29-D29),"")</f>
        <v/>
      </c>
      <c r="F29" s="15">
        <f>IF(AND(C29&lt;&gt;"",D29&lt;&gt;"",D29&lt;&gt;0),ABS((C29-D29)/D29)*100,"")</f>
        <v/>
      </c>
      <c r="G29" s="15">
        <f>IF(F29="","",IF(F29&lt;=5,"Excellent",IF(F29&lt;=10,"Good",IF(F29&lt;=15,"Acceptable","Poor"))))</f>
        <v/>
      </c>
      <c r="H29" s="15" t="n"/>
    </row>
    <row r="30">
      <c r="A30" s="15" t="n"/>
      <c r="B30" s="15" t="n"/>
      <c r="C30" s="15" t="n"/>
      <c r="D30" s="15" t="n"/>
      <c r="E30" s="15">
        <f>IF(AND(C30&lt;&gt;"",D30&lt;&gt;""),ABS(C30-D30),"")</f>
        <v/>
      </c>
      <c r="F30" s="15">
        <f>IF(AND(C30&lt;&gt;"",D30&lt;&gt;"",D30&lt;&gt;0),ABS((C30-D30)/D30)*100,"")</f>
        <v/>
      </c>
      <c r="G30" s="15">
        <f>IF(F30="","",IF(F30&lt;=5,"Excellent",IF(F30&lt;=10,"Good",IF(F30&lt;=15,"Acceptable","Poor"))))</f>
        <v/>
      </c>
      <c r="H30" s="15" t="n"/>
    </row>
    <row r="31">
      <c r="A31" s="15" t="n"/>
      <c r="B31" s="15" t="n"/>
      <c r="C31" s="15" t="n"/>
      <c r="D31" s="15" t="n"/>
      <c r="E31" s="15">
        <f>IF(AND(C31&lt;&gt;"",D31&lt;&gt;""),ABS(C31-D31),"")</f>
        <v/>
      </c>
      <c r="F31" s="15">
        <f>IF(AND(C31&lt;&gt;"",D31&lt;&gt;"",D31&lt;&gt;0),ABS((C31-D31)/D31)*100,"")</f>
        <v/>
      </c>
      <c r="G31" s="15">
        <f>IF(F31="","",IF(F31&lt;=5,"Excellent",IF(F31&lt;=10,"Good",IF(F31&lt;=15,"Acceptable","Poor"))))</f>
        <v/>
      </c>
      <c r="H31" s="15" t="n"/>
    </row>
    <row r="32">
      <c r="A32" s="15" t="n"/>
      <c r="B32" s="15" t="n"/>
      <c r="C32" s="15" t="n"/>
      <c r="D32" s="15" t="n"/>
      <c r="E32" s="15">
        <f>IF(AND(C32&lt;&gt;"",D32&lt;&gt;""),ABS(C32-D32),"")</f>
        <v/>
      </c>
      <c r="F32" s="15">
        <f>IF(AND(C32&lt;&gt;"",D32&lt;&gt;"",D32&lt;&gt;0),ABS((C32-D32)/D32)*100,"")</f>
        <v/>
      </c>
      <c r="G32" s="15">
        <f>IF(F32="","",IF(F32&lt;=5,"Excellent",IF(F32&lt;=10,"Good",IF(F32&lt;=15,"Acceptable","Poor"))))</f>
        <v/>
      </c>
      <c r="H32" s="15" t="n"/>
    </row>
    <row r="33">
      <c r="A33" s="15" t="n"/>
      <c r="B33" s="15" t="n"/>
      <c r="C33" s="15" t="n"/>
      <c r="D33" s="15" t="n"/>
      <c r="E33" s="15">
        <f>IF(AND(C33&lt;&gt;"",D33&lt;&gt;""),ABS(C33-D33),"")</f>
        <v/>
      </c>
      <c r="F33" s="15">
        <f>IF(AND(C33&lt;&gt;"",D33&lt;&gt;"",D33&lt;&gt;0),ABS((C33-D33)/D33)*100,"")</f>
        <v/>
      </c>
      <c r="G33" s="15">
        <f>IF(F33="","",IF(F33&lt;=5,"Excellent",IF(F33&lt;=10,"Good",IF(F33&lt;=15,"Acceptable","Poor"))))</f>
        <v/>
      </c>
      <c r="H33" s="15" t="n"/>
    </row>
    <row r="34">
      <c r="A34" s="15" t="n"/>
      <c r="B34" s="15" t="n"/>
      <c r="C34" s="15" t="n"/>
      <c r="D34" s="15" t="n"/>
      <c r="E34" s="15">
        <f>IF(AND(C34&lt;&gt;"",D34&lt;&gt;""),ABS(C34-D34),"")</f>
        <v/>
      </c>
      <c r="F34" s="15">
        <f>IF(AND(C34&lt;&gt;"",D34&lt;&gt;"",D34&lt;&gt;0),ABS((C34-D34)/D34)*100,"")</f>
        <v/>
      </c>
      <c r="G34" s="15">
        <f>IF(F34="","",IF(F34&lt;=5,"Excellent",IF(F34&lt;=10,"Good",IF(F34&lt;=15,"Acceptable","Poor"))))</f>
        <v/>
      </c>
      <c r="H34" s="15" t="n"/>
    </row>
    <row r="35">
      <c r="A35" s="15" t="n"/>
      <c r="B35" s="15" t="n"/>
      <c r="C35" s="15" t="n"/>
      <c r="D35" s="15" t="n"/>
      <c r="E35" s="15">
        <f>IF(AND(C35&lt;&gt;"",D35&lt;&gt;""),ABS(C35-D35),"")</f>
        <v/>
      </c>
      <c r="F35" s="15">
        <f>IF(AND(C35&lt;&gt;"",D35&lt;&gt;"",D35&lt;&gt;0),ABS((C35-D35)/D35)*100,"")</f>
        <v/>
      </c>
      <c r="G35" s="15">
        <f>IF(F35="","",IF(F35&lt;=5,"Excellent",IF(F35&lt;=10,"Good",IF(F35&lt;=15,"Acceptable","Poor"))))</f>
        <v/>
      </c>
      <c r="H35" s="15" t="n"/>
    </row>
    <row r="36">
      <c r="A36" s="15" t="n"/>
      <c r="B36" s="15" t="n"/>
      <c r="C36" s="15" t="n"/>
      <c r="D36" s="15" t="n"/>
      <c r="E36" s="15">
        <f>IF(AND(C36&lt;&gt;"",D36&lt;&gt;""),ABS(C36-D36),"")</f>
        <v/>
      </c>
      <c r="F36" s="15">
        <f>IF(AND(C36&lt;&gt;"",D36&lt;&gt;"",D36&lt;&gt;0),ABS((C36-D36)/D36)*100,"")</f>
        <v/>
      </c>
      <c r="G36" s="15">
        <f>IF(F36="","",IF(F36&lt;=5,"Excellent",IF(F36&lt;=10,"Good",IF(F36&lt;=15,"Acceptable","Poor"))))</f>
        <v/>
      </c>
      <c r="H36" s="15" t="n"/>
    </row>
    <row r="37">
      <c r="A37" s="15" t="n"/>
      <c r="B37" s="15" t="n"/>
      <c r="C37" s="15" t="n"/>
      <c r="D37" s="15" t="n"/>
      <c r="E37" s="15">
        <f>IF(AND(C37&lt;&gt;"",D37&lt;&gt;""),ABS(C37-D37),"")</f>
        <v/>
      </c>
      <c r="F37" s="15">
        <f>IF(AND(C37&lt;&gt;"",D37&lt;&gt;"",D37&lt;&gt;0),ABS((C37-D37)/D37)*100,"")</f>
        <v/>
      </c>
      <c r="G37" s="15">
        <f>IF(F37="","",IF(F37&lt;=5,"Excellent",IF(F37&lt;=10,"Good",IF(F37&lt;=15,"Acceptable","Poor"))))</f>
        <v/>
      </c>
      <c r="H37" s="15" t="n"/>
    </row>
    <row r="38">
      <c r="A38" s="15" t="n"/>
      <c r="B38" s="15" t="n"/>
      <c r="C38" s="15" t="n"/>
      <c r="D38" s="15" t="n"/>
      <c r="E38" s="15">
        <f>IF(AND(C38&lt;&gt;"",D38&lt;&gt;""),ABS(C38-D38),"")</f>
        <v/>
      </c>
      <c r="F38" s="15">
        <f>IF(AND(C38&lt;&gt;"",D38&lt;&gt;"",D38&lt;&gt;0),ABS((C38-D38)/D38)*100,"")</f>
        <v/>
      </c>
      <c r="G38" s="15">
        <f>IF(F38="","",IF(F38&lt;=5,"Excellent",IF(F38&lt;=10,"Good",IF(F38&lt;=15,"Acceptable","Poor"))))</f>
        <v/>
      </c>
      <c r="H38" s="15" t="n"/>
    </row>
    <row r="39">
      <c r="A39" s="15" t="n"/>
      <c r="B39" s="15" t="n"/>
      <c r="C39" s="15" t="n"/>
      <c r="D39" s="15" t="n"/>
      <c r="E39" s="15">
        <f>IF(AND(C39&lt;&gt;"",D39&lt;&gt;""),ABS(C39-D39),"")</f>
        <v/>
      </c>
      <c r="F39" s="15">
        <f>IF(AND(C39&lt;&gt;"",D39&lt;&gt;"",D39&lt;&gt;0),ABS((C39-D39)/D39)*100,"")</f>
        <v/>
      </c>
      <c r="G39" s="15">
        <f>IF(F39="","",IF(F39&lt;=5,"Excellent",IF(F39&lt;=10,"Good",IF(F39&lt;=15,"Acceptable","Poor"))))</f>
        <v/>
      </c>
      <c r="H39" s="15" t="n"/>
    </row>
    <row r="40">
      <c r="A40" s="15" t="n"/>
      <c r="B40" s="15" t="n"/>
      <c r="C40" s="15" t="n"/>
      <c r="D40" s="15" t="n"/>
      <c r="E40" s="15">
        <f>IF(AND(C40&lt;&gt;"",D40&lt;&gt;""),ABS(C40-D40),"")</f>
        <v/>
      </c>
      <c r="F40" s="15">
        <f>IF(AND(C40&lt;&gt;"",D40&lt;&gt;"",D40&lt;&gt;0),ABS((C40-D40)/D40)*100,"")</f>
        <v/>
      </c>
      <c r="G40" s="15">
        <f>IF(F40="","",IF(F40&lt;=5,"Excellent",IF(F40&lt;=10,"Good",IF(F40&lt;=15,"Acceptable","Poor"))))</f>
        <v/>
      </c>
      <c r="H40" s="15" t="n"/>
    </row>
    <row r="41">
      <c r="A41" s="15" t="n"/>
      <c r="B41" s="15" t="n"/>
      <c r="C41" s="15" t="n"/>
      <c r="D41" s="15" t="n"/>
      <c r="E41" s="15">
        <f>IF(AND(C41&lt;&gt;"",D41&lt;&gt;""),ABS(C41-D41),"")</f>
        <v/>
      </c>
      <c r="F41" s="15">
        <f>IF(AND(C41&lt;&gt;"",D41&lt;&gt;"",D41&lt;&gt;0),ABS((C41-D41)/D41)*100,"")</f>
        <v/>
      </c>
      <c r="G41" s="15">
        <f>IF(F41="","",IF(F41&lt;=5,"Excellent",IF(F41&lt;=10,"Good",IF(F41&lt;=15,"Acceptable","Poor"))))</f>
        <v/>
      </c>
      <c r="H41" s="15" t="n"/>
    </row>
    <row r="42">
      <c r="A42" s="15" t="n"/>
      <c r="B42" s="15" t="n"/>
      <c r="C42" s="15" t="n"/>
      <c r="D42" s="15" t="n"/>
      <c r="E42" s="15">
        <f>IF(AND(C42&lt;&gt;"",D42&lt;&gt;""),ABS(C42-D42),"")</f>
        <v/>
      </c>
      <c r="F42" s="15">
        <f>IF(AND(C42&lt;&gt;"",D42&lt;&gt;"",D42&lt;&gt;0),ABS((C42-D42)/D42)*100,"")</f>
        <v/>
      </c>
      <c r="G42" s="15">
        <f>IF(F42="","",IF(F42&lt;=5,"Excellent",IF(F42&lt;=10,"Good",IF(F42&lt;=15,"Acceptable","Poor"))))</f>
        <v/>
      </c>
      <c r="H42" s="15" t="n"/>
    </row>
    <row r="43">
      <c r="A43" s="15" t="n"/>
      <c r="B43" s="15" t="n"/>
      <c r="C43" s="15" t="n"/>
      <c r="D43" s="15" t="n"/>
      <c r="E43" s="15">
        <f>IF(AND(C43&lt;&gt;"",D43&lt;&gt;""),ABS(C43-D43),"")</f>
        <v/>
      </c>
      <c r="F43" s="15">
        <f>IF(AND(C43&lt;&gt;"",D43&lt;&gt;"",D43&lt;&gt;0),ABS((C43-D43)/D43)*100,"")</f>
        <v/>
      </c>
      <c r="G43" s="15">
        <f>IF(F43="","",IF(F43&lt;=5,"Excellent",IF(F43&lt;=10,"Good",IF(F43&lt;=15,"Acceptable","Poor"))))</f>
        <v/>
      </c>
      <c r="H43" s="15" t="n"/>
    </row>
    <row r="44">
      <c r="A44" s="15" t="n"/>
      <c r="B44" s="15" t="n"/>
      <c r="C44" s="15" t="n"/>
      <c r="D44" s="15" t="n"/>
      <c r="E44" s="15">
        <f>IF(AND(C44&lt;&gt;"",D44&lt;&gt;""),ABS(C44-D44),"")</f>
        <v/>
      </c>
      <c r="F44" s="15">
        <f>IF(AND(C44&lt;&gt;"",D44&lt;&gt;"",D44&lt;&gt;0),ABS((C44-D44)/D44)*100,"")</f>
        <v/>
      </c>
      <c r="G44" s="15">
        <f>IF(F44="","",IF(F44&lt;=5,"Excellent",IF(F44&lt;=10,"Good",IF(F44&lt;=15,"Acceptable","Poor"))))</f>
        <v/>
      </c>
      <c r="H44" s="15" t="n"/>
    </row>
    <row r="45">
      <c r="A45" s="15" t="n"/>
      <c r="B45" s="15" t="n"/>
      <c r="C45" s="15" t="n"/>
      <c r="D45" s="15" t="n"/>
      <c r="E45" s="15">
        <f>IF(AND(C45&lt;&gt;"",D45&lt;&gt;""),ABS(C45-D45),"")</f>
        <v/>
      </c>
      <c r="F45" s="15">
        <f>IF(AND(C45&lt;&gt;"",D45&lt;&gt;"",D45&lt;&gt;0),ABS((C45-D45)/D45)*100,"")</f>
        <v/>
      </c>
      <c r="G45" s="15">
        <f>IF(F45="","",IF(F45&lt;=5,"Excellent",IF(F45&lt;=10,"Good",IF(F45&lt;=15,"Acceptable","Poor"))))</f>
        <v/>
      </c>
      <c r="H45" s="15" t="n"/>
    </row>
    <row r="46">
      <c r="A46" s="15" t="n"/>
      <c r="B46" s="15" t="n"/>
      <c r="C46" s="15" t="n"/>
      <c r="D46" s="15" t="n"/>
      <c r="E46" s="15">
        <f>IF(AND(C46&lt;&gt;"",D46&lt;&gt;""),ABS(C46-D46),"")</f>
        <v/>
      </c>
      <c r="F46" s="15">
        <f>IF(AND(C46&lt;&gt;"",D46&lt;&gt;"",D46&lt;&gt;0),ABS((C46-D46)/D46)*100,"")</f>
        <v/>
      </c>
      <c r="G46" s="15">
        <f>IF(F46="","",IF(F46&lt;=5,"Excellent",IF(F46&lt;=10,"Good",IF(F46&lt;=15,"Acceptable","Poor"))))</f>
        <v/>
      </c>
      <c r="H46" s="15" t="n"/>
    </row>
    <row r="47">
      <c r="A47" s="15" t="n"/>
      <c r="B47" s="15" t="n"/>
      <c r="C47" s="15" t="n"/>
      <c r="D47" s="15" t="n"/>
      <c r="E47" s="15">
        <f>IF(AND(C47&lt;&gt;"",D47&lt;&gt;""),ABS(C47-D47),"")</f>
        <v/>
      </c>
      <c r="F47" s="15">
        <f>IF(AND(C47&lt;&gt;"",D47&lt;&gt;"",D47&lt;&gt;0),ABS((C47-D47)/D47)*100,"")</f>
        <v/>
      </c>
      <c r="G47" s="15">
        <f>IF(F47="","",IF(F47&lt;=5,"Excellent",IF(F47&lt;=10,"Good",IF(F47&lt;=15,"Acceptable","Poor"))))</f>
        <v/>
      </c>
      <c r="H47" s="15" t="n"/>
    </row>
    <row r="48">
      <c r="A48" s="15" t="n"/>
      <c r="B48" s="15" t="n"/>
      <c r="C48" s="15" t="n"/>
      <c r="D48" s="15" t="n"/>
      <c r="E48" s="15">
        <f>IF(AND(C48&lt;&gt;"",D48&lt;&gt;""),ABS(C48-D48),"")</f>
        <v/>
      </c>
      <c r="F48" s="15">
        <f>IF(AND(C48&lt;&gt;"",D48&lt;&gt;"",D48&lt;&gt;0),ABS((C48-D48)/D48)*100,"")</f>
        <v/>
      </c>
      <c r="G48" s="15">
        <f>IF(F48="","",IF(F48&lt;=5,"Excellent",IF(F48&lt;=10,"Good",IF(F48&lt;=15,"Acceptable","Poor"))))</f>
        <v/>
      </c>
      <c r="H48" s="15" t="n"/>
    </row>
    <row r="49">
      <c r="A49" s="15" t="n"/>
      <c r="B49" s="15" t="n"/>
      <c r="C49" s="15" t="n"/>
      <c r="D49" s="15" t="n"/>
      <c r="E49" s="15">
        <f>IF(AND(C49&lt;&gt;"",D49&lt;&gt;""),ABS(C49-D49),"")</f>
        <v/>
      </c>
      <c r="F49" s="15">
        <f>IF(AND(C49&lt;&gt;"",D49&lt;&gt;"",D49&lt;&gt;0),ABS((C49-D49)/D49)*100,"")</f>
        <v/>
      </c>
      <c r="G49" s="15">
        <f>IF(F49="","",IF(F49&lt;=5,"Excellent",IF(F49&lt;=10,"Good",IF(F49&lt;=15,"Acceptable","Poor"))))</f>
        <v/>
      </c>
      <c r="H49" s="15" t="n"/>
    </row>
    <row r="50">
      <c r="A50" s="15" t="n"/>
      <c r="B50" s="15" t="n"/>
      <c r="C50" s="15" t="n"/>
      <c r="D50" s="15" t="n"/>
      <c r="E50" s="15">
        <f>IF(AND(C50&lt;&gt;"",D50&lt;&gt;""),ABS(C50-D50),"")</f>
        <v/>
      </c>
      <c r="F50" s="15">
        <f>IF(AND(C50&lt;&gt;"",D50&lt;&gt;"",D50&lt;&gt;0),ABS((C50-D50)/D50)*100,"")</f>
        <v/>
      </c>
      <c r="G50" s="15">
        <f>IF(F50="","",IF(F50&lt;=5,"Excellent",IF(F50&lt;=10,"Good",IF(F50&lt;=15,"Acceptable","Poor"))))</f>
        <v/>
      </c>
      <c r="H50" s="15" t="n"/>
    </row>
    <row r="51">
      <c r="A51" s="15" t="n"/>
      <c r="B51" s="15" t="n"/>
      <c r="C51" s="15" t="n"/>
      <c r="D51" s="15" t="n"/>
      <c r="E51" s="15">
        <f>IF(AND(C51&lt;&gt;"",D51&lt;&gt;""),ABS(C51-D51),"")</f>
        <v/>
      </c>
      <c r="F51" s="15">
        <f>IF(AND(C51&lt;&gt;"",D51&lt;&gt;"",D51&lt;&gt;0),ABS((C51-D51)/D51)*100,"")</f>
        <v/>
      </c>
      <c r="G51" s="15">
        <f>IF(F51="","",IF(F51&lt;=5,"Excellent",IF(F51&lt;=10,"Good",IF(F51&lt;=15,"Acceptable","Poor"))))</f>
        <v/>
      </c>
      <c r="H51" s="15" t="n"/>
    </row>
    <row r="52">
      <c r="A52" s="15" t="n"/>
      <c r="B52" s="15" t="n"/>
      <c r="C52" s="15" t="n"/>
      <c r="D52" s="15" t="n"/>
      <c r="E52" s="15">
        <f>IF(AND(C52&lt;&gt;"",D52&lt;&gt;""),ABS(C52-D52),"")</f>
        <v/>
      </c>
      <c r="F52" s="15">
        <f>IF(AND(C52&lt;&gt;"",D52&lt;&gt;"",D52&lt;&gt;0),ABS((C52-D52)/D52)*100,"")</f>
        <v/>
      </c>
      <c r="G52" s="15">
        <f>IF(F52="","",IF(F52&lt;=5,"Excellent",IF(F52&lt;=10,"Good",IF(F52&lt;=15,"Acceptable","Poor"))))</f>
        <v/>
      </c>
      <c r="H52" s="15" t="n"/>
    </row>
    <row r="53">
      <c r="A53" s="15" t="n"/>
      <c r="B53" s="15" t="n"/>
      <c r="C53" s="15" t="n"/>
      <c r="D53" s="15" t="n"/>
      <c r="E53" s="15">
        <f>IF(AND(C53&lt;&gt;"",D53&lt;&gt;""),ABS(C53-D53),"")</f>
        <v/>
      </c>
      <c r="F53" s="15">
        <f>IF(AND(C53&lt;&gt;"",D53&lt;&gt;"",D53&lt;&gt;0),ABS((C53-D53)/D53)*100,"")</f>
        <v/>
      </c>
      <c r="G53" s="15">
        <f>IF(F53="","",IF(F53&lt;=5,"Excellent",IF(F53&lt;=10,"Good",IF(F53&lt;=15,"Acceptable","Poor"))))</f>
        <v/>
      </c>
      <c r="H53" s="15" t="n"/>
    </row>
    <row r="54">
      <c r="A54" s="15" t="n"/>
      <c r="B54" s="15" t="n"/>
      <c r="C54" s="15" t="n"/>
      <c r="D54" s="15" t="n"/>
      <c r="E54" s="15">
        <f>IF(AND(C54&lt;&gt;"",D54&lt;&gt;""),ABS(C54-D54),"")</f>
        <v/>
      </c>
      <c r="F54" s="15">
        <f>IF(AND(C54&lt;&gt;"",D54&lt;&gt;"",D54&lt;&gt;0),ABS((C54-D54)/D54)*100,"")</f>
        <v/>
      </c>
      <c r="G54" s="15">
        <f>IF(F54="","",IF(F54&lt;=5,"Excellent",IF(F54&lt;=10,"Good",IF(F54&lt;=15,"Acceptable","Poor"))))</f>
        <v/>
      </c>
      <c r="H54" s="15" t="n"/>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4"/>
  <sheetViews>
    <sheetView showGridLines="0" workbookViewId="0">
      <pane ySplit="3" topLeftCell="A4" activePane="bottomLeft" state="frozen"/>
      <selection pane="bottomLeft" activeCell="A1" sqref="A1"/>
    </sheetView>
  </sheetViews>
  <sheetFormatPr baseColWidth="8" defaultRowHeight="15"/>
  <cols>
    <col width="30" customWidth="1" min="1" max="1"/>
    <col width="12" customWidth="1" min="2" max="2"/>
    <col width="18" customWidth="1" min="3" max="3"/>
    <col width="20" customWidth="1" min="4" max="4"/>
    <col width="20" customWidth="1" min="5" max="5"/>
    <col width="18" customWidth="1" min="6" max="6"/>
    <col width="30" customWidth="1" min="7" max="7"/>
  </cols>
  <sheetData>
    <row r="1" ht="35" customHeight="1">
      <c r="A1" s="11" t="inlineStr">
        <is>
          <t>CAPACITY BUDGET PLANNING</t>
        </is>
      </c>
    </row>
    <row r="2">
      <c r="A2" s="12" t="inlineStr">
        <is>
          <t>Capital and operational expenditure planning for capacity expansions (column E auto-calculates 3-year TCO)</t>
        </is>
      </c>
    </row>
    <row r="3">
      <c r="A3" s="13" t="inlineStr">
        <is>
          <t>Resource/Project</t>
        </is>
      </c>
      <c r="B3" s="13" t="inlineStr">
        <is>
          <t>Quarter</t>
        </is>
      </c>
      <c r="C3" s="13" t="inlineStr">
        <is>
          <t>CapEx (CHF)</t>
        </is>
      </c>
      <c r="D3" s="13" t="inlineStr">
        <is>
          <t>OpEx (CHF/month)</t>
        </is>
      </c>
      <c r="E3" s="13" t="inlineStr">
        <is>
          <t>3-Year TCO (CHF)</t>
        </is>
      </c>
      <c r="F3" s="13" t="inlineStr">
        <is>
          <t>Approval Status</t>
        </is>
      </c>
      <c r="G3" s="13" t="inlineStr">
        <is>
          <t>Notes</t>
        </is>
      </c>
    </row>
    <row r="4">
      <c r="A4" s="14" t="inlineStr">
        <is>
          <t>Storage Expansion - server01</t>
        </is>
      </c>
      <c r="B4" s="14" t="inlineStr">
        <is>
          <t>Q2</t>
        </is>
      </c>
      <c r="C4" s="14" t="inlineStr">
        <is>
          <t>15000</t>
        </is>
      </c>
      <c r="D4" s="14" t="inlineStr">
        <is>
          <t>500</t>
        </is>
      </c>
      <c r="E4" s="14">
        <f>IF(AND(C4&lt;&gt;"",D4&lt;&gt;""),C4+(D4*12*3),"")</f>
        <v/>
      </c>
      <c r="F4" s="14" t="inlineStr">
        <is>
          <t>Approved</t>
        </is>
      </c>
      <c r="G4" s="14" t="inlineStr">
        <is>
          <t>NAS upgrade for production storage</t>
        </is>
      </c>
    </row>
    <row r="5">
      <c r="A5" s="15" t="n"/>
      <c r="B5" s="15" t="n"/>
      <c r="C5" s="15" t="n"/>
      <c r="D5" s="15" t="n"/>
      <c r="E5" s="15">
        <f>IF(AND(C5&lt;&gt;"",D5&lt;&gt;""),C5+(D5*12*3),"")</f>
        <v/>
      </c>
      <c r="F5" s="15" t="n"/>
      <c r="G5" s="15" t="n"/>
    </row>
    <row r="6">
      <c r="A6" s="15" t="n"/>
      <c r="B6" s="15" t="n"/>
      <c r="C6" s="15" t="n"/>
      <c r="D6" s="15" t="n"/>
      <c r="E6" s="15">
        <f>IF(AND(C6&lt;&gt;"",D6&lt;&gt;""),C6+(D6*12*3),"")</f>
        <v/>
      </c>
      <c r="F6" s="15" t="n"/>
      <c r="G6" s="15" t="n"/>
    </row>
    <row r="7">
      <c r="A7" s="15" t="n"/>
      <c r="B7" s="15" t="n"/>
      <c r="C7" s="15" t="n"/>
      <c r="D7" s="15" t="n"/>
      <c r="E7" s="15">
        <f>IF(AND(C7&lt;&gt;"",D7&lt;&gt;""),C7+(D7*12*3),"")</f>
        <v/>
      </c>
      <c r="F7" s="15" t="n"/>
      <c r="G7" s="15" t="n"/>
    </row>
    <row r="8">
      <c r="A8" s="15" t="n"/>
      <c r="B8" s="15" t="n"/>
      <c r="C8" s="15" t="n"/>
      <c r="D8" s="15" t="n"/>
      <c r="E8" s="15">
        <f>IF(AND(C8&lt;&gt;"",D8&lt;&gt;""),C8+(D8*12*3),"")</f>
        <v/>
      </c>
      <c r="F8" s="15" t="n"/>
      <c r="G8" s="15" t="n"/>
    </row>
    <row r="9">
      <c r="A9" s="15" t="n"/>
      <c r="B9" s="15" t="n"/>
      <c r="C9" s="15" t="n"/>
      <c r="D9" s="15" t="n"/>
      <c r="E9" s="15">
        <f>IF(AND(C9&lt;&gt;"",D9&lt;&gt;""),C9+(D9*12*3),"")</f>
        <v/>
      </c>
      <c r="F9" s="15" t="n"/>
      <c r="G9" s="15" t="n"/>
    </row>
    <row r="10">
      <c r="A10" s="15" t="n"/>
      <c r="B10" s="15" t="n"/>
      <c r="C10" s="15" t="n"/>
      <c r="D10" s="15" t="n"/>
      <c r="E10" s="15">
        <f>IF(AND(C10&lt;&gt;"",D10&lt;&gt;""),C10+(D10*12*3),"")</f>
        <v/>
      </c>
      <c r="F10" s="15" t="n"/>
      <c r="G10" s="15" t="n"/>
    </row>
    <row r="11">
      <c r="A11" s="15" t="n"/>
      <c r="B11" s="15" t="n"/>
      <c r="C11" s="15" t="n"/>
      <c r="D11" s="15" t="n"/>
      <c r="E11" s="15">
        <f>IF(AND(C11&lt;&gt;"",D11&lt;&gt;""),C11+(D11*12*3),"")</f>
        <v/>
      </c>
      <c r="F11" s="15" t="n"/>
      <c r="G11" s="15" t="n"/>
    </row>
    <row r="12">
      <c r="A12" s="15" t="n"/>
      <c r="B12" s="15" t="n"/>
      <c r="C12" s="15" t="n"/>
      <c r="D12" s="15" t="n"/>
      <c r="E12" s="15">
        <f>IF(AND(C12&lt;&gt;"",D12&lt;&gt;""),C12+(D12*12*3),"")</f>
        <v/>
      </c>
      <c r="F12" s="15" t="n"/>
      <c r="G12" s="15" t="n"/>
    </row>
    <row r="13">
      <c r="A13" s="15" t="n"/>
      <c r="B13" s="15" t="n"/>
      <c r="C13" s="15" t="n"/>
      <c r="D13" s="15" t="n"/>
      <c r="E13" s="15">
        <f>IF(AND(C13&lt;&gt;"",D13&lt;&gt;""),C13+(D13*12*3),"")</f>
        <v/>
      </c>
      <c r="F13" s="15" t="n"/>
      <c r="G13" s="15" t="n"/>
    </row>
    <row r="14">
      <c r="A14" s="15" t="n"/>
      <c r="B14" s="15" t="n"/>
      <c r="C14" s="15" t="n"/>
      <c r="D14" s="15" t="n"/>
      <c r="E14" s="15">
        <f>IF(AND(C14&lt;&gt;"",D14&lt;&gt;""),C14+(D14*12*3),"")</f>
        <v/>
      </c>
      <c r="F14" s="15" t="n"/>
      <c r="G14" s="15" t="n"/>
    </row>
    <row r="15">
      <c r="A15" s="15" t="n"/>
      <c r="B15" s="15" t="n"/>
      <c r="C15" s="15" t="n"/>
      <c r="D15" s="15" t="n"/>
      <c r="E15" s="15">
        <f>IF(AND(C15&lt;&gt;"",D15&lt;&gt;""),C15+(D15*12*3),"")</f>
        <v/>
      </c>
      <c r="F15" s="15" t="n"/>
      <c r="G15" s="15" t="n"/>
    </row>
    <row r="16">
      <c r="A16" s="15" t="n"/>
      <c r="B16" s="15" t="n"/>
      <c r="C16" s="15" t="n"/>
      <c r="D16" s="15" t="n"/>
      <c r="E16" s="15">
        <f>IF(AND(C16&lt;&gt;"",D16&lt;&gt;""),C16+(D16*12*3),"")</f>
        <v/>
      </c>
      <c r="F16" s="15" t="n"/>
      <c r="G16" s="15" t="n"/>
    </row>
    <row r="17">
      <c r="A17" s="15" t="n"/>
      <c r="B17" s="15" t="n"/>
      <c r="C17" s="15" t="n"/>
      <c r="D17" s="15" t="n"/>
      <c r="E17" s="15">
        <f>IF(AND(C17&lt;&gt;"",D17&lt;&gt;""),C17+(D17*12*3),"")</f>
        <v/>
      </c>
      <c r="F17" s="15" t="n"/>
      <c r="G17" s="15" t="n"/>
    </row>
    <row r="18">
      <c r="A18" s="15" t="n"/>
      <c r="B18" s="15" t="n"/>
      <c r="C18" s="15" t="n"/>
      <c r="D18" s="15" t="n"/>
      <c r="E18" s="15">
        <f>IF(AND(C18&lt;&gt;"",D18&lt;&gt;""),C18+(D18*12*3),"")</f>
        <v/>
      </c>
      <c r="F18" s="15" t="n"/>
      <c r="G18" s="15" t="n"/>
    </row>
    <row r="19">
      <c r="A19" s="15" t="n"/>
      <c r="B19" s="15" t="n"/>
      <c r="C19" s="15" t="n"/>
      <c r="D19" s="15" t="n"/>
      <c r="E19" s="15">
        <f>IF(AND(C19&lt;&gt;"",D19&lt;&gt;""),C19+(D19*12*3),"")</f>
        <v/>
      </c>
      <c r="F19" s="15" t="n"/>
      <c r="G19" s="15" t="n"/>
    </row>
    <row r="20">
      <c r="A20" s="15" t="n"/>
      <c r="B20" s="15" t="n"/>
      <c r="C20" s="15" t="n"/>
      <c r="D20" s="15" t="n"/>
      <c r="E20" s="15">
        <f>IF(AND(C20&lt;&gt;"",D20&lt;&gt;""),C20+(D20*12*3),"")</f>
        <v/>
      </c>
      <c r="F20" s="15" t="n"/>
      <c r="G20" s="15" t="n"/>
    </row>
    <row r="21">
      <c r="A21" s="15" t="n"/>
      <c r="B21" s="15" t="n"/>
      <c r="C21" s="15" t="n"/>
      <c r="D21" s="15" t="n"/>
      <c r="E21" s="15">
        <f>IF(AND(C21&lt;&gt;"",D21&lt;&gt;""),C21+(D21*12*3),"")</f>
        <v/>
      </c>
      <c r="F21" s="15" t="n"/>
      <c r="G21" s="15" t="n"/>
    </row>
    <row r="22">
      <c r="A22" s="15" t="n"/>
      <c r="B22" s="15" t="n"/>
      <c r="C22" s="15" t="n"/>
      <c r="D22" s="15" t="n"/>
      <c r="E22" s="15">
        <f>IF(AND(C22&lt;&gt;"",D22&lt;&gt;""),C22+(D22*12*3),"")</f>
        <v/>
      </c>
      <c r="F22" s="15" t="n"/>
      <c r="G22" s="15" t="n"/>
    </row>
    <row r="23">
      <c r="A23" s="15" t="n"/>
      <c r="B23" s="15" t="n"/>
      <c r="C23" s="15" t="n"/>
      <c r="D23" s="15" t="n"/>
      <c r="E23" s="15">
        <f>IF(AND(C23&lt;&gt;"",D23&lt;&gt;""),C23+(D23*12*3),"")</f>
        <v/>
      </c>
      <c r="F23" s="15" t="n"/>
      <c r="G23" s="15" t="n"/>
    </row>
    <row r="24">
      <c r="A24" s="15" t="n"/>
      <c r="B24" s="15" t="n"/>
      <c r="C24" s="15" t="n"/>
      <c r="D24" s="15" t="n"/>
      <c r="E24" s="15">
        <f>IF(AND(C24&lt;&gt;"",D24&lt;&gt;""),C24+(D24*12*3),"")</f>
        <v/>
      </c>
      <c r="F24" s="15" t="n"/>
      <c r="G24" s="15" t="n"/>
    </row>
    <row r="25">
      <c r="A25" s="15" t="n"/>
      <c r="B25" s="15" t="n"/>
      <c r="C25" s="15" t="n"/>
      <c r="D25" s="15" t="n"/>
      <c r="E25" s="15">
        <f>IF(AND(C25&lt;&gt;"",D25&lt;&gt;""),C25+(D25*12*3),"")</f>
        <v/>
      </c>
      <c r="F25" s="15" t="n"/>
      <c r="G25" s="15" t="n"/>
    </row>
    <row r="26">
      <c r="A26" s="15" t="n"/>
      <c r="B26" s="15" t="n"/>
      <c r="C26" s="15" t="n"/>
      <c r="D26" s="15" t="n"/>
      <c r="E26" s="15">
        <f>IF(AND(C26&lt;&gt;"",D26&lt;&gt;""),C26+(D26*12*3),"")</f>
        <v/>
      </c>
      <c r="F26" s="15" t="n"/>
      <c r="G26" s="15" t="n"/>
    </row>
    <row r="27">
      <c r="A27" s="15" t="n"/>
      <c r="B27" s="15" t="n"/>
      <c r="C27" s="15" t="n"/>
      <c r="D27" s="15" t="n"/>
      <c r="E27" s="15">
        <f>IF(AND(C27&lt;&gt;"",D27&lt;&gt;""),C27+(D27*12*3),"")</f>
        <v/>
      </c>
      <c r="F27" s="15" t="n"/>
      <c r="G27" s="15" t="n"/>
    </row>
    <row r="28">
      <c r="A28" s="15" t="n"/>
      <c r="B28" s="15" t="n"/>
      <c r="C28" s="15" t="n"/>
      <c r="D28" s="15" t="n"/>
      <c r="E28" s="15">
        <f>IF(AND(C28&lt;&gt;"",D28&lt;&gt;""),C28+(D28*12*3),"")</f>
        <v/>
      </c>
      <c r="F28" s="15" t="n"/>
      <c r="G28" s="15" t="n"/>
    </row>
    <row r="29">
      <c r="A29" s="15" t="n"/>
      <c r="B29" s="15" t="n"/>
      <c r="C29" s="15" t="n"/>
      <c r="D29" s="15" t="n"/>
      <c r="E29" s="15">
        <f>IF(AND(C29&lt;&gt;"",D29&lt;&gt;""),C29+(D29*12*3),"")</f>
        <v/>
      </c>
      <c r="F29" s="15" t="n"/>
      <c r="G29" s="15" t="n"/>
    </row>
    <row r="30">
      <c r="A30" s="15" t="n"/>
      <c r="B30" s="15" t="n"/>
      <c r="C30" s="15" t="n"/>
      <c r="D30" s="15" t="n"/>
      <c r="E30" s="15">
        <f>IF(AND(C30&lt;&gt;"",D30&lt;&gt;""),C30+(D30*12*3),"")</f>
        <v/>
      </c>
      <c r="F30" s="15" t="n"/>
      <c r="G30" s="15" t="n"/>
    </row>
    <row r="31">
      <c r="A31" s="15" t="n"/>
      <c r="B31" s="15" t="n"/>
      <c r="C31" s="15" t="n"/>
      <c r="D31" s="15" t="n"/>
      <c r="E31" s="15">
        <f>IF(AND(C31&lt;&gt;"",D31&lt;&gt;""),C31+(D31*12*3),"")</f>
        <v/>
      </c>
      <c r="F31" s="15" t="n"/>
      <c r="G31" s="15" t="n"/>
    </row>
    <row r="32">
      <c r="A32" s="15" t="n"/>
      <c r="B32" s="15" t="n"/>
      <c r="C32" s="15" t="n"/>
      <c r="D32" s="15" t="n"/>
      <c r="E32" s="15">
        <f>IF(AND(C32&lt;&gt;"",D32&lt;&gt;""),C32+(D32*12*3),"")</f>
        <v/>
      </c>
      <c r="F32" s="15" t="n"/>
      <c r="G32" s="15" t="n"/>
    </row>
    <row r="33">
      <c r="A33" s="15" t="n"/>
      <c r="B33" s="15" t="n"/>
      <c r="C33" s="15" t="n"/>
      <c r="D33" s="15" t="n"/>
      <c r="E33" s="15">
        <f>IF(AND(C33&lt;&gt;"",D33&lt;&gt;""),C33+(D33*12*3),"")</f>
        <v/>
      </c>
      <c r="F33" s="15" t="n"/>
      <c r="G33" s="15" t="n"/>
    </row>
    <row r="34">
      <c r="A34" s="15" t="n"/>
      <c r="B34" s="15" t="n"/>
      <c r="C34" s="15" t="n"/>
      <c r="D34" s="15" t="n"/>
      <c r="E34" s="15">
        <f>IF(AND(C34&lt;&gt;"",D34&lt;&gt;""),C34+(D34*12*3),"")</f>
        <v/>
      </c>
      <c r="F34" s="15" t="n"/>
      <c r="G34" s="15" t="n"/>
    </row>
    <row r="35">
      <c r="A35" s="15" t="n"/>
      <c r="B35" s="15" t="n"/>
      <c r="C35" s="15" t="n"/>
      <c r="D35" s="15" t="n"/>
      <c r="E35" s="15">
        <f>IF(AND(C35&lt;&gt;"",D35&lt;&gt;""),C35+(D35*12*3),"")</f>
        <v/>
      </c>
      <c r="F35" s="15" t="n"/>
      <c r="G35" s="15" t="n"/>
    </row>
    <row r="36">
      <c r="A36" s="15" t="n"/>
      <c r="B36" s="15" t="n"/>
      <c r="C36" s="15" t="n"/>
      <c r="D36" s="15" t="n"/>
      <c r="E36" s="15">
        <f>IF(AND(C36&lt;&gt;"",D36&lt;&gt;""),C36+(D36*12*3),"")</f>
        <v/>
      </c>
      <c r="F36" s="15" t="n"/>
      <c r="G36" s="15" t="n"/>
    </row>
    <row r="37">
      <c r="A37" s="15" t="n"/>
      <c r="B37" s="15" t="n"/>
      <c r="C37" s="15" t="n"/>
      <c r="D37" s="15" t="n"/>
      <c r="E37" s="15">
        <f>IF(AND(C37&lt;&gt;"",D37&lt;&gt;""),C37+(D37*12*3),"")</f>
        <v/>
      </c>
      <c r="F37" s="15" t="n"/>
      <c r="G37" s="15" t="n"/>
    </row>
    <row r="38">
      <c r="A38" s="15" t="n"/>
      <c r="B38" s="15" t="n"/>
      <c r="C38" s="15" t="n"/>
      <c r="D38" s="15" t="n"/>
      <c r="E38" s="15">
        <f>IF(AND(C38&lt;&gt;"",D38&lt;&gt;""),C38+(D38*12*3),"")</f>
        <v/>
      </c>
      <c r="F38" s="15" t="n"/>
      <c r="G38" s="15" t="n"/>
    </row>
    <row r="39">
      <c r="A39" s="15" t="n"/>
      <c r="B39" s="15" t="n"/>
      <c r="C39" s="15" t="n"/>
      <c r="D39" s="15" t="n"/>
      <c r="E39" s="15">
        <f>IF(AND(C39&lt;&gt;"",D39&lt;&gt;""),C39+(D39*12*3),"")</f>
        <v/>
      </c>
      <c r="F39" s="15" t="n"/>
      <c r="G39" s="15" t="n"/>
    </row>
    <row r="40">
      <c r="A40" s="15" t="n"/>
      <c r="B40" s="15" t="n"/>
      <c r="C40" s="15" t="n"/>
      <c r="D40" s="15" t="n"/>
      <c r="E40" s="15">
        <f>IF(AND(C40&lt;&gt;"",D40&lt;&gt;""),C40+(D40*12*3),"")</f>
        <v/>
      </c>
      <c r="F40" s="15" t="n"/>
      <c r="G40" s="15" t="n"/>
    </row>
    <row r="41">
      <c r="A41" s="15" t="n"/>
      <c r="B41" s="15" t="n"/>
      <c r="C41" s="15" t="n"/>
      <c r="D41" s="15" t="n"/>
      <c r="E41" s="15">
        <f>IF(AND(C41&lt;&gt;"",D41&lt;&gt;""),C41+(D41*12*3),"")</f>
        <v/>
      </c>
      <c r="F41" s="15" t="n"/>
      <c r="G41" s="15" t="n"/>
    </row>
    <row r="42">
      <c r="A42" s="15" t="n"/>
      <c r="B42" s="15" t="n"/>
      <c r="C42" s="15" t="n"/>
      <c r="D42" s="15" t="n"/>
      <c r="E42" s="15">
        <f>IF(AND(C42&lt;&gt;"",D42&lt;&gt;""),C42+(D42*12*3),"")</f>
        <v/>
      </c>
      <c r="F42" s="15" t="n"/>
      <c r="G42" s="15" t="n"/>
    </row>
    <row r="43">
      <c r="A43" s="15" t="n"/>
      <c r="B43" s="15" t="n"/>
      <c r="C43" s="15" t="n"/>
      <c r="D43" s="15" t="n"/>
      <c r="E43" s="15">
        <f>IF(AND(C43&lt;&gt;"",D43&lt;&gt;""),C43+(D43*12*3),"")</f>
        <v/>
      </c>
      <c r="F43" s="15" t="n"/>
      <c r="G43" s="15" t="n"/>
    </row>
    <row r="44">
      <c r="A44" s="15" t="n"/>
      <c r="B44" s="15" t="n"/>
      <c r="C44" s="15" t="n"/>
      <c r="D44" s="15" t="n"/>
      <c r="E44" s="15">
        <f>IF(AND(C44&lt;&gt;"",D44&lt;&gt;""),C44+(D44*12*3),"")</f>
        <v/>
      </c>
      <c r="F44" s="15" t="n"/>
      <c r="G44" s="15" t="n"/>
    </row>
    <row r="45">
      <c r="A45" s="15" t="n"/>
      <c r="B45" s="15" t="n"/>
      <c r="C45" s="15" t="n"/>
      <c r="D45" s="15" t="n"/>
      <c r="E45" s="15">
        <f>IF(AND(C45&lt;&gt;"",D45&lt;&gt;""),C45+(D45*12*3),"")</f>
        <v/>
      </c>
      <c r="F45" s="15" t="n"/>
      <c r="G45" s="15" t="n"/>
    </row>
    <row r="46">
      <c r="A46" s="15" t="n"/>
      <c r="B46" s="15" t="n"/>
      <c r="C46" s="15" t="n"/>
      <c r="D46" s="15" t="n"/>
      <c r="E46" s="15">
        <f>IF(AND(C46&lt;&gt;"",D46&lt;&gt;""),C46+(D46*12*3),"")</f>
        <v/>
      </c>
      <c r="F46" s="15" t="n"/>
      <c r="G46" s="15" t="n"/>
    </row>
    <row r="47">
      <c r="A47" s="15" t="n"/>
      <c r="B47" s="15" t="n"/>
      <c r="C47" s="15" t="n"/>
      <c r="D47" s="15" t="n"/>
      <c r="E47" s="15">
        <f>IF(AND(C47&lt;&gt;"",D47&lt;&gt;""),C47+(D47*12*3),"")</f>
        <v/>
      </c>
      <c r="F47" s="15" t="n"/>
      <c r="G47" s="15" t="n"/>
    </row>
    <row r="48">
      <c r="A48" s="15" t="n"/>
      <c r="B48" s="15" t="n"/>
      <c r="C48" s="15" t="n"/>
      <c r="D48" s="15" t="n"/>
      <c r="E48" s="15">
        <f>IF(AND(C48&lt;&gt;"",D48&lt;&gt;""),C48+(D48*12*3),"")</f>
        <v/>
      </c>
      <c r="F48" s="15" t="n"/>
      <c r="G48" s="15" t="n"/>
    </row>
    <row r="49">
      <c r="A49" s="15" t="n"/>
      <c r="B49" s="15" t="n"/>
      <c r="C49" s="15" t="n"/>
      <c r="D49" s="15" t="n"/>
      <c r="E49" s="15">
        <f>IF(AND(C49&lt;&gt;"",D49&lt;&gt;""),C49+(D49*12*3),"")</f>
        <v/>
      </c>
      <c r="F49" s="15" t="n"/>
      <c r="G49" s="15" t="n"/>
    </row>
    <row r="50">
      <c r="A50" s="15" t="n"/>
      <c r="B50" s="15" t="n"/>
      <c r="C50" s="15" t="n"/>
      <c r="D50" s="15" t="n"/>
      <c r="E50" s="15">
        <f>IF(AND(C50&lt;&gt;"",D50&lt;&gt;""),C50+(D50*12*3),"")</f>
        <v/>
      </c>
      <c r="F50" s="15" t="n"/>
      <c r="G50" s="15" t="n"/>
    </row>
    <row r="51">
      <c r="A51" s="15" t="n"/>
      <c r="B51" s="15" t="n"/>
      <c r="C51" s="15" t="n"/>
      <c r="D51" s="15" t="n"/>
      <c r="E51" s="15">
        <f>IF(AND(C51&lt;&gt;"",D51&lt;&gt;""),C51+(D51*12*3),"")</f>
        <v/>
      </c>
      <c r="F51" s="15" t="n"/>
      <c r="G51" s="15" t="n"/>
    </row>
    <row r="52">
      <c r="A52" s="15" t="n"/>
      <c r="B52" s="15" t="n"/>
      <c r="C52" s="15" t="n"/>
      <c r="D52" s="15" t="n"/>
      <c r="E52" s="15">
        <f>IF(AND(C52&lt;&gt;"",D52&lt;&gt;""),C52+(D52*12*3),"")</f>
        <v/>
      </c>
      <c r="F52" s="15" t="n"/>
      <c r="G52" s="15" t="n"/>
    </row>
    <row r="53">
      <c r="A53" s="15" t="n"/>
      <c r="B53" s="15" t="n"/>
      <c r="C53" s="15" t="n"/>
      <c r="D53" s="15" t="n"/>
      <c r="E53" s="15">
        <f>IF(AND(C53&lt;&gt;"",D53&lt;&gt;""),C53+(D53*12*3),"")</f>
        <v/>
      </c>
      <c r="F53" s="15" t="n"/>
      <c r="G53" s="15" t="n"/>
    </row>
    <row r="54">
      <c r="A54" s="15" t="n"/>
      <c r="B54" s="15" t="n"/>
      <c r="C54" s="15" t="n"/>
      <c r="D54" s="15" t="n"/>
      <c r="E54" s="15">
        <f>IF(AND(C54&lt;&gt;"",D54&lt;&gt;""),C54+(D54*12*3),"")</f>
        <v/>
      </c>
      <c r="F54" s="15" t="n"/>
      <c r="G54" s="15" t="n"/>
    </row>
  </sheetData>
  <mergeCells count="2">
    <mergeCell ref="A2:G2"/>
    <mergeCell ref="A1:G1"/>
  </mergeCells>
  <dataValidations count="2">
    <dataValidation sqref="B5 B6 B7 B8 B9 B10 B11 B12 B13 B14 B15 B16 B17 B18 B19 B20 B21 B22 B23 B24 B25 B26 B27 B28 B29 B30 B31 B32 B33 B34 B35 B36 B37 B38 B39 B40 B41 B42 B43 B44 B45 B46 B47 B48 B49 B50 B51 B52 B53 B54" showDropDown="0" showInputMessage="0" showErrorMessage="0" allowBlank="1" type="list">
      <formula1>"Q1,Q2,Q3,Q4"</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1" type="list">
      <formula1>"Pending,Approved,Rejected,Deferred"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16" t="inlineStr">
        <is>
          <t>EVIDENCE REGISTER</t>
        </is>
      </c>
    </row>
    <row r="2">
      <c r="A2" s="17" t="inlineStr">
        <is>
          <t>List all evidence files/documents referenced in this assessment (audit traceability).</t>
        </is>
      </c>
    </row>
    <row r="4">
      <c r="A4" s="18" t="inlineStr">
        <is>
          <t>Evidence ID</t>
        </is>
      </c>
      <c r="B4" s="18" t="inlineStr">
        <is>
          <t>Assessment Area</t>
        </is>
      </c>
      <c r="C4" s="18" t="inlineStr">
        <is>
          <t>Evidence Type</t>
        </is>
      </c>
      <c r="D4" s="18" t="inlineStr">
        <is>
          <t>Description</t>
        </is>
      </c>
      <c r="E4" s="18" t="inlineStr">
        <is>
          <t>Location/Path</t>
        </is>
      </c>
      <c r="F4" s="18" t="inlineStr">
        <is>
          <t>Date Collected</t>
        </is>
      </c>
      <c r="G4" s="18" t="inlineStr">
        <is>
          <t>Collected By</t>
        </is>
      </c>
      <c r="H4" s="18" t="inlineStr">
        <is>
          <t>Verification Status</t>
        </is>
      </c>
    </row>
    <row r="5">
      <c r="A5" s="14" t="inlineStr">
        <is>
          <t>EV-001</t>
        </is>
      </c>
      <c r="B5" s="14" t="inlineStr">
        <is>
          <t>Capacity Forecasting</t>
        </is>
      </c>
      <c r="C5" s="14" t="inlineStr">
        <is>
          <t>Capacity report</t>
        </is>
      </c>
      <c r="D5" s="14" t="inlineStr">
        <is>
          <t>12-month capacity forecast model with growth projections</t>
        </is>
      </c>
      <c r="E5" s="14" t="inlineStr">
        <is>
          <t>/capacity/forecasts/q1-2026-forecast.xlsx</t>
        </is>
      </c>
      <c r="F5" s="14" t="inlineStr">
        <is>
          <t>15.01.2026</t>
        </is>
      </c>
      <c r="G5" s="14" t="inlineStr">
        <is>
          <t>Capacity Planning Team</t>
        </is>
      </c>
      <c r="H5" s="14" t="inlineStr">
        <is>
          <t>Verified</t>
        </is>
      </c>
    </row>
    <row r="6">
      <c r="A6" s="15" t="n"/>
      <c r="B6" s="15" t="n"/>
      <c r="C6" s="15" t="n"/>
      <c r="D6" s="15" t="n"/>
      <c r="E6" s="15" t="n"/>
      <c r="F6" s="15" t="n"/>
      <c r="G6" s="15" t="n"/>
      <c r="H6" s="15" t="n"/>
    </row>
    <row r="7">
      <c r="A7" s="15" t="n"/>
      <c r="B7" s="15" t="n"/>
      <c r="C7" s="15" t="n"/>
      <c r="D7" s="15" t="n"/>
      <c r="E7" s="15" t="n"/>
      <c r="F7" s="15" t="n"/>
      <c r="G7" s="15" t="n"/>
      <c r="H7" s="15" t="n"/>
    </row>
    <row r="8">
      <c r="A8" s="15" t="n"/>
      <c r="B8" s="15" t="n"/>
      <c r="C8" s="15" t="n"/>
      <c r="D8" s="15" t="n"/>
      <c r="E8" s="15" t="n"/>
      <c r="F8" s="15" t="n"/>
      <c r="G8" s="15" t="n"/>
      <c r="H8" s="15" t="n"/>
    </row>
    <row r="9">
      <c r="A9" s="15" t="n"/>
      <c r="B9" s="15" t="n"/>
      <c r="C9" s="15" t="n"/>
      <c r="D9" s="15" t="n"/>
      <c r="E9" s="15" t="n"/>
      <c r="F9" s="15" t="n"/>
      <c r="G9" s="15" t="n"/>
      <c r="H9" s="15" t="n"/>
    </row>
    <row r="10">
      <c r="A10" s="15" t="n"/>
      <c r="B10" s="15" t="n"/>
      <c r="C10" s="15" t="n"/>
      <c r="D10" s="15" t="n"/>
      <c r="E10" s="15" t="n"/>
      <c r="F10" s="15" t="n"/>
      <c r="G10" s="15" t="n"/>
      <c r="H10" s="15" t="n"/>
    </row>
    <row r="11">
      <c r="A11" s="15" t="n"/>
      <c r="B11" s="15" t="n"/>
      <c r="C11" s="15" t="n"/>
      <c r="D11" s="15" t="n"/>
      <c r="E11" s="15" t="n"/>
      <c r="F11" s="15" t="n"/>
      <c r="G11" s="15" t="n"/>
      <c r="H11" s="15" t="n"/>
    </row>
    <row r="12">
      <c r="A12" s="15" t="n"/>
      <c r="B12" s="15" t="n"/>
      <c r="C12" s="15" t="n"/>
      <c r="D12" s="15" t="n"/>
      <c r="E12" s="15" t="n"/>
      <c r="F12" s="15" t="n"/>
      <c r="G12" s="15" t="n"/>
      <c r="H12" s="15" t="n"/>
    </row>
    <row r="13">
      <c r="A13" s="15" t="n"/>
      <c r="B13" s="15" t="n"/>
      <c r="C13" s="15" t="n"/>
      <c r="D13" s="15" t="n"/>
      <c r="E13" s="15" t="n"/>
      <c r="F13" s="15" t="n"/>
      <c r="G13" s="15" t="n"/>
      <c r="H13" s="15" t="n"/>
    </row>
    <row r="14">
      <c r="A14" s="15" t="n"/>
      <c r="B14" s="15" t="n"/>
      <c r="C14" s="15" t="n"/>
      <c r="D14" s="15" t="n"/>
      <c r="E14" s="15" t="n"/>
      <c r="F14" s="15" t="n"/>
      <c r="G14" s="15" t="n"/>
      <c r="H14" s="15" t="n"/>
    </row>
    <row r="15">
      <c r="A15" s="15" t="n"/>
      <c r="B15" s="15" t="n"/>
      <c r="C15" s="15" t="n"/>
      <c r="D15" s="15" t="n"/>
      <c r="E15" s="15" t="n"/>
      <c r="F15" s="15" t="n"/>
      <c r="G15" s="15" t="n"/>
      <c r="H15" s="15" t="n"/>
    </row>
    <row r="16">
      <c r="A16" s="15" t="n"/>
      <c r="B16" s="15" t="n"/>
      <c r="C16" s="15" t="n"/>
      <c r="D16" s="15" t="n"/>
      <c r="E16" s="15" t="n"/>
      <c r="F16" s="15" t="n"/>
      <c r="G16" s="15" t="n"/>
      <c r="H16" s="15" t="n"/>
    </row>
    <row r="17">
      <c r="A17" s="15" t="n"/>
      <c r="B17" s="15" t="n"/>
      <c r="C17" s="15" t="n"/>
      <c r="D17" s="15" t="n"/>
      <c r="E17" s="15" t="n"/>
      <c r="F17" s="15" t="n"/>
      <c r="G17" s="15" t="n"/>
      <c r="H17" s="15" t="n"/>
    </row>
    <row r="18">
      <c r="A18" s="15" t="n"/>
      <c r="B18" s="15" t="n"/>
      <c r="C18" s="15" t="n"/>
      <c r="D18" s="15" t="n"/>
      <c r="E18" s="15" t="n"/>
      <c r="F18" s="15" t="n"/>
      <c r="G18" s="15" t="n"/>
      <c r="H18" s="15" t="n"/>
    </row>
    <row r="19">
      <c r="A19" s="15" t="n"/>
      <c r="B19" s="15" t="n"/>
      <c r="C19" s="15" t="n"/>
      <c r="D19" s="15" t="n"/>
      <c r="E19" s="15" t="n"/>
      <c r="F19" s="15" t="n"/>
      <c r="G19" s="15" t="n"/>
      <c r="H19" s="15" t="n"/>
    </row>
    <row r="20">
      <c r="A20" s="15" t="n"/>
      <c r="B20" s="15" t="n"/>
      <c r="C20" s="15" t="n"/>
      <c r="D20" s="15" t="n"/>
      <c r="E20" s="15" t="n"/>
      <c r="F20" s="15" t="n"/>
      <c r="G20" s="15" t="n"/>
      <c r="H20" s="15" t="n"/>
    </row>
    <row r="21">
      <c r="A21" s="15" t="n"/>
      <c r="B21" s="15" t="n"/>
      <c r="C21" s="15" t="n"/>
      <c r="D21" s="15" t="n"/>
      <c r="E21" s="15" t="n"/>
      <c r="F21" s="15" t="n"/>
      <c r="G21" s="15" t="n"/>
      <c r="H21" s="15" t="n"/>
    </row>
    <row r="22">
      <c r="A22" s="15" t="n"/>
      <c r="B22" s="15" t="n"/>
      <c r="C22" s="15" t="n"/>
      <c r="D22" s="15" t="n"/>
      <c r="E22" s="15" t="n"/>
      <c r="F22" s="15" t="n"/>
      <c r="G22" s="15" t="n"/>
      <c r="H22" s="15" t="n"/>
    </row>
    <row r="23">
      <c r="A23" s="15" t="n"/>
      <c r="B23" s="15" t="n"/>
      <c r="C23" s="15" t="n"/>
      <c r="D23" s="15" t="n"/>
      <c r="E23" s="15" t="n"/>
      <c r="F23" s="15" t="n"/>
      <c r="G23" s="15" t="n"/>
      <c r="H23" s="15" t="n"/>
    </row>
    <row r="24">
      <c r="A24" s="15" t="n"/>
      <c r="B24" s="15" t="n"/>
      <c r="C24" s="15" t="n"/>
      <c r="D24" s="15" t="n"/>
      <c r="E24" s="15" t="n"/>
      <c r="F24" s="15" t="n"/>
      <c r="G24" s="15" t="n"/>
      <c r="H24" s="15" t="n"/>
    </row>
    <row r="25">
      <c r="A25" s="15" t="n"/>
      <c r="B25" s="15" t="n"/>
      <c r="C25" s="15" t="n"/>
      <c r="D25" s="15" t="n"/>
      <c r="E25" s="15" t="n"/>
      <c r="F25" s="15" t="n"/>
      <c r="G25" s="15" t="n"/>
      <c r="H25" s="15" t="n"/>
    </row>
    <row r="26">
      <c r="A26" s="15" t="n"/>
      <c r="B26" s="15" t="n"/>
      <c r="C26" s="15" t="n"/>
      <c r="D26" s="15" t="n"/>
      <c r="E26" s="15" t="n"/>
      <c r="F26" s="15" t="n"/>
      <c r="G26" s="15" t="n"/>
      <c r="H26" s="15" t="n"/>
    </row>
    <row r="27">
      <c r="A27" s="15" t="n"/>
      <c r="B27" s="15" t="n"/>
      <c r="C27" s="15" t="n"/>
      <c r="D27" s="15" t="n"/>
      <c r="E27" s="15" t="n"/>
      <c r="F27" s="15" t="n"/>
      <c r="G27" s="15" t="n"/>
      <c r="H27" s="15" t="n"/>
    </row>
    <row r="28">
      <c r="A28" s="15" t="n"/>
      <c r="B28" s="15" t="n"/>
      <c r="C28" s="15" t="n"/>
      <c r="D28" s="15" t="n"/>
      <c r="E28" s="15" t="n"/>
      <c r="F28" s="15" t="n"/>
      <c r="G28" s="15" t="n"/>
      <c r="H28" s="15" t="n"/>
    </row>
    <row r="29">
      <c r="A29" s="15" t="n"/>
      <c r="B29" s="15" t="n"/>
      <c r="C29" s="15" t="n"/>
      <c r="D29" s="15" t="n"/>
      <c r="E29" s="15" t="n"/>
      <c r="F29" s="15" t="n"/>
      <c r="G29" s="15" t="n"/>
      <c r="H29" s="15" t="n"/>
    </row>
    <row r="30">
      <c r="A30" s="15" t="n"/>
      <c r="B30" s="15" t="n"/>
      <c r="C30" s="15" t="n"/>
      <c r="D30" s="15" t="n"/>
      <c r="E30" s="15" t="n"/>
      <c r="F30" s="15" t="n"/>
      <c r="G30" s="15" t="n"/>
      <c r="H30" s="15" t="n"/>
    </row>
    <row r="31">
      <c r="A31" s="15" t="n"/>
      <c r="B31" s="15" t="n"/>
      <c r="C31" s="15" t="n"/>
      <c r="D31" s="15" t="n"/>
      <c r="E31" s="15" t="n"/>
      <c r="F31" s="15" t="n"/>
      <c r="G31" s="15" t="n"/>
      <c r="H31" s="15" t="n"/>
    </row>
    <row r="32">
      <c r="A32" s="15" t="n"/>
      <c r="B32" s="15" t="n"/>
      <c r="C32" s="15" t="n"/>
      <c r="D32" s="15" t="n"/>
      <c r="E32" s="15" t="n"/>
      <c r="F32" s="15" t="n"/>
      <c r="G32" s="15" t="n"/>
      <c r="H32" s="15" t="n"/>
    </row>
    <row r="33">
      <c r="A33" s="15" t="n"/>
      <c r="B33" s="15" t="n"/>
      <c r="C33" s="15" t="n"/>
      <c r="D33" s="15" t="n"/>
      <c r="E33" s="15" t="n"/>
      <c r="F33" s="15" t="n"/>
      <c r="G33" s="15" t="n"/>
      <c r="H33" s="15" t="n"/>
    </row>
    <row r="34">
      <c r="A34" s="15" t="n"/>
      <c r="B34" s="15" t="n"/>
      <c r="C34" s="15" t="n"/>
      <c r="D34" s="15" t="n"/>
      <c r="E34" s="15" t="n"/>
      <c r="F34" s="15" t="n"/>
      <c r="G34" s="15" t="n"/>
      <c r="H34" s="15" t="n"/>
    </row>
    <row r="35">
      <c r="A35" s="15" t="n"/>
      <c r="B35" s="15" t="n"/>
      <c r="C35" s="15" t="n"/>
      <c r="D35" s="15" t="n"/>
      <c r="E35" s="15" t="n"/>
      <c r="F35" s="15" t="n"/>
      <c r="G35" s="15" t="n"/>
      <c r="H35" s="15" t="n"/>
    </row>
    <row r="36">
      <c r="A36" s="15" t="n"/>
      <c r="B36" s="15" t="n"/>
      <c r="C36" s="15" t="n"/>
      <c r="D36" s="15" t="n"/>
      <c r="E36" s="15" t="n"/>
      <c r="F36" s="15" t="n"/>
      <c r="G36" s="15" t="n"/>
      <c r="H36" s="15" t="n"/>
    </row>
    <row r="37">
      <c r="A37" s="15" t="n"/>
      <c r="B37" s="15" t="n"/>
      <c r="C37" s="15" t="n"/>
      <c r="D37" s="15" t="n"/>
      <c r="E37" s="15" t="n"/>
      <c r="F37" s="15" t="n"/>
      <c r="G37" s="15" t="n"/>
      <c r="H37" s="15" t="n"/>
    </row>
    <row r="38">
      <c r="A38" s="15" t="n"/>
      <c r="B38" s="15" t="n"/>
      <c r="C38" s="15" t="n"/>
      <c r="D38" s="15" t="n"/>
      <c r="E38" s="15" t="n"/>
      <c r="F38" s="15" t="n"/>
      <c r="G38" s="15" t="n"/>
      <c r="H38" s="15" t="n"/>
    </row>
    <row r="39">
      <c r="A39" s="15" t="n"/>
      <c r="B39" s="15" t="n"/>
      <c r="C39" s="15" t="n"/>
      <c r="D39" s="15" t="n"/>
      <c r="E39" s="15" t="n"/>
      <c r="F39" s="15" t="n"/>
      <c r="G39" s="15" t="n"/>
      <c r="H39" s="15" t="n"/>
    </row>
    <row r="40">
      <c r="A40" s="15" t="n"/>
      <c r="B40" s="15" t="n"/>
      <c r="C40" s="15" t="n"/>
      <c r="D40" s="15" t="n"/>
      <c r="E40" s="15" t="n"/>
      <c r="F40" s="15" t="n"/>
      <c r="G40" s="15" t="n"/>
      <c r="H40" s="15" t="n"/>
    </row>
    <row r="41">
      <c r="A41" s="15" t="n"/>
      <c r="B41" s="15" t="n"/>
      <c r="C41" s="15" t="n"/>
      <c r="D41" s="15" t="n"/>
      <c r="E41" s="15" t="n"/>
      <c r="F41" s="15" t="n"/>
      <c r="G41" s="15" t="n"/>
      <c r="H41" s="15" t="n"/>
    </row>
    <row r="42">
      <c r="A42" s="15" t="n"/>
      <c r="B42" s="15" t="n"/>
      <c r="C42" s="15" t="n"/>
      <c r="D42" s="15" t="n"/>
      <c r="E42" s="15" t="n"/>
      <c r="F42" s="15" t="n"/>
      <c r="G42" s="15" t="n"/>
      <c r="H42" s="15" t="n"/>
    </row>
    <row r="43">
      <c r="A43" s="15" t="n"/>
      <c r="B43" s="15" t="n"/>
      <c r="C43" s="15" t="n"/>
      <c r="D43" s="15" t="n"/>
      <c r="E43" s="15" t="n"/>
      <c r="F43" s="15" t="n"/>
      <c r="G43" s="15" t="n"/>
      <c r="H43" s="15" t="n"/>
    </row>
    <row r="44">
      <c r="A44" s="15" t="n"/>
      <c r="B44" s="15" t="n"/>
      <c r="C44" s="15" t="n"/>
      <c r="D44" s="15" t="n"/>
      <c r="E44" s="15" t="n"/>
      <c r="F44" s="15" t="n"/>
      <c r="G44" s="15" t="n"/>
      <c r="H44" s="15" t="n"/>
    </row>
    <row r="45">
      <c r="A45" s="15" t="n"/>
      <c r="B45" s="15" t="n"/>
      <c r="C45" s="15" t="n"/>
      <c r="D45" s="15" t="n"/>
      <c r="E45" s="15" t="n"/>
      <c r="F45" s="15" t="n"/>
      <c r="G45" s="15" t="n"/>
      <c r="H45" s="15" t="n"/>
    </row>
    <row r="46">
      <c r="A46" s="15" t="n"/>
      <c r="B46" s="15" t="n"/>
      <c r="C46" s="15" t="n"/>
      <c r="D46" s="15" t="n"/>
      <c r="E46" s="15" t="n"/>
      <c r="F46" s="15" t="n"/>
      <c r="G46" s="15" t="n"/>
      <c r="H46" s="15" t="n"/>
    </row>
    <row r="47">
      <c r="A47" s="15" t="n"/>
      <c r="B47" s="15" t="n"/>
      <c r="C47" s="15" t="n"/>
      <c r="D47" s="15" t="n"/>
      <c r="E47" s="15" t="n"/>
      <c r="F47" s="15" t="n"/>
      <c r="G47" s="15" t="n"/>
      <c r="H47" s="15" t="n"/>
    </row>
    <row r="48">
      <c r="A48" s="15" t="n"/>
      <c r="B48" s="15" t="n"/>
      <c r="C48" s="15" t="n"/>
      <c r="D48" s="15" t="n"/>
      <c r="E48" s="15" t="n"/>
      <c r="F48" s="15" t="n"/>
      <c r="G48" s="15" t="n"/>
      <c r="H48" s="15" t="n"/>
    </row>
    <row r="49">
      <c r="A49" s="15" t="n"/>
      <c r="B49" s="15" t="n"/>
      <c r="C49" s="15" t="n"/>
      <c r="D49" s="15" t="n"/>
      <c r="E49" s="15" t="n"/>
      <c r="F49" s="15" t="n"/>
      <c r="G49" s="15" t="n"/>
      <c r="H49" s="15" t="n"/>
    </row>
    <row r="50">
      <c r="A50" s="15" t="n"/>
      <c r="B50" s="15" t="n"/>
      <c r="C50" s="15" t="n"/>
      <c r="D50" s="15" t="n"/>
      <c r="E50" s="15" t="n"/>
      <c r="F50" s="15" t="n"/>
      <c r="G50" s="15" t="n"/>
      <c r="H50" s="15" t="n"/>
    </row>
    <row r="51">
      <c r="A51" s="15" t="n"/>
      <c r="B51" s="15" t="n"/>
      <c r="C51" s="15" t="n"/>
      <c r="D51" s="15" t="n"/>
      <c r="E51" s="15" t="n"/>
      <c r="F51" s="15" t="n"/>
      <c r="G51" s="15" t="n"/>
      <c r="H51" s="15" t="n"/>
    </row>
    <row r="52">
      <c r="A52" s="15" t="n"/>
      <c r="B52" s="15" t="n"/>
      <c r="C52" s="15" t="n"/>
      <c r="D52" s="15" t="n"/>
      <c r="E52" s="15" t="n"/>
      <c r="F52" s="15" t="n"/>
      <c r="G52" s="15" t="n"/>
      <c r="H52" s="15" t="n"/>
    </row>
    <row r="53">
      <c r="A53" s="15" t="n"/>
      <c r="B53" s="15" t="n"/>
      <c r="C53" s="15" t="n"/>
      <c r="D53" s="15" t="n"/>
      <c r="E53" s="15" t="n"/>
      <c r="F53" s="15" t="n"/>
      <c r="G53" s="15" t="n"/>
      <c r="H53" s="15" t="n"/>
    </row>
    <row r="54">
      <c r="A54" s="15" t="n"/>
      <c r="B54" s="15" t="n"/>
      <c r="C54" s="15" t="n"/>
      <c r="D54" s="15" t="n"/>
      <c r="E54" s="15" t="n"/>
      <c r="F54" s="15" t="n"/>
      <c r="G54" s="15" t="n"/>
      <c r="H54" s="15" t="n"/>
    </row>
    <row r="55">
      <c r="A55" s="15" t="n"/>
      <c r="B55" s="15" t="n"/>
      <c r="C55" s="15" t="n"/>
      <c r="D55" s="15" t="n"/>
      <c r="E55" s="15" t="n"/>
      <c r="F55" s="15" t="n"/>
      <c r="G55" s="15" t="n"/>
      <c r="H55" s="15" t="n"/>
    </row>
    <row r="56">
      <c r="A56" s="15" t="n"/>
      <c r="B56" s="15" t="n"/>
      <c r="C56" s="15" t="n"/>
      <c r="D56" s="15" t="n"/>
      <c r="E56" s="15" t="n"/>
      <c r="F56" s="15" t="n"/>
      <c r="G56" s="15" t="n"/>
      <c r="H56" s="15" t="n"/>
    </row>
    <row r="57">
      <c r="A57" s="15" t="n"/>
      <c r="B57" s="15" t="n"/>
      <c r="C57" s="15" t="n"/>
      <c r="D57" s="15" t="n"/>
      <c r="E57" s="15" t="n"/>
      <c r="F57" s="15" t="n"/>
      <c r="G57" s="15" t="n"/>
      <c r="H57" s="15" t="n"/>
    </row>
    <row r="58">
      <c r="A58" s="15" t="n"/>
      <c r="B58" s="15" t="n"/>
      <c r="C58" s="15" t="n"/>
      <c r="D58" s="15" t="n"/>
      <c r="E58" s="15" t="n"/>
      <c r="F58" s="15" t="n"/>
      <c r="G58" s="15" t="n"/>
      <c r="H58" s="15" t="n"/>
    </row>
    <row r="59">
      <c r="A59" s="15" t="n"/>
      <c r="B59" s="15" t="n"/>
      <c r="C59" s="15" t="n"/>
      <c r="D59" s="15" t="n"/>
      <c r="E59" s="15" t="n"/>
      <c r="F59" s="15" t="n"/>
      <c r="G59" s="15" t="n"/>
      <c r="H59" s="15" t="n"/>
    </row>
    <row r="60">
      <c r="A60" s="15" t="n"/>
      <c r="B60" s="15" t="n"/>
      <c r="C60" s="15" t="n"/>
      <c r="D60" s="15" t="n"/>
      <c r="E60" s="15" t="n"/>
      <c r="F60" s="15" t="n"/>
      <c r="G60" s="15" t="n"/>
      <c r="H60" s="15" t="n"/>
    </row>
    <row r="61">
      <c r="A61" s="15" t="n"/>
      <c r="B61" s="15" t="n"/>
      <c r="C61" s="15" t="n"/>
      <c r="D61" s="15" t="n"/>
      <c r="E61" s="15" t="n"/>
      <c r="F61" s="15" t="n"/>
      <c r="G61" s="15" t="n"/>
      <c r="H61" s="15" t="n"/>
    </row>
    <row r="62">
      <c r="A62" s="15" t="n"/>
      <c r="B62" s="15" t="n"/>
      <c r="C62" s="15" t="n"/>
      <c r="D62" s="15" t="n"/>
      <c r="E62" s="15" t="n"/>
      <c r="F62" s="15" t="n"/>
      <c r="G62" s="15" t="n"/>
      <c r="H62" s="15" t="n"/>
    </row>
    <row r="63">
      <c r="A63" s="15" t="n"/>
      <c r="B63" s="15" t="n"/>
      <c r="C63" s="15" t="n"/>
      <c r="D63" s="15" t="n"/>
      <c r="E63" s="15" t="n"/>
      <c r="F63" s="15" t="n"/>
      <c r="G63" s="15" t="n"/>
      <c r="H63" s="15" t="n"/>
    </row>
    <row r="64">
      <c r="A64" s="15" t="n"/>
      <c r="B64" s="15" t="n"/>
      <c r="C64" s="15" t="n"/>
      <c r="D64" s="15" t="n"/>
      <c r="E64" s="15" t="n"/>
      <c r="F64" s="15" t="n"/>
      <c r="G64" s="15" t="n"/>
      <c r="H64" s="15" t="n"/>
    </row>
    <row r="65">
      <c r="A65" s="15" t="n"/>
      <c r="B65" s="15" t="n"/>
      <c r="C65" s="15" t="n"/>
      <c r="D65" s="15" t="n"/>
      <c r="E65" s="15" t="n"/>
      <c r="F65" s="15" t="n"/>
      <c r="G65" s="15" t="n"/>
      <c r="H65" s="15" t="n"/>
    </row>
    <row r="66">
      <c r="A66" s="15" t="n"/>
      <c r="B66" s="15" t="n"/>
      <c r="C66" s="15" t="n"/>
      <c r="D66" s="15" t="n"/>
      <c r="E66" s="15" t="n"/>
      <c r="F66" s="15" t="n"/>
      <c r="G66" s="15" t="n"/>
      <c r="H66" s="15" t="n"/>
    </row>
    <row r="67">
      <c r="A67" s="15" t="n"/>
      <c r="B67" s="15" t="n"/>
      <c r="C67" s="15" t="n"/>
      <c r="D67" s="15" t="n"/>
      <c r="E67" s="15" t="n"/>
      <c r="F67" s="15" t="n"/>
      <c r="G67" s="15" t="n"/>
      <c r="H67" s="15" t="n"/>
    </row>
    <row r="68">
      <c r="A68" s="15" t="n"/>
      <c r="B68" s="15" t="n"/>
      <c r="C68" s="15" t="n"/>
      <c r="D68" s="15" t="n"/>
      <c r="E68" s="15" t="n"/>
      <c r="F68" s="15" t="n"/>
      <c r="G68" s="15" t="n"/>
      <c r="H68" s="15" t="n"/>
    </row>
    <row r="69">
      <c r="A69" s="15" t="n"/>
      <c r="B69" s="15" t="n"/>
      <c r="C69" s="15" t="n"/>
      <c r="D69" s="15" t="n"/>
      <c r="E69" s="15" t="n"/>
      <c r="F69" s="15" t="n"/>
      <c r="G69" s="15" t="n"/>
      <c r="H69" s="15" t="n"/>
    </row>
    <row r="70">
      <c r="A70" s="15" t="n"/>
      <c r="B70" s="15" t="n"/>
      <c r="C70" s="15" t="n"/>
      <c r="D70" s="15" t="n"/>
      <c r="E70" s="15" t="n"/>
      <c r="F70" s="15" t="n"/>
      <c r="G70" s="15" t="n"/>
      <c r="H70" s="15" t="n"/>
    </row>
    <row r="71">
      <c r="A71" s="15" t="n"/>
      <c r="B71" s="15" t="n"/>
      <c r="C71" s="15" t="n"/>
      <c r="D71" s="15" t="n"/>
      <c r="E71" s="15" t="n"/>
      <c r="F71" s="15" t="n"/>
      <c r="G71" s="15" t="n"/>
      <c r="H71" s="15" t="n"/>
    </row>
    <row r="72">
      <c r="A72" s="15" t="n"/>
      <c r="B72" s="15" t="n"/>
      <c r="C72" s="15" t="n"/>
      <c r="D72" s="15" t="n"/>
      <c r="E72" s="15" t="n"/>
      <c r="F72" s="15" t="n"/>
      <c r="G72" s="15" t="n"/>
      <c r="H72" s="15" t="n"/>
    </row>
    <row r="73">
      <c r="A73" s="15" t="n"/>
      <c r="B73" s="15" t="n"/>
      <c r="C73" s="15" t="n"/>
      <c r="D73" s="15" t="n"/>
      <c r="E73" s="15" t="n"/>
      <c r="F73" s="15" t="n"/>
      <c r="G73" s="15" t="n"/>
      <c r="H73" s="15" t="n"/>
    </row>
    <row r="74">
      <c r="A74" s="15" t="n"/>
      <c r="B74" s="15" t="n"/>
      <c r="C74" s="15" t="n"/>
      <c r="D74" s="15" t="n"/>
      <c r="E74" s="15" t="n"/>
      <c r="F74" s="15" t="n"/>
      <c r="G74" s="15" t="n"/>
      <c r="H74" s="15" t="n"/>
    </row>
    <row r="75">
      <c r="A75" s="15" t="n"/>
      <c r="B75" s="15" t="n"/>
      <c r="C75" s="15" t="n"/>
      <c r="D75" s="15" t="n"/>
      <c r="E75" s="15" t="n"/>
      <c r="F75" s="15" t="n"/>
      <c r="G75" s="15" t="n"/>
      <c r="H75" s="15" t="n"/>
    </row>
    <row r="76">
      <c r="A76" s="15" t="n"/>
      <c r="B76" s="15" t="n"/>
      <c r="C76" s="15" t="n"/>
      <c r="D76" s="15" t="n"/>
      <c r="E76" s="15" t="n"/>
      <c r="F76" s="15" t="n"/>
      <c r="G76" s="15" t="n"/>
      <c r="H76" s="15" t="n"/>
    </row>
    <row r="77">
      <c r="A77" s="15" t="n"/>
      <c r="B77" s="15" t="n"/>
      <c r="C77" s="15" t="n"/>
      <c r="D77" s="15" t="n"/>
      <c r="E77" s="15" t="n"/>
      <c r="F77" s="15" t="n"/>
      <c r="G77" s="15" t="n"/>
      <c r="H77" s="15" t="n"/>
    </row>
    <row r="78">
      <c r="A78" s="15" t="n"/>
      <c r="B78" s="15" t="n"/>
      <c r="C78" s="15" t="n"/>
      <c r="D78" s="15" t="n"/>
      <c r="E78" s="15" t="n"/>
      <c r="F78" s="15" t="n"/>
      <c r="G78" s="15" t="n"/>
      <c r="H78" s="15" t="n"/>
    </row>
    <row r="79">
      <c r="A79" s="15" t="n"/>
      <c r="B79" s="15" t="n"/>
      <c r="C79" s="15" t="n"/>
      <c r="D79" s="15" t="n"/>
      <c r="E79" s="15" t="n"/>
      <c r="F79" s="15" t="n"/>
      <c r="G79" s="15" t="n"/>
      <c r="H79" s="15" t="n"/>
    </row>
    <row r="80">
      <c r="A80" s="15" t="n"/>
      <c r="B80" s="15" t="n"/>
      <c r="C80" s="15" t="n"/>
      <c r="D80" s="15" t="n"/>
      <c r="E80" s="15" t="n"/>
      <c r="F80" s="15" t="n"/>
      <c r="G80" s="15" t="n"/>
      <c r="H80" s="15" t="n"/>
    </row>
    <row r="81">
      <c r="A81" s="15" t="n"/>
      <c r="B81" s="15" t="n"/>
      <c r="C81" s="15" t="n"/>
      <c r="D81" s="15" t="n"/>
      <c r="E81" s="15" t="n"/>
      <c r="F81" s="15" t="n"/>
      <c r="G81" s="15" t="n"/>
      <c r="H81" s="15" t="n"/>
    </row>
    <row r="82">
      <c r="A82" s="15" t="n"/>
      <c r="B82" s="15" t="n"/>
      <c r="C82" s="15" t="n"/>
      <c r="D82" s="15" t="n"/>
      <c r="E82" s="15" t="n"/>
      <c r="F82" s="15" t="n"/>
      <c r="G82" s="15" t="n"/>
      <c r="H82" s="15" t="n"/>
    </row>
    <row r="83">
      <c r="A83" s="15" t="n"/>
      <c r="B83" s="15" t="n"/>
      <c r="C83" s="15" t="n"/>
      <c r="D83" s="15" t="n"/>
      <c r="E83" s="15" t="n"/>
      <c r="F83" s="15" t="n"/>
      <c r="G83" s="15" t="n"/>
      <c r="H83" s="15" t="n"/>
    </row>
    <row r="84">
      <c r="A84" s="15" t="n"/>
      <c r="B84" s="15" t="n"/>
      <c r="C84" s="15" t="n"/>
      <c r="D84" s="15" t="n"/>
      <c r="E84" s="15" t="n"/>
      <c r="F84" s="15" t="n"/>
      <c r="G84" s="15" t="n"/>
      <c r="H84" s="15" t="n"/>
    </row>
    <row r="85">
      <c r="A85" s="15" t="n"/>
      <c r="B85" s="15" t="n"/>
      <c r="C85" s="15" t="n"/>
      <c r="D85" s="15" t="n"/>
      <c r="E85" s="15" t="n"/>
      <c r="F85" s="15" t="n"/>
      <c r="G85" s="15" t="n"/>
      <c r="H85" s="15" t="n"/>
    </row>
    <row r="86">
      <c r="A86" s="15" t="n"/>
      <c r="B86" s="15" t="n"/>
      <c r="C86" s="15" t="n"/>
      <c r="D86" s="15" t="n"/>
      <c r="E86" s="15" t="n"/>
      <c r="F86" s="15" t="n"/>
      <c r="G86" s="15" t="n"/>
      <c r="H86" s="15" t="n"/>
    </row>
    <row r="87">
      <c r="A87" s="15" t="n"/>
      <c r="B87" s="15" t="n"/>
      <c r="C87" s="15" t="n"/>
      <c r="D87" s="15" t="n"/>
      <c r="E87" s="15" t="n"/>
      <c r="F87" s="15" t="n"/>
      <c r="G87" s="15" t="n"/>
      <c r="H87" s="15" t="n"/>
    </row>
    <row r="88">
      <c r="A88" s="15" t="n"/>
      <c r="B88" s="15" t="n"/>
      <c r="C88" s="15" t="n"/>
      <c r="D88" s="15" t="n"/>
      <c r="E88" s="15" t="n"/>
      <c r="F88" s="15" t="n"/>
      <c r="G88" s="15" t="n"/>
      <c r="H88" s="15" t="n"/>
    </row>
    <row r="89">
      <c r="A89" s="15" t="n"/>
      <c r="B89" s="15" t="n"/>
      <c r="C89" s="15" t="n"/>
      <c r="D89" s="15" t="n"/>
      <c r="E89" s="15" t="n"/>
      <c r="F89" s="15" t="n"/>
      <c r="G89" s="15" t="n"/>
      <c r="H89" s="15" t="n"/>
    </row>
    <row r="90">
      <c r="A90" s="15" t="n"/>
      <c r="B90" s="15" t="n"/>
      <c r="C90" s="15" t="n"/>
      <c r="D90" s="15" t="n"/>
      <c r="E90" s="15" t="n"/>
      <c r="F90" s="15" t="n"/>
      <c r="G90" s="15" t="n"/>
      <c r="H90" s="15" t="n"/>
    </row>
    <row r="91">
      <c r="A91" s="15" t="n"/>
      <c r="B91" s="15" t="n"/>
      <c r="C91" s="15" t="n"/>
      <c r="D91" s="15" t="n"/>
      <c r="E91" s="15" t="n"/>
      <c r="F91" s="15" t="n"/>
      <c r="G91" s="15" t="n"/>
      <c r="H91" s="15" t="n"/>
    </row>
    <row r="92">
      <c r="A92" s="15" t="n"/>
      <c r="B92" s="15" t="n"/>
      <c r="C92" s="15" t="n"/>
      <c r="D92" s="15" t="n"/>
      <c r="E92" s="15" t="n"/>
      <c r="F92" s="15" t="n"/>
      <c r="G92" s="15" t="n"/>
      <c r="H92" s="15" t="n"/>
    </row>
    <row r="93">
      <c r="A93" s="15" t="n"/>
      <c r="B93" s="15" t="n"/>
      <c r="C93" s="15" t="n"/>
      <c r="D93" s="15" t="n"/>
      <c r="E93" s="15" t="n"/>
      <c r="F93" s="15" t="n"/>
      <c r="G93" s="15" t="n"/>
      <c r="H93" s="15" t="n"/>
    </row>
    <row r="94">
      <c r="A94" s="15" t="n"/>
      <c r="B94" s="15" t="n"/>
      <c r="C94" s="15" t="n"/>
      <c r="D94" s="15" t="n"/>
      <c r="E94" s="15" t="n"/>
      <c r="F94" s="15" t="n"/>
      <c r="G94" s="15" t="n"/>
      <c r="H94" s="15" t="n"/>
    </row>
    <row r="95">
      <c r="A95" s="15" t="n"/>
      <c r="B95" s="15" t="n"/>
      <c r="C95" s="15" t="n"/>
      <c r="D95" s="15" t="n"/>
      <c r="E95" s="15" t="n"/>
      <c r="F95" s="15" t="n"/>
      <c r="G95" s="15" t="n"/>
      <c r="H95" s="15" t="n"/>
    </row>
    <row r="96">
      <c r="A96" s="15" t="n"/>
      <c r="B96" s="15" t="n"/>
      <c r="C96" s="15" t="n"/>
      <c r="D96" s="15" t="n"/>
      <c r="E96" s="15" t="n"/>
      <c r="F96" s="15" t="n"/>
      <c r="G96" s="15" t="n"/>
      <c r="H96" s="15" t="n"/>
    </row>
    <row r="97">
      <c r="A97" s="15" t="n"/>
      <c r="B97" s="15" t="n"/>
      <c r="C97" s="15" t="n"/>
      <c r="D97" s="15" t="n"/>
      <c r="E97" s="15" t="n"/>
      <c r="F97" s="15" t="n"/>
      <c r="G97" s="15" t="n"/>
      <c r="H97" s="15" t="n"/>
    </row>
    <row r="98">
      <c r="A98" s="15" t="n"/>
      <c r="B98" s="15" t="n"/>
      <c r="C98" s="15" t="n"/>
      <c r="D98" s="15" t="n"/>
      <c r="E98" s="15" t="n"/>
      <c r="F98" s="15" t="n"/>
      <c r="G98" s="15" t="n"/>
      <c r="H98" s="15" t="n"/>
    </row>
    <row r="99">
      <c r="A99" s="15" t="n"/>
      <c r="B99" s="15" t="n"/>
      <c r="C99" s="15" t="n"/>
      <c r="D99" s="15" t="n"/>
      <c r="E99" s="15" t="n"/>
      <c r="F99" s="15" t="n"/>
      <c r="G99" s="15" t="n"/>
      <c r="H99" s="15" t="n"/>
    </row>
    <row r="100">
      <c r="A100" s="15" t="n"/>
      <c r="B100" s="15" t="n"/>
      <c r="C100" s="15" t="n"/>
      <c r="D100" s="15" t="n"/>
      <c r="E100" s="15" t="n"/>
      <c r="F100" s="15" t="n"/>
      <c r="G100" s="15" t="n"/>
      <c r="H100" s="15" t="n"/>
    </row>
    <row r="101">
      <c r="A101" s="15" t="n"/>
      <c r="B101" s="15" t="n"/>
      <c r="C101" s="15" t="n"/>
      <c r="D101" s="15" t="n"/>
      <c r="E101" s="15" t="n"/>
      <c r="F101" s="15" t="n"/>
      <c r="G101" s="15" t="n"/>
      <c r="H101" s="15" t="n"/>
    </row>
    <row r="102">
      <c r="A102" s="15" t="n"/>
      <c r="B102" s="15" t="n"/>
      <c r="C102" s="15" t="n"/>
      <c r="D102" s="15" t="n"/>
      <c r="E102" s="15" t="n"/>
      <c r="F102" s="15" t="n"/>
      <c r="G102" s="15" t="n"/>
      <c r="H102" s="15" t="n"/>
    </row>
    <row r="103">
      <c r="A103" s="15" t="n"/>
      <c r="B103" s="15" t="n"/>
      <c r="C103" s="15" t="n"/>
      <c r="D103" s="15" t="n"/>
      <c r="E103" s="15" t="n"/>
      <c r="F103" s="15" t="n"/>
      <c r="G103" s="15" t="n"/>
      <c r="H103" s="15" t="n"/>
    </row>
    <row r="104">
      <c r="A104" s="15" t="n"/>
      <c r="B104" s="15" t="n"/>
      <c r="C104" s="15" t="n"/>
      <c r="D104" s="15" t="n"/>
      <c r="E104" s="15" t="n"/>
      <c r="F104" s="15" t="n"/>
      <c r="G104" s="15" t="n"/>
      <c r="H104" s="15" t="n"/>
    </row>
    <row r="105">
      <c r="A105" s="15" t="n"/>
      <c r="B105" s="15" t="n"/>
      <c r="C105" s="15" t="n"/>
      <c r="D105" s="15" t="n"/>
      <c r="E105" s="15" t="n"/>
      <c r="F105" s="15" t="n"/>
      <c r="G105" s="15" t="n"/>
      <c r="H105" s="15"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"Capacity report,Screenshot,Monitoring export,Documentation,Vendor spec,Budget approval,Forecast model,Compliance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"Verified,Pending verification,Not verified,Requires update"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7"/>
  <sheetViews>
    <sheetView showGridLines="0" workbookViewId="0">
      <pane ySplit="2" topLeftCell="A3" activePane="bottomLeft" state="frozen"/>
      <selection pane="bottomLeft" activeCell="A1" sqref="A1"/>
    </sheetView>
  </sheetViews>
  <sheetFormatPr baseColWidth="8" defaultRowHeight="15"/>
  <cols>
    <col width="38" customWidth="1" min="1" max="1"/>
    <col width="16" customWidth="1" min="2" max="2"/>
    <col width="16" customWidth="1" min="3" max="3"/>
    <col width="22" customWidth="1" min="4" max="4"/>
    <col width="18" customWidth="1" min="5" max="5"/>
    <col width="22" customWidth="1" min="6" max="6"/>
    <col width="35" customWidth="1" min="7" max="7"/>
  </cols>
  <sheetData>
    <row r="1" ht="35" customHeight="1">
      <c r="A1" s="16" t="inlineStr">
        <is>
          <t>CAPACITY FORECASTS AND PLANNING — SUMMARY DASHBOARD</t>
        </is>
      </c>
    </row>
    <row r="2">
      <c r="A2" s="19" t="inlineStr">
        <is>
          <t>Consolidated capacity forecasting and planning effectiveness across all assessment areas.</t>
        </is>
      </c>
    </row>
    <row r="4">
      <c r="A4" s="20" t="inlineStr">
        <is>
          <t>TABLE 1 — ASSESSMENT AREA COMPLIANCE</t>
        </is>
      </c>
    </row>
    <row r="5">
      <c r="A5" s="21" t="inlineStr">
        <is>
          <t>Assessment Area</t>
        </is>
      </c>
      <c r="B5" s="21" t="inlineStr">
        <is>
          <t>Total Items</t>
        </is>
      </c>
      <c r="C5" s="21" t="inlineStr">
        <is>
          <t>Compliant</t>
        </is>
      </c>
      <c r="D5" s="21" t="inlineStr">
        <is>
          <t>Partial</t>
        </is>
      </c>
      <c r="E5" s="21" t="inlineStr">
        <is>
          <t>Non-Compliant</t>
        </is>
      </c>
      <c r="F5" s="21" t="inlineStr">
        <is>
          <t>N/A</t>
        </is>
      </c>
      <c r="G5" s="21" t="inlineStr">
        <is>
          <t>Compliance %</t>
        </is>
      </c>
    </row>
    <row r="6">
      <c r="A6" s="22" t="inlineStr">
        <is>
          <t>Capacity Forecasts (Confidence)</t>
        </is>
      </c>
      <c r="B6" s="23">
        <f>C6+D6+E6+F6</f>
        <v/>
      </c>
      <c r="C6" s="23">
        <f>COUNTIF('Capacity Forecasts'!G5:G54,"High")</f>
        <v/>
      </c>
      <c r="D6" s="23">
        <f>COUNTIF('Capacity Forecasts'!G5:G54,"Medium")</f>
        <v/>
      </c>
      <c r="E6" s="23">
        <f>COUNTIF('Capacity Forecasts'!G5:G54,"Low")</f>
        <v/>
      </c>
      <c r="F6" s="23">
        <f>0</f>
        <v/>
      </c>
      <c r="G6" s="24">
        <f>IF((B6-F6)=0,0,C6/(B6-F6))</f>
        <v/>
      </c>
    </row>
    <row r="7">
      <c r="A7" s="22" t="inlineStr">
        <is>
          <t>Expansion Approval Status</t>
        </is>
      </c>
      <c r="B7" s="23">
        <f>C7+D7+E7+F7</f>
        <v/>
      </c>
      <c r="C7" s="23">
        <f>COUNTIF('Planned Expansions'!I5:I54,"Approved")</f>
        <v/>
      </c>
      <c r="D7" s="23">
        <f>COUNTIF('Planned Expansions'!I5:I54,"Pending")</f>
        <v/>
      </c>
      <c r="E7" s="23">
        <f>COUNTIF('Planned Expansions'!I5:I54,"Rejected")</f>
        <v/>
      </c>
      <c r="F7" s="23">
        <f>COUNTIF('Planned Expansions'!I5:I54,"Deferred")</f>
        <v/>
      </c>
      <c r="G7" s="24">
        <f>IF((B7-F7)=0,0,C7/(B7-F7))</f>
        <v/>
      </c>
    </row>
    <row r="8">
      <c r="A8" s="22" t="inlineStr">
        <is>
          <t>Expansion Implementation Status</t>
        </is>
      </c>
      <c r="B8" s="23">
        <f>C8+D8+E8+F8</f>
        <v/>
      </c>
      <c r="C8" s="23">
        <f>COUNTIF('Planned Expansions'!G5:G54,"Completed")</f>
        <v/>
      </c>
      <c r="D8" s="23">
        <f>COUNTIF('Planned Expansions'!G5:G54,"In Procurement")+COUNTIF('Planned Expansions'!G5:G54,"Ordered")+COUNTIF('Planned Expansions'!G5:G54,"Delivered")+COUNTIF('Planned Expansions'!G5:G54,"Installed")</f>
        <v/>
      </c>
      <c r="E8" s="23">
        <f>COUNTIF('Planned Expansions'!G5:G54,"Planned")</f>
        <v/>
      </c>
      <c r="F8" s="23">
        <f>COUNTIF('Planned Expansions'!G5:G54,"Cancelled")</f>
        <v/>
      </c>
      <c r="G8" s="24">
        <f>IF((B8-F8)=0,0,C8/(B8-F8))</f>
        <v/>
      </c>
    </row>
    <row r="9">
      <c r="A9" s="22" t="inlineStr">
        <is>
          <t>Forecast Accuracy</t>
        </is>
      </c>
      <c r="B9" s="23">
        <f>C9+D9+E9+F9</f>
        <v/>
      </c>
      <c r="C9" s="23">
        <f>COUNTIF('Forecast Accuracy'!G5:G54,"Excellent")+COUNTIF('Forecast Accuracy'!G5:G54,"Good")</f>
        <v/>
      </c>
      <c r="D9" s="23">
        <f>COUNTIF('Forecast Accuracy'!G5:G54,"Acceptable")</f>
        <v/>
      </c>
      <c r="E9" s="23">
        <f>COUNTIF('Forecast Accuracy'!G5:G54,"Poor")</f>
        <v/>
      </c>
      <c r="F9" s="23">
        <f>0</f>
        <v/>
      </c>
      <c r="G9" s="24">
        <f>IF((B9-F9)=0,0,C9/(B9-F9))</f>
        <v/>
      </c>
    </row>
    <row r="10">
      <c r="A10" s="22" t="inlineStr">
        <is>
          <t>Budget Approval Status</t>
        </is>
      </c>
      <c r="B10" s="23">
        <f>C10+D10+E10+F10</f>
        <v/>
      </c>
      <c r="C10" s="23">
        <f>COUNTIF('Budget Planning'!F5:F54,"Approved")</f>
        <v/>
      </c>
      <c r="D10" s="23">
        <f>COUNTIF('Budget Planning'!F5:F54,"Pending")</f>
        <v/>
      </c>
      <c r="E10" s="23">
        <f>COUNTIF('Budget Planning'!F5:F54,"Rejected")</f>
        <v/>
      </c>
      <c r="F10" s="23">
        <f>COUNTIF('Budget Planning'!F5:F54,"Deferred")</f>
        <v/>
      </c>
      <c r="G10" s="24">
        <f>IF((B10-F10)=0,0,C10/(B10-F10))</f>
        <v/>
      </c>
    </row>
    <row r="12">
      <c r="A12" s="20" t="inlineStr">
        <is>
          <t>TABLE 2 — KEY PERFORMANCE INDICATORS</t>
        </is>
      </c>
    </row>
    <row r="13">
      <c r="A13" s="25" t="inlineStr">
        <is>
          <t>KPI Metric</t>
        </is>
      </c>
      <c r="B13" s="25" t="inlineStr">
        <is>
          <t>Value</t>
        </is>
      </c>
    </row>
    <row r="14">
      <c r="A14" s="22" t="inlineStr">
        <is>
          <t>Historical Records Entered</t>
        </is>
      </c>
      <c r="B14" s="23">
        <f>COUNTA('Historical Utilization'!A5:A54)</f>
        <v/>
      </c>
    </row>
    <row r="15">
      <c r="A15" s="22" t="inlineStr">
        <is>
          <t>Resources with Growth Trends Documented</t>
        </is>
      </c>
      <c r="B15" s="23">
        <f>COUNTA('Trend Analysis'!A5:A54)</f>
        <v/>
      </c>
    </row>
    <row r="16">
      <c r="A16" s="22" t="inlineStr">
        <is>
          <t>High Confidence Forecasts Rate</t>
        </is>
      </c>
      <c r="B16" s="24">
        <f>IFERROR(COUNTIF('Capacity Forecasts'!G5:G54,"High")/COUNTA('Capacity Forecasts'!G5:G54),0)</f>
        <v/>
      </c>
    </row>
    <row r="17">
      <c r="A17" s="22" t="inlineStr">
        <is>
          <t>Resources with Critical Exhaustion Risk</t>
        </is>
      </c>
      <c r="B17" s="23">
        <f>COUNTIF('Capacity Exhaustion'!G5:G54,"CRITICAL")</f>
        <v/>
      </c>
    </row>
    <row r="18">
      <c r="A18" s="22" t="inlineStr">
        <is>
          <t>Resources with Immediate Exhaustion Risk (0–3 months)</t>
        </is>
      </c>
      <c r="B18" s="23">
        <f>COUNTIF('Capacity Exhaustion'!G5:G54,"Immediate (0-3mo)")</f>
        <v/>
      </c>
    </row>
    <row r="19">
      <c r="A19" s="22" t="inlineStr">
        <is>
          <t>Planned Expansions Approved</t>
        </is>
      </c>
      <c r="B19" s="23">
        <f>COUNTIF('Planned Expansions'!I5:I54,"Approved")</f>
        <v/>
      </c>
    </row>
    <row r="20">
      <c r="A20" s="22" t="inlineStr">
        <is>
          <t>Forecast Accuracy — Excellent/Good</t>
        </is>
      </c>
      <c r="B20" s="23">
        <f>COUNTIF('Forecast Accuracy'!G5:G54,"Excellent")+COUNTIF('Forecast Accuracy'!G5:G54,"Good")</f>
        <v/>
      </c>
    </row>
    <row r="21">
      <c r="A21" s="22" t="inlineStr">
        <is>
          <t>Budget Items Approved</t>
        </is>
      </c>
      <c r="B21" s="23">
        <f>COUNTIF('Budget Planning'!F5:F54,"Approved")</f>
        <v/>
      </c>
    </row>
    <row r="23">
      <c r="A23" s="26" t="inlineStr">
        <is>
          <t>TABLE 3 — CRITICAL EXHAUSTION RISKS (CRITICAL OR IMMEDIATE 0–3 MONTHS)</t>
        </is>
      </c>
    </row>
    <row r="24">
      <c r="A24" s="21" t="inlineStr">
        <is>
          <t>Resource Name</t>
        </is>
      </c>
      <c r="B24" s="21" t="inlineStr">
        <is>
          <t>Current (%)</t>
        </is>
      </c>
      <c r="C24" s="21" t="inlineStr">
        <is>
          <t>Threshold (%)</t>
        </is>
      </c>
      <c r="D24" s="21" t="inlineStr">
        <is>
          <t>Months to Threshold</t>
        </is>
      </c>
      <c r="E24" s="21" t="inlineStr">
        <is>
          <t>Exhaustion Date</t>
        </is>
      </c>
      <c r="F24" s="21" t="inlineStr">
        <is>
          <t>Urgency</t>
        </is>
      </c>
      <c r="G24" s="21" t="inlineStr">
        <is>
          <t>Action Required</t>
        </is>
      </c>
    </row>
    <row r="25">
      <c r="A25" s="27" t="n"/>
      <c r="B25" s="27" t="n"/>
      <c r="C25" s="27" t="n"/>
      <c r="D25" s="27" t="n"/>
      <c r="E25" s="27" t="n"/>
      <c r="F25" s="27" t="n"/>
      <c r="G25" s="27" t="n"/>
    </row>
    <row r="26">
      <c r="A26" s="27" t="n"/>
      <c r="B26" s="27" t="n"/>
      <c r="C26" s="27" t="n"/>
      <c r="D26" s="27" t="n"/>
      <c r="E26" s="27" t="n"/>
      <c r="F26" s="27" t="n"/>
      <c r="G26" s="27" t="n"/>
    </row>
    <row r="27">
      <c r="A27" s="27" t="n"/>
      <c r="B27" s="27" t="n"/>
      <c r="C27" s="27" t="n"/>
      <c r="D27" s="27" t="n"/>
      <c r="E27" s="27" t="n"/>
      <c r="F27" s="27" t="n"/>
      <c r="G27" s="27" t="n"/>
    </row>
    <row r="28">
      <c r="A28" s="27" t="n"/>
      <c r="B28" s="27" t="n"/>
      <c r="C28" s="27" t="n"/>
      <c r="D28" s="27" t="n"/>
      <c r="E28" s="27" t="n"/>
      <c r="F28" s="27" t="n"/>
      <c r="G28" s="27" t="n"/>
    </row>
    <row r="29">
      <c r="A29" s="27" t="n"/>
      <c r="B29" s="27" t="n"/>
      <c r="C29" s="27" t="n"/>
      <c r="D29" s="27" t="n"/>
      <c r="E29" s="27" t="n"/>
      <c r="F29" s="27" t="n"/>
      <c r="G29" s="27" t="n"/>
    </row>
    <row r="30">
      <c r="A30" s="27" t="n"/>
      <c r="B30" s="27" t="n"/>
      <c r="C30" s="27" t="n"/>
      <c r="D30" s="27" t="n"/>
      <c r="E30" s="27" t="n"/>
      <c r="F30" s="27" t="n"/>
      <c r="G30" s="27" t="n"/>
    </row>
    <row r="31">
      <c r="A31" s="27" t="n"/>
      <c r="B31" s="27" t="n"/>
      <c r="C31" s="27" t="n"/>
      <c r="D31" s="27" t="n"/>
      <c r="E31" s="27" t="n"/>
      <c r="F31" s="27" t="n"/>
      <c r="G31" s="27" t="n"/>
    </row>
    <row r="32">
      <c r="A32" s="27" t="n"/>
      <c r="B32" s="27" t="n"/>
      <c r="C32" s="27" t="n"/>
      <c r="D32" s="27" t="n"/>
      <c r="E32" s="27" t="n"/>
      <c r="F32" s="27" t="n"/>
      <c r="G32" s="27" t="n"/>
    </row>
    <row r="33">
      <c r="A33" s="27" t="n"/>
      <c r="B33" s="27" t="n"/>
      <c r="C33" s="27" t="n"/>
      <c r="D33" s="27" t="n"/>
      <c r="E33" s="27" t="n"/>
      <c r="F33" s="27" t="n"/>
      <c r="G33" s="27" t="n"/>
    </row>
    <row r="34">
      <c r="A34" s="27" t="n"/>
      <c r="B34" s="27" t="n"/>
      <c r="C34" s="27" t="n"/>
      <c r="D34" s="27" t="n"/>
      <c r="E34" s="27" t="n"/>
      <c r="F34" s="27" t="n"/>
      <c r="G34" s="27" t="n"/>
    </row>
    <row r="35">
      <c r="A35" s="28" t="n"/>
      <c r="B35" s="28" t="n"/>
      <c r="C35" s="28" t="n"/>
      <c r="D35" s="28" t="n"/>
      <c r="E35" s="28" t="n"/>
      <c r="F35" s="28" t="n"/>
      <c r="G35" s="28" t="n"/>
    </row>
    <row r="36">
      <c r="A36" s="28" t="n"/>
      <c r="B36" s="28" t="n"/>
      <c r="C36" s="28" t="n"/>
      <c r="D36" s="28" t="n"/>
      <c r="E36" s="28" t="n"/>
      <c r="F36" s="28" t="n"/>
      <c r="G36" s="28" t="n"/>
    </row>
    <row r="37">
      <c r="A37" s="29" t="inlineStr">
        <is>
          <t>Total Critical/Immediate Exhaustion Risks:</t>
        </is>
      </c>
      <c r="B37" s="30">
        <f>COUNTIF('Capacity Exhaustion'!G5:G54,"CRITICAL")+COUNTIF('Capacity Exhaustion'!G5:G54,"Immediate (0-3mo)")</f>
        <v/>
      </c>
    </row>
  </sheetData>
  <mergeCells count="5">
    <mergeCell ref="A1:G1"/>
    <mergeCell ref="A12:G12"/>
    <mergeCell ref="A4:G4"/>
    <mergeCell ref="A2:G2"/>
    <mergeCell ref="A23:G2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1" t="inlineStr">
        <is>
          <t>ASSESSMENT APPROVAL AND SIGN-OFF</t>
        </is>
      </c>
      <c r="B1" s="6" t="n"/>
      <c r="C1" s="6" t="n"/>
      <c r="D1" s="6" t="n"/>
      <c r="E1" s="6" t="n"/>
    </row>
    <row r="2">
      <c r="A2" s="32" t="inlineStr">
        <is>
          <t>ISO/IEC 27001:2022 - Control A.8.6: Capacity Management</t>
        </is>
      </c>
      <c r="B2" s="6" t="n"/>
      <c r="C2" s="6" t="n"/>
      <c r="D2" s="6" t="n"/>
      <c r="E2" s="6" t="n"/>
    </row>
    <row r="3">
      <c r="A3" s="33" t="inlineStr">
        <is>
          <t>ASSESSMENT SUMMARY</t>
        </is>
      </c>
      <c r="B3" s="6" t="n"/>
      <c r="C3" s="6" t="n"/>
      <c r="D3" s="6" t="n"/>
      <c r="E3" s="6" t="n"/>
    </row>
    <row r="4">
      <c r="A4" s="34" t="inlineStr">
        <is>
          <t>Document:</t>
        </is>
      </c>
      <c r="B4" s="6" t="inlineStr">
        <is>
          <t>ISMS-IMP-A.8.6-Assessment-2 - Capacity Forecasting &amp; Planning</t>
        </is>
      </c>
      <c r="C4" s="6" t="n"/>
      <c r="D4" s="6" t="n"/>
      <c r="E4" s="6" t="n"/>
    </row>
    <row r="5">
      <c r="A5" s="34" t="inlineStr">
        <is>
          <t>Assessment Period:</t>
        </is>
      </c>
      <c r="B5" s="28" t="inlineStr"/>
      <c r="C5" s="6" t="n"/>
      <c r="D5" s="6" t="n"/>
      <c r="E5" s="6" t="n"/>
    </row>
    <row r="6">
      <c r="A6" s="34" t="inlineStr">
        <is>
          <t>Overall Compliance Rating:</t>
        </is>
      </c>
      <c r="B6" s="35">
        <f>IFERROR(AVERAGE('Summary Dashboard'!G6:G10),"")</f>
        <v/>
      </c>
      <c r="C6" s="6" t="n"/>
      <c r="D6" s="6" t="n"/>
      <c r="E6" s="6" t="n"/>
    </row>
    <row r="7">
      <c r="A7" s="34" t="inlineStr">
        <is>
          <t>Assessment Status:</t>
        </is>
      </c>
      <c r="B7" s="28" t="inlineStr"/>
      <c r="C7" s="6" t="n"/>
      <c r="D7" s="6" t="n"/>
      <c r="E7" s="6" t="n"/>
    </row>
    <row r="8">
      <c r="A8" s="34" t="inlineStr">
        <is>
          <t>Assessed By:</t>
        </is>
      </c>
      <c r="B8" s="28" t="inlineStr"/>
      <c r="C8" s="6" t="n"/>
      <c r="D8" s="6" t="n"/>
      <c r="E8" s="6" t="n"/>
    </row>
    <row r="11">
      <c r="A11" s="33" t="inlineStr">
        <is>
          <t>COMPLETED BY (ASSESSOR)</t>
        </is>
      </c>
      <c r="B11" s="6" t="n"/>
      <c r="C11" s="6" t="n"/>
      <c r="D11" s="6" t="n"/>
      <c r="E11" s="6" t="n"/>
    </row>
    <row r="12">
      <c r="A12" s="34" t="inlineStr">
        <is>
          <t>Name:</t>
        </is>
      </c>
      <c r="B12" s="28" t="n"/>
      <c r="C12" s="6" t="n"/>
      <c r="D12" s="6" t="n"/>
      <c r="E12" s="6" t="n"/>
    </row>
    <row r="13">
      <c r="A13" s="34" t="inlineStr">
        <is>
          <t>Title:</t>
        </is>
      </c>
      <c r="B13" s="28" t="n"/>
      <c r="C13" s="6" t="n"/>
      <c r="D13" s="6" t="n"/>
      <c r="E13" s="6" t="n"/>
    </row>
    <row r="14">
      <c r="A14" s="34" t="inlineStr">
        <is>
          <t>Date:</t>
        </is>
      </c>
      <c r="B14" s="28" t="n"/>
      <c r="C14" s="6" t="n"/>
      <c r="D14" s="6" t="n"/>
      <c r="E14" s="6" t="n"/>
    </row>
    <row r="15">
      <c r="A15" s="34" t="inlineStr">
        <is>
          <t>Signature:</t>
        </is>
      </c>
      <c r="B15" s="28" t="n"/>
      <c r="C15" s="6" t="n"/>
      <c r="D15" s="6" t="n"/>
      <c r="E15" s="6" t="n"/>
    </row>
    <row r="16">
      <c r="A16" s="34" t="inlineStr">
        <is>
          <t>Comments:</t>
        </is>
      </c>
      <c r="B16" s="28" t="n"/>
      <c r="C16" s="6" t="n"/>
      <c r="D16" s="6" t="n"/>
      <c r="E16" s="6" t="n"/>
    </row>
    <row r="18">
      <c r="A18" s="33" t="inlineStr">
        <is>
          <t>REVIEWED BY (INFORMATION SECURITY OFFICER)</t>
        </is>
      </c>
      <c r="B18" s="6" t="n"/>
      <c r="C18" s="6" t="n"/>
      <c r="D18" s="6" t="n"/>
      <c r="E18" s="6" t="n"/>
    </row>
    <row r="19">
      <c r="A19" s="34" t="inlineStr">
        <is>
          <t>Name:</t>
        </is>
      </c>
      <c r="B19" s="28" t="n"/>
      <c r="C19" s="6" t="n"/>
      <c r="D19" s="6" t="n"/>
      <c r="E19" s="6" t="n"/>
    </row>
    <row r="20">
      <c r="A20" s="34" t="inlineStr">
        <is>
          <t>Title:</t>
        </is>
      </c>
      <c r="B20" s="28" t="n"/>
      <c r="C20" s="6" t="n"/>
      <c r="D20" s="6" t="n"/>
      <c r="E20" s="6" t="n"/>
    </row>
    <row r="21">
      <c r="A21" s="34" t="inlineStr">
        <is>
          <t>Date:</t>
        </is>
      </c>
      <c r="B21" s="28" t="n"/>
      <c r="C21" s="6" t="n"/>
      <c r="D21" s="6" t="n"/>
      <c r="E21" s="6" t="n"/>
    </row>
    <row r="22">
      <c r="A22" s="34" t="inlineStr">
        <is>
          <t>Signature:</t>
        </is>
      </c>
      <c r="B22" s="28" t="n"/>
      <c r="C22" s="6" t="n"/>
      <c r="D22" s="6" t="n"/>
      <c r="E22" s="6" t="n"/>
    </row>
    <row r="23">
      <c r="A23" s="34" t="inlineStr">
        <is>
          <t>Comments:</t>
        </is>
      </c>
      <c r="B23" s="28" t="n"/>
      <c r="C23" s="6" t="n"/>
      <c r="D23" s="6" t="n"/>
      <c r="E23" s="6" t="n"/>
    </row>
    <row r="25">
      <c r="A25" s="36" t="inlineStr">
        <is>
          <t>APPROVED BY (CISO)</t>
        </is>
      </c>
      <c r="B25" s="6" t="n"/>
      <c r="C25" s="6" t="n"/>
      <c r="D25" s="6" t="n"/>
      <c r="E25" s="6" t="n"/>
    </row>
    <row r="26">
      <c r="A26" s="34" t="inlineStr">
        <is>
          <t>Name:</t>
        </is>
      </c>
      <c r="B26" s="28" t="n"/>
      <c r="C26" s="6" t="n"/>
      <c r="D26" s="6" t="n"/>
      <c r="E26" s="6" t="n"/>
    </row>
    <row r="27">
      <c r="A27" s="34" t="inlineStr">
        <is>
          <t>Title:</t>
        </is>
      </c>
      <c r="B27" s="28" t="n"/>
      <c r="C27" s="6" t="n"/>
      <c r="D27" s="6" t="n"/>
      <c r="E27" s="6" t="n"/>
    </row>
    <row r="28">
      <c r="A28" s="34" t="inlineStr">
        <is>
          <t>Date:</t>
        </is>
      </c>
      <c r="B28" s="28" t="n"/>
      <c r="C28" s="6" t="n"/>
      <c r="D28" s="6" t="n"/>
      <c r="E28" s="6" t="n"/>
    </row>
    <row r="29">
      <c r="A29" s="34" t="inlineStr">
        <is>
          <t>Signature:</t>
        </is>
      </c>
      <c r="B29" s="28" t="n"/>
      <c r="C29" s="6" t="n"/>
      <c r="D29" s="6" t="n"/>
      <c r="E29" s="6" t="n"/>
    </row>
    <row r="30">
      <c r="A30" s="34" t="inlineStr">
        <is>
          <t>Comments:</t>
        </is>
      </c>
      <c r="B30" s="28" t="n"/>
      <c r="C30" s="6" t="n"/>
      <c r="D30" s="6" t="n"/>
      <c r="E30" s="6" t="n"/>
    </row>
    <row r="32">
      <c r="A32" s="34" t="inlineStr">
        <is>
          <t>FINAL DECISION:</t>
        </is>
      </c>
      <c r="B32" s="28" t="n"/>
      <c r="C32" s="6" t="n"/>
      <c r="D32" s="6" t="n"/>
      <c r="E32" s="6" t="n"/>
    </row>
    <row r="35">
      <c r="A35" s="33" t="inlineStr">
        <is>
          <t>NEXT REVIEW DETAILS</t>
        </is>
      </c>
      <c r="B35" s="6" t="n"/>
      <c r="C35" s="6" t="n"/>
      <c r="D35" s="6" t="n"/>
      <c r="E35" s="6" t="n"/>
    </row>
    <row r="36">
      <c r="A36" s="34" t="inlineStr">
        <is>
          <t>Next Review Date:</t>
        </is>
      </c>
      <c r="B36" s="28" t="n"/>
      <c r="C36" s="6" t="n"/>
      <c r="D36" s="6" t="n"/>
      <c r="E36" s="6" t="n"/>
    </row>
    <row r="37">
      <c r="A37" s="34" t="inlineStr">
        <is>
          <t>Review Responsible:</t>
        </is>
      </c>
      <c r="B37" s="28" t="n"/>
      <c r="C37" s="6" t="n"/>
      <c r="D37" s="6" t="n"/>
      <c r="E37" s="6" t="n"/>
    </row>
    <row r="38">
      <c r="A38" s="34" t="inlineStr">
        <is>
          <t>Special Considerations:</t>
        </is>
      </c>
      <c r="B38" s="28"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ISMS-IMP-A.8.6-Assessment-2 — Capacity Forecasting &amp; Planning</dc:title>
  <dc:description xmlns:dc="http://purl.org/dc/elements/1.1/">ISMS Implementation Workbook — ISMS-IMP-A.8.6-Assessment-2</dc:description>
  <dc:subject xmlns:dc="http://purl.org/dc/elements/1.1/">ISO/IEC 27001:2022 — Control A.8.6: Capacity Management</dc:subject>
  <dcterms:created xmlns:dcterms="http://purl.org/dc/terms/" xmlns:xsi="http://www.w3.org/2001/XMLSchema-instance" xsi:type="dcterms:W3CDTF">2026-03-07T11:28:33Z</dcterms:created>
  <dcterms:modified xmlns:dcterms="http://purl.org/dc/terms/" xmlns:xsi="http://www.w3.org/2001/XMLSchema-instance" xsi:type="dcterms:W3CDTF">2026-03-07T11:28:33Z</dcterms:modified>
</cp:coreProperties>
</file>