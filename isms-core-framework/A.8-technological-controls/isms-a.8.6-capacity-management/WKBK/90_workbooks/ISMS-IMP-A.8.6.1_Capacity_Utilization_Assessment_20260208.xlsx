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mpute_Resources" sheetId="2" state="visible" r:id="rId2"/>
    <sheet xmlns:r="http://schemas.openxmlformats.org/officeDocument/2006/relationships" name="Storage_Resources" sheetId="3" state="visible" r:id="rId3"/>
    <sheet xmlns:r="http://schemas.openxmlformats.org/officeDocument/2006/relationships" name="Network_Resources" sheetId="4" state="visible" r:id="rId4"/>
    <sheet xmlns:r="http://schemas.openxmlformats.org/officeDocument/2006/relationships" name="Application_Resources" sheetId="5" state="visible" r:id="rId5"/>
    <sheet xmlns:r="http://schemas.openxmlformats.org/officeDocument/2006/relationships" name="Cloud_Resources" sheetId="6" state="visible" r:id="rId6"/>
    <sheet xmlns:r="http://schemas.openxmlformats.org/officeDocument/2006/relationships" name="Threshold_Summary" sheetId="7" state="visible" r:id="rId7"/>
    <sheet xmlns:r="http://schemas.openxmlformats.org/officeDocument/2006/relationships" name="Coverage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  <font>
      <b val="1"/>
      <sz val="12"/>
    </font>
    <font>
      <b val="1"/>
      <sz val="14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20" customWidth="1" min="4" max="4"/>
  </cols>
  <sheetData>
    <row r="1" ht="40" customHeight="1">
      <c r="A1" s="1" t="inlineStr">
        <is>
          <t>ISMS-IMP-A.8.6.1 – Capacity Utilization Assessment</t>
        </is>
      </c>
    </row>
    <row r="2" ht="25" customHeight="1">
      <c r="A2" s="2" t="inlineStr">
        <is>
          <t>ISO/IEC 27001:2022 - Control A.8.6: Capacity Management</t>
        </is>
      </c>
    </row>
    <row r="4">
      <c r="A4" s="3" t="inlineStr">
        <is>
          <t>Document ID:</t>
        </is>
      </c>
      <c r="B4" t="inlineStr">
        <is>
          <t>ISMS-IMP-A.8.6.1</t>
        </is>
      </c>
    </row>
    <row r="5">
      <c r="A5" s="3" t="inlineStr">
        <is>
          <t>Assessment Area:</t>
        </is>
      </c>
      <c r="B5" t="inlineStr">
        <is>
          <t>Capacity Utilization Analysis</t>
        </is>
      </c>
    </row>
    <row r="6">
      <c r="A6" s="3" t="inlineStr">
        <is>
          <t>Related Policy:</t>
        </is>
      </c>
      <c r="B6" t="inlineStr">
        <is>
          <t>ISMS-POL-A.8.6-S2 (Capacity Management Policy)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Monthly</t>
        </is>
      </c>
    </row>
    <row r="13">
      <c r="A13" s="2" t="inlineStr">
        <is>
          <t>HOW TO USE THIS WORKBOOK</t>
        </is>
      </c>
    </row>
    <row r="14">
      <c r="A14" t="inlineStr">
        <is>
          <t>1. Complete resource inventory in each resource type sheet (Compute, Storage, Network, Application, Cloud)</t>
        </is>
      </c>
    </row>
    <row r="15">
      <c r="A15" t="inlineStr">
        <is>
          <t>2. Enter current utilization data from monitoring tools</t>
        </is>
      </c>
    </row>
    <row r="16">
      <c r="A16" t="inlineStr">
        <is>
          <t>3. Utilization percentages and threshold status will auto-calculate</t>
        </is>
      </c>
    </row>
    <row r="17">
      <c r="A17" t="inlineStr">
        <is>
          <t>4. Review Threshold_Summary for overview of capacity health</t>
        </is>
      </c>
    </row>
    <row r="18">
      <c r="A18" t="inlineStr">
        <is>
          <t>5. Complete Coverage_Analysis to identify monitoring gaps</t>
        </is>
      </c>
    </row>
    <row r="19">
      <c r="A19" t="inlineStr">
        <is>
          <t>6. Document evidence in Evidence_Register</t>
        </is>
      </c>
    </row>
    <row r="20">
      <c r="A20" t="inlineStr">
        <is>
          <t>7. Obtain final approval and sign-of</t>
        </is>
      </c>
    </row>
    <row r="21">
      <c r="A21" t="inlineStr"/>
    </row>
    <row r="22">
      <c r="A22" t="inlineStr">
        <is>
          <t>Yellow cells = User input required</t>
        </is>
      </c>
    </row>
    <row r="23">
      <c r="A23" t="inlineStr">
        <is>
          <t>White cells = Auto-calculated (do not edit)</t>
        </is>
      </c>
    </row>
    <row r="25">
      <c r="A25" s="2" t="inlineStr">
        <is>
          <t>STATUS LEGEND</t>
        </is>
      </c>
    </row>
    <row r="26">
      <c r="A26" s="5" t="inlineStr">
        <is>
          <t>Symbol</t>
        </is>
      </c>
      <c r="B26" s="5" t="inlineStr">
        <is>
          <t>Status</t>
        </is>
      </c>
      <c r="C26" s="5" t="inlineStr">
        <is>
          <t>Description</t>
        </is>
      </c>
      <c r="D26" s="5" t="inlineStr">
        <is>
          <t>Typical Threshold</t>
        </is>
      </c>
    </row>
    <row r="27">
      <c r="A27" t="inlineStr">
        <is>
          <t>{CHECK}</t>
        </is>
      </c>
      <c r="B27" s="6" t="inlineStr">
        <is>
          <t>OK</t>
        </is>
      </c>
      <c r="C27" t="inlineStr">
        <is>
          <t>Utilization below warning threshold</t>
        </is>
      </c>
      <c r="D27" t="inlineStr">
        <is>
          <t>&lt; 70%</t>
        </is>
      </c>
    </row>
    <row r="28">
      <c r="A28" t="inlineStr">
        <is>
          <t>{WARNING}</t>
        </is>
      </c>
      <c r="B28" s="7" t="inlineStr">
        <is>
          <t>Warning</t>
        </is>
      </c>
      <c r="C28" t="inlineStr">
        <is>
          <t>Capacity planning should begin</t>
        </is>
      </c>
      <c r="D28" t="inlineStr">
        <is>
          <t>70-85%</t>
        </is>
      </c>
    </row>
    <row r="29">
      <c r="A29" t="inlineStr">
        <is>
          <t>{XMARK}</t>
        </is>
      </c>
      <c r="B29" s="8" t="inlineStr">
        <is>
          <t>Critical</t>
        </is>
      </c>
      <c r="C29" t="inlineStr">
        <is>
          <t>Immediate action required</t>
        </is>
      </c>
      <c r="D29" t="inlineStr">
        <is>
          <t>&gt; 85%</t>
        </is>
      </c>
    </row>
    <row r="30">
      <c r="A30" t="inlineStr">
        <is>
          <t>Not Monitored</t>
        </is>
      </c>
      <c r="B30" t="inlineStr">
        <is>
          <t>Not Monitored</t>
        </is>
      </c>
      <c r="C30" t="inlineStr">
        <is>
          <t>Resource not yet monitored</t>
        </is>
      </c>
      <c r="D30" t="inlineStr">
        <is>
          <t>N/A</t>
        </is>
      </c>
    </row>
  </sheetData>
  <mergeCells count="4">
    <mergeCell ref="A25:H25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20" customWidth="1" min="10" max="10"/>
    <col width="15" customWidth="1" min="11" max="11"/>
    <col width="15" customWidth="1" min="12" max="12"/>
    <col width="18" customWidth="1" min="13" max="13"/>
  </cols>
  <sheetData>
    <row r="1" ht="30" customHeight="1">
      <c r="A1" s="1" t="inlineStr">
        <is>
          <t>COMPUTE CAPACITY UTILIZATION</t>
        </is>
      </c>
    </row>
    <row r="2">
      <c r="A2" s="2" t="inlineStr">
        <is>
          <t>Document current CPU and memory capacity utilization</t>
        </is>
      </c>
    </row>
    <row r="4">
      <c r="A4" s="5" t="inlineStr">
        <is>
          <t>Resource Name</t>
        </is>
      </c>
      <c r="B4" s="5" t="inlineStr">
        <is>
          <t>Resource Type</t>
        </is>
      </c>
      <c r="C4" s="5" t="inlineStr">
        <is>
          <t>Location/Cluster</t>
        </is>
      </c>
      <c r="D4" s="5" t="inlineStr">
        <is>
          <t>Business Function</t>
        </is>
      </c>
      <c r="E4" s="5" t="inlineStr">
        <is>
          <t>Total CPU (Cores)</t>
        </is>
      </c>
      <c r="F4" s="5" t="inlineStr">
        <is>
          <t>Used CPU (Cores)</t>
        </is>
      </c>
      <c r="G4" s="5" t="inlineStr">
        <is>
          <t>CPU Utilization (%)</t>
        </is>
      </c>
      <c r="H4" s="5" t="inlineStr">
        <is>
          <t>Total Memory (GB)</t>
        </is>
      </c>
      <c r="I4" s="5" t="inlineStr">
        <is>
          <t>Used Memory (GB)</t>
        </is>
      </c>
      <c r="J4" s="5" t="inlineStr">
        <is>
          <t>Memory Utilization (%)</t>
        </is>
      </c>
      <c r="K4" s="5" t="inlineStr">
        <is>
          <t>Peak CPU (%)</t>
        </is>
      </c>
      <c r="L4" s="5" t="inlineStr">
        <is>
          <t>Peak Memory (%)</t>
        </is>
      </c>
      <c r="M4" s="5" t="inlineStr">
        <is>
          <t>Threshold Status</t>
        </is>
      </c>
    </row>
    <row r="5">
      <c r="A5" s="4" t="inlineStr">
        <is>
          <t>server01.example.com</t>
        </is>
      </c>
      <c r="B5" s="4" t="inlineStr">
        <is>
          <t>Physical Server</t>
        </is>
      </c>
      <c r="C5" s="4" t="inlineStr">
        <is>
          <t>DC1-Rack5</t>
        </is>
      </c>
      <c r="D5" s="4" t="inlineStr">
        <is>
          <t>Web Application</t>
        </is>
      </c>
      <c r="E5" s="4" t="inlineStr">
        <is>
          <t>16</t>
        </is>
      </c>
      <c r="F5" t="inlineStr">
        <is>
          <t>8</t>
        </is>
      </c>
      <c r="G5">
        <f>IF(AND(E5&lt;&gt;"", F5&lt;&gt;""), ROUND((F5/E5)*100, 1), "")</f>
        <v/>
      </c>
      <c r="H5" s="4" t="inlineStr">
        <is>
          <t>64</t>
        </is>
      </c>
      <c r="I5" s="4" t="inlineStr">
        <is>
          <t>32</t>
        </is>
      </c>
      <c r="J5">
        <f>IF(AND(H5&lt;&gt;"", I5&lt;&gt;""), ROUND((I5/H5)*100, 1), "")</f>
        <v/>
      </c>
      <c r="K5" s="4" t="inlineStr">
        <is>
          <t>75</t>
        </is>
      </c>
      <c r="L5" s="4" t="inlineStr">
        <is>
          <t>60</t>
        </is>
      </c>
      <c r="M5">
        <f>IF(OR(G5="", J5=""), "Not Monitored", IF(OR(G5&gt;85, J5&gt;90), "❌ Critical", IF(OR(G5&gt;70, J5&gt;75), "⚠ Warning", "✅ OK")))</f>
        <v/>
      </c>
    </row>
  </sheetData>
  <mergeCells count="2">
    <mergeCell ref="A2:M2"/>
    <mergeCell ref="A1:M1"/>
  </mergeCells>
  <dataValidations count="2">
    <dataValidation sqref="M5:M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"Physical Server,Virtual Machine,Container/Pod,Cloud Instance,Other"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5" customWidth="1" min="4" max="4"/>
    <col width="18" customWidth="1" min="5" max="5"/>
    <col width="18" customWidth="1" min="6" max="6"/>
    <col width="20" customWidth="1" min="7" max="7"/>
    <col width="15" customWidth="1" min="8" max="8"/>
    <col width="18" customWidth="1" min="9" max="9"/>
    <col width="20" customWidth="1" min="10" max="10"/>
    <col width="18" customWidth="1" min="11" max="11"/>
  </cols>
  <sheetData>
    <row r="1" ht="30" customHeight="1">
      <c r="A1" s="1" t="inlineStr">
        <is>
          <t>STORAGE CAPACITY UTILIZATION</t>
        </is>
      </c>
    </row>
    <row r="2">
      <c r="A2" s="2" t="inlineStr">
        <is>
          <t>Document current disk, database, and backup storage capacity</t>
        </is>
      </c>
    </row>
    <row r="4">
      <c r="A4" s="5" t="inlineStr">
        <is>
          <t>Resource Name</t>
        </is>
      </c>
      <c r="B4" s="5" t="inlineStr">
        <is>
          <t>Storage Type</t>
        </is>
      </c>
      <c r="C4" s="5" t="inlineStr">
        <is>
          <t>Location/Server</t>
        </is>
      </c>
      <c r="D4" s="5" t="inlineStr">
        <is>
          <t>Business Function</t>
        </is>
      </c>
      <c r="E4" s="5" t="inlineStr">
        <is>
          <t>Total Capacity (GB)</t>
        </is>
      </c>
      <c r="F4" s="5" t="inlineStr">
        <is>
          <t>Used Capacity (GB)</t>
        </is>
      </c>
      <c r="G4" s="5" t="inlineStr">
        <is>
          <t>Available Capacity (GB)</t>
        </is>
      </c>
      <c r="H4" s="5" t="inlineStr">
        <is>
          <t>Utilization (%)</t>
        </is>
      </c>
      <c r="I4" s="5" t="inlineStr">
        <is>
          <t>Peak Utilization (%)</t>
        </is>
      </c>
      <c r="J4" s="5" t="inlineStr">
        <is>
          <t>Growth Rate (GB/month)</t>
        </is>
      </c>
      <c r="K4" s="5" t="inlineStr">
        <is>
          <t>Threshold Status</t>
        </is>
      </c>
    </row>
    <row r="5">
      <c r="A5" s="4" t="inlineStr">
        <is>
          <t>/dev/sda1 (/)</t>
        </is>
      </c>
      <c r="B5" s="4" t="inlineStr">
        <is>
          <t>Filesystem</t>
        </is>
      </c>
      <c r="C5" s="4" t="inlineStr">
        <is>
          <t>server01</t>
        </is>
      </c>
      <c r="D5" s="4" t="inlineStr">
        <is>
          <t>Operating System</t>
        </is>
      </c>
      <c r="E5" s="4" t="inlineStr">
        <is>
          <t>500</t>
        </is>
      </c>
      <c r="F5" s="4" t="inlineStr">
        <is>
          <t>375</t>
        </is>
      </c>
      <c r="G5">
        <f>IF(AND(E5&lt;&gt;"", F5&lt;&gt;""), E5-F5, "")</f>
        <v/>
      </c>
      <c r="H5">
        <f>IF(AND(E5&lt;&gt;"", F5&lt;&gt;""), ROUND((F5/E5)*100, 1), "")</f>
        <v/>
      </c>
      <c r="I5" s="4" t="inlineStr">
        <is>
          <t>80</t>
        </is>
      </c>
      <c r="J5" s="4" t="inlineStr">
        <is>
          <t>5</t>
        </is>
      </c>
      <c r="K5">
        <f>IF(H5="", "Not Monitored", IF(H5&gt;85, "❌ Critical", IF(H5&gt;75, "⚠ Warning", "✅ OK")))</f>
        <v/>
      </c>
    </row>
  </sheetData>
  <mergeCells count="2">
    <mergeCell ref="A2:K2"/>
    <mergeCell ref="A1:K1"/>
  </mergeCells>
  <dataValidations count="2">
    <dataValidation sqref="K5:K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"Filesystem,Database,Backup Repository,Archive,SAN/NAS,Object Storage,Other"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5" customWidth="1" min="11" max="11"/>
    <col width="18" customWidth="1" min="12" max="12"/>
  </cols>
  <sheetData>
    <row r="1" ht="30" customHeight="1">
      <c r="A1" s="1" t="inlineStr">
        <is>
          <t>NETWORK CAPACITY UTILIZATION</t>
        </is>
      </c>
    </row>
    <row r="2">
      <c r="A2" s="2" t="inlineStr">
        <is>
          <t>Document network bandwidth, throughput, and service capacity</t>
        </is>
      </c>
    </row>
    <row r="4">
      <c r="A4" s="5" t="inlineStr">
        <is>
          <t>Resource Name</t>
        </is>
      </c>
      <c r="B4" s="5" t="inlineStr">
        <is>
          <t>Network Type</t>
        </is>
      </c>
      <c r="C4" s="5" t="inlineStr">
        <is>
          <t>Location</t>
        </is>
      </c>
      <c r="D4" s="5" t="inlineStr">
        <is>
          <t>Business Function</t>
        </is>
      </c>
      <c r="E4" s="5" t="inlineStr">
        <is>
          <t>Link Capacity (Mbps)</t>
        </is>
      </c>
      <c r="F4" s="5" t="inlineStr">
        <is>
          <t>Avg Inbound (Mbps)</t>
        </is>
      </c>
      <c r="G4" s="5" t="inlineStr">
        <is>
          <t>Avg Outbound (Mbps)</t>
        </is>
      </c>
      <c r="H4" s="5" t="inlineStr">
        <is>
          <t>Total Utilization (%)</t>
        </is>
      </c>
      <c r="I4" s="5" t="inlineStr">
        <is>
          <t>Peak Utilization (%)</t>
        </is>
      </c>
      <c r="J4" s="5" t="inlineStr">
        <is>
          <t>Concurrent Connections</t>
        </is>
      </c>
      <c r="K4" s="5" t="inlineStr">
        <is>
          <t>Connection Limit</t>
        </is>
      </c>
      <c r="L4" s="5" t="inlineStr">
        <is>
          <t>Threshold Status</t>
        </is>
      </c>
    </row>
    <row r="5">
      <c r="A5" s="4" t="inlineStr">
        <is>
          <t>WAN-Link-Primary</t>
        </is>
      </c>
      <c r="B5" s="4" t="inlineStr">
        <is>
          <t>WAN/Internet</t>
        </is>
      </c>
      <c r="C5" s="4" t="inlineStr">
        <is>
          <t>DC1</t>
        </is>
      </c>
      <c r="D5" s="4" t="inlineStr">
        <is>
          <t>Primary Internet</t>
        </is>
      </c>
      <c r="E5" s="4" t="inlineStr">
        <is>
          <t>1000</t>
        </is>
      </c>
      <c r="F5" s="4" t="inlineStr">
        <is>
          <t>350</t>
        </is>
      </c>
      <c r="G5" s="4" t="inlineStr">
        <is>
          <t>150</t>
        </is>
      </c>
      <c r="H5">
        <f>IF(AND(E5&lt;&gt;"", F5&lt;&gt;"", G5&lt;&gt;""), ROUND(((F5+G5)/E5)*100, 1), "")</f>
        <v/>
      </c>
      <c r="I5" s="4" t="inlineStr">
        <is>
          <t>75</t>
        </is>
      </c>
      <c r="J5" s="4" t="inlineStr">
        <is>
          <t>5000</t>
        </is>
      </c>
      <c r="K5" s="4" t="inlineStr">
        <is>
          <t>10000</t>
        </is>
      </c>
      <c r="L5">
        <f>IF(H5="", "Not Monitored", IF(H5&gt;85, "❌ Critical", IF(H5&gt;70, "⚠ Warning", "✅ OK")))</f>
        <v/>
      </c>
    </row>
  </sheetData>
  <mergeCells count="2">
    <mergeCell ref="A2:L2"/>
    <mergeCell ref="A1:L1"/>
  </mergeCells>
  <dataValidations count="2">
    <dataValidation sqref="L5:L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"WAN/Internet,LAN,Inter-DC Link,VPN,Load Balancer,Firewall,Other"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  <col width="18" customWidth="1" min="6" max="6"/>
    <col width="20" customWidth="1" min="7" max="7"/>
    <col width="22" customWidth="1" min="8" max="8"/>
    <col width="22" customWidth="1" min="9" max="9"/>
    <col width="22" customWidth="1" min="10" max="10"/>
    <col width="18" customWidth="1" min="11" max="11"/>
  </cols>
  <sheetData>
    <row r="1" ht="30" customHeight="1">
      <c r="A1" s="1" t="inlineStr">
        <is>
          <t>APPLICATION CAPACITY UTILIZATION</t>
        </is>
      </c>
    </row>
    <row r="2">
      <c r="A2" s="2" t="inlineStr">
        <is>
          <t>Document application user sessions, transactions, and performance capacity</t>
        </is>
      </c>
    </row>
    <row r="4">
      <c r="A4" s="5" t="inlineStr">
        <is>
          <t>Application Name</t>
        </is>
      </c>
      <c r="B4" s="5" t="inlineStr">
        <is>
          <t>Application Type</t>
        </is>
      </c>
      <c r="C4" s="5" t="inlineStr">
        <is>
          <t>Business Function</t>
        </is>
      </c>
      <c r="D4" s="5" t="inlineStr">
        <is>
          <t>Max Concurrent Users</t>
        </is>
      </c>
      <c r="E4" s="5" t="inlineStr">
        <is>
          <t>Current Active Users</t>
        </is>
      </c>
      <c r="F4" s="5" t="inlineStr">
        <is>
          <t>User Utilization (%)</t>
        </is>
      </c>
      <c r="G4" s="5" t="inlineStr">
        <is>
          <t>Max Transactions/sec</t>
        </is>
      </c>
      <c r="H4" s="5" t="inlineStr">
        <is>
          <t>Current Transactions/sec</t>
        </is>
      </c>
      <c r="I4" s="5" t="inlineStr">
        <is>
          <t>Transaction Utilization (%)</t>
        </is>
      </c>
      <c r="J4" s="5" t="inlineStr">
        <is>
          <t>Avg Response Time (ms)</t>
        </is>
      </c>
      <c r="K4" s="5" t="inlineStr">
        <is>
          <t>Threshold Status</t>
        </is>
      </c>
    </row>
    <row r="5">
      <c r="A5" s="4" t="inlineStr">
        <is>
          <t>WebApp-Production</t>
        </is>
      </c>
      <c r="B5" s="4" t="inlineStr">
        <is>
          <t>Web Application</t>
        </is>
      </c>
      <c r="C5" s="4" t="inlineStr">
        <is>
          <t>Customer Portal</t>
        </is>
      </c>
      <c r="D5" s="4" t="inlineStr">
        <is>
          <t>1000</t>
        </is>
      </c>
      <c r="E5" s="4" t="inlineStr">
        <is>
          <t>650</t>
        </is>
      </c>
      <c r="F5">
        <f>IF(AND(D5&lt;&gt;"", E5&lt;&gt;""), ROUND((E5/D5)*100, 1), "")</f>
        <v/>
      </c>
      <c r="G5" s="4" t="inlineStr">
        <is>
          <t>500</t>
        </is>
      </c>
      <c r="H5" s="4" t="inlineStr">
        <is>
          <t>280</t>
        </is>
      </c>
      <c r="I5">
        <f>IF(AND(G5&lt;&gt;"", H5&lt;&gt;""), ROUND((H5/G5)*100, 1), "")</f>
        <v/>
      </c>
      <c r="J5" s="4" t="inlineStr">
        <is>
          <t>145</t>
        </is>
      </c>
      <c r="K5">
        <f>IF(OR(F5="", I5=""), "Not Monitored", IF(OR(F5&gt;90, I5&gt;90), "❌ Critical", IF(OR(F5&gt;75, I5&gt;75), "⚠ Warning", "✅ OK")))</f>
        <v/>
      </c>
    </row>
  </sheetData>
  <mergeCells count="2">
    <mergeCell ref="A2:K2"/>
    <mergeCell ref="A1:K1"/>
  </mergeCells>
  <dataValidations count="2">
    <dataValidation sqref="K5:K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"Web Application,Database,API Service,Message Queue,Batch Processing,SaaS Application,Other"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20" customWidth="1" min="9" max="9"/>
    <col width="18" customWidth="1" min="10" max="10"/>
  </cols>
  <sheetData>
    <row r="1" ht="30" customHeight="1">
      <c r="A1" s="1" t="inlineStr">
        <is>
          <t>CLOUD SERVICE CAPACITY UTILIZATION</t>
        </is>
      </c>
    </row>
    <row r="2">
      <c r="A2" s="2" t="inlineStr">
        <is>
          <t>Document cloud service quotas, limits, and instance counts</t>
        </is>
      </c>
    </row>
    <row r="4">
      <c r="A4" s="5" t="inlineStr">
        <is>
          <t>Cloud Provider</t>
        </is>
      </c>
      <c r="B4" s="5" t="inlineStr">
        <is>
          <t>Service/Resource Type</t>
        </is>
      </c>
      <c r="C4" s="5" t="inlineStr">
        <is>
          <t>Region</t>
        </is>
      </c>
      <c r="D4" s="5" t="inlineStr">
        <is>
          <t>Quota/Limit</t>
        </is>
      </c>
      <c r="E4" s="5" t="inlineStr">
        <is>
          <t>Current Usage</t>
        </is>
      </c>
      <c r="F4" s="5" t="inlineStr">
        <is>
          <t>Utilization (%)</t>
        </is>
      </c>
      <c r="G4" s="5" t="inlineStr">
        <is>
          <t>Monthly Cost ($)</t>
        </is>
      </c>
      <c r="H4" s="5" t="inlineStr">
        <is>
          <t>Reserved Capacity</t>
        </is>
      </c>
      <c r="I4" s="5" t="inlineStr">
        <is>
          <t>Auto-Scaling Enabled</t>
        </is>
      </c>
      <c r="J4" s="5" t="inlineStr">
        <is>
          <t>Threshold Status</t>
        </is>
      </c>
    </row>
    <row r="5">
      <c r="A5" s="4" t="inlineStr">
        <is>
          <t>AWS</t>
        </is>
      </c>
      <c r="B5" s="4" t="inlineStr">
        <is>
          <t>EC2 Instances (t3.large)</t>
        </is>
      </c>
      <c r="C5" s="4" t="inlineStr">
        <is>
          <t>us-east-1</t>
        </is>
      </c>
      <c r="D5" s="4" t="inlineStr">
        <is>
          <t>100</t>
        </is>
      </c>
      <c r="E5" s="4" t="inlineStr">
        <is>
          <t>72</t>
        </is>
      </c>
      <c r="F5">
        <f>IF(AND(D5&lt;&gt;"", E5&lt;&gt;""), ROUND((E5/D5)*100, 1), "")</f>
        <v/>
      </c>
      <c r="G5" s="4" t="inlineStr">
        <is>
          <t>4320</t>
        </is>
      </c>
      <c r="H5" s="4" t="inlineStr">
        <is>
          <t>20 Reserved</t>
        </is>
      </c>
      <c r="I5" s="4" t="inlineStr">
        <is>
          <t>Yes</t>
        </is>
      </c>
      <c r="J5">
        <f>IF(F5="", "Not Monitored", IF(F5&gt;85, "❌ Critical", IF(F5&gt;70, "⚠ Warning", "✅ OK")))</f>
        <v/>
      </c>
    </row>
  </sheetData>
  <mergeCells count="2">
    <mergeCell ref="A1:J1"/>
    <mergeCell ref="A2:J2"/>
  </mergeCells>
  <dataValidations count="3">
    <dataValidation sqref="J5:J100" showDropDown="0" showInputMessage="0" showErrorMessage="0" allowBlank="0" type="list">
      <formula1>"✅ OK,⚠️ Warning,❌ Critical,Not Monitored"</formula1>
    </dataValidation>
    <dataValidation sqref="I5:I100" showDropDown="0" showInputMessage="0" showErrorMessage="0" allowBlank="0" type="list">
      <formula1>"Yes,No"</formula1>
    </dataValidation>
    <dataValidation sqref="A5:A100" showDropDown="0" showInputMessage="0" showErrorMessage="0" allowBlank="0" type="list">
      <formula1>"AWS,Azure,GCP,Oracle Cloud,IBM Cloud,Alibaba Cloud,Other"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" t="inlineStr">
        <is>
          <t>CAPACITY THRESHOLD STATUS SUMMARY</t>
        </is>
      </c>
    </row>
    <row r="2">
      <c r="A2" s="2" t="inlineStr">
        <is>
          <t>Aggregate view of resources by threshold status</t>
        </is>
      </c>
    </row>
    <row r="4">
      <c r="A4" s="5" t="inlineStr">
        <is>
          <t>Resource Category</t>
        </is>
      </c>
      <c r="B4" s="5" t="inlineStr">
        <is>
          <t>Total Resources</t>
        </is>
      </c>
      <c r="C4" s="5" t="inlineStr">
        <is>
          <t>✅ OK</t>
        </is>
      </c>
      <c r="D4" s="5" t="inlineStr">
        <is>
          <t>⚠ Warning</t>
        </is>
      </c>
      <c r="E4" s="5" t="inlineStr">
        <is>
          <t>❌ Critical</t>
        </is>
      </c>
      <c r="F4" s="5" t="inlineStr">
        <is>
          <t>Not Monitored</t>
        </is>
      </c>
    </row>
    <row r="5">
      <c r="A5" t="inlineStr">
        <is>
          <t>Compute Resources</t>
        </is>
      </c>
      <c r="B5">
        <f>COUNTA(Compute_Resources!M5:M100)</f>
        <v/>
      </c>
      <c r="C5" s="6">
        <f>COUNTIF(Compute_Resources!M5:M100,"✅ OK")</f>
        <v/>
      </c>
      <c r="D5" s="7">
        <f>COUNTIF(Compute_Resources!M5:M100,"⚠ Warning")</f>
        <v/>
      </c>
      <c r="E5" s="8">
        <f>COUNTIF(Compute_Resources!M5:M100,"❌ Critical")</f>
        <v/>
      </c>
      <c r="F5">
        <f>COUNTIF(Compute_Resources!M5:M100,"Not Monitored")</f>
        <v/>
      </c>
    </row>
    <row r="6">
      <c r="A6" t="inlineStr">
        <is>
          <t>Storage Resources</t>
        </is>
      </c>
      <c r="B6">
        <f>COUNTA(Storage_Resources!K5:K100)</f>
        <v/>
      </c>
      <c r="C6" s="6">
        <f>COUNTIF(Storage_Resources!K5:K100,"✅ OK")</f>
        <v/>
      </c>
      <c r="D6" s="7">
        <f>COUNTIF(Storage_Resources!K5:K100,"⚠ Warning")</f>
        <v/>
      </c>
      <c r="E6" s="8">
        <f>COUNTIF(Storage_Resources!K5:K100,"❌ Critical")</f>
        <v/>
      </c>
      <c r="F6">
        <f>COUNTIF(Storage_Resources!K5:K100,"Not Monitored")</f>
        <v/>
      </c>
    </row>
    <row r="7">
      <c r="A7" t="inlineStr">
        <is>
          <t>Network Resources</t>
        </is>
      </c>
      <c r="B7">
        <f>COUNTA(Network_Resources!L5:L100)</f>
        <v/>
      </c>
      <c r="C7" s="6">
        <f>COUNTIF(Network_Resources!L5:L100,"✅ OK")</f>
        <v/>
      </c>
      <c r="D7" s="7">
        <f>COUNTIF(Network_Resources!L5:L100,"⚠ Warning")</f>
        <v/>
      </c>
      <c r="E7" s="8">
        <f>COUNTIF(Network_Resources!L5:L100,"❌ Critical")</f>
        <v/>
      </c>
      <c r="F7">
        <f>COUNTIF(Network_Resources!L5:L100,"Not Monitored")</f>
        <v/>
      </c>
    </row>
    <row r="8">
      <c r="A8" t="inlineStr">
        <is>
          <t>Application Resources</t>
        </is>
      </c>
      <c r="B8">
        <f>COUNTA(Application_Resources!K5:K100)</f>
        <v/>
      </c>
      <c r="C8" s="6">
        <f>COUNTIF(Application_Resources!K5:K100,"✅ OK")</f>
        <v/>
      </c>
      <c r="D8" s="7">
        <f>COUNTIF(Application_Resources!K5:K100,"⚠ Warning")</f>
        <v/>
      </c>
      <c r="E8" s="8">
        <f>COUNTIF(Application_Resources!K5:K100,"❌ Critical")</f>
        <v/>
      </c>
      <c r="F8">
        <f>COUNTIF(Application_Resources!K5:K100,"Not Monitored")</f>
        <v/>
      </c>
    </row>
    <row r="9">
      <c r="A9" t="inlineStr">
        <is>
          <t>Cloud Resources</t>
        </is>
      </c>
      <c r="B9">
        <f>COUNTA(Cloud_Resources!J5:J100)</f>
        <v/>
      </c>
      <c r="C9" s="6">
        <f>COUNTIF(Cloud_Resources!J5:J100,"✅ OK")</f>
        <v/>
      </c>
      <c r="D9" s="7">
        <f>COUNTIF(Cloud_Resources!J5:J100,"⚠ Warning")</f>
        <v/>
      </c>
      <c r="E9" s="8">
        <f>COUNTIF(Cloud_Resources!J5:J100,"❌ Critical")</f>
        <v/>
      </c>
      <c r="F9">
        <f>COUNTIF(Cloud_Resources!J5:J100,"Not Monitored")</f>
        <v/>
      </c>
    </row>
    <row r="11">
      <c r="A11" s="3" t="inlineStr">
        <is>
          <t>TOTAL</t>
        </is>
      </c>
      <c r="B11" s="3">
        <f>SUM(B5:B10)</f>
        <v/>
      </c>
      <c r="C11" s="3">
        <f>SUM(C5:C10)</f>
        <v/>
      </c>
      <c r="D11" s="3">
        <f>SUM(D5:D10)</f>
        <v/>
      </c>
      <c r="E11" s="3">
        <f>SUM(E5:E10)</f>
        <v/>
      </c>
      <c r="F11" s="3">
        <f>SUM(F5:F10)</f>
        <v/>
      </c>
    </row>
    <row r="13">
      <c r="A13" s="9" t="inlineStr">
        <is>
          <t>CAPACITY HEALTH SCORE</t>
        </is>
      </c>
      <c r="C13" s="10">
        <f>IF(B11&gt;0, ROUND((C11/B11)*100, 1), 0)</f>
        <v/>
      </c>
      <c r="D13" t="inlineStr">
        <is>
          <t>%</t>
        </is>
      </c>
    </row>
    <row r="14">
      <c r="A14" s="11" t="inlineStr">
        <is>
          <t>Health Score = (Resources at OK Status / Total Resources) × 100%</t>
        </is>
      </c>
    </row>
  </sheetData>
  <mergeCells count="4">
    <mergeCell ref="A2:F2"/>
    <mergeCell ref="A13:B13"/>
    <mergeCell ref="A14:F1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20" customWidth="1" min="4" max="4"/>
    <col width="25" customWidth="1" min="5" max="5"/>
  </cols>
  <sheetData>
    <row r="1" ht="30" customHeight="1">
      <c r="A1" s="1" t="inlineStr">
        <is>
          <t>MONITORING COVERAGE ANALYSIS</t>
        </is>
      </c>
    </row>
    <row r="2">
      <c r="A2" s="2" t="inlineStr">
        <is>
          <t>Identify resources not yet monitored for capacity</t>
        </is>
      </c>
    </row>
    <row r="4">
      <c r="A4" s="5" t="inlineStr">
        <is>
          <t>Coverage Metric</t>
        </is>
      </c>
      <c r="B4" s="5" t="inlineStr">
        <is>
          <t>Target</t>
        </is>
      </c>
      <c r="C4" s="5" t="inlineStr">
        <is>
          <t>Actual</t>
        </is>
      </c>
      <c r="D4" s="5" t="inlineStr">
        <is>
          <t>Gap</t>
        </is>
      </c>
      <c r="E4" s="5" t="inlineStr">
        <is>
          <t>Status</t>
        </is>
      </c>
    </row>
    <row r="5">
      <c r="A5" t="inlineStr">
        <is>
          <t>Production Systems Coverage</t>
        </is>
      </c>
      <c r="B5" t="inlineStr">
        <is>
          <t>100%</t>
        </is>
      </c>
      <c r="C5" s="4" t="n"/>
      <c r="D5" s="4" t="n"/>
      <c r="E5" s="4" t="n"/>
    </row>
    <row r="6">
      <c r="A6" t="inlineStr">
        <is>
          <t>Non-Production Systems Coverage</t>
        </is>
      </c>
      <c r="B6" t="inlineStr">
        <is>
          <t>90%</t>
        </is>
      </c>
      <c r="C6" s="4" t="n"/>
      <c r="D6" s="4" t="n"/>
      <c r="E6" s="4" t="n"/>
    </row>
    <row r="7">
      <c r="A7" t="inlineStr">
        <is>
          <t>Overall Coverage</t>
        </is>
      </c>
      <c r="B7" t="inlineStr">
        <is>
          <t>95%</t>
        </is>
      </c>
      <c r="C7" s="4" t="n"/>
      <c r="D7" s="4" t="n"/>
      <c r="E7" s="4" t="n"/>
    </row>
    <row r="10">
      <c r="A10" s="2" t="inlineStr">
        <is>
          <t>MONITORING GAPS - Resources Not Yet Monitored</t>
        </is>
      </c>
    </row>
    <row r="11">
      <c r="A11" s="5" t="inlineStr">
        <is>
          <t>Resource Name</t>
        </is>
      </c>
      <c r="B11" s="5" t="inlineStr">
        <is>
          <t>Resource Type</t>
        </is>
      </c>
      <c r="C11" s="5" t="inlineStr">
        <is>
          <t>Reason Not Monitored</t>
        </is>
      </c>
      <c r="D11" s="5" t="inlineStr">
        <is>
          <t>Planned Monitoring Date</t>
        </is>
      </c>
      <c r="E11" s="5" t="inlineStr">
        <is>
          <t>Responsible Party</t>
        </is>
      </c>
    </row>
    <row r="12">
      <c r="A12" s="4" t="inlineStr">
        <is>
          <t>[Resource name]</t>
        </is>
      </c>
      <c r="B12" s="4" t="inlineStr">
        <is>
          <t>[Type]</t>
        </is>
      </c>
      <c r="C12" s="4" t="inlineStr">
        <is>
          <t>[Legacy system, Technical constraint, etc.]</t>
        </is>
      </c>
      <c r="D12" s="4" t="inlineStr">
        <is>
          <t>[Date]</t>
        </is>
      </c>
      <c r="E12" s="4" t="inlineStr">
        <is>
          <t>[Team/Person]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40" customWidth="1" min="4" max="4"/>
    <col width="15" customWidth="1" min="5" max="5"/>
    <col width="25" customWidth="1" min="6" max="6"/>
  </cols>
  <sheetData>
    <row r="1" ht="30" customHeight="1">
      <c r="A1" s="1" t="inlineStr">
        <is>
          <t>EVIDENCE REGISTER</t>
        </is>
      </c>
    </row>
    <row r="2">
      <c r="A2" s="2" t="inlineStr">
        <is>
          <t>Document supporting evidence for capacity utilization assessment</t>
        </is>
      </c>
    </row>
    <row r="4">
      <c r="A4" s="5" t="inlineStr">
        <is>
          <t>Evidence ID</t>
        </is>
      </c>
      <c r="B4" s="5" t="inlineStr">
        <is>
          <t>Evidence Type</t>
        </is>
      </c>
      <c r="C4" s="5" t="inlineStr">
        <is>
          <t>Description</t>
        </is>
      </c>
      <c r="D4" s="5" t="inlineStr">
        <is>
          <t>Location/File Path</t>
        </is>
      </c>
      <c r="E4" s="5" t="inlineStr">
        <is>
          <t>Date Created</t>
        </is>
      </c>
      <c r="F4" s="5" t="inlineStr">
        <is>
          <t>Related Assessment Sheet</t>
        </is>
      </c>
    </row>
    <row r="5">
      <c r="A5" t="inlineStr">
        <is>
          <t>A86-MON-001</t>
        </is>
      </c>
      <c r="B5" t="inlineStr">
        <is>
          <t>Monitoring Dashboard</t>
        </is>
      </c>
      <c r="C5" t="inlineStr">
        <is>
          <t>Prometheus capacity dashboard screenshot</t>
        </is>
      </c>
      <c r="D5" t="inlineStr">
        <is>
          <t>/evidence/prometheus_dashboard_2026-01.png</t>
        </is>
      </c>
      <c r="E5" t="inlineStr">
        <is>
          <t>2026-01-11</t>
        </is>
      </c>
      <c r="F5" t="inlineStr">
        <is>
          <t>All</t>
        </is>
      </c>
    </row>
    <row r="6">
      <c r="A6" t="inlineStr">
        <is>
          <t>A86-MON-002</t>
        </is>
      </c>
      <c r="B6" t="inlineStr">
        <is>
          <t>Monitoring Data Export</t>
        </is>
      </c>
      <c r="C6" t="inlineStr">
        <is>
          <t>CloudWatch metrics export (CSV)</t>
        </is>
      </c>
      <c r="D6" t="inlineStr">
        <is>
          <t>/evidence/cloudwatch_export_2026-01.csv</t>
        </is>
      </c>
      <c r="E6" t="inlineStr">
        <is>
          <t>2026-01-11</t>
        </is>
      </c>
      <c r="F6" t="inlineStr">
        <is>
          <t>Compute_Resources</t>
        </is>
      </c>
    </row>
    <row r="7">
      <c r="A7" t="inlineStr">
        <is>
          <t>A86-CFG-001</t>
        </is>
      </c>
      <c r="B7" t="inlineStr">
        <is>
          <t>Threshold Configuration</t>
        </is>
      </c>
      <c r="C7" t="inlineStr">
        <is>
          <t>Alert configuration backup</t>
        </is>
      </c>
      <c r="D7" t="inlineStr">
        <is>
          <t>/evidence/alert_config_2026-01.json</t>
        </is>
      </c>
      <c r="E7" t="inlineStr">
        <is>
          <t>2026-01-11</t>
        </is>
      </c>
      <c r="F7" t="inlineStr">
        <is>
          <t>All</t>
        </is>
      </c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ASSESSMENT APPROVAL AND SIGN-OFF</t>
        </is>
      </c>
    </row>
    <row r="2">
      <c r="A2" s="2" t="inlineStr">
        <is>
          <t>Formal approval of capacity utilization assessment</t>
        </is>
      </c>
    </row>
    <row r="4">
      <c r="A4" s="2" t="inlineStr">
        <is>
          <t>ASSESSMENT SUMMARY</t>
        </is>
      </c>
    </row>
    <row r="5">
      <c r="A5" s="3" t="inlineStr">
        <is>
          <t>Assessment Date:</t>
        </is>
      </c>
      <c r="B5" s="4" t="inlineStr">
        <is>
          <t>[USER INPUT]</t>
        </is>
      </c>
    </row>
    <row r="6">
      <c r="A6" s="3" t="inlineStr">
        <is>
          <t>Assessment Period:</t>
        </is>
      </c>
      <c r="B6" t="inlineStr">
        <is>
          <t>[e.g., January 2026]</t>
        </is>
      </c>
    </row>
    <row r="7">
      <c r="A7" s="3" t="inlineStr">
        <is>
          <t>Total Resources Assessed:</t>
        </is>
      </c>
      <c r="B7">
        <f>Threshold_Summary!B10</f>
        <v/>
      </c>
    </row>
    <row r="8">
      <c r="A8" s="3" t="inlineStr">
        <is>
          <t>Resources at OK Status:</t>
        </is>
      </c>
      <c r="B8">
        <f>Threshold_Summary!C10</f>
        <v/>
      </c>
    </row>
    <row r="9">
      <c r="A9" s="3" t="inlineStr">
        <is>
          <t>Resources at Warning:</t>
        </is>
      </c>
      <c r="B9">
        <f>Threshold_Summary!D10</f>
        <v/>
      </c>
    </row>
    <row r="10">
      <c r="A10" s="3" t="inlineStr">
        <is>
          <t>Resources at Critical:</t>
        </is>
      </c>
      <c r="B10">
        <f>Threshold_Summary!E10</f>
        <v/>
      </c>
    </row>
    <row r="11">
      <c r="A11" s="3" t="inlineStr">
        <is>
          <t>Capacity Health Score:</t>
        </is>
      </c>
      <c r="B11">
        <f>Threshold_Summary!C12&amp;"%"</f>
        <v/>
      </c>
    </row>
    <row r="14">
      <c r="A14" s="2" t="inlineStr">
        <is>
          <t>APPROVAL SIGNATURES</t>
        </is>
      </c>
    </row>
    <row r="15">
      <c r="A15" s="5" t="inlineStr">
        <is>
          <t>Role</t>
        </is>
      </c>
      <c r="B15" s="5" t="inlineStr">
        <is>
          <t>Name</t>
        </is>
      </c>
      <c r="C15" s="5" t="inlineStr">
        <is>
          <t>Signature/Approval</t>
        </is>
      </c>
      <c r="D15" s="5" t="inlineStr">
        <is>
          <t>Date</t>
        </is>
      </c>
    </row>
    <row r="16">
      <c r="A16" t="inlineStr">
        <is>
          <t>Completed By (Capacity Planning Team)</t>
        </is>
      </c>
      <c r="B16" s="4" t="n"/>
      <c r="C16" s="4" t="n"/>
      <c r="D16" s="4" t="n"/>
    </row>
    <row r="17">
      <c r="A17" t="inlineStr">
        <is>
          <t>Reviewed By (Infrastructure Manager)</t>
        </is>
      </c>
      <c r="B17" s="4" t="n"/>
      <c r="C17" s="4" t="n"/>
      <c r="D17" s="4" t="n"/>
    </row>
    <row r="18">
      <c r="A18" t="inlineStr">
        <is>
          <t>Approved By (IT Operations Manager)</t>
        </is>
      </c>
      <c r="B18" s="4" t="n"/>
      <c r="C18" s="4" t="n"/>
      <c r="D18" s="4" t="n"/>
    </row>
    <row r="19">
      <c r="A19" t="inlineStr">
        <is>
          <t>Approved By (CIO/IT Director)</t>
        </is>
      </c>
      <c r="B19" s="4" t="n"/>
      <c r="C19" s="4" t="n"/>
      <c r="D19" s="4" t="n"/>
    </row>
    <row r="22">
      <c r="A22" s="2" t="inlineStr">
        <is>
          <t>ASSESSMENT NOTES</t>
        </is>
      </c>
    </row>
    <row r="23" ht="100" customHeight="1">
      <c r="A23" s="12" t="inlineStr">
        <is>
          <t>[Document any significant findings, capacity concerns, or recommendations]</t>
        </is>
      </c>
    </row>
    <row r="24"/>
    <row r="25"/>
    <row r="26"/>
    <row r="27"/>
    <row r="28"/>
  </sheetData>
  <mergeCells count="6">
    <mergeCell ref="A1:D1"/>
    <mergeCell ref="A23:D28"/>
    <mergeCell ref="A22:D22"/>
    <mergeCell ref="A4:D4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2026-02-08T10:50:08Z</dcterms:created>
  <dcterms:modified xmlns:dcterms="http://purl.org/dc/terms/" xmlns:xsi="http://www.w3.org/2001/XMLSchema-instance" xsi:type="dcterms:W3CDTF">2026-02-08T10:50:08Z</dcterms:modified>
</cp:coreProperties>
</file>