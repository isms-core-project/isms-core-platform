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Vendor Registry" sheetId="2" state="visible" r:id="rId2"/>
    <sheet xmlns:r="http://schemas.openxmlformats.org/officeDocument/2006/relationships" name="Security Assessment" sheetId="3" state="visible" r:id="rId3"/>
    <sheet xmlns:r="http://schemas.openxmlformats.org/officeDocument/2006/relationships" name="Due Diligence" sheetId="4" state="visible" r:id="rId4"/>
    <sheet xmlns:r="http://schemas.openxmlformats.org/officeDocument/2006/relationships" name="Environment Security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8" fillId="11" borderId="1" pivotButton="0" quotePrefix="0" xfId="0"/>
    <xf numFmtId="0" fontId="5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12" borderId="1" pivotButton="0" quotePrefix="0" xfId="0"/>
    <xf numFmtId="0" fontId="10" fillId="2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5" fontId="0" fillId="0" borderId="1" pivotButton="0" quotePrefix="0" xfId="0"/>
    <xf numFmtId="0" fontId="10" fillId="1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14" borderId="1" pivotButton="0" quotePrefix="0" xfId="0"/>
    <xf numFmtId="0" fontId="4" fillId="0" borderId="0" pivotButton="0" quotePrefix="0" xfId="0"/>
    <xf numFmtId="0" fontId="10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ISMS-IMP-A.8.30.1  -  Vendor Assessment and Registry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ISMS-IMP-A.8.30.1</t>
        </is>
      </c>
    </row>
    <row r="5">
      <c r="A5" s="3" t="inlineStr">
        <is>
          <t>Workbook Title</t>
        </is>
      </c>
      <c r="B5" t="inlineStr">
        <is>
          <t>Vendor Assessment and Registry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Vendor Registry.</t>
        </is>
      </c>
    </row>
    <row r="14">
      <c r="A14" t="inlineStr">
        <is>
          <t>2. Classify each vendor by risk tier (Critical/High/Standard) in the registry.</t>
        </is>
      </c>
    </row>
    <row r="15">
      <c r="A15" t="inlineStr">
        <is>
          <t>3. Complete security assessment records for each vendor.</t>
        </is>
      </c>
    </row>
    <row r="16">
      <c r="A16" t="inlineStr">
        <is>
          <t>4. Run through the due diligence checklist for vendor onboarding.</t>
        </is>
      </c>
    </row>
    <row r="17">
      <c r="A17" t="inlineStr">
        <is>
          <t>5. Verify development environment security attestations.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25" customWidth="1" min="10" max="10"/>
    <col width="25" customWidth="1" min="11" max="11"/>
    <col width="20" customWidth="1" min="12" max="12"/>
    <col width="30" customWidth="1" min="13" max="13"/>
  </cols>
  <sheetData>
    <row r="1" ht="35" customHeight="1">
      <c r="A1" s="11" t="inlineStr">
        <is>
          <t>VENDOR REGISTRY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Vendor Name</t>
        </is>
      </c>
      <c r="C3" s="13" t="inlineStr">
        <is>
          <t>Registry Status</t>
        </is>
      </c>
      <c r="D3" s="13" t="inlineStr">
        <is>
          <t>Risk Tier</t>
        </is>
      </c>
      <c r="E3" s="13" t="inlineStr">
        <is>
          <t>Initial Assessment Date</t>
        </is>
      </c>
      <c r="F3" s="13" t="inlineStr">
        <is>
          <t>Last Assessment Date</t>
        </is>
      </c>
      <c r="G3" s="13" t="inlineStr">
        <is>
          <t>Next Assessment Due</t>
        </is>
      </c>
      <c r="H3" s="13" t="inlineStr">
        <is>
          <t>ISO 27001 Certified</t>
        </is>
      </c>
      <c r="I3" s="13" t="inlineStr">
        <is>
          <t>SOC2 Type2</t>
        </is>
      </c>
      <c r="J3" s="13" t="inlineStr">
        <is>
          <t>Primary Contact</t>
        </is>
      </c>
      <c r="K3" s="13" t="inlineStr">
        <is>
          <t>Approved Project Types</t>
        </is>
      </c>
      <c r="L3" s="13" t="inlineStr">
        <is>
          <t>Approved By</t>
        </is>
      </c>
      <c r="M3" s="13" t="inlineStr">
        <is>
          <t>Notes</t>
        </is>
      </c>
    </row>
    <row r="4">
      <c r="A4" s="14" t="inlineStr">
        <is>
          <t>VEND-001</t>
        </is>
      </c>
      <c r="B4" s="14" t="inlineStr">
        <is>
          <t>Example Vendor Ltd</t>
        </is>
      </c>
      <c r="C4" s="14" t="inlineStr">
        <is>
          <t>Approved</t>
        </is>
      </c>
      <c r="D4" s="14" t="inlineStr">
        <is>
          <t>High</t>
        </is>
      </c>
      <c r="E4" s="14" t="inlineStr">
        <is>
          <t>01.01.2024</t>
        </is>
      </c>
      <c r="F4" s="14" t="inlineStr">
        <is>
          <t>15.12.2024</t>
        </is>
      </c>
      <c r="G4" s="14" t="inlineStr">
        <is>
          <t>15.12.2025</t>
        </is>
      </c>
      <c r="H4" s="14" t="inlineStr">
        <is>
          <t>Yes</t>
        </is>
      </c>
      <c r="I4" s="14" t="inlineStr">
        <is>
          <t>Yes</t>
        </is>
      </c>
      <c r="J4" s="14" t="inlineStr">
        <is>
          <t>Jane Doe (jane@vendor.com)</t>
        </is>
      </c>
      <c r="K4" s="14" t="inlineStr">
        <is>
          <t>Web applications, APIs</t>
        </is>
      </c>
      <c r="L4" s="14" t="inlineStr">
        <is>
          <t>CISO</t>
        </is>
      </c>
      <c r="M4" s="14" t="inlineStr">
        <is>
          <t>ISO 27001 certified, annual review cycle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</sheetData>
  <mergeCells count="2">
    <mergeCell ref="A2:M2"/>
    <mergeCell ref="A1:M1"/>
  </mergeCells>
  <dataValidations count="3">
    <dataValidation sqref="C4:C102" showDropDown="0" showInputMessage="0" showErrorMessage="0" allowBlank="0" type="list">
      <formula1>"Approved,Pending,Suspended,Removed"</formula1>
    </dataValidation>
    <dataValidation sqref="D4:D102" showDropDown="0" showInputMessage="0" showErrorMessage="0" allowBlank="0" type="list">
      <formula1>"Critical,High,Standard"</formula1>
    </dataValidation>
    <dataValidation sqref="H4:H102 I4:I102" showDropDown="0" showInputMessage="0" showErrorMessage="0" allowBlank="0" type="list">
      <formula1>"Yes,No,In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15" customWidth="1" min="8" max="8"/>
    <col width="20" customWidth="1" min="9" max="9"/>
    <col width="25" customWidth="1" min="10" max="10"/>
    <col width="18" customWidth="1" min="11" max="11"/>
    <col width="20" customWidth="1" min="12" max="12"/>
    <col width="18" customWidth="1" min="13" max="13"/>
    <col width="15" customWidth="1" min="14" max="14"/>
    <col width="30" customWidth="1" min="15" max="15"/>
    <col width="35" customWidth="1" min="16" max="16"/>
  </cols>
  <sheetData>
    <row r="1" ht="35" customHeight="1">
      <c r="A1" s="11" t="inlineStr">
        <is>
          <t>SECURITY ASSESSMENT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Assessment ID</t>
        </is>
      </c>
      <c r="B3" s="13" t="inlineStr">
        <is>
          <t>Vendor ID</t>
        </is>
      </c>
      <c r="C3" s="13" t="inlineStr">
        <is>
          <t>Assessment Date</t>
        </is>
      </c>
      <c r="D3" s="13" t="inlineStr">
        <is>
          <t>Assessment Type</t>
        </is>
      </c>
      <c r="E3" s="13" t="inlineStr">
        <is>
          <t>Assessor</t>
        </is>
      </c>
      <c r="F3" s="13" t="inlineStr">
        <is>
          <t>Security Certification</t>
        </is>
      </c>
      <c r="G3" s="13" t="inlineStr">
        <is>
          <t>Cert Expiry Date</t>
        </is>
      </c>
      <c r="H3" s="13" t="inlineStr">
        <is>
          <t>SDLC Maturity</t>
        </is>
      </c>
      <c r="I3" s="13" t="inlineStr">
        <is>
          <t>Security Incident History</t>
        </is>
      </c>
      <c r="J3" s="13" t="inlineStr">
        <is>
          <t>SAST DAST Tooling</t>
        </is>
      </c>
      <c r="K3" s="13" t="inlineStr">
        <is>
          <t>Personnel Screening</t>
        </is>
      </c>
      <c r="L3" s="13" t="inlineStr">
        <is>
          <t>Dev Environment Security</t>
        </is>
      </c>
      <c r="M3" s="13" t="inlineStr">
        <is>
          <t>Overall Risk Rating</t>
        </is>
      </c>
      <c r="N3" s="13" t="inlineStr">
        <is>
          <t>Recommendation</t>
        </is>
      </c>
      <c r="O3" s="13" t="inlineStr">
        <is>
          <t>Conditions</t>
        </is>
      </c>
      <c r="P3" s="13" t="inlineStr">
        <is>
          <t>Evidence Location</t>
        </is>
      </c>
    </row>
    <row r="4">
      <c r="A4" s="14" t="inlineStr">
        <is>
          <t>ASSESS-001</t>
        </is>
      </c>
      <c r="B4" s="14" t="inlineStr">
        <is>
          <t>VEND-001</t>
        </is>
      </c>
      <c r="C4" s="14" t="inlineStr">
        <is>
          <t>15.12.2024</t>
        </is>
      </c>
      <c r="D4" s="14" t="inlineStr">
        <is>
          <t>Annual</t>
        </is>
      </c>
      <c r="E4" s="14" t="inlineStr">
        <is>
          <t>Security Team</t>
        </is>
      </c>
      <c r="F4" s="14" t="inlineStr">
        <is>
          <t>ISO 27001</t>
        </is>
      </c>
      <c r="G4" s="14" t="inlineStr">
        <is>
          <t>31.12.2025</t>
        </is>
      </c>
      <c r="H4" s="14" t="inlineStr">
        <is>
          <t>Mature</t>
        </is>
      </c>
      <c r="I4" s="14" t="inlineStr">
        <is>
          <t>None</t>
        </is>
      </c>
      <c r="J4" s="14" t="inlineStr">
        <is>
          <t>SonarQube, Checkmarx</t>
        </is>
      </c>
      <c r="K4" s="14" t="inlineStr">
        <is>
          <t>Verified</t>
        </is>
      </c>
      <c r="L4" s="14" t="inlineStr">
        <is>
          <t>Compliant</t>
        </is>
      </c>
      <c r="M4" s="14" t="inlineStr">
        <is>
          <t>Medium</t>
        </is>
      </c>
      <c r="N4" s="14" t="inlineStr">
        <is>
          <t>Approve</t>
        </is>
      </c>
      <c r="O4" s="14" t="inlineStr">
        <is>
          <t>Annual review passed</t>
        </is>
      </c>
      <c r="P4" s="14" t="inlineStr">
        <is>
          <t>Evidence/ASSESS-001/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</row>
  </sheetData>
  <mergeCells count="2">
    <mergeCell ref="A1:P1"/>
    <mergeCell ref="A2:P2"/>
  </mergeCells>
  <dataValidations count="8">
    <dataValidation sqref="D4:D102" showDropDown="0" showInputMessage="0" showErrorMessage="0" allowBlank="0" type="list">
      <formula1>"Initial,Annual,Triggered"</formula1>
    </dataValidation>
    <dataValidation sqref="F4:F102" showDropDown="0" showInputMessage="0" showErrorMessage="0" allowBlank="0" type="list">
      <formula1>"ISO 27001,SOC 2,Both,None"</formula1>
    </dataValidation>
    <dataValidation sqref="H4:H102" showDropDown="0" showInputMessage="0" showErrorMessage="0" allowBlank="0" type="list">
      <formula1>"Mature,Developing,Basic,Unknown"</formula1>
    </dataValidation>
    <dataValidation sqref="I4:I102" showDropDown="0" showInputMessage="0" showErrorMessage="0" allowBlank="0" type="list">
      <formula1>"None,Minor,Major"</formula1>
    </dataValidation>
    <dataValidation sqref="K4:K102" showDropDown="0" showInputMessage="0" showErrorMessage="0" allowBlank="0" type="list">
      <formula1>"Verified,Attested,Unknown"</formula1>
    </dataValidation>
    <dataValidation sqref="L4:L102" showDropDown="0" showInputMessage="0" showErrorMessage="0" allowBlank="0" type="list">
      <formula1>"Compliant,Partial,Non-Compliant"</formula1>
    </dataValidation>
    <dataValidation sqref="M4:M102" showDropDown="0" showInputMessage="0" showErrorMessage="0" allowBlank="0" type="list">
      <formula1>"Low,Medium,High,Critical"</formula1>
    </dataValidation>
    <dataValidation sqref="N4:N102" showDropDown="0" showInputMessage="0" showErrorMessage="0" allowBlank="0" type="list">
      <formula1>"Approve,Conditional,Reject"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15" customWidth="1" min="5" max="5"/>
    <col width="35" customWidth="1" min="6" max="6"/>
    <col width="20" customWidth="1" min="7" max="7"/>
    <col width="15" customWidth="1" min="8" max="8"/>
    <col width="30" customWidth="1" min="9" max="9"/>
  </cols>
  <sheetData>
    <row r="1" ht="35" customHeight="1">
      <c r="A1" s="11" t="inlineStr">
        <is>
          <t>DUE DILIGENCE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Check Category</t>
        </is>
      </c>
      <c r="C3" s="13" t="inlineStr">
        <is>
          <t>Check Item</t>
        </is>
      </c>
      <c r="D3" s="13" t="inlineStr">
        <is>
          <t>Status</t>
        </is>
      </c>
      <c r="E3" s="13" t="inlineStr">
        <is>
          <t>Evidence Type</t>
        </is>
      </c>
      <c r="F3" s="13" t="inlineStr">
        <is>
          <t>Evidence Reference</t>
        </is>
      </c>
      <c r="G3" s="13" t="inlineStr">
        <is>
          <t>Verified By</t>
        </is>
      </c>
      <c r="H3" s="13" t="inlineStr">
        <is>
          <t>Verified Date</t>
        </is>
      </c>
      <c r="I3" s="13" t="inlineStr">
        <is>
          <t>Notes</t>
        </is>
      </c>
    </row>
    <row r="4">
      <c r="A4" s="14" t="inlineStr">
        <is>
          <t>VEND-001</t>
        </is>
      </c>
      <c r="B4" s="14" t="inlineStr">
        <is>
          <t>Security Certification</t>
        </is>
      </c>
      <c r="C4" s="14" t="inlineStr">
        <is>
          <t>Valid ISO 27001 or SOC 2 Type II certification</t>
        </is>
      </c>
      <c r="D4" s="14" t="inlineStr">
        <is>
          <t>Complete</t>
        </is>
      </c>
      <c r="E4" s="14" t="inlineStr">
        <is>
          <t>Certificate</t>
        </is>
      </c>
      <c r="F4" s="14" t="inlineStr">
        <is>
          <t>ISO27001-Certificate-2024.pdf</t>
        </is>
      </c>
      <c r="G4" s="14" t="inlineStr">
        <is>
          <t>Security Team</t>
        </is>
      </c>
      <c r="H4" s="14" t="inlineStr">
        <is>
          <t>15.12.2024</t>
        </is>
      </c>
      <c r="I4" s="14" t="inlineStr">
        <is>
          <t>Verified via official registry</t>
        </is>
      </c>
    </row>
    <row r="5">
      <c r="A5" s="16" t="n"/>
      <c r="B5" s="16" t="inlineStr">
        <is>
          <t>Security Certification</t>
        </is>
      </c>
      <c r="C5" s="16" t="inlineStr">
        <is>
          <t>Security certification verified (ISO 27001, SOC 2 Type II, or equivalent) — current and in-scope</t>
        </is>
      </c>
      <c r="D5" s="16" t="n"/>
      <c r="E5" s="16" t="n"/>
      <c r="F5" s="16" t="n"/>
      <c r="G5" s="16" t="n"/>
      <c r="H5" s="16" t="n"/>
      <c r="I5" s="16" t="n"/>
    </row>
    <row r="6">
      <c r="A6" s="16" t="n"/>
      <c r="B6" s="16" t="inlineStr">
        <is>
          <t>SDLC Maturity</t>
        </is>
      </c>
      <c r="C6" s="16" t="inlineStr">
        <is>
          <t>Secure Development Lifecycle maturity assessed (OWASP SAMM, BSIMM, or equivalent framework)</t>
        </is>
      </c>
      <c r="D6" s="16" t="n"/>
      <c r="E6" s="16" t="n"/>
      <c r="F6" s="16" t="n"/>
      <c r="G6" s="16" t="n"/>
      <c r="H6" s="16" t="n"/>
      <c r="I6" s="16" t="n"/>
    </row>
    <row r="7">
      <c r="A7" s="16" t="n"/>
      <c r="B7" s="16" t="inlineStr">
        <is>
          <t>Personnel Screening</t>
        </is>
      </c>
      <c r="C7" s="16" t="inlineStr">
        <is>
          <t>Developer background check procedures verified — applicable to all staff with access to our systems/data</t>
        </is>
      </c>
      <c r="D7" s="16" t="n"/>
      <c r="E7" s="16" t="n"/>
      <c r="F7" s="16" t="n"/>
      <c r="G7" s="16" t="n"/>
      <c r="H7" s="16" t="n"/>
      <c r="I7" s="16" t="n"/>
    </row>
    <row r="8">
      <c r="A8" s="16" t="n"/>
      <c r="B8" s="16" t="inlineStr">
        <is>
          <t>Incident History</t>
        </is>
      </c>
      <c r="C8" s="16" t="inlineStr">
        <is>
          <t>Security incident history reviewed — no material incidents in last 3 years, or satisfactory explanation provided</t>
        </is>
      </c>
      <c r="D8" s="16" t="n"/>
      <c r="E8" s="16" t="n"/>
      <c r="F8" s="16" t="n"/>
      <c r="G8" s="16" t="n"/>
      <c r="H8" s="16" t="n"/>
      <c r="I8" s="16" t="n"/>
    </row>
    <row r="9">
      <c r="A9" s="16" t="n"/>
      <c r="B9" s="16" t="inlineStr">
        <is>
          <t>Cyber Insurance</t>
        </is>
      </c>
      <c r="C9" s="16" t="inlineStr">
        <is>
          <t>Cyber insurance coverage verified — minimum coverage appropriate to contract value and data sensitivity</t>
        </is>
      </c>
      <c r="D9" s="16" t="n"/>
      <c r="E9" s="16" t="n"/>
      <c r="F9" s="16" t="n"/>
      <c r="G9" s="16" t="n"/>
      <c r="H9" s="16" t="n"/>
      <c r="I9" s="16" t="n"/>
    </row>
    <row r="10">
      <c r="A10" s="16" t="n"/>
      <c r="B10" s="16" t="inlineStr">
        <is>
          <t>Financial Stability</t>
        </is>
      </c>
      <c r="C10" s="16" t="inlineStr">
        <is>
          <t>Financial stability assessed — vendor viability risk evaluated</t>
        </is>
      </c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inlineStr">
        <is>
          <t>Sub-processor Chain</t>
        </is>
      </c>
      <c r="C11" s="16" t="inlineStr">
        <is>
          <t>Sub-processor / subcontractor chain identified and approved in advance</t>
        </is>
      </c>
      <c r="D11" s="16" t="n"/>
      <c r="E11" s="16" t="n"/>
      <c r="F11" s="16" t="n"/>
      <c r="G11" s="16" t="n"/>
      <c r="H11" s="16" t="n"/>
      <c r="I11" s="1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D4:D102" showDropDown="0" showInputMessage="0" showErrorMessage="0" allowBlank="0" type="list">
      <formula1>"Complete,Pending,N/A"</formula1>
    </dataValidation>
    <dataValidation sqref="E4:E102" showDropDown="0" showInputMessage="0" showErrorMessage="0" allowBlank="0" type="list">
      <formula1>"Certificate,Attestation,Document,Interview"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 ht="35" customHeight="1">
      <c r="A1" s="11" t="inlineStr">
        <is>
          <t>ENVIRONMENT SECURITY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Assessment Date</t>
        </is>
      </c>
      <c r="C3" s="13" t="inlineStr">
        <is>
          <t>MFA Enabled</t>
        </is>
      </c>
      <c r="D3" s="13" t="inlineStr">
        <is>
          <t>Network Isolation</t>
        </is>
      </c>
      <c r="E3" s="13" t="inlineStr">
        <is>
          <t>Endpoint Security</t>
        </is>
      </c>
      <c r="F3" s="13" t="inlineStr">
        <is>
          <t>Code Repository</t>
        </is>
      </c>
      <c r="G3" s="13" t="inlineStr">
        <is>
          <t>Secret Scanning</t>
        </is>
      </c>
      <c r="H3" s="13" t="inlineStr">
        <is>
          <t>Branch Protection</t>
        </is>
      </c>
      <c r="I3" s="13" t="inlineStr">
        <is>
          <t>Data Handling</t>
        </is>
      </c>
      <c r="J3" s="13" t="inlineStr">
        <is>
          <t>Attestation Received</t>
        </is>
      </c>
      <c r="K3" s="13" t="inlineStr">
        <is>
          <t>Attestation Date</t>
        </is>
      </c>
      <c r="L3" s="13" t="inlineStr">
        <is>
          <t>Compliance Status</t>
        </is>
      </c>
    </row>
    <row r="4">
      <c r="A4" s="14" t="inlineStr">
        <is>
          <t>VEND-001</t>
        </is>
      </c>
      <c r="B4" s="14" t="inlineStr">
        <is>
          <t>15.12.2024</t>
        </is>
      </c>
      <c r="C4" s="14" t="inlineStr">
        <is>
          <t>Yes</t>
        </is>
      </c>
      <c r="D4" s="14" t="inlineStr">
        <is>
          <t>Isolated</t>
        </is>
      </c>
      <c r="E4" s="14" t="inlineStr">
        <is>
          <t>Compliant</t>
        </is>
      </c>
      <c r="F4" s="14" t="inlineStr">
        <is>
          <t>Secure</t>
        </is>
      </c>
      <c r="G4" s="14" t="inlineStr">
        <is>
          <t>Yes</t>
        </is>
      </c>
      <c r="H4" s="14" t="inlineStr">
        <is>
          <t>Yes</t>
        </is>
      </c>
      <c r="I4" s="14" t="inlineStr">
        <is>
          <t>Masked</t>
        </is>
      </c>
      <c r="J4" s="14" t="inlineStr">
        <is>
          <t>Yes</t>
        </is>
      </c>
      <c r="K4" s="14" t="inlineStr">
        <is>
          <t>15.12.2024</t>
        </is>
      </c>
      <c r="L4" s="14" t="inlineStr">
        <is>
          <t>Compliant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7">
    <dataValidation sqref="G4:G102 J4:J102" showDropDown="0" showInputMessage="0" showErrorMessage="0" allowBlank="0" type="list">
      <formula1>"Yes,No"</formula1>
    </dataValidation>
    <dataValidation sqref="C4:C102 H4:H102" showDropDown="0" showInputMessage="0" showErrorMessage="0" allowBlank="0" type="list">
      <formula1>"Yes,Partial,No"</formula1>
    </dataValidation>
    <dataValidation sqref="D4:D102" showDropDown="0" showInputMessage="0" showErrorMessage="0" allowBlank="0" type="list">
      <formula1>"Isolated,Segmented,Shared"</formula1>
    </dataValidation>
    <dataValidation sqref="E4:E102" showDropDown="0" showInputMessage="0" showErrorMessage="0" allowBlank="0" type="list">
      <formula1>"Compliant,Partial,Non-Compliant"</formula1>
    </dataValidation>
    <dataValidation sqref="F4:F102" showDropDown="0" showInputMessage="0" showErrorMessage="0" allowBlank="0" type="list">
      <formula1>"Secure,Partial,Unsecure"</formula1>
    </dataValidation>
    <dataValidation sqref="I4:I102" showDropDown="0" showInputMessage="0" showErrorMessage="0" allowBlank="0" type="list">
      <formula1>"No Prod Data,Masked,Raw"</formula1>
    </dataValidation>
    <dataValidation sqref="L4:L102" showDropDown="0" showInputMessage="0" showErrorMessage="0" allowBlank="0" type="list">
      <formula1>"Compliant,Conditional,Non-Compliant"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7" t="inlineStr">
        <is>
          <t>ISO/IEC 27001:2022 - Control A.8.30: Outsourced Development</t>
        </is>
      </c>
    </row>
    <row r="4">
      <c r="A4" s="18" t="inlineStr">
        <is>
          <t>Evidence ID</t>
        </is>
      </c>
      <c r="B4" s="18" t="inlineStr">
        <is>
          <t>Evidence Title</t>
        </is>
      </c>
      <c r="C4" s="18" t="inlineStr">
        <is>
          <t>Evidence Type</t>
        </is>
      </c>
      <c r="D4" s="18" t="inlineStr">
        <is>
          <t>Description</t>
        </is>
      </c>
      <c r="E4" s="18" t="inlineStr">
        <is>
          <t>Source / Location</t>
        </is>
      </c>
      <c r="F4" s="18" t="inlineStr">
        <is>
          <t>Date Collected</t>
        </is>
      </c>
      <c r="G4" s="18" t="inlineStr">
        <is>
          <t>Collected By</t>
        </is>
      </c>
      <c r="H4" s="18" t="inlineStr">
        <is>
          <t>Status</t>
        </is>
      </c>
    </row>
    <row r="5">
      <c r="A5" s="19" t="inlineStr">
        <is>
          <t>EV-001</t>
        </is>
      </c>
      <c r="B5" s="19" t="inlineStr">
        <is>
          <t>Vendor Security Questionnaire - Acme Corp</t>
        </is>
      </c>
      <c r="C5" s="19" t="inlineStr">
        <is>
          <t>Policy Document</t>
        </is>
      </c>
      <c r="D5" s="19" t="inlineStr">
        <is>
          <t>Completed vendor security questionnaire with risk scoring</t>
        </is>
      </c>
      <c r="E5" s="19" t="inlineStr">
        <is>
          <t>SharePoint/Evidence/A.8.30/Vendor-Assessments/Acme-2024.pdf</t>
        </is>
      </c>
      <c r="F5" s="19" t="inlineStr">
        <is>
          <t>15.12.2024</t>
        </is>
      </c>
      <c r="G5" s="19" t="inlineStr">
        <is>
          <t>Security Team</t>
        </is>
      </c>
      <c r="H5" s="19" t="inlineStr">
        <is>
          <t>Collected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6:C105" showDropDown="0" showInputMessage="0" showErrorMessage="0" allowBlank="0" type="list">
      <formula1>"Policy Document,Process Document,Screenshot,Log Extract,Configuration Export,Audit Report,Training Record,Signed Attestation,Tool Output,Other"</formula1>
    </dataValidation>
    <dataValidation sqref="H6:H105" showDropDown="0" showInputMessage="0" showErrorMessage="0" allowBlank="0" type="list">
      <formula1>"Collected,Pending,Not Available,Expired"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VENDOR ASSESSMENT — SUMMARY DASHBOARD</t>
        </is>
      </c>
    </row>
    <row r="2">
      <c r="A2" s="17" t="inlineStr">
        <is>
          <t>ISO/IEC 27001:2022 - Control A.8.30: Outsourced Development</t>
        </is>
      </c>
    </row>
    <row r="4">
      <c r="A4" s="20" t="inlineStr">
        <is>
          <t>TABLE 1: ASSESSMENT AREA COMPLIANCE OVERVIEW</t>
        </is>
      </c>
    </row>
    <row r="5">
      <c r="A5" s="21" t="inlineStr">
        <is>
          <t>Assessment Area</t>
        </is>
      </c>
      <c r="B5" s="21" t="inlineStr">
        <is>
          <t>Total Items</t>
        </is>
      </c>
      <c r="C5" s="21" t="inlineStr">
        <is>
          <t>Compliant</t>
        </is>
      </c>
      <c r="D5" s="21" t="inlineStr">
        <is>
          <t>Partial</t>
        </is>
      </c>
      <c r="E5" s="21" t="inlineStr">
        <is>
          <t>Non-Compliant</t>
        </is>
      </c>
      <c r="F5" s="21" t="inlineStr">
        <is>
          <t>N/A</t>
        </is>
      </c>
      <c r="G5" s="21" t="inlineStr">
        <is>
          <t>Compliance %</t>
        </is>
      </c>
    </row>
    <row r="6">
      <c r="A6" s="22" t="inlineStr">
        <is>
          <t>Vendor Registry</t>
        </is>
      </c>
      <c r="B6" s="23">
        <f>COUNTA('Vendor Registry'!C5:C54)</f>
        <v/>
      </c>
      <c r="C6" s="23">
        <f>COUNTIF('Vendor Registry'!C5:C54,"Approved")</f>
        <v/>
      </c>
      <c r="D6" s="23">
        <f>COUNTIF('Vendor Registry'!C5:C54,"Pending")</f>
        <v/>
      </c>
      <c r="E6" s="23">
        <f>COUNTIF('Vendor Registry'!C5:C54,"Suspended")+COUNTIF('Vendor Registry'!C5:C54,"Removed")</f>
        <v/>
      </c>
      <c r="F6" s="23">
        <f>0</f>
        <v/>
      </c>
      <c r="G6" s="24">
        <f>IF((B6-F6)=0,0,C6/(B6-F6))</f>
        <v/>
      </c>
    </row>
    <row r="7">
      <c r="A7" s="22" t="inlineStr">
        <is>
          <t>Security Assessment</t>
        </is>
      </c>
      <c r="B7" s="23">
        <f>COUNTA('Security Assessment'!N5:N54)</f>
        <v/>
      </c>
      <c r="C7" s="23">
        <f>COUNTIF('Security Assessment'!N5:N54,"Approve")</f>
        <v/>
      </c>
      <c r="D7" s="23">
        <f>COUNTIF('Security Assessment'!N5:N54,"Conditional")</f>
        <v/>
      </c>
      <c r="E7" s="23">
        <f>COUNTIF('Security Assessment'!N5:N54,"Reject")</f>
        <v/>
      </c>
      <c r="F7" s="23">
        <f>0</f>
        <v/>
      </c>
      <c r="G7" s="24">
        <f>IF((B7-F7)=0,0,C7/(B7-F7))</f>
        <v/>
      </c>
    </row>
    <row r="8">
      <c r="A8" s="22" t="inlineStr">
        <is>
          <t>Due Diligence Checklist</t>
        </is>
      </c>
      <c r="B8" s="23">
        <f>COUNTA('Due Diligence'!D5:D54)</f>
        <v/>
      </c>
      <c r="C8" s="23">
        <f>COUNTIF('Due Diligence'!D5:D54,"Complete")</f>
        <v/>
      </c>
      <c r="D8" s="23">
        <f>COUNTIF('Due Diligence'!D5:D54,"Pending")</f>
        <v/>
      </c>
      <c r="E8" s="23">
        <f>0</f>
        <v/>
      </c>
      <c r="F8" s="23">
        <f>COUNTIF('Due Diligence'!D5:D54,"N/A")</f>
        <v/>
      </c>
      <c r="G8" s="24">
        <f>IF((B8-F8)=0,0,C8/(B8-F8))</f>
        <v/>
      </c>
    </row>
    <row r="9">
      <c r="A9" s="22" t="inlineStr">
        <is>
          <t>Environment Security</t>
        </is>
      </c>
      <c r="B9" s="23">
        <f>COUNTA('Environment Security'!L5:L54)</f>
        <v/>
      </c>
      <c r="C9" s="23">
        <f>COUNTIF('Environment Security'!L5:L54,"Compliant")</f>
        <v/>
      </c>
      <c r="D9" s="23">
        <f>COUNTIF('Environment Security'!L5:L54,"Conditional")</f>
        <v/>
      </c>
      <c r="E9" s="23">
        <f>COUNTIF('Environment Security'!L5:L54,"Non-Compliant")</f>
        <v/>
      </c>
      <c r="F9" s="23">
        <f>0</f>
        <v/>
      </c>
      <c r="G9" s="24">
        <f>IF((B9-F9)=0,0,C9/(B9-F9))</f>
        <v/>
      </c>
    </row>
    <row r="10">
      <c r="A10" s="25" t="inlineStr">
        <is>
          <t>TOTAL</t>
        </is>
      </c>
      <c r="B10" s="26">
        <f>SUM(B6:B9)</f>
        <v/>
      </c>
      <c r="C10" s="26">
        <f>SUM(C6:C9)</f>
        <v/>
      </c>
      <c r="D10" s="26">
        <f>SUM(D6:D9)</f>
        <v/>
      </c>
      <c r="E10" s="26">
        <f>SUM(E6:E9)</f>
        <v/>
      </c>
      <c r="F10" s="26">
        <f>SUM(F6:F9)</f>
        <v/>
      </c>
      <c r="G10" s="27">
        <f>IF((B10-F10)=0,0,C10/(B10-F10))</f>
        <v/>
      </c>
    </row>
    <row r="12">
      <c r="A12" s="20" t="inlineStr">
        <is>
          <t>TABLE 2: KEY METRICS</t>
        </is>
      </c>
    </row>
    <row r="13">
      <c r="A13" s="22" t="inlineStr">
        <is>
          <t>Last Assessment Date</t>
        </is>
      </c>
      <c r="B13" s="28">
        <f>MAX('Security Assessment'!C5:C54)</f>
        <v/>
      </c>
      <c r="C13" s="6" t="n"/>
      <c r="D13" s="6" t="n"/>
      <c r="E13" s="6" t="n"/>
      <c r="F13" s="6" t="n"/>
      <c r="G13" s="6" t="n"/>
    </row>
    <row r="14">
      <c r="A14" s="22" t="inlineStr">
        <is>
          <t>Next Review Due</t>
        </is>
      </c>
      <c r="B14" s="28" t="inlineStr"/>
      <c r="C14" s="6" t="n"/>
      <c r="D14" s="6" t="n"/>
      <c r="E14" s="6" t="n"/>
      <c r="F14" s="6" t="n"/>
      <c r="G14" s="6" t="n"/>
    </row>
    <row r="15">
      <c r="A15" s="22" t="inlineStr">
        <is>
          <t>Assessment Owner</t>
        </is>
      </c>
      <c r="B15" s="6" t="inlineStr">
        <is>
          <t>[Enter name]</t>
        </is>
      </c>
      <c r="C15" s="6" t="n"/>
      <c r="D15" s="6" t="n"/>
      <c r="E15" s="6" t="n"/>
      <c r="F15" s="6" t="n"/>
      <c r="G15" s="6" t="n"/>
    </row>
    <row r="16">
      <c r="A16" s="22" t="inlineStr">
        <is>
          <t>Overall Risk Rating</t>
        </is>
      </c>
      <c r="B16" s="6">
        <f>IF(COUNTIF('Security Assessment'!M5:M54,"Critical")&gt;0,"Critical",IF(COUNTIF('Security Assessment'!M5:M54,"High")&gt;0,"High","Medium"))</f>
        <v/>
      </c>
      <c r="C16" s="6" t="n"/>
      <c r="D16" s="6" t="n"/>
      <c r="E16" s="6" t="n"/>
      <c r="F16" s="6" t="n"/>
      <c r="G16" s="6" t="n"/>
    </row>
    <row r="18">
      <c r="A18" s="29" t="inlineStr">
        <is>
          <t>TABLE 3: CRITICAL FINDINGS</t>
        </is>
      </c>
    </row>
    <row r="19">
      <c r="A19" s="25" t="inlineStr">
        <is>
          <t>#</t>
        </is>
      </c>
      <c r="B19" s="25" t="inlineStr">
        <is>
          <t>Finding</t>
        </is>
      </c>
      <c r="C19" s="25" t="inlineStr">
        <is>
          <t>Severity</t>
        </is>
      </c>
      <c r="D19" s="25" t="inlineStr">
        <is>
          <t>Affected Area</t>
        </is>
      </c>
      <c r="E19" s="25" t="inlineStr">
        <is>
          <t>Recommended Action</t>
        </is>
      </c>
      <c r="F19" s="25" t="inlineStr">
        <is>
          <t>Owner</t>
        </is>
      </c>
      <c r="G19" s="25" t="inlineStr">
        <is>
          <t>Due Date</t>
        </is>
      </c>
    </row>
    <row r="20">
      <c r="A20" s="4">
        <f>COUNTIF('Vendor Registry'!C5:C54,"Pending")</f>
        <v/>
      </c>
      <c r="B20" s="4" t="inlineStr">
        <is>
          <t>Vendors Pending Approval</t>
        </is>
      </c>
      <c r="C20" s="4" t="inlineStr">
        <is>
          <t>High</t>
        </is>
      </c>
      <c r="D20" s="4" t="inlineStr">
        <is>
          <t>Vendor Registry</t>
        </is>
      </c>
      <c r="E20" s="4" t="inlineStr">
        <is>
          <t>Review pending vendors</t>
        </is>
      </c>
      <c r="F20" s="4" t="n"/>
      <c r="G20" s="4" t="n"/>
    </row>
    <row r="21">
      <c r="A21" s="4">
        <f>COUNTIF('Vendor Registry'!C5:C54,"Suspended")+COUNTIF('Vendor Registry'!C5:C54,"Removed")</f>
        <v/>
      </c>
      <c r="B21" s="4" t="inlineStr">
        <is>
          <t>Suspended or Removed Vendors</t>
        </is>
      </c>
      <c r="C21" s="4" t="inlineStr">
        <is>
          <t>Critical</t>
        </is>
      </c>
      <c r="D21" s="4" t="inlineStr">
        <is>
          <t>Vendor Registry</t>
        </is>
      </c>
      <c r="E21" s="4" t="inlineStr">
        <is>
          <t>Immediate action required</t>
        </is>
      </c>
      <c r="F21" s="4" t="n"/>
      <c r="G21" s="4" t="n"/>
    </row>
    <row r="22">
      <c r="A22" s="4">
        <f>COUNTIF('Security Assessment'!N5:N54,"Conditional")</f>
        <v/>
      </c>
      <c r="B22" s="4" t="inlineStr">
        <is>
          <t>Conditional Approvals</t>
        </is>
      </c>
      <c r="C22" s="4" t="inlineStr">
        <is>
          <t>Medium</t>
        </is>
      </c>
      <c r="D22" s="4" t="inlineStr">
        <is>
          <t>Security Assessment</t>
        </is>
      </c>
      <c r="E22" s="4" t="inlineStr">
        <is>
          <t>Review conditions</t>
        </is>
      </c>
      <c r="F22" s="4" t="n"/>
      <c r="G22" s="4" t="n"/>
    </row>
    <row r="23">
      <c r="A23" s="4">
        <f>COUNTIF('Security Assessment'!N5:N54,"Reject")</f>
        <v/>
      </c>
      <c r="B23" s="4" t="inlineStr">
        <is>
          <t>Rejected Vendors</t>
        </is>
      </c>
      <c r="C23" s="4" t="inlineStr">
        <is>
          <t>Critical</t>
        </is>
      </c>
      <c r="D23" s="4" t="inlineStr">
        <is>
          <t>Security Assessment</t>
        </is>
      </c>
      <c r="E23" s="4" t="inlineStr">
        <is>
          <t>Remove access immediately</t>
        </is>
      </c>
      <c r="F23" s="4" t="n"/>
      <c r="G23" s="4" t="n"/>
    </row>
    <row r="24">
      <c r="A24" s="4">
        <f>COUNTIF('Environment Security'!L5:L54,"Non-Compliant")</f>
        <v/>
      </c>
      <c r="B24" s="4" t="inlineStr">
        <is>
          <t>Non-Compliant Dev Environments</t>
        </is>
      </c>
      <c r="C24" s="4" t="inlineStr">
        <is>
          <t>High</t>
        </is>
      </c>
      <c r="D24" s="4" t="inlineStr">
        <is>
          <t>Environment Security</t>
        </is>
      </c>
      <c r="E24" s="4" t="inlineStr">
        <is>
          <t>Remediate environment issues</t>
        </is>
      </c>
      <c r="F24" s="4" t="n"/>
      <c r="G24" s="4" t="n"/>
    </row>
  </sheetData>
  <mergeCells count="9">
    <mergeCell ref="B16:G16"/>
    <mergeCell ref="A1:G1"/>
    <mergeCell ref="A18:G18"/>
    <mergeCell ref="B14:G14"/>
    <mergeCell ref="A12:G12"/>
    <mergeCell ref="A4:G4"/>
    <mergeCell ref="A2:G2"/>
    <mergeCell ref="B13:G13"/>
    <mergeCell ref="B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0" t="inlineStr">
        <is>
          <t>ASSESSMENT APPROVAL AND SIGN-OFF</t>
        </is>
      </c>
    </row>
    <row r="2">
      <c r="A2" s="31" t="inlineStr">
        <is>
          <t>ISO/IEC 27001:2022 - Control A.8.30: Outsourced Development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</row>
    <row r="4">
      <c r="A4" s="33" t="inlineStr">
        <is>
          <t>Document:</t>
        </is>
      </c>
      <c r="B4" s="6" t="inlineStr">
        <is>
          <t>ISMS-IMP-A.8.30.1 - Vendor Assessment and Registry</t>
        </is>
      </c>
      <c r="C4" s="6" t="n"/>
      <c r="D4" s="6" t="n"/>
      <c r="E4" s="6" t="n"/>
    </row>
    <row r="5">
      <c r="A5" s="33" t="inlineStr">
        <is>
          <t>Assessment Period:</t>
        </is>
      </c>
      <c r="B5" s="4" t="inlineStr"/>
      <c r="C5" s="4" t="n"/>
      <c r="D5" s="4" t="n"/>
      <c r="E5" s="4" t="n"/>
    </row>
    <row r="6">
      <c r="A6" s="33" t="inlineStr">
        <is>
          <t>Overall Compliance Rating:</t>
        </is>
      </c>
      <c r="B6" s="6">
        <f>'Summary Dashboard'!G10</f>
        <v/>
      </c>
      <c r="C6" s="6" t="n"/>
      <c r="D6" s="6" t="n"/>
      <c r="E6" s="6" t="n"/>
    </row>
    <row r="7">
      <c r="A7" s="33" t="inlineStr">
        <is>
          <t>Assessment Status:</t>
        </is>
      </c>
      <c r="B7" s="4" t="inlineStr"/>
      <c r="C7" s="4" t="n"/>
      <c r="D7" s="4" t="n"/>
      <c r="E7" s="4" t="n"/>
    </row>
    <row r="8">
      <c r="A8" s="33" t="inlineStr">
        <is>
          <t>Assessed By:</t>
        </is>
      </c>
      <c r="B8" s="4" t="inlineStr"/>
      <c r="C8" s="4" t="n"/>
      <c r="D8" s="4" t="n"/>
      <c r="E8" s="4" t="n"/>
    </row>
    <row r="10">
      <c r="A10" s="32" t="inlineStr">
        <is>
          <t>COMPLETED BY (ASSESSOR)</t>
        </is>
      </c>
    </row>
    <row r="11">
      <c r="A11" s="33" t="inlineStr">
        <is>
          <t>Name:</t>
        </is>
      </c>
      <c r="B11" s="4" t="n"/>
      <c r="C11" s="4" t="n"/>
      <c r="D11" s="4" t="n"/>
      <c r="E11" s="4" t="n"/>
    </row>
    <row r="12">
      <c r="A12" s="33" t="inlineStr">
        <is>
          <t>Title:</t>
        </is>
      </c>
      <c r="B12" s="4" t="n"/>
      <c r="C12" s="4" t="n"/>
      <c r="D12" s="4" t="n"/>
      <c r="E12" s="4" t="n"/>
    </row>
    <row r="13">
      <c r="A13" s="33" t="inlineStr">
        <is>
          <t>Date:</t>
        </is>
      </c>
      <c r="B13" s="4" t="n"/>
      <c r="C13" s="4" t="n"/>
      <c r="D13" s="4" t="n"/>
      <c r="E13" s="4" t="n"/>
    </row>
    <row r="14">
      <c r="A14" s="33" t="inlineStr">
        <is>
          <t>Signature:</t>
        </is>
      </c>
      <c r="B14" s="4" t="n"/>
      <c r="C14" s="4" t="n"/>
      <c r="D14" s="4" t="n"/>
      <c r="E14" s="4" t="n"/>
    </row>
    <row r="15">
      <c r="A15" s="33" t="inlineStr">
        <is>
          <t>Comments:</t>
        </is>
      </c>
      <c r="B15" s="4" t="n"/>
      <c r="C15" s="4" t="n"/>
      <c r="D15" s="4" t="n"/>
      <c r="E15" s="4" t="n"/>
    </row>
    <row r="17">
      <c r="A17" s="32" t="inlineStr">
        <is>
          <t>REVIEWED BY (INFORMATION SECURITY OFFICER)</t>
        </is>
      </c>
    </row>
    <row r="18">
      <c r="A18" s="33" t="inlineStr">
        <is>
          <t>Name:</t>
        </is>
      </c>
      <c r="B18" s="4" t="n"/>
      <c r="C18" s="4" t="n"/>
      <c r="D18" s="4" t="n"/>
      <c r="E18" s="4" t="n"/>
    </row>
    <row r="19">
      <c r="A19" s="33" t="inlineStr">
        <is>
          <t>Title:</t>
        </is>
      </c>
      <c r="B19" s="4" t="n"/>
      <c r="C19" s="4" t="n"/>
      <c r="D19" s="4" t="n"/>
      <c r="E19" s="4" t="n"/>
    </row>
    <row r="20">
      <c r="A20" s="33" t="inlineStr">
        <is>
          <t>Date:</t>
        </is>
      </c>
      <c r="B20" s="4" t="n"/>
      <c r="C20" s="4" t="n"/>
      <c r="D20" s="4" t="n"/>
      <c r="E20" s="4" t="n"/>
    </row>
    <row r="21">
      <c r="A21" s="33" t="inlineStr">
        <is>
          <t>Signature:</t>
        </is>
      </c>
      <c r="B21" s="4" t="n"/>
      <c r="C21" s="4" t="n"/>
      <c r="D21" s="4" t="n"/>
      <c r="E21" s="4" t="n"/>
    </row>
    <row r="22">
      <c r="A22" s="33" t="inlineStr">
        <is>
          <t>Comments:</t>
        </is>
      </c>
      <c r="B22" s="4" t="n"/>
      <c r="C22" s="4" t="n"/>
      <c r="D22" s="4" t="n"/>
      <c r="E22" s="4" t="n"/>
    </row>
    <row r="24">
      <c r="A24" s="34" t="inlineStr">
        <is>
          <t>APPROVED BY (CISO)</t>
        </is>
      </c>
    </row>
    <row r="25">
      <c r="A25" s="33" t="inlineStr">
        <is>
          <t>Name:</t>
        </is>
      </c>
      <c r="B25" s="4" t="n"/>
      <c r="C25" s="4" t="n"/>
      <c r="D25" s="4" t="n"/>
      <c r="E25" s="4" t="n"/>
    </row>
    <row r="26">
      <c r="A26" s="33" t="inlineStr">
        <is>
          <t>Title:</t>
        </is>
      </c>
      <c r="B26" s="4" t="n"/>
      <c r="C26" s="4" t="n"/>
      <c r="D26" s="4" t="n"/>
      <c r="E26" s="4" t="n"/>
    </row>
    <row r="27">
      <c r="A27" s="33" t="inlineStr">
        <is>
          <t>Date:</t>
        </is>
      </c>
      <c r="B27" s="4" t="n"/>
      <c r="C27" s="4" t="n"/>
      <c r="D27" s="4" t="n"/>
      <c r="E27" s="4" t="n"/>
    </row>
    <row r="28">
      <c r="A28" s="33" t="inlineStr">
        <is>
          <t>Signature:</t>
        </is>
      </c>
      <c r="B28" s="4" t="n"/>
      <c r="C28" s="4" t="n"/>
      <c r="D28" s="4" t="n"/>
      <c r="E28" s="4" t="n"/>
    </row>
    <row r="29">
      <c r="A29" s="33" t="inlineStr">
        <is>
          <t>Comments:</t>
        </is>
      </c>
      <c r="B29" s="4" t="n"/>
      <c r="C29" s="4" t="n"/>
      <c r="D29" s="4" t="n"/>
      <c r="E29" s="4" t="n"/>
    </row>
    <row r="31">
      <c r="A31" s="35" t="inlineStr">
        <is>
          <t>FINAL DECISION:</t>
        </is>
      </c>
      <c r="B31" s="4" t="n"/>
      <c r="C31" s="4" t="n"/>
      <c r="D31" s="4" t="n"/>
      <c r="E31" s="4" t="n"/>
    </row>
    <row r="34">
      <c r="A34" s="32" t="inlineStr">
        <is>
          <t>NEXT REVIEW DETAILS</t>
        </is>
      </c>
    </row>
    <row r="35">
      <c r="A35" s="33" t="inlineStr">
        <is>
          <t>Next Review Date:</t>
        </is>
      </c>
      <c r="B35" s="4" t="n"/>
      <c r="C35" s="4" t="n"/>
      <c r="D35" s="4" t="n"/>
      <c r="E35" s="4" t="n"/>
    </row>
    <row r="36">
      <c r="A36" s="33" t="inlineStr">
        <is>
          <t>Review Responsible:</t>
        </is>
      </c>
      <c r="B36" s="4" t="n"/>
      <c r="C36" s="4" t="n"/>
      <c r="D36" s="4" t="n"/>
      <c r="E36" s="4" t="n"/>
    </row>
    <row r="37">
      <c r="A37" s="33" t="inlineStr">
        <is>
          <t>Special Considerations:</t>
        </is>
      </c>
      <c r="B37" s="4" t="n"/>
      <c r="C37" s="4" t="n"/>
      <c r="D37" s="4" t="n"/>
      <c r="E37" s="4" t="n"/>
    </row>
  </sheetData>
  <mergeCells count="31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ISMS-IMP-A.8.30.1 — Vendor Assessment and Registry</dc:title>
  <dc:description xmlns:dc="http://purl.org/dc/elements/1.1/">ISMS Implementation Workbook — ISMS-IMP-A.8.30.1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2026-03-10T18:49:39Z</dcterms:created>
  <dcterms:modified xmlns:dcterms="http://purl.org/dc/terms/" xmlns:xsi="http://www.w3.org/2001/XMLSchema-instance" xsi:type="dcterms:W3CDTF">2026-03-10T18:49:39Z</dcterms:modified>
</cp:coreProperties>
</file>