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iverable Inventory" sheetId="2" state="visible" r:id="rId2"/>
    <sheet xmlns:r="http://schemas.openxmlformats.org/officeDocument/2006/relationships" name="Code Review Tracking" sheetId="3" state="visible" r:id="rId3"/>
    <sheet xmlns:r="http://schemas.openxmlformats.org/officeDocument/2006/relationships" name="Security Testing" sheetId="4" state="visible" r:id="rId4"/>
    <sheet xmlns:r="http://schemas.openxmlformats.org/officeDocument/2006/relationships" name="SBOM Management" sheetId="5" state="visible" r:id="rId5"/>
    <sheet xmlns:r="http://schemas.openxmlformats.org/officeDocument/2006/relationships" name="Acceptance Sign-off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5" fillId="0" borderId="0" applyAlignment="1" pivotButton="0" quotePrefix="0" xfId="0">
      <alignment horizontal="center" vertical="center"/>
    </xf>
    <xf numFmtId="0" fontId="8" fillId="11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5" fillId="0" borderId="0" pivotButton="0" quotePrefix="0" xfId="0"/>
    <xf numFmtId="0" fontId="11" fillId="2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11" fillId="1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/>
    </xf>
    <xf numFmtId="0" fontId="4" fillId="0" borderId="0" pivotButton="0" quotePrefix="0" xfId="0"/>
    <xf numFmtId="0" fontId="11" fillId="2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ISMS-IMP-A.8.30.3  -  Security Testing and Acceptance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ISMS-IMP-A.8.30.3</t>
        </is>
      </c>
    </row>
    <row r="5">
      <c r="A5" s="3" t="inlineStr">
        <is>
          <t>Workbook Title</t>
        </is>
      </c>
      <c r="B5" t="inlineStr">
        <is>
          <t>Security Testing and Acceptance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Deliverable Inventory.</t>
        </is>
      </c>
    </row>
    <row r="14">
      <c r="A14" t="inlineStr">
        <is>
          <t>2. Track code review results for each deliverable in Code Review Tracking.</t>
        </is>
      </c>
    </row>
    <row r="15">
      <c r="A15" t="inlineStr">
        <is>
          <t>3. Record SAST, DAST, SCA, and penetration test results in Security Testing.</t>
        </is>
      </c>
    </row>
    <row r="16">
      <c r="A16" t="inlineStr">
        <is>
          <t>4. Maintain SBOM records for all deliverables in SBOM Management.</t>
        </is>
      </c>
    </row>
    <row r="17">
      <c r="A17" t="inlineStr">
        <is>
          <t>5. Verify acceptance criteria and obtain sign-off in Acceptance Sign-off.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20" customWidth="1" min="14" max="14"/>
  </cols>
  <sheetData>
    <row r="1" ht="35" customHeight="1">
      <c r="A1" s="11" t="inlineStr">
        <is>
          <t>DELIVERABLE INVENTORY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Deliverable ID</t>
        </is>
      </c>
      <c r="B3" s="13" t="inlineStr">
        <is>
          <t>Contract ID</t>
        </is>
      </c>
      <c r="C3" s="13" t="inlineStr">
        <is>
          <t>Vendor ID</t>
        </is>
      </c>
      <c r="D3" s="13" t="inlineStr">
        <is>
          <t>Deliverable Name</t>
        </is>
      </c>
      <c r="E3" s="13" t="inlineStr">
        <is>
          <t>Deliverable Type</t>
        </is>
      </c>
      <c r="F3" s="13" t="inlineStr">
        <is>
          <t>Project Classification</t>
        </is>
      </c>
      <c r="G3" s="13" t="inlineStr">
        <is>
          <t>Planned Delivery</t>
        </is>
      </c>
      <c r="H3" s="13" t="inlineStr">
        <is>
          <t>Actual Delivery</t>
        </is>
      </c>
      <c r="I3" s="13" t="inlineStr">
        <is>
          <t>Code Review Status</t>
        </is>
      </c>
      <c r="J3" s="13" t="inlineStr">
        <is>
          <t>Security Test Status</t>
        </is>
      </c>
      <c r="K3" s="13" t="inlineStr">
        <is>
          <t>SBOM Received</t>
        </is>
      </c>
      <c r="L3" s="13" t="inlineStr">
        <is>
          <t>Acceptance Status</t>
        </is>
      </c>
      <c r="M3" s="13" t="inlineStr">
        <is>
          <t>Acceptance Date</t>
        </is>
      </c>
      <c r="N3" s="13" t="inlineStr">
        <is>
          <t>Accepted By</t>
        </is>
      </c>
    </row>
    <row r="4">
      <c r="A4" s="14" t="inlineStr">
        <is>
          <t>DEL-001</t>
        </is>
      </c>
      <c r="B4" s="14" t="inlineStr">
        <is>
          <t>CONT-001</t>
        </is>
      </c>
      <c r="C4" s="14" t="inlineStr">
        <is>
          <t>VEND-001</t>
        </is>
      </c>
      <c r="D4" s="14" t="inlineStr">
        <is>
          <t>Customer Portal v2.0</t>
        </is>
      </c>
      <c r="E4" s="14" t="inlineStr">
        <is>
          <t>Application</t>
        </is>
      </c>
      <c r="F4" s="14" t="inlineStr">
        <is>
          <t>Critical</t>
        </is>
      </c>
      <c r="G4" s="14" t="inlineStr">
        <is>
          <t>30.11.2024</t>
        </is>
      </c>
      <c r="H4" s="14" t="inlineStr">
        <is>
          <t>28.11.2024</t>
        </is>
      </c>
      <c r="I4" s="14" t="inlineStr">
        <is>
          <t>Complete</t>
        </is>
      </c>
      <c r="J4" s="14" t="inlineStr">
        <is>
          <t>Complete</t>
        </is>
      </c>
      <c r="K4" s="14" t="inlineStr">
        <is>
          <t>Yes</t>
        </is>
      </c>
      <c r="L4" s="14" t="inlineStr">
        <is>
          <t>Accepted</t>
        </is>
      </c>
      <c r="M4" s="14" t="inlineStr">
        <is>
          <t>28.11.2024</t>
        </is>
      </c>
      <c r="N4" s="14" t="inlineStr">
        <is>
          <t>Security Team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</sheetData>
  <mergeCells count="2">
    <mergeCell ref="A2:N2"/>
    <mergeCell ref="A1:N1"/>
  </mergeCells>
  <dataValidations count="6">
    <dataValidation sqref="E4:E102" showDropDown="0" showInputMessage="0" showErrorMessage="0" allowBlank="0" type="list">
      <formula1>"Application,Module,Component,Library,API"</formula1>
    </dataValidation>
    <dataValidation sqref="F4:F102" showDropDown="0" showInputMessage="0" showErrorMessage="0" allowBlank="0" type="list">
      <formula1>"Critical,High,Standard"</formula1>
    </dataValidation>
    <dataValidation sqref="I4:I102" showDropDown="0" showInputMessage="0" showErrorMessage="0" allowBlank="0" type="list">
      <formula1>"Pending,In Progress,Complete,N/A"</formula1>
    </dataValidation>
    <dataValidation sqref="J4:J102" showDropDown="0" showInputMessage="0" showErrorMessage="0" allowBlank="0" type="list">
      <formula1>"Pending,In Progress,Complete"</formula1>
    </dataValidation>
    <dataValidation sqref="K4:K102" showDropDown="0" showInputMessage="0" showErrorMessage="0" allowBlank="0" type="list">
      <formula1>"Yes,No,N/A"</formula1>
    </dataValidation>
    <dataValidation sqref="L4:L102" showDropDown="0" showInputMessage="0" showErrorMessage="0" allowBlank="0" type="list">
      <formula1>"Pending,Accepted,Rejected,Conditional"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  <col width="30" customWidth="1" min="15" max="15"/>
  </cols>
  <sheetData>
    <row r="1" ht="35" customHeight="1">
      <c r="A1" s="11" t="inlineStr">
        <is>
          <t>CODE REVIEW TRACKING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Review ID</t>
        </is>
      </c>
      <c r="B3" s="13" t="inlineStr">
        <is>
          <t>Deliverable ID</t>
        </is>
      </c>
      <c r="C3" s="13" t="inlineStr">
        <is>
          <t>Review Type</t>
        </is>
      </c>
      <c r="D3" s="13" t="inlineStr">
        <is>
          <t>Review Date</t>
        </is>
      </c>
      <c r="E3" s="13" t="inlineStr">
        <is>
          <t>Reviewer</t>
        </is>
      </c>
      <c r="F3" s="13" t="inlineStr">
        <is>
          <t>Reviewer Role</t>
        </is>
      </c>
      <c r="G3" s="13" t="inlineStr">
        <is>
          <t>Files Reviewed</t>
        </is>
      </c>
      <c r="H3" s="13" t="inlineStr">
        <is>
          <t>Security Findings</t>
        </is>
      </c>
      <c r="I3" s="13" t="inlineStr">
        <is>
          <t>Critical Findings</t>
        </is>
      </c>
      <c r="J3" s="13" t="inlineStr">
        <is>
          <t>High Findings</t>
        </is>
      </c>
      <c r="K3" s="13" t="inlineStr">
        <is>
          <t>Medium Findings</t>
        </is>
      </c>
      <c r="L3" s="13" t="inlineStr">
        <is>
          <t>Low Findings</t>
        </is>
      </c>
      <c r="M3" s="13" t="inlineStr">
        <is>
          <t>Review Result</t>
        </is>
      </c>
      <c r="N3" s="13" t="inlineStr">
        <is>
          <t>Findings Reference</t>
        </is>
      </c>
      <c r="O3" s="13" t="inlineStr">
        <is>
          <t>Notes</t>
        </is>
      </c>
    </row>
    <row r="4">
      <c r="A4" s="14" t="inlineStr">
        <is>
          <t>REV-001</t>
        </is>
      </c>
      <c r="B4" s="14" t="inlineStr">
        <is>
          <t>DEL-001</t>
        </is>
      </c>
      <c r="C4" s="14" t="inlineStr">
        <is>
          <t>Security Review</t>
        </is>
      </c>
      <c r="D4" s="14" t="inlineStr">
        <is>
          <t>25.11.2024</t>
        </is>
      </c>
      <c r="E4" s="14" t="inlineStr">
        <is>
          <t>Jane Smith</t>
        </is>
      </c>
      <c r="F4" s="14" t="inlineStr">
        <is>
          <t>Security Team</t>
        </is>
      </c>
      <c r="G4" s="14" t="inlineStr">
        <is>
          <t>45</t>
        </is>
      </c>
      <c r="H4" s="14" t="inlineStr">
        <is>
          <t>12</t>
        </is>
      </c>
      <c r="I4" s="14" t="inlineStr">
        <is>
          <t>3</t>
        </is>
      </c>
      <c r="J4" s="14" t="inlineStr">
        <is>
          <t>6</t>
        </is>
      </c>
      <c r="K4" s="14" t="inlineStr">
        <is>
          <t>2</t>
        </is>
      </c>
      <c r="L4" s="14" t="inlineStr">
        <is>
          <t>1</t>
        </is>
      </c>
      <c r="M4" s="14" t="inlineStr">
        <is>
          <t>Approved with Findings</t>
        </is>
      </c>
      <c r="N4" s="14" t="inlineStr">
        <is>
          <t>SharePoint/Reviews/REV-001.pdf</t>
        </is>
      </c>
      <c r="O4" s="14" t="inlineStr">
        <is>
          <t>Minor issues documented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</sheetData>
  <mergeCells count="2">
    <mergeCell ref="A1:O1"/>
    <mergeCell ref="A2:O2"/>
  </mergeCells>
  <dataValidations count="3">
    <dataValidation sqref="C4:C102" showDropDown="0" showInputMessage="0" showErrorMessage="0" allowBlank="0" type="list">
      <formula1>"Peer Review,Security Review,Architecture Review"</formula1>
    </dataValidation>
    <dataValidation sqref="F4:F102" showDropDown="0" showInputMessage="0" showErrorMessage="0" allowBlank="0" type="list">
      <formula1>"Developer,Security Team,Security Architect"</formula1>
    </dataValidation>
    <dataValidation sqref="M4:M102" showDropDown="0" showInputMessage="0" showErrorMessage="0" allowBlank="0" type="list">
      <formula1>"Approved,Approved with Findings,Rejected"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5" customWidth="1" min="15" max="15"/>
    <col width="35" customWidth="1" min="16" max="16"/>
    <col width="12" customWidth="1" min="17" max="17"/>
    <col width="12" customWidth="1" min="18" max="18"/>
    <col width="12" customWidth="1" min="19" max="19"/>
  </cols>
  <sheetData>
    <row r="1" ht="35" customHeight="1">
      <c r="A1" s="11" t="inlineStr">
        <is>
          <t>SECURITY TESTING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Test ID</t>
        </is>
      </c>
      <c r="B3" s="13" t="inlineStr">
        <is>
          <t>Deliverable ID</t>
        </is>
      </c>
      <c r="C3" s="13" t="inlineStr">
        <is>
          <t>Test Type</t>
        </is>
      </c>
      <c r="D3" s="13" t="inlineStr">
        <is>
          <t>Test Tool</t>
        </is>
      </c>
      <c r="E3" s="13" t="inlineStr">
        <is>
          <t>Test Date</t>
        </is>
      </c>
      <c r="F3" s="13" t="inlineStr">
        <is>
          <t>Tester</t>
        </is>
      </c>
      <c r="G3" s="13" t="inlineStr">
        <is>
          <t>Scope</t>
        </is>
      </c>
      <c r="H3" s="13" t="inlineStr">
        <is>
          <t>Total Findings</t>
        </is>
      </c>
      <c r="I3" s="13" t="inlineStr">
        <is>
          <t>Critical Findings</t>
        </is>
      </c>
      <c r="J3" s="13" t="inlineStr">
        <is>
          <t>High Findings</t>
        </is>
      </c>
      <c r="K3" s="13" t="inlineStr">
        <is>
          <t>Medium Findings</t>
        </is>
      </c>
      <c r="L3" s="13" t="inlineStr">
        <is>
          <t>Low Findings</t>
        </is>
      </c>
      <c r="M3" s="13" t="inlineStr">
        <is>
          <t>False Positives</t>
        </is>
      </c>
      <c r="N3" s="13" t="inlineStr">
        <is>
          <t>Findings Remediated</t>
        </is>
      </c>
      <c r="O3" s="13" t="inlineStr">
        <is>
          <t>Findings Outstanding</t>
        </is>
      </c>
      <c r="P3" s="13" t="inlineStr">
        <is>
          <t>Report Reference</t>
        </is>
      </c>
      <c r="Q3" s="13" t="inlineStr">
        <is>
          <t>Retest Required</t>
        </is>
      </c>
      <c r="R3" s="13" t="inlineStr">
        <is>
          <t>Retest Date</t>
        </is>
      </c>
      <c r="S3" s="13" t="inlineStr">
        <is>
          <t>Retest Status</t>
        </is>
      </c>
    </row>
    <row r="4">
      <c r="A4" s="14" t="inlineStr">
        <is>
          <t>TEST-001</t>
        </is>
      </c>
      <c r="B4" s="14" t="inlineStr">
        <is>
          <t>DEL-001</t>
        </is>
      </c>
      <c r="C4" s="14" t="inlineStr">
        <is>
          <t>SAST</t>
        </is>
      </c>
      <c r="D4" s="14" t="inlineStr">
        <is>
          <t>SonarQube</t>
        </is>
      </c>
      <c r="E4" s="14" t="inlineStr">
        <is>
          <t>26.11.2024</t>
        </is>
      </c>
      <c r="F4" s="14" t="inlineStr">
        <is>
          <t>Security Team</t>
        </is>
      </c>
      <c r="G4" s="14" t="inlineStr">
        <is>
          <t>Full application scan</t>
        </is>
      </c>
      <c r="H4" s="14" t="inlineStr">
        <is>
          <t>45</t>
        </is>
      </c>
      <c r="I4" s="14" t="inlineStr">
        <is>
          <t>3</t>
        </is>
      </c>
      <c r="J4" s="14" t="inlineStr">
        <is>
          <t>12</t>
        </is>
      </c>
      <c r="K4" s="14" t="inlineStr">
        <is>
          <t>18</t>
        </is>
      </c>
      <c r="L4" s="14" t="inlineStr">
        <is>
          <t>12</t>
        </is>
      </c>
      <c r="M4" s="14" t="inlineStr">
        <is>
          <t>8</t>
        </is>
      </c>
      <c r="N4" s="14" t="inlineStr">
        <is>
          <t>42</t>
        </is>
      </c>
      <c r="O4" s="14" t="inlineStr">
        <is>
          <t>3</t>
        </is>
      </c>
      <c r="P4" s="14" t="inlineStr">
        <is>
          <t>SharePoint/Testing/SAST-001.pdf</t>
        </is>
      </c>
      <c r="Q4" s="14" t="inlineStr">
        <is>
          <t>Yes</t>
        </is>
      </c>
      <c r="R4" s="14" t="inlineStr">
        <is>
          <t>02.12.2024</t>
        </is>
      </c>
      <c r="S4" s="14" t="inlineStr">
        <is>
          <t>Passed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</sheetData>
  <mergeCells count="2">
    <mergeCell ref="A2:S2"/>
    <mergeCell ref="A1:S1"/>
  </mergeCells>
  <dataValidations count="3">
    <dataValidation sqref="C4:C102" showDropDown="0" showInputMessage="0" showErrorMessage="0" allowBlank="0" type="list">
      <formula1>"SAST,DAST,SCA,Penetration Test,Manual Review"</formula1>
    </dataValidation>
    <dataValidation sqref="Q4:Q102" showDropDown="0" showInputMessage="0" showErrorMessage="0" allowBlank="0" type="list">
      <formula1>"Yes,No"</formula1>
    </dataValidation>
    <dataValidation sqref="S4:S102" showDropDown="0" showInputMessage="0" showErrorMessage="0" allowBlank="0" type="list">
      <formula1>"Pending,Passed,Failed,N/A"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20" customWidth="1" min="14" max="14"/>
    <col width="12" customWidth="1" min="15" max="15"/>
    <col width="35" customWidth="1" min="16" max="16"/>
    <col width="40" customWidth="1" min="17" max="17"/>
  </cols>
  <sheetData>
    <row r="1" ht="35" customHeight="1">
      <c r="A1" s="11" t="inlineStr">
        <is>
          <t>SBOM MANAGEMENT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SBOM ID</t>
        </is>
      </c>
      <c r="B3" s="13" t="inlineStr">
        <is>
          <t>Deliverable ID</t>
        </is>
      </c>
      <c r="C3" s="13" t="inlineStr">
        <is>
          <t>SBOM Format</t>
        </is>
      </c>
      <c r="D3" s="13" t="inlineStr">
        <is>
          <t>SBOM Date</t>
        </is>
      </c>
      <c r="E3" s="13" t="inlineStr">
        <is>
          <t>Total Components</t>
        </is>
      </c>
      <c r="F3" s="13" t="inlineStr">
        <is>
          <t>Direct Dependencies</t>
        </is>
      </c>
      <c r="G3" s="13" t="inlineStr">
        <is>
          <t>Transitive Dependencies</t>
        </is>
      </c>
      <c r="H3" s="13" t="inlineStr">
        <is>
          <t>Known Vulnerabilities</t>
        </is>
      </c>
      <c r="I3" s="13" t="inlineStr">
        <is>
          <t>Critical Vulns</t>
        </is>
      </c>
      <c r="J3" s="13" t="inlineStr">
        <is>
          <t>High Vulns</t>
        </is>
      </c>
      <c r="K3" s="13" t="inlineStr">
        <is>
          <t>License Issues</t>
        </is>
      </c>
      <c r="L3" s="13" t="inlineStr">
        <is>
          <t>Outdated Components</t>
        </is>
      </c>
      <c r="M3" s="13" t="inlineStr">
        <is>
          <t>Review Status</t>
        </is>
      </c>
      <c r="N3" s="13" t="inlineStr">
        <is>
          <t>Reviewed By</t>
        </is>
      </c>
      <c r="O3" s="13" t="inlineStr">
        <is>
          <t>Review Date</t>
        </is>
      </c>
      <c r="P3" s="13" t="inlineStr">
        <is>
          <t>SBOM Reference</t>
        </is>
      </c>
      <c r="Q3" s="13" t="inlineStr">
        <is>
          <t>Action Plan</t>
        </is>
      </c>
    </row>
    <row r="4">
      <c r="A4" s="14" t="inlineStr">
        <is>
          <t>SBOM-001</t>
        </is>
      </c>
      <c r="B4" s="14" t="inlineStr">
        <is>
          <t>DEL-001</t>
        </is>
      </c>
      <c r="C4" s="14" t="inlineStr">
        <is>
          <t>CycloneDX</t>
        </is>
      </c>
      <c r="D4" s="14" t="inlineStr">
        <is>
          <t>27.11.2024</t>
        </is>
      </c>
      <c r="E4" s="14" t="inlineStr">
        <is>
          <t>156</t>
        </is>
      </c>
      <c r="F4" s="14" t="inlineStr">
        <is>
          <t>23</t>
        </is>
      </c>
      <c r="G4" s="14" t="inlineStr">
        <is>
          <t>133</t>
        </is>
      </c>
      <c r="H4" s="14" t="inlineStr">
        <is>
          <t>2</t>
        </is>
      </c>
      <c r="I4" s="14" t="inlineStr">
        <is>
          <t>0</t>
        </is>
      </c>
      <c r="J4" s="14" t="inlineStr">
        <is>
          <t>2</t>
        </is>
      </c>
      <c r="K4" s="14" t="inlineStr">
        <is>
          <t>0</t>
        </is>
      </c>
      <c r="L4" s="14" t="inlineStr">
        <is>
          <t>8</t>
        </is>
      </c>
      <c r="M4" s="14" t="inlineStr">
        <is>
          <t>Reviewed</t>
        </is>
      </c>
      <c r="N4" s="14" t="inlineStr">
        <is>
          <t>Security Team</t>
        </is>
      </c>
      <c r="O4" s="14" t="inlineStr">
        <is>
          <t>27.11.2024</t>
        </is>
      </c>
      <c r="P4" s="14" t="inlineStr">
        <is>
          <t>SharePoint/SBOMs/SBOM-001.json</t>
        </is>
      </c>
      <c r="Q4" s="14" t="inlineStr">
        <is>
          <t>2 high vulns flagged for remediation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</row>
  </sheetData>
  <mergeCells count="2">
    <mergeCell ref="A2:Q2"/>
    <mergeCell ref="A1:Q1"/>
  </mergeCells>
  <dataValidations count="2">
    <dataValidation sqref="C4:C102" showDropDown="0" showInputMessage="0" showErrorMessage="0" allowBlank="0" type="list">
      <formula1>"CycloneDX,SPDX,Spreadsheet,Other"</formula1>
    </dataValidation>
    <dataValidation sqref="M4:M102" showDropDown="0" showInputMessage="0" showErrorMessage="0" allowBlank="0" type="list">
      <formula1>"Pending,Reviewed,Accepted,Rejected"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5" customWidth="1" min="4" max="4"/>
    <col width="10" customWidth="1" min="5" max="5"/>
    <col width="35" customWidth="1" min="6" max="6"/>
    <col width="20" customWidth="1" min="7" max="7"/>
    <col width="15" customWidth="1" min="8" max="8"/>
    <col width="35" customWidth="1" min="9" max="9"/>
    <col width="25" customWidth="1" min="10" max="10"/>
  </cols>
  <sheetData>
    <row r="1" ht="35" customHeight="1">
      <c r="A1" s="11" t="inlineStr">
        <is>
          <t>ACCEPTANCE SIGN-OFF</t>
        </is>
      </c>
    </row>
    <row r="2">
      <c r="A2" s="16" t="inlineStr">
        <is>
          <t>ISO/IEC 27001:2022 - Control A.8.30: Outsourced Development</t>
        </is>
      </c>
    </row>
    <row r="3">
      <c r="A3" s="13" t="inlineStr">
        <is>
          <t>Acceptance ID</t>
        </is>
      </c>
      <c r="B3" s="13" t="inlineStr">
        <is>
          <t>Deliverable ID</t>
        </is>
      </c>
      <c r="C3" s="13" t="inlineStr">
        <is>
          <t>Criteria Category</t>
        </is>
      </c>
      <c r="D3" s="13" t="inlineStr">
        <is>
          <t>Acceptance Criteria</t>
        </is>
      </c>
      <c r="E3" s="13" t="inlineStr">
        <is>
          <t>Status</t>
        </is>
      </c>
      <c r="F3" s="13" t="inlineStr">
        <is>
          <t>Evidence Reference</t>
        </is>
      </c>
      <c r="G3" s="13" t="inlineStr">
        <is>
          <t>Verified By</t>
        </is>
      </c>
      <c r="H3" s="13" t="inlineStr">
        <is>
          <t>Verification Date</t>
        </is>
      </c>
      <c r="I3" s="13" t="inlineStr">
        <is>
          <t>Waiver Reason</t>
        </is>
      </c>
      <c r="J3" s="13" t="inlineStr">
        <is>
          <t>Waiver Approver</t>
        </is>
      </c>
    </row>
    <row r="4">
      <c r="A4" s="14" t="inlineStr">
        <is>
          <t>ACC-001</t>
        </is>
      </c>
      <c r="B4" s="14" t="inlineStr">
        <is>
          <t>[Deliverable ID]</t>
        </is>
      </c>
      <c r="C4" s="14" t="inlineStr">
        <is>
          <t>Security</t>
        </is>
      </c>
      <c r="D4" s="14" t="inlineStr">
        <is>
          <t>Code review completed with no unresolved Critical/High findings</t>
        </is>
      </c>
      <c r="E4" s="14" t="inlineStr">
        <is>
          <t>Met</t>
        </is>
      </c>
      <c r="F4" s="14" t="inlineStr">
        <is>
          <t>Code Review Report</t>
        </is>
      </c>
      <c r="G4" s="14" t="inlineStr">
        <is>
          <t>SharePoint/Deliverables/DEL-001/CodeReview.pdf</t>
        </is>
      </c>
      <c r="H4" s="14" t="inlineStr">
        <is>
          <t>Security Team</t>
        </is>
      </c>
      <c r="I4" s="14" t="inlineStr">
        <is>
          <t>26.11.2024</t>
        </is>
      </c>
      <c r="J4" s="14" t="inlineStr">
        <is>
          <t>All high-risk items resolved</t>
        </is>
      </c>
    </row>
    <row r="5">
      <c r="A5" s="17" t="n"/>
      <c r="B5" s="15" t="n"/>
      <c r="C5" s="17" t="inlineStr">
        <is>
          <t>Security</t>
        </is>
      </c>
      <c r="D5" s="17" t="inlineStr">
        <is>
          <t>Threat model reviewed and accepted by security lead before delivery sign-off</t>
        </is>
      </c>
      <c r="E5" s="17" t="n"/>
      <c r="F5" s="17" t="n"/>
      <c r="G5" s="17" t="n"/>
      <c r="H5" s="17" t="n"/>
      <c r="I5" s="17" t="n"/>
      <c r="J5" s="17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C4:C102" showDropDown="0" showInputMessage="0" showErrorMessage="0" allowBlank="0" type="list">
      <formula1>"Functional,Security,Performance,Documentation,Compliance"</formula1>
    </dataValidation>
    <dataValidation sqref="E4:E102" showDropDown="0" showInputMessage="0" showErrorMessage="0" allowBlank="0" type="list">
      <formula1>"Met,Not Met,Waived,N/A"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Record all evidence collected during the assessment. Each row represents one piece of evidence.</t>
        </is>
      </c>
    </row>
    <row r="4" ht="30" customHeight="1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 / 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20" t="inlineStr">
        <is>
          <t>Security Testing</t>
        </is>
      </c>
      <c r="C5" s="20" t="inlineStr">
        <is>
          <t>Test results</t>
        </is>
      </c>
      <c r="D5" s="20" t="inlineStr">
        <is>
          <t>SAST scan report - Customer Portal v2.0</t>
        </is>
      </c>
      <c r="E5" s="20" t="inlineStr">
        <is>
          <t>SharePoint/Testing/SAST-CustomerPortal-20241126.pdf</t>
        </is>
      </c>
      <c r="F5" s="20" t="inlineStr">
        <is>
          <t>26.11.2024</t>
        </is>
      </c>
      <c r="G5" s="20" t="inlineStr">
        <is>
          <t>Security Team</t>
        </is>
      </c>
      <c r="H5" s="20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6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6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SECURITY TESTING ASSESSMENT — SUMMARY DASHBOARD</t>
        </is>
      </c>
    </row>
    <row r="2">
      <c r="A2" s="21" t="inlineStr">
        <is>
          <t>ISO/IEC 27001:2022 - Control A.8.30: Outsourced Development</t>
        </is>
      </c>
    </row>
    <row r="4">
      <c r="A4" s="22" t="inlineStr">
        <is>
          <t>TABLE 1: ASSESSMENT AREA COMPLIANCE OVERVIEW</t>
        </is>
      </c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24" t="inlineStr">
        <is>
          <t>Deliverable Inventory</t>
        </is>
      </c>
      <c r="B6" s="25">
        <f>COUNTA('Deliverable Inventory'!L5:L54)</f>
        <v/>
      </c>
      <c r="C6" s="25">
        <f>COUNTIF('Deliverable Inventory'!L5:L54,"Accepted")</f>
        <v/>
      </c>
      <c r="D6" s="25">
        <f>COUNTIF('Deliverable Inventory'!L5:L54,"Conditional")</f>
        <v/>
      </c>
      <c r="E6" s="25">
        <f>COUNTIF('Deliverable Inventory'!L5:L54,"Rejected")+COUNTIF('Deliverable Inventory'!L5:L54,"Pending")</f>
        <v/>
      </c>
      <c r="F6" s="25">
        <f>0</f>
        <v/>
      </c>
      <c r="G6" s="26">
        <f>IF((B6-F6)=0,0,C6/(B6-F6))</f>
        <v/>
      </c>
    </row>
    <row r="7">
      <c r="A7" s="24" t="inlineStr">
        <is>
          <t>Code Review Tracking</t>
        </is>
      </c>
      <c r="B7" s="25">
        <f>COUNTA('Code Review Tracking'!M5:M54)</f>
        <v/>
      </c>
      <c r="C7" s="25">
        <f>COUNTIF('Code Review Tracking'!M5:M54,"Approved")</f>
        <v/>
      </c>
      <c r="D7" s="25">
        <f>COUNTIF('Code Review Tracking'!M5:M54,"Approved with Findings")</f>
        <v/>
      </c>
      <c r="E7" s="25">
        <f>COUNTIF('Code Review Tracking'!M5:M54,"Rejected")</f>
        <v/>
      </c>
      <c r="F7" s="25">
        <f>0</f>
        <v/>
      </c>
      <c r="G7" s="26">
        <f>IF((B7-F7)=0,0,C7/(B7-F7))</f>
        <v/>
      </c>
    </row>
    <row r="8">
      <c r="A8" s="24" t="inlineStr">
        <is>
          <t>Security Testing Results</t>
        </is>
      </c>
      <c r="B8" s="25">
        <f>COUNTA('Security Testing'!S5:S54)</f>
        <v/>
      </c>
      <c r="C8" s="25">
        <f>COUNTIF('Security Testing'!S5:S54,"Passed")</f>
        <v/>
      </c>
      <c r="D8" s="25">
        <f>COUNTIF('Security Testing'!S5:S54,"Pending")</f>
        <v/>
      </c>
      <c r="E8" s="25">
        <f>COUNTIF('Security Testing'!S5:S54,"Failed")</f>
        <v/>
      </c>
      <c r="F8" s="25">
        <f>COUNTIF('Security Testing'!S5:S54,"N/A")</f>
        <v/>
      </c>
      <c r="G8" s="26">
        <f>IF((B8-F8)=0,0,C8/(B8-F8))</f>
        <v/>
      </c>
    </row>
    <row r="9">
      <c r="A9" s="24" t="inlineStr">
        <is>
          <t>SBOM Management</t>
        </is>
      </c>
      <c r="B9" s="25">
        <f>COUNTA('SBOM Management'!M5:M54)</f>
        <v/>
      </c>
      <c r="C9" s="25">
        <f>COUNTIF('SBOM Management'!M5:M54,"Accepted")</f>
        <v/>
      </c>
      <c r="D9" s="25">
        <f>COUNTIF('SBOM Management'!M5:M54,"Reviewed")+COUNTIF('SBOM Management'!M5:M54,"Pending")</f>
        <v/>
      </c>
      <c r="E9" s="25">
        <f>COUNTIF('SBOM Management'!M5:M54,"Rejected")</f>
        <v/>
      </c>
      <c r="F9" s="25">
        <f>0</f>
        <v/>
      </c>
      <c r="G9" s="26">
        <f>IF((B9-F9)=0,0,C9/(B9-F9))</f>
        <v/>
      </c>
    </row>
    <row r="10">
      <c r="A10" s="24" t="inlineStr">
        <is>
          <t>Acceptance Sign-off</t>
        </is>
      </c>
      <c r="B10" s="25">
        <f>COUNTA('Acceptance Sign-off'!E5:E54)</f>
        <v/>
      </c>
      <c r="C10" s="25">
        <f>COUNTIF('Acceptance Sign-off'!E5:E54,"Met")</f>
        <v/>
      </c>
      <c r="D10" s="25">
        <f>COUNTIF('Acceptance Sign-off'!E5:E54,"Waived")</f>
        <v/>
      </c>
      <c r="E10" s="25">
        <f>COUNTIF('Acceptance Sign-off'!E5:E54,"Not Met")</f>
        <v/>
      </c>
      <c r="F10" s="25">
        <f>COUNTIF('Acceptance Sign-off'!E5:E54,"N/A")</f>
        <v/>
      </c>
      <c r="G10" s="26">
        <f>IF((B10-F10)=0,0,C10/(B10-F10))</f>
        <v/>
      </c>
    </row>
    <row r="11">
      <c r="A11" s="27" t="inlineStr">
        <is>
          <t>TOTAL</t>
        </is>
      </c>
      <c r="B11" s="28">
        <f>SUM(B6:B10)</f>
        <v/>
      </c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9">
        <f>IF((B11-F11)=0,0,C11/(B11-F11))</f>
        <v/>
      </c>
    </row>
    <row r="13">
      <c r="A13" s="22" t="inlineStr">
        <is>
          <t>TABLE 2: KEY METRICS</t>
        </is>
      </c>
    </row>
    <row r="14">
      <c r="A14" s="24" t="inlineStr">
        <is>
          <t>Total Deliverables Pending Acceptance</t>
        </is>
      </c>
      <c r="B14" s="6">
        <f>COUNTIF('Deliverable Inventory'!L5:L54,"Pending")</f>
        <v/>
      </c>
      <c r="C14" s="6" t="n"/>
      <c r="D14" s="6" t="n"/>
      <c r="E14" s="6" t="n"/>
      <c r="F14" s="6" t="n"/>
      <c r="G14" s="6" t="n"/>
    </row>
    <row r="15">
      <c r="A15" s="24" t="inlineStr">
        <is>
          <t>Critical Deliverables</t>
        </is>
      </c>
      <c r="B15" s="6">
        <f>COUNTIF('Deliverable Inventory'!F5:F54,"Critical")</f>
        <v/>
      </c>
      <c r="C15" s="6" t="n"/>
      <c r="D15" s="6" t="n"/>
      <c r="E15" s="6" t="n"/>
      <c r="F15" s="6" t="n"/>
      <c r="G15" s="6" t="n"/>
    </row>
    <row r="16">
      <c r="A16" s="24" t="inlineStr">
        <is>
          <t>Security Tests Failed</t>
        </is>
      </c>
      <c r="B16" s="6">
        <f>COUNTIF('Security Testing'!S5:S54,"Failed")</f>
        <v/>
      </c>
      <c r="C16" s="6" t="n"/>
      <c r="D16" s="6" t="n"/>
      <c r="E16" s="6" t="n"/>
      <c r="F16" s="6" t="n"/>
      <c r="G16" s="6" t="n"/>
    </row>
    <row r="17">
      <c r="A17" s="24" t="inlineStr">
        <is>
          <t>Acceptance Criteria Met %</t>
        </is>
      </c>
      <c r="B17" s="6">
        <f>IF(COUNTA('Acceptance Sign-off'!E5:E54)=0,"0%",ROUND(COUNTIF('Acceptance Sign-off'!E5:E54,"Met")/COUNTA('Acceptance Sign-off'!E5:E54)*100,1)&amp;"%")</f>
        <v/>
      </c>
      <c r="C17" s="6" t="n"/>
      <c r="D17" s="6" t="n"/>
      <c r="E17" s="6" t="n"/>
      <c r="F17" s="6" t="n"/>
      <c r="G17" s="6" t="n"/>
    </row>
    <row r="19">
      <c r="A19" s="30" t="inlineStr">
        <is>
          <t>TABLE 3: CRITICAL FINDINGS</t>
        </is>
      </c>
    </row>
    <row r="20">
      <c r="A20" s="27" t="inlineStr">
        <is>
          <t>#</t>
        </is>
      </c>
      <c r="B20" s="27" t="inlineStr">
        <is>
          <t>Finding</t>
        </is>
      </c>
      <c r="C20" s="27" t="inlineStr">
        <is>
          <t>Severity</t>
        </is>
      </c>
      <c r="D20" s="27" t="inlineStr">
        <is>
          <t>Affected Area</t>
        </is>
      </c>
      <c r="E20" s="27" t="inlineStr">
        <is>
          <t>Recommended Action</t>
        </is>
      </c>
      <c r="F20" s="27" t="inlineStr">
        <is>
          <t>Owner</t>
        </is>
      </c>
      <c r="G20" s="27" t="inlineStr">
        <is>
          <t>Due Date</t>
        </is>
      </c>
    </row>
    <row r="21">
      <c r="A21" s="4">
        <f>COUNTIF('Deliverable Inventory'!L5:L54,"Rejected")</f>
        <v/>
      </c>
      <c r="B21" s="4" t="inlineStr">
        <is>
          <t>Rejected Deliverables</t>
        </is>
      </c>
      <c r="C21" s="4" t="inlineStr">
        <is>
          <t>Critical</t>
        </is>
      </c>
      <c r="D21" s="4" t="inlineStr">
        <is>
          <t>Deliverable Inventory</t>
        </is>
      </c>
      <c r="E21" s="4" t="inlineStr">
        <is>
          <t>Review rejection reasons and remediate</t>
        </is>
      </c>
      <c r="F21" s="4" t="n"/>
      <c r="G21" s="4" t="n"/>
    </row>
    <row r="22">
      <c r="A22" s="4">
        <f>COUNTIF('Deliverable Inventory'!I5:I54,"Pending")</f>
        <v/>
      </c>
      <c r="B22" s="4" t="inlineStr">
        <is>
          <t>Pending Code Reviews</t>
        </is>
      </c>
      <c r="C22" s="4" t="inlineStr">
        <is>
          <t>High</t>
        </is>
      </c>
      <c r="D22" s="4" t="inlineStr">
        <is>
          <t>Deliverable Inventory</t>
        </is>
      </c>
      <c r="E22" s="4" t="inlineStr">
        <is>
          <t>Complete code reviews before acceptance</t>
        </is>
      </c>
      <c r="F22" s="4" t="n"/>
      <c r="G22" s="4" t="n"/>
    </row>
    <row r="23">
      <c r="A23" s="4">
        <f>COUNTIF('Security Testing'!S5:S54,"Failed")</f>
        <v/>
      </c>
      <c r="B23" s="4" t="inlineStr">
        <is>
          <t>Failed Security Tests</t>
        </is>
      </c>
      <c r="C23" s="4" t="inlineStr">
        <is>
          <t>Critical</t>
        </is>
      </c>
      <c r="D23" s="4" t="inlineStr">
        <is>
          <t>Security Testing</t>
        </is>
      </c>
      <c r="E23" s="4" t="inlineStr">
        <is>
          <t>Remediate security vulnerabilities</t>
        </is>
      </c>
      <c r="F23" s="4" t="n"/>
      <c r="G23" s="4" t="n"/>
    </row>
    <row r="24">
      <c r="A24" s="4">
        <f>COUNTIF('Security Testing'!S5:S54,"Pending")</f>
        <v/>
      </c>
      <c r="B24" s="4" t="inlineStr">
        <is>
          <t>Pending Retests</t>
        </is>
      </c>
      <c r="C24" s="4" t="inlineStr">
        <is>
          <t>High</t>
        </is>
      </c>
      <c r="D24" s="4" t="inlineStr">
        <is>
          <t>Security Testing</t>
        </is>
      </c>
      <c r="E24" s="4" t="inlineStr">
        <is>
          <t>Complete retesting of remediated findings</t>
        </is>
      </c>
      <c r="F24" s="4" t="n"/>
      <c r="G24" s="4" t="n"/>
    </row>
    <row r="25">
      <c r="A25" s="4">
        <f>COUNTIF('Deliverable Inventory'!K5:K54,"No")</f>
        <v/>
      </c>
      <c r="B25" s="4" t="inlineStr">
        <is>
          <t>Missing SBOMs</t>
        </is>
      </c>
      <c r="C25" s="4" t="inlineStr">
        <is>
          <t>High</t>
        </is>
      </c>
      <c r="D25" s="4" t="inlineStr">
        <is>
          <t>Deliverable Inventory</t>
        </is>
      </c>
      <c r="E25" s="4" t="inlineStr">
        <is>
          <t>Request SBOMs from vendors</t>
        </is>
      </c>
      <c r="F25" s="4" t="n"/>
      <c r="G25" s="4" t="n"/>
    </row>
  </sheetData>
  <mergeCells count="9">
    <mergeCell ref="A13:G13"/>
    <mergeCell ref="B16:G16"/>
    <mergeCell ref="A1:G1"/>
    <mergeCell ref="B14:G14"/>
    <mergeCell ref="B17:G17"/>
    <mergeCell ref="A4:G4"/>
    <mergeCell ref="A2:G2"/>
    <mergeCell ref="A19:G19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1" t="inlineStr">
        <is>
          <t>ASSESSMENT APPROVAL AND SIGN-OFF</t>
        </is>
      </c>
    </row>
    <row r="3">
      <c r="A3" s="32" t="inlineStr">
        <is>
          <t>ASSESSMENT SUMMARY</t>
        </is>
      </c>
    </row>
    <row r="4">
      <c r="A4" s="33" t="inlineStr">
        <is>
          <t>Document:</t>
        </is>
      </c>
      <c r="B4" s="6" t="inlineStr">
        <is>
          <t>ISMS-IMP-A.8.30.3</t>
        </is>
      </c>
      <c r="C4" s="6" t="n"/>
      <c r="D4" s="6" t="n"/>
      <c r="E4" s="6" t="n"/>
    </row>
    <row r="5">
      <c r="A5" s="33" t="inlineStr">
        <is>
          <t>Assessment Period:</t>
        </is>
      </c>
      <c r="B5" s="6" t="inlineStr"/>
      <c r="C5" s="6" t="n"/>
      <c r="D5" s="6" t="n"/>
      <c r="E5" s="6" t="n"/>
    </row>
    <row r="6">
      <c r="A6" s="33" t="inlineStr">
        <is>
          <t>Overall Compliance Rating:</t>
        </is>
      </c>
      <c r="B6" s="4">
        <f>'Summary Dashboard'!G10</f>
        <v/>
      </c>
      <c r="C6" s="4" t="n"/>
      <c r="D6" s="4" t="n"/>
      <c r="E6" s="4" t="n"/>
    </row>
    <row r="7">
      <c r="A7" s="33" t="inlineStr">
        <is>
          <t>Assessment Status:</t>
        </is>
      </c>
      <c r="B7" s="4" t="inlineStr"/>
      <c r="C7" s="4" t="n"/>
      <c r="D7" s="4" t="n"/>
      <c r="E7" s="4" t="n"/>
    </row>
    <row r="8">
      <c r="A8" s="33" t="inlineStr">
        <is>
          <t>Assessed By:</t>
        </is>
      </c>
      <c r="B8" s="6" t="inlineStr"/>
      <c r="C8" s="6" t="n"/>
      <c r="D8" s="6" t="n"/>
      <c r="E8" s="6" t="n"/>
    </row>
    <row r="10">
      <c r="A10" s="32" t="inlineStr">
        <is>
          <t>COMPLETED BY (ASSESSOR)</t>
        </is>
      </c>
    </row>
    <row r="11">
      <c r="A11" s="33" t="inlineStr">
        <is>
          <t>Name:</t>
        </is>
      </c>
      <c r="B11" s="4" t="n"/>
      <c r="C11" s="4" t="n"/>
      <c r="D11" s="4" t="n"/>
      <c r="E11" s="4" t="n"/>
    </row>
    <row r="12">
      <c r="A12" s="33" t="inlineStr">
        <is>
          <t>Title:</t>
        </is>
      </c>
      <c r="B12" s="4" t="n"/>
      <c r="C12" s="4" t="n"/>
      <c r="D12" s="4" t="n"/>
      <c r="E12" s="4" t="n"/>
    </row>
    <row r="13">
      <c r="A13" s="33" t="inlineStr">
        <is>
          <t>Date:</t>
        </is>
      </c>
      <c r="B13" s="4" t="n"/>
      <c r="C13" s="4" t="n"/>
      <c r="D13" s="4" t="n"/>
      <c r="E13" s="4" t="n"/>
    </row>
    <row r="14">
      <c r="A14" s="33" t="inlineStr">
        <is>
          <t>Signature:</t>
        </is>
      </c>
      <c r="B14" s="4" t="n"/>
      <c r="C14" s="4" t="n"/>
      <c r="D14" s="4" t="n"/>
      <c r="E14" s="4" t="n"/>
    </row>
    <row r="15">
      <c r="A15" s="33" t="inlineStr">
        <is>
          <t>Comments:</t>
        </is>
      </c>
      <c r="B15" s="4" t="n"/>
      <c r="C15" s="4" t="n"/>
      <c r="D15" s="4" t="n"/>
      <c r="E15" s="4" t="n"/>
    </row>
    <row r="17">
      <c r="A17" s="32" t="inlineStr">
        <is>
          <t>REVIEWED BY (INFORMATION SECURITY OFFICER)</t>
        </is>
      </c>
    </row>
    <row r="18">
      <c r="A18" s="33" t="inlineStr">
        <is>
          <t>Name:</t>
        </is>
      </c>
      <c r="B18" s="4" t="n"/>
      <c r="C18" s="4" t="n"/>
      <c r="D18" s="4" t="n"/>
      <c r="E18" s="4" t="n"/>
    </row>
    <row r="19">
      <c r="A19" s="33" t="inlineStr">
        <is>
          <t>Title:</t>
        </is>
      </c>
      <c r="B19" s="4" t="n"/>
      <c r="C19" s="4" t="n"/>
      <c r="D19" s="4" t="n"/>
      <c r="E19" s="4" t="n"/>
    </row>
    <row r="20">
      <c r="A20" s="33" t="inlineStr">
        <is>
          <t>Date:</t>
        </is>
      </c>
      <c r="B20" s="4" t="n"/>
      <c r="C20" s="4" t="n"/>
      <c r="D20" s="4" t="n"/>
      <c r="E20" s="4" t="n"/>
    </row>
    <row r="21">
      <c r="A21" s="33" t="inlineStr">
        <is>
          <t>Signature:</t>
        </is>
      </c>
      <c r="B21" s="4" t="n"/>
      <c r="C21" s="4" t="n"/>
      <c r="D21" s="4" t="n"/>
      <c r="E21" s="4" t="n"/>
    </row>
    <row r="22">
      <c r="A22" s="33" t="inlineStr">
        <is>
          <t>Comments:</t>
        </is>
      </c>
      <c r="B22" s="4" t="n"/>
      <c r="C22" s="4" t="n"/>
      <c r="D22" s="4" t="n"/>
      <c r="E22" s="4" t="n"/>
    </row>
    <row r="24">
      <c r="A24" s="34" t="inlineStr">
        <is>
          <t>APPROVED BY (CISO)</t>
        </is>
      </c>
    </row>
    <row r="25">
      <c r="A25" s="33" t="inlineStr">
        <is>
          <t>Name:</t>
        </is>
      </c>
      <c r="B25" s="4" t="n"/>
      <c r="C25" s="4" t="n"/>
      <c r="D25" s="4" t="n"/>
      <c r="E25" s="4" t="n"/>
    </row>
    <row r="26">
      <c r="A26" s="33" t="inlineStr">
        <is>
          <t>Title:</t>
        </is>
      </c>
      <c r="B26" s="4" t="n"/>
      <c r="C26" s="4" t="n"/>
      <c r="D26" s="4" t="n"/>
      <c r="E26" s="4" t="n"/>
    </row>
    <row r="27">
      <c r="A27" s="33" t="inlineStr">
        <is>
          <t>Date:</t>
        </is>
      </c>
      <c r="B27" s="4" t="n"/>
      <c r="C27" s="4" t="n"/>
      <c r="D27" s="4" t="n"/>
      <c r="E27" s="4" t="n"/>
    </row>
    <row r="28">
      <c r="A28" s="33" t="inlineStr">
        <is>
          <t>Signature:</t>
        </is>
      </c>
      <c r="B28" s="4" t="n"/>
      <c r="C28" s="4" t="n"/>
      <c r="D28" s="4" t="n"/>
      <c r="E28" s="4" t="n"/>
    </row>
    <row r="29">
      <c r="A29" s="33" t="inlineStr">
        <is>
          <t>Comments:</t>
        </is>
      </c>
      <c r="B29" s="4" t="n"/>
      <c r="C29" s="4" t="n"/>
      <c r="D29" s="4" t="n"/>
      <c r="E29" s="4" t="n"/>
    </row>
    <row r="31">
      <c r="A31" s="35" t="inlineStr">
        <is>
          <t>FINAL DECISION:</t>
        </is>
      </c>
      <c r="B31" s="4" t="n"/>
      <c r="C31" s="4" t="n"/>
      <c r="D31" s="4" t="n"/>
      <c r="E31" s="4" t="n"/>
    </row>
    <row r="34">
      <c r="A34" s="32" t="inlineStr">
        <is>
          <t>NEXT REVIEW DETAILS</t>
        </is>
      </c>
    </row>
    <row r="35">
      <c r="A35" s="33" t="inlineStr">
        <is>
          <t>Next Review Date:</t>
        </is>
      </c>
      <c r="B35" s="4" t="n"/>
      <c r="C35" s="4" t="n"/>
      <c r="D35" s="4" t="n"/>
      <c r="E35" s="4" t="n"/>
    </row>
    <row r="36">
      <c r="A36" s="33" t="inlineStr">
        <is>
          <t>Review Responsible:</t>
        </is>
      </c>
      <c r="B36" s="4" t="n"/>
      <c r="C36" s="4" t="n"/>
      <c r="D36" s="4" t="n"/>
      <c r="E36" s="4" t="n"/>
    </row>
    <row r="37">
      <c r="A37" s="33" t="inlineStr">
        <is>
          <t>Special Considerations:</t>
        </is>
      </c>
      <c r="B37" s="4" t="n"/>
      <c r="C37" s="4" t="n"/>
      <c r="D37" s="4" t="n"/>
      <c r="E37" s="4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ISMS-IMP-A.8.30.3 — Security Testing and Acceptance</dc:title>
  <dc:description xmlns:dc="http://purl.org/dc/elements/1.1/">ISMS Implementation Workbook — ISMS-IMP-A.8.30.3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2026-03-07T11:28:28Z</dcterms:created>
  <dcterms:modified xmlns:dcterms="http://purl.org/dc/terms/" xmlns:xsi="http://www.w3.org/2001/XMLSchema-instance" xsi:type="dcterms:W3CDTF">2026-03-07T11:28:28Z</dcterms:modified>
</cp:coreProperties>
</file>