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 &amp; Legend" sheetId="1" state="visible" r:id="rId1"/>
    <sheet xmlns:r="http://schemas.openxmlformats.org/officeDocument/2006/relationships" name="Deliverable Inventory" sheetId="2" state="visible" r:id="rId2"/>
    <sheet xmlns:r="http://schemas.openxmlformats.org/officeDocument/2006/relationships" name="Code Review Tracking" sheetId="3" state="visible" r:id="rId3"/>
    <sheet xmlns:r="http://schemas.openxmlformats.org/officeDocument/2006/relationships" name="Security Testing" sheetId="4" state="visible" r:id="rId4"/>
    <sheet xmlns:r="http://schemas.openxmlformats.org/officeDocument/2006/relationships" name="SBOM Management" sheetId="5" state="visible" r:id="rId5"/>
    <sheet xmlns:r="http://schemas.openxmlformats.org/officeDocument/2006/relationships" name="Acceptance Sign-off" sheetId="6" state="visible" r:id="rId6"/>
    <sheet xmlns:r="http://schemas.openxmlformats.org/officeDocument/2006/relationships" name="Evidence Register" sheetId="7" state="visible" r:id="rId7"/>
    <sheet xmlns:r="http://schemas.openxmlformats.org/officeDocument/2006/relationships" name="Summary Dashboard" sheetId="8" state="visible" r:id="rId8"/>
    <sheet xmlns:r="http://schemas.openxmlformats.org/officeDocument/2006/relationships" name="Approval Sign-Off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2"/>
    </font>
    <font>
      <name val="Calibri"/>
      <b val="1"/>
    </font>
    <font>
      <name val="Calibri"/>
      <b val="1"/>
      <sz val="10"/>
    </font>
    <font>
      <name val="Calibri"/>
      <i val="1"/>
      <color rgb="00003366"/>
      <sz val="10"/>
    </font>
    <font>
      <name val="Calibri"/>
      <b val="1"/>
      <sz val="11"/>
    </font>
    <font>
      <name val="Calibri"/>
      <color rgb="00808080"/>
      <sz val="10"/>
    </font>
    <font>
      <name val="Calibri"/>
      <sz val="10"/>
    </font>
    <font>
      <name val="Calibri"/>
      <i val="1"/>
      <sz val="10"/>
    </font>
    <font>
      <name val="Calibri"/>
      <b val="1"/>
      <color rgb="00FFFFFF"/>
      <sz val="10"/>
    </font>
    <font>
      <name val="Calibri"/>
      <b val="1"/>
      <color rgb="00FFFFFF"/>
      <sz val="11"/>
    </font>
    <font>
      <name val="Calibri"/>
      <b val="1"/>
      <color rgb="00000000"/>
      <sz val="10"/>
    </font>
  </fonts>
  <fills count="15">
    <fill>
      <patternFill/>
    </fill>
    <fill>
      <patternFill patternType="gray125"/>
    </fill>
    <fill>
      <patternFill patternType="solid">
        <fgColor rgb="00003366"/>
      </patternFill>
    </fill>
    <fill>
      <patternFill patternType="solid">
        <fgColor rgb="00FFFFCC"/>
      </patternFill>
    </fill>
    <fill>
      <patternFill patternType="solid">
        <fgColor rgb="00D9D9D9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003366"/>
        <bgColor rgb="00003366"/>
      </patternFill>
    </fill>
    <fill>
      <patternFill patternType="solid">
        <fgColor rgb="00D9D9D9"/>
        <bgColor rgb="00D9D9D9"/>
      </patternFill>
    </fill>
    <fill>
      <patternFill patternType="solid">
        <fgColor rgb="00F2F2F2"/>
        <bgColor rgb="00F2F2F2"/>
      </patternFill>
    </fill>
    <fill>
      <patternFill patternType="solid">
        <fgColor rgb="00FFFFCC"/>
        <bgColor rgb="00FFFFCC"/>
      </patternFill>
    </fill>
    <fill>
      <patternFill patternType="solid">
        <fgColor rgb="00F2F2F2"/>
      </patternFill>
    </fill>
    <fill>
      <patternFill patternType="solid">
        <fgColor rgb="00C00000"/>
      </patternFill>
    </fill>
    <fill>
      <patternFill patternType="solid">
        <f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5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left" vertical="center" wrapText="1"/>
    </xf>
    <xf numFmtId="0" fontId="0" fillId="7" borderId="1" applyAlignment="1" pivotButton="0" quotePrefix="0" xfId="0">
      <alignment horizontal="left" vertical="center" wrapText="1"/>
    </xf>
    <xf numFmtId="0" fontId="1" fillId="8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 wrapText="1"/>
    </xf>
    <xf numFmtId="0" fontId="7" fillId="10" borderId="1" pivotButton="0" quotePrefix="0" xfId="0"/>
    <xf numFmtId="0" fontId="0" fillId="11" borderId="1" pivotButton="0" quotePrefix="0" xfId="0"/>
    <xf numFmtId="0" fontId="5" fillId="0" borderId="0" applyAlignment="1" pivotButton="0" quotePrefix="0" xfId="0">
      <alignment horizontal="center" vertical="center"/>
    </xf>
    <xf numFmtId="0" fontId="8" fillId="11" borderId="1" pivotButton="0" quotePrefix="0" xfId="0"/>
    <xf numFmtId="0" fontId="9" fillId="0" borderId="0" applyAlignment="1" pivotButton="0" quotePrefix="0" xfId="0">
      <alignment horizontal="left" vertical="center"/>
    </xf>
    <xf numFmtId="0" fontId="10" fillId="2" borderId="1" applyAlignment="1" pivotButton="0" quotePrefix="0" xfId="0">
      <alignment horizontal="center" vertical="center" wrapText="1"/>
    </xf>
    <xf numFmtId="0" fontId="7" fillId="12" borderId="1" pivotButton="0" quotePrefix="0" xfId="0"/>
    <xf numFmtId="0" fontId="5" fillId="0" borderId="0" pivotButton="0" quotePrefix="0" xfId="0"/>
    <xf numFmtId="0" fontId="11" fillId="2" borderId="0" pivotButton="0" quotePrefix="0" xfId="0"/>
    <xf numFmtId="0" fontId="12" fillId="4" borderId="1" applyAlignment="1" pivotButton="0" quotePrefix="0" xfId="0">
      <alignment horizontal="center" vertical="center" wrapText="1"/>
    </xf>
    <xf numFmtId="0" fontId="8" fillId="0" borderId="1" pivotButton="0" quotePrefix="0" xfId="0"/>
    <xf numFmtId="0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0" fontId="4" fillId="4" borderId="1" pivotButton="0" quotePrefix="0" xfId="0"/>
    <xf numFmtId="0" fontId="4" fillId="4" borderId="1" applyAlignment="1" pivotButton="0" quotePrefix="0" xfId="0">
      <alignment horizontal="center"/>
    </xf>
    <xf numFmtId="164" fontId="4" fillId="4" borderId="1" applyAlignment="1" pivotButton="0" quotePrefix="0" xfId="0">
      <alignment horizontal="center"/>
    </xf>
    <xf numFmtId="0" fontId="11" fillId="13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1" fillId="14" borderId="1" applyAlignment="1" pivotButton="0" quotePrefix="0" xfId="0">
      <alignment horizontal="left" vertical="center"/>
    </xf>
    <xf numFmtId="0" fontId="4" fillId="0" borderId="0" pivotButton="0" quotePrefix="0" xfId="0"/>
    <xf numFmtId="0" fontId="11" fillId="2" borderId="1" applyAlignment="1" pivotButton="0" quotePrefix="0" xfId="0">
      <alignment horizontal="left" vertical="center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45" customWidth="1" min="2" max="2"/>
    <col width="70" customWidth="1" min="3" max="3"/>
  </cols>
  <sheetData>
    <row r="1" ht="40" customHeight="1">
      <c r="A1" s="1" t="inlineStr">
        <is>
          <t>ISMS-IMP-A.8.30.3  -  Security Testing and Acceptance
ISO/IEC 27001:2022 - Control A.8.30: Outsourced Development</t>
        </is>
      </c>
    </row>
    <row r="3">
      <c r="A3" s="2" t="inlineStr">
        <is>
          <t>Document Information</t>
        </is>
      </c>
    </row>
    <row r="4">
      <c r="A4" s="3" t="inlineStr">
        <is>
          <t>Document ID</t>
        </is>
      </c>
      <c r="B4" t="inlineStr">
        <is>
          <t>ISMS-IMP-A.8.30.3</t>
        </is>
      </c>
    </row>
    <row r="5">
      <c r="A5" s="3" t="inlineStr">
        <is>
          <t>Workbook Title</t>
        </is>
      </c>
      <c r="B5" t="inlineStr">
        <is>
          <t>Security Testing and Acceptance</t>
        </is>
      </c>
    </row>
    <row r="6">
      <c r="A6" s="3" t="inlineStr">
        <is>
          <t>Control Reference</t>
        </is>
      </c>
      <c r="B6" t="inlineStr">
        <is>
          <t>ISO/IEC 27001:2022 - Control A.8.30: Outsourced Development</t>
        </is>
      </c>
    </row>
    <row r="7">
      <c r="A7" s="3" t="inlineStr">
        <is>
          <t>Version</t>
        </is>
      </c>
      <c r="B7" t="inlineStr">
        <is>
          <t>1.0</t>
        </is>
      </c>
    </row>
    <row r="8">
      <c r="A8" s="3" t="inlineStr">
        <is>
          <t>Assessment Date</t>
        </is>
      </c>
      <c r="B8" s="4" t="inlineStr"/>
    </row>
    <row r="9">
      <c r="A9" s="3" t="inlineStr">
        <is>
          <t>Completed By</t>
        </is>
      </c>
      <c r="B9" s="4" t="inlineStr"/>
    </row>
    <row r="10">
      <c r="A10" s="3" t="inlineStr">
        <is>
          <t>Organisation</t>
        </is>
      </c>
      <c r="B10" s="4" t="inlineStr"/>
    </row>
    <row r="12">
      <c r="A12" s="2" t="inlineStr">
        <is>
          <t>Instructions</t>
        </is>
      </c>
    </row>
    <row r="13">
      <c r="A13" t="inlineStr">
        <is>
          <t>1. Complete all assessment sheets in order, starting with Deliverable Inventory.</t>
        </is>
      </c>
    </row>
    <row r="14">
      <c r="A14" t="inlineStr">
        <is>
          <t>2. Track code review results for each deliverable in Code Review Tracking.</t>
        </is>
      </c>
    </row>
    <row r="15">
      <c r="A15" t="inlineStr">
        <is>
          <t>3. Record SAST, DAST, SCA, and penetration test results in Security Testing.</t>
        </is>
      </c>
    </row>
    <row r="16">
      <c r="A16" t="inlineStr">
        <is>
          <t>4. Maintain SBOM records for all deliverables in SBOM Management.</t>
        </is>
      </c>
    </row>
    <row r="17">
      <c r="A17" t="inlineStr">
        <is>
          <t>5. Verify acceptance criteria and obtain sign-off in Acceptance Sign-off.</t>
        </is>
      </c>
    </row>
    <row r="18">
      <c r="A18" t="inlineStr">
        <is>
          <t>6. Record all supporting evidence in the Evidence Register sheet.</t>
        </is>
      </c>
    </row>
    <row r="19">
      <c r="A19" t="inlineStr">
        <is>
          <t>7. Use the Summary Dashboard to track overall compliance status.</t>
        </is>
      </c>
    </row>
    <row r="20">
      <c r="A20" t="inlineStr">
        <is>
          <t>8. All user-input cells are highlighted in yellow.</t>
        </is>
      </c>
    </row>
    <row r="21">
      <c r="A21" t="inlineStr">
        <is>
          <t>9. Submit the completed workbook for review and approval via the Approval Sign-Off sheet.</t>
        </is>
      </c>
    </row>
    <row r="22">
      <c r="A22" t="inlineStr">
        <is>
          <t>10. Retain this workbook as part of the ISMS evidence library.</t>
        </is>
      </c>
    </row>
    <row r="24">
      <c r="A24" s="2" t="inlineStr">
        <is>
          <t>Status Legend</t>
        </is>
      </c>
    </row>
    <row r="25">
      <c r="A25" s="5" t="inlineStr">
        <is>
          <t>Symbol</t>
        </is>
      </c>
      <c r="B25" s="5" t="inlineStr">
        <is>
          <t>Status</t>
        </is>
      </c>
      <c r="C25" s="5" t="inlineStr">
        <is>
          <t>Description</t>
        </is>
      </c>
    </row>
    <row r="26">
      <c r="A26" s="6" t="inlineStr">
        <is>
          <t>✓</t>
        </is>
      </c>
      <c r="B26" s="7" t="inlineStr">
        <is>
          <t>Compliant / Complete</t>
        </is>
      </c>
      <c r="C26" s="8" t="inlineStr">
        <is>
          <t>Requirement fully met</t>
        </is>
      </c>
    </row>
    <row r="27">
      <c r="A27" s="6" t="inlineStr">
        <is>
          <t>⚠</t>
        </is>
      </c>
      <c r="B27" s="9" t="inlineStr">
        <is>
          <t>Partial / In Progress</t>
        </is>
      </c>
      <c r="C27" s="8" t="inlineStr">
        <is>
          <t>Partially met or in progress</t>
        </is>
      </c>
    </row>
    <row r="28">
      <c r="A28" s="6" t="inlineStr">
        <is>
          <t>✗</t>
        </is>
      </c>
      <c r="B28" s="10" t="inlineStr">
        <is>
          <t>Non-Compliant / Not Started</t>
        </is>
      </c>
      <c r="C28" s="8" t="inlineStr">
        <is>
          <t>Requirement not met</t>
        </is>
      </c>
    </row>
    <row r="29">
      <c r="A29" s="6" t="inlineStr">
        <is>
          <t>—</t>
        </is>
      </c>
      <c r="B29" s="8" t="inlineStr">
        <is>
          <t>Not Applicable</t>
        </is>
      </c>
      <c r="C29" s="8" t="inlineStr">
        <is>
          <t>Not applicable to this assessment</t>
        </is>
      </c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35" customWidth="1" min="4" max="4"/>
    <col width="15" customWidth="1" min="5" max="5"/>
    <col width="18" customWidth="1" min="6" max="6"/>
    <col width="15" customWidth="1" min="7" max="7"/>
    <col width="15" customWidth="1" min="8" max="8"/>
    <col width="18" customWidth="1" min="9" max="9"/>
    <col width="18" customWidth="1" min="10" max="10"/>
    <col width="15" customWidth="1" min="11" max="11"/>
    <col width="15" customWidth="1" min="12" max="12"/>
    <col width="15" customWidth="1" min="13" max="13"/>
    <col width="20" customWidth="1" min="14" max="14"/>
  </cols>
  <sheetData>
    <row r="1" ht="35" customHeight="1">
      <c r="A1" s="11" t="inlineStr">
        <is>
          <t>DELIVERABLE INVENTORY</t>
        </is>
      </c>
    </row>
    <row r="2">
      <c r="A2" s="12" t="inlineStr">
        <is>
          <t>ISO/IEC 27001:2022 - Control A.8.30: Outsourced Development</t>
        </is>
      </c>
    </row>
    <row r="3">
      <c r="A3" s="13" t="inlineStr">
        <is>
          <t>Deliverable ID</t>
        </is>
      </c>
      <c r="B3" s="13" t="inlineStr">
        <is>
          <t>Contract ID</t>
        </is>
      </c>
      <c r="C3" s="13" t="inlineStr">
        <is>
          <t>Vendor ID</t>
        </is>
      </c>
      <c r="D3" s="13" t="inlineStr">
        <is>
          <t>Deliverable Name</t>
        </is>
      </c>
      <c r="E3" s="13" t="inlineStr">
        <is>
          <t>Deliverable Type</t>
        </is>
      </c>
      <c r="F3" s="13" t="inlineStr">
        <is>
          <t>Project Classification</t>
        </is>
      </c>
      <c r="G3" s="13" t="inlineStr">
        <is>
          <t>Planned Delivery</t>
        </is>
      </c>
      <c r="H3" s="13" t="inlineStr">
        <is>
          <t>Actual Delivery</t>
        </is>
      </c>
      <c r="I3" s="13" t="inlineStr">
        <is>
          <t>Code Review Status</t>
        </is>
      </c>
      <c r="J3" s="13" t="inlineStr">
        <is>
          <t>Security Test Status</t>
        </is>
      </c>
      <c r="K3" s="13" t="inlineStr">
        <is>
          <t>SBOM Received</t>
        </is>
      </c>
      <c r="L3" s="13" t="inlineStr">
        <is>
          <t>Acceptance Status</t>
        </is>
      </c>
      <c r="M3" s="13" t="inlineStr">
        <is>
          <t>Acceptance Date</t>
        </is>
      </c>
      <c r="N3" s="13" t="inlineStr">
        <is>
          <t>Accepted By</t>
        </is>
      </c>
    </row>
    <row r="4">
      <c r="A4" s="14" t="inlineStr">
        <is>
          <t>DEL-001</t>
        </is>
      </c>
      <c r="B4" s="14" t="inlineStr">
        <is>
          <t>CONT-001</t>
        </is>
      </c>
      <c r="C4" s="14" t="inlineStr">
        <is>
          <t>VEND-001</t>
        </is>
      </c>
      <c r="D4" s="14" t="inlineStr">
        <is>
          <t>Customer Portal v2.0</t>
        </is>
      </c>
      <c r="E4" s="14" t="inlineStr">
        <is>
          <t>Application</t>
        </is>
      </c>
      <c r="F4" s="14" t="inlineStr">
        <is>
          <t>Critical</t>
        </is>
      </c>
      <c r="G4" s="14" t="inlineStr">
        <is>
          <t>30.11.2024</t>
        </is>
      </c>
      <c r="H4" s="14" t="inlineStr">
        <is>
          <t>28.11.2024</t>
        </is>
      </c>
      <c r="I4" s="14" t="inlineStr">
        <is>
          <t>Complete</t>
        </is>
      </c>
      <c r="J4" s="14" t="inlineStr">
        <is>
          <t>Complete</t>
        </is>
      </c>
      <c r="K4" s="14" t="inlineStr">
        <is>
          <t>Yes</t>
        </is>
      </c>
      <c r="L4" s="14" t="inlineStr">
        <is>
          <t>Accepted</t>
        </is>
      </c>
      <c r="M4" s="14" t="inlineStr">
        <is>
          <t>28.11.2024</t>
        </is>
      </c>
      <c r="N4" s="14" t="inlineStr">
        <is>
          <t>Security Team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  <c r="L5" s="15" t="n"/>
      <c r="M5" s="15" t="n"/>
      <c r="N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  <c r="L6" s="15" t="n"/>
      <c r="M6" s="15" t="n"/>
      <c r="N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  <c r="M8" s="15" t="n"/>
      <c r="N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5" t="n"/>
      <c r="N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  <c r="N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  <c r="J26" s="15" t="n"/>
      <c r="K26" s="15" t="n"/>
      <c r="L26" s="15" t="n"/>
      <c r="M26" s="15" t="n"/>
      <c r="N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  <c r="K27" s="15" t="n"/>
      <c r="L27" s="15" t="n"/>
      <c r="M27" s="15" t="n"/>
      <c r="N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  <c r="I29" s="15" t="n"/>
      <c r="J29" s="15" t="n"/>
      <c r="K29" s="15" t="n"/>
      <c r="L29" s="15" t="n"/>
      <c r="M29" s="15" t="n"/>
      <c r="N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  <c r="I47" s="15" t="n"/>
      <c r="J47" s="15" t="n"/>
      <c r="K47" s="15" t="n"/>
      <c r="L47" s="15" t="n"/>
      <c r="M47" s="15" t="n"/>
      <c r="N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  <c r="I50" s="15" t="n"/>
      <c r="J50" s="15" t="n"/>
      <c r="K50" s="15" t="n"/>
      <c r="L50" s="15" t="n"/>
      <c r="M50" s="15" t="n"/>
      <c r="N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  <c r="I51" s="15" t="n"/>
      <c r="J51" s="15" t="n"/>
      <c r="K51" s="15" t="n"/>
      <c r="L51" s="15" t="n"/>
      <c r="M51" s="15" t="n"/>
      <c r="N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  <c r="I53" s="15" t="n"/>
      <c r="J53" s="15" t="n"/>
      <c r="K53" s="15" t="n"/>
      <c r="L53" s="15" t="n"/>
      <c r="M53" s="15" t="n"/>
      <c r="N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  <c r="I54" s="15" t="n"/>
      <c r="J54" s="15" t="n"/>
      <c r="K54" s="15" t="n"/>
      <c r="L54" s="15" t="n"/>
      <c r="M54" s="15" t="n"/>
      <c r="N54" s="15" t="n"/>
    </row>
  </sheetData>
  <mergeCells count="2">
    <mergeCell ref="A2:N2"/>
    <mergeCell ref="A1:N1"/>
  </mergeCells>
  <dataValidations count="6">
    <dataValidation sqref="E4:E102" showDropDown="0" showInputMessage="0" showErrorMessage="0" allowBlank="0" type="list">
      <formula1>"Application,Module,Component,Library,API"</formula1>
    </dataValidation>
    <dataValidation sqref="F4:F102" showDropDown="0" showInputMessage="0" showErrorMessage="0" allowBlank="0" type="list">
      <formula1>"Critical,High,Standard"</formula1>
    </dataValidation>
    <dataValidation sqref="I4:I102" showDropDown="0" showInputMessage="0" showErrorMessage="0" allowBlank="0" type="list">
      <formula1>"Pending,In Progress,Complete,N/A"</formula1>
    </dataValidation>
    <dataValidation sqref="J4:J102" showDropDown="0" showInputMessage="0" showErrorMessage="0" allowBlank="0" type="list">
      <formula1>"Pending,In Progress,Complete"</formula1>
    </dataValidation>
    <dataValidation sqref="K4:K102" showDropDown="0" showInputMessage="0" showErrorMessage="0" allowBlank="0" type="list">
      <formula1>"Yes,No,N/A"</formula1>
    </dataValidation>
    <dataValidation sqref="L4:L102" showDropDown="0" showInputMessage="0" showErrorMessage="0" allowBlank="0" type="list">
      <formula1>"Pending,Accepted,Rejected,Conditional"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18" customWidth="1" min="3" max="3"/>
    <col width="12" customWidth="1" min="4" max="4"/>
    <col width="20" customWidth="1" min="5" max="5"/>
    <col width="18" customWidth="1" min="6" max="6"/>
    <col width="15" customWidth="1" min="7" max="7"/>
    <col width="15" customWidth="1" min="8" max="8"/>
    <col width="15" customWidth="1" min="9" max="9"/>
    <col width="12" customWidth="1" min="10" max="10"/>
    <col width="15" customWidth="1" min="11" max="11"/>
    <col width="12" customWidth="1" min="12" max="12"/>
    <col width="20" customWidth="1" min="13" max="13"/>
    <col width="35" customWidth="1" min="14" max="14"/>
    <col width="30" customWidth="1" min="15" max="15"/>
  </cols>
  <sheetData>
    <row r="1" ht="35" customHeight="1">
      <c r="A1" s="11" t="inlineStr">
        <is>
          <t>CODE REVIEW TRACKING</t>
        </is>
      </c>
    </row>
    <row r="2">
      <c r="A2" s="12" t="inlineStr">
        <is>
          <t>ISO/IEC 27001:2022 - Control A.8.30: Outsourced Development</t>
        </is>
      </c>
    </row>
    <row r="3">
      <c r="A3" s="13" t="inlineStr">
        <is>
          <t>Review ID</t>
        </is>
      </c>
      <c r="B3" s="13" t="inlineStr">
        <is>
          <t>Deliverable ID</t>
        </is>
      </c>
      <c r="C3" s="13" t="inlineStr">
        <is>
          <t>Review Type</t>
        </is>
      </c>
      <c r="D3" s="13" t="inlineStr">
        <is>
          <t>Review Date</t>
        </is>
      </c>
      <c r="E3" s="13" t="inlineStr">
        <is>
          <t>Reviewer</t>
        </is>
      </c>
      <c r="F3" s="13" t="inlineStr">
        <is>
          <t>Reviewer Role</t>
        </is>
      </c>
      <c r="G3" s="13" t="inlineStr">
        <is>
          <t>Files Reviewed</t>
        </is>
      </c>
      <c r="H3" s="13" t="inlineStr">
        <is>
          <t>Security Findings</t>
        </is>
      </c>
      <c r="I3" s="13" t="inlineStr">
        <is>
          <t>Critical Findings</t>
        </is>
      </c>
      <c r="J3" s="13" t="inlineStr">
        <is>
          <t>High Findings</t>
        </is>
      </c>
      <c r="K3" s="13" t="inlineStr">
        <is>
          <t>Medium Findings</t>
        </is>
      </c>
      <c r="L3" s="13" t="inlineStr">
        <is>
          <t>Low Findings</t>
        </is>
      </c>
      <c r="M3" s="13" t="inlineStr">
        <is>
          <t>Review Result</t>
        </is>
      </c>
      <c r="N3" s="13" t="inlineStr">
        <is>
          <t>Findings Reference</t>
        </is>
      </c>
      <c r="O3" s="13" t="inlineStr">
        <is>
          <t>Notes</t>
        </is>
      </c>
    </row>
    <row r="4">
      <c r="A4" s="14" t="inlineStr">
        <is>
          <t>REV-001</t>
        </is>
      </c>
      <c r="B4" s="14" t="inlineStr">
        <is>
          <t>DEL-001</t>
        </is>
      </c>
      <c r="C4" s="14" t="inlineStr">
        <is>
          <t>Security Review</t>
        </is>
      </c>
      <c r="D4" s="14" t="inlineStr">
        <is>
          <t>25.11.2024</t>
        </is>
      </c>
      <c r="E4" s="14" t="inlineStr">
        <is>
          <t>Jane Smith</t>
        </is>
      </c>
      <c r="F4" s="14" t="inlineStr">
        <is>
          <t>Security Team</t>
        </is>
      </c>
      <c r="G4" s="14" t="inlineStr">
        <is>
          <t>45</t>
        </is>
      </c>
      <c r="H4" s="14" t="inlineStr">
        <is>
          <t>12</t>
        </is>
      </c>
      <c r="I4" s="14" t="inlineStr">
        <is>
          <t>3</t>
        </is>
      </c>
      <c r="J4" s="14" t="inlineStr">
        <is>
          <t>6</t>
        </is>
      </c>
      <c r="K4" s="14" t="inlineStr">
        <is>
          <t>2</t>
        </is>
      </c>
      <c r="L4" s="14" t="inlineStr">
        <is>
          <t>1</t>
        </is>
      </c>
      <c r="M4" s="14" t="inlineStr">
        <is>
          <t>Approved with Findings</t>
        </is>
      </c>
      <c r="N4" s="14" t="inlineStr">
        <is>
          <t>SharePoint/Reviews/REV-001.pdf</t>
        </is>
      </c>
      <c r="O4" s="14" t="inlineStr">
        <is>
          <t>Minor issues documented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  <c r="L5" s="15" t="n"/>
      <c r="M5" s="15" t="n"/>
      <c r="N5" s="15" t="n"/>
      <c r="O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  <c r="L6" s="15" t="n"/>
      <c r="M6" s="15" t="n"/>
      <c r="N6" s="15" t="n"/>
      <c r="O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  <c r="M8" s="15" t="n"/>
      <c r="N8" s="15" t="n"/>
      <c r="O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  <c r="O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5" t="n"/>
      <c r="N12" s="15" t="n"/>
      <c r="O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  <c r="N14" s="15" t="n"/>
      <c r="O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  <c r="J26" s="15" t="n"/>
      <c r="K26" s="15" t="n"/>
      <c r="L26" s="15" t="n"/>
      <c r="M26" s="15" t="n"/>
      <c r="N26" s="15" t="n"/>
      <c r="O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  <c r="K27" s="15" t="n"/>
      <c r="L27" s="15" t="n"/>
      <c r="M27" s="15" t="n"/>
      <c r="N27" s="15" t="n"/>
      <c r="O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  <c r="I29" s="15" t="n"/>
      <c r="J29" s="15" t="n"/>
      <c r="K29" s="15" t="n"/>
      <c r="L29" s="15" t="n"/>
      <c r="M29" s="15" t="n"/>
      <c r="N29" s="15" t="n"/>
      <c r="O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  <c r="O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  <c r="O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  <c r="I47" s="15" t="n"/>
      <c r="J47" s="15" t="n"/>
      <c r="K47" s="15" t="n"/>
      <c r="L47" s="15" t="n"/>
      <c r="M47" s="15" t="n"/>
      <c r="N47" s="15" t="n"/>
      <c r="O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  <c r="O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  <c r="I50" s="15" t="n"/>
      <c r="J50" s="15" t="n"/>
      <c r="K50" s="15" t="n"/>
      <c r="L50" s="15" t="n"/>
      <c r="M50" s="15" t="n"/>
      <c r="N50" s="15" t="n"/>
      <c r="O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  <c r="I51" s="15" t="n"/>
      <c r="J51" s="15" t="n"/>
      <c r="K51" s="15" t="n"/>
      <c r="L51" s="15" t="n"/>
      <c r="M51" s="15" t="n"/>
      <c r="N51" s="15" t="n"/>
      <c r="O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  <c r="I53" s="15" t="n"/>
      <c r="J53" s="15" t="n"/>
      <c r="K53" s="15" t="n"/>
      <c r="L53" s="15" t="n"/>
      <c r="M53" s="15" t="n"/>
      <c r="N53" s="15" t="n"/>
      <c r="O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  <c r="I54" s="15" t="n"/>
      <c r="J54" s="15" t="n"/>
      <c r="K54" s="15" t="n"/>
      <c r="L54" s="15" t="n"/>
      <c r="M54" s="15" t="n"/>
      <c r="N54" s="15" t="n"/>
      <c r="O54" s="15" t="n"/>
    </row>
  </sheetData>
  <mergeCells count="2">
    <mergeCell ref="A1:O1"/>
    <mergeCell ref="A2:O2"/>
  </mergeCells>
  <dataValidations count="3">
    <dataValidation sqref="C4:C102" showDropDown="0" showInputMessage="0" showErrorMessage="0" allowBlank="0" type="list">
      <formula1>"Peer Review,Security Review,Architecture Review"</formula1>
    </dataValidation>
    <dataValidation sqref="F4:F102" showDropDown="0" showInputMessage="0" showErrorMessage="0" allowBlank="0" type="list">
      <formula1>"Developer,Security Team,Security Architect"</formula1>
    </dataValidation>
    <dataValidation sqref="M4:M102" showDropDown="0" showInputMessage="0" showErrorMessage="0" allowBlank="0" type="list">
      <formula1>"Approved,Approved with Findings,Rejected"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5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15" customWidth="1" min="3" max="3"/>
    <col width="20" customWidth="1" min="4" max="4"/>
    <col width="12" customWidth="1" min="5" max="5"/>
    <col width="20" customWidth="1" min="6" max="6"/>
    <col width="30" customWidth="1" min="7" max="7"/>
    <col width="12" customWidth="1" min="8" max="8"/>
    <col width="12" customWidth="1" min="9" max="9"/>
    <col width="12" customWidth="1" min="10" max="10"/>
    <col width="12" customWidth="1" min="11" max="11"/>
    <col width="10" customWidth="1" min="12" max="12"/>
    <col width="12" customWidth="1" min="13" max="13"/>
    <col width="15" customWidth="1" min="14" max="14"/>
    <col width="15" customWidth="1" min="15" max="15"/>
    <col width="35" customWidth="1" min="16" max="16"/>
    <col width="12" customWidth="1" min="17" max="17"/>
    <col width="12" customWidth="1" min="18" max="18"/>
    <col width="12" customWidth="1" min="19" max="19"/>
  </cols>
  <sheetData>
    <row r="1" ht="35" customHeight="1">
      <c r="A1" s="11" t="inlineStr">
        <is>
          <t>SECURITY TESTING</t>
        </is>
      </c>
    </row>
    <row r="2">
      <c r="A2" s="12" t="inlineStr">
        <is>
          <t>ISO/IEC 27001:2022 - Control A.8.30: Outsourced Development</t>
        </is>
      </c>
    </row>
    <row r="3">
      <c r="A3" s="13" t="inlineStr">
        <is>
          <t>Test ID</t>
        </is>
      </c>
      <c r="B3" s="13" t="inlineStr">
        <is>
          <t>Deliverable ID</t>
        </is>
      </c>
      <c r="C3" s="13" t="inlineStr">
        <is>
          <t>Test Type</t>
        </is>
      </c>
      <c r="D3" s="13" t="inlineStr">
        <is>
          <t>Test Tool</t>
        </is>
      </c>
      <c r="E3" s="13" t="inlineStr">
        <is>
          <t>Test Date</t>
        </is>
      </c>
      <c r="F3" s="13" t="inlineStr">
        <is>
          <t>Tester</t>
        </is>
      </c>
      <c r="G3" s="13" t="inlineStr">
        <is>
          <t>Scope</t>
        </is>
      </c>
      <c r="H3" s="13" t="inlineStr">
        <is>
          <t>Total Findings</t>
        </is>
      </c>
      <c r="I3" s="13" t="inlineStr">
        <is>
          <t>Critical Findings</t>
        </is>
      </c>
      <c r="J3" s="13" t="inlineStr">
        <is>
          <t>High Findings</t>
        </is>
      </c>
      <c r="K3" s="13" t="inlineStr">
        <is>
          <t>Medium Findings</t>
        </is>
      </c>
      <c r="L3" s="13" t="inlineStr">
        <is>
          <t>Low Findings</t>
        </is>
      </c>
      <c r="M3" s="13" t="inlineStr">
        <is>
          <t>False Positives</t>
        </is>
      </c>
      <c r="N3" s="13" t="inlineStr">
        <is>
          <t>Findings Remediated</t>
        </is>
      </c>
      <c r="O3" s="13" t="inlineStr">
        <is>
          <t>Findings Outstanding</t>
        </is>
      </c>
      <c r="P3" s="13" t="inlineStr">
        <is>
          <t>Report Reference</t>
        </is>
      </c>
      <c r="Q3" s="13" t="inlineStr">
        <is>
          <t>Retest Required</t>
        </is>
      </c>
      <c r="R3" s="13" t="inlineStr">
        <is>
          <t>Retest Date</t>
        </is>
      </c>
      <c r="S3" s="13" t="inlineStr">
        <is>
          <t>Retest Status</t>
        </is>
      </c>
    </row>
    <row r="4">
      <c r="A4" s="14" t="inlineStr">
        <is>
          <t>TEST-001</t>
        </is>
      </c>
      <c r="B4" s="14" t="inlineStr">
        <is>
          <t>DEL-001</t>
        </is>
      </c>
      <c r="C4" s="14" t="inlineStr">
        <is>
          <t>SAST</t>
        </is>
      </c>
      <c r="D4" s="14" t="inlineStr">
        <is>
          <t>SonarQube</t>
        </is>
      </c>
      <c r="E4" s="14" t="inlineStr">
        <is>
          <t>26.11.2024</t>
        </is>
      </c>
      <c r="F4" s="14" t="inlineStr">
        <is>
          <t>Security Team</t>
        </is>
      </c>
      <c r="G4" s="14" t="inlineStr">
        <is>
          <t>Full application scan</t>
        </is>
      </c>
      <c r="H4" s="14" t="inlineStr">
        <is>
          <t>45</t>
        </is>
      </c>
      <c r="I4" s="14" t="inlineStr">
        <is>
          <t>3</t>
        </is>
      </c>
      <c r="J4" s="14" t="inlineStr">
        <is>
          <t>12</t>
        </is>
      </c>
      <c r="K4" s="14" t="inlineStr">
        <is>
          <t>18</t>
        </is>
      </c>
      <c r="L4" s="14" t="inlineStr">
        <is>
          <t>12</t>
        </is>
      </c>
      <c r="M4" s="14" t="inlineStr">
        <is>
          <t>8</t>
        </is>
      </c>
      <c r="N4" s="14" t="inlineStr">
        <is>
          <t>42</t>
        </is>
      </c>
      <c r="O4" s="14" t="inlineStr">
        <is>
          <t>3</t>
        </is>
      </c>
      <c r="P4" s="14" t="inlineStr">
        <is>
          <t>SharePoint/Testing/SAST-001.pdf</t>
        </is>
      </c>
      <c r="Q4" s="14" t="inlineStr">
        <is>
          <t>Yes</t>
        </is>
      </c>
      <c r="R4" s="14" t="inlineStr">
        <is>
          <t>02.12.2024</t>
        </is>
      </c>
      <c r="S4" s="14" t="inlineStr">
        <is>
          <t>Passed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  <c r="L5" s="15" t="n"/>
      <c r="M5" s="15" t="n"/>
      <c r="N5" s="15" t="n"/>
      <c r="O5" s="15" t="n"/>
      <c r="P5" s="15" t="n"/>
      <c r="Q5" s="15" t="n"/>
      <c r="R5" s="15" t="n"/>
      <c r="S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  <c r="L6" s="15" t="n"/>
      <c r="M6" s="15" t="n"/>
      <c r="N6" s="15" t="n"/>
      <c r="O6" s="15" t="n"/>
      <c r="P6" s="15" t="n"/>
      <c r="Q6" s="15" t="n"/>
      <c r="R6" s="15" t="n"/>
      <c r="S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  <c r="P7" s="15" t="n"/>
      <c r="Q7" s="15" t="n"/>
      <c r="R7" s="15" t="n"/>
      <c r="S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  <c r="M8" s="15" t="n"/>
      <c r="N8" s="15" t="n"/>
      <c r="O8" s="15" t="n"/>
      <c r="P8" s="15" t="n"/>
      <c r="Q8" s="15" t="n"/>
      <c r="R8" s="15" t="n"/>
      <c r="S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  <c r="O9" s="15" t="n"/>
      <c r="P9" s="15" t="n"/>
      <c r="Q9" s="15" t="n"/>
      <c r="R9" s="15" t="n"/>
      <c r="S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  <c r="P10" s="15" t="n"/>
      <c r="Q10" s="15" t="n"/>
      <c r="R10" s="15" t="n"/>
      <c r="S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  <c r="R11" s="15" t="n"/>
      <c r="S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5" t="n"/>
      <c r="N12" s="15" t="n"/>
      <c r="O12" s="15" t="n"/>
      <c r="P12" s="15" t="n"/>
      <c r="Q12" s="15" t="n"/>
      <c r="R12" s="15" t="n"/>
      <c r="S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  <c r="N14" s="15" t="n"/>
      <c r="O14" s="15" t="n"/>
      <c r="P14" s="15" t="n"/>
      <c r="Q14" s="15" t="n"/>
      <c r="R14" s="15" t="n"/>
      <c r="S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  <c r="R15" s="15" t="n"/>
      <c r="S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5" t="n"/>
      <c r="Q16" s="15" t="n"/>
      <c r="R16" s="15" t="n"/>
      <c r="S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  <c r="R17" s="15" t="n"/>
      <c r="S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  <c r="R18" s="15" t="n"/>
      <c r="S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  <c r="R23" s="15" t="n"/>
      <c r="S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  <c r="P24" s="15" t="n"/>
      <c r="Q24" s="15" t="n"/>
      <c r="R24" s="15" t="n"/>
      <c r="S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  <c r="R25" s="15" t="n"/>
      <c r="S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  <c r="J26" s="15" t="n"/>
      <c r="K26" s="15" t="n"/>
      <c r="L26" s="15" t="n"/>
      <c r="M26" s="15" t="n"/>
      <c r="N26" s="15" t="n"/>
      <c r="O26" s="15" t="n"/>
      <c r="P26" s="15" t="n"/>
      <c r="Q26" s="15" t="n"/>
      <c r="R26" s="15" t="n"/>
      <c r="S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  <c r="K27" s="15" t="n"/>
      <c r="L27" s="15" t="n"/>
      <c r="M27" s="15" t="n"/>
      <c r="N27" s="15" t="n"/>
      <c r="O27" s="15" t="n"/>
      <c r="P27" s="15" t="n"/>
      <c r="Q27" s="15" t="n"/>
      <c r="R27" s="15" t="n"/>
      <c r="S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  <c r="P28" s="15" t="n"/>
      <c r="Q28" s="15" t="n"/>
      <c r="R28" s="15" t="n"/>
      <c r="S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  <c r="I29" s="15" t="n"/>
      <c r="J29" s="15" t="n"/>
      <c r="K29" s="15" t="n"/>
      <c r="L29" s="15" t="n"/>
      <c r="M29" s="15" t="n"/>
      <c r="N29" s="15" t="n"/>
      <c r="O29" s="15" t="n"/>
      <c r="P29" s="15" t="n"/>
      <c r="Q29" s="15" t="n"/>
      <c r="R29" s="15" t="n"/>
      <c r="S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5" t="n"/>
      <c r="P30" s="15" t="n"/>
      <c r="Q30" s="15" t="n"/>
      <c r="R30" s="15" t="n"/>
      <c r="S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  <c r="P31" s="15" t="n"/>
      <c r="Q31" s="15" t="n"/>
      <c r="R31" s="15" t="n"/>
      <c r="S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  <c r="O32" s="15" t="n"/>
      <c r="P32" s="15" t="n"/>
      <c r="Q32" s="15" t="n"/>
      <c r="R32" s="15" t="n"/>
      <c r="S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5" t="n"/>
      <c r="P33" s="15" t="n"/>
      <c r="Q33" s="15" t="n"/>
      <c r="R33" s="15" t="n"/>
      <c r="S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  <c r="P34" s="15" t="n"/>
      <c r="Q34" s="15" t="n"/>
      <c r="R34" s="15" t="n"/>
      <c r="S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5" t="n"/>
      <c r="P35" s="15" t="n"/>
      <c r="Q35" s="15" t="n"/>
      <c r="R35" s="15" t="n"/>
      <c r="S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5" t="n"/>
      <c r="P36" s="15" t="n"/>
      <c r="Q36" s="15" t="n"/>
      <c r="R36" s="15" t="n"/>
      <c r="S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  <c r="P37" s="15" t="n"/>
      <c r="Q37" s="15" t="n"/>
      <c r="R37" s="15" t="n"/>
      <c r="S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5" t="n"/>
      <c r="P38" s="15" t="n"/>
      <c r="Q38" s="15" t="n"/>
      <c r="R38" s="15" t="n"/>
      <c r="S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5" t="n"/>
      <c r="P39" s="15" t="n"/>
      <c r="Q39" s="15" t="n"/>
      <c r="R39" s="15" t="n"/>
      <c r="S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  <c r="P40" s="15" t="n"/>
      <c r="Q40" s="15" t="n"/>
      <c r="R40" s="15" t="n"/>
      <c r="S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5" t="n"/>
      <c r="P41" s="15" t="n"/>
      <c r="Q41" s="15" t="n"/>
      <c r="R41" s="15" t="n"/>
      <c r="S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5" t="n"/>
      <c r="P42" s="15" t="n"/>
      <c r="Q42" s="15" t="n"/>
      <c r="R42" s="15" t="n"/>
      <c r="S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  <c r="P43" s="15" t="n"/>
      <c r="Q43" s="15" t="n"/>
      <c r="R43" s="15" t="n"/>
      <c r="S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  <c r="O44" s="15" t="n"/>
      <c r="P44" s="15" t="n"/>
      <c r="Q44" s="15" t="n"/>
      <c r="R44" s="15" t="n"/>
      <c r="S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5" t="n"/>
      <c r="P45" s="15" t="n"/>
      <c r="Q45" s="15" t="n"/>
      <c r="R45" s="15" t="n"/>
      <c r="S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  <c r="P46" s="15" t="n"/>
      <c r="Q46" s="15" t="n"/>
      <c r="R46" s="15" t="n"/>
      <c r="S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  <c r="I47" s="15" t="n"/>
      <c r="J47" s="15" t="n"/>
      <c r="K47" s="15" t="n"/>
      <c r="L47" s="15" t="n"/>
      <c r="M47" s="15" t="n"/>
      <c r="N47" s="15" t="n"/>
      <c r="O47" s="15" t="n"/>
      <c r="P47" s="15" t="n"/>
      <c r="Q47" s="15" t="n"/>
      <c r="R47" s="15" t="n"/>
      <c r="S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  <c r="O48" s="15" t="n"/>
      <c r="P48" s="15" t="n"/>
      <c r="Q48" s="15" t="n"/>
      <c r="R48" s="15" t="n"/>
      <c r="S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  <c r="P49" s="15" t="n"/>
      <c r="Q49" s="15" t="n"/>
      <c r="R49" s="15" t="n"/>
      <c r="S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  <c r="I50" s="15" t="n"/>
      <c r="J50" s="15" t="n"/>
      <c r="K50" s="15" t="n"/>
      <c r="L50" s="15" t="n"/>
      <c r="M50" s="15" t="n"/>
      <c r="N50" s="15" t="n"/>
      <c r="O50" s="15" t="n"/>
      <c r="P50" s="15" t="n"/>
      <c r="Q50" s="15" t="n"/>
      <c r="R50" s="15" t="n"/>
      <c r="S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  <c r="I51" s="15" t="n"/>
      <c r="J51" s="15" t="n"/>
      <c r="K51" s="15" t="n"/>
      <c r="L51" s="15" t="n"/>
      <c r="M51" s="15" t="n"/>
      <c r="N51" s="15" t="n"/>
      <c r="O51" s="15" t="n"/>
      <c r="P51" s="15" t="n"/>
      <c r="Q51" s="15" t="n"/>
      <c r="R51" s="15" t="n"/>
      <c r="S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  <c r="P52" s="15" t="n"/>
      <c r="Q52" s="15" t="n"/>
      <c r="R52" s="15" t="n"/>
      <c r="S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  <c r="I53" s="15" t="n"/>
      <c r="J53" s="15" t="n"/>
      <c r="K53" s="15" t="n"/>
      <c r="L53" s="15" t="n"/>
      <c r="M53" s="15" t="n"/>
      <c r="N53" s="15" t="n"/>
      <c r="O53" s="15" t="n"/>
      <c r="P53" s="15" t="n"/>
      <c r="Q53" s="15" t="n"/>
      <c r="R53" s="15" t="n"/>
      <c r="S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  <c r="I54" s="15" t="n"/>
      <c r="J54" s="15" t="n"/>
      <c r="K54" s="15" t="n"/>
      <c r="L54" s="15" t="n"/>
      <c r="M54" s="15" t="n"/>
      <c r="N54" s="15" t="n"/>
      <c r="O54" s="15" t="n"/>
      <c r="P54" s="15" t="n"/>
      <c r="Q54" s="15" t="n"/>
      <c r="R54" s="15" t="n"/>
      <c r="S54" s="15" t="n"/>
    </row>
  </sheetData>
  <mergeCells count="2">
    <mergeCell ref="A2:S2"/>
    <mergeCell ref="A1:S1"/>
  </mergeCells>
  <dataValidations count="3">
    <dataValidation sqref="C4:C102" showDropDown="0" showInputMessage="0" showErrorMessage="0" allowBlank="0" type="list">
      <formula1>"SAST,DAST,SCA,Penetration Test,Manual Review"</formula1>
    </dataValidation>
    <dataValidation sqref="Q4:Q102" showDropDown="0" showInputMessage="0" showErrorMessage="0" allowBlank="0" type="list">
      <formula1>"Yes,No"</formula1>
    </dataValidation>
    <dataValidation sqref="S4:S102" showDropDown="0" showInputMessage="0" showErrorMessage="0" allowBlank="0" type="list">
      <formula1>"Pending,Passed,Failed,N/A"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2" customWidth="1" min="4" max="4"/>
    <col width="15" customWidth="1" min="5" max="5"/>
    <col width="18" customWidth="1" min="6" max="6"/>
    <col width="20" customWidth="1" min="7" max="7"/>
    <col width="18" customWidth="1" min="8" max="8"/>
    <col width="12" customWidth="1" min="9" max="9"/>
    <col width="12" customWidth="1" min="10" max="10"/>
    <col width="12" customWidth="1" min="11" max="11"/>
    <col width="18" customWidth="1" min="12" max="12"/>
    <col width="12" customWidth="1" min="13" max="13"/>
    <col width="20" customWidth="1" min="14" max="14"/>
    <col width="12" customWidth="1" min="15" max="15"/>
    <col width="35" customWidth="1" min="16" max="16"/>
    <col width="40" customWidth="1" min="17" max="17"/>
  </cols>
  <sheetData>
    <row r="1" ht="35" customHeight="1">
      <c r="A1" s="11" t="inlineStr">
        <is>
          <t>SBOM MANAGEMENT</t>
        </is>
      </c>
    </row>
    <row r="2">
      <c r="A2" s="12" t="inlineStr">
        <is>
          <t>ISO/IEC 27001:2022 - Control A.8.30: Outsourced Development</t>
        </is>
      </c>
    </row>
    <row r="3">
      <c r="A3" s="13" t="inlineStr">
        <is>
          <t>SBOM ID</t>
        </is>
      </c>
      <c r="B3" s="13" t="inlineStr">
        <is>
          <t>Deliverable ID</t>
        </is>
      </c>
      <c r="C3" s="13" t="inlineStr">
        <is>
          <t>SBOM Format</t>
        </is>
      </c>
      <c r="D3" s="13" t="inlineStr">
        <is>
          <t>SBOM Date</t>
        </is>
      </c>
      <c r="E3" s="13" t="inlineStr">
        <is>
          <t>Total Components</t>
        </is>
      </c>
      <c r="F3" s="13" t="inlineStr">
        <is>
          <t>Direct Dependencies</t>
        </is>
      </c>
      <c r="G3" s="13" t="inlineStr">
        <is>
          <t>Transitive Dependencies</t>
        </is>
      </c>
      <c r="H3" s="13" t="inlineStr">
        <is>
          <t>Known Vulnerabilities</t>
        </is>
      </c>
      <c r="I3" s="13" t="inlineStr">
        <is>
          <t>Critical Vulns</t>
        </is>
      </c>
      <c r="J3" s="13" t="inlineStr">
        <is>
          <t>High Vulns</t>
        </is>
      </c>
      <c r="K3" s="13" t="inlineStr">
        <is>
          <t>License Issues</t>
        </is>
      </c>
      <c r="L3" s="13" t="inlineStr">
        <is>
          <t>Outdated Components</t>
        </is>
      </c>
      <c r="M3" s="13" t="inlineStr">
        <is>
          <t>Review Status</t>
        </is>
      </c>
      <c r="N3" s="13" t="inlineStr">
        <is>
          <t>Reviewed By</t>
        </is>
      </c>
      <c r="O3" s="13" t="inlineStr">
        <is>
          <t>Review Date</t>
        </is>
      </c>
      <c r="P3" s="13" t="inlineStr">
        <is>
          <t>SBOM Reference</t>
        </is>
      </c>
      <c r="Q3" s="13" t="inlineStr">
        <is>
          <t>Action Plan</t>
        </is>
      </c>
    </row>
    <row r="4">
      <c r="A4" s="14" t="inlineStr">
        <is>
          <t>SBOM-001</t>
        </is>
      </c>
      <c r="B4" s="14" t="inlineStr">
        <is>
          <t>DEL-001</t>
        </is>
      </c>
      <c r="C4" s="14" t="inlineStr">
        <is>
          <t>CycloneDX</t>
        </is>
      </c>
      <c r="D4" s="14" t="inlineStr">
        <is>
          <t>27.11.2024</t>
        </is>
      </c>
      <c r="E4" s="14" t="inlineStr">
        <is>
          <t>156</t>
        </is>
      </c>
      <c r="F4" s="14" t="inlineStr">
        <is>
          <t>23</t>
        </is>
      </c>
      <c r="G4" s="14" t="inlineStr">
        <is>
          <t>133</t>
        </is>
      </c>
      <c r="H4" s="14" t="inlineStr">
        <is>
          <t>2</t>
        </is>
      </c>
      <c r="I4" s="14" t="inlineStr">
        <is>
          <t>0</t>
        </is>
      </c>
      <c r="J4" s="14" t="inlineStr">
        <is>
          <t>2</t>
        </is>
      </c>
      <c r="K4" s="14" t="inlineStr">
        <is>
          <t>0</t>
        </is>
      </c>
      <c r="L4" s="14" t="inlineStr">
        <is>
          <t>8</t>
        </is>
      </c>
      <c r="M4" s="14" t="inlineStr">
        <is>
          <t>Reviewed</t>
        </is>
      </c>
      <c r="N4" s="14" t="inlineStr">
        <is>
          <t>Security Team</t>
        </is>
      </c>
      <c r="O4" s="14" t="inlineStr">
        <is>
          <t>27.11.2024</t>
        </is>
      </c>
      <c r="P4" s="14" t="inlineStr">
        <is>
          <t>SharePoint/SBOMs/SBOM-001.json</t>
        </is>
      </c>
      <c r="Q4" s="14" t="inlineStr">
        <is>
          <t>2 high vulns flagged for remediation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  <c r="L5" s="15" t="n"/>
      <c r="M5" s="15" t="n"/>
      <c r="N5" s="15" t="n"/>
      <c r="O5" s="15" t="n"/>
      <c r="P5" s="15" t="n"/>
      <c r="Q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  <c r="L6" s="15" t="n"/>
      <c r="M6" s="15" t="n"/>
      <c r="N6" s="15" t="n"/>
      <c r="O6" s="15" t="n"/>
      <c r="P6" s="15" t="n"/>
      <c r="Q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  <c r="P7" s="15" t="n"/>
      <c r="Q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  <c r="M8" s="15" t="n"/>
      <c r="N8" s="15" t="n"/>
      <c r="O8" s="15" t="n"/>
      <c r="P8" s="15" t="n"/>
      <c r="Q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  <c r="O9" s="15" t="n"/>
      <c r="P9" s="15" t="n"/>
      <c r="Q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  <c r="P10" s="15" t="n"/>
      <c r="Q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5" t="n"/>
      <c r="N12" s="15" t="n"/>
      <c r="O12" s="15" t="n"/>
      <c r="P12" s="15" t="n"/>
      <c r="Q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  <c r="N14" s="15" t="n"/>
      <c r="O14" s="15" t="n"/>
      <c r="P14" s="15" t="n"/>
      <c r="Q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5" t="n"/>
      <c r="Q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  <c r="P24" s="15" t="n"/>
      <c r="Q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  <c r="J26" s="15" t="n"/>
      <c r="K26" s="15" t="n"/>
      <c r="L26" s="15" t="n"/>
      <c r="M26" s="15" t="n"/>
      <c r="N26" s="15" t="n"/>
      <c r="O26" s="15" t="n"/>
      <c r="P26" s="15" t="n"/>
      <c r="Q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  <c r="K27" s="15" t="n"/>
      <c r="L27" s="15" t="n"/>
      <c r="M27" s="15" t="n"/>
      <c r="N27" s="15" t="n"/>
      <c r="O27" s="15" t="n"/>
      <c r="P27" s="15" t="n"/>
      <c r="Q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  <c r="P28" s="15" t="n"/>
      <c r="Q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  <c r="I29" s="15" t="n"/>
      <c r="J29" s="15" t="n"/>
      <c r="K29" s="15" t="n"/>
      <c r="L29" s="15" t="n"/>
      <c r="M29" s="15" t="n"/>
      <c r="N29" s="15" t="n"/>
      <c r="O29" s="15" t="n"/>
      <c r="P29" s="15" t="n"/>
      <c r="Q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5" t="n"/>
      <c r="P30" s="15" t="n"/>
      <c r="Q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  <c r="P31" s="15" t="n"/>
      <c r="Q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  <c r="O32" s="15" t="n"/>
      <c r="P32" s="15" t="n"/>
      <c r="Q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5" t="n"/>
      <c r="P33" s="15" t="n"/>
      <c r="Q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  <c r="P34" s="15" t="n"/>
      <c r="Q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5" t="n"/>
      <c r="P35" s="15" t="n"/>
      <c r="Q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5" t="n"/>
      <c r="P36" s="15" t="n"/>
      <c r="Q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  <c r="P37" s="15" t="n"/>
      <c r="Q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5" t="n"/>
      <c r="P38" s="15" t="n"/>
      <c r="Q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5" t="n"/>
      <c r="P39" s="15" t="n"/>
      <c r="Q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  <c r="P40" s="15" t="n"/>
      <c r="Q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5" t="n"/>
      <c r="P41" s="15" t="n"/>
      <c r="Q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5" t="n"/>
      <c r="P42" s="15" t="n"/>
      <c r="Q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  <c r="P43" s="15" t="n"/>
      <c r="Q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  <c r="O44" s="15" t="n"/>
      <c r="P44" s="15" t="n"/>
      <c r="Q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5" t="n"/>
      <c r="P45" s="15" t="n"/>
      <c r="Q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  <c r="P46" s="15" t="n"/>
      <c r="Q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  <c r="I47" s="15" t="n"/>
      <c r="J47" s="15" t="n"/>
      <c r="K47" s="15" t="n"/>
      <c r="L47" s="15" t="n"/>
      <c r="M47" s="15" t="n"/>
      <c r="N47" s="15" t="n"/>
      <c r="O47" s="15" t="n"/>
      <c r="P47" s="15" t="n"/>
      <c r="Q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  <c r="O48" s="15" t="n"/>
      <c r="P48" s="15" t="n"/>
      <c r="Q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  <c r="P49" s="15" t="n"/>
      <c r="Q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  <c r="I50" s="15" t="n"/>
      <c r="J50" s="15" t="n"/>
      <c r="K50" s="15" t="n"/>
      <c r="L50" s="15" t="n"/>
      <c r="M50" s="15" t="n"/>
      <c r="N50" s="15" t="n"/>
      <c r="O50" s="15" t="n"/>
      <c r="P50" s="15" t="n"/>
      <c r="Q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  <c r="I51" s="15" t="n"/>
      <c r="J51" s="15" t="n"/>
      <c r="K51" s="15" t="n"/>
      <c r="L51" s="15" t="n"/>
      <c r="M51" s="15" t="n"/>
      <c r="N51" s="15" t="n"/>
      <c r="O51" s="15" t="n"/>
      <c r="P51" s="15" t="n"/>
      <c r="Q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  <c r="P52" s="15" t="n"/>
      <c r="Q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  <c r="I53" s="15" t="n"/>
      <c r="J53" s="15" t="n"/>
      <c r="K53" s="15" t="n"/>
      <c r="L53" s="15" t="n"/>
      <c r="M53" s="15" t="n"/>
      <c r="N53" s="15" t="n"/>
      <c r="O53" s="15" t="n"/>
      <c r="P53" s="15" t="n"/>
      <c r="Q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  <c r="I54" s="15" t="n"/>
      <c r="J54" s="15" t="n"/>
      <c r="K54" s="15" t="n"/>
      <c r="L54" s="15" t="n"/>
      <c r="M54" s="15" t="n"/>
      <c r="N54" s="15" t="n"/>
      <c r="O54" s="15" t="n"/>
      <c r="P54" s="15" t="n"/>
      <c r="Q54" s="15" t="n"/>
    </row>
  </sheetData>
  <mergeCells count="2">
    <mergeCell ref="A2:Q2"/>
    <mergeCell ref="A1:Q1"/>
  </mergeCells>
  <dataValidations count="2">
    <dataValidation sqref="C4:C102" showDropDown="0" showInputMessage="0" showErrorMessage="0" allowBlank="0" type="list">
      <formula1>"CycloneDX,SPDX,Spreadsheet,Other"</formula1>
    </dataValidation>
    <dataValidation sqref="M4:M102" showDropDown="0" showInputMessage="0" showErrorMessage="0" allowBlank="0" type="list">
      <formula1>"Pending,Reviewed,Accepted,Rejected"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18" customWidth="1" min="3" max="3"/>
    <col width="55" customWidth="1" min="4" max="4"/>
    <col width="10" customWidth="1" min="5" max="5"/>
    <col width="35" customWidth="1" min="6" max="6"/>
    <col width="20" customWidth="1" min="7" max="7"/>
    <col width="15" customWidth="1" min="8" max="8"/>
    <col width="35" customWidth="1" min="9" max="9"/>
    <col width="25" customWidth="1" min="10" max="10"/>
  </cols>
  <sheetData>
    <row r="1" ht="35" customHeight="1">
      <c r="A1" s="11" t="inlineStr">
        <is>
          <t>ACCEPTANCE SIGN-OFF</t>
        </is>
      </c>
    </row>
    <row r="2">
      <c r="A2" s="16" t="inlineStr">
        <is>
          <t>ISO/IEC 27001:2022 - Control A.8.30: Outsourced Development</t>
        </is>
      </c>
    </row>
    <row r="3">
      <c r="A3" s="13" t="inlineStr">
        <is>
          <t>Acceptance ID</t>
        </is>
      </c>
      <c r="B3" s="13" t="inlineStr">
        <is>
          <t>Deliverable ID</t>
        </is>
      </c>
      <c r="C3" s="13" t="inlineStr">
        <is>
          <t>Criteria Category</t>
        </is>
      </c>
      <c r="D3" s="13" t="inlineStr">
        <is>
          <t>Acceptance Criteria</t>
        </is>
      </c>
      <c r="E3" s="13" t="inlineStr">
        <is>
          <t>Status</t>
        </is>
      </c>
      <c r="F3" s="13" t="inlineStr">
        <is>
          <t>Evidence Reference</t>
        </is>
      </c>
      <c r="G3" s="13" t="inlineStr">
        <is>
          <t>Verified By</t>
        </is>
      </c>
      <c r="H3" s="13" t="inlineStr">
        <is>
          <t>Verification Date</t>
        </is>
      </c>
      <c r="I3" s="13" t="inlineStr">
        <is>
          <t>Waiver Reason</t>
        </is>
      </c>
      <c r="J3" s="13" t="inlineStr">
        <is>
          <t>Waiver Approver</t>
        </is>
      </c>
    </row>
    <row r="4">
      <c r="A4" s="14" t="inlineStr">
        <is>
          <t>ACC-001</t>
        </is>
      </c>
      <c r="B4" s="14" t="inlineStr">
        <is>
          <t>[Deliverable ID]</t>
        </is>
      </c>
      <c r="C4" s="14" t="inlineStr">
        <is>
          <t>Security</t>
        </is>
      </c>
      <c r="D4" s="14" t="inlineStr">
        <is>
          <t>Code review completed with no unresolved Critical/High findings</t>
        </is>
      </c>
      <c r="E4" s="14" t="inlineStr">
        <is>
          <t>Met</t>
        </is>
      </c>
      <c r="F4" s="14" t="inlineStr">
        <is>
          <t>Code Review Report</t>
        </is>
      </c>
      <c r="G4" s="14" t="inlineStr">
        <is>
          <t>SharePoint/Deliverables/DEL-001/CodeReview.pdf</t>
        </is>
      </c>
      <c r="H4" s="14" t="inlineStr">
        <is>
          <t>Security Team</t>
        </is>
      </c>
      <c r="I4" s="14" t="inlineStr">
        <is>
          <t>26.11.2024</t>
        </is>
      </c>
      <c r="J4" s="14" t="inlineStr">
        <is>
          <t>All high-risk items resolved</t>
        </is>
      </c>
    </row>
    <row r="5">
      <c r="A5" s="17" t="n"/>
      <c r="B5" s="15" t="n"/>
      <c r="C5" s="17" t="inlineStr">
        <is>
          <t>Security</t>
        </is>
      </c>
      <c r="D5" s="17" t="inlineStr">
        <is>
          <t>Threat model reviewed and accepted by security lead before delivery sign-off</t>
        </is>
      </c>
      <c r="E5" s="17" t="n"/>
      <c r="F5" s="17" t="n"/>
      <c r="G5" s="17" t="n"/>
      <c r="H5" s="17" t="n"/>
      <c r="I5" s="17" t="n"/>
      <c r="J5" s="17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  <c r="J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  <c r="I28" s="15" t="n"/>
      <c r="J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  <c r="I29" s="15" t="n"/>
      <c r="J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  <c r="I30" s="15" t="n"/>
      <c r="J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  <c r="I31" s="15" t="n"/>
      <c r="J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  <c r="J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  <c r="I36" s="15" t="n"/>
      <c r="J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  <c r="I37" s="15" t="n"/>
      <c r="J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5" t="n"/>
      <c r="J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  <c r="I39" s="15" t="n"/>
      <c r="J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5" t="n"/>
      <c r="J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  <c r="I44" s="15" t="n"/>
      <c r="J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  <c r="I45" s="15" t="n"/>
      <c r="J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  <c r="I46" s="15" t="n"/>
      <c r="J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  <c r="I47" s="15" t="n"/>
      <c r="J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  <c r="I48" s="15" t="n"/>
      <c r="J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  <c r="I49" s="15" t="n"/>
      <c r="J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  <c r="I50" s="15" t="n"/>
      <c r="J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  <c r="I51" s="15" t="n"/>
      <c r="J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  <c r="I52" s="15" t="n"/>
      <c r="J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  <c r="I53" s="15" t="n"/>
      <c r="J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  <c r="I54" s="15" t="n"/>
      <c r="J54" s="15" t="n"/>
    </row>
  </sheetData>
  <mergeCells count="2">
    <mergeCell ref="A1:J1"/>
    <mergeCell ref="A2:J2"/>
  </mergeCells>
  <dataValidations count="2">
    <dataValidation sqref="C4:C102" showDropDown="0" showInputMessage="0" showErrorMessage="0" allowBlank="0" type="list">
      <formula1>"Functional,Security,Performance,Documentation,Compliance"</formula1>
    </dataValidation>
    <dataValidation sqref="E4:E102" showDropDown="0" showInputMessage="0" showErrorMessage="0" allowBlank="0" type="list">
      <formula1>"Met,Not Met,Waived,N/A"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25" customWidth="1" min="2" max="2"/>
    <col width="22" customWidth="1" min="3" max="3"/>
    <col width="40" customWidth="1" min="4" max="4"/>
    <col width="45" customWidth="1" min="5" max="5"/>
    <col width="16" customWidth="1" min="6" max="6"/>
    <col width="20" customWidth="1" min="7" max="7"/>
    <col width="22" customWidth="1" min="8" max="8"/>
  </cols>
  <sheetData>
    <row r="1" ht="35" customHeight="1">
      <c r="A1" s="1" t="inlineStr">
        <is>
          <t>EVIDENCE REGISTER</t>
        </is>
      </c>
    </row>
    <row r="2">
      <c r="A2" s="18" t="inlineStr">
        <is>
          <t>Record all evidence collected during the assessment. Each row represents one piece of evidence.</t>
        </is>
      </c>
    </row>
    <row r="4" ht="30" customHeight="1">
      <c r="A4" s="19" t="inlineStr">
        <is>
          <t>Evidence ID</t>
        </is>
      </c>
      <c r="B4" s="19" t="inlineStr">
        <is>
          <t>Assessment Area</t>
        </is>
      </c>
      <c r="C4" s="19" t="inlineStr">
        <is>
          <t>Evidence Type</t>
        </is>
      </c>
      <c r="D4" s="19" t="inlineStr">
        <is>
          <t>Description</t>
        </is>
      </c>
      <c r="E4" s="19" t="inlineStr">
        <is>
          <t>Location / Path</t>
        </is>
      </c>
      <c r="F4" s="19" t="inlineStr">
        <is>
          <t>Date Collected</t>
        </is>
      </c>
      <c r="G4" s="19" t="inlineStr">
        <is>
          <t>Collected By</t>
        </is>
      </c>
      <c r="H4" s="19" t="inlineStr">
        <is>
          <t>Verification Status</t>
        </is>
      </c>
    </row>
    <row r="5">
      <c r="A5" s="20" t="inlineStr">
        <is>
          <t>EV-001</t>
        </is>
      </c>
      <c r="B5" s="20" t="inlineStr">
        <is>
          <t>Security Testing</t>
        </is>
      </c>
      <c r="C5" s="20" t="inlineStr">
        <is>
          <t>Test results</t>
        </is>
      </c>
      <c r="D5" s="20" t="inlineStr">
        <is>
          <t>SAST scan report - Customer Portal v2.0</t>
        </is>
      </c>
      <c r="E5" s="20" t="inlineStr">
        <is>
          <t>SharePoint/Testing/SAST-CustomerPortal-20241126.pdf</t>
        </is>
      </c>
      <c r="F5" s="20" t="inlineStr">
        <is>
          <t>26.11.2024</t>
        </is>
      </c>
      <c r="G5" s="20" t="inlineStr">
        <is>
          <t>Security Team</t>
        </is>
      </c>
      <c r="H5" s="20" t="inlineStr">
        <is>
          <t>Verified</t>
        </is>
      </c>
    </row>
    <row r="6">
      <c r="A6" s="4" t="n"/>
      <c r="B6" s="4" t="n"/>
      <c r="C6" s="4" t="n"/>
      <c r="D6" s="4" t="n"/>
      <c r="E6" s="4" t="n"/>
      <c r="F6" s="4" t="n"/>
      <c r="G6" s="4" t="n"/>
      <c r="H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</row>
    <row r="101">
      <c r="A101" s="4" t="n"/>
      <c r="B101" s="4" t="n"/>
      <c r="C101" s="4" t="n"/>
      <c r="D101" s="4" t="n"/>
      <c r="E101" s="4" t="n"/>
      <c r="F101" s="4" t="n"/>
      <c r="G101" s="4" t="n"/>
      <c r="H101" s="4" t="n"/>
    </row>
    <row r="102">
      <c r="A102" s="4" t="n"/>
      <c r="B102" s="4" t="n"/>
      <c r="C102" s="4" t="n"/>
      <c r="D102" s="4" t="n"/>
      <c r="E102" s="4" t="n"/>
      <c r="F102" s="4" t="n"/>
      <c r="G102" s="4" t="n"/>
      <c r="H102" s="4" t="n"/>
    </row>
    <row r="103">
      <c r="A103" s="4" t="n"/>
      <c r="B103" s="4" t="n"/>
      <c r="C103" s="4" t="n"/>
      <c r="D103" s="4" t="n"/>
      <c r="E103" s="4" t="n"/>
      <c r="F103" s="4" t="n"/>
      <c r="G103" s="4" t="n"/>
      <c r="H103" s="4" t="n"/>
    </row>
    <row r="104">
      <c r="A104" s="4" t="n"/>
      <c r="B104" s="4" t="n"/>
      <c r="C104" s="4" t="n"/>
      <c r="D104" s="4" t="n"/>
      <c r="E104" s="4" t="n"/>
      <c r="F104" s="4" t="n"/>
      <c r="G104" s="4" t="n"/>
      <c r="H104" s="4" t="n"/>
    </row>
    <row r="105">
      <c r="A105" s="4" t="n"/>
      <c r="B105" s="4" t="n"/>
      <c r="C105" s="4" t="n"/>
      <c r="D105" s="4" t="n"/>
      <c r="E105" s="4" t="n"/>
      <c r="F105" s="4" t="n"/>
      <c r="G105" s="4" t="n"/>
      <c r="H105" s="4" t="n"/>
    </row>
  </sheetData>
  <mergeCells count="2">
    <mergeCell ref="A2:H2"/>
    <mergeCell ref="A1:H1"/>
  </mergeCells>
  <dataValidations count="2">
    <dataValidation sqref="C6:C105" showDropDown="0" showInputMessage="0" showErrorMessage="0" allowBlank="1" prompt="Select evidence type" type="list">
      <formula1>"Configuration file,Screenshot,Log extract,Policy document,Training record,Audit report,Risk assessment,Interview notes,Test results,Other"</formula1>
    </dataValidation>
    <dataValidation sqref="H6:H105" showDropDown="0" showInputMessage="0" showErrorMessage="0" allowBlank="1" prompt="Select verification status" type="list">
      <formula1>"Verified,Pending Verification,Insufficient,Not Reviewed"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8" customWidth="1" min="4" max="4"/>
    <col width="18" customWidth="1" min="5" max="5"/>
    <col width="12" customWidth="1" min="6" max="6"/>
    <col width="15" customWidth="1" min="7" max="7"/>
  </cols>
  <sheetData>
    <row r="1" ht="35" customHeight="1">
      <c r="A1" s="1" t="inlineStr">
        <is>
          <t>SECURITY TESTING ASSESSMENT — SUMMARY DASHBOARD</t>
        </is>
      </c>
    </row>
    <row r="2">
      <c r="A2" s="21" t="inlineStr">
        <is>
          <t>ISO/IEC 27001:2022 - Control A.8.30: Outsourced Development</t>
        </is>
      </c>
    </row>
    <row r="4">
      <c r="A4" s="22" t="inlineStr">
        <is>
          <t>TABLE 1: ASSESSMENT AREA COMPLIANCE OVERVIEW</t>
        </is>
      </c>
    </row>
    <row r="5">
      <c r="A5" s="23" t="inlineStr">
        <is>
          <t>Assessment Area</t>
        </is>
      </c>
      <c r="B5" s="23" t="inlineStr">
        <is>
          <t>Total Items</t>
        </is>
      </c>
      <c r="C5" s="23" t="inlineStr">
        <is>
          <t>Compliant</t>
        </is>
      </c>
      <c r="D5" s="23" t="inlineStr">
        <is>
          <t>Partial</t>
        </is>
      </c>
      <c r="E5" s="23" t="inlineStr">
        <is>
          <t>Non-Compliant</t>
        </is>
      </c>
      <c r="F5" s="23" t="inlineStr">
        <is>
          <t>N/A</t>
        </is>
      </c>
      <c r="G5" s="23" t="inlineStr">
        <is>
          <t>Compliance %</t>
        </is>
      </c>
    </row>
    <row r="6">
      <c r="A6" s="24" t="inlineStr">
        <is>
          <t>Deliverable Inventory</t>
        </is>
      </c>
      <c r="B6" s="25">
        <f>COUNTA('Deliverable Inventory'!L5:L54)</f>
        <v/>
      </c>
      <c r="C6" s="25">
        <f>COUNTIF('Deliverable Inventory'!L5:L54,"Accepted")</f>
        <v/>
      </c>
      <c r="D6" s="25">
        <f>COUNTIF('Deliverable Inventory'!L5:L54,"Conditional")</f>
        <v/>
      </c>
      <c r="E6" s="25">
        <f>COUNTIF('Deliverable Inventory'!L5:L54,"Rejected")+COUNTIF('Deliverable Inventory'!L5:L54,"Pending")</f>
        <v/>
      </c>
      <c r="F6" s="25">
        <f>0</f>
        <v/>
      </c>
      <c r="G6" s="26">
        <f>IF((B6-F6)=0,0,C6/(B6-F6))</f>
        <v/>
      </c>
    </row>
    <row r="7">
      <c r="A7" s="24" t="inlineStr">
        <is>
          <t>Code Review Tracking</t>
        </is>
      </c>
      <c r="B7" s="25">
        <f>COUNTA('Code Review Tracking'!M5:M54)</f>
        <v/>
      </c>
      <c r="C7" s="25">
        <f>COUNTIF('Code Review Tracking'!M5:M54,"Approved")</f>
        <v/>
      </c>
      <c r="D7" s="25">
        <f>COUNTIF('Code Review Tracking'!M5:M54,"Approved with Findings")</f>
        <v/>
      </c>
      <c r="E7" s="25">
        <f>COUNTIF('Code Review Tracking'!M5:M54,"Rejected")</f>
        <v/>
      </c>
      <c r="F7" s="25">
        <f>0</f>
        <v/>
      </c>
      <c r="G7" s="26">
        <f>IF((B7-F7)=0,0,C7/(B7-F7))</f>
        <v/>
      </c>
    </row>
    <row r="8">
      <c r="A8" s="24" t="inlineStr">
        <is>
          <t>Security Testing Results</t>
        </is>
      </c>
      <c r="B8" s="25">
        <f>COUNTA('Security Testing'!S5:S54)</f>
        <v/>
      </c>
      <c r="C8" s="25">
        <f>COUNTIF('Security Testing'!S5:S54,"Passed")</f>
        <v/>
      </c>
      <c r="D8" s="25">
        <f>COUNTIF('Security Testing'!S5:S54,"Pending")</f>
        <v/>
      </c>
      <c r="E8" s="25">
        <f>COUNTIF('Security Testing'!S5:S54,"Failed")</f>
        <v/>
      </c>
      <c r="F8" s="25">
        <f>COUNTIF('Security Testing'!S5:S54,"N/A")</f>
        <v/>
      </c>
      <c r="G8" s="26">
        <f>IF((B8-F8)=0,0,C8/(B8-F8))</f>
        <v/>
      </c>
    </row>
    <row r="9">
      <c r="A9" s="24" t="inlineStr">
        <is>
          <t>SBOM Management</t>
        </is>
      </c>
      <c r="B9" s="25">
        <f>COUNTA('SBOM Management'!M5:M54)</f>
        <v/>
      </c>
      <c r="C9" s="25">
        <f>COUNTIF('SBOM Management'!M5:M54,"Accepted")</f>
        <v/>
      </c>
      <c r="D9" s="25">
        <f>COUNTIF('SBOM Management'!M5:M54,"Reviewed")+COUNTIF('SBOM Management'!M5:M54,"Pending")</f>
        <v/>
      </c>
      <c r="E9" s="25">
        <f>COUNTIF('SBOM Management'!M5:M54,"Rejected")</f>
        <v/>
      </c>
      <c r="F9" s="25">
        <f>0</f>
        <v/>
      </c>
      <c r="G9" s="26">
        <f>IF((B9-F9)=0,0,C9/(B9-F9))</f>
        <v/>
      </c>
    </row>
    <row r="10">
      <c r="A10" s="24" t="inlineStr">
        <is>
          <t>Acceptance Sign-off</t>
        </is>
      </c>
      <c r="B10" s="25">
        <f>COUNTA('Acceptance Sign-off'!E5:E54)</f>
        <v/>
      </c>
      <c r="C10" s="25">
        <f>COUNTIF('Acceptance Sign-off'!E5:E54,"Met")</f>
        <v/>
      </c>
      <c r="D10" s="25">
        <f>COUNTIF('Acceptance Sign-off'!E5:E54,"Waived")</f>
        <v/>
      </c>
      <c r="E10" s="25">
        <f>COUNTIF('Acceptance Sign-off'!E5:E54,"Not Met")</f>
        <v/>
      </c>
      <c r="F10" s="25">
        <f>COUNTIF('Acceptance Sign-off'!E5:E54,"N/A")</f>
        <v/>
      </c>
      <c r="G10" s="26">
        <f>IF((B10-F10)=0,0,C10/(B10-F10))</f>
        <v/>
      </c>
    </row>
    <row r="11">
      <c r="A11" s="27" t="inlineStr">
        <is>
          <t>TOTAL</t>
        </is>
      </c>
      <c r="B11" s="28">
        <f>SUM(B6:B10)</f>
        <v/>
      </c>
      <c r="C11" s="28">
        <f>SUM(C6:C10)</f>
        <v/>
      </c>
      <c r="D11" s="28">
        <f>SUM(D6:D10)</f>
        <v/>
      </c>
      <c r="E11" s="28">
        <f>SUM(E6:E10)</f>
        <v/>
      </c>
      <c r="F11" s="28">
        <f>SUM(F6:F10)</f>
        <v/>
      </c>
      <c r="G11" s="29">
        <f>IF((B11-F11)=0,0,C11/(B11-F11))</f>
        <v/>
      </c>
    </row>
    <row r="13">
      <c r="A13" s="22" t="inlineStr">
        <is>
          <t>TABLE 2: KEY METRICS</t>
        </is>
      </c>
    </row>
    <row r="14">
      <c r="A14" s="24" t="inlineStr">
        <is>
          <t>Total Deliverables Pending Acceptance</t>
        </is>
      </c>
      <c r="B14" s="6">
        <f>COUNTIF('Deliverable Inventory'!L5:L54,"Pending")</f>
        <v/>
      </c>
      <c r="C14" s="6" t="n"/>
      <c r="D14" s="6" t="n"/>
      <c r="E14" s="6" t="n"/>
      <c r="F14" s="6" t="n"/>
      <c r="G14" s="6" t="n"/>
    </row>
    <row r="15">
      <c r="A15" s="24" t="inlineStr">
        <is>
          <t>Critical Deliverables</t>
        </is>
      </c>
      <c r="B15" s="6">
        <f>COUNTIF('Deliverable Inventory'!F5:F54,"Critical")</f>
        <v/>
      </c>
      <c r="C15" s="6" t="n"/>
      <c r="D15" s="6" t="n"/>
      <c r="E15" s="6" t="n"/>
      <c r="F15" s="6" t="n"/>
      <c r="G15" s="6" t="n"/>
    </row>
    <row r="16">
      <c r="A16" s="24" t="inlineStr">
        <is>
          <t>Security Tests Failed</t>
        </is>
      </c>
      <c r="B16" s="6">
        <f>COUNTIF('Security Testing'!S5:S54,"Failed")</f>
        <v/>
      </c>
      <c r="C16" s="6" t="n"/>
      <c r="D16" s="6" t="n"/>
      <c r="E16" s="6" t="n"/>
      <c r="F16" s="6" t="n"/>
      <c r="G16" s="6" t="n"/>
    </row>
    <row r="17">
      <c r="A17" s="24" t="inlineStr">
        <is>
          <t>Acceptance Criteria Met %</t>
        </is>
      </c>
      <c r="B17" s="6">
        <f>IF(COUNTA('Acceptance Sign-off'!E5:E54)=0,"0%",ROUND(COUNTIF('Acceptance Sign-off'!E5:E54,"Met")/COUNTA('Acceptance Sign-off'!E5:E54)*100,1)&amp;"%")</f>
        <v/>
      </c>
      <c r="C17" s="6" t="n"/>
      <c r="D17" s="6" t="n"/>
      <c r="E17" s="6" t="n"/>
      <c r="F17" s="6" t="n"/>
      <c r="G17" s="6" t="n"/>
    </row>
    <row r="19">
      <c r="A19" s="30" t="inlineStr">
        <is>
          <t>TABLE 3: CRITICAL FINDINGS</t>
        </is>
      </c>
    </row>
    <row r="20">
      <c r="A20" s="27" t="inlineStr">
        <is>
          <t>#</t>
        </is>
      </c>
      <c r="B20" s="27" t="inlineStr">
        <is>
          <t>Finding</t>
        </is>
      </c>
      <c r="C20" s="27" t="inlineStr">
        <is>
          <t>Severity</t>
        </is>
      </c>
      <c r="D20" s="27" t="inlineStr">
        <is>
          <t>Affected Area</t>
        </is>
      </c>
      <c r="E20" s="27" t="inlineStr">
        <is>
          <t>Recommended Action</t>
        </is>
      </c>
      <c r="F20" s="27" t="inlineStr">
        <is>
          <t>Owner</t>
        </is>
      </c>
      <c r="G20" s="27" t="inlineStr">
        <is>
          <t>Due Date</t>
        </is>
      </c>
    </row>
    <row r="21">
      <c r="A21" s="4">
        <f>COUNTIF('Deliverable Inventory'!L5:L54,"Rejected")</f>
        <v/>
      </c>
      <c r="B21" s="4" t="inlineStr">
        <is>
          <t>Rejected Deliverables</t>
        </is>
      </c>
      <c r="C21" s="4" t="inlineStr">
        <is>
          <t>Critical</t>
        </is>
      </c>
      <c r="D21" s="4" t="inlineStr">
        <is>
          <t>Deliverable Inventory</t>
        </is>
      </c>
      <c r="E21" s="4" t="inlineStr">
        <is>
          <t>Review rejection reasons and remediate</t>
        </is>
      </c>
      <c r="F21" s="4" t="n"/>
      <c r="G21" s="4" t="n"/>
    </row>
    <row r="22">
      <c r="A22" s="4">
        <f>COUNTIF('Deliverable Inventory'!I5:I54,"Pending")</f>
        <v/>
      </c>
      <c r="B22" s="4" t="inlineStr">
        <is>
          <t>Pending Code Reviews</t>
        </is>
      </c>
      <c r="C22" s="4" t="inlineStr">
        <is>
          <t>High</t>
        </is>
      </c>
      <c r="D22" s="4" t="inlineStr">
        <is>
          <t>Deliverable Inventory</t>
        </is>
      </c>
      <c r="E22" s="4" t="inlineStr">
        <is>
          <t>Complete code reviews before acceptance</t>
        </is>
      </c>
      <c r="F22" s="4" t="n"/>
      <c r="G22" s="4" t="n"/>
    </row>
    <row r="23">
      <c r="A23" s="4">
        <f>COUNTIF('Security Testing'!S5:S54,"Failed")</f>
        <v/>
      </c>
      <c r="B23" s="4" t="inlineStr">
        <is>
          <t>Failed Security Tests</t>
        </is>
      </c>
      <c r="C23" s="4" t="inlineStr">
        <is>
          <t>Critical</t>
        </is>
      </c>
      <c r="D23" s="4" t="inlineStr">
        <is>
          <t>Security Testing</t>
        </is>
      </c>
      <c r="E23" s="4" t="inlineStr">
        <is>
          <t>Remediate security vulnerabilities</t>
        </is>
      </c>
      <c r="F23" s="4" t="n"/>
      <c r="G23" s="4" t="n"/>
    </row>
    <row r="24">
      <c r="A24" s="4">
        <f>COUNTIF('Security Testing'!S5:S54,"Pending")</f>
        <v/>
      </c>
      <c r="B24" s="4" t="inlineStr">
        <is>
          <t>Pending Retests</t>
        </is>
      </c>
      <c r="C24" s="4" t="inlineStr">
        <is>
          <t>High</t>
        </is>
      </c>
      <c r="D24" s="4" t="inlineStr">
        <is>
          <t>Security Testing</t>
        </is>
      </c>
      <c r="E24" s="4" t="inlineStr">
        <is>
          <t>Complete retesting of remediated findings</t>
        </is>
      </c>
      <c r="F24" s="4" t="n"/>
      <c r="G24" s="4" t="n"/>
    </row>
    <row r="25">
      <c r="A25" s="4">
        <f>COUNTIF('Deliverable Inventory'!K5:K54,"No")</f>
        <v/>
      </c>
      <c r="B25" s="4" t="inlineStr">
        <is>
          <t>Missing SBOMs</t>
        </is>
      </c>
      <c r="C25" s="4" t="inlineStr">
        <is>
          <t>High</t>
        </is>
      </c>
      <c r="D25" s="4" t="inlineStr">
        <is>
          <t>Deliverable Inventory</t>
        </is>
      </c>
      <c r="E25" s="4" t="inlineStr">
        <is>
          <t>Request SBOMs from vendors</t>
        </is>
      </c>
      <c r="F25" s="4" t="n"/>
      <c r="G25" s="4" t="n"/>
    </row>
  </sheetData>
  <mergeCells count="9">
    <mergeCell ref="A13:G13"/>
    <mergeCell ref="B16:G16"/>
    <mergeCell ref="A1:G1"/>
    <mergeCell ref="B14:G14"/>
    <mergeCell ref="B17:G17"/>
    <mergeCell ref="A4:G4"/>
    <mergeCell ref="A2:G2"/>
    <mergeCell ref="A19:G19"/>
    <mergeCell ref="B15:G1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25" customWidth="1" min="2" max="2"/>
    <col width="20" customWidth="1" min="3" max="3"/>
    <col width="20" customWidth="1" min="4" max="4"/>
    <col width="20" customWidth="1" min="5" max="5"/>
  </cols>
  <sheetData>
    <row r="1" ht="35" customHeight="1">
      <c r="A1" s="31" t="inlineStr">
        <is>
          <t>ASSESSMENT APPROVAL AND SIGN-OFF</t>
        </is>
      </c>
    </row>
    <row r="3">
      <c r="A3" s="32" t="inlineStr">
        <is>
          <t>ASSESSMENT SUMMARY</t>
        </is>
      </c>
    </row>
    <row r="4">
      <c r="A4" s="33" t="inlineStr">
        <is>
          <t>Document:</t>
        </is>
      </c>
      <c r="B4" s="6" t="inlineStr">
        <is>
          <t>ISMS-IMP-A.8.30.3</t>
        </is>
      </c>
      <c r="C4" s="6" t="n"/>
      <c r="D4" s="6" t="n"/>
      <c r="E4" s="6" t="n"/>
    </row>
    <row r="5">
      <c r="A5" s="33" t="inlineStr">
        <is>
          <t>Assessment Period:</t>
        </is>
      </c>
      <c r="B5" s="6" t="inlineStr"/>
      <c r="C5" s="6" t="n"/>
      <c r="D5" s="6" t="n"/>
      <c r="E5" s="6" t="n"/>
    </row>
    <row r="6">
      <c r="A6" s="33" t="inlineStr">
        <is>
          <t>Overall Compliance Rating:</t>
        </is>
      </c>
      <c r="B6" s="4">
        <f>'Summary Dashboard'!G10</f>
        <v/>
      </c>
      <c r="C6" s="4" t="n"/>
      <c r="D6" s="4" t="n"/>
      <c r="E6" s="4" t="n"/>
    </row>
    <row r="7">
      <c r="A7" s="33" t="inlineStr">
        <is>
          <t>Assessment Status:</t>
        </is>
      </c>
      <c r="B7" s="4" t="inlineStr"/>
      <c r="C7" s="4" t="n"/>
      <c r="D7" s="4" t="n"/>
      <c r="E7" s="4" t="n"/>
    </row>
    <row r="8">
      <c r="A8" s="33" t="inlineStr">
        <is>
          <t>Assessed By:</t>
        </is>
      </c>
      <c r="B8" s="6" t="inlineStr"/>
      <c r="C8" s="6" t="n"/>
      <c r="D8" s="6" t="n"/>
      <c r="E8" s="6" t="n"/>
    </row>
    <row r="10">
      <c r="A10" s="32" t="inlineStr">
        <is>
          <t>COMPLETED BY (ASSESSOR)</t>
        </is>
      </c>
    </row>
    <row r="11">
      <c r="A11" s="33" t="inlineStr">
        <is>
          <t>Name:</t>
        </is>
      </c>
      <c r="B11" s="4" t="n"/>
      <c r="C11" s="4" t="n"/>
      <c r="D11" s="4" t="n"/>
      <c r="E11" s="4" t="n"/>
    </row>
    <row r="12">
      <c r="A12" s="33" t="inlineStr">
        <is>
          <t>Title:</t>
        </is>
      </c>
      <c r="B12" s="4" t="n"/>
      <c r="C12" s="4" t="n"/>
      <c r="D12" s="4" t="n"/>
      <c r="E12" s="4" t="n"/>
    </row>
    <row r="13">
      <c r="A13" s="33" t="inlineStr">
        <is>
          <t>Date:</t>
        </is>
      </c>
      <c r="B13" s="4" t="n"/>
      <c r="C13" s="4" t="n"/>
      <c r="D13" s="4" t="n"/>
      <c r="E13" s="4" t="n"/>
    </row>
    <row r="14">
      <c r="A14" s="33" t="inlineStr">
        <is>
          <t>Signature:</t>
        </is>
      </c>
      <c r="B14" s="4" t="n"/>
      <c r="C14" s="4" t="n"/>
      <c r="D14" s="4" t="n"/>
      <c r="E14" s="4" t="n"/>
    </row>
    <row r="15">
      <c r="A15" s="33" t="inlineStr">
        <is>
          <t>Comments:</t>
        </is>
      </c>
      <c r="B15" s="4" t="n"/>
      <c r="C15" s="4" t="n"/>
      <c r="D15" s="4" t="n"/>
      <c r="E15" s="4" t="n"/>
    </row>
    <row r="17">
      <c r="A17" s="32" t="inlineStr">
        <is>
          <t>REVIEWED BY (INFORMATION SECURITY OFFICER)</t>
        </is>
      </c>
    </row>
    <row r="18">
      <c r="A18" s="33" t="inlineStr">
        <is>
          <t>Name:</t>
        </is>
      </c>
      <c r="B18" s="4" t="n"/>
      <c r="C18" s="4" t="n"/>
      <c r="D18" s="4" t="n"/>
      <c r="E18" s="4" t="n"/>
    </row>
    <row r="19">
      <c r="A19" s="33" t="inlineStr">
        <is>
          <t>Title:</t>
        </is>
      </c>
      <c r="B19" s="4" t="n"/>
      <c r="C19" s="4" t="n"/>
      <c r="D19" s="4" t="n"/>
      <c r="E19" s="4" t="n"/>
    </row>
    <row r="20">
      <c r="A20" s="33" t="inlineStr">
        <is>
          <t>Date:</t>
        </is>
      </c>
      <c r="B20" s="4" t="n"/>
      <c r="C20" s="4" t="n"/>
      <c r="D20" s="4" t="n"/>
      <c r="E20" s="4" t="n"/>
    </row>
    <row r="21">
      <c r="A21" s="33" t="inlineStr">
        <is>
          <t>Signature:</t>
        </is>
      </c>
      <c r="B21" s="4" t="n"/>
      <c r="C21" s="4" t="n"/>
      <c r="D21" s="4" t="n"/>
      <c r="E21" s="4" t="n"/>
    </row>
    <row r="22">
      <c r="A22" s="33" t="inlineStr">
        <is>
          <t>Comments:</t>
        </is>
      </c>
      <c r="B22" s="4" t="n"/>
      <c r="C22" s="4" t="n"/>
      <c r="D22" s="4" t="n"/>
      <c r="E22" s="4" t="n"/>
    </row>
    <row r="24">
      <c r="A24" s="34" t="inlineStr">
        <is>
          <t>APPROVED BY (CISO)</t>
        </is>
      </c>
    </row>
    <row r="25">
      <c r="A25" s="33" t="inlineStr">
        <is>
          <t>Name:</t>
        </is>
      </c>
      <c r="B25" s="4" t="n"/>
      <c r="C25" s="4" t="n"/>
      <c r="D25" s="4" t="n"/>
      <c r="E25" s="4" t="n"/>
    </row>
    <row r="26">
      <c r="A26" s="33" t="inlineStr">
        <is>
          <t>Title:</t>
        </is>
      </c>
      <c r="B26" s="4" t="n"/>
      <c r="C26" s="4" t="n"/>
      <c r="D26" s="4" t="n"/>
      <c r="E26" s="4" t="n"/>
    </row>
    <row r="27">
      <c r="A27" s="33" t="inlineStr">
        <is>
          <t>Date:</t>
        </is>
      </c>
      <c r="B27" s="4" t="n"/>
      <c r="C27" s="4" t="n"/>
      <c r="D27" s="4" t="n"/>
      <c r="E27" s="4" t="n"/>
    </row>
    <row r="28">
      <c r="A28" s="33" t="inlineStr">
        <is>
          <t>Signature:</t>
        </is>
      </c>
      <c r="B28" s="4" t="n"/>
      <c r="C28" s="4" t="n"/>
      <c r="D28" s="4" t="n"/>
      <c r="E28" s="4" t="n"/>
    </row>
    <row r="29">
      <c r="A29" s="33" t="inlineStr">
        <is>
          <t>Comments:</t>
        </is>
      </c>
      <c r="B29" s="4" t="n"/>
      <c r="C29" s="4" t="n"/>
      <c r="D29" s="4" t="n"/>
      <c r="E29" s="4" t="n"/>
    </row>
    <row r="31">
      <c r="A31" s="35" t="inlineStr">
        <is>
          <t>FINAL DECISION:</t>
        </is>
      </c>
      <c r="B31" s="4" t="n"/>
      <c r="C31" s="4" t="n"/>
      <c r="D31" s="4" t="n"/>
      <c r="E31" s="4" t="n"/>
    </row>
    <row r="34">
      <c r="A34" s="32" t="inlineStr">
        <is>
          <t>NEXT REVIEW DETAILS</t>
        </is>
      </c>
    </row>
    <row r="35">
      <c r="A35" s="33" t="inlineStr">
        <is>
          <t>Next Review Date:</t>
        </is>
      </c>
      <c r="B35" s="4" t="n"/>
      <c r="C35" s="4" t="n"/>
      <c r="D35" s="4" t="n"/>
      <c r="E35" s="4" t="n"/>
    </row>
    <row r="36">
      <c r="A36" s="33" t="inlineStr">
        <is>
          <t>Review Responsible:</t>
        </is>
      </c>
      <c r="B36" s="4" t="n"/>
      <c r="C36" s="4" t="n"/>
      <c r="D36" s="4" t="n"/>
      <c r="E36" s="4" t="n"/>
    </row>
    <row r="37">
      <c r="A37" s="33" t="inlineStr">
        <is>
          <t>Special Considerations:</t>
        </is>
      </c>
      <c r="B37" s="4" t="n"/>
      <c r="C37" s="4" t="n"/>
      <c r="D37" s="4" t="n"/>
      <c r="E37" s="4" t="n"/>
    </row>
  </sheetData>
  <mergeCells count="30">
    <mergeCell ref="A34:E34"/>
    <mergeCell ref="A24:E24"/>
    <mergeCell ref="B6:E6"/>
    <mergeCell ref="B15:E15"/>
    <mergeCell ref="A1:E1"/>
    <mergeCell ref="B5:E5"/>
    <mergeCell ref="B20:E20"/>
    <mergeCell ref="B36:E36"/>
    <mergeCell ref="B26:E26"/>
    <mergeCell ref="B35:E35"/>
    <mergeCell ref="B4:E4"/>
    <mergeCell ref="B7:E7"/>
    <mergeCell ref="B25:E25"/>
    <mergeCell ref="B22:E22"/>
    <mergeCell ref="A3:E3"/>
    <mergeCell ref="B31:E31"/>
    <mergeCell ref="B18:E18"/>
    <mergeCell ref="B27:E27"/>
    <mergeCell ref="B12:E12"/>
    <mergeCell ref="B21:E21"/>
    <mergeCell ref="B11:E11"/>
    <mergeCell ref="A17:E17"/>
    <mergeCell ref="B14:E14"/>
    <mergeCell ref="B8:E8"/>
    <mergeCell ref="A10:E10"/>
    <mergeCell ref="B13:E13"/>
    <mergeCell ref="B29:E29"/>
    <mergeCell ref="B19:E19"/>
    <mergeCell ref="B37:E37"/>
    <mergeCell ref="B28:E28"/>
  </mergeCells>
  <dataValidations count="2">
    <dataValidation sqref="B7" showDropDown="0" showInputMessage="0" showErrorMessage="0" allowBlank="1" type="list">
      <formula1>"Draft,Final,Requires remediation,Re-assessment required"</formula1>
    </dataValidation>
    <dataValidation sqref="B31" showDropDown="0" showInputMessage="0" showErrorMessage="0" allowBlank="1" type="list">
      <formula1>"Approved,Approved with Conditions,Rejected,Deferred"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ISMS Core Contributors</dc:creator>
  <dc:title xmlns:dc="http://purl.org/dc/elements/1.1/">ISMS-IMP-A.8.30.3 — Security Testing and Acceptance</dc:title>
  <dc:description xmlns:dc="http://purl.org/dc/elements/1.1/">ISMS Implementation Workbook — ISMS-IMP-A.8.30.3</dc:description>
  <dc:subject xmlns:dc="http://purl.org/dc/elements/1.1/">ISO/IEC 27001:2022 — Control A.8.30: Outsourced Development</dc:subject>
  <dcterms:created xmlns:dcterms="http://purl.org/dc/terms/" xmlns:xsi="http://www.w3.org/2001/XMLSchema-instance" xsi:type="dcterms:W3CDTF">2026-03-01T16:58:22Z</dcterms:created>
  <dcterms:modified xmlns:dcterms="http://purl.org/dc/terms/" xmlns:xsi="http://www.w3.org/2001/XMLSchema-instance" xsi:type="dcterms:W3CDTF">2026-03-01T16:58:22Z</dcterms:modified>
</cp:coreProperties>
</file>