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b val="1"/>
      <color rgb="00FFFFFF"/>
      <sz val="11"/>
    </font>
    <font>
      <name val="Calibri"/>
      <b val="1"/>
      <color rgb="00000000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8" fillId="11" borderId="1" pivotButton="0" quotePrefix="0" xfId="0"/>
    <xf numFmtId="0" fontId="9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10" borderId="1" pivotButton="0" quotePrefix="0" xfId="0"/>
    <xf numFmtId="0" fontId="5" fillId="0" borderId="0" pivotButton="0" quotePrefix="0" xfId="0"/>
    <xf numFmtId="0" fontId="13" fillId="8" borderId="0" pivotButton="0" quotePrefix="0" xfId="0"/>
    <xf numFmtId="0" fontId="14" fillId="9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0" fontId="13" fillId="12" borderId="0" pivotButton="0" quotePrefix="0" xfId="0"/>
    <xf numFmtId="165" fontId="0" fillId="11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15" fillId="13" borderId="1" pivotButton="0" quotePrefix="0" xfId="0"/>
    <xf numFmtId="0" fontId="16" fillId="0" borderId="0" pivotButton="0" quotePrefix="0" xfId="0"/>
    <xf numFmtId="0" fontId="1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ISMS-IMP-A.8.30.2  -  Contract Compliance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ISMS-IMP-A.8.30.2</t>
        </is>
      </c>
    </row>
    <row r="5">
      <c r="A5" s="3" t="inlineStr">
        <is>
          <t>Workbook Title</t>
        </is>
      </c>
      <c r="B5" t="inlineStr">
        <is>
          <t>Contract Compliance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Contract Inventory.</t>
        </is>
      </c>
    </row>
    <row r="14">
      <c r="A14" t="inlineStr">
        <is>
          <t>2. For each contract, verify security clause inclusion in Security Clauses sheet.</t>
        </is>
      </c>
    </row>
    <row r="15">
      <c r="A15" t="inlineStr">
        <is>
          <t>3. Track vulnerability remediation SLA compliance in SLA Compliance sheet.</t>
        </is>
      </c>
    </row>
    <row r="16">
      <c r="A16" t="inlineStr">
        <is>
          <t>4. Record subcontractor authorisation requests in Subcontractor Approvals sheet.</t>
        </is>
      </c>
    </row>
    <row r="17">
      <c r="A17" t="inlineStr">
        <is>
          <t>5. Complete termination checklist at contract closure.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 ht="35" customHeight="1">
      <c r="A1" s="11" t="inlineStr">
        <is>
          <t>CONTRACT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Vendor ID</t>
        </is>
      </c>
      <c r="C3" s="13" t="inlineStr">
        <is>
          <t>Contract Name</t>
        </is>
      </c>
      <c r="D3" s="13" t="inlineStr">
        <is>
          <t>Contract Type</t>
        </is>
      </c>
      <c r="E3" s="13" t="inlineStr">
        <is>
          <t>Start Date</t>
        </is>
      </c>
      <c r="F3" s="13" t="inlineStr">
        <is>
          <t>End Date</t>
        </is>
      </c>
      <c r="G3" s="13" t="inlineStr">
        <is>
          <t>Project Classification</t>
        </is>
      </c>
      <c r="H3" s="13" t="inlineStr">
        <is>
          <t>Contract Value CHF</t>
        </is>
      </c>
      <c r="I3" s="13" t="inlineStr">
        <is>
          <t>Primary Contact</t>
        </is>
      </c>
      <c r="J3" s="13" t="inlineStr">
        <is>
          <t>Legal Review Date</t>
        </is>
      </c>
      <c r="K3" s="13" t="inlineStr">
        <is>
          <t>Security Review Date</t>
        </is>
      </c>
      <c r="L3" s="13" t="inlineStr">
        <is>
          <t>Status</t>
        </is>
      </c>
    </row>
    <row r="4">
      <c r="A4" s="14" t="inlineStr">
        <is>
          <t>CONT-001</t>
        </is>
      </c>
      <c r="B4" s="14" t="inlineStr">
        <is>
          <t>VEND-001</t>
        </is>
      </c>
      <c r="C4" s="14" t="inlineStr">
        <is>
          <t>Web Application Development 2024-2025</t>
        </is>
      </c>
      <c r="D4" s="14" t="inlineStr">
        <is>
          <t>Fixed-price</t>
        </is>
      </c>
      <c r="E4" s="14" t="inlineStr">
        <is>
          <t>01.01.2024</t>
        </is>
      </c>
      <c r="F4" s="14" t="inlineStr">
        <is>
          <t>31.12.2025</t>
        </is>
      </c>
      <c r="G4" s="14" t="inlineStr">
        <is>
          <t>Critical</t>
        </is>
      </c>
      <c r="H4" s="14" t="inlineStr">
        <is>
          <t>250000</t>
        </is>
      </c>
      <c r="I4" s="14" t="inlineStr">
        <is>
          <t>Project Manager (pm@vendor.com)</t>
        </is>
      </c>
      <c r="J4" s="14" t="inlineStr">
        <is>
          <t>15.11.2023</t>
        </is>
      </c>
      <c r="K4" s="14" t="inlineStr">
        <is>
          <t>20.11.2023</t>
        </is>
      </c>
      <c r="L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3">
    <dataValidation sqref="D4:D102" showDropDown="0" showInputMessage="0" showErrorMessage="0" allowBlank="0" type="list">
      <formula1>"Fixed-price,T&amp;M,Staff Aug,Managed Service"</formula1>
    </dataValidation>
    <dataValidation sqref="G4:G102" showDropDown="0" showInputMessage="0" showErrorMessage="0" allowBlank="0" type="list">
      <formula1>"Critical,High,Standard"</formula1>
    </dataValidation>
    <dataValidation sqref="L4:L102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 ht="35" customHeight="1">
      <c r="A1" s="11" t="inlineStr">
        <is>
          <t>SECURITY CLAUSES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Clause Category</t>
        </is>
      </c>
      <c r="C3" s="13" t="inlineStr">
        <is>
          <t>Clause Description</t>
        </is>
      </c>
      <c r="D3" s="13" t="inlineStr">
        <is>
          <t>Included</t>
        </is>
      </c>
      <c r="E3" s="13" t="inlineStr">
        <is>
          <t>Clause Reference</t>
        </is>
      </c>
      <c r="F3" s="13" t="inlineStr">
        <is>
          <t>Modification Notes</t>
        </is>
      </c>
      <c r="G3" s="13" t="inlineStr">
        <is>
          <t>Reviewed By</t>
        </is>
      </c>
      <c r="H3" s="13" t="inlineStr">
        <is>
          <t>Review Date</t>
        </is>
      </c>
    </row>
    <row r="4">
      <c r="A4" s="14" t="inlineStr">
        <is>
          <t>[Contract ID]</t>
        </is>
      </c>
      <c r="B4" s="14" t="inlineStr">
        <is>
          <t>Secure Coding Standards</t>
        </is>
      </c>
      <c r="C4" s="14" t="inlineStr">
        <is>
          <t>Compliance with secure coding standards per ISMS-POL-A.8.28</t>
        </is>
      </c>
      <c r="D4" s="16" t="n"/>
      <c r="E4" s="16" t="n"/>
      <c r="F4" s="16" t="n"/>
      <c r="G4" s="16" t="n"/>
      <c r="H4" s="16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102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 ht="35" customHeight="1">
      <c r="A1" s="11" t="inlineStr">
        <is>
          <t>SLA COMPLIANCE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SLA ID</t>
        </is>
      </c>
      <c r="B3" s="13" t="inlineStr">
        <is>
          <t>Contract ID</t>
        </is>
      </c>
      <c r="C3" s="13" t="inlineStr">
        <is>
          <t>Vulnerability ID</t>
        </is>
      </c>
      <c r="D3" s="13" t="inlineStr">
        <is>
          <t>Severity</t>
        </is>
      </c>
      <c r="E3" s="13" t="inlineStr">
        <is>
          <t>Discovery Date</t>
        </is>
      </c>
      <c r="F3" s="13" t="inlineStr">
        <is>
          <t>SLA Days</t>
        </is>
      </c>
      <c r="G3" s="13" t="inlineStr">
        <is>
          <t>SLA Due Date</t>
        </is>
      </c>
      <c r="H3" s="13" t="inlineStr">
        <is>
          <t>Remediation Date</t>
        </is>
      </c>
      <c r="I3" s="13" t="inlineStr">
        <is>
          <t>SLA Met</t>
        </is>
      </c>
      <c r="J3" s="13" t="inlineStr">
        <is>
          <t>Exception Approved</t>
        </is>
      </c>
      <c r="K3" s="13" t="inlineStr">
        <is>
          <t>Exception Approver</t>
        </is>
      </c>
      <c r="L3" s="13" t="inlineStr">
        <is>
          <t>Notes</t>
        </is>
      </c>
    </row>
    <row r="4">
      <c r="A4" s="14" t="inlineStr">
        <is>
          <t>SLA-001</t>
        </is>
      </c>
      <c r="B4" s="14" t="inlineStr">
        <is>
          <t>CONT-001</t>
        </is>
      </c>
      <c r="C4" s="14" t="inlineStr">
        <is>
          <t>VULN-2024-001</t>
        </is>
      </c>
      <c r="D4" s="14" t="inlineStr">
        <is>
          <t>Critical</t>
        </is>
      </c>
      <c r="E4" s="14" t="inlineStr">
        <is>
          <t>01.12.2024</t>
        </is>
      </c>
      <c r="F4" s="14" t="inlineStr">
        <is>
          <t>7</t>
        </is>
      </c>
      <c r="G4" s="14" t="inlineStr">
        <is>
          <t>08.12.2024</t>
        </is>
      </c>
      <c r="H4" s="14" t="inlineStr">
        <is>
          <t>06.12.2024</t>
        </is>
      </c>
      <c r="I4" s="14" t="inlineStr">
        <is>
          <t>Met</t>
        </is>
      </c>
      <c r="J4" s="14" t="inlineStr">
        <is>
          <t>No</t>
        </is>
      </c>
      <c r="K4" s="14" t="inlineStr"/>
      <c r="L4" s="14" t="inlineStr">
        <is>
          <t>Patch deployed 2 days ahead of SLA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4">
    <dataValidation sqref="D4:D102" showDropDown="0" showInputMessage="0" showErrorMessage="0" allowBlank="0" type="list">
      <formula1>"Critical,High,Medium,Low"</formula1>
    </dataValidation>
    <dataValidation sqref="F4:F102" showDropDown="0" showInputMessage="0" showErrorMessage="0" allowBlank="0" type="list">
      <formula1>"7,30,90,180"</formula1>
    </dataValidation>
    <dataValidation sqref="I4:I102" showDropDown="0" showInputMessage="0" showErrorMessage="0" allowBlank="0" type="list">
      <formula1>"Met,Missed,Pending,Exception"</formula1>
    </dataValidation>
    <dataValidation sqref="J4:J102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 ht="35" customHeight="1">
      <c r="A1" s="11" t="inlineStr">
        <is>
          <t>SUBCONTRACTOR APPROVALS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Approval ID</t>
        </is>
      </c>
      <c r="B3" s="13" t="inlineStr">
        <is>
          <t>Contract ID</t>
        </is>
      </c>
      <c r="C3" s="13" t="inlineStr">
        <is>
          <t>Primary Vendor ID</t>
        </is>
      </c>
      <c r="D3" s="13" t="inlineStr">
        <is>
          <t>Subcontractor Name</t>
        </is>
      </c>
      <c r="E3" s="13" t="inlineStr">
        <is>
          <t>Subcontractor Scope</t>
        </is>
      </c>
      <c r="F3" s="13" t="inlineStr">
        <is>
          <t>Access Level</t>
        </is>
      </c>
      <c r="G3" s="13" t="inlineStr">
        <is>
          <t>Assessment Level</t>
        </is>
      </c>
      <c r="H3" s="13" t="inlineStr">
        <is>
          <t>Risk Classification</t>
        </is>
      </c>
      <c r="I3" s="13" t="inlineStr">
        <is>
          <t>Approval Status</t>
        </is>
      </c>
      <c r="J3" s="13" t="inlineStr">
        <is>
          <t>Approved By</t>
        </is>
      </c>
      <c r="K3" s="13" t="inlineStr">
        <is>
          <t>Approval Date</t>
        </is>
      </c>
      <c r="L3" s="13" t="inlineStr">
        <is>
          <t>Expiry Date</t>
        </is>
      </c>
      <c r="M3" s="13" t="inlineStr">
        <is>
          <t>Flow Down Verified</t>
        </is>
      </c>
      <c r="N3" s="13" t="inlineStr">
        <is>
          <t>Notes</t>
        </is>
      </c>
    </row>
    <row r="4">
      <c r="A4" s="14" t="inlineStr">
        <is>
          <t>SUB-001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SecureDev Partners Ltd</t>
        </is>
      </c>
      <c r="E4" s="14" t="inlineStr">
        <is>
          <t>Penetration testing services</t>
        </is>
      </c>
      <c r="F4" s="14" t="inlineStr">
        <is>
          <t>Direct</t>
        </is>
      </c>
      <c r="G4" s="14" t="inlineStr">
        <is>
          <t>Full</t>
        </is>
      </c>
      <c r="H4" s="14" t="inlineStr">
        <is>
          <t>Medium</t>
        </is>
      </c>
      <c r="I4" s="14" t="inlineStr">
        <is>
          <t>Approved</t>
        </is>
      </c>
      <c r="J4" s="14" t="inlineStr">
        <is>
          <t>CISO</t>
        </is>
      </c>
      <c r="K4" s="14" t="inlineStr">
        <is>
          <t>15.11.2024</t>
        </is>
      </c>
      <c r="L4" s="14" t="inlineStr">
        <is>
          <t>15.11.2025</t>
        </is>
      </c>
      <c r="M4" s="14" t="inlineStr">
        <is>
          <t>Yes</t>
        </is>
      </c>
      <c r="N4" s="14" t="inlineStr">
        <is>
          <t>ISO 27001 certified subcontractor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5">
    <dataValidation sqref="F4:F102" showDropDown="0" showInputMessage="0" showErrorMessage="0" allowBlank="0" type="list">
      <formula1>"Direct,Via Vendor,None"</formula1>
    </dataValidation>
    <dataValidation sqref="G4:G102" showDropDown="0" showInputMessage="0" showErrorMessage="0" allowBlank="0" type="list">
      <formula1>"Full,Abbreviated,Vendor Attested"</formula1>
    </dataValidation>
    <dataValidation sqref="H4:H102" showDropDown="0" showInputMessage="0" showErrorMessage="0" allowBlank="0" type="list">
      <formula1>"High,Medium,Low"</formula1>
    </dataValidation>
    <dataValidation sqref="I4:I102" showDropDown="0" showInputMessage="0" showErrorMessage="0" allowBlank="0" type="list">
      <formula1>"Approved,Pending,Rejected"</formula1>
    </dataValidation>
    <dataValidation sqref="M4:M10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 ht="35" customHeight="1">
      <c r="A1" s="11" t="inlineStr">
        <is>
          <t>TERMINATION CHECKLIST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Contract ID</t>
        </is>
      </c>
      <c r="B3" s="13" t="inlineStr">
        <is>
          <t>Termination Type</t>
        </is>
      </c>
      <c r="C3" s="13" t="inlineStr">
        <is>
          <t>Termination Date</t>
        </is>
      </c>
      <c r="D3" s="13" t="inlineStr">
        <is>
          <t>Check Item</t>
        </is>
      </c>
      <c r="E3" s="13" t="inlineStr">
        <is>
          <t>Status</t>
        </is>
      </c>
      <c r="F3" s="13" t="inlineStr">
        <is>
          <t>Completion Date</t>
        </is>
      </c>
      <c r="G3" s="13" t="inlineStr">
        <is>
          <t>Verified By</t>
        </is>
      </c>
      <c r="H3" s="13" t="inlineStr">
        <is>
          <t>Evidence Reference</t>
        </is>
      </c>
    </row>
    <row r="4">
      <c r="A4" s="14" t="inlineStr">
        <is>
          <t>Contract 001</t>
        </is>
      </c>
      <c r="B4" s="14" t="inlineStr">
        <is>
          <t>Completion</t>
        </is>
      </c>
      <c r="C4" s="14" t="inlineStr">
        <is>
          <t>15.12.2024</t>
        </is>
      </c>
      <c r="D4" s="14" t="inlineStr">
        <is>
          <t>All access credentials revoked (within 24 hours)</t>
        </is>
      </c>
      <c r="E4" s="14" t="inlineStr">
        <is>
          <t>Complete</t>
        </is>
      </c>
      <c r="F4" s="14" t="inlineStr">
        <is>
          <t>16.12.2024</t>
        </is>
      </c>
      <c r="G4" s="14" t="inlineStr">
        <is>
          <t>Security Team</t>
        </is>
      </c>
      <c r="H4" s="14" t="inlineStr">
        <is>
          <t>Termination/Contract-001-Access-Revocation-Confirmed.pdf</t>
        </is>
      </c>
    </row>
    <row r="5">
      <c r="A5" s="15" t="n"/>
      <c r="B5" s="15" t="n"/>
      <c r="C5" s="15" t="n"/>
      <c r="D5" s="17" t="inlineStr">
        <is>
          <t>[Organisation] data returned or destroyed</t>
        </is>
      </c>
      <c r="E5" s="15" t="n"/>
      <c r="F5" s="15" t="n"/>
      <c r="G5" s="15" t="n"/>
      <c r="H5" s="15" t="n"/>
    </row>
    <row r="6">
      <c r="A6" s="15" t="n"/>
      <c r="B6" s="15" t="n"/>
      <c r="C6" s="15" t="n"/>
      <c r="D6" s="17" t="inlineStr">
        <is>
          <t>Destruction certificate received</t>
        </is>
      </c>
      <c r="E6" s="15" t="n"/>
      <c r="F6" s="15" t="n"/>
      <c r="G6" s="15" t="n"/>
      <c r="H6" s="15" t="n"/>
    </row>
    <row r="7">
      <c r="A7" s="15" t="n"/>
      <c r="B7" s="15" t="n"/>
      <c r="C7" s="15" t="n"/>
      <c r="D7" s="17" t="inlineStr">
        <is>
          <t>Source code transferred (if applicable)</t>
        </is>
      </c>
      <c r="E7" s="15" t="n"/>
      <c r="F7" s="15" t="n"/>
      <c r="G7" s="15" t="n"/>
      <c r="H7" s="15" t="n"/>
    </row>
    <row r="8">
      <c r="A8" s="15" t="n"/>
      <c r="B8" s="15" t="n"/>
      <c r="C8" s="15" t="n"/>
      <c r="D8" s="17" t="inlineStr">
        <is>
          <t>Documentation transferred</t>
        </is>
      </c>
      <c r="E8" s="15" t="n"/>
      <c r="F8" s="15" t="n"/>
      <c r="G8" s="15" t="n"/>
      <c r="H8" s="15" t="n"/>
    </row>
    <row r="9">
      <c r="A9" s="15" t="n"/>
      <c r="B9" s="15" t="n"/>
      <c r="C9" s="15" t="n"/>
      <c r="D9" s="17" t="inlineStr">
        <is>
          <t>Escrow arrangements verified</t>
        </is>
      </c>
      <c r="E9" s="15" t="n"/>
      <c r="F9" s="15" t="n"/>
      <c r="G9" s="15" t="n"/>
      <c r="H9" s="15" t="n"/>
    </row>
    <row r="10">
      <c r="A10" s="15" t="n"/>
      <c r="B10" s="15" t="n"/>
      <c r="C10" s="15" t="n"/>
      <c r="D10" s="17" t="inlineStr">
        <is>
          <t>Outstanding vulnerabilities addressed or risk accepted</t>
        </is>
      </c>
      <c r="E10" s="15" t="n"/>
      <c r="F10" s="15" t="n"/>
      <c r="G10" s="15" t="n"/>
      <c r="H10" s="15" t="n"/>
    </row>
    <row r="11">
      <c r="A11" s="15" t="n"/>
      <c r="B11" s="15" t="n"/>
      <c r="C11" s="15" t="n"/>
      <c r="D11" s="17" t="inlineStr">
        <is>
          <t>Final security review completed</t>
        </is>
      </c>
      <c r="E11" s="15" t="n"/>
      <c r="F11" s="15" t="n"/>
      <c r="G11" s="15" t="n"/>
      <c r="H11" s="15" t="n"/>
    </row>
    <row r="12">
      <c r="A12" s="15" t="n"/>
      <c r="B12" s="15" t="n"/>
      <c r="C12" s="15" t="n"/>
      <c r="D12" s="17" t="inlineStr">
        <is>
          <t>Lessons learned documented</t>
        </is>
      </c>
      <c r="E12" s="15" t="n"/>
      <c r="F12" s="15" t="n"/>
      <c r="G12" s="15" t="n"/>
      <c r="H12" s="15" t="n"/>
    </row>
    <row r="13">
      <c r="A13" s="15" t="n"/>
      <c r="B13" s="15" t="n"/>
      <c r="C13" s="15" t="n"/>
      <c r="D13" s="17" t="inlineStr">
        <is>
          <t>Vendor removed from active registry</t>
        </is>
      </c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2">
    <dataValidation sqref="B4:B102" showDropDown="0" showInputMessage="0" showErrorMessage="0" allowBlank="0" type="list">
      <formula1>"Completion,Early,Breach"</formula1>
    </dataValidation>
    <dataValidation sqref="E4:E102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List all evidence files/documents referenced in this assessment (audit traceability).</t>
        </is>
      </c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Location/Path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21" t="inlineStr">
        <is>
          <t>EV-001</t>
        </is>
      </c>
      <c r="B5" s="21" t="inlineStr">
        <is>
          <t>Contract Inventory</t>
        </is>
      </c>
      <c r="C5" s="21" t="inlineStr">
        <is>
          <t>Configuration file</t>
        </is>
      </c>
      <c r="D5" s="21" t="inlineStr">
        <is>
          <t>Executed contract with security clauses - Acme Corp</t>
        </is>
      </c>
      <c r="E5" s="21" t="inlineStr">
        <is>
          <t>Legal/Contracts/2024/Acme-Development-Contract-Signed.pdf</t>
        </is>
      </c>
      <c r="F5" s="21" t="inlineStr">
        <is>
          <t>15.11.2023</t>
        </is>
      </c>
      <c r="G5" s="21" t="inlineStr">
        <is>
          <t>Legal Team</t>
        </is>
      </c>
      <c r="H5" s="21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CONTRACT COMPLIANCE — SUMMARY DASHBOARD</t>
        </is>
      </c>
    </row>
    <row r="2">
      <c r="A2" s="22" t="inlineStr">
        <is>
          <t>ISO/IEC 27001:2022 - Control A.8.30: Outsourced Development</t>
        </is>
      </c>
    </row>
    <row r="4">
      <c r="A4" s="23" t="inlineStr">
        <is>
          <t>TABLE 1: ASSESSMENT AREA COMPLIANCE OVERVIEW</t>
        </is>
      </c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Contract Inventory</t>
        </is>
      </c>
      <c r="B6" s="26">
        <f>COUNTA('Contract Inventory'!L5:L54)</f>
        <v/>
      </c>
      <c r="C6" s="26">
        <f>COUNTIF('Contract Inventory'!L5:L54,"Active")</f>
        <v/>
      </c>
      <c r="D6" s="26">
        <f>0</f>
        <v/>
      </c>
      <c r="E6" s="26">
        <f>COUNTIF('Contract Inventory'!L5:L54,"Completed")+COUNTIF('Contract Inventory'!L5:L54,"Terminated")</f>
        <v/>
      </c>
      <c r="F6" s="26">
        <f>0</f>
        <v/>
      </c>
      <c r="G6" s="27">
        <f>IF((B6-F6)=0,0,C6/(B6-F6))</f>
        <v/>
      </c>
    </row>
    <row r="7">
      <c r="A7" s="25" t="inlineStr">
        <is>
          <t>Security Clauses Compliance</t>
        </is>
      </c>
      <c r="B7" s="26">
        <f>COUNTA('Security Clauses'!D5:D54)</f>
        <v/>
      </c>
      <c r="C7" s="26">
        <f>COUNTIF('Security Clauses'!D5:D54,"Yes")</f>
        <v/>
      </c>
      <c r="D7" s="26">
        <f>COUNTIF('Security Clauses'!D5:D54,"Modified")</f>
        <v/>
      </c>
      <c r="E7" s="26">
        <f>COUNTIF('Security Clauses'!D5:D54,"No")</f>
        <v/>
      </c>
      <c r="F7" s="26">
        <f>COUNTIF('Security Clauses'!D5:D54,"N/A")</f>
        <v/>
      </c>
      <c r="G7" s="27">
        <f>IF((B7-F7)=0,0,C7/(B7-F7))</f>
        <v/>
      </c>
    </row>
    <row r="8">
      <c r="A8" s="25" t="inlineStr">
        <is>
          <t>SLA Compliance Tracking</t>
        </is>
      </c>
      <c r="B8" s="26">
        <f>COUNTA('SLA Compliance'!I5:I54)</f>
        <v/>
      </c>
      <c r="C8" s="26">
        <f>COUNTIF('SLA Compliance'!I5:I54,"Met")</f>
        <v/>
      </c>
      <c r="D8" s="26">
        <f>COUNTIF('SLA Compliance'!I5:I54,"Pending")</f>
        <v/>
      </c>
      <c r="E8" s="26">
        <f>COUNTIF('SLA Compliance'!I5:I54,"Missed")</f>
        <v/>
      </c>
      <c r="F8" s="26">
        <f>COUNTIF('SLA Compliance'!I5:I54,"Exception")</f>
        <v/>
      </c>
      <c r="G8" s="27">
        <f>IF((B8-F8)=0,0,C8/(B8-F8))</f>
        <v/>
      </c>
    </row>
    <row r="9">
      <c r="A9" s="25" t="inlineStr">
        <is>
          <t>Subcontractor Approvals</t>
        </is>
      </c>
      <c r="B9" s="26">
        <f>COUNTA('Subcontractor Approvals'!I5:I54)</f>
        <v/>
      </c>
      <c r="C9" s="26">
        <f>COUNTIF('Subcontractor Approvals'!I5:I54,"Approved")</f>
        <v/>
      </c>
      <c r="D9" s="26">
        <f>COUNTIF('Subcontractor Approvals'!I5:I54,"Pending")</f>
        <v/>
      </c>
      <c r="E9" s="26">
        <f>COUNTIF('Subcontractor Approvals'!I5:I54,"Rejected")</f>
        <v/>
      </c>
      <c r="F9" s="26">
        <f>0</f>
        <v/>
      </c>
      <c r="G9" s="27">
        <f>IF((B9-F9)=0,0,C9/(B9-F9))</f>
        <v/>
      </c>
    </row>
    <row r="10">
      <c r="A10" s="25" t="inlineStr">
        <is>
          <t>Termination Checklist</t>
        </is>
      </c>
      <c r="B10" s="26">
        <f>COUNTA('Termination Checklist'!E5:E54)</f>
        <v/>
      </c>
      <c r="C10" s="26">
        <f>COUNTIF('Termination Checklist'!E5:E54,"Complete")</f>
        <v/>
      </c>
      <c r="D10" s="26">
        <f>COUNTIF('Termination Checklist'!E5:E54,"Pending")</f>
        <v/>
      </c>
      <c r="E10" s="26">
        <f>0</f>
        <v/>
      </c>
      <c r="F10" s="26">
        <f>COUNTIF('Termination Checklist'!E5:E54,"N/A")</f>
        <v/>
      </c>
      <c r="G10" s="27">
        <f>IF((B10-F10)=0,0,C10/(B10-F10))</f>
        <v/>
      </c>
    </row>
    <row r="11">
      <c r="A11" s="28" t="inlineStr">
        <is>
          <t>TOTAL</t>
        </is>
      </c>
      <c r="B11" s="29">
        <f>SUM(B6:B10)</f>
        <v/>
      </c>
      <c r="C11" s="29">
        <f>SUM(C6:C10)</f>
        <v/>
      </c>
      <c r="D11" s="29">
        <f>SUM(D6:D10)</f>
        <v/>
      </c>
      <c r="E11" s="29">
        <f>SUM(E6:E10)</f>
        <v/>
      </c>
      <c r="F11" s="29">
        <f>SUM(F6:F10)</f>
        <v/>
      </c>
      <c r="G11" s="30">
        <f>IF((B11-F11)=0,0,C11/(B11-F11))</f>
        <v/>
      </c>
    </row>
    <row r="13">
      <c r="A13" s="23" t="inlineStr">
        <is>
          <t>TABLE 2: KEY METRICS</t>
        </is>
      </c>
    </row>
    <row r="14">
      <c r="A14" s="25" t="inlineStr">
        <is>
          <t>Total Active Contracts</t>
        </is>
      </c>
      <c r="B14" s="6">
        <f>COUNTIF('Contract Inventory'!L5:L54,"Active")</f>
        <v/>
      </c>
      <c r="C14" s="6" t="n"/>
      <c r="D14" s="6" t="n"/>
      <c r="E14" s="6" t="n"/>
      <c r="F14" s="6" t="n"/>
      <c r="G14" s="6" t="n"/>
    </row>
    <row r="15">
      <c r="A15" s="25" t="inlineStr">
        <is>
          <t>Total Subcontractors</t>
        </is>
      </c>
      <c r="B15" s="6">
        <f>COUNTA('Subcontractor Approvals'!B5:B54)</f>
        <v/>
      </c>
      <c r="C15" s="6" t="n"/>
      <c r="D15" s="6" t="n"/>
      <c r="E15" s="6" t="n"/>
      <c r="F15" s="6" t="n"/>
      <c r="G15" s="6" t="n"/>
    </row>
    <row r="16">
      <c r="A16" s="25" t="inlineStr">
        <is>
          <t>Active Critical Projects</t>
        </is>
      </c>
      <c r="B16" s="6">
        <f>COUNTIFS('Contract Inventory'!L5:L54,"Active",'Contract Inventory'!G5:G54,"Critical")</f>
        <v/>
      </c>
      <c r="C16" s="6" t="n"/>
      <c r="D16" s="6" t="n"/>
      <c r="E16" s="6" t="n"/>
      <c r="F16" s="6" t="n"/>
      <c r="G16" s="6" t="n"/>
    </row>
    <row r="17">
      <c r="A17" s="25" t="inlineStr">
        <is>
          <t>SLA Compliance Rate</t>
        </is>
      </c>
      <c r="B17" s="6">
        <f>IF(COUNTA('SLA Compliance'!I5:I54)=0,"0%",ROUND(COUNTIF('SLA Compliance'!I5:I54,"Met")/COUNTA('SLA Compliance'!I5:I54)*100,1)&amp;"%")</f>
        <v/>
      </c>
      <c r="C17" s="6" t="n"/>
      <c r="D17" s="6" t="n"/>
      <c r="E17" s="6" t="n"/>
      <c r="F17" s="6" t="n"/>
      <c r="G17" s="6" t="n"/>
    </row>
    <row r="18">
      <c r="A18" s="25" t="inlineStr">
        <is>
          <t>Security Clauses Met</t>
        </is>
      </c>
      <c r="B18" s="6">
        <f>IF(COUNTA('Security Clauses'!D5:D54)=0,"0%",ROUND(COUNTIF('Security Clauses'!D5:D54,"Yes")/COUNTA('Security Clauses'!D5:D54)*100,1)&amp;"%")</f>
        <v/>
      </c>
      <c r="C18" s="6" t="n"/>
      <c r="D18" s="6" t="n"/>
      <c r="E18" s="6" t="n"/>
      <c r="F18" s="6" t="n"/>
      <c r="G18" s="6" t="n"/>
    </row>
    <row r="19">
      <c r="A19" s="25" t="inlineStr">
        <is>
          <t>Pending Terminations</t>
        </is>
      </c>
      <c r="B19" s="6">
        <f>COUNTIF('Termination Checklist'!E5:E54,"Pending")</f>
        <v/>
      </c>
      <c r="C19" s="6" t="n"/>
      <c r="D19" s="6" t="n"/>
      <c r="E19" s="6" t="n"/>
      <c r="F19" s="6" t="n"/>
      <c r="G19" s="6" t="n"/>
    </row>
    <row r="21">
      <c r="A21" s="31" t="inlineStr">
        <is>
          <t>TABLE 3: CRITICAL FINDINGS</t>
        </is>
      </c>
    </row>
    <row r="22">
      <c r="A22" s="29" t="inlineStr">
        <is>
          <t>#</t>
        </is>
      </c>
      <c r="B22" s="29" t="inlineStr">
        <is>
          <t>Finding</t>
        </is>
      </c>
      <c r="C22" s="29" t="inlineStr">
        <is>
          <t>Severity</t>
        </is>
      </c>
      <c r="D22" s="29" t="inlineStr">
        <is>
          <t>Affected Area</t>
        </is>
      </c>
      <c r="E22" s="29" t="inlineStr">
        <is>
          <t>Recommended Action</t>
        </is>
      </c>
      <c r="F22" s="29" t="inlineStr">
        <is>
          <t>Owner</t>
        </is>
      </c>
      <c r="G22" s="29" t="inlineStr">
        <is>
          <t>Due Date</t>
        </is>
      </c>
    </row>
    <row r="23">
      <c r="A23" s="15">
        <f>COUNTIF('Contract Inventory'!L5:L54,"Terminated")</f>
        <v/>
      </c>
      <c r="B23" s="15" t="inlineStr">
        <is>
          <t>Terminated Contracts Requiring Cleanup</t>
        </is>
      </c>
      <c r="C23" s="15" t="inlineStr">
        <is>
          <t>High</t>
        </is>
      </c>
      <c r="D23" s="15" t="inlineStr">
        <is>
          <t>Contract Inventory</t>
        </is>
      </c>
      <c r="E23" s="15" t="inlineStr">
        <is>
          <t>Review termination checklist completion</t>
        </is>
      </c>
      <c r="F23" s="15" t="n"/>
      <c r="G23" s="32" t="n"/>
    </row>
    <row r="24">
      <c r="A24" s="15">
        <f>COUNTIF('Security Clauses'!D5:D54,"No")</f>
        <v/>
      </c>
      <c r="B24" s="15" t="inlineStr">
        <is>
          <t>Missing Critical Security Clauses</t>
        </is>
      </c>
      <c r="C24" s="15" t="inlineStr">
        <is>
          <t>Critical</t>
        </is>
      </c>
      <c r="D24" s="15" t="inlineStr">
        <is>
          <t>Security Clauses</t>
        </is>
      </c>
      <c r="E24" s="15" t="inlineStr">
        <is>
          <t>Add required clauses to contracts</t>
        </is>
      </c>
      <c r="F24" s="15" t="n"/>
      <c r="G24" s="32" t="n"/>
    </row>
    <row r="25">
      <c r="A25" s="15">
        <f>COUNTIF('SLA Compliance'!I5:I54,"Missed")</f>
        <v/>
      </c>
      <c r="B25" s="15" t="inlineStr">
        <is>
          <t>SLA Compliance Failures</t>
        </is>
      </c>
      <c r="C25" s="15" t="inlineStr">
        <is>
          <t>High</t>
        </is>
      </c>
      <c r="D25" s="15" t="inlineStr">
        <is>
          <t>SLA Compliance</t>
        </is>
      </c>
      <c r="E25" s="15" t="inlineStr">
        <is>
          <t>Investigate SLA breaches</t>
        </is>
      </c>
      <c r="F25" s="15" t="n"/>
      <c r="G25" s="32" t="n"/>
    </row>
    <row r="26">
      <c r="A26" s="15">
        <f>COUNTIF('Subcontractor Approvals'!I5:I54,"Pending")</f>
        <v/>
      </c>
      <c r="B26" s="15" t="inlineStr">
        <is>
          <t>Pending Subcontractor Approvals</t>
        </is>
      </c>
      <c r="C26" s="15" t="inlineStr">
        <is>
          <t>Medium</t>
        </is>
      </c>
      <c r="D26" s="15" t="inlineStr">
        <is>
          <t>Subcontractor Approvals</t>
        </is>
      </c>
      <c r="E26" s="15" t="inlineStr">
        <is>
          <t>Complete subcontractor assessments</t>
        </is>
      </c>
      <c r="F26" s="15" t="n"/>
      <c r="G26" s="32" t="n"/>
    </row>
    <row r="27">
      <c r="A27" s="15">
        <f>COUNTIF('Subcontractor Approvals'!I5:I54,"Rejected")</f>
        <v/>
      </c>
      <c r="B27" s="15" t="inlineStr">
        <is>
          <t>Rejected Subcontractors</t>
        </is>
      </c>
      <c r="C27" s="15" t="inlineStr">
        <is>
          <t>Critical</t>
        </is>
      </c>
      <c r="D27" s="15" t="inlineStr">
        <is>
          <t>Subcontractor Approvals</t>
        </is>
      </c>
      <c r="E27" s="15" t="inlineStr">
        <is>
          <t>Remove access immediately</t>
        </is>
      </c>
      <c r="F27" s="15" t="n"/>
      <c r="G27" s="32" t="n"/>
    </row>
    <row r="28">
      <c r="A28" s="15">
        <f>COUNTIF('Subcontractor Approvals'!H5:H54,"High")</f>
        <v/>
      </c>
      <c r="B28" s="15" t="inlineStr">
        <is>
          <t>High-Risk Subcontractors</t>
        </is>
      </c>
      <c r="C28" s="15" t="inlineStr">
        <is>
          <t>High</t>
        </is>
      </c>
      <c r="D28" s="15" t="inlineStr">
        <is>
          <t>Subcontractor Approvals</t>
        </is>
      </c>
      <c r="E28" s="15" t="inlineStr">
        <is>
          <t>Enhanced monitoring required</t>
        </is>
      </c>
      <c r="F28" s="15" t="n"/>
      <c r="G28" s="32" t="n"/>
    </row>
    <row r="29">
      <c r="A29" s="15">
        <f>COUNTIF('Subcontractor Approvals'!M5:M54,"No")</f>
        <v/>
      </c>
      <c r="B29" s="15" t="inlineStr">
        <is>
          <t>Flow-Down Requirements Not Verified</t>
        </is>
      </c>
      <c r="C29" s="15" t="inlineStr">
        <is>
          <t>Medium</t>
        </is>
      </c>
      <c r="D29" s="15" t="inlineStr">
        <is>
          <t>Subcontractor Approvals</t>
        </is>
      </c>
      <c r="E29" s="15" t="inlineStr">
        <is>
          <t>Verify subcontractor compliance flow-down</t>
        </is>
      </c>
      <c r="F29" s="15" t="n"/>
      <c r="G29" s="32" t="n"/>
    </row>
  </sheetData>
  <mergeCells count="11">
    <mergeCell ref="A13:G13"/>
    <mergeCell ref="B16:G16"/>
    <mergeCell ref="B19:G19"/>
    <mergeCell ref="A1:G1"/>
    <mergeCell ref="B14:G14"/>
    <mergeCell ref="A21:G21"/>
    <mergeCell ref="B17:G17"/>
    <mergeCell ref="A4:G4"/>
    <mergeCell ref="A2:G2"/>
    <mergeCell ref="B18:G18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5" t="inlineStr">
        <is>
          <t>Document:</t>
        </is>
      </c>
      <c r="B4" s="6" t="inlineStr">
        <is>
          <t>ISMS-IMP-A.8.30.2 - Contract Compliance</t>
        </is>
      </c>
      <c r="C4" s="6" t="n"/>
      <c r="D4" s="6" t="n"/>
      <c r="E4" s="6" t="n"/>
    </row>
    <row r="5">
      <c r="A5" s="35" t="inlineStr">
        <is>
          <t>Assessment Period:</t>
        </is>
      </c>
      <c r="B5" s="15" t="inlineStr"/>
      <c r="C5" s="15" t="n"/>
      <c r="D5" s="15" t="n"/>
      <c r="E5" s="15" t="n"/>
    </row>
    <row r="6">
      <c r="A6" s="35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5" t="inlineStr">
        <is>
          <t>Assessment Status:</t>
        </is>
      </c>
      <c r="B7" s="15" t="inlineStr"/>
      <c r="C7" s="15" t="n"/>
      <c r="D7" s="15" t="n"/>
      <c r="E7" s="15" t="n"/>
    </row>
    <row r="8">
      <c r="A8" s="35" t="inlineStr">
        <is>
          <t>Assessed By:</t>
        </is>
      </c>
      <c r="B8" s="15" t="inlineStr"/>
      <c r="C8" s="15" t="n"/>
      <c r="D8" s="15" t="n"/>
      <c r="E8" s="15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5" t="inlineStr">
        <is>
          <t>Name:</t>
        </is>
      </c>
      <c r="B12" s="15" t="n"/>
      <c r="C12" s="15" t="n"/>
      <c r="D12" s="15" t="n"/>
      <c r="E12" s="15" t="n"/>
    </row>
    <row r="13">
      <c r="A13" s="35" t="inlineStr">
        <is>
          <t>Title:</t>
        </is>
      </c>
      <c r="B13" s="15" t="n"/>
      <c r="C13" s="15" t="n"/>
      <c r="D13" s="15" t="n"/>
      <c r="E13" s="15" t="n"/>
    </row>
    <row r="14">
      <c r="A14" s="35" t="inlineStr">
        <is>
          <t>Date:</t>
        </is>
      </c>
      <c r="B14" s="15" t="n"/>
      <c r="C14" s="15" t="n"/>
      <c r="D14" s="15" t="n"/>
      <c r="E14" s="15" t="n"/>
    </row>
    <row r="15">
      <c r="A15" s="35" t="inlineStr">
        <is>
          <t>Signature:</t>
        </is>
      </c>
      <c r="B15" s="15" t="n"/>
      <c r="C15" s="15" t="n"/>
      <c r="D15" s="15" t="n"/>
      <c r="E15" s="15" t="n"/>
    </row>
    <row r="16">
      <c r="A16" s="35" t="inlineStr">
        <is>
          <t>Comments:</t>
        </is>
      </c>
      <c r="B16" s="15" t="n"/>
      <c r="C16" s="15" t="n"/>
      <c r="D16" s="15" t="n"/>
      <c r="E16" s="15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5" t="inlineStr">
        <is>
          <t>Name:</t>
        </is>
      </c>
      <c r="B19" s="15" t="n"/>
      <c r="C19" s="15" t="n"/>
      <c r="D19" s="15" t="n"/>
      <c r="E19" s="15" t="n"/>
    </row>
    <row r="20">
      <c r="A20" s="35" t="inlineStr">
        <is>
          <t>Title:</t>
        </is>
      </c>
      <c r="B20" s="15" t="n"/>
      <c r="C20" s="15" t="n"/>
      <c r="D20" s="15" t="n"/>
      <c r="E20" s="15" t="n"/>
    </row>
    <row r="21">
      <c r="A21" s="35" t="inlineStr">
        <is>
          <t>Date:</t>
        </is>
      </c>
      <c r="B21" s="15" t="n"/>
      <c r="C21" s="15" t="n"/>
      <c r="D21" s="15" t="n"/>
      <c r="E21" s="15" t="n"/>
    </row>
    <row r="22">
      <c r="A22" s="35" t="inlineStr">
        <is>
          <t>Signature:</t>
        </is>
      </c>
      <c r="B22" s="15" t="n"/>
      <c r="C22" s="15" t="n"/>
      <c r="D22" s="15" t="n"/>
      <c r="E22" s="15" t="n"/>
    </row>
    <row r="23">
      <c r="A23" s="35" t="inlineStr">
        <is>
          <t>Comments:</t>
        </is>
      </c>
      <c r="B23" s="15" t="n"/>
      <c r="C23" s="15" t="n"/>
      <c r="D23" s="15" t="n"/>
      <c r="E23" s="15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5" t="inlineStr">
        <is>
          <t>Name:</t>
        </is>
      </c>
      <c r="B26" s="15" t="n"/>
      <c r="C26" s="15" t="n"/>
      <c r="D26" s="15" t="n"/>
      <c r="E26" s="15" t="n"/>
    </row>
    <row r="27">
      <c r="A27" s="35" t="inlineStr">
        <is>
          <t>Title:</t>
        </is>
      </c>
      <c r="B27" s="15" t="n"/>
      <c r="C27" s="15" t="n"/>
      <c r="D27" s="15" t="n"/>
      <c r="E27" s="15" t="n"/>
    </row>
    <row r="28">
      <c r="A28" s="35" t="inlineStr">
        <is>
          <t>Date:</t>
        </is>
      </c>
      <c r="B28" s="15" t="n"/>
      <c r="C28" s="15" t="n"/>
      <c r="D28" s="15" t="n"/>
      <c r="E28" s="15" t="n"/>
    </row>
    <row r="29">
      <c r="A29" s="35" t="inlineStr">
        <is>
          <t>Signature:</t>
        </is>
      </c>
      <c r="B29" s="15" t="n"/>
      <c r="C29" s="15" t="n"/>
      <c r="D29" s="15" t="n"/>
      <c r="E29" s="15" t="n"/>
    </row>
    <row r="30">
      <c r="A30" s="35" t="inlineStr">
        <is>
          <t>Comments:</t>
        </is>
      </c>
      <c r="B30" s="15" t="n"/>
      <c r="C30" s="15" t="n"/>
      <c r="D30" s="15" t="n"/>
      <c r="E30" s="15" t="n"/>
    </row>
    <row r="32">
      <c r="A32" s="35" t="inlineStr">
        <is>
          <t>FINAL DECISION:</t>
        </is>
      </c>
      <c r="B32" s="15" t="n"/>
      <c r="C32" s="15" t="n"/>
      <c r="D32" s="15" t="n"/>
      <c r="E32" s="15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5" t="inlineStr">
        <is>
          <t>Next Review Date:</t>
        </is>
      </c>
      <c r="B36" s="15" t="n"/>
      <c r="C36" s="15" t="n"/>
      <c r="D36" s="15" t="n"/>
      <c r="E36" s="15" t="n"/>
    </row>
    <row r="37">
      <c r="A37" s="35" t="inlineStr">
        <is>
          <t>Review Responsible:</t>
        </is>
      </c>
      <c r="B37" s="15" t="n"/>
      <c r="C37" s="15" t="n"/>
      <c r="D37" s="15" t="n"/>
      <c r="E37" s="15" t="n"/>
    </row>
    <row r="38">
      <c r="A38" s="35" t="inlineStr">
        <is>
          <t>Special Considerations:</t>
        </is>
      </c>
      <c r="B38" s="15" t="n"/>
      <c r="C38" s="15" t="n"/>
      <c r="D38" s="15" t="n"/>
      <c r="E38" s="15" t="n"/>
    </row>
  </sheetData>
  <mergeCells count="30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ISMS-IMP-A.8.30.2 — Contract Compliance</dc:title>
  <dc:description xmlns:dc="http://purl.org/dc/elements/1.1/">ISMS Implementation Workbook — ISMS-IMP-A.8.30.2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2026-03-01T16:58:21Z</dcterms:created>
  <dcterms:modified xmlns:dcterms="http://purl.org/dc/terms/" xmlns:xsi="http://www.w3.org/2001/XMLSchema-instance" xsi:type="dcterms:W3CDTF">2026-03-01T16:58:21Z</dcterms:modified>
</cp:coreProperties>
</file>