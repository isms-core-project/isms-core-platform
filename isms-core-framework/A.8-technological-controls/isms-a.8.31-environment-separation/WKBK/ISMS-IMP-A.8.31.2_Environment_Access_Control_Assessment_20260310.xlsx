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Environment Access Matrix" sheetId="2" state="visible" r:id="rId2"/>
    <sheet xmlns:r="http://schemas.openxmlformats.org/officeDocument/2006/relationships" name="Developer Production Access" sheetId="3" state="visible" r:id="rId3"/>
    <sheet xmlns:r="http://schemas.openxmlformats.org/officeDocument/2006/relationships" name="Production Credential Audit" sheetId="4" state="visible" r:id="rId4"/>
    <sheet xmlns:r="http://schemas.openxmlformats.org/officeDocument/2006/relationships" name="Cross Environment Access Log" sheetId="5" state="visible" r:id="rId5"/>
    <sheet xmlns:r="http://schemas.openxmlformats.org/officeDocument/2006/relationships" name="Break Glass Access Log" sheetId="6" state="visible" r:id="rId6"/>
    <sheet xmlns:r="http://schemas.openxmlformats.org/officeDocument/2006/relationships" name="MFA Enforcement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000000"/>
      <sz val="11"/>
    </font>
    <font>
      <name val="Calibri"/>
      <i val="1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6" fillId="12" borderId="0" pivotButton="0" quotePrefix="0" xfId="0"/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8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13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ISMS-IMP-A.8.31.2  -  Environment Access Control Assessment
ISO/IEC 27001:2022 - Control A.8.31: Separation of Development, Test and Production Environments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ISMS-IMP-A.8.31.2</t>
        </is>
      </c>
    </row>
    <row r="5">
      <c r="A5" s="3" t="inlineStr">
        <is>
          <t>Workbook Title</t>
        </is>
      </c>
      <c r="B5" t="inlineStr">
        <is>
          <t>Environment Access Control Assessment</t>
        </is>
      </c>
    </row>
    <row r="6">
      <c r="A6" s="3" t="inlineStr">
        <is>
          <t>Control Reference</t>
        </is>
      </c>
      <c r="B6" t="inlineStr">
        <is>
          <t>ISO/IEC 27001:2022 - Control A.8.31: Separation of Development, Test and Production Environments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User Environment Access Matrix — document who has access to which environment.</t>
        </is>
      </c>
    </row>
    <row r="14">
      <c r="A14" t="inlineStr">
        <is>
          <t>2. ⚠️ CRITICAL: Complete Developer Production Access — verify ZERO developers have production access.</t>
        </is>
      </c>
    </row>
    <row r="15">
      <c r="A15" t="inlineStr">
        <is>
          <t>3. Audit Production Credential Audit — verify all production credentials in PAM vault.</t>
        </is>
      </c>
    </row>
    <row r="16">
      <c r="A16" t="inlineStr">
        <is>
          <t>4. Review Cross Environment Access Log — check for unauthorised access attempts.</t>
        </is>
      </c>
    </row>
    <row r="17">
      <c r="A17" t="inlineStr">
        <is>
          <t>5. Document Break Glass Access Log — all emergency production access instances.</t>
        </is>
      </c>
    </row>
    <row r="18">
      <c r="A18" t="inlineStr">
        <is>
          <t>6. Verify MFA Enforcement — confirm MFA required for production.</t>
        </is>
      </c>
    </row>
    <row r="19">
      <c r="A19" t="inlineStr">
        <is>
          <t>7. Complete Summary Dashboard — calculate overall compliance.</t>
        </is>
      </c>
    </row>
    <row r="20">
      <c r="A20" t="inlineStr">
        <is>
          <t>8. Maintain Evidence Register for audit traceability.</t>
        </is>
      </c>
    </row>
    <row r="21">
      <c r="A21" t="inlineStr">
        <is>
          <t>9. Obtain final approval and sign-off.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 ht="35" customHeight="1">
      <c r="A1" s="11" t="inlineStr">
        <is>
          <t>USER → ENVIRONMENT ACCESS MATRIX</t>
        </is>
      </c>
    </row>
    <row r="2">
      <c r="A2" s="12" t="inlineStr">
        <is>
          <t>Document access permissions for each user per environment</t>
        </is>
      </c>
    </row>
    <row r="4">
      <c r="A4" s="13" t="inlineStr">
        <is>
          <t>User ID / Email</t>
        </is>
      </c>
      <c r="B4" s="13" t="inlineStr">
        <is>
          <t>Role</t>
        </is>
      </c>
      <c r="C4" s="13" t="inlineStr">
        <is>
          <t>Development Access</t>
        </is>
      </c>
      <c r="D4" s="13" t="inlineStr">
        <is>
          <t>Testing Access</t>
        </is>
      </c>
      <c r="E4" s="13" t="inlineStr">
        <is>
          <t>Staging Access</t>
        </is>
      </c>
      <c r="F4" s="13" t="inlineStr">
        <is>
          <t>Production Access</t>
        </is>
      </c>
      <c r="G4" s="13" t="inlineStr">
        <is>
          <t>Compliance Status</t>
        </is>
      </c>
      <c r="H4" s="13" t="inlineStr">
        <is>
          <t>Notes</t>
        </is>
      </c>
    </row>
    <row r="6">
      <c r="A6" s="14" t="inlineStr">
        <is>
          <t>dev2@example.ch</t>
        </is>
      </c>
      <c r="B6" s="14" t="inlineStr">
        <is>
          <t>Developer</t>
        </is>
      </c>
      <c r="C6" s="14" t="inlineStr">
        <is>
          <t>Full (CRUD)</t>
        </is>
      </c>
      <c r="D6" s="14" t="inlineStr">
        <is>
          <t>Read/Write</t>
        </is>
      </c>
      <c r="E6" s="14" t="inlineStr">
        <is>
          <t>Read-only</t>
        </is>
      </c>
      <c r="F6" s="14" t="inlineStr">
        <is>
          <t>No Access</t>
        </is>
      </c>
      <c r="G6" s="14" t="inlineStr">
        <is>
          <t>Compliant</t>
        </is>
      </c>
      <c r="H6" s="14" t="inlineStr">
        <is>
          <t>No prod access (expected)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3">
    <dataValidation sqref="C5:F55" showDropDown="0" showInputMessage="0" showErrorMessage="0" allowBlank="0" type="list">
      <formula1>"Full (CRUD),Read/Write,Read-only,No Access,Break-Glass Only"</formula1>
    </dataValidation>
    <dataValidation sqref="G5:G55" showDropDown="0" showInputMessage="0" showErrorMessage="0" allowBlank="0" type="list">
      <formula1>"Compliant,Non-Compliant,Partial,Not Assessed"</formula1>
    </dataValidation>
    <dataValidation sqref="B5:B55" showDropDown="0" showInputMessage="0" showErrorMessage="0" allowBlank="0" type="list">
      <formula1>"Developer,QA Engineer,DevOps Engineer,Operations Engineer,Security Analyst,Manager,Auditor,Other"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5" customWidth="1" min="4" max="4"/>
    <col width="40" customWidth="1" min="5" max="5"/>
    <col width="20" customWidth="1" min="6" max="6"/>
    <col width="40" customWidth="1" min="7" max="7"/>
  </cols>
  <sheetData>
    <row r="1" ht="35" customHeight="1">
      <c r="A1" s="11" t="inlineStr">
        <is>
          <t>DEVELOPER PRODUCTION ACCESS CHECK (CRITICAL)</t>
        </is>
      </c>
    </row>
    <row r="2" ht="30" customHeight="1">
      <c r="A2" s="12" t="inlineStr">
        <is>
          <t>TARGET: ZERO developers with production access | Any violations = CRITICAL FINDING</t>
        </is>
      </c>
    </row>
    <row r="4">
      <c r="A4" s="13" t="inlineStr">
        <is>
          <t>Developer ID</t>
        </is>
      </c>
      <c r="B4" s="13" t="inlineStr">
        <is>
          <t>Production Account/Sub</t>
        </is>
      </c>
      <c r="C4" s="13" t="inlineStr">
        <is>
          <t>Production Access?</t>
        </is>
      </c>
      <c r="D4" s="13" t="inlineStr">
        <is>
          <t>Access Type</t>
        </is>
      </c>
      <c r="E4" s="13" t="inlineStr">
        <is>
          <t>Justification</t>
        </is>
      </c>
      <c r="F4" s="13" t="inlineStr">
        <is>
          <t>Violation Severity</t>
        </is>
      </c>
      <c r="G4" s="13" t="inlineStr">
        <is>
          <t>Remediation Action</t>
        </is>
      </c>
    </row>
    <row r="5">
      <c r="A5" s="14" t="inlineStr">
        <is>
          <t>dev1@example.ch</t>
        </is>
      </c>
      <c r="B5" s="14" t="inlineStr">
        <is>
          <t>AWS Prod Account: 444444444444</t>
        </is>
      </c>
      <c r="C5" s="14" t="inlineStr">
        <is>
          <t>No</t>
        </is>
      </c>
      <c r="D5" s="14" t="inlineStr">
        <is>
          <t>N/A</t>
        </is>
      </c>
      <c r="E5" s="14" t="inlineStr">
        <is>
          <t>No production access (expected)</t>
        </is>
      </c>
      <c r="F5" s="14" t="inlineStr">
        <is>
          <t>Low</t>
        </is>
      </c>
      <c r="G5" s="14" t="inlineStr">
        <is>
          <t>N/A - 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67">
      <c r="A67" s="16" t="inlineStr">
        <is>
          <t>If ALL developers show 'No' for Production Access = COMPLIANT</t>
        </is>
      </c>
    </row>
    <row r="68">
      <c r="A68" s="17" t="inlineStr">
        <is>
          <t>If ANY developer shows 'Yes' for Production Access = CRITICAL VIOLATION</t>
        </is>
      </c>
    </row>
  </sheetData>
  <mergeCells count="4">
    <mergeCell ref="A67:G67"/>
    <mergeCell ref="A68:G68"/>
    <mergeCell ref="A2:G2"/>
    <mergeCell ref="A1:G1"/>
  </mergeCells>
  <dataValidations count="2">
    <dataValidation sqref="C5:C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PRODUCTION CREDENTIAL AUDIT</t>
        </is>
      </c>
    </row>
    <row r="2">
      <c r="A2" s="12" t="inlineStr">
        <is>
          <t>Verify all production credentials stored in PAM vault and rotated regularly</t>
        </is>
      </c>
    </row>
    <row r="4">
      <c r="A4" s="13" t="inlineStr">
        <is>
          <t>Credential Type</t>
        </is>
      </c>
      <c r="B4" s="13" t="inlineStr">
        <is>
          <t>System/Service</t>
        </is>
      </c>
      <c r="C4" s="13" t="inlineStr">
        <is>
          <t>Stored in PAM Vault?</t>
        </is>
      </c>
      <c r="D4" s="13" t="inlineStr">
        <is>
          <t>Vault Location</t>
        </is>
      </c>
      <c r="E4" s="13" t="inlineStr">
        <is>
          <t>Last Rotated</t>
        </is>
      </c>
      <c r="F4" s="13" t="inlineStr">
        <is>
          <t>Rotation Schedule</t>
        </is>
      </c>
      <c r="G4" s="13" t="inlineStr">
        <is>
          <t>Compliance</t>
        </is>
      </c>
      <c r="H4" s="13" t="inlineStr">
        <is>
          <t>Notes</t>
        </is>
      </c>
    </row>
    <row r="6">
      <c r="A6" s="14" t="inlineStr">
        <is>
          <t>AWS Root Account</t>
        </is>
      </c>
      <c r="B6" s="14" t="inlineStr">
        <is>
          <t>AWS Prod: 444444444444</t>
        </is>
      </c>
      <c r="C6" s="14" t="inlineStr">
        <is>
          <t>Yes</t>
        </is>
      </c>
      <c r="D6" s="14" t="inlineStr">
        <is>
          <t>CyberArk/Prod/AWS/Root</t>
        </is>
      </c>
      <c r="E6" s="14" t="inlineStr">
        <is>
          <t>2025-12-15</t>
        </is>
      </c>
      <c r="F6" s="14" t="inlineStr">
        <is>
          <t>Never (not used)</t>
        </is>
      </c>
      <c r="G6" s="14" t="inlineStr">
        <is>
          <t>Compliant</t>
        </is>
      </c>
      <c r="H6" s="14" t="inlineStr">
        <is>
          <t>MFA enforced, never used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2">
    <dataValidation sqref="C5:C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CROSS-ENVIRONMENT ACCESS ATTEMPTS LOG</t>
        </is>
      </c>
    </row>
    <row r="2">
      <c r="A2" s="12" t="inlineStr">
        <is>
          <t>Log unauthorised cross-environment access attempts (should be blocked)</t>
        </is>
      </c>
    </row>
    <row r="4">
      <c r="A4" s="13" t="inlineStr">
        <is>
          <t>Date/Time</t>
        </is>
      </c>
      <c r="B4" s="13" t="inlineStr">
        <is>
          <t>User ID</t>
        </is>
      </c>
      <c r="C4" s="13" t="inlineStr">
        <is>
          <t>Source Environment</t>
        </is>
      </c>
      <c r="D4" s="13" t="inlineStr">
        <is>
          <t>Target Environment</t>
        </is>
      </c>
      <c r="E4" s="13" t="inlineStr">
        <is>
          <t>Attempted Action</t>
        </is>
      </c>
      <c r="F4" s="13" t="inlineStr">
        <is>
          <t>Result</t>
        </is>
      </c>
      <c r="G4" s="13" t="inlineStr">
        <is>
          <t>Alert Generated?</t>
        </is>
      </c>
      <c r="H4" s="13" t="inlineStr">
        <is>
          <t>Investigation Notes</t>
        </is>
      </c>
    </row>
    <row r="6">
      <c r="A6" s="14" t="inlineStr">
        <is>
          <t>2026-01-09 09:15:00</t>
        </is>
      </c>
      <c r="B6" s="14" t="inlineStr">
        <is>
          <t>dev2@example.ch</t>
        </is>
      </c>
      <c r="C6" s="14" t="inlineStr">
        <is>
          <t>Development</t>
        </is>
      </c>
      <c r="D6" s="14" t="inlineStr">
        <is>
          <t>Production</t>
        </is>
      </c>
      <c r="E6" s="14" t="inlineStr">
        <is>
          <t>AWS CLI describe-instances</t>
        </is>
      </c>
      <c r="F6" s="14" t="inlineStr">
        <is>
          <t>DENIED</t>
        </is>
      </c>
      <c r="G6" s="14" t="inlineStr">
        <is>
          <t>Yes</t>
        </is>
      </c>
      <c r="H6" s="14" t="inlineStr">
        <is>
          <t>IAM policy denied (expected)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2">
    <dataValidation sqref="G5:G55" showDropDown="0" showInputMessage="0" showErrorMessage="0" allowBlank="0" type="list">
      <formula1>"Yes,No"</formula1>
    </dataValidation>
    <dataValidation sqref="C5:D55" showDropDown="0" showInputMessage="0" showErrorMessage="0" allowBlank="0" type="list">
      <formula1>"Development,Testing,Staging,Production"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40" customWidth="1" min="5" max="5"/>
    <col width="15" customWidth="1" min="6" max="6"/>
    <col width="20" customWidth="1" min="7" max="7"/>
    <col width="30" customWidth="1" min="8" max="8"/>
    <col width="20" customWidth="1" min="9" max="9"/>
    <col width="40" customWidth="1" min="10" max="10"/>
  </cols>
  <sheetData>
    <row r="1" ht="35" customHeight="1">
      <c r="A1" s="11" t="inlineStr">
        <is>
          <t>BREAK-GLASS EMERGENCY ACCESS LOG</t>
        </is>
      </c>
    </row>
    <row r="2">
      <c r="A2" s="12" t="inlineStr">
        <is>
          <t>Document all instances of emergency developer access to production</t>
        </is>
      </c>
    </row>
    <row r="4">
      <c r="A4" s="13" t="inlineStr">
        <is>
          <t>Incident ID</t>
        </is>
      </c>
      <c r="B4" s="13" t="inlineStr">
        <is>
          <t>Date/Time Activated</t>
        </is>
      </c>
      <c r="C4" s="13" t="inlineStr">
        <is>
          <t>Developer ID</t>
        </is>
      </c>
      <c r="D4" s="13" t="inlineStr">
        <is>
          <t>Approved By</t>
        </is>
      </c>
      <c r="E4" s="13" t="inlineStr">
        <is>
          <t>Reason/Justification</t>
        </is>
      </c>
      <c r="F4" s="13" t="inlineStr">
        <is>
          <t>Duration (hours)</t>
        </is>
      </c>
      <c r="G4" s="13" t="inlineStr">
        <is>
          <t>Date/Time Revoked</t>
        </is>
      </c>
      <c r="H4" s="13" t="inlineStr">
        <is>
          <t>Post-Incident Review</t>
        </is>
      </c>
      <c r="I4" s="13" t="inlineStr">
        <is>
          <t>Compliance</t>
        </is>
      </c>
      <c r="J4" s="13" t="inlineStr">
        <is>
          <t>Notes</t>
        </is>
      </c>
    </row>
    <row r="6">
      <c r="A6" s="14" t="inlineStr">
        <is>
          <t>INC-2026-001</t>
        </is>
      </c>
      <c r="B6" s="14" t="inlineStr">
        <is>
          <t>2026-01-05 02:30</t>
        </is>
      </c>
      <c r="C6" s="14" t="inlineStr">
        <is>
          <t>senior-dev@example.ch</t>
        </is>
      </c>
      <c r="D6" s="14" t="inlineStr">
        <is>
          <t>ops-manager@example.ch</t>
        </is>
      </c>
      <c r="E6" s="14" t="inlineStr">
        <is>
          <t>Critical production outage - database corruption</t>
        </is>
      </c>
      <c r="F6" s="14" t="inlineStr">
        <is>
          <t>4</t>
        </is>
      </c>
      <c r="G6" s="14" t="inlineStr">
        <is>
          <t>2026-01-05 06:30</t>
        </is>
      </c>
      <c r="H6" s="14" t="inlineStr">
        <is>
          <t>Completed 2026-01-06</t>
        </is>
      </c>
      <c r="I6" s="14" t="inlineStr">
        <is>
          <t>Compliant</t>
        </is>
      </c>
      <c r="J6" s="14" t="inlineStr">
        <is>
          <t>Proper procedure followed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</sheetData>
  <mergeCells count="2">
    <mergeCell ref="A1:J1"/>
    <mergeCell ref="A2:J2"/>
  </mergeCells>
  <dataValidations count="1">
    <dataValidation sqref="I5:I53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40" customWidth="1" min="7" max="7"/>
  </cols>
  <sheetData>
    <row r="1" ht="35" customHeight="1">
      <c r="A1" s="11" t="inlineStr">
        <is>
          <t>MFA ENFORCEMENT VERIFICATION</t>
        </is>
      </c>
    </row>
    <row r="2">
      <c r="A2" s="12" t="inlineStr">
        <is>
          <t>Verify MFA required for production access (all users)</t>
        </is>
      </c>
    </row>
    <row r="4">
      <c r="A4" s="13" t="inlineStr">
        <is>
          <t>User ID</t>
        </is>
      </c>
      <c r="B4" s="13" t="inlineStr">
        <is>
          <t>Production Access?</t>
        </is>
      </c>
      <c r="C4" s="13" t="inlineStr">
        <is>
          <t>MFA Enabled?</t>
        </is>
      </c>
      <c r="D4" s="13" t="inlineStr">
        <is>
          <t>MFA Type</t>
        </is>
      </c>
      <c r="E4" s="13" t="inlineStr">
        <is>
          <t>Last MFA Check</t>
        </is>
      </c>
      <c r="F4" s="13" t="inlineStr">
        <is>
          <t>Compliance</t>
        </is>
      </c>
      <c r="G4" s="13" t="inlineStr">
        <is>
          <t>Evidence</t>
        </is>
      </c>
    </row>
    <row r="6">
      <c r="A6" s="14" t="inlineStr">
        <is>
          <t>ops2@example.ch</t>
        </is>
      </c>
      <c r="B6" s="14" t="inlineStr">
        <is>
          <t>Yes</t>
        </is>
      </c>
      <c r="C6" s="14" t="inlineStr">
        <is>
          <t>Yes</t>
        </is>
      </c>
      <c r="D6" s="14" t="inlineStr">
        <is>
          <t>Virtual MFA (Google Authenticator)</t>
        </is>
      </c>
      <c r="E6" s="14" t="inlineStr">
        <is>
          <t>2026-01-11</t>
        </is>
      </c>
      <c r="F6" s="14" t="inlineStr">
        <is>
          <t>Compliant</t>
        </is>
      </c>
      <c r="G6" s="14" t="inlineStr">
        <is>
          <t>IAM user MFA device ARN: ...mfa/ops2</t>
        </is>
      </c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</sheetData>
  <mergeCells count="2">
    <mergeCell ref="A2:G2"/>
    <mergeCell ref="A1:G1"/>
  </mergeCells>
  <dataValidations count="2">
    <dataValidation sqref="B5:C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Record all evidence collected during the assessment. Each row represents one piece of evidence.</t>
        </is>
      </c>
    </row>
    <row r="4" ht="30" customHeight="1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 / 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21" t="inlineStr">
        <is>
          <t>Environment Access Control</t>
        </is>
      </c>
      <c r="C5" s="21" t="inlineStr">
        <is>
          <t>Log extract</t>
        </is>
      </c>
      <c r="D5" s="21" t="inlineStr">
        <is>
          <t>Access control logs showing environment separation enforcement</t>
        </is>
      </c>
      <c r="E5" s="21" t="inlineStr">
        <is>
          <t>\\fileserver\evidence\access_logs_20260213.csv</t>
        </is>
      </c>
      <c r="F5" s="21" t="inlineStr">
        <is>
          <t>13.02.2026</t>
        </is>
      </c>
      <c r="G5" s="21" t="inlineStr">
        <is>
          <t>Security Administrator</t>
        </is>
      </c>
      <c r="H5" s="21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5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ENVIRONMENT ACCESS CONTROL ASSESSMENT — SUMMARY DASHBOARD</t>
        </is>
      </c>
    </row>
    <row r="2">
      <c r="A2" s="22" t="inlineStr">
        <is>
          <t>ISO/IEC 27001:2022 - Control A.8.31: Separation of Development, Test and Production Environments</t>
        </is>
      </c>
    </row>
    <row r="4">
      <c r="A4" s="23" t="inlineStr">
        <is>
          <t>TABLE 1: ASSESSMENT AREA COMPLIANCE OVERVIEW</t>
        </is>
      </c>
    </row>
    <row r="5" ht="30" customHeight="1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User Environment Access Matrix</t>
        </is>
      </c>
      <c r="B6" s="26">
        <f>COUNTA('User Environment Access Matrix'!G:G)</f>
        <v/>
      </c>
      <c r="C6" s="26">
        <f>COUNTIF('User Environment Access Matrix'!G7:G56,"Compliant")</f>
        <v/>
      </c>
      <c r="D6" s="26">
        <f>COUNTIF('User Environment Access Matrix'!G7:G56,"Partial")</f>
        <v/>
      </c>
      <c r="E6" s="26">
        <f>COUNTIF('User Environment Access Matrix'!G7:G56,"Non-Compliant")+COUNTIF('User Environment Access Matrix'!G7:G56,"Not Assessed")</f>
        <v/>
      </c>
      <c r="F6" s="26" t="inlineStr">
        <is>
          <t>0</t>
        </is>
      </c>
      <c r="G6" s="27">
        <f>IF((B6-F6)=0,0,C6/(B6-F6))</f>
        <v/>
      </c>
    </row>
    <row r="7">
      <c r="A7" s="25" t="inlineStr">
        <is>
          <t>Developer Production Access</t>
        </is>
      </c>
      <c r="B7" s="26">
        <f>COUNTA('Developer Production Access'!C7:C56)</f>
        <v/>
      </c>
      <c r="C7" s="26">
        <f>COUNTIF('Developer Production Access'!C7:C56,"No")</f>
        <v/>
      </c>
      <c r="D7" s="26">
        <f>COUNTIF('Developer Production Access'!C7:C56,"Yes")</f>
        <v/>
      </c>
      <c r="E7" s="26">
        <f>COUNTIF('Developer Production Access'!F7:F56,"Critical")+COUNTIF('Developer Production Access'!F7:F56,"High")</f>
        <v/>
      </c>
      <c r="F7" s="26">
        <f>COUNTIF('Developer Production Access'!F7:F56,"Medium")+COUNTIF('Developer Production Access'!F7:F56,"Low")</f>
        <v/>
      </c>
      <c r="G7" s="27">
        <f>IF(B7=0,0,C7/B7)</f>
        <v/>
      </c>
    </row>
    <row r="8">
      <c r="A8" s="25" t="inlineStr">
        <is>
          <t>Production Credential Audit</t>
        </is>
      </c>
      <c r="B8" s="26">
        <f>COUNTA('Production Credential Audit'!G:G)</f>
        <v/>
      </c>
      <c r="C8" s="26">
        <f>COUNTIF('Production Credential Audit'!G7:G56,"Compliant")</f>
        <v/>
      </c>
      <c r="D8" s="26">
        <f>COUNTIF('Production Credential Audit'!G7:G56,"Partial")</f>
        <v/>
      </c>
      <c r="E8" s="26">
        <f>COUNTIF('Production Credential Audit'!G7:G56,"Non-Compliant")+COUNTIF('Production Credential Audit'!G7:G56,"Not Assessed")</f>
        <v/>
      </c>
      <c r="F8" s="26" t="inlineStr">
        <is>
          <t>0</t>
        </is>
      </c>
      <c r="G8" s="27">
        <f>IF((B8-F8)=0,0,C8/(B8-F8))</f>
        <v/>
      </c>
    </row>
    <row r="9">
      <c r="A9" s="25" t="inlineStr">
        <is>
          <t>Cross Environment Access Log</t>
        </is>
      </c>
      <c r="B9" s="26">
        <f>COUNTA('Cross Environment Access Log'!G7:G56)</f>
        <v/>
      </c>
      <c r="C9" s="26">
        <f>COUNTIF('Cross Environment Access Log'!G7:G56,"Yes")</f>
        <v/>
      </c>
      <c r="D9" s="26">
        <f>COUNTIF('Cross Environment Access Log'!G7:G56,"No")</f>
        <v/>
      </c>
      <c r="E9" s="26" t="inlineStr">
        <is>
          <t>0</t>
        </is>
      </c>
      <c r="F9" s="26" t="inlineStr">
        <is>
          <t>0</t>
        </is>
      </c>
      <c r="G9" s="27">
        <f>IF(B9=0,0,C9/B9)</f>
        <v/>
      </c>
    </row>
    <row r="10">
      <c r="A10" s="25" t="inlineStr">
        <is>
          <t>Break Glass Access Log</t>
        </is>
      </c>
      <c r="B10" s="26">
        <f>COUNTA('Break Glass Access Log'!I:I)</f>
        <v/>
      </c>
      <c r="C10" s="26">
        <f>COUNTIF('Break Glass Access Log'!I7:I56,"Compliant")</f>
        <v/>
      </c>
      <c r="D10" s="26">
        <f>COUNTIF('Break Glass Access Log'!I7:I56,"Partial")</f>
        <v/>
      </c>
      <c r="E10" s="26">
        <f>COUNTIF('Break Glass Access Log'!I7:I56,"Non-Compliant")+COUNTIF('Break Glass Access Log'!I7:I56,"Not Assessed")</f>
        <v/>
      </c>
      <c r="F10" s="26" t="inlineStr">
        <is>
          <t>0</t>
        </is>
      </c>
      <c r="G10" s="27">
        <f>IF((B10-F10)=0,0,C10/(B10-F10))</f>
        <v/>
      </c>
    </row>
    <row r="11">
      <c r="A11" s="25" t="inlineStr">
        <is>
          <t>MFA Enforcement</t>
        </is>
      </c>
      <c r="B11" s="26">
        <f>COUNTA('MFA Enforcement'!F:F)</f>
        <v/>
      </c>
      <c r="C11" s="26">
        <f>COUNTIF('MFA Enforcement'!F7:F56,"Compliant")</f>
        <v/>
      </c>
      <c r="D11" s="26">
        <f>COUNTIF('MFA Enforcement'!F7:F56,"Partial")</f>
        <v/>
      </c>
      <c r="E11" s="26">
        <f>COUNTIF('MFA Enforcement'!F7:F56,"Non-Compliant")+COUNTIF('MFA Enforcement'!F7:F56,"Not Assessed")</f>
        <v/>
      </c>
      <c r="F11" s="26" t="inlineStr">
        <is>
          <t>0</t>
        </is>
      </c>
      <c r="G11" s="27">
        <f>IF((B11-F11)=0,0,C11/(B11-F11))</f>
        <v/>
      </c>
    </row>
    <row r="12">
      <c r="A12" s="28" t="inlineStr">
        <is>
          <t>TOTAL</t>
        </is>
      </c>
      <c r="B12" s="29">
        <f>SUM(B6:B11)</f>
        <v/>
      </c>
      <c r="C12" s="29">
        <f>SUM(C6:C11)</f>
        <v/>
      </c>
      <c r="D12" s="29">
        <f>SUM(D6:D11)</f>
        <v/>
      </c>
      <c r="E12" s="29">
        <f>SUM(E6:E11)</f>
        <v/>
      </c>
      <c r="F12" s="29">
        <f>SUM(F6:F11)</f>
        <v/>
      </c>
      <c r="G12" s="29" t="inlineStr">
        <is>
          <t>N/A</t>
        </is>
      </c>
    </row>
    <row r="14">
      <c r="A14" s="30" t="inlineStr">
        <is>
          <t>TABLE 2: KEY METRICS</t>
        </is>
      </c>
      <c r="B14" s="6" t="n"/>
      <c r="C14" s="6" t="n"/>
      <c r="D14" s="6" t="n"/>
      <c r="E14" s="6" t="n"/>
      <c r="F14" s="6" t="n"/>
      <c r="G14" s="6" t="n"/>
    </row>
    <row r="15">
      <c r="A15" s="31" t="inlineStr">
        <is>
          <t>Metric</t>
        </is>
      </c>
      <c r="B15" s="31" t="inlineStr">
        <is>
          <t>Value</t>
        </is>
      </c>
      <c r="C15" s="31" t="inlineStr"/>
      <c r="D15" s="31" t="inlineStr"/>
      <c r="E15" s="31" t="inlineStr"/>
      <c r="F15" s="31" t="inlineStr"/>
      <c r="G15" s="31" t="inlineStr"/>
    </row>
    <row r="16">
      <c r="A16" s="32" t="inlineStr">
        <is>
          <t>User Roles Assessed</t>
        </is>
      </c>
      <c r="B16" s="33">
        <f>COUNTA('User Environment Access Matrix'!A7:A56)</f>
        <v/>
      </c>
      <c r="C16" s="6" t="n"/>
      <c r="D16" s="6" t="n"/>
      <c r="E16" s="6" t="n"/>
      <c r="F16" s="6" t="n"/>
      <c r="G16" s="6" t="n"/>
    </row>
    <row r="17">
      <c r="A17" s="32" t="inlineStr">
        <is>
          <t>Roles with Full Production Access</t>
        </is>
      </c>
      <c r="B17" s="33">
        <f>COUNTIF('User Environment Access Matrix'!C7:C56,"Full (CRUD)")</f>
        <v/>
      </c>
      <c r="C17" s="6" t="n"/>
      <c r="D17" s="6" t="n"/>
      <c r="E17" s="6" t="n"/>
      <c r="F17" s="6" t="n"/>
      <c r="G17" s="6" t="n"/>
    </row>
    <row r="18">
      <c r="A18" s="32" t="inlineStr">
        <is>
          <t>Roles with Read-Only Production</t>
        </is>
      </c>
      <c r="B18" s="33">
        <f>COUNTIF('User Environment Access Matrix'!C7:C56,"Read-only")</f>
        <v/>
      </c>
      <c r="C18" s="6" t="n"/>
      <c r="D18" s="6" t="n"/>
      <c r="E18" s="6" t="n"/>
      <c r="F18" s="6" t="n"/>
      <c r="G18" s="6" t="n"/>
    </row>
    <row r="19">
      <c r="A19" s="32" t="inlineStr">
        <is>
          <t>Roles with No Production Access</t>
        </is>
      </c>
      <c r="B19" s="33">
        <f>COUNTIF('User Environment Access Matrix'!C7:C56,"No Access")</f>
        <v/>
      </c>
      <c r="C19" s="6" t="n"/>
      <c r="D19" s="6" t="n"/>
      <c r="E19" s="6" t="n"/>
      <c r="F19" s="6" t="n"/>
      <c r="G19" s="6" t="n"/>
    </row>
    <row r="20">
      <c r="A20" s="32" t="inlineStr">
        <is>
          <t>Break-Glass Access Roles</t>
        </is>
      </c>
      <c r="B20" s="33">
        <f>COUNTIF('User Environment Access Matrix'!C7:C56,"Break-Glass Only")</f>
        <v/>
      </c>
      <c r="C20" s="6" t="n"/>
      <c r="D20" s="6" t="n"/>
      <c r="E20" s="6" t="n"/>
      <c r="F20" s="6" t="n"/>
      <c r="G20" s="6" t="n"/>
    </row>
    <row r="21">
      <c r="A21" s="32" t="inlineStr">
        <is>
          <t>Developers Assessed</t>
        </is>
      </c>
      <c r="B21" s="33">
        <f>COUNTA('Developer Production Access'!C7:C56)</f>
        <v/>
      </c>
      <c r="C21" s="6" t="n"/>
      <c r="D21" s="6" t="n"/>
      <c r="E21" s="6" t="n"/>
      <c r="F21" s="6" t="n"/>
      <c r="G21" s="6" t="n"/>
    </row>
    <row r="22">
      <c r="A22" s="32" t="inlineStr">
        <is>
          <t>Developers WITHOUT Prod Access</t>
        </is>
      </c>
      <c r="B22" s="33">
        <f>COUNTIF('Developer Production Access'!C7:C56,"No")</f>
        <v/>
      </c>
      <c r="C22" s="6" t="n"/>
      <c r="D22" s="6" t="n"/>
      <c r="E22" s="6" t="n"/>
      <c r="F22" s="6" t="n"/>
      <c r="G22" s="6" t="n"/>
    </row>
    <row r="23">
      <c r="A23" s="32" t="inlineStr">
        <is>
          <t>Developers WITH Prod Access (Risk)</t>
        </is>
      </c>
      <c r="B23" s="33">
        <f>COUNTIF('Developer Production Access'!C7:C56,"Yes")</f>
        <v/>
      </c>
      <c r="C23" s="6" t="n"/>
      <c r="D23" s="6" t="n"/>
      <c r="E23" s="6" t="n"/>
      <c r="F23" s="6" t="n"/>
      <c r="G23" s="6" t="n"/>
    </row>
    <row r="24">
      <c r="A24" s="32" t="inlineStr">
        <is>
          <t>High-Risk Developer Access</t>
        </is>
      </c>
      <c r="B24" s="33">
        <f>COUNTIF('Developer Production Access'!F7:F56,"Critical")+COUNTIF('Developer Production Access'!F7:F56,"High")</f>
        <v/>
      </c>
      <c r="C24" s="6" t="n"/>
      <c r="D24" s="6" t="n"/>
      <c r="E24" s="6" t="n"/>
      <c r="F24" s="6" t="n"/>
      <c r="G24" s="6" t="n"/>
    </row>
    <row r="25">
      <c r="A25" s="32" t="inlineStr">
        <is>
          <t>% Developers with Prod Access</t>
        </is>
      </c>
      <c r="B25" s="33">
        <f>IF(COUNTA('Developer Production Access'!C7:C56)=0,"0%",ROUND(COUNTIF('Developer Production Access'!C7:C56,"Yes")/COUNTA('Developer Production Access'!C7:C56)*100,1)&amp;"%")</f>
        <v/>
      </c>
      <c r="C25" s="6" t="n"/>
      <c r="D25" s="6" t="n"/>
      <c r="E25" s="6" t="n"/>
      <c r="F25" s="6" t="n"/>
      <c r="G25" s="6" t="n"/>
    </row>
    <row r="26">
      <c r="A26" s="32" t="inlineStr">
        <is>
          <t>Production Credentials Assessed</t>
        </is>
      </c>
      <c r="B26" s="33">
        <f>COUNTA('Production Credential Audit'!A7:A56)</f>
        <v/>
      </c>
      <c r="C26" s="6" t="n"/>
      <c r="D26" s="6" t="n"/>
      <c r="E26" s="6" t="n"/>
      <c r="F26" s="6" t="n"/>
      <c r="G26" s="6" t="n"/>
    </row>
    <row r="27">
      <c r="A27" s="32" t="inlineStr">
        <is>
          <t>Dedicated Production Credentials</t>
        </is>
      </c>
      <c r="B27" s="33">
        <f>COUNTIF('Production Credential Audit'!E7:E56,"Yes")</f>
        <v/>
      </c>
      <c r="C27" s="6" t="n"/>
      <c r="D27" s="6" t="n"/>
      <c r="E27" s="6" t="n"/>
      <c r="F27" s="6" t="n"/>
      <c r="G27" s="6" t="n"/>
    </row>
    <row r="28">
      <c r="A28" s="32" t="inlineStr">
        <is>
          <t>Shared Production Credentials (Risk)</t>
        </is>
      </c>
      <c r="B28" s="33">
        <f>COUNTIF('Production Credential Audit'!E7:E56,"No")</f>
        <v/>
      </c>
      <c r="C28" s="6" t="n"/>
      <c r="D28" s="6" t="n"/>
      <c r="E28" s="6" t="n"/>
      <c r="F28" s="6" t="n"/>
      <c r="G28" s="6" t="n"/>
    </row>
    <row r="29">
      <c r="A29" s="32" t="inlineStr">
        <is>
          <t>Cross-Environment Access Events</t>
        </is>
      </c>
      <c r="B29" s="33">
        <f>COUNTA('Cross Environment Access Log'!G7:G56)</f>
        <v/>
      </c>
      <c r="C29" s="6" t="n"/>
      <c r="D29" s="6" t="n"/>
      <c r="E29" s="6" t="n"/>
      <c r="F29" s="6" t="n"/>
      <c r="G29" s="6" t="n"/>
    </row>
    <row r="30">
      <c r="A30" s="32" t="inlineStr">
        <is>
          <t>Authorised Cross-Env Access</t>
        </is>
      </c>
      <c r="B30" s="33">
        <f>COUNTIF('Cross Environment Access Log'!G7:G56,"Yes")</f>
        <v/>
      </c>
      <c r="C30" s="6" t="n"/>
      <c r="D30" s="6" t="n"/>
      <c r="E30" s="6" t="n"/>
      <c r="F30" s="6" t="n"/>
      <c r="G30" s="6" t="n"/>
    </row>
    <row r="31">
      <c r="A31" s="32" t="inlineStr">
        <is>
          <t>Unauthorised Cross-Env Access (Risk)</t>
        </is>
      </c>
      <c r="B31" s="33">
        <f>COUNTIF('Cross Environment Access Log'!G7:G56,"No")</f>
        <v/>
      </c>
      <c r="C31" s="6" t="n"/>
      <c r="D31" s="6" t="n"/>
      <c r="E31" s="6" t="n"/>
      <c r="F31" s="6" t="n"/>
      <c r="G31" s="6" t="n"/>
    </row>
    <row r="32">
      <c r="A32" s="32" t="inlineStr">
        <is>
          <t>% Unauthorised Access</t>
        </is>
      </c>
      <c r="B32" s="33">
        <f>IF(COUNTA('Cross Environment Access Log'!G7:G56)=0,"0%",ROUND(COUNTIF('Cross Environment Access Log'!G7:G56,"No")/COUNTA('Cross Environment Access Log'!G7:G56)*100,1)&amp;"%")</f>
        <v/>
      </c>
      <c r="C32" s="6" t="n"/>
      <c r="D32" s="6" t="n"/>
      <c r="E32" s="6" t="n"/>
      <c r="F32" s="6" t="n"/>
      <c r="G32" s="6" t="n"/>
    </row>
    <row r="33">
      <c r="A33" s="32" t="inlineStr">
        <is>
          <t>Break Glass Events</t>
        </is>
      </c>
      <c r="B33" s="33">
        <f>COUNTA('Break Glass Access Log'!I7:I56)</f>
        <v/>
      </c>
      <c r="C33" s="6" t="n"/>
      <c r="D33" s="6" t="n"/>
      <c r="E33" s="6" t="n"/>
      <c r="F33" s="6" t="n"/>
      <c r="G33" s="6" t="n"/>
    </row>
    <row r="34">
      <c r="A34" s="32" t="inlineStr">
        <is>
          <t>Approved Break Glass Access</t>
        </is>
      </c>
      <c r="B34" s="33">
        <f>COUNTIF('Break Glass Access Log'!I7:I56,"Compliant")</f>
        <v/>
      </c>
      <c r="C34" s="6" t="n"/>
      <c r="D34" s="6" t="n"/>
      <c r="E34" s="6" t="n"/>
      <c r="F34" s="6" t="n"/>
      <c r="G34" s="6" t="n"/>
    </row>
    <row r="35">
      <c r="A35" s="32" t="inlineStr">
        <is>
          <t>Unapproved Break Glass (Risk)</t>
        </is>
      </c>
      <c r="B35" s="33">
        <f>COUNTIF('Break Glass Access Log'!I7:I56,"Non-Compliant")</f>
        <v/>
      </c>
      <c r="C35" s="6" t="n"/>
      <c r="D35" s="6" t="n"/>
      <c r="E35" s="6" t="n"/>
      <c r="F35" s="6" t="n"/>
      <c r="G35" s="6" t="n"/>
    </row>
    <row r="36">
      <c r="A36" s="32" t="inlineStr">
        <is>
          <t>MFA Controls Assessed</t>
        </is>
      </c>
      <c r="B36" s="33">
        <f>COUNTA('MFA Enforcement'!F7:F56)</f>
        <v/>
      </c>
      <c r="C36" s="6" t="n"/>
      <c r="D36" s="6" t="n"/>
      <c r="E36" s="6" t="n"/>
      <c r="F36" s="6" t="n"/>
      <c r="G36" s="6" t="n"/>
    </row>
    <row r="37">
      <c r="A37" s="32" t="inlineStr">
        <is>
          <t>MFA Fully Enforced</t>
        </is>
      </c>
      <c r="B37" s="33">
        <f>COUNTIF('MFA Enforcement'!F7:F56,"Compliant")</f>
        <v/>
      </c>
      <c r="C37" s="6" t="n"/>
      <c r="D37" s="6" t="n"/>
      <c r="E37" s="6" t="n"/>
      <c r="F37" s="6" t="n"/>
      <c r="G37" s="6" t="n"/>
    </row>
    <row r="38">
      <c r="A38" s="32" t="inlineStr">
        <is>
          <t>MFA Partially Enforced</t>
        </is>
      </c>
      <c r="B38" s="33">
        <f>COUNTIF('MFA Enforcement'!F7:F56,"Partial")</f>
        <v/>
      </c>
      <c r="C38" s="6" t="n"/>
      <c r="D38" s="6" t="n"/>
      <c r="E38" s="6" t="n"/>
      <c r="F38" s="6" t="n"/>
      <c r="G38" s="6" t="n"/>
    </row>
    <row r="39">
      <c r="A39" s="32" t="inlineStr">
        <is>
          <t>MFA Not Enforced (Risk)</t>
        </is>
      </c>
      <c r="B39" s="33">
        <f>COUNTIF('MFA Enforcement'!F7:F56,"Non-Compliant")</f>
        <v/>
      </c>
      <c r="C39" s="6" t="n"/>
      <c r="D39" s="6" t="n"/>
      <c r="E39" s="6" t="n"/>
      <c r="F39" s="6" t="n"/>
      <c r="G39" s="6" t="n"/>
    </row>
    <row r="40">
      <c r="A40" s="32" t="inlineStr">
        <is>
          <t>% MFA Coverage</t>
        </is>
      </c>
      <c r="B40" s="33">
        <f>IF(COUNTA('MFA Enforcement'!F7:F56)=0,"0%",ROUND(COUNTIF('MFA Enforcement'!F7:F56,"Compliant")/COUNTA('MFA Enforcement'!F7:F56)*100,1)&amp;"%")</f>
        <v/>
      </c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4">
      <c r="A44" s="34" t="inlineStr">
        <is>
          <t>TABLE 3: CRITICAL FINDINGS</t>
        </is>
      </c>
    </row>
    <row r="45">
      <c r="A45" s="35" t="inlineStr">
        <is>
          <t>#</t>
        </is>
      </c>
      <c r="B45" s="35" t="inlineStr">
        <is>
          <t>Developer ID</t>
        </is>
      </c>
      <c r="C45" s="35" t="inlineStr">
        <is>
          <t>Severity</t>
        </is>
      </c>
      <c r="D45" s="35" t="inlineStr">
        <is>
          <t>Production Account</t>
        </is>
      </c>
      <c r="E45" s="35" t="inlineStr">
        <is>
          <t>Justification</t>
        </is>
      </c>
      <c r="F45" s="35" t="inlineStr">
        <is>
          <t>Remediation Action</t>
        </is>
      </c>
      <c r="G45" s="35" t="inlineStr">
        <is>
          <t>Status</t>
        </is>
      </c>
    </row>
    <row r="46">
      <c r="A46" s="36" t="n">
        <v>1</v>
      </c>
      <c r="B46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C46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D46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E46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F46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G46" s="36">
        <f>IF(B46="","",IF(C46="Critical","⚠️ CRITICAL","⚠️ HIGH"))</f>
        <v/>
      </c>
    </row>
    <row r="47">
      <c r="A47" s="36" t="n">
        <v>2</v>
      </c>
      <c r="B47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C47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D47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E47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F47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G47" s="36">
        <f>IF(B47="","",IF(C47="Critical","⚠️ CRITICAL","⚠️ HIGH"))</f>
        <v/>
      </c>
    </row>
    <row r="48">
      <c r="A48" s="36" t="n">
        <v>3</v>
      </c>
      <c r="B48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C48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D48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E48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F48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G48" s="36">
        <f>IF(B48="","",IF(C48="Critical","⚠️ CRITICAL","⚠️ HIGH"))</f>
        <v/>
      </c>
    </row>
    <row r="49">
      <c r="A49" s="36" t="n">
        <v>4</v>
      </c>
      <c r="B49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C49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D49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E49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F49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G49" s="36">
        <f>IF(B49="","",IF(C49="Critical","⚠️ CRITICAL","⚠️ HIGH"))</f>
        <v/>
      </c>
    </row>
    <row r="50">
      <c r="A50" s="36" t="n">
        <v>5</v>
      </c>
      <c r="B50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C50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D50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E50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F50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G50" s="36">
        <f>IF(B50="","",IF(C50="Critical","⚠️ CRITICAL","⚠️ HIGH"))</f>
        <v/>
      </c>
    </row>
    <row r="51">
      <c r="A51" s="36" t="n">
        <v>6</v>
      </c>
      <c r="B51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C51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D51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E51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F51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G51" s="36">
        <f>IF(B51="","",IF(C51="Critical","⚠️ CRITICAL","⚠️ HIGH"))</f>
        <v/>
      </c>
    </row>
    <row r="52">
      <c r="A52" s="36" t="n">
        <v>7</v>
      </c>
      <c r="B52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C52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D52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E52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F52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G52" s="36">
        <f>IF(B52="","",IF(C52="Critical","⚠️ CRITICAL","⚠️ HIGH"))</f>
        <v/>
      </c>
    </row>
    <row r="53">
      <c r="A53" s="36" t="n">
        <v>8</v>
      </c>
      <c r="B53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C53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D53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E53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F53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G53" s="36">
        <f>IF(B53="","",IF(C53="Critical","⚠️ CRITICAL","⚠️ HIGH"))</f>
        <v/>
      </c>
    </row>
    <row r="54">
      <c r="A54" s="36" t="n">
        <v>9</v>
      </c>
      <c r="B54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C54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D54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E54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F54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G54" s="36">
        <f>IF(B54="","",IF(C54="Critical","⚠️ CRITICAL","⚠️ HIGH"))</f>
        <v/>
      </c>
    </row>
    <row r="55">
      <c r="A55" s="36" t="n">
        <v>10</v>
      </c>
      <c r="B55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C55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D55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E55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F55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G55" s="36">
        <f>IF(B55="","",IF(C55="Critical","⚠️ CRITICAL","⚠️ HIGH"))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</sheetData>
  <mergeCells count="5">
    <mergeCell ref="A14:G14"/>
    <mergeCell ref="A44:G44"/>
    <mergeCell ref="A1:G1"/>
    <mergeCell ref="A4:G4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A.8.31: Separation of Development, Test and Production Environments</t>
        </is>
      </c>
      <c r="B2" s="6" t="n"/>
      <c r="C2" s="6" t="n"/>
      <c r="D2" s="6" t="n"/>
      <c r="E2" s="6" t="n"/>
    </row>
    <row r="4">
      <c r="A4" s="42" t="inlineStr">
        <is>
          <t>ASSESSMENT SUMMARY</t>
        </is>
      </c>
      <c r="B4" s="6" t="n"/>
      <c r="C4" s="6" t="n"/>
      <c r="D4" s="6" t="n"/>
      <c r="E4" s="6" t="n"/>
    </row>
    <row r="5">
      <c r="A5" s="43" t="inlineStr">
        <is>
          <t>Document:</t>
        </is>
      </c>
      <c r="B5" s="6" t="inlineStr">
        <is>
          <t>ISMS-IMP-A.8.31.2</t>
        </is>
      </c>
      <c r="C5" s="6" t="n"/>
      <c r="D5" s="6" t="n"/>
      <c r="E5" s="6" t="n"/>
    </row>
    <row r="6">
      <c r="A6" s="43" t="inlineStr">
        <is>
          <t>Overall Compliance Rating:</t>
        </is>
      </c>
      <c r="B6" s="6">
        <f>'Summary Dashboard'!G13</f>
        <v/>
      </c>
      <c r="C6" s="6" t="n"/>
      <c r="D6" s="6" t="n"/>
      <c r="E6" s="6" t="n"/>
    </row>
    <row r="7">
      <c r="A7" s="43" t="inlineStr">
        <is>
          <t>Assessment Period:</t>
        </is>
      </c>
      <c r="B7" s="4" t="inlineStr"/>
      <c r="C7" s="4" t="n"/>
      <c r="D7" s="4" t="n"/>
      <c r="E7" s="4" t="n"/>
    </row>
    <row r="8">
      <c r="A8" s="43" t="inlineStr">
        <is>
          <t>Assessed By:</t>
        </is>
      </c>
      <c r="B8" s="4" t="inlineStr"/>
      <c r="C8" s="4" t="n"/>
      <c r="D8" s="4" t="n"/>
      <c r="E8" s="4" t="n"/>
    </row>
    <row r="9">
      <c r="A9" s="43" t="inlineStr">
        <is>
          <t>Assessment Status:</t>
        </is>
      </c>
      <c r="B9" s="4" t="inlineStr"/>
      <c r="C9" s="4" t="n"/>
      <c r="D9" s="4" t="n"/>
      <c r="E9" s="4" t="n"/>
    </row>
    <row r="11">
      <c r="A11" s="42" t="inlineStr">
        <is>
          <t>COMPLETED BY — Assessment Lead</t>
        </is>
      </c>
      <c r="B11" s="6" t="n"/>
      <c r="C11" s="6" t="n"/>
      <c r="D11" s="6" t="n"/>
      <c r="E11" s="6" t="n"/>
    </row>
    <row r="12">
      <c r="A12" s="43" t="inlineStr">
        <is>
          <t>Name:</t>
        </is>
      </c>
      <c r="B12" s="4" t="n"/>
      <c r="C12" s="4" t="n"/>
      <c r="D12" s="4" t="n"/>
      <c r="E12" s="4" t="n"/>
    </row>
    <row r="13">
      <c r="A13" s="43" t="inlineStr">
        <is>
          <t>Title:</t>
        </is>
      </c>
      <c r="B13" s="4" t="n"/>
      <c r="C13" s="4" t="n"/>
      <c r="D13" s="4" t="n"/>
      <c r="E13" s="4" t="n"/>
    </row>
    <row r="14">
      <c r="A14" s="43" t="inlineStr">
        <is>
          <t>Date:</t>
        </is>
      </c>
      <c r="B14" s="4" t="n"/>
      <c r="C14" s="4" t="n"/>
      <c r="D14" s="4" t="n"/>
      <c r="E14" s="4" t="n"/>
    </row>
    <row r="15">
      <c r="A15" s="43" t="inlineStr">
        <is>
          <t>Signature:</t>
        </is>
      </c>
      <c r="B15" s="4" t="n"/>
      <c r="C15" s="4" t="n"/>
      <c r="D15" s="4" t="n"/>
      <c r="E15" s="4" t="n"/>
    </row>
    <row r="16">
      <c r="A16" s="43" t="inlineStr">
        <is>
          <t>Comments:</t>
        </is>
      </c>
      <c r="B16" s="4" t="n"/>
      <c r="C16" s="4" t="n"/>
      <c r="D16" s="4" t="n"/>
      <c r="E16" s="4" t="n"/>
    </row>
    <row r="18">
      <c r="A18" s="42" t="inlineStr">
        <is>
          <t>REVIEWED BY — Security Manager</t>
        </is>
      </c>
      <c r="B18" s="6" t="n"/>
      <c r="C18" s="6" t="n"/>
      <c r="D18" s="6" t="n"/>
      <c r="E18" s="6" t="n"/>
    </row>
    <row r="19">
      <c r="A19" s="43" t="inlineStr">
        <is>
          <t>Name:</t>
        </is>
      </c>
      <c r="B19" s="4" t="n"/>
      <c r="C19" s="4" t="n"/>
      <c r="D19" s="4" t="n"/>
      <c r="E19" s="4" t="n"/>
    </row>
    <row r="20">
      <c r="A20" s="43" t="inlineStr">
        <is>
          <t>Title:</t>
        </is>
      </c>
      <c r="B20" s="4" t="n"/>
      <c r="C20" s="4" t="n"/>
      <c r="D20" s="4" t="n"/>
      <c r="E20" s="4" t="n"/>
    </row>
    <row r="21">
      <c r="A21" s="43" t="inlineStr">
        <is>
          <t>Date:</t>
        </is>
      </c>
      <c r="B21" s="4" t="n"/>
      <c r="C21" s="4" t="n"/>
      <c r="D21" s="4" t="n"/>
      <c r="E21" s="4" t="n"/>
    </row>
    <row r="22">
      <c r="A22" s="43" t="inlineStr">
        <is>
          <t>Signature:</t>
        </is>
      </c>
      <c r="B22" s="4" t="n"/>
      <c r="C22" s="4" t="n"/>
      <c r="D22" s="4" t="n"/>
      <c r="E22" s="4" t="n"/>
    </row>
    <row r="23">
      <c r="A23" s="43" t="inlineStr">
        <is>
          <t>Comments:</t>
        </is>
      </c>
      <c r="B23" s="4" t="n"/>
      <c r="C23" s="4" t="n"/>
      <c r="D23" s="4" t="n"/>
      <c r="E23" s="4" t="n"/>
    </row>
    <row r="25">
      <c r="A25" s="30" t="inlineStr">
        <is>
          <t>APPROVED BY — CISO</t>
        </is>
      </c>
      <c r="B25" s="6" t="n"/>
      <c r="C25" s="6" t="n"/>
      <c r="D25" s="6" t="n"/>
      <c r="E25" s="6" t="n"/>
    </row>
    <row r="26">
      <c r="A26" s="43" t="inlineStr">
        <is>
          <t>Name:</t>
        </is>
      </c>
      <c r="B26" s="4" t="n"/>
      <c r="C26" s="4" t="n"/>
      <c r="D26" s="4" t="n"/>
      <c r="E26" s="4" t="n"/>
    </row>
    <row r="27">
      <c r="A27" s="43" t="inlineStr">
        <is>
          <t>Title:</t>
        </is>
      </c>
      <c r="B27" s="4" t="n"/>
      <c r="C27" s="4" t="n"/>
      <c r="D27" s="4" t="n"/>
      <c r="E27" s="4" t="n"/>
    </row>
    <row r="28">
      <c r="A28" s="43" t="inlineStr">
        <is>
          <t>Date:</t>
        </is>
      </c>
      <c r="B28" s="4" t="n"/>
      <c r="C28" s="4" t="n"/>
      <c r="D28" s="4" t="n"/>
      <c r="E28" s="4" t="n"/>
    </row>
    <row r="29">
      <c r="A29" s="43" t="inlineStr">
        <is>
          <t>Signature:</t>
        </is>
      </c>
      <c r="B29" s="4" t="n"/>
      <c r="C29" s="4" t="n"/>
      <c r="D29" s="4" t="n"/>
      <c r="E29" s="4" t="n"/>
    </row>
    <row r="30">
      <c r="A30" s="43" t="inlineStr">
        <is>
          <t>Comments:</t>
        </is>
      </c>
      <c r="B30" s="4" t="n"/>
      <c r="C30" s="4" t="n"/>
      <c r="D30" s="4" t="n"/>
      <c r="E30" s="4" t="n"/>
    </row>
    <row r="32">
      <c r="A32" s="43" t="inlineStr">
        <is>
          <t>FINAL DECISION:</t>
        </is>
      </c>
      <c r="B32" s="4" t="n"/>
      <c r="C32" s="4" t="n"/>
      <c r="D32" s="4" t="n"/>
      <c r="E32" s="4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43" t="inlineStr">
        <is>
          <t>Next Review Date:</t>
        </is>
      </c>
      <c r="B36" s="4" t="n"/>
      <c r="C36" s="4" t="n"/>
      <c r="D36" s="4" t="n"/>
      <c r="E36" s="4" t="n"/>
    </row>
    <row r="37">
      <c r="A37" s="43" t="inlineStr">
        <is>
          <t>Review Responsible:</t>
        </is>
      </c>
      <c r="B37" s="4" t="n"/>
      <c r="C37" s="4" t="n"/>
      <c r="D37" s="4" t="n"/>
      <c r="E37" s="4" t="n"/>
    </row>
    <row r="38">
      <c r="A38" s="43" t="inlineStr">
        <is>
          <t>Special Considerations:</t>
        </is>
      </c>
      <c r="B38" s="4" t="n"/>
      <c r="C38" s="4" t="n"/>
      <c r="D38" s="4" t="n"/>
      <c r="E38" s="4" t="n"/>
    </row>
  </sheetData>
  <mergeCells count="31">
    <mergeCell ref="B9:E9"/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A25:E25"/>
    <mergeCell ref="B16:E16"/>
    <mergeCell ref="B7:E7"/>
    <mergeCell ref="A18:E18"/>
    <mergeCell ref="B22:E22"/>
    <mergeCell ref="B27:E27"/>
    <mergeCell ref="A2:E2"/>
    <mergeCell ref="B12:E12"/>
    <mergeCell ref="B21:E21"/>
    <mergeCell ref="B14:E14"/>
    <mergeCell ref="B23:E23"/>
    <mergeCell ref="A35:E35"/>
    <mergeCell ref="A4:E4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9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ISMS-IMP-A.8.31.2 — Environment Access Control Assessment</dc:title>
  <dc:description xmlns:dc="http://purl.org/dc/elements/1.1/">ISMS Implementation Workbook — ISMS-IMP-A.8.31.2</dc:description>
  <dc:subject xmlns:dc="http://purl.org/dc/elements/1.1/">ISO/IEC 27001:2022 — Control A.8.31: Separation of Development, Test and Production Environments</dc:subject>
  <dcterms:created xmlns:dcterms="http://purl.org/dc/terms/" xmlns:xsi="http://www.w3.org/2001/XMLSchema-instance" xsi:type="dcterms:W3CDTF">2026-03-10T18:49:40Z</dcterms:created>
  <dcterms:modified xmlns:dcterms="http://purl.org/dc/terms/" xmlns:xsi="http://www.w3.org/2001/XMLSchema-instance" xsi:type="dcterms:W3CDTF">2026-03-10T18:49:40Z</dcterms:modified>
</cp:coreProperties>
</file>