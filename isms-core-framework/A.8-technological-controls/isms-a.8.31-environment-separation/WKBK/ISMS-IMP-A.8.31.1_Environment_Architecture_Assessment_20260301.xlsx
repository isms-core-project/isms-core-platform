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 &amp; Legend" sheetId="1" state="visible" r:id="rId1"/>
    <sheet xmlns:r="http://schemas.openxmlformats.org/officeDocument/2006/relationships" name="Environment Inventory" sheetId="2" state="visible" r:id="rId2"/>
    <sheet xmlns:r="http://schemas.openxmlformats.org/officeDocument/2006/relationships" name="Network Separation" sheetId="3" state="visible" r:id="rId3"/>
    <sheet xmlns:r="http://schemas.openxmlformats.org/officeDocument/2006/relationships" name="Infrastructure Separation" sheetId="4" state="visible" r:id="rId4"/>
    <sheet xmlns:r="http://schemas.openxmlformats.org/officeDocument/2006/relationships" name="Data Separation" sheetId="5" state="visible" r:id="rId5"/>
    <sheet xmlns:r="http://schemas.openxmlformats.org/officeDocument/2006/relationships" name="Credential Separation" sheetId="6" state="visible" r:id="rId6"/>
    <sheet xmlns:r="http://schemas.openxmlformats.org/officeDocument/2006/relationships" name="Configuration Consistency" sheetId="7" state="visible" r:id="rId7"/>
    <sheet xmlns:r="http://schemas.openxmlformats.org/officeDocument/2006/relationships" name="Evidence Register" sheetId="8" state="visible" r:id="rId8"/>
    <sheet xmlns:r="http://schemas.openxmlformats.org/officeDocument/2006/relationships" name="Gap Analysis" sheetId="9" state="visible" r:id="rId9"/>
    <sheet xmlns:r="http://schemas.openxmlformats.org/officeDocument/2006/relationships" name="Summary Dashboard" sheetId="10" state="visible" r:id="rId10"/>
    <sheet xmlns:r="http://schemas.openxmlformats.org/officeDocument/2006/relationships" name="Approval Sign-Off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2"/>
    </font>
    <font>
      <name val="Calibri"/>
      <b val="1"/>
    </font>
    <font>
      <name val="Calibri"/>
      <b val="1"/>
      <sz val="10"/>
    </font>
    <font>
      <name val="Calibri"/>
      <b val="1"/>
      <color rgb="00FFFFFF"/>
      <sz val="11"/>
    </font>
    <font>
      <name val="Calibri"/>
      <b val="1"/>
      <color rgb="00FFFFFF"/>
      <sz val="10"/>
    </font>
    <font>
      <name val="Calibri"/>
      <i val="1"/>
      <color rgb="00003366"/>
      <sz val="10"/>
    </font>
    <font>
      <name val="Calibri"/>
      <b val="1"/>
      <color rgb="00000000"/>
      <sz val="10"/>
    </font>
    <font>
      <name val="Calibri"/>
      <sz val="10"/>
    </font>
    <font>
      <name val="Calibri"/>
      <i val="1"/>
      <sz val="10"/>
    </font>
  </fonts>
  <fills count="14">
    <fill>
      <patternFill/>
    </fill>
    <fill>
      <patternFill patternType="gray125"/>
    </fill>
    <fill>
      <patternFill patternType="solid">
        <fgColor rgb="00003366"/>
      </patternFill>
    </fill>
    <fill>
      <patternFill patternType="solid">
        <fgColor rgb="00FFFFCC"/>
      </patternFill>
    </fill>
    <fill>
      <patternFill patternType="solid">
        <fgColor rgb="00D9D9D9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003366"/>
        <bgColor rgb="00003366"/>
      </patternFill>
    </fill>
    <fill>
      <patternFill patternType="solid">
        <fgColor rgb="00F2F2F2"/>
        <bgColor rgb="00F2F2F2"/>
      </patternFill>
    </fill>
    <fill>
      <patternFill patternType="solid">
        <fgColor rgb="00FFFFCC"/>
        <bgColor rgb="00FFFFCC"/>
      </patternFill>
    </fill>
    <fill>
      <patternFill patternType="solid">
        <fgColor rgb="00C00000"/>
      </patternFill>
    </fill>
    <fill>
      <patternFill patternType="solid">
        <fgColor rgb="00F2F2F2"/>
      </patternFill>
    </fill>
    <fill>
      <patternFill patternType="solid">
        <f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0" borderId="0" pivotButton="0" quotePrefix="0" xfId="0"/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5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 wrapText="1"/>
    </xf>
    <xf numFmtId="0" fontId="0" fillId="6" borderId="1" applyAlignment="1" pivotButton="0" quotePrefix="0" xfId="0">
      <alignment horizontal="left" vertical="center" wrapText="1"/>
    </xf>
    <xf numFmtId="0" fontId="0" fillId="7" borderId="1" applyAlignment="1" pivotButton="0" quotePrefix="0" xfId="0">
      <alignment horizontal="left" vertical="center" wrapText="1"/>
    </xf>
    <xf numFmtId="0" fontId="1" fillId="8" borderId="0" applyAlignment="1" pivotButton="0" quotePrefix="0" xfId="0">
      <alignment horizontal="center" vertical="center" wrapText="1"/>
    </xf>
    <xf numFmtId="0" fontId="5" fillId="8" borderId="0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0" fillId="9" borderId="1" applyAlignment="1" pivotButton="0" quotePrefix="0" xfId="0">
      <alignment horizontal="left" vertical="center" wrapText="1"/>
    </xf>
    <xf numFmtId="0" fontId="0" fillId="10" borderId="1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 wrapText="1"/>
    </xf>
    <xf numFmtId="0" fontId="9" fillId="12" borderId="1" applyAlignment="1" pivotButton="0" quotePrefix="0" xfId="0">
      <alignment horizontal="center" vertical="center" wrapText="1"/>
    </xf>
    <xf numFmtId="0" fontId="9" fillId="12" borderId="1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5" fillId="2" borderId="0" applyAlignment="1" pivotButton="0" quotePrefix="0" xfId="0">
      <alignment horizontal="left" vertical="center"/>
    </xf>
    <xf numFmtId="0" fontId="8" fillId="4" borderId="1" applyAlignment="1" pivotButton="0" quotePrefix="0" xfId="0">
      <alignment horizontal="center" vertical="center" wrapText="1"/>
    </xf>
    <xf numFmtId="0" fontId="9" fillId="0" borderId="1" pivotButton="0" quotePrefix="0" xfId="0"/>
    <xf numFmtId="0" fontId="0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0" fontId="4" fillId="4" borderId="1" pivotButton="0" quotePrefix="0" xfId="0"/>
    <xf numFmtId="0" fontId="8" fillId="4" borderId="1" applyAlignment="1" pivotButton="0" quotePrefix="0" xfId="0">
      <alignment horizontal="center"/>
    </xf>
    <xf numFmtId="0" fontId="5" fillId="2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left" vertical="center"/>
    </xf>
    <xf numFmtId="0" fontId="9" fillId="0" borderId="1" applyAlignment="1" pivotButton="0" quotePrefix="0" xfId="0">
      <alignment horizontal="right" vertical="center"/>
    </xf>
    <xf numFmtId="0" fontId="5" fillId="11" borderId="0" applyAlignment="1" pivotButton="0" quotePrefix="0" xfId="0">
      <alignment horizontal="left" vertical="center"/>
    </xf>
    <xf numFmtId="0" fontId="8" fillId="4" borderId="1" applyAlignment="1" pivotButton="0" quotePrefix="0" xfId="0">
      <alignment horizontal="center" wrapText="1"/>
    </xf>
    <xf numFmtId="0" fontId="4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left" wrapText="1"/>
    </xf>
    <xf numFmtId="0" fontId="9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left"/>
    </xf>
    <xf numFmtId="0" fontId="1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/>
    </xf>
    <xf numFmtId="0" fontId="5" fillId="13" borderId="1" applyAlignment="1" pivotButton="0" quotePrefix="0" xfId="0">
      <alignment horizontal="left" vertical="center"/>
    </xf>
    <xf numFmtId="0" fontId="4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45" customWidth="1" min="2" max="2"/>
    <col width="70" customWidth="1" min="3" max="3"/>
  </cols>
  <sheetData>
    <row r="1" ht="40" customHeight="1">
      <c r="A1" s="1" t="inlineStr">
        <is>
          <t>ISMS-IMP-A.8.31.1  -  Environment Architecture Assessment
ISO/IEC 27001:2022 - Control A.8.31: Separation of Development, Test and Production Environments</t>
        </is>
      </c>
    </row>
    <row r="3">
      <c r="A3" s="2" t="inlineStr">
        <is>
          <t>Document Information</t>
        </is>
      </c>
    </row>
    <row r="4">
      <c r="A4" s="3" t="inlineStr">
        <is>
          <t>Document ID</t>
        </is>
      </c>
      <c r="B4" t="inlineStr">
        <is>
          <t>ISMS-IMP-A.8.31.1</t>
        </is>
      </c>
    </row>
    <row r="5">
      <c r="A5" s="3" t="inlineStr">
        <is>
          <t>Workbook Title</t>
        </is>
      </c>
      <c r="B5" t="inlineStr">
        <is>
          <t>Environment Architecture Assessment</t>
        </is>
      </c>
    </row>
    <row r="6">
      <c r="A6" s="3" t="inlineStr">
        <is>
          <t>Control Reference</t>
        </is>
      </c>
      <c r="B6" t="inlineStr">
        <is>
          <t>ISO/IEC 27001:2022 - Control A.8.31: Separation of Development, Test and Production Environments</t>
        </is>
      </c>
    </row>
    <row r="7">
      <c r="A7" s="3" t="inlineStr">
        <is>
          <t>Version</t>
        </is>
      </c>
      <c r="B7" t="inlineStr">
        <is>
          <t>1.0</t>
        </is>
      </c>
    </row>
    <row r="8">
      <c r="A8" s="3" t="inlineStr">
        <is>
          <t>Assessment Date</t>
        </is>
      </c>
      <c r="B8" s="4" t="inlineStr"/>
    </row>
    <row r="9">
      <c r="A9" s="3" t="inlineStr">
        <is>
          <t>Completed By</t>
        </is>
      </c>
      <c r="B9" s="4" t="inlineStr"/>
    </row>
    <row r="10">
      <c r="A10" s="3" t="inlineStr">
        <is>
          <t>Organisation</t>
        </is>
      </c>
      <c r="B10" s="4" t="inlineStr"/>
    </row>
    <row r="12">
      <c r="A12" s="2" t="inlineStr">
        <is>
          <t>Instructions</t>
        </is>
      </c>
    </row>
    <row r="13">
      <c r="A13" t="inlineStr">
        <is>
          <t>1. Complete the Environment Inventory sheet with all your environments (dev, test, staging, production).</t>
        </is>
      </c>
    </row>
    <row r="14">
      <c r="A14" t="inlineStr">
        <is>
          <t>2. Assess Network Separation — verify VLANs, VPCs, firewall rules prevent cross-environment access.</t>
        </is>
      </c>
    </row>
    <row r="15">
      <c r="A15" t="inlineStr">
        <is>
          <t>3. Assess Infrastructure Separation — verify separate servers, cloud accounts, databases.</t>
        </is>
      </c>
    </row>
    <row r="16">
      <c r="A16" t="inlineStr">
        <is>
          <t>4. Assess Data Separation — confirm NO production data in dev/test environments.</t>
        </is>
      </c>
    </row>
    <row r="17">
      <c r="A17" t="inlineStr">
        <is>
          <t>5. Assess Credential Separation — verify unique credentials per environment.</t>
        </is>
      </c>
    </row>
    <row r="18">
      <c r="A18" t="inlineStr">
        <is>
          <t>6. Review Configuration Consistency — check for drift between staging and production.</t>
        </is>
      </c>
    </row>
    <row r="19">
      <c r="A19" t="inlineStr">
        <is>
          <t>7. Complete Gap Analysis — document non-compliance areas and remediation plans.</t>
        </is>
      </c>
    </row>
    <row r="20">
      <c r="A20" t="inlineStr">
        <is>
          <t>8. Maintain Evidence Register for audit traceability.</t>
        </is>
      </c>
    </row>
    <row r="21">
      <c r="A21" t="inlineStr">
        <is>
          <t>9. Obtain final approval and sign-off.</t>
        </is>
      </c>
    </row>
    <row r="23">
      <c r="A23" s="2" t="inlineStr">
        <is>
          <t>Status Legend</t>
        </is>
      </c>
    </row>
    <row r="24">
      <c r="A24" s="5" t="inlineStr">
        <is>
          <t>Symbol</t>
        </is>
      </c>
      <c r="B24" s="5" t="inlineStr">
        <is>
          <t>Status</t>
        </is>
      </c>
      <c r="C24" s="5" t="inlineStr">
        <is>
          <t>Description</t>
        </is>
      </c>
    </row>
    <row r="25">
      <c r="A25" s="6" t="inlineStr">
        <is>
          <t>✓</t>
        </is>
      </c>
      <c r="B25" s="7" t="inlineStr">
        <is>
          <t>Compliant / Complete</t>
        </is>
      </c>
      <c r="C25" s="8" t="inlineStr">
        <is>
          <t>Requirement fully met</t>
        </is>
      </c>
    </row>
    <row r="26">
      <c r="A26" s="6" t="inlineStr">
        <is>
          <t>⚠</t>
        </is>
      </c>
      <c r="B26" s="9" t="inlineStr">
        <is>
          <t>Partial / In Progress</t>
        </is>
      </c>
      <c r="C26" s="8" t="inlineStr">
        <is>
          <t>Partially met or in progress</t>
        </is>
      </c>
    </row>
    <row r="27">
      <c r="A27" s="6" t="inlineStr">
        <is>
          <t>✗</t>
        </is>
      </c>
      <c r="B27" s="10" t="inlineStr">
        <is>
          <t>Non-Compliant / Not Started</t>
        </is>
      </c>
      <c r="C27" s="8" t="inlineStr">
        <is>
          <t>Requirement not met</t>
        </is>
      </c>
    </row>
    <row r="28">
      <c r="A28" s="6" t="inlineStr">
        <is>
          <t>—</t>
        </is>
      </c>
      <c r="B28" s="8" t="inlineStr">
        <is>
          <t>Not Applicable</t>
        </is>
      </c>
      <c r="C28" s="8" t="inlineStr">
        <is>
          <t>Not applicable to this assessment</t>
        </is>
      </c>
    </row>
  </sheetData>
  <mergeCells count="1"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5" customWidth="1" min="1" max="1"/>
    <col width="20" customWidth="1" min="2" max="2"/>
    <col width="40" customWidth="1" min="3" max="3"/>
    <col width="20" customWidth="1" min="4" max="4"/>
    <col width="25" customWidth="1" min="5" max="5"/>
    <col width="30" customWidth="1" min="6" max="6"/>
    <col width="20" customWidth="1" min="7" max="7"/>
    <col width="25" customWidth="1" min="8" max="8"/>
    <col width="40" customWidth="1" min="9" max="9"/>
  </cols>
  <sheetData>
    <row r="1" ht="35" customHeight="1">
      <c r="A1" s="11" t="inlineStr">
        <is>
          <t>ENVIRONMENT INVENTORY</t>
        </is>
      </c>
    </row>
    <row r="2">
      <c r="A2" s="12" t="inlineStr">
        <is>
          <t>Document all environments in use by [Organisation]</t>
        </is>
      </c>
    </row>
    <row r="4">
      <c r="A4" s="13" t="inlineStr">
        <is>
          <t>Environment Name</t>
        </is>
      </c>
      <c r="B4" s="13" t="inlineStr">
        <is>
          <t>Environment Type</t>
        </is>
      </c>
      <c r="C4" s="13" t="inlineStr">
        <is>
          <t>Purpose</t>
        </is>
      </c>
      <c r="D4" s="13" t="inlineStr">
        <is>
          <t>Infrastructure Type</t>
        </is>
      </c>
      <c r="E4" s="13" t="inlineStr">
        <is>
          <t>Primary Users</t>
        </is>
      </c>
      <c r="F4" s="13" t="inlineStr">
        <is>
          <t>Data Type Allowed</t>
        </is>
      </c>
      <c r="G4" s="13" t="inlineStr">
        <is>
          <t>Availability Target</t>
        </is>
      </c>
      <c r="H4" s="13" t="inlineStr">
        <is>
          <t>Change Control Level</t>
        </is>
      </c>
      <c r="I4" s="13" t="inlineStr">
        <is>
          <t>Notes</t>
        </is>
      </c>
    </row>
    <row r="5">
      <c r="A5" s="14" t="inlineStr">
        <is>
          <t>test-myapp</t>
        </is>
      </c>
      <c r="B5" s="14" t="inlineStr">
        <is>
          <t>Testing/QA</t>
        </is>
      </c>
      <c r="C5" s="14" t="inlineStr">
        <is>
          <t>QA and UAT</t>
        </is>
      </c>
      <c r="D5" s="14" t="inlineStr">
        <is>
          <t>AWS</t>
        </is>
      </c>
      <c r="E5" s="14" t="inlineStr">
        <is>
          <t>QA team, Business users</t>
        </is>
      </c>
      <c r="F5" s="14" t="inlineStr">
        <is>
          <t>Synthetic/Anonymized ONLY</t>
        </is>
      </c>
      <c r="G5" s="14" t="inlineStr">
        <is>
          <t>95% business hours</t>
        </is>
      </c>
      <c r="H5" s="14" t="inlineStr">
        <is>
          <t>Moderate</t>
        </is>
      </c>
      <c r="I5" s="14" t="inlineStr">
        <is>
          <t>Test account: 222222222222</t>
        </is>
      </c>
    </row>
    <row r="6">
      <c r="A6" s="15" t="n"/>
      <c r="B6" s="15" t="n"/>
      <c r="C6" s="15" t="n"/>
      <c r="D6" s="15" t="n"/>
      <c r="E6" s="15" t="n"/>
      <c r="F6" s="15" t="n"/>
      <c r="G6" s="15" t="n"/>
      <c r="H6" s="15" t="n"/>
      <c r="I6" s="15" t="n"/>
    </row>
    <row r="7">
      <c r="A7" s="15" t="n"/>
      <c r="B7" s="15" t="n"/>
      <c r="C7" s="15" t="n"/>
      <c r="D7" s="15" t="n"/>
      <c r="E7" s="15" t="n"/>
      <c r="F7" s="15" t="n"/>
      <c r="G7" s="15" t="n"/>
      <c r="H7" s="15" t="n"/>
      <c r="I7" s="15" t="n"/>
    </row>
    <row r="8">
      <c r="A8" s="15" t="n"/>
      <c r="B8" s="15" t="n"/>
      <c r="C8" s="15" t="n"/>
      <c r="D8" s="15" t="n"/>
      <c r="E8" s="15" t="n"/>
      <c r="F8" s="15" t="n"/>
      <c r="G8" s="15" t="n"/>
      <c r="H8" s="15" t="n"/>
      <c r="I8" s="15" t="n"/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</row>
    <row r="10">
      <c r="A10" s="15" t="n"/>
      <c r="B10" s="15" t="n"/>
      <c r="C10" s="15" t="n"/>
      <c r="D10" s="15" t="n"/>
      <c r="E10" s="15" t="n"/>
      <c r="F10" s="15" t="n"/>
      <c r="G10" s="15" t="n"/>
      <c r="H10" s="15" t="n"/>
      <c r="I10" s="15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  <c r="I12" s="15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  <c r="I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  <c r="I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  <c r="I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  <c r="I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5" t="n"/>
      <c r="I22" s="15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5" t="n"/>
      <c r="I24" s="15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</row>
    <row r="26">
      <c r="A26" s="15" t="n"/>
      <c r="B26" s="15" t="n"/>
      <c r="C26" s="15" t="n"/>
      <c r="D26" s="15" t="n"/>
      <c r="E26" s="15" t="n"/>
      <c r="F26" s="15" t="n"/>
      <c r="G26" s="15" t="n"/>
      <c r="H26" s="15" t="n"/>
      <c r="I26" s="15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  <c r="I27" s="15" t="n"/>
    </row>
    <row r="28">
      <c r="A28" s="15" t="n"/>
      <c r="B28" s="15" t="n"/>
      <c r="C28" s="15" t="n"/>
      <c r="D28" s="15" t="n"/>
      <c r="E28" s="15" t="n"/>
      <c r="F28" s="15" t="n"/>
      <c r="G28" s="15" t="n"/>
      <c r="H28" s="15" t="n"/>
      <c r="I28" s="15" t="n"/>
    </row>
    <row r="29">
      <c r="A29" s="15" t="n"/>
      <c r="B29" s="15" t="n"/>
      <c r="C29" s="15" t="n"/>
      <c r="D29" s="15" t="n"/>
      <c r="E29" s="15" t="n"/>
      <c r="F29" s="15" t="n"/>
      <c r="G29" s="15" t="n"/>
      <c r="H29" s="15" t="n"/>
      <c r="I29" s="15" t="n"/>
    </row>
    <row r="30">
      <c r="A30" s="15" t="n"/>
      <c r="B30" s="15" t="n"/>
      <c r="C30" s="15" t="n"/>
      <c r="D30" s="15" t="n"/>
      <c r="E30" s="15" t="n"/>
      <c r="F30" s="15" t="n"/>
      <c r="G30" s="15" t="n"/>
      <c r="H30" s="15" t="n"/>
      <c r="I30" s="15" t="n"/>
    </row>
    <row r="31">
      <c r="A31" s="15" t="n"/>
      <c r="B31" s="15" t="n"/>
      <c r="C31" s="15" t="n"/>
      <c r="D31" s="15" t="n"/>
      <c r="E31" s="15" t="n"/>
      <c r="F31" s="15" t="n"/>
      <c r="G31" s="15" t="n"/>
      <c r="H31" s="15" t="n"/>
      <c r="I31" s="15" t="n"/>
    </row>
    <row r="32">
      <c r="A32" s="15" t="n"/>
      <c r="B32" s="15" t="n"/>
      <c r="C32" s="15" t="n"/>
      <c r="D32" s="15" t="n"/>
      <c r="E32" s="15" t="n"/>
      <c r="F32" s="15" t="n"/>
      <c r="G32" s="15" t="n"/>
      <c r="H32" s="15" t="n"/>
      <c r="I32" s="15" t="n"/>
    </row>
    <row r="33">
      <c r="A33" s="15" t="n"/>
      <c r="B33" s="15" t="n"/>
      <c r="C33" s="15" t="n"/>
      <c r="D33" s="15" t="n"/>
      <c r="E33" s="15" t="n"/>
      <c r="F33" s="15" t="n"/>
      <c r="G33" s="15" t="n"/>
      <c r="H33" s="15" t="n"/>
      <c r="I33" s="15" t="n"/>
    </row>
    <row r="34">
      <c r="A34" s="15" t="n"/>
      <c r="B34" s="15" t="n"/>
      <c r="C34" s="15" t="n"/>
      <c r="D34" s="15" t="n"/>
      <c r="E34" s="15" t="n"/>
      <c r="F34" s="15" t="n"/>
      <c r="G34" s="15" t="n"/>
      <c r="H34" s="15" t="n"/>
      <c r="I34" s="15" t="n"/>
    </row>
    <row r="35">
      <c r="A35" s="15" t="n"/>
      <c r="B35" s="15" t="n"/>
      <c r="C35" s="15" t="n"/>
      <c r="D35" s="15" t="n"/>
      <c r="E35" s="15" t="n"/>
      <c r="F35" s="15" t="n"/>
      <c r="G35" s="15" t="n"/>
      <c r="H35" s="15" t="n"/>
      <c r="I35" s="15" t="n"/>
    </row>
    <row r="36">
      <c r="A36" s="15" t="n"/>
      <c r="B36" s="15" t="n"/>
      <c r="C36" s="15" t="n"/>
      <c r="D36" s="15" t="n"/>
      <c r="E36" s="15" t="n"/>
      <c r="F36" s="15" t="n"/>
      <c r="G36" s="15" t="n"/>
      <c r="H36" s="15" t="n"/>
      <c r="I36" s="15" t="n"/>
    </row>
    <row r="37">
      <c r="A37" s="15" t="n"/>
      <c r="B37" s="15" t="n"/>
      <c r="C37" s="15" t="n"/>
      <c r="D37" s="15" t="n"/>
      <c r="E37" s="15" t="n"/>
      <c r="F37" s="15" t="n"/>
      <c r="G37" s="15" t="n"/>
      <c r="H37" s="15" t="n"/>
      <c r="I37" s="15" t="n"/>
    </row>
    <row r="38">
      <c r="A38" s="15" t="n"/>
      <c r="B38" s="15" t="n"/>
      <c r="C38" s="15" t="n"/>
      <c r="D38" s="15" t="n"/>
      <c r="E38" s="15" t="n"/>
      <c r="F38" s="15" t="n"/>
      <c r="G38" s="15" t="n"/>
      <c r="H38" s="15" t="n"/>
      <c r="I38" s="15" t="n"/>
    </row>
    <row r="39">
      <c r="A39" s="15" t="n"/>
      <c r="B39" s="15" t="n"/>
      <c r="C39" s="15" t="n"/>
      <c r="D39" s="15" t="n"/>
      <c r="E39" s="15" t="n"/>
      <c r="F39" s="15" t="n"/>
      <c r="G39" s="15" t="n"/>
      <c r="H39" s="15" t="n"/>
      <c r="I39" s="15" t="n"/>
    </row>
    <row r="40">
      <c r="A40" s="15" t="n"/>
      <c r="B40" s="15" t="n"/>
      <c r="C40" s="15" t="n"/>
      <c r="D40" s="15" t="n"/>
      <c r="E40" s="15" t="n"/>
      <c r="F40" s="15" t="n"/>
      <c r="G40" s="15" t="n"/>
      <c r="H40" s="15" t="n"/>
      <c r="I40" s="15" t="n"/>
    </row>
    <row r="41">
      <c r="A41" s="15" t="n"/>
      <c r="B41" s="15" t="n"/>
      <c r="C41" s="15" t="n"/>
      <c r="D41" s="15" t="n"/>
      <c r="E41" s="15" t="n"/>
      <c r="F41" s="15" t="n"/>
      <c r="G41" s="15" t="n"/>
      <c r="H41" s="15" t="n"/>
      <c r="I41" s="15" t="n"/>
    </row>
    <row r="42">
      <c r="A42" s="15" t="n"/>
      <c r="B42" s="15" t="n"/>
      <c r="C42" s="15" t="n"/>
      <c r="D42" s="15" t="n"/>
      <c r="E42" s="15" t="n"/>
      <c r="F42" s="15" t="n"/>
      <c r="G42" s="15" t="n"/>
      <c r="H42" s="15" t="n"/>
      <c r="I42" s="15" t="n"/>
    </row>
    <row r="43">
      <c r="A43" s="15" t="n"/>
      <c r="B43" s="15" t="n"/>
      <c r="C43" s="15" t="n"/>
      <c r="D43" s="15" t="n"/>
      <c r="E43" s="15" t="n"/>
      <c r="F43" s="15" t="n"/>
      <c r="G43" s="15" t="n"/>
      <c r="H43" s="15" t="n"/>
      <c r="I43" s="15" t="n"/>
    </row>
    <row r="44">
      <c r="A44" s="15" t="n"/>
      <c r="B44" s="15" t="n"/>
      <c r="C44" s="15" t="n"/>
      <c r="D44" s="15" t="n"/>
      <c r="E44" s="15" t="n"/>
      <c r="F44" s="15" t="n"/>
      <c r="G44" s="15" t="n"/>
      <c r="H44" s="15" t="n"/>
      <c r="I44" s="15" t="n"/>
    </row>
    <row r="45">
      <c r="A45" s="15" t="n"/>
      <c r="B45" s="15" t="n"/>
      <c r="C45" s="15" t="n"/>
      <c r="D45" s="15" t="n"/>
      <c r="E45" s="15" t="n"/>
      <c r="F45" s="15" t="n"/>
      <c r="G45" s="15" t="n"/>
      <c r="H45" s="15" t="n"/>
      <c r="I45" s="15" t="n"/>
    </row>
    <row r="46">
      <c r="A46" s="15" t="n"/>
      <c r="B46" s="15" t="n"/>
      <c r="C46" s="15" t="n"/>
      <c r="D46" s="15" t="n"/>
      <c r="E46" s="15" t="n"/>
      <c r="F46" s="15" t="n"/>
      <c r="G46" s="15" t="n"/>
      <c r="H46" s="15" t="n"/>
      <c r="I46" s="15" t="n"/>
    </row>
    <row r="47">
      <c r="A47" s="15" t="n"/>
      <c r="B47" s="15" t="n"/>
      <c r="C47" s="15" t="n"/>
      <c r="D47" s="15" t="n"/>
      <c r="E47" s="15" t="n"/>
      <c r="F47" s="15" t="n"/>
      <c r="G47" s="15" t="n"/>
      <c r="H47" s="15" t="n"/>
      <c r="I47" s="15" t="n"/>
    </row>
    <row r="48">
      <c r="A48" s="15" t="n"/>
      <c r="B48" s="15" t="n"/>
      <c r="C48" s="15" t="n"/>
      <c r="D48" s="15" t="n"/>
      <c r="E48" s="15" t="n"/>
      <c r="F48" s="15" t="n"/>
      <c r="G48" s="15" t="n"/>
      <c r="H48" s="15" t="n"/>
      <c r="I48" s="15" t="n"/>
    </row>
    <row r="49">
      <c r="A49" s="15" t="n"/>
      <c r="B49" s="15" t="n"/>
      <c r="C49" s="15" t="n"/>
      <c r="D49" s="15" t="n"/>
      <c r="E49" s="15" t="n"/>
      <c r="F49" s="15" t="n"/>
      <c r="G49" s="15" t="n"/>
      <c r="H49" s="15" t="n"/>
      <c r="I49" s="15" t="n"/>
    </row>
    <row r="50">
      <c r="A50" s="15" t="n"/>
      <c r="B50" s="15" t="n"/>
      <c r="C50" s="15" t="n"/>
      <c r="D50" s="15" t="n"/>
      <c r="E50" s="15" t="n"/>
      <c r="F50" s="15" t="n"/>
      <c r="G50" s="15" t="n"/>
      <c r="H50" s="15" t="n"/>
      <c r="I50" s="15" t="n"/>
    </row>
    <row r="51">
      <c r="A51" s="15" t="n"/>
      <c r="B51" s="15" t="n"/>
      <c r="C51" s="15" t="n"/>
      <c r="D51" s="15" t="n"/>
      <c r="E51" s="15" t="n"/>
      <c r="F51" s="15" t="n"/>
      <c r="G51" s="15" t="n"/>
      <c r="H51" s="15" t="n"/>
      <c r="I51" s="15" t="n"/>
    </row>
    <row r="52">
      <c r="A52" s="15" t="n"/>
      <c r="B52" s="15" t="n"/>
      <c r="C52" s="15" t="n"/>
      <c r="D52" s="15" t="n"/>
      <c r="E52" s="15" t="n"/>
      <c r="F52" s="15" t="n"/>
      <c r="G52" s="15" t="n"/>
      <c r="H52" s="15" t="n"/>
      <c r="I52" s="15" t="n"/>
    </row>
    <row r="53">
      <c r="A53" s="15" t="n"/>
      <c r="B53" s="15" t="n"/>
      <c r="C53" s="15" t="n"/>
      <c r="D53" s="15" t="n"/>
      <c r="E53" s="15" t="n"/>
      <c r="F53" s="15" t="n"/>
      <c r="G53" s="15" t="n"/>
      <c r="H53" s="15" t="n"/>
      <c r="I53" s="15" t="n"/>
    </row>
    <row r="54">
      <c r="A54" s="15" t="n"/>
      <c r="B54" s="15" t="n"/>
      <c r="C54" s="15" t="n"/>
      <c r="D54" s="15" t="n"/>
      <c r="E54" s="15" t="n"/>
      <c r="F54" s="15" t="n"/>
      <c r="G54" s="15" t="n"/>
      <c r="H54" s="15" t="n"/>
      <c r="I54" s="15" t="n"/>
    </row>
    <row r="55">
      <c r="A55" s="15" t="n"/>
      <c r="B55" s="15" t="n"/>
      <c r="C55" s="15" t="n"/>
      <c r="D55" s="15" t="n"/>
      <c r="E55" s="15" t="n"/>
      <c r="F55" s="15" t="n"/>
      <c r="G55" s="15" t="n"/>
      <c r="H55" s="15" t="n"/>
      <c r="I55" s="15" t="n"/>
    </row>
  </sheetData>
  <mergeCells count="2">
    <mergeCell ref="A1:I1"/>
    <mergeCell ref="A2:I2"/>
  </mergeCells>
  <dataValidations count="2">
    <dataValidation sqref="B5:B55" showDropDown="0" showInputMessage="0" showErrorMessage="0" allowBlank="0" type="list">
      <formula1>"Development,Testing/QA,Staging,Production,Sandbox,DR/Backup,Training,Other"</formula1>
    </dataValidation>
    <dataValidation sqref="D5:D55" showDropDown="0" showInputMessage="0" showErrorMessage="0" allowBlank="0" type="list">
      <formula1>"On-Premises,AWS,Azure,GCP,Hybrid,Multi-Cloud,Kubernetes,Other"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35" customWidth="1" min="2" max="2"/>
    <col width="30" customWidth="1" min="3" max="3"/>
    <col width="30" customWidth="1" min="4" max="4"/>
    <col width="20" customWidth="1" min="5" max="5"/>
    <col width="30" customWidth="1" min="6" max="6"/>
    <col width="20" customWidth="1" min="7" max="7"/>
    <col width="40" customWidth="1" min="8" max="8"/>
  </cols>
  <sheetData>
    <row r="1" ht="35" customHeight="1">
      <c r="A1" s="11" t="inlineStr">
        <is>
          <t>NETWORK SEPARATION ASSESSMENT</t>
        </is>
      </c>
    </row>
    <row r="2">
      <c r="A2" s="12" t="inlineStr">
        <is>
          <t>Verify network-level isolation between environments</t>
        </is>
      </c>
    </row>
    <row r="4">
      <c r="A4" s="13" t="inlineStr">
        <is>
          <t>Environment Pair</t>
        </is>
      </c>
      <c r="B4" s="13" t="inlineStr">
        <is>
          <t>Network Segment (VLAN/VPC)</t>
        </is>
      </c>
      <c r="C4" s="13" t="inlineStr">
        <is>
          <t>Firewall Rules</t>
        </is>
      </c>
      <c r="D4" s="13" t="inlineStr">
        <is>
          <t>Cross-Environment Traffic</t>
        </is>
      </c>
      <c r="E4" s="13" t="inlineStr">
        <is>
          <t>Separation Status</t>
        </is>
      </c>
      <c r="F4" s="13" t="inlineStr">
        <is>
          <t>Test Result</t>
        </is>
      </c>
      <c r="G4" s="13" t="inlineStr">
        <is>
          <t>Compliance</t>
        </is>
      </c>
      <c r="H4" s="13" t="inlineStr">
        <is>
          <t>Notes/Evidence</t>
        </is>
      </c>
    </row>
    <row r="5">
      <c r="A5" s="14" t="inlineStr">
        <is>
          <t>Dev → Test</t>
        </is>
      </c>
      <c r="B5" s="14" t="inlineStr">
        <is>
          <t>VLAN 100 → VLAN 200</t>
        </is>
      </c>
      <c r="C5" s="14" t="inlineStr">
        <is>
          <t>Default DENY</t>
        </is>
      </c>
      <c r="D5" s="14" t="inlineStr">
        <is>
          <t>No traffic allowed</t>
        </is>
      </c>
      <c r="E5" s="14" t="inlineStr">
        <is>
          <t>Complete</t>
        </is>
      </c>
      <c r="F5" s="14" t="inlineStr">
        <is>
          <t>Ping test FAILED (expected)</t>
        </is>
      </c>
      <c r="G5" s="14" t="inlineStr">
        <is>
          <t>Compliant</t>
        </is>
      </c>
      <c r="H5" s="14" t="inlineStr">
        <is>
          <t>Firewall rule export: evidence_001.pdf</t>
        </is>
      </c>
    </row>
    <row r="6">
      <c r="A6" s="15" t="n"/>
      <c r="B6" s="15" t="n"/>
      <c r="C6" s="15" t="n"/>
      <c r="D6" s="15" t="n"/>
      <c r="E6" s="15" t="n"/>
      <c r="F6" s="15" t="n"/>
      <c r="G6" s="15" t="n"/>
      <c r="H6" s="15" t="n"/>
    </row>
    <row r="7">
      <c r="A7" s="15" t="n"/>
      <c r="B7" s="15" t="n"/>
      <c r="C7" s="15" t="n"/>
      <c r="D7" s="15" t="n"/>
      <c r="E7" s="15" t="n"/>
      <c r="F7" s="15" t="n"/>
      <c r="G7" s="15" t="n"/>
      <c r="H7" s="15" t="n"/>
    </row>
    <row r="8">
      <c r="A8" s="15" t="n"/>
      <c r="B8" s="15" t="n"/>
      <c r="C8" s="15" t="n"/>
      <c r="D8" s="15" t="n"/>
      <c r="E8" s="15" t="n"/>
      <c r="F8" s="15" t="n"/>
      <c r="G8" s="15" t="n"/>
      <c r="H8" s="15" t="n"/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</row>
    <row r="10">
      <c r="A10" s="15" t="n"/>
      <c r="B10" s="15" t="n"/>
      <c r="C10" s="15" t="n"/>
      <c r="D10" s="15" t="n"/>
      <c r="E10" s="15" t="n"/>
      <c r="F10" s="15" t="n"/>
      <c r="G10" s="15" t="n"/>
      <c r="H10" s="15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5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5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</row>
    <row r="26">
      <c r="A26" s="15" t="n"/>
      <c r="B26" s="15" t="n"/>
      <c r="C26" s="15" t="n"/>
      <c r="D26" s="15" t="n"/>
      <c r="E26" s="15" t="n"/>
      <c r="F26" s="15" t="n"/>
      <c r="G26" s="15" t="n"/>
      <c r="H26" s="15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</row>
    <row r="28">
      <c r="A28" s="15" t="n"/>
      <c r="B28" s="15" t="n"/>
      <c r="C28" s="15" t="n"/>
      <c r="D28" s="15" t="n"/>
      <c r="E28" s="15" t="n"/>
      <c r="F28" s="15" t="n"/>
      <c r="G28" s="15" t="n"/>
      <c r="H28" s="15" t="n"/>
    </row>
    <row r="29">
      <c r="A29" s="15" t="n"/>
      <c r="B29" s="15" t="n"/>
      <c r="C29" s="15" t="n"/>
      <c r="D29" s="15" t="n"/>
      <c r="E29" s="15" t="n"/>
      <c r="F29" s="15" t="n"/>
      <c r="G29" s="15" t="n"/>
      <c r="H29" s="15" t="n"/>
    </row>
    <row r="30">
      <c r="A30" s="15" t="n"/>
      <c r="B30" s="15" t="n"/>
      <c r="C30" s="15" t="n"/>
      <c r="D30" s="15" t="n"/>
      <c r="E30" s="15" t="n"/>
      <c r="F30" s="15" t="n"/>
      <c r="G30" s="15" t="n"/>
      <c r="H30" s="15" t="n"/>
    </row>
    <row r="31">
      <c r="A31" s="15" t="n"/>
      <c r="B31" s="15" t="n"/>
      <c r="C31" s="15" t="n"/>
      <c r="D31" s="15" t="n"/>
      <c r="E31" s="15" t="n"/>
      <c r="F31" s="15" t="n"/>
      <c r="G31" s="15" t="n"/>
      <c r="H31" s="15" t="n"/>
    </row>
    <row r="32">
      <c r="A32" s="15" t="n"/>
      <c r="B32" s="15" t="n"/>
      <c r="C32" s="15" t="n"/>
      <c r="D32" s="15" t="n"/>
      <c r="E32" s="15" t="n"/>
      <c r="F32" s="15" t="n"/>
      <c r="G32" s="15" t="n"/>
      <c r="H32" s="15" t="n"/>
    </row>
    <row r="33">
      <c r="A33" s="15" t="n"/>
      <c r="B33" s="15" t="n"/>
      <c r="C33" s="15" t="n"/>
      <c r="D33" s="15" t="n"/>
      <c r="E33" s="15" t="n"/>
      <c r="F33" s="15" t="n"/>
      <c r="G33" s="15" t="n"/>
      <c r="H33" s="15" t="n"/>
    </row>
    <row r="34">
      <c r="A34" s="15" t="n"/>
      <c r="B34" s="15" t="n"/>
      <c r="C34" s="15" t="n"/>
      <c r="D34" s="15" t="n"/>
      <c r="E34" s="15" t="n"/>
      <c r="F34" s="15" t="n"/>
      <c r="G34" s="15" t="n"/>
      <c r="H34" s="15" t="n"/>
    </row>
    <row r="35">
      <c r="A35" s="15" t="n"/>
      <c r="B35" s="15" t="n"/>
      <c r="C35" s="15" t="n"/>
      <c r="D35" s="15" t="n"/>
      <c r="E35" s="15" t="n"/>
      <c r="F35" s="15" t="n"/>
      <c r="G35" s="15" t="n"/>
      <c r="H35" s="15" t="n"/>
    </row>
    <row r="36">
      <c r="A36" s="15" t="n"/>
      <c r="B36" s="15" t="n"/>
      <c r="C36" s="15" t="n"/>
      <c r="D36" s="15" t="n"/>
      <c r="E36" s="15" t="n"/>
      <c r="F36" s="15" t="n"/>
      <c r="G36" s="15" t="n"/>
      <c r="H36" s="15" t="n"/>
    </row>
    <row r="37">
      <c r="A37" s="15" t="n"/>
      <c r="B37" s="15" t="n"/>
      <c r="C37" s="15" t="n"/>
      <c r="D37" s="15" t="n"/>
      <c r="E37" s="15" t="n"/>
      <c r="F37" s="15" t="n"/>
      <c r="G37" s="15" t="n"/>
      <c r="H37" s="15" t="n"/>
    </row>
    <row r="38">
      <c r="A38" s="15" t="n"/>
      <c r="B38" s="15" t="n"/>
      <c r="C38" s="15" t="n"/>
      <c r="D38" s="15" t="n"/>
      <c r="E38" s="15" t="n"/>
      <c r="F38" s="15" t="n"/>
      <c r="G38" s="15" t="n"/>
      <c r="H38" s="15" t="n"/>
    </row>
    <row r="39">
      <c r="A39" s="15" t="n"/>
      <c r="B39" s="15" t="n"/>
      <c r="C39" s="15" t="n"/>
      <c r="D39" s="15" t="n"/>
      <c r="E39" s="15" t="n"/>
      <c r="F39" s="15" t="n"/>
      <c r="G39" s="15" t="n"/>
      <c r="H39" s="15" t="n"/>
    </row>
    <row r="40">
      <c r="A40" s="15" t="n"/>
      <c r="B40" s="15" t="n"/>
      <c r="C40" s="15" t="n"/>
      <c r="D40" s="15" t="n"/>
      <c r="E40" s="15" t="n"/>
      <c r="F40" s="15" t="n"/>
      <c r="G40" s="15" t="n"/>
      <c r="H40" s="15" t="n"/>
    </row>
    <row r="41">
      <c r="A41" s="15" t="n"/>
      <c r="B41" s="15" t="n"/>
      <c r="C41" s="15" t="n"/>
      <c r="D41" s="15" t="n"/>
      <c r="E41" s="15" t="n"/>
      <c r="F41" s="15" t="n"/>
      <c r="G41" s="15" t="n"/>
      <c r="H41" s="15" t="n"/>
    </row>
    <row r="42">
      <c r="A42" s="15" t="n"/>
      <c r="B42" s="15" t="n"/>
      <c r="C42" s="15" t="n"/>
      <c r="D42" s="15" t="n"/>
      <c r="E42" s="15" t="n"/>
      <c r="F42" s="15" t="n"/>
      <c r="G42" s="15" t="n"/>
      <c r="H42" s="15" t="n"/>
    </row>
    <row r="43">
      <c r="A43" s="15" t="n"/>
      <c r="B43" s="15" t="n"/>
      <c r="C43" s="15" t="n"/>
      <c r="D43" s="15" t="n"/>
      <c r="E43" s="15" t="n"/>
      <c r="F43" s="15" t="n"/>
      <c r="G43" s="15" t="n"/>
      <c r="H43" s="15" t="n"/>
    </row>
    <row r="44">
      <c r="A44" s="15" t="n"/>
      <c r="B44" s="15" t="n"/>
      <c r="C44" s="15" t="n"/>
      <c r="D44" s="15" t="n"/>
      <c r="E44" s="15" t="n"/>
      <c r="F44" s="15" t="n"/>
      <c r="G44" s="15" t="n"/>
      <c r="H44" s="15" t="n"/>
    </row>
    <row r="45">
      <c r="A45" s="15" t="n"/>
      <c r="B45" s="15" t="n"/>
      <c r="C45" s="15" t="n"/>
      <c r="D45" s="15" t="n"/>
      <c r="E45" s="15" t="n"/>
      <c r="F45" s="15" t="n"/>
      <c r="G45" s="15" t="n"/>
      <c r="H45" s="15" t="n"/>
    </row>
    <row r="46">
      <c r="A46" s="15" t="n"/>
      <c r="B46" s="15" t="n"/>
      <c r="C46" s="15" t="n"/>
      <c r="D46" s="15" t="n"/>
      <c r="E46" s="15" t="n"/>
      <c r="F46" s="15" t="n"/>
      <c r="G46" s="15" t="n"/>
      <c r="H46" s="15" t="n"/>
    </row>
    <row r="47">
      <c r="A47" s="15" t="n"/>
      <c r="B47" s="15" t="n"/>
      <c r="C47" s="15" t="n"/>
      <c r="D47" s="15" t="n"/>
      <c r="E47" s="15" t="n"/>
      <c r="F47" s="15" t="n"/>
      <c r="G47" s="15" t="n"/>
      <c r="H47" s="15" t="n"/>
    </row>
    <row r="48">
      <c r="A48" s="15" t="n"/>
      <c r="B48" s="15" t="n"/>
      <c r="C48" s="15" t="n"/>
      <c r="D48" s="15" t="n"/>
      <c r="E48" s="15" t="n"/>
      <c r="F48" s="15" t="n"/>
      <c r="G48" s="15" t="n"/>
      <c r="H48" s="15" t="n"/>
    </row>
    <row r="49">
      <c r="A49" s="15" t="n"/>
      <c r="B49" s="15" t="n"/>
      <c r="C49" s="15" t="n"/>
      <c r="D49" s="15" t="n"/>
      <c r="E49" s="15" t="n"/>
      <c r="F49" s="15" t="n"/>
      <c r="G49" s="15" t="n"/>
      <c r="H49" s="15" t="n"/>
    </row>
    <row r="50">
      <c r="A50" s="15" t="n"/>
      <c r="B50" s="15" t="n"/>
      <c r="C50" s="15" t="n"/>
      <c r="D50" s="15" t="n"/>
      <c r="E50" s="15" t="n"/>
      <c r="F50" s="15" t="n"/>
      <c r="G50" s="15" t="n"/>
      <c r="H50" s="15" t="n"/>
    </row>
    <row r="51">
      <c r="A51" s="15" t="n"/>
      <c r="B51" s="15" t="n"/>
      <c r="C51" s="15" t="n"/>
      <c r="D51" s="15" t="n"/>
      <c r="E51" s="15" t="n"/>
      <c r="F51" s="15" t="n"/>
      <c r="G51" s="15" t="n"/>
      <c r="H51" s="15" t="n"/>
    </row>
    <row r="52">
      <c r="A52" s="15" t="n"/>
      <c r="B52" s="15" t="n"/>
      <c r="C52" s="15" t="n"/>
      <c r="D52" s="15" t="n"/>
      <c r="E52" s="15" t="n"/>
      <c r="F52" s="15" t="n"/>
      <c r="G52" s="15" t="n"/>
      <c r="H52" s="15" t="n"/>
    </row>
    <row r="53">
      <c r="A53" s="15" t="n"/>
      <c r="B53" s="15" t="n"/>
      <c r="C53" s="15" t="n"/>
      <c r="D53" s="15" t="n"/>
      <c r="E53" s="15" t="n"/>
      <c r="F53" s="15" t="n"/>
      <c r="G53" s="15" t="n"/>
      <c r="H53" s="15" t="n"/>
    </row>
    <row r="54">
      <c r="A54" s="15" t="n"/>
      <c r="B54" s="15" t="n"/>
      <c r="C54" s="15" t="n"/>
      <c r="D54" s="15" t="n"/>
      <c r="E54" s="15" t="n"/>
      <c r="F54" s="15" t="n"/>
      <c r="G54" s="15" t="n"/>
      <c r="H54" s="15" t="n"/>
    </row>
    <row r="55">
      <c r="A55" s="15" t="n"/>
      <c r="B55" s="15" t="n"/>
      <c r="C55" s="15" t="n"/>
      <c r="D55" s="15" t="n"/>
      <c r="E55" s="15" t="n"/>
      <c r="F55" s="15" t="n"/>
      <c r="G55" s="15" t="n"/>
      <c r="H55" s="15" t="n"/>
    </row>
  </sheetData>
  <mergeCells count="2">
    <mergeCell ref="A2:H2"/>
    <mergeCell ref="A1:H1"/>
  </mergeCells>
  <dataValidations count="2">
    <dataValidation sqref="G5:G55" showDropDown="0" showInputMessage="0" showErrorMessage="0" allowBlank="0" type="list">
      <formula1>"Compliant,Non-Compliant,Partial,Not Assessed,N/A"</formula1>
    </dataValidation>
    <dataValidation sqref="E5:E55" showDropDown="0" showInputMessage="0" showErrorMessage="0" allowBlank="0" type="list">
      <formula1>"Complete,Partial,None,N/A"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35" customWidth="1" min="2" max="2"/>
    <col width="35" customWidth="1" min="3" max="3"/>
    <col width="35" customWidth="1" min="4" max="4"/>
    <col width="30" customWidth="1" min="5" max="5"/>
    <col width="20" customWidth="1" min="6" max="6"/>
    <col width="20" customWidth="1" min="7" max="7"/>
    <col width="20" customWidth="1" min="8" max="8"/>
    <col width="40" customWidth="1" min="9" max="9"/>
  </cols>
  <sheetData>
    <row r="1" ht="35" customHeight="1">
      <c r="A1" s="11" t="inlineStr">
        <is>
          <t>INFRASTRUCTURE SEPARATION ASSESSMENT</t>
        </is>
      </c>
    </row>
    <row r="2">
      <c r="A2" s="12" t="inlineStr">
        <is>
          <t>Verify separate compute, storage, and database resources per environment</t>
        </is>
      </c>
    </row>
    <row r="4">
      <c r="A4" s="13" t="inlineStr">
        <is>
          <t>Environment</t>
        </is>
      </c>
      <c r="B4" s="13" t="inlineStr">
        <is>
          <t>Compute Resources</t>
        </is>
      </c>
      <c r="C4" s="13" t="inlineStr">
        <is>
          <t>Database Instances</t>
        </is>
      </c>
      <c r="D4" s="13" t="inlineStr">
        <is>
          <t>Storage/Buckets</t>
        </is>
      </c>
      <c r="E4" s="13" t="inlineStr">
        <is>
          <t>Cloud Account/Sub</t>
        </is>
      </c>
      <c r="F4" s="13" t="inlineStr">
        <is>
          <t>Shared Resources?</t>
        </is>
      </c>
      <c r="G4" s="13" t="inlineStr">
        <is>
          <t>Separation Status</t>
        </is>
      </c>
      <c r="H4" s="13" t="inlineStr">
        <is>
          <t>Compliance</t>
        </is>
      </c>
      <c r="I4" s="13" t="inlineStr">
        <is>
          <t>Evidence</t>
        </is>
      </c>
    </row>
    <row r="5">
      <c r="A5" s="14" t="inlineStr">
        <is>
          <t>Development</t>
        </is>
      </c>
      <c r="B5" s="14" t="inlineStr">
        <is>
          <t>3x t3.micro EC2</t>
        </is>
      </c>
      <c r="C5" s="14" t="inlineStr">
        <is>
          <t>dev-db.rds (t3.micro)</t>
        </is>
      </c>
      <c r="D5" s="14" t="inlineStr">
        <is>
          <t>s3://myorg-dev-data</t>
        </is>
      </c>
      <c r="E5" s="14" t="inlineStr">
        <is>
          <t>AWS: 111111111111</t>
        </is>
      </c>
      <c r="F5" s="14" t="inlineStr">
        <is>
          <t>No</t>
        </is>
      </c>
      <c r="G5" s="14" t="inlineStr">
        <is>
          <t>Complete</t>
        </is>
      </c>
      <c r="H5" s="14" t="inlineStr">
        <is>
          <t>Compliant</t>
        </is>
      </c>
      <c r="I5" s="14" t="inlineStr">
        <is>
          <t>AWS inventory: aws_dev_inventory.xlsx</t>
        </is>
      </c>
    </row>
    <row r="6">
      <c r="A6" s="15" t="n"/>
      <c r="B6" s="15" t="n"/>
      <c r="C6" s="15" t="n"/>
      <c r="D6" s="15" t="n"/>
      <c r="E6" s="15" t="n"/>
      <c r="F6" s="15" t="n"/>
      <c r="G6" s="15" t="n"/>
      <c r="H6" s="15" t="n"/>
      <c r="I6" s="15" t="n"/>
    </row>
    <row r="7">
      <c r="A7" s="15" t="n"/>
      <c r="B7" s="15" t="n"/>
      <c r="C7" s="15" t="n"/>
      <c r="D7" s="15" t="n"/>
      <c r="E7" s="15" t="n"/>
      <c r="F7" s="15" t="n"/>
      <c r="G7" s="15" t="n"/>
      <c r="H7" s="15" t="n"/>
      <c r="I7" s="15" t="n"/>
    </row>
    <row r="8">
      <c r="A8" s="15" t="n"/>
      <c r="B8" s="15" t="n"/>
      <c r="C8" s="15" t="n"/>
      <c r="D8" s="15" t="n"/>
      <c r="E8" s="15" t="n"/>
      <c r="F8" s="15" t="n"/>
      <c r="G8" s="15" t="n"/>
      <c r="H8" s="15" t="n"/>
      <c r="I8" s="15" t="n"/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</row>
    <row r="10">
      <c r="A10" s="15" t="n"/>
      <c r="B10" s="15" t="n"/>
      <c r="C10" s="15" t="n"/>
      <c r="D10" s="15" t="n"/>
      <c r="E10" s="15" t="n"/>
      <c r="F10" s="15" t="n"/>
      <c r="G10" s="15" t="n"/>
      <c r="H10" s="15" t="n"/>
      <c r="I10" s="15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  <c r="I12" s="15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  <c r="I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  <c r="I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  <c r="I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  <c r="I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5" t="n"/>
      <c r="I22" s="15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5" t="n"/>
      <c r="I24" s="15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</row>
    <row r="26">
      <c r="A26" s="15" t="n"/>
      <c r="B26" s="15" t="n"/>
      <c r="C26" s="15" t="n"/>
      <c r="D26" s="15" t="n"/>
      <c r="E26" s="15" t="n"/>
      <c r="F26" s="15" t="n"/>
      <c r="G26" s="15" t="n"/>
      <c r="H26" s="15" t="n"/>
      <c r="I26" s="15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  <c r="I27" s="15" t="n"/>
    </row>
    <row r="28">
      <c r="A28" s="15" t="n"/>
      <c r="B28" s="15" t="n"/>
      <c r="C28" s="15" t="n"/>
      <c r="D28" s="15" t="n"/>
      <c r="E28" s="15" t="n"/>
      <c r="F28" s="15" t="n"/>
      <c r="G28" s="15" t="n"/>
      <c r="H28" s="15" t="n"/>
      <c r="I28" s="15" t="n"/>
    </row>
    <row r="29">
      <c r="A29" s="15" t="n"/>
      <c r="B29" s="15" t="n"/>
      <c r="C29" s="15" t="n"/>
      <c r="D29" s="15" t="n"/>
      <c r="E29" s="15" t="n"/>
      <c r="F29" s="15" t="n"/>
      <c r="G29" s="15" t="n"/>
      <c r="H29" s="15" t="n"/>
      <c r="I29" s="15" t="n"/>
    </row>
    <row r="30">
      <c r="A30" s="15" t="n"/>
      <c r="B30" s="15" t="n"/>
      <c r="C30" s="15" t="n"/>
      <c r="D30" s="15" t="n"/>
      <c r="E30" s="15" t="n"/>
      <c r="F30" s="15" t="n"/>
      <c r="G30" s="15" t="n"/>
      <c r="H30" s="15" t="n"/>
      <c r="I30" s="15" t="n"/>
    </row>
    <row r="31">
      <c r="A31" s="15" t="n"/>
      <c r="B31" s="15" t="n"/>
      <c r="C31" s="15" t="n"/>
      <c r="D31" s="15" t="n"/>
      <c r="E31" s="15" t="n"/>
      <c r="F31" s="15" t="n"/>
      <c r="G31" s="15" t="n"/>
      <c r="H31" s="15" t="n"/>
      <c r="I31" s="15" t="n"/>
    </row>
    <row r="32">
      <c r="A32" s="15" t="n"/>
      <c r="B32" s="15" t="n"/>
      <c r="C32" s="15" t="n"/>
      <c r="D32" s="15" t="n"/>
      <c r="E32" s="15" t="n"/>
      <c r="F32" s="15" t="n"/>
      <c r="G32" s="15" t="n"/>
      <c r="H32" s="15" t="n"/>
      <c r="I32" s="15" t="n"/>
    </row>
    <row r="33">
      <c r="A33" s="15" t="n"/>
      <c r="B33" s="15" t="n"/>
      <c r="C33" s="15" t="n"/>
      <c r="D33" s="15" t="n"/>
      <c r="E33" s="15" t="n"/>
      <c r="F33" s="15" t="n"/>
      <c r="G33" s="15" t="n"/>
      <c r="H33" s="15" t="n"/>
      <c r="I33" s="15" t="n"/>
    </row>
    <row r="34">
      <c r="A34" s="15" t="n"/>
      <c r="B34" s="15" t="n"/>
      <c r="C34" s="15" t="n"/>
      <c r="D34" s="15" t="n"/>
      <c r="E34" s="15" t="n"/>
      <c r="F34" s="15" t="n"/>
      <c r="G34" s="15" t="n"/>
      <c r="H34" s="15" t="n"/>
      <c r="I34" s="15" t="n"/>
    </row>
    <row r="35">
      <c r="A35" s="15" t="n"/>
      <c r="B35" s="15" t="n"/>
      <c r="C35" s="15" t="n"/>
      <c r="D35" s="15" t="n"/>
      <c r="E35" s="15" t="n"/>
      <c r="F35" s="15" t="n"/>
      <c r="G35" s="15" t="n"/>
      <c r="H35" s="15" t="n"/>
      <c r="I35" s="15" t="n"/>
    </row>
    <row r="36">
      <c r="A36" s="15" t="n"/>
      <c r="B36" s="15" t="n"/>
      <c r="C36" s="15" t="n"/>
      <c r="D36" s="15" t="n"/>
      <c r="E36" s="15" t="n"/>
      <c r="F36" s="15" t="n"/>
      <c r="G36" s="15" t="n"/>
      <c r="H36" s="15" t="n"/>
      <c r="I36" s="15" t="n"/>
    </row>
    <row r="37">
      <c r="A37" s="15" t="n"/>
      <c r="B37" s="15" t="n"/>
      <c r="C37" s="15" t="n"/>
      <c r="D37" s="15" t="n"/>
      <c r="E37" s="15" t="n"/>
      <c r="F37" s="15" t="n"/>
      <c r="G37" s="15" t="n"/>
      <c r="H37" s="15" t="n"/>
      <c r="I37" s="15" t="n"/>
    </row>
    <row r="38">
      <c r="A38" s="15" t="n"/>
      <c r="B38" s="15" t="n"/>
      <c r="C38" s="15" t="n"/>
      <c r="D38" s="15" t="n"/>
      <c r="E38" s="15" t="n"/>
      <c r="F38" s="15" t="n"/>
      <c r="G38" s="15" t="n"/>
      <c r="H38" s="15" t="n"/>
      <c r="I38" s="15" t="n"/>
    </row>
    <row r="39">
      <c r="A39" s="15" t="n"/>
      <c r="B39" s="15" t="n"/>
      <c r="C39" s="15" t="n"/>
      <c r="D39" s="15" t="n"/>
      <c r="E39" s="15" t="n"/>
      <c r="F39" s="15" t="n"/>
      <c r="G39" s="15" t="n"/>
      <c r="H39" s="15" t="n"/>
      <c r="I39" s="15" t="n"/>
    </row>
    <row r="40">
      <c r="A40" s="15" t="n"/>
      <c r="B40" s="15" t="n"/>
      <c r="C40" s="15" t="n"/>
      <c r="D40" s="15" t="n"/>
      <c r="E40" s="15" t="n"/>
      <c r="F40" s="15" t="n"/>
      <c r="G40" s="15" t="n"/>
      <c r="H40" s="15" t="n"/>
      <c r="I40" s="15" t="n"/>
    </row>
    <row r="41">
      <c r="A41" s="15" t="n"/>
      <c r="B41" s="15" t="n"/>
      <c r="C41" s="15" t="n"/>
      <c r="D41" s="15" t="n"/>
      <c r="E41" s="15" t="n"/>
      <c r="F41" s="15" t="n"/>
      <c r="G41" s="15" t="n"/>
      <c r="H41" s="15" t="n"/>
      <c r="I41" s="15" t="n"/>
    </row>
    <row r="42">
      <c r="A42" s="15" t="n"/>
      <c r="B42" s="15" t="n"/>
      <c r="C42" s="15" t="n"/>
      <c r="D42" s="15" t="n"/>
      <c r="E42" s="15" t="n"/>
      <c r="F42" s="15" t="n"/>
      <c r="G42" s="15" t="n"/>
      <c r="H42" s="15" t="n"/>
      <c r="I42" s="15" t="n"/>
    </row>
    <row r="43">
      <c r="A43" s="15" t="n"/>
      <c r="B43" s="15" t="n"/>
      <c r="C43" s="15" t="n"/>
      <c r="D43" s="15" t="n"/>
      <c r="E43" s="15" t="n"/>
      <c r="F43" s="15" t="n"/>
      <c r="G43" s="15" t="n"/>
      <c r="H43" s="15" t="n"/>
      <c r="I43" s="15" t="n"/>
    </row>
    <row r="44">
      <c r="A44" s="15" t="n"/>
      <c r="B44" s="15" t="n"/>
      <c r="C44" s="15" t="n"/>
      <c r="D44" s="15" t="n"/>
      <c r="E44" s="15" t="n"/>
      <c r="F44" s="15" t="n"/>
      <c r="G44" s="15" t="n"/>
      <c r="H44" s="15" t="n"/>
      <c r="I44" s="15" t="n"/>
    </row>
    <row r="45">
      <c r="A45" s="15" t="n"/>
      <c r="B45" s="15" t="n"/>
      <c r="C45" s="15" t="n"/>
      <c r="D45" s="15" t="n"/>
      <c r="E45" s="15" t="n"/>
      <c r="F45" s="15" t="n"/>
      <c r="G45" s="15" t="n"/>
      <c r="H45" s="15" t="n"/>
      <c r="I45" s="15" t="n"/>
    </row>
    <row r="46">
      <c r="A46" s="15" t="n"/>
      <c r="B46" s="15" t="n"/>
      <c r="C46" s="15" t="n"/>
      <c r="D46" s="15" t="n"/>
      <c r="E46" s="15" t="n"/>
      <c r="F46" s="15" t="n"/>
      <c r="G46" s="15" t="n"/>
      <c r="H46" s="15" t="n"/>
      <c r="I46" s="15" t="n"/>
    </row>
    <row r="47">
      <c r="A47" s="15" t="n"/>
      <c r="B47" s="15" t="n"/>
      <c r="C47" s="15" t="n"/>
      <c r="D47" s="15" t="n"/>
      <c r="E47" s="15" t="n"/>
      <c r="F47" s="15" t="n"/>
      <c r="G47" s="15" t="n"/>
      <c r="H47" s="15" t="n"/>
      <c r="I47" s="15" t="n"/>
    </row>
    <row r="48">
      <c r="A48" s="15" t="n"/>
      <c r="B48" s="15" t="n"/>
      <c r="C48" s="15" t="n"/>
      <c r="D48" s="15" t="n"/>
      <c r="E48" s="15" t="n"/>
      <c r="F48" s="15" t="n"/>
      <c r="G48" s="15" t="n"/>
      <c r="H48" s="15" t="n"/>
      <c r="I48" s="15" t="n"/>
    </row>
    <row r="49">
      <c r="A49" s="15" t="n"/>
      <c r="B49" s="15" t="n"/>
      <c r="C49" s="15" t="n"/>
      <c r="D49" s="15" t="n"/>
      <c r="E49" s="15" t="n"/>
      <c r="F49" s="15" t="n"/>
      <c r="G49" s="15" t="n"/>
      <c r="H49" s="15" t="n"/>
      <c r="I49" s="15" t="n"/>
    </row>
    <row r="50">
      <c r="A50" s="15" t="n"/>
      <c r="B50" s="15" t="n"/>
      <c r="C50" s="15" t="n"/>
      <c r="D50" s="15" t="n"/>
      <c r="E50" s="15" t="n"/>
      <c r="F50" s="15" t="n"/>
      <c r="G50" s="15" t="n"/>
      <c r="H50" s="15" t="n"/>
      <c r="I50" s="15" t="n"/>
    </row>
    <row r="51">
      <c r="A51" s="15" t="n"/>
      <c r="B51" s="15" t="n"/>
      <c r="C51" s="15" t="n"/>
      <c r="D51" s="15" t="n"/>
      <c r="E51" s="15" t="n"/>
      <c r="F51" s="15" t="n"/>
      <c r="G51" s="15" t="n"/>
      <c r="H51" s="15" t="n"/>
      <c r="I51" s="15" t="n"/>
    </row>
    <row r="52">
      <c r="A52" s="15" t="n"/>
      <c r="B52" s="15" t="n"/>
      <c r="C52" s="15" t="n"/>
      <c r="D52" s="15" t="n"/>
      <c r="E52" s="15" t="n"/>
      <c r="F52" s="15" t="n"/>
      <c r="G52" s="15" t="n"/>
      <c r="H52" s="15" t="n"/>
      <c r="I52" s="15" t="n"/>
    </row>
    <row r="53">
      <c r="A53" s="15" t="n"/>
      <c r="B53" s="15" t="n"/>
      <c r="C53" s="15" t="n"/>
      <c r="D53" s="15" t="n"/>
      <c r="E53" s="15" t="n"/>
      <c r="F53" s="15" t="n"/>
      <c r="G53" s="15" t="n"/>
      <c r="H53" s="15" t="n"/>
      <c r="I53" s="15" t="n"/>
    </row>
    <row r="54">
      <c r="A54" s="15" t="n"/>
      <c r="B54" s="15" t="n"/>
      <c r="C54" s="15" t="n"/>
      <c r="D54" s="15" t="n"/>
      <c r="E54" s="15" t="n"/>
      <c r="F54" s="15" t="n"/>
      <c r="G54" s="15" t="n"/>
      <c r="H54" s="15" t="n"/>
      <c r="I54" s="15" t="n"/>
    </row>
    <row r="55">
      <c r="A55" s="15" t="n"/>
      <c r="B55" s="15" t="n"/>
      <c r="C55" s="15" t="n"/>
      <c r="D55" s="15" t="n"/>
      <c r="E55" s="15" t="n"/>
      <c r="F55" s="15" t="n"/>
      <c r="G55" s="15" t="n"/>
      <c r="H55" s="15" t="n"/>
      <c r="I55" s="15" t="n"/>
    </row>
  </sheetData>
  <mergeCells count="2">
    <mergeCell ref="A1:I1"/>
    <mergeCell ref="A2:I2"/>
  </mergeCells>
  <dataValidations count="3">
    <dataValidation sqref="F5:F58" showDropDown="0" showInputMessage="0" showErrorMessage="0" allowBlank="0" type="list">
      <formula1>"Yes,No"</formula1>
    </dataValidation>
    <dataValidation sqref="H5:H55" showDropDown="0" showInputMessage="0" showErrorMessage="0" allowBlank="0" type="list">
      <formula1>"Compliant,Non-Compliant,Partial,Not Assessed,N/A"</formula1>
    </dataValidation>
    <dataValidation sqref="G5:G55" showDropDown="0" showInputMessage="0" showErrorMessage="0" allowBlank="0" type="list">
      <formula1>"Complete,Partial,None,N/A"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5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30" customWidth="1" min="2" max="2"/>
    <col width="25" customWidth="1" min="3" max="3"/>
    <col width="25" customWidth="1" min="4" max="4"/>
    <col width="25" customWidth="1" min="5" max="5"/>
    <col width="35" customWidth="1" min="6" max="6"/>
    <col width="20" customWidth="1" min="7" max="7"/>
    <col width="40" customWidth="1" min="8" max="8"/>
  </cols>
  <sheetData>
    <row r="1" ht="35" customHeight="1">
      <c r="A1" s="11" t="inlineStr">
        <is>
          <t>DATA SEPARATION ASSESSMENT</t>
        </is>
      </c>
    </row>
    <row r="2">
      <c r="A2" s="12" t="inlineStr">
        <is>
          <t>⚠️ CRITICAL: Verify NO production data in development or testing environments</t>
        </is>
      </c>
    </row>
    <row r="4">
      <c r="A4" s="13" t="inlineStr">
        <is>
          <t>Environment</t>
        </is>
      </c>
      <c r="B4" s="13" t="inlineStr">
        <is>
          <t>Data Type Used</t>
        </is>
      </c>
      <c r="C4" s="13" t="inlineStr">
        <is>
          <t>Production Data Present?</t>
        </is>
      </c>
      <c r="D4" s="13" t="inlineStr">
        <is>
          <t>Anonymization Applied?</t>
        </is>
      </c>
      <c r="E4" s="13" t="inlineStr">
        <is>
          <t>Synthetic Data Used?</t>
        </is>
      </c>
      <c r="F4" s="13" t="inlineStr">
        <is>
          <t>Data Source</t>
        </is>
      </c>
      <c r="G4" s="13" t="inlineStr">
        <is>
          <t>Compliance</t>
        </is>
      </c>
      <c r="H4" s="13" t="inlineStr">
        <is>
          <t>Evidence/Notes</t>
        </is>
      </c>
    </row>
    <row r="5">
      <c r="A5" s="14" t="inlineStr">
        <is>
          <t>Development</t>
        </is>
      </c>
      <c r="B5" s="14" t="inlineStr">
        <is>
          <t>Synthetic test data</t>
        </is>
      </c>
      <c r="C5" s="14" t="inlineStr">
        <is>
          <t>No</t>
        </is>
      </c>
      <c r="D5" s="14" t="inlineStr">
        <is>
          <t>N/A</t>
        </is>
      </c>
      <c r="E5" s="14" t="inlineStr">
        <is>
          <t>Yes</t>
        </is>
      </c>
      <c r="F5" s="14" t="inlineStr">
        <is>
          <t>Faker library (Python)</t>
        </is>
      </c>
      <c r="G5" s="14" t="inlineStr">
        <is>
          <t>Compliant</t>
        </is>
      </c>
      <c r="H5" s="14" t="inlineStr">
        <is>
          <t>Data generation script: generate_testdata.py</t>
        </is>
      </c>
    </row>
    <row r="6">
      <c r="A6" s="15" t="n"/>
      <c r="B6" s="15" t="n"/>
      <c r="C6" s="15" t="n"/>
      <c r="D6" s="15" t="n"/>
      <c r="E6" s="15" t="n"/>
      <c r="F6" s="15" t="n"/>
      <c r="G6" s="15" t="n"/>
      <c r="H6" s="15" t="n"/>
    </row>
    <row r="7">
      <c r="A7" s="15" t="n"/>
      <c r="B7" s="15" t="n"/>
      <c r="C7" s="15" t="n"/>
      <c r="D7" s="15" t="n"/>
      <c r="E7" s="15" t="n"/>
      <c r="F7" s="15" t="n"/>
      <c r="G7" s="15" t="n"/>
      <c r="H7" s="15" t="n"/>
    </row>
    <row r="8">
      <c r="A8" s="15" t="n"/>
      <c r="B8" s="15" t="n"/>
      <c r="C8" s="15" t="n"/>
      <c r="D8" s="15" t="n"/>
      <c r="E8" s="15" t="n"/>
      <c r="F8" s="15" t="n"/>
      <c r="G8" s="15" t="n"/>
      <c r="H8" s="15" t="n"/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</row>
    <row r="10">
      <c r="A10" s="15" t="n"/>
      <c r="B10" s="15" t="n"/>
      <c r="C10" s="15" t="n"/>
      <c r="D10" s="15" t="n"/>
      <c r="E10" s="15" t="n"/>
      <c r="F10" s="15" t="n"/>
      <c r="G10" s="15" t="n"/>
      <c r="H10" s="15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5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5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</row>
    <row r="26">
      <c r="A26" s="15" t="n"/>
      <c r="B26" s="15" t="n"/>
      <c r="C26" s="15" t="n"/>
      <c r="D26" s="15" t="n"/>
      <c r="E26" s="15" t="n"/>
      <c r="F26" s="15" t="n"/>
      <c r="G26" s="15" t="n"/>
      <c r="H26" s="15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</row>
    <row r="28">
      <c r="A28" s="15" t="n"/>
      <c r="B28" s="15" t="n"/>
      <c r="C28" s="15" t="n"/>
      <c r="D28" s="15" t="n"/>
      <c r="E28" s="15" t="n"/>
      <c r="F28" s="15" t="n"/>
      <c r="G28" s="15" t="n"/>
      <c r="H28" s="15" t="n"/>
    </row>
    <row r="29">
      <c r="A29" s="15" t="n"/>
      <c r="B29" s="15" t="n"/>
      <c r="C29" s="15" t="n"/>
      <c r="D29" s="15" t="n"/>
      <c r="E29" s="15" t="n"/>
      <c r="F29" s="15" t="n"/>
      <c r="G29" s="15" t="n"/>
      <c r="H29" s="15" t="n"/>
    </row>
    <row r="30">
      <c r="A30" s="15" t="n"/>
      <c r="B30" s="15" t="n"/>
      <c r="C30" s="15" t="n"/>
      <c r="D30" s="15" t="n"/>
      <c r="E30" s="15" t="n"/>
      <c r="F30" s="15" t="n"/>
      <c r="G30" s="15" t="n"/>
      <c r="H30" s="15" t="n"/>
    </row>
    <row r="31">
      <c r="A31" s="15" t="n"/>
      <c r="B31" s="15" t="n"/>
      <c r="C31" s="15" t="n"/>
      <c r="D31" s="15" t="n"/>
      <c r="E31" s="15" t="n"/>
      <c r="F31" s="15" t="n"/>
      <c r="G31" s="15" t="n"/>
      <c r="H31" s="15" t="n"/>
    </row>
    <row r="32">
      <c r="A32" s="15" t="n"/>
      <c r="B32" s="15" t="n"/>
      <c r="C32" s="15" t="n"/>
      <c r="D32" s="15" t="n"/>
      <c r="E32" s="15" t="n"/>
      <c r="F32" s="15" t="n"/>
      <c r="G32" s="15" t="n"/>
      <c r="H32" s="15" t="n"/>
    </row>
    <row r="33">
      <c r="A33" s="15" t="n"/>
      <c r="B33" s="15" t="n"/>
      <c r="C33" s="15" t="n"/>
      <c r="D33" s="15" t="n"/>
      <c r="E33" s="15" t="n"/>
      <c r="F33" s="15" t="n"/>
      <c r="G33" s="15" t="n"/>
      <c r="H33" s="15" t="n"/>
    </row>
    <row r="34">
      <c r="A34" s="15" t="n"/>
      <c r="B34" s="15" t="n"/>
      <c r="C34" s="15" t="n"/>
      <c r="D34" s="15" t="n"/>
      <c r="E34" s="15" t="n"/>
      <c r="F34" s="15" t="n"/>
      <c r="G34" s="15" t="n"/>
      <c r="H34" s="15" t="n"/>
    </row>
    <row r="35">
      <c r="A35" s="15" t="n"/>
      <c r="B35" s="15" t="n"/>
      <c r="C35" s="15" t="n"/>
      <c r="D35" s="15" t="n"/>
      <c r="E35" s="15" t="n"/>
      <c r="F35" s="15" t="n"/>
      <c r="G35" s="15" t="n"/>
      <c r="H35" s="15" t="n"/>
    </row>
    <row r="36">
      <c r="A36" s="15" t="n"/>
      <c r="B36" s="15" t="n"/>
      <c r="C36" s="15" t="n"/>
      <c r="D36" s="15" t="n"/>
      <c r="E36" s="15" t="n"/>
      <c r="F36" s="15" t="n"/>
      <c r="G36" s="15" t="n"/>
      <c r="H36" s="15" t="n"/>
    </row>
    <row r="37">
      <c r="A37" s="15" t="n"/>
      <c r="B37" s="15" t="n"/>
      <c r="C37" s="15" t="n"/>
      <c r="D37" s="15" t="n"/>
      <c r="E37" s="15" t="n"/>
      <c r="F37" s="15" t="n"/>
      <c r="G37" s="15" t="n"/>
      <c r="H37" s="15" t="n"/>
    </row>
    <row r="38">
      <c r="A38" s="15" t="n"/>
      <c r="B38" s="15" t="n"/>
      <c r="C38" s="15" t="n"/>
      <c r="D38" s="15" t="n"/>
      <c r="E38" s="15" t="n"/>
      <c r="F38" s="15" t="n"/>
      <c r="G38" s="15" t="n"/>
      <c r="H38" s="15" t="n"/>
    </row>
    <row r="39">
      <c r="A39" s="15" t="n"/>
      <c r="B39" s="15" t="n"/>
      <c r="C39" s="15" t="n"/>
      <c r="D39" s="15" t="n"/>
      <c r="E39" s="15" t="n"/>
      <c r="F39" s="15" t="n"/>
      <c r="G39" s="15" t="n"/>
      <c r="H39" s="15" t="n"/>
    </row>
    <row r="40">
      <c r="A40" s="15" t="n"/>
      <c r="B40" s="15" t="n"/>
      <c r="C40" s="15" t="n"/>
      <c r="D40" s="15" t="n"/>
      <c r="E40" s="15" t="n"/>
      <c r="F40" s="15" t="n"/>
      <c r="G40" s="15" t="n"/>
      <c r="H40" s="15" t="n"/>
    </row>
    <row r="41">
      <c r="A41" s="15" t="n"/>
      <c r="B41" s="15" t="n"/>
      <c r="C41" s="15" t="n"/>
      <c r="D41" s="15" t="n"/>
      <c r="E41" s="15" t="n"/>
      <c r="F41" s="15" t="n"/>
      <c r="G41" s="15" t="n"/>
      <c r="H41" s="15" t="n"/>
    </row>
    <row r="42">
      <c r="A42" s="15" t="n"/>
      <c r="B42" s="15" t="n"/>
      <c r="C42" s="15" t="n"/>
      <c r="D42" s="15" t="n"/>
      <c r="E42" s="15" t="n"/>
      <c r="F42" s="15" t="n"/>
      <c r="G42" s="15" t="n"/>
      <c r="H42" s="15" t="n"/>
    </row>
    <row r="43">
      <c r="A43" s="15" t="n"/>
      <c r="B43" s="15" t="n"/>
      <c r="C43" s="15" t="n"/>
      <c r="D43" s="15" t="n"/>
      <c r="E43" s="15" t="n"/>
      <c r="F43" s="15" t="n"/>
      <c r="G43" s="15" t="n"/>
      <c r="H43" s="15" t="n"/>
    </row>
    <row r="44">
      <c r="A44" s="15" t="n"/>
      <c r="B44" s="15" t="n"/>
      <c r="C44" s="15" t="n"/>
      <c r="D44" s="15" t="n"/>
      <c r="E44" s="15" t="n"/>
      <c r="F44" s="15" t="n"/>
      <c r="G44" s="15" t="n"/>
      <c r="H44" s="15" t="n"/>
    </row>
    <row r="45">
      <c r="A45" s="15" t="n"/>
      <c r="B45" s="15" t="n"/>
      <c r="C45" s="15" t="n"/>
      <c r="D45" s="15" t="n"/>
      <c r="E45" s="15" t="n"/>
      <c r="F45" s="15" t="n"/>
      <c r="G45" s="15" t="n"/>
      <c r="H45" s="15" t="n"/>
    </row>
    <row r="46">
      <c r="A46" s="15" t="n"/>
      <c r="B46" s="15" t="n"/>
      <c r="C46" s="15" t="n"/>
      <c r="D46" s="15" t="n"/>
      <c r="E46" s="15" t="n"/>
      <c r="F46" s="15" t="n"/>
      <c r="G46" s="15" t="n"/>
      <c r="H46" s="15" t="n"/>
    </row>
    <row r="47">
      <c r="A47" s="15" t="n"/>
      <c r="B47" s="15" t="n"/>
      <c r="C47" s="15" t="n"/>
      <c r="D47" s="15" t="n"/>
      <c r="E47" s="15" t="n"/>
      <c r="F47" s="15" t="n"/>
      <c r="G47" s="15" t="n"/>
      <c r="H47" s="15" t="n"/>
    </row>
    <row r="48">
      <c r="A48" s="15" t="n"/>
      <c r="B48" s="15" t="n"/>
      <c r="C48" s="15" t="n"/>
      <c r="D48" s="15" t="n"/>
      <c r="E48" s="15" t="n"/>
      <c r="F48" s="15" t="n"/>
      <c r="G48" s="15" t="n"/>
      <c r="H48" s="15" t="n"/>
    </row>
    <row r="49">
      <c r="A49" s="15" t="n"/>
      <c r="B49" s="15" t="n"/>
      <c r="C49" s="15" t="n"/>
      <c r="D49" s="15" t="n"/>
      <c r="E49" s="15" t="n"/>
      <c r="F49" s="15" t="n"/>
      <c r="G49" s="15" t="n"/>
      <c r="H49" s="15" t="n"/>
    </row>
    <row r="50">
      <c r="A50" s="15" t="n"/>
      <c r="B50" s="15" t="n"/>
      <c r="C50" s="15" t="n"/>
      <c r="D50" s="15" t="n"/>
      <c r="E50" s="15" t="n"/>
      <c r="F50" s="15" t="n"/>
      <c r="G50" s="15" t="n"/>
      <c r="H50" s="15" t="n"/>
    </row>
    <row r="51">
      <c r="A51" s="15" t="n"/>
      <c r="B51" s="15" t="n"/>
      <c r="C51" s="15" t="n"/>
      <c r="D51" s="15" t="n"/>
      <c r="E51" s="15" t="n"/>
      <c r="F51" s="15" t="n"/>
      <c r="G51" s="15" t="n"/>
      <c r="H51" s="15" t="n"/>
    </row>
    <row r="52">
      <c r="A52" s="15" t="n"/>
      <c r="B52" s="15" t="n"/>
      <c r="C52" s="15" t="n"/>
      <c r="D52" s="15" t="n"/>
      <c r="E52" s="15" t="n"/>
      <c r="F52" s="15" t="n"/>
      <c r="G52" s="15" t="n"/>
      <c r="H52" s="15" t="n"/>
    </row>
    <row r="53">
      <c r="A53" s="15" t="n"/>
      <c r="B53" s="15" t="n"/>
      <c r="C53" s="15" t="n"/>
      <c r="D53" s="15" t="n"/>
      <c r="E53" s="15" t="n"/>
      <c r="F53" s="15" t="n"/>
      <c r="G53" s="15" t="n"/>
      <c r="H53" s="15" t="n"/>
    </row>
    <row r="54">
      <c r="A54" s="15" t="n"/>
      <c r="B54" s="15" t="n"/>
      <c r="C54" s="15" t="n"/>
      <c r="D54" s="15" t="n"/>
      <c r="E54" s="15" t="n"/>
      <c r="F54" s="15" t="n"/>
      <c r="G54" s="15" t="n"/>
      <c r="H54" s="15" t="n"/>
    </row>
    <row r="55">
      <c r="A55" s="15" t="n"/>
      <c r="B55" s="15" t="n"/>
      <c r="C55" s="15" t="n"/>
      <c r="D55" s="15" t="n"/>
      <c r="E55" s="15" t="n"/>
      <c r="F55" s="15" t="n"/>
      <c r="G55" s="15" t="n"/>
      <c r="H55" s="15" t="n"/>
    </row>
  </sheetData>
  <mergeCells count="2">
    <mergeCell ref="A2:H2"/>
    <mergeCell ref="A1:H1"/>
  </mergeCells>
  <dataValidations count="2">
    <dataValidation sqref="C5:C55 D5:D55 E5:E55" showDropDown="0" showInputMessage="0" showErrorMessage="0" allowBlank="0" type="list">
      <formula1>"Yes,No"</formula1>
    </dataValidation>
    <dataValidation sqref="G5:G55" showDropDown="0" showInputMessage="0" showErrorMessage="0" allowBlank="0" type="list">
      <formula1>"Compliant,Non-Compliant,Partial,Not Assessed,N/A"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5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30" customWidth="1" min="2" max="2"/>
    <col width="30" customWidth="1" min="3" max="3"/>
    <col width="30" customWidth="1" min="4" max="4"/>
    <col width="20" customWidth="1" min="5" max="5"/>
    <col width="20" customWidth="1" min="6" max="6"/>
    <col width="20" customWidth="1" min="7" max="7"/>
    <col width="40" customWidth="1" min="8" max="8"/>
  </cols>
  <sheetData>
    <row r="1" ht="35" customHeight="1">
      <c r="A1" s="11" t="inlineStr">
        <is>
          <t>CREDENTIAL &amp; SECRETS SEPARATION ASSESSMENT</t>
        </is>
      </c>
    </row>
    <row r="2">
      <c r="A2" s="12" t="inlineStr">
        <is>
          <t>Verify unique credentials per environment and production secrets in PAM vault</t>
        </is>
      </c>
    </row>
    <row r="4">
      <c r="A4" s="13" t="inlineStr">
        <is>
          <t>Credential Type</t>
        </is>
      </c>
      <c r="B4" s="13" t="inlineStr">
        <is>
          <t>Development</t>
        </is>
      </c>
      <c r="C4" s="13" t="inlineStr">
        <is>
          <t>Testing</t>
        </is>
      </c>
      <c r="D4" s="13" t="inlineStr">
        <is>
          <t>Production</t>
        </is>
      </c>
      <c r="E4" s="13" t="inlineStr">
        <is>
          <t>Shared Credentials?</t>
        </is>
      </c>
      <c r="F4" s="13" t="inlineStr">
        <is>
          <t>Prod in PAM Vault?</t>
        </is>
      </c>
      <c r="G4" s="13" t="inlineStr">
        <is>
          <t>Compliance</t>
        </is>
      </c>
      <c r="H4" s="13" t="inlineStr">
        <is>
          <t>Evidence</t>
        </is>
      </c>
    </row>
    <row r="5">
      <c r="A5" s="14" t="inlineStr">
        <is>
          <t>Database Admin Password</t>
        </is>
      </c>
      <c r="B5" s="14" t="inlineStr">
        <is>
          <t>dev_admin / [unique-1]</t>
        </is>
      </c>
      <c r="C5" s="14" t="inlineStr">
        <is>
          <t>test_admin / [unique-2]</t>
        </is>
      </c>
      <c r="D5" s="14" t="inlineStr">
        <is>
          <t>prod_admin / [PAM-vault]</t>
        </is>
      </c>
      <c r="E5" s="14" t="inlineStr">
        <is>
          <t>No</t>
        </is>
      </c>
      <c r="F5" s="14" t="inlineStr">
        <is>
          <t>Yes</t>
        </is>
      </c>
      <c r="G5" s="14" t="inlineStr">
        <is>
          <t>Compliant</t>
        </is>
      </c>
      <c r="H5" s="14" t="inlineStr">
        <is>
          <t>CyberArk vault screenshot</t>
        </is>
      </c>
    </row>
    <row r="6">
      <c r="A6" s="15" t="n"/>
      <c r="B6" s="15" t="n"/>
      <c r="C6" s="15" t="n"/>
      <c r="D6" s="15" t="n"/>
      <c r="E6" s="15" t="n"/>
      <c r="F6" s="15" t="n"/>
      <c r="G6" s="15" t="n"/>
      <c r="H6" s="15" t="n"/>
    </row>
    <row r="7">
      <c r="A7" s="15" t="n"/>
      <c r="B7" s="15" t="n"/>
      <c r="C7" s="15" t="n"/>
      <c r="D7" s="15" t="n"/>
      <c r="E7" s="15" t="n"/>
      <c r="F7" s="15" t="n"/>
      <c r="G7" s="15" t="n"/>
      <c r="H7" s="15" t="n"/>
    </row>
    <row r="8">
      <c r="A8" s="15" t="n"/>
      <c r="B8" s="15" t="n"/>
      <c r="C8" s="15" t="n"/>
      <c r="D8" s="15" t="n"/>
      <c r="E8" s="15" t="n"/>
      <c r="F8" s="15" t="n"/>
      <c r="G8" s="15" t="n"/>
      <c r="H8" s="15" t="n"/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</row>
    <row r="10">
      <c r="A10" s="15" t="n"/>
      <c r="B10" s="15" t="n"/>
      <c r="C10" s="15" t="n"/>
      <c r="D10" s="15" t="n"/>
      <c r="E10" s="15" t="n"/>
      <c r="F10" s="15" t="n"/>
      <c r="G10" s="15" t="n"/>
      <c r="H10" s="15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5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5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</row>
    <row r="26">
      <c r="A26" s="15" t="n"/>
      <c r="B26" s="15" t="n"/>
      <c r="C26" s="15" t="n"/>
      <c r="D26" s="15" t="n"/>
      <c r="E26" s="15" t="n"/>
      <c r="F26" s="15" t="n"/>
      <c r="G26" s="15" t="n"/>
      <c r="H26" s="15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</row>
    <row r="28">
      <c r="A28" s="15" t="n"/>
      <c r="B28" s="15" t="n"/>
      <c r="C28" s="15" t="n"/>
      <c r="D28" s="15" t="n"/>
      <c r="E28" s="15" t="n"/>
      <c r="F28" s="15" t="n"/>
      <c r="G28" s="15" t="n"/>
      <c r="H28" s="15" t="n"/>
    </row>
    <row r="29">
      <c r="A29" s="15" t="n"/>
      <c r="B29" s="15" t="n"/>
      <c r="C29" s="15" t="n"/>
      <c r="D29" s="15" t="n"/>
      <c r="E29" s="15" t="n"/>
      <c r="F29" s="15" t="n"/>
      <c r="G29" s="15" t="n"/>
      <c r="H29" s="15" t="n"/>
    </row>
    <row r="30">
      <c r="A30" s="15" t="n"/>
      <c r="B30" s="15" t="n"/>
      <c r="C30" s="15" t="n"/>
      <c r="D30" s="15" t="n"/>
      <c r="E30" s="15" t="n"/>
      <c r="F30" s="15" t="n"/>
      <c r="G30" s="15" t="n"/>
      <c r="H30" s="15" t="n"/>
    </row>
    <row r="31">
      <c r="A31" s="15" t="n"/>
      <c r="B31" s="15" t="n"/>
      <c r="C31" s="15" t="n"/>
      <c r="D31" s="15" t="n"/>
      <c r="E31" s="15" t="n"/>
      <c r="F31" s="15" t="n"/>
      <c r="G31" s="15" t="n"/>
      <c r="H31" s="15" t="n"/>
    </row>
    <row r="32">
      <c r="A32" s="15" t="n"/>
      <c r="B32" s="15" t="n"/>
      <c r="C32" s="15" t="n"/>
      <c r="D32" s="15" t="n"/>
      <c r="E32" s="15" t="n"/>
      <c r="F32" s="15" t="n"/>
      <c r="G32" s="15" t="n"/>
      <c r="H32" s="15" t="n"/>
    </row>
    <row r="33">
      <c r="A33" s="15" t="n"/>
      <c r="B33" s="15" t="n"/>
      <c r="C33" s="15" t="n"/>
      <c r="D33" s="15" t="n"/>
      <c r="E33" s="15" t="n"/>
      <c r="F33" s="15" t="n"/>
      <c r="G33" s="15" t="n"/>
      <c r="H33" s="15" t="n"/>
    </row>
    <row r="34">
      <c r="A34" s="15" t="n"/>
      <c r="B34" s="15" t="n"/>
      <c r="C34" s="15" t="n"/>
      <c r="D34" s="15" t="n"/>
      <c r="E34" s="15" t="n"/>
      <c r="F34" s="15" t="n"/>
      <c r="G34" s="15" t="n"/>
      <c r="H34" s="15" t="n"/>
    </row>
    <row r="35">
      <c r="A35" s="15" t="n"/>
      <c r="B35" s="15" t="n"/>
      <c r="C35" s="15" t="n"/>
      <c r="D35" s="15" t="n"/>
      <c r="E35" s="15" t="n"/>
      <c r="F35" s="15" t="n"/>
      <c r="G35" s="15" t="n"/>
      <c r="H35" s="15" t="n"/>
    </row>
    <row r="36">
      <c r="A36" s="15" t="n"/>
      <c r="B36" s="15" t="n"/>
      <c r="C36" s="15" t="n"/>
      <c r="D36" s="15" t="n"/>
      <c r="E36" s="15" t="n"/>
      <c r="F36" s="15" t="n"/>
      <c r="G36" s="15" t="n"/>
      <c r="H36" s="15" t="n"/>
    </row>
    <row r="37">
      <c r="A37" s="15" t="n"/>
      <c r="B37" s="15" t="n"/>
      <c r="C37" s="15" t="n"/>
      <c r="D37" s="15" t="n"/>
      <c r="E37" s="15" t="n"/>
      <c r="F37" s="15" t="n"/>
      <c r="G37" s="15" t="n"/>
      <c r="H37" s="15" t="n"/>
    </row>
    <row r="38">
      <c r="A38" s="15" t="n"/>
      <c r="B38" s="15" t="n"/>
      <c r="C38" s="15" t="n"/>
      <c r="D38" s="15" t="n"/>
      <c r="E38" s="15" t="n"/>
      <c r="F38" s="15" t="n"/>
      <c r="G38" s="15" t="n"/>
      <c r="H38" s="15" t="n"/>
    </row>
    <row r="39">
      <c r="A39" s="15" t="n"/>
      <c r="B39" s="15" t="n"/>
      <c r="C39" s="15" t="n"/>
      <c r="D39" s="15" t="n"/>
      <c r="E39" s="15" t="n"/>
      <c r="F39" s="15" t="n"/>
      <c r="G39" s="15" t="n"/>
      <c r="H39" s="15" t="n"/>
    </row>
    <row r="40">
      <c r="A40" s="15" t="n"/>
      <c r="B40" s="15" t="n"/>
      <c r="C40" s="15" t="n"/>
      <c r="D40" s="15" t="n"/>
      <c r="E40" s="15" t="n"/>
      <c r="F40" s="15" t="n"/>
      <c r="G40" s="15" t="n"/>
      <c r="H40" s="15" t="n"/>
    </row>
    <row r="41">
      <c r="A41" s="15" t="n"/>
      <c r="B41" s="15" t="n"/>
      <c r="C41" s="15" t="n"/>
      <c r="D41" s="15" t="n"/>
      <c r="E41" s="15" t="n"/>
      <c r="F41" s="15" t="n"/>
      <c r="G41" s="15" t="n"/>
      <c r="H41" s="15" t="n"/>
    </row>
    <row r="42">
      <c r="A42" s="15" t="n"/>
      <c r="B42" s="15" t="n"/>
      <c r="C42" s="15" t="n"/>
      <c r="D42" s="15" t="n"/>
      <c r="E42" s="15" t="n"/>
      <c r="F42" s="15" t="n"/>
      <c r="G42" s="15" t="n"/>
      <c r="H42" s="15" t="n"/>
    </row>
    <row r="43">
      <c r="A43" s="15" t="n"/>
      <c r="B43" s="15" t="n"/>
      <c r="C43" s="15" t="n"/>
      <c r="D43" s="15" t="n"/>
      <c r="E43" s="15" t="n"/>
      <c r="F43" s="15" t="n"/>
      <c r="G43" s="15" t="n"/>
      <c r="H43" s="15" t="n"/>
    </row>
    <row r="44">
      <c r="A44" s="15" t="n"/>
      <c r="B44" s="15" t="n"/>
      <c r="C44" s="15" t="n"/>
      <c r="D44" s="15" t="n"/>
      <c r="E44" s="15" t="n"/>
      <c r="F44" s="15" t="n"/>
      <c r="G44" s="15" t="n"/>
      <c r="H44" s="15" t="n"/>
    </row>
    <row r="45">
      <c r="A45" s="15" t="n"/>
      <c r="B45" s="15" t="n"/>
      <c r="C45" s="15" t="n"/>
      <c r="D45" s="15" t="n"/>
      <c r="E45" s="15" t="n"/>
      <c r="F45" s="15" t="n"/>
      <c r="G45" s="15" t="n"/>
      <c r="H45" s="15" t="n"/>
    </row>
    <row r="46">
      <c r="A46" s="15" t="n"/>
      <c r="B46" s="15" t="n"/>
      <c r="C46" s="15" t="n"/>
      <c r="D46" s="15" t="n"/>
      <c r="E46" s="15" t="n"/>
      <c r="F46" s="15" t="n"/>
      <c r="G46" s="15" t="n"/>
      <c r="H46" s="15" t="n"/>
    </row>
    <row r="47">
      <c r="A47" s="15" t="n"/>
      <c r="B47" s="15" t="n"/>
      <c r="C47" s="15" t="n"/>
      <c r="D47" s="15" t="n"/>
      <c r="E47" s="15" t="n"/>
      <c r="F47" s="15" t="n"/>
      <c r="G47" s="15" t="n"/>
      <c r="H47" s="15" t="n"/>
    </row>
    <row r="48">
      <c r="A48" s="15" t="n"/>
      <c r="B48" s="15" t="n"/>
      <c r="C48" s="15" t="n"/>
      <c r="D48" s="15" t="n"/>
      <c r="E48" s="15" t="n"/>
      <c r="F48" s="15" t="n"/>
      <c r="G48" s="15" t="n"/>
      <c r="H48" s="15" t="n"/>
    </row>
    <row r="49">
      <c r="A49" s="15" t="n"/>
      <c r="B49" s="15" t="n"/>
      <c r="C49" s="15" t="n"/>
      <c r="D49" s="15" t="n"/>
      <c r="E49" s="15" t="n"/>
      <c r="F49" s="15" t="n"/>
      <c r="G49" s="15" t="n"/>
      <c r="H49" s="15" t="n"/>
    </row>
    <row r="50">
      <c r="A50" s="15" t="n"/>
      <c r="B50" s="15" t="n"/>
      <c r="C50" s="15" t="n"/>
      <c r="D50" s="15" t="n"/>
      <c r="E50" s="15" t="n"/>
      <c r="F50" s="15" t="n"/>
      <c r="G50" s="15" t="n"/>
      <c r="H50" s="15" t="n"/>
    </row>
    <row r="51">
      <c r="A51" s="15" t="n"/>
      <c r="B51" s="15" t="n"/>
      <c r="C51" s="15" t="n"/>
      <c r="D51" s="15" t="n"/>
      <c r="E51" s="15" t="n"/>
      <c r="F51" s="15" t="n"/>
      <c r="G51" s="15" t="n"/>
      <c r="H51" s="15" t="n"/>
    </row>
    <row r="52">
      <c r="A52" s="15" t="n"/>
      <c r="B52" s="15" t="n"/>
      <c r="C52" s="15" t="n"/>
      <c r="D52" s="15" t="n"/>
      <c r="E52" s="15" t="n"/>
      <c r="F52" s="15" t="n"/>
      <c r="G52" s="15" t="n"/>
      <c r="H52" s="15" t="n"/>
    </row>
    <row r="53">
      <c r="A53" s="15" t="n"/>
      <c r="B53" s="15" t="n"/>
      <c r="C53" s="15" t="n"/>
      <c r="D53" s="15" t="n"/>
      <c r="E53" s="15" t="n"/>
      <c r="F53" s="15" t="n"/>
      <c r="G53" s="15" t="n"/>
      <c r="H53" s="15" t="n"/>
    </row>
    <row r="54">
      <c r="A54" s="15" t="n"/>
      <c r="B54" s="15" t="n"/>
      <c r="C54" s="15" t="n"/>
      <c r="D54" s="15" t="n"/>
      <c r="E54" s="15" t="n"/>
      <c r="F54" s="15" t="n"/>
      <c r="G54" s="15" t="n"/>
      <c r="H54" s="15" t="n"/>
    </row>
    <row r="55">
      <c r="A55" s="15" t="n"/>
      <c r="B55" s="15" t="n"/>
      <c r="C55" s="15" t="n"/>
      <c r="D55" s="15" t="n"/>
      <c r="E55" s="15" t="n"/>
      <c r="F55" s="15" t="n"/>
      <c r="G55" s="15" t="n"/>
      <c r="H55" s="15" t="n"/>
    </row>
  </sheetData>
  <mergeCells count="2">
    <mergeCell ref="A2:H2"/>
    <mergeCell ref="A1:H1"/>
  </mergeCells>
  <dataValidations count="2">
    <dataValidation sqref="E5:E55 F5:F55" showDropDown="0" showInputMessage="0" showErrorMessage="0" allowBlank="0" type="list">
      <formula1>"Yes,No"</formula1>
    </dataValidation>
    <dataValidation sqref="G5:G55" showDropDown="0" showInputMessage="0" showErrorMessage="0" allowBlank="0" type="list">
      <formula1>"Compliant,Non-Compliant,Partial,Not Assessed,N/A"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5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5" customWidth="1" min="1" max="1"/>
    <col width="35" customWidth="1" min="2" max="2"/>
    <col width="35" customWidth="1" min="3" max="3"/>
    <col width="15" customWidth="1" min="4" max="4"/>
    <col width="15" customWidth="1" min="5" max="5"/>
    <col width="20" customWidth="1" min="6" max="6"/>
    <col width="40" customWidth="1" min="7" max="7"/>
  </cols>
  <sheetData>
    <row r="1" ht="35" customHeight="1">
      <c r="A1" s="11" t="inlineStr">
        <is>
          <t>CONFIGURATION CONSISTENCY CHECK</t>
        </is>
      </c>
    </row>
    <row r="2">
      <c r="A2" s="12" t="inlineStr">
        <is>
          <t>Verify staging mirrors production configuration (drift detection)</t>
        </is>
      </c>
    </row>
    <row r="4">
      <c r="A4" s="13" t="inlineStr">
        <is>
          <t>Configuration Item</t>
        </is>
      </c>
      <c r="B4" s="13" t="inlineStr">
        <is>
          <t>Staging Config</t>
        </is>
      </c>
      <c r="C4" s="13" t="inlineStr">
        <is>
          <t>Production Config</t>
        </is>
      </c>
      <c r="D4" s="13" t="inlineStr">
        <is>
          <t>Match?</t>
        </is>
      </c>
      <c r="E4" s="13" t="inlineStr">
        <is>
          <t>Drift %</t>
        </is>
      </c>
      <c r="F4" s="13" t="inlineStr">
        <is>
          <t>Compliance</t>
        </is>
      </c>
      <c r="G4" s="13" t="inlineStr">
        <is>
          <t>Notes</t>
        </is>
      </c>
    </row>
    <row r="5">
      <c r="A5" s="14" t="inlineStr">
        <is>
          <t>Application Version</t>
        </is>
      </c>
      <c r="B5" s="14" t="inlineStr">
        <is>
          <t>v2.3.1</t>
        </is>
      </c>
      <c r="C5" s="14" t="inlineStr">
        <is>
          <t>v2.3.1</t>
        </is>
      </c>
      <c r="D5" s="14" t="inlineStr">
        <is>
          <t>Yes</t>
        </is>
      </c>
      <c r="E5" s="14" t="inlineStr">
        <is>
          <t>0%</t>
        </is>
      </c>
      <c r="F5" s="14" t="inlineStr">
        <is>
          <t>Compliant</t>
        </is>
      </c>
      <c r="G5" s="14" t="inlineStr">
        <is>
          <t>Versions match</t>
        </is>
      </c>
    </row>
    <row r="6">
      <c r="A6" s="15" t="inlineStr">
        <is>
          <t>Environment Labels in UI/Menus (ISO A.8.31 f)</t>
        </is>
      </c>
      <c r="B6" s="15" t="n"/>
      <c r="C6" s="15" t="n"/>
      <c r="D6" s="15" t="n"/>
      <c r="E6" s="15" t="n"/>
      <c r="F6" s="15" t="n"/>
      <c r="G6" s="15" t="inlineStr">
        <is>
          <t>Verify all UI screens/menus clearly label the active environment (DEV/TEST/PROD)</t>
        </is>
      </c>
    </row>
    <row r="7">
      <c r="A7" s="15" t="inlineStr">
        <is>
          <t>Security Patch Level Parity (DEV/TEST vs PROD)</t>
        </is>
      </c>
      <c r="B7" s="15" t="n"/>
      <c r="C7" s="15" t="n"/>
      <c r="D7" s="15" t="n"/>
      <c r="E7" s="15" t="n"/>
      <c r="F7" s="15" t="n"/>
      <c r="G7" s="15" t="inlineStr">
        <is>
          <t>Confirm dev and test environments are patched to the same level as production</t>
        </is>
      </c>
    </row>
    <row r="8">
      <c r="A8" s="15" t="n"/>
      <c r="B8" s="15" t="n"/>
      <c r="C8" s="15" t="n"/>
      <c r="D8" s="15" t="n"/>
      <c r="E8" s="15" t="n"/>
      <c r="F8" s="15" t="n"/>
      <c r="G8" s="15" t="n"/>
    </row>
    <row r="9">
      <c r="A9" s="15" t="n"/>
      <c r="B9" s="15" t="n"/>
      <c r="C9" s="15" t="n"/>
      <c r="D9" s="15" t="n"/>
      <c r="E9" s="15" t="n"/>
      <c r="F9" s="15" t="n"/>
      <c r="G9" s="15" t="n"/>
    </row>
    <row r="10">
      <c r="A10" s="15" t="n"/>
      <c r="B10" s="15" t="n"/>
      <c r="C10" s="15" t="n"/>
      <c r="D10" s="15" t="n"/>
      <c r="E10" s="15" t="n"/>
      <c r="F10" s="15" t="n"/>
      <c r="G10" s="15" t="n"/>
    </row>
    <row r="11">
      <c r="A11" s="15" t="n"/>
      <c r="B11" s="15" t="n"/>
      <c r="C11" s="15" t="n"/>
      <c r="D11" s="15" t="n"/>
      <c r="E11" s="15" t="n"/>
      <c r="F11" s="15" t="n"/>
      <c r="G11" s="15" t="n"/>
    </row>
    <row r="12">
      <c r="A12" s="15" t="n"/>
      <c r="B12" s="15" t="n"/>
      <c r="C12" s="15" t="n"/>
      <c r="D12" s="15" t="n"/>
      <c r="E12" s="15" t="n"/>
      <c r="F12" s="15" t="n"/>
      <c r="G12" s="15" t="n"/>
    </row>
    <row r="13">
      <c r="A13" s="15" t="n"/>
      <c r="B13" s="15" t="n"/>
      <c r="C13" s="15" t="n"/>
      <c r="D13" s="15" t="n"/>
      <c r="E13" s="15" t="n"/>
      <c r="F13" s="15" t="n"/>
      <c r="G13" s="15" t="n"/>
    </row>
    <row r="14">
      <c r="A14" s="15" t="n"/>
      <c r="B14" s="15" t="n"/>
      <c r="C14" s="15" t="n"/>
      <c r="D14" s="15" t="n"/>
      <c r="E14" s="15" t="n"/>
      <c r="F14" s="15" t="n"/>
      <c r="G14" s="15" t="n"/>
    </row>
    <row r="15">
      <c r="A15" s="15" t="n"/>
      <c r="B15" s="15" t="n"/>
      <c r="C15" s="15" t="n"/>
      <c r="D15" s="15" t="n"/>
      <c r="E15" s="15" t="n"/>
      <c r="F15" s="15" t="n"/>
      <c r="G15" s="15" t="n"/>
    </row>
    <row r="16">
      <c r="A16" s="15" t="n"/>
      <c r="B16" s="15" t="n"/>
      <c r="C16" s="15" t="n"/>
      <c r="D16" s="15" t="n"/>
      <c r="E16" s="15" t="n"/>
      <c r="F16" s="15" t="n"/>
      <c r="G16" s="15" t="n"/>
    </row>
    <row r="17">
      <c r="A17" s="15" t="n"/>
      <c r="B17" s="15" t="n"/>
      <c r="C17" s="15" t="n"/>
      <c r="D17" s="15" t="n"/>
      <c r="E17" s="15" t="n"/>
      <c r="F17" s="15" t="n"/>
      <c r="G17" s="15" t="n"/>
    </row>
    <row r="18">
      <c r="A18" s="15" t="n"/>
      <c r="B18" s="15" t="n"/>
      <c r="C18" s="15" t="n"/>
      <c r="D18" s="15" t="n"/>
      <c r="E18" s="15" t="n"/>
      <c r="F18" s="15" t="n"/>
      <c r="G18" s="15" t="n"/>
    </row>
    <row r="19">
      <c r="A19" s="15" t="n"/>
      <c r="B19" s="15" t="n"/>
      <c r="C19" s="15" t="n"/>
      <c r="D19" s="15" t="n"/>
      <c r="E19" s="15" t="n"/>
      <c r="F19" s="15" t="n"/>
      <c r="G19" s="15" t="n"/>
    </row>
    <row r="20">
      <c r="A20" s="15" t="n"/>
      <c r="B20" s="15" t="n"/>
      <c r="C20" s="15" t="n"/>
      <c r="D20" s="15" t="n"/>
      <c r="E20" s="15" t="n"/>
      <c r="F20" s="15" t="n"/>
      <c r="G20" s="15" t="n"/>
    </row>
    <row r="21">
      <c r="A21" s="15" t="n"/>
      <c r="B21" s="15" t="n"/>
      <c r="C21" s="15" t="n"/>
      <c r="D21" s="15" t="n"/>
      <c r="E21" s="15" t="n"/>
      <c r="F21" s="15" t="n"/>
      <c r="G21" s="15" t="n"/>
    </row>
    <row r="22">
      <c r="A22" s="15" t="n"/>
      <c r="B22" s="15" t="n"/>
      <c r="C22" s="15" t="n"/>
      <c r="D22" s="15" t="n"/>
      <c r="E22" s="15" t="n"/>
      <c r="F22" s="15" t="n"/>
      <c r="G22" s="15" t="n"/>
    </row>
    <row r="23">
      <c r="A23" s="15" t="n"/>
      <c r="B23" s="15" t="n"/>
      <c r="C23" s="15" t="n"/>
      <c r="D23" s="15" t="n"/>
      <c r="E23" s="15" t="n"/>
      <c r="F23" s="15" t="n"/>
      <c r="G23" s="15" t="n"/>
    </row>
    <row r="24">
      <c r="A24" s="15" t="n"/>
      <c r="B24" s="15" t="n"/>
      <c r="C24" s="15" t="n"/>
      <c r="D24" s="15" t="n"/>
      <c r="E24" s="15" t="n"/>
      <c r="F24" s="15" t="n"/>
      <c r="G24" s="15" t="n"/>
    </row>
    <row r="25">
      <c r="A25" s="15" t="n"/>
      <c r="B25" s="15" t="n"/>
      <c r="C25" s="15" t="n"/>
      <c r="D25" s="15" t="n"/>
      <c r="E25" s="15" t="n"/>
      <c r="F25" s="15" t="n"/>
      <c r="G25" s="15" t="n"/>
    </row>
    <row r="26">
      <c r="A26" s="15" t="n"/>
      <c r="B26" s="15" t="n"/>
      <c r="C26" s="15" t="n"/>
      <c r="D26" s="15" t="n"/>
      <c r="E26" s="15" t="n"/>
      <c r="F26" s="15" t="n"/>
      <c r="G26" s="15" t="n"/>
    </row>
    <row r="27">
      <c r="A27" s="15" t="n"/>
      <c r="B27" s="15" t="n"/>
      <c r="C27" s="15" t="n"/>
      <c r="D27" s="15" t="n"/>
      <c r="E27" s="15" t="n"/>
      <c r="F27" s="15" t="n"/>
      <c r="G27" s="15" t="n"/>
    </row>
    <row r="28">
      <c r="A28" s="15" t="n"/>
      <c r="B28" s="15" t="n"/>
      <c r="C28" s="15" t="n"/>
      <c r="D28" s="15" t="n"/>
      <c r="E28" s="15" t="n"/>
      <c r="F28" s="15" t="n"/>
      <c r="G28" s="15" t="n"/>
    </row>
    <row r="29">
      <c r="A29" s="15" t="n"/>
      <c r="B29" s="15" t="n"/>
      <c r="C29" s="15" t="n"/>
      <c r="D29" s="15" t="n"/>
      <c r="E29" s="15" t="n"/>
      <c r="F29" s="15" t="n"/>
      <c r="G29" s="15" t="n"/>
    </row>
    <row r="30">
      <c r="A30" s="15" t="n"/>
      <c r="B30" s="15" t="n"/>
      <c r="C30" s="15" t="n"/>
      <c r="D30" s="15" t="n"/>
      <c r="E30" s="15" t="n"/>
      <c r="F30" s="15" t="n"/>
      <c r="G30" s="15" t="n"/>
    </row>
    <row r="31">
      <c r="A31" s="15" t="n"/>
      <c r="B31" s="15" t="n"/>
      <c r="C31" s="15" t="n"/>
      <c r="D31" s="15" t="n"/>
      <c r="E31" s="15" t="n"/>
      <c r="F31" s="15" t="n"/>
      <c r="G31" s="15" t="n"/>
    </row>
    <row r="32">
      <c r="A32" s="15" t="n"/>
      <c r="B32" s="15" t="n"/>
      <c r="C32" s="15" t="n"/>
      <c r="D32" s="15" t="n"/>
      <c r="E32" s="15" t="n"/>
      <c r="F32" s="15" t="n"/>
      <c r="G32" s="15" t="n"/>
    </row>
    <row r="33">
      <c r="A33" s="15" t="n"/>
      <c r="B33" s="15" t="n"/>
      <c r="C33" s="15" t="n"/>
      <c r="D33" s="15" t="n"/>
      <c r="E33" s="15" t="n"/>
      <c r="F33" s="15" t="n"/>
      <c r="G33" s="15" t="n"/>
    </row>
    <row r="34">
      <c r="A34" s="15" t="n"/>
      <c r="B34" s="15" t="n"/>
      <c r="C34" s="15" t="n"/>
      <c r="D34" s="15" t="n"/>
      <c r="E34" s="15" t="n"/>
      <c r="F34" s="15" t="n"/>
      <c r="G34" s="15" t="n"/>
    </row>
    <row r="35">
      <c r="A35" s="15" t="n"/>
      <c r="B35" s="15" t="n"/>
      <c r="C35" s="15" t="n"/>
      <c r="D35" s="15" t="n"/>
      <c r="E35" s="15" t="n"/>
      <c r="F35" s="15" t="n"/>
      <c r="G35" s="15" t="n"/>
    </row>
    <row r="36">
      <c r="A36" s="15" t="n"/>
      <c r="B36" s="15" t="n"/>
      <c r="C36" s="15" t="n"/>
      <c r="D36" s="15" t="n"/>
      <c r="E36" s="15" t="n"/>
      <c r="F36" s="15" t="n"/>
      <c r="G36" s="15" t="n"/>
    </row>
    <row r="37">
      <c r="A37" s="15" t="n"/>
      <c r="B37" s="15" t="n"/>
      <c r="C37" s="15" t="n"/>
      <c r="D37" s="15" t="n"/>
      <c r="E37" s="15" t="n"/>
      <c r="F37" s="15" t="n"/>
      <c r="G37" s="15" t="n"/>
    </row>
    <row r="38">
      <c r="A38" s="15" t="n"/>
      <c r="B38" s="15" t="n"/>
      <c r="C38" s="15" t="n"/>
      <c r="D38" s="15" t="n"/>
      <c r="E38" s="15" t="n"/>
      <c r="F38" s="15" t="n"/>
      <c r="G38" s="15" t="n"/>
    </row>
    <row r="39">
      <c r="A39" s="15" t="n"/>
      <c r="B39" s="15" t="n"/>
      <c r="C39" s="15" t="n"/>
      <c r="D39" s="15" t="n"/>
      <c r="E39" s="15" t="n"/>
      <c r="F39" s="15" t="n"/>
      <c r="G39" s="15" t="n"/>
    </row>
    <row r="40">
      <c r="A40" s="15" t="n"/>
      <c r="B40" s="15" t="n"/>
      <c r="C40" s="15" t="n"/>
      <c r="D40" s="15" t="n"/>
      <c r="E40" s="15" t="n"/>
      <c r="F40" s="15" t="n"/>
      <c r="G40" s="15" t="n"/>
    </row>
    <row r="41">
      <c r="A41" s="15" t="n"/>
      <c r="B41" s="15" t="n"/>
      <c r="C41" s="15" t="n"/>
      <c r="D41" s="15" t="n"/>
      <c r="E41" s="15" t="n"/>
      <c r="F41" s="15" t="n"/>
      <c r="G41" s="15" t="n"/>
    </row>
    <row r="42">
      <c r="A42" s="15" t="n"/>
      <c r="B42" s="15" t="n"/>
      <c r="C42" s="15" t="n"/>
      <c r="D42" s="15" t="n"/>
      <c r="E42" s="15" t="n"/>
      <c r="F42" s="15" t="n"/>
      <c r="G42" s="15" t="n"/>
    </row>
    <row r="43">
      <c r="A43" s="15" t="n"/>
      <c r="B43" s="15" t="n"/>
      <c r="C43" s="15" t="n"/>
      <c r="D43" s="15" t="n"/>
      <c r="E43" s="15" t="n"/>
      <c r="F43" s="15" t="n"/>
      <c r="G43" s="15" t="n"/>
    </row>
    <row r="44">
      <c r="A44" s="15" t="n"/>
      <c r="B44" s="15" t="n"/>
      <c r="C44" s="15" t="n"/>
      <c r="D44" s="15" t="n"/>
      <c r="E44" s="15" t="n"/>
      <c r="F44" s="15" t="n"/>
      <c r="G44" s="15" t="n"/>
    </row>
    <row r="45">
      <c r="A45" s="15" t="n"/>
      <c r="B45" s="15" t="n"/>
      <c r="C45" s="15" t="n"/>
      <c r="D45" s="15" t="n"/>
      <c r="E45" s="15" t="n"/>
      <c r="F45" s="15" t="n"/>
      <c r="G45" s="15" t="n"/>
    </row>
    <row r="46">
      <c r="A46" s="15" t="n"/>
      <c r="B46" s="15" t="n"/>
      <c r="C46" s="15" t="n"/>
      <c r="D46" s="15" t="n"/>
      <c r="E46" s="15" t="n"/>
      <c r="F46" s="15" t="n"/>
      <c r="G46" s="15" t="n"/>
    </row>
    <row r="47">
      <c r="A47" s="15" t="n"/>
      <c r="B47" s="15" t="n"/>
      <c r="C47" s="15" t="n"/>
      <c r="D47" s="15" t="n"/>
      <c r="E47" s="15" t="n"/>
      <c r="F47" s="15" t="n"/>
      <c r="G47" s="15" t="n"/>
    </row>
    <row r="48">
      <c r="A48" s="15" t="n"/>
      <c r="B48" s="15" t="n"/>
      <c r="C48" s="15" t="n"/>
      <c r="D48" s="15" t="n"/>
      <c r="E48" s="15" t="n"/>
      <c r="F48" s="15" t="n"/>
      <c r="G48" s="15" t="n"/>
    </row>
    <row r="49">
      <c r="A49" s="15" t="n"/>
      <c r="B49" s="15" t="n"/>
      <c r="C49" s="15" t="n"/>
      <c r="D49" s="15" t="n"/>
      <c r="E49" s="15" t="n"/>
      <c r="F49" s="15" t="n"/>
      <c r="G49" s="15" t="n"/>
    </row>
    <row r="50">
      <c r="A50" s="15" t="n"/>
      <c r="B50" s="15" t="n"/>
      <c r="C50" s="15" t="n"/>
      <c r="D50" s="15" t="n"/>
      <c r="E50" s="15" t="n"/>
      <c r="F50" s="15" t="n"/>
      <c r="G50" s="15" t="n"/>
    </row>
    <row r="51">
      <c r="A51" s="15" t="n"/>
      <c r="B51" s="15" t="n"/>
      <c r="C51" s="15" t="n"/>
      <c r="D51" s="15" t="n"/>
      <c r="E51" s="15" t="n"/>
      <c r="F51" s="15" t="n"/>
      <c r="G51" s="15" t="n"/>
    </row>
    <row r="52">
      <c r="A52" s="15" t="n"/>
      <c r="B52" s="15" t="n"/>
      <c r="C52" s="15" t="n"/>
      <c r="D52" s="15" t="n"/>
      <c r="E52" s="15" t="n"/>
      <c r="F52" s="15" t="n"/>
      <c r="G52" s="15" t="n"/>
    </row>
    <row r="53">
      <c r="A53" s="15" t="n"/>
      <c r="B53" s="15" t="n"/>
      <c r="C53" s="15" t="n"/>
      <c r="D53" s="15" t="n"/>
      <c r="E53" s="15" t="n"/>
      <c r="F53" s="15" t="n"/>
      <c r="G53" s="15" t="n"/>
    </row>
    <row r="54">
      <c r="A54" s="15" t="n"/>
      <c r="B54" s="15" t="n"/>
      <c r="C54" s="15" t="n"/>
      <c r="D54" s="15" t="n"/>
      <c r="E54" s="15" t="n"/>
      <c r="F54" s="15" t="n"/>
      <c r="G54" s="15" t="n"/>
    </row>
    <row r="55">
      <c r="A55" s="15" t="n"/>
      <c r="B55" s="15" t="n"/>
      <c r="C55" s="15" t="n"/>
      <c r="D55" s="15" t="n"/>
      <c r="E55" s="15" t="n"/>
      <c r="F55" s="15" t="n"/>
      <c r="G55" s="15" t="n"/>
    </row>
  </sheetData>
  <mergeCells count="2">
    <mergeCell ref="A2:G2"/>
    <mergeCell ref="A1:G1"/>
  </mergeCells>
  <dataValidations count="2">
    <dataValidation sqref="D5:D55" showDropDown="0" showInputMessage="0" showErrorMessage="0" allowBlank="0" type="list">
      <formula1>"Yes,No"</formula1>
    </dataValidation>
    <dataValidation sqref="F5:F55" showDropDown="0" showInputMessage="0" showErrorMessage="0" allowBlank="0" type="list">
      <formula1>"Compliant,Non-Compliant,Partial,Not Assessed,N/A"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0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5" customWidth="1" min="1" max="1"/>
    <col width="25" customWidth="1" min="2" max="2"/>
    <col width="22" customWidth="1" min="3" max="3"/>
    <col width="40" customWidth="1" min="4" max="4"/>
    <col width="45" customWidth="1" min="5" max="5"/>
    <col width="16" customWidth="1" min="6" max="6"/>
    <col width="20" customWidth="1" min="7" max="7"/>
    <col width="22" customWidth="1" min="8" max="8"/>
  </cols>
  <sheetData>
    <row r="1" ht="35" customHeight="1">
      <c r="A1" s="1" t="inlineStr">
        <is>
          <t>EVIDENCE REGISTER</t>
        </is>
      </c>
    </row>
    <row r="2">
      <c r="A2" s="16" t="inlineStr">
        <is>
          <t>Record all evidence collected during the assessment. Each row represents one piece of evidence.</t>
        </is>
      </c>
    </row>
    <row r="4" ht="30" customHeight="1">
      <c r="A4" s="17" t="inlineStr">
        <is>
          <t>Evidence ID</t>
        </is>
      </c>
      <c r="B4" s="17" t="inlineStr">
        <is>
          <t>Assessment Area</t>
        </is>
      </c>
      <c r="C4" s="17" t="inlineStr">
        <is>
          <t>Evidence Type</t>
        </is>
      </c>
      <c r="D4" s="17" t="inlineStr">
        <is>
          <t>Description</t>
        </is>
      </c>
      <c r="E4" s="17" t="inlineStr">
        <is>
          <t>Location / Path</t>
        </is>
      </c>
      <c r="F4" s="17" t="inlineStr">
        <is>
          <t>Date Collected</t>
        </is>
      </c>
      <c r="G4" s="17" t="inlineStr">
        <is>
          <t>Collected By</t>
        </is>
      </c>
      <c r="H4" s="17" t="inlineStr">
        <is>
          <t>Verification Status</t>
        </is>
      </c>
    </row>
    <row r="5">
      <c r="A5" s="18" t="inlineStr">
        <is>
          <t>EV-001</t>
        </is>
      </c>
      <c r="B5" s="19" t="inlineStr">
        <is>
          <t>Environment Architecture</t>
        </is>
      </c>
      <c r="C5" s="19" t="inlineStr">
        <is>
          <t>Configuration file</t>
        </is>
      </c>
      <c r="D5" s="19" t="inlineStr">
        <is>
          <t>Network diagram showing environment separation</t>
        </is>
      </c>
      <c r="E5" s="19" t="inlineStr">
        <is>
          <t>\\fileserver\evidence\network_diagram_20260213.pdf</t>
        </is>
      </c>
      <c r="F5" s="19" t="inlineStr">
        <is>
          <t>13.02.2026</t>
        </is>
      </c>
      <c r="G5" s="19" t="inlineStr">
        <is>
          <t>Network Administrator</t>
        </is>
      </c>
      <c r="H5" s="19" t="inlineStr">
        <is>
          <t>Verified</t>
        </is>
      </c>
    </row>
    <row r="6">
      <c r="A6" s="4" t="n"/>
      <c r="B6" s="4" t="n"/>
      <c r="C6" s="4" t="n"/>
      <c r="D6" s="4" t="n"/>
      <c r="E6" s="4" t="n"/>
      <c r="F6" s="4" t="n"/>
      <c r="G6" s="4" t="n"/>
      <c r="H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</row>
    <row r="25">
      <c r="A25" s="4" t="n"/>
      <c r="B25" s="4" t="n"/>
      <c r="C25" s="4" t="n"/>
      <c r="D25" s="4" t="n"/>
      <c r="E25" s="4" t="n"/>
      <c r="F25" s="4" t="n"/>
      <c r="G25" s="4" t="n"/>
      <c r="H25" s="4" t="n"/>
    </row>
    <row r="26">
      <c r="A26" s="4" t="n"/>
      <c r="B26" s="4" t="n"/>
      <c r="C26" s="4" t="n"/>
      <c r="D26" s="4" t="n"/>
      <c r="E26" s="4" t="n"/>
      <c r="F26" s="4" t="n"/>
      <c r="G26" s="4" t="n"/>
      <c r="H26" s="4" t="n"/>
    </row>
    <row r="27">
      <c r="A27" s="4" t="n"/>
      <c r="B27" s="4" t="n"/>
      <c r="C27" s="4" t="n"/>
      <c r="D27" s="4" t="n"/>
      <c r="E27" s="4" t="n"/>
      <c r="F27" s="4" t="n"/>
      <c r="G27" s="4" t="n"/>
      <c r="H27" s="4" t="n"/>
    </row>
    <row r="28">
      <c r="A28" s="4" t="n"/>
      <c r="B28" s="4" t="n"/>
      <c r="C28" s="4" t="n"/>
      <c r="D28" s="4" t="n"/>
      <c r="E28" s="4" t="n"/>
      <c r="F28" s="4" t="n"/>
      <c r="G28" s="4" t="n"/>
      <c r="H28" s="4" t="n"/>
    </row>
    <row r="29">
      <c r="A29" s="4" t="n"/>
      <c r="B29" s="4" t="n"/>
      <c r="C29" s="4" t="n"/>
      <c r="D29" s="4" t="n"/>
      <c r="E29" s="4" t="n"/>
      <c r="F29" s="4" t="n"/>
      <c r="G29" s="4" t="n"/>
      <c r="H29" s="4" t="n"/>
    </row>
    <row r="30">
      <c r="A30" s="4" t="n"/>
      <c r="B30" s="4" t="n"/>
      <c r="C30" s="4" t="n"/>
      <c r="D30" s="4" t="n"/>
      <c r="E30" s="4" t="n"/>
      <c r="F30" s="4" t="n"/>
      <c r="G30" s="4" t="n"/>
      <c r="H30" s="4" t="n"/>
    </row>
    <row r="31">
      <c r="A31" s="4" t="n"/>
      <c r="B31" s="4" t="n"/>
      <c r="C31" s="4" t="n"/>
      <c r="D31" s="4" t="n"/>
      <c r="E31" s="4" t="n"/>
      <c r="F31" s="4" t="n"/>
      <c r="G31" s="4" t="n"/>
      <c r="H31" s="4" t="n"/>
    </row>
    <row r="32">
      <c r="A32" s="4" t="n"/>
      <c r="B32" s="4" t="n"/>
      <c r="C32" s="4" t="n"/>
      <c r="D32" s="4" t="n"/>
      <c r="E32" s="4" t="n"/>
      <c r="F32" s="4" t="n"/>
      <c r="G32" s="4" t="n"/>
      <c r="H32" s="4" t="n"/>
    </row>
    <row r="33">
      <c r="A33" s="4" t="n"/>
      <c r="B33" s="4" t="n"/>
      <c r="C33" s="4" t="n"/>
      <c r="D33" s="4" t="n"/>
      <c r="E33" s="4" t="n"/>
      <c r="F33" s="4" t="n"/>
      <c r="G33" s="4" t="n"/>
      <c r="H33" s="4" t="n"/>
    </row>
    <row r="34">
      <c r="A34" s="4" t="n"/>
      <c r="B34" s="4" t="n"/>
      <c r="C34" s="4" t="n"/>
      <c r="D34" s="4" t="n"/>
      <c r="E34" s="4" t="n"/>
      <c r="F34" s="4" t="n"/>
      <c r="G34" s="4" t="n"/>
      <c r="H34" s="4" t="n"/>
    </row>
    <row r="35">
      <c r="A35" s="4" t="n"/>
      <c r="B35" s="4" t="n"/>
      <c r="C35" s="4" t="n"/>
      <c r="D35" s="4" t="n"/>
      <c r="E35" s="4" t="n"/>
      <c r="F35" s="4" t="n"/>
      <c r="G35" s="4" t="n"/>
      <c r="H35" s="4" t="n"/>
    </row>
    <row r="36">
      <c r="A36" s="4" t="n"/>
      <c r="B36" s="4" t="n"/>
      <c r="C36" s="4" t="n"/>
      <c r="D36" s="4" t="n"/>
      <c r="E36" s="4" t="n"/>
      <c r="F36" s="4" t="n"/>
      <c r="G36" s="4" t="n"/>
      <c r="H36" s="4" t="n"/>
    </row>
    <row r="37">
      <c r="A37" s="4" t="n"/>
      <c r="B37" s="4" t="n"/>
      <c r="C37" s="4" t="n"/>
      <c r="D37" s="4" t="n"/>
      <c r="E37" s="4" t="n"/>
      <c r="F37" s="4" t="n"/>
      <c r="G37" s="4" t="n"/>
      <c r="H37" s="4" t="n"/>
    </row>
    <row r="38">
      <c r="A38" s="4" t="n"/>
      <c r="B38" s="4" t="n"/>
      <c r="C38" s="4" t="n"/>
      <c r="D38" s="4" t="n"/>
      <c r="E38" s="4" t="n"/>
      <c r="F38" s="4" t="n"/>
      <c r="G38" s="4" t="n"/>
      <c r="H38" s="4" t="n"/>
    </row>
    <row r="39">
      <c r="A39" s="4" t="n"/>
      <c r="B39" s="4" t="n"/>
      <c r="C39" s="4" t="n"/>
      <c r="D39" s="4" t="n"/>
      <c r="E39" s="4" t="n"/>
      <c r="F39" s="4" t="n"/>
      <c r="G39" s="4" t="n"/>
      <c r="H39" s="4" t="n"/>
    </row>
    <row r="40">
      <c r="A40" s="4" t="n"/>
      <c r="B40" s="4" t="n"/>
      <c r="C40" s="4" t="n"/>
      <c r="D40" s="4" t="n"/>
      <c r="E40" s="4" t="n"/>
      <c r="F40" s="4" t="n"/>
      <c r="G40" s="4" t="n"/>
      <c r="H40" s="4" t="n"/>
    </row>
    <row r="41">
      <c r="A41" s="4" t="n"/>
      <c r="B41" s="4" t="n"/>
      <c r="C41" s="4" t="n"/>
      <c r="D41" s="4" t="n"/>
      <c r="E41" s="4" t="n"/>
      <c r="F41" s="4" t="n"/>
      <c r="G41" s="4" t="n"/>
      <c r="H41" s="4" t="n"/>
    </row>
    <row r="42">
      <c r="A42" s="4" t="n"/>
      <c r="B42" s="4" t="n"/>
      <c r="C42" s="4" t="n"/>
      <c r="D42" s="4" t="n"/>
      <c r="E42" s="4" t="n"/>
      <c r="F42" s="4" t="n"/>
      <c r="G42" s="4" t="n"/>
      <c r="H42" s="4" t="n"/>
    </row>
    <row r="43">
      <c r="A43" s="4" t="n"/>
      <c r="B43" s="4" t="n"/>
      <c r="C43" s="4" t="n"/>
      <c r="D43" s="4" t="n"/>
      <c r="E43" s="4" t="n"/>
      <c r="F43" s="4" t="n"/>
      <c r="G43" s="4" t="n"/>
      <c r="H43" s="4" t="n"/>
    </row>
    <row r="44">
      <c r="A44" s="4" t="n"/>
      <c r="B44" s="4" t="n"/>
      <c r="C44" s="4" t="n"/>
      <c r="D44" s="4" t="n"/>
      <c r="E44" s="4" t="n"/>
      <c r="F44" s="4" t="n"/>
      <c r="G44" s="4" t="n"/>
      <c r="H44" s="4" t="n"/>
    </row>
    <row r="45">
      <c r="A45" s="4" t="n"/>
      <c r="B45" s="4" t="n"/>
      <c r="C45" s="4" t="n"/>
      <c r="D45" s="4" t="n"/>
      <c r="E45" s="4" t="n"/>
      <c r="F45" s="4" t="n"/>
      <c r="G45" s="4" t="n"/>
      <c r="H45" s="4" t="n"/>
    </row>
    <row r="46">
      <c r="A46" s="4" t="n"/>
      <c r="B46" s="4" t="n"/>
      <c r="C46" s="4" t="n"/>
      <c r="D46" s="4" t="n"/>
      <c r="E46" s="4" t="n"/>
      <c r="F46" s="4" t="n"/>
      <c r="G46" s="4" t="n"/>
      <c r="H46" s="4" t="n"/>
    </row>
    <row r="47">
      <c r="A47" s="4" t="n"/>
      <c r="B47" s="4" t="n"/>
      <c r="C47" s="4" t="n"/>
      <c r="D47" s="4" t="n"/>
      <c r="E47" s="4" t="n"/>
      <c r="F47" s="4" t="n"/>
      <c r="G47" s="4" t="n"/>
      <c r="H47" s="4" t="n"/>
    </row>
    <row r="48">
      <c r="A48" s="4" t="n"/>
      <c r="B48" s="4" t="n"/>
      <c r="C48" s="4" t="n"/>
      <c r="D48" s="4" t="n"/>
      <c r="E48" s="4" t="n"/>
      <c r="F48" s="4" t="n"/>
      <c r="G48" s="4" t="n"/>
      <c r="H48" s="4" t="n"/>
    </row>
    <row r="49">
      <c r="A49" s="4" t="n"/>
      <c r="B49" s="4" t="n"/>
      <c r="C49" s="4" t="n"/>
      <c r="D49" s="4" t="n"/>
      <c r="E49" s="4" t="n"/>
      <c r="F49" s="4" t="n"/>
      <c r="G49" s="4" t="n"/>
      <c r="H49" s="4" t="n"/>
    </row>
    <row r="50">
      <c r="A50" s="4" t="n"/>
      <c r="B50" s="4" t="n"/>
      <c r="C50" s="4" t="n"/>
      <c r="D50" s="4" t="n"/>
      <c r="E50" s="4" t="n"/>
      <c r="F50" s="4" t="n"/>
      <c r="G50" s="4" t="n"/>
      <c r="H50" s="4" t="n"/>
    </row>
    <row r="51">
      <c r="A51" s="4" t="n"/>
      <c r="B51" s="4" t="n"/>
      <c r="C51" s="4" t="n"/>
      <c r="D51" s="4" t="n"/>
      <c r="E51" s="4" t="n"/>
      <c r="F51" s="4" t="n"/>
      <c r="G51" s="4" t="n"/>
      <c r="H51" s="4" t="n"/>
    </row>
    <row r="52">
      <c r="A52" s="4" t="n"/>
      <c r="B52" s="4" t="n"/>
      <c r="C52" s="4" t="n"/>
      <c r="D52" s="4" t="n"/>
      <c r="E52" s="4" t="n"/>
      <c r="F52" s="4" t="n"/>
      <c r="G52" s="4" t="n"/>
      <c r="H52" s="4" t="n"/>
    </row>
    <row r="53">
      <c r="A53" s="4" t="n"/>
      <c r="B53" s="4" t="n"/>
      <c r="C53" s="4" t="n"/>
      <c r="D53" s="4" t="n"/>
      <c r="E53" s="4" t="n"/>
      <c r="F53" s="4" t="n"/>
      <c r="G53" s="4" t="n"/>
      <c r="H53" s="4" t="n"/>
    </row>
    <row r="54">
      <c r="A54" s="4" t="n"/>
      <c r="B54" s="4" t="n"/>
      <c r="C54" s="4" t="n"/>
      <c r="D54" s="4" t="n"/>
      <c r="E54" s="4" t="n"/>
      <c r="F54" s="4" t="n"/>
      <c r="G54" s="4" t="n"/>
      <c r="H54" s="4" t="n"/>
    </row>
    <row r="55">
      <c r="A55" s="4" t="n"/>
      <c r="B55" s="4" t="n"/>
      <c r="C55" s="4" t="n"/>
      <c r="D55" s="4" t="n"/>
      <c r="E55" s="4" t="n"/>
      <c r="F55" s="4" t="n"/>
      <c r="G55" s="4" t="n"/>
      <c r="H55" s="4" t="n"/>
    </row>
    <row r="56">
      <c r="A56" s="4" t="n"/>
      <c r="B56" s="4" t="n"/>
      <c r="C56" s="4" t="n"/>
      <c r="D56" s="4" t="n"/>
      <c r="E56" s="4" t="n"/>
      <c r="F56" s="4" t="n"/>
      <c r="G56" s="4" t="n"/>
      <c r="H56" s="4" t="n"/>
    </row>
    <row r="57">
      <c r="A57" s="4" t="n"/>
      <c r="B57" s="4" t="n"/>
      <c r="C57" s="4" t="n"/>
      <c r="D57" s="4" t="n"/>
      <c r="E57" s="4" t="n"/>
      <c r="F57" s="4" t="n"/>
      <c r="G57" s="4" t="n"/>
      <c r="H57" s="4" t="n"/>
    </row>
    <row r="58">
      <c r="A58" s="4" t="n"/>
      <c r="B58" s="4" t="n"/>
      <c r="C58" s="4" t="n"/>
      <c r="D58" s="4" t="n"/>
      <c r="E58" s="4" t="n"/>
      <c r="F58" s="4" t="n"/>
      <c r="G58" s="4" t="n"/>
      <c r="H58" s="4" t="n"/>
    </row>
    <row r="59">
      <c r="A59" s="4" t="n"/>
      <c r="B59" s="4" t="n"/>
      <c r="C59" s="4" t="n"/>
      <c r="D59" s="4" t="n"/>
      <c r="E59" s="4" t="n"/>
      <c r="F59" s="4" t="n"/>
      <c r="G59" s="4" t="n"/>
      <c r="H59" s="4" t="n"/>
    </row>
    <row r="60">
      <c r="A60" s="4" t="n"/>
      <c r="B60" s="4" t="n"/>
      <c r="C60" s="4" t="n"/>
      <c r="D60" s="4" t="n"/>
      <c r="E60" s="4" t="n"/>
      <c r="F60" s="4" t="n"/>
      <c r="G60" s="4" t="n"/>
      <c r="H60" s="4" t="n"/>
    </row>
    <row r="61">
      <c r="A61" s="4" t="n"/>
      <c r="B61" s="4" t="n"/>
      <c r="C61" s="4" t="n"/>
      <c r="D61" s="4" t="n"/>
      <c r="E61" s="4" t="n"/>
      <c r="F61" s="4" t="n"/>
      <c r="G61" s="4" t="n"/>
      <c r="H61" s="4" t="n"/>
    </row>
    <row r="62">
      <c r="A62" s="4" t="n"/>
      <c r="B62" s="4" t="n"/>
      <c r="C62" s="4" t="n"/>
      <c r="D62" s="4" t="n"/>
      <c r="E62" s="4" t="n"/>
      <c r="F62" s="4" t="n"/>
      <c r="G62" s="4" t="n"/>
      <c r="H62" s="4" t="n"/>
    </row>
    <row r="63">
      <c r="A63" s="4" t="n"/>
      <c r="B63" s="4" t="n"/>
      <c r="C63" s="4" t="n"/>
      <c r="D63" s="4" t="n"/>
      <c r="E63" s="4" t="n"/>
      <c r="F63" s="4" t="n"/>
      <c r="G63" s="4" t="n"/>
      <c r="H63" s="4" t="n"/>
    </row>
    <row r="64">
      <c r="A64" s="4" t="n"/>
      <c r="B64" s="4" t="n"/>
      <c r="C64" s="4" t="n"/>
      <c r="D64" s="4" t="n"/>
      <c r="E64" s="4" t="n"/>
      <c r="F64" s="4" t="n"/>
      <c r="G64" s="4" t="n"/>
      <c r="H64" s="4" t="n"/>
    </row>
    <row r="65">
      <c r="A65" s="4" t="n"/>
      <c r="B65" s="4" t="n"/>
      <c r="C65" s="4" t="n"/>
      <c r="D65" s="4" t="n"/>
      <c r="E65" s="4" t="n"/>
      <c r="F65" s="4" t="n"/>
      <c r="G65" s="4" t="n"/>
      <c r="H65" s="4" t="n"/>
    </row>
    <row r="66">
      <c r="A66" s="4" t="n"/>
      <c r="B66" s="4" t="n"/>
      <c r="C66" s="4" t="n"/>
      <c r="D66" s="4" t="n"/>
      <c r="E66" s="4" t="n"/>
      <c r="F66" s="4" t="n"/>
      <c r="G66" s="4" t="n"/>
      <c r="H66" s="4" t="n"/>
    </row>
    <row r="67">
      <c r="A67" s="4" t="n"/>
      <c r="B67" s="4" t="n"/>
      <c r="C67" s="4" t="n"/>
      <c r="D67" s="4" t="n"/>
      <c r="E67" s="4" t="n"/>
      <c r="F67" s="4" t="n"/>
      <c r="G67" s="4" t="n"/>
      <c r="H67" s="4" t="n"/>
    </row>
    <row r="68">
      <c r="A68" s="4" t="n"/>
      <c r="B68" s="4" t="n"/>
      <c r="C68" s="4" t="n"/>
      <c r="D68" s="4" t="n"/>
      <c r="E68" s="4" t="n"/>
      <c r="F68" s="4" t="n"/>
      <c r="G68" s="4" t="n"/>
      <c r="H68" s="4" t="n"/>
    </row>
    <row r="69">
      <c r="A69" s="4" t="n"/>
      <c r="B69" s="4" t="n"/>
      <c r="C69" s="4" t="n"/>
      <c r="D69" s="4" t="n"/>
      <c r="E69" s="4" t="n"/>
      <c r="F69" s="4" t="n"/>
      <c r="G69" s="4" t="n"/>
      <c r="H69" s="4" t="n"/>
    </row>
    <row r="70">
      <c r="A70" s="4" t="n"/>
      <c r="B70" s="4" t="n"/>
      <c r="C70" s="4" t="n"/>
      <c r="D70" s="4" t="n"/>
      <c r="E70" s="4" t="n"/>
      <c r="F70" s="4" t="n"/>
      <c r="G70" s="4" t="n"/>
      <c r="H70" s="4" t="n"/>
    </row>
    <row r="71">
      <c r="A71" s="4" t="n"/>
      <c r="B71" s="4" t="n"/>
      <c r="C71" s="4" t="n"/>
      <c r="D71" s="4" t="n"/>
      <c r="E71" s="4" t="n"/>
      <c r="F71" s="4" t="n"/>
      <c r="G71" s="4" t="n"/>
      <c r="H71" s="4" t="n"/>
    </row>
    <row r="72">
      <c r="A72" s="4" t="n"/>
      <c r="B72" s="4" t="n"/>
      <c r="C72" s="4" t="n"/>
      <c r="D72" s="4" t="n"/>
      <c r="E72" s="4" t="n"/>
      <c r="F72" s="4" t="n"/>
      <c r="G72" s="4" t="n"/>
      <c r="H72" s="4" t="n"/>
    </row>
    <row r="73">
      <c r="A73" s="4" t="n"/>
      <c r="B73" s="4" t="n"/>
      <c r="C73" s="4" t="n"/>
      <c r="D73" s="4" t="n"/>
      <c r="E73" s="4" t="n"/>
      <c r="F73" s="4" t="n"/>
      <c r="G73" s="4" t="n"/>
      <c r="H73" s="4" t="n"/>
    </row>
    <row r="74">
      <c r="A74" s="4" t="n"/>
      <c r="B74" s="4" t="n"/>
      <c r="C74" s="4" t="n"/>
      <c r="D74" s="4" t="n"/>
      <c r="E74" s="4" t="n"/>
      <c r="F74" s="4" t="n"/>
      <c r="G74" s="4" t="n"/>
      <c r="H74" s="4" t="n"/>
    </row>
    <row r="75">
      <c r="A75" s="4" t="n"/>
      <c r="B75" s="4" t="n"/>
      <c r="C75" s="4" t="n"/>
      <c r="D75" s="4" t="n"/>
      <c r="E75" s="4" t="n"/>
      <c r="F75" s="4" t="n"/>
      <c r="G75" s="4" t="n"/>
      <c r="H75" s="4" t="n"/>
    </row>
    <row r="76">
      <c r="A76" s="4" t="n"/>
      <c r="B76" s="4" t="n"/>
      <c r="C76" s="4" t="n"/>
      <c r="D76" s="4" t="n"/>
      <c r="E76" s="4" t="n"/>
      <c r="F76" s="4" t="n"/>
      <c r="G76" s="4" t="n"/>
      <c r="H76" s="4" t="n"/>
    </row>
    <row r="77">
      <c r="A77" s="4" t="n"/>
      <c r="B77" s="4" t="n"/>
      <c r="C77" s="4" t="n"/>
      <c r="D77" s="4" t="n"/>
      <c r="E77" s="4" t="n"/>
      <c r="F77" s="4" t="n"/>
      <c r="G77" s="4" t="n"/>
      <c r="H77" s="4" t="n"/>
    </row>
    <row r="78">
      <c r="A78" s="4" t="n"/>
      <c r="B78" s="4" t="n"/>
      <c r="C78" s="4" t="n"/>
      <c r="D78" s="4" t="n"/>
      <c r="E78" s="4" t="n"/>
      <c r="F78" s="4" t="n"/>
      <c r="G78" s="4" t="n"/>
      <c r="H78" s="4" t="n"/>
    </row>
    <row r="79">
      <c r="A79" s="4" t="n"/>
      <c r="B79" s="4" t="n"/>
      <c r="C79" s="4" t="n"/>
      <c r="D79" s="4" t="n"/>
      <c r="E79" s="4" t="n"/>
      <c r="F79" s="4" t="n"/>
      <c r="G79" s="4" t="n"/>
      <c r="H79" s="4" t="n"/>
    </row>
    <row r="80">
      <c r="A80" s="4" t="n"/>
      <c r="B80" s="4" t="n"/>
      <c r="C80" s="4" t="n"/>
      <c r="D80" s="4" t="n"/>
      <c r="E80" s="4" t="n"/>
      <c r="F80" s="4" t="n"/>
      <c r="G80" s="4" t="n"/>
      <c r="H80" s="4" t="n"/>
    </row>
    <row r="81">
      <c r="A81" s="4" t="n"/>
      <c r="B81" s="4" t="n"/>
      <c r="C81" s="4" t="n"/>
      <c r="D81" s="4" t="n"/>
      <c r="E81" s="4" t="n"/>
      <c r="F81" s="4" t="n"/>
      <c r="G81" s="4" t="n"/>
      <c r="H81" s="4" t="n"/>
    </row>
    <row r="82">
      <c r="A82" s="4" t="n"/>
      <c r="B82" s="4" t="n"/>
      <c r="C82" s="4" t="n"/>
      <c r="D82" s="4" t="n"/>
      <c r="E82" s="4" t="n"/>
      <c r="F82" s="4" t="n"/>
      <c r="G82" s="4" t="n"/>
      <c r="H82" s="4" t="n"/>
    </row>
    <row r="83">
      <c r="A83" s="4" t="n"/>
      <c r="B83" s="4" t="n"/>
      <c r="C83" s="4" t="n"/>
      <c r="D83" s="4" t="n"/>
      <c r="E83" s="4" t="n"/>
      <c r="F83" s="4" t="n"/>
      <c r="G83" s="4" t="n"/>
      <c r="H83" s="4" t="n"/>
    </row>
    <row r="84">
      <c r="A84" s="4" t="n"/>
      <c r="B84" s="4" t="n"/>
      <c r="C84" s="4" t="n"/>
      <c r="D84" s="4" t="n"/>
      <c r="E84" s="4" t="n"/>
      <c r="F84" s="4" t="n"/>
      <c r="G84" s="4" t="n"/>
      <c r="H84" s="4" t="n"/>
    </row>
    <row r="85">
      <c r="A85" s="4" t="n"/>
      <c r="B85" s="4" t="n"/>
      <c r="C85" s="4" t="n"/>
      <c r="D85" s="4" t="n"/>
      <c r="E85" s="4" t="n"/>
      <c r="F85" s="4" t="n"/>
      <c r="G85" s="4" t="n"/>
      <c r="H85" s="4" t="n"/>
    </row>
    <row r="86">
      <c r="A86" s="4" t="n"/>
      <c r="B86" s="4" t="n"/>
      <c r="C86" s="4" t="n"/>
      <c r="D86" s="4" t="n"/>
      <c r="E86" s="4" t="n"/>
      <c r="F86" s="4" t="n"/>
      <c r="G86" s="4" t="n"/>
      <c r="H86" s="4" t="n"/>
    </row>
    <row r="87">
      <c r="A87" s="4" t="n"/>
      <c r="B87" s="4" t="n"/>
      <c r="C87" s="4" t="n"/>
      <c r="D87" s="4" t="n"/>
      <c r="E87" s="4" t="n"/>
      <c r="F87" s="4" t="n"/>
      <c r="G87" s="4" t="n"/>
      <c r="H87" s="4" t="n"/>
    </row>
    <row r="88">
      <c r="A88" s="4" t="n"/>
      <c r="B88" s="4" t="n"/>
      <c r="C88" s="4" t="n"/>
      <c r="D88" s="4" t="n"/>
      <c r="E88" s="4" t="n"/>
      <c r="F88" s="4" t="n"/>
      <c r="G88" s="4" t="n"/>
      <c r="H88" s="4" t="n"/>
    </row>
    <row r="89">
      <c r="A89" s="4" t="n"/>
      <c r="B89" s="4" t="n"/>
      <c r="C89" s="4" t="n"/>
      <c r="D89" s="4" t="n"/>
      <c r="E89" s="4" t="n"/>
      <c r="F89" s="4" t="n"/>
      <c r="G89" s="4" t="n"/>
      <c r="H89" s="4" t="n"/>
    </row>
    <row r="90">
      <c r="A90" s="4" t="n"/>
      <c r="B90" s="4" t="n"/>
      <c r="C90" s="4" t="n"/>
      <c r="D90" s="4" t="n"/>
      <c r="E90" s="4" t="n"/>
      <c r="F90" s="4" t="n"/>
      <c r="G90" s="4" t="n"/>
      <c r="H90" s="4" t="n"/>
    </row>
    <row r="91">
      <c r="A91" s="4" t="n"/>
      <c r="B91" s="4" t="n"/>
      <c r="C91" s="4" t="n"/>
      <c r="D91" s="4" t="n"/>
      <c r="E91" s="4" t="n"/>
      <c r="F91" s="4" t="n"/>
      <c r="G91" s="4" t="n"/>
      <c r="H91" s="4" t="n"/>
    </row>
    <row r="92">
      <c r="A92" s="4" t="n"/>
      <c r="B92" s="4" t="n"/>
      <c r="C92" s="4" t="n"/>
      <c r="D92" s="4" t="n"/>
      <c r="E92" s="4" t="n"/>
      <c r="F92" s="4" t="n"/>
      <c r="G92" s="4" t="n"/>
      <c r="H92" s="4" t="n"/>
    </row>
    <row r="93">
      <c r="A93" s="4" t="n"/>
      <c r="B93" s="4" t="n"/>
      <c r="C93" s="4" t="n"/>
      <c r="D93" s="4" t="n"/>
      <c r="E93" s="4" t="n"/>
      <c r="F93" s="4" t="n"/>
      <c r="G93" s="4" t="n"/>
      <c r="H93" s="4" t="n"/>
    </row>
    <row r="94">
      <c r="A94" s="4" t="n"/>
      <c r="B94" s="4" t="n"/>
      <c r="C94" s="4" t="n"/>
      <c r="D94" s="4" t="n"/>
      <c r="E94" s="4" t="n"/>
      <c r="F94" s="4" t="n"/>
      <c r="G94" s="4" t="n"/>
      <c r="H94" s="4" t="n"/>
    </row>
    <row r="95">
      <c r="A95" s="4" t="n"/>
      <c r="B95" s="4" t="n"/>
      <c r="C95" s="4" t="n"/>
      <c r="D95" s="4" t="n"/>
      <c r="E95" s="4" t="n"/>
      <c r="F95" s="4" t="n"/>
      <c r="G95" s="4" t="n"/>
      <c r="H95" s="4" t="n"/>
    </row>
    <row r="96">
      <c r="A96" s="4" t="n"/>
      <c r="B96" s="4" t="n"/>
      <c r="C96" s="4" t="n"/>
      <c r="D96" s="4" t="n"/>
      <c r="E96" s="4" t="n"/>
      <c r="F96" s="4" t="n"/>
      <c r="G96" s="4" t="n"/>
      <c r="H96" s="4" t="n"/>
    </row>
    <row r="97">
      <c r="A97" s="4" t="n"/>
      <c r="B97" s="4" t="n"/>
      <c r="C97" s="4" t="n"/>
      <c r="D97" s="4" t="n"/>
      <c r="E97" s="4" t="n"/>
      <c r="F97" s="4" t="n"/>
      <c r="G97" s="4" t="n"/>
      <c r="H97" s="4" t="n"/>
    </row>
    <row r="98">
      <c r="A98" s="4" t="n"/>
      <c r="B98" s="4" t="n"/>
      <c r="C98" s="4" t="n"/>
      <c r="D98" s="4" t="n"/>
      <c r="E98" s="4" t="n"/>
      <c r="F98" s="4" t="n"/>
      <c r="G98" s="4" t="n"/>
      <c r="H98" s="4" t="n"/>
    </row>
    <row r="99">
      <c r="A99" s="4" t="n"/>
      <c r="B99" s="4" t="n"/>
      <c r="C99" s="4" t="n"/>
      <c r="D99" s="4" t="n"/>
      <c r="E99" s="4" t="n"/>
      <c r="F99" s="4" t="n"/>
      <c r="G99" s="4" t="n"/>
      <c r="H99" s="4" t="n"/>
    </row>
    <row r="100">
      <c r="A100" s="4" t="n"/>
      <c r="B100" s="4" t="n"/>
      <c r="C100" s="4" t="n"/>
      <c r="D100" s="4" t="n"/>
      <c r="E100" s="4" t="n"/>
      <c r="F100" s="4" t="n"/>
      <c r="G100" s="4" t="n"/>
      <c r="H100" s="4" t="n"/>
    </row>
    <row r="101">
      <c r="A101" s="4" t="n"/>
      <c r="B101" s="4" t="n"/>
      <c r="C101" s="4" t="n"/>
      <c r="D101" s="4" t="n"/>
      <c r="E101" s="4" t="n"/>
      <c r="F101" s="4" t="n"/>
      <c r="G101" s="4" t="n"/>
      <c r="H101" s="4" t="n"/>
    </row>
    <row r="102">
      <c r="A102" s="4" t="n"/>
      <c r="B102" s="4" t="n"/>
      <c r="C102" s="4" t="n"/>
      <c r="D102" s="4" t="n"/>
      <c r="E102" s="4" t="n"/>
      <c r="F102" s="4" t="n"/>
      <c r="G102" s="4" t="n"/>
      <c r="H102" s="4" t="n"/>
    </row>
    <row r="103">
      <c r="A103" s="4" t="n"/>
      <c r="B103" s="4" t="n"/>
      <c r="C103" s="4" t="n"/>
      <c r="D103" s="4" t="n"/>
      <c r="E103" s="4" t="n"/>
      <c r="F103" s="4" t="n"/>
      <c r="G103" s="4" t="n"/>
      <c r="H103" s="4" t="n"/>
    </row>
    <row r="104">
      <c r="A104" s="4" t="n"/>
      <c r="B104" s="4" t="n"/>
      <c r="C104" s="4" t="n"/>
      <c r="D104" s="4" t="n"/>
      <c r="E104" s="4" t="n"/>
      <c r="F104" s="4" t="n"/>
      <c r="G104" s="4" t="n"/>
      <c r="H104" s="4" t="n"/>
    </row>
    <row r="105">
      <c r="A105" s="4" t="n"/>
      <c r="B105" s="4" t="n"/>
      <c r="C105" s="4" t="n"/>
      <c r="D105" s="4" t="n"/>
      <c r="E105" s="4" t="n"/>
      <c r="F105" s="4" t="n"/>
      <c r="G105" s="4" t="n"/>
      <c r="H105" s="4" t="n"/>
    </row>
  </sheetData>
  <mergeCells count="2">
    <mergeCell ref="A2:H2"/>
    <mergeCell ref="A1:H1"/>
  </mergeCells>
  <dataValidations count="2">
    <dataValidation sqref="C5:C105" showDropDown="0" showInputMessage="0" showErrorMessage="0" allowBlank="1" prompt="Select evidence type" type="list">
      <formula1>"Configuration file,Screenshot,Log extract,Policy document,Training record,Audit report,Risk assessment,Interview notes,Test results,Other"</formula1>
    </dataValidation>
    <dataValidation sqref="H5:H105" showDropDown="0" showInputMessage="0" showErrorMessage="0" allowBlank="1" prompt="Select verification status" type="list">
      <formula1>"Verified,Pending Verification,Insufficient,Not Reviewed"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5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5" customWidth="1" min="2" max="2"/>
    <col width="40" customWidth="1" min="3" max="3"/>
    <col width="20" customWidth="1" min="4" max="4"/>
    <col width="30" customWidth="1" min="5" max="5"/>
    <col width="30" customWidth="1" min="6" max="6"/>
    <col width="40" customWidth="1" min="7" max="7"/>
    <col width="20" customWidth="1" min="8" max="8"/>
    <col width="15" customWidth="1" min="9" max="9"/>
  </cols>
  <sheetData>
    <row r="1" ht="35" customHeight="1">
      <c r="A1" s="11" t="inlineStr">
        <is>
          <t>GAP ANALYSIS &amp; REMEDIATION PLAN</t>
        </is>
      </c>
    </row>
    <row r="2">
      <c r="A2" s="12" t="inlineStr">
        <is>
          <t>Document non-compliance areas and remediation actions</t>
        </is>
      </c>
    </row>
    <row r="4">
      <c r="A4" s="13" t="inlineStr">
        <is>
          <t>Gap ID</t>
        </is>
      </c>
      <c r="B4" s="13" t="inlineStr">
        <is>
          <t>Area</t>
        </is>
      </c>
      <c r="C4" s="13" t="inlineStr">
        <is>
          <t>Gap Description</t>
        </is>
      </c>
      <c r="D4" s="13" t="inlineStr">
        <is>
          <t>Risk Severity</t>
        </is>
      </c>
      <c r="E4" s="13" t="inlineStr">
        <is>
          <t>Current State</t>
        </is>
      </c>
      <c r="F4" s="13" t="inlineStr">
        <is>
          <t>Target State</t>
        </is>
      </c>
      <c r="G4" s="13" t="inlineStr">
        <is>
          <t>Remediation Action</t>
        </is>
      </c>
      <c r="H4" s="13" t="inlineStr">
        <is>
          <t>Owner</t>
        </is>
      </c>
      <c r="I4" s="13" t="inlineStr">
        <is>
          <t>Target Date</t>
        </is>
      </c>
    </row>
    <row r="5">
      <c r="A5" s="14" t="inlineStr">
        <is>
          <t>GAP-001</t>
        </is>
      </c>
      <c r="B5" s="14" t="inlineStr">
        <is>
          <t>Network Separation</t>
        </is>
      </c>
      <c r="C5" s="14" t="inlineStr">
        <is>
          <t>VPC peering exists between dev and staging</t>
        </is>
      </c>
      <c r="D5" s="14" t="inlineStr">
        <is>
          <t>Medium</t>
        </is>
      </c>
      <c r="E5" s="14" t="inlineStr">
        <is>
          <t>Dev VPC peered to Staging VPC</t>
        </is>
      </c>
      <c r="F5" s="14" t="inlineStr">
        <is>
          <t>No VPC peering between non-prod envs</t>
        </is>
      </c>
      <c r="G5" s="14" t="inlineStr">
        <is>
          <t>Remove VPC peering connection vpc-peer-12345</t>
        </is>
      </c>
      <c r="H5" s="14" t="inlineStr">
        <is>
          <t>Cloud Architect</t>
        </is>
      </c>
      <c r="I5" s="14" t="inlineStr">
        <is>
          <t>2026-02-15</t>
        </is>
      </c>
    </row>
    <row r="6">
      <c r="A6" s="15" t="n"/>
      <c r="B6" s="15" t="n"/>
      <c r="C6" s="15" t="n"/>
      <c r="D6" s="15" t="n"/>
      <c r="E6" s="15" t="n"/>
      <c r="F6" s="15" t="n"/>
      <c r="G6" s="15" t="n"/>
      <c r="H6" s="15" t="n"/>
      <c r="I6" s="15" t="n"/>
    </row>
    <row r="7">
      <c r="A7" s="15" t="n"/>
      <c r="B7" s="15" t="n"/>
      <c r="C7" s="15" t="n"/>
      <c r="D7" s="15" t="n"/>
      <c r="E7" s="15" t="n"/>
      <c r="F7" s="15" t="n"/>
      <c r="G7" s="15" t="n"/>
      <c r="H7" s="15" t="n"/>
      <c r="I7" s="15" t="n"/>
    </row>
    <row r="8">
      <c r="A8" s="15" t="n"/>
      <c r="B8" s="15" t="n"/>
      <c r="C8" s="15" t="n"/>
      <c r="D8" s="15" t="n"/>
      <c r="E8" s="15" t="n"/>
      <c r="F8" s="15" t="n"/>
      <c r="G8" s="15" t="n"/>
      <c r="H8" s="15" t="n"/>
      <c r="I8" s="15" t="n"/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</row>
    <row r="10">
      <c r="A10" s="15" t="n"/>
      <c r="B10" s="15" t="n"/>
      <c r="C10" s="15" t="n"/>
      <c r="D10" s="15" t="n"/>
      <c r="E10" s="15" t="n"/>
      <c r="F10" s="15" t="n"/>
      <c r="G10" s="15" t="n"/>
      <c r="H10" s="15" t="n"/>
      <c r="I10" s="15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  <c r="I12" s="15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  <c r="I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  <c r="I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  <c r="I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  <c r="I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5" t="n"/>
      <c r="I22" s="15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5" t="n"/>
      <c r="I24" s="15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</row>
    <row r="26">
      <c r="A26" s="15" t="n"/>
      <c r="B26" s="15" t="n"/>
      <c r="C26" s="15" t="n"/>
      <c r="D26" s="15" t="n"/>
      <c r="E26" s="15" t="n"/>
      <c r="F26" s="15" t="n"/>
      <c r="G26" s="15" t="n"/>
      <c r="H26" s="15" t="n"/>
      <c r="I26" s="15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  <c r="I27" s="15" t="n"/>
    </row>
    <row r="28">
      <c r="A28" s="15" t="n"/>
      <c r="B28" s="15" t="n"/>
      <c r="C28" s="15" t="n"/>
      <c r="D28" s="15" t="n"/>
      <c r="E28" s="15" t="n"/>
      <c r="F28" s="15" t="n"/>
      <c r="G28" s="15" t="n"/>
      <c r="H28" s="15" t="n"/>
      <c r="I28" s="15" t="n"/>
    </row>
    <row r="29">
      <c r="A29" s="15" t="n"/>
      <c r="B29" s="15" t="n"/>
      <c r="C29" s="15" t="n"/>
      <c r="D29" s="15" t="n"/>
      <c r="E29" s="15" t="n"/>
      <c r="F29" s="15" t="n"/>
      <c r="G29" s="15" t="n"/>
      <c r="H29" s="15" t="n"/>
      <c r="I29" s="15" t="n"/>
    </row>
    <row r="30">
      <c r="A30" s="15" t="n"/>
      <c r="B30" s="15" t="n"/>
      <c r="C30" s="15" t="n"/>
      <c r="D30" s="15" t="n"/>
      <c r="E30" s="15" t="n"/>
      <c r="F30" s="15" t="n"/>
      <c r="G30" s="15" t="n"/>
      <c r="H30" s="15" t="n"/>
      <c r="I30" s="15" t="n"/>
    </row>
    <row r="31">
      <c r="A31" s="15" t="n"/>
      <c r="B31" s="15" t="n"/>
      <c r="C31" s="15" t="n"/>
      <c r="D31" s="15" t="n"/>
      <c r="E31" s="15" t="n"/>
      <c r="F31" s="15" t="n"/>
      <c r="G31" s="15" t="n"/>
      <c r="H31" s="15" t="n"/>
      <c r="I31" s="15" t="n"/>
    </row>
    <row r="32">
      <c r="A32" s="15" t="n"/>
      <c r="B32" s="15" t="n"/>
      <c r="C32" s="15" t="n"/>
      <c r="D32" s="15" t="n"/>
      <c r="E32" s="15" t="n"/>
      <c r="F32" s="15" t="n"/>
      <c r="G32" s="15" t="n"/>
      <c r="H32" s="15" t="n"/>
      <c r="I32" s="15" t="n"/>
    </row>
    <row r="33">
      <c r="A33" s="15" t="n"/>
      <c r="B33" s="15" t="n"/>
      <c r="C33" s="15" t="n"/>
      <c r="D33" s="15" t="n"/>
      <c r="E33" s="15" t="n"/>
      <c r="F33" s="15" t="n"/>
      <c r="G33" s="15" t="n"/>
      <c r="H33" s="15" t="n"/>
      <c r="I33" s="15" t="n"/>
    </row>
    <row r="34">
      <c r="A34" s="15" t="n"/>
      <c r="B34" s="15" t="n"/>
      <c r="C34" s="15" t="n"/>
      <c r="D34" s="15" t="n"/>
      <c r="E34" s="15" t="n"/>
      <c r="F34" s="15" t="n"/>
      <c r="G34" s="15" t="n"/>
      <c r="H34" s="15" t="n"/>
      <c r="I34" s="15" t="n"/>
    </row>
    <row r="35">
      <c r="A35" s="15" t="n"/>
      <c r="B35" s="15" t="n"/>
      <c r="C35" s="15" t="n"/>
      <c r="D35" s="15" t="n"/>
      <c r="E35" s="15" t="n"/>
      <c r="F35" s="15" t="n"/>
      <c r="G35" s="15" t="n"/>
      <c r="H35" s="15" t="n"/>
      <c r="I35" s="15" t="n"/>
    </row>
    <row r="36">
      <c r="A36" s="15" t="n"/>
      <c r="B36" s="15" t="n"/>
      <c r="C36" s="15" t="n"/>
      <c r="D36" s="15" t="n"/>
      <c r="E36" s="15" t="n"/>
      <c r="F36" s="15" t="n"/>
      <c r="G36" s="15" t="n"/>
      <c r="H36" s="15" t="n"/>
      <c r="I36" s="15" t="n"/>
    </row>
    <row r="37">
      <c r="A37" s="15" t="n"/>
      <c r="B37" s="15" t="n"/>
      <c r="C37" s="15" t="n"/>
      <c r="D37" s="15" t="n"/>
      <c r="E37" s="15" t="n"/>
      <c r="F37" s="15" t="n"/>
      <c r="G37" s="15" t="n"/>
      <c r="H37" s="15" t="n"/>
      <c r="I37" s="15" t="n"/>
    </row>
    <row r="38">
      <c r="A38" s="15" t="n"/>
      <c r="B38" s="15" t="n"/>
      <c r="C38" s="15" t="n"/>
      <c r="D38" s="15" t="n"/>
      <c r="E38" s="15" t="n"/>
      <c r="F38" s="15" t="n"/>
      <c r="G38" s="15" t="n"/>
      <c r="H38" s="15" t="n"/>
      <c r="I38" s="15" t="n"/>
    </row>
    <row r="39">
      <c r="A39" s="15" t="n"/>
      <c r="B39" s="15" t="n"/>
      <c r="C39" s="15" t="n"/>
      <c r="D39" s="15" t="n"/>
      <c r="E39" s="15" t="n"/>
      <c r="F39" s="15" t="n"/>
      <c r="G39" s="15" t="n"/>
      <c r="H39" s="15" t="n"/>
      <c r="I39" s="15" t="n"/>
    </row>
    <row r="40">
      <c r="A40" s="15" t="n"/>
      <c r="B40" s="15" t="n"/>
      <c r="C40" s="15" t="n"/>
      <c r="D40" s="15" t="n"/>
      <c r="E40" s="15" t="n"/>
      <c r="F40" s="15" t="n"/>
      <c r="G40" s="15" t="n"/>
      <c r="H40" s="15" t="n"/>
      <c r="I40" s="15" t="n"/>
    </row>
    <row r="41">
      <c r="A41" s="15" t="n"/>
      <c r="B41" s="15" t="n"/>
      <c r="C41" s="15" t="n"/>
      <c r="D41" s="15" t="n"/>
      <c r="E41" s="15" t="n"/>
      <c r="F41" s="15" t="n"/>
      <c r="G41" s="15" t="n"/>
      <c r="H41" s="15" t="n"/>
      <c r="I41" s="15" t="n"/>
    </row>
    <row r="42">
      <c r="A42" s="15" t="n"/>
      <c r="B42" s="15" t="n"/>
      <c r="C42" s="15" t="n"/>
      <c r="D42" s="15" t="n"/>
      <c r="E42" s="15" t="n"/>
      <c r="F42" s="15" t="n"/>
      <c r="G42" s="15" t="n"/>
      <c r="H42" s="15" t="n"/>
      <c r="I42" s="15" t="n"/>
    </row>
    <row r="43">
      <c r="A43" s="15" t="n"/>
      <c r="B43" s="15" t="n"/>
      <c r="C43" s="15" t="n"/>
      <c r="D43" s="15" t="n"/>
      <c r="E43" s="15" t="n"/>
      <c r="F43" s="15" t="n"/>
      <c r="G43" s="15" t="n"/>
      <c r="H43" s="15" t="n"/>
      <c r="I43" s="15" t="n"/>
    </row>
    <row r="44">
      <c r="A44" s="15" t="n"/>
      <c r="B44" s="15" t="n"/>
      <c r="C44" s="15" t="n"/>
      <c r="D44" s="15" t="n"/>
      <c r="E44" s="15" t="n"/>
      <c r="F44" s="15" t="n"/>
      <c r="G44" s="15" t="n"/>
      <c r="H44" s="15" t="n"/>
      <c r="I44" s="15" t="n"/>
    </row>
    <row r="45">
      <c r="A45" s="15" t="n"/>
      <c r="B45" s="15" t="n"/>
      <c r="C45" s="15" t="n"/>
      <c r="D45" s="15" t="n"/>
      <c r="E45" s="15" t="n"/>
      <c r="F45" s="15" t="n"/>
      <c r="G45" s="15" t="n"/>
      <c r="H45" s="15" t="n"/>
      <c r="I45" s="15" t="n"/>
    </row>
    <row r="46">
      <c r="A46" s="15" t="n"/>
      <c r="B46" s="15" t="n"/>
      <c r="C46" s="15" t="n"/>
      <c r="D46" s="15" t="n"/>
      <c r="E46" s="15" t="n"/>
      <c r="F46" s="15" t="n"/>
      <c r="G46" s="15" t="n"/>
      <c r="H46" s="15" t="n"/>
      <c r="I46" s="15" t="n"/>
    </row>
    <row r="47">
      <c r="A47" s="15" t="n"/>
      <c r="B47" s="15" t="n"/>
      <c r="C47" s="15" t="n"/>
      <c r="D47" s="15" t="n"/>
      <c r="E47" s="15" t="n"/>
      <c r="F47" s="15" t="n"/>
      <c r="G47" s="15" t="n"/>
      <c r="H47" s="15" t="n"/>
      <c r="I47" s="15" t="n"/>
    </row>
    <row r="48">
      <c r="A48" s="15" t="n"/>
      <c r="B48" s="15" t="n"/>
      <c r="C48" s="15" t="n"/>
      <c r="D48" s="15" t="n"/>
      <c r="E48" s="15" t="n"/>
      <c r="F48" s="15" t="n"/>
      <c r="G48" s="15" t="n"/>
      <c r="H48" s="15" t="n"/>
      <c r="I48" s="15" t="n"/>
    </row>
    <row r="49">
      <c r="A49" s="15" t="n"/>
      <c r="B49" s="15" t="n"/>
      <c r="C49" s="15" t="n"/>
      <c r="D49" s="15" t="n"/>
      <c r="E49" s="15" t="n"/>
      <c r="F49" s="15" t="n"/>
      <c r="G49" s="15" t="n"/>
      <c r="H49" s="15" t="n"/>
      <c r="I49" s="15" t="n"/>
    </row>
    <row r="50">
      <c r="A50" s="15" t="n"/>
      <c r="B50" s="15" t="n"/>
      <c r="C50" s="15" t="n"/>
      <c r="D50" s="15" t="n"/>
      <c r="E50" s="15" t="n"/>
      <c r="F50" s="15" t="n"/>
      <c r="G50" s="15" t="n"/>
      <c r="H50" s="15" t="n"/>
      <c r="I50" s="15" t="n"/>
    </row>
    <row r="51">
      <c r="A51" s="15" t="n"/>
      <c r="B51" s="15" t="n"/>
      <c r="C51" s="15" t="n"/>
      <c r="D51" s="15" t="n"/>
      <c r="E51" s="15" t="n"/>
      <c r="F51" s="15" t="n"/>
      <c r="G51" s="15" t="n"/>
      <c r="H51" s="15" t="n"/>
      <c r="I51" s="15" t="n"/>
    </row>
    <row r="52">
      <c r="A52" s="15" t="n"/>
      <c r="B52" s="15" t="n"/>
      <c r="C52" s="15" t="n"/>
      <c r="D52" s="15" t="n"/>
      <c r="E52" s="15" t="n"/>
      <c r="F52" s="15" t="n"/>
      <c r="G52" s="15" t="n"/>
      <c r="H52" s="15" t="n"/>
      <c r="I52" s="15" t="n"/>
    </row>
    <row r="53">
      <c r="A53" s="15" t="n"/>
      <c r="B53" s="15" t="n"/>
      <c r="C53" s="15" t="n"/>
      <c r="D53" s="15" t="n"/>
      <c r="E53" s="15" t="n"/>
      <c r="F53" s="15" t="n"/>
      <c r="G53" s="15" t="n"/>
      <c r="H53" s="15" t="n"/>
      <c r="I53" s="15" t="n"/>
    </row>
    <row r="54">
      <c r="A54" s="15" t="n"/>
      <c r="B54" s="15" t="n"/>
      <c r="C54" s="15" t="n"/>
      <c r="D54" s="15" t="n"/>
      <c r="E54" s="15" t="n"/>
      <c r="F54" s="15" t="n"/>
      <c r="G54" s="15" t="n"/>
      <c r="H54" s="15" t="n"/>
      <c r="I54" s="15" t="n"/>
    </row>
    <row r="55">
      <c r="A55" s="15" t="n"/>
      <c r="B55" s="15" t="n"/>
      <c r="C55" s="15" t="n"/>
      <c r="D55" s="15" t="n"/>
      <c r="E55" s="15" t="n"/>
      <c r="F55" s="15" t="n"/>
      <c r="G55" s="15" t="n"/>
      <c r="H55" s="15" t="n"/>
      <c r="I55" s="15" t="n"/>
    </row>
  </sheetData>
  <mergeCells count="2">
    <mergeCell ref="A1:I1"/>
    <mergeCell ref="A2:I2"/>
  </mergeCells>
  <dataValidations count="1">
    <dataValidation sqref="D5:D55" showDropDown="0" showInputMessage="0" showErrorMessage="0" allowBlank="0" type="list">
      <formula1>"Critical,High,Medium,Low,Informational"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6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8" customWidth="1" min="4" max="4"/>
    <col width="18" customWidth="1" min="5" max="5"/>
    <col width="12" customWidth="1" min="6" max="6"/>
    <col width="15" customWidth="1" min="7" max="7"/>
  </cols>
  <sheetData>
    <row r="1" ht="35" customHeight="1">
      <c r="A1" s="1" t="inlineStr">
        <is>
          <t>ENVIRONMENT ARCHITECTURE ASSESSMENT — SUMMARY DASHBOARD</t>
        </is>
      </c>
    </row>
    <row r="2">
      <c r="A2" s="20" t="inlineStr">
        <is>
          <t>ISO/IEC 27001:2022 - Control A.8.31: Separation of Development, Test and Production Environments</t>
        </is>
      </c>
    </row>
    <row r="4">
      <c r="A4" s="21" t="inlineStr">
        <is>
          <t>TABLE 1: ASSESSMENT AREA COMPLIANCE OVERVIEW</t>
        </is>
      </c>
    </row>
    <row r="5" ht="30" customHeight="1">
      <c r="A5" s="22" t="inlineStr">
        <is>
          <t>Assessment Area</t>
        </is>
      </c>
      <c r="B5" s="22" t="inlineStr">
        <is>
          <t>Total Items</t>
        </is>
      </c>
      <c r="C5" s="22" t="inlineStr">
        <is>
          <t>Compliant</t>
        </is>
      </c>
      <c r="D5" s="22" t="inlineStr">
        <is>
          <t>Partial</t>
        </is>
      </c>
      <c r="E5" s="22" t="inlineStr">
        <is>
          <t>Non-Compliant</t>
        </is>
      </c>
      <c r="F5" s="22" t="inlineStr">
        <is>
          <t>N/A</t>
        </is>
      </c>
      <c r="G5" s="22" t="inlineStr">
        <is>
          <t>Compliance %</t>
        </is>
      </c>
    </row>
    <row r="6">
      <c r="A6" s="23" t="inlineStr">
        <is>
          <t>Environment Inventory</t>
        </is>
      </c>
      <c r="B6" s="24">
        <f>COUNTA('Environment Inventory'!B6:B55)</f>
        <v/>
      </c>
      <c r="C6" s="24">
        <f>COUNTIF('Environment Inventory'!B6:B55,"Production")</f>
        <v/>
      </c>
      <c r="D6" s="24">
        <f>COUNTIF('Environment Inventory'!B6:B55,"Staging")</f>
        <v/>
      </c>
      <c r="E6" s="24">
        <f>COUNTIF('Environment Inventory'!B6:B55,"Testing/QA")+COUNTIF('Environment Inventory'!B6:B55,"Development")</f>
        <v/>
      </c>
      <c r="F6" s="24">
        <f>COUNTIF('Environment Inventory'!B6:B55,"Sandbox")+COUNTIF('Environment Inventory'!B6:B55,"DR/Backup")+COUNTIF('Environment Inventory'!B6:B55,"Training")+COUNTIF('Environment Inventory'!B6:B55,"Other")</f>
        <v/>
      </c>
      <c r="G6" s="25">
        <f>IF(B6=0,0,C6/B6)</f>
        <v/>
      </c>
    </row>
    <row r="7">
      <c r="A7" s="23" t="inlineStr">
        <is>
          <t>Network Separation</t>
        </is>
      </c>
      <c r="B7" s="24">
        <f>COUNTA('Network Separation'!G:G)</f>
        <v/>
      </c>
      <c r="C7" s="24">
        <f>COUNTIF('Network Separation'!G6:G55,"Compliant")</f>
        <v/>
      </c>
      <c r="D7" s="24">
        <f>COUNTIF('Network Separation'!G6:G55,"Partial")</f>
        <v/>
      </c>
      <c r="E7" s="24">
        <f>COUNTIF('Network Separation'!G6:G55,"Non-Compliant")+COUNTIF('Network Separation'!G6:G55,"Not Assessed")</f>
        <v/>
      </c>
      <c r="F7" s="24">
        <f>COUNTIF('Network Separation'!G6:G55,"N/A")</f>
        <v/>
      </c>
      <c r="G7" s="25">
        <f>IF((B7-F7)=0,0,C7/(B7-F7))</f>
        <v/>
      </c>
    </row>
    <row r="8">
      <c r="A8" s="23" t="inlineStr">
        <is>
          <t>Infrastructure Separation</t>
        </is>
      </c>
      <c r="B8" s="24">
        <f>COUNTA('Infrastructure Separation'!H:H)</f>
        <v/>
      </c>
      <c r="C8" s="24">
        <f>COUNTIF('Infrastructure Separation'!H6:H55,"Compliant")</f>
        <v/>
      </c>
      <c r="D8" s="24">
        <f>COUNTIF('Infrastructure Separation'!H6:H55,"Partial")</f>
        <v/>
      </c>
      <c r="E8" s="24">
        <f>COUNTIF('Infrastructure Separation'!H6:H55,"Non-Compliant")+COUNTIF('Infrastructure Separation'!H6:H55,"Not Assessed")</f>
        <v/>
      </c>
      <c r="F8" s="24">
        <f>COUNTIF('Infrastructure Separation'!H6:H55,"N/A")</f>
        <v/>
      </c>
      <c r="G8" s="25">
        <f>IF((B8-F8)=0,0,C8/(B8-F8))</f>
        <v/>
      </c>
    </row>
    <row r="9">
      <c r="A9" s="23" t="inlineStr">
        <is>
          <t>Data Separation</t>
        </is>
      </c>
      <c r="B9" s="24">
        <f>COUNTA('Data Separation'!G:G)</f>
        <v/>
      </c>
      <c r="C9" s="24">
        <f>COUNTIF('Data Separation'!G6:G55,"Compliant")</f>
        <v/>
      </c>
      <c r="D9" s="24">
        <f>COUNTIF('Data Separation'!G6:G55,"Partial")</f>
        <v/>
      </c>
      <c r="E9" s="24">
        <f>COUNTIF('Data Separation'!G6:G55,"Non-Compliant")+COUNTIF('Data Separation'!G6:G55,"Not Assessed")</f>
        <v/>
      </c>
      <c r="F9" s="24">
        <f>COUNTIF('Data Separation'!G6:G55,"N/A")</f>
        <v/>
      </c>
      <c r="G9" s="25">
        <f>IF((B9-F9)=0,0,C9/(B9-F9))</f>
        <v/>
      </c>
    </row>
    <row r="10">
      <c r="A10" s="23" t="inlineStr">
        <is>
          <t>Credential Separation</t>
        </is>
      </c>
      <c r="B10" s="24">
        <f>COUNTA('Credential Separation'!G:G)</f>
        <v/>
      </c>
      <c r="C10" s="24">
        <f>COUNTIF('Credential Separation'!G6:G55,"Compliant")</f>
        <v/>
      </c>
      <c r="D10" s="24">
        <f>COUNTIF('Credential Separation'!G6:G55,"Partial")</f>
        <v/>
      </c>
      <c r="E10" s="24">
        <f>COUNTIF('Credential Separation'!G6:G55,"Non-Compliant")+COUNTIF('Credential Separation'!G6:G55,"Not Assessed")</f>
        <v/>
      </c>
      <c r="F10" s="24">
        <f>COUNTIF('Credential Separation'!G6:G55,"N/A")</f>
        <v/>
      </c>
      <c r="G10" s="25">
        <f>IF((B10-F10)=0,0,C10/(B10-F10))</f>
        <v/>
      </c>
    </row>
    <row r="11">
      <c r="A11" s="23" t="inlineStr">
        <is>
          <t>Configuration Consistency</t>
        </is>
      </c>
      <c r="B11" s="24">
        <f>COUNTA('Configuration Consistency'!F:F)</f>
        <v/>
      </c>
      <c r="C11" s="24">
        <f>COUNTIF('Configuration Consistency'!F6:F55,"Compliant")</f>
        <v/>
      </c>
      <c r="D11" s="24">
        <f>COUNTIF('Configuration Consistency'!F6:F55,"Partial")</f>
        <v/>
      </c>
      <c r="E11" s="24">
        <f>COUNTIF('Configuration Consistency'!F6:F55,"Non-Compliant")+COUNTIF('Configuration Consistency'!F6:F55,"Not Assessed")</f>
        <v/>
      </c>
      <c r="F11" s="24">
        <f>COUNTIF('Configuration Consistency'!F6:F55,"N/A")</f>
        <v/>
      </c>
      <c r="G11" s="25">
        <f>IF((B11-F11)=0,0,C11/(B11-F11))</f>
        <v/>
      </c>
    </row>
    <row r="12">
      <c r="A12" s="23" t="inlineStr">
        <is>
          <t>Gap Analysis</t>
        </is>
      </c>
      <c r="B12" s="24">
        <f>COUNTA('Gap Analysis'!D6:D55)</f>
        <v/>
      </c>
      <c r="C12" s="24">
        <f>COUNTIF('Gap Analysis'!D6:D55,"Critical")</f>
        <v/>
      </c>
      <c r="D12" s="24">
        <f>COUNTIF('Gap Analysis'!D6:D55,"High")</f>
        <v/>
      </c>
      <c r="E12" s="24">
        <f>COUNTIF('Gap Analysis'!D6:D55,"Medium")</f>
        <v/>
      </c>
      <c r="F12" s="24">
        <f>COUNTIF('Gap Analysis'!D6:D55,"Low")+COUNTIF('Gap Analysis'!D6:D55,"Informational")</f>
        <v/>
      </c>
      <c r="G12" s="25">
        <f>IF(B12=0,0,(C12+D12)/B12)</f>
        <v/>
      </c>
    </row>
    <row r="13">
      <c r="A13" s="26" t="inlineStr">
        <is>
          <t>TOTAL</t>
        </is>
      </c>
      <c r="B13" s="27">
        <f>SUM(B6:B12)</f>
        <v/>
      </c>
      <c r="C13" s="27">
        <f>SUM(C6:C12)</f>
        <v/>
      </c>
      <c r="D13" s="27">
        <f>SUM(D6:D12)</f>
        <v/>
      </c>
      <c r="E13" s="27">
        <f>SUM(E6:E12)</f>
        <v/>
      </c>
      <c r="F13" s="27">
        <f>SUM(F6:F12)</f>
        <v/>
      </c>
      <c r="G13" s="27" t="inlineStr">
        <is>
          <t>N/A</t>
        </is>
      </c>
    </row>
    <row r="15">
      <c r="A15" s="28" t="inlineStr">
        <is>
          <t>TABLE 2: KEY METRICS</t>
        </is>
      </c>
      <c r="B15" s="6" t="n"/>
      <c r="C15" s="6" t="n"/>
      <c r="D15" s="6" t="n"/>
      <c r="E15" s="6" t="n"/>
      <c r="F15" s="6" t="n"/>
      <c r="G15" s="6" t="n"/>
    </row>
    <row r="16">
      <c r="A16" s="29" t="inlineStr">
        <is>
          <t>Metric</t>
        </is>
      </c>
      <c r="B16" s="29" t="inlineStr">
        <is>
          <t>Value</t>
        </is>
      </c>
      <c r="C16" s="29" t="inlineStr"/>
      <c r="D16" s="29" t="inlineStr"/>
      <c r="E16" s="29" t="inlineStr"/>
      <c r="F16" s="29" t="inlineStr"/>
      <c r="G16" s="29" t="inlineStr"/>
    </row>
    <row r="17">
      <c r="A17" s="30" t="inlineStr">
        <is>
          <t>Total Environments</t>
        </is>
      </c>
      <c r="B17" s="31">
        <f>COUNTA('Environment Inventory'!B6:B55)</f>
        <v/>
      </c>
      <c r="C17" s="6" t="n"/>
      <c r="D17" s="6" t="n"/>
      <c r="E17" s="6" t="n"/>
      <c r="F17" s="6" t="n"/>
      <c r="G17" s="6" t="n"/>
    </row>
    <row r="18">
      <c r="A18" s="30" t="inlineStr">
        <is>
          <t>Production Environments</t>
        </is>
      </c>
      <c r="B18" s="31">
        <f>COUNTIF('Environment Inventory'!B6:B55,"Production")</f>
        <v/>
      </c>
      <c r="C18" s="6" t="n"/>
      <c r="D18" s="6" t="n"/>
      <c r="E18" s="6" t="n"/>
      <c r="F18" s="6" t="n"/>
      <c r="G18" s="6" t="n"/>
    </row>
    <row r="19">
      <c r="A19" s="30" t="inlineStr">
        <is>
          <t>Non-Production Environments</t>
        </is>
      </c>
      <c r="B19" s="31">
        <f>COUNTIF('Environment Inventory'!B6:B55,"Development")+COUNTIF('Environment Inventory'!B6:B55,"Testing/QA")+COUNTIF('Environment Inventory'!B6:B55,"Staging")</f>
        <v/>
      </c>
      <c r="C19" s="6" t="n"/>
      <c r="D19" s="6" t="n"/>
      <c r="E19" s="6" t="n"/>
      <c r="F19" s="6" t="n"/>
      <c r="G19" s="6" t="n"/>
    </row>
    <row r="20">
      <c r="A20" s="30" t="inlineStr">
        <is>
          <t>Cloud-Based Environments</t>
        </is>
      </c>
      <c r="B20" s="31">
        <f>COUNTIF('Environment Inventory'!D6:D55,"AWS")+COUNTIF('Environment Inventory'!D6:D55,"Azure")+COUNTIF('Environment Inventory'!D6:D55,"GCP")</f>
        <v/>
      </c>
      <c r="C20" s="6" t="n"/>
      <c r="D20" s="6" t="n"/>
      <c r="E20" s="6" t="n"/>
      <c r="F20" s="6" t="n"/>
      <c r="G20" s="6" t="n"/>
    </row>
    <row r="21">
      <c r="A21" s="30" t="inlineStr">
        <is>
          <t>On-Premises Environments</t>
        </is>
      </c>
      <c r="B21" s="31">
        <f>COUNTIF('Environment Inventory'!D6:D55,"On-Premises")</f>
        <v/>
      </c>
      <c r="C21" s="6" t="n"/>
      <c r="D21" s="6" t="n"/>
      <c r="E21" s="6" t="n"/>
      <c r="F21" s="6" t="n"/>
      <c r="G21" s="6" t="n"/>
    </row>
    <row r="22">
      <c r="A22" s="30" t="inlineStr">
        <is>
          <t>Network Routes Assessed</t>
        </is>
      </c>
      <c r="B22" s="31">
        <f>COUNTA('Network Separation'!A6:A55)</f>
        <v/>
      </c>
      <c r="C22" s="6" t="n"/>
      <c r="D22" s="6" t="n"/>
      <c r="E22" s="6" t="n"/>
      <c r="F22" s="6" t="n"/>
      <c r="G22" s="6" t="n"/>
    </row>
    <row r="23">
      <c r="A23" s="30" t="inlineStr">
        <is>
          <t>Fully Separated (Complete)</t>
        </is>
      </c>
      <c r="B23" s="31">
        <f>COUNTIF('Network Separation'!E6:E55,"Complete")</f>
        <v/>
      </c>
      <c r="C23" s="6" t="n"/>
      <c r="D23" s="6" t="n"/>
      <c r="E23" s="6" t="n"/>
      <c r="F23" s="6" t="n"/>
      <c r="G23" s="6" t="n"/>
    </row>
    <row r="24">
      <c r="A24" s="30" t="inlineStr">
        <is>
          <t>Partially Separated</t>
        </is>
      </c>
      <c r="B24" s="31">
        <f>COUNTIF('Network Separation'!E6:E55,"Partial")</f>
        <v/>
      </c>
      <c r="C24" s="6" t="n"/>
      <c r="D24" s="6" t="n"/>
      <c r="E24" s="6" t="n"/>
      <c r="F24" s="6" t="n"/>
      <c r="G24" s="6" t="n"/>
    </row>
    <row r="25">
      <c r="A25" s="30" t="inlineStr">
        <is>
          <t>Not Separated</t>
        </is>
      </c>
      <c r="B25" s="31">
        <f>COUNTIF('Network Separation'!E6:E55,"None")</f>
        <v/>
      </c>
      <c r="C25" s="6" t="n"/>
      <c r="D25" s="6" t="n"/>
      <c r="E25" s="6" t="n"/>
      <c r="F25" s="6" t="n"/>
      <c r="G25" s="6" t="n"/>
    </row>
    <row r="26">
      <c r="A26" s="30" t="inlineStr">
        <is>
          <t>Infrastructure Components</t>
        </is>
      </c>
      <c r="B26" s="31">
        <f>COUNTA('Infrastructure Separation'!A6:A55)</f>
        <v/>
      </c>
      <c r="C26" s="6" t="n"/>
      <c r="D26" s="6" t="n"/>
      <c r="E26" s="6" t="n"/>
      <c r="F26" s="6" t="n"/>
      <c r="G26" s="6" t="n"/>
    </row>
    <row r="27">
      <c r="A27" s="30" t="inlineStr">
        <is>
          <t>Completely Separated Infrastructure</t>
        </is>
      </c>
      <c r="B27" s="31">
        <f>COUNTIF('Infrastructure Separation'!G6:G55,"Complete")</f>
        <v/>
      </c>
      <c r="C27" s="6" t="n"/>
      <c r="D27" s="6" t="n"/>
      <c r="E27" s="6" t="n"/>
      <c r="F27" s="6" t="n"/>
      <c r="G27" s="6" t="n"/>
    </row>
    <row r="28">
      <c r="A28" s="30" t="inlineStr">
        <is>
          <t>Shared Infrastructure Items</t>
        </is>
      </c>
      <c r="B28" s="31">
        <f>COUNTIF('Infrastructure Separation'!G6:G55,"None")+COUNTIF('Infrastructure Separation'!G6:G55,"Partial")</f>
        <v/>
      </c>
      <c r="C28" s="6" t="n"/>
      <c r="D28" s="6" t="n"/>
      <c r="E28" s="6" t="n"/>
      <c r="F28" s="6" t="n"/>
      <c r="G28" s="6" t="n"/>
    </row>
    <row r="29">
      <c r="A29" s="30" t="inlineStr">
        <is>
          <t>Data Stores Assessed</t>
        </is>
      </c>
      <c r="B29" s="31">
        <f>COUNTA('Data Separation'!A6:A55)</f>
        <v/>
      </c>
      <c r="C29" s="6" t="n"/>
      <c r="D29" s="6" t="n"/>
      <c r="E29" s="6" t="n"/>
      <c r="F29" s="6" t="n"/>
      <c r="G29" s="6" t="n"/>
    </row>
    <row r="30">
      <c r="A30" s="30" t="inlineStr">
        <is>
          <t>Fully Separated Data Stores</t>
        </is>
      </c>
      <c r="B30" s="31">
        <f>COUNTIF('Data Separation'!F6:F55,"Complete")</f>
        <v/>
      </c>
      <c r="C30" s="6" t="n"/>
      <c r="D30" s="6" t="n"/>
      <c r="E30" s="6" t="n"/>
      <c r="F30" s="6" t="n"/>
      <c r="G30" s="6" t="n"/>
    </row>
    <row r="31">
      <c r="A31" s="30" t="inlineStr">
        <is>
          <t>Partially Separated Data</t>
        </is>
      </c>
      <c r="B31" s="31">
        <f>COUNTIF('Data Separation'!F6:F55,"Partial")</f>
        <v/>
      </c>
      <c r="C31" s="6" t="n"/>
      <c r="D31" s="6" t="n"/>
      <c r="E31" s="6" t="n"/>
      <c r="F31" s="6" t="n"/>
      <c r="G31" s="6" t="n"/>
    </row>
    <row r="32">
      <c r="A32" s="30" t="inlineStr">
        <is>
          <t>Shared Data Stores</t>
        </is>
      </c>
      <c r="B32" s="31">
        <f>COUNTIF('Data Separation'!F6:F55,"None")</f>
        <v/>
      </c>
      <c r="C32" s="6" t="n"/>
      <c r="D32" s="6" t="n"/>
      <c r="E32" s="6" t="n"/>
      <c r="F32" s="6" t="n"/>
      <c r="G32" s="6" t="n"/>
    </row>
    <row r="33">
      <c r="A33" s="30" t="inlineStr">
        <is>
          <t>Credential Sets Assessed</t>
        </is>
      </c>
      <c r="B33" s="31">
        <f>COUNTA('Credential Separation'!A6:A55)</f>
        <v/>
      </c>
      <c r="C33" s="6" t="n"/>
      <c r="D33" s="6" t="n"/>
      <c r="E33" s="6" t="n"/>
      <c r="F33" s="6" t="n"/>
      <c r="G33" s="6" t="n"/>
    </row>
    <row r="34">
      <c r="A34" s="30" t="inlineStr">
        <is>
          <t>Dedicated Credentials</t>
        </is>
      </c>
      <c r="B34" s="31">
        <f>COUNTIF('Credential Separation'!E6:E55,"Yes")</f>
        <v/>
      </c>
      <c r="C34" s="6" t="n"/>
      <c r="D34" s="6" t="n"/>
      <c r="E34" s="6" t="n"/>
      <c r="F34" s="6" t="n"/>
      <c r="G34" s="6" t="n"/>
    </row>
    <row r="35">
      <c r="A35" s="30" t="inlineStr">
        <is>
          <t>Shared Credentials (Risk)</t>
        </is>
      </c>
      <c r="B35" s="31">
        <f>COUNTIF('Credential Separation'!E6:E55,"No")</f>
        <v/>
      </c>
      <c r="C35" s="6" t="n"/>
      <c r="D35" s="6" t="n"/>
      <c r="E35" s="6" t="n"/>
      <c r="F35" s="6" t="n"/>
      <c r="G35" s="6" t="n"/>
    </row>
    <row r="36">
      <c r="A36" s="30" t="inlineStr">
        <is>
          <t>Configuration Items</t>
        </is>
      </c>
      <c r="B36" s="31">
        <f>COUNTA('Configuration Consistency'!A6:A55)</f>
        <v/>
      </c>
      <c r="C36" s="6" t="n"/>
      <c r="D36" s="6" t="n"/>
      <c r="E36" s="6" t="n"/>
      <c r="F36" s="6" t="n"/>
      <c r="G36" s="6" t="n"/>
    </row>
    <row r="37">
      <c r="A37" s="30" t="inlineStr">
        <is>
          <t>Consistent Configs</t>
        </is>
      </c>
      <c r="B37" s="31">
        <f>COUNTIF('Configuration Consistency'!E6:E55,"Complete")</f>
        <v/>
      </c>
      <c r="C37" s="6" t="n"/>
      <c r="D37" s="6" t="n"/>
      <c r="E37" s="6" t="n"/>
      <c r="F37" s="6" t="n"/>
      <c r="G37" s="6" t="n"/>
    </row>
    <row r="38">
      <c r="A38" s="30" t="inlineStr">
        <is>
          <t>Inconsistent Configs</t>
        </is>
      </c>
      <c r="B38" s="31">
        <f>COUNTIF('Configuration Consistency'!E6:E55,"Partial")+COUNTIF('Configuration Consistency'!E6:E55,"None")</f>
        <v/>
      </c>
      <c r="C38" s="6" t="n"/>
      <c r="D38" s="6" t="n"/>
      <c r="E38" s="6" t="n"/>
      <c r="F38" s="6" t="n"/>
      <c r="G38" s="6" t="n"/>
    </row>
    <row r="39">
      <c r="A39" s="30" t="inlineStr">
        <is>
          <t>Total Gaps Identified</t>
        </is>
      </c>
      <c r="B39" s="31">
        <f>COUNTA('Gap Analysis'!D6:D55)</f>
        <v/>
      </c>
      <c r="C39" s="6" t="n"/>
      <c r="D39" s="6" t="n"/>
      <c r="E39" s="6" t="n"/>
      <c r="F39" s="6" t="n"/>
      <c r="G39" s="6" t="n"/>
    </row>
    <row r="40">
      <c r="A40" s="30" t="inlineStr">
        <is>
          <t>Critical Severity Gaps</t>
        </is>
      </c>
      <c r="B40" s="31">
        <f>COUNTIF('Gap Analysis'!D6:D55,"Critical")</f>
        <v/>
      </c>
      <c r="C40" s="6" t="n"/>
      <c r="D40" s="6" t="n"/>
      <c r="E40" s="6" t="n"/>
      <c r="F40" s="6" t="n"/>
      <c r="G40" s="6" t="n"/>
    </row>
    <row r="41">
      <c r="A41" s="30" t="inlineStr">
        <is>
          <t>High Severity Gaps</t>
        </is>
      </c>
      <c r="B41" s="31">
        <f>COUNTIF('Gap Analysis'!D6:D55,"High")</f>
        <v/>
      </c>
      <c r="C41" s="6" t="n"/>
      <c r="D41" s="6" t="n"/>
      <c r="E41" s="6" t="n"/>
      <c r="F41" s="6" t="n"/>
      <c r="G41" s="6" t="n"/>
    </row>
    <row r="42">
      <c r="A42" s="30" t="inlineStr">
        <is>
          <t>Critical+High Gaps</t>
        </is>
      </c>
      <c r="B42" s="31">
        <f>COUNTIF('Gap Analysis'!D6:D55,"Critical")+COUNTIF('Gap Analysis'!D6:D55,"High")</f>
        <v/>
      </c>
      <c r="C42" s="6" t="n"/>
      <c r="D42" s="6" t="n"/>
      <c r="E42" s="6" t="n"/>
      <c r="F42" s="6" t="n"/>
      <c r="G42" s="6" t="n"/>
    </row>
    <row r="43">
      <c r="A43" s="30" t="inlineStr">
        <is>
          <t>% High-Risk Gaps</t>
        </is>
      </c>
      <c r="B43" s="31">
        <f>IF(COUNTA('Gap Analysis'!D6:D55)=0,"0%",ROUND((COUNTIF('Gap Analysis'!D6:D55,"Critical")+COUNTIF('Gap Analysis'!D6:D55,"High"))/COUNTA('Gap Analysis'!D6:D55)*100,1)&amp;"%")</f>
        <v/>
      </c>
      <c r="C43" s="6" t="n"/>
      <c r="D43" s="6" t="n"/>
      <c r="E43" s="6" t="n"/>
      <c r="F43" s="6" t="n"/>
      <c r="G43" s="6" t="n"/>
    </row>
    <row r="44">
      <c r="A44" s="6" t="n"/>
      <c r="B44" s="6" t="n"/>
      <c r="C44" s="6" t="n"/>
      <c r="D44" s="6" t="n"/>
      <c r="E44" s="6" t="n"/>
      <c r="F44" s="6" t="n"/>
      <c r="G44" s="6" t="n"/>
    </row>
    <row r="45">
      <c r="A45" s="6" t="n"/>
      <c r="B45" s="6" t="n"/>
      <c r="C45" s="6" t="n"/>
      <c r="D45" s="6" t="n"/>
      <c r="E45" s="6" t="n"/>
      <c r="F45" s="6" t="n"/>
      <c r="G45" s="6" t="n"/>
    </row>
    <row r="47">
      <c r="A47" s="32" t="inlineStr">
        <is>
          <t>TABLE 3: CRITICAL FINDINGS</t>
        </is>
      </c>
    </row>
    <row r="48">
      <c r="A48" s="33" t="inlineStr">
        <is>
          <t>#</t>
        </is>
      </c>
      <c r="B48" s="33" t="inlineStr">
        <is>
          <t>Gap Description</t>
        </is>
      </c>
      <c r="C48" s="33" t="inlineStr">
        <is>
          <t>Severity</t>
        </is>
      </c>
      <c r="D48" s="33" t="inlineStr">
        <is>
          <t>Affected Area</t>
        </is>
      </c>
      <c r="E48" s="33" t="inlineStr">
        <is>
          <t>Remediation Action</t>
        </is>
      </c>
      <c r="F48" s="33" t="inlineStr">
        <is>
          <t>Owner</t>
        </is>
      </c>
      <c r="G48" s="33" t="inlineStr">
        <is>
          <t>Due Date</t>
        </is>
      </c>
    </row>
    <row r="49">
      <c r="A49" s="34" t="n">
        <v>1</v>
      </c>
      <c r="B49" s="35">
        <f>IFERROR(INDEX('Gap Analysis'!C:C,SMALL(IF((('Gap Analysis'!D:D="Critical")+('Gap Analysis'!D:D="High"))*(ROW('Gap Analysis'!D:D)&gt;=6),ROW('Gap Analysis'!D:D)),1)),"")</f>
        <v/>
      </c>
      <c r="C49" s="36">
        <f>IFERROR(INDEX('Gap Analysis'!D:D,SMALL(IF((('Gap Analysis'!D:D="Critical")+('Gap Analysis'!D:D="High"))*(ROW('Gap Analysis'!D:D)&gt;=6),ROW('Gap Analysis'!D:D)),1)),"")</f>
        <v/>
      </c>
      <c r="D49" s="37">
        <f>IFERROR(INDEX('Gap Analysis'!B:B,SMALL(IF((('Gap Analysis'!D:D="Critical")+('Gap Analysis'!D:D="High"))*(ROW('Gap Analysis'!D:D)&gt;=6),ROW('Gap Analysis'!D:D)),1)),"")</f>
        <v/>
      </c>
      <c r="E49" s="35">
        <f>IFERROR(INDEX('Gap Analysis'!G:G,SMALL(IF((('Gap Analysis'!D:D="Critical")+('Gap Analysis'!D:D="High"))*(ROW('Gap Analysis'!D:D)&gt;=6),ROW('Gap Analysis'!D:D)),1)),"")</f>
        <v/>
      </c>
      <c r="F49" s="37">
        <f>IFERROR(INDEX('Gap Analysis'!H:H,SMALL(IF((('Gap Analysis'!D:D="Critical")+('Gap Analysis'!D:D="High"))*(ROW('Gap Analysis'!D:D)&gt;=6),ROW('Gap Analysis'!D:D)),1)),"")</f>
        <v/>
      </c>
      <c r="G49" s="36">
        <f>IFERROR(INDEX('Gap Analysis'!I:I,SMALL(IF((('Gap Analysis'!D:D="Critical")+('Gap Analysis'!D:D="High"))*(ROW('Gap Analysis'!D:D)&gt;=6),ROW('Gap Analysis'!D:D)),1)),"")</f>
        <v/>
      </c>
    </row>
    <row r="50">
      <c r="A50" s="34" t="n">
        <v>2</v>
      </c>
      <c r="B50" s="35">
        <f>IFERROR(INDEX('Gap Analysis'!C:C,SMALL(IF((('Gap Analysis'!D:D="Critical")+('Gap Analysis'!D:D="High"))*(ROW('Gap Analysis'!D:D)&gt;=6),ROW('Gap Analysis'!D:D)),2)),"")</f>
        <v/>
      </c>
      <c r="C50" s="36">
        <f>IFERROR(INDEX('Gap Analysis'!D:D,SMALL(IF((('Gap Analysis'!D:D="Critical")+('Gap Analysis'!D:D="High"))*(ROW('Gap Analysis'!D:D)&gt;=6),ROW('Gap Analysis'!D:D)),2)),"")</f>
        <v/>
      </c>
      <c r="D50" s="37">
        <f>IFERROR(INDEX('Gap Analysis'!B:B,SMALL(IF((('Gap Analysis'!D:D="Critical")+('Gap Analysis'!D:D="High"))*(ROW('Gap Analysis'!D:D)&gt;=6),ROW('Gap Analysis'!D:D)),2)),"")</f>
        <v/>
      </c>
      <c r="E50" s="35">
        <f>IFERROR(INDEX('Gap Analysis'!G:G,SMALL(IF((('Gap Analysis'!D:D="Critical")+('Gap Analysis'!D:D="High"))*(ROW('Gap Analysis'!D:D)&gt;=6),ROW('Gap Analysis'!D:D)),2)),"")</f>
        <v/>
      </c>
      <c r="F50" s="37">
        <f>IFERROR(INDEX('Gap Analysis'!H:H,SMALL(IF((('Gap Analysis'!D:D="Critical")+('Gap Analysis'!D:D="High"))*(ROW('Gap Analysis'!D:D)&gt;=6),ROW('Gap Analysis'!D:D)),2)),"")</f>
        <v/>
      </c>
      <c r="G50" s="36">
        <f>IFERROR(INDEX('Gap Analysis'!I:I,SMALL(IF((('Gap Analysis'!D:D="Critical")+('Gap Analysis'!D:D="High"))*(ROW('Gap Analysis'!D:D)&gt;=6),ROW('Gap Analysis'!D:D)),2)),"")</f>
        <v/>
      </c>
    </row>
    <row r="51">
      <c r="A51" s="34" t="n">
        <v>3</v>
      </c>
      <c r="B51" s="35">
        <f>IFERROR(INDEX('Gap Analysis'!C:C,SMALL(IF((('Gap Analysis'!D:D="Critical")+('Gap Analysis'!D:D="High"))*(ROW('Gap Analysis'!D:D)&gt;=6),ROW('Gap Analysis'!D:D)),3)),"")</f>
        <v/>
      </c>
      <c r="C51" s="36">
        <f>IFERROR(INDEX('Gap Analysis'!D:D,SMALL(IF((('Gap Analysis'!D:D="Critical")+('Gap Analysis'!D:D="High"))*(ROW('Gap Analysis'!D:D)&gt;=6),ROW('Gap Analysis'!D:D)),3)),"")</f>
        <v/>
      </c>
      <c r="D51" s="37">
        <f>IFERROR(INDEX('Gap Analysis'!B:B,SMALL(IF((('Gap Analysis'!D:D="Critical")+('Gap Analysis'!D:D="High"))*(ROW('Gap Analysis'!D:D)&gt;=6),ROW('Gap Analysis'!D:D)),3)),"")</f>
        <v/>
      </c>
      <c r="E51" s="35">
        <f>IFERROR(INDEX('Gap Analysis'!G:G,SMALL(IF((('Gap Analysis'!D:D="Critical")+('Gap Analysis'!D:D="High"))*(ROW('Gap Analysis'!D:D)&gt;=6),ROW('Gap Analysis'!D:D)),3)),"")</f>
        <v/>
      </c>
      <c r="F51" s="37">
        <f>IFERROR(INDEX('Gap Analysis'!H:H,SMALL(IF((('Gap Analysis'!D:D="Critical")+('Gap Analysis'!D:D="High"))*(ROW('Gap Analysis'!D:D)&gt;=6),ROW('Gap Analysis'!D:D)),3)),"")</f>
        <v/>
      </c>
      <c r="G51" s="36">
        <f>IFERROR(INDEX('Gap Analysis'!I:I,SMALL(IF((('Gap Analysis'!D:D="Critical")+('Gap Analysis'!D:D="High"))*(ROW('Gap Analysis'!D:D)&gt;=6),ROW('Gap Analysis'!D:D)),3)),"")</f>
        <v/>
      </c>
    </row>
    <row r="52">
      <c r="A52" s="34" t="n">
        <v>4</v>
      </c>
      <c r="B52" s="35">
        <f>IFERROR(INDEX('Gap Analysis'!C:C,SMALL(IF((('Gap Analysis'!D:D="Critical")+('Gap Analysis'!D:D="High"))*(ROW('Gap Analysis'!D:D)&gt;=6),ROW('Gap Analysis'!D:D)),4)),"")</f>
        <v/>
      </c>
      <c r="C52" s="36">
        <f>IFERROR(INDEX('Gap Analysis'!D:D,SMALL(IF((('Gap Analysis'!D:D="Critical")+('Gap Analysis'!D:D="High"))*(ROW('Gap Analysis'!D:D)&gt;=6),ROW('Gap Analysis'!D:D)),4)),"")</f>
        <v/>
      </c>
      <c r="D52" s="37">
        <f>IFERROR(INDEX('Gap Analysis'!B:B,SMALL(IF((('Gap Analysis'!D:D="Critical")+('Gap Analysis'!D:D="High"))*(ROW('Gap Analysis'!D:D)&gt;=6),ROW('Gap Analysis'!D:D)),4)),"")</f>
        <v/>
      </c>
      <c r="E52" s="35">
        <f>IFERROR(INDEX('Gap Analysis'!G:G,SMALL(IF((('Gap Analysis'!D:D="Critical")+('Gap Analysis'!D:D="High"))*(ROW('Gap Analysis'!D:D)&gt;=6),ROW('Gap Analysis'!D:D)),4)),"")</f>
        <v/>
      </c>
      <c r="F52" s="37">
        <f>IFERROR(INDEX('Gap Analysis'!H:H,SMALL(IF((('Gap Analysis'!D:D="Critical")+('Gap Analysis'!D:D="High"))*(ROW('Gap Analysis'!D:D)&gt;=6),ROW('Gap Analysis'!D:D)),4)),"")</f>
        <v/>
      </c>
      <c r="G52" s="36">
        <f>IFERROR(INDEX('Gap Analysis'!I:I,SMALL(IF((('Gap Analysis'!D:D="Critical")+('Gap Analysis'!D:D="High"))*(ROW('Gap Analysis'!D:D)&gt;=6),ROW('Gap Analysis'!D:D)),4)),"")</f>
        <v/>
      </c>
    </row>
    <row r="53">
      <c r="A53" s="34" t="n">
        <v>5</v>
      </c>
      <c r="B53" s="35">
        <f>IFERROR(INDEX('Gap Analysis'!C:C,SMALL(IF((('Gap Analysis'!D:D="Critical")+('Gap Analysis'!D:D="High"))*(ROW('Gap Analysis'!D:D)&gt;=6),ROW('Gap Analysis'!D:D)),5)),"")</f>
        <v/>
      </c>
      <c r="C53" s="36">
        <f>IFERROR(INDEX('Gap Analysis'!D:D,SMALL(IF((('Gap Analysis'!D:D="Critical")+('Gap Analysis'!D:D="High"))*(ROW('Gap Analysis'!D:D)&gt;=6),ROW('Gap Analysis'!D:D)),5)),"")</f>
        <v/>
      </c>
      <c r="D53" s="37">
        <f>IFERROR(INDEX('Gap Analysis'!B:B,SMALL(IF((('Gap Analysis'!D:D="Critical")+('Gap Analysis'!D:D="High"))*(ROW('Gap Analysis'!D:D)&gt;=6),ROW('Gap Analysis'!D:D)),5)),"")</f>
        <v/>
      </c>
      <c r="E53" s="35">
        <f>IFERROR(INDEX('Gap Analysis'!G:G,SMALL(IF((('Gap Analysis'!D:D="Critical")+('Gap Analysis'!D:D="High"))*(ROW('Gap Analysis'!D:D)&gt;=6),ROW('Gap Analysis'!D:D)),5)),"")</f>
        <v/>
      </c>
      <c r="F53" s="37">
        <f>IFERROR(INDEX('Gap Analysis'!H:H,SMALL(IF((('Gap Analysis'!D:D="Critical")+('Gap Analysis'!D:D="High"))*(ROW('Gap Analysis'!D:D)&gt;=6),ROW('Gap Analysis'!D:D)),5)),"")</f>
        <v/>
      </c>
      <c r="G53" s="36">
        <f>IFERROR(INDEX('Gap Analysis'!I:I,SMALL(IF((('Gap Analysis'!D:D="Critical")+('Gap Analysis'!D:D="High"))*(ROW('Gap Analysis'!D:D)&gt;=6),ROW('Gap Analysis'!D:D)),5)),"")</f>
        <v/>
      </c>
    </row>
    <row r="54">
      <c r="A54" s="34" t="n">
        <v>6</v>
      </c>
      <c r="B54" s="35">
        <f>IFERROR(INDEX('Gap Analysis'!C:C,SMALL(IF((('Gap Analysis'!D:D="Critical")+('Gap Analysis'!D:D="High"))*(ROW('Gap Analysis'!D:D)&gt;=6),ROW('Gap Analysis'!D:D)),6)),"")</f>
        <v/>
      </c>
      <c r="C54" s="36">
        <f>IFERROR(INDEX('Gap Analysis'!D:D,SMALL(IF((('Gap Analysis'!D:D="Critical")+('Gap Analysis'!D:D="High"))*(ROW('Gap Analysis'!D:D)&gt;=6),ROW('Gap Analysis'!D:D)),6)),"")</f>
        <v/>
      </c>
      <c r="D54" s="37">
        <f>IFERROR(INDEX('Gap Analysis'!B:B,SMALL(IF((('Gap Analysis'!D:D="Critical")+('Gap Analysis'!D:D="High"))*(ROW('Gap Analysis'!D:D)&gt;=6),ROW('Gap Analysis'!D:D)),6)),"")</f>
        <v/>
      </c>
      <c r="E54" s="35">
        <f>IFERROR(INDEX('Gap Analysis'!G:G,SMALL(IF((('Gap Analysis'!D:D="Critical")+('Gap Analysis'!D:D="High"))*(ROW('Gap Analysis'!D:D)&gt;=6),ROW('Gap Analysis'!D:D)),6)),"")</f>
        <v/>
      </c>
      <c r="F54" s="37">
        <f>IFERROR(INDEX('Gap Analysis'!H:H,SMALL(IF((('Gap Analysis'!D:D="Critical")+('Gap Analysis'!D:D="High"))*(ROW('Gap Analysis'!D:D)&gt;=6),ROW('Gap Analysis'!D:D)),6)),"")</f>
        <v/>
      </c>
      <c r="G54" s="36">
        <f>IFERROR(INDEX('Gap Analysis'!I:I,SMALL(IF((('Gap Analysis'!D:D="Critical")+('Gap Analysis'!D:D="High"))*(ROW('Gap Analysis'!D:D)&gt;=6),ROW('Gap Analysis'!D:D)),6)),"")</f>
        <v/>
      </c>
    </row>
    <row r="55">
      <c r="A55" s="34" t="n">
        <v>7</v>
      </c>
      <c r="B55" s="35">
        <f>IFERROR(INDEX('Gap Analysis'!C:C,SMALL(IF((('Gap Analysis'!D:D="Critical")+('Gap Analysis'!D:D="High"))*(ROW('Gap Analysis'!D:D)&gt;=6),ROW('Gap Analysis'!D:D)),7)),"")</f>
        <v/>
      </c>
      <c r="C55" s="36">
        <f>IFERROR(INDEX('Gap Analysis'!D:D,SMALL(IF((('Gap Analysis'!D:D="Critical")+('Gap Analysis'!D:D="High"))*(ROW('Gap Analysis'!D:D)&gt;=6),ROW('Gap Analysis'!D:D)),7)),"")</f>
        <v/>
      </c>
      <c r="D55" s="37">
        <f>IFERROR(INDEX('Gap Analysis'!B:B,SMALL(IF((('Gap Analysis'!D:D="Critical")+('Gap Analysis'!D:D="High"))*(ROW('Gap Analysis'!D:D)&gt;=6),ROW('Gap Analysis'!D:D)),7)),"")</f>
        <v/>
      </c>
      <c r="E55" s="35">
        <f>IFERROR(INDEX('Gap Analysis'!G:G,SMALL(IF((('Gap Analysis'!D:D="Critical")+('Gap Analysis'!D:D="High"))*(ROW('Gap Analysis'!D:D)&gt;=6),ROW('Gap Analysis'!D:D)),7)),"")</f>
        <v/>
      </c>
      <c r="F55" s="37">
        <f>IFERROR(INDEX('Gap Analysis'!H:H,SMALL(IF((('Gap Analysis'!D:D="Critical")+('Gap Analysis'!D:D="High"))*(ROW('Gap Analysis'!D:D)&gt;=6),ROW('Gap Analysis'!D:D)),7)),"")</f>
        <v/>
      </c>
      <c r="G55" s="36">
        <f>IFERROR(INDEX('Gap Analysis'!I:I,SMALL(IF((('Gap Analysis'!D:D="Critical")+('Gap Analysis'!D:D="High"))*(ROW('Gap Analysis'!D:D)&gt;=6),ROW('Gap Analysis'!D:D)),7)),"")</f>
        <v/>
      </c>
    </row>
    <row r="56">
      <c r="A56" s="34" t="n">
        <v>8</v>
      </c>
      <c r="B56" s="35">
        <f>IFERROR(INDEX('Gap Analysis'!C:C,SMALL(IF((('Gap Analysis'!D:D="Critical")+('Gap Analysis'!D:D="High"))*(ROW('Gap Analysis'!D:D)&gt;=6),ROW('Gap Analysis'!D:D)),8)),"")</f>
        <v/>
      </c>
      <c r="C56" s="36">
        <f>IFERROR(INDEX('Gap Analysis'!D:D,SMALL(IF((('Gap Analysis'!D:D="Critical")+('Gap Analysis'!D:D="High"))*(ROW('Gap Analysis'!D:D)&gt;=6),ROW('Gap Analysis'!D:D)),8)),"")</f>
        <v/>
      </c>
      <c r="D56" s="37">
        <f>IFERROR(INDEX('Gap Analysis'!B:B,SMALL(IF((('Gap Analysis'!D:D="Critical")+('Gap Analysis'!D:D="High"))*(ROW('Gap Analysis'!D:D)&gt;=6),ROW('Gap Analysis'!D:D)),8)),"")</f>
        <v/>
      </c>
      <c r="E56" s="35">
        <f>IFERROR(INDEX('Gap Analysis'!G:G,SMALL(IF((('Gap Analysis'!D:D="Critical")+('Gap Analysis'!D:D="High"))*(ROW('Gap Analysis'!D:D)&gt;=6),ROW('Gap Analysis'!D:D)),8)),"")</f>
        <v/>
      </c>
      <c r="F56" s="37">
        <f>IFERROR(INDEX('Gap Analysis'!H:H,SMALL(IF((('Gap Analysis'!D:D="Critical")+('Gap Analysis'!D:D="High"))*(ROW('Gap Analysis'!D:D)&gt;=6),ROW('Gap Analysis'!D:D)),8)),"")</f>
        <v/>
      </c>
      <c r="G56" s="36">
        <f>IFERROR(INDEX('Gap Analysis'!I:I,SMALL(IF((('Gap Analysis'!D:D="Critical")+('Gap Analysis'!D:D="High"))*(ROW('Gap Analysis'!D:D)&gt;=6),ROW('Gap Analysis'!D:D)),8)),"")</f>
        <v/>
      </c>
    </row>
    <row r="57">
      <c r="A57" s="34" t="n">
        <v>9</v>
      </c>
      <c r="B57" s="35">
        <f>IFERROR(INDEX('Gap Analysis'!C:C,SMALL(IF((('Gap Analysis'!D:D="Critical")+('Gap Analysis'!D:D="High"))*(ROW('Gap Analysis'!D:D)&gt;=6),ROW('Gap Analysis'!D:D)),9)),"")</f>
        <v/>
      </c>
      <c r="C57" s="36">
        <f>IFERROR(INDEX('Gap Analysis'!D:D,SMALL(IF((('Gap Analysis'!D:D="Critical")+('Gap Analysis'!D:D="High"))*(ROW('Gap Analysis'!D:D)&gt;=6),ROW('Gap Analysis'!D:D)),9)),"")</f>
        <v/>
      </c>
      <c r="D57" s="37">
        <f>IFERROR(INDEX('Gap Analysis'!B:B,SMALL(IF((('Gap Analysis'!D:D="Critical")+('Gap Analysis'!D:D="High"))*(ROW('Gap Analysis'!D:D)&gt;=6),ROW('Gap Analysis'!D:D)),9)),"")</f>
        <v/>
      </c>
      <c r="E57" s="35">
        <f>IFERROR(INDEX('Gap Analysis'!G:G,SMALL(IF((('Gap Analysis'!D:D="Critical")+('Gap Analysis'!D:D="High"))*(ROW('Gap Analysis'!D:D)&gt;=6),ROW('Gap Analysis'!D:D)),9)),"")</f>
        <v/>
      </c>
      <c r="F57" s="37">
        <f>IFERROR(INDEX('Gap Analysis'!H:H,SMALL(IF((('Gap Analysis'!D:D="Critical")+('Gap Analysis'!D:D="High"))*(ROW('Gap Analysis'!D:D)&gt;=6),ROW('Gap Analysis'!D:D)),9)),"")</f>
        <v/>
      </c>
      <c r="G57" s="36">
        <f>IFERROR(INDEX('Gap Analysis'!I:I,SMALL(IF((('Gap Analysis'!D:D="Critical")+('Gap Analysis'!D:D="High"))*(ROW('Gap Analysis'!D:D)&gt;=6),ROW('Gap Analysis'!D:D)),9)),"")</f>
        <v/>
      </c>
    </row>
    <row r="58">
      <c r="A58" s="34" t="n">
        <v>10</v>
      </c>
      <c r="B58" s="35">
        <f>IFERROR(INDEX('Gap Analysis'!C:C,SMALL(IF((('Gap Analysis'!D:D="Critical")+('Gap Analysis'!D:D="High"))*(ROW('Gap Analysis'!D:D)&gt;=6),ROW('Gap Analysis'!D:D)),10)),"")</f>
        <v/>
      </c>
      <c r="C58" s="36">
        <f>IFERROR(INDEX('Gap Analysis'!D:D,SMALL(IF((('Gap Analysis'!D:D="Critical")+('Gap Analysis'!D:D="High"))*(ROW('Gap Analysis'!D:D)&gt;=6),ROW('Gap Analysis'!D:D)),10)),"")</f>
        <v/>
      </c>
      <c r="D58" s="37">
        <f>IFERROR(INDEX('Gap Analysis'!B:B,SMALL(IF((('Gap Analysis'!D:D="Critical")+('Gap Analysis'!D:D="High"))*(ROW('Gap Analysis'!D:D)&gt;=6),ROW('Gap Analysis'!D:D)),10)),"")</f>
        <v/>
      </c>
      <c r="E58" s="35">
        <f>IFERROR(INDEX('Gap Analysis'!G:G,SMALL(IF((('Gap Analysis'!D:D="Critical")+('Gap Analysis'!D:D="High"))*(ROW('Gap Analysis'!D:D)&gt;=6),ROW('Gap Analysis'!D:D)),10)),"")</f>
        <v/>
      </c>
      <c r="F58" s="37">
        <f>IFERROR(INDEX('Gap Analysis'!H:H,SMALL(IF((('Gap Analysis'!D:D="Critical")+('Gap Analysis'!D:D="High"))*(ROW('Gap Analysis'!D:D)&gt;=6),ROW('Gap Analysis'!D:D)),10)),"")</f>
        <v/>
      </c>
      <c r="G58" s="36">
        <f>IFERROR(INDEX('Gap Analysis'!I:I,SMALL(IF((('Gap Analysis'!D:D="Critical")+('Gap Analysis'!D:D="High"))*(ROW('Gap Analysis'!D:D)&gt;=6),ROW('Gap Analysis'!D:D)),10)),"")</f>
        <v/>
      </c>
    </row>
    <row r="59">
      <c r="A59" s="4" t="n"/>
      <c r="B59" s="4" t="n"/>
      <c r="C59" s="4" t="n"/>
      <c r="D59" s="4" t="n"/>
      <c r="E59" s="4" t="n"/>
      <c r="F59" s="4" t="n"/>
      <c r="G59" s="4" t="n"/>
    </row>
    <row r="60">
      <c r="A60" s="4" t="n"/>
      <c r="B60" s="4" t="n"/>
      <c r="C60" s="4" t="n"/>
      <c r="D60" s="4" t="n"/>
      <c r="E60" s="4" t="n"/>
      <c r="F60" s="4" t="n"/>
      <c r="G60" s="4" t="n"/>
    </row>
  </sheetData>
  <mergeCells count="5">
    <mergeCell ref="A1:G1"/>
    <mergeCell ref="A4:G4"/>
    <mergeCell ref="A2:G2"/>
    <mergeCell ref="A15:G15"/>
    <mergeCell ref="A47:G4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3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2" customWidth="1" min="1" max="1"/>
    <col width="25" customWidth="1" min="2" max="2"/>
    <col width="20" customWidth="1" min="3" max="3"/>
    <col width="20" customWidth="1" min="4" max="4"/>
    <col width="20" customWidth="1" min="5" max="5"/>
  </cols>
  <sheetData>
    <row r="1" ht="35" customHeight="1">
      <c r="A1" s="38" t="inlineStr">
        <is>
          <t>ASSESSMENT APPROVAL AND SIGN-OFF</t>
        </is>
      </c>
      <c r="B1" s="6" t="n"/>
      <c r="C1" s="6" t="n"/>
      <c r="D1" s="6" t="n"/>
      <c r="E1" s="6" t="n"/>
    </row>
    <row r="2">
      <c r="A2" s="39" t="inlineStr">
        <is>
          <t>ISO/IEC 27001:2022 - Control A.8.31: Separation of Development, Test and Production Environments</t>
        </is>
      </c>
      <c r="B2" s="6" t="n"/>
      <c r="C2" s="6" t="n"/>
      <c r="D2" s="6" t="n"/>
      <c r="E2" s="6" t="n"/>
    </row>
    <row r="4">
      <c r="A4" s="40" t="inlineStr">
        <is>
          <t>ASSESSMENT SUMMARY</t>
        </is>
      </c>
      <c r="B4" s="6" t="n"/>
      <c r="C4" s="6" t="n"/>
      <c r="D4" s="6" t="n"/>
      <c r="E4" s="6" t="n"/>
    </row>
    <row r="5">
      <c r="A5" s="41" t="inlineStr">
        <is>
          <t>Document:</t>
        </is>
      </c>
      <c r="B5" s="6" t="inlineStr">
        <is>
          <t>ISMS-IMP-A.8.31.1</t>
        </is>
      </c>
      <c r="C5" s="6" t="n"/>
      <c r="D5" s="6" t="n"/>
      <c r="E5" s="6" t="n"/>
    </row>
    <row r="6">
      <c r="A6" s="41" t="inlineStr">
        <is>
          <t>Overall Compliance Rating:</t>
        </is>
      </c>
      <c r="B6" s="6">
        <f>'Summary Dashboard'!G13</f>
        <v/>
      </c>
      <c r="C6" s="6" t="n"/>
      <c r="D6" s="6" t="n"/>
      <c r="E6" s="6" t="n"/>
    </row>
    <row r="7">
      <c r="A7" s="41" t="inlineStr">
        <is>
          <t>Assessment Period:</t>
        </is>
      </c>
      <c r="B7" s="4" t="inlineStr"/>
      <c r="C7" s="4" t="n"/>
      <c r="D7" s="4" t="n"/>
      <c r="E7" s="4" t="n"/>
    </row>
    <row r="8">
      <c r="A8" s="41" t="inlineStr">
        <is>
          <t>Assessed By:</t>
        </is>
      </c>
      <c r="B8" s="4" t="inlineStr"/>
      <c r="C8" s="4" t="n"/>
      <c r="D8" s="4" t="n"/>
      <c r="E8" s="4" t="n"/>
    </row>
    <row r="9">
      <c r="A9" s="41" t="inlineStr">
        <is>
          <t>Assessment Status:</t>
        </is>
      </c>
      <c r="B9" s="4" t="inlineStr"/>
      <c r="C9" s="4" t="n"/>
      <c r="D9" s="4" t="n"/>
      <c r="E9" s="4" t="n"/>
    </row>
    <row r="11">
      <c r="A11" s="40" t="inlineStr">
        <is>
          <t>COMPLETED BY — Assessment Lead</t>
        </is>
      </c>
      <c r="B11" s="6" t="n"/>
      <c r="C11" s="6" t="n"/>
      <c r="D11" s="6" t="n"/>
      <c r="E11" s="6" t="n"/>
    </row>
    <row r="12">
      <c r="A12" s="41" t="inlineStr">
        <is>
          <t>Name:</t>
        </is>
      </c>
      <c r="B12" s="4" t="n"/>
      <c r="C12" s="4" t="n"/>
      <c r="D12" s="4" t="n"/>
      <c r="E12" s="4" t="n"/>
    </row>
    <row r="13">
      <c r="A13" s="41" t="inlineStr">
        <is>
          <t>Title:</t>
        </is>
      </c>
      <c r="B13" s="4" t="n"/>
      <c r="C13" s="4" t="n"/>
      <c r="D13" s="4" t="n"/>
      <c r="E13" s="4" t="n"/>
    </row>
    <row r="14">
      <c r="A14" s="41" t="inlineStr">
        <is>
          <t>Date:</t>
        </is>
      </c>
      <c r="B14" s="4" t="n"/>
      <c r="C14" s="4" t="n"/>
      <c r="D14" s="4" t="n"/>
      <c r="E14" s="4" t="n"/>
    </row>
    <row r="15">
      <c r="A15" s="41" t="inlineStr">
        <is>
          <t>Signature:</t>
        </is>
      </c>
      <c r="B15" s="4" t="n"/>
      <c r="C15" s="4" t="n"/>
      <c r="D15" s="4" t="n"/>
      <c r="E15" s="4" t="n"/>
    </row>
    <row r="16">
      <c r="A16" s="41" t="inlineStr">
        <is>
          <t>Comments:</t>
        </is>
      </c>
      <c r="B16" s="4" t="n"/>
      <c r="C16" s="4" t="n"/>
      <c r="D16" s="4" t="n"/>
      <c r="E16" s="4" t="n"/>
    </row>
    <row r="18">
      <c r="A18" s="40" t="inlineStr">
        <is>
          <t>REVIEWED BY — Security Manager</t>
        </is>
      </c>
      <c r="B18" s="6" t="n"/>
      <c r="C18" s="6" t="n"/>
      <c r="D18" s="6" t="n"/>
      <c r="E18" s="6" t="n"/>
    </row>
    <row r="19">
      <c r="A19" s="41" t="inlineStr">
        <is>
          <t>Name:</t>
        </is>
      </c>
      <c r="B19" s="4" t="n"/>
      <c r="C19" s="4" t="n"/>
      <c r="D19" s="4" t="n"/>
      <c r="E19" s="4" t="n"/>
    </row>
    <row r="20">
      <c r="A20" s="41" t="inlineStr">
        <is>
          <t>Title:</t>
        </is>
      </c>
      <c r="B20" s="4" t="n"/>
      <c r="C20" s="4" t="n"/>
      <c r="D20" s="4" t="n"/>
      <c r="E20" s="4" t="n"/>
    </row>
    <row r="21">
      <c r="A21" s="41" t="inlineStr">
        <is>
          <t>Date:</t>
        </is>
      </c>
      <c r="B21" s="4" t="n"/>
      <c r="C21" s="4" t="n"/>
      <c r="D21" s="4" t="n"/>
      <c r="E21" s="4" t="n"/>
    </row>
    <row r="22">
      <c r="A22" s="41" t="inlineStr">
        <is>
          <t>Signature:</t>
        </is>
      </c>
      <c r="B22" s="4" t="n"/>
      <c r="C22" s="4" t="n"/>
      <c r="D22" s="4" t="n"/>
      <c r="E22" s="4" t="n"/>
    </row>
    <row r="23">
      <c r="A23" s="41" t="inlineStr">
        <is>
          <t>Comments:</t>
        </is>
      </c>
      <c r="B23" s="4" t="n"/>
      <c r="C23" s="4" t="n"/>
      <c r="D23" s="4" t="n"/>
      <c r="E23" s="4" t="n"/>
    </row>
    <row r="25">
      <c r="A25" s="28" t="inlineStr">
        <is>
          <t>APPROVED BY — CISO</t>
        </is>
      </c>
      <c r="B25" s="6" t="n"/>
      <c r="C25" s="6" t="n"/>
      <c r="D25" s="6" t="n"/>
      <c r="E25" s="6" t="n"/>
    </row>
    <row r="26">
      <c r="A26" s="41" t="inlineStr">
        <is>
          <t>Name:</t>
        </is>
      </c>
      <c r="B26" s="4" t="n"/>
      <c r="C26" s="4" t="n"/>
      <c r="D26" s="4" t="n"/>
      <c r="E26" s="4" t="n"/>
    </row>
    <row r="27">
      <c r="A27" s="41" t="inlineStr">
        <is>
          <t>Title:</t>
        </is>
      </c>
      <c r="B27" s="4" t="n"/>
      <c r="C27" s="4" t="n"/>
      <c r="D27" s="4" t="n"/>
      <c r="E27" s="4" t="n"/>
    </row>
    <row r="28">
      <c r="A28" s="41" t="inlineStr">
        <is>
          <t>Date:</t>
        </is>
      </c>
      <c r="B28" s="4" t="n"/>
      <c r="C28" s="4" t="n"/>
      <c r="D28" s="4" t="n"/>
      <c r="E28" s="4" t="n"/>
    </row>
    <row r="29">
      <c r="A29" s="41" t="inlineStr">
        <is>
          <t>Signature:</t>
        </is>
      </c>
      <c r="B29" s="4" t="n"/>
      <c r="C29" s="4" t="n"/>
      <c r="D29" s="4" t="n"/>
      <c r="E29" s="4" t="n"/>
    </row>
    <row r="30">
      <c r="A30" s="41" t="inlineStr">
        <is>
          <t>Comments:</t>
        </is>
      </c>
      <c r="B30" s="4" t="n"/>
      <c r="C30" s="4" t="n"/>
      <c r="D30" s="4" t="n"/>
      <c r="E30" s="4" t="n"/>
    </row>
    <row r="32">
      <c r="A32" s="41" t="inlineStr">
        <is>
          <t>FINAL DECISION:</t>
        </is>
      </c>
      <c r="B32" s="4" t="n"/>
      <c r="C32" s="4" t="n"/>
      <c r="D32" s="4" t="n"/>
      <c r="E32" s="4" t="n"/>
    </row>
    <row r="35">
      <c r="A35" s="40" t="inlineStr">
        <is>
          <t>NEXT REVIEW DETAILS</t>
        </is>
      </c>
      <c r="B35" s="6" t="n"/>
      <c r="C35" s="6" t="n"/>
      <c r="D35" s="6" t="n"/>
      <c r="E35" s="6" t="n"/>
    </row>
    <row r="36">
      <c r="A36" s="41" t="inlineStr">
        <is>
          <t>Next Review Date:</t>
        </is>
      </c>
      <c r="B36" s="4" t="n"/>
      <c r="C36" s="4" t="n"/>
      <c r="D36" s="4" t="n"/>
      <c r="E36" s="4" t="n"/>
    </row>
    <row r="37">
      <c r="A37" s="41" t="inlineStr">
        <is>
          <t>Review Responsible:</t>
        </is>
      </c>
      <c r="B37" s="4" t="n"/>
      <c r="C37" s="4" t="n"/>
      <c r="D37" s="4" t="n"/>
      <c r="E37" s="4" t="n"/>
    </row>
    <row r="38">
      <c r="A38" s="41" t="inlineStr">
        <is>
          <t>Special Considerations:</t>
        </is>
      </c>
      <c r="B38" s="4" t="n"/>
      <c r="C38" s="4" t="n"/>
      <c r="D38" s="4" t="n"/>
      <c r="E38" s="4" t="n"/>
    </row>
  </sheetData>
  <mergeCells count="31">
    <mergeCell ref="B9:E9"/>
    <mergeCell ref="B6:E6"/>
    <mergeCell ref="B30:E30"/>
    <mergeCell ref="A11:E11"/>
    <mergeCell ref="B15:E15"/>
    <mergeCell ref="A1:E1"/>
    <mergeCell ref="B5:E5"/>
    <mergeCell ref="B20:E20"/>
    <mergeCell ref="B36:E36"/>
    <mergeCell ref="B32:E32"/>
    <mergeCell ref="B26:E26"/>
    <mergeCell ref="A25:E25"/>
    <mergeCell ref="B16:E16"/>
    <mergeCell ref="B7:E7"/>
    <mergeCell ref="A18:E18"/>
    <mergeCell ref="B22:E22"/>
    <mergeCell ref="B27:E27"/>
    <mergeCell ref="A2:E2"/>
    <mergeCell ref="B12:E12"/>
    <mergeCell ref="B21:E21"/>
    <mergeCell ref="B14:E14"/>
    <mergeCell ref="B23:E23"/>
    <mergeCell ref="A35:E35"/>
    <mergeCell ref="A4:E4"/>
    <mergeCell ref="B8:E8"/>
    <mergeCell ref="B13:E13"/>
    <mergeCell ref="B38:E38"/>
    <mergeCell ref="B29:E29"/>
    <mergeCell ref="B19:E19"/>
    <mergeCell ref="B37:E37"/>
    <mergeCell ref="B28:E28"/>
  </mergeCells>
  <dataValidations count="2">
    <dataValidation sqref="B9" showDropDown="0" showInputMessage="0" showErrorMessage="0" allowBlank="1" type="list">
      <formula1>"Draft,Final,Requires remediation,Re-assessment required"</formula1>
    </dataValidation>
    <dataValidation sqref="B32" showDropDown="0" showInputMessage="0" showErrorMessage="0" allowBlank="1" type="list">
      <formula1>"Approved,Approved with Conditions,Rejected,Deferred"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ISMS Core Contributors</dc:creator>
  <dc:title xmlns:dc="http://purl.org/dc/elements/1.1/">ISMS-IMP-A.8.31.1 — Environment Architecture Assessment</dc:title>
  <dc:description xmlns:dc="http://purl.org/dc/elements/1.1/">ISMS Implementation Workbook — ISMS-IMP-A.8.31.1</dc:description>
  <dc:subject xmlns:dc="http://purl.org/dc/elements/1.1/">ISO/IEC 27001:2022 — Control A.8.31: Separation of Development, Test and Production Environments</dc:subject>
  <dcterms:created xmlns:dcterms="http://purl.org/dc/terms/" xmlns:xsi="http://www.w3.org/2001/XMLSchema-instance" xsi:type="dcterms:W3CDTF">2026-03-01T10:27:40Z</dcterms:created>
  <dcterms:modified xmlns:dcterms="http://purl.org/dc/terms/" xmlns:xsi="http://www.w3.org/2001/XMLSchema-instance" xsi:type="dcterms:W3CDTF">2026-03-01T10:27:40Z</dcterms:modified>
</cp:coreProperties>
</file>