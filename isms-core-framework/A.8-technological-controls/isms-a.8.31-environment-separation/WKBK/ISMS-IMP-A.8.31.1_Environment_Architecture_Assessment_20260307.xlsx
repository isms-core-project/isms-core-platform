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nvironment Inventory" sheetId="2" state="visible" r:id="rId2"/>
    <sheet xmlns:r="http://schemas.openxmlformats.org/officeDocument/2006/relationships" name="Network Separation" sheetId="3" state="visible" r:id="rId3"/>
    <sheet xmlns:r="http://schemas.openxmlformats.org/officeDocument/2006/relationships" name="Infrastructure Separation" sheetId="4" state="visible" r:id="rId4"/>
    <sheet xmlns:r="http://schemas.openxmlformats.org/officeDocument/2006/relationships" name="Data Separation" sheetId="5" state="visible" r:id="rId5"/>
    <sheet xmlns:r="http://schemas.openxmlformats.org/officeDocument/2006/relationships" name="Credential Separation" sheetId="6" state="visible" r:id="rId6"/>
    <sheet xmlns:r="http://schemas.openxmlformats.org/officeDocument/2006/relationships" name="Configuration Consistency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i val="1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ISMS-IMP-A.8.31.1  -  Environment Architecture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ISMS-IMP-A.8.31.1</t>
        </is>
      </c>
    </row>
    <row r="5">
      <c r="A5" s="3" t="inlineStr">
        <is>
          <t>Workbook Title</t>
        </is>
      </c>
      <c r="B5" t="inlineStr">
        <is>
          <t>Environment Architecture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Environment Inventory sheet with all your environments (dev, test, staging, production).</t>
        </is>
      </c>
    </row>
    <row r="14">
      <c r="A14" t="inlineStr">
        <is>
          <t>2. Assess Network Separation — verify VLANs, VPCs, firewall rules prevent cross-environment access.</t>
        </is>
      </c>
    </row>
    <row r="15">
      <c r="A15" t="inlineStr">
        <is>
          <t>3. Assess Infrastructure Separation — verify separate servers, cloud accounts, databases.</t>
        </is>
      </c>
    </row>
    <row r="16">
      <c r="A16" t="inlineStr">
        <is>
          <t>4. Assess Data Separation — confirm NO production data in dev/test environments.</t>
        </is>
      </c>
    </row>
    <row r="17">
      <c r="A17" t="inlineStr">
        <is>
          <t>5. Assess Credential Separation — verify unique credentials per environment.</t>
        </is>
      </c>
    </row>
    <row r="18">
      <c r="A18" t="inlineStr">
        <is>
          <t>6. Review Configuration Consistency — check for drift between staging and production.</t>
        </is>
      </c>
    </row>
    <row r="19">
      <c r="A19" t="inlineStr">
        <is>
          <t>7. Complete Gap Analysis — document non-compliance areas and remediation plans.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5" customHeight="1">
      <c r="A1" s="11" t="inlineStr">
        <is>
          <t>ENVIRONMENT INVENTORY</t>
        </is>
      </c>
    </row>
    <row r="2">
      <c r="A2" s="12" t="inlineStr">
        <is>
          <t>Document all environments in use by [Organisation]</t>
        </is>
      </c>
    </row>
    <row r="4">
      <c r="A4" s="13" t="inlineStr">
        <is>
          <t>Environment Name</t>
        </is>
      </c>
      <c r="B4" s="13" t="inlineStr">
        <is>
          <t>Environment Type</t>
        </is>
      </c>
      <c r="C4" s="13" t="inlineStr">
        <is>
          <t>Purpose</t>
        </is>
      </c>
      <c r="D4" s="13" t="inlineStr">
        <is>
          <t>Infrastructure Type</t>
        </is>
      </c>
      <c r="E4" s="13" t="inlineStr">
        <is>
          <t>Primary Users</t>
        </is>
      </c>
      <c r="F4" s="13" t="inlineStr">
        <is>
          <t>Data Type Allowed</t>
        </is>
      </c>
      <c r="G4" s="13" t="inlineStr">
        <is>
          <t>Availability Target</t>
        </is>
      </c>
      <c r="H4" s="13" t="inlineStr">
        <is>
          <t>Change Control Level</t>
        </is>
      </c>
      <c r="I4" s="13" t="inlineStr">
        <is>
          <t>Notes</t>
        </is>
      </c>
    </row>
    <row r="5">
      <c r="A5" s="14" t="inlineStr">
        <is>
          <t>test-myapp</t>
        </is>
      </c>
      <c r="B5" s="14" t="inlineStr">
        <is>
          <t>Testing/QA</t>
        </is>
      </c>
      <c r="C5" s="14" t="inlineStr">
        <is>
          <t>QA and UAT</t>
        </is>
      </c>
      <c r="D5" s="14" t="inlineStr">
        <is>
          <t>AWS</t>
        </is>
      </c>
      <c r="E5" s="14" t="inlineStr">
        <is>
          <t>QA team, Business users</t>
        </is>
      </c>
      <c r="F5" s="14" t="inlineStr">
        <is>
          <t>Synthetic/Anonymized ONLY</t>
        </is>
      </c>
      <c r="G5" s="14" t="inlineStr">
        <is>
          <t>95% business hours</t>
        </is>
      </c>
      <c r="H5" s="14" t="inlineStr">
        <is>
          <t>Moderate</t>
        </is>
      </c>
      <c r="I5" s="14" t="inlineStr">
        <is>
          <t>Test account: 222222222222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2">
    <dataValidation sqref="B5:B55" showDropDown="0" showInputMessage="0" showErrorMessage="0" allowBlank="0" type="list">
      <formula1>"Development,Testing/QA,Staging,Production,Sandbox,DR/Backup,Training,Other"</formula1>
    </dataValidation>
    <dataValidation sqref="D5:D55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5" customHeight="1">
      <c r="A1" s="11" t="inlineStr">
        <is>
          <t>NETWORK SEPARATION ASSESSMENT</t>
        </is>
      </c>
    </row>
    <row r="2">
      <c r="A2" s="12" t="inlineStr">
        <is>
          <t>Verify network-level isolation between environments</t>
        </is>
      </c>
    </row>
    <row r="4">
      <c r="A4" s="13" t="inlineStr">
        <is>
          <t>Environment Pair</t>
        </is>
      </c>
      <c r="B4" s="13" t="inlineStr">
        <is>
          <t>Network Segment (VLAN/VPC)</t>
        </is>
      </c>
      <c r="C4" s="13" t="inlineStr">
        <is>
          <t>Firewall Rules</t>
        </is>
      </c>
      <c r="D4" s="13" t="inlineStr">
        <is>
          <t>Cross-Environment Traffic</t>
        </is>
      </c>
      <c r="E4" s="13" t="inlineStr">
        <is>
          <t>Separation Status</t>
        </is>
      </c>
      <c r="F4" s="13" t="inlineStr">
        <is>
          <t>Test Result</t>
        </is>
      </c>
      <c r="G4" s="13" t="inlineStr">
        <is>
          <t>Compliance</t>
        </is>
      </c>
      <c r="H4" s="13" t="inlineStr">
        <is>
          <t>Notes/Evidence</t>
        </is>
      </c>
    </row>
    <row r="5">
      <c r="A5" s="14" t="inlineStr">
        <is>
          <t>Dev → Test</t>
        </is>
      </c>
      <c r="B5" s="14" t="inlineStr">
        <is>
          <t>VLAN 100 → VLAN 200</t>
        </is>
      </c>
      <c r="C5" s="14" t="inlineStr">
        <is>
          <t>Default DENY</t>
        </is>
      </c>
      <c r="D5" s="14" t="inlineStr">
        <is>
          <t>No traffic allowed</t>
        </is>
      </c>
      <c r="E5" s="14" t="inlineStr">
        <is>
          <t>Complete</t>
        </is>
      </c>
      <c r="F5" s="14" t="inlineStr">
        <is>
          <t>Ping test FAILED (expected)</t>
        </is>
      </c>
      <c r="G5" s="14" t="inlineStr">
        <is>
          <t>Compliant</t>
        </is>
      </c>
      <c r="H5" s="14" t="inlineStr">
        <is>
          <t>Firewall rule export: evidence_001.pdf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"Compliant,Non-Compliant,Partial,Not Assessed,N/A"</formula1>
    </dataValidation>
    <dataValidation sqref="E5:E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5" customHeight="1">
      <c r="A1" s="11" t="inlineStr">
        <is>
          <t>INFRASTRUCTURE SEPARATION ASSESSMENT</t>
        </is>
      </c>
    </row>
    <row r="2">
      <c r="A2" s="12" t="inlineStr">
        <is>
          <t>Verify separate compute, storage, and database resources per environment</t>
        </is>
      </c>
    </row>
    <row r="4">
      <c r="A4" s="13" t="inlineStr">
        <is>
          <t>Environment</t>
        </is>
      </c>
      <c r="B4" s="13" t="inlineStr">
        <is>
          <t>Compute Resources</t>
        </is>
      </c>
      <c r="C4" s="13" t="inlineStr">
        <is>
          <t>Database Instances</t>
        </is>
      </c>
      <c r="D4" s="13" t="inlineStr">
        <is>
          <t>Storage/Buckets</t>
        </is>
      </c>
      <c r="E4" s="13" t="inlineStr">
        <is>
          <t>Cloud Account/Sub</t>
        </is>
      </c>
      <c r="F4" s="13" t="inlineStr">
        <is>
          <t>Shared Resources?</t>
        </is>
      </c>
      <c r="G4" s="13" t="inlineStr">
        <is>
          <t>Separation Status</t>
        </is>
      </c>
      <c r="H4" s="13" t="inlineStr">
        <is>
          <t>Compliance</t>
        </is>
      </c>
      <c r="I4" s="13" t="inlineStr">
        <is>
          <t>Evidence</t>
        </is>
      </c>
    </row>
    <row r="5">
      <c r="A5" s="14" t="inlineStr">
        <is>
          <t>Development</t>
        </is>
      </c>
      <c r="B5" s="14" t="inlineStr">
        <is>
          <t>3x t3.micro EC2</t>
        </is>
      </c>
      <c r="C5" s="14" t="inlineStr">
        <is>
          <t>dev-db.rds (t3.micro)</t>
        </is>
      </c>
      <c r="D5" s="14" t="inlineStr">
        <is>
          <t>s3://myorg-dev-data</t>
        </is>
      </c>
      <c r="E5" s="14" t="inlineStr">
        <is>
          <t>AWS: 111111111111</t>
        </is>
      </c>
      <c r="F5" s="14" t="inlineStr">
        <is>
          <t>No</t>
        </is>
      </c>
      <c r="G5" s="14" t="inlineStr">
        <is>
          <t>Complete</t>
        </is>
      </c>
      <c r="H5" s="14" t="inlineStr">
        <is>
          <t>Compliant</t>
        </is>
      </c>
      <c r="I5" s="14" t="inlineStr">
        <is>
          <t>AWS inventory: aws_dev_inventory.xlsx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F5:F58" showDropDown="0" showInputMessage="0" showErrorMessage="0" allowBlank="0" type="list">
      <formula1>"Yes,No"</formula1>
    </dataValidation>
    <dataValidation sqref="H5:H55" showDropDown="0" showInputMessage="0" showErrorMessage="0" allowBlank="0" type="list">
      <formula1>"Compliant,Non-Compliant,Partial,Not Assessed,N/A"</formula1>
    </dataValidation>
    <dataValidation sqref="G5:G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5" customHeight="1">
      <c r="A1" s="11" t="inlineStr">
        <is>
          <t>DATA SEPARATION ASSESSMENT</t>
        </is>
      </c>
    </row>
    <row r="2">
      <c r="A2" s="12" t="inlineStr">
        <is>
          <t>⚠️ CRITICAL: Verify NO production data in development or testing environments</t>
        </is>
      </c>
    </row>
    <row r="4">
      <c r="A4" s="13" t="inlineStr">
        <is>
          <t>Environment</t>
        </is>
      </c>
      <c r="B4" s="13" t="inlineStr">
        <is>
          <t>Data Type Used</t>
        </is>
      </c>
      <c r="C4" s="13" t="inlineStr">
        <is>
          <t>Production Data Present?</t>
        </is>
      </c>
      <c r="D4" s="13" t="inlineStr">
        <is>
          <t>Anonymization Applied?</t>
        </is>
      </c>
      <c r="E4" s="13" t="inlineStr">
        <is>
          <t>Synthetic Data Used?</t>
        </is>
      </c>
      <c r="F4" s="13" t="inlineStr">
        <is>
          <t>Data Source</t>
        </is>
      </c>
      <c r="G4" s="13" t="inlineStr">
        <is>
          <t>Compliance</t>
        </is>
      </c>
      <c r="H4" s="13" t="inlineStr">
        <is>
          <t>Evidence/Notes</t>
        </is>
      </c>
    </row>
    <row r="5">
      <c r="A5" s="14" t="inlineStr">
        <is>
          <t>Development</t>
        </is>
      </c>
      <c r="B5" s="14" t="inlineStr">
        <is>
          <t>Synthetic test data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Yes</t>
        </is>
      </c>
      <c r="F5" s="14" t="inlineStr">
        <is>
          <t>Faker library (Python)</t>
        </is>
      </c>
      <c r="G5" s="14" t="inlineStr">
        <is>
          <t>Compliant</t>
        </is>
      </c>
      <c r="H5" s="14" t="inlineStr">
        <is>
          <t>Data generation script: generate_testdata.py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C5:C55 D5:D55 E5:E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CREDENTIAL &amp; SECRETS SEPARATION ASSESSMENT</t>
        </is>
      </c>
    </row>
    <row r="2">
      <c r="A2" s="12" t="inlineStr">
        <is>
          <t>Verify unique credentials per environment and production secrets in PAM vault</t>
        </is>
      </c>
    </row>
    <row r="4">
      <c r="A4" s="13" t="inlineStr">
        <is>
          <t>Credential Type</t>
        </is>
      </c>
      <c r="B4" s="13" t="inlineStr">
        <is>
          <t>Development</t>
        </is>
      </c>
      <c r="C4" s="13" t="inlineStr">
        <is>
          <t>Testing</t>
        </is>
      </c>
      <c r="D4" s="13" t="inlineStr">
        <is>
          <t>Production</t>
        </is>
      </c>
      <c r="E4" s="13" t="inlineStr">
        <is>
          <t>Shared Credentials?</t>
        </is>
      </c>
      <c r="F4" s="13" t="inlineStr">
        <is>
          <t>Prod in PAM Vault?</t>
        </is>
      </c>
      <c r="G4" s="13" t="inlineStr">
        <is>
          <t>Compliance</t>
        </is>
      </c>
      <c r="H4" s="13" t="inlineStr">
        <is>
          <t>Evidence</t>
        </is>
      </c>
    </row>
    <row r="5">
      <c r="A5" s="14" t="inlineStr">
        <is>
          <t>Database Admin Password</t>
        </is>
      </c>
      <c r="B5" s="14" t="inlineStr">
        <is>
          <t>dev_admin / [unique-1]</t>
        </is>
      </c>
      <c r="C5" s="14" t="inlineStr">
        <is>
          <t>test_admin / [unique-2]</t>
        </is>
      </c>
      <c r="D5" s="14" t="inlineStr">
        <is>
          <t>prod_admin / [PAM-vault]</t>
        </is>
      </c>
      <c r="E5" s="14" t="inlineStr">
        <is>
          <t>No</t>
        </is>
      </c>
      <c r="F5" s="14" t="inlineStr">
        <is>
          <t>Yes</t>
        </is>
      </c>
      <c r="G5" s="14" t="inlineStr">
        <is>
          <t>Compliant</t>
        </is>
      </c>
      <c r="H5" s="14" t="inlineStr">
        <is>
          <t>CyberArk vault screenshot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E5:E55 F5:F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5" customHeight="1">
      <c r="A1" s="11" t="inlineStr">
        <is>
          <t>CONFIGURATION CONSISTENCY CHECK</t>
        </is>
      </c>
    </row>
    <row r="2">
      <c r="A2" s="12" t="inlineStr">
        <is>
          <t>Verify staging mirrors production configuration (drift detection)</t>
        </is>
      </c>
    </row>
    <row r="4">
      <c r="A4" s="13" t="inlineStr">
        <is>
          <t>Configuration Item</t>
        </is>
      </c>
      <c r="B4" s="13" t="inlineStr">
        <is>
          <t>Staging Config</t>
        </is>
      </c>
      <c r="C4" s="13" t="inlineStr">
        <is>
          <t>Production Config</t>
        </is>
      </c>
      <c r="D4" s="13" t="inlineStr">
        <is>
          <t>Match?</t>
        </is>
      </c>
      <c r="E4" s="13" t="inlineStr">
        <is>
          <t>Drift %</t>
        </is>
      </c>
      <c r="F4" s="13" t="inlineStr">
        <is>
          <t>Compliance</t>
        </is>
      </c>
      <c r="G4" s="13" t="inlineStr">
        <is>
          <t>Notes</t>
        </is>
      </c>
    </row>
    <row r="5">
      <c r="A5" s="14" t="inlineStr">
        <is>
          <t>Application Version</t>
        </is>
      </c>
      <c r="B5" s="14" t="inlineStr">
        <is>
          <t>v2.3.1</t>
        </is>
      </c>
      <c r="C5" s="14" t="inlineStr">
        <is>
          <t>v2.3.1</t>
        </is>
      </c>
      <c r="D5" s="14" t="inlineStr">
        <is>
          <t>Yes</t>
        </is>
      </c>
      <c r="E5" s="14" t="inlineStr">
        <is>
          <t>0%</t>
        </is>
      </c>
      <c r="F5" s="14" t="inlineStr">
        <is>
          <t>Compliant</t>
        </is>
      </c>
      <c r="G5" s="14" t="inlineStr">
        <is>
          <t>Versions match</t>
        </is>
      </c>
    </row>
    <row r="6">
      <c r="A6" s="15" t="inlineStr">
        <is>
          <t>Environment Labels in UI/Menus (ISO A.8.31 f)</t>
        </is>
      </c>
      <c r="B6" s="15" t="n"/>
      <c r="C6" s="15" t="n"/>
      <c r="D6" s="15" t="n"/>
      <c r="E6" s="15" t="n"/>
      <c r="F6" s="15" t="n"/>
      <c r="G6" s="15" t="inlineStr">
        <is>
          <t>Verify all UI screens/menus clearly label the active environment (DEV/TEST/PROD)</t>
        </is>
      </c>
    </row>
    <row r="7">
      <c r="A7" s="15" t="inlineStr">
        <is>
          <t>Security Patch Level Parity (DEV/TEST vs PROD)</t>
        </is>
      </c>
      <c r="B7" s="15" t="n"/>
      <c r="C7" s="15" t="n"/>
      <c r="D7" s="15" t="n"/>
      <c r="E7" s="15" t="n"/>
      <c r="F7" s="15" t="n"/>
      <c r="G7" s="15" t="inlineStr">
        <is>
          <t>Confirm dev and test environments are patched to the same level as production</t>
        </is>
      </c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dataValidations count="2">
    <dataValidation sqref="D5:D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6" t="inlineStr">
        <is>
          <t>Record all evidence collected during the assessment. Each row represents one piece of evidence.</t>
        </is>
      </c>
    </row>
    <row r="4" ht="30" customHeight="1">
      <c r="A4" s="17" t="inlineStr">
        <is>
          <t>Evidence ID</t>
        </is>
      </c>
      <c r="B4" s="17" t="inlineStr">
        <is>
          <t>Assessment Area</t>
        </is>
      </c>
      <c r="C4" s="17" t="inlineStr">
        <is>
          <t>Evidence Type</t>
        </is>
      </c>
      <c r="D4" s="17" t="inlineStr">
        <is>
          <t>Description</t>
        </is>
      </c>
      <c r="E4" s="17" t="inlineStr">
        <is>
          <t>Location / Path</t>
        </is>
      </c>
      <c r="F4" s="17" t="inlineStr">
        <is>
          <t>Date Collected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9" t="inlineStr">
        <is>
          <t>Environment Architecture</t>
        </is>
      </c>
      <c r="C5" s="19" t="inlineStr">
        <is>
          <t>Configuration file</t>
        </is>
      </c>
      <c r="D5" s="19" t="inlineStr">
        <is>
          <t>Network diagram showing environment separation</t>
        </is>
      </c>
      <c r="E5" s="19" t="inlineStr">
        <is>
          <t>\\fileserver\evidence\network_diagram_20260213.pdf</t>
        </is>
      </c>
      <c r="F5" s="19" t="inlineStr">
        <is>
          <t>13.02.2026</t>
        </is>
      </c>
      <c r="G5" s="19" t="inlineStr">
        <is>
          <t>Network Administrator</t>
        </is>
      </c>
      <c r="H5" s="19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5" customHeight="1">
      <c r="A1" s="11" t="inlineStr">
        <is>
          <t>GAP ANALYSIS &amp; REMEDIATION PLAN</t>
        </is>
      </c>
    </row>
    <row r="2">
      <c r="A2" s="12" t="inlineStr">
        <is>
          <t>Document non-compliance areas and remediation actions</t>
        </is>
      </c>
    </row>
    <row r="4">
      <c r="A4" s="13" t="inlineStr">
        <is>
          <t>Gap ID</t>
        </is>
      </c>
      <c r="B4" s="13" t="inlineStr">
        <is>
          <t>Area</t>
        </is>
      </c>
      <c r="C4" s="13" t="inlineStr">
        <is>
          <t>Gap Description</t>
        </is>
      </c>
      <c r="D4" s="13" t="inlineStr">
        <is>
          <t>Risk Severity</t>
        </is>
      </c>
      <c r="E4" s="13" t="inlineStr">
        <is>
          <t>Current State</t>
        </is>
      </c>
      <c r="F4" s="13" t="inlineStr">
        <is>
          <t>Target State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</row>
    <row r="5">
      <c r="A5" s="14" t="inlineStr">
        <is>
          <t>GAP-001</t>
        </is>
      </c>
      <c r="B5" s="14" t="inlineStr">
        <is>
          <t>Network Separation</t>
        </is>
      </c>
      <c r="C5" s="14" t="inlineStr">
        <is>
          <t>VPC peering exists between dev and staging</t>
        </is>
      </c>
      <c r="D5" s="14" t="inlineStr">
        <is>
          <t>Medium</t>
        </is>
      </c>
      <c r="E5" s="14" t="inlineStr">
        <is>
          <t>Dev VPC peered to Staging VPC</t>
        </is>
      </c>
      <c r="F5" s="14" t="inlineStr">
        <is>
          <t>No VPC peering between non-prod envs</t>
        </is>
      </c>
      <c r="G5" s="14" t="inlineStr">
        <is>
          <t>Remove VPC peering connection vpc-peer-12345</t>
        </is>
      </c>
      <c r="H5" s="14" t="inlineStr">
        <is>
          <t>Cloud Architect</t>
        </is>
      </c>
      <c r="I5" s="14" t="inlineStr">
        <is>
          <t>2026-02-15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1">
    <dataValidation sqref="D5:D55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ARCHITECTURE ASSESSMENT — SUMMARY DASHBOARD</t>
        </is>
      </c>
    </row>
    <row r="2">
      <c r="A2" s="20" t="inlineStr">
        <is>
          <t>ISO/IEC 27001:2022 - Control A.8.31: Separation of Development, Test and Production Environments</t>
        </is>
      </c>
    </row>
    <row r="4">
      <c r="A4" s="21" t="inlineStr">
        <is>
          <t>TABLE 1: ASSESSMENT AREA COMPLIANCE OVERVIEW</t>
        </is>
      </c>
    </row>
    <row r="5" ht="30" customHeight="1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Environment Inventory</t>
        </is>
      </c>
      <c r="B6" s="24">
        <f>COUNTA('Environment Inventory'!B6:B55)</f>
        <v/>
      </c>
      <c r="C6" s="24">
        <f>COUNTIF('Environment Inventory'!B6:B55,"Production")</f>
        <v/>
      </c>
      <c r="D6" s="24">
        <f>COUNTIF('Environment Inventory'!B6:B55,"Staging")</f>
        <v/>
      </c>
      <c r="E6" s="24">
        <f>COUNTIF('Environment Inventory'!B6:B55,"Testing/QA")+COUNTIF('Environment Inventory'!B6:B55,"Development")</f>
        <v/>
      </c>
      <c r="F6" s="24">
        <f>COUNTIF('Environment Inventory'!B6:B55,"Sandbox")+COUNTIF('Environment Inventory'!B6:B55,"DR/Backup")+COUNTIF('Environment Inventory'!B6:B55,"Training")+COUNTIF('Environment Inventory'!B6:B55,"Other")</f>
        <v/>
      </c>
      <c r="G6" s="25">
        <f>IF(B6=0,0,C6/B6)</f>
        <v/>
      </c>
    </row>
    <row r="7">
      <c r="A7" s="23" t="inlineStr">
        <is>
          <t>Network Separation</t>
        </is>
      </c>
      <c r="B7" s="24">
        <f>COUNTA('Network Separation'!G:G)</f>
        <v/>
      </c>
      <c r="C7" s="24">
        <f>COUNTIF('Network Separation'!G6:G55,"Compliant")</f>
        <v/>
      </c>
      <c r="D7" s="24">
        <f>COUNTIF('Network Separation'!G6:G55,"Partial")</f>
        <v/>
      </c>
      <c r="E7" s="24">
        <f>COUNTIF('Network Separation'!G6:G55,"Non-Compliant")+COUNTIF('Network Separation'!G6:G55,"Not Assessed")</f>
        <v/>
      </c>
      <c r="F7" s="24">
        <f>COUNTIF('Network Separation'!G6:G55,"N/A")</f>
        <v/>
      </c>
      <c r="G7" s="25">
        <f>IF((B7-F7)=0,0,C7/(B7-F7))</f>
        <v/>
      </c>
    </row>
    <row r="8">
      <c r="A8" s="23" t="inlineStr">
        <is>
          <t>Infrastructure Separation</t>
        </is>
      </c>
      <c r="B8" s="24">
        <f>COUNTA('Infrastructure Separation'!H:H)</f>
        <v/>
      </c>
      <c r="C8" s="24">
        <f>COUNTIF('Infrastructure Separation'!H6:H55,"Compliant")</f>
        <v/>
      </c>
      <c r="D8" s="24">
        <f>COUNTIF('Infrastructure Separation'!H6:H55,"Partial")</f>
        <v/>
      </c>
      <c r="E8" s="24">
        <f>COUNTIF('Infrastructure Separation'!H6:H55,"Non-Compliant")+COUNTIF('Infrastructure Separation'!H6:H55,"Not Assessed")</f>
        <v/>
      </c>
      <c r="F8" s="24">
        <f>COUNTIF('Infrastructure Separation'!H6:H55,"N/A")</f>
        <v/>
      </c>
      <c r="G8" s="25">
        <f>IF((B8-F8)=0,0,C8/(B8-F8))</f>
        <v/>
      </c>
    </row>
    <row r="9">
      <c r="A9" s="23" t="inlineStr">
        <is>
          <t>Data Separation</t>
        </is>
      </c>
      <c r="B9" s="24">
        <f>COUNTA('Data Separation'!G:G)</f>
        <v/>
      </c>
      <c r="C9" s="24">
        <f>COUNTIF('Data Separation'!G6:G55,"Compliant")</f>
        <v/>
      </c>
      <c r="D9" s="24">
        <f>COUNTIF('Data Separation'!G6:G55,"Partial")</f>
        <v/>
      </c>
      <c r="E9" s="24">
        <f>COUNTIF('Data Separation'!G6:G55,"Non-Compliant")+COUNTIF('Data Separation'!G6:G55,"Not Assessed")</f>
        <v/>
      </c>
      <c r="F9" s="24">
        <f>COUNTIF('Data Separation'!G6:G55,"N/A")</f>
        <v/>
      </c>
      <c r="G9" s="25">
        <f>IF((B9-F9)=0,0,C9/(B9-F9))</f>
        <v/>
      </c>
    </row>
    <row r="10">
      <c r="A10" s="23" t="inlineStr">
        <is>
          <t>Credential Separation</t>
        </is>
      </c>
      <c r="B10" s="24">
        <f>COUNTA('Credential Separation'!G:G)</f>
        <v/>
      </c>
      <c r="C10" s="24">
        <f>COUNTIF('Credential Separation'!G6:G55,"Compliant")</f>
        <v/>
      </c>
      <c r="D10" s="24">
        <f>COUNTIF('Credential Separation'!G6:G55,"Partial")</f>
        <v/>
      </c>
      <c r="E10" s="24">
        <f>COUNTIF('Credential Separation'!G6:G55,"Non-Compliant")+COUNTIF('Credential Separation'!G6:G55,"Not Assessed")</f>
        <v/>
      </c>
      <c r="F10" s="24">
        <f>COUNTIF('Credential Separation'!G6:G55,"N/A")</f>
        <v/>
      </c>
      <c r="G10" s="25">
        <f>IF((B10-F10)=0,0,C10/(B10-F10))</f>
        <v/>
      </c>
    </row>
    <row r="11">
      <c r="A11" s="23" t="inlineStr">
        <is>
          <t>Configuration Consistency</t>
        </is>
      </c>
      <c r="B11" s="24">
        <f>COUNTA('Configuration Consistency'!F:F)</f>
        <v/>
      </c>
      <c r="C11" s="24">
        <f>COUNTIF('Configuration Consistency'!F6:F55,"Compliant")</f>
        <v/>
      </c>
      <c r="D11" s="24">
        <f>COUNTIF('Configuration Consistency'!F6:F55,"Partial")</f>
        <v/>
      </c>
      <c r="E11" s="24">
        <f>COUNTIF('Configuration Consistency'!F6:F55,"Non-Compliant")+COUNTIF('Configuration Consistency'!F6:F55,"Not Assessed")</f>
        <v/>
      </c>
      <c r="F11" s="24">
        <f>COUNTIF('Configuration Consistency'!F6:F55,"N/A")</f>
        <v/>
      </c>
      <c r="G11" s="25">
        <f>IF((B11-F11)=0,0,C11/(B11-F11))</f>
        <v/>
      </c>
    </row>
    <row r="12">
      <c r="A12" s="23" t="inlineStr">
        <is>
          <t>Gap Analysis</t>
        </is>
      </c>
      <c r="B12" s="24">
        <f>COUNTA('Gap Analysis'!D6:D55)</f>
        <v/>
      </c>
      <c r="C12" s="24">
        <f>COUNTIF('Gap Analysis'!D6:D55,"Critical")</f>
        <v/>
      </c>
      <c r="D12" s="24">
        <f>COUNTIF('Gap Analysis'!D6:D55,"High")</f>
        <v/>
      </c>
      <c r="E12" s="24">
        <f>COUNTIF('Gap Analysis'!D6:D55,"Medium")</f>
        <v/>
      </c>
      <c r="F12" s="24">
        <f>COUNTIF('Gap Analysis'!D6:D55,"Low")+COUNTIF('Gap Analysis'!D6:D55,"Informational")</f>
        <v/>
      </c>
      <c r="G12" s="25">
        <f>IF(B12=0,0,(C12+D12)/B12)</f>
        <v/>
      </c>
    </row>
    <row r="13">
      <c r="A13" s="26" t="inlineStr">
        <is>
          <t>TOTAL</t>
        </is>
      </c>
      <c r="B13" s="27">
        <f>SUM(B6:B12)</f>
        <v/>
      </c>
      <c r="C13" s="27">
        <f>SUM(C6:C12)</f>
        <v/>
      </c>
      <c r="D13" s="27">
        <f>SUM(D6:D12)</f>
        <v/>
      </c>
      <c r="E13" s="27">
        <f>SUM(E6:E12)</f>
        <v/>
      </c>
      <c r="F13" s="27">
        <f>SUM(F6:F12)</f>
        <v/>
      </c>
      <c r="G13" s="27" t="inlineStr">
        <is>
          <t>N/A</t>
        </is>
      </c>
    </row>
    <row r="15">
      <c r="A15" s="28" t="inlineStr">
        <is>
          <t>TABLE 2: KEY METRICS</t>
        </is>
      </c>
      <c r="B15" s="6" t="n"/>
      <c r="C15" s="6" t="n"/>
      <c r="D15" s="6" t="n"/>
      <c r="E15" s="6" t="n"/>
      <c r="F15" s="6" t="n"/>
      <c r="G15" s="6" t="n"/>
    </row>
    <row r="16">
      <c r="A16" s="29" t="inlineStr">
        <is>
          <t>Metric</t>
        </is>
      </c>
      <c r="B16" s="29" t="inlineStr">
        <is>
          <t>Value</t>
        </is>
      </c>
      <c r="C16" s="29" t="inlineStr"/>
      <c r="D16" s="29" t="inlineStr"/>
      <c r="E16" s="29" t="inlineStr"/>
      <c r="F16" s="29" t="inlineStr"/>
      <c r="G16" s="29" t="inlineStr"/>
    </row>
    <row r="17">
      <c r="A17" s="30" t="inlineStr">
        <is>
          <t>Total Environments</t>
        </is>
      </c>
      <c r="B17" s="31">
        <f>COUNTA('Environment Inventory'!B6:B55)</f>
        <v/>
      </c>
      <c r="C17" s="6" t="n"/>
      <c r="D17" s="6" t="n"/>
      <c r="E17" s="6" t="n"/>
      <c r="F17" s="6" t="n"/>
      <c r="G17" s="6" t="n"/>
    </row>
    <row r="18">
      <c r="A18" s="30" t="inlineStr">
        <is>
          <t>Production Environments</t>
        </is>
      </c>
      <c r="B18" s="31">
        <f>COUNTIF('Environment Inventory'!B6:B55,"Production")</f>
        <v/>
      </c>
      <c r="C18" s="6" t="n"/>
      <c r="D18" s="6" t="n"/>
      <c r="E18" s="6" t="n"/>
      <c r="F18" s="6" t="n"/>
      <c r="G18" s="6" t="n"/>
    </row>
    <row r="19">
      <c r="A19" s="30" t="inlineStr">
        <is>
          <t>Non-Production Environments</t>
        </is>
      </c>
      <c r="B19" s="31">
        <f>COUNTIF('Environment Inventory'!B6:B55,"Development")+COUNTIF('Environment Inventory'!B6:B55,"Testing/QA")+COUNTIF('Environment Inventory'!B6:B55,"Staging")</f>
        <v/>
      </c>
      <c r="C19" s="6" t="n"/>
      <c r="D19" s="6" t="n"/>
      <c r="E19" s="6" t="n"/>
      <c r="F19" s="6" t="n"/>
      <c r="G19" s="6" t="n"/>
    </row>
    <row r="20">
      <c r="A20" s="30" t="inlineStr">
        <is>
          <t>Cloud-Based Environments</t>
        </is>
      </c>
      <c r="B20" s="31">
        <f>COUNTIF('Environment Inventory'!D6:D55,"AWS")+COUNTIF('Environment Inventory'!D6:D55,"Azure")+COUNTIF('Environment Inventory'!D6:D55,"GCP")</f>
        <v/>
      </c>
      <c r="C20" s="6" t="n"/>
      <c r="D20" s="6" t="n"/>
      <c r="E20" s="6" t="n"/>
      <c r="F20" s="6" t="n"/>
      <c r="G20" s="6" t="n"/>
    </row>
    <row r="21">
      <c r="A21" s="30" t="inlineStr">
        <is>
          <t>On-Premises Environments</t>
        </is>
      </c>
      <c r="B21" s="31">
        <f>COUNTIF('Environment Inventory'!D6:D55,"On-Premises")</f>
        <v/>
      </c>
      <c r="C21" s="6" t="n"/>
      <c r="D21" s="6" t="n"/>
      <c r="E21" s="6" t="n"/>
      <c r="F21" s="6" t="n"/>
      <c r="G21" s="6" t="n"/>
    </row>
    <row r="22">
      <c r="A22" s="30" t="inlineStr">
        <is>
          <t>Network Routes Assessed</t>
        </is>
      </c>
      <c r="B22" s="31">
        <f>COUNTA('Network Separation'!A6:A55)</f>
        <v/>
      </c>
      <c r="C22" s="6" t="n"/>
      <c r="D22" s="6" t="n"/>
      <c r="E22" s="6" t="n"/>
      <c r="F22" s="6" t="n"/>
      <c r="G22" s="6" t="n"/>
    </row>
    <row r="23">
      <c r="A23" s="30" t="inlineStr">
        <is>
          <t>Fully Separated (Complete)</t>
        </is>
      </c>
      <c r="B23" s="31">
        <f>COUNTIF('Network Separation'!E6:E55,"Complete")</f>
        <v/>
      </c>
      <c r="C23" s="6" t="n"/>
      <c r="D23" s="6" t="n"/>
      <c r="E23" s="6" t="n"/>
      <c r="F23" s="6" t="n"/>
      <c r="G23" s="6" t="n"/>
    </row>
    <row r="24">
      <c r="A24" s="30" t="inlineStr">
        <is>
          <t>Partially Separated</t>
        </is>
      </c>
      <c r="B24" s="31">
        <f>COUNTIF('Network Separation'!E6:E55,"Partial")</f>
        <v/>
      </c>
      <c r="C24" s="6" t="n"/>
      <c r="D24" s="6" t="n"/>
      <c r="E24" s="6" t="n"/>
      <c r="F24" s="6" t="n"/>
      <c r="G24" s="6" t="n"/>
    </row>
    <row r="25">
      <c r="A25" s="30" t="inlineStr">
        <is>
          <t>Not Separated</t>
        </is>
      </c>
      <c r="B25" s="31">
        <f>COUNTIF('Network Separation'!E6:E55,"None")</f>
        <v/>
      </c>
      <c r="C25" s="6" t="n"/>
      <c r="D25" s="6" t="n"/>
      <c r="E25" s="6" t="n"/>
      <c r="F25" s="6" t="n"/>
      <c r="G25" s="6" t="n"/>
    </row>
    <row r="26">
      <c r="A26" s="30" t="inlineStr">
        <is>
          <t>Infrastructure Components</t>
        </is>
      </c>
      <c r="B26" s="31">
        <f>COUNTA('Infrastructure Separation'!A6:A55)</f>
        <v/>
      </c>
      <c r="C26" s="6" t="n"/>
      <c r="D26" s="6" t="n"/>
      <c r="E26" s="6" t="n"/>
      <c r="F26" s="6" t="n"/>
      <c r="G26" s="6" t="n"/>
    </row>
    <row r="27">
      <c r="A27" s="30" t="inlineStr">
        <is>
          <t>Completely Separated Infrastructure</t>
        </is>
      </c>
      <c r="B27" s="31">
        <f>COUNTIF('Infrastructure Separation'!G6:G55,"Complete")</f>
        <v/>
      </c>
      <c r="C27" s="6" t="n"/>
      <c r="D27" s="6" t="n"/>
      <c r="E27" s="6" t="n"/>
      <c r="F27" s="6" t="n"/>
      <c r="G27" s="6" t="n"/>
    </row>
    <row r="28">
      <c r="A28" s="30" t="inlineStr">
        <is>
          <t>Shared Infrastructure Items</t>
        </is>
      </c>
      <c r="B28" s="31">
        <f>COUNTIF('Infrastructure Separation'!G6:G55,"None")+COUNTIF('Infrastructure Separation'!G6:G55,"Partial")</f>
        <v/>
      </c>
      <c r="C28" s="6" t="n"/>
      <c r="D28" s="6" t="n"/>
      <c r="E28" s="6" t="n"/>
      <c r="F28" s="6" t="n"/>
      <c r="G28" s="6" t="n"/>
    </row>
    <row r="29">
      <c r="A29" s="30" t="inlineStr">
        <is>
          <t>Data Stores Assessed</t>
        </is>
      </c>
      <c r="B29" s="31">
        <f>COUNTA('Data Separation'!A6:A55)</f>
        <v/>
      </c>
      <c r="C29" s="6" t="n"/>
      <c r="D29" s="6" t="n"/>
      <c r="E29" s="6" t="n"/>
      <c r="F29" s="6" t="n"/>
      <c r="G29" s="6" t="n"/>
    </row>
    <row r="30">
      <c r="A30" s="30" t="inlineStr">
        <is>
          <t>Fully Separated Data Stores</t>
        </is>
      </c>
      <c r="B30" s="31">
        <f>COUNTIF('Data Separation'!F6:F55,"Complete")</f>
        <v/>
      </c>
      <c r="C30" s="6" t="n"/>
      <c r="D30" s="6" t="n"/>
      <c r="E30" s="6" t="n"/>
      <c r="F30" s="6" t="n"/>
      <c r="G30" s="6" t="n"/>
    </row>
    <row r="31">
      <c r="A31" s="30" t="inlineStr">
        <is>
          <t>Partially Separated Data</t>
        </is>
      </c>
      <c r="B31" s="31">
        <f>COUNTIF('Data Separation'!F6:F55,"Partial")</f>
        <v/>
      </c>
      <c r="C31" s="6" t="n"/>
      <c r="D31" s="6" t="n"/>
      <c r="E31" s="6" t="n"/>
      <c r="F31" s="6" t="n"/>
      <c r="G31" s="6" t="n"/>
    </row>
    <row r="32">
      <c r="A32" s="30" t="inlineStr">
        <is>
          <t>Shared Data Stores</t>
        </is>
      </c>
      <c r="B32" s="31">
        <f>COUNTIF('Data Separation'!F6:F55,"None")</f>
        <v/>
      </c>
      <c r="C32" s="6" t="n"/>
      <c r="D32" s="6" t="n"/>
      <c r="E32" s="6" t="n"/>
      <c r="F32" s="6" t="n"/>
      <c r="G32" s="6" t="n"/>
    </row>
    <row r="33">
      <c r="A33" s="30" t="inlineStr">
        <is>
          <t>Credential Sets Assessed</t>
        </is>
      </c>
      <c r="B33" s="31">
        <f>COUNTA('Credential Separation'!A6:A55)</f>
        <v/>
      </c>
      <c r="C33" s="6" t="n"/>
      <c r="D33" s="6" t="n"/>
      <c r="E33" s="6" t="n"/>
      <c r="F33" s="6" t="n"/>
      <c r="G33" s="6" t="n"/>
    </row>
    <row r="34">
      <c r="A34" s="30" t="inlineStr">
        <is>
          <t>Dedicated Credentials</t>
        </is>
      </c>
      <c r="B34" s="31">
        <f>COUNTIF('Credential Separation'!E6:E55,"Yes")</f>
        <v/>
      </c>
      <c r="C34" s="6" t="n"/>
      <c r="D34" s="6" t="n"/>
      <c r="E34" s="6" t="n"/>
      <c r="F34" s="6" t="n"/>
      <c r="G34" s="6" t="n"/>
    </row>
    <row r="35">
      <c r="A35" s="30" t="inlineStr">
        <is>
          <t>Shared Credentials (Risk)</t>
        </is>
      </c>
      <c r="B35" s="31">
        <f>COUNTIF('Credential Separation'!E6:E55,"No")</f>
        <v/>
      </c>
      <c r="C35" s="6" t="n"/>
      <c r="D35" s="6" t="n"/>
      <c r="E35" s="6" t="n"/>
      <c r="F35" s="6" t="n"/>
      <c r="G35" s="6" t="n"/>
    </row>
    <row r="36">
      <c r="A36" s="30" t="inlineStr">
        <is>
          <t>Configuration Items</t>
        </is>
      </c>
      <c r="B36" s="31">
        <f>COUNTA('Configuration Consistency'!A6:A55)</f>
        <v/>
      </c>
      <c r="C36" s="6" t="n"/>
      <c r="D36" s="6" t="n"/>
      <c r="E36" s="6" t="n"/>
      <c r="F36" s="6" t="n"/>
      <c r="G36" s="6" t="n"/>
    </row>
    <row r="37">
      <c r="A37" s="30" t="inlineStr">
        <is>
          <t>Consistent Configs</t>
        </is>
      </c>
      <c r="B37" s="31">
        <f>COUNTIF('Configuration Consistency'!E6:E55,"Complete")</f>
        <v/>
      </c>
      <c r="C37" s="6" t="n"/>
      <c r="D37" s="6" t="n"/>
      <c r="E37" s="6" t="n"/>
      <c r="F37" s="6" t="n"/>
      <c r="G37" s="6" t="n"/>
    </row>
    <row r="38">
      <c r="A38" s="30" t="inlineStr">
        <is>
          <t>Inconsistent Configs</t>
        </is>
      </c>
      <c r="B38" s="31">
        <f>COUNTIF('Configuration Consistency'!E6:E55,"Partial")+COUNTIF('Configuration Consistency'!E6:E55,"None")</f>
        <v/>
      </c>
      <c r="C38" s="6" t="n"/>
      <c r="D38" s="6" t="n"/>
      <c r="E38" s="6" t="n"/>
      <c r="F38" s="6" t="n"/>
      <c r="G38" s="6" t="n"/>
    </row>
    <row r="39">
      <c r="A39" s="30" t="inlineStr">
        <is>
          <t>Total Gaps Identified</t>
        </is>
      </c>
      <c r="B39" s="31">
        <f>COUNTA('Gap Analysis'!D6:D55)</f>
        <v/>
      </c>
      <c r="C39" s="6" t="n"/>
      <c r="D39" s="6" t="n"/>
      <c r="E39" s="6" t="n"/>
      <c r="F39" s="6" t="n"/>
      <c r="G39" s="6" t="n"/>
    </row>
    <row r="40">
      <c r="A40" s="30" t="inlineStr">
        <is>
          <t>Critical Severity Gaps</t>
        </is>
      </c>
      <c r="B40" s="31">
        <f>COUNTIF('Gap Analysis'!D6:D55,"Critical")</f>
        <v/>
      </c>
      <c r="C40" s="6" t="n"/>
      <c r="D40" s="6" t="n"/>
      <c r="E40" s="6" t="n"/>
      <c r="F40" s="6" t="n"/>
      <c r="G40" s="6" t="n"/>
    </row>
    <row r="41">
      <c r="A41" s="30" t="inlineStr">
        <is>
          <t>High Severity Gaps</t>
        </is>
      </c>
      <c r="B41" s="31">
        <f>COUNTIF('Gap Analysis'!D6:D55,"High")</f>
        <v/>
      </c>
      <c r="C41" s="6" t="n"/>
      <c r="D41" s="6" t="n"/>
      <c r="E41" s="6" t="n"/>
      <c r="F41" s="6" t="n"/>
      <c r="G41" s="6" t="n"/>
    </row>
    <row r="42">
      <c r="A42" s="30" t="inlineStr">
        <is>
          <t>Critical+High Gaps</t>
        </is>
      </c>
      <c r="B42" s="31">
        <f>COUNTIF('Gap Analysis'!D6:D55,"Critical")+COUNTIF('Gap Analysis'!D6:D55,"High")</f>
        <v/>
      </c>
      <c r="C42" s="6" t="n"/>
      <c r="D42" s="6" t="n"/>
      <c r="E42" s="6" t="n"/>
      <c r="F42" s="6" t="n"/>
      <c r="G42" s="6" t="n"/>
    </row>
    <row r="43">
      <c r="A43" s="30" t="inlineStr">
        <is>
          <t>% High-Risk Gaps</t>
        </is>
      </c>
      <c r="B43" s="31">
        <f>IF(COUNTA('Gap Analysis'!D6:D55)=0,"0%",ROUND((COUNTIF('Gap Analysis'!D6:D55,"Critical")+COUNTIF('Gap Analysis'!D6:D55,"High"))/COUNTA('Gap Analysis'!D6:D55)*100,1)&amp;"%")</f>
        <v/>
      </c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7">
      <c r="A47" s="32" t="inlineStr">
        <is>
          <t>TABLE 3: CRITICAL FINDINGS</t>
        </is>
      </c>
    </row>
    <row r="48">
      <c r="A48" s="33" t="inlineStr">
        <is>
          <t>#</t>
        </is>
      </c>
      <c r="B48" s="33" t="inlineStr">
        <is>
          <t>Gap Description</t>
        </is>
      </c>
      <c r="C48" s="33" t="inlineStr">
        <is>
          <t>Severity</t>
        </is>
      </c>
      <c r="D48" s="33" t="inlineStr">
        <is>
          <t>Affected Area</t>
        </is>
      </c>
      <c r="E48" s="33" t="inlineStr">
        <is>
          <t>Remediation Action</t>
        </is>
      </c>
      <c r="F48" s="33" t="inlineStr">
        <is>
          <t>Owner</t>
        </is>
      </c>
      <c r="G48" s="33" t="inlineStr">
        <is>
          <t>Due Date</t>
        </is>
      </c>
    </row>
    <row r="49">
      <c r="A49" s="34" t="n">
        <v>1</v>
      </c>
      <c r="B49" s="35">
        <f>IFERROR(INDEX('Gap Analysis'!C:C,SMALL(IF((('Gap Analysis'!D:D="Critical")+('Gap Analysis'!D:D="High"))*(ROW('Gap Analysis'!D:D)&gt;=6),ROW('Gap Analysis'!D:D)),1)),"")</f>
        <v/>
      </c>
      <c r="C49" s="36">
        <f>IFERROR(INDEX('Gap Analysis'!D:D,SMALL(IF((('Gap Analysis'!D:D="Critical")+('Gap Analysis'!D:D="High"))*(ROW('Gap Analysis'!D:D)&gt;=6),ROW('Gap Analysis'!D:D)),1)),"")</f>
        <v/>
      </c>
      <c r="D49" s="37">
        <f>IFERROR(INDEX('Gap Analysis'!B:B,SMALL(IF((('Gap Analysis'!D:D="Critical")+('Gap Analysis'!D:D="High"))*(ROW('Gap Analysis'!D:D)&gt;=6),ROW('Gap Analysis'!D:D)),1)),"")</f>
        <v/>
      </c>
      <c r="E49" s="35">
        <f>IFERROR(INDEX('Gap Analysis'!G:G,SMALL(IF((('Gap Analysis'!D:D="Critical")+('Gap Analysis'!D:D="High"))*(ROW('Gap Analysis'!D:D)&gt;=6),ROW('Gap Analysis'!D:D)),1)),"")</f>
        <v/>
      </c>
      <c r="F49" s="37">
        <f>IFERROR(INDEX('Gap Analysis'!H:H,SMALL(IF((('Gap Analysis'!D:D="Critical")+('Gap Analysis'!D:D="High"))*(ROW('Gap Analysis'!D:D)&gt;=6),ROW('Gap Analysis'!D:D)),1)),"")</f>
        <v/>
      </c>
      <c r="G49" s="36">
        <f>IFERROR(INDEX('Gap Analysis'!I:I,SMALL(IF((('Gap Analysis'!D:D="Critical")+('Gap Analysis'!D:D="High"))*(ROW('Gap Analysis'!D:D)&gt;=6),ROW('Gap Analysis'!D:D)),1)),"")</f>
        <v/>
      </c>
    </row>
    <row r="50">
      <c r="A50" s="34" t="n">
        <v>2</v>
      </c>
      <c r="B50" s="35">
        <f>IFERROR(INDEX('Gap Analysis'!C:C,SMALL(IF((('Gap Analysis'!D:D="Critical")+('Gap Analysis'!D:D="High"))*(ROW('Gap Analysis'!D:D)&gt;=6),ROW('Gap Analysis'!D:D)),2)),"")</f>
        <v/>
      </c>
      <c r="C50" s="36">
        <f>IFERROR(INDEX('Gap Analysis'!D:D,SMALL(IF((('Gap Analysis'!D:D="Critical")+('Gap Analysis'!D:D="High"))*(ROW('Gap Analysis'!D:D)&gt;=6),ROW('Gap Analysis'!D:D)),2)),"")</f>
        <v/>
      </c>
      <c r="D50" s="37">
        <f>IFERROR(INDEX('Gap Analysis'!B:B,SMALL(IF((('Gap Analysis'!D:D="Critical")+('Gap Analysis'!D:D="High"))*(ROW('Gap Analysis'!D:D)&gt;=6),ROW('Gap Analysis'!D:D)),2)),"")</f>
        <v/>
      </c>
      <c r="E50" s="35">
        <f>IFERROR(INDEX('Gap Analysis'!G:G,SMALL(IF((('Gap Analysis'!D:D="Critical")+('Gap Analysis'!D:D="High"))*(ROW('Gap Analysis'!D:D)&gt;=6),ROW('Gap Analysis'!D:D)),2)),"")</f>
        <v/>
      </c>
      <c r="F50" s="37">
        <f>IFERROR(INDEX('Gap Analysis'!H:H,SMALL(IF((('Gap Analysis'!D:D="Critical")+('Gap Analysis'!D:D="High"))*(ROW('Gap Analysis'!D:D)&gt;=6),ROW('Gap Analysis'!D:D)),2)),"")</f>
        <v/>
      </c>
      <c r="G50" s="36">
        <f>IFERROR(INDEX('Gap Analysis'!I:I,SMALL(IF((('Gap Analysis'!D:D="Critical")+('Gap Analysis'!D:D="High"))*(ROW('Gap Analysis'!D:D)&gt;=6),ROW('Gap Analysis'!D:D)),2)),"")</f>
        <v/>
      </c>
    </row>
    <row r="51">
      <c r="A51" s="34" t="n">
        <v>3</v>
      </c>
      <c r="B51" s="35">
        <f>IFERROR(INDEX('Gap Analysis'!C:C,SMALL(IF((('Gap Analysis'!D:D="Critical")+('Gap Analysis'!D:D="High"))*(ROW('Gap Analysis'!D:D)&gt;=6),ROW('Gap Analysis'!D:D)),3)),"")</f>
        <v/>
      </c>
      <c r="C51" s="36">
        <f>IFERROR(INDEX('Gap Analysis'!D:D,SMALL(IF((('Gap Analysis'!D:D="Critical")+('Gap Analysis'!D:D="High"))*(ROW('Gap Analysis'!D:D)&gt;=6),ROW('Gap Analysis'!D:D)),3)),"")</f>
        <v/>
      </c>
      <c r="D51" s="37">
        <f>IFERROR(INDEX('Gap Analysis'!B:B,SMALL(IF((('Gap Analysis'!D:D="Critical")+('Gap Analysis'!D:D="High"))*(ROW('Gap Analysis'!D:D)&gt;=6),ROW('Gap Analysis'!D:D)),3)),"")</f>
        <v/>
      </c>
      <c r="E51" s="35">
        <f>IFERROR(INDEX('Gap Analysis'!G:G,SMALL(IF((('Gap Analysis'!D:D="Critical")+('Gap Analysis'!D:D="High"))*(ROW('Gap Analysis'!D:D)&gt;=6),ROW('Gap Analysis'!D:D)),3)),"")</f>
        <v/>
      </c>
      <c r="F51" s="37">
        <f>IFERROR(INDEX('Gap Analysis'!H:H,SMALL(IF((('Gap Analysis'!D:D="Critical")+('Gap Analysis'!D:D="High"))*(ROW('Gap Analysis'!D:D)&gt;=6),ROW('Gap Analysis'!D:D)),3)),"")</f>
        <v/>
      </c>
      <c r="G51" s="36">
        <f>IFERROR(INDEX('Gap Analysis'!I:I,SMALL(IF((('Gap Analysis'!D:D="Critical")+('Gap Analysis'!D:D="High"))*(ROW('Gap Analysis'!D:D)&gt;=6),ROW('Gap Analysis'!D:D)),3)),"")</f>
        <v/>
      </c>
    </row>
    <row r="52">
      <c r="A52" s="34" t="n">
        <v>4</v>
      </c>
      <c r="B52" s="35">
        <f>IFERROR(INDEX('Gap Analysis'!C:C,SMALL(IF((('Gap Analysis'!D:D="Critical")+('Gap Analysis'!D:D="High"))*(ROW('Gap Analysis'!D:D)&gt;=6),ROW('Gap Analysis'!D:D)),4)),"")</f>
        <v/>
      </c>
      <c r="C52" s="36">
        <f>IFERROR(INDEX('Gap Analysis'!D:D,SMALL(IF((('Gap Analysis'!D:D="Critical")+('Gap Analysis'!D:D="High"))*(ROW('Gap Analysis'!D:D)&gt;=6),ROW('Gap Analysis'!D:D)),4)),"")</f>
        <v/>
      </c>
      <c r="D52" s="37">
        <f>IFERROR(INDEX('Gap Analysis'!B:B,SMALL(IF((('Gap Analysis'!D:D="Critical")+('Gap Analysis'!D:D="High"))*(ROW('Gap Analysis'!D:D)&gt;=6),ROW('Gap Analysis'!D:D)),4)),"")</f>
        <v/>
      </c>
      <c r="E52" s="35">
        <f>IFERROR(INDEX('Gap Analysis'!G:G,SMALL(IF((('Gap Analysis'!D:D="Critical")+('Gap Analysis'!D:D="High"))*(ROW('Gap Analysis'!D:D)&gt;=6),ROW('Gap Analysis'!D:D)),4)),"")</f>
        <v/>
      </c>
      <c r="F52" s="37">
        <f>IFERROR(INDEX('Gap Analysis'!H:H,SMALL(IF((('Gap Analysis'!D:D="Critical")+('Gap Analysis'!D:D="High"))*(ROW('Gap Analysis'!D:D)&gt;=6),ROW('Gap Analysis'!D:D)),4)),"")</f>
        <v/>
      </c>
      <c r="G52" s="36">
        <f>IFERROR(INDEX('Gap Analysis'!I:I,SMALL(IF((('Gap Analysis'!D:D="Critical")+('Gap Analysis'!D:D="High"))*(ROW('Gap Analysis'!D:D)&gt;=6),ROW('Gap Analysis'!D:D)),4)),"")</f>
        <v/>
      </c>
    </row>
    <row r="53">
      <c r="A53" s="34" t="n">
        <v>5</v>
      </c>
      <c r="B53" s="35">
        <f>IFERROR(INDEX('Gap Analysis'!C:C,SMALL(IF((('Gap Analysis'!D:D="Critical")+('Gap Analysis'!D:D="High"))*(ROW('Gap Analysis'!D:D)&gt;=6),ROW('Gap Analysis'!D:D)),5)),"")</f>
        <v/>
      </c>
      <c r="C53" s="36">
        <f>IFERROR(INDEX('Gap Analysis'!D:D,SMALL(IF((('Gap Analysis'!D:D="Critical")+('Gap Analysis'!D:D="High"))*(ROW('Gap Analysis'!D:D)&gt;=6),ROW('Gap Analysis'!D:D)),5)),"")</f>
        <v/>
      </c>
      <c r="D53" s="37">
        <f>IFERROR(INDEX('Gap Analysis'!B:B,SMALL(IF((('Gap Analysis'!D:D="Critical")+('Gap Analysis'!D:D="High"))*(ROW('Gap Analysis'!D:D)&gt;=6),ROW('Gap Analysis'!D:D)),5)),"")</f>
        <v/>
      </c>
      <c r="E53" s="35">
        <f>IFERROR(INDEX('Gap Analysis'!G:G,SMALL(IF((('Gap Analysis'!D:D="Critical")+('Gap Analysis'!D:D="High"))*(ROW('Gap Analysis'!D:D)&gt;=6),ROW('Gap Analysis'!D:D)),5)),"")</f>
        <v/>
      </c>
      <c r="F53" s="37">
        <f>IFERROR(INDEX('Gap Analysis'!H:H,SMALL(IF((('Gap Analysis'!D:D="Critical")+('Gap Analysis'!D:D="High"))*(ROW('Gap Analysis'!D:D)&gt;=6),ROW('Gap Analysis'!D:D)),5)),"")</f>
        <v/>
      </c>
      <c r="G53" s="36">
        <f>IFERROR(INDEX('Gap Analysis'!I:I,SMALL(IF((('Gap Analysis'!D:D="Critical")+('Gap Analysis'!D:D="High"))*(ROW('Gap Analysis'!D:D)&gt;=6),ROW('Gap Analysis'!D:D)),5)),"")</f>
        <v/>
      </c>
    </row>
    <row r="54">
      <c r="A54" s="34" t="n">
        <v>6</v>
      </c>
      <c r="B54" s="35">
        <f>IFERROR(INDEX('Gap Analysis'!C:C,SMALL(IF((('Gap Analysis'!D:D="Critical")+('Gap Analysis'!D:D="High"))*(ROW('Gap Analysis'!D:D)&gt;=6),ROW('Gap Analysis'!D:D)),6)),"")</f>
        <v/>
      </c>
      <c r="C54" s="36">
        <f>IFERROR(INDEX('Gap Analysis'!D:D,SMALL(IF((('Gap Analysis'!D:D="Critical")+('Gap Analysis'!D:D="High"))*(ROW('Gap Analysis'!D:D)&gt;=6),ROW('Gap Analysis'!D:D)),6)),"")</f>
        <v/>
      </c>
      <c r="D54" s="37">
        <f>IFERROR(INDEX('Gap Analysis'!B:B,SMALL(IF((('Gap Analysis'!D:D="Critical")+('Gap Analysis'!D:D="High"))*(ROW('Gap Analysis'!D:D)&gt;=6),ROW('Gap Analysis'!D:D)),6)),"")</f>
        <v/>
      </c>
      <c r="E54" s="35">
        <f>IFERROR(INDEX('Gap Analysis'!G:G,SMALL(IF((('Gap Analysis'!D:D="Critical")+('Gap Analysis'!D:D="High"))*(ROW('Gap Analysis'!D:D)&gt;=6),ROW('Gap Analysis'!D:D)),6)),"")</f>
        <v/>
      </c>
      <c r="F54" s="37">
        <f>IFERROR(INDEX('Gap Analysis'!H:H,SMALL(IF((('Gap Analysis'!D:D="Critical")+('Gap Analysis'!D:D="High"))*(ROW('Gap Analysis'!D:D)&gt;=6),ROW('Gap Analysis'!D:D)),6)),"")</f>
        <v/>
      </c>
      <c r="G54" s="36">
        <f>IFERROR(INDEX('Gap Analysis'!I:I,SMALL(IF((('Gap Analysis'!D:D="Critical")+('Gap Analysis'!D:D="High"))*(ROW('Gap Analysis'!D:D)&gt;=6),ROW('Gap Analysis'!D:D)),6)),"")</f>
        <v/>
      </c>
    </row>
    <row r="55">
      <c r="A55" s="34" t="n">
        <v>7</v>
      </c>
      <c r="B55" s="35">
        <f>IFERROR(INDEX('Gap Analysis'!C:C,SMALL(IF((('Gap Analysis'!D:D="Critical")+('Gap Analysis'!D:D="High"))*(ROW('Gap Analysis'!D:D)&gt;=6),ROW('Gap Analysis'!D:D)),7)),"")</f>
        <v/>
      </c>
      <c r="C55" s="36">
        <f>IFERROR(INDEX('Gap Analysis'!D:D,SMALL(IF((('Gap Analysis'!D:D="Critical")+('Gap Analysis'!D:D="High"))*(ROW('Gap Analysis'!D:D)&gt;=6),ROW('Gap Analysis'!D:D)),7)),"")</f>
        <v/>
      </c>
      <c r="D55" s="37">
        <f>IFERROR(INDEX('Gap Analysis'!B:B,SMALL(IF((('Gap Analysis'!D:D="Critical")+('Gap Analysis'!D:D="High"))*(ROW('Gap Analysis'!D:D)&gt;=6),ROW('Gap Analysis'!D:D)),7)),"")</f>
        <v/>
      </c>
      <c r="E55" s="35">
        <f>IFERROR(INDEX('Gap Analysis'!G:G,SMALL(IF((('Gap Analysis'!D:D="Critical")+('Gap Analysis'!D:D="High"))*(ROW('Gap Analysis'!D:D)&gt;=6),ROW('Gap Analysis'!D:D)),7)),"")</f>
        <v/>
      </c>
      <c r="F55" s="37">
        <f>IFERROR(INDEX('Gap Analysis'!H:H,SMALL(IF((('Gap Analysis'!D:D="Critical")+('Gap Analysis'!D:D="High"))*(ROW('Gap Analysis'!D:D)&gt;=6),ROW('Gap Analysis'!D:D)),7)),"")</f>
        <v/>
      </c>
      <c r="G55" s="36">
        <f>IFERROR(INDEX('Gap Analysis'!I:I,SMALL(IF((('Gap Analysis'!D:D="Critical")+('Gap Analysis'!D:D="High"))*(ROW('Gap Analysis'!D:D)&gt;=6),ROW('Gap Analysis'!D:D)),7)),"")</f>
        <v/>
      </c>
    </row>
    <row r="56">
      <c r="A56" s="34" t="n">
        <v>8</v>
      </c>
      <c r="B56" s="35">
        <f>IFERROR(INDEX('Gap Analysis'!C:C,SMALL(IF((('Gap Analysis'!D:D="Critical")+('Gap Analysis'!D:D="High"))*(ROW('Gap Analysis'!D:D)&gt;=6),ROW('Gap Analysis'!D:D)),8)),"")</f>
        <v/>
      </c>
      <c r="C56" s="36">
        <f>IFERROR(INDEX('Gap Analysis'!D:D,SMALL(IF((('Gap Analysis'!D:D="Critical")+('Gap Analysis'!D:D="High"))*(ROW('Gap Analysis'!D:D)&gt;=6),ROW('Gap Analysis'!D:D)),8)),"")</f>
        <v/>
      </c>
      <c r="D56" s="37">
        <f>IFERROR(INDEX('Gap Analysis'!B:B,SMALL(IF((('Gap Analysis'!D:D="Critical")+('Gap Analysis'!D:D="High"))*(ROW('Gap Analysis'!D:D)&gt;=6),ROW('Gap Analysis'!D:D)),8)),"")</f>
        <v/>
      </c>
      <c r="E56" s="35">
        <f>IFERROR(INDEX('Gap Analysis'!G:G,SMALL(IF((('Gap Analysis'!D:D="Critical")+('Gap Analysis'!D:D="High"))*(ROW('Gap Analysis'!D:D)&gt;=6),ROW('Gap Analysis'!D:D)),8)),"")</f>
        <v/>
      </c>
      <c r="F56" s="37">
        <f>IFERROR(INDEX('Gap Analysis'!H:H,SMALL(IF((('Gap Analysis'!D:D="Critical")+('Gap Analysis'!D:D="High"))*(ROW('Gap Analysis'!D:D)&gt;=6),ROW('Gap Analysis'!D:D)),8)),"")</f>
        <v/>
      </c>
      <c r="G56" s="36">
        <f>IFERROR(INDEX('Gap Analysis'!I:I,SMALL(IF((('Gap Analysis'!D:D="Critical")+('Gap Analysis'!D:D="High"))*(ROW('Gap Analysis'!D:D)&gt;=6),ROW('Gap Analysis'!D:D)),8)),"")</f>
        <v/>
      </c>
    </row>
    <row r="57">
      <c r="A57" s="34" t="n">
        <v>9</v>
      </c>
      <c r="B57" s="35">
        <f>IFERROR(INDEX('Gap Analysis'!C:C,SMALL(IF((('Gap Analysis'!D:D="Critical")+('Gap Analysis'!D:D="High"))*(ROW('Gap Analysis'!D:D)&gt;=6),ROW('Gap Analysis'!D:D)),9)),"")</f>
        <v/>
      </c>
      <c r="C57" s="36">
        <f>IFERROR(INDEX('Gap Analysis'!D:D,SMALL(IF((('Gap Analysis'!D:D="Critical")+('Gap Analysis'!D:D="High"))*(ROW('Gap Analysis'!D:D)&gt;=6),ROW('Gap Analysis'!D:D)),9)),"")</f>
        <v/>
      </c>
      <c r="D57" s="37">
        <f>IFERROR(INDEX('Gap Analysis'!B:B,SMALL(IF((('Gap Analysis'!D:D="Critical")+('Gap Analysis'!D:D="High"))*(ROW('Gap Analysis'!D:D)&gt;=6),ROW('Gap Analysis'!D:D)),9)),"")</f>
        <v/>
      </c>
      <c r="E57" s="35">
        <f>IFERROR(INDEX('Gap Analysis'!G:G,SMALL(IF((('Gap Analysis'!D:D="Critical")+('Gap Analysis'!D:D="High"))*(ROW('Gap Analysis'!D:D)&gt;=6),ROW('Gap Analysis'!D:D)),9)),"")</f>
        <v/>
      </c>
      <c r="F57" s="37">
        <f>IFERROR(INDEX('Gap Analysis'!H:H,SMALL(IF((('Gap Analysis'!D:D="Critical")+('Gap Analysis'!D:D="High"))*(ROW('Gap Analysis'!D:D)&gt;=6),ROW('Gap Analysis'!D:D)),9)),"")</f>
        <v/>
      </c>
      <c r="G57" s="36">
        <f>IFERROR(INDEX('Gap Analysis'!I:I,SMALL(IF((('Gap Analysis'!D:D="Critical")+('Gap Analysis'!D:D="High"))*(ROW('Gap Analysis'!D:D)&gt;=6),ROW('Gap Analysis'!D:D)),9)),"")</f>
        <v/>
      </c>
    </row>
    <row r="58">
      <c r="A58" s="34" t="n">
        <v>10</v>
      </c>
      <c r="B58" s="35">
        <f>IFERROR(INDEX('Gap Analysis'!C:C,SMALL(IF((('Gap Analysis'!D:D="Critical")+('Gap Analysis'!D:D="High"))*(ROW('Gap Analysis'!D:D)&gt;=6),ROW('Gap Analysis'!D:D)),10)),"")</f>
        <v/>
      </c>
      <c r="C58" s="36">
        <f>IFERROR(INDEX('Gap Analysis'!D:D,SMALL(IF((('Gap Analysis'!D:D="Critical")+('Gap Analysis'!D:D="High"))*(ROW('Gap Analysis'!D:D)&gt;=6),ROW('Gap Analysis'!D:D)),10)),"")</f>
        <v/>
      </c>
      <c r="D58" s="37">
        <f>IFERROR(INDEX('Gap Analysis'!B:B,SMALL(IF((('Gap Analysis'!D:D="Critical")+('Gap Analysis'!D:D="High"))*(ROW('Gap Analysis'!D:D)&gt;=6),ROW('Gap Analysis'!D:D)),10)),"")</f>
        <v/>
      </c>
      <c r="E58" s="35">
        <f>IFERROR(INDEX('Gap Analysis'!G:G,SMALL(IF((('Gap Analysis'!D:D="Critical")+('Gap Analysis'!D:D="High"))*(ROW('Gap Analysis'!D:D)&gt;=6),ROW('Gap Analysis'!D:D)),10)),"")</f>
        <v/>
      </c>
      <c r="F58" s="37">
        <f>IFERROR(INDEX('Gap Analysis'!H:H,SMALL(IF((('Gap Analysis'!D:D="Critical")+('Gap Analysis'!D:D="High"))*(ROW('Gap Analysis'!D:D)&gt;=6),ROW('Gap Analysis'!D:D)),10)),"")</f>
        <v/>
      </c>
      <c r="G58" s="36">
        <f>IFERROR(INDEX('Gap Analysis'!I:I,SMALL(IF((('Gap Analysis'!D:D="Critical")+('Gap Analysis'!D:D="High"))*(ROW('Gap Analysis'!D:D)&gt;=6),ROW('Gap Analysis'!D:D)),10)),"")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</sheetData>
  <mergeCells count="5">
    <mergeCell ref="A1:G1"/>
    <mergeCell ref="A4:G4"/>
    <mergeCell ref="A2:G2"/>
    <mergeCell ref="A15:G15"/>
    <mergeCell ref="A47:G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0" t="inlineStr">
        <is>
          <t>ASSESSMENT SUMMARY</t>
        </is>
      </c>
      <c r="B4" s="6" t="n"/>
      <c r="C4" s="6" t="n"/>
      <c r="D4" s="6" t="n"/>
      <c r="E4" s="6" t="n"/>
    </row>
    <row r="5">
      <c r="A5" s="41" t="inlineStr">
        <is>
          <t>Document:</t>
        </is>
      </c>
      <c r="B5" s="6" t="inlineStr">
        <is>
          <t>ISMS-IMP-A.8.31.1</t>
        </is>
      </c>
      <c r="C5" s="6" t="n"/>
      <c r="D5" s="6" t="n"/>
      <c r="E5" s="6" t="n"/>
    </row>
    <row r="6">
      <c r="A6" s="41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1" t="inlineStr">
        <is>
          <t>Assessment Period:</t>
        </is>
      </c>
      <c r="B7" s="4" t="inlineStr"/>
      <c r="C7" s="4" t="n"/>
      <c r="D7" s="4" t="n"/>
      <c r="E7" s="4" t="n"/>
    </row>
    <row r="8">
      <c r="A8" s="41" t="inlineStr">
        <is>
          <t>Assessed By:</t>
        </is>
      </c>
      <c r="B8" s="4" t="inlineStr"/>
      <c r="C8" s="4" t="n"/>
      <c r="D8" s="4" t="n"/>
      <c r="E8" s="4" t="n"/>
    </row>
    <row r="9">
      <c r="A9" s="41" t="inlineStr">
        <is>
          <t>Assessment Status:</t>
        </is>
      </c>
      <c r="B9" s="4" t="inlineStr"/>
      <c r="C9" s="4" t="n"/>
      <c r="D9" s="4" t="n"/>
      <c r="E9" s="4" t="n"/>
    </row>
    <row r="11">
      <c r="A11" s="40" t="inlineStr">
        <is>
          <t>COMPLETED BY — Assessment Lead</t>
        </is>
      </c>
      <c r="B11" s="6" t="n"/>
      <c r="C11" s="6" t="n"/>
      <c r="D11" s="6" t="n"/>
      <c r="E11" s="6" t="n"/>
    </row>
    <row r="12">
      <c r="A12" s="41" t="inlineStr">
        <is>
          <t>Name:</t>
        </is>
      </c>
      <c r="B12" s="4" t="n"/>
      <c r="C12" s="4" t="n"/>
      <c r="D12" s="4" t="n"/>
      <c r="E12" s="4" t="n"/>
    </row>
    <row r="13">
      <c r="A13" s="41" t="inlineStr">
        <is>
          <t>Title:</t>
        </is>
      </c>
      <c r="B13" s="4" t="n"/>
      <c r="C13" s="4" t="n"/>
      <c r="D13" s="4" t="n"/>
      <c r="E13" s="4" t="n"/>
    </row>
    <row r="14">
      <c r="A14" s="41" t="inlineStr">
        <is>
          <t>Date:</t>
        </is>
      </c>
      <c r="B14" s="4" t="n"/>
      <c r="C14" s="4" t="n"/>
      <c r="D14" s="4" t="n"/>
      <c r="E14" s="4" t="n"/>
    </row>
    <row r="15">
      <c r="A15" s="41" t="inlineStr">
        <is>
          <t>Signature:</t>
        </is>
      </c>
      <c r="B15" s="4" t="n"/>
      <c r="C15" s="4" t="n"/>
      <c r="D15" s="4" t="n"/>
      <c r="E15" s="4" t="n"/>
    </row>
    <row r="16">
      <c r="A16" s="41" t="inlineStr">
        <is>
          <t>Comments:</t>
        </is>
      </c>
      <c r="B16" s="4" t="n"/>
      <c r="C16" s="4" t="n"/>
      <c r="D16" s="4" t="n"/>
      <c r="E16" s="4" t="n"/>
    </row>
    <row r="18">
      <c r="A18" s="40" t="inlineStr">
        <is>
          <t>REVIEWED BY — Security Manager</t>
        </is>
      </c>
      <c r="B18" s="6" t="n"/>
      <c r="C18" s="6" t="n"/>
      <c r="D18" s="6" t="n"/>
      <c r="E18" s="6" t="n"/>
    </row>
    <row r="19">
      <c r="A19" s="41" t="inlineStr">
        <is>
          <t>Name:</t>
        </is>
      </c>
      <c r="B19" s="4" t="n"/>
      <c r="C19" s="4" t="n"/>
      <c r="D19" s="4" t="n"/>
      <c r="E19" s="4" t="n"/>
    </row>
    <row r="20">
      <c r="A20" s="41" t="inlineStr">
        <is>
          <t>Title:</t>
        </is>
      </c>
      <c r="B20" s="4" t="n"/>
      <c r="C20" s="4" t="n"/>
      <c r="D20" s="4" t="n"/>
      <c r="E20" s="4" t="n"/>
    </row>
    <row r="21">
      <c r="A21" s="41" t="inlineStr">
        <is>
          <t>Date:</t>
        </is>
      </c>
      <c r="B21" s="4" t="n"/>
      <c r="C21" s="4" t="n"/>
      <c r="D21" s="4" t="n"/>
      <c r="E21" s="4" t="n"/>
    </row>
    <row r="22">
      <c r="A22" s="41" t="inlineStr">
        <is>
          <t>Signature:</t>
        </is>
      </c>
      <c r="B22" s="4" t="n"/>
      <c r="C22" s="4" t="n"/>
      <c r="D22" s="4" t="n"/>
      <c r="E22" s="4" t="n"/>
    </row>
    <row r="23">
      <c r="A23" s="41" t="inlineStr">
        <is>
          <t>Comments:</t>
        </is>
      </c>
      <c r="B23" s="4" t="n"/>
      <c r="C23" s="4" t="n"/>
      <c r="D23" s="4" t="n"/>
      <c r="E23" s="4" t="n"/>
    </row>
    <row r="25">
      <c r="A25" s="28" t="inlineStr">
        <is>
          <t>APPROVED BY — CISO</t>
        </is>
      </c>
      <c r="B25" s="6" t="n"/>
      <c r="C25" s="6" t="n"/>
      <c r="D25" s="6" t="n"/>
      <c r="E25" s="6" t="n"/>
    </row>
    <row r="26">
      <c r="A26" s="41" t="inlineStr">
        <is>
          <t>Name:</t>
        </is>
      </c>
      <c r="B26" s="4" t="n"/>
      <c r="C26" s="4" t="n"/>
      <c r="D26" s="4" t="n"/>
      <c r="E26" s="4" t="n"/>
    </row>
    <row r="27">
      <c r="A27" s="41" t="inlineStr">
        <is>
          <t>Title:</t>
        </is>
      </c>
      <c r="B27" s="4" t="n"/>
      <c r="C27" s="4" t="n"/>
      <c r="D27" s="4" t="n"/>
      <c r="E27" s="4" t="n"/>
    </row>
    <row r="28">
      <c r="A28" s="41" t="inlineStr">
        <is>
          <t>Date:</t>
        </is>
      </c>
      <c r="B28" s="4" t="n"/>
      <c r="C28" s="4" t="n"/>
      <c r="D28" s="4" t="n"/>
      <c r="E28" s="4" t="n"/>
    </row>
    <row r="29">
      <c r="A29" s="41" t="inlineStr">
        <is>
          <t>Signature:</t>
        </is>
      </c>
      <c r="B29" s="4" t="n"/>
      <c r="C29" s="4" t="n"/>
      <c r="D29" s="4" t="n"/>
      <c r="E29" s="4" t="n"/>
    </row>
    <row r="30">
      <c r="A30" s="41" t="inlineStr">
        <is>
          <t>Comments:</t>
        </is>
      </c>
      <c r="B30" s="4" t="n"/>
      <c r="C30" s="4" t="n"/>
      <c r="D30" s="4" t="n"/>
      <c r="E30" s="4" t="n"/>
    </row>
    <row r="32">
      <c r="A32" s="41" t="inlineStr">
        <is>
          <t>FINAL DECISION:</t>
        </is>
      </c>
      <c r="B32" s="4" t="n"/>
      <c r="C32" s="4" t="n"/>
      <c r="D32" s="4" t="n"/>
      <c r="E32" s="4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41" t="inlineStr">
        <is>
          <t>Next Review Date:</t>
        </is>
      </c>
      <c r="B36" s="4" t="n"/>
      <c r="C36" s="4" t="n"/>
      <c r="D36" s="4" t="n"/>
      <c r="E36" s="4" t="n"/>
    </row>
    <row r="37">
      <c r="A37" s="41" t="inlineStr">
        <is>
          <t>Review Responsible:</t>
        </is>
      </c>
      <c r="B37" s="4" t="n"/>
      <c r="C37" s="4" t="n"/>
      <c r="D37" s="4" t="n"/>
      <c r="E37" s="4" t="n"/>
    </row>
    <row r="38">
      <c r="A38" s="41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ISMS-IMP-A.8.31.1 — Environment Architecture Assessment</dc:title>
  <dc:description xmlns:dc="http://purl.org/dc/elements/1.1/">ISMS Implementation Workbook — ISMS-IMP-A.8.31.1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2026-03-07T11:28:28Z</dcterms:created>
  <dcterms:modified xmlns:dcterms="http://purl.org/dc/terms/" xmlns:xsi="http://www.w3.org/2001/XMLSchema-instance" xsi:type="dcterms:W3CDTF">2026-03-07T11:28:29Z</dcterms:modified>
</cp:coreProperties>
</file>