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Testing Coverage" sheetId="2" state="visible" r:id="rId2"/>
    <sheet xmlns:r="http://schemas.openxmlformats.org/officeDocument/2006/relationships" name="SAST Scan Results" sheetId="3" state="visible" r:id="rId3"/>
    <sheet xmlns:r="http://schemas.openxmlformats.org/officeDocument/2006/relationships" name="DAST Scan Results" sheetId="4" state="visible" r:id="rId4"/>
    <sheet xmlns:r="http://schemas.openxmlformats.org/officeDocument/2006/relationships" name="SCA Scan Results" sheetId="5" state="visible" r:id="rId5"/>
    <sheet xmlns:r="http://schemas.openxmlformats.org/officeDocument/2006/relationships" name="Penetration Testing Results" sheetId="6" state="visible" r:id="rId6"/>
    <sheet xmlns:r="http://schemas.openxmlformats.org/officeDocument/2006/relationships" name="Security Acceptance Testing"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ISMS-IMP-A.8.25-26-29.S3  -  Security Testing Results Assessment
ISO/IEC 27001:2022 - Control A.8.25-26-29: Secure Development</t>
        </is>
      </c>
    </row>
    <row r="3">
      <c r="A3" s="2" t="inlineStr">
        <is>
          <t>Document Information</t>
        </is>
      </c>
    </row>
    <row r="4">
      <c r="A4" s="3" t="inlineStr">
        <is>
          <t>Document ID</t>
        </is>
      </c>
      <c r="B4" t="inlineStr">
        <is>
          <t>ISMS-IMP-A.8.25-26-29.S3</t>
        </is>
      </c>
    </row>
    <row r="5">
      <c r="A5" s="3" t="inlineStr">
        <is>
          <t>Workbook Title</t>
        </is>
      </c>
      <c r="B5" t="inlineStr">
        <is>
          <t>Security Testing Results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SECURITY TESTING COVERAGE OVERVIEW</t>
        </is>
      </c>
    </row>
    <row r="2">
      <c r="A2" s="12" t="inlineStr">
        <is>
          <t>TRACK SECURITY TESTING COVERAGE ACROSS ALL TESTING TYPES PER APPLICATION</t>
        </is>
      </c>
    </row>
    <row r="3">
      <c r="A3" s="13" t="inlineStr">
        <is>
          <t>Application Name</t>
        </is>
      </c>
      <c r="B3" s="13" t="inlineStr">
        <is>
          <t>SAST Enabled?</t>
        </is>
      </c>
      <c r="C3" s="13" t="inlineStr">
        <is>
          <t>Last SAST Scan</t>
        </is>
      </c>
      <c r="D3" s="13" t="inlineStr">
        <is>
          <t>DAST Enabled?</t>
        </is>
      </c>
      <c r="E3" s="13" t="inlineStr">
        <is>
          <t>Last DAST Scan</t>
        </is>
      </c>
      <c r="F3" s="13" t="inlineStr">
        <is>
          <t>SCA Enabled?</t>
        </is>
      </c>
      <c r="G3" s="13" t="inlineStr">
        <is>
          <t>Last SCA Scan</t>
        </is>
      </c>
      <c r="H3" s="13" t="inlineStr">
        <is>
          <t>Pentest Status</t>
        </is>
      </c>
      <c r="I3" s="13" t="inlineStr">
        <is>
          <t>Last Pentest Date</t>
        </is>
      </c>
      <c r="J3" s="13" t="inlineStr">
        <is>
          <t>Coverage Score (%)</t>
        </is>
      </c>
    </row>
    <row r="4">
      <c r="A4" s="14" t="inlineStr">
        <is>
          <t>Customer Portal</t>
        </is>
      </c>
      <c r="B4" s="14" t="inlineStr">
        <is>
          <t>Yes</t>
        </is>
      </c>
      <c r="C4" s="14" t="inlineStr">
        <is>
          <t>2025-01-10</t>
        </is>
      </c>
      <c r="D4" s="14" t="inlineStr">
        <is>
          <t>Yes</t>
        </is>
      </c>
      <c r="E4" s="14" t="inlineStr">
        <is>
          <t>2025-01-08</t>
        </is>
      </c>
      <c r="F4" s="14" t="inlineStr">
        <is>
          <t>Yes</t>
        </is>
      </c>
      <c r="G4" s="14" t="inlineStr">
        <is>
          <t>2025-01-10</t>
        </is>
      </c>
      <c r="H4" s="14" t="inlineStr">
        <is>
          <t>Completed</t>
        </is>
      </c>
      <c r="I4" s="14" t="inlineStr">
        <is>
          <t>2024-11-15</t>
        </is>
      </c>
      <c r="J4" s="15">
        <f>((IF(B4="Yes",33,0))+(IF(D4="Yes",33,0))+(IF(F4="Yes",34,0)))</f>
        <v/>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4">
    <dataValidation sqref="B4:B100 D4:D100 F4:F100" showDropDown="0" showInputMessage="1" showErrorMessage="1" allowBlank="0" type="list">
      <formula1>"Yes,No"</formula1>
    </dataValidation>
    <dataValidation sqref="C4:C100" showDropDown="0" showInputMessage="1" showErrorMessage="1" allowBlank="0" type="list">
      <formula1>"Baseline,Full,API,Authenticated"</formula1>
    </dataValidation>
    <dataValidation sqref="C4:C100" showDropDown="0" showInputMessage="1" showErrorMessage="1" allowBlank="0" type="list">
      <formula1>"Internal,External,Both"</formula1>
    </dataValidation>
    <dataValidation sqref="I4:I100" showDropDown="0" showInputMessage="1" showErrorMessage="1" allowBlank="0" type="list">
      <formula1>"Approved,Pending,Rejected"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SAST (STATIC APPLICATION SECURITY TESTING) SCAN RESULTS</t>
        </is>
      </c>
    </row>
    <row r="2">
      <c r="A2" s="12" t="inlineStr">
        <is>
          <t>TRACK SAST SCAN FINDINGS BY SEVERITY AND REMEDIATION STATUS</t>
        </is>
      </c>
    </row>
    <row r="3">
      <c r="A3" s="13" t="inlineStr">
        <is>
          <t>Application Name</t>
        </is>
      </c>
      <c r="B3" s="13" t="inlineStr">
        <is>
          <t>Last Scan Date</t>
        </is>
      </c>
      <c r="C3" s="13" t="inlineStr">
        <is>
          <t>Critical Findings</t>
        </is>
      </c>
      <c r="D3" s="13" t="inlineStr">
        <is>
          <t>High Findings</t>
        </is>
      </c>
      <c r="E3" s="13" t="inlineStr">
        <is>
          <t>Medium Findings</t>
        </is>
      </c>
      <c r="F3" s="13" t="inlineStr">
        <is>
          <t>Low Findings</t>
        </is>
      </c>
      <c r="G3" s="13" t="inlineStr">
        <is>
          <t>Total Findings</t>
        </is>
      </c>
      <c r="H3" s="13" t="inlineStr">
        <is>
          <t>Findings Remediated</t>
        </is>
      </c>
      <c r="I3" s="13" t="inlineStr">
        <is>
          <t>Remediation Rate (%)</t>
        </is>
      </c>
      <c r="J3" s="13" t="inlineStr">
        <is>
          <t>Trend vs. Previous</t>
        </is>
      </c>
    </row>
    <row r="4">
      <c r="A4" s="14" t="inlineStr">
        <is>
          <t>Customer Portal</t>
        </is>
      </c>
      <c r="B4" s="14" t="inlineStr">
        <is>
          <t>2025-01-10</t>
        </is>
      </c>
      <c r="C4" s="14" t="n">
        <v>0</v>
      </c>
      <c r="D4" s="14" t="n">
        <v>2</v>
      </c>
      <c r="E4" s="14" t="n">
        <v>5</v>
      </c>
      <c r="F4" s="14" t="n">
        <v>12</v>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DAST (DYNAMIC APPLICATION SECURITY TESTING) SCAN RESULTS</t>
        </is>
      </c>
    </row>
    <row r="2">
      <c r="A2" s="12" t="inlineStr">
        <is>
          <t>TRACK DAST SCAN FINDINGS BY SEVERITY AND SCAN TYPE</t>
        </is>
      </c>
    </row>
    <row r="3">
      <c r="A3" s="13" t="inlineStr">
        <is>
          <t>Application Name</t>
        </is>
      </c>
      <c r="B3" s="13" t="inlineStr">
        <is>
          <t>Last Scan Date</t>
        </is>
      </c>
      <c r="C3" s="13" t="inlineStr">
        <is>
          <t>Scan Type</t>
        </is>
      </c>
      <c r="D3" s="13" t="inlineStr">
        <is>
          <t>Critical Findings</t>
        </is>
      </c>
      <c r="E3" s="13" t="inlineStr">
        <is>
          <t>High Findings</t>
        </is>
      </c>
      <c r="F3" s="13" t="inlineStr">
        <is>
          <t>Medium Findings</t>
        </is>
      </c>
      <c r="G3" s="13" t="inlineStr">
        <is>
          <t>Low Findings</t>
        </is>
      </c>
      <c r="H3" s="13" t="inlineStr">
        <is>
          <t>Total Findings</t>
        </is>
      </c>
      <c r="I3" s="13" t="inlineStr">
        <is>
          <t>Remediation Status</t>
        </is>
      </c>
      <c r="J3" s="13" t="inlineStr">
        <is>
          <t>Next Scan Date</t>
        </is>
      </c>
    </row>
    <row r="4">
      <c r="A4" s="14" t="inlineStr">
        <is>
          <t>Customer Portal</t>
        </is>
      </c>
      <c r="B4" s="14" t="inlineStr">
        <is>
          <t>2025-01-08</t>
        </is>
      </c>
      <c r="C4" s="14" t="inlineStr">
        <is>
          <t>Full</t>
        </is>
      </c>
      <c r="D4" s="14" t="n">
        <v>0</v>
      </c>
      <c r="E4" s="14" t="n">
        <v>1</v>
      </c>
      <c r="F4" s="14" t="n">
        <v>4</v>
      </c>
      <c r="G4" s="14" t="n">
        <v>8</v>
      </c>
      <c r="H4">
        <f>D4+E4+F4+G4</f>
        <v/>
      </c>
      <c r="I4" s="14" t="inlineStr">
        <is>
          <t>2025-02-01</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SCA (SOFTWARE COMPOSITION ANALYSIS) SCAN RESULTS</t>
        </is>
      </c>
    </row>
    <row r="2">
      <c r="A2" s="12" t="inlineStr">
        <is>
          <t>TRACK VULNERABLE DEPENDENCIES AND LICENSE COMPLIANCE</t>
        </is>
      </c>
    </row>
    <row r="3">
      <c r="A3" s="13" t="inlineStr">
        <is>
          <t>Application Name</t>
        </is>
      </c>
      <c r="B3" s="13" t="inlineStr">
        <is>
          <t>Last Scan Date</t>
        </is>
      </c>
      <c r="C3" s="13" t="inlineStr">
        <is>
          <t>Critical Vulns</t>
        </is>
      </c>
      <c r="D3" s="13" t="inlineStr">
        <is>
          <t>High Vulns</t>
        </is>
      </c>
      <c r="E3" s="13" t="inlineStr">
        <is>
          <t>Medium Vulns</t>
        </is>
      </c>
      <c r="F3" s="13" t="inlineStr">
        <is>
          <t>Low Vulns</t>
        </is>
      </c>
      <c r="G3" s="13" t="inlineStr">
        <is>
          <t>Total Vulns</t>
        </is>
      </c>
      <c r="H3" s="13" t="inlineStr">
        <is>
          <t>License Issues</t>
        </is>
      </c>
      <c r="I3" s="13" t="inlineStr">
        <is>
          <t>Outdated Deps</t>
        </is>
      </c>
      <c r="J3" s="13" t="inlineStr">
        <is>
          <t>Remediation Status</t>
        </is>
      </c>
    </row>
    <row r="4">
      <c r="A4" s="14" t="inlineStr">
        <is>
          <t>Customer Portal</t>
        </is>
      </c>
      <c r="B4" s="14" t="inlineStr">
        <is>
          <t>2025-01-10</t>
        </is>
      </c>
      <c r="C4" s="14" t="n">
        <v>0</v>
      </c>
      <c r="D4" s="14" t="n">
        <v>1</v>
      </c>
      <c r="E4" s="14" t="n">
        <v>3</v>
      </c>
      <c r="F4" s="14" t="n">
        <v>8</v>
      </c>
      <c r="G4">
        <f>C4+D4+E4+F4</f>
        <v/>
      </c>
      <c r="H4" s="14" t="n">
        <v>5</v>
      </c>
      <c r="I4" s="14" t="inlineStr">
        <is>
          <t>80% Complete</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5" customHeight="1">
      <c r="A1" s="11" t="inlineStr">
        <is>
          <t>PENETRATION TESTING RESULTS</t>
        </is>
      </c>
    </row>
    <row r="2">
      <c r="A2" s="12" t="inlineStr">
        <is>
          <t>TRACK PENETRATION TESTING FINDINGS AND REMEDIATION</t>
        </is>
      </c>
    </row>
    <row r="3">
      <c r="A3" s="13" t="inlineStr">
        <is>
          <t>Application Name</t>
        </is>
      </c>
      <c r="B3" s="13" t="inlineStr">
        <is>
          <t>Pentest Date</t>
        </is>
      </c>
      <c r="C3" s="13" t="inlineStr">
        <is>
          <t>Pentester</t>
        </is>
      </c>
      <c r="D3" s="13" t="inlineStr">
        <is>
          <t>Critical Findings</t>
        </is>
      </c>
      <c r="E3" s="13" t="inlineStr">
        <is>
          <t>High Findings</t>
        </is>
      </c>
      <c r="F3" s="13" t="inlineStr">
        <is>
          <t>Medium Findings</t>
        </is>
      </c>
      <c r="G3" s="13" t="inlineStr">
        <is>
          <t>Low Findings</t>
        </is>
      </c>
      <c r="H3" s="13" t="inlineStr">
        <is>
          <t>Total Findings</t>
        </is>
      </c>
      <c r="I3" s="13" t="inlineStr">
        <is>
          <t>Retest Date</t>
        </is>
      </c>
      <c r="J3" s="13" t="inlineStr">
        <is>
          <t>Findings Resolved</t>
        </is>
      </c>
      <c r="K3" s="13" t="inlineStr">
        <is>
          <t>Closure Rate (%)</t>
        </is>
      </c>
    </row>
    <row r="4">
      <c r="A4" s="14" t="inlineStr">
        <is>
          <t>Customer Portal</t>
        </is>
      </c>
      <c r="B4" s="14" t="inlineStr">
        <is>
          <t>2024-11-15</t>
        </is>
      </c>
      <c r="C4" s="14" t="inlineStr">
        <is>
          <t>External</t>
        </is>
      </c>
      <c r="D4" s="14" t="n">
        <v>0</v>
      </c>
      <c r="E4" s="14" t="n">
        <v>2</v>
      </c>
      <c r="F4" s="14" t="n">
        <v>5</v>
      </c>
      <c r="G4" s="14" t="n">
        <v>8</v>
      </c>
      <c r="H4">
        <f>D4+E4+F4+G4</f>
        <v/>
      </c>
      <c r="I4" s="14" t="n">
        <v>14</v>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0"/>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35" customHeight="1">
      <c r="A1" s="11" t="inlineStr">
        <is>
          <t>SECURITY ACCEPTANCE TESTING</t>
        </is>
      </c>
    </row>
    <row r="2">
      <c r="A2" s="12" t="inlineStr">
        <is>
          <t>TRACK SECURITY TEST CASE EXECUTION AND PASS RATES</t>
        </is>
      </c>
    </row>
    <row r="3">
      <c r="A3" s="13" t="inlineStr">
        <is>
          <t>App-ID</t>
        </is>
      </c>
      <c r="B3" s="13" t="inlineStr">
        <is>
          <t>Application Name</t>
        </is>
      </c>
      <c r="C3" s="13" t="inlineStr">
        <is>
          <t>Release Version</t>
        </is>
      </c>
      <c r="D3" s="13" t="inlineStr">
        <is>
          <t>Test Cases Total</t>
        </is>
      </c>
      <c r="E3" s="13" t="inlineStr">
        <is>
          <t>Test Cases Passed</t>
        </is>
      </c>
      <c r="F3" s="13" t="inlineStr">
        <is>
          <t>Test Cases Failed</t>
        </is>
      </c>
      <c r="G3" s="13" t="inlineStr">
        <is>
          <t>Test Cases N/A</t>
        </is>
      </c>
      <c r="H3" s="13" t="inlineStr">
        <is>
          <t>Pass Rate (%)</t>
        </is>
      </c>
      <c r="I3" s="13" t="inlineStr">
        <is>
          <t>Security Sign-Off</t>
        </is>
      </c>
    </row>
    <row r="4">
      <c r="A4" s="14" t="inlineStr">
        <is>
          <t>APP-001</t>
        </is>
      </c>
      <c r="B4" s="14" t="inlineStr">
        <is>
          <t>Customer Portal</t>
        </is>
      </c>
      <c r="C4" s="14" t="inlineStr">
        <is>
          <t>v2.5.0</t>
        </is>
      </c>
      <c r="D4" s="14" t="n">
        <v>25</v>
      </c>
      <c r="E4" s="14" t="n">
        <v>24</v>
      </c>
      <c r="F4" s="14" t="n">
        <v>1</v>
      </c>
      <c r="G4" s="14" t="n">
        <v>0</v>
      </c>
      <c r="H4" s="17">
        <f>IF(D4&gt;0,E4/D4*100,0)</f>
        <v/>
      </c>
    </row>
    <row r="5">
      <c r="A5" s="16" t="n"/>
      <c r="B5" s="16" t="inlineStr">
        <is>
          <t>[CRITERION] No Critical or High CVSS severity findings open at time of release</t>
        </is>
      </c>
      <c r="C5" s="16" t="n"/>
      <c r="D5" s="16" t="n"/>
      <c r="E5" s="16" t="n"/>
      <c r="F5" s="16" t="n"/>
      <c r="G5" s="16" t="n"/>
      <c r="H5" s="16" t="n"/>
      <c r="I5" s="16" t="n"/>
    </row>
    <row r="6">
      <c r="A6" s="16" t="n"/>
      <c r="B6" s="16" t="inlineStr">
        <is>
          <t>[CRITERION] SAST scan completed with zero Critical findings unmitigated</t>
        </is>
      </c>
      <c r="C6" s="16" t="n"/>
      <c r="D6" s="16" t="n"/>
      <c r="E6" s="16" t="n"/>
      <c r="F6" s="16" t="n"/>
      <c r="G6" s="16" t="n"/>
      <c r="H6" s="16" t="n"/>
      <c r="I6" s="16" t="n"/>
    </row>
    <row r="7">
      <c r="A7" s="16" t="n"/>
      <c r="B7" s="16" t="inlineStr">
        <is>
          <t>[CRITERION] SCA scan completed — all Critical/High vulnerable dependencies resolved</t>
        </is>
      </c>
      <c r="C7" s="16" t="n"/>
      <c r="D7" s="16" t="n"/>
      <c r="E7" s="16" t="n"/>
      <c r="F7" s="16" t="n"/>
      <c r="G7" s="16" t="n"/>
      <c r="H7" s="16" t="n"/>
      <c r="I7" s="16" t="n"/>
    </row>
    <row r="8">
      <c r="A8" s="16" t="n"/>
      <c r="B8" s="16" t="inlineStr">
        <is>
          <t>[CRITERION] DAST scan completed for all external-facing endpoints</t>
        </is>
      </c>
      <c r="C8" s="16" t="n"/>
      <c r="D8" s="16" t="n"/>
      <c r="E8" s="16" t="n"/>
      <c r="F8" s="16" t="n"/>
      <c r="G8" s="16" t="n"/>
      <c r="H8" s="16" t="n"/>
      <c r="I8" s="16" t="n"/>
    </row>
    <row r="9">
      <c r="A9" s="16" t="n"/>
      <c r="B9" s="16" t="inlineStr">
        <is>
          <t>[CRITERION] Penetration test completed and critical findings remediated (required for high-risk applications)</t>
        </is>
      </c>
      <c r="C9" s="16" t="n"/>
      <c r="D9" s="16" t="n"/>
      <c r="E9" s="16" t="n"/>
      <c r="F9" s="16" t="n"/>
      <c r="G9" s="16" t="n"/>
      <c r="H9" s="16" t="n"/>
      <c r="I9" s="16" t="n"/>
    </row>
    <row r="10">
      <c r="A10" s="16" t="n"/>
      <c r="B10" s="16" t="inlineStr">
        <is>
          <t>[CRITERION] Security review sign-off obtained from Security Champion or AppSec team</t>
        </is>
      </c>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row r="60">
      <c r="A60" s="16" t="n"/>
      <c r="B60" s="16" t="n"/>
      <c r="C60" s="16" t="n"/>
      <c r="D60" s="16" t="n"/>
      <c r="E60" s="16" t="n"/>
      <c r="F60" s="16" t="n"/>
      <c r="G60" s="16" t="n"/>
      <c r="H60" s="16" t="n"/>
      <c r="I60" s="16" t="n"/>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Testing Assessment</t>
        </is>
      </c>
      <c r="C5" s="22" t="inlineStr">
        <is>
          <t>Policy Document</t>
        </is>
      </c>
      <c r="D5" s="22" t="inlineStr">
        <is>
          <t>Security testing execution report and findings log</t>
        </is>
      </c>
      <c r="E5" s="22" t="inlineStr">
        <is>
          <t>\\fileserver\policies\document.pdf</t>
        </is>
      </c>
      <c r="F5" s="22" t="inlineStr">
        <is>
          <t>15.01.2026</t>
        </is>
      </c>
      <c r="G5" s="22" t="inlineStr">
        <is>
          <t>Assessor Name</t>
        </is>
      </c>
      <c r="H5" s="22" t="inlineStr">
        <is>
          <t>✅ Verified</t>
        </is>
      </c>
    </row>
    <row r="6">
      <c r="A6" s="23" t="n"/>
      <c r="B6" s="16" t="n"/>
      <c r="C6" s="16" t="n"/>
      <c r="D6" s="16" t="n"/>
      <c r="E6" s="16" t="n"/>
      <c r="F6" s="16" t="n"/>
      <c r="G6" s="16" t="n"/>
      <c r="H6" s="16" t="n"/>
    </row>
    <row r="7">
      <c r="A7" s="23" t="n"/>
      <c r="B7" s="16" t="n"/>
      <c r="C7" s="16" t="n"/>
      <c r="D7" s="16" t="n"/>
      <c r="E7" s="16" t="n"/>
      <c r="F7" s="16" t="n"/>
      <c r="G7" s="16" t="n"/>
      <c r="H7" s="16" t="n"/>
    </row>
    <row r="8">
      <c r="A8" s="23" t="n"/>
      <c r="B8" s="16" t="n"/>
      <c r="C8" s="16" t="n"/>
      <c r="D8" s="16" t="n"/>
      <c r="E8" s="16" t="n"/>
      <c r="F8" s="16" t="n"/>
      <c r="G8" s="16" t="n"/>
      <c r="H8" s="16" t="n"/>
    </row>
    <row r="9">
      <c r="A9" s="23" t="n"/>
      <c r="B9" s="16" t="n"/>
      <c r="C9" s="16" t="n"/>
      <c r="D9" s="16" t="n"/>
      <c r="E9" s="16" t="n"/>
      <c r="F9" s="16" t="n"/>
      <c r="G9" s="16" t="n"/>
      <c r="H9" s="16" t="n"/>
    </row>
    <row r="10">
      <c r="A10" s="23" t="n"/>
      <c r="B10" s="16" t="n"/>
      <c r="C10" s="16" t="n"/>
      <c r="D10" s="16" t="n"/>
      <c r="E10" s="16" t="n"/>
      <c r="F10" s="16" t="n"/>
      <c r="G10" s="16" t="n"/>
      <c r="H10" s="16" t="n"/>
    </row>
    <row r="11">
      <c r="A11" s="23" t="n"/>
      <c r="B11" s="16" t="n"/>
      <c r="C11" s="16" t="n"/>
      <c r="D11" s="16" t="n"/>
      <c r="E11" s="16" t="n"/>
      <c r="F11" s="16" t="n"/>
      <c r="G11" s="16" t="n"/>
      <c r="H11" s="16" t="n"/>
    </row>
    <row r="12">
      <c r="A12" s="23" t="n"/>
      <c r="B12" s="16" t="n"/>
      <c r="C12" s="16" t="n"/>
      <c r="D12" s="16" t="n"/>
      <c r="E12" s="16" t="n"/>
      <c r="F12" s="16" t="n"/>
      <c r="G12" s="16" t="n"/>
      <c r="H12" s="16" t="n"/>
    </row>
    <row r="13">
      <c r="A13" s="23" t="n"/>
      <c r="B13" s="16" t="n"/>
      <c r="C13" s="16" t="n"/>
      <c r="D13" s="16" t="n"/>
      <c r="E13" s="16" t="n"/>
      <c r="F13" s="16" t="n"/>
      <c r="G13" s="16" t="n"/>
      <c r="H13" s="16" t="n"/>
    </row>
    <row r="14">
      <c r="A14" s="23" t="n"/>
      <c r="B14" s="16" t="n"/>
      <c r="C14" s="16" t="n"/>
      <c r="D14" s="16" t="n"/>
      <c r="E14" s="16" t="n"/>
      <c r="F14" s="16" t="n"/>
      <c r="G14" s="16" t="n"/>
      <c r="H14" s="16" t="n"/>
    </row>
    <row r="15">
      <c r="A15" s="23" t="n"/>
      <c r="B15" s="16" t="n"/>
      <c r="C15" s="16" t="n"/>
      <c r="D15" s="16" t="n"/>
      <c r="E15" s="16" t="n"/>
      <c r="F15" s="16" t="n"/>
      <c r="G15" s="16" t="n"/>
      <c r="H15" s="16" t="n"/>
    </row>
    <row r="16">
      <c r="A16" s="23" t="n"/>
      <c r="B16" s="16" t="n"/>
      <c r="C16" s="16" t="n"/>
      <c r="D16" s="16" t="n"/>
      <c r="E16" s="16" t="n"/>
      <c r="F16" s="16" t="n"/>
      <c r="G16" s="16" t="n"/>
      <c r="H16" s="16" t="n"/>
    </row>
    <row r="17">
      <c r="A17" s="23" t="n"/>
      <c r="B17" s="16" t="n"/>
      <c r="C17" s="16" t="n"/>
      <c r="D17" s="16" t="n"/>
      <c r="E17" s="16" t="n"/>
      <c r="F17" s="16" t="n"/>
      <c r="G17" s="16" t="n"/>
      <c r="H17" s="16" t="n"/>
    </row>
    <row r="18">
      <c r="A18" s="23" t="n"/>
      <c r="B18" s="16" t="n"/>
      <c r="C18" s="16" t="n"/>
      <c r="D18" s="16" t="n"/>
      <c r="E18" s="16" t="n"/>
      <c r="F18" s="16" t="n"/>
      <c r="G18" s="16" t="n"/>
      <c r="H18" s="16" t="n"/>
    </row>
    <row r="19">
      <c r="A19" s="23" t="n"/>
      <c r="B19" s="16" t="n"/>
      <c r="C19" s="16" t="n"/>
      <c r="D19" s="16" t="n"/>
      <c r="E19" s="16" t="n"/>
      <c r="F19" s="16" t="n"/>
      <c r="G19" s="16" t="n"/>
      <c r="H19" s="16" t="n"/>
    </row>
    <row r="20">
      <c r="A20" s="23" t="n"/>
      <c r="B20" s="16" t="n"/>
      <c r="C20" s="16" t="n"/>
      <c r="D20" s="16" t="n"/>
      <c r="E20" s="16" t="n"/>
      <c r="F20" s="16" t="n"/>
      <c r="G20" s="16" t="n"/>
      <c r="H20" s="16" t="n"/>
    </row>
    <row r="21">
      <c r="A21" s="23" t="n"/>
      <c r="B21" s="16" t="n"/>
      <c r="C21" s="16" t="n"/>
      <c r="D21" s="16" t="n"/>
      <c r="E21" s="16" t="n"/>
      <c r="F21" s="16" t="n"/>
      <c r="G21" s="16" t="n"/>
      <c r="H21" s="16" t="n"/>
    </row>
    <row r="22">
      <c r="A22" s="23" t="n"/>
      <c r="B22" s="16" t="n"/>
      <c r="C22" s="16" t="n"/>
      <c r="D22" s="16" t="n"/>
      <c r="E22" s="16" t="n"/>
      <c r="F22" s="16" t="n"/>
      <c r="G22" s="16" t="n"/>
      <c r="H22" s="16" t="n"/>
    </row>
    <row r="23">
      <c r="A23" s="23" t="n"/>
      <c r="B23" s="16" t="n"/>
      <c r="C23" s="16" t="n"/>
      <c r="D23" s="16" t="n"/>
      <c r="E23" s="16" t="n"/>
      <c r="F23" s="16" t="n"/>
      <c r="G23" s="16" t="n"/>
      <c r="H23" s="16" t="n"/>
    </row>
    <row r="24">
      <c r="A24" s="23" t="n"/>
      <c r="B24" s="16" t="n"/>
      <c r="C24" s="16" t="n"/>
      <c r="D24" s="16" t="n"/>
      <c r="E24" s="16" t="n"/>
      <c r="F24" s="16" t="n"/>
      <c r="G24" s="16" t="n"/>
      <c r="H24" s="16" t="n"/>
    </row>
    <row r="25">
      <c r="A25" s="23" t="n"/>
      <c r="B25" s="16" t="n"/>
      <c r="C25" s="16" t="n"/>
      <c r="D25" s="16" t="n"/>
      <c r="E25" s="16" t="n"/>
      <c r="F25" s="16" t="n"/>
      <c r="G25" s="16" t="n"/>
      <c r="H25" s="16" t="n"/>
    </row>
    <row r="26">
      <c r="A26" s="23" t="n"/>
      <c r="B26" s="16" t="n"/>
      <c r="C26" s="16" t="n"/>
      <c r="D26" s="16" t="n"/>
      <c r="E26" s="16" t="n"/>
      <c r="F26" s="16" t="n"/>
      <c r="G26" s="16" t="n"/>
      <c r="H26" s="16" t="n"/>
    </row>
    <row r="27">
      <c r="A27" s="23" t="n"/>
      <c r="B27" s="16" t="n"/>
      <c r="C27" s="16" t="n"/>
      <c r="D27" s="16" t="n"/>
      <c r="E27" s="16" t="n"/>
      <c r="F27" s="16" t="n"/>
      <c r="G27" s="16" t="n"/>
      <c r="H27" s="16" t="n"/>
    </row>
    <row r="28">
      <c r="A28" s="23" t="n"/>
      <c r="B28" s="16" t="n"/>
      <c r="C28" s="16" t="n"/>
      <c r="D28" s="16" t="n"/>
      <c r="E28" s="16" t="n"/>
      <c r="F28" s="16" t="n"/>
      <c r="G28" s="16" t="n"/>
      <c r="H28" s="16" t="n"/>
    </row>
    <row r="29">
      <c r="A29" s="23" t="n"/>
      <c r="B29" s="16" t="n"/>
      <c r="C29" s="16" t="n"/>
      <c r="D29" s="16" t="n"/>
      <c r="E29" s="16" t="n"/>
      <c r="F29" s="16" t="n"/>
      <c r="G29" s="16" t="n"/>
      <c r="H29" s="16" t="n"/>
    </row>
    <row r="30">
      <c r="A30" s="23" t="n"/>
      <c r="B30" s="16" t="n"/>
      <c r="C30" s="16" t="n"/>
      <c r="D30" s="16" t="n"/>
      <c r="E30" s="16" t="n"/>
      <c r="F30" s="16" t="n"/>
      <c r="G30" s="16" t="n"/>
      <c r="H30" s="16" t="n"/>
    </row>
    <row r="31">
      <c r="A31" s="23" t="n"/>
      <c r="B31" s="16" t="n"/>
      <c r="C31" s="16" t="n"/>
      <c r="D31" s="16" t="n"/>
      <c r="E31" s="16" t="n"/>
      <c r="F31" s="16" t="n"/>
      <c r="G31" s="16" t="n"/>
      <c r="H31" s="16" t="n"/>
    </row>
    <row r="32">
      <c r="A32" s="23" t="n"/>
      <c r="B32" s="16" t="n"/>
      <c r="C32" s="16" t="n"/>
      <c r="D32" s="16" t="n"/>
      <c r="E32" s="16" t="n"/>
      <c r="F32" s="16" t="n"/>
      <c r="G32" s="16" t="n"/>
      <c r="H32" s="16" t="n"/>
    </row>
    <row r="33">
      <c r="A33" s="23" t="n"/>
      <c r="B33" s="16" t="n"/>
      <c r="C33" s="16" t="n"/>
      <c r="D33" s="16" t="n"/>
      <c r="E33" s="16" t="n"/>
      <c r="F33" s="16" t="n"/>
      <c r="G33" s="16" t="n"/>
      <c r="H33" s="16" t="n"/>
    </row>
    <row r="34">
      <c r="A34" s="23" t="n"/>
      <c r="B34" s="16" t="n"/>
      <c r="C34" s="16" t="n"/>
      <c r="D34" s="16" t="n"/>
      <c r="E34" s="16" t="n"/>
      <c r="F34" s="16" t="n"/>
      <c r="G34" s="16" t="n"/>
      <c r="H34" s="16" t="n"/>
    </row>
    <row r="35">
      <c r="A35" s="23" t="n"/>
      <c r="B35" s="16" t="n"/>
      <c r="C35" s="16" t="n"/>
      <c r="D35" s="16" t="n"/>
      <c r="E35" s="16" t="n"/>
      <c r="F35" s="16" t="n"/>
      <c r="G35" s="16" t="n"/>
      <c r="H35" s="16" t="n"/>
    </row>
    <row r="36">
      <c r="A36" s="23" t="n"/>
      <c r="B36" s="16" t="n"/>
      <c r="C36" s="16" t="n"/>
      <c r="D36" s="16" t="n"/>
      <c r="E36" s="16" t="n"/>
      <c r="F36" s="16" t="n"/>
      <c r="G36" s="16" t="n"/>
      <c r="H36" s="16" t="n"/>
    </row>
    <row r="37">
      <c r="A37" s="23" t="n"/>
      <c r="B37" s="16" t="n"/>
      <c r="C37" s="16" t="n"/>
      <c r="D37" s="16" t="n"/>
      <c r="E37" s="16" t="n"/>
      <c r="F37" s="16" t="n"/>
      <c r="G37" s="16" t="n"/>
      <c r="H37" s="16" t="n"/>
    </row>
    <row r="38">
      <c r="A38" s="23" t="n"/>
      <c r="B38" s="16" t="n"/>
      <c r="C38" s="16" t="n"/>
      <c r="D38" s="16" t="n"/>
      <c r="E38" s="16" t="n"/>
      <c r="F38" s="16" t="n"/>
      <c r="G38" s="16" t="n"/>
      <c r="H38" s="16" t="n"/>
    </row>
    <row r="39">
      <c r="A39" s="23" t="n"/>
      <c r="B39" s="16" t="n"/>
      <c r="C39" s="16" t="n"/>
      <c r="D39" s="16" t="n"/>
      <c r="E39" s="16" t="n"/>
      <c r="F39" s="16" t="n"/>
      <c r="G39" s="16" t="n"/>
      <c r="H39" s="16" t="n"/>
    </row>
    <row r="40">
      <c r="A40" s="23" t="n"/>
      <c r="B40" s="16" t="n"/>
      <c r="C40" s="16" t="n"/>
      <c r="D40" s="16" t="n"/>
      <c r="E40" s="16" t="n"/>
      <c r="F40" s="16" t="n"/>
      <c r="G40" s="16" t="n"/>
      <c r="H40" s="16" t="n"/>
    </row>
    <row r="41">
      <c r="A41" s="23" t="n"/>
      <c r="B41" s="16" t="n"/>
      <c r="C41" s="16" t="n"/>
      <c r="D41" s="16" t="n"/>
      <c r="E41" s="16" t="n"/>
      <c r="F41" s="16" t="n"/>
      <c r="G41" s="16" t="n"/>
      <c r="H41" s="16" t="n"/>
    </row>
    <row r="42">
      <c r="A42" s="23" t="n"/>
      <c r="B42" s="16" t="n"/>
      <c r="C42" s="16" t="n"/>
      <c r="D42" s="16" t="n"/>
      <c r="E42" s="16" t="n"/>
      <c r="F42" s="16" t="n"/>
      <c r="G42" s="16" t="n"/>
      <c r="H42" s="16" t="n"/>
    </row>
    <row r="43">
      <c r="A43" s="23" t="n"/>
      <c r="B43" s="16" t="n"/>
      <c r="C43" s="16" t="n"/>
      <c r="D43" s="16" t="n"/>
      <c r="E43" s="16" t="n"/>
      <c r="F43" s="16" t="n"/>
      <c r="G43" s="16" t="n"/>
      <c r="H43" s="16" t="n"/>
    </row>
    <row r="44">
      <c r="A44" s="23" t="n"/>
      <c r="B44" s="16" t="n"/>
      <c r="C44" s="16" t="n"/>
      <c r="D44" s="16" t="n"/>
      <c r="E44" s="16" t="n"/>
      <c r="F44" s="16" t="n"/>
      <c r="G44" s="16" t="n"/>
      <c r="H44" s="16" t="n"/>
    </row>
    <row r="45">
      <c r="A45" s="23" t="n"/>
      <c r="B45" s="16" t="n"/>
      <c r="C45" s="16" t="n"/>
      <c r="D45" s="16" t="n"/>
      <c r="E45" s="16" t="n"/>
      <c r="F45" s="16" t="n"/>
      <c r="G45" s="16" t="n"/>
      <c r="H45" s="16" t="n"/>
    </row>
    <row r="46">
      <c r="A46" s="23" t="n"/>
      <c r="B46" s="16" t="n"/>
      <c r="C46" s="16" t="n"/>
      <c r="D46" s="16" t="n"/>
      <c r="E46" s="16" t="n"/>
      <c r="F46" s="16" t="n"/>
      <c r="G46" s="16" t="n"/>
      <c r="H46" s="16" t="n"/>
    </row>
    <row r="47">
      <c r="A47" s="23" t="n"/>
      <c r="B47" s="16" t="n"/>
      <c r="C47" s="16" t="n"/>
      <c r="D47" s="16" t="n"/>
      <c r="E47" s="16" t="n"/>
      <c r="F47" s="16" t="n"/>
      <c r="G47" s="16" t="n"/>
      <c r="H47" s="16" t="n"/>
    </row>
    <row r="48">
      <c r="A48" s="23" t="n"/>
      <c r="B48" s="16" t="n"/>
      <c r="C48" s="16" t="n"/>
      <c r="D48" s="16" t="n"/>
      <c r="E48" s="16" t="n"/>
      <c r="F48" s="16" t="n"/>
      <c r="G48" s="16" t="n"/>
      <c r="H48" s="16" t="n"/>
    </row>
    <row r="49">
      <c r="A49" s="23" t="n"/>
      <c r="B49" s="16" t="n"/>
      <c r="C49" s="16" t="n"/>
      <c r="D49" s="16" t="n"/>
      <c r="E49" s="16" t="n"/>
      <c r="F49" s="16" t="n"/>
      <c r="G49" s="16" t="n"/>
      <c r="H49" s="16" t="n"/>
    </row>
    <row r="50">
      <c r="A50" s="23" t="n"/>
      <c r="B50" s="16" t="n"/>
      <c r="C50" s="16" t="n"/>
      <c r="D50" s="16" t="n"/>
      <c r="E50" s="16" t="n"/>
      <c r="F50" s="16" t="n"/>
      <c r="G50" s="16" t="n"/>
      <c r="H50" s="16" t="n"/>
    </row>
    <row r="51">
      <c r="A51" s="23" t="n"/>
      <c r="B51" s="16" t="n"/>
      <c r="C51" s="16" t="n"/>
      <c r="D51" s="16" t="n"/>
      <c r="E51" s="16" t="n"/>
      <c r="F51" s="16" t="n"/>
      <c r="G51" s="16" t="n"/>
      <c r="H51" s="16" t="n"/>
    </row>
    <row r="52">
      <c r="A52" s="23" t="n"/>
      <c r="B52" s="16" t="n"/>
      <c r="C52" s="16" t="n"/>
      <c r="D52" s="16" t="n"/>
      <c r="E52" s="16" t="n"/>
      <c r="F52" s="16" t="n"/>
      <c r="G52" s="16" t="n"/>
      <c r="H52" s="16" t="n"/>
    </row>
    <row r="53">
      <c r="A53" s="23" t="n"/>
      <c r="B53" s="16" t="n"/>
      <c r="C53" s="16" t="n"/>
      <c r="D53" s="16" t="n"/>
      <c r="E53" s="16" t="n"/>
      <c r="F53" s="16" t="n"/>
      <c r="G53" s="16" t="n"/>
      <c r="H53" s="16" t="n"/>
    </row>
    <row r="54">
      <c r="A54" s="23" t="n"/>
      <c r="B54" s="16" t="n"/>
      <c r="C54" s="16" t="n"/>
      <c r="D54" s="16" t="n"/>
      <c r="E54" s="16" t="n"/>
      <c r="F54" s="16" t="n"/>
      <c r="G54" s="16" t="n"/>
      <c r="H54" s="16" t="n"/>
    </row>
    <row r="55">
      <c r="A55" s="23" t="n"/>
      <c r="B55" s="16" t="n"/>
      <c r="C55" s="16" t="n"/>
      <c r="D55" s="16" t="n"/>
      <c r="E55" s="16" t="n"/>
      <c r="F55" s="16" t="n"/>
      <c r="G55" s="16" t="n"/>
      <c r="H55" s="16" t="n"/>
    </row>
    <row r="56">
      <c r="A56" s="23" t="n"/>
      <c r="B56" s="16" t="n"/>
      <c r="C56" s="16" t="n"/>
      <c r="D56" s="16" t="n"/>
      <c r="E56" s="16" t="n"/>
      <c r="F56" s="16" t="n"/>
      <c r="G56" s="16" t="n"/>
      <c r="H56" s="16" t="n"/>
    </row>
    <row r="57">
      <c r="A57" s="23" t="n"/>
      <c r="B57" s="16" t="n"/>
      <c r="C57" s="16" t="n"/>
      <c r="D57" s="16" t="n"/>
      <c r="E57" s="16" t="n"/>
      <c r="F57" s="16" t="n"/>
      <c r="G57" s="16" t="n"/>
      <c r="H57" s="16" t="n"/>
    </row>
    <row r="58">
      <c r="A58" s="23" t="n"/>
      <c r="B58" s="16" t="n"/>
      <c r="C58" s="16" t="n"/>
      <c r="D58" s="16" t="n"/>
      <c r="E58" s="16" t="n"/>
      <c r="F58" s="16" t="n"/>
      <c r="G58" s="16" t="n"/>
      <c r="H58" s="16" t="n"/>
    </row>
    <row r="59">
      <c r="A59" s="23" t="n"/>
      <c r="B59" s="16" t="n"/>
      <c r="C59" s="16" t="n"/>
      <c r="D59" s="16" t="n"/>
      <c r="E59" s="16" t="n"/>
      <c r="F59" s="16" t="n"/>
      <c r="G59" s="16" t="n"/>
      <c r="H59" s="16" t="n"/>
    </row>
    <row r="60">
      <c r="A60" s="23" t="n"/>
      <c r="B60" s="16" t="n"/>
      <c r="C60" s="16" t="n"/>
      <c r="D60" s="16" t="n"/>
      <c r="E60" s="16" t="n"/>
      <c r="F60" s="16" t="n"/>
      <c r="G60" s="16" t="n"/>
      <c r="H60" s="16" t="n"/>
    </row>
    <row r="61">
      <c r="A61" s="23" t="n"/>
      <c r="B61" s="16" t="n"/>
      <c r="C61" s="16" t="n"/>
      <c r="D61" s="16" t="n"/>
      <c r="E61" s="16" t="n"/>
      <c r="F61" s="16" t="n"/>
      <c r="G61" s="16" t="n"/>
      <c r="H61" s="16" t="n"/>
    </row>
    <row r="62">
      <c r="A62" s="23" t="n"/>
      <c r="B62" s="16" t="n"/>
      <c r="C62" s="16" t="n"/>
      <c r="D62" s="16" t="n"/>
      <c r="E62" s="16" t="n"/>
      <c r="F62" s="16" t="n"/>
      <c r="G62" s="16" t="n"/>
      <c r="H62" s="16" t="n"/>
    </row>
    <row r="63">
      <c r="A63" s="23" t="n"/>
      <c r="B63" s="16" t="n"/>
      <c r="C63" s="16" t="n"/>
      <c r="D63" s="16" t="n"/>
      <c r="E63" s="16" t="n"/>
      <c r="F63" s="16" t="n"/>
      <c r="G63" s="16" t="n"/>
      <c r="H63" s="16" t="n"/>
    </row>
    <row r="64">
      <c r="A64" s="23" t="n"/>
      <c r="B64" s="16" t="n"/>
      <c r="C64" s="16" t="n"/>
      <c r="D64" s="16" t="n"/>
      <c r="E64" s="16" t="n"/>
      <c r="F64" s="16" t="n"/>
      <c r="G64" s="16" t="n"/>
      <c r="H64" s="16" t="n"/>
    </row>
    <row r="65">
      <c r="A65" s="23" t="n"/>
      <c r="B65" s="16" t="n"/>
      <c r="C65" s="16" t="n"/>
      <c r="D65" s="16" t="n"/>
      <c r="E65" s="16" t="n"/>
      <c r="F65" s="16" t="n"/>
      <c r="G65" s="16" t="n"/>
      <c r="H65" s="16" t="n"/>
    </row>
    <row r="66">
      <c r="A66" s="23" t="n"/>
      <c r="B66" s="16" t="n"/>
      <c r="C66" s="16" t="n"/>
      <c r="D66" s="16" t="n"/>
      <c r="E66" s="16" t="n"/>
      <c r="F66" s="16" t="n"/>
      <c r="G66" s="16" t="n"/>
      <c r="H66" s="16" t="n"/>
    </row>
    <row r="67">
      <c r="A67" s="23" t="n"/>
      <c r="B67" s="16" t="n"/>
      <c r="C67" s="16" t="n"/>
      <c r="D67" s="16" t="n"/>
      <c r="E67" s="16" t="n"/>
      <c r="F67" s="16" t="n"/>
      <c r="G67" s="16" t="n"/>
      <c r="H67" s="16" t="n"/>
    </row>
    <row r="68">
      <c r="A68" s="23" t="n"/>
      <c r="B68" s="16" t="n"/>
      <c r="C68" s="16" t="n"/>
      <c r="D68" s="16" t="n"/>
      <c r="E68" s="16" t="n"/>
      <c r="F68" s="16" t="n"/>
      <c r="G68" s="16" t="n"/>
      <c r="H68" s="16" t="n"/>
    </row>
    <row r="69">
      <c r="A69" s="23" t="n"/>
      <c r="B69" s="16" t="n"/>
      <c r="C69" s="16" t="n"/>
      <c r="D69" s="16" t="n"/>
      <c r="E69" s="16" t="n"/>
      <c r="F69" s="16" t="n"/>
      <c r="G69" s="16" t="n"/>
      <c r="H69" s="16" t="n"/>
    </row>
    <row r="70">
      <c r="A70" s="23" t="n"/>
      <c r="B70" s="16" t="n"/>
      <c r="C70" s="16" t="n"/>
      <c r="D70" s="16" t="n"/>
      <c r="E70" s="16" t="n"/>
      <c r="F70" s="16" t="n"/>
      <c r="G70" s="16" t="n"/>
      <c r="H70" s="16" t="n"/>
    </row>
    <row r="71">
      <c r="A71" s="23" t="n"/>
      <c r="B71" s="16" t="n"/>
      <c r="C71" s="16" t="n"/>
      <c r="D71" s="16" t="n"/>
      <c r="E71" s="16" t="n"/>
      <c r="F71" s="16" t="n"/>
      <c r="G71" s="16" t="n"/>
      <c r="H71" s="16" t="n"/>
    </row>
    <row r="72">
      <c r="A72" s="23" t="n"/>
      <c r="B72" s="16" t="n"/>
      <c r="C72" s="16" t="n"/>
      <c r="D72" s="16" t="n"/>
      <c r="E72" s="16" t="n"/>
      <c r="F72" s="16" t="n"/>
      <c r="G72" s="16" t="n"/>
      <c r="H72" s="16" t="n"/>
    </row>
    <row r="73">
      <c r="A73" s="23" t="n"/>
      <c r="B73" s="16" t="n"/>
      <c r="C73" s="16" t="n"/>
      <c r="D73" s="16" t="n"/>
      <c r="E73" s="16" t="n"/>
      <c r="F73" s="16" t="n"/>
      <c r="G73" s="16" t="n"/>
      <c r="H73" s="16" t="n"/>
    </row>
    <row r="74">
      <c r="A74" s="23" t="n"/>
      <c r="B74" s="16" t="n"/>
      <c r="C74" s="16" t="n"/>
      <c r="D74" s="16" t="n"/>
      <c r="E74" s="16" t="n"/>
      <c r="F74" s="16" t="n"/>
      <c r="G74" s="16" t="n"/>
      <c r="H74" s="16" t="n"/>
    </row>
    <row r="75">
      <c r="A75" s="23" t="n"/>
      <c r="B75" s="16" t="n"/>
      <c r="C75" s="16" t="n"/>
      <c r="D75" s="16" t="n"/>
      <c r="E75" s="16" t="n"/>
      <c r="F75" s="16" t="n"/>
      <c r="G75" s="16" t="n"/>
      <c r="H75" s="16" t="n"/>
    </row>
    <row r="76">
      <c r="A76" s="23" t="n"/>
      <c r="B76" s="16" t="n"/>
      <c r="C76" s="16" t="n"/>
      <c r="D76" s="16" t="n"/>
      <c r="E76" s="16" t="n"/>
      <c r="F76" s="16" t="n"/>
      <c r="G76" s="16" t="n"/>
      <c r="H76" s="16" t="n"/>
    </row>
    <row r="77">
      <c r="A77" s="23" t="n"/>
      <c r="B77" s="16" t="n"/>
      <c r="C77" s="16" t="n"/>
      <c r="D77" s="16" t="n"/>
      <c r="E77" s="16" t="n"/>
      <c r="F77" s="16" t="n"/>
      <c r="G77" s="16" t="n"/>
      <c r="H77" s="16" t="n"/>
    </row>
    <row r="78">
      <c r="A78" s="23" t="n"/>
      <c r="B78" s="16" t="n"/>
      <c r="C78" s="16" t="n"/>
      <c r="D78" s="16" t="n"/>
      <c r="E78" s="16" t="n"/>
      <c r="F78" s="16" t="n"/>
      <c r="G78" s="16" t="n"/>
      <c r="H78" s="16" t="n"/>
    </row>
    <row r="79">
      <c r="A79" s="23" t="n"/>
      <c r="B79" s="16" t="n"/>
      <c r="C79" s="16" t="n"/>
      <c r="D79" s="16" t="n"/>
      <c r="E79" s="16" t="n"/>
      <c r="F79" s="16" t="n"/>
      <c r="G79" s="16" t="n"/>
      <c r="H79" s="16" t="n"/>
    </row>
    <row r="80">
      <c r="A80" s="23" t="n"/>
      <c r="B80" s="16" t="n"/>
      <c r="C80" s="16" t="n"/>
      <c r="D80" s="16" t="n"/>
      <c r="E80" s="16" t="n"/>
      <c r="F80" s="16" t="n"/>
      <c r="G80" s="16" t="n"/>
      <c r="H80" s="16" t="n"/>
    </row>
    <row r="81">
      <c r="A81" s="23" t="n"/>
      <c r="B81" s="16" t="n"/>
      <c r="C81" s="16" t="n"/>
      <c r="D81" s="16" t="n"/>
      <c r="E81" s="16" t="n"/>
      <c r="F81" s="16" t="n"/>
      <c r="G81" s="16" t="n"/>
      <c r="H81" s="16" t="n"/>
    </row>
    <row r="82">
      <c r="A82" s="23" t="n"/>
      <c r="B82" s="16" t="n"/>
      <c r="C82" s="16" t="n"/>
      <c r="D82" s="16" t="n"/>
      <c r="E82" s="16" t="n"/>
      <c r="F82" s="16" t="n"/>
      <c r="G82" s="16" t="n"/>
      <c r="H82" s="16" t="n"/>
    </row>
    <row r="83">
      <c r="A83" s="23" t="n"/>
      <c r="B83" s="16" t="n"/>
      <c r="C83" s="16" t="n"/>
      <c r="D83" s="16" t="n"/>
      <c r="E83" s="16" t="n"/>
      <c r="F83" s="16" t="n"/>
      <c r="G83" s="16" t="n"/>
      <c r="H83" s="16" t="n"/>
    </row>
    <row r="84">
      <c r="A84" s="23" t="n"/>
      <c r="B84" s="16" t="n"/>
      <c r="C84" s="16" t="n"/>
      <c r="D84" s="16" t="n"/>
      <c r="E84" s="16" t="n"/>
      <c r="F84" s="16" t="n"/>
      <c r="G84" s="16" t="n"/>
      <c r="H84" s="16" t="n"/>
    </row>
    <row r="85">
      <c r="A85" s="23" t="n"/>
      <c r="B85" s="16" t="n"/>
      <c r="C85" s="16" t="n"/>
      <c r="D85" s="16" t="n"/>
      <c r="E85" s="16" t="n"/>
      <c r="F85" s="16" t="n"/>
      <c r="G85" s="16" t="n"/>
      <c r="H85" s="16" t="n"/>
    </row>
    <row r="86">
      <c r="A86" s="23" t="n"/>
      <c r="B86" s="16" t="n"/>
      <c r="C86" s="16" t="n"/>
      <c r="D86" s="16" t="n"/>
      <c r="E86" s="16" t="n"/>
      <c r="F86" s="16" t="n"/>
      <c r="G86" s="16" t="n"/>
      <c r="H86" s="16" t="n"/>
    </row>
    <row r="87">
      <c r="A87" s="23" t="n"/>
      <c r="B87" s="16" t="n"/>
      <c r="C87" s="16" t="n"/>
      <c r="D87" s="16" t="n"/>
      <c r="E87" s="16" t="n"/>
      <c r="F87" s="16" t="n"/>
      <c r="G87" s="16" t="n"/>
      <c r="H87" s="16" t="n"/>
    </row>
    <row r="88">
      <c r="A88" s="23" t="n"/>
      <c r="B88" s="16" t="n"/>
      <c r="C88" s="16" t="n"/>
      <c r="D88" s="16" t="n"/>
      <c r="E88" s="16" t="n"/>
      <c r="F88" s="16" t="n"/>
      <c r="G88" s="16" t="n"/>
      <c r="H88" s="16" t="n"/>
    </row>
    <row r="89">
      <c r="A89" s="23" t="n"/>
      <c r="B89" s="16" t="n"/>
      <c r="C89" s="16" t="n"/>
      <c r="D89" s="16" t="n"/>
      <c r="E89" s="16" t="n"/>
      <c r="F89" s="16" t="n"/>
      <c r="G89" s="16" t="n"/>
      <c r="H89" s="16" t="n"/>
    </row>
    <row r="90">
      <c r="A90" s="23" t="n"/>
      <c r="B90" s="16" t="n"/>
      <c r="C90" s="16" t="n"/>
      <c r="D90" s="16" t="n"/>
      <c r="E90" s="16" t="n"/>
      <c r="F90" s="16" t="n"/>
      <c r="G90" s="16" t="n"/>
      <c r="H90" s="16" t="n"/>
    </row>
    <row r="91">
      <c r="A91" s="23" t="n"/>
      <c r="B91" s="16" t="n"/>
      <c r="C91" s="16" t="n"/>
      <c r="D91" s="16" t="n"/>
      <c r="E91" s="16" t="n"/>
      <c r="F91" s="16" t="n"/>
      <c r="G91" s="16" t="n"/>
      <c r="H91" s="16" t="n"/>
    </row>
    <row r="92">
      <c r="A92" s="23" t="n"/>
      <c r="B92" s="16" t="n"/>
      <c r="C92" s="16" t="n"/>
      <c r="D92" s="16" t="n"/>
      <c r="E92" s="16" t="n"/>
      <c r="F92" s="16" t="n"/>
      <c r="G92" s="16" t="n"/>
      <c r="H92" s="16" t="n"/>
    </row>
    <row r="93">
      <c r="A93" s="23" t="n"/>
      <c r="B93" s="16" t="n"/>
      <c r="C93" s="16" t="n"/>
      <c r="D93" s="16" t="n"/>
      <c r="E93" s="16" t="n"/>
      <c r="F93" s="16" t="n"/>
      <c r="G93" s="16" t="n"/>
      <c r="H93" s="16" t="n"/>
    </row>
    <row r="94">
      <c r="A94" s="23" t="n"/>
      <c r="B94" s="16" t="n"/>
      <c r="C94" s="16" t="n"/>
      <c r="D94" s="16" t="n"/>
      <c r="E94" s="16" t="n"/>
      <c r="F94" s="16" t="n"/>
      <c r="G94" s="16" t="n"/>
      <c r="H94" s="16" t="n"/>
    </row>
    <row r="95">
      <c r="A95" s="23" t="n"/>
      <c r="B95" s="16" t="n"/>
      <c r="C95" s="16" t="n"/>
      <c r="D95" s="16" t="n"/>
      <c r="E95" s="16" t="n"/>
      <c r="F95" s="16" t="n"/>
      <c r="G95" s="16" t="n"/>
      <c r="H95" s="16" t="n"/>
    </row>
    <row r="96">
      <c r="A96" s="23" t="n"/>
      <c r="B96" s="16" t="n"/>
      <c r="C96" s="16" t="n"/>
      <c r="D96" s="16" t="n"/>
      <c r="E96" s="16" t="n"/>
      <c r="F96" s="16" t="n"/>
      <c r="G96" s="16" t="n"/>
      <c r="H96" s="16" t="n"/>
    </row>
    <row r="97">
      <c r="A97" s="23" t="n"/>
      <c r="B97" s="16" t="n"/>
      <c r="C97" s="16" t="n"/>
      <c r="D97" s="16" t="n"/>
      <c r="E97" s="16" t="n"/>
      <c r="F97" s="16" t="n"/>
      <c r="G97" s="16" t="n"/>
      <c r="H97" s="16" t="n"/>
    </row>
    <row r="98">
      <c r="A98" s="23" t="n"/>
      <c r="B98" s="16" t="n"/>
      <c r="C98" s="16" t="n"/>
      <c r="D98" s="16" t="n"/>
      <c r="E98" s="16" t="n"/>
      <c r="F98" s="16" t="n"/>
      <c r="G98" s="16" t="n"/>
      <c r="H98" s="16" t="n"/>
    </row>
    <row r="99">
      <c r="A99" s="23" t="n"/>
      <c r="B99" s="16" t="n"/>
      <c r="C99" s="16" t="n"/>
      <c r="D99" s="16" t="n"/>
      <c r="E99" s="16" t="n"/>
      <c r="F99" s="16" t="n"/>
      <c r="G99" s="16" t="n"/>
      <c r="H99" s="16" t="n"/>
    </row>
    <row r="100">
      <c r="A100" s="23" t="n"/>
      <c r="B100" s="16" t="n"/>
      <c r="C100" s="16" t="n"/>
      <c r="D100" s="16" t="n"/>
      <c r="E100" s="16" t="n"/>
      <c r="F100" s="16" t="n"/>
      <c r="G100" s="16" t="n"/>
      <c r="H100" s="16" t="n"/>
    </row>
    <row r="101">
      <c r="A101" s="23" t="n"/>
      <c r="B101" s="16" t="n"/>
      <c r="C101" s="16" t="n"/>
      <c r="D101" s="16" t="n"/>
      <c r="E101" s="16" t="n"/>
      <c r="F101" s="16" t="n"/>
      <c r="G101" s="16" t="n"/>
      <c r="H101" s="16" t="n"/>
    </row>
    <row r="102">
      <c r="A102" s="23" t="n"/>
      <c r="B102" s="16" t="n"/>
      <c r="C102" s="16" t="n"/>
      <c r="D102" s="16" t="n"/>
      <c r="E102" s="16" t="n"/>
      <c r="F102" s="16" t="n"/>
      <c r="G102" s="16" t="n"/>
      <c r="H102" s="16" t="n"/>
    </row>
    <row r="103">
      <c r="A103" s="23" t="n"/>
      <c r="B103" s="16" t="n"/>
      <c r="C103" s="16" t="n"/>
      <c r="D103" s="16" t="n"/>
      <c r="E103" s="16" t="n"/>
      <c r="F103" s="16" t="n"/>
      <c r="G103" s="16" t="n"/>
      <c r="H103" s="16" t="n"/>
    </row>
    <row r="104">
      <c r="A104" s="23" t="n"/>
      <c r="B104" s="16" t="n"/>
      <c r="C104" s="16" t="n"/>
      <c r="D104" s="16" t="n"/>
      <c r="E104" s="16" t="n"/>
      <c r="F104" s="16" t="n"/>
      <c r="G104" s="16" t="n"/>
      <c r="H104" s="16" t="n"/>
    </row>
    <row r="105">
      <c r="A105" s="23"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"Test report,SAST report,DAST report,SCA report,Penetration test,Vulnerability scan,Code review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4" t="inlineStr">
        <is>
          <t>SECURITY TESTING RESULTS ASSESSMENT — SUMMARY DASHBOARD</t>
        </is>
      </c>
      <c r="B1" s="6" t="n"/>
      <c r="C1" s="6" t="n"/>
      <c r="D1" s="6" t="n"/>
      <c r="E1" s="6" t="n"/>
      <c r="F1" s="6" t="n"/>
      <c r="G1" s="6" t="n"/>
    </row>
    <row r="2">
      <c r="A2" s="25" t="inlineStr">
        <is>
          <t>ISO/IEC 27001:2022 - Control A.8.25-26-29: Secure Development</t>
        </is>
      </c>
      <c r="B2" s="6" t="n"/>
      <c r="C2" s="6" t="n"/>
      <c r="D2" s="6" t="n"/>
      <c r="E2" s="6" t="n"/>
      <c r="F2" s="6" t="n"/>
      <c r="G2" s="6" t="n"/>
    </row>
    <row r="4">
      <c r="A4" s="26" t="inlineStr">
        <is>
          <t>TABLE 1: ASSESSMENT AREA COMPLIANCE OVERVIEW</t>
        </is>
      </c>
      <c r="B4" s="6" t="n"/>
      <c r="C4" s="6" t="n"/>
      <c r="D4" s="6" t="n"/>
      <c r="E4" s="6" t="n"/>
      <c r="F4" s="6" t="n"/>
      <c r="G4" s="6" t="n"/>
    </row>
    <row r="5">
      <c r="A5" s="27" t="inlineStr">
        <is>
          <t>Assessment Area</t>
        </is>
      </c>
      <c r="B5" s="27" t="inlineStr">
        <is>
          <t>Total Assessed</t>
        </is>
      </c>
      <c r="C5" s="27" t="inlineStr">
        <is>
          <t>Complete</t>
        </is>
      </c>
      <c r="D5" s="27" t="inlineStr">
        <is>
          <t>Partial</t>
        </is>
      </c>
      <c r="E5" s="27" t="inlineStr">
        <is>
          <t>Missing</t>
        </is>
      </c>
      <c r="F5" s="27" t="inlineStr">
        <is>
          <t>N/A</t>
        </is>
      </c>
      <c r="G5" s="27" t="inlineStr">
        <is>
          <t>Completion %</t>
        </is>
      </c>
    </row>
    <row r="6">
      <c r="A6" s="28" t="inlineStr">
        <is>
          <t>SAST Scanning Coverage</t>
        </is>
      </c>
      <c r="B6" s="29">
        <f>COUNTA('Security Testing Coverage'!B5:B54)</f>
        <v/>
      </c>
      <c r="C6" s="29">
        <f>COUNTIF('Security Testing Coverage'!B5:B54,"Yes")</f>
        <v/>
      </c>
      <c r="D6" s="29">
        <f>0</f>
        <v/>
      </c>
      <c r="E6" s="29">
        <f>COUNTIF('Security Testing Coverage'!B5:B54,"No")</f>
        <v/>
      </c>
      <c r="F6" s="29">
        <f>0</f>
        <v/>
      </c>
      <c r="G6" s="30">
        <f>IF((B6-F6)=0,0,C6/(B6-F6))</f>
        <v/>
      </c>
    </row>
    <row r="7">
      <c r="A7" s="28" t="inlineStr">
        <is>
          <t>DAST Scanning Coverage</t>
        </is>
      </c>
      <c r="B7" s="29">
        <f>COUNTA('Security Testing Coverage'!D5:D54)</f>
        <v/>
      </c>
      <c r="C7" s="29">
        <f>COUNTIF('Security Testing Coverage'!D5:D54,"Yes")</f>
        <v/>
      </c>
      <c r="D7" s="29">
        <f>0</f>
        <v/>
      </c>
      <c r="E7" s="29">
        <f>COUNTIF('Security Testing Coverage'!D5:D54,"No")</f>
        <v/>
      </c>
      <c r="F7" s="29">
        <f>0</f>
        <v/>
      </c>
      <c r="G7" s="30">
        <f>IF((B7-F7)=0,0,C7/(B7-F7))</f>
        <v/>
      </c>
    </row>
    <row r="8">
      <c r="A8" s="28" t="inlineStr">
        <is>
          <t>SCA Scanning Coverage</t>
        </is>
      </c>
      <c r="B8" s="29">
        <f>COUNTA('Security Testing Coverage'!F5:F54)</f>
        <v/>
      </c>
      <c r="C8" s="29">
        <f>COUNTIF('Security Testing Coverage'!F5:F54,"Yes")</f>
        <v/>
      </c>
      <c r="D8" s="29">
        <f>0</f>
        <v/>
      </c>
      <c r="E8" s="29">
        <f>COUNTIF('Security Testing Coverage'!F5:F54,"No")</f>
        <v/>
      </c>
      <c r="F8" s="29">
        <f>0</f>
        <v/>
      </c>
      <c r="G8" s="30">
        <f>IF((B8-F8)=0,0,C8/(B8-F8))</f>
        <v/>
      </c>
    </row>
    <row r="9">
      <c r="A9" s="28" t="inlineStr">
        <is>
          <t>Security Acceptance Testing</t>
        </is>
      </c>
      <c r="B9" s="29">
        <f>COUNTA('Security Acceptance Testing'!I5:I60)</f>
        <v/>
      </c>
      <c r="C9" s="29">
        <f>COUNTIF('Security Acceptance Testing'!I5:I60,"Approved")</f>
        <v/>
      </c>
      <c r="D9" s="29">
        <f>COUNTIF('Security Acceptance Testing'!I5:I60,"Pending")</f>
        <v/>
      </c>
      <c r="E9" s="29">
        <f>COUNTIF('Security Acceptance Testing'!I5:I60,"Not Approved")</f>
        <v/>
      </c>
      <c r="F9" s="29">
        <f>0</f>
        <v/>
      </c>
      <c r="G9" s="30">
        <f>IF((B9-F9)=0,0,C9/(B9-F9))</f>
        <v/>
      </c>
    </row>
    <row r="10">
      <c r="A10" s="31" t="inlineStr">
        <is>
          <t>TOTAL</t>
        </is>
      </c>
      <c r="B10" s="32">
        <f>SUM(B6:B9)</f>
        <v/>
      </c>
      <c r="C10" s="32">
        <f>SUM(C6:C9)</f>
        <v/>
      </c>
      <c r="D10" s="32">
        <f>SUM(D6:D9)</f>
        <v/>
      </c>
      <c r="E10" s="32">
        <f>SUM(E6:E9)</f>
        <v/>
      </c>
      <c r="F10" s="32">
        <f>SUM(F6:F9)</f>
        <v/>
      </c>
      <c r="G10" s="33">
        <f>IF((B10-F10)=0,0,C10/(B10-F10))</f>
        <v/>
      </c>
    </row>
    <row r="12">
      <c r="A12" s="26" t="inlineStr">
        <is>
          <t>TABLE 2: KEY METRICS</t>
        </is>
      </c>
      <c r="B12" s="6" t="n"/>
      <c r="C12" s="6" t="n"/>
      <c r="D12" s="6" t="n"/>
      <c r="E12" s="6" t="n"/>
      <c r="F12" s="6" t="n"/>
      <c r="G12" s="6" t="n"/>
    </row>
    <row r="13">
      <c r="A13" s="31" t="inlineStr">
        <is>
          <t>Metric</t>
        </is>
      </c>
      <c r="B13" s="31" t="inlineStr">
        <is>
          <t>Value</t>
        </is>
      </c>
      <c r="C13" s="6" t="n"/>
      <c r="D13" s="6" t="n"/>
      <c r="E13" s="6" t="n"/>
      <c r="F13" s="6" t="n"/>
      <c r="G13" s="6" t="n"/>
    </row>
    <row r="14">
      <c r="A14" s="28" t="inlineStr">
        <is>
          <t>Total Applications Covered</t>
        </is>
      </c>
      <c r="B14" s="6">
        <f>COUNTA('Security Testing Coverage'!A5:A54)</f>
        <v/>
      </c>
      <c r="C14" s="6" t="n"/>
      <c r="D14" s="6" t="n"/>
      <c r="E14" s="6" t="n"/>
      <c r="F14" s="6" t="n"/>
      <c r="G14" s="6" t="n"/>
    </row>
    <row r="15">
      <c r="A15" s="28" t="inlineStr">
        <is>
          <t>Penetration Tests Completed</t>
        </is>
      </c>
      <c r="B15" s="6">
        <f>COUNTA('Penetration Testing Results'!A5:A54)</f>
        <v/>
      </c>
      <c r="C15" s="6" t="n"/>
      <c r="D15" s="6" t="n"/>
      <c r="E15" s="6" t="n"/>
      <c r="F15" s="6" t="n"/>
      <c r="G15" s="6" t="n"/>
    </row>
    <row r="16">
      <c r="A16" s="28" t="inlineStr">
        <is>
          <t>Average SAST Remediation Rate (%)</t>
        </is>
      </c>
      <c r="B16" s="6">
        <f>IFERROR(AVERAGE('SAST Scan Results'!I5:I54),"No data")</f>
        <v/>
      </c>
      <c r="C16" s="6" t="n"/>
      <c r="D16" s="6" t="n"/>
      <c r="E16" s="6" t="n"/>
      <c r="F16" s="6" t="n"/>
      <c r="G16" s="6" t="n"/>
    </row>
    <row r="17">
      <c r="A17" s="28" t="inlineStr">
        <is>
          <t>Next Review Due</t>
        </is>
      </c>
      <c r="B17" s="6" t="inlineStr"/>
      <c r="C17" s="6" t="n"/>
      <c r="D17" s="6" t="n"/>
      <c r="E17" s="6" t="n"/>
      <c r="F17" s="6" t="n"/>
      <c r="G17" s="6" t="n"/>
    </row>
    <row r="18">
      <c r="A18" s="28"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4" t="inlineStr">
        <is>
          <t>TABLE 3: CRITICAL FINDINGS</t>
        </is>
      </c>
      <c r="B22" s="6" t="n"/>
      <c r="C22" s="6" t="n"/>
      <c r="D22" s="6" t="n"/>
      <c r="E22" s="6" t="n"/>
      <c r="F22" s="6" t="n"/>
      <c r="G22" s="6" t="n"/>
    </row>
    <row r="23">
      <c r="A23" s="31" t="inlineStr">
        <is>
          <t>#</t>
        </is>
      </c>
      <c r="B23" s="31" t="inlineStr">
        <is>
          <t>Finding</t>
        </is>
      </c>
      <c r="C23" s="31" t="inlineStr">
        <is>
          <t>Count</t>
        </is>
      </c>
      <c r="D23" s="31" t="inlineStr">
        <is>
          <t>Severity</t>
        </is>
      </c>
      <c r="E23" s="31" t="inlineStr">
        <is>
          <t>Affected Area</t>
        </is>
      </c>
      <c r="F23" s="31" t="inlineStr">
        <is>
          <t>Recommended Action</t>
        </is>
      </c>
      <c r="G23" s="31" t="inlineStr">
        <is>
          <t>Owner</t>
        </is>
      </c>
    </row>
    <row r="24">
      <c r="A24" s="4">
        <f>COUNTIF('Security Testing Coverage'!B5:B54,"No")</f>
        <v/>
      </c>
      <c r="B24" s="4" t="inlineStr">
        <is>
          <t>Apps Without SAST Scanning</t>
        </is>
      </c>
      <c r="C24" s="4">
        <f>COUNTIF('Security Testing Coverage'!B5:B54,"No")</f>
        <v/>
      </c>
      <c r="D24" s="4" t="inlineStr">
        <is>
          <t>High</t>
        </is>
      </c>
      <c r="E24" s="4" t="inlineStr">
        <is>
          <t>Security Testing Coverage</t>
        </is>
      </c>
      <c r="F24" s="4" t="inlineStr">
        <is>
          <t>Enable SAST scanning in CI/CD pipeline</t>
        </is>
      </c>
      <c r="G24" s="4" t="n"/>
    </row>
    <row r="25">
      <c r="A25" s="4">
        <f>COUNTIF('Security Testing Coverage'!D5:D54,"No")</f>
        <v/>
      </c>
      <c r="B25" s="4" t="inlineStr">
        <is>
          <t>Apps Without DAST Scanning</t>
        </is>
      </c>
      <c r="C25" s="4">
        <f>COUNTIF('Security Testing Coverage'!D5:D54,"No")</f>
        <v/>
      </c>
      <c r="D25" s="4" t="inlineStr">
        <is>
          <t>High</t>
        </is>
      </c>
      <c r="E25" s="4" t="inlineStr">
        <is>
          <t>Security Testing Coverage</t>
        </is>
      </c>
      <c r="F25" s="4" t="inlineStr">
        <is>
          <t>Implement DAST scanning in test pipeline</t>
        </is>
      </c>
      <c r="G25" s="4" t="n"/>
    </row>
    <row r="26">
      <c r="A26" s="4">
        <f>COUNTIF('Security Testing Coverage'!F5:F54,"No")</f>
        <v/>
      </c>
      <c r="B26" s="4" t="inlineStr">
        <is>
          <t>Apps Without SCA Scanning</t>
        </is>
      </c>
      <c r="C26" s="4">
        <f>COUNTIF('Security Testing Coverage'!F5:F54,"No")</f>
        <v/>
      </c>
      <c r="D26" s="4" t="inlineStr">
        <is>
          <t>Medium</t>
        </is>
      </c>
      <c r="E26" s="4" t="inlineStr">
        <is>
          <t>Security Testing Coverage</t>
        </is>
      </c>
      <c r="F26" s="4" t="inlineStr">
        <is>
          <t>Enable SCA for dependency vulnerability detection</t>
        </is>
      </c>
      <c r="G26" s="4" t="n"/>
    </row>
    <row r="27">
      <c r="A27" s="4">
        <f>SUM('SAST Scan Results'!C5:C54)</f>
        <v/>
      </c>
      <c r="B27" s="4" t="inlineStr">
        <is>
          <t>Critical SAST Findings (Total)</t>
        </is>
      </c>
      <c r="C27" s="4">
        <f>SUM('SAST Scan Results'!C5:C54)</f>
        <v/>
      </c>
      <c r="D27" s="4" t="inlineStr">
        <is>
          <t>Critical</t>
        </is>
      </c>
      <c r="E27" s="4" t="inlineStr">
        <is>
          <t>SAST Scan Results</t>
        </is>
      </c>
      <c r="F27" s="4" t="inlineStr">
        <is>
          <t>Immediate remediation of all critical findings</t>
        </is>
      </c>
      <c r="G27" s="4" t="n"/>
    </row>
    <row r="28">
      <c r="A28" s="4">
        <f>COUNTIF('Security Acceptance Testing'!I5:I60,"Not Approved")</f>
        <v/>
      </c>
      <c r="B28" s="4" t="inlineStr">
        <is>
          <t>Failed Security Acceptance Tests</t>
        </is>
      </c>
      <c r="C28" s="4">
        <f>COUNTIF('Security Acceptance Testing'!I5:I60,"Not Approved")</f>
        <v/>
      </c>
      <c r="D28" s="4" t="inlineStr">
        <is>
          <t>High</t>
        </is>
      </c>
      <c r="E28" s="4" t="inlineStr">
        <is>
          <t>Security Acceptance Testing</t>
        </is>
      </c>
      <c r="F28" s="4" t="inlineStr">
        <is>
          <t>Re-test and resolve all acceptance test failures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25" t="inlineStr">
        <is>
          <t>ISO/IEC 27001:2022 - Control A.8.25-26-29: Secure Development</t>
        </is>
      </c>
      <c r="B2" s="6" t="n"/>
      <c r="C2" s="6" t="n"/>
      <c r="D2" s="6" t="n"/>
      <c r="E2" s="6" t="n"/>
    </row>
    <row r="3">
      <c r="A3" s="35" t="inlineStr">
        <is>
          <t>ASSESSMENT SUMMARY</t>
        </is>
      </c>
      <c r="B3" s="6" t="n"/>
      <c r="C3" s="6" t="n"/>
      <c r="D3" s="6" t="n"/>
      <c r="E3" s="6" t="n"/>
    </row>
    <row r="4">
      <c r="A4" s="36" t="inlineStr">
        <is>
          <t>Document:</t>
        </is>
      </c>
      <c r="B4" s="6" t="inlineStr">
        <is>
          <t>ISMS-IMP-A.8.25-26-29.S3 - Security Testing Results Assessment</t>
        </is>
      </c>
      <c r="C4" s="6" t="n"/>
      <c r="D4" s="6" t="n"/>
      <c r="E4" s="6" t="n"/>
    </row>
    <row r="5">
      <c r="A5" s="36" t="inlineStr">
        <is>
          <t>Assessment Period:</t>
        </is>
      </c>
      <c r="B5" s="37" t="inlineStr"/>
      <c r="C5" s="6" t="n"/>
      <c r="D5" s="6" t="n"/>
      <c r="E5" s="6" t="n"/>
    </row>
    <row r="6">
      <c r="A6" s="36" t="inlineStr">
        <is>
          <t>Overall Compliance Rating:</t>
        </is>
      </c>
      <c r="B6" s="6">
        <f>'Summary Dashboard'!G10</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1">
      <c r="A11" s="38" t="inlineStr">
        <is>
          <t>COMPLETED BY (ASSESSOR)</t>
        </is>
      </c>
      <c r="B11" s="6" t="n"/>
      <c r="C11" s="6" t="n"/>
      <c r="D11" s="6" t="n"/>
      <c r="E11" s="6" t="n"/>
    </row>
    <row r="12">
      <c r="A12" s="39" t="inlineStr">
        <is>
          <t>Name:</t>
        </is>
      </c>
      <c r="B12" s="37" t="n"/>
      <c r="C12" s="6" t="n"/>
      <c r="D12" s="6" t="n"/>
      <c r="E12" s="6" t="n"/>
    </row>
    <row r="13">
      <c r="A13" s="39" t="inlineStr">
        <is>
          <t>Title:</t>
        </is>
      </c>
      <c r="B13" s="37" t="n"/>
      <c r="C13" s="6" t="n"/>
      <c r="D13" s="6" t="n"/>
      <c r="E13" s="6" t="n"/>
    </row>
    <row r="14">
      <c r="A14" s="39" t="inlineStr">
        <is>
          <t>Date:</t>
        </is>
      </c>
      <c r="B14" s="37" t="n"/>
      <c r="C14" s="6" t="n"/>
      <c r="D14" s="6" t="n"/>
      <c r="E14" s="6" t="n"/>
    </row>
    <row r="15">
      <c r="A15" s="39" t="inlineStr">
        <is>
          <t>Signature:</t>
        </is>
      </c>
      <c r="B15" s="37" t="n"/>
      <c r="C15" s="6" t="n"/>
      <c r="D15" s="6" t="n"/>
      <c r="E15" s="6" t="n"/>
    </row>
    <row r="16">
      <c r="A16" s="39" t="inlineStr">
        <is>
          <t>Comments:</t>
        </is>
      </c>
      <c r="B16" s="37" t="n"/>
      <c r="C16" s="6" t="n"/>
      <c r="D16" s="6" t="n"/>
      <c r="E16" s="6" t="n"/>
    </row>
    <row r="18">
      <c r="A18" s="38" t="inlineStr">
        <is>
          <t>REVIEWED BY (INFORMATION SECURITY OFFICER)</t>
        </is>
      </c>
      <c r="B18" s="6" t="n"/>
      <c r="C18" s="6" t="n"/>
      <c r="D18" s="6" t="n"/>
      <c r="E18" s="6" t="n"/>
    </row>
    <row r="19">
      <c r="A19" s="39" t="inlineStr">
        <is>
          <t>Name:</t>
        </is>
      </c>
      <c r="B19" s="37" t="n"/>
      <c r="C19" s="6" t="n"/>
      <c r="D19" s="6" t="n"/>
      <c r="E19" s="6" t="n"/>
    </row>
    <row r="20">
      <c r="A20" s="39" t="inlineStr">
        <is>
          <t>Title:</t>
        </is>
      </c>
      <c r="B20" s="37" t="n"/>
      <c r="C20" s="6" t="n"/>
      <c r="D20" s="6" t="n"/>
      <c r="E20" s="6" t="n"/>
    </row>
    <row r="21">
      <c r="A21" s="39" t="inlineStr">
        <is>
          <t>Date:</t>
        </is>
      </c>
      <c r="B21" s="37" t="n"/>
      <c r="C21" s="6" t="n"/>
      <c r="D21" s="6" t="n"/>
      <c r="E21" s="6" t="n"/>
    </row>
    <row r="22">
      <c r="A22" s="39" t="inlineStr">
        <is>
          <t>Signature:</t>
        </is>
      </c>
      <c r="B22" s="37" t="n"/>
      <c r="C22" s="6" t="n"/>
      <c r="D22" s="6" t="n"/>
      <c r="E22" s="6" t="n"/>
    </row>
    <row r="23">
      <c r="A23" s="39" t="inlineStr">
        <is>
          <t>Comments:</t>
        </is>
      </c>
      <c r="B23" s="37" t="n"/>
      <c r="C23" s="6" t="n"/>
      <c r="D23" s="6" t="n"/>
      <c r="E23" s="6" t="n"/>
    </row>
    <row r="25">
      <c r="A25" s="40" t="inlineStr">
        <is>
          <t>APPROVED BY (CISO)</t>
        </is>
      </c>
      <c r="B25" s="6" t="n"/>
      <c r="C25" s="6" t="n"/>
      <c r="D25" s="6" t="n"/>
      <c r="E25" s="6" t="n"/>
    </row>
    <row r="26">
      <c r="A26" s="39" t="inlineStr">
        <is>
          <t>Name:</t>
        </is>
      </c>
      <c r="B26" s="37" t="n"/>
      <c r="C26" s="6" t="n"/>
      <c r="D26" s="6" t="n"/>
      <c r="E26" s="6" t="n"/>
    </row>
    <row r="27">
      <c r="A27" s="39" t="inlineStr">
        <is>
          <t>Title:</t>
        </is>
      </c>
      <c r="B27" s="37" t="n"/>
      <c r="C27" s="6" t="n"/>
      <c r="D27" s="6" t="n"/>
      <c r="E27" s="6" t="n"/>
    </row>
    <row r="28">
      <c r="A28" s="39" t="inlineStr">
        <is>
          <t>Date:</t>
        </is>
      </c>
      <c r="B28" s="37" t="n"/>
      <c r="C28" s="6" t="n"/>
      <c r="D28" s="6" t="n"/>
      <c r="E28" s="6" t="n"/>
    </row>
    <row r="29">
      <c r="A29" s="39" t="inlineStr">
        <is>
          <t>Signature:</t>
        </is>
      </c>
      <c r="B29" s="37" t="n"/>
      <c r="C29" s="6" t="n"/>
      <c r="D29" s="6" t="n"/>
      <c r="E29" s="6" t="n"/>
    </row>
    <row r="30">
      <c r="A30" s="39" t="inlineStr">
        <is>
          <t>Comments:</t>
        </is>
      </c>
      <c r="B30" s="37" t="n"/>
      <c r="C30" s="6" t="n"/>
      <c r="D30" s="6" t="n"/>
      <c r="E30" s="6" t="n"/>
    </row>
    <row r="32">
      <c r="A32" s="39" t="inlineStr">
        <is>
          <t>FINAL DECISION:</t>
        </is>
      </c>
      <c r="B32" s="37" t="n"/>
      <c r="C32" s="6" t="n"/>
      <c r="D32" s="6" t="n"/>
      <c r="E32" s="6" t="n"/>
    </row>
    <row r="35">
      <c r="A35" s="38" t="inlineStr">
        <is>
          <t>NEXT REVIEW DETAILS</t>
        </is>
      </c>
      <c r="B35" s="6" t="n"/>
      <c r="C35" s="6" t="n"/>
      <c r="D35" s="6" t="n"/>
      <c r="E35" s="6" t="n"/>
    </row>
    <row r="36">
      <c r="A36" s="39" t="inlineStr">
        <is>
          <t>Next Review Date:</t>
        </is>
      </c>
      <c r="B36" s="37" t="n"/>
      <c r="C36" s="6" t="n"/>
      <c r="D36" s="6" t="n"/>
      <c r="E36" s="6" t="n"/>
    </row>
    <row r="37">
      <c r="A37" s="39" t="inlineStr">
        <is>
          <t>Review Responsible:</t>
        </is>
      </c>
      <c r="B37" s="37" t="n"/>
      <c r="C37" s="6" t="n"/>
      <c r="D37" s="6" t="n"/>
      <c r="E37" s="6" t="n"/>
    </row>
    <row r="38">
      <c r="A38" s="39" t="inlineStr">
        <is>
          <t>Special Considerations:</t>
        </is>
      </c>
      <c r="B38" s="3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ISMS-IMP-A.8.25-26-29.S3 — Security Testing Results Assessment</dc:title>
  <dc:description xmlns:dc="http://purl.org/dc/elements/1.1/">ISMS Implementation Workbook — ISMS-IMP-A.8.25-26-29.S3</dc:description>
  <dc:subject xmlns:dc="http://purl.org/dc/elements/1.1/">ISO/IEC 27001:2022 — Control A.8.25-26-29: Secure Development</dc:subject>
  <dcterms:created xmlns:dcterms="http://purl.org/dc/terms/" xmlns:xsi="http://www.w3.org/2001/XMLSchema-instance" xsi:type="dcterms:W3CDTF">2026-03-10T18:49:35Z</dcterms:created>
  <dcterms:modified xmlns:dcterms="http://purl.org/dc/terms/" xmlns:xsi="http://www.w3.org/2001/XMLSchema-instance" xsi:type="dcterms:W3CDTF">2026-03-10T18:49:36Z</dcterms:modified>
</cp:coreProperties>
</file>