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Testing Coverage" sheetId="2" state="visible" r:id="rId2"/>
    <sheet xmlns:r="http://schemas.openxmlformats.org/officeDocument/2006/relationships" name="SAST Scan Results" sheetId="3" state="visible" r:id="rId3"/>
    <sheet xmlns:r="http://schemas.openxmlformats.org/officeDocument/2006/relationships" name="DAST Scan Results" sheetId="4" state="visible" r:id="rId4"/>
    <sheet xmlns:r="http://schemas.openxmlformats.org/officeDocument/2006/relationships" name="SCA Scan Results" sheetId="5" state="visible" r:id="rId5"/>
    <sheet xmlns:r="http://schemas.openxmlformats.org/officeDocument/2006/relationships" name="Penetration Testing Results" sheetId="6" state="visible" r:id="rId6"/>
    <sheet xmlns:r="http://schemas.openxmlformats.org/officeDocument/2006/relationships" name="Security Acceptance Test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ISMS-IMP-A.8.25-26-29.S3  -  Security Testing Results Assessment
ISO/IEC 27001:2022 - Control A.8.25-26-29: Secure Development</t>
        </is>
      </c>
    </row>
    <row r="3">
      <c r="A3" s="2" t="inlineStr">
        <is>
          <t>Document Information</t>
        </is>
      </c>
    </row>
    <row r="4">
      <c r="A4" s="3" t="inlineStr">
        <is>
          <t>Document ID</t>
        </is>
      </c>
      <c r="B4" t="inlineStr">
        <is>
          <t>ISMS-IMP-A.8.25-26-29.S3</t>
        </is>
      </c>
    </row>
    <row r="5">
      <c r="A5" s="3" t="inlineStr">
        <is>
          <t>Workbook Title</t>
        </is>
      </c>
      <c r="B5" t="inlineStr">
        <is>
          <t>Security Testing Results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SECURITY TESTING COVERAGE OVERVIEW</t>
        </is>
      </c>
    </row>
    <row r="2">
      <c r="A2" s="12" t="inlineStr">
        <is>
          <t>TRACK SECURITY TESTING COVERAGE ACROSS ALL TESTING TYPES PER APPLICATION</t>
        </is>
      </c>
    </row>
    <row r="3">
      <c r="A3" s="13" t="inlineStr">
        <is>
          <t>Application Name</t>
        </is>
      </c>
      <c r="B3" s="13" t="inlineStr">
        <is>
          <t>SAST Enabled?</t>
        </is>
      </c>
      <c r="C3" s="13" t="inlineStr">
        <is>
          <t>Last SAST Scan</t>
        </is>
      </c>
      <c r="D3" s="13" t="inlineStr">
        <is>
          <t>DAST Enabled?</t>
        </is>
      </c>
      <c r="E3" s="13" t="inlineStr">
        <is>
          <t>Last DAST Scan</t>
        </is>
      </c>
      <c r="F3" s="13" t="inlineStr">
        <is>
          <t>SCA Enabled?</t>
        </is>
      </c>
      <c r="G3" s="13" t="inlineStr">
        <is>
          <t>Last SCA Scan</t>
        </is>
      </c>
      <c r="H3" s="13" t="inlineStr">
        <is>
          <t>Pentest Status</t>
        </is>
      </c>
      <c r="I3" s="13" t="inlineStr">
        <is>
          <t>Last Pentest Date</t>
        </is>
      </c>
      <c r="J3" s="13" t="inlineStr">
        <is>
          <t>Coverage Score (%)</t>
        </is>
      </c>
    </row>
    <row r="4">
      <c r="A4" s="14" t="inlineStr">
        <is>
          <t>Customer Portal</t>
        </is>
      </c>
      <c r="B4" s="14" t="inlineStr">
        <is>
          <t>Yes</t>
        </is>
      </c>
      <c r="C4" s="14" t="inlineStr">
        <is>
          <t>2025-01-10</t>
        </is>
      </c>
      <c r="D4" s="14" t="inlineStr">
        <is>
          <t>Yes</t>
        </is>
      </c>
      <c r="E4" s="14" t="inlineStr">
        <is>
          <t>2025-01-08</t>
        </is>
      </c>
      <c r="F4" s="14" t="inlineStr">
        <is>
          <t>Yes</t>
        </is>
      </c>
      <c r="G4" s="14" t="inlineStr">
        <is>
          <t>2025-01-10</t>
        </is>
      </c>
      <c r="H4" s="14" t="inlineStr">
        <is>
          <t>Completed</t>
        </is>
      </c>
      <c r="I4" s="14" t="inlineStr">
        <is>
          <t>2024-11-15</t>
        </is>
      </c>
      <c r="J4" s="15">
        <f>((IF(B4="Yes",33,0))+(IF(D4="Yes",33,0))+(IF(F4="Yes",34,0)))</f>
        <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4">
    <dataValidation sqref="B4:B100 D4:D100 F4:F100" showDropDown="0" showInputMessage="1" showErrorMessage="1" allowBlank="0" type="list">
      <formula1>"Yes,No"</formula1>
    </dataValidation>
    <dataValidation sqref="C4:C100" showDropDown="0" showInputMessage="1" showErrorMessage="1" allowBlank="0" type="list">
      <formula1>"Baseline,Full,API,Authenticated"</formula1>
    </dataValidation>
    <dataValidation sqref="C4:C100" showDropDown="0" showInputMessage="1" showErrorMessage="1" allowBlank="0" type="list">
      <formula1>"Internal,External,Both"</formula1>
    </dataValidation>
    <dataValidation sqref="I4:I100" showDropDown="0" showInputMessage="1" showErrorMessage="1" allowBlank="0" type="list">
      <formula1>"Approved,Pending,Rejected"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SAST (STATIC APPLICATION SECURITY TESTING) SCAN RESULTS</t>
        </is>
      </c>
    </row>
    <row r="2">
      <c r="A2" s="12" t="inlineStr">
        <is>
          <t>TRACK SAST SCAN FINDINGS BY SEVERITY AND REMEDIATION STATUS</t>
        </is>
      </c>
    </row>
    <row r="3">
      <c r="A3" s="13" t="inlineStr">
        <is>
          <t>Application Name</t>
        </is>
      </c>
      <c r="B3" s="13" t="inlineStr">
        <is>
          <t>Last Scan Date</t>
        </is>
      </c>
      <c r="C3" s="13" t="inlineStr">
        <is>
          <t>Critical Findings</t>
        </is>
      </c>
      <c r="D3" s="13" t="inlineStr">
        <is>
          <t>High Findings</t>
        </is>
      </c>
      <c r="E3" s="13" t="inlineStr">
        <is>
          <t>Medium Findings</t>
        </is>
      </c>
      <c r="F3" s="13" t="inlineStr">
        <is>
          <t>Low Findings</t>
        </is>
      </c>
      <c r="G3" s="13" t="inlineStr">
        <is>
          <t>Total Findings</t>
        </is>
      </c>
      <c r="H3" s="13" t="inlineStr">
        <is>
          <t>Findings Remediated</t>
        </is>
      </c>
      <c r="I3" s="13" t="inlineStr">
        <is>
          <t>Remediation Rate (%)</t>
        </is>
      </c>
      <c r="J3" s="13" t="inlineStr">
        <is>
          <t>Trend vs. Previous</t>
        </is>
      </c>
    </row>
    <row r="4">
      <c r="A4" s="14" t="inlineStr">
        <is>
          <t>Customer Portal</t>
        </is>
      </c>
      <c r="B4" s="14" t="inlineStr">
        <is>
          <t>2025-01-10</t>
        </is>
      </c>
      <c r="C4" s="14" t="n">
        <v>0</v>
      </c>
      <c r="D4" s="14" t="n">
        <v>2</v>
      </c>
      <c r="E4" s="14" t="n">
        <v>5</v>
      </c>
      <c r="F4" s="14" t="n">
        <v>12</v>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DAST (DYNAMIC APPLICATION SECURITY TESTING) SCAN RESULTS</t>
        </is>
      </c>
    </row>
    <row r="2">
      <c r="A2" s="12" t="inlineStr">
        <is>
          <t>TRACK DAST SCAN FINDINGS BY SEVERITY AND SCAN TYPE</t>
        </is>
      </c>
    </row>
    <row r="3">
      <c r="A3" s="13" t="inlineStr">
        <is>
          <t>Application Name</t>
        </is>
      </c>
      <c r="B3" s="13" t="inlineStr">
        <is>
          <t>Last Scan Date</t>
        </is>
      </c>
      <c r="C3" s="13" t="inlineStr">
        <is>
          <t>Scan Type</t>
        </is>
      </c>
      <c r="D3" s="13" t="inlineStr">
        <is>
          <t>Critical Findings</t>
        </is>
      </c>
      <c r="E3" s="13" t="inlineStr">
        <is>
          <t>High Findings</t>
        </is>
      </c>
      <c r="F3" s="13" t="inlineStr">
        <is>
          <t>Medium Findings</t>
        </is>
      </c>
      <c r="G3" s="13" t="inlineStr">
        <is>
          <t>Low Findings</t>
        </is>
      </c>
      <c r="H3" s="13" t="inlineStr">
        <is>
          <t>Total Findings</t>
        </is>
      </c>
      <c r="I3" s="13" t="inlineStr">
        <is>
          <t>Remediation Status</t>
        </is>
      </c>
      <c r="J3" s="13" t="inlineStr">
        <is>
          <t>Next Scan Date</t>
        </is>
      </c>
    </row>
    <row r="4">
      <c r="A4" s="14" t="inlineStr">
        <is>
          <t>Customer Portal</t>
        </is>
      </c>
      <c r="B4" s="14" t="inlineStr">
        <is>
          <t>2025-01-08</t>
        </is>
      </c>
      <c r="C4" s="14" t="inlineStr">
        <is>
          <t>Full</t>
        </is>
      </c>
      <c r="D4" s="14" t="n">
        <v>0</v>
      </c>
      <c r="E4" s="14" t="n">
        <v>1</v>
      </c>
      <c r="F4" s="14" t="n">
        <v>4</v>
      </c>
      <c r="G4" s="14" t="n">
        <v>8</v>
      </c>
      <c r="H4">
        <f>D4+E4+F4+G4</f>
        <v/>
      </c>
      <c r="I4" s="14" t="inlineStr">
        <is>
          <t>2025-02-01</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SCA (SOFTWARE COMPOSITION ANALYSIS) SCAN RESULTS</t>
        </is>
      </c>
    </row>
    <row r="2">
      <c r="A2" s="12" t="inlineStr">
        <is>
          <t>TRACK VULNERABLE DEPENDENCIES AND LICENSE COMPLIANCE</t>
        </is>
      </c>
    </row>
    <row r="3">
      <c r="A3" s="13" t="inlineStr">
        <is>
          <t>Application Name</t>
        </is>
      </c>
      <c r="B3" s="13" t="inlineStr">
        <is>
          <t>Last Scan Date</t>
        </is>
      </c>
      <c r="C3" s="13" t="inlineStr">
        <is>
          <t>Critical Vulns</t>
        </is>
      </c>
      <c r="D3" s="13" t="inlineStr">
        <is>
          <t>High Vulns</t>
        </is>
      </c>
      <c r="E3" s="13" t="inlineStr">
        <is>
          <t>Medium Vulns</t>
        </is>
      </c>
      <c r="F3" s="13" t="inlineStr">
        <is>
          <t>Low Vulns</t>
        </is>
      </c>
      <c r="G3" s="13" t="inlineStr">
        <is>
          <t>Total Vulns</t>
        </is>
      </c>
      <c r="H3" s="13" t="inlineStr">
        <is>
          <t>License Issues</t>
        </is>
      </c>
      <c r="I3" s="13" t="inlineStr">
        <is>
          <t>Outdated Deps</t>
        </is>
      </c>
      <c r="J3" s="13" t="inlineStr">
        <is>
          <t>Remediation Status</t>
        </is>
      </c>
    </row>
    <row r="4">
      <c r="A4" s="14" t="inlineStr">
        <is>
          <t>Customer Portal</t>
        </is>
      </c>
      <c r="B4" s="14" t="inlineStr">
        <is>
          <t>2025-01-10</t>
        </is>
      </c>
      <c r="C4" s="14" t="n">
        <v>0</v>
      </c>
      <c r="D4" s="14" t="n">
        <v>1</v>
      </c>
      <c r="E4" s="14" t="n">
        <v>3</v>
      </c>
      <c r="F4" s="14" t="n">
        <v>8</v>
      </c>
      <c r="G4">
        <f>C4+D4+E4+F4</f>
        <v/>
      </c>
      <c r="H4" s="14" t="n">
        <v>5</v>
      </c>
      <c r="I4" s="14" t="inlineStr">
        <is>
          <t>80% Complete</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5" customHeight="1">
      <c r="A1" s="11" t="inlineStr">
        <is>
          <t>PENETRATION TESTING RESULTS</t>
        </is>
      </c>
    </row>
    <row r="2">
      <c r="A2" s="12" t="inlineStr">
        <is>
          <t>TRACK PENETRATION TESTING FINDINGS AND REMEDIATION</t>
        </is>
      </c>
    </row>
    <row r="3">
      <c r="A3" s="13" t="inlineStr">
        <is>
          <t>Application Name</t>
        </is>
      </c>
      <c r="B3" s="13" t="inlineStr">
        <is>
          <t>Pentest Date</t>
        </is>
      </c>
      <c r="C3" s="13" t="inlineStr">
        <is>
          <t>Pentester</t>
        </is>
      </c>
      <c r="D3" s="13" t="inlineStr">
        <is>
          <t>Critical Findings</t>
        </is>
      </c>
      <c r="E3" s="13" t="inlineStr">
        <is>
          <t>High Findings</t>
        </is>
      </c>
      <c r="F3" s="13" t="inlineStr">
        <is>
          <t>Medium Findings</t>
        </is>
      </c>
      <c r="G3" s="13" t="inlineStr">
        <is>
          <t>Low Findings</t>
        </is>
      </c>
      <c r="H3" s="13" t="inlineStr">
        <is>
          <t>Total Findings</t>
        </is>
      </c>
      <c r="I3" s="13" t="inlineStr">
        <is>
          <t>Retest Date</t>
        </is>
      </c>
      <c r="J3" s="13" t="inlineStr">
        <is>
          <t>Findings Resolved</t>
        </is>
      </c>
      <c r="K3" s="13" t="inlineStr">
        <is>
          <t>Closure Rate (%)</t>
        </is>
      </c>
    </row>
    <row r="4">
      <c r="A4" s="14" t="inlineStr">
        <is>
          <t>Customer Portal</t>
        </is>
      </c>
      <c r="B4" s="14" t="inlineStr">
        <is>
          <t>2024-11-15</t>
        </is>
      </c>
      <c r="C4" s="14" t="inlineStr">
        <is>
          <t>External</t>
        </is>
      </c>
      <c r="D4" s="14" t="n">
        <v>0</v>
      </c>
      <c r="E4" s="14" t="n">
        <v>2</v>
      </c>
      <c r="F4" s="14" t="n">
        <v>5</v>
      </c>
      <c r="G4" s="14" t="n">
        <v>8</v>
      </c>
      <c r="H4">
        <f>D4+E4+F4+G4</f>
        <v/>
      </c>
      <c r="I4" s="14" t="n">
        <v>14</v>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35" customHeight="1">
      <c r="A1" s="11" t="inlineStr">
        <is>
          <t>SECURITY ACCEPTANCE TESTING</t>
        </is>
      </c>
    </row>
    <row r="2">
      <c r="A2" s="12" t="inlineStr">
        <is>
          <t>TRACK SECURITY TEST CASE EXECUTION AND PASS RATES</t>
        </is>
      </c>
    </row>
    <row r="3">
      <c r="A3" s="13" t="inlineStr">
        <is>
          <t>App-ID</t>
        </is>
      </c>
      <c r="B3" s="13" t="inlineStr">
        <is>
          <t>Application Name</t>
        </is>
      </c>
      <c r="C3" s="13" t="inlineStr">
        <is>
          <t>Release Version</t>
        </is>
      </c>
      <c r="D3" s="13" t="inlineStr">
        <is>
          <t>Test Cases Total</t>
        </is>
      </c>
      <c r="E3" s="13" t="inlineStr">
        <is>
          <t>Test Cases Passed</t>
        </is>
      </c>
      <c r="F3" s="13" t="inlineStr">
        <is>
          <t>Test Cases Failed</t>
        </is>
      </c>
      <c r="G3" s="13" t="inlineStr">
        <is>
          <t>Test Cases N/A</t>
        </is>
      </c>
      <c r="H3" s="13" t="inlineStr">
        <is>
          <t>Pass Rate (%)</t>
        </is>
      </c>
      <c r="I3" s="13" t="inlineStr">
        <is>
          <t>Security Sign-Off</t>
        </is>
      </c>
    </row>
    <row r="4">
      <c r="A4" s="14" t="inlineStr">
        <is>
          <t>APP-001</t>
        </is>
      </c>
      <c r="B4" s="14" t="inlineStr">
        <is>
          <t>Customer Portal</t>
        </is>
      </c>
      <c r="C4" s="14" t="inlineStr">
        <is>
          <t>v2.5.0</t>
        </is>
      </c>
      <c r="D4" s="14" t="n">
        <v>25</v>
      </c>
      <c r="E4" s="14" t="n">
        <v>24</v>
      </c>
      <c r="F4" s="14" t="n">
        <v>1</v>
      </c>
      <c r="G4" s="14" t="n">
        <v>0</v>
      </c>
      <c r="H4" s="17">
        <f>IF(D4&gt;0,E4/D4*100,0)</f>
        <v/>
      </c>
    </row>
    <row r="5">
      <c r="A5" s="16" t="n"/>
      <c r="B5" s="16" t="inlineStr">
        <is>
          <t>[CRITERION] No Critical or High CVSS severity findings open at time of release</t>
        </is>
      </c>
      <c r="C5" s="16" t="n"/>
      <c r="D5" s="16" t="n"/>
      <c r="E5" s="16" t="n"/>
      <c r="F5" s="16" t="n"/>
      <c r="G5" s="16" t="n"/>
      <c r="H5" s="16" t="n"/>
      <c r="I5" s="16" t="n"/>
    </row>
    <row r="6">
      <c r="A6" s="16" t="n"/>
      <c r="B6" s="16" t="inlineStr">
        <is>
          <t>[CRITERION] SAST scan completed with zero Critical findings unmitigated</t>
        </is>
      </c>
      <c r="C6" s="16" t="n"/>
      <c r="D6" s="16" t="n"/>
      <c r="E6" s="16" t="n"/>
      <c r="F6" s="16" t="n"/>
      <c r="G6" s="16" t="n"/>
      <c r="H6" s="16" t="n"/>
      <c r="I6" s="16" t="n"/>
    </row>
    <row r="7">
      <c r="A7" s="16" t="n"/>
      <c r="B7" s="16" t="inlineStr">
        <is>
          <t>[CRITERION] SCA scan completed — all Critical/High vulnerable dependencies resolved</t>
        </is>
      </c>
      <c r="C7" s="16" t="n"/>
      <c r="D7" s="16" t="n"/>
      <c r="E7" s="16" t="n"/>
      <c r="F7" s="16" t="n"/>
      <c r="G7" s="16" t="n"/>
      <c r="H7" s="16" t="n"/>
      <c r="I7" s="16" t="n"/>
    </row>
    <row r="8">
      <c r="A8" s="16" t="n"/>
      <c r="B8" s="16" t="inlineStr">
        <is>
          <t>[CRITERION] DAST scan completed for all external-facing endpoints</t>
        </is>
      </c>
      <c r="C8" s="16" t="n"/>
      <c r="D8" s="16" t="n"/>
      <c r="E8" s="16" t="n"/>
      <c r="F8" s="16" t="n"/>
      <c r="G8" s="16" t="n"/>
      <c r="H8" s="16" t="n"/>
      <c r="I8" s="16" t="n"/>
    </row>
    <row r="9">
      <c r="A9" s="16" t="n"/>
      <c r="B9" s="16" t="inlineStr">
        <is>
          <t>[CRITERION] Penetration test completed and critical findings remediated (required for high-risk applications)</t>
        </is>
      </c>
      <c r="C9" s="16" t="n"/>
      <c r="D9" s="16" t="n"/>
      <c r="E9" s="16" t="n"/>
      <c r="F9" s="16" t="n"/>
      <c r="G9" s="16" t="n"/>
      <c r="H9" s="16" t="n"/>
      <c r="I9" s="16" t="n"/>
    </row>
    <row r="10">
      <c r="A10" s="16" t="n"/>
      <c r="B10" s="16" t="inlineStr">
        <is>
          <t>[CRITERION] Security review sign-off obtained from Security Champion or AppSec team</t>
        </is>
      </c>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Testing Assessment</t>
        </is>
      </c>
      <c r="C5" s="22" t="inlineStr">
        <is>
          <t>Policy Document</t>
        </is>
      </c>
      <c r="D5" s="22" t="inlineStr">
        <is>
          <t>Security testing execution report and findings log</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"Test report,SAST report,DAST report,SCA report,Penetration test,Vulnerability scan,Code review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SECURITY TESTING RESULTS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SAST Scanning Coverage</t>
        </is>
      </c>
      <c r="B6" s="29">
        <f>COUNTA('Security Testing Coverage'!B5:B54)</f>
        <v/>
      </c>
      <c r="C6" s="29">
        <f>COUNTIF('Security Testing Coverage'!B5:B54,"Yes")</f>
        <v/>
      </c>
      <c r="D6" s="29">
        <f>0</f>
        <v/>
      </c>
      <c r="E6" s="29">
        <f>COUNTIF('Security Testing Coverage'!B5:B54,"No")</f>
        <v/>
      </c>
      <c r="F6" s="29">
        <f>0</f>
        <v/>
      </c>
      <c r="G6" s="30">
        <f>IF((B6-F6)=0,0,C6/(B6-F6))</f>
        <v/>
      </c>
    </row>
    <row r="7">
      <c r="A7" s="28" t="inlineStr">
        <is>
          <t>DAST Scanning Coverage</t>
        </is>
      </c>
      <c r="B7" s="29">
        <f>COUNTA('Security Testing Coverage'!D5:D54)</f>
        <v/>
      </c>
      <c r="C7" s="29">
        <f>COUNTIF('Security Testing Coverage'!D5:D54,"Yes")</f>
        <v/>
      </c>
      <c r="D7" s="29">
        <f>0</f>
        <v/>
      </c>
      <c r="E7" s="29">
        <f>COUNTIF('Security Testing Coverage'!D5:D54,"No")</f>
        <v/>
      </c>
      <c r="F7" s="29">
        <f>0</f>
        <v/>
      </c>
      <c r="G7" s="30">
        <f>IF((B7-F7)=0,0,C7/(B7-F7))</f>
        <v/>
      </c>
    </row>
    <row r="8">
      <c r="A8" s="28" t="inlineStr">
        <is>
          <t>SCA Scanning Coverage</t>
        </is>
      </c>
      <c r="B8" s="29">
        <f>COUNTA('Security Testing Coverage'!F5:F54)</f>
        <v/>
      </c>
      <c r="C8" s="29">
        <f>COUNTIF('Security Testing Coverage'!F5:F54,"Yes")</f>
        <v/>
      </c>
      <c r="D8" s="29">
        <f>0</f>
        <v/>
      </c>
      <c r="E8" s="29">
        <f>COUNTIF('Security Testing Coverage'!F5:F54,"No")</f>
        <v/>
      </c>
      <c r="F8" s="29">
        <f>0</f>
        <v/>
      </c>
      <c r="G8" s="30">
        <f>IF((B8-F8)=0,0,C8/(B8-F8))</f>
        <v/>
      </c>
    </row>
    <row r="9">
      <c r="A9" s="28" t="inlineStr">
        <is>
          <t>Security Acceptance Testing</t>
        </is>
      </c>
      <c r="B9" s="29">
        <f>COUNTA('Security Acceptance Testing'!I5:I60)</f>
        <v/>
      </c>
      <c r="C9" s="29">
        <f>COUNTIF('Security Acceptance Testing'!I5:I60,"Approved")</f>
        <v/>
      </c>
      <c r="D9" s="29">
        <f>COUNTIF('Security Acceptance Testing'!I5:I60,"Pending")</f>
        <v/>
      </c>
      <c r="E9" s="29">
        <f>COUNTIF('Security Acceptance Testing'!I5:I60,"Not Approved")</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Covered</t>
        </is>
      </c>
      <c r="B14" s="6">
        <f>COUNTA('Security Testing Coverage'!A5:A54)</f>
        <v/>
      </c>
      <c r="C14" s="6" t="n"/>
      <c r="D14" s="6" t="n"/>
      <c r="E14" s="6" t="n"/>
      <c r="F14" s="6" t="n"/>
      <c r="G14" s="6" t="n"/>
    </row>
    <row r="15">
      <c r="A15" s="28" t="inlineStr">
        <is>
          <t>Penetration Tests Completed</t>
        </is>
      </c>
      <c r="B15" s="6">
        <f>COUNTA('Penetration Testing Results'!A5:A54)</f>
        <v/>
      </c>
      <c r="C15" s="6" t="n"/>
      <c r="D15" s="6" t="n"/>
      <c r="E15" s="6" t="n"/>
      <c r="F15" s="6" t="n"/>
      <c r="G15" s="6" t="n"/>
    </row>
    <row r="16">
      <c r="A16" s="28" t="inlineStr">
        <is>
          <t>Average SAST Remediation Rate (%)</t>
        </is>
      </c>
      <c r="B16" s="6">
        <f>IFERROR(AVERAGE('SAST Scan Results'!I5:I54),"No data")</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COUNTIF('Security Testing Coverage'!B5:B54,"No")</f>
        <v/>
      </c>
      <c r="B24" s="4" t="inlineStr">
        <is>
          <t>Apps Without SAST Scanning</t>
        </is>
      </c>
      <c r="C24" s="4">
        <f>COUNTIF('Security Testing Coverage'!B5:B54,"No")</f>
        <v/>
      </c>
      <c r="D24" s="4" t="inlineStr">
        <is>
          <t>High</t>
        </is>
      </c>
      <c r="E24" s="4" t="inlineStr">
        <is>
          <t>Security Testing Coverage</t>
        </is>
      </c>
      <c r="F24" s="4" t="inlineStr">
        <is>
          <t>Enable SAST scanning in CI/CD pipeline</t>
        </is>
      </c>
      <c r="G24" s="4" t="n"/>
    </row>
    <row r="25">
      <c r="A25" s="4">
        <f>COUNTIF('Security Testing Coverage'!D5:D54,"No")</f>
        <v/>
      </c>
      <c r="B25" s="4" t="inlineStr">
        <is>
          <t>Apps Without DAST Scanning</t>
        </is>
      </c>
      <c r="C25" s="4">
        <f>COUNTIF('Security Testing Coverage'!D5:D54,"No")</f>
        <v/>
      </c>
      <c r="D25" s="4" t="inlineStr">
        <is>
          <t>High</t>
        </is>
      </c>
      <c r="E25" s="4" t="inlineStr">
        <is>
          <t>Security Testing Coverage</t>
        </is>
      </c>
      <c r="F25" s="4" t="inlineStr">
        <is>
          <t>Implement DAST scanning in test pipeline</t>
        </is>
      </c>
      <c r="G25" s="4" t="n"/>
    </row>
    <row r="26">
      <c r="A26" s="4">
        <f>COUNTIF('Security Testing Coverage'!F5:F54,"No")</f>
        <v/>
      </c>
      <c r="B26" s="4" t="inlineStr">
        <is>
          <t>Apps Without SCA Scanning</t>
        </is>
      </c>
      <c r="C26" s="4">
        <f>COUNTIF('Security Testing Coverage'!F5:F54,"No")</f>
        <v/>
      </c>
      <c r="D26" s="4" t="inlineStr">
        <is>
          <t>Medium</t>
        </is>
      </c>
      <c r="E26" s="4" t="inlineStr">
        <is>
          <t>Security Testing Coverage</t>
        </is>
      </c>
      <c r="F26" s="4" t="inlineStr">
        <is>
          <t>Enable SCA for dependency vulnerability detection</t>
        </is>
      </c>
      <c r="G26" s="4" t="n"/>
    </row>
    <row r="27">
      <c r="A27" s="4">
        <f>SUM('SAST Scan Results'!C5:C54)</f>
        <v/>
      </c>
      <c r="B27" s="4" t="inlineStr">
        <is>
          <t>Critical SAST Findings (Total)</t>
        </is>
      </c>
      <c r="C27" s="4">
        <f>SUM('SAST Scan Results'!C5:C54)</f>
        <v/>
      </c>
      <c r="D27" s="4" t="inlineStr">
        <is>
          <t>Critical</t>
        </is>
      </c>
      <c r="E27" s="4" t="inlineStr">
        <is>
          <t>SAST Scan Results</t>
        </is>
      </c>
      <c r="F27" s="4" t="inlineStr">
        <is>
          <t>Immediate remediation of all critical findings</t>
        </is>
      </c>
      <c r="G27" s="4" t="n"/>
    </row>
    <row r="28">
      <c r="A28" s="4">
        <f>COUNTIF('Security Acceptance Testing'!I5:I60,"Not Approved")</f>
        <v/>
      </c>
      <c r="B28" s="4" t="inlineStr">
        <is>
          <t>Failed Security Acceptance Tests</t>
        </is>
      </c>
      <c r="C28" s="4">
        <f>COUNTIF('Security Acceptance Testing'!I5:I60,"Not Approved")</f>
        <v/>
      </c>
      <c r="D28" s="4" t="inlineStr">
        <is>
          <t>High</t>
        </is>
      </c>
      <c r="E28" s="4" t="inlineStr">
        <is>
          <t>Security Acceptance Testing</t>
        </is>
      </c>
      <c r="F28" s="4" t="inlineStr">
        <is>
          <t>Re-test and resolve all acceptance test failures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ISMS-IMP-A.8.25-26-29.S3 - Security Testing Results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ISMS-IMP-A.8.25-26-29.S3 — Security Testing Results Assessment</dc:title>
  <dc:description xmlns:dc="http://purl.org/dc/elements/1.1/">ISMS Implementation Workbook — ISMS-IMP-A.8.25-26-29.S3</dc:description>
  <dc:subject xmlns:dc="http://purl.org/dc/elements/1.1/">ISO/IEC 27001:2022 — Control A.8.25-26-29: Secure Development</dc:subject>
  <dcterms:created xmlns:dcterms="http://purl.org/dc/terms/" xmlns:xsi="http://www.w3.org/2001/XMLSchema-instance" xsi:type="dcterms:W3CDTF">2026-03-07T11:28:24Z</dcterms:created>
  <dcterms:modified xmlns:dcterms="http://purl.org/dc/terms/" xmlns:xsi="http://www.w3.org/2001/XMLSchema-instance" xsi:type="dcterms:W3CDTF">2026-03-07T11:28:24Z</dcterms:modified>
</cp:coreProperties>
</file>