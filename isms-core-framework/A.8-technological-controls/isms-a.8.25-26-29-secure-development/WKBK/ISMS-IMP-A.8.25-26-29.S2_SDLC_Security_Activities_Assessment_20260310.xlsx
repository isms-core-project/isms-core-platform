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DLC Phase Activities" sheetId="2" state="visible" r:id="rId2"/>
    <sheet xmlns:r="http://schemas.openxmlformats.org/officeDocument/2006/relationships" name="Secure Coding Standards" sheetId="3" state="visible" r:id="rId3"/>
    <sheet xmlns:r="http://schemas.openxmlformats.org/officeDocument/2006/relationships" name="Code Review Metrics" sheetId="4" state="visible" r:id="rId4"/>
    <sheet xmlns:r="http://schemas.openxmlformats.org/officeDocument/2006/relationships" name="Security Tools Deployment" sheetId="5" state="visible" r:id="rId5"/>
    <sheet xmlns:r="http://schemas.openxmlformats.org/officeDocument/2006/relationships" name="Security Tools Usage" sheetId="6" state="visible" r:id="rId6"/>
    <sheet xmlns:r="http://schemas.openxmlformats.org/officeDocument/2006/relationships" name="Developer Training" sheetId="7" state="visible" r:id="rId7"/>
    <sheet xmlns:r="http://schemas.openxmlformats.org/officeDocument/2006/relationships" name="Security Defect Mgmt"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3">
    <numFmt numFmtId="164" formatCode="0&quot;%&quot;"/>
    <numFmt numFmtId="165" formatCode="0.0&quot;%&quot;"/>
    <numFmt numFmtId="166" formatCode="0.0%"/>
  </numFmts>
  <fonts count="13">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name val="Calibri"/>
      <i val="1"/>
      <color rgb="00003366"/>
      <sz val="10"/>
    </font>
    <font>
      <name val="Calibri"/>
      <b val="1"/>
      <color rgb="00000000"/>
      <sz val="10"/>
    </font>
    <font>
      <name val="Calibri"/>
      <sz val="10"/>
    </font>
    <font>
      <name val="Calibri"/>
      <i val="1"/>
      <sz val="10"/>
    </font>
    <font>
      <name val="Calibri"/>
      <b val="1"/>
      <color rgb="00FFFFFF"/>
      <sz val="10"/>
    </font>
    <font>
      <b val="1"/>
      <color rgb="00FFFFFF"/>
      <sz val="11"/>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164"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165" fontId="0" fillId="10" borderId="1" applyAlignment="1" pivotButton="0" quotePrefix="0" xfId="0">
      <alignment horizontal="left" vertical="center" wrapText="1"/>
    </xf>
    <xf numFmtId="0" fontId="1" fillId="8" borderId="1" applyAlignment="1" pivotButton="0" quotePrefix="0" xfId="0">
      <alignment horizontal="center" vertical="center"/>
    </xf>
    <xf numFmtId="0" fontId="9" fillId="0" borderId="1" applyAlignment="1" pivotButton="0" quotePrefix="0" xfId="0">
      <alignment horizontal="left" vertical="center"/>
    </xf>
    <xf numFmtId="0" fontId="10" fillId="8" borderId="1" applyAlignment="1" pivotButton="0" quotePrefix="0" xfId="0">
      <alignment horizontal="center" vertical="center" wrapText="1"/>
    </xf>
    <xf numFmtId="0" fontId="8" fillId="10" borderId="1" applyAlignment="1" pivotButton="0" quotePrefix="0" xfId="0">
      <alignment horizontal="center" vertical="center" wrapText="1"/>
    </xf>
    <xf numFmtId="0" fontId="8" fillId="10" borderId="1" applyAlignment="1" pivotButton="0" quotePrefix="0" xfId="0">
      <alignment horizontal="left" vertical="center" wrapText="1"/>
    </xf>
    <xf numFmtId="0" fontId="0" fillId="11" borderId="1" applyAlignment="1" pivotButton="0" quotePrefix="0" xfId="0">
      <alignment horizontal="center" vertical="center" wrapText="1"/>
    </xf>
    <xf numFmtId="0" fontId="1" fillId="2" borderId="1" applyAlignment="1" pivotButton="0" quotePrefix="0" xfId="0">
      <alignment horizontal="center" vertical="center" wrapText="1"/>
    </xf>
    <xf numFmtId="0" fontId="6" fillId="0" borderId="1" applyAlignment="1" pivotButton="0" quotePrefix="0" xfId="0">
      <alignment horizontal="left" vertical="center"/>
    </xf>
    <xf numFmtId="0" fontId="5" fillId="2" borderId="1" pivotButton="0" quotePrefix="0" xfId="0"/>
    <xf numFmtId="0" fontId="7" fillId="4" borderId="1" applyAlignment="1" pivotButton="0" quotePrefix="0" xfId="0">
      <alignment horizontal="center" vertical="center" wrapText="1"/>
    </xf>
    <xf numFmtId="0" fontId="8" fillId="0" borderId="1" pivotButton="0" quotePrefix="0" xfId="0"/>
    <xf numFmtId="0" fontId="0" fillId="0" borderId="1" applyAlignment="1" pivotButton="0" quotePrefix="0" xfId="0">
      <alignment horizontal="center"/>
    </xf>
    <xf numFmtId="166" fontId="0" fillId="0" borderId="1" applyAlignment="1" pivotButton="0" quotePrefix="0" xfId="0">
      <alignment horizontal="center"/>
    </xf>
    <xf numFmtId="0" fontId="4" fillId="4" borderId="1" pivotButton="0" quotePrefix="0" xfId="0"/>
    <xf numFmtId="0" fontId="4" fillId="4" borderId="1" applyAlignment="1" pivotButton="0" quotePrefix="0" xfId="0">
      <alignment horizontal="center"/>
    </xf>
    <xf numFmtId="166" fontId="4" fillId="4" borderId="1" applyAlignment="1" pivotButton="0" quotePrefix="0" xfId="0">
      <alignment horizontal="center"/>
    </xf>
    <xf numFmtId="0" fontId="5" fillId="12" borderId="1" pivotButton="0" quotePrefix="0" xfId="0"/>
    <xf numFmtId="0" fontId="5" fillId="13" borderId="1" applyAlignment="1" pivotButton="0" quotePrefix="0" xfId="0">
      <alignment horizontal="left" vertical="center"/>
    </xf>
    <xf numFmtId="0" fontId="4" fillId="0" borderId="1" pivotButton="0" quotePrefix="0" xfId="0"/>
    <xf numFmtId="0" fontId="0" fillId="11" borderId="1" pivotButton="0" quotePrefix="0" xfId="0"/>
    <xf numFmtId="0" fontId="11" fillId="13" borderId="1" applyAlignment="1" pivotButton="0" quotePrefix="0" xfId="0">
      <alignment horizontal="left" vertical="center"/>
    </xf>
    <xf numFmtId="0" fontId="12" fillId="0" borderId="1" pivotButton="0" quotePrefix="0" xfId="0"/>
    <xf numFmtId="0" fontId="11" fillId="8"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ISMS-IMP-A.8.25-26-29.S2  -  SDLC Security Activities Assessment
ISO/IEC 27001:2022 - Control A.8.25-26-29: Secure Development</t>
        </is>
      </c>
    </row>
    <row r="3">
      <c r="A3" s="2" t="inlineStr">
        <is>
          <t>Document Information</t>
        </is>
      </c>
    </row>
    <row r="4">
      <c r="A4" s="3" t="inlineStr">
        <is>
          <t>Document ID</t>
        </is>
      </c>
      <c r="B4" t="inlineStr">
        <is>
          <t>ISMS-IMP-A.8.25-26-29.S2</t>
        </is>
      </c>
    </row>
    <row r="5">
      <c r="A5" s="3" t="inlineStr">
        <is>
          <t>Workbook Title</t>
        </is>
      </c>
      <c r="B5" t="inlineStr">
        <is>
          <t>SDLC Security Activities Assessment</t>
        </is>
      </c>
    </row>
    <row r="6">
      <c r="A6" s="3" t="inlineStr">
        <is>
          <t>Control Reference</t>
        </is>
      </c>
      <c r="B6" t="inlineStr">
        <is>
          <t>ISO/IEC 27001:2022 - Control A.8.25-26-29: Secure Development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systems/services.</t>
        </is>
      </c>
    </row>
    <row r="14">
      <c r="A14" t="inlineStr">
        <is>
          <t>2. Use dropdown menus for standardised entries (Status, Remediation, etc.).</t>
        </is>
      </c>
    </row>
    <row r="15">
      <c r="A15" t="inlineStr">
        <is>
          <t>3. Fill in yellow-highlighted cells with your information.</t>
        </is>
      </c>
    </row>
    <row r="16">
      <c r="A16" t="inlineStr">
        <is>
          <t>4. If Status = Partial or Non-Compliant, complete the Exception/Deviation section.</t>
        </is>
      </c>
    </row>
    <row r="17">
      <c r="A17" t="inlineStr">
        <is>
          <t>5. Check all applicable items in the Compliance Checklist for each section.</t>
        </is>
      </c>
    </row>
    <row r="18">
      <c r="A18" t="inlineStr">
        <is>
          <t>6. Provide evidence location/path for each implementation entry.</t>
        </is>
      </c>
    </row>
    <row r="19">
      <c r="A19" t="inlineStr">
        <is>
          <t>7. Summary Dashboard auto-calculates compliance statistics.</t>
        </is>
      </c>
    </row>
    <row r="20">
      <c r="A20" t="inlineStr">
        <is>
          <t>8. Maintain the Evidence Register for audit traceability.</t>
        </is>
      </c>
    </row>
    <row r="21">
      <c r="A21" t="inlineStr">
        <is>
          <t>9. Obtain final approval and sign-off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5"/>
  <sheetViews>
    <sheetView showGridLines="0" workbookViewId="0">
      <pane ySplit="3" topLeftCell="A4" activePane="bottomLeft" state="frozen"/>
      <selection pane="bottomLeft" activeCell="A1" sqref="A1"/>
    </sheetView>
  </sheetViews>
  <sheetFormatPr baseColWidth="8" defaultRowHeight="15"/>
  <cols>
    <col width="1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s>
  <sheetData>
    <row r="1" ht="35" customHeight="1">
      <c r="A1" s="11" t="inlineStr">
        <is>
          <t>SDLC SECURITY ACTIVITIES BY PHASE</t>
        </is>
      </c>
    </row>
    <row r="2">
      <c r="A2" s="12" t="inlineStr">
        <is>
          <t>TRACK SECURITY ACTIVITY COMPLETION FOR EACH SDLC PHASE PER APPLICATION</t>
        </is>
      </c>
    </row>
    <row r="3">
      <c r="A3" s="13" t="inlineStr">
        <is>
          <t>App-ID</t>
        </is>
      </c>
      <c r="B3" s="13" t="inlineStr">
        <is>
          <t>Application Name</t>
        </is>
      </c>
      <c r="C3" s="13" t="inlineStr">
        <is>
          <t>SDLC Methodology</t>
        </is>
      </c>
      <c r="D3" s="13" t="inlineStr">
        <is>
          <t>Requirements: Sec Req Defined</t>
        </is>
      </c>
      <c r="E3" s="13" t="inlineStr">
        <is>
          <t>Requirements: Risk Classification</t>
        </is>
      </c>
      <c r="F3" s="13" t="inlineStr">
        <is>
          <t>Design: Threat Modeling</t>
        </is>
      </c>
      <c r="G3" s="13" t="inlineStr">
        <is>
          <t>Design: Architecture Review</t>
        </is>
      </c>
      <c r="H3" s="13" t="inlineStr">
        <is>
          <t>Development: SAST Enabled</t>
        </is>
      </c>
      <c r="I3" s="13" t="inlineStr">
        <is>
          <t>Development: Code Review</t>
        </is>
      </c>
      <c r="J3" s="13" t="inlineStr">
        <is>
          <t>Testing: DAST Scan</t>
        </is>
      </c>
      <c r="K3" s="13" t="inlineStr">
        <is>
          <t>Testing: Security Testing</t>
        </is>
      </c>
      <c r="L3" s="13" t="inlineStr">
        <is>
          <t>Deployment: Security Checklist</t>
        </is>
      </c>
      <c r="M3" s="13" t="inlineStr">
        <is>
          <t>Maintenance: Vulnerability Monitoring</t>
        </is>
      </c>
      <c r="N3" s="13" t="inlineStr">
        <is>
          <t>Phase Compliance (%)</t>
        </is>
      </c>
    </row>
    <row r="4">
      <c r="A4" s="14" t="inlineStr">
        <is>
          <t>APP-001</t>
        </is>
      </c>
      <c r="B4" s="14" t="inlineStr">
        <is>
          <t>Customer Portal</t>
        </is>
      </c>
      <c r="C4" s="14" t="inlineStr">
        <is>
          <t>Agile</t>
        </is>
      </c>
      <c r="D4" s="14" t="inlineStr">
        <is>
          <t>Complete</t>
        </is>
      </c>
      <c r="E4" s="14" t="inlineStr">
        <is>
          <t>Complete</t>
        </is>
      </c>
      <c r="F4" s="14" t="inlineStr">
        <is>
          <t>Complete</t>
        </is>
      </c>
      <c r="G4" s="14" t="inlineStr">
        <is>
          <t>Complete</t>
        </is>
      </c>
      <c r="H4" s="14" t="inlineStr">
        <is>
          <t>Complete</t>
        </is>
      </c>
      <c r="I4" s="14" t="inlineStr">
        <is>
          <t>Complete</t>
        </is>
      </c>
      <c r="J4" s="14" t="inlineStr">
        <is>
          <t>Complete</t>
        </is>
      </c>
      <c r="K4" s="14" t="inlineStr">
        <is>
          <t>Complete</t>
        </is>
      </c>
      <c r="L4" s="14" t="inlineStr">
        <is>
          <t>Complete</t>
        </is>
      </c>
      <c r="M4" s="14" t="inlineStr">
        <is>
          <t>Complete</t>
        </is>
      </c>
      <c r="N4" s="15">
        <f>(COUNTIF(D4:M4,"Complete")/COUNTIF(D4:M4,"&lt;&gt;N/A"))*100</f>
        <v/>
      </c>
    </row>
    <row r="5">
      <c r="A5" s="16" t="n"/>
      <c r="B5" s="16" t="inlineStr">
        <is>
          <t>[REQUIREMENTS] Security requirements documented alongside functional requirements</t>
        </is>
      </c>
      <c r="C5" s="16" t="n"/>
      <c r="D5" s="16" t="n"/>
      <c r="E5" s="16" t="n"/>
      <c r="F5" s="16" t="n"/>
      <c r="G5" s="16" t="n"/>
      <c r="H5" s="16" t="n"/>
      <c r="I5" s="16" t="n"/>
      <c r="J5" s="16" t="n"/>
      <c r="K5" s="16" t="n"/>
      <c r="L5" s="16" t="n"/>
      <c r="M5" s="16" t="n"/>
      <c r="N5" s="16" t="n"/>
    </row>
    <row r="6">
      <c r="A6" s="16" t="n"/>
      <c r="B6" s="16" t="inlineStr">
        <is>
          <t>[REQUIREMENTS] Threat modelling initiated for high-risk applications</t>
        </is>
      </c>
      <c r="C6" s="16" t="n"/>
      <c r="D6" s="16" t="n"/>
      <c r="E6" s="16" t="n"/>
      <c r="F6" s="16" t="n"/>
      <c r="G6" s="16" t="n"/>
      <c r="H6" s="16" t="n"/>
      <c r="I6" s="16" t="n"/>
      <c r="J6" s="16" t="n"/>
      <c r="K6" s="16" t="n"/>
      <c r="L6" s="16" t="n"/>
      <c r="M6" s="16" t="n"/>
      <c r="N6" s="16" t="n"/>
    </row>
    <row r="7">
      <c r="A7" s="16" t="n"/>
      <c r="B7" s="16" t="inlineStr">
        <is>
          <t>[REQUIREMENTS] Data classification and privacy requirements identified</t>
        </is>
      </c>
      <c r="C7" s="16" t="n"/>
      <c r="D7" s="16" t="n"/>
      <c r="E7" s="16" t="n"/>
      <c r="F7" s="16" t="n"/>
      <c r="G7" s="16" t="n"/>
      <c r="H7" s="16" t="n"/>
      <c r="I7" s="16" t="n"/>
      <c r="J7" s="16" t="n"/>
      <c r="K7" s="16" t="n"/>
      <c r="L7" s="16" t="n"/>
      <c r="M7" s="16" t="n"/>
      <c r="N7" s="16" t="n"/>
    </row>
    <row r="8">
      <c r="A8" s="16" t="n"/>
      <c r="B8" s="16" t="inlineStr">
        <is>
          <t>[REQUIREMENTS] Regulatory and compliance requirements mapped to security controls</t>
        </is>
      </c>
      <c r="C8" s="16" t="n"/>
      <c r="D8" s="16" t="n"/>
      <c r="E8" s="16" t="n"/>
      <c r="F8" s="16" t="n"/>
      <c r="G8" s="16" t="n"/>
      <c r="H8" s="16" t="n"/>
      <c r="I8" s="16" t="n"/>
      <c r="J8" s="16" t="n"/>
      <c r="K8" s="16" t="n"/>
      <c r="L8" s="16" t="n"/>
      <c r="M8" s="16" t="n"/>
      <c r="N8" s="16" t="n"/>
    </row>
    <row r="9">
      <c r="A9" s="16" t="n"/>
      <c r="B9" s="16" t="inlineStr">
        <is>
          <t>[REQUIREMENTS] Security acceptance criteria defined</t>
        </is>
      </c>
      <c r="C9" s="16" t="n"/>
      <c r="D9" s="16" t="n"/>
      <c r="E9" s="16" t="n"/>
      <c r="F9" s="16" t="n"/>
      <c r="G9" s="16" t="n"/>
      <c r="H9" s="16" t="n"/>
      <c r="I9" s="16" t="n"/>
      <c r="J9" s="16" t="n"/>
      <c r="K9" s="16" t="n"/>
      <c r="L9" s="16" t="n"/>
      <c r="M9" s="16" t="n"/>
      <c r="N9" s="16" t="n"/>
    </row>
    <row r="10">
      <c r="A10" s="16" t="n"/>
      <c r="B10" s="16" t="inlineStr">
        <is>
          <t>[DESIGN] Security architecture review conducted before development begins</t>
        </is>
      </c>
      <c r="C10" s="16" t="n"/>
      <c r="D10" s="16" t="n"/>
      <c r="E10" s="16" t="n"/>
      <c r="F10" s="16" t="n"/>
      <c r="G10" s="16" t="n"/>
      <c r="H10" s="16" t="n"/>
      <c r="I10" s="16" t="n"/>
      <c r="J10" s="16" t="n"/>
      <c r="K10" s="16" t="n"/>
      <c r="L10" s="16" t="n"/>
      <c r="M10" s="16" t="n"/>
      <c r="N10" s="16" t="n"/>
    </row>
    <row r="11">
      <c r="A11" s="16" t="n"/>
      <c r="B11" s="16" t="inlineStr">
        <is>
          <t>[DESIGN] Secure design patterns applied (authentication, authorisation, encryption, logging)</t>
        </is>
      </c>
      <c r="C11" s="16" t="n"/>
      <c r="D11" s="16" t="n"/>
      <c r="E11" s="16" t="n"/>
      <c r="F11" s="16" t="n"/>
      <c r="G11" s="16" t="n"/>
      <c r="H11" s="16" t="n"/>
      <c r="I11" s="16" t="n"/>
      <c r="J11" s="16" t="n"/>
      <c r="K11" s="16" t="n"/>
      <c r="L11" s="16" t="n"/>
      <c r="M11" s="16" t="n"/>
      <c r="N11" s="16" t="n"/>
    </row>
    <row r="12">
      <c r="A12" s="16" t="n"/>
      <c r="B12" s="16" t="inlineStr">
        <is>
          <t>[DESIGN] Attack surface analysis performed</t>
        </is>
      </c>
      <c r="C12" s="16" t="n"/>
      <c r="D12" s="16" t="n"/>
      <c r="E12" s="16" t="n"/>
      <c r="F12" s="16" t="n"/>
      <c r="G12" s="16" t="n"/>
      <c r="H12" s="16" t="n"/>
      <c r="I12" s="16" t="n"/>
      <c r="J12" s="16" t="n"/>
      <c r="K12" s="16" t="n"/>
      <c r="L12" s="16" t="n"/>
      <c r="M12" s="16" t="n"/>
      <c r="N12" s="16" t="n"/>
    </row>
    <row r="13">
      <c r="A13" s="16" t="n"/>
      <c r="B13" s="16" t="inlineStr">
        <is>
          <t>[DESIGN] Security design reviewed by Security Champion or AppSec team</t>
        </is>
      </c>
      <c r="C13" s="16" t="n"/>
      <c r="D13" s="16" t="n"/>
      <c r="E13" s="16" t="n"/>
      <c r="F13" s="16" t="n"/>
      <c r="G13" s="16" t="n"/>
      <c r="H13" s="16" t="n"/>
      <c r="I13" s="16" t="n"/>
      <c r="J13" s="16" t="n"/>
      <c r="K13" s="16" t="n"/>
      <c r="L13" s="16" t="n"/>
      <c r="M13" s="16" t="n"/>
      <c r="N13" s="16" t="n"/>
    </row>
    <row r="14">
      <c r="A14" s="16" t="n"/>
      <c r="B14" s="16" t="inlineStr">
        <is>
          <t>[IMPLEMENTATION] Secure coding standards applied (OWASP Top 10, CWE Top 25)</t>
        </is>
      </c>
      <c r="C14" s="16" t="n"/>
      <c r="D14" s="16" t="n"/>
      <c r="E14" s="16" t="n"/>
      <c r="F14" s="16" t="n"/>
      <c r="G14" s="16" t="n"/>
      <c r="H14" s="16" t="n"/>
      <c r="I14" s="16" t="n"/>
      <c r="J14" s="16" t="n"/>
      <c r="K14" s="16" t="n"/>
      <c r="L14" s="16" t="n"/>
      <c r="M14" s="16" t="n"/>
      <c r="N14" s="16" t="n"/>
    </row>
    <row r="15">
      <c r="A15" s="16" t="n"/>
      <c r="B15" s="16" t="inlineStr">
        <is>
          <t>[IMPLEMENTATION] SAST scan integrated and run on every commit/PR</t>
        </is>
      </c>
      <c r="C15" s="16" t="n"/>
      <c r="D15" s="16" t="n"/>
      <c r="E15" s="16" t="n"/>
      <c r="F15" s="16" t="n"/>
      <c r="G15" s="16" t="n"/>
      <c r="H15" s="16" t="n"/>
      <c r="I15" s="16" t="n"/>
      <c r="J15" s="16" t="n"/>
      <c r="K15" s="16" t="n"/>
      <c r="L15" s="16" t="n"/>
      <c r="M15" s="16" t="n"/>
      <c r="N15" s="16" t="n"/>
    </row>
    <row r="16">
      <c r="A16" s="16" t="n"/>
      <c r="B16" s="16" t="inlineStr">
        <is>
          <t>[IMPLEMENTATION] SCA / dependency scanning enabled — no Critical/High unresolved vulnerabilities</t>
        </is>
      </c>
      <c r="C16" s="16" t="n"/>
      <c r="D16" s="16" t="n"/>
      <c r="E16" s="16" t="n"/>
      <c r="F16" s="16" t="n"/>
      <c r="G16" s="16" t="n"/>
      <c r="H16" s="16" t="n"/>
      <c r="I16" s="16" t="n"/>
      <c r="J16" s="16" t="n"/>
      <c r="K16" s="16" t="n"/>
      <c r="L16" s="16" t="n"/>
      <c r="M16" s="16" t="n"/>
      <c r="N16" s="16" t="n"/>
    </row>
    <row r="17">
      <c r="A17" s="16" t="n"/>
      <c r="B17" s="16" t="inlineStr">
        <is>
          <t>[IMPLEMENTATION] Secret scanning enabled — no credentials committed to repository</t>
        </is>
      </c>
      <c r="C17" s="16" t="n"/>
      <c r="D17" s="16" t="n"/>
      <c r="E17" s="16" t="n"/>
      <c r="F17" s="16" t="n"/>
      <c r="G17" s="16" t="n"/>
      <c r="H17" s="16" t="n"/>
      <c r="I17" s="16" t="n"/>
      <c r="J17" s="16" t="n"/>
      <c r="K17" s="16" t="n"/>
      <c r="L17" s="16" t="n"/>
      <c r="M17" s="16" t="n"/>
      <c r="N17" s="16" t="n"/>
    </row>
    <row r="18">
      <c r="A18" s="16" t="n"/>
      <c r="B18" s="16" t="inlineStr">
        <is>
          <t>[IMPLEMENTATION] Peer code review with security focus completed</t>
        </is>
      </c>
      <c r="C18" s="16" t="n"/>
      <c r="D18" s="16" t="n"/>
      <c r="E18" s="16" t="n"/>
      <c r="F18" s="16" t="n"/>
      <c r="G18" s="16" t="n"/>
      <c r="H18" s="16" t="n"/>
      <c r="I18" s="16" t="n"/>
      <c r="J18" s="16" t="n"/>
      <c r="K18" s="16" t="n"/>
      <c r="L18" s="16" t="n"/>
      <c r="M18" s="16" t="n"/>
      <c r="N18" s="16" t="n"/>
    </row>
    <row r="19">
      <c r="A19" s="16" t="n"/>
      <c r="B19" s="16" t="inlineStr">
        <is>
          <t>[TESTING] Security test cases written for critical functionality</t>
        </is>
      </c>
      <c r="C19" s="16" t="n"/>
      <c r="D19" s="16" t="n"/>
      <c r="E19" s="16" t="n"/>
      <c r="F19" s="16" t="n"/>
      <c r="G19" s="16" t="n"/>
      <c r="H19" s="16" t="n"/>
      <c r="I19" s="16" t="n"/>
      <c r="J19" s="16" t="n"/>
      <c r="K19" s="16" t="n"/>
      <c r="L19" s="16" t="n"/>
      <c r="M19" s="16" t="n"/>
      <c r="N19" s="16" t="n"/>
    </row>
    <row r="20">
      <c r="A20" s="16" t="n"/>
      <c r="B20" s="16" t="inlineStr">
        <is>
          <t>[TESTING] DAST scan completed in staging environment</t>
        </is>
      </c>
      <c r="C20" s="16" t="n"/>
      <c r="D20" s="16" t="n"/>
      <c r="E20" s="16" t="n"/>
      <c r="F20" s="16" t="n"/>
      <c r="G20" s="16" t="n"/>
      <c r="H20" s="16" t="n"/>
      <c r="I20" s="16" t="n"/>
      <c r="J20" s="16" t="n"/>
      <c r="K20" s="16" t="n"/>
      <c r="L20" s="16" t="n"/>
      <c r="M20" s="16" t="n"/>
      <c r="N20" s="16" t="n"/>
    </row>
    <row r="21">
      <c r="A21" s="16" t="n"/>
      <c r="B21" s="16" t="inlineStr">
        <is>
          <t>[TESTING] API security testing performed</t>
        </is>
      </c>
      <c r="C21" s="16" t="n"/>
      <c r="D21" s="16" t="n"/>
      <c r="E21" s="16" t="n"/>
      <c r="F21" s="16" t="n"/>
      <c r="G21" s="16" t="n"/>
      <c r="H21" s="16" t="n"/>
      <c r="I21" s="16" t="n"/>
      <c r="J21" s="16" t="n"/>
      <c r="K21" s="16" t="n"/>
      <c r="L21" s="16" t="n"/>
      <c r="M21" s="16" t="n"/>
      <c r="N21" s="16" t="n"/>
    </row>
    <row r="22">
      <c r="A22" s="16" t="n"/>
      <c r="B22" s="16" t="inlineStr">
        <is>
          <t>[TESTING] Penetration test completed (required for critical/external-facing applications)</t>
        </is>
      </c>
      <c r="C22" s="16" t="n"/>
      <c r="D22" s="16" t="n"/>
      <c r="E22" s="16" t="n"/>
      <c r="F22" s="16" t="n"/>
      <c r="G22" s="16" t="n"/>
      <c r="H22" s="16" t="n"/>
      <c r="I22" s="16" t="n"/>
      <c r="J22" s="16" t="n"/>
      <c r="K22" s="16" t="n"/>
      <c r="L22" s="16" t="n"/>
      <c r="M22" s="16" t="n"/>
      <c r="N22" s="16" t="n"/>
    </row>
    <row r="23">
      <c r="A23" s="16" t="n"/>
      <c r="B23" s="16" t="inlineStr">
        <is>
          <t>[DEPLOYMENT] Security review sign-off obtained before production release</t>
        </is>
      </c>
      <c r="C23" s="16" t="n"/>
      <c r="D23" s="16" t="n"/>
      <c r="E23" s="16" t="n"/>
      <c r="F23" s="16" t="n"/>
      <c r="G23" s="16" t="n"/>
      <c r="H23" s="16" t="n"/>
      <c r="I23" s="16" t="n"/>
      <c r="J23" s="16" t="n"/>
      <c r="K23" s="16" t="n"/>
      <c r="L23" s="16" t="n"/>
      <c r="M23" s="16" t="n"/>
      <c r="N23" s="16" t="n"/>
    </row>
    <row r="24">
      <c r="A24" s="16" t="n"/>
      <c r="B24" s="16" t="inlineStr">
        <is>
          <t>[DEPLOYMENT] Rollback plan tested and available</t>
        </is>
      </c>
      <c r="C24" s="16" t="n"/>
      <c r="D24" s="16" t="n"/>
      <c r="E24" s="16" t="n"/>
      <c r="F24" s="16" t="n"/>
      <c r="G24" s="16" t="n"/>
      <c r="H24" s="16" t="n"/>
      <c r="I24" s="16" t="n"/>
      <c r="J24" s="16" t="n"/>
      <c r="K24" s="16" t="n"/>
      <c r="L24" s="16" t="n"/>
      <c r="M24" s="16" t="n"/>
      <c r="N24" s="16" t="n"/>
    </row>
    <row r="25">
      <c r="A25" s="16" t="n"/>
      <c r="B25" s="16" t="inlineStr">
        <is>
          <t>[DEPLOYMENT] Security monitoring/alerting verified active post-deployment</t>
        </is>
      </c>
      <c r="C25" s="16" t="n"/>
      <c r="D25" s="16" t="n"/>
      <c r="E25" s="16" t="n"/>
      <c r="F25" s="16" t="n"/>
      <c r="G25" s="16" t="n"/>
      <c r="H25" s="16" t="n"/>
      <c r="I25" s="16" t="n"/>
      <c r="J25" s="16" t="n"/>
      <c r="K25" s="16" t="n"/>
      <c r="L25" s="16" t="n"/>
      <c r="M25" s="16" t="n"/>
      <c r="N25" s="16" t="n"/>
    </row>
    <row r="26">
      <c r="A26" s="16" t="n"/>
      <c r="B26" s="16" t="n"/>
      <c r="C26" s="16" t="n"/>
      <c r="D26" s="16" t="n"/>
      <c r="E26" s="16" t="n"/>
      <c r="F26" s="16" t="n"/>
      <c r="G26" s="16" t="n"/>
      <c r="H26" s="16" t="n"/>
      <c r="I26" s="16" t="n"/>
      <c r="J26" s="16" t="n"/>
      <c r="K26" s="16" t="n"/>
      <c r="L26" s="16" t="n"/>
      <c r="M26" s="16" t="n"/>
      <c r="N26" s="16" t="n"/>
    </row>
    <row r="27">
      <c r="A27" s="16" t="n"/>
      <c r="B27" s="16" t="n"/>
      <c r="C27" s="16" t="n"/>
      <c r="D27" s="16" t="n"/>
      <c r="E27" s="16" t="n"/>
      <c r="F27" s="16" t="n"/>
      <c r="G27" s="16" t="n"/>
      <c r="H27" s="16" t="n"/>
      <c r="I27" s="16" t="n"/>
      <c r="J27" s="16" t="n"/>
      <c r="K27" s="16" t="n"/>
      <c r="L27" s="16" t="n"/>
      <c r="M27" s="16" t="n"/>
      <c r="N27" s="16" t="n"/>
    </row>
    <row r="28">
      <c r="A28" s="16" t="n"/>
      <c r="B28" s="16" t="n"/>
      <c r="C28" s="16" t="n"/>
      <c r="D28" s="16" t="n"/>
      <c r="E28" s="16" t="n"/>
      <c r="F28" s="16" t="n"/>
      <c r="G28" s="16" t="n"/>
      <c r="H28" s="16" t="n"/>
      <c r="I28" s="16" t="n"/>
      <c r="J28" s="16" t="n"/>
      <c r="K28" s="16" t="n"/>
      <c r="L28" s="16" t="n"/>
      <c r="M28" s="16" t="n"/>
      <c r="N28" s="16" t="n"/>
    </row>
    <row r="29">
      <c r="A29" s="16" t="n"/>
      <c r="B29" s="16" t="n"/>
      <c r="C29" s="16" t="n"/>
      <c r="D29" s="16" t="n"/>
      <c r="E29" s="16" t="n"/>
      <c r="F29" s="16" t="n"/>
      <c r="G29" s="16" t="n"/>
      <c r="H29" s="16" t="n"/>
      <c r="I29" s="16" t="n"/>
      <c r="J29" s="16" t="n"/>
      <c r="K29" s="16" t="n"/>
      <c r="L29" s="16" t="n"/>
      <c r="M29" s="16" t="n"/>
      <c r="N29" s="16" t="n"/>
    </row>
    <row r="30">
      <c r="A30" s="16" t="n"/>
      <c r="B30" s="16" t="n"/>
      <c r="C30" s="16" t="n"/>
      <c r="D30" s="16" t="n"/>
      <c r="E30" s="16" t="n"/>
      <c r="F30" s="16" t="n"/>
      <c r="G30" s="16" t="n"/>
      <c r="H30" s="16" t="n"/>
      <c r="I30" s="16" t="n"/>
      <c r="J30" s="16" t="n"/>
      <c r="K30" s="16" t="n"/>
      <c r="L30" s="16" t="n"/>
      <c r="M30" s="16" t="n"/>
      <c r="N30" s="16" t="n"/>
    </row>
    <row r="31">
      <c r="A31" s="16" t="n"/>
      <c r="B31" s="16" t="n"/>
      <c r="C31" s="16" t="n"/>
      <c r="D31" s="16" t="n"/>
      <c r="E31" s="16" t="n"/>
      <c r="F31" s="16" t="n"/>
      <c r="G31" s="16" t="n"/>
      <c r="H31" s="16" t="n"/>
      <c r="I31" s="16" t="n"/>
      <c r="J31" s="16" t="n"/>
      <c r="K31" s="16" t="n"/>
      <c r="L31" s="16" t="n"/>
      <c r="M31" s="16" t="n"/>
      <c r="N31" s="16" t="n"/>
    </row>
    <row r="32">
      <c r="A32" s="16" t="n"/>
      <c r="B32" s="16" t="n"/>
      <c r="C32" s="16" t="n"/>
      <c r="D32" s="16" t="n"/>
      <c r="E32" s="16" t="n"/>
      <c r="F32" s="16" t="n"/>
      <c r="G32" s="16" t="n"/>
      <c r="H32" s="16" t="n"/>
      <c r="I32" s="16" t="n"/>
      <c r="J32" s="16" t="n"/>
      <c r="K32" s="16" t="n"/>
      <c r="L32" s="16" t="n"/>
      <c r="M32" s="16" t="n"/>
      <c r="N32" s="16" t="n"/>
    </row>
    <row r="33">
      <c r="A33" s="16" t="n"/>
      <c r="B33" s="16" t="n"/>
      <c r="C33" s="16" t="n"/>
      <c r="D33" s="16" t="n"/>
      <c r="E33" s="16" t="n"/>
      <c r="F33" s="16" t="n"/>
      <c r="G33" s="16" t="n"/>
      <c r="H33" s="16" t="n"/>
      <c r="I33" s="16" t="n"/>
      <c r="J33" s="16" t="n"/>
      <c r="K33" s="16" t="n"/>
      <c r="L33" s="16" t="n"/>
      <c r="M33" s="16" t="n"/>
      <c r="N33" s="16" t="n"/>
    </row>
    <row r="34">
      <c r="A34" s="16" t="n"/>
      <c r="B34" s="16" t="n"/>
      <c r="C34" s="16" t="n"/>
      <c r="D34" s="16" t="n"/>
      <c r="E34" s="16" t="n"/>
      <c r="F34" s="16" t="n"/>
      <c r="G34" s="16" t="n"/>
      <c r="H34" s="16" t="n"/>
      <c r="I34" s="16" t="n"/>
      <c r="J34" s="16" t="n"/>
      <c r="K34" s="16" t="n"/>
      <c r="L34" s="16" t="n"/>
      <c r="M34" s="16" t="n"/>
      <c r="N34" s="16" t="n"/>
    </row>
    <row r="35">
      <c r="A35" s="16" t="n"/>
      <c r="B35" s="16" t="n"/>
      <c r="C35" s="16" t="n"/>
      <c r="D35" s="16" t="n"/>
      <c r="E35" s="16" t="n"/>
      <c r="F35" s="16" t="n"/>
      <c r="G35" s="16" t="n"/>
      <c r="H35" s="16" t="n"/>
      <c r="I35" s="16" t="n"/>
      <c r="J35" s="16" t="n"/>
      <c r="K35" s="16" t="n"/>
      <c r="L35" s="16" t="n"/>
      <c r="M35" s="16" t="n"/>
      <c r="N35" s="16" t="n"/>
    </row>
    <row r="36">
      <c r="A36" s="16" t="n"/>
      <c r="B36" s="16" t="n"/>
      <c r="C36" s="16" t="n"/>
      <c r="D36" s="16" t="n"/>
      <c r="E36" s="16" t="n"/>
      <c r="F36" s="16" t="n"/>
      <c r="G36" s="16" t="n"/>
      <c r="H36" s="16" t="n"/>
      <c r="I36" s="16" t="n"/>
      <c r="J36" s="16" t="n"/>
      <c r="K36" s="16" t="n"/>
      <c r="L36" s="16" t="n"/>
      <c r="M36" s="16" t="n"/>
      <c r="N36" s="16" t="n"/>
    </row>
    <row r="37">
      <c r="A37" s="16" t="n"/>
      <c r="B37" s="16" t="n"/>
      <c r="C37" s="16" t="n"/>
      <c r="D37" s="16" t="n"/>
      <c r="E37" s="16" t="n"/>
      <c r="F37" s="16" t="n"/>
      <c r="G37" s="16" t="n"/>
      <c r="H37" s="16" t="n"/>
      <c r="I37" s="16" t="n"/>
      <c r="J37" s="16" t="n"/>
      <c r="K37" s="16" t="n"/>
      <c r="L37" s="16" t="n"/>
      <c r="M37" s="16" t="n"/>
      <c r="N37" s="16" t="n"/>
    </row>
    <row r="38">
      <c r="A38" s="16" t="n"/>
      <c r="B38" s="16" t="n"/>
      <c r="C38" s="16" t="n"/>
      <c r="D38" s="16" t="n"/>
      <c r="E38" s="16" t="n"/>
      <c r="F38" s="16" t="n"/>
      <c r="G38" s="16" t="n"/>
      <c r="H38" s="16" t="n"/>
      <c r="I38" s="16" t="n"/>
      <c r="J38" s="16" t="n"/>
      <c r="K38" s="16" t="n"/>
      <c r="L38" s="16" t="n"/>
      <c r="M38" s="16" t="n"/>
      <c r="N38" s="16" t="n"/>
    </row>
    <row r="39">
      <c r="A39" s="16" t="n"/>
      <c r="B39" s="16" t="n"/>
      <c r="C39" s="16" t="n"/>
      <c r="D39" s="16" t="n"/>
      <c r="E39" s="16" t="n"/>
      <c r="F39" s="16" t="n"/>
      <c r="G39" s="16" t="n"/>
      <c r="H39" s="16" t="n"/>
      <c r="I39" s="16" t="n"/>
      <c r="J39" s="16" t="n"/>
      <c r="K39" s="16" t="n"/>
      <c r="L39" s="16" t="n"/>
      <c r="M39" s="16" t="n"/>
      <c r="N39" s="16" t="n"/>
    </row>
    <row r="40">
      <c r="A40" s="16" t="n"/>
      <c r="B40" s="16" t="n"/>
      <c r="C40" s="16" t="n"/>
      <c r="D40" s="16" t="n"/>
      <c r="E40" s="16" t="n"/>
      <c r="F40" s="16" t="n"/>
      <c r="G40" s="16" t="n"/>
      <c r="H40" s="16" t="n"/>
      <c r="I40" s="16" t="n"/>
      <c r="J40" s="16" t="n"/>
      <c r="K40" s="16" t="n"/>
      <c r="L40" s="16" t="n"/>
      <c r="M40" s="16" t="n"/>
      <c r="N40" s="16" t="n"/>
    </row>
    <row r="41">
      <c r="A41" s="16" t="n"/>
      <c r="B41" s="16" t="n"/>
      <c r="C41" s="16" t="n"/>
      <c r="D41" s="16" t="n"/>
      <c r="E41" s="16" t="n"/>
      <c r="F41" s="16" t="n"/>
      <c r="G41" s="16" t="n"/>
      <c r="H41" s="16" t="n"/>
      <c r="I41" s="16" t="n"/>
      <c r="J41" s="16" t="n"/>
      <c r="K41" s="16" t="n"/>
      <c r="L41" s="16" t="n"/>
      <c r="M41" s="16" t="n"/>
      <c r="N41" s="16" t="n"/>
    </row>
    <row r="42">
      <c r="A42" s="16" t="n"/>
      <c r="B42" s="16" t="n"/>
      <c r="C42" s="16" t="n"/>
      <c r="D42" s="16" t="n"/>
      <c r="E42" s="16" t="n"/>
      <c r="F42" s="16" t="n"/>
      <c r="G42" s="16" t="n"/>
      <c r="H42" s="16" t="n"/>
      <c r="I42" s="16" t="n"/>
      <c r="J42" s="16" t="n"/>
      <c r="K42" s="16" t="n"/>
      <c r="L42" s="16" t="n"/>
      <c r="M42" s="16" t="n"/>
      <c r="N42" s="16" t="n"/>
    </row>
    <row r="43">
      <c r="A43" s="16" t="n"/>
      <c r="B43" s="16" t="n"/>
      <c r="C43" s="16" t="n"/>
      <c r="D43" s="16" t="n"/>
      <c r="E43" s="16" t="n"/>
      <c r="F43" s="16" t="n"/>
      <c r="G43" s="16" t="n"/>
      <c r="H43" s="16" t="n"/>
      <c r="I43" s="16" t="n"/>
      <c r="J43" s="16" t="n"/>
      <c r="K43" s="16" t="n"/>
      <c r="L43" s="16" t="n"/>
      <c r="M43" s="16" t="n"/>
      <c r="N43" s="16" t="n"/>
    </row>
    <row r="44">
      <c r="A44" s="16" t="n"/>
      <c r="B44" s="16" t="n"/>
      <c r="C44" s="16" t="n"/>
      <c r="D44" s="16" t="n"/>
      <c r="E44" s="16" t="n"/>
      <c r="F44" s="16" t="n"/>
      <c r="G44" s="16" t="n"/>
      <c r="H44" s="16" t="n"/>
      <c r="I44" s="16" t="n"/>
      <c r="J44" s="16" t="n"/>
      <c r="K44" s="16" t="n"/>
      <c r="L44" s="16" t="n"/>
      <c r="M44" s="16" t="n"/>
      <c r="N44" s="16" t="n"/>
    </row>
    <row r="45">
      <c r="A45" s="16" t="n"/>
      <c r="B45" s="16" t="n"/>
      <c r="C45" s="16" t="n"/>
      <c r="D45" s="16" t="n"/>
      <c r="E45" s="16" t="n"/>
      <c r="F45" s="16" t="n"/>
      <c r="G45" s="16" t="n"/>
      <c r="H45" s="16" t="n"/>
      <c r="I45" s="16" t="n"/>
      <c r="J45" s="16" t="n"/>
      <c r="K45" s="16" t="n"/>
      <c r="L45" s="16" t="n"/>
      <c r="M45" s="16" t="n"/>
      <c r="N45" s="16" t="n"/>
    </row>
    <row r="46">
      <c r="A46" s="16" t="n"/>
      <c r="B46" s="16" t="n"/>
      <c r="C46" s="16" t="n"/>
      <c r="D46" s="16" t="n"/>
      <c r="E46" s="16" t="n"/>
      <c r="F46" s="16" t="n"/>
      <c r="G46" s="16" t="n"/>
      <c r="H46" s="16" t="n"/>
      <c r="I46" s="16" t="n"/>
      <c r="J46" s="16" t="n"/>
      <c r="K46" s="16" t="n"/>
      <c r="L46" s="16" t="n"/>
      <c r="M46" s="16" t="n"/>
      <c r="N46" s="16" t="n"/>
    </row>
    <row r="47">
      <c r="A47" s="16" t="n"/>
      <c r="B47" s="16" t="n"/>
      <c r="C47" s="16" t="n"/>
      <c r="D47" s="16" t="n"/>
      <c r="E47" s="16" t="n"/>
      <c r="F47" s="16" t="n"/>
      <c r="G47" s="16" t="n"/>
      <c r="H47" s="16" t="n"/>
      <c r="I47" s="16" t="n"/>
      <c r="J47" s="16" t="n"/>
      <c r="K47" s="16" t="n"/>
      <c r="L47" s="16" t="n"/>
      <c r="M47" s="16" t="n"/>
      <c r="N47" s="16" t="n"/>
    </row>
    <row r="48">
      <c r="A48" s="16" t="n"/>
      <c r="B48" s="16" t="n"/>
      <c r="C48" s="16" t="n"/>
      <c r="D48" s="16" t="n"/>
      <c r="E48" s="16" t="n"/>
      <c r="F48" s="16" t="n"/>
      <c r="G48" s="16" t="n"/>
      <c r="H48" s="16" t="n"/>
      <c r="I48" s="16" t="n"/>
      <c r="J48" s="16" t="n"/>
      <c r="K48" s="16" t="n"/>
      <c r="L48" s="16" t="n"/>
      <c r="M48" s="16" t="n"/>
      <c r="N48" s="16" t="n"/>
    </row>
    <row r="49">
      <c r="A49" s="16" t="n"/>
      <c r="B49" s="16" t="n"/>
      <c r="C49" s="16" t="n"/>
      <c r="D49" s="16" t="n"/>
      <c r="E49" s="16" t="n"/>
      <c r="F49" s="16" t="n"/>
      <c r="G49" s="16" t="n"/>
      <c r="H49" s="16" t="n"/>
      <c r="I49" s="16" t="n"/>
      <c r="J49" s="16" t="n"/>
      <c r="K49" s="16" t="n"/>
      <c r="L49" s="16" t="n"/>
      <c r="M49" s="16" t="n"/>
      <c r="N49" s="16" t="n"/>
    </row>
    <row r="50">
      <c r="A50" s="16" t="n"/>
      <c r="B50" s="16" t="n"/>
      <c r="C50" s="16" t="n"/>
      <c r="D50" s="16" t="n"/>
      <c r="E50" s="16" t="n"/>
      <c r="F50" s="16" t="n"/>
      <c r="G50" s="16" t="n"/>
      <c r="H50" s="16" t="n"/>
      <c r="I50" s="16" t="n"/>
      <c r="J50" s="16" t="n"/>
      <c r="K50" s="16" t="n"/>
      <c r="L50" s="16" t="n"/>
      <c r="M50" s="16" t="n"/>
      <c r="N50" s="16" t="n"/>
    </row>
    <row r="51">
      <c r="A51" s="16" t="n"/>
      <c r="B51" s="16" t="n"/>
      <c r="C51" s="16" t="n"/>
      <c r="D51" s="16" t="n"/>
      <c r="E51" s="16" t="n"/>
      <c r="F51" s="16" t="n"/>
      <c r="G51" s="16" t="n"/>
      <c r="H51" s="16" t="n"/>
      <c r="I51" s="16" t="n"/>
      <c r="J51" s="16" t="n"/>
      <c r="K51" s="16" t="n"/>
      <c r="L51" s="16" t="n"/>
      <c r="M51" s="16" t="n"/>
      <c r="N51" s="16" t="n"/>
    </row>
    <row r="52">
      <c r="A52" s="16" t="n"/>
      <c r="B52" s="16" t="n"/>
      <c r="C52" s="16" t="n"/>
      <c r="D52" s="16" t="n"/>
      <c r="E52" s="16" t="n"/>
      <c r="F52" s="16" t="n"/>
      <c r="G52" s="16" t="n"/>
      <c r="H52" s="16" t="n"/>
      <c r="I52" s="16" t="n"/>
      <c r="J52" s="16" t="n"/>
      <c r="K52" s="16" t="n"/>
      <c r="L52" s="16" t="n"/>
      <c r="M52" s="16" t="n"/>
      <c r="N52" s="16" t="n"/>
    </row>
    <row r="53">
      <c r="A53" s="16" t="n"/>
      <c r="B53" s="16" t="n"/>
      <c r="C53" s="16" t="n"/>
      <c r="D53" s="16" t="n"/>
      <c r="E53" s="16" t="n"/>
      <c r="F53" s="16" t="n"/>
      <c r="G53" s="16" t="n"/>
      <c r="H53" s="16" t="n"/>
      <c r="I53" s="16" t="n"/>
      <c r="J53" s="16" t="n"/>
      <c r="K53" s="16" t="n"/>
      <c r="L53" s="16" t="n"/>
      <c r="M53" s="16" t="n"/>
      <c r="N53" s="16" t="n"/>
    </row>
    <row r="54">
      <c r="A54" s="16" t="n"/>
      <c r="B54" s="16" t="n"/>
      <c r="C54" s="16" t="n"/>
      <c r="D54" s="16" t="n"/>
      <c r="E54" s="16" t="n"/>
      <c r="F54" s="16" t="n"/>
      <c r="G54" s="16" t="n"/>
      <c r="H54" s="16" t="n"/>
      <c r="I54" s="16" t="n"/>
      <c r="J54" s="16" t="n"/>
      <c r="K54" s="16" t="n"/>
      <c r="L54" s="16" t="n"/>
      <c r="M54" s="16" t="n"/>
      <c r="N54" s="16" t="n"/>
    </row>
    <row r="55">
      <c r="A55" s="16" t="n"/>
      <c r="B55" s="16" t="n"/>
      <c r="C55" s="16" t="n"/>
      <c r="D55" s="16" t="n"/>
      <c r="E55" s="16" t="n"/>
      <c r="F55" s="16" t="n"/>
      <c r="G55" s="16" t="n"/>
      <c r="H55" s="16" t="n"/>
      <c r="I55" s="16" t="n"/>
      <c r="J55" s="16" t="n"/>
      <c r="K55" s="16" t="n"/>
      <c r="L55" s="16" t="n"/>
      <c r="M55" s="16" t="n"/>
      <c r="N55" s="16" t="n"/>
    </row>
    <row r="56">
      <c r="A56" s="16" t="n"/>
      <c r="B56" s="16" t="n"/>
      <c r="C56" s="16" t="n"/>
      <c r="D56" s="16" t="n"/>
      <c r="E56" s="16" t="n"/>
      <c r="F56" s="16" t="n"/>
      <c r="G56" s="16" t="n"/>
      <c r="H56" s="16" t="n"/>
      <c r="I56" s="16" t="n"/>
      <c r="J56" s="16" t="n"/>
      <c r="K56" s="16" t="n"/>
      <c r="L56" s="16" t="n"/>
      <c r="M56" s="16" t="n"/>
      <c r="N56" s="16" t="n"/>
    </row>
    <row r="57">
      <c r="A57" s="16" t="n"/>
      <c r="B57" s="16" t="n"/>
      <c r="C57" s="16" t="n"/>
      <c r="D57" s="16" t="n"/>
      <c r="E57" s="16" t="n"/>
      <c r="F57" s="16" t="n"/>
      <c r="G57" s="16" t="n"/>
      <c r="H57" s="16" t="n"/>
      <c r="I57" s="16" t="n"/>
      <c r="J57" s="16" t="n"/>
      <c r="K57" s="16" t="n"/>
      <c r="L57" s="16" t="n"/>
      <c r="M57" s="16" t="n"/>
      <c r="N57" s="16" t="n"/>
    </row>
    <row r="58">
      <c r="A58" s="16" t="n"/>
      <c r="B58" s="16" t="n"/>
      <c r="C58" s="16" t="n"/>
      <c r="D58" s="16" t="n"/>
      <c r="E58" s="16" t="n"/>
      <c r="F58" s="16" t="n"/>
      <c r="G58" s="16" t="n"/>
      <c r="H58" s="16" t="n"/>
      <c r="I58" s="16" t="n"/>
      <c r="J58" s="16" t="n"/>
      <c r="K58" s="16" t="n"/>
      <c r="L58" s="16" t="n"/>
      <c r="M58" s="16" t="n"/>
      <c r="N58" s="16" t="n"/>
    </row>
    <row r="59">
      <c r="A59" s="16" t="n"/>
      <c r="B59" s="16" t="n"/>
      <c r="C59" s="16" t="n"/>
      <c r="D59" s="16" t="n"/>
      <c r="E59" s="16" t="n"/>
      <c r="F59" s="16" t="n"/>
      <c r="G59" s="16" t="n"/>
      <c r="H59" s="16" t="n"/>
      <c r="I59" s="16" t="n"/>
      <c r="J59" s="16" t="n"/>
      <c r="K59" s="16" t="n"/>
      <c r="L59" s="16" t="n"/>
      <c r="M59" s="16" t="n"/>
      <c r="N59" s="16" t="n"/>
    </row>
    <row r="60">
      <c r="A60" s="16" t="n"/>
      <c r="B60" s="16" t="n"/>
      <c r="C60" s="16" t="n"/>
      <c r="D60" s="16" t="n"/>
      <c r="E60" s="16" t="n"/>
      <c r="F60" s="16" t="n"/>
      <c r="G60" s="16" t="n"/>
      <c r="H60" s="16" t="n"/>
      <c r="I60" s="16" t="n"/>
      <c r="J60" s="16" t="n"/>
      <c r="K60" s="16" t="n"/>
      <c r="L60" s="16" t="n"/>
      <c r="M60" s="16" t="n"/>
      <c r="N60" s="16" t="n"/>
    </row>
    <row r="61">
      <c r="A61" s="16" t="n"/>
      <c r="B61" s="16" t="n"/>
      <c r="C61" s="16" t="n"/>
      <c r="D61" s="16" t="n"/>
      <c r="E61" s="16" t="n"/>
      <c r="F61" s="16" t="n"/>
      <c r="G61" s="16" t="n"/>
      <c r="H61" s="16" t="n"/>
      <c r="I61" s="16" t="n"/>
      <c r="J61" s="16" t="n"/>
      <c r="K61" s="16" t="n"/>
      <c r="L61" s="16" t="n"/>
      <c r="M61" s="16" t="n"/>
      <c r="N61" s="16" t="n"/>
    </row>
    <row r="62">
      <c r="A62" s="16" t="n"/>
      <c r="B62" s="16" t="n"/>
      <c r="C62" s="16" t="n"/>
      <c r="D62" s="16" t="n"/>
      <c r="E62" s="16" t="n"/>
      <c r="F62" s="16" t="n"/>
      <c r="G62" s="16" t="n"/>
      <c r="H62" s="16" t="n"/>
      <c r="I62" s="16" t="n"/>
      <c r="J62" s="16" t="n"/>
      <c r="K62" s="16" t="n"/>
      <c r="L62" s="16" t="n"/>
      <c r="M62" s="16" t="n"/>
      <c r="N62" s="16" t="n"/>
    </row>
    <row r="63">
      <c r="A63" s="16" t="n"/>
      <c r="B63" s="16" t="n"/>
      <c r="C63" s="16" t="n"/>
      <c r="D63" s="16" t="n"/>
      <c r="E63" s="16" t="n"/>
      <c r="F63" s="16" t="n"/>
      <c r="G63" s="16" t="n"/>
      <c r="H63" s="16" t="n"/>
      <c r="I63" s="16" t="n"/>
      <c r="J63" s="16" t="n"/>
      <c r="K63" s="16" t="n"/>
      <c r="L63" s="16" t="n"/>
      <c r="M63" s="16" t="n"/>
      <c r="N63" s="16" t="n"/>
    </row>
    <row r="64">
      <c r="A64" s="16" t="n"/>
      <c r="B64" s="16" t="n"/>
      <c r="C64" s="16" t="n"/>
      <c r="D64" s="16" t="n"/>
      <c r="E64" s="16" t="n"/>
      <c r="F64" s="16" t="n"/>
      <c r="G64" s="16" t="n"/>
      <c r="H64" s="16" t="n"/>
      <c r="I64" s="16" t="n"/>
      <c r="J64" s="16" t="n"/>
      <c r="K64" s="16" t="n"/>
      <c r="L64" s="16" t="n"/>
      <c r="M64" s="16" t="n"/>
      <c r="N64" s="16" t="n"/>
    </row>
    <row r="65">
      <c r="A65" s="16" t="n"/>
      <c r="B65" s="16" t="n"/>
      <c r="C65" s="16" t="n"/>
      <c r="D65" s="16" t="n"/>
      <c r="E65" s="16" t="n"/>
      <c r="F65" s="16" t="n"/>
      <c r="G65" s="16" t="n"/>
      <c r="H65" s="16" t="n"/>
      <c r="I65" s="16" t="n"/>
      <c r="J65" s="16" t="n"/>
      <c r="K65" s="16" t="n"/>
      <c r="L65" s="16" t="n"/>
      <c r="M65" s="16" t="n"/>
      <c r="N65" s="16" t="n"/>
    </row>
    <row r="66">
      <c r="A66" s="16" t="n"/>
      <c r="B66" s="16" t="n"/>
      <c r="C66" s="16" t="n"/>
      <c r="D66" s="16" t="n"/>
      <c r="E66" s="16" t="n"/>
      <c r="F66" s="16" t="n"/>
      <c r="G66" s="16" t="n"/>
      <c r="H66" s="16" t="n"/>
      <c r="I66" s="16" t="n"/>
      <c r="J66" s="16" t="n"/>
      <c r="K66" s="16" t="n"/>
      <c r="L66" s="16" t="n"/>
      <c r="M66" s="16" t="n"/>
      <c r="N66" s="16" t="n"/>
    </row>
    <row r="67">
      <c r="A67" s="16" t="n"/>
      <c r="B67" s="16" t="n"/>
      <c r="C67" s="16" t="n"/>
      <c r="D67" s="16" t="n"/>
      <c r="E67" s="16" t="n"/>
      <c r="F67" s="16" t="n"/>
      <c r="G67" s="16" t="n"/>
      <c r="H67" s="16" t="n"/>
      <c r="I67" s="16" t="n"/>
      <c r="J67" s="16" t="n"/>
      <c r="K67" s="16" t="n"/>
      <c r="L67" s="16" t="n"/>
      <c r="M67" s="16" t="n"/>
      <c r="N67" s="16" t="n"/>
    </row>
    <row r="68">
      <c r="A68" s="16" t="n"/>
      <c r="B68" s="16" t="n"/>
      <c r="C68" s="16" t="n"/>
      <c r="D68" s="16" t="n"/>
      <c r="E68" s="16" t="n"/>
      <c r="F68" s="16" t="n"/>
      <c r="G68" s="16" t="n"/>
      <c r="H68" s="16" t="n"/>
      <c r="I68" s="16" t="n"/>
      <c r="J68" s="16" t="n"/>
      <c r="K68" s="16" t="n"/>
      <c r="L68" s="16" t="n"/>
      <c r="M68" s="16" t="n"/>
      <c r="N68" s="16" t="n"/>
    </row>
    <row r="69">
      <c r="A69" s="16" t="n"/>
      <c r="B69" s="16" t="n"/>
      <c r="C69" s="16" t="n"/>
      <c r="D69" s="16" t="n"/>
      <c r="E69" s="16" t="n"/>
      <c r="F69" s="16" t="n"/>
      <c r="G69" s="16" t="n"/>
      <c r="H69" s="16" t="n"/>
      <c r="I69" s="16" t="n"/>
      <c r="J69" s="16" t="n"/>
      <c r="K69" s="16" t="n"/>
      <c r="L69" s="16" t="n"/>
      <c r="M69" s="16" t="n"/>
      <c r="N69" s="16" t="n"/>
    </row>
    <row r="70">
      <c r="A70" s="16" t="n"/>
      <c r="B70" s="16" t="n"/>
      <c r="C70" s="16" t="n"/>
      <c r="D70" s="16" t="n"/>
      <c r="E70" s="16" t="n"/>
      <c r="F70" s="16" t="n"/>
      <c r="G70" s="16" t="n"/>
      <c r="H70" s="16" t="n"/>
      <c r="I70" s="16" t="n"/>
      <c r="J70" s="16" t="n"/>
      <c r="K70" s="16" t="n"/>
      <c r="L70" s="16" t="n"/>
      <c r="M70" s="16" t="n"/>
      <c r="N70" s="16" t="n"/>
    </row>
    <row r="71">
      <c r="A71" s="16" t="n"/>
      <c r="B71" s="16" t="n"/>
      <c r="C71" s="16" t="n"/>
      <c r="D71" s="16" t="n"/>
      <c r="E71" s="16" t="n"/>
      <c r="F71" s="16" t="n"/>
      <c r="G71" s="16" t="n"/>
      <c r="H71" s="16" t="n"/>
      <c r="I71" s="16" t="n"/>
      <c r="J71" s="16" t="n"/>
      <c r="K71" s="16" t="n"/>
      <c r="L71" s="16" t="n"/>
      <c r="M71" s="16" t="n"/>
      <c r="N71" s="16" t="n"/>
    </row>
    <row r="72">
      <c r="A72" s="16" t="n"/>
      <c r="B72" s="16" t="n"/>
      <c r="C72" s="16" t="n"/>
      <c r="D72" s="16" t="n"/>
      <c r="E72" s="16" t="n"/>
      <c r="F72" s="16" t="n"/>
      <c r="G72" s="16" t="n"/>
      <c r="H72" s="16" t="n"/>
      <c r="I72" s="16" t="n"/>
      <c r="J72" s="16" t="n"/>
      <c r="K72" s="16" t="n"/>
      <c r="L72" s="16" t="n"/>
      <c r="M72" s="16" t="n"/>
      <c r="N72" s="16" t="n"/>
    </row>
    <row r="73">
      <c r="A73" s="16" t="n"/>
      <c r="B73" s="16" t="n"/>
      <c r="C73" s="16" t="n"/>
      <c r="D73" s="16" t="n"/>
      <c r="E73" s="16" t="n"/>
      <c r="F73" s="16" t="n"/>
      <c r="G73" s="16" t="n"/>
      <c r="H73" s="16" t="n"/>
      <c r="I73" s="16" t="n"/>
      <c r="J73" s="16" t="n"/>
      <c r="K73" s="16" t="n"/>
      <c r="L73" s="16" t="n"/>
      <c r="M73" s="16" t="n"/>
      <c r="N73" s="16" t="n"/>
    </row>
    <row r="74">
      <c r="A74" s="16" t="n"/>
      <c r="B74" s="16" t="n"/>
      <c r="C74" s="16" t="n"/>
      <c r="D74" s="16" t="n"/>
      <c r="E74" s="16" t="n"/>
      <c r="F74" s="16" t="n"/>
      <c r="G74" s="16" t="n"/>
      <c r="H74" s="16" t="n"/>
      <c r="I74" s="16" t="n"/>
      <c r="J74" s="16" t="n"/>
      <c r="K74" s="16" t="n"/>
      <c r="L74" s="16" t="n"/>
      <c r="M74" s="16" t="n"/>
      <c r="N74" s="16" t="n"/>
    </row>
    <row r="75">
      <c r="A75" s="16" t="n"/>
      <c r="B75" s="16" t="n"/>
      <c r="C75" s="16" t="n"/>
      <c r="D75" s="16" t="n"/>
      <c r="E75" s="16" t="n"/>
      <c r="F75" s="16" t="n"/>
      <c r="G75" s="16" t="n"/>
      <c r="H75" s="16" t="n"/>
      <c r="I75" s="16" t="n"/>
      <c r="J75" s="16" t="n"/>
      <c r="K75" s="16" t="n"/>
      <c r="L75" s="16" t="n"/>
      <c r="M75" s="16" t="n"/>
      <c r="N75" s="16" t="n"/>
    </row>
  </sheetData>
  <mergeCells count="2">
    <mergeCell ref="A2:N2"/>
    <mergeCell ref="A1:N1"/>
  </mergeCells>
  <dataValidations count="2">
    <dataValidation sqref="D4:M100" showDropDown="0" showInputMessage="1" showErrorMessage="1" allowBlank="0" type="list">
      <formula1>"Complete,In Progress,Not Done,N/A"</formula1>
    </dataValidation>
    <dataValidation sqref="C4:C100" showDropDown="0" showInputMessage="1" showErrorMessage="1" allowBlank="0" type="list">
      <formula1>"Waterfall,Agile,Scrum,DevOps,DevSecOps,Hybrid"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25" customWidth="1" min="1" max="1"/>
    <col width="30" customWidth="1" min="2" max="2"/>
    <col width="20" customWidth="1" min="3" max="3"/>
    <col width="20" customWidth="1" min="4" max="4"/>
    <col width="20" customWidth="1" min="5" max="5"/>
    <col width="20" customWidth="1" min="6" max="6"/>
    <col width="20" customWidth="1" min="7" max="7"/>
    <col width="18" customWidth="1" min="8" max="8"/>
  </cols>
  <sheetData>
    <row r="1" ht="35" customHeight="1">
      <c r="A1" s="11" t="inlineStr">
        <is>
          <t>SECURE CODING STANDARDS ADOPTION</t>
        </is>
      </c>
    </row>
    <row r="2">
      <c r="A2" s="12" t="inlineStr">
        <is>
          <t>ASSESS SECURE CODING STANDARDS ADOPTION PER APPLICATION</t>
        </is>
      </c>
    </row>
    <row r="3">
      <c r="A3" s="13" t="inlineStr">
        <is>
          <t>Application Name</t>
        </is>
      </c>
      <c r="B3" s="13" t="inlineStr">
        <is>
          <t>Standard Adopted</t>
        </is>
      </c>
      <c r="C3" s="13" t="inlineStr">
        <is>
          <t>Standard Documented?</t>
        </is>
      </c>
      <c r="D3" s="13" t="inlineStr">
        <is>
          <t>Developers Trained?</t>
        </is>
      </c>
      <c r="E3" s="13" t="inlineStr">
        <is>
          <t>Enforced via Tools?</t>
        </is>
      </c>
      <c r="F3" s="13" t="inlineStr">
        <is>
          <t>Enforced via Code Review?</t>
        </is>
      </c>
      <c r="G3" s="13" t="inlineStr">
        <is>
          <t>Last Standard Update</t>
        </is>
      </c>
      <c r="H3" s="13" t="inlineStr">
        <is>
          <t>Compliance Score (%)</t>
        </is>
      </c>
    </row>
    <row r="4">
      <c r="A4" s="14" t="inlineStr">
        <is>
          <t>Customer Portal</t>
        </is>
      </c>
      <c r="B4" s="14" t="inlineStr">
        <is>
          <t>OWASP Secure Coding Practices + Java Secure Coding (Oracle)</t>
        </is>
      </c>
      <c r="C4" s="14" t="inlineStr">
        <is>
          <t>Yes</t>
        </is>
      </c>
      <c r="D4" s="14" t="inlineStr">
        <is>
          <t>Yes</t>
        </is>
      </c>
      <c r="E4" s="14" t="inlineStr">
        <is>
          <t>Yes</t>
        </is>
      </c>
      <c r="F4" s="14" t="inlineStr">
        <is>
          <t>Yes</t>
        </is>
      </c>
      <c r="G4" s="14" t="inlineStr">
        <is>
          <t>2024-11-15</t>
        </is>
      </c>
      <c r="H4" s="15">
        <f>(IF(C4="Yes",25,0)+IF(D4="Yes",25,0)+IF(E4="Yes",25,0)+IF(F4="Yes",25,0))</f>
        <v/>
      </c>
    </row>
    <row r="5">
      <c r="A5" s="16" t="n"/>
      <c r="B5" s="16" t="n"/>
      <c r="C5" s="16" t="n"/>
      <c r="D5" s="16" t="n"/>
      <c r="E5" s="16" t="n"/>
      <c r="F5" s="16" t="n"/>
      <c r="G5" s="16" t="n"/>
      <c r="H5" s="16" t="n"/>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sheetData>
  <mergeCells count="2">
    <mergeCell ref="A2:H2"/>
    <mergeCell ref="A1:H1"/>
  </mergeCells>
  <dataValidations count="1">
    <dataValidation sqref="C4:F100" showDropDown="0" showInputMessage="1" showErrorMessage="1" allowBlank="0"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25"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ht="35" customHeight="1">
      <c r="A1" s="11" t="inlineStr">
        <is>
          <t>CODE REVIEW METRICS</t>
        </is>
      </c>
    </row>
    <row r="2">
      <c r="A2" s="12" t="inlineStr">
        <is>
          <t>TRACK CODE REVIEW PROCESS AND SECURITY FOCUS</t>
        </is>
      </c>
    </row>
    <row r="3">
      <c r="A3" s="13" t="inlineStr">
        <is>
          <t>Application Name</t>
        </is>
      </c>
      <c r="B3" s="13" t="inlineStr">
        <is>
          <t>Code Review Process Documented?</t>
        </is>
      </c>
      <c r="C3" s="13" t="inlineStr">
        <is>
          <t>Code Review Coverage (%)</t>
        </is>
      </c>
      <c r="D3" s="13" t="inlineStr">
        <is>
          <t>Security Checklist Used?</t>
        </is>
      </c>
      <c r="E3" s="13" t="inlineStr">
        <is>
          <t>Security Champion Involved?</t>
        </is>
      </c>
      <c r="F3" s="13" t="inlineStr">
        <is>
          <t>Avg Review Turnaround (days)</t>
        </is>
      </c>
      <c r="G3" s="13" t="inlineStr">
        <is>
          <t>Security Findings Count</t>
        </is>
      </c>
      <c r="H3" s="13" t="inlineStr">
        <is>
          <t>Review Compliance Score (%)</t>
        </is>
      </c>
    </row>
    <row r="4">
      <c r="A4" s="14" t="inlineStr">
        <is>
          <t>Customer Portal</t>
        </is>
      </c>
      <c r="B4" s="14" t="inlineStr">
        <is>
          <t>Yes</t>
        </is>
      </c>
      <c r="C4" s="15" t="n">
        <v>100</v>
      </c>
      <c r="D4" s="14" t="inlineStr">
        <is>
          <t>Yes</t>
        </is>
      </c>
      <c r="E4" s="14" t="inlineStr">
        <is>
          <t>Yes</t>
        </is>
      </c>
      <c r="F4" s="14" t="n">
        <v>1.5</v>
      </c>
      <c r="G4" s="14" t="n">
        <v>8</v>
      </c>
      <c r="H4" s="17">
        <f>IF(B4="Yes",20,0)+(C4*0.4)+IF(D4="Yes",20,0)+IF(E4="Yes",20,0)</f>
        <v/>
      </c>
    </row>
    <row r="5">
      <c r="A5" s="16" t="n"/>
      <c r="B5" s="16" t="n"/>
      <c r="C5" s="16" t="n"/>
      <c r="D5" s="16" t="n"/>
      <c r="E5" s="16" t="n"/>
      <c r="F5" s="16" t="n"/>
      <c r="G5" s="16" t="n"/>
      <c r="H5" s="16" t="n"/>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sheetData>
  <mergeCells count="2">
    <mergeCell ref="A2:H2"/>
    <mergeCell ref="A1:H1"/>
  </mergeCells>
  <dataValidations count="1">
    <dataValidation sqref="B4:B100 D4:E100" showDropDown="0" showInputMessage="1" showErrorMessage="1" allowBlank="0"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ht="35" customHeight="1">
      <c r="A1" s="11" t="inlineStr">
        <is>
          <t>SECURITY TOOLS DEPLOYMENT STATUS</t>
        </is>
      </c>
    </row>
    <row r="2">
      <c r="A2" s="12" t="inlineStr">
        <is>
          <t>TRACK SECURITY TOOL DEPLOYMENT ACROSS ORGANISATION</t>
        </is>
      </c>
    </row>
    <row r="3">
      <c r="A3" s="13" t="inlineStr">
        <is>
          <t>Tool Type</t>
        </is>
      </c>
      <c r="B3" s="13" t="inlineStr">
        <is>
          <t>Tool Name/Vendor</t>
        </is>
      </c>
      <c r="C3" s="13" t="inlineStr">
        <is>
          <t>Deployment Status</t>
        </is>
      </c>
      <c r="D3" s="13" t="inlineStr">
        <is>
          <t>Applications Covered</t>
        </is>
      </c>
      <c r="E3" s="13" t="inlineStr">
        <is>
          <t>Integration Point</t>
        </is>
      </c>
      <c r="F3" s="13" t="inlineStr">
        <is>
          <t>Config Reviewed?</t>
        </is>
      </c>
      <c r="G3" s="13" t="inlineStr">
        <is>
          <t>Findings Per Month (Avg)</t>
        </is>
      </c>
      <c r="H3" s="13" t="inlineStr">
        <is>
          <t>False Positive Rate (%)</t>
        </is>
      </c>
    </row>
    <row r="4">
      <c r="A4" s="14" t="inlineStr">
        <is>
          <t>SAST</t>
        </is>
      </c>
      <c r="B4" s="14" t="inlineStr">
        <is>
          <t>SonarQube Community</t>
        </is>
      </c>
      <c r="C4" s="14" t="inlineStr">
        <is>
          <t>Deployed</t>
        </is>
      </c>
      <c r="D4" s="14" t="inlineStr">
        <is>
          <t>15 applications</t>
        </is>
      </c>
      <c r="E4" s="14" t="inlineStr">
        <is>
          <t>CI/CD (GitLab)</t>
        </is>
      </c>
      <c r="F4" s="14" t="inlineStr">
        <is>
          <t>Yes</t>
        </is>
      </c>
      <c r="G4" s="14" t="n">
        <v>125</v>
      </c>
      <c r="H4" s="17" t="n">
        <v>15</v>
      </c>
    </row>
    <row r="5">
      <c r="A5" s="16" t="n"/>
      <c r="B5" s="16" t="n"/>
      <c r="C5" s="16" t="n"/>
      <c r="D5" s="16" t="n"/>
      <c r="E5" s="16" t="n"/>
      <c r="F5" s="16" t="n"/>
      <c r="G5" s="16" t="n"/>
      <c r="H5" s="16" t="n"/>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sheetData>
  <mergeCells count="2">
    <mergeCell ref="A2:H2"/>
    <mergeCell ref="A1:H1"/>
  </mergeCells>
  <dataValidations count="2">
    <dataValidation sqref="F4:F100" showDropDown="0" showInputMessage="1" showErrorMessage="1" allowBlank="0" type="list">
      <formula1>"Yes,No"</formula1>
    </dataValidation>
    <dataValidation sqref="C4:C100" showDropDown="0" showInputMessage="1" showErrorMessage="1" allowBlank="0" type="list">
      <formula1>"Deployed,In Progress,Not Deployed,N/A"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25"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ht="35" customHeight="1">
      <c r="A1" s="11" t="inlineStr">
        <is>
          <t>SECURITY TOOLS USAGE METRICS</t>
        </is>
      </c>
    </row>
    <row r="2">
      <c r="A2" s="12" t="inlineStr">
        <is>
          <t>TRACK SECURITY TOOL USAGE PER APPLICATION</t>
        </is>
      </c>
    </row>
    <row r="3">
      <c r="A3" s="13" t="inlineStr">
        <is>
          <t>Application Name</t>
        </is>
      </c>
      <c r="B3" s="13" t="inlineStr">
        <is>
          <t>SAST Scans Per Month</t>
        </is>
      </c>
      <c r="C3" s="13" t="inlineStr">
        <is>
          <t>SCA Scans Per Month</t>
        </is>
      </c>
      <c r="D3" s="13" t="inlineStr">
        <is>
          <t>Secret Scanning Enabled?</t>
        </is>
      </c>
      <c r="E3" s="13" t="inlineStr">
        <is>
          <t>DAST Scans Per Release</t>
        </is>
      </c>
      <c r="F3" s="13" t="inlineStr">
        <is>
          <t>Avg Remediation Time (days)</t>
        </is>
      </c>
      <c r="G3" s="13" t="inlineStr">
        <is>
          <t>Tool Integration Score</t>
        </is>
      </c>
      <c r="H3" s="13" t="inlineStr">
        <is>
          <t>Usage Compliance (%)</t>
        </is>
      </c>
    </row>
    <row r="4">
      <c r="A4" s="14" t="inlineStr">
        <is>
          <t>Customer Portal</t>
        </is>
      </c>
      <c r="B4" s="14" t="n">
        <v>20</v>
      </c>
      <c r="C4" s="14" t="n">
        <v>20</v>
      </c>
      <c r="D4" s="14" t="inlineStr">
        <is>
          <t>Yes</t>
        </is>
      </c>
      <c r="E4" s="14" t="n">
        <v>2</v>
      </c>
      <c r="F4" s="14" t="n">
        <v>5.5</v>
      </c>
      <c r="G4" s="14" t="inlineStr">
        <is>
          <t>Excellent</t>
        </is>
      </c>
      <c r="H4" s="15">
        <f>(IF(B4&gt;=4,25,0)+IF(C4&gt;=4,25,0)+IF(D4="Yes",25,0)+IF(E4&gt;=1,25,0))</f>
        <v/>
      </c>
    </row>
    <row r="5">
      <c r="A5" s="16" t="n"/>
      <c r="B5" s="16" t="n"/>
      <c r="C5" s="16" t="n"/>
      <c r="D5" s="16" t="n"/>
      <c r="E5" s="16" t="n"/>
      <c r="F5" s="16" t="n"/>
      <c r="G5" s="16" t="n"/>
      <c r="H5" s="16" t="n"/>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sheetData>
  <mergeCells count="2">
    <mergeCell ref="A2:H2"/>
    <mergeCell ref="A1:H1"/>
  </mergeCells>
  <dataValidations count="1">
    <dataValidation sqref="D4:D100" showDropDown="0" showInputMessage="1" showErrorMessage="1" allowBlank="0"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25"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ht="35" customHeight="1">
      <c r="A1" s="11" t="inlineStr">
        <is>
          <t>DEVELOPER SECURITY TRAINING COMPLIANCE</t>
        </is>
      </c>
    </row>
    <row r="2">
      <c r="A2" s="12" t="inlineStr">
        <is>
          <t>TRACK DEVELOPER SECURITY TRAINING COMPLETION AND COMPLIANCE</t>
        </is>
      </c>
    </row>
    <row r="3">
      <c r="A3" s="13" t="inlineStr">
        <is>
          <t>Developer/Team Name</t>
        </is>
      </c>
      <c r="B3" s="13" t="inlineStr">
        <is>
          <t>Initial Training Date</t>
        </is>
      </c>
      <c r="C3" s="13" t="inlineStr">
        <is>
          <t>Annual Refresher Date</t>
        </is>
      </c>
      <c r="D3" s="13" t="inlineStr">
        <is>
          <t>Language-Specific Training</t>
        </is>
      </c>
      <c r="E3" s="13" t="inlineStr">
        <is>
          <t>Security Champion Training</t>
        </is>
      </c>
      <c r="F3" s="13" t="inlineStr">
        <is>
          <t>Training Quiz Score (%)</t>
        </is>
      </c>
      <c r="G3" s="13" t="inlineStr">
        <is>
          <t>Training Overdue?</t>
        </is>
      </c>
      <c r="H3" s="13" t="inlineStr">
        <is>
          <t>Training Status</t>
        </is>
      </c>
    </row>
    <row r="4">
      <c r="A4" s="14" t="inlineStr">
        <is>
          <t>Sandra Brunner</t>
        </is>
      </c>
      <c r="B4" s="14" t="inlineStr">
        <is>
          <t>2024-03-15</t>
        </is>
      </c>
      <c r="C4" s="14" t="inlineStr">
        <is>
          <t>2025-01-10</t>
        </is>
      </c>
      <c r="D4" s="14" t="inlineStr">
        <is>
          <t>Java Secure Coding (2024-06-20)</t>
        </is>
      </c>
      <c r="E4" s="14" t="inlineStr">
        <is>
          <t>N/A</t>
        </is>
      </c>
      <c r="F4" s="15" t="n">
        <v>92</v>
      </c>
    </row>
    <row r="5">
      <c r="A5" s="16" t="n"/>
      <c r="B5" s="16" t="n"/>
      <c r="C5" s="16" t="n"/>
      <c r="D5" s="16" t="n"/>
      <c r="E5" s="16" t="n"/>
      <c r="F5" s="16" t="n"/>
      <c r="G5" s="16" t="n"/>
      <c r="H5" s="16" t="n"/>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sheetData>
  <mergeCells count="2">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2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ht="35" customHeight="1">
      <c r="A1" s="11" t="inlineStr">
        <is>
          <t>SECURITY DEFECT MANAGEMENT</t>
        </is>
      </c>
    </row>
    <row r="2">
      <c r="A2" s="12" t="inlineStr">
        <is>
          <t>TRACK OPEN SECURITY DEFECTS AND REMEDIATION COMPLIANCE</t>
        </is>
      </c>
    </row>
    <row r="3">
      <c r="A3" s="13" t="inlineStr">
        <is>
          <t>Application Name</t>
        </is>
      </c>
      <c r="B3" s="13" t="inlineStr">
        <is>
          <t>Critical Defects</t>
        </is>
      </c>
      <c r="C3" s="13" t="inlineStr">
        <is>
          <t>High Defects</t>
        </is>
      </c>
      <c r="D3" s="13" t="inlineStr">
        <is>
          <t>Medium Defects</t>
        </is>
      </c>
      <c r="E3" s="13" t="inlineStr">
        <is>
          <t>Low Defects</t>
        </is>
      </c>
      <c r="F3" s="13" t="inlineStr">
        <is>
          <t>Total Open Defects</t>
        </is>
      </c>
      <c r="G3" s="13" t="inlineStr">
        <is>
          <t>Avg Age (days)</t>
        </is>
      </c>
      <c r="H3" s="13" t="inlineStr">
        <is>
          <t>SLA Compliance (%)</t>
        </is>
      </c>
      <c r="I3" s="13" t="inlineStr">
        <is>
          <t>Security Tech Debt</t>
        </is>
      </c>
      <c r="J3" s="13" t="inlineStr">
        <is>
          <t>Monthly Trend</t>
        </is>
      </c>
    </row>
    <row r="4">
      <c r="A4" s="14" t="inlineStr">
        <is>
          <t>Customer Portal</t>
        </is>
      </c>
      <c r="B4" s="14" t="n">
        <v>0</v>
      </c>
      <c r="C4" s="14" t="n">
        <v>1</v>
      </c>
      <c r="D4" s="14" t="n">
        <v>3</v>
      </c>
      <c r="E4" s="14" t="n">
        <v>8</v>
      </c>
      <c r="F4" s="14" t="n">
        <v>12</v>
      </c>
      <c r="G4" s="14" t="n">
        <v>15</v>
      </c>
      <c r="H4" s="15" t="n">
        <v>92</v>
      </c>
      <c r="I4" s="14" t="n">
        <v>2</v>
      </c>
      <c r="J4" s="14" t="inlineStr">
        <is>
          <t>Improving</t>
        </is>
      </c>
    </row>
    <row r="5">
      <c r="A5" s="16" t="n"/>
      <c r="B5" s="16" t="n"/>
      <c r="C5" s="16" t="n"/>
      <c r="D5" s="16" t="n"/>
      <c r="E5" s="16" t="n"/>
      <c r="F5" s="16" t="n"/>
      <c r="G5" s="16" t="n"/>
      <c r="H5" s="16" t="n"/>
      <c r="I5" s="16" t="n"/>
      <c r="J5" s="16" t="n"/>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sheetData>
  <mergeCells count="2">
    <mergeCell ref="A1:J1"/>
    <mergeCell ref="A2:J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8" t="inlineStr">
        <is>
          <t>EVIDENCE REGISTER</t>
        </is>
      </c>
      <c r="B1" s="6" t="n"/>
      <c r="C1" s="6" t="n"/>
      <c r="D1" s="6" t="n"/>
      <c r="E1" s="6" t="n"/>
      <c r="F1" s="6" t="n"/>
      <c r="G1" s="6" t="n"/>
      <c r="H1" s="6" t="n"/>
    </row>
    <row r="2">
      <c r="A2" s="19" t="inlineStr">
        <is>
          <t>Document all evidence collected during this assessment</t>
        </is>
      </c>
      <c r="B2" s="6" t="n"/>
      <c r="C2" s="6" t="n"/>
      <c r="D2" s="6" t="n"/>
      <c r="E2" s="6" t="n"/>
      <c r="F2" s="6" t="n"/>
      <c r="G2" s="6" t="n"/>
      <c r="H2" s="6" t="n"/>
    </row>
    <row r="4">
      <c r="A4" s="20" t="inlineStr">
        <is>
          <t>Evidence ID</t>
        </is>
      </c>
      <c r="B4" s="20" t="inlineStr">
        <is>
          <t>Assessment Area</t>
        </is>
      </c>
      <c r="C4" s="20" t="inlineStr">
        <is>
          <t>Evidence Type</t>
        </is>
      </c>
      <c r="D4" s="20" t="inlineStr">
        <is>
          <t>Description</t>
        </is>
      </c>
      <c r="E4" s="20" t="inlineStr">
        <is>
          <t>Location / Path</t>
        </is>
      </c>
      <c r="F4" s="20" t="inlineStr">
        <is>
          <t>Date Collected</t>
        </is>
      </c>
      <c r="G4" s="20" t="inlineStr">
        <is>
          <t>Collected By</t>
        </is>
      </c>
      <c r="H4" s="20" t="inlineStr">
        <is>
          <t>Verification Status</t>
        </is>
      </c>
    </row>
    <row r="5">
      <c r="A5" s="21" t="inlineStr">
        <is>
          <t>EV-001</t>
        </is>
      </c>
      <c r="B5" s="22" t="inlineStr">
        <is>
          <t>SDLC Security Activities Assessment</t>
        </is>
      </c>
      <c r="C5" s="22" t="inlineStr">
        <is>
          <t>Policy Document</t>
        </is>
      </c>
      <c r="D5" s="22" t="inlineStr">
        <is>
          <t>SDLC security activities and phase compliance documentation</t>
        </is>
      </c>
      <c r="E5" s="22" t="inlineStr">
        <is>
          <t>\\fileserver\policies\document.pdf</t>
        </is>
      </c>
      <c r="F5" s="22" t="inlineStr">
        <is>
          <t>15.01.2026</t>
        </is>
      </c>
      <c r="G5" s="22" t="inlineStr">
        <is>
          <t>Assessor Name</t>
        </is>
      </c>
      <c r="H5" s="22" t="inlineStr">
        <is>
          <t>✅ Verified</t>
        </is>
      </c>
    </row>
    <row r="6">
      <c r="A6" s="23" t="n"/>
      <c r="B6" s="16" t="n"/>
      <c r="C6" s="16" t="n"/>
      <c r="D6" s="16" t="n"/>
      <c r="E6" s="16" t="n"/>
      <c r="F6" s="16" t="n"/>
      <c r="G6" s="16" t="n"/>
      <c r="H6" s="16" t="n"/>
    </row>
    <row r="7">
      <c r="A7" s="23" t="n"/>
      <c r="B7" s="16" t="n"/>
      <c r="C7" s="16" t="n"/>
      <c r="D7" s="16" t="n"/>
      <c r="E7" s="16" t="n"/>
      <c r="F7" s="16" t="n"/>
      <c r="G7" s="16" t="n"/>
      <c r="H7" s="16" t="n"/>
    </row>
    <row r="8">
      <c r="A8" s="23" t="n"/>
      <c r="B8" s="16" t="n"/>
      <c r="C8" s="16" t="n"/>
      <c r="D8" s="16" t="n"/>
      <c r="E8" s="16" t="n"/>
      <c r="F8" s="16" t="n"/>
      <c r="G8" s="16" t="n"/>
      <c r="H8" s="16" t="n"/>
    </row>
    <row r="9">
      <c r="A9" s="23" t="n"/>
      <c r="B9" s="16" t="n"/>
      <c r="C9" s="16" t="n"/>
      <c r="D9" s="16" t="n"/>
      <c r="E9" s="16" t="n"/>
      <c r="F9" s="16" t="n"/>
      <c r="G9" s="16" t="n"/>
      <c r="H9" s="16" t="n"/>
    </row>
    <row r="10">
      <c r="A10" s="23" t="n"/>
      <c r="B10" s="16" t="n"/>
      <c r="C10" s="16" t="n"/>
      <c r="D10" s="16" t="n"/>
      <c r="E10" s="16" t="n"/>
      <c r="F10" s="16" t="n"/>
      <c r="G10" s="16" t="n"/>
      <c r="H10" s="16" t="n"/>
    </row>
    <row r="11">
      <c r="A11" s="23" t="n"/>
      <c r="B11" s="16" t="n"/>
      <c r="C11" s="16" t="n"/>
      <c r="D11" s="16" t="n"/>
      <c r="E11" s="16" t="n"/>
      <c r="F11" s="16" t="n"/>
      <c r="G11" s="16" t="n"/>
      <c r="H11" s="16" t="n"/>
    </row>
    <row r="12">
      <c r="A12" s="23" t="n"/>
      <c r="B12" s="16" t="n"/>
      <c r="C12" s="16" t="n"/>
      <c r="D12" s="16" t="n"/>
      <c r="E12" s="16" t="n"/>
      <c r="F12" s="16" t="n"/>
      <c r="G12" s="16" t="n"/>
      <c r="H12" s="16" t="n"/>
    </row>
    <row r="13">
      <c r="A13" s="23" t="n"/>
      <c r="B13" s="16" t="n"/>
      <c r="C13" s="16" t="n"/>
      <c r="D13" s="16" t="n"/>
      <c r="E13" s="16" t="n"/>
      <c r="F13" s="16" t="n"/>
      <c r="G13" s="16" t="n"/>
      <c r="H13" s="16" t="n"/>
    </row>
    <row r="14">
      <c r="A14" s="23" t="n"/>
      <c r="B14" s="16" t="n"/>
      <c r="C14" s="16" t="n"/>
      <c r="D14" s="16" t="n"/>
      <c r="E14" s="16" t="n"/>
      <c r="F14" s="16" t="n"/>
      <c r="G14" s="16" t="n"/>
      <c r="H14" s="16" t="n"/>
    </row>
    <row r="15">
      <c r="A15" s="23" t="n"/>
      <c r="B15" s="16" t="n"/>
      <c r="C15" s="16" t="n"/>
      <c r="D15" s="16" t="n"/>
      <c r="E15" s="16" t="n"/>
      <c r="F15" s="16" t="n"/>
      <c r="G15" s="16" t="n"/>
      <c r="H15" s="16" t="n"/>
    </row>
    <row r="16">
      <c r="A16" s="23" t="n"/>
      <c r="B16" s="16" t="n"/>
      <c r="C16" s="16" t="n"/>
      <c r="D16" s="16" t="n"/>
      <c r="E16" s="16" t="n"/>
      <c r="F16" s="16" t="n"/>
      <c r="G16" s="16" t="n"/>
      <c r="H16" s="16" t="n"/>
    </row>
    <row r="17">
      <c r="A17" s="23" t="n"/>
      <c r="B17" s="16" t="n"/>
      <c r="C17" s="16" t="n"/>
      <c r="D17" s="16" t="n"/>
      <c r="E17" s="16" t="n"/>
      <c r="F17" s="16" t="n"/>
      <c r="G17" s="16" t="n"/>
      <c r="H17" s="16" t="n"/>
    </row>
    <row r="18">
      <c r="A18" s="23" t="n"/>
      <c r="B18" s="16" t="n"/>
      <c r="C18" s="16" t="n"/>
      <c r="D18" s="16" t="n"/>
      <c r="E18" s="16" t="n"/>
      <c r="F18" s="16" t="n"/>
      <c r="G18" s="16" t="n"/>
      <c r="H18" s="16" t="n"/>
    </row>
    <row r="19">
      <c r="A19" s="23" t="n"/>
      <c r="B19" s="16" t="n"/>
      <c r="C19" s="16" t="n"/>
      <c r="D19" s="16" t="n"/>
      <c r="E19" s="16" t="n"/>
      <c r="F19" s="16" t="n"/>
      <c r="G19" s="16" t="n"/>
      <c r="H19" s="16" t="n"/>
    </row>
    <row r="20">
      <c r="A20" s="23" t="n"/>
      <c r="B20" s="16" t="n"/>
      <c r="C20" s="16" t="n"/>
      <c r="D20" s="16" t="n"/>
      <c r="E20" s="16" t="n"/>
      <c r="F20" s="16" t="n"/>
      <c r="G20" s="16" t="n"/>
      <c r="H20" s="16" t="n"/>
    </row>
    <row r="21">
      <c r="A21" s="23" t="n"/>
      <c r="B21" s="16" t="n"/>
      <c r="C21" s="16" t="n"/>
      <c r="D21" s="16" t="n"/>
      <c r="E21" s="16" t="n"/>
      <c r="F21" s="16" t="n"/>
      <c r="G21" s="16" t="n"/>
      <c r="H21" s="16" t="n"/>
    </row>
    <row r="22">
      <c r="A22" s="23" t="n"/>
      <c r="B22" s="16" t="n"/>
      <c r="C22" s="16" t="n"/>
      <c r="D22" s="16" t="n"/>
      <c r="E22" s="16" t="n"/>
      <c r="F22" s="16" t="n"/>
      <c r="G22" s="16" t="n"/>
      <c r="H22" s="16" t="n"/>
    </row>
    <row r="23">
      <c r="A23" s="23" t="n"/>
      <c r="B23" s="16" t="n"/>
      <c r="C23" s="16" t="n"/>
      <c r="D23" s="16" t="n"/>
      <c r="E23" s="16" t="n"/>
      <c r="F23" s="16" t="n"/>
      <c r="G23" s="16" t="n"/>
      <c r="H23" s="16" t="n"/>
    </row>
    <row r="24">
      <c r="A24" s="23" t="n"/>
      <c r="B24" s="16" t="n"/>
      <c r="C24" s="16" t="n"/>
      <c r="D24" s="16" t="n"/>
      <c r="E24" s="16" t="n"/>
      <c r="F24" s="16" t="n"/>
      <c r="G24" s="16" t="n"/>
      <c r="H24" s="16" t="n"/>
    </row>
    <row r="25">
      <c r="A25" s="23" t="n"/>
      <c r="B25" s="16" t="n"/>
      <c r="C25" s="16" t="n"/>
      <c r="D25" s="16" t="n"/>
      <c r="E25" s="16" t="n"/>
      <c r="F25" s="16" t="n"/>
      <c r="G25" s="16" t="n"/>
      <c r="H25" s="16" t="n"/>
    </row>
    <row r="26">
      <c r="A26" s="23" t="n"/>
      <c r="B26" s="16" t="n"/>
      <c r="C26" s="16" t="n"/>
      <c r="D26" s="16" t="n"/>
      <c r="E26" s="16" t="n"/>
      <c r="F26" s="16" t="n"/>
      <c r="G26" s="16" t="n"/>
      <c r="H26" s="16" t="n"/>
    </row>
    <row r="27">
      <c r="A27" s="23" t="n"/>
      <c r="B27" s="16" t="n"/>
      <c r="C27" s="16" t="n"/>
      <c r="D27" s="16" t="n"/>
      <c r="E27" s="16" t="n"/>
      <c r="F27" s="16" t="n"/>
      <c r="G27" s="16" t="n"/>
      <c r="H27" s="16" t="n"/>
    </row>
    <row r="28">
      <c r="A28" s="23" t="n"/>
      <c r="B28" s="16" t="n"/>
      <c r="C28" s="16" t="n"/>
      <c r="D28" s="16" t="n"/>
      <c r="E28" s="16" t="n"/>
      <c r="F28" s="16" t="n"/>
      <c r="G28" s="16" t="n"/>
      <c r="H28" s="16" t="n"/>
    </row>
    <row r="29">
      <c r="A29" s="23" t="n"/>
      <c r="B29" s="16" t="n"/>
      <c r="C29" s="16" t="n"/>
      <c r="D29" s="16" t="n"/>
      <c r="E29" s="16" t="n"/>
      <c r="F29" s="16" t="n"/>
      <c r="G29" s="16" t="n"/>
      <c r="H29" s="16" t="n"/>
    </row>
    <row r="30">
      <c r="A30" s="23" t="n"/>
      <c r="B30" s="16" t="n"/>
      <c r="C30" s="16" t="n"/>
      <c r="D30" s="16" t="n"/>
      <c r="E30" s="16" t="n"/>
      <c r="F30" s="16" t="n"/>
      <c r="G30" s="16" t="n"/>
      <c r="H30" s="16" t="n"/>
    </row>
    <row r="31">
      <c r="A31" s="23" t="n"/>
      <c r="B31" s="16" t="n"/>
      <c r="C31" s="16" t="n"/>
      <c r="D31" s="16" t="n"/>
      <c r="E31" s="16" t="n"/>
      <c r="F31" s="16" t="n"/>
      <c r="G31" s="16" t="n"/>
      <c r="H31" s="16" t="n"/>
    </row>
    <row r="32">
      <c r="A32" s="23" t="n"/>
      <c r="B32" s="16" t="n"/>
      <c r="C32" s="16" t="n"/>
      <c r="D32" s="16" t="n"/>
      <c r="E32" s="16" t="n"/>
      <c r="F32" s="16" t="n"/>
      <c r="G32" s="16" t="n"/>
      <c r="H32" s="16" t="n"/>
    </row>
    <row r="33">
      <c r="A33" s="23" t="n"/>
      <c r="B33" s="16" t="n"/>
      <c r="C33" s="16" t="n"/>
      <c r="D33" s="16" t="n"/>
      <c r="E33" s="16" t="n"/>
      <c r="F33" s="16" t="n"/>
      <c r="G33" s="16" t="n"/>
      <c r="H33" s="16" t="n"/>
    </row>
    <row r="34">
      <c r="A34" s="23" t="n"/>
      <c r="B34" s="16" t="n"/>
      <c r="C34" s="16" t="n"/>
      <c r="D34" s="16" t="n"/>
      <c r="E34" s="16" t="n"/>
      <c r="F34" s="16" t="n"/>
      <c r="G34" s="16" t="n"/>
      <c r="H34" s="16" t="n"/>
    </row>
    <row r="35">
      <c r="A35" s="23" t="n"/>
      <c r="B35" s="16" t="n"/>
      <c r="C35" s="16" t="n"/>
      <c r="D35" s="16" t="n"/>
      <c r="E35" s="16" t="n"/>
      <c r="F35" s="16" t="n"/>
      <c r="G35" s="16" t="n"/>
      <c r="H35" s="16" t="n"/>
    </row>
    <row r="36">
      <c r="A36" s="23" t="n"/>
      <c r="B36" s="16" t="n"/>
      <c r="C36" s="16" t="n"/>
      <c r="D36" s="16" t="n"/>
      <c r="E36" s="16" t="n"/>
      <c r="F36" s="16" t="n"/>
      <c r="G36" s="16" t="n"/>
      <c r="H36" s="16" t="n"/>
    </row>
    <row r="37">
      <c r="A37" s="23" t="n"/>
      <c r="B37" s="16" t="n"/>
      <c r="C37" s="16" t="n"/>
      <c r="D37" s="16" t="n"/>
      <c r="E37" s="16" t="n"/>
      <c r="F37" s="16" t="n"/>
      <c r="G37" s="16" t="n"/>
      <c r="H37" s="16" t="n"/>
    </row>
    <row r="38">
      <c r="A38" s="23" t="n"/>
      <c r="B38" s="16" t="n"/>
      <c r="C38" s="16" t="n"/>
      <c r="D38" s="16" t="n"/>
      <c r="E38" s="16" t="n"/>
      <c r="F38" s="16" t="n"/>
      <c r="G38" s="16" t="n"/>
      <c r="H38" s="16" t="n"/>
    </row>
    <row r="39">
      <c r="A39" s="23" t="n"/>
      <c r="B39" s="16" t="n"/>
      <c r="C39" s="16" t="n"/>
      <c r="D39" s="16" t="n"/>
      <c r="E39" s="16" t="n"/>
      <c r="F39" s="16" t="n"/>
      <c r="G39" s="16" t="n"/>
      <c r="H39" s="16" t="n"/>
    </row>
    <row r="40">
      <c r="A40" s="23" t="n"/>
      <c r="B40" s="16" t="n"/>
      <c r="C40" s="16" t="n"/>
      <c r="D40" s="16" t="n"/>
      <c r="E40" s="16" t="n"/>
      <c r="F40" s="16" t="n"/>
      <c r="G40" s="16" t="n"/>
      <c r="H40" s="16" t="n"/>
    </row>
    <row r="41">
      <c r="A41" s="23" t="n"/>
      <c r="B41" s="16" t="n"/>
      <c r="C41" s="16" t="n"/>
      <c r="D41" s="16" t="n"/>
      <c r="E41" s="16" t="n"/>
      <c r="F41" s="16" t="n"/>
      <c r="G41" s="16" t="n"/>
      <c r="H41" s="16" t="n"/>
    </row>
    <row r="42">
      <c r="A42" s="23" t="n"/>
      <c r="B42" s="16" t="n"/>
      <c r="C42" s="16" t="n"/>
      <c r="D42" s="16" t="n"/>
      <c r="E42" s="16" t="n"/>
      <c r="F42" s="16" t="n"/>
      <c r="G42" s="16" t="n"/>
      <c r="H42" s="16" t="n"/>
    </row>
    <row r="43">
      <c r="A43" s="23" t="n"/>
      <c r="B43" s="16" t="n"/>
      <c r="C43" s="16" t="n"/>
      <c r="D43" s="16" t="n"/>
      <c r="E43" s="16" t="n"/>
      <c r="F43" s="16" t="n"/>
      <c r="G43" s="16" t="n"/>
      <c r="H43" s="16" t="n"/>
    </row>
    <row r="44">
      <c r="A44" s="23" t="n"/>
      <c r="B44" s="16" t="n"/>
      <c r="C44" s="16" t="n"/>
      <c r="D44" s="16" t="n"/>
      <c r="E44" s="16" t="n"/>
      <c r="F44" s="16" t="n"/>
      <c r="G44" s="16" t="n"/>
      <c r="H44" s="16" t="n"/>
    </row>
    <row r="45">
      <c r="A45" s="23" t="n"/>
      <c r="B45" s="16" t="n"/>
      <c r="C45" s="16" t="n"/>
      <c r="D45" s="16" t="n"/>
      <c r="E45" s="16" t="n"/>
      <c r="F45" s="16" t="n"/>
      <c r="G45" s="16" t="n"/>
      <c r="H45" s="16" t="n"/>
    </row>
    <row r="46">
      <c r="A46" s="23" t="n"/>
      <c r="B46" s="16" t="n"/>
      <c r="C46" s="16" t="n"/>
      <c r="D46" s="16" t="n"/>
      <c r="E46" s="16" t="n"/>
      <c r="F46" s="16" t="n"/>
      <c r="G46" s="16" t="n"/>
      <c r="H46" s="16" t="n"/>
    </row>
    <row r="47">
      <c r="A47" s="23" t="n"/>
      <c r="B47" s="16" t="n"/>
      <c r="C47" s="16" t="n"/>
      <c r="D47" s="16" t="n"/>
      <c r="E47" s="16" t="n"/>
      <c r="F47" s="16" t="n"/>
      <c r="G47" s="16" t="n"/>
      <c r="H47" s="16" t="n"/>
    </row>
    <row r="48">
      <c r="A48" s="23" t="n"/>
      <c r="B48" s="16" t="n"/>
      <c r="C48" s="16" t="n"/>
      <c r="D48" s="16" t="n"/>
      <c r="E48" s="16" t="n"/>
      <c r="F48" s="16" t="n"/>
      <c r="G48" s="16" t="n"/>
      <c r="H48" s="16" t="n"/>
    </row>
    <row r="49">
      <c r="A49" s="23" t="n"/>
      <c r="B49" s="16" t="n"/>
      <c r="C49" s="16" t="n"/>
      <c r="D49" s="16" t="n"/>
      <c r="E49" s="16" t="n"/>
      <c r="F49" s="16" t="n"/>
      <c r="G49" s="16" t="n"/>
      <c r="H49" s="16" t="n"/>
    </row>
    <row r="50">
      <c r="A50" s="23" t="n"/>
      <c r="B50" s="16" t="n"/>
      <c r="C50" s="16" t="n"/>
      <c r="D50" s="16" t="n"/>
      <c r="E50" s="16" t="n"/>
      <c r="F50" s="16" t="n"/>
      <c r="G50" s="16" t="n"/>
      <c r="H50" s="16" t="n"/>
    </row>
    <row r="51">
      <c r="A51" s="23" t="n"/>
      <c r="B51" s="16" t="n"/>
      <c r="C51" s="16" t="n"/>
      <c r="D51" s="16" t="n"/>
      <c r="E51" s="16" t="n"/>
      <c r="F51" s="16" t="n"/>
      <c r="G51" s="16" t="n"/>
      <c r="H51" s="16" t="n"/>
    </row>
    <row r="52">
      <c r="A52" s="23" t="n"/>
      <c r="B52" s="16" t="n"/>
      <c r="C52" s="16" t="n"/>
      <c r="D52" s="16" t="n"/>
      <c r="E52" s="16" t="n"/>
      <c r="F52" s="16" t="n"/>
      <c r="G52" s="16" t="n"/>
      <c r="H52" s="16" t="n"/>
    </row>
    <row r="53">
      <c r="A53" s="23" t="n"/>
      <c r="B53" s="16" t="n"/>
      <c r="C53" s="16" t="n"/>
      <c r="D53" s="16" t="n"/>
      <c r="E53" s="16" t="n"/>
      <c r="F53" s="16" t="n"/>
      <c r="G53" s="16" t="n"/>
      <c r="H53" s="16" t="n"/>
    </row>
    <row r="54">
      <c r="A54" s="23" t="n"/>
      <c r="B54" s="16" t="n"/>
      <c r="C54" s="16" t="n"/>
      <c r="D54" s="16" t="n"/>
      <c r="E54" s="16" t="n"/>
      <c r="F54" s="16" t="n"/>
      <c r="G54" s="16" t="n"/>
      <c r="H54" s="16" t="n"/>
    </row>
    <row r="55">
      <c r="A55" s="23" t="n"/>
      <c r="B55" s="16" t="n"/>
      <c r="C55" s="16" t="n"/>
      <c r="D55" s="16" t="n"/>
      <c r="E55" s="16" t="n"/>
      <c r="F55" s="16" t="n"/>
      <c r="G55" s="16" t="n"/>
      <c r="H55" s="16" t="n"/>
    </row>
    <row r="56">
      <c r="A56" s="23" t="n"/>
      <c r="B56" s="16" t="n"/>
      <c r="C56" s="16" t="n"/>
      <c r="D56" s="16" t="n"/>
      <c r="E56" s="16" t="n"/>
      <c r="F56" s="16" t="n"/>
      <c r="G56" s="16" t="n"/>
      <c r="H56" s="16" t="n"/>
    </row>
    <row r="57">
      <c r="A57" s="23" t="n"/>
      <c r="B57" s="16" t="n"/>
      <c r="C57" s="16" t="n"/>
      <c r="D57" s="16" t="n"/>
      <c r="E57" s="16" t="n"/>
      <c r="F57" s="16" t="n"/>
      <c r="G57" s="16" t="n"/>
      <c r="H57" s="16" t="n"/>
    </row>
    <row r="58">
      <c r="A58" s="23" t="n"/>
      <c r="B58" s="16" t="n"/>
      <c r="C58" s="16" t="n"/>
      <c r="D58" s="16" t="n"/>
      <c r="E58" s="16" t="n"/>
      <c r="F58" s="16" t="n"/>
      <c r="G58" s="16" t="n"/>
      <c r="H58" s="16" t="n"/>
    </row>
    <row r="59">
      <c r="A59" s="23" t="n"/>
      <c r="B59" s="16" t="n"/>
      <c r="C59" s="16" t="n"/>
      <c r="D59" s="16" t="n"/>
      <c r="E59" s="16" t="n"/>
      <c r="F59" s="16" t="n"/>
      <c r="G59" s="16" t="n"/>
      <c r="H59" s="16" t="n"/>
    </row>
    <row r="60">
      <c r="A60" s="23" t="n"/>
      <c r="B60" s="16" t="n"/>
      <c r="C60" s="16" t="n"/>
      <c r="D60" s="16" t="n"/>
      <c r="E60" s="16" t="n"/>
      <c r="F60" s="16" t="n"/>
      <c r="G60" s="16" t="n"/>
      <c r="H60" s="16" t="n"/>
    </row>
    <row r="61">
      <c r="A61" s="23" t="n"/>
      <c r="B61" s="16" t="n"/>
      <c r="C61" s="16" t="n"/>
      <c r="D61" s="16" t="n"/>
      <c r="E61" s="16" t="n"/>
      <c r="F61" s="16" t="n"/>
      <c r="G61" s="16" t="n"/>
      <c r="H61" s="16" t="n"/>
    </row>
    <row r="62">
      <c r="A62" s="23" t="n"/>
      <c r="B62" s="16" t="n"/>
      <c r="C62" s="16" t="n"/>
      <c r="D62" s="16" t="n"/>
      <c r="E62" s="16" t="n"/>
      <c r="F62" s="16" t="n"/>
      <c r="G62" s="16" t="n"/>
      <c r="H62" s="16" t="n"/>
    </row>
    <row r="63">
      <c r="A63" s="23" t="n"/>
      <c r="B63" s="16" t="n"/>
      <c r="C63" s="16" t="n"/>
      <c r="D63" s="16" t="n"/>
      <c r="E63" s="16" t="n"/>
      <c r="F63" s="16" t="n"/>
      <c r="G63" s="16" t="n"/>
      <c r="H63" s="16" t="n"/>
    </row>
    <row r="64">
      <c r="A64" s="23" t="n"/>
      <c r="B64" s="16" t="n"/>
      <c r="C64" s="16" t="n"/>
      <c r="D64" s="16" t="n"/>
      <c r="E64" s="16" t="n"/>
      <c r="F64" s="16" t="n"/>
      <c r="G64" s="16" t="n"/>
      <c r="H64" s="16" t="n"/>
    </row>
    <row r="65">
      <c r="A65" s="23" t="n"/>
      <c r="B65" s="16" t="n"/>
      <c r="C65" s="16" t="n"/>
      <c r="D65" s="16" t="n"/>
      <c r="E65" s="16" t="n"/>
      <c r="F65" s="16" t="n"/>
      <c r="G65" s="16" t="n"/>
      <c r="H65" s="16" t="n"/>
    </row>
    <row r="66">
      <c r="A66" s="23" t="n"/>
      <c r="B66" s="16" t="n"/>
      <c r="C66" s="16" t="n"/>
      <c r="D66" s="16" t="n"/>
      <c r="E66" s="16" t="n"/>
      <c r="F66" s="16" t="n"/>
      <c r="G66" s="16" t="n"/>
      <c r="H66" s="16" t="n"/>
    </row>
    <row r="67">
      <c r="A67" s="23" t="n"/>
      <c r="B67" s="16" t="n"/>
      <c r="C67" s="16" t="n"/>
      <c r="D67" s="16" t="n"/>
      <c r="E67" s="16" t="n"/>
      <c r="F67" s="16" t="n"/>
      <c r="G67" s="16" t="n"/>
      <c r="H67" s="16" t="n"/>
    </row>
    <row r="68">
      <c r="A68" s="23" t="n"/>
      <c r="B68" s="16" t="n"/>
      <c r="C68" s="16" t="n"/>
      <c r="D68" s="16" t="n"/>
      <c r="E68" s="16" t="n"/>
      <c r="F68" s="16" t="n"/>
      <c r="G68" s="16" t="n"/>
      <c r="H68" s="16" t="n"/>
    </row>
    <row r="69">
      <c r="A69" s="23" t="n"/>
      <c r="B69" s="16" t="n"/>
      <c r="C69" s="16" t="n"/>
      <c r="D69" s="16" t="n"/>
      <c r="E69" s="16" t="n"/>
      <c r="F69" s="16" t="n"/>
      <c r="G69" s="16" t="n"/>
      <c r="H69" s="16" t="n"/>
    </row>
    <row r="70">
      <c r="A70" s="23" t="n"/>
      <c r="B70" s="16" t="n"/>
      <c r="C70" s="16" t="n"/>
      <c r="D70" s="16" t="n"/>
      <c r="E70" s="16" t="n"/>
      <c r="F70" s="16" t="n"/>
      <c r="G70" s="16" t="n"/>
      <c r="H70" s="16" t="n"/>
    </row>
    <row r="71">
      <c r="A71" s="23" t="n"/>
      <c r="B71" s="16" t="n"/>
      <c r="C71" s="16" t="n"/>
      <c r="D71" s="16" t="n"/>
      <c r="E71" s="16" t="n"/>
      <c r="F71" s="16" t="n"/>
      <c r="G71" s="16" t="n"/>
      <c r="H71" s="16" t="n"/>
    </row>
    <row r="72">
      <c r="A72" s="23" t="n"/>
      <c r="B72" s="16" t="n"/>
      <c r="C72" s="16" t="n"/>
      <c r="D72" s="16" t="n"/>
      <c r="E72" s="16" t="n"/>
      <c r="F72" s="16" t="n"/>
      <c r="G72" s="16" t="n"/>
      <c r="H72" s="16" t="n"/>
    </row>
    <row r="73">
      <c r="A73" s="23" t="n"/>
      <c r="B73" s="16" t="n"/>
      <c r="C73" s="16" t="n"/>
      <c r="D73" s="16" t="n"/>
      <c r="E73" s="16" t="n"/>
      <c r="F73" s="16" t="n"/>
      <c r="G73" s="16" t="n"/>
      <c r="H73" s="16" t="n"/>
    </row>
    <row r="74">
      <c r="A74" s="23" t="n"/>
      <c r="B74" s="16" t="n"/>
      <c r="C74" s="16" t="n"/>
      <c r="D74" s="16" t="n"/>
      <c r="E74" s="16" t="n"/>
      <c r="F74" s="16" t="n"/>
      <c r="G74" s="16" t="n"/>
      <c r="H74" s="16" t="n"/>
    </row>
    <row r="75">
      <c r="A75" s="23" t="n"/>
      <c r="B75" s="16" t="n"/>
      <c r="C75" s="16" t="n"/>
      <c r="D75" s="16" t="n"/>
      <c r="E75" s="16" t="n"/>
      <c r="F75" s="16" t="n"/>
      <c r="G75" s="16" t="n"/>
      <c r="H75" s="16" t="n"/>
    </row>
    <row r="76">
      <c r="A76" s="23" t="n"/>
      <c r="B76" s="16" t="n"/>
      <c r="C76" s="16" t="n"/>
      <c r="D76" s="16" t="n"/>
      <c r="E76" s="16" t="n"/>
      <c r="F76" s="16" t="n"/>
      <c r="G76" s="16" t="n"/>
      <c r="H76" s="16" t="n"/>
    </row>
    <row r="77">
      <c r="A77" s="23" t="n"/>
      <c r="B77" s="16" t="n"/>
      <c r="C77" s="16" t="n"/>
      <c r="D77" s="16" t="n"/>
      <c r="E77" s="16" t="n"/>
      <c r="F77" s="16" t="n"/>
      <c r="G77" s="16" t="n"/>
      <c r="H77" s="16" t="n"/>
    </row>
    <row r="78">
      <c r="A78" s="23" t="n"/>
      <c r="B78" s="16" t="n"/>
      <c r="C78" s="16" t="n"/>
      <c r="D78" s="16" t="n"/>
      <c r="E78" s="16" t="n"/>
      <c r="F78" s="16" t="n"/>
      <c r="G78" s="16" t="n"/>
      <c r="H78" s="16" t="n"/>
    </row>
    <row r="79">
      <c r="A79" s="23" t="n"/>
      <c r="B79" s="16" t="n"/>
      <c r="C79" s="16" t="n"/>
      <c r="D79" s="16" t="n"/>
      <c r="E79" s="16" t="n"/>
      <c r="F79" s="16" t="n"/>
      <c r="G79" s="16" t="n"/>
      <c r="H79" s="16" t="n"/>
    </row>
    <row r="80">
      <c r="A80" s="23" t="n"/>
      <c r="B80" s="16" t="n"/>
      <c r="C80" s="16" t="n"/>
      <c r="D80" s="16" t="n"/>
      <c r="E80" s="16" t="n"/>
      <c r="F80" s="16" t="n"/>
      <c r="G80" s="16" t="n"/>
      <c r="H80" s="16" t="n"/>
    </row>
    <row r="81">
      <c r="A81" s="23" t="n"/>
      <c r="B81" s="16" t="n"/>
      <c r="C81" s="16" t="n"/>
      <c r="D81" s="16" t="n"/>
      <c r="E81" s="16" t="n"/>
      <c r="F81" s="16" t="n"/>
      <c r="G81" s="16" t="n"/>
      <c r="H81" s="16" t="n"/>
    </row>
    <row r="82">
      <c r="A82" s="23" t="n"/>
      <c r="B82" s="16" t="n"/>
      <c r="C82" s="16" t="n"/>
      <c r="D82" s="16" t="n"/>
      <c r="E82" s="16" t="n"/>
      <c r="F82" s="16" t="n"/>
      <c r="G82" s="16" t="n"/>
      <c r="H82" s="16" t="n"/>
    </row>
    <row r="83">
      <c r="A83" s="23" t="n"/>
      <c r="B83" s="16" t="n"/>
      <c r="C83" s="16" t="n"/>
      <c r="D83" s="16" t="n"/>
      <c r="E83" s="16" t="n"/>
      <c r="F83" s="16" t="n"/>
      <c r="G83" s="16" t="n"/>
      <c r="H83" s="16" t="n"/>
    </row>
    <row r="84">
      <c r="A84" s="23" t="n"/>
      <c r="B84" s="16" t="n"/>
      <c r="C84" s="16" t="n"/>
      <c r="D84" s="16" t="n"/>
      <c r="E84" s="16" t="n"/>
      <c r="F84" s="16" t="n"/>
      <c r="G84" s="16" t="n"/>
      <c r="H84" s="16" t="n"/>
    </row>
    <row r="85">
      <c r="A85" s="23" t="n"/>
      <c r="B85" s="16" t="n"/>
      <c r="C85" s="16" t="n"/>
      <c r="D85" s="16" t="n"/>
      <c r="E85" s="16" t="n"/>
      <c r="F85" s="16" t="n"/>
      <c r="G85" s="16" t="n"/>
      <c r="H85" s="16" t="n"/>
    </row>
    <row r="86">
      <c r="A86" s="23" t="n"/>
      <c r="B86" s="16" t="n"/>
      <c r="C86" s="16" t="n"/>
      <c r="D86" s="16" t="n"/>
      <c r="E86" s="16" t="n"/>
      <c r="F86" s="16" t="n"/>
      <c r="G86" s="16" t="n"/>
      <c r="H86" s="16" t="n"/>
    </row>
    <row r="87">
      <c r="A87" s="23" t="n"/>
      <c r="B87" s="16" t="n"/>
      <c r="C87" s="16" t="n"/>
      <c r="D87" s="16" t="n"/>
      <c r="E87" s="16" t="n"/>
      <c r="F87" s="16" t="n"/>
      <c r="G87" s="16" t="n"/>
      <c r="H87" s="16" t="n"/>
    </row>
    <row r="88">
      <c r="A88" s="23" t="n"/>
      <c r="B88" s="16" t="n"/>
      <c r="C88" s="16" t="n"/>
      <c r="D88" s="16" t="n"/>
      <c r="E88" s="16" t="n"/>
      <c r="F88" s="16" t="n"/>
      <c r="G88" s="16" t="n"/>
      <c r="H88" s="16" t="n"/>
    </row>
    <row r="89">
      <c r="A89" s="23" t="n"/>
      <c r="B89" s="16" t="n"/>
      <c r="C89" s="16" t="n"/>
      <c r="D89" s="16" t="n"/>
      <c r="E89" s="16" t="n"/>
      <c r="F89" s="16" t="n"/>
      <c r="G89" s="16" t="n"/>
      <c r="H89" s="16" t="n"/>
    </row>
    <row r="90">
      <c r="A90" s="23" t="n"/>
      <c r="B90" s="16" t="n"/>
      <c r="C90" s="16" t="n"/>
      <c r="D90" s="16" t="n"/>
      <c r="E90" s="16" t="n"/>
      <c r="F90" s="16" t="n"/>
      <c r="G90" s="16" t="n"/>
      <c r="H90" s="16" t="n"/>
    </row>
    <row r="91">
      <c r="A91" s="23" t="n"/>
      <c r="B91" s="16" t="n"/>
      <c r="C91" s="16" t="n"/>
      <c r="D91" s="16" t="n"/>
      <c r="E91" s="16" t="n"/>
      <c r="F91" s="16" t="n"/>
      <c r="G91" s="16" t="n"/>
      <c r="H91" s="16" t="n"/>
    </row>
    <row r="92">
      <c r="A92" s="23" t="n"/>
      <c r="B92" s="16" t="n"/>
      <c r="C92" s="16" t="n"/>
      <c r="D92" s="16" t="n"/>
      <c r="E92" s="16" t="n"/>
      <c r="F92" s="16" t="n"/>
      <c r="G92" s="16" t="n"/>
      <c r="H92" s="16" t="n"/>
    </row>
    <row r="93">
      <c r="A93" s="23" t="n"/>
      <c r="B93" s="16" t="n"/>
      <c r="C93" s="16" t="n"/>
      <c r="D93" s="16" t="n"/>
      <c r="E93" s="16" t="n"/>
      <c r="F93" s="16" t="n"/>
      <c r="G93" s="16" t="n"/>
      <c r="H93" s="16" t="n"/>
    </row>
    <row r="94">
      <c r="A94" s="23" t="n"/>
      <c r="B94" s="16" t="n"/>
      <c r="C94" s="16" t="n"/>
      <c r="D94" s="16" t="n"/>
      <c r="E94" s="16" t="n"/>
      <c r="F94" s="16" t="n"/>
      <c r="G94" s="16" t="n"/>
      <c r="H94" s="16" t="n"/>
    </row>
    <row r="95">
      <c r="A95" s="23" t="n"/>
      <c r="B95" s="16" t="n"/>
      <c r="C95" s="16" t="n"/>
      <c r="D95" s="16" t="n"/>
      <c r="E95" s="16" t="n"/>
      <c r="F95" s="16" t="n"/>
      <c r="G95" s="16" t="n"/>
      <c r="H95" s="16" t="n"/>
    </row>
    <row r="96">
      <c r="A96" s="23" t="n"/>
      <c r="B96" s="16" t="n"/>
      <c r="C96" s="16" t="n"/>
      <c r="D96" s="16" t="n"/>
      <c r="E96" s="16" t="n"/>
      <c r="F96" s="16" t="n"/>
      <c r="G96" s="16" t="n"/>
      <c r="H96" s="16" t="n"/>
    </row>
    <row r="97">
      <c r="A97" s="23" t="n"/>
      <c r="B97" s="16" t="n"/>
      <c r="C97" s="16" t="n"/>
      <c r="D97" s="16" t="n"/>
      <c r="E97" s="16" t="n"/>
      <c r="F97" s="16" t="n"/>
      <c r="G97" s="16" t="n"/>
      <c r="H97" s="16" t="n"/>
    </row>
    <row r="98">
      <c r="A98" s="23" t="n"/>
      <c r="B98" s="16" t="n"/>
      <c r="C98" s="16" t="n"/>
      <c r="D98" s="16" t="n"/>
      <c r="E98" s="16" t="n"/>
      <c r="F98" s="16" t="n"/>
      <c r="G98" s="16" t="n"/>
      <c r="H98" s="16" t="n"/>
    </row>
    <row r="99">
      <c r="A99" s="23" t="n"/>
      <c r="B99" s="16" t="n"/>
      <c r="C99" s="16" t="n"/>
      <c r="D99" s="16" t="n"/>
      <c r="E99" s="16" t="n"/>
      <c r="F99" s="16" t="n"/>
      <c r="G99" s="16" t="n"/>
      <c r="H99" s="16" t="n"/>
    </row>
    <row r="100">
      <c r="A100" s="23" t="n"/>
      <c r="B100" s="16" t="n"/>
      <c r="C100" s="16" t="n"/>
      <c r="D100" s="16" t="n"/>
      <c r="E100" s="16" t="n"/>
      <c r="F100" s="16" t="n"/>
      <c r="G100" s="16" t="n"/>
      <c r="H100" s="16" t="n"/>
    </row>
    <row r="101">
      <c r="A101" s="23" t="n"/>
      <c r="B101" s="16" t="n"/>
      <c r="C101" s="16" t="n"/>
      <c r="D101" s="16" t="n"/>
      <c r="E101" s="16" t="n"/>
      <c r="F101" s="16" t="n"/>
      <c r="G101" s="16" t="n"/>
      <c r="H101" s="16" t="n"/>
    </row>
    <row r="102">
      <c r="A102" s="23" t="n"/>
      <c r="B102" s="16" t="n"/>
      <c r="C102" s="16" t="n"/>
      <c r="D102" s="16" t="n"/>
      <c r="E102" s="16" t="n"/>
      <c r="F102" s="16" t="n"/>
      <c r="G102" s="16" t="n"/>
      <c r="H102" s="16" t="n"/>
    </row>
    <row r="103">
      <c r="A103" s="23" t="n"/>
      <c r="B103" s="16" t="n"/>
      <c r="C103" s="16" t="n"/>
      <c r="D103" s="16" t="n"/>
      <c r="E103" s="16" t="n"/>
      <c r="F103" s="16" t="n"/>
      <c r="G103" s="16" t="n"/>
      <c r="H103" s="16" t="n"/>
    </row>
    <row r="104">
      <c r="A104" s="23" t="n"/>
      <c r="B104" s="16" t="n"/>
      <c r="C104" s="16" t="n"/>
      <c r="D104" s="16" t="n"/>
      <c r="E104" s="16" t="n"/>
      <c r="F104" s="16" t="n"/>
      <c r="G104" s="16" t="n"/>
      <c r="H104" s="16" t="n"/>
    </row>
    <row r="105">
      <c r="A105" s="23" t="n"/>
      <c r="B105" s="16" t="n"/>
      <c r="C105" s="16" t="n"/>
      <c r="D105" s="16" t="n"/>
      <c r="E105" s="16" t="n"/>
      <c r="F105" s="16" t="n"/>
      <c r="G105" s="16" t="n"/>
      <c r="H105" s="16"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1" showErrorMessage="1" allowBlank="1" type="list">
      <formula1>"SDLC process doc,Code review report,Training record,Tool configuration,Security policy,Test report,Screenshot,Other"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1" showErrorMessage="1" allowBlank="1" type="list">
      <formula1>"✅ Verified,⚠️ Pending,❌ Not Verified,N/A"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38" customWidth="1" min="1" max="1"/>
    <col width="16" customWidth="1" min="2" max="2"/>
    <col width="16" customWidth="1" min="3" max="3"/>
    <col width="16" customWidth="1" min="4" max="4"/>
    <col width="16" customWidth="1" min="5" max="5"/>
    <col width="16" customWidth="1" min="6" max="6"/>
    <col width="18" customWidth="1" min="7" max="7"/>
  </cols>
  <sheetData>
    <row r="1" ht="35" customHeight="1">
      <c r="A1" s="24" t="inlineStr">
        <is>
          <t>SDLC SECURITY ACTIVITIES ASSESSMENT — SUMMARY DASHBOARD</t>
        </is>
      </c>
      <c r="B1" s="6" t="n"/>
      <c r="C1" s="6" t="n"/>
      <c r="D1" s="6" t="n"/>
      <c r="E1" s="6" t="n"/>
      <c r="F1" s="6" t="n"/>
      <c r="G1" s="6" t="n"/>
    </row>
    <row r="2">
      <c r="A2" s="25" t="inlineStr">
        <is>
          <t>ISO/IEC 27001:2022 - Control A.8.25-26-29: Secure Development</t>
        </is>
      </c>
      <c r="B2" s="6" t="n"/>
      <c r="C2" s="6" t="n"/>
      <c r="D2" s="6" t="n"/>
      <c r="E2" s="6" t="n"/>
      <c r="F2" s="6" t="n"/>
      <c r="G2" s="6" t="n"/>
    </row>
    <row r="4">
      <c r="A4" s="26" t="inlineStr">
        <is>
          <t>TABLE 1: ASSESSMENT AREA COMPLIANCE OVERVIEW</t>
        </is>
      </c>
      <c r="B4" s="6" t="n"/>
      <c r="C4" s="6" t="n"/>
      <c r="D4" s="6" t="n"/>
      <c r="E4" s="6" t="n"/>
      <c r="F4" s="6" t="n"/>
      <c r="G4" s="6" t="n"/>
    </row>
    <row r="5">
      <c r="A5" s="27" t="inlineStr">
        <is>
          <t>Assessment Area</t>
        </is>
      </c>
      <c r="B5" s="27" t="inlineStr">
        <is>
          <t>Total Assessed</t>
        </is>
      </c>
      <c r="C5" s="27" t="inlineStr">
        <is>
          <t>Complete</t>
        </is>
      </c>
      <c r="D5" s="27" t="inlineStr">
        <is>
          <t>Partial</t>
        </is>
      </c>
      <c r="E5" s="27" t="inlineStr">
        <is>
          <t>Missing</t>
        </is>
      </c>
      <c r="F5" s="27" t="inlineStr">
        <is>
          <t>N/A</t>
        </is>
      </c>
      <c r="G5" s="27" t="inlineStr">
        <is>
          <t>Completion %</t>
        </is>
      </c>
    </row>
    <row r="6">
      <c r="A6" s="28" t="inlineStr">
        <is>
          <t>SDLC Phase Activities</t>
        </is>
      </c>
      <c r="B6" s="29">
        <f>COUNTA('SDLC Phase Activities'!D5:D75)</f>
        <v/>
      </c>
      <c r="C6" s="29">
        <f>COUNTIF('SDLC Phase Activities'!D5:D75,"Complete")</f>
        <v/>
      </c>
      <c r="D6" s="29">
        <f>COUNTIF('SDLC Phase Activities'!D5:D75,"In Progress")</f>
        <v/>
      </c>
      <c r="E6" s="29">
        <f>COUNTIF('SDLC Phase Activities'!D5:D75,"Not Done")</f>
        <v/>
      </c>
      <c r="F6" s="29">
        <f>0</f>
        <v/>
      </c>
      <c r="G6" s="30">
        <f>IF((B6-F6)=0,0,C6/(B6-F6))</f>
        <v/>
      </c>
    </row>
    <row r="7">
      <c r="A7" s="28" t="inlineStr">
        <is>
          <t>Code Review Process</t>
        </is>
      </c>
      <c r="B7" s="29">
        <f>COUNTA('Code Review Metrics'!B5:B54)</f>
        <v/>
      </c>
      <c r="C7" s="29">
        <f>COUNTIF('Code Review Metrics'!B5:B54,"Yes")</f>
        <v/>
      </c>
      <c r="D7" s="29">
        <f>0</f>
        <v/>
      </c>
      <c r="E7" s="29">
        <f>COUNTIF('Code Review Metrics'!B5:B54,"No")</f>
        <v/>
      </c>
      <c r="F7" s="29">
        <f>0</f>
        <v/>
      </c>
      <c r="G7" s="30">
        <f>IF((B7-F7)=0,0,C7/(B7-F7))</f>
        <v/>
      </c>
    </row>
    <row r="8">
      <c r="A8" s="28" t="inlineStr">
        <is>
          <t>Security Tool Deployment</t>
        </is>
      </c>
      <c r="B8" s="29">
        <f>COUNTA('Security Tools Deployment'!C5:C54)</f>
        <v/>
      </c>
      <c r="C8" s="29">
        <f>COUNTIF('Security Tools Deployment'!C5:C54,"Deployed")</f>
        <v/>
      </c>
      <c r="D8" s="29">
        <f>COUNTIF('Security Tools Deployment'!C5:C54,"In Progress")</f>
        <v/>
      </c>
      <c r="E8" s="29">
        <f>COUNTIF('Security Tools Deployment'!C5:C54,"Not Deployed")</f>
        <v/>
      </c>
      <c r="F8" s="29">
        <f>0</f>
        <v/>
      </c>
      <c r="G8" s="30">
        <f>IF((B8-F8)=0,0,C8/(B8-F8))</f>
        <v/>
      </c>
    </row>
    <row r="9">
      <c r="A9" s="28" t="inlineStr">
        <is>
          <t>Developer Training</t>
        </is>
      </c>
      <c r="B9" s="29">
        <f>COUNTA('Developer Training'!H5:H54)</f>
        <v/>
      </c>
      <c r="C9" s="29">
        <f>COUNTIF('Developer Training'!H5:H54,"Current")</f>
        <v/>
      </c>
      <c r="D9" s="29">
        <f>0</f>
        <v/>
      </c>
      <c r="E9" s="29">
        <f>COUNTIF('Developer Training'!H5:H54,"⚠️ Overdue")</f>
        <v/>
      </c>
      <c r="F9" s="29">
        <f>0</f>
        <v/>
      </c>
      <c r="G9" s="30">
        <f>IF((B9-F9)=0,0,C9/(B9-F9))</f>
        <v/>
      </c>
    </row>
    <row r="10">
      <c r="A10" s="31" t="inlineStr">
        <is>
          <t>TOTAL</t>
        </is>
      </c>
      <c r="B10" s="32">
        <f>SUM(B6:B9)</f>
        <v/>
      </c>
      <c r="C10" s="32">
        <f>SUM(C6:C9)</f>
        <v/>
      </c>
      <c r="D10" s="32">
        <f>SUM(D6:D9)</f>
        <v/>
      </c>
      <c r="E10" s="32">
        <f>SUM(E6:E9)</f>
        <v/>
      </c>
      <c r="F10" s="32">
        <f>SUM(F6:F9)</f>
        <v/>
      </c>
      <c r="G10" s="33">
        <f>IF((B10-F10)=0,0,C10/(B10-F10))</f>
        <v/>
      </c>
    </row>
    <row r="12">
      <c r="A12" s="26" t="inlineStr">
        <is>
          <t>TABLE 2: KEY METRICS</t>
        </is>
      </c>
      <c r="B12" s="6" t="n"/>
      <c r="C12" s="6" t="n"/>
      <c r="D12" s="6" t="n"/>
      <c r="E12" s="6" t="n"/>
      <c r="F12" s="6" t="n"/>
      <c r="G12" s="6" t="n"/>
    </row>
    <row r="13">
      <c r="A13" s="31" t="inlineStr">
        <is>
          <t>Metric</t>
        </is>
      </c>
      <c r="B13" s="31" t="inlineStr">
        <is>
          <t>Value</t>
        </is>
      </c>
      <c r="C13" s="6" t="n"/>
      <c r="D13" s="6" t="n"/>
      <c r="E13" s="6" t="n"/>
      <c r="F13" s="6" t="n"/>
      <c r="G13" s="6" t="n"/>
    </row>
    <row r="14">
      <c r="A14" s="28" t="inlineStr">
        <is>
          <t>Total Applications Assessed</t>
        </is>
      </c>
      <c r="B14" s="6">
        <f>COUNTA('SDLC Phase Activities'!B5:B75)</f>
        <v/>
      </c>
      <c r="C14" s="6" t="n"/>
      <c r="D14" s="6" t="n"/>
      <c r="E14" s="6" t="n"/>
      <c r="F14" s="6" t="n"/>
      <c r="G14" s="6" t="n"/>
    </row>
    <row r="15">
      <c r="A15" s="28" t="inlineStr">
        <is>
          <t>Security Tools Deployed (Total)</t>
        </is>
      </c>
      <c r="B15" s="6">
        <f>COUNTIF('Security Tools Deployment'!C5:C54,"Deployed")</f>
        <v/>
      </c>
      <c r="C15" s="6" t="n"/>
      <c r="D15" s="6" t="n"/>
      <c r="E15" s="6" t="n"/>
      <c r="F15" s="6" t="n"/>
      <c r="G15" s="6" t="n"/>
    </row>
    <row r="16">
      <c r="A16" s="28" t="inlineStr">
        <is>
          <t>Developers Trained (Current)</t>
        </is>
      </c>
      <c r="B16" s="6">
        <f>COUNTIF('Developer Training'!H5:H54,"Current")</f>
        <v/>
      </c>
      <c r="C16" s="6" t="n"/>
      <c r="D16" s="6" t="n"/>
      <c r="E16" s="6" t="n"/>
      <c r="F16" s="6" t="n"/>
      <c r="G16" s="6" t="n"/>
    </row>
    <row r="17">
      <c r="A17" s="28" t="inlineStr">
        <is>
          <t>Next Review Due</t>
        </is>
      </c>
      <c r="B17" s="6" t="inlineStr"/>
      <c r="C17" s="6" t="n"/>
      <c r="D17" s="6" t="n"/>
      <c r="E17" s="6" t="n"/>
      <c r="F17" s="6" t="n"/>
      <c r="G17" s="6" t="n"/>
    </row>
    <row r="18">
      <c r="A18" s="28" t="inlineStr">
        <is>
          <t>Assessment Owner</t>
        </is>
      </c>
      <c r="B18" s="6" t="inlineStr"/>
      <c r="C18" s="6" t="n"/>
      <c r="D18" s="6" t="n"/>
      <c r="E18" s="6" t="n"/>
      <c r="F18" s="6" t="n"/>
      <c r="G18" s="6" t="n"/>
    </row>
    <row r="19">
      <c r="A19" s="6" t="n"/>
      <c r="B19" s="6" t="n"/>
      <c r="C19" s="6" t="n"/>
      <c r="D19" s="6" t="n"/>
      <c r="E19" s="6" t="n"/>
      <c r="F19" s="6" t="n"/>
      <c r="G19" s="6" t="n"/>
    </row>
    <row r="20">
      <c r="A20" s="6" t="n"/>
      <c r="B20" s="6" t="n"/>
      <c r="C20" s="6" t="n"/>
      <c r="D20" s="6" t="n"/>
      <c r="E20" s="6" t="n"/>
      <c r="F20" s="6" t="n"/>
      <c r="G20" s="6" t="n"/>
    </row>
    <row r="22">
      <c r="A22" s="34" t="inlineStr">
        <is>
          <t>TABLE 3: CRITICAL FINDINGS</t>
        </is>
      </c>
      <c r="B22" s="6" t="n"/>
      <c r="C22" s="6" t="n"/>
      <c r="D22" s="6" t="n"/>
      <c r="E22" s="6" t="n"/>
      <c r="F22" s="6" t="n"/>
      <c r="G22" s="6" t="n"/>
    </row>
    <row r="23">
      <c r="A23" s="31" t="inlineStr">
        <is>
          <t>#</t>
        </is>
      </c>
      <c r="B23" s="31" t="inlineStr">
        <is>
          <t>Finding</t>
        </is>
      </c>
      <c r="C23" s="31" t="inlineStr">
        <is>
          <t>Count</t>
        </is>
      </c>
      <c r="D23" s="31" t="inlineStr">
        <is>
          <t>Severity</t>
        </is>
      </c>
      <c r="E23" s="31" t="inlineStr">
        <is>
          <t>Affected Area</t>
        </is>
      </c>
      <c r="F23" s="31" t="inlineStr">
        <is>
          <t>Recommended Action</t>
        </is>
      </c>
      <c r="G23" s="31" t="inlineStr">
        <is>
          <t>Owner</t>
        </is>
      </c>
    </row>
    <row r="24">
      <c r="A24" s="4">
        <f>COUNTIF('SDLC Phase Activities'!D5:D75,"Not Done")</f>
        <v/>
      </c>
      <c r="B24" s="4" t="inlineStr">
        <is>
          <t>SDLC Requirements Activities Not Completed</t>
        </is>
      </c>
      <c r="C24" s="4">
        <f>COUNTIF('SDLC Phase Activities'!D5:D75,"Not Done")</f>
        <v/>
      </c>
      <c r="D24" s="4" t="inlineStr">
        <is>
          <t>High</t>
        </is>
      </c>
      <c r="E24" s="4" t="inlineStr">
        <is>
          <t>SDLC Phase Activities</t>
        </is>
      </c>
      <c r="F24" s="4" t="inlineStr">
        <is>
          <t>Define security requirements for all applications</t>
        </is>
      </c>
      <c r="G24" s="4" t="n"/>
    </row>
    <row r="25">
      <c r="A25" s="4">
        <f>COUNTIF('Code Review Metrics'!B5:B54,"No")</f>
        <v/>
      </c>
      <c r="B25" s="4" t="inlineStr">
        <is>
          <t>Apps Without Code Review Process</t>
        </is>
      </c>
      <c r="C25" s="4">
        <f>COUNTIF('Code Review Metrics'!B5:B54,"No")</f>
        <v/>
      </c>
      <c r="D25" s="4" t="inlineStr">
        <is>
          <t>High</t>
        </is>
      </c>
      <c r="E25" s="4" t="inlineStr">
        <is>
          <t>Code Review Metrics</t>
        </is>
      </c>
      <c r="F25" s="4" t="inlineStr">
        <is>
          <t>Implement mandatory code review process</t>
        </is>
      </c>
      <c r="G25" s="4" t="n"/>
    </row>
    <row r="26">
      <c r="A26" s="4">
        <f>COUNTIF('Security Tools Deployment'!C5:C54,"Not Deployed")</f>
        <v/>
      </c>
      <c r="B26" s="4" t="inlineStr">
        <is>
          <t>Security Tools Not Deployed</t>
        </is>
      </c>
      <c r="C26" s="4">
        <f>COUNTIF('Security Tools Deployment'!C5:C54,"Not Deployed")</f>
        <v/>
      </c>
      <c r="D26" s="4" t="inlineStr">
        <is>
          <t>Medium</t>
        </is>
      </c>
      <c r="E26" s="4" t="inlineStr">
        <is>
          <t>Security Tools Deployment</t>
        </is>
      </c>
      <c r="F26" s="4" t="inlineStr">
        <is>
          <t>Deploy and configure missing security tooling</t>
        </is>
      </c>
      <c r="G26" s="4" t="n"/>
    </row>
    <row r="27">
      <c r="A27" s="4">
        <f>COUNTIF('Developer Training'!H5:H54,"⚠️ Overdue")</f>
        <v/>
      </c>
      <c r="B27" s="4" t="inlineStr">
        <is>
          <t>Developers With Overdue Security Training</t>
        </is>
      </c>
      <c r="C27" s="4">
        <f>COUNTIF('Developer Training'!H5:H54,"⚠️ Overdue")</f>
        <v/>
      </c>
      <c r="D27" s="4" t="inlineStr">
        <is>
          <t>High</t>
        </is>
      </c>
      <c r="E27" s="4" t="inlineStr">
        <is>
          <t>Developer Training</t>
        </is>
      </c>
      <c r="F27" s="4" t="inlineStr">
        <is>
          <t>Schedule security training for overdue developers</t>
        </is>
      </c>
      <c r="G27" s="4" t="n"/>
    </row>
    <row r="28">
      <c r="A28" s="4">
        <f>COUNTIF('Security Tools Usage'!D5:D54,"No")</f>
        <v/>
      </c>
      <c r="B28" s="4" t="inlineStr">
        <is>
          <t>Apps Without Secret Scanning Enabled</t>
        </is>
      </c>
      <c r="C28" s="4">
        <f>COUNTIF('Security Tools Usage'!D5:D54,"No")</f>
        <v/>
      </c>
      <c r="D28" s="4" t="inlineStr">
        <is>
          <t>Medium</t>
        </is>
      </c>
      <c r="E28" s="4" t="inlineStr">
        <is>
          <t>Security Tools Usage</t>
        </is>
      </c>
      <c r="F28" s="4" t="inlineStr">
        <is>
          <t>Enable secret scanning for all repositories</t>
        </is>
      </c>
      <c r="G28" s="4" t="n"/>
    </row>
  </sheetData>
  <mergeCells count="13">
    <mergeCell ref="B16:G16"/>
    <mergeCell ref="B19:G19"/>
    <mergeCell ref="B20:G20"/>
    <mergeCell ref="A1:G1"/>
    <mergeCell ref="B14:G14"/>
    <mergeCell ref="A22:G22"/>
    <mergeCell ref="B17:G17"/>
    <mergeCell ref="A12:G12"/>
    <mergeCell ref="A4:G4"/>
    <mergeCell ref="A2:G2"/>
    <mergeCell ref="B18:G18"/>
    <mergeCell ref="B13:G13"/>
    <mergeCell ref="B15:G1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8" t="inlineStr">
        <is>
          <t>ASSESSMENT APPROVAL AND SIGN-OFF</t>
        </is>
      </c>
      <c r="B1" s="6" t="n"/>
      <c r="C1" s="6" t="n"/>
      <c r="D1" s="6" t="n"/>
      <c r="E1" s="6" t="n"/>
    </row>
    <row r="2">
      <c r="A2" s="25" t="inlineStr">
        <is>
          <t>ISO/IEC 27001:2022 - Control A.8.25-26-29: Secure Development</t>
        </is>
      </c>
      <c r="B2" s="6" t="n"/>
      <c r="C2" s="6" t="n"/>
      <c r="D2" s="6" t="n"/>
      <c r="E2" s="6" t="n"/>
    </row>
    <row r="3">
      <c r="A3" s="35" t="inlineStr">
        <is>
          <t>ASSESSMENT SUMMARY</t>
        </is>
      </c>
      <c r="B3" s="6" t="n"/>
      <c r="C3" s="6" t="n"/>
      <c r="D3" s="6" t="n"/>
      <c r="E3" s="6" t="n"/>
    </row>
    <row r="4">
      <c r="A4" s="36" t="inlineStr">
        <is>
          <t>Document:</t>
        </is>
      </c>
      <c r="B4" s="6" t="inlineStr">
        <is>
          <t>ISMS-IMP-A.8.25-26-29.S2 - SDLC Security Activities Assessment</t>
        </is>
      </c>
      <c r="C4" s="6" t="n"/>
      <c r="D4" s="6" t="n"/>
      <c r="E4" s="6" t="n"/>
    </row>
    <row r="5">
      <c r="A5" s="36" t="inlineStr">
        <is>
          <t>Assessment Period:</t>
        </is>
      </c>
      <c r="B5" s="37" t="inlineStr"/>
      <c r="C5" s="6" t="n"/>
      <c r="D5" s="6" t="n"/>
      <c r="E5" s="6" t="n"/>
    </row>
    <row r="6">
      <c r="A6" s="36" t="inlineStr">
        <is>
          <t>Overall Compliance Rating:</t>
        </is>
      </c>
      <c r="B6" s="6">
        <f>'Summary Dashboard'!G10</f>
        <v/>
      </c>
      <c r="C6" s="6" t="n"/>
      <c r="D6" s="6" t="n"/>
      <c r="E6" s="6" t="n"/>
    </row>
    <row r="7">
      <c r="A7" s="36" t="inlineStr">
        <is>
          <t>Assessment Status:</t>
        </is>
      </c>
      <c r="B7" s="37" t="inlineStr"/>
      <c r="C7" s="6" t="n"/>
      <c r="D7" s="6" t="n"/>
      <c r="E7" s="6" t="n"/>
    </row>
    <row r="8">
      <c r="A8" s="36" t="inlineStr">
        <is>
          <t>Assessed By:</t>
        </is>
      </c>
      <c r="B8" s="37" t="inlineStr"/>
      <c r="C8" s="6" t="n"/>
      <c r="D8" s="6" t="n"/>
      <c r="E8" s="6" t="n"/>
    </row>
    <row r="11">
      <c r="A11" s="38" t="inlineStr">
        <is>
          <t>COMPLETED BY (ASSESSOR)</t>
        </is>
      </c>
      <c r="B11" s="6" t="n"/>
      <c r="C11" s="6" t="n"/>
      <c r="D11" s="6" t="n"/>
      <c r="E11" s="6" t="n"/>
    </row>
    <row r="12">
      <c r="A12" s="39" t="inlineStr">
        <is>
          <t>Name:</t>
        </is>
      </c>
      <c r="B12" s="37" t="n"/>
      <c r="C12" s="6" t="n"/>
      <c r="D12" s="6" t="n"/>
      <c r="E12" s="6" t="n"/>
    </row>
    <row r="13">
      <c r="A13" s="39" t="inlineStr">
        <is>
          <t>Title:</t>
        </is>
      </c>
      <c r="B13" s="37" t="n"/>
      <c r="C13" s="6" t="n"/>
      <c r="D13" s="6" t="n"/>
      <c r="E13" s="6" t="n"/>
    </row>
    <row r="14">
      <c r="A14" s="39" t="inlineStr">
        <is>
          <t>Date:</t>
        </is>
      </c>
      <c r="B14" s="37" t="n"/>
      <c r="C14" s="6" t="n"/>
      <c r="D14" s="6" t="n"/>
      <c r="E14" s="6" t="n"/>
    </row>
    <row r="15">
      <c r="A15" s="39" t="inlineStr">
        <is>
          <t>Signature:</t>
        </is>
      </c>
      <c r="B15" s="37" t="n"/>
      <c r="C15" s="6" t="n"/>
      <c r="D15" s="6" t="n"/>
      <c r="E15" s="6" t="n"/>
    </row>
    <row r="16">
      <c r="A16" s="39" t="inlineStr">
        <is>
          <t>Comments:</t>
        </is>
      </c>
      <c r="B16" s="37" t="n"/>
      <c r="C16" s="6" t="n"/>
      <c r="D16" s="6" t="n"/>
      <c r="E16" s="6" t="n"/>
    </row>
    <row r="18">
      <c r="A18" s="38" t="inlineStr">
        <is>
          <t>REVIEWED BY (INFORMATION SECURITY OFFICER)</t>
        </is>
      </c>
      <c r="B18" s="6" t="n"/>
      <c r="C18" s="6" t="n"/>
      <c r="D18" s="6" t="n"/>
      <c r="E18" s="6" t="n"/>
    </row>
    <row r="19">
      <c r="A19" s="39" t="inlineStr">
        <is>
          <t>Name:</t>
        </is>
      </c>
      <c r="B19" s="37" t="n"/>
      <c r="C19" s="6" t="n"/>
      <c r="D19" s="6" t="n"/>
      <c r="E19" s="6" t="n"/>
    </row>
    <row r="20">
      <c r="A20" s="39" t="inlineStr">
        <is>
          <t>Title:</t>
        </is>
      </c>
      <c r="B20" s="37" t="n"/>
      <c r="C20" s="6" t="n"/>
      <c r="D20" s="6" t="n"/>
      <c r="E20" s="6" t="n"/>
    </row>
    <row r="21">
      <c r="A21" s="39" t="inlineStr">
        <is>
          <t>Date:</t>
        </is>
      </c>
      <c r="B21" s="37" t="n"/>
      <c r="C21" s="6" t="n"/>
      <c r="D21" s="6" t="n"/>
      <c r="E21" s="6" t="n"/>
    </row>
    <row r="22">
      <c r="A22" s="39" t="inlineStr">
        <is>
          <t>Signature:</t>
        </is>
      </c>
      <c r="B22" s="37" t="n"/>
      <c r="C22" s="6" t="n"/>
      <c r="D22" s="6" t="n"/>
      <c r="E22" s="6" t="n"/>
    </row>
    <row r="23">
      <c r="A23" s="39" t="inlineStr">
        <is>
          <t>Comments:</t>
        </is>
      </c>
      <c r="B23" s="37" t="n"/>
      <c r="C23" s="6" t="n"/>
      <c r="D23" s="6" t="n"/>
      <c r="E23" s="6" t="n"/>
    </row>
    <row r="25">
      <c r="A25" s="40" t="inlineStr">
        <is>
          <t>APPROVED BY (CISO)</t>
        </is>
      </c>
      <c r="B25" s="6" t="n"/>
      <c r="C25" s="6" t="n"/>
      <c r="D25" s="6" t="n"/>
      <c r="E25" s="6" t="n"/>
    </row>
    <row r="26">
      <c r="A26" s="39" t="inlineStr">
        <is>
          <t>Name:</t>
        </is>
      </c>
      <c r="B26" s="37" t="n"/>
      <c r="C26" s="6" t="n"/>
      <c r="D26" s="6" t="n"/>
      <c r="E26" s="6" t="n"/>
    </row>
    <row r="27">
      <c r="A27" s="39" t="inlineStr">
        <is>
          <t>Title:</t>
        </is>
      </c>
      <c r="B27" s="37" t="n"/>
      <c r="C27" s="6" t="n"/>
      <c r="D27" s="6" t="n"/>
      <c r="E27" s="6" t="n"/>
    </row>
    <row r="28">
      <c r="A28" s="39" t="inlineStr">
        <is>
          <t>Date:</t>
        </is>
      </c>
      <c r="B28" s="37" t="n"/>
      <c r="C28" s="6" t="n"/>
      <c r="D28" s="6" t="n"/>
      <c r="E28" s="6" t="n"/>
    </row>
    <row r="29">
      <c r="A29" s="39" t="inlineStr">
        <is>
          <t>Signature:</t>
        </is>
      </c>
      <c r="B29" s="37" t="n"/>
      <c r="C29" s="6" t="n"/>
      <c r="D29" s="6" t="n"/>
      <c r="E29" s="6" t="n"/>
    </row>
    <row r="30">
      <c r="A30" s="39" t="inlineStr">
        <is>
          <t>Comments:</t>
        </is>
      </c>
      <c r="B30" s="37" t="n"/>
      <c r="C30" s="6" t="n"/>
      <c r="D30" s="6" t="n"/>
      <c r="E30" s="6" t="n"/>
    </row>
    <row r="32">
      <c r="A32" s="39" t="inlineStr">
        <is>
          <t>FINAL DECISION:</t>
        </is>
      </c>
      <c r="B32" s="37" t="n"/>
      <c r="C32" s="6" t="n"/>
      <c r="D32" s="6" t="n"/>
      <c r="E32" s="6" t="n"/>
    </row>
    <row r="35">
      <c r="A35" s="38" t="inlineStr">
        <is>
          <t>NEXT REVIEW DETAILS</t>
        </is>
      </c>
      <c r="B35" s="6" t="n"/>
      <c r="C35" s="6" t="n"/>
      <c r="D35" s="6" t="n"/>
      <c r="E35" s="6" t="n"/>
    </row>
    <row r="36">
      <c r="A36" s="39" t="inlineStr">
        <is>
          <t>Next Review Date:</t>
        </is>
      </c>
      <c r="B36" s="37" t="n"/>
      <c r="C36" s="6" t="n"/>
      <c r="D36" s="6" t="n"/>
      <c r="E36" s="6" t="n"/>
    </row>
    <row r="37">
      <c r="A37" s="39" t="inlineStr">
        <is>
          <t>Review Responsible:</t>
        </is>
      </c>
      <c r="B37" s="37" t="n"/>
      <c r="C37" s="6" t="n"/>
      <c r="D37" s="6" t="n"/>
      <c r="E37" s="6" t="n"/>
    </row>
    <row r="38">
      <c r="A38" s="39" t="inlineStr">
        <is>
          <t>Special Considerations:</t>
        </is>
      </c>
      <c r="B38" s="37"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1" showErrorMessage="1" allowBlank="1" type="list">
      <formula1>"Draft,Final,Requires remediation,Re-assessment required"</formula1>
    </dataValidation>
    <dataValidation sqref="B32" showDropDown="0" showInputMessage="1" showErrorMessage="1"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ISMS-IMP-A.8.25-26-29.S2 — SDLC Security Activities Assessment</dc:title>
  <dc:description xmlns:dc="http://purl.org/dc/elements/1.1/">ISMS Implementation Workbook — ISMS-IMP-A.8.25-26-29.S2</dc:description>
  <dc:subject xmlns:dc="http://purl.org/dc/elements/1.1/">ISO/IEC 27001:2022 — Control A.8.25-26-29: Secure Development</dc:subject>
  <dcterms:created xmlns:dcterms="http://purl.org/dc/terms/" xmlns:xsi="http://www.w3.org/2001/XMLSchema-instance" xsi:type="dcterms:W3CDTF">2026-03-10T18:49:35Z</dcterms:created>
  <dcterms:modified xmlns:dcterms="http://purl.org/dc/terms/" xmlns:xsi="http://www.w3.org/2001/XMLSchema-instance" xsi:type="dcterms:W3CDTF">2026-03-10T18:49:35Z</dcterms:modified>
</cp:coreProperties>
</file>