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lication Inventory" sheetId="2" state="visible" r:id="rId2"/>
    <sheet xmlns:r="http://schemas.openxmlformats.org/officeDocument/2006/relationships" name="Requirements Documentation" sheetId="3" state="visible" r:id="rId3"/>
    <sheet xmlns:r="http://schemas.openxmlformats.org/officeDocument/2006/relationships" name="Threat Modelling" sheetId="4" state="visible" r:id="rId4"/>
    <sheet xmlns:r="http://schemas.openxmlformats.org/officeDocument/2006/relationships" name="Architecture Review" sheetId="5" state="visible" r:id="rId5"/>
    <sheet xmlns:r="http://schemas.openxmlformats.org/officeDocument/2006/relationships" name="Traceability Matrix"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0&quot;%&quot;"/>
    <numFmt numFmtId="165" formatCode="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FFC7CE"/>
        <bgColor rgb="00FFC7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3" borderId="1" applyAlignment="1" pivotButton="0" quotePrefix="0" xfId="0">
      <alignment horizontal="left"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6" fillId="0" borderId="1" applyAlignment="1" pivotButton="0" quotePrefix="0" xfId="0">
      <alignment horizontal="center" vertical="center"/>
    </xf>
    <xf numFmtId="0" fontId="5" fillId="14" borderId="1" applyAlignment="1" pivotButton="0" quotePrefix="0" xfId="0">
      <alignment horizontal="left" vertical="center"/>
    </xf>
    <xf numFmtId="0" fontId="4" fillId="0" borderId="1" pivotButton="0" quotePrefix="0" xfId="0"/>
    <xf numFmtId="0" fontId="0" fillId="11" borderId="1" pivotButton="0" quotePrefix="0" xfId="0"/>
    <xf numFmtId="0" fontId="11" fillId="14"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ISMS-IMP-A.8.25-26-29.S1  -  Security Requirements Assessment
ISO/IEC 27001:2022 - Control A.8.25-26-29: Secure Development</t>
        </is>
      </c>
    </row>
    <row r="3">
      <c r="A3" s="2" t="inlineStr">
        <is>
          <t>Document Information</t>
        </is>
      </c>
    </row>
    <row r="4">
      <c r="A4" s="3" t="inlineStr">
        <is>
          <t>Document ID</t>
        </is>
      </c>
      <c r="B4" t="inlineStr">
        <is>
          <t>ISMS-IMP-A.8.25-26-29.S1</t>
        </is>
      </c>
    </row>
    <row r="5">
      <c r="A5" s="3" t="inlineStr">
        <is>
          <t>Workbook Title</t>
        </is>
      </c>
      <c r="B5" t="inlineStr">
        <is>
          <t>Security Requirements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20" customWidth="1" min="3" max="3"/>
    <col width="18" customWidth="1" min="4" max="4"/>
    <col width="18" customWidth="1" min="5" max="5"/>
    <col width="22" customWidth="1" min="6" max="6"/>
    <col width="18" customWidth="1" min="7" max="7"/>
    <col width="20" customWidth="1" min="8" max="8"/>
    <col width="15" customWidth="1" min="9" max="9"/>
    <col width="18" customWidth="1" min="10" max="10"/>
  </cols>
  <sheetData>
    <row r="1" ht="35" customHeight="1">
      <c r="A1" s="11" t="inlineStr">
        <is>
          <t>APPLICATION INVENTORY</t>
        </is>
      </c>
    </row>
    <row r="2">
      <c r="A2" s="12" t="inlineStr">
        <is>
          <t>COMPLETE INVENTORY OF ALL APPLICATIONS REQUIRING SECURITY REQUIREMENTS ASSESSMENT</t>
        </is>
      </c>
    </row>
    <row r="3">
      <c r="A3" s="13" t="inlineStr">
        <is>
          <t>Application Name</t>
        </is>
      </c>
      <c r="B3" s="13" t="inlineStr">
        <is>
          <t>Application ID</t>
        </is>
      </c>
      <c r="C3" s="13" t="inlineStr">
        <is>
          <t>Application Owner</t>
        </is>
      </c>
      <c r="D3" s="13" t="inlineStr">
        <is>
          <t>Business Criticality</t>
        </is>
      </c>
      <c r="E3" s="13" t="inlineStr">
        <is>
          <t>Risk Classification</t>
        </is>
      </c>
      <c r="F3" s="13" t="inlineStr">
        <is>
          <t>Technology Stack</t>
        </is>
      </c>
      <c r="G3" s="13" t="inlineStr">
        <is>
          <t>Deployment Model</t>
        </is>
      </c>
      <c r="H3" s="13" t="inlineStr">
        <is>
          <t>Regulatory Scope</t>
        </is>
      </c>
      <c r="I3" s="13" t="inlineStr">
        <is>
          <t>Internet Facing</t>
        </is>
      </c>
      <c r="J3" s="13" t="inlineStr">
        <is>
          <t>Last Assessment Date</t>
        </is>
      </c>
    </row>
    <row r="4">
      <c r="A4" s="14" t="inlineStr">
        <is>
          <t>Customer Portal</t>
        </is>
      </c>
      <c r="B4" s="14" t="inlineStr">
        <is>
          <t>APP-001</t>
        </is>
      </c>
      <c r="C4" s="14" t="inlineStr">
        <is>
          <t>Anna Müller</t>
        </is>
      </c>
      <c r="D4" s="14" t="inlineStr">
        <is>
          <t>High</t>
        </is>
      </c>
      <c r="E4" s="14" t="inlineStr">
        <is>
          <t>High Risk</t>
        </is>
      </c>
      <c r="F4" s="14" t="inlineStr">
        <is>
          <t>Java/Spring Boot</t>
        </is>
      </c>
      <c r="G4" s="14" t="inlineStr">
        <is>
          <t>AWS Cloud</t>
        </is>
      </c>
      <c r="H4" s="14" t="inlineStr">
        <is>
          <t>GDPR, PCI DSS v4.0.1</t>
        </is>
      </c>
      <c r="I4" s="14" t="inlineStr">
        <is>
          <t>Yes</t>
        </is>
      </c>
      <c r="J4" s="14" t="inlineStr">
        <is>
          <t>2025-01-15</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I4:I100" showDropDown="0" showInputMessage="1" showErrorMessage="1" allowBlank="0" type="list">
      <formula1>"Yes,No"</formula1>
    </dataValidation>
    <dataValidation sqref="E4:E100" showDropDown="0" showInputMessage="1" showErrorMessage="1" allowBlank="0" type="list">
      <formula1>"High Risk,Medium Risk,Low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5" customWidth="1" min="5" max="5"/>
    <col width="18" customWidth="1" min="6" max="6"/>
    <col width="20" customWidth="1" min="7" max="7"/>
    <col width="15" customWidth="1" min="8" max="8"/>
    <col width="20" customWidth="1" min="9" max="9"/>
    <col width="22" customWidth="1" min="10" max="10"/>
    <col width="22" customWidth="1" min="11" max="11"/>
    <col width="18" customWidth="1" min="12" max="12"/>
  </cols>
  <sheetData>
    <row r="1" ht="35" customHeight="1">
      <c r="A1" s="11" t="inlineStr">
        <is>
          <t>SECURITY REQUIREMENTS DOCUMENTATION ASSESSMENT</t>
        </is>
      </c>
    </row>
    <row r="2">
      <c r="A2" s="12" t="inlineStr">
        <is>
          <t>ASSESS COMPLETENESS OF SECURITY REQUIREMENTS DOCUMENTATION PER APPLICATION</t>
        </is>
      </c>
    </row>
    <row r="3">
      <c r="A3" s="13" t="inlineStr">
        <is>
          <t>App-ID</t>
        </is>
      </c>
      <c r="B3" s="13" t="inlineStr">
        <is>
          <t>Application Name</t>
        </is>
      </c>
      <c r="C3" s="13" t="inlineStr">
        <is>
          <t>Requirements Document Exists?</t>
        </is>
      </c>
      <c r="D3" s="13" t="inlineStr">
        <is>
          <t>Document Location/Link</t>
        </is>
      </c>
      <c r="E3" s="13" t="inlineStr">
        <is>
          <t>Last Updated</t>
        </is>
      </c>
      <c r="F3" s="13" t="inlineStr">
        <is>
          <t>Requirements Approved?</t>
        </is>
      </c>
      <c r="G3" s="13" t="inlineStr">
        <is>
          <t>Approver Name</t>
        </is>
      </c>
      <c r="H3" s="13" t="inlineStr">
        <is>
          <t>Approval Date</t>
        </is>
      </c>
      <c r="I3" s="13" t="inlineStr">
        <is>
          <t>Functional Requirements (%)</t>
        </is>
      </c>
      <c r="J3" s="13" t="inlineStr">
        <is>
          <t>Non-Functional Requirements (%)</t>
        </is>
      </c>
      <c r="K3" s="13" t="inlineStr">
        <is>
          <t>Data Protection Requirements (%)</t>
        </is>
      </c>
      <c r="L3" s="13" t="inlineStr">
        <is>
          <t>Completeness Score (%)</t>
        </is>
      </c>
    </row>
    <row r="4">
      <c r="A4" s="14" t="inlineStr">
        <is>
          <t>APP-001</t>
        </is>
      </c>
      <c r="B4" s="14" t="inlineStr">
        <is>
          <t>Customer Portal</t>
        </is>
      </c>
      <c r="C4" s="14" t="inlineStr">
        <is>
          <t>Yes</t>
        </is>
      </c>
      <c r="D4" s="14" t="inlineStr">
        <is>
          <t>/docs/security-requirements/APP-001-sec-req.pdf</t>
        </is>
      </c>
      <c r="E4" s="14" t="inlineStr">
        <is>
          <t>2025-01-10</t>
        </is>
      </c>
      <c r="F4" s="14" t="inlineStr">
        <is>
          <t>Yes</t>
        </is>
      </c>
      <c r="G4" s="14" t="inlineStr">
        <is>
          <t>Anna Müller</t>
        </is>
      </c>
      <c r="H4" s="14" t="inlineStr">
        <is>
          <t>2025-01-12</t>
        </is>
      </c>
      <c r="I4" s="14" t="n">
        <v>95</v>
      </c>
      <c r="J4" s="14" t="n">
        <v>90</v>
      </c>
      <c r="K4" s="14" t="n">
        <v>100</v>
      </c>
      <c r="L4" s="16">
        <f>IF(AND(I4&lt;&gt;"",J4&lt;&gt;"",K4&lt;&gt;""),(I4+J4+K4)/3,"")</f>
        <v/>
      </c>
    </row>
    <row r="5">
      <c r="A5" s="15" t="n"/>
      <c r="B5" s="15" t="inlineStr">
        <is>
          <t>[SUPPLIER] Externally acquired software subject to same security requirements as internally developed</t>
        </is>
      </c>
      <c r="C5" s="15" t="n"/>
      <c r="D5" s="15" t="n"/>
      <c r="E5" s="15" t="n"/>
      <c r="F5" s="15" t="n"/>
      <c r="G5" s="15" t="n"/>
      <c r="H5" s="15" t="n"/>
      <c r="I5" s="15" t="n"/>
      <c r="J5" s="15" t="n"/>
      <c r="K5" s="15" t="n"/>
      <c r="L5" s="15" t="n"/>
    </row>
    <row r="6">
      <c r="A6" s="15" t="n"/>
      <c r="B6" s="15" t="inlineStr">
        <is>
          <t>[SUPPLIER] Vendor/supplier security requirements specified in contracts and SoW</t>
        </is>
      </c>
      <c r="C6" s="15" t="n"/>
      <c r="D6" s="15" t="n"/>
      <c r="E6" s="15" t="n"/>
      <c r="F6" s="15" t="n"/>
      <c r="G6" s="15" t="n"/>
      <c r="H6" s="15" t="n"/>
      <c r="I6" s="15" t="n"/>
      <c r="J6" s="15" t="n"/>
      <c r="K6" s="15" t="n"/>
      <c r="L6" s="15" t="n"/>
    </row>
    <row r="7">
      <c r="A7" s="15" t="n"/>
      <c r="B7" s="15" t="inlineStr">
        <is>
          <t>[SUPPLIER] SaaS/PaaS applications assessed against organisational security requirements before adoption</t>
        </is>
      </c>
      <c r="C7" s="15" t="n"/>
      <c r="D7" s="15" t="n"/>
      <c r="E7" s="15" t="n"/>
      <c r="F7" s="15" t="n"/>
      <c r="G7" s="15" t="n"/>
      <c r="H7" s="15" t="n"/>
      <c r="I7" s="15" t="n"/>
      <c r="J7" s="15" t="n"/>
      <c r="K7" s="15" t="n"/>
      <c r="L7" s="15" t="n"/>
    </row>
    <row r="8">
      <c r="A8" s="15" t="n"/>
      <c r="B8" s="15" t="inlineStr">
        <is>
          <t>[SUPPLIER] Open source components assessed for security before inclusion in approved component list</t>
        </is>
      </c>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row r="56">
      <c r="A56" s="15" t="n"/>
      <c r="B56" s="15" t="n"/>
      <c r="C56" s="15" t="n"/>
      <c r="D56" s="15" t="n"/>
      <c r="E56" s="15" t="n"/>
      <c r="F56" s="15" t="n"/>
      <c r="G56" s="15" t="n"/>
      <c r="H56" s="15" t="n"/>
      <c r="I56" s="15" t="n"/>
      <c r="J56" s="15" t="n"/>
      <c r="K56" s="15" t="n"/>
      <c r="L56" s="15" t="n"/>
    </row>
    <row r="57">
      <c r="A57" s="15" t="n"/>
      <c r="B57" s="15" t="n"/>
      <c r="C57" s="15" t="n"/>
      <c r="D57" s="15" t="n"/>
      <c r="E57" s="15" t="n"/>
      <c r="F57" s="15" t="n"/>
      <c r="G57" s="15" t="n"/>
      <c r="H57" s="15" t="n"/>
      <c r="I57" s="15" t="n"/>
      <c r="J57" s="15" t="n"/>
      <c r="K57" s="15" t="n"/>
      <c r="L57" s="15" t="n"/>
    </row>
    <row r="58">
      <c r="A58" s="15" t="n"/>
      <c r="B58" s="15" t="n"/>
      <c r="C58" s="15" t="n"/>
      <c r="D58" s="15" t="n"/>
      <c r="E58" s="15" t="n"/>
      <c r="F58" s="15" t="n"/>
      <c r="G58" s="15" t="n"/>
      <c r="H58" s="15" t="n"/>
      <c r="I58" s="15" t="n"/>
      <c r="J58" s="15" t="n"/>
      <c r="K58" s="15" t="n"/>
      <c r="L58" s="15" t="n"/>
    </row>
  </sheetData>
  <mergeCells count="2">
    <mergeCell ref="A2:L2"/>
    <mergeCell ref="A1:L1"/>
  </mergeCells>
  <dataValidations count="2">
    <dataValidation sqref="F4:F100" showDropDown="0" showInputMessage="1" showErrorMessage="1" allowBlank="0" type="list">
      <formula1>"Yes,No"</formula1>
    </dataValidation>
    <dataValidation sqref="C4:C100" showDropDown="0" showInputMessage="1" showErrorMessage="1"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40" customWidth="1" min="4" max="4"/>
    <col width="15" customWidth="1" min="5" max="5"/>
    <col width="15" customWidth="1" min="6" max="6"/>
    <col width="18" customWidth="1" min="7" max="7"/>
    <col width="18" customWidth="1" min="8" max="8"/>
    <col width="18" customWidth="1" min="9" max="9"/>
    <col width="20" customWidth="1" min="10" max="10"/>
    <col width="18" customWidth="1" min="11" max="11"/>
  </cols>
  <sheetData>
    <row r="1" ht="35" customHeight="1">
      <c r="A1" s="11" t="inlineStr">
        <is>
          <t>THREAT MODELING STATUS ASSESSMENT</t>
        </is>
      </c>
    </row>
    <row r="2">
      <c r="A2" s="12" t="inlineStr">
        <is>
          <t>ASSESS THREAT MODELING COMPLETION AND QUALITY PER APPLICATION</t>
        </is>
      </c>
    </row>
    <row r="3">
      <c r="A3" s="13" t="inlineStr">
        <is>
          <t>Application Name</t>
        </is>
      </c>
      <c r="B3" s="13" t="inlineStr">
        <is>
          <t>Threat Model Exists?</t>
        </is>
      </c>
      <c r="C3" s="13" t="inlineStr">
        <is>
          <t>Methodology Used</t>
        </is>
      </c>
      <c r="D3" s="13" t="inlineStr">
        <is>
          <t>Threat Model Location/Link</t>
        </is>
      </c>
      <c r="E3" s="13" t="inlineStr">
        <is>
          <t>Last Updated</t>
        </is>
      </c>
      <c r="F3" s="13" t="inlineStr">
        <is>
          <t>DFD Created?</t>
        </is>
      </c>
      <c r="G3" s="13" t="inlineStr">
        <is>
          <t>Threats Documented?</t>
        </is>
      </c>
      <c r="H3" s="13" t="inlineStr">
        <is>
          <t>Mitigations Defined?</t>
        </is>
      </c>
      <c r="I3" s="13" t="inlineStr">
        <is>
          <t>Approval Status</t>
        </is>
      </c>
      <c r="J3" s="13" t="inlineStr">
        <is>
          <t>Approver Name</t>
        </is>
      </c>
      <c r="K3" s="13" t="inlineStr">
        <is>
          <t>Completeness Score (%)</t>
        </is>
      </c>
    </row>
    <row r="4">
      <c r="A4" s="14" t="inlineStr">
        <is>
          <t>Customer Portal</t>
        </is>
      </c>
      <c r="B4" s="14" t="inlineStr">
        <is>
          <t>Yes</t>
        </is>
      </c>
      <c r="C4" s="14" t="inlineStr">
        <is>
          <t>STRIDE</t>
        </is>
      </c>
      <c r="D4" s="14" t="inlineStr">
        <is>
          <t>/docs/threat-models/APP-001-threat-model.pdf</t>
        </is>
      </c>
      <c r="E4" s="14" t="inlineStr">
        <is>
          <t>2025-01-08</t>
        </is>
      </c>
      <c r="F4" s="14" t="inlineStr">
        <is>
          <t>Yes</t>
        </is>
      </c>
      <c r="G4" s="14" t="inlineStr">
        <is>
          <t>Yes</t>
        </is>
      </c>
      <c r="H4" s="14" t="inlineStr">
        <is>
          <t>Yes</t>
        </is>
      </c>
      <c r="I4" s="14" t="inlineStr">
        <is>
          <t>Approved</t>
        </is>
      </c>
      <c r="J4" s="14" t="inlineStr">
        <is>
          <t>Anna Müller</t>
        </is>
      </c>
      <c r="K4" s="17">
        <f>IF(B4="Yes",(IF(F4="Yes",25,0)+IF(G4="Yes",25,0)+IF(H4="Yes",25,0)+IF(I4="Approved",25,0)),"N/A")</f>
        <v/>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F100 G4:G100 H4:H100" showDropDown="0" showInputMessage="1" showErrorMessage="1" allowBlank="0" type="list">
      <formula1>"Yes,No"</formula1>
    </dataValidation>
    <dataValidation sqref="B4:B100" showDropDown="0" showInputMessage="1" showErrorMessage="1" allowBlank="0" type="list">
      <formula1>"Yes,No,Planned"</formula1>
    </dataValidation>
    <dataValidation sqref="I4:I100" showDropDown="0" showInputMessage="1" showErrorMessage="1" allowBlank="0" type="list">
      <formula1>"Approved,Pending,Not Approved"</formula1>
    </dataValidation>
    <dataValidation sqref="C4:C100" showDropDown="0" showInputMessage="1" showErrorMessage="1" allowBlank="0" type="list">
      <formula1>"STRIDE,PASTA,LINDDUN,Other,N/A"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40" customWidth="1" min="4" max="4"/>
    <col width="25" customWidth="1" min="5" max="5"/>
    <col width="15" customWidth="1" min="6" max="6"/>
    <col width="15" customWidth="1" min="7" max="7"/>
    <col width="15" customWidth="1" min="8" max="8"/>
    <col width="15" customWidth="1" min="9" max="9"/>
    <col width="15" customWidth="1" min="10" max="10"/>
    <col width="18" customWidth="1" min="11" max="11"/>
    <col width="15" customWidth="1" min="12" max="12"/>
  </cols>
  <sheetData>
    <row r="1" ht="35" customHeight="1">
      <c r="A1" s="11" t="inlineStr">
        <is>
          <t>SECURITY ARCHITECTURE REVIEW STATUS</t>
        </is>
      </c>
    </row>
    <row r="2">
      <c r="A2" s="12" t="inlineStr">
        <is>
          <t>ASSESS SECURITY ARCHITECTURE REVIEW COMPLETION AND FINDINGS PER APPLICATION</t>
        </is>
      </c>
    </row>
    <row r="3">
      <c r="A3" s="13" t="inlineStr">
        <is>
          <t>Application Name</t>
        </is>
      </c>
      <c r="B3" s="13" t="inlineStr">
        <is>
          <t>Review Conducted?</t>
        </is>
      </c>
      <c r="C3" s="13" t="inlineStr">
        <is>
          <t>Review Date</t>
        </is>
      </c>
      <c r="D3" s="13" t="inlineStr">
        <is>
          <t>Review Report Location/Link</t>
        </is>
      </c>
      <c r="E3" s="13" t="inlineStr">
        <is>
          <t>Reviewers</t>
        </is>
      </c>
      <c r="F3" s="13" t="inlineStr">
        <is>
          <t>Critical Findings</t>
        </is>
      </c>
      <c r="G3" s="13" t="inlineStr">
        <is>
          <t>High Findings</t>
        </is>
      </c>
      <c r="H3" s="13" t="inlineStr">
        <is>
          <t>Medium Findings</t>
        </is>
      </c>
      <c r="I3" s="13" t="inlineStr">
        <is>
          <t>Low Findings</t>
        </is>
      </c>
      <c r="J3" s="13" t="inlineStr">
        <is>
          <t>Open Findings</t>
        </is>
      </c>
      <c r="K3" s="13" t="inlineStr">
        <is>
          <t>Approval Status</t>
        </is>
      </c>
      <c r="L3" s="13" t="inlineStr">
        <is>
          <t>Approval Date</t>
        </is>
      </c>
    </row>
    <row r="4">
      <c r="A4" s="14" t="inlineStr">
        <is>
          <t>Customer Portal</t>
        </is>
      </c>
      <c r="B4" s="14" t="inlineStr">
        <is>
          <t>Yes</t>
        </is>
      </c>
      <c r="C4" s="14" t="inlineStr">
        <is>
          <t>2025-01-09</t>
        </is>
      </c>
      <c r="D4" s="14" t="inlineStr">
        <is>
          <t>/docs/arch-reviews/APP-001-arch-review.pdf</t>
        </is>
      </c>
      <c r="E4" s="14" t="inlineStr">
        <is>
          <t>Security Team, Tech Lead</t>
        </is>
      </c>
      <c r="F4" s="14" t="n">
        <v>0</v>
      </c>
      <c r="G4" s="14" t="n">
        <v>0</v>
      </c>
      <c r="H4" s="14" t="n">
        <v>2</v>
      </c>
      <c r="I4" s="14" t="n">
        <v>3</v>
      </c>
      <c r="J4" s="14" t="n">
        <v>0</v>
      </c>
      <c r="K4" s="14" t="inlineStr">
        <is>
          <t>Approved</t>
        </is>
      </c>
      <c r="L4" s="14" t="inlineStr">
        <is>
          <t>2025-01-11</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B100" showDropDown="0" showInputMessage="1" showErrorMessage="1" allowBlank="0" type="list">
      <formula1>"Yes,No,Scheduled"</formula1>
    </dataValidation>
    <dataValidation sqref="K4:K100" showDropDown="0" showInputMessage="1" showErrorMessage="1" allowBlank="0" type="list">
      <formula1>"Approved,Pending,Not Approved"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40" customWidth="1" min="3" max="3"/>
    <col width="15" customWidth="1" min="4" max="4"/>
    <col width="22" customWidth="1" min="5" max="5"/>
    <col width="22" customWidth="1" min="6" max="6"/>
    <col width="22" customWidth="1" min="7" max="7"/>
    <col width="18" customWidth="1" min="8" max="8"/>
    <col width="15" customWidth="1" min="9" max="9"/>
  </cols>
  <sheetData>
    <row r="1" ht="35" customHeight="1">
      <c r="A1" s="11" t="inlineStr">
        <is>
          <t>REQUIREMENTS TRACEABILITY MATRIX STATUS</t>
        </is>
      </c>
    </row>
    <row r="2">
      <c r="A2" s="12" t="inlineStr">
        <is>
          <t>ASSESS REQUIREMENTS TRACEABILITY COMPLETENESS PER APPLICATION</t>
        </is>
      </c>
    </row>
    <row r="3">
      <c r="A3" s="13" t="inlineStr">
        <is>
          <t>Application Name</t>
        </is>
      </c>
      <c r="B3" s="13" t="inlineStr">
        <is>
          <t>Traceability Matrix Exists?</t>
        </is>
      </c>
      <c r="C3" s="13" t="inlineStr">
        <is>
          <t>Matrix Location/Link</t>
        </is>
      </c>
      <c r="D3" s="13" t="inlineStr">
        <is>
          <t>Last Updated</t>
        </is>
      </c>
      <c r="E3" s="13" t="inlineStr">
        <is>
          <t>Requirements → Design Traced?</t>
        </is>
      </c>
      <c r="F3" s="13" t="inlineStr">
        <is>
          <t>Requirements → Code Traced?</t>
        </is>
      </c>
      <c r="G3" s="13" t="inlineStr">
        <is>
          <t>Requirements → Tests Traced?</t>
        </is>
      </c>
      <c r="H3" s="13" t="inlineStr">
        <is>
          <t>Traceability Coverage (%)</t>
        </is>
      </c>
      <c r="I3" s="13" t="inlineStr">
        <is>
          <t>Quality Score (%)</t>
        </is>
      </c>
    </row>
    <row r="4">
      <c r="A4" s="14" t="inlineStr">
        <is>
          <t>Customer Portal</t>
        </is>
      </c>
      <c r="B4" s="14" t="inlineStr">
        <is>
          <t>Yes</t>
        </is>
      </c>
      <c r="C4" s="14" t="inlineStr">
        <is>
          <t>/docs/traceability/APP-001-traceability.xlsx</t>
        </is>
      </c>
      <c r="D4" s="14" t="inlineStr">
        <is>
          <t>2025-01-14</t>
        </is>
      </c>
      <c r="E4" s="14" t="inlineStr">
        <is>
          <t>Yes</t>
        </is>
      </c>
      <c r="F4" s="14" t="inlineStr">
        <is>
          <t>Yes</t>
        </is>
      </c>
      <c r="G4" s="14" t="inlineStr">
        <is>
          <t>Yes</t>
        </is>
      </c>
      <c r="H4" s="17" t="n">
        <v>95</v>
      </c>
      <c r="I4" s="16">
        <f>IF(B4="Yes",(IF(E4="Yes",33,IF(E4="Partial",16.5,0))+IF(F4="Yes",33,IF(F4="Partial",16.5,0))+IF(G4="Yes",34,IF(G4="Partial",17,0))),"N/A")</f>
        <v/>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2">
    <dataValidation sqref="B4:B100" showDropDown="0" showInputMessage="1" showErrorMessage="1" allowBlank="0" type="list">
      <formula1>"Yes,No"</formula1>
    </dataValidation>
    <dataValidation sqref="E4:E100 F4:F100 G4:G100" showDropDown="0" showInputMessage="1" showErrorMessage="1"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Requirements Assessment</t>
        </is>
      </c>
      <c r="C5" s="22" t="inlineStr">
        <is>
          <t>Policy Document</t>
        </is>
      </c>
      <c r="D5" s="22" t="inlineStr">
        <is>
          <t>Security requirements document for Customer Portal application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"Security requirements doc,Code review report,Test report,Vulnerability scan,Penetration test,Remediation record,SDLC process doc,Screenshot,Other"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40" customWidth="1" min="4" max="4"/>
    <col width="12" customWidth="1" min="5" max="5"/>
    <col width="35" customWidth="1" min="6" max="6"/>
    <col width="20" customWidth="1" min="7" max="7"/>
    <col width="15" customWidth="1" min="8" max="8"/>
    <col width="15" customWidth="1" min="9" max="9"/>
    <col width="30" customWidth="1" min="10" max="10"/>
  </cols>
  <sheetData>
    <row r="1" ht="35" customHeight="1">
      <c r="A1" s="11" t="inlineStr">
        <is>
          <t>GAP ANALYSIS &amp; REMEDIATION TRACKING</t>
        </is>
      </c>
    </row>
    <row r="2">
      <c r="A2" s="12" t="inlineStr">
        <is>
          <t>TRACK SECURITY REQUIREMENTS GAPS AND REMEDIATION ACTIONS PER APPLICATION</t>
        </is>
      </c>
    </row>
    <row r="3">
      <c r="A3" s="13" t="inlineStr">
        <is>
          <t>Gap ID</t>
        </is>
      </c>
      <c r="B3" s="13" t="inlineStr">
        <is>
          <t>Application Name</t>
        </is>
      </c>
      <c r="C3" s="13" t="inlineStr">
        <is>
          <t>Gap Category</t>
        </is>
      </c>
      <c r="D3" s="13" t="inlineStr">
        <is>
          <t>Gap Description</t>
        </is>
      </c>
      <c r="E3" s="13" t="inlineStr">
        <is>
          <t>Risk Level</t>
        </is>
      </c>
      <c r="F3" s="13" t="inlineStr">
        <is>
          <t>Remediation Action</t>
        </is>
      </c>
      <c r="G3" s="13" t="inlineStr">
        <is>
          <t>Owner</t>
        </is>
      </c>
      <c r="H3" s="13" t="inlineStr">
        <is>
          <t>Target Date</t>
        </is>
      </c>
      <c r="I3" s="13" t="inlineStr">
        <is>
          <t>Status</t>
        </is>
      </c>
      <c r="J3" s="13" t="inlineStr">
        <is>
          <t>Notes</t>
        </is>
      </c>
    </row>
    <row r="4">
      <c r="A4" s="14" t="inlineStr">
        <is>
          <t>GAP-001</t>
        </is>
      </c>
      <c r="B4" s="14" t="inlineStr">
        <is>
          <t>Marketing Website</t>
        </is>
      </c>
      <c r="C4" s="14" t="inlineStr">
        <is>
          <t>Missing Requirements</t>
        </is>
      </c>
      <c r="D4" s="14" t="inlineStr">
        <is>
          <t>No security requirements document exists</t>
        </is>
      </c>
      <c r="E4" s="24" t="inlineStr">
        <is>
          <t>High Risk</t>
        </is>
      </c>
      <c r="F4" s="14" t="inlineStr">
        <is>
          <t>Create security requirements document</t>
        </is>
      </c>
      <c r="G4" s="14" t="inlineStr">
        <is>
          <t>Sandra Brunner</t>
        </is>
      </c>
      <c r="H4" s="14" t="inlineStr">
        <is>
          <t>2025-03-15</t>
        </is>
      </c>
      <c r="I4" s="24" t="inlineStr">
        <is>
          <t>Open</t>
        </is>
      </c>
      <c r="J4" s="14" t="inlineStr">
        <is>
          <t>Low-risk app but needs baseline requirements</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E4:E100" showDropDown="0" showInputMessage="1" showErrorMessage="1" allowBlank="0" type="list">
      <formula1>"High Risk,Medium Risk,Low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5" t="inlineStr">
        <is>
          <t>SECURITY REQUIREMENTS ASSESSMENT — SUMMARY DASHBOARD</t>
        </is>
      </c>
      <c r="B1" s="6" t="n"/>
      <c r="C1" s="6" t="n"/>
      <c r="D1" s="6" t="n"/>
      <c r="E1" s="6" t="n"/>
      <c r="F1" s="6" t="n"/>
      <c r="G1" s="6" t="n"/>
    </row>
    <row r="2">
      <c r="A2" s="26" t="inlineStr">
        <is>
          <t>ISO/IEC 27001:2022 - Control A.8.25-26-29: Secure Development</t>
        </is>
      </c>
      <c r="B2" s="6" t="n"/>
      <c r="C2" s="6" t="n"/>
      <c r="D2" s="6" t="n"/>
      <c r="E2" s="6" t="n"/>
      <c r="F2" s="6" t="n"/>
      <c r="G2" s="6" t="n"/>
    </row>
    <row r="4">
      <c r="A4" s="27" t="inlineStr">
        <is>
          <t>TABLE 1: ASSESSMENT AREA COMPLIANCE OVERVIEW</t>
        </is>
      </c>
      <c r="B4" s="6" t="n"/>
      <c r="C4" s="6" t="n"/>
      <c r="D4" s="6" t="n"/>
      <c r="E4" s="6" t="n"/>
      <c r="F4" s="6" t="n"/>
      <c r="G4" s="6" t="n"/>
    </row>
    <row r="5">
      <c r="A5" s="28" t="inlineStr">
        <is>
          <t>Assessment Area</t>
        </is>
      </c>
      <c r="B5" s="28" t="inlineStr">
        <is>
          <t>Total Assessed</t>
        </is>
      </c>
      <c r="C5" s="28" t="inlineStr">
        <is>
          <t>Complete</t>
        </is>
      </c>
      <c r="D5" s="28" t="inlineStr">
        <is>
          <t>Partial</t>
        </is>
      </c>
      <c r="E5" s="28" t="inlineStr">
        <is>
          <t>Missing</t>
        </is>
      </c>
      <c r="F5" s="28" t="inlineStr">
        <is>
          <t>N/A</t>
        </is>
      </c>
      <c r="G5" s="28" t="inlineStr">
        <is>
          <t>Completion %</t>
        </is>
      </c>
    </row>
    <row r="6">
      <c r="A6" s="29" t="inlineStr">
        <is>
          <t>Security Requirements Doc</t>
        </is>
      </c>
      <c r="B6" s="30">
        <f>COUNTA('Requirements Documentation'!C5:C58)</f>
        <v/>
      </c>
      <c r="C6" s="30">
        <f>COUNTIF('Requirements Documentation'!C5:C58,"Yes")</f>
        <v/>
      </c>
      <c r="D6" s="30">
        <f>COUNTIF('Requirements Documentation'!C5:C58,"Partial")</f>
        <v/>
      </c>
      <c r="E6" s="30">
        <f>COUNTIF('Requirements Documentation'!C5:C58,"No")</f>
        <v/>
      </c>
      <c r="F6" s="30">
        <f>0</f>
        <v/>
      </c>
      <c r="G6" s="31">
        <f>IF((B6-F6)=0,0,C6/(B6-F6))</f>
        <v/>
      </c>
    </row>
    <row r="7">
      <c r="A7" s="29" t="inlineStr">
        <is>
          <t>Threat Modelling</t>
        </is>
      </c>
      <c r="B7" s="30">
        <f>COUNTA('Threat Modelling'!I5:I54)</f>
        <v/>
      </c>
      <c r="C7" s="30">
        <f>COUNTIF('Threat Modelling'!I5:I54,"Approved")</f>
        <v/>
      </c>
      <c r="D7" s="30">
        <f>COUNTIF('Threat Modelling'!I5:I54,"Pending")</f>
        <v/>
      </c>
      <c r="E7" s="30">
        <f>COUNTIF('Threat Modelling'!I5:I54,"Not Approved")</f>
        <v/>
      </c>
      <c r="F7" s="30">
        <f>0</f>
        <v/>
      </c>
      <c r="G7" s="31">
        <f>IF((B7-F7)=0,0,C7/(B7-F7))</f>
        <v/>
      </c>
    </row>
    <row r="8">
      <c r="A8" s="29" t="inlineStr">
        <is>
          <t>Architecture Review</t>
        </is>
      </c>
      <c r="B8" s="30">
        <f>COUNTA('Architecture Review'!K5:K54)</f>
        <v/>
      </c>
      <c r="C8" s="30">
        <f>COUNTIF('Architecture Review'!K5:K54,"Approved")</f>
        <v/>
      </c>
      <c r="D8" s="30">
        <f>COUNTIF('Architecture Review'!K5:K54,"Pending")</f>
        <v/>
      </c>
      <c r="E8" s="30">
        <f>COUNTIF('Architecture Review'!K5:K54,"Not Approved")</f>
        <v/>
      </c>
      <c r="F8" s="30">
        <f>0</f>
        <v/>
      </c>
      <c r="G8" s="31">
        <f>IF((B8-F8)=0,0,C8/(B8-F8))</f>
        <v/>
      </c>
    </row>
    <row r="9">
      <c r="A9" s="29" t="inlineStr">
        <is>
          <t>Traceability Matrix</t>
        </is>
      </c>
      <c r="B9" s="30">
        <f>COUNTA('Traceability Matrix'!F5:F54)</f>
        <v/>
      </c>
      <c r="C9" s="30">
        <f>COUNTIF('Traceability Matrix'!F5:F54,"Yes")</f>
        <v/>
      </c>
      <c r="D9" s="30">
        <f>COUNTIF('Traceability Matrix'!F5:F54,"Partial")</f>
        <v/>
      </c>
      <c r="E9" s="30">
        <f>COUNTIF('Traceability Matrix'!F5:F54,"No")</f>
        <v/>
      </c>
      <c r="F9" s="30">
        <f>0</f>
        <v/>
      </c>
      <c r="G9" s="31">
        <f>IF((B9-F9)=0,0,C9/(B9-F9))</f>
        <v/>
      </c>
    </row>
    <row r="10">
      <c r="A10" s="32" t="inlineStr">
        <is>
          <t>TOTAL</t>
        </is>
      </c>
      <c r="B10" s="33">
        <f>SUM(B6:B9)</f>
        <v/>
      </c>
      <c r="C10" s="33">
        <f>SUM(C6:C9)</f>
        <v/>
      </c>
      <c r="D10" s="33">
        <f>SUM(D6:D9)</f>
        <v/>
      </c>
      <c r="E10" s="33">
        <f>SUM(E6:E9)</f>
        <v/>
      </c>
      <c r="F10" s="33">
        <f>SUM(F6:F9)</f>
        <v/>
      </c>
      <c r="G10" s="34">
        <f>IF((B10-F10)=0,0,C10/(B10-F10))</f>
        <v/>
      </c>
    </row>
    <row r="12">
      <c r="A12" s="27" t="inlineStr">
        <is>
          <t>TABLE 2: KEY METRICS</t>
        </is>
      </c>
      <c r="B12" s="6" t="n"/>
      <c r="C12" s="6" t="n"/>
      <c r="D12" s="6" t="n"/>
      <c r="E12" s="6" t="n"/>
      <c r="F12" s="6" t="n"/>
      <c r="G12" s="6" t="n"/>
    </row>
    <row r="13">
      <c r="A13" s="32" t="inlineStr">
        <is>
          <t>Metric</t>
        </is>
      </c>
      <c r="B13" s="32" t="inlineStr">
        <is>
          <t>Value</t>
        </is>
      </c>
      <c r="C13" s="6" t="n"/>
      <c r="D13" s="6" t="n"/>
      <c r="E13" s="6" t="n"/>
      <c r="F13" s="6" t="n"/>
      <c r="G13" s="6" t="n"/>
    </row>
    <row r="14">
      <c r="A14" s="29" t="inlineStr">
        <is>
          <t>Total Applications Assessed</t>
        </is>
      </c>
      <c r="B14" s="6">
        <f>COUNTA('Application Inventory'!A5:A54)</f>
        <v/>
      </c>
      <c r="C14" s="6" t="n"/>
      <c r="D14" s="6" t="n"/>
      <c r="E14" s="6" t="n"/>
      <c r="F14" s="6" t="n"/>
      <c r="G14" s="6" t="n"/>
    </row>
    <row r="15">
      <c r="A15" s="29" t="inlineStr">
        <is>
          <t>High Risk Applications</t>
        </is>
      </c>
      <c r="B15" s="6">
        <f>COUNTIF('Application Inventory'!E5:E54,"High Risk")</f>
        <v/>
      </c>
      <c r="C15" s="6" t="n"/>
      <c r="D15" s="6" t="n"/>
      <c r="E15" s="6" t="n"/>
      <c r="F15" s="6" t="n"/>
      <c r="G15" s="6" t="n"/>
    </row>
    <row r="16">
      <c r="A16" s="29" t="inlineStr">
        <is>
          <t>Approved Threat Models</t>
        </is>
      </c>
      <c r="B16" s="6">
        <f>COUNTIF('Threat Modelling'!I5:I54,"Approved")</f>
        <v/>
      </c>
      <c r="C16" s="6" t="n"/>
      <c r="D16" s="6" t="n"/>
      <c r="E16" s="6" t="n"/>
      <c r="F16" s="6" t="n"/>
      <c r="G16" s="6" t="n"/>
    </row>
    <row r="17">
      <c r="A17" s="29" t="inlineStr">
        <is>
          <t>Next Review Due</t>
        </is>
      </c>
      <c r="B17" s="6" t="inlineStr"/>
      <c r="C17" s="6" t="n"/>
      <c r="D17" s="6" t="n"/>
      <c r="E17" s="6" t="n"/>
      <c r="F17" s="6" t="n"/>
      <c r="G17" s="6" t="n"/>
    </row>
    <row r="18">
      <c r="A18" s="29"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5" t="inlineStr">
        <is>
          <t>TABLE 3: CRITICAL FINDINGS</t>
        </is>
      </c>
      <c r="B22" s="6" t="n"/>
      <c r="C22" s="6" t="n"/>
      <c r="D22" s="6" t="n"/>
      <c r="E22" s="6" t="n"/>
      <c r="F22" s="6" t="n"/>
      <c r="G22" s="6" t="n"/>
    </row>
    <row r="23">
      <c r="A23" s="32" t="inlineStr">
        <is>
          <t>#</t>
        </is>
      </c>
      <c r="B23" s="32" t="inlineStr">
        <is>
          <t>Finding</t>
        </is>
      </c>
      <c r="C23" s="32" t="inlineStr">
        <is>
          <t>Count</t>
        </is>
      </c>
      <c r="D23" s="32" t="inlineStr">
        <is>
          <t>Severity</t>
        </is>
      </c>
      <c r="E23" s="32" t="inlineStr">
        <is>
          <t>Affected Area</t>
        </is>
      </c>
      <c r="F23" s="32" t="inlineStr">
        <is>
          <t>Recommended Action</t>
        </is>
      </c>
      <c r="G23" s="32" t="inlineStr">
        <is>
          <t>Owner</t>
        </is>
      </c>
    </row>
    <row r="24">
      <c r="A24" s="4">
        <f>COUNTIF('Requirements Documentation'!C5:C58,"No")</f>
        <v/>
      </c>
      <c r="B24" s="4" t="inlineStr">
        <is>
          <t>Apps Without Security Requirements Doc</t>
        </is>
      </c>
      <c r="C24" s="4">
        <f>COUNTIF('Requirements Documentation'!C5:C58,"No")</f>
        <v/>
      </c>
      <c r="D24" s="4" t="inlineStr">
        <is>
          <t>High</t>
        </is>
      </c>
      <c r="E24" s="4" t="inlineStr">
        <is>
          <t>Requirements Documentation</t>
        </is>
      </c>
      <c r="F24" s="4" t="inlineStr">
        <is>
          <t>Create security requirements documentation</t>
        </is>
      </c>
      <c r="G24" s="4" t="n"/>
    </row>
    <row r="25">
      <c r="A25" s="4">
        <f>COUNTIF('Threat Modelling'!B5:B54,"No")</f>
        <v/>
      </c>
      <c r="B25" s="4" t="inlineStr">
        <is>
          <t>Apps Without Threat Model</t>
        </is>
      </c>
      <c r="C25" s="4">
        <f>COUNTIF('Threat Modelling'!B5:B54,"No")</f>
        <v/>
      </c>
      <c r="D25" s="4" t="inlineStr">
        <is>
          <t>High</t>
        </is>
      </c>
      <c r="E25" s="4" t="inlineStr">
        <is>
          <t>Threat Modelling</t>
        </is>
      </c>
      <c r="F25" s="4" t="inlineStr">
        <is>
          <t>Conduct STRIDE threat modelling session</t>
        </is>
      </c>
      <c r="G25" s="4" t="n"/>
    </row>
    <row r="26">
      <c r="A26" s="4">
        <f>COUNTIF('Architecture Review'!B5:B54,"No")</f>
        <v/>
      </c>
      <c r="B26" s="4" t="inlineStr">
        <is>
          <t>Architecture Reviews Not Conducted</t>
        </is>
      </c>
      <c r="C26" s="4">
        <f>COUNTIF('Architecture Review'!B5:B54,"No")</f>
        <v/>
      </c>
      <c r="D26" s="4" t="inlineStr">
        <is>
          <t>Medium</t>
        </is>
      </c>
      <c r="E26" s="4" t="inlineStr">
        <is>
          <t>Architecture Review</t>
        </is>
      </c>
      <c r="F26" s="4" t="inlineStr">
        <is>
          <t>Schedule security architecture review</t>
        </is>
      </c>
      <c r="G26" s="4" t="n"/>
    </row>
    <row r="27">
      <c r="A27" s="4">
        <f>SUM('Architecture Review'!F5:F54)</f>
        <v/>
      </c>
      <c r="B27" s="4" t="inlineStr">
        <is>
          <t>Critical Architecture Findings (Total)</t>
        </is>
      </c>
      <c r="C27" s="4">
        <f>SUM('Architecture Review'!F5:F54)</f>
        <v/>
      </c>
      <c r="D27" s="4" t="inlineStr">
        <is>
          <t>Critical</t>
        </is>
      </c>
      <c r="E27" s="4" t="inlineStr">
        <is>
          <t>Architecture Review</t>
        </is>
      </c>
      <c r="F27" s="4" t="inlineStr">
        <is>
          <t>Immediate remediation required</t>
        </is>
      </c>
      <c r="G27" s="4" t="n"/>
    </row>
    <row r="28">
      <c r="A28" s="4">
        <f>SUM('Architecture Review'!J5:J54)</f>
        <v/>
      </c>
      <c r="B28" s="4" t="inlineStr">
        <is>
          <t>Open Architecture Findings (Total)</t>
        </is>
      </c>
      <c r="C28" s="4">
        <f>SUM('Architecture Review'!J5:J54)</f>
        <v/>
      </c>
      <c r="D28" s="4" t="inlineStr">
        <is>
          <t>High</t>
        </is>
      </c>
      <c r="E28" s="4" t="inlineStr">
        <is>
          <t>Architecture Review</t>
        </is>
      </c>
      <c r="F28" s="4" t="inlineStr">
        <is>
          <t>Track and remediate open findings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A.8.25-26-29: Secure Development</t>
        </is>
      </c>
      <c r="B2" s="6" t="n"/>
      <c r="C2" s="6" t="n"/>
      <c r="D2" s="6" t="n"/>
      <c r="E2" s="6" t="n"/>
    </row>
    <row r="3">
      <c r="A3" s="37" t="inlineStr">
        <is>
          <t>ASSESSMENT SUMMARY</t>
        </is>
      </c>
      <c r="B3" s="6" t="n"/>
      <c r="C3" s="6" t="n"/>
      <c r="D3" s="6" t="n"/>
      <c r="E3" s="6" t="n"/>
    </row>
    <row r="4">
      <c r="A4" s="38" t="inlineStr">
        <is>
          <t>Document:</t>
        </is>
      </c>
      <c r="B4" s="6" t="inlineStr">
        <is>
          <t>ISMS-IMP-A.8.25-26-29.S1 - Security Requirements Assessment</t>
        </is>
      </c>
      <c r="C4" s="6" t="n"/>
      <c r="D4" s="6" t="n"/>
      <c r="E4" s="6" t="n"/>
    </row>
    <row r="5">
      <c r="A5" s="38" t="inlineStr">
        <is>
          <t>Assessment Period:</t>
        </is>
      </c>
      <c r="B5" s="39" t="inlineStr"/>
      <c r="C5" s="6" t="n"/>
      <c r="D5" s="6" t="n"/>
      <c r="E5" s="6" t="n"/>
    </row>
    <row r="6">
      <c r="A6" s="38" t="inlineStr">
        <is>
          <t>Overall Compliance Rating:</t>
        </is>
      </c>
      <c r="B6" s="6">
        <f>'Summary Dashboard'!G10</f>
        <v/>
      </c>
      <c r="C6" s="6" t="n"/>
      <c r="D6" s="6" t="n"/>
      <c r="E6" s="6" t="n"/>
    </row>
    <row r="7">
      <c r="A7" s="38" t="inlineStr">
        <is>
          <t>Assessment Status:</t>
        </is>
      </c>
      <c r="B7" s="39" t="inlineStr"/>
      <c r="C7" s="6" t="n"/>
      <c r="D7" s="6" t="n"/>
      <c r="E7" s="6" t="n"/>
    </row>
    <row r="8">
      <c r="A8" s="38" t="inlineStr">
        <is>
          <t>Assessed By:</t>
        </is>
      </c>
      <c r="B8" s="39" t="inlineStr"/>
      <c r="C8" s="6" t="n"/>
      <c r="D8" s="6" t="n"/>
      <c r="E8" s="6" t="n"/>
    </row>
    <row r="11">
      <c r="A11" s="40" t="inlineStr">
        <is>
          <t>COMPLETED BY (ASSESSOR)</t>
        </is>
      </c>
      <c r="B11" s="6" t="n"/>
      <c r="C11" s="6" t="n"/>
      <c r="D11" s="6" t="n"/>
      <c r="E11" s="6" t="n"/>
    </row>
    <row r="12">
      <c r="A12" s="41" t="inlineStr">
        <is>
          <t>Name:</t>
        </is>
      </c>
      <c r="B12" s="39" t="n"/>
      <c r="C12" s="6" t="n"/>
      <c r="D12" s="6" t="n"/>
      <c r="E12" s="6" t="n"/>
    </row>
    <row r="13">
      <c r="A13" s="41" t="inlineStr">
        <is>
          <t>Title:</t>
        </is>
      </c>
      <c r="B13" s="39" t="n"/>
      <c r="C13" s="6" t="n"/>
      <c r="D13" s="6" t="n"/>
      <c r="E13" s="6" t="n"/>
    </row>
    <row r="14">
      <c r="A14" s="41" t="inlineStr">
        <is>
          <t>Date:</t>
        </is>
      </c>
      <c r="B14" s="39" t="n"/>
      <c r="C14" s="6" t="n"/>
      <c r="D14" s="6" t="n"/>
      <c r="E14" s="6" t="n"/>
    </row>
    <row r="15">
      <c r="A15" s="41" t="inlineStr">
        <is>
          <t>Signature:</t>
        </is>
      </c>
      <c r="B15" s="39" t="n"/>
      <c r="C15" s="6" t="n"/>
      <c r="D15" s="6" t="n"/>
      <c r="E15" s="6" t="n"/>
    </row>
    <row r="16">
      <c r="A16" s="41" t="inlineStr">
        <is>
          <t>Comments:</t>
        </is>
      </c>
      <c r="B16" s="39" t="n"/>
      <c r="C16" s="6" t="n"/>
      <c r="D16" s="6" t="n"/>
      <c r="E16" s="6" t="n"/>
    </row>
    <row r="18">
      <c r="A18" s="40" t="inlineStr">
        <is>
          <t>REVIEWED BY (INFORMATION SECURITY OFFICER)</t>
        </is>
      </c>
      <c r="B18" s="6" t="n"/>
      <c r="C18" s="6" t="n"/>
      <c r="D18" s="6" t="n"/>
      <c r="E18" s="6" t="n"/>
    </row>
    <row r="19">
      <c r="A19" s="41" t="inlineStr">
        <is>
          <t>Name:</t>
        </is>
      </c>
      <c r="B19" s="39" t="n"/>
      <c r="C19" s="6" t="n"/>
      <c r="D19" s="6" t="n"/>
      <c r="E19" s="6" t="n"/>
    </row>
    <row r="20">
      <c r="A20" s="41" t="inlineStr">
        <is>
          <t>Title:</t>
        </is>
      </c>
      <c r="B20" s="39" t="n"/>
      <c r="C20" s="6" t="n"/>
      <c r="D20" s="6" t="n"/>
      <c r="E20" s="6" t="n"/>
    </row>
    <row r="21">
      <c r="A21" s="41" t="inlineStr">
        <is>
          <t>Date:</t>
        </is>
      </c>
      <c r="B21" s="39" t="n"/>
      <c r="C21" s="6" t="n"/>
      <c r="D21" s="6" t="n"/>
      <c r="E21" s="6" t="n"/>
    </row>
    <row r="22">
      <c r="A22" s="41" t="inlineStr">
        <is>
          <t>Signature:</t>
        </is>
      </c>
      <c r="B22" s="39" t="n"/>
      <c r="C22" s="6" t="n"/>
      <c r="D22" s="6" t="n"/>
      <c r="E22" s="6" t="n"/>
    </row>
    <row r="23">
      <c r="A23" s="41" t="inlineStr">
        <is>
          <t>Comments:</t>
        </is>
      </c>
      <c r="B23" s="39" t="n"/>
      <c r="C23" s="6" t="n"/>
      <c r="D23" s="6" t="n"/>
      <c r="E23" s="6" t="n"/>
    </row>
    <row r="25">
      <c r="A25" s="42" t="inlineStr">
        <is>
          <t>APPROVED BY (CISO)</t>
        </is>
      </c>
      <c r="B25" s="6" t="n"/>
      <c r="C25" s="6" t="n"/>
      <c r="D25" s="6" t="n"/>
      <c r="E25" s="6" t="n"/>
    </row>
    <row r="26">
      <c r="A26" s="41" t="inlineStr">
        <is>
          <t>Name:</t>
        </is>
      </c>
      <c r="B26" s="39" t="n"/>
      <c r="C26" s="6" t="n"/>
      <c r="D26" s="6" t="n"/>
      <c r="E26" s="6" t="n"/>
    </row>
    <row r="27">
      <c r="A27" s="41" t="inlineStr">
        <is>
          <t>Title:</t>
        </is>
      </c>
      <c r="B27" s="39" t="n"/>
      <c r="C27" s="6" t="n"/>
      <c r="D27" s="6" t="n"/>
      <c r="E27" s="6" t="n"/>
    </row>
    <row r="28">
      <c r="A28" s="41" t="inlineStr">
        <is>
          <t>Date:</t>
        </is>
      </c>
      <c r="B28" s="39" t="n"/>
      <c r="C28" s="6" t="n"/>
      <c r="D28" s="6" t="n"/>
      <c r="E28" s="6" t="n"/>
    </row>
    <row r="29">
      <c r="A29" s="41" t="inlineStr">
        <is>
          <t>Signature:</t>
        </is>
      </c>
      <c r="B29" s="39" t="n"/>
      <c r="C29" s="6" t="n"/>
      <c r="D29" s="6" t="n"/>
      <c r="E29" s="6" t="n"/>
    </row>
    <row r="30">
      <c r="A30" s="41" t="inlineStr">
        <is>
          <t>Comments:</t>
        </is>
      </c>
      <c r="B30" s="39" t="n"/>
      <c r="C30" s="6" t="n"/>
      <c r="D30" s="6" t="n"/>
      <c r="E30" s="6" t="n"/>
    </row>
    <row r="32">
      <c r="A32" s="41" t="inlineStr">
        <is>
          <t>FINAL DECISION:</t>
        </is>
      </c>
      <c r="B32" s="39" t="n"/>
      <c r="C32" s="6" t="n"/>
      <c r="D32" s="6" t="n"/>
      <c r="E32" s="6" t="n"/>
    </row>
    <row r="35">
      <c r="A35" s="40" t="inlineStr">
        <is>
          <t>NEXT REVIEW DETAILS</t>
        </is>
      </c>
      <c r="B35" s="6" t="n"/>
      <c r="C35" s="6" t="n"/>
      <c r="D35" s="6" t="n"/>
      <c r="E35" s="6" t="n"/>
    </row>
    <row r="36">
      <c r="A36" s="41" t="inlineStr">
        <is>
          <t>Next Review Date:</t>
        </is>
      </c>
      <c r="B36" s="39" t="n"/>
      <c r="C36" s="6" t="n"/>
      <c r="D36" s="6" t="n"/>
      <c r="E36" s="6" t="n"/>
    </row>
    <row r="37">
      <c r="A37" s="41" t="inlineStr">
        <is>
          <t>Review Responsible:</t>
        </is>
      </c>
      <c r="B37" s="39" t="n"/>
      <c r="C37" s="6" t="n"/>
      <c r="D37" s="6" t="n"/>
      <c r="E37" s="6" t="n"/>
    </row>
    <row r="38">
      <c r="A38" s="41" t="inlineStr">
        <is>
          <t>Special Considerations:</t>
        </is>
      </c>
      <c r="B38" s="3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ISMS-IMP-A.8.25-26-29.S1 — Security Requirements Assessment</dc:title>
  <dc:description xmlns:dc="http://purl.org/dc/elements/1.1/">ISMS Implementation Workbook — ISMS-IMP-A.8.25-26-29.S1</dc:description>
  <dc:subject xmlns:dc="http://purl.org/dc/elements/1.1/">ISO/IEC 27001:2022 — Control A.8.25-26-29: Secure Development</dc:subject>
  <dcterms:created xmlns:dcterms="http://purl.org/dc/terms/" xmlns:xsi="http://www.w3.org/2001/XMLSchema-instance" xsi:type="dcterms:W3CDTF">2026-03-10T18:49:34Z</dcterms:created>
  <dcterms:modified xmlns:dcterms="http://purl.org/dc/terms/" xmlns:xsi="http://www.w3.org/2001/XMLSchema-instance" xsi:type="dcterms:W3CDTF">2026-03-10T18:49:35Z</dcterms:modified>
</cp:coreProperties>
</file>