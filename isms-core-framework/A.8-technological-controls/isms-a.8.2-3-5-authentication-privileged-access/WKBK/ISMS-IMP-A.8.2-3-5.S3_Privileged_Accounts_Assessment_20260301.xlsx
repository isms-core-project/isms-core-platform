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vileged Account Inventory" sheetId="2" state="visible" r:id="rId2"/>
    <sheet xmlns:r="http://schemas.openxmlformats.org/officeDocument/2006/relationships" name="Admin Tiering Matrix" sheetId="3" state="visible" r:id="rId3"/>
    <sheet xmlns:r="http://schemas.openxmlformats.org/officeDocument/2006/relationships" name="Privileged User Roster" sheetId="4" state="visible" r:id="rId4"/>
    <sheet xmlns:r="http://schemas.openxmlformats.org/officeDocument/2006/relationships" name="PAM Vault Coverage" sheetId="5" state="visible" r:id="rId5"/>
    <sheet xmlns:r="http://schemas.openxmlformats.org/officeDocument/2006/relationships" name="MFA Hardware Tokens" sheetId="6" state="visible" r:id="rId6"/>
    <sheet xmlns:r="http://schemas.openxmlformats.org/officeDocument/2006/relationships" name="Credential Rotation Status" sheetId="7" state="visible" r:id="rId7"/>
    <sheet xmlns:r="http://schemas.openxmlformats.org/officeDocument/2006/relationships" name="Access Review Results" sheetId="8" state="visible" r:id="rId8"/>
    <sheet xmlns:r="http://schemas.openxmlformats.org/officeDocument/2006/relationships" name="Tier Isolation Compliance"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164" fontId="7" fillId="0" borderId="1" applyAlignment="1" pivotButton="0" quotePrefix="0" xfId="0">
      <alignment horizontal="left"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left" vertical="center"/>
    </xf>
    <xf numFmtId="0" fontId="6" fillId="8" borderId="0" applyAlignment="1" pivotButton="0" quotePrefix="0" xfId="0">
      <alignment horizontal="left" vertical="center"/>
    </xf>
    <xf numFmtId="0" fontId="11" fillId="0" borderId="1" applyAlignment="1" pivotButton="0" quotePrefix="0" xfId="0">
      <alignment horizontal="left"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ISMS-IMP-A.8.2-3-5.S3  -  PRIVILEGED ACCOUNT INVENTORY ASSESSMENT
ISO/IEC 27001:2022 - Control A.8.2-3-5: Access and Authentication Management</t>
        </is>
      </c>
    </row>
    <row r="3">
      <c r="A3" s="2" t="inlineStr">
        <is>
          <t>Document Information</t>
        </is>
      </c>
    </row>
    <row r="4">
      <c r="A4" s="3" t="inlineStr">
        <is>
          <t>Document ID:</t>
        </is>
      </c>
      <c r="B4" s="4" t="inlineStr">
        <is>
          <t>ISMS-IMP-A.8.2-3-5.S3</t>
        </is>
      </c>
    </row>
    <row r="5">
      <c r="A5" s="3" t="inlineStr">
        <is>
          <t>Assessment:</t>
        </is>
      </c>
      <c r="B5" s="4" t="inlineStr">
        <is>
          <t>Privileged Accounts Assessment</t>
        </is>
      </c>
    </row>
    <row r="6">
      <c r="A6" s="3" t="inlineStr">
        <is>
          <t>Version:</t>
        </is>
      </c>
      <c r="B6" s="4" t="inlineStr">
        <is>
          <t>1.0</t>
        </is>
      </c>
    </row>
    <row r="7">
      <c r="A7" s="3" t="inlineStr">
        <is>
          <t>Generated:</t>
        </is>
      </c>
      <c r="B7" s="4" t="inlineStr">
        <is>
          <t>01.03.2026 17:58</t>
        </is>
      </c>
    </row>
    <row r="9">
      <c r="A9" s="5" t="inlineStr">
        <is>
          <t>CRITICAL: PRIVILEGED ACCESS = HIGHEST SECURITY RISK</t>
        </is>
      </c>
    </row>
    <row r="10" ht="45" customHeight="1">
      <c r="A10" s="6" t="inlineStr">
        <is>
          <t>80% of data breaches involve privileged access abuse. The Admin Tiering Model (Tier 0/1/2) prevents lateral movement and limits blast radius. Tier 0 accounts NEVER log into Tier 1 or Tier 2 systems.</t>
        </is>
      </c>
    </row>
    <row r="12">
      <c r="A12" s="2" t="inlineStr">
        <is>
          <t>Instructions</t>
        </is>
      </c>
    </row>
    <row r="13" ht="45" customHeight="1">
      <c r="A13" s="6" t="inlineStr">
        <is>
          <t>Complete the Privileged Account Inventory (Sheet 2) with all privileged accounts. Classify each account by tier, document PAM vault status, MFA method, and review dates. Use the Admin Tiering Matrix (Sheet 3) to verify correct tier classification.</t>
        </is>
      </c>
    </row>
    <row r="15">
      <c r="A15" s="2" t="inlineStr">
        <is>
          <t>ADMIN TIERING MODEL</t>
        </is>
      </c>
    </row>
    <row r="16">
      <c r="A16" s="7" t="inlineStr">
        <is>
          <t>Tier</t>
        </is>
      </c>
      <c r="B16" s="7" t="inlineStr">
        <is>
          <t>Systems</t>
        </is>
      </c>
      <c r="C16" s="7" t="inlineStr">
        <is>
          <t>Security Requirements</t>
        </is>
      </c>
      <c r="D16" s="8" t="n"/>
      <c r="E16" s="8" t="n"/>
      <c r="F16" s="8" t="n"/>
      <c r="G16" s="9" t="n"/>
    </row>
    <row r="17" ht="30" customHeight="1">
      <c r="A17" s="10" t="inlineStr">
        <is>
          <t>Tier 0 (Domain / Enterprise / Critical)</t>
        </is>
      </c>
      <c r="B17" s="10" t="inlineStr">
        <is>
          <t>Domain Controllers, Microsoft Entra ID, AWS root, PKI CA, SIEM, PAM vault</t>
        </is>
      </c>
      <c r="C17" s="10" t="inlineStr">
        <is>
          <t>PAWs required, Hardware MFA (FIDO2) mandatory, 100% session recording, JIT access</t>
        </is>
      </c>
    </row>
    <row r="18" ht="30" customHeight="1">
      <c r="A18" s="10" t="inlineStr">
        <is>
          <t>Tier 1 (Server / Application)</t>
        </is>
      </c>
      <c r="B18" s="10" t="inlineStr">
        <is>
          <t>Production servers, databases, ERP/CRM, virtualisation, cloud subscriptions</t>
        </is>
      </c>
      <c r="C18" s="10" t="inlineStr">
        <is>
          <t>Separate admin accounts, MFA mandatory, session recording for prod, quarterly reviews</t>
        </is>
      </c>
    </row>
    <row r="19" ht="30" customHeight="1">
      <c r="A19" s="10" t="inlineStr">
        <is>
          <t>Tier 2 (Workstation / Endpoint)</t>
        </is>
      </c>
      <c r="B19" s="10" t="inlineStr">
        <is>
          <t>End-user workstations, laptops, mobile devices</t>
        </is>
      </c>
      <c r="C19" s="10" t="inlineStr">
        <is>
          <t>Local admin only, MFA mandatory, standard logging</t>
        </is>
      </c>
    </row>
    <row r="21">
      <c r="A21" s="2" t="inlineStr">
        <is>
          <t>Status Legend</t>
        </is>
      </c>
    </row>
    <row r="22">
      <c r="A22" s="11" t="inlineStr">
        <is>
          <t>Status</t>
        </is>
      </c>
      <c r="B22" s="11" t="inlineStr">
        <is>
          <t>Description</t>
        </is>
      </c>
      <c r="C22" s="12" t="inlineStr"/>
      <c r="D22" s="8" t="n"/>
      <c r="E22" s="8" t="n"/>
      <c r="F22" s="8" t="n"/>
      <c r="G22" s="9" t="n"/>
    </row>
    <row r="23">
      <c r="A23" s="10" t="inlineStr">
        <is>
          <t>✅ Compliant</t>
        </is>
      </c>
      <c r="B23" s="10" t="inlineStr">
        <is>
          <t>Meets all privileged access requirements</t>
        </is>
      </c>
    </row>
    <row r="24">
      <c r="A24" s="10" t="inlineStr">
        <is>
          <t>⚠ Partial Compliance</t>
        </is>
      </c>
      <c r="B24" s="10" t="inlineStr">
        <is>
          <t>Meets some but not all requirements</t>
        </is>
      </c>
    </row>
    <row r="25">
      <c r="A25" s="10" t="inlineStr">
        <is>
          <t>❌ Non-Compliant</t>
        </is>
      </c>
      <c r="B25" s="10" t="inlineStr">
        <is>
          <t>Does not meet requirements — immediate action required</t>
        </is>
      </c>
    </row>
    <row r="26">
      <c r="A26" s="10" t="inlineStr">
        <is>
          <t>In Progress</t>
        </is>
      </c>
      <c r="B26" s="10" t="inlineStr">
        <is>
          <t>Remediation in progress</t>
        </is>
      </c>
    </row>
    <row r="27">
      <c r="A27" s="10" t="inlineStr">
        <is>
          <t>—</t>
        </is>
      </c>
      <c r="B27" s="10" t="inlineStr">
        <is>
          <t>Not applicable</t>
        </is>
      </c>
    </row>
    <row r="29" ht="30" customHeight="1">
      <c r="A29" s="13" t="inlineStr">
        <is>
          <t>REMEMBER: Privileged access is the 'keys to the kingdom'. Get this wrong and no other security controls matter.</t>
        </is>
      </c>
    </row>
  </sheetData>
  <mergeCells count="19">
    <mergeCell ref="B23:G23"/>
    <mergeCell ref="A29:G29"/>
    <mergeCell ref="A10:G10"/>
    <mergeCell ref="A13:G13"/>
    <mergeCell ref="A9:G9"/>
    <mergeCell ref="C16:G16"/>
    <mergeCell ref="A15:G15"/>
    <mergeCell ref="C22:G22"/>
    <mergeCell ref="A3:B3"/>
    <mergeCell ref="B24:G24"/>
    <mergeCell ref="A1:G1"/>
    <mergeCell ref="B26:G26"/>
    <mergeCell ref="B25:G25"/>
    <mergeCell ref="C17:G17"/>
    <mergeCell ref="A21:G21"/>
    <mergeCell ref="A12:G12"/>
    <mergeCell ref="B27:G27"/>
    <mergeCell ref="C19:G19"/>
    <mergeCell ref="C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8" customWidth="1" min="1" max="1"/>
    <col width="25" customWidth="1" min="2" max="2"/>
    <col width="22" customWidth="1" min="3" max="3"/>
    <col width="25" customWidth="1" min="4" max="4"/>
    <col width="25" customWidth="1" min="5" max="5"/>
    <col width="22" customWidth="1" min="6" max="6"/>
    <col width="14" customWidth="1" min="7" max="7"/>
    <col width="32" customWidth="1" min="8" max="8"/>
    <col width="22" customWidth="1" min="9" max="9"/>
    <col width="16" customWidth="1" min="10" max="10"/>
    <col width="22" customWidth="1" min="11" max="11"/>
    <col width="16" customWidth="1" min="12" max="12"/>
    <col width="18" customWidth="1" min="13" max="13"/>
    <col width="35" customWidth="1" min="14" max="14"/>
  </cols>
  <sheetData>
    <row r="1" ht="35" customHeight="1">
      <c r="A1" s="1" t="inlineStr">
        <is>
          <t>PRIVILEGED ACCOUNT INVENTORY</t>
        </is>
      </c>
    </row>
    <row r="2">
      <c r="A2" s="14" t="inlineStr">
        <is>
          <t>Complete inventory of all privileged accounts with tier classification</t>
        </is>
      </c>
    </row>
    <row r="4">
      <c r="A4" s="7" t="inlineStr">
        <is>
          <t>Account Name</t>
        </is>
      </c>
      <c r="B4" s="7" t="inlineStr">
        <is>
          <t>Account Type</t>
        </is>
      </c>
      <c r="C4" s="7" t="inlineStr">
        <is>
          <t>Admin Tier</t>
        </is>
      </c>
      <c r="D4" s="7" t="inlineStr">
        <is>
          <t>Privileged Role</t>
        </is>
      </c>
      <c r="E4" s="7" t="inlineStr">
        <is>
          <t>System / Platform</t>
        </is>
      </c>
      <c r="F4" s="7" t="inlineStr">
        <is>
          <t>Owner / Responsible</t>
        </is>
      </c>
      <c r="G4" s="7" t="inlineStr">
        <is>
          <t>MFA Status</t>
        </is>
      </c>
      <c r="H4" s="7" t="inlineStr">
        <is>
          <t>MFA Method</t>
        </is>
      </c>
      <c r="I4" s="7" t="inlineStr">
        <is>
          <t>PAM Vaulted</t>
        </is>
      </c>
      <c r="J4" s="7" t="inlineStr">
        <is>
          <t>Last Password Change</t>
        </is>
      </c>
      <c r="K4" s="7" t="inlineStr">
        <is>
          <t>Password Rotation Freq</t>
        </is>
      </c>
      <c r="L4" s="7" t="inlineStr">
        <is>
          <t>Last Access Review</t>
        </is>
      </c>
      <c r="M4" s="7" t="inlineStr">
        <is>
          <t>Compliance Status</t>
        </is>
      </c>
      <c r="N4" s="7" t="inlineStr">
        <is>
          <t>Notes</t>
        </is>
      </c>
    </row>
    <row r="5">
      <c r="A5" s="15" t="inlineStr">
        <is>
          <t>admin.username</t>
        </is>
      </c>
      <c r="B5" s="15" t="inlineStr">
        <is>
          <t>Named Privileged (user.admin)</t>
        </is>
      </c>
      <c r="C5" s="15" t="inlineStr">
        <is>
          <t>Tier 0 (Domain/Enterprise/Critical)</t>
        </is>
      </c>
      <c r="D5" s="15" t="inlineStr">
        <is>
          <t>Domain Admin</t>
        </is>
      </c>
      <c r="E5" s="15" t="inlineStr">
        <is>
          <t>Active Directory</t>
        </is>
      </c>
      <c r="F5" s="15" t="inlineStr">
        <is>
          <t>[Owner Name]</t>
        </is>
      </c>
      <c r="G5" s="15" t="inlineStr">
        <is>
          <t>✅ Enrolled - Active</t>
        </is>
      </c>
      <c r="H5" s="15" t="inlineStr">
        <is>
          <t>Hardware Token (FIDO2) - Tier 0 Required</t>
        </is>
      </c>
      <c r="I5" s="15" t="inlineStr">
        <is>
          <t>✅ Vaulted - JIT Enabled</t>
        </is>
      </c>
      <c r="J5" s="15" t="inlineStr">
        <is>
          <t>01.03.2026</t>
        </is>
      </c>
      <c r="K5" s="15" t="inlineStr">
        <is>
          <t>After Each Use (Check-in)</t>
        </is>
      </c>
      <c r="L5" s="15" t="inlineStr">
        <is>
          <t>01.03.2026</t>
        </is>
      </c>
      <c r="M5" s="15" t="inlineStr">
        <is>
          <t>✅ Compliant</t>
        </is>
      </c>
      <c r="N5" s="15" t="inlineStr"/>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sheetData>
  <mergeCells count="2">
    <mergeCell ref="A2:N2"/>
    <mergeCell ref="A1:N1"/>
  </mergeCells>
  <dataValidations count="8">
    <dataValidation sqref="B5:B55" showDropDown="0" showInputMessage="0" showErrorMessage="0" allowBlank="1" type="list">
      <formula1>"Named Privileged (user.admin),Shared Privileged (root, Administrator, sa),Service Account (Privileged),Break-Glass / Emergency,Cloud Global Admin,Local Administrator,Non-Privileged (Standard User)"</formula1>
    </dataValidation>
    <dataValidation sqref="C5:C55" showDropDown="0" showInputMessage="0" showErrorMessage="0" allowBlank="1" type="list">
      <formula1>"Tier 0 (Domain/Enterprise/Critical),Tier 1 (Server/Application),Tier 2 (Workstation/Endpoint),N/A (Non-Privileged)"</formula1>
    </dataValidation>
    <dataValidation sqref="D5:D55" showDropDown="0" showInputMessage="0" showErrorMessage="0" allowBlank="1" type="list">
      <formula1>"Domain Admin,Enterprise Admin,Schema Admin,Azure Global Administrator,AWS Root / Admin,GCP Owner / Admin,Database Administrator (DBA),Security Administrator,Network Administrator,Server Administrator,Backup Administrator,PKI Administrator,PAM Administrator,SIEM Administrator,Workstation Local Admin,Application Administrator,Other (Specify)"</formula1>
    </dataValidation>
    <dataValidation sqref="G5:G55" showDropDown="0" showInputMessage="0" showErrorMessage="0" allowBlank="1" type="list">
      <formula1>"✅ Enrolled - Active,✅ Enrolled - Verified,❌ Not Enrolled"</formula1>
    </dataValidation>
    <dataValidation sqref="H5:H55" showDropDown="0" showInputMessage="0" showErrorMessage="0" allowBlank="1" type="list">
      <formula1>"Hardware Token (FIDO2) - Tier 0 Required,Authenticator App (TOTP),Push Notification,❌ Not Enrolled (Non-Compliant)"</formula1>
    </dataValidation>
    <dataValidation sqref="I5:I55" showDropDown="0" showInputMessage="0" showErrorMessage="0" allowBlank="1" type="list">
      <formula1>"✅ Vaulted - Active,✅ Vaulted - JIT Enabled,⚠ Vaulted - Rotation Issues,❌ Not Vaulted (Gap),Onboarding In Progress,N/A (Named Account)"</formula1>
    </dataValidation>
    <dataValidation sqref="K5:K55" showDropDown="0" showInputMessage="0" showErrorMessage="0" allowBlank="1" type="list">
      <formula1>"After Each Use (Check-in),Daily,Weekly,Monthly,Quarterly,On Demand Only,Not Applicable"</formula1>
    </dataValidation>
    <dataValidation sqref="M5:M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8"/>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5" customWidth="1" min="3" max="3"/>
    <col width="40" customWidth="1" min="4" max="4"/>
    <col width="30" customWidth="1" min="5" max="5"/>
  </cols>
  <sheetData>
    <row r="1" ht="35" customHeight="1">
      <c r="A1" s="1" t="inlineStr">
        <is>
          <t>ADMIN TIERING MATRIX</t>
        </is>
      </c>
    </row>
    <row r="2">
      <c r="A2" s="14" t="inlineStr">
        <is>
          <t>Classify systems and accounts into Tier 0/1/2 for isolation enforcement</t>
        </is>
      </c>
    </row>
    <row r="4">
      <c r="A4" s="7" t="inlineStr">
        <is>
          <t>System / Infrastructure</t>
        </is>
      </c>
      <c r="B4" s="7" t="inlineStr">
        <is>
          <t>Tier Classification</t>
        </is>
      </c>
      <c r="C4" s="7" t="inlineStr">
        <is>
          <t>Criticality</t>
        </is>
      </c>
      <c r="D4" s="7" t="inlineStr">
        <is>
          <t>Security Requirements</t>
        </is>
      </c>
      <c r="E4" s="7" t="inlineStr">
        <is>
          <t>Notes</t>
        </is>
      </c>
    </row>
    <row r="5">
      <c r="A5" s="15" t="inlineStr">
        <is>
          <t>Domain Controllers</t>
        </is>
      </c>
      <c r="B5" s="15" t="inlineStr">
        <is>
          <t>Tier 0</t>
        </is>
      </c>
      <c r="C5" s="15" t="inlineStr">
        <is>
          <t>Critical</t>
        </is>
      </c>
      <c r="D5" s="15" t="inlineStr">
        <is>
          <t>PAWs, Hardware MFA, Session Recording</t>
        </is>
      </c>
      <c r="E5" s="15" t="inlineStr"/>
    </row>
    <row r="6">
      <c r="A6" s="10" t="inlineStr">
        <is>
          <t>Microsoft Entra ID Tenant</t>
        </is>
      </c>
      <c r="B6" s="10" t="inlineStr">
        <is>
          <t>Tier 0</t>
        </is>
      </c>
      <c r="C6" s="10" t="inlineStr">
        <is>
          <t>Critical</t>
        </is>
      </c>
      <c r="D6" s="10" t="inlineStr">
        <is>
          <t>Global Admin requires PAW</t>
        </is>
      </c>
      <c r="E6" s="10" t="inlineStr"/>
    </row>
    <row r="7">
      <c r="A7" s="10" t="inlineStr">
        <is>
          <t>AWS Organisation Root</t>
        </is>
      </c>
      <c r="B7" s="10" t="inlineStr">
        <is>
          <t>Tier 0</t>
        </is>
      </c>
      <c r="C7" s="10" t="inlineStr">
        <is>
          <t>Critical</t>
        </is>
      </c>
      <c r="D7" s="10" t="inlineStr">
        <is>
          <t>Root user MFA, break-glass only</t>
        </is>
      </c>
      <c r="E7" s="10" t="inlineStr"/>
    </row>
    <row r="8">
      <c r="A8" s="10" t="inlineStr">
        <is>
          <t>PKI Certificate Authority</t>
        </is>
      </c>
      <c r="B8" s="10" t="inlineStr">
        <is>
          <t>Tier 0</t>
        </is>
      </c>
      <c r="C8" s="10" t="inlineStr">
        <is>
          <t>Critical</t>
        </is>
      </c>
      <c r="D8" s="10" t="inlineStr">
        <is>
          <t>CA admins Tier 0</t>
        </is>
      </c>
      <c r="E8" s="10" t="inlineStr"/>
    </row>
    <row r="9">
      <c r="A9" s="10" t="inlineStr">
        <is>
          <t>SIEM Infrastructure</t>
        </is>
      </c>
      <c r="B9" s="10" t="inlineStr">
        <is>
          <t>Tier 0</t>
        </is>
      </c>
      <c r="C9" s="10" t="inlineStr">
        <is>
          <t>Critical</t>
        </is>
      </c>
      <c r="D9" s="10" t="inlineStr">
        <is>
          <t>Security admins Tier 0</t>
        </is>
      </c>
      <c r="E9" s="10" t="inlineStr"/>
    </row>
    <row r="10">
      <c r="A10" s="10" t="inlineStr">
        <is>
          <t>PAM Vault</t>
        </is>
      </c>
      <c r="B10" s="10" t="inlineStr">
        <is>
          <t>Tier 0</t>
        </is>
      </c>
      <c r="C10" s="10" t="inlineStr">
        <is>
          <t>Critical</t>
        </is>
      </c>
      <c r="D10" s="10" t="inlineStr">
        <is>
          <t>PAM admins Tier 0</t>
        </is>
      </c>
      <c r="E10" s="10" t="inlineStr"/>
    </row>
    <row r="11">
      <c r="A11" s="10" t="inlineStr">
        <is>
          <t>Backup Infrastructure</t>
        </is>
      </c>
      <c r="B11" s="10" t="inlineStr">
        <is>
          <t>Tier 0</t>
        </is>
      </c>
      <c r="C11" s="10" t="inlineStr">
        <is>
          <t>Critical</t>
        </is>
      </c>
      <c r="D11" s="10" t="inlineStr">
        <is>
          <t>Backup admins Tier 0</t>
        </is>
      </c>
      <c r="E11" s="10" t="inlineStr"/>
    </row>
    <row r="12">
      <c r="A12" s="10" t="inlineStr">
        <is>
          <t>Production Servers</t>
        </is>
      </c>
      <c r="B12" s="10" t="inlineStr">
        <is>
          <t>Tier 1</t>
        </is>
      </c>
      <c r="C12" s="10" t="inlineStr">
        <is>
          <t>High</t>
        </is>
      </c>
      <c r="D12" s="10" t="inlineStr">
        <is>
          <t>Separate admin accounts, MFA, Session recording</t>
        </is>
      </c>
      <c r="E12" s="10" t="inlineStr"/>
    </row>
    <row r="13">
      <c r="A13" s="10" t="inlineStr">
        <is>
          <t>Production Databases</t>
        </is>
      </c>
      <c r="B13" s="10" t="inlineStr">
        <is>
          <t>Tier 1</t>
        </is>
      </c>
      <c r="C13" s="10" t="inlineStr">
        <is>
          <t>High</t>
        </is>
      </c>
      <c r="D13" s="10" t="inlineStr">
        <is>
          <t>DBAs Tier 1, PAM vaulting</t>
        </is>
      </c>
      <c r="E13" s="10" t="inlineStr"/>
    </row>
    <row r="14">
      <c r="A14" s="10" t="inlineStr">
        <is>
          <t>ERP / CRM Systems</t>
        </is>
      </c>
      <c r="B14" s="10" t="inlineStr">
        <is>
          <t>Tier 1</t>
        </is>
      </c>
      <c r="C14" s="10" t="inlineStr">
        <is>
          <t>High</t>
        </is>
      </c>
      <c r="D14" s="10" t="inlineStr">
        <is>
          <t>App admins Tier 1</t>
        </is>
      </c>
      <c r="E14" s="10" t="inlineStr"/>
    </row>
    <row r="15">
      <c r="A15" s="10" t="inlineStr">
        <is>
          <t>Cloud VMs (Non-Global)</t>
        </is>
      </c>
      <c r="B15" s="10" t="inlineStr">
        <is>
          <t>Tier 1</t>
        </is>
      </c>
      <c r="C15" s="10" t="inlineStr">
        <is>
          <t>Medium</t>
        </is>
      </c>
      <c r="D15" s="10" t="inlineStr">
        <is>
          <t>Subscription admins Tier 1</t>
        </is>
      </c>
      <c r="E15" s="10" t="inlineStr"/>
    </row>
    <row r="16">
      <c r="A16" s="10" t="inlineStr">
        <is>
          <t>User Workstations</t>
        </is>
      </c>
      <c r="B16" s="10" t="inlineStr">
        <is>
          <t>Tier 2</t>
        </is>
      </c>
      <c r="C16" s="10" t="inlineStr">
        <is>
          <t>Low</t>
        </is>
      </c>
      <c r="D16" s="10" t="inlineStr">
        <is>
          <t>Local admin only, MFA</t>
        </is>
      </c>
      <c r="E16" s="10" t="inlineStr"/>
    </row>
    <row r="17">
      <c r="A17" s="10" t="inlineStr">
        <is>
          <t>User Laptops</t>
        </is>
      </c>
      <c r="B17" s="10" t="inlineStr">
        <is>
          <t>Tier 2</t>
        </is>
      </c>
      <c r="C17" s="10" t="inlineStr">
        <is>
          <t>Low</t>
        </is>
      </c>
      <c r="D17" s="10" t="inlineStr">
        <is>
          <t>Help desk local admin</t>
        </is>
      </c>
      <c r="E17" s="10" t="inlineStr"/>
    </row>
    <row r="18">
      <c r="A18" s="10" t="inlineStr">
        <is>
          <t>Mobile Devices</t>
        </is>
      </c>
      <c r="B18" s="10" t="inlineStr">
        <is>
          <t>Tier 2</t>
        </is>
      </c>
      <c r="C18" s="10" t="inlineStr">
        <is>
          <t>Low</t>
        </is>
      </c>
      <c r="D18" s="10" t="inlineStr">
        <is>
          <t>MDM admins</t>
        </is>
      </c>
      <c r="E18" s="10" t="inlineStr"/>
    </row>
    <row r="19">
      <c r="A19" s="16" t="n"/>
      <c r="B19" s="16" t="n"/>
      <c r="C19" s="16" t="n"/>
      <c r="D19" s="16" t="n"/>
      <c r="E19" s="16" t="n"/>
    </row>
    <row r="20">
      <c r="A20" s="16" t="n"/>
      <c r="B20" s="16" t="n"/>
      <c r="C20" s="16" t="n"/>
      <c r="D20" s="16" t="n"/>
      <c r="E20" s="16" t="n"/>
    </row>
    <row r="21">
      <c r="A21" s="16" t="n"/>
      <c r="B21" s="16" t="n"/>
      <c r="C21" s="16" t="n"/>
      <c r="D21" s="16" t="n"/>
      <c r="E21" s="16" t="n"/>
    </row>
    <row r="22">
      <c r="A22" s="16" t="n"/>
      <c r="B22" s="16" t="n"/>
      <c r="C22" s="16" t="n"/>
      <c r="D22" s="16" t="n"/>
      <c r="E22" s="16" t="n"/>
    </row>
    <row r="23">
      <c r="A23" s="16" t="n"/>
      <c r="B23" s="16" t="n"/>
      <c r="C23" s="16" t="n"/>
      <c r="D23" s="16" t="n"/>
      <c r="E23" s="16" t="n"/>
    </row>
    <row r="24">
      <c r="A24" s="16" t="n"/>
      <c r="B24" s="16" t="n"/>
      <c r="C24" s="16" t="n"/>
      <c r="D24" s="16" t="n"/>
      <c r="E24" s="16" t="n"/>
    </row>
    <row r="25">
      <c r="A25" s="16" t="n"/>
      <c r="B25" s="16" t="n"/>
      <c r="C25" s="16" t="n"/>
      <c r="D25" s="16" t="n"/>
      <c r="E25" s="16" t="n"/>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6">
      <c r="A46" s="16" t="n"/>
      <c r="B46" s="16" t="n"/>
      <c r="C46" s="16" t="n"/>
      <c r="D46" s="16" t="n"/>
      <c r="E46" s="16" t="n"/>
    </row>
    <row r="47">
      <c r="A47" s="16" t="n"/>
      <c r="B47" s="16" t="n"/>
      <c r="C47" s="16" t="n"/>
      <c r="D47" s="16" t="n"/>
      <c r="E47" s="16" t="n"/>
    </row>
    <row r="48">
      <c r="A48" s="16" t="n"/>
      <c r="B48" s="16" t="n"/>
      <c r="C48" s="16" t="n"/>
      <c r="D48" s="16" t="n"/>
      <c r="E48" s="16" t="n"/>
    </row>
    <row r="49">
      <c r="A49" s="16" t="n"/>
      <c r="B49" s="16" t="n"/>
      <c r="C49" s="16" t="n"/>
      <c r="D49" s="16" t="n"/>
      <c r="E49" s="16" t="n"/>
    </row>
    <row r="50">
      <c r="A50" s="16" t="n"/>
      <c r="B50" s="16" t="n"/>
      <c r="C50" s="16" t="n"/>
      <c r="D50" s="16" t="n"/>
      <c r="E50" s="16" t="n"/>
    </row>
    <row r="51">
      <c r="A51" s="16" t="n"/>
      <c r="B51" s="16" t="n"/>
      <c r="C51" s="16" t="n"/>
      <c r="D51" s="16" t="n"/>
      <c r="E51" s="16" t="n"/>
    </row>
    <row r="52">
      <c r="A52" s="16" t="n"/>
      <c r="B52" s="16" t="n"/>
      <c r="C52" s="16" t="n"/>
      <c r="D52" s="16" t="n"/>
      <c r="E52" s="16" t="n"/>
    </row>
    <row r="53">
      <c r="A53" s="16" t="n"/>
      <c r="B53" s="16" t="n"/>
      <c r="C53" s="16" t="n"/>
      <c r="D53" s="16" t="n"/>
      <c r="E53" s="16" t="n"/>
    </row>
    <row r="54">
      <c r="A54" s="16" t="n"/>
      <c r="B54" s="16" t="n"/>
      <c r="C54" s="16" t="n"/>
      <c r="D54" s="16" t="n"/>
      <c r="E54" s="16" t="n"/>
    </row>
    <row r="55">
      <c r="A55" s="16" t="n"/>
      <c r="B55" s="16" t="n"/>
      <c r="C55" s="16" t="n"/>
      <c r="D55" s="16" t="n"/>
      <c r="E55" s="16" t="n"/>
    </row>
    <row r="56">
      <c r="A56" s="16" t="n"/>
      <c r="B56" s="16" t="n"/>
      <c r="C56" s="16" t="n"/>
      <c r="D56" s="16" t="n"/>
      <c r="E56" s="16" t="n"/>
    </row>
    <row r="57">
      <c r="A57" s="16" t="n"/>
      <c r="B57" s="16" t="n"/>
      <c r="C57" s="16" t="n"/>
      <c r="D57" s="16" t="n"/>
      <c r="E57" s="16" t="n"/>
    </row>
    <row r="58">
      <c r="A58" s="16" t="n"/>
      <c r="B58" s="16" t="n"/>
      <c r="C58" s="16" t="n"/>
      <c r="D58" s="16" t="n"/>
      <c r="E58" s="16" t="n"/>
    </row>
    <row r="59">
      <c r="A59" s="16" t="n"/>
      <c r="B59" s="16" t="n"/>
      <c r="C59" s="16" t="n"/>
      <c r="D59" s="16" t="n"/>
      <c r="E59" s="16" t="n"/>
    </row>
    <row r="60">
      <c r="A60" s="16" t="n"/>
      <c r="B60" s="16" t="n"/>
      <c r="C60" s="16" t="n"/>
      <c r="D60" s="16" t="n"/>
      <c r="E60" s="16" t="n"/>
    </row>
    <row r="61">
      <c r="A61" s="16" t="n"/>
      <c r="B61" s="16" t="n"/>
      <c r="C61" s="16" t="n"/>
      <c r="D61" s="16" t="n"/>
      <c r="E61" s="16" t="n"/>
    </row>
    <row r="62">
      <c r="A62" s="16" t="n"/>
      <c r="B62" s="16" t="n"/>
      <c r="C62" s="16" t="n"/>
      <c r="D62" s="16" t="n"/>
      <c r="E62" s="16" t="n"/>
    </row>
    <row r="63">
      <c r="A63" s="16" t="n"/>
      <c r="B63" s="16" t="n"/>
      <c r="C63" s="16" t="n"/>
      <c r="D63" s="16" t="n"/>
      <c r="E63" s="16" t="n"/>
    </row>
    <row r="64">
      <c r="A64" s="16" t="n"/>
      <c r="B64" s="16" t="n"/>
      <c r="C64" s="16" t="n"/>
      <c r="D64" s="16" t="n"/>
      <c r="E64" s="16" t="n"/>
    </row>
    <row r="65">
      <c r="A65" s="16" t="n"/>
      <c r="B65" s="16" t="n"/>
      <c r="C65" s="16" t="n"/>
      <c r="D65" s="16" t="n"/>
      <c r="E65" s="16" t="n"/>
    </row>
    <row r="66">
      <c r="A66" s="16" t="n"/>
      <c r="B66" s="16" t="n"/>
      <c r="C66" s="16" t="n"/>
      <c r="D66" s="16" t="n"/>
      <c r="E66" s="16" t="n"/>
    </row>
    <row r="67">
      <c r="A67" s="16" t="n"/>
      <c r="B67" s="16" t="n"/>
      <c r="C67" s="16" t="n"/>
      <c r="D67" s="16" t="n"/>
      <c r="E67" s="16" t="n"/>
    </row>
    <row r="68">
      <c r="A68" s="16" t="n"/>
      <c r="B68" s="16" t="n"/>
      <c r="C68" s="16" t="n"/>
      <c r="D68" s="16" t="n"/>
      <c r="E68" s="16"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USER ROSTER</t>
        </is>
      </c>
    </row>
    <row r="2">
      <c r="A2" s="14" t="inlineStr">
        <is>
          <t>Mapping of users to privileged accounts and tier access</t>
        </is>
      </c>
    </row>
    <row r="4">
      <c r="A4" s="7" t="inlineStr">
        <is>
          <t>User Name</t>
        </is>
      </c>
      <c r="B4" s="7" t="inlineStr">
        <is>
          <t>User ID</t>
        </is>
      </c>
      <c r="C4" s="7" t="inlineStr">
        <is>
          <t>Privileged Accounts Owned</t>
        </is>
      </c>
      <c r="D4" s="7" t="inlineStr">
        <is>
          <t>Tier 0 Access</t>
        </is>
      </c>
      <c r="E4" s="7" t="inlineStr">
        <is>
          <t>Tier 1 Access</t>
        </is>
      </c>
      <c r="F4" s="7" t="inlineStr">
        <is>
          <t>Tier 2 Access</t>
        </is>
      </c>
      <c r="G4" s="7" t="inlineStr">
        <is>
          <t>Business Justification</t>
        </is>
      </c>
      <c r="H4" s="7" t="inlineStr">
        <is>
          <t>Last Review Date</t>
        </is>
      </c>
    </row>
    <row r="5">
      <c r="A5" s="15" t="inlineStr">
        <is>
          <t>[User Name]</t>
        </is>
      </c>
      <c r="B5" s="15" t="inlineStr">
        <is>
          <t>user@example.com</t>
        </is>
      </c>
      <c r="C5" s="15" t="inlineStr">
        <is>
          <t>admin.username</t>
        </is>
      </c>
      <c r="D5" s="15" t="inlineStr">
        <is>
          <t>Yes</t>
        </is>
      </c>
      <c r="E5" s="15" t="inlineStr">
        <is>
          <t>No</t>
        </is>
      </c>
      <c r="F5" s="15" t="inlineStr">
        <is>
          <t>No</t>
        </is>
      </c>
      <c r="G5" s="15" t="inlineStr">
        <is>
          <t>[Justification]</t>
        </is>
      </c>
      <c r="H5" s="15" t="inlineStr">
        <is>
          <t>01.03.2026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PAM VAULT COVERAGE</t>
        </is>
      </c>
    </row>
    <row r="2">
      <c r="A2" s="14" t="inlineStr">
        <is>
          <t>Track which privileged accounts are vaulted in PAM solution (Target: 100% shared accounts)</t>
        </is>
      </c>
    </row>
    <row r="4">
      <c r="A4" s="7" t="inlineStr">
        <is>
          <t>Account Name</t>
        </is>
      </c>
      <c r="B4" s="7" t="inlineStr">
        <is>
          <t>Account Type</t>
        </is>
      </c>
      <c r="C4" s="7" t="inlineStr">
        <is>
          <t>PAM Status</t>
        </is>
      </c>
      <c r="D4" s="7" t="inlineStr">
        <is>
          <t>Vault Date</t>
        </is>
      </c>
      <c r="E4" s="7" t="inlineStr">
        <is>
          <t>JIT Enabled</t>
        </is>
      </c>
      <c r="F4" s="7" t="inlineStr">
        <is>
          <t>Session Recording</t>
        </is>
      </c>
      <c r="G4" s="7" t="inlineStr">
        <is>
          <t>Auto Rotation</t>
        </is>
      </c>
      <c r="H4" s="7" t="inlineStr">
        <is>
          <t>Compliance</t>
        </is>
      </c>
    </row>
    <row r="5">
      <c r="A5" s="15" t="inlineStr">
        <is>
          <t>root</t>
        </is>
      </c>
      <c r="B5" s="15" t="inlineStr">
        <is>
          <t>Shared Privileged (root, Administrator, sa)</t>
        </is>
      </c>
      <c r="C5" s="15" t="inlineStr">
        <is>
          <t>✅ Vaulted - JIT Enabled</t>
        </is>
      </c>
      <c r="D5" s="15" t="inlineStr">
        <is>
          <t>01.03.2026</t>
        </is>
      </c>
      <c r="E5" s="15" t="inlineStr">
        <is>
          <t>Yes</t>
        </is>
      </c>
      <c r="F5" s="15" t="inlineStr">
        <is>
          <t>Yes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C5:C55" showDropDown="0" showInputMessage="0" showErrorMessage="0" allowBlank="1" type="list">
      <formula1>"✅ Vaulted - Active,✅ Vaulted - JIT Enabled,⚠ Vaulted - Rotation Issues,❌ Not Vaulted (Gap),Onboarding In Progress,N/A (Named Account)"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MFA HARDWARE TOKENS</t>
        </is>
      </c>
    </row>
    <row r="2">
      <c r="A2" s="14" t="inlineStr">
        <is>
          <t>Track hardware token (FIDO2) deployment for Tier 0 admins</t>
        </is>
      </c>
    </row>
    <row r="4">
      <c r="A4" s="7" t="inlineStr">
        <is>
          <t>User Name</t>
        </is>
      </c>
      <c r="B4" s="7" t="inlineStr">
        <is>
          <t>Tier 0 Account</t>
        </is>
      </c>
      <c r="C4" s="7" t="inlineStr">
        <is>
          <t>Primary Token Serial</t>
        </is>
      </c>
      <c r="D4" s="7" t="inlineStr">
        <is>
          <t>Backup Token Serial</t>
        </is>
      </c>
      <c r="E4" s="7" t="inlineStr">
        <is>
          <t>Enrollment Date</t>
        </is>
      </c>
      <c r="F4" s="7" t="inlineStr">
        <is>
          <t>Last Tested</t>
        </is>
      </c>
      <c r="G4" s="7" t="inlineStr">
        <is>
          <t>Status</t>
        </is>
      </c>
    </row>
    <row r="5">
      <c r="A5" s="15" t="inlineStr">
        <is>
          <t>[User Name]</t>
        </is>
      </c>
      <c r="B5" s="15" t="inlineStr">
        <is>
          <t>admin.username</t>
        </is>
      </c>
      <c r="C5" s="15" t="inlineStr">
        <is>
          <t>YK-XXXXXXXX</t>
        </is>
      </c>
      <c r="D5" s="15" t="inlineStr">
        <is>
          <t>YK-YYYYYYYY</t>
        </is>
      </c>
      <c r="E5" s="15" t="inlineStr">
        <is>
          <t>01.03.2026</t>
        </is>
      </c>
      <c r="F5" s="15" t="inlineStr">
        <is>
          <t>01.03.2026</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CREDENTIAL ROTATION STATUS</t>
        </is>
      </c>
    </row>
    <row r="2">
      <c r="A2" s="14" t="inlineStr">
        <is>
          <t>Track password rotation for privileged accounts</t>
        </is>
      </c>
    </row>
    <row r="4">
      <c r="A4" s="7" t="inlineStr">
        <is>
          <t>Account Name</t>
        </is>
      </c>
      <c r="B4" s="7" t="inlineStr">
        <is>
          <t>Last Rotation</t>
        </is>
      </c>
      <c r="C4" s="7" t="inlineStr">
        <is>
          <t>Rotation Frequency</t>
        </is>
      </c>
      <c r="D4" s="7" t="inlineStr">
        <is>
          <t>Next Due</t>
        </is>
      </c>
      <c r="E4" s="7" t="inlineStr">
        <is>
          <t>Days Until Due</t>
        </is>
      </c>
      <c r="F4" s="7" t="inlineStr">
        <is>
          <t>Rotation Method</t>
        </is>
      </c>
      <c r="G4" s="7" t="inlineStr">
        <is>
          <t>Compliance</t>
        </is>
      </c>
    </row>
    <row r="5">
      <c r="A5" s="15" t="inlineStr">
        <is>
          <t>root</t>
        </is>
      </c>
      <c r="B5" s="15" t="inlineStr">
        <is>
          <t>01.03.2026</t>
        </is>
      </c>
      <c r="C5" s="15" t="inlineStr">
        <is>
          <t>After Each Use (Check-in)</t>
        </is>
      </c>
      <c r="D5" s="15" t="inlineStr">
        <is>
          <t>01.03.2026</t>
        </is>
      </c>
      <c r="E5" s="15" t="inlineStr">
        <is>
          <t>N/A</t>
        </is>
      </c>
      <c r="F5" s="15" t="inlineStr">
        <is>
          <t>PAM Auto-Rotation</t>
        </is>
      </c>
      <c r="G5" s="15" t="inlineStr">
        <is>
          <t>✅ Compliant</t>
        </is>
      </c>
    </row>
    <row r="6">
      <c r="A6" s="16" t="n"/>
      <c r="B6" s="16" t="n"/>
      <c r="C6" s="16" t="n"/>
      <c r="D6" s="16" t="n"/>
      <c r="E6" s="16">
        <f>IF(D6&lt;&gt;"",D6-TODAY(),"")</f>
        <v/>
      </c>
      <c r="F6" s="16" t="n"/>
      <c r="G6" s="16" t="n"/>
    </row>
    <row r="7">
      <c r="A7" s="16" t="n"/>
      <c r="B7" s="16" t="n"/>
      <c r="C7" s="16" t="n"/>
      <c r="D7" s="16" t="n"/>
      <c r="E7" s="16">
        <f>IF(D7&lt;&gt;"",D7-TODAY(),"")</f>
        <v/>
      </c>
      <c r="F7" s="16" t="n"/>
      <c r="G7" s="16" t="n"/>
    </row>
    <row r="8">
      <c r="A8" s="16" t="n"/>
      <c r="B8" s="16" t="n"/>
      <c r="C8" s="16" t="n"/>
      <c r="D8" s="16" t="n"/>
      <c r="E8" s="16">
        <f>IF(D8&lt;&gt;"",D8-TODAY(),"")</f>
        <v/>
      </c>
      <c r="F8" s="16" t="n"/>
      <c r="G8" s="16" t="n"/>
    </row>
    <row r="9">
      <c r="A9" s="16" t="n"/>
      <c r="B9" s="16" t="n"/>
      <c r="C9" s="16" t="n"/>
      <c r="D9" s="16" t="n"/>
      <c r="E9" s="16">
        <f>IF(D9&lt;&gt;"",D9-TODAY(),"")</f>
        <v/>
      </c>
      <c r="F9" s="16" t="n"/>
      <c r="G9" s="16" t="n"/>
    </row>
    <row r="10">
      <c r="A10" s="16" t="n"/>
      <c r="B10" s="16" t="n"/>
      <c r="C10" s="16" t="n"/>
      <c r="D10" s="16" t="n"/>
      <c r="E10" s="16">
        <f>IF(D10&lt;&gt;"",D10-TODAY(),"")</f>
        <v/>
      </c>
      <c r="F10" s="16" t="n"/>
      <c r="G10" s="16" t="n"/>
    </row>
    <row r="11">
      <c r="A11" s="16" t="n"/>
      <c r="B11" s="16" t="n"/>
      <c r="C11" s="16" t="n"/>
      <c r="D11" s="16" t="n"/>
      <c r="E11" s="16">
        <f>IF(D11&lt;&gt;"",D11-TODAY(),"")</f>
        <v/>
      </c>
      <c r="F11" s="16" t="n"/>
      <c r="G11" s="16" t="n"/>
    </row>
    <row r="12">
      <c r="A12" s="16" t="n"/>
      <c r="B12" s="16" t="n"/>
      <c r="C12" s="16" t="n"/>
      <c r="D12" s="16" t="n"/>
      <c r="E12" s="16">
        <f>IF(D12&lt;&gt;"",D12-TODAY(),"")</f>
        <v/>
      </c>
      <c r="F12" s="16" t="n"/>
      <c r="G12" s="16" t="n"/>
    </row>
    <row r="13">
      <c r="A13" s="16" t="n"/>
      <c r="B13" s="16" t="n"/>
      <c r="C13" s="16" t="n"/>
      <c r="D13" s="16" t="n"/>
      <c r="E13" s="16">
        <f>IF(D13&lt;&gt;"",D13-TODAY(),"")</f>
        <v/>
      </c>
      <c r="F13" s="16" t="n"/>
      <c r="G13" s="16" t="n"/>
    </row>
    <row r="14">
      <c r="A14" s="16" t="n"/>
      <c r="B14" s="16" t="n"/>
      <c r="C14" s="16" t="n"/>
      <c r="D14" s="16" t="n"/>
      <c r="E14" s="16">
        <f>IF(D14&lt;&gt;"",D14-TODAY(),"")</f>
        <v/>
      </c>
      <c r="F14" s="16" t="n"/>
      <c r="G14" s="16" t="n"/>
    </row>
    <row r="15">
      <c r="A15" s="16" t="n"/>
      <c r="B15" s="16" t="n"/>
      <c r="C15" s="16" t="n"/>
      <c r="D15" s="16" t="n"/>
      <c r="E15" s="16">
        <f>IF(D15&lt;&gt;"",D15-TODAY(),"")</f>
        <v/>
      </c>
      <c r="F15" s="16" t="n"/>
      <c r="G15" s="16" t="n"/>
    </row>
    <row r="16">
      <c r="A16" s="16" t="n"/>
      <c r="B16" s="16" t="n"/>
      <c r="C16" s="16" t="n"/>
      <c r="D16" s="16" t="n"/>
      <c r="E16" s="16">
        <f>IF(D16&lt;&gt;"",D16-TODAY(),"")</f>
        <v/>
      </c>
      <c r="F16" s="16" t="n"/>
      <c r="G16" s="16" t="n"/>
    </row>
    <row r="17">
      <c r="A17" s="16" t="n"/>
      <c r="B17" s="16" t="n"/>
      <c r="C17" s="16" t="n"/>
      <c r="D17" s="16" t="n"/>
      <c r="E17" s="16">
        <f>IF(D17&lt;&gt;"",D17-TODAY(),"")</f>
        <v/>
      </c>
      <c r="F17" s="16" t="n"/>
      <c r="G17" s="16" t="n"/>
    </row>
    <row r="18">
      <c r="A18" s="16" t="n"/>
      <c r="B18" s="16" t="n"/>
      <c r="C18" s="16" t="n"/>
      <c r="D18" s="16" t="n"/>
      <c r="E18" s="16">
        <f>IF(D18&lt;&gt;"",D18-TODAY(),"")</f>
        <v/>
      </c>
      <c r="F18" s="16" t="n"/>
      <c r="G18" s="16" t="n"/>
    </row>
    <row r="19">
      <c r="A19" s="16" t="n"/>
      <c r="B19" s="16" t="n"/>
      <c r="C19" s="16" t="n"/>
      <c r="D19" s="16" t="n"/>
      <c r="E19" s="16">
        <f>IF(D19&lt;&gt;"",D19-TODAY(),"")</f>
        <v/>
      </c>
      <c r="F19" s="16" t="n"/>
      <c r="G19" s="16" t="n"/>
    </row>
    <row r="20">
      <c r="A20" s="16" t="n"/>
      <c r="B20" s="16" t="n"/>
      <c r="C20" s="16" t="n"/>
      <c r="D20" s="16" t="n"/>
      <c r="E20" s="16">
        <f>IF(D20&lt;&gt;"",D20-TODAY(),"")</f>
        <v/>
      </c>
      <c r="F20" s="16" t="n"/>
      <c r="G20" s="16" t="n"/>
    </row>
    <row r="21">
      <c r="A21" s="16" t="n"/>
      <c r="B21" s="16" t="n"/>
      <c r="C21" s="16" t="n"/>
      <c r="D21" s="16" t="n"/>
      <c r="E21" s="16">
        <f>IF(D21&lt;&gt;"",D21-TODAY(),"")</f>
        <v/>
      </c>
      <c r="F21" s="16" t="n"/>
      <c r="G21" s="16" t="n"/>
    </row>
    <row r="22">
      <c r="A22" s="16" t="n"/>
      <c r="B22" s="16" t="n"/>
      <c r="C22" s="16" t="n"/>
      <c r="D22" s="16" t="n"/>
      <c r="E22" s="16">
        <f>IF(D22&lt;&gt;"",D22-TODAY(),"")</f>
        <v/>
      </c>
      <c r="F22" s="16" t="n"/>
      <c r="G22" s="16" t="n"/>
    </row>
    <row r="23">
      <c r="A23" s="16" t="n"/>
      <c r="B23" s="16" t="n"/>
      <c r="C23" s="16" t="n"/>
      <c r="D23" s="16" t="n"/>
      <c r="E23" s="16">
        <f>IF(D23&lt;&gt;"",D23-TODAY(),"")</f>
        <v/>
      </c>
      <c r="F23" s="16" t="n"/>
      <c r="G23" s="16" t="n"/>
    </row>
    <row r="24">
      <c r="A24" s="16" t="n"/>
      <c r="B24" s="16" t="n"/>
      <c r="C24" s="16" t="n"/>
      <c r="D24" s="16" t="n"/>
      <c r="E24" s="16">
        <f>IF(D24&lt;&gt;"",D24-TODAY(),"")</f>
        <v/>
      </c>
      <c r="F24" s="16" t="n"/>
      <c r="G24" s="16" t="n"/>
    </row>
    <row r="25">
      <c r="A25" s="16" t="n"/>
      <c r="B25" s="16" t="n"/>
      <c r="C25" s="16" t="n"/>
      <c r="D25" s="16" t="n"/>
      <c r="E25" s="16">
        <f>IF(D25&lt;&gt;"",D25-TODAY(),"")</f>
        <v/>
      </c>
      <c r="F25" s="16" t="n"/>
      <c r="G25" s="16" t="n"/>
    </row>
    <row r="26">
      <c r="A26" s="16" t="n"/>
      <c r="B26" s="16" t="n"/>
      <c r="C26" s="16" t="n"/>
      <c r="D26" s="16" t="n"/>
      <c r="E26" s="16">
        <f>IF(D26&lt;&gt;"",D26-TODAY(),"")</f>
        <v/>
      </c>
      <c r="F26" s="16" t="n"/>
      <c r="G26" s="16" t="n"/>
    </row>
    <row r="27">
      <c r="A27" s="16" t="n"/>
      <c r="B27" s="16" t="n"/>
      <c r="C27" s="16" t="n"/>
      <c r="D27" s="16" t="n"/>
      <c r="E27" s="16">
        <f>IF(D27&lt;&gt;"",D27-TODAY(),"")</f>
        <v/>
      </c>
      <c r="F27" s="16" t="n"/>
      <c r="G27" s="16" t="n"/>
    </row>
    <row r="28">
      <c r="A28" s="16" t="n"/>
      <c r="B28" s="16" t="n"/>
      <c r="C28" s="16" t="n"/>
      <c r="D28" s="16" t="n"/>
      <c r="E28" s="16">
        <f>IF(D28&lt;&gt;"",D28-TODAY(),"")</f>
        <v/>
      </c>
      <c r="F28" s="16" t="n"/>
      <c r="G28" s="16" t="n"/>
    </row>
    <row r="29">
      <c r="A29" s="16" t="n"/>
      <c r="B29" s="16" t="n"/>
      <c r="C29" s="16" t="n"/>
      <c r="D29" s="16" t="n"/>
      <c r="E29" s="16">
        <f>IF(D29&lt;&gt;"",D29-TODAY(),"")</f>
        <v/>
      </c>
      <c r="F29" s="16" t="n"/>
      <c r="G29" s="16" t="n"/>
    </row>
    <row r="30">
      <c r="A30" s="16" t="n"/>
      <c r="B30" s="16" t="n"/>
      <c r="C30" s="16" t="n"/>
      <c r="D30" s="16" t="n"/>
      <c r="E30" s="16">
        <f>IF(D30&lt;&gt;"",D30-TODAY(),"")</f>
        <v/>
      </c>
      <c r="F30" s="16" t="n"/>
      <c r="G30" s="16" t="n"/>
    </row>
    <row r="31">
      <c r="A31" s="16" t="n"/>
      <c r="B31" s="16" t="n"/>
      <c r="C31" s="16" t="n"/>
      <c r="D31" s="16" t="n"/>
      <c r="E31" s="16">
        <f>IF(D31&lt;&gt;"",D31-TODAY(),"")</f>
        <v/>
      </c>
      <c r="F31" s="16" t="n"/>
      <c r="G31" s="16" t="n"/>
    </row>
    <row r="32">
      <c r="A32" s="16" t="n"/>
      <c r="B32" s="16" t="n"/>
      <c r="C32" s="16" t="n"/>
      <c r="D32" s="16" t="n"/>
      <c r="E32" s="16">
        <f>IF(D32&lt;&gt;"",D32-TODAY(),"")</f>
        <v/>
      </c>
      <c r="F32" s="16" t="n"/>
      <c r="G32" s="16" t="n"/>
    </row>
    <row r="33">
      <c r="A33" s="16" t="n"/>
      <c r="B33" s="16" t="n"/>
      <c r="C33" s="16" t="n"/>
      <c r="D33" s="16" t="n"/>
      <c r="E33" s="16">
        <f>IF(D33&lt;&gt;"",D33-TODAY(),"")</f>
        <v/>
      </c>
      <c r="F33" s="16" t="n"/>
      <c r="G33" s="16" t="n"/>
    </row>
    <row r="34">
      <c r="A34" s="16" t="n"/>
      <c r="B34" s="16" t="n"/>
      <c r="C34" s="16" t="n"/>
      <c r="D34" s="16" t="n"/>
      <c r="E34" s="16">
        <f>IF(D34&lt;&gt;"",D34-TODAY(),"")</f>
        <v/>
      </c>
      <c r="F34" s="16" t="n"/>
      <c r="G34" s="16" t="n"/>
    </row>
    <row r="35">
      <c r="A35" s="16" t="n"/>
      <c r="B35" s="16" t="n"/>
      <c r="C35" s="16" t="n"/>
      <c r="D35" s="16" t="n"/>
      <c r="E35" s="16">
        <f>IF(D35&lt;&gt;"",D35-TODAY(),"")</f>
        <v/>
      </c>
      <c r="F35" s="16" t="n"/>
      <c r="G35" s="16" t="n"/>
    </row>
    <row r="36">
      <c r="A36" s="16" t="n"/>
      <c r="B36" s="16" t="n"/>
      <c r="C36" s="16" t="n"/>
      <c r="D36" s="16" t="n"/>
      <c r="E36" s="16">
        <f>IF(D36&lt;&gt;"",D36-TODAY(),"")</f>
        <v/>
      </c>
      <c r="F36" s="16" t="n"/>
      <c r="G36" s="16" t="n"/>
    </row>
    <row r="37">
      <c r="A37" s="16" t="n"/>
      <c r="B37" s="16" t="n"/>
      <c r="C37" s="16" t="n"/>
      <c r="D37" s="16" t="n"/>
      <c r="E37" s="16">
        <f>IF(D37&lt;&gt;"",D37-TODAY(),"")</f>
        <v/>
      </c>
      <c r="F37" s="16" t="n"/>
      <c r="G37" s="16" t="n"/>
    </row>
    <row r="38">
      <c r="A38" s="16" t="n"/>
      <c r="B38" s="16" t="n"/>
      <c r="C38" s="16" t="n"/>
      <c r="D38" s="16" t="n"/>
      <c r="E38" s="16">
        <f>IF(D38&lt;&gt;"",D38-TODAY(),"")</f>
        <v/>
      </c>
      <c r="F38" s="16" t="n"/>
      <c r="G38" s="16" t="n"/>
    </row>
    <row r="39">
      <c r="A39" s="16" t="n"/>
      <c r="B39" s="16" t="n"/>
      <c r="C39" s="16" t="n"/>
      <c r="D39" s="16" t="n"/>
      <c r="E39" s="16">
        <f>IF(D39&lt;&gt;"",D39-TODAY(),"")</f>
        <v/>
      </c>
      <c r="F39" s="16" t="n"/>
      <c r="G39" s="16" t="n"/>
    </row>
    <row r="40">
      <c r="A40" s="16" t="n"/>
      <c r="B40" s="16" t="n"/>
      <c r="C40" s="16" t="n"/>
      <c r="D40" s="16" t="n"/>
      <c r="E40" s="16">
        <f>IF(D40&lt;&gt;"",D40-TODAY(),"")</f>
        <v/>
      </c>
      <c r="F40" s="16" t="n"/>
      <c r="G40" s="16" t="n"/>
    </row>
    <row r="41">
      <c r="A41" s="16" t="n"/>
      <c r="B41" s="16" t="n"/>
      <c r="C41" s="16" t="n"/>
      <c r="D41" s="16" t="n"/>
      <c r="E41" s="16">
        <f>IF(D41&lt;&gt;"",D41-TODAY(),"")</f>
        <v/>
      </c>
      <c r="F41" s="16" t="n"/>
      <c r="G41" s="16" t="n"/>
    </row>
    <row r="42">
      <c r="A42" s="16" t="n"/>
      <c r="B42" s="16" t="n"/>
      <c r="C42" s="16" t="n"/>
      <c r="D42" s="16" t="n"/>
      <c r="E42" s="16">
        <f>IF(D42&lt;&gt;"",D42-TODAY(),"")</f>
        <v/>
      </c>
      <c r="F42" s="16" t="n"/>
      <c r="G42" s="16" t="n"/>
    </row>
    <row r="43">
      <c r="A43" s="16" t="n"/>
      <c r="B43" s="16" t="n"/>
      <c r="C43" s="16" t="n"/>
      <c r="D43" s="16" t="n"/>
      <c r="E43" s="16">
        <f>IF(D43&lt;&gt;"",D43-TODAY(),"")</f>
        <v/>
      </c>
      <c r="F43" s="16" t="n"/>
      <c r="G43" s="16" t="n"/>
    </row>
    <row r="44">
      <c r="A44" s="16" t="n"/>
      <c r="B44" s="16" t="n"/>
      <c r="C44" s="16" t="n"/>
      <c r="D44" s="16" t="n"/>
      <c r="E44" s="16">
        <f>IF(D44&lt;&gt;"",D44-TODAY(),"")</f>
        <v/>
      </c>
      <c r="F44" s="16" t="n"/>
      <c r="G44" s="16" t="n"/>
    </row>
    <row r="45">
      <c r="A45" s="16" t="n"/>
      <c r="B45" s="16" t="n"/>
      <c r="C45" s="16" t="n"/>
      <c r="D45" s="16" t="n"/>
      <c r="E45" s="16">
        <f>IF(D45&lt;&gt;"",D45-TODAY(),"")</f>
        <v/>
      </c>
      <c r="F45" s="16" t="n"/>
      <c r="G45" s="16" t="n"/>
    </row>
    <row r="46">
      <c r="A46" s="16" t="n"/>
      <c r="B46" s="16" t="n"/>
      <c r="C46" s="16" t="n"/>
      <c r="D46" s="16" t="n"/>
      <c r="E46" s="16">
        <f>IF(D46&lt;&gt;"",D46-TODAY(),"")</f>
        <v/>
      </c>
      <c r="F46" s="16" t="n"/>
      <c r="G46" s="16" t="n"/>
    </row>
    <row r="47">
      <c r="A47" s="16" t="n"/>
      <c r="B47" s="16" t="n"/>
      <c r="C47" s="16" t="n"/>
      <c r="D47" s="16" t="n"/>
      <c r="E47" s="16">
        <f>IF(D47&lt;&gt;"",D47-TODAY(),"")</f>
        <v/>
      </c>
      <c r="F47" s="16" t="n"/>
      <c r="G47" s="16" t="n"/>
    </row>
    <row r="48">
      <c r="A48" s="16" t="n"/>
      <c r="B48" s="16" t="n"/>
      <c r="C48" s="16" t="n"/>
      <c r="D48" s="16" t="n"/>
      <c r="E48" s="16">
        <f>IF(D48&lt;&gt;"",D48-TODAY(),"")</f>
        <v/>
      </c>
      <c r="F48" s="16" t="n"/>
      <c r="G48" s="16" t="n"/>
    </row>
    <row r="49">
      <c r="A49" s="16" t="n"/>
      <c r="B49" s="16" t="n"/>
      <c r="C49" s="16" t="n"/>
      <c r="D49" s="16" t="n"/>
      <c r="E49" s="16">
        <f>IF(D49&lt;&gt;"",D49-TODAY(),"")</f>
        <v/>
      </c>
      <c r="F49" s="16" t="n"/>
      <c r="G49" s="16" t="n"/>
    </row>
    <row r="50">
      <c r="A50" s="16" t="n"/>
      <c r="B50" s="16" t="n"/>
      <c r="C50" s="16" t="n"/>
      <c r="D50" s="16" t="n"/>
      <c r="E50" s="16">
        <f>IF(D50&lt;&gt;"",D50-TODAY(),"")</f>
        <v/>
      </c>
      <c r="F50" s="16" t="n"/>
      <c r="G50" s="16" t="n"/>
    </row>
    <row r="51">
      <c r="A51" s="16" t="n"/>
      <c r="B51" s="16" t="n"/>
      <c r="C51" s="16" t="n"/>
      <c r="D51" s="16" t="n"/>
      <c r="E51" s="16">
        <f>IF(D51&lt;&gt;"",D51-TODAY(),"")</f>
        <v/>
      </c>
      <c r="F51" s="16" t="n"/>
      <c r="G51" s="16" t="n"/>
    </row>
    <row r="52">
      <c r="A52" s="16" t="n"/>
      <c r="B52" s="16" t="n"/>
      <c r="C52" s="16" t="n"/>
      <c r="D52" s="16" t="n"/>
      <c r="E52" s="16">
        <f>IF(D52&lt;&gt;"",D52-TODAY(),"")</f>
        <v/>
      </c>
      <c r="F52" s="16" t="n"/>
      <c r="G52" s="16" t="n"/>
    </row>
    <row r="53">
      <c r="A53" s="16" t="n"/>
      <c r="B53" s="16" t="n"/>
      <c r="C53" s="16" t="n"/>
      <c r="D53" s="16" t="n"/>
      <c r="E53" s="16">
        <f>IF(D53&lt;&gt;"",D53-TODAY(),"")</f>
        <v/>
      </c>
      <c r="F53" s="16" t="n"/>
      <c r="G53" s="16" t="n"/>
    </row>
    <row r="54">
      <c r="A54" s="16" t="n"/>
      <c r="B54" s="16" t="n"/>
      <c r="C54" s="16" t="n"/>
      <c r="D54" s="16" t="n"/>
      <c r="E54" s="16">
        <f>IF(D54&lt;&gt;"",D54-TODAY(),"")</f>
        <v/>
      </c>
      <c r="F54" s="16" t="n"/>
      <c r="G54" s="16" t="n"/>
    </row>
    <row r="55">
      <c r="A55" s="16" t="n"/>
      <c r="B55" s="16" t="n"/>
      <c r="C55" s="16" t="n"/>
      <c r="D55" s="16" t="n"/>
      <c r="E55" s="16">
        <f>IF(D55&lt;&gt;"",D55-TODAY(),"")</f>
        <v/>
      </c>
      <c r="F55" s="16" t="n"/>
      <c r="G55" s="16" t="n"/>
    </row>
  </sheetData>
  <mergeCells count="2">
    <mergeCell ref="A2:G2"/>
    <mergeCell ref="A1:G1"/>
  </mergeCells>
  <dataValidations count="1">
    <dataValidation sqref="C5:C55" showDropDown="0" showInputMessage="0" showErrorMessage="0" allowBlank="1" type="list">
      <formula1>"After Each Use (Check-in),Daily,Weekly,Monthly,Quarterly,On Demand Only,Not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ACCESS REVIEW RESULTS</t>
        </is>
      </c>
    </row>
    <row r="2">
      <c r="A2" s="14" t="inlineStr">
        <is>
          <t>Track quarterly reviews of privileged access (MANDATORY)</t>
        </is>
      </c>
    </row>
    <row r="4">
      <c r="A4" s="7" t="inlineStr">
        <is>
          <t>Review Period</t>
        </is>
      </c>
      <c r="B4" s="7" t="inlineStr">
        <is>
          <t>User</t>
        </is>
      </c>
      <c r="C4" s="7" t="inlineStr">
        <is>
          <t>Privileged Account</t>
        </is>
      </c>
      <c r="D4" s="7" t="inlineStr">
        <is>
          <t>Access Confirmed</t>
        </is>
      </c>
      <c r="E4" s="7" t="inlineStr">
        <is>
          <t>Access Removed</t>
        </is>
      </c>
      <c r="F4" s="7" t="inlineStr">
        <is>
          <t>Business Justification</t>
        </is>
      </c>
      <c r="G4" s="7" t="inlineStr">
        <is>
          <t>Reviewer</t>
        </is>
      </c>
      <c r="H4" s="7" t="inlineStr">
        <is>
          <t>Review Date</t>
        </is>
      </c>
    </row>
    <row r="5">
      <c r="A5" s="15" t="inlineStr">
        <is>
          <t>Q1 2026</t>
        </is>
      </c>
      <c r="B5" s="15" t="inlineStr">
        <is>
          <t>[User Name]</t>
        </is>
      </c>
      <c r="C5" s="15" t="inlineStr">
        <is>
          <t>admin.username</t>
        </is>
      </c>
      <c r="D5" s="15" t="inlineStr">
        <is>
          <t>Yes</t>
        </is>
      </c>
      <c r="E5" s="15" t="inlineStr">
        <is>
          <t>No</t>
        </is>
      </c>
      <c r="F5" s="15" t="inlineStr">
        <is>
          <t>[Justification]</t>
        </is>
      </c>
      <c r="G5" s="15" t="inlineStr">
        <is>
          <t>[Reviewer Name]</t>
        </is>
      </c>
      <c r="H5" s="15" t="inlineStr">
        <is>
          <t>01.03.2026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ISOLATION COMPLIANCE</t>
        </is>
      </c>
    </row>
    <row r="2">
      <c r="A2" s="14" t="inlineStr">
        <is>
          <t>Monitor and investigate cross-tier login attempts (target: ZERO violations)</t>
        </is>
      </c>
    </row>
    <row r="4">
      <c r="A4" s="7" t="inlineStr">
        <is>
          <t>Date</t>
        </is>
      </c>
      <c r="B4" s="7" t="inlineStr">
        <is>
          <t>Account</t>
        </is>
      </c>
      <c r="C4" s="7" t="inlineStr">
        <is>
          <t>Account Tier</t>
        </is>
      </c>
      <c r="D4" s="7" t="inlineStr">
        <is>
          <t>System Accessed</t>
        </is>
      </c>
      <c r="E4" s="7" t="inlineStr">
        <is>
          <t>System Tier</t>
        </is>
      </c>
      <c r="F4" s="7" t="inlineStr">
        <is>
          <t>Violation Type</t>
        </is>
      </c>
      <c r="G4" s="7" t="inlineStr">
        <is>
          <t>Investigation Status</t>
        </is>
      </c>
      <c r="H4" s="7" t="inlineStr">
        <is>
          <t>Remediation</t>
        </is>
      </c>
    </row>
    <row r="5">
      <c r="A5" s="15" t="inlineStr">
        <is>
          <t>01.03.2026</t>
        </is>
      </c>
      <c r="B5" s="15" t="inlineStr">
        <is>
          <t>[Account]</t>
        </is>
      </c>
      <c r="C5" s="15" t="inlineStr">
        <is>
          <t>Tier 0 (Domain/Enterprise/Critical)</t>
        </is>
      </c>
      <c r="D5" s="15" t="inlineStr">
        <is>
          <t>[System]</t>
        </is>
      </c>
      <c r="E5" s="15" t="inlineStr">
        <is>
          <t>Tier 2 (Workstation/Endpoint)</t>
        </is>
      </c>
      <c r="F5" s="15" t="inlineStr">
        <is>
          <t>Tier 0 account on Tier 2 system</t>
        </is>
      </c>
      <c r="G5" s="15" t="inlineStr">
        <is>
          <t>Under Investigation</t>
        </is>
      </c>
      <c r="H5" s="15" t="inlineStr">
        <is>
          <t>[Remediation action]</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ISMS-IMP-A.8.2-3-5.S3 - Privileged Accounts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Report</t>
        </is>
      </c>
      <c r="D5" s="15" t="inlineStr">
        <is>
          <t>Privileged account inventory export from PAM vault</t>
        </is>
      </c>
      <c r="E5" s="15" t="inlineStr">
        <is>
          <t>SharePoint/Evidence/A8235/</t>
        </is>
      </c>
      <c r="F5" s="15" t="inlineStr">
        <is>
          <t>01.03.2026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ACCOUNTS — SUMMARY DASHBOARD</t>
        </is>
      </c>
    </row>
    <row r="2">
      <c r="A2" s="19" t="inlineStr">
        <is>
          <t>Privileged account inventory, PAM vault coverage, MFA enrolment, and credential rotation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Privileged Account Inventory</t>
        </is>
      </c>
      <c r="B5" s="23">
        <f>COUNTA('Privileged Account Inventory'!B6:B55)</f>
        <v/>
      </c>
      <c r="C5" s="23">
        <f>COUNTIF('Privileged Account Inventory'!M6:M55,"✅ Compliant")</f>
        <v/>
      </c>
      <c r="D5" s="23">
        <f>COUNTIF('Privileged Account Inventory'!M6:M55,"⚠ Partial Compliance")</f>
        <v/>
      </c>
      <c r="E5" s="23">
        <f>COUNTIF('Privileged Account Inventory'!M6:M55,"❌ Non-Compliant")</f>
        <v/>
      </c>
      <c r="F5" s="23">
        <f>COUNTIF('Privileged Account Inventory'!M6:M55,"N/A")</f>
        <v/>
      </c>
      <c r="G5" s="24">
        <f>IF((B5-F5)=0,0,C5/(B5-F5))</f>
        <v/>
      </c>
    </row>
    <row r="6">
      <c r="A6" s="23" t="inlineStr">
        <is>
          <t>PAM Vault Coverage</t>
        </is>
      </c>
      <c r="B6" s="23">
        <f>COUNTA('PAM Vault Coverage'!B6:B105)</f>
        <v/>
      </c>
      <c r="C6" s="23">
        <f>COUNTIF('PAM Vault Coverage'!C6:C105,"✅ Vaulted - Active")+COUNTIF('PAM Vault Coverage'!C6:C105,"✅ Vaulted - JIT Enabled")</f>
        <v/>
      </c>
      <c r="D6" s="23">
        <f>COUNTIF('PAM Vault Coverage'!C6:C105,"⚠ Vaulted - Rotation Issues")+COUNTIF('PAM Vault Coverage'!C6:C105,"Onboarding In Progress")</f>
        <v/>
      </c>
      <c r="E6" s="23">
        <f>COUNTIF('PAM Vault Coverage'!C6:C105,"❌ Not Vaulted (Gap)")</f>
        <v/>
      </c>
      <c r="F6" s="23">
        <f>COUNTIF('PAM Vault Coverage'!C6:C105,"N/A (Named Account)")</f>
        <v/>
      </c>
      <c r="G6" s="24">
        <f>IF((B6-F6)=0,0,C6/(B6-F6))</f>
        <v/>
      </c>
    </row>
    <row r="7">
      <c r="A7" s="23" t="inlineStr">
        <is>
          <t>MFA Enrolment (Privileged)</t>
        </is>
      </c>
      <c r="B7" s="23">
        <f>COUNTA('Privileged Account Inventory'!B6:B55)</f>
        <v/>
      </c>
      <c r="C7" s="23">
        <f>COUNTIF('Privileged Account Inventory'!G6:G55,"✅ Enrolled - Active")+COUNTIF('Privileged Account Inventory'!G6:G55,"✅ Enrolled - Verified")</f>
        <v/>
      </c>
      <c r="D7" s="23">
        <f>0</f>
        <v/>
      </c>
      <c r="E7" s="23">
        <f>COUNTIF('Privileged Account Inventory'!G6:G55,"❌ Not Enrolled")</f>
        <v/>
      </c>
      <c r="F7" s="23">
        <f>0</f>
        <v/>
      </c>
      <c r="G7" s="24">
        <f>IF((B7-F7)=0,0,C7/(B7-F7))</f>
        <v/>
      </c>
    </row>
    <row r="8">
      <c r="A8" s="23" t="inlineStr">
        <is>
          <t>Credential Rotation Status</t>
        </is>
      </c>
      <c r="B8" s="23">
        <f>COUNTA('Credential Rotation Status'!B6:B55)</f>
        <v/>
      </c>
      <c r="C8" s="23">
        <f>COUNTIF('Credential Rotation Status'!C6:C55,"After Each Use (Check-in)")+COUNTIF('Credential Rotation Status'!C6:C55,"Daily")+COUNTIF('Credential Rotation Status'!C6:C55,"Weekly")+COUNTIF('Credential Rotation Status'!C6:C55,"Monthly")</f>
        <v/>
      </c>
      <c r="D8" s="23">
        <f>COUNTIF('Credential Rotation Status'!C6:C55,"Quarterly")+COUNTIF('Credential Rotation Status'!C6:C55,"On Demand Only")</f>
        <v/>
      </c>
      <c r="E8" s="23">
        <f>0</f>
        <v/>
      </c>
      <c r="F8" s="23">
        <f>COUNTIF('Credential Rotation Status'!C6:C55,"Not Applicable")</f>
        <v/>
      </c>
      <c r="G8" s="24">
        <f>IF((B8-F8)=0,0,C8/(B8-F8))</f>
        <v/>
      </c>
    </row>
    <row r="9">
      <c r="A9" s="25" t="n"/>
      <c r="B9" s="25" t="n"/>
      <c r="C9" s="25" t="n"/>
      <c r="D9" s="25" t="n"/>
      <c r="E9" s="25" t="n"/>
      <c r="F9" s="25" t="n"/>
      <c r="G9" s="25" t="n"/>
    </row>
    <row r="10">
      <c r="A10" s="25" t="n"/>
      <c r="B10" s="25" t="n"/>
      <c r="C10" s="25" t="n"/>
      <c r="D10" s="25" t="n"/>
      <c r="E10" s="25" t="n"/>
      <c r="F10" s="25" t="n"/>
      <c r="G10" s="25" t="n"/>
    </row>
    <row r="12">
      <c r="A12" s="20" t="inlineStr">
        <is>
          <t>TABLE 2 — KEY PERFORMANCE INDICATORS</t>
        </is>
      </c>
      <c r="B12" s="21" t="n"/>
      <c r="C12" s="21" t="n"/>
      <c r="D12" s="21" t="n"/>
      <c r="E12" s="21" t="n"/>
      <c r="F12" s="21" t="n"/>
      <c r="G12" s="21" t="n"/>
    </row>
    <row r="13">
      <c r="A13" s="22" t="inlineStr">
        <is>
          <t>KPI</t>
        </is>
      </c>
      <c r="B13" s="22" t="inlineStr">
        <is>
          <t>Current Value</t>
        </is>
      </c>
      <c r="C13" s="22" t="inlineStr">
        <is>
          <t>Target</t>
        </is>
      </c>
      <c r="D13" s="22" t="inlineStr">
        <is>
          <t>Status</t>
        </is>
      </c>
      <c r="E13" s="22" t="inlineStr">
        <is>
          <t>Last Updated</t>
        </is>
      </c>
      <c r="F13" s="22" t="inlineStr">
        <is>
          <t>Owner</t>
        </is>
      </c>
      <c r="G13" s="22" t="inlineStr">
        <is>
          <t>Notes</t>
        </is>
      </c>
    </row>
    <row r="14">
      <c r="A14" s="26" t="inlineStr">
        <is>
          <t>Total Privileged Accounts</t>
        </is>
      </c>
      <c r="B14" s="26">
        <f>COUNTA('Privileged Account Inventory'!B6:B55)</f>
        <v/>
      </c>
      <c r="C14" s="26" t="inlineStr"/>
      <c r="D14" s="26" t="inlineStr"/>
      <c r="E14" s="26" t="inlineStr"/>
      <c r="F14" s="26" t="inlineStr"/>
      <c r="G14" s="26" t="inlineStr"/>
    </row>
    <row r="15">
      <c r="A15" s="26" t="inlineStr">
        <is>
          <t>Account Compliance Rate</t>
        </is>
      </c>
      <c r="B15" s="27">
        <f>IF(COUNTA('Privileged Account Inventory'!B6:B55)=0,0,COUNTIF('Privileged Account Inventory'!M6:M55,"✅ Compliant")/COUNTA('Privileged Account Inventory'!B6:B55))</f>
        <v/>
      </c>
      <c r="C15" s="26" t="inlineStr"/>
      <c r="D15" s="26" t="inlineStr"/>
      <c r="E15" s="26" t="inlineStr"/>
      <c r="F15" s="26" t="inlineStr"/>
      <c r="G15" s="26" t="inlineStr"/>
    </row>
    <row r="16">
      <c r="A16" s="26" t="inlineStr">
        <is>
          <t>Tier 0 Accounts</t>
        </is>
      </c>
      <c r="B16" s="26">
        <f>COUNTIF('Privileged Account Inventory'!C6:C55,"Tier 0 (Domain/Enterprise/Critical)")</f>
        <v/>
      </c>
      <c r="C16" s="26" t="inlineStr"/>
      <c r="D16" s="26" t="inlineStr"/>
      <c r="E16" s="26" t="inlineStr"/>
      <c r="F16" s="26" t="inlineStr"/>
      <c r="G16" s="26" t="inlineStr"/>
    </row>
    <row r="17">
      <c r="A17" s="26" t="inlineStr">
        <is>
          <t>PAM Vault Coverage Rate</t>
        </is>
      </c>
      <c r="B17" s="27">
        <f>IF(COUNTA('PAM Vault Coverage'!B6:B105)=0,0,(COUNTIF('PAM Vault Coverage'!C6:C105,"✅ Vaulted - Active")+COUNTIF('PAM Vault Coverage'!C6:C105,"✅ Vaulted - JIT Enabled"))/COUNTA('PAM Vault Coverage'!B6:B105))</f>
        <v/>
      </c>
      <c r="C17" s="26" t="inlineStr"/>
      <c r="D17" s="26" t="inlineStr"/>
      <c r="E17" s="26" t="inlineStr"/>
      <c r="F17" s="26" t="inlineStr"/>
      <c r="G17" s="26" t="inlineStr"/>
    </row>
    <row r="18">
      <c r="A18" s="26" t="inlineStr">
        <is>
          <t>Not Vaulted (Gap)</t>
        </is>
      </c>
      <c r="B18" s="26">
        <f>COUNTIF('PAM Vault Coverage'!C6:C105,"❌ Not Vaulted (Gap)")</f>
        <v/>
      </c>
      <c r="C18" s="26" t="inlineStr"/>
      <c r="D18" s="26" t="inlineStr"/>
      <c r="E18" s="26" t="inlineStr"/>
      <c r="F18" s="26" t="inlineStr"/>
      <c r="G18" s="26" t="inlineStr"/>
    </row>
    <row r="19">
      <c r="A19" s="26" t="inlineStr">
        <is>
          <t>MFA Enrolled (Privileged)</t>
        </is>
      </c>
      <c r="B19" s="27">
        <f>IF(COUNTA('Privileged Account Inventory'!B6:B55)=0,0,(COUNTIF('Privileged Account Inventory'!G6:G55,"✅ Enrolled - Active")+COUNTIF('Privileged Account Inventory'!G6:G55,"✅ Enrolled - Verified"))/COUNTA('Privileged Account Inventory'!B6:B55))</f>
        <v/>
      </c>
      <c r="C19" s="26" t="inlineStr"/>
      <c r="D19" s="26" t="inlineStr"/>
      <c r="E19" s="26" t="inlineStr"/>
      <c r="F19" s="26" t="inlineStr"/>
      <c r="G19" s="26" t="inlineStr"/>
    </row>
    <row r="20">
      <c r="A20" s="26" t="inlineStr">
        <is>
          <t>Credential Rotation Tracked</t>
        </is>
      </c>
      <c r="B20" s="26">
        <f>COUNTA('Credential Rotation Status'!B6:B55)</f>
        <v/>
      </c>
      <c r="C20" s="26" t="inlineStr"/>
      <c r="D20" s="26" t="inlineStr"/>
      <c r="E20" s="26" t="inlineStr"/>
      <c r="F20" s="26" t="inlineStr"/>
      <c r="G20" s="26" t="inlineStr"/>
    </row>
    <row r="21">
      <c r="A21" s="26" t="inlineStr">
        <is>
          <t>Access Reviews on Record</t>
        </is>
      </c>
      <c r="B21" s="26">
        <f>COUNTA('Access Review Results'!B6:B55)</f>
        <v/>
      </c>
      <c r="C21" s="26" t="inlineStr"/>
      <c r="D21" s="26" t="inlineStr"/>
      <c r="E21" s="26" t="inlineStr"/>
      <c r="F21" s="26" t="inlineStr"/>
      <c r="G21" s="26" t="inlineStr"/>
    </row>
    <row r="22">
      <c r="A22" s="26" t="inlineStr">
        <is>
          <t>Non-Compliant Accounts</t>
        </is>
      </c>
      <c r="B22" s="26">
        <f>COUNTIF('Privileged Account Inventory'!M6:M55,"❌ Non-Compliant")</f>
        <v/>
      </c>
      <c r="C22" s="26" t="inlineStr"/>
      <c r="D22" s="26" t="inlineStr"/>
      <c r="E22" s="26" t="inlineStr"/>
      <c r="F22" s="26" t="inlineStr"/>
      <c r="G22" s="26" t="inlineStr"/>
    </row>
    <row r="23">
      <c r="A23" s="26" t="inlineStr">
        <is>
          <t>Tier Isolation Records</t>
        </is>
      </c>
      <c r="B23" s="26">
        <f>COUNTA('Tier Isolation Compliance'!B6:B55)</f>
        <v/>
      </c>
      <c r="C23" s="26" t="inlineStr"/>
      <c r="D23" s="26" t="inlineStr"/>
      <c r="E23" s="26" t="inlineStr"/>
      <c r="F23" s="26" t="inlineStr"/>
      <c r="G23" s="26" t="inlineStr"/>
    </row>
    <row r="24">
      <c r="A24" s="25" t="n"/>
      <c r="B24" s="25" t="n"/>
      <c r="C24" s="25" t="n"/>
      <c r="D24" s="25" t="n"/>
      <c r="E24" s="25" t="n"/>
      <c r="F24" s="25" t="n"/>
      <c r="G24" s="25" t="n"/>
    </row>
    <row r="25">
      <c r="A25" s="25" t="n"/>
      <c r="B25" s="25" t="n"/>
      <c r="C25" s="25" t="n"/>
      <c r="D25" s="25" t="n"/>
      <c r="E25" s="25" t="n"/>
      <c r="F25" s="25" t="n"/>
      <c r="G25" s="25" t="n"/>
    </row>
    <row r="27">
      <c r="A27" s="28" t="inlineStr">
        <is>
          <t>TABLE 3 — CRITICAL FINDINGS</t>
        </is>
      </c>
      <c r="B27" s="21" t="n"/>
      <c r="C27" s="21" t="n"/>
      <c r="D27" s="21" t="n"/>
      <c r="E27" s="21" t="n"/>
      <c r="F27" s="21" t="n"/>
      <c r="G27" s="21" t="n"/>
    </row>
    <row r="28">
      <c r="A28" s="22" t="inlineStr">
        <is>
          <t>Account ID</t>
        </is>
      </c>
      <c r="B28" s="22" t="inlineStr">
        <is>
          <t>Account Name</t>
        </is>
      </c>
      <c r="C28" s="22" t="inlineStr">
        <is>
          <t>Admin Tier</t>
        </is>
      </c>
      <c r="D28" s="22" t="inlineStr">
        <is>
          <t>Compliance Status</t>
        </is>
      </c>
      <c r="E28" s="22" t="inlineStr">
        <is>
          <t>MFA Status</t>
        </is>
      </c>
      <c r="F28" s="22" t="inlineStr">
        <is>
          <t>PAM Status</t>
        </is>
      </c>
      <c r="G28" s="22" t="inlineStr">
        <is>
          <t>Account Owner</t>
        </is>
      </c>
    </row>
    <row r="29">
      <c r="A29" s="26">
        <f>IFERROR(INDEX('Privileged Account Inventory'!A$6:A$55,SMALL(IF('Privileged Account Inventory'!M$6:M$55="❌ Non-Compliant",ROW('Privileged Account Inventory'!A$6:A$55)-ROW('Privileged Account Inventory'!A$6)+1),ROWS($A$1:A1))),"")</f>
        <v/>
      </c>
      <c r="B29" s="26">
        <f>IFERROR(INDEX('Privileged Account Inventory'!B$6:B$55,SMALL(IF('Privileged Account Inventory'!M$6:M$55="❌ Non-Compliant",ROW('Privileged Account Inventory'!A$6:A$55)-ROW('Privileged Account Inventory'!A$6)+1),ROWS($A$1:A1))),"")</f>
        <v/>
      </c>
      <c r="C29" s="26">
        <f>IFERROR(INDEX('Privileged Account Inventory'!C$6:C$55,SMALL(IF('Privileged Account Inventory'!M$6:M$55="❌ Non-Compliant",ROW('Privileged Account Inventory'!A$6:A$55)-ROW('Privileged Account Inventory'!A$6)+1),ROWS($A$1:A1))),"")</f>
        <v/>
      </c>
      <c r="D29" s="26">
        <f>IFERROR(INDEX('Privileged Account Inventory'!M$6:M$55,SMALL(IF('Privileged Account Inventory'!M$6:M$55="❌ Non-Compliant",ROW('Privileged Account Inventory'!A$6:A$55)-ROW('Privileged Account Inventory'!A$6)+1),ROWS($A$1:A1))),"")</f>
        <v/>
      </c>
      <c r="E29" s="26">
        <f>IFERROR(INDEX('Privileged Account Inventory'!G$6:G$55,SMALL(IF('Privileged Account Inventory'!M$6:M$55="❌ Non-Compliant",ROW('Privileged Account Inventory'!A$6:A$55)-ROW('Privileged Account Inventory'!A$6)+1),ROWS($A$1:A1))),"")</f>
        <v/>
      </c>
      <c r="F29" s="26">
        <f>IFERROR(INDEX('Privileged Account Inventory'!I$6:I$55,SMALL(IF('Privileged Account Inventory'!M$6:M$55="❌ Non-Compliant",ROW('Privileged Account Inventory'!A$6:A$55)-ROW('Privileged Account Inventory'!A$6)+1),ROWS($A$1:A1))),"")</f>
        <v/>
      </c>
      <c r="G29" s="26">
        <f>IFERROR(INDEX('Privileged Account Inventory'!F$6:F$55,SMALL(IF('Privileged Account Inventory'!M$6:M$55="❌ Non-Compliant",ROW('Privileged Account Inventory'!A$6:A$55)-ROW('Privileged Account Inventory'!A$6)+1),ROWS($A$1:A1))),"")</f>
        <v/>
      </c>
    </row>
    <row r="30">
      <c r="A30" s="26">
        <f>IFERROR(INDEX('Privileged Account Inventory'!A$6:A$55,SMALL(IF('Privileged Account Inventory'!M$6:M$55="❌ Non-Compliant",ROW('Privileged Account Inventory'!A$6:A$55)-ROW('Privileged Account Inventory'!A$6)+1),ROWS($A$1:A2))),"")</f>
        <v/>
      </c>
      <c r="B30" s="26">
        <f>IFERROR(INDEX('Privileged Account Inventory'!B$6:B$55,SMALL(IF('Privileged Account Inventory'!M$6:M$55="❌ Non-Compliant",ROW('Privileged Account Inventory'!A$6:A$55)-ROW('Privileged Account Inventory'!A$6)+1),ROWS($A$1:A2))),"")</f>
        <v/>
      </c>
      <c r="C30" s="26">
        <f>IFERROR(INDEX('Privileged Account Inventory'!C$6:C$55,SMALL(IF('Privileged Account Inventory'!M$6:M$55="❌ Non-Compliant",ROW('Privileged Account Inventory'!A$6:A$55)-ROW('Privileged Account Inventory'!A$6)+1),ROWS($A$1:A2))),"")</f>
        <v/>
      </c>
      <c r="D30" s="26">
        <f>IFERROR(INDEX('Privileged Account Inventory'!M$6:M$55,SMALL(IF('Privileged Account Inventory'!M$6:M$55="❌ Non-Compliant",ROW('Privileged Account Inventory'!A$6:A$55)-ROW('Privileged Account Inventory'!A$6)+1),ROWS($A$1:A2))),"")</f>
        <v/>
      </c>
      <c r="E30" s="26">
        <f>IFERROR(INDEX('Privileged Account Inventory'!G$6:G$55,SMALL(IF('Privileged Account Inventory'!M$6:M$55="❌ Non-Compliant",ROW('Privileged Account Inventory'!A$6:A$55)-ROW('Privileged Account Inventory'!A$6)+1),ROWS($A$1:A2))),"")</f>
        <v/>
      </c>
      <c r="F30" s="26">
        <f>IFERROR(INDEX('Privileged Account Inventory'!I$6:I$55,SMALL(IF('Privileged Account Inventory'!M$6:M$55="❌ Non-Compliant",ROW('Privileged Account Inventory'!A$6:A$55)-ROW('Privileged Account Inventory'!A$6)+1),ROWS($A$1:A2))),"")</f>
        <v/>
      </c>
      <c r="G30" s="26">
        <f>IFERROR(INDEX('Privileged Account Inventory'!F$6:F$55,SMALL(IF('Privileged Account Inventory'!M$6:M$55="❌ Non-Compliant",ROW('Privileged Account Inventory'!A$6:A$55)-ROW('Privileged Account Inventory'!A$6)+1),ROWS($A$1:A2))),"")</f>
        <v/>
      </c>
    </row>
    <row r="31">
      <c r="A31" s="26">
        <f>IFERROR(INDEX('Privileged Account Inventory'!A$6:A$55,SMALL(IF('Privileged Account Inventory'!M$6:M$55="❌ Non-Compliant",ROW('Privileged Account Inventory'!A$6:A$55)-ROW('Privileged Account Inventory'!A$6)+1),ROWS($A$1:A3))),"")</f>
        <v/>
      </c>
      <c r="B31" s="26">
        <f>IFERROR(INDEX('Privileged Account Inventory'!B$6:B$55,SMALL(IF('Privileged Account Inventory'!M$6:M$55="❌ Non-Compliant",ROW('Privileged Account Inventory'!A$6:A$55)-ROW('Privileged Account Inventory'!A$6)+1),ROWS($A$1:A3))),"")</f>
        <v/>
      </c>
      <c r="C31" s="26">
        <f>IFERROR(INDEX('Privileged Account Inventory'!C$6:C$55,SMALL(IF('Privileged Account Inventory'!M$6:M$55="❌ Non-Compliant",ROW('Privileged Account Inventory'!A$6:A$55)-ROW('Privileged Account Inventory'!A$6)+1),ROWS($A$1:A3))),"")</f>
        <v/>
      </c>
      <c r="D31" s="26">
        <f>IFERROR(INDEX('Privileged Account Inventory'!M$6:M$55,SMALL(IF('Privileged Account Inventory'!M$6:M$55="❌ Non-Compliant",ROW('Privileged Account Inventory'!A$6:A$55)-ROW('Privileged Account Inventory'!A$6)+1),ROWS($A$1:A3))),"")</f>
        <v/>
      </c>
      <c r="E31" s="26">
        <f>IFERROR(INDEX('Privileged Account Inventory'!G$6:G$55,SMALL(IF('Privileged Account Inventory'!M$6:M$55="❌ Non-Compliant",ROW('Privileged Account Inventory'!A$6:A$55)-ROW('Privileged Account Inventory'!A$6)+1),ROWS($A$1:A3))),"")</f>
        <v/>
      </c>
      <c r="F31" s="26">
        <f>IFERROR(INDEX('Privileged Account Inventory'!I$6:I$55,SMALL(IF('Privileged Account Inventory'!M$6:M$55="❌ Non-Compliant",ROW('Privileged Account Inventory'!A$6:A$55)-ROW('Privileged Account Inventory'!A$6)+1),ROWS($A$1:A3))),"")</f>
        <v/>
      </c>
      <c r="G31" s="26">
        <f>IFERROR(INDEX('Privileged Account Inventory'!F$6:F$55,SMALL(IF('Privileged Account Inventory'!M$6:M$55="❌ Non-Compliant",ROW('Privileged Account Inventory'!A$6:A$55)-ROW('Privileged Account Inventory'!A$6)+1),ROWS($A$1:A3))),"")</f>
        <v/>
      </c>
    </row>
    <row r="32">
      <c r="A32" s="26">
        <f>IFERROR(INDEX('Privileged Account Inventory'!A$6:A$55,SMALL(IF('Privileged Account Inventory'!M$6:M$55="❌ Non-Compliant",ROW('Privileged Account Inventory'!A$6:A$55)-ROW('Privileged Account Inventory'!A$6)+1),ROWS($A$1:A4))),"")</f>
        <v/>
      </c>
      <c r="B32" s="26">
        <f>IFERROR(INDEX('Privileged Account Inventory'!B$6:B$55,SMALL(IF('Privileged Account Inventory'!M$6:M$55="❌ Non-Compliant",ROW('Privileged Account Inventory'!A$6:A$55)-ROW('Privileged Account Inventory'!A$6)+1),ROWS($A$1:A4))),"")</f>
        <v/>
      </c>
      <c r="C32" s="26">
        <f>IFERROR(INDEX('Privileged Account Inventory'!C$6:C$55,SMALL(IF('Privileged Account Inventory'!M$6:M$55="❌ Non-Compliant",ROW('Privileged Account Inventory'!A$6:A$55)-ROW('Privileged Account Inventory'!A$6)+1),ROWS($A$1:A4))),"")</f>
        <v/>
      </c>
      <c r="D32" s="26">
        <f>IFERROR(INDEX('Privileged Account Inventory'!M$6:M$55,SMALL(IF('Privileged Account Inventory'!M$6:M$55="❌ Non-Compliant",ROW('Privileged Account Inventory'!A$6:A$55)-ROW('Privileged Account Inventory'!A$6)+1),ROWS($A$1:A4))),"")</f>
        <v/>
      </c>
      <c r="E32" s="26">
        <f>IFERROR(INDEX('Privileged Account Inventory'!G$6:G$55,SMALL(IF('Privileged Account Inventory'!M$6:M$55="❌ Non-Compliant",ROW('Privileged Account Inventory'!A$6:A$55)-ROW('Privileged Account Inventory'!A$6)+1),ROWS($A$1:A4))),"")</f>
        <v/>
      </c>
      <c r="F32" s="26">
        <f>IFERROR(INDEX('Privileged Account Inventory'!I$6:I$55,SMALL(IF('Privileged Account Inventory'!M$6:M$55="❌ Non-Compliant",ROW('Privileged Account Inventory'!A$6:A$55)-ROW('Privileged Account Inventory'!A$6)+1),ROWS($A$1:A4))),"")</f>
        <v/>
      </c>
      <c r="G32" s="26">
        <f>IFERROR(INDEX('Privileged Account Inventory'!F$6:F$55,SMALL(IF('Privileged Account Inventory'!M$6:M$55="❌ Non-Compliant",ROW('Privileged Account Inventory'!A$6:A$55)-ROW('Privileged Account Inventory'!A$6)+1),ROWS($A$1:A4))),"")</f>
        <v/>
      </c>
    </row>
    <row r="33">
      <c r="A33" s="26">
        <f>IFERROR(INDEX('Privileged Account Inventory'!A$6:A$55,SMALL(IF('Privileged Account Inventory'!M$6:M$55="❌ Non-Compliant",ROW('Privileged Account Inventory'!A$6:A$55)-ROW('Privileged Account Inventory'!A$6)+1),ROWS($A$1:A5))),"")</f>
        <v/>
      </c>
      <c r="B33" s="26">
        <f>IFERROR(INDEX('Privileged Account Inventory'!B$6:B$55,SMALL(IF('Privileged Account Inventory'!M$6:M$55="❌ Non-Compliant",ROW('Privileged Account Inventory'!A$6:A$55)-ROW('Privileged Account Inventory'!A$6)+1),ROWS($A$1:A5))),"")</f>
        <v/>
      </c>
      <c r="C33" s="26">
        <f>IFERROR(INDEX('Privileged Account Inventory'!C$6:C$55,SMALL(IF('Privileged Account Inventory'!M$6:M$55="❌ Non-Compliant",ROW('Privileged Account Inventory'!A$6:A$55)-ROW('Privileged Account Inventory'!A$6)+1),ROWS($A$1:A5))),"")</f>
        <v/>
      </c>
      <c r="D33" s="26">
        <f>IFERROR(INDEX('Privileged Account Inventory'!M$6:M$55,SMALL(IF('Privileged Account Inventory'!M$6:M$55="❌ Non-Compliant",ROW('Privileged Account Inventory'!A$6:A$55)-ROW('Privileged Account Inventory'!A$6)+1),ROWS($A$1:A5))),"")</f>
        <v/>
      </c>
      <c r="E33" s="26">
        <f>IFERROR(INDEX('Privileged Account Inventory'!G$6:G$55,SMALL(IF('Privileged Account Inventory'!M$6:M$55="❌ Non-Compliant",ROW('Privileged Account Inventory'!A$6:A$55)-ROW('Privileged Account Inventory'!A$6)+1),ROWS($A$1:A5))),"")</f>
        <v/>
      </c>
      <c r="F33" s="26">
        <f>IFERROR(INDEX('Privileged Account Inventory'!I$6:I$55,SMALL(IF('Privileged Account Inventory'!M$6:M$55="❌ Non-Compliant",ROW('Privileged Account Inventory'!A$6:A$55)-ROW('Privileged Account Inventory'!A$6)+1),ROWS($A$1:A5))),"")</f>
        <v/>
      </c>
      <c r="G33" s="26">
        <f>IFERROR(INDEX('Privileged Account Inventory'!F$6:F$55,SMALL(IF('Privileged Account Inventory'!M$6:M$55="❌ Non-Compliant",ROW('Privileged Account Inventory'!A$6:A$55)-ROW('Privileged Account Inventory'!A$6)+1),ROWS($A$1:A5))),"")</f>
        <v/>
      </c>
    </row>
    <row r="34">
      <c r="A34" s="26">
        <f>IFERROR(INDEX('Privileged Account Inventory'!A$6:A$55,SMALL(IF('Privileged Account Inventory'!M$6:M$55="❌ Non-Compliant",ROW('Privileged Account Inventory'!A$6:A$55)-ROW('Privileged Account Inventory'!A$6)+1),ROWS($A$1:A6))),"")</f>
        <v/>
      </c>
      <c r="B34" s="26">
        <f>IFERROR(INDEX('Privileged Account Inventory'!B$6:B$55,SMALL(IF('Privileged Account Inventory'!M$6:M$55="❌ Non-Compliant",ROW('Privileged Account Inventory'!A$6:A$55)-ROW('Privileged Account Inventory'!A$6)+1),ROWS($A$1:A6))),"")</f>
        <v/>
      </c>
      <c r="C34" s="26">
        <f>IFERROR(INDEX('Privileged Account Inventory'!C$6:C$55,SMALL(IF('Privileged Account Inventory'!M$6:M$55="❌ Non-Compliant",ROW('Privileged Account Inventory'!A$6:A$55)-ROW('Privileged Account Inventory'!A$6)+1),ROWS($A$1:A6))),"")</f>
        <v/>
      </c>
      <c r="D34" s="26">
        <f>IFERROR(INDEX('Privileged Account Inventory'!M$6:M$55,SMALL(IF('Privileged Account Inventory'!M$6:M$55="❌ Non-Compliant",ROW('Privileged Account Inventory'!A$6:A$55)-ROW('Privileged Account Inventory'!A$6)+1),ROWS($A$1:A6))),"")</f>
        <v/>
      </c>
      <c r="E34" s="26">
        <f>IFERROR(INDEX('Privileged Account Inventory'!G$6:G$55,SMALL(IF('Privileged Account Inventory'!M$6:M$55="❌ Non-Compliant",ROW('Privileged Account Inventory'!A$6:A$55)-ROW('Privileged Account Inventory'!A$6)+1),ROWS($A$1:A6))),"")</f>
        <v/>
      </c>
      <c r="F34" s="26">
        <f>IFERROR(INDEX('Privileged Account Inventory'!I$6:I$55,SMALL(IF('Privileged Account Inventory'!M$6:M$55="❌ Non-Compliant",ROW('Privileged Account Inventory'!A$6:A$55)-ROW('Privileged Account Inventory'!A$6)+1),ROWS($A$1:A6))),"")</f>
        <v/>
      </c>
      <c r="G34" s="26">
        <f>IFERROR(INDEX('Privileged Account Inventory'!F$6:F$55,SMALL(IF('Privileged Account Inventory'!M$6:M$55="❌ Non-Compliant",ROW('Privileged Account Inventory'!A$6:A$55)-ROW('Privileged Account Inventory'!A$6)+1),ROWS($A$1:A6))),"")</f>
        <v/>
      </c>
    </row>
    <row r="35">
      <c r="A35" s="26">
        <f>IFERROR(INDEX('Privileged Account Inventory'!A$6:A$55,SMALL(IF('Privileged Account Inventory'!M$6:M$55="❌ Non-Compliant",ROW('Privileged Account Inventory'!A$6:A$55)-ROW('Privileged Account Inventory'!A$6)+1),ROWS($A$1:A7))),"")</f>
        <v/>
      </c>
      <c r="B35" s="26">
        <f>IFERROR(INDEX('Privileged Account Inventory'!B$6:B$55,SMALL(IF('Privileged Account Inventory'!M$6:M$55="❌ Non-Compliant",ROW('Privileged Account Inventory'!A$6:A$55)-ROW('Privileged Account Inventory'!A$6)+1),ROWS($A$1:A7))),"")</f>
        <v/>
      </c>
      <c r="C35" s="26">
        <f>IFERROR(INDEX('Privileged Account Inventory'!C$6:C$55,SMALL(IF('Privileged Account Inventory'!M$6:M$55="❌ Non-Compliant",ROW('Privileged Account Inventory'!A$6:A$55)-ROW('Privileged Account Inventory'!A$6)+1),ROWS($A$1:A7))),"")</f>
        <v/>
      </c>
      <c r="D35" s="26">
        <f>IFERROR(INDEX('Privileged Account Inventory'!M$6:M$55,SMALL(IF('Privileged Account Inventory'!M$6:M$55="❌ Non-Compliant",ROW('Privileged Account Inventory'!A$6:A$55)-ROW('Privileged Account Inventory'!A$6)+1),ROWS($A$1:A7))),"")</f>
        <v/>
      </c>
      <c r="E35" s="26">
        <f>IFERROR(INDEX('Privileged Account Inventory'!G$6:G$55,SMALL(IF('Privileged Account Inventory'!M$6:M$55="❌ Non-Compliant",ROW('Privileged Account Inventory'!A$6:A$55)-ROW('Privileged Account Inventory'!A$6)+1),ROWS($A$1:A7))),"")</f>
        <v/>
      </c>
      <c r="F35" s="26">
        <f>IFERROR(INDEX('Privileged Account Inventory'!I$6:I$55,SMALL(IF('Privileged Account Inventory'!M$6:M$55="❌ Non-Compliant",ROW('Privileged Account Inventory'!A$6:A$55)-ROW('Privileged Account Inventory'!A$6)+1),ROWS($A$1:A7))),"")</f>
        <v/>
      </c>
      <c r="G35" s="26">
        <f>IFERROR(INDEX('Privileged Account Inventory'!F$6:F$55,SMALL(IF('Privileged Account Inventory'!M$6:M$55="❌ Non-Compliant",ROW('Privileged Account Inventory'!A$6:A$55)-ROW('Privileged Account Inventory'!A$6)+1),ROWS($A$1:A7))),"")</f>
        <v/>
      </c>
    </row>
    <row r="36">
      <c r="A36" s="26">
        <f>IFERROR(INDEX('Privileged Account Inventory'!A$6:A$55,SMALL(IF('Privileged Account Inventory'!M$6:M$55="❌ Non-Compliant",ROW('Privileged Account Inventory'!A$6:A$55)-ROW('Privileged Account Inventory'!A$6)+1),ROWS($A$1:A8))),"")</f>
        <v/>
      </c>
      <c r="B36" s="26">
        <f>IFERROR(INDEX('Privileged Account Inventory'!B$6:B$55,SMALL(IF('Privileged Account Inventory'!M$6:M$55="❌ Non-Compliant",ROW('Privileged Account Inventory'!A$6:A$55)-ROW('Privileged Account Inventory'!A$6)+1),ROWS($A$1:A8))),"")</f>
        <v/>
      </c>
      <c r="C36" s="26">
        <f>IFERROR(INDEX('Privileged Account Inventory'!C$6:C$55,SMALL(IF('Privileged Account Inventory'!M$6:M$55="❌ Non-Compliant",ROW('Privileged Account Inventory'!A$6:A$55)-ROW('Privileged Account Inventory'!A$6)+1),ROWS($A$1:A8))),"")</f>
        <v/>
      </c>
      <c r="D36" s="26">
        <f>IFERROR(INDEX('Privileged Account Inventory'!M$6:M$55,SMALL(IF('Privileged Account Inventory'!M$6:M$55="❌ Non-Compliant",ROW('Privileged Account Inventory'!A$6:A$55)-ROW('Privileged Account Inventory'!A$6)+1),ROWS($A$1:A8))),"")</f>
        <v/>
      </c>
      <c r="E36" s="26">
        <f>IFERROR(INDEX('Privileged Account Inventory'!G$6:G$55,SMALL(IF('Privileged Account Inventory'!M$6:M$55="❌ Non-Compliant",ROW('Privileged Account Inventory'!A$6:A$55)-ROW('Privileged Account Inventory'!A$6)+1),ROWS($A$1:A8))),"")</f>
        <v/>
      </c>
      <c r="F36" s="26">
        <f>IFERROR(INDEX('Privileged Account Inventory'!I$6:I$55,SMALL(IF('Privileged Account Inventory'!M$6:M$55="❌ Non-Compliant",ROW('Privileged Account Inventory'!A$6:A$55)-ROW('Privileged Account Inventory'!A$6)+1),ROWS($A$1:A8))),"")</f>
        <v/>
      </c>
      <c r="G36" s="26">
        <f>IFERROR(INDEX('Privileged Account Inventory'!F$6:F$55,SMALL(IF('Privileged Account Inventory'!M$6:M$55="❌ Non-Compliant",ROW('Privileged Account Inventory'!A$6:A$55)-ROW('Privileged Account Inventory'!A$6)+1),ROWS($A$1:A8))),"")</f>
        <v/>
      </c>
    </row>
    <row r="37">
      <c r="A37" s="26">
        <f>IFERROR(INDEX('Privileged Account Inventory'!A$6:A$55,SMALL(IF('Privileged Account Inventory'!M$6:M$55="❌ Non-Compliant",ROW('Privileged Account Inventory'!A$6:A$55)-ROW('Privileged Account Inventory'!A$6)+1),ROWS($A$1:A9))),"")</f>
        <v/>
      </c>
      <c r="B37" s="26">
        <f>IFERROR(INDEX('Privileged Account Inventory'!B$6:B$55,SMALL(IF('Privileged Account Inventory'!M$6:M$55="❌ Non-Compliant",ROW('Privileged Account Inventory'!A$6:A$55)-ROW('Privileged Account Inventory'!A$6)+1),ROWS($A$1:A9))),"")</f>
        <v/>
      </c>
      <c r="C37" s="26">
        <f>IFERROR(INDEX('Privileged Account Inventory'!C$6:C$55,SMALL(IF('Privileged Account Inventory'!M$6:M$55="❌ Non-Compliant",ROW('Privileged Account Inventory'!A$6:A$55)-ROW('Privileged Account Inventory'!A$6)+1),ROWS($A$1:A9))),"")</f>
        <v/>
      </c>
      <c r="D37" s="26">
        <f>IFERROR(INDEX('Privileged Account Inventory'!M$6:M$55,SMALL(IF('Privileged Account Inventory'!M$6:M$55="❌ Non-Compliant",ROW('Privileged Account Inventory'!A$6:A$55)-ROW('Privileged Account Inventory'!A$6)+1),ROWS($A$1:A9))),"")</f>
        <v/>
      </c>
      <c r="E37" s="26">
        <f>IFERROR(INDEX('Privileged Account Inventory'!G$6:G$55,SMALL(IF('Privileged Account Inventory'!M$6:M$55="❌ Non-Compliant",ROW('Privileged Account Inventory'!A$6:A$55)-ROW('Privileged Account Inventory'!A$6)+1),ROWS($A$1:A9))),"")</f>
        <v/>
      </c>
      <c r="F37" s="26">
        <f>IFERROR(INDEX('Privileged Account Inventory'!I$6:I$55,SMALL(IF('Privileged Account Inventory'!M$6:M$55="❌ Non-Compliant",ROW('Privileged Account Inventory'!A$6:A$55)-ROW('Privileged Account Inventory'!A$6)+1),ROWS($A$1:A9))),"")</f>
        <v/>
      </c>
      <c r="G37" s="26">
        <f>IFERROR(INDEX('Privileged Account Inventory'!F$6:F$55,SMALL(IF('Privileged Account Inventory'!M$6:M$55="❌ Non-Compliant",ROW('Privileged Account Inventory'!A$6:A$55)-ROW('Privileged Account Inventory'!A$6)+1),ROWS($A$1:A9))),"")</f>
        <v/>
      </c>
    </row>
    <row r="38">
      <c r="A38" s="26">
        <f>IFERROR(INDEX('Privileged Account Inventory'!A$6:A$55,SMALL(IF('Privileged Account Inventory'!M$6:M$55="❌ Non-Compliant",ROW('Privileged Account Inventory'!A$6:A$55)-ROW('Privileged Account Inventory'!A$6)+1),ROWS($A$1:A10))),"")</f>
        <v/>
      </c>
      <c r="B38" s="26">
        <f>IFERROR(INDEX('Privileged Account Inventory'!B$6:B$55,SMALL(IF('Privileged Account Inventory'!M$6:M$55="❌ Non-Compliant",ROW('Privileged Account Inventory'!A$6:A$55)-ROW('Privileged Account Inventory'!A$6)+1),ROWS($A$1:A10))),"")</f>
        <v/>
      </c>
      <c r="C38" s="26">
        <f>IFERROR(INDEX('Privileged Account Inventory'!C$6:C$55,SMALL(IF('Privileged Account Inventory'!M$6:M$55="❌ Non-Compliant",ROW('Privileged Account Inventory'!A$6:A$55)-ROW('Privileged Account Inventory'!A$6)+1),ROWS($A$1:A10))),"")</f>
        <v/>
      </c>
      <c r="D38" s="26">
        <f>IFERROR(INDEX('Privileged Account Inventory'!M$6:M$55,SMALL(IF('Privileged Account Inventory'!M$6:M$55="❌ Non-Compliant",ROW('Privileged Account Inventory'!A$6:A$55)-ROW('Privileged Account Inventory'!A$6)+1),ROWS($A$1:A10))),"")</f>
        <v/>
      </c>
      <c r="E38" s="26">
        <f>IFERROR(INDEX('Privileged Account Inventory'!G$6:G$55,SMALL(IF('Privileged Account Inventory'!M$6:M$55="❌ Non-Compliant",ROW('Privileged Account Inventory'!A$6:A$55)-ROW('Privileged Account Inventory'!A$6)+1),ROWS($A$1:A10))),"")</f>
        <v/>
      </c>
      <c r="F38" s="26">
        <f>IFERROR(INDEX('Privileged Account Inventory'!I$6:I$55,SMALL(IF('Privileged Account Inventory'!M$6:M$55="❌ Non-Compliant",ROW('Privileged Account Inventory'!A$6:A$55)-ROW('Privileged Account Inventory'!A$6)+1),ROWS($A$1:A10))),"")</f>
        <v/>
      </c>
      <c r="G38" s="26">
        <f>IFERROR(INDEX('Privileged Account Inventory'!F$6:F$55,SMALL(IF('Privileged Account Inventory'!M$6:M$55="❌ Non-Compliant",ROW('Privileged Account Inventory'!A$6:A$55)-ROW('Privileged Account Inventory'!A$6)+1),ROWS($A$1:A10))),"")</f>
        <v/>
      </c>
    </row>
    <row r="39">
      <c r="A39" s="25" t="n"/>
      <c r="B39" s="25" t="n"/>
      <c r="C39" s="25" t="n"/>
      <c r="D39" s="25" t="n"/>
      <c r="E39" s="25" t="n"/>
      <c r="F39" s="25" t="n"/>
      <c r="G39" s="25" t="n"/>
    </row>
    <row r="40">
      <c r="A40" s="25" t="n"/>
      <c r="B40" s="25" t="n"/>
      <c r="C40" s="25" t="n"/>
      <c r="D40" s="25" t="n"/>
      <c r="E40" s="25" t="n"/>
      <c r="F40" s="25" t="n"/>
      <c r="G40" s="25" t="n"/>
    </row>
    <row r="41">
      <c r="A41" s="29" t="inlineStr">
        <is>
          <t>Total Non-Compliant Accounts:</t>
        </is>
      </c>
      <c r="B41" s="29">
        <f>COUNTIF('Privileged Account Inventory'!M6:M55,"❌ Non-Compliant")</f>
        <v/>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0" t="inlineStr">
        <is>
          <t>ASSESSMENT APPROVAL AND SIGN-OFF</t>
        </is>
      </c>
      <c r="B1" s="21" t="n"/>
      <c r="C1" s="21" t="n"/>
      <c r="D1" s="21" t="n"/>
      <c r="E1" s="21" t="n"/>
    </row>
    <row r="2">
      <c r="A2" s="31" t="inlineStr">
        <is>
          <t>ISMS-IMP-A.8.2-3-5.S3 | ISO/IEC 27001:2022 - Control A.8.2-3-5: Access and Authentication Management</t>
        </is>
      </c>
      <c r="B2" s="21" t="n"/>
      <c r="C2" s="21" t="n"/>
      <c r="D2" s="21" t="n"/>
      <c r="E2" s="21" t="n"/>
    </row>
    <row r="3">
      <c r="A3" s="32" t="inlineStr">
        <is>
          <t>ASSESSMENT SUMMARY</t>
        </is>
      </c>
      <c r="B3" s="21" t="n"/>
      <c r="C3" s="21" t="n"/>
      <c r="D3" s="21" t="n"/>
      <c r="E3" s="21" t="n"/>
    </row>
    <row r="4">
      <c r="A4" s="33" t="inlineStr">
        <is>
          <t>Document:</t>
        </is>
      </c>
      <c r="B4" s="21" t="inlineStr">
        <is>
          <t>ISMS-IMP-A.8.2-3-5.S3 - Privileged Accounts Assessment</t>
        </is>
      </c>
      <c r="C4" s="21" t="n"/>
      <c r="D4" s="21" t="n"/>
      <c r="E4" s="21" t="n"/>
    </row>
    <row r="5">
      <c r="A5" s="33" t="inlineStr">
        <is>
          <t>Assessment Period:</t>
        </is>
      </c>
      <c r="B5" s="25" t="inlineStr"/>
      <c r="C5" s="25" t="n"/>
      <c r="D5" s="25" t="n"/>
      <c r="E5" s="25" t="n"/>
    </row>
    <row r="6">
      <c r="A6" s="33" t="inlineStr">
        <is>
          <t>Overall Compliance Rate:</t>
        </is>
      </c>
      <c r="B6" s="34">
        <f>IFERROR(AVERAGE('Summary Dashboard'!G5:G8),"")</f>
        <v/>
      </c>
      <c r="C6" s="25" t="n"/>
      <c r="D6" s="25" t="n"/>
      <c r="E6" s="25" t="n"/>
    </row>
    <row r="7">
      <c r="A7" s="33" t="inlineStr">
        <is>
          <t>Assessment Status:</t>
        </is>
      </c>
      <c r="B7" s="25" t="inlineStr"/>
      <c r="C7" s="25" t="n"/>
      <c r="D7" s="25" t="n"/>
      <c r="E7" s="25" t="n"/>
    </row>
    <row r="8">
      <c r="A8" s="33" t="inlineStr">
        <is>
          <t>Assessed By:</t>
        </is>
      </c>
      <c r="B8" s="25" t="inlineStr"/>
      <c r="C8" s="25" t="n"/>
      <c r="D8" s="25" t="n"/>
      <c r="E8" s="25" t="n"/>
    </row>
    <row r="11">
      <c r="A11" s="32" t="inlineStr">
        <is>
          <t>COMPLETED BY (ASSESSOR)</t>
        </is>
      </c>
      <c r="B11" s="21" t="n"/>
      <c r="C11" s="21" t="n"/>
      <c r="D11" s="21" t="n"/>
      <c r="E11" s="21" t="n"/>
    </row>
    <row r="12">
      <c r="A12" s="33" t="inlineStr">
        <is>
          <t>Name:</t>
        </is>
      </c>
      <c r="B12" s="25" t="n"/>
      <c r="C12" s="25" t="n"/>
      <c r="D12" s="25" t="n"/>
      <c r="E12" s="25" t="n"/>
    </row>
    <row r="13">
      <c r="A13" s="33" t="inlineStr">
        <is>
          <t>Title:</t>
        </is>
      </c>
      <c r="B13" s="25" t="n"/>
      <c r="C13" s="25" t="n"/>
      <c r="D13" s="25" t="n"/>
      <c r="E13" s="25" t="n"/>
    </row>
    <row r="14">
      <c r="A14" s="33" t="inlineStr">
        <is>
          <t>Date:</t>
        </is>
      </c>
      <c r="B14" s="25" t="n"/>
      <c r="C14" s="25" t="n"/>
      <c r="D14" s="25" t="n"/>
      <c r="E14" s="25" t="n"/>
    </row>
    <row r="15">
      <c r="A15" s="33" t="inlineStr">
        <is>
          <t>Signature:</t>
        </is>
      </c>
      <c r="B15" s="25" t="n"/>
      <c r="C15" s="25" t="n"/>
      <c r="D15" s="25" t="n"/>
      <c r="E15" s="25" t="n"/>
    </row>
    <row r="16">
      <c r="A16" s="33" t="inlineStr">
        <is>
          <t>Comments:</t>
        </is>
      </c>
      <c r="B16" s="25" t="n"/>
      <c r="C16" s="25" t="n"/>
      <c r="D16" s="25" t="n"/>
      <c r="E16" s="25" t="n"/>
    </row>
    <row r="18">
      <c r="A18" s="32" t="inlineStr">
        <is>
          <t>REVIEWED BY (INFORMATION SECURITY OFFICER)</t>
        </is>
      </c>
      <c r="B18" s="21" t="n"/>
      <c r="C18" s="21" t="n"/>
      <c r="D18" s="21" t="n"/>
      <c r="E18" s="21" t="n"/>
    </row>
    <row r="19">
      <c r="A19" s="33" t="inlineStr">
        <is>
          <t>Name:</t>
        </is>
      </c>
      <c r="B19" s="25" t="n"/>
      <c r="C19" s="25" t="n"/>
      <c r="D19" s="25" t="n"/>
      <c r="E19" s="25" t="n"/>
    </row>
    <row r="20">
      <c r="A20" s="33" t="inlineStr">
        <is>
          <t>Title:</t>
        </is>
      </c>
      <c r="B20" s="25" t="n"/>
      <c r="C20" s="25" t="n"/>
      <c r="D20" s="25" t="n"/>
      <c r="E20" s="25" t="n"/>
    </row>
    <row r="21">
      <c r="A21" s="33" t="inlineStr">
        <is>
          <t>Date:</t>
        </is>
      </c>
      <c r="B21" s="25" t="n"/>
      <c r="C21" s="25" t="n"/>
      <c r="D21" s="25" t="n"/>
      <c r="E21" s="25" t="n"/>
    </row>
    <row r="22">
      <c r="A22" s="33" t="inlineStr">
        <is>
          <t>Signature:</t>
        </is>
      </c>
      <c r="B22" s="25" t="n"/>
      <c r="C22" s="25" t="n"/>
      <c r="D22" s="25" t="n"/>
      <c r="E22" s="25" t="n"/>
    </row>
    <row r="23">
      <c r="A23" s="33" t="inlineStr">
        <is>
          <t>Comments:</t>
        </is>
      </c>
      <c r="B23" s="25" t="n"/>
      <c r="C23" s="25" t="n"/>
      <c r="D23" s="25" t="n"/>
      <c r="E23" s="25" t="n"/>
    </row>
    <row r="25">
      <c r="A25" s="35" t="inlineStr">
        <is>
          <t>APPROVED BY (CISO)</t>
        </is>
      </c>
      <c r="B25" s="21" t="n"/>
      <c r="C25" s="21" t="n"/>
      <c r="D25" s="21" t="n"/>
      <c r="E25" s="21" t="n"/>
    </row>
    <row r="26">
      <c r="A26" s="33" t="inlineStr">
        <is>
          <t>Name:</t>
        </is>
      </c>
      <c r="B26" s="25" t="n"/>
      <c r="C26" s="25" t="n"/>
      <c r="D26" s="25" t="n"/>
      <c r="E26" s="25" t="n"/>
    </row>
    <row r="27">
      <c r="A27" s="33" t="inlineStr">
        <is>
          <t>Title:</t>
        </is>
      </c>
      <c r="B27" s="25" t="n"/>
      <c r="C27" s="25" t="n"/>
      <c r="D27" s="25" t="n"/>
      <c r="E27" s="25" t="n"/>
    </row>
    <row r="28">
      <c r="A28" s="33" t="inlineStr">
        <is>
          <t>Date:</t>
        </is>
      </c>
      <c r="B28" s="25" t="n"/>
      <c r="C28" s="25" t="n"/>
      <c r="D28" s="25" t="n"/>
      <c r="E28" s="25" t="n"/>
    </row>
    <row r="29">
      <c r="A29" s="33" t="inlineStr">
        <is>
          <t>Signature:</t>
        </is>
      </c>
      <c r="B29" s="25" t="n"/>
      <c r="C29" s="25" t="n"/>
      <c r="D29" s="25" t="n"/>
      <c r="E29" s="25" t="n"/>
    </row>
    <row r="30">
      <c r="A30" s="33" t="inlineStr">
        <is>
          <t>Comments:</t>
        </is>
      </c>
      <c r="B30" s="25" t="n"/>
      <c r="C30" s="25" t="n"/>
      <c r="D30" s="25" t="n"/>
      <c r="E30" s="25" t="n"/>
    </row>
    <row r="32">
      <c r="A32" s="36" t="inlineStr">
        <is>
          <t>FINAL DECISION:</t>
        </is>
      </c>
      <c r="B32" s="25" t="n"/>
      <c r="C32" s="25" t="n"/>
      <c r="D32" s="25" t="n"/>
      <c r="E32" s="25" t="n"/>
    </row>
    <row r="35">
      <c r="A35" s="32" t="inlineStr">
        <is>
          <t>NEXT REVIEW DETAILS</t>
        </is>
      </c>
      <c r="B35" s="21" t="n"/>
      <c r="C35" s="21" t="n"/>
      <c r="D35" s="21" t="n"/>
      <c r="E35" s="21" t="n"/>
    </row>
    <row r="36">
      <c r="A36" s="33" t="inlineStr">
        <is>
          <t>Next Review Date:</t>
        </is>
      </c>
      <c r="B36" s="25" t="n"/>
      <c r="C36" s="25" t="n"/>
      <c r="D36" s="25" t="n"/>
      <c r="E36" s="25" t="n"/>
    </row>
    <row r="37">
      <c r="A37" s="33" t="inlineStr">
        <is>
          <t>Review Responsible:</t>
        </is>
      </c>
      <c r="B37" s="25" t="n"/>
      <c r="C37" s="25" t="n"/>
      <c r="D37" s="25" t="n"/>
      <c r="E37" s="25" t="n"/>
    </row>
    <row r="38">
      <c r="A38" s="33" t="inlineStr">
        <is>
          <t>Special Considerations:</t>
        </is>
      </c>
      <c r="B38" s="25" t="n"/>
      <c r="C38" s="25" t="n"/>
      <c r="D38" s="25" t="n"/>
      <c r="E38" s="2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ISMS-IMP-A.8.2-3-5.S3 — Privileged Accounts Assessment</dc:title>
  <dc:description xmlns:dc="http://purl.org/dc/elements/1.1/">ISMS Implementation Workbook — ISMS-IMP-A.8.2-3-5.S3</dc:description>
  <dc:subject xmlns:dc="http://purl.org/dc/elements/1.1/">ISO/IEC 27001:2022 — Control A.8.2-3-5: Access and Authentication Management</dc:subject>
  <dcterms:created xmlns:dcterms="http://purl.org/dc/terms/" xmlns:xsi="http://www.w3.org/2001/XMLSchema-instance" xsi:type="dcterms:W3CDTF">2026-03-01T16:58:09Z</dcterms:created>
  <dcterms:modified xmlns:dcterms="http://purl.org/dc/terms/" xmlns:xsi="http://www.w3.org/2001/XMLSchema-instance" xsi:type="dcterms:W3CDTF">2026-03-01T16:58:09Z</dcterms:modified>
</cp:coreProperties>
</file>