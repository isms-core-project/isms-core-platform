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Privileged Account Inventory" sheetId="2" state="visible" r:id="rId2"/>
    <sheet xmlns:r="http://schemas.openxmlformats.org/officeDocument/2006/relationships" name="Admin Tiering Matrix" sheetId="3" state="visible" r:id="rId3"/>
    <sheet xmlns:r="http://schemas.openxmlformats.org/officeDocument/2006/relationships" name="Privileged User Roster" sheetId="4" state="visible" r:id="rId4"/>
    <sheet xmlns:r="http://schemas.openxmlformats.org/officeDocument/2006/relationships" name="PAM Vault Coverage" sheetId="5" state="visible" r:id="rId5"/>
    <sheet xmlns:r="http://schemas.openxmlformats.org/officeDocument/2006/relationships" name="MFA Hardware Tokens" sheetId="6" state="visible" r:id="rId6"/>
    <sheet xmlns:r="http://schemas.openxmlformats.org/officeDocument/2006/relationships" name="Credential Rotation Status" sheetId="7" state="visible" r:id="rId7"/>
    <sheet xmlns:r="http://schemas.openxmlformats.org/officeDocument/2006/relationships" name="Access Review Results" sheetId="8" state="visible" r:id="rId8"/>
    <sheet xmlns:r="http://schemas.openxmlformats.org/officeDocument/2006/relationships" name="Tier Isolation Compliance" sheetId="9" state="visible" r:id="rId9"/>
    <sheet xmlns:r="http://schemas.openxmlformats.org/officeDocument/2006/relationships" name="Evidence Register" sheetId="10" state="visible" r:id="rId10"/>
    <sheet xmlns:r="http://schemas.openxmlformats.org/officeDocument/2006/relationships" name="Summary Dashboard" sheetId="11" state="visible" r:id="rId11"/>
    <sheet xmlns:r="http://schemas.openxmlformats.org/officeDocument/2006/relationships" name="Approval Sign-Off" sheetId="12" state="visible" r:id="rId12"/>
  </sheets>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Calibri"/>
      <b val="1"/>
      <color rgb="00FFFFFF"/>
      <sz val="14"/>
    </font>
    <font>
      <name val="Calibri"/>
      <b val="1"/>
      <color rgb="00000000"/>
      <sz val="11"/>
    </font>
    <font>
      <name val="Calibri"/>
      <b val="1"/>
      <sz val="10"/>
    </font>
    <font>
      <name val="Calibri"/>
      <sz val="10"/>
    </font>
    <font>
      <name val="Calibri"/>
      <b val="1"/>
      <color rgb="00C00000"/>
      <sz val="12"/>
    </font>
    <font>
      <name val="Calibri"/>
      <b val="1"/>
      <color rgb="00FFFFFF"/>
      <sz val="11"/>
    </font>
    <font>
      <name val="Calibri"/>
      <color rgb="00000000"/>
      <sz val="10"/>
    </font>
    <font>
      <name val="Calibri"/>
      <b val="1"/>
      <i val="1"/>
      <color rgb="00C00000"/>
      <sz val="11"/>
    </font>
    <font>
      <name val="Calibri"/>
      <i val="1"/>
      <color rgb="00003366"/>
      <sz val="10"/>
    </font>
    <font>
      <name val="Calibri"/>
      <i val="1"/>
      <sz val="10"/>
    </font>
    <font>
      <name val="Calibri"/>
      <b val="1"/>
      <color rgb="00000000"/>
      <sz val="10"/>
    </font>
    <font>
      <name val="Calibri"/>
      <b val="1"/>
      <sz val="11"/>
    </font>
  </fonts>
  <fills count="10">
    <fill>
      <patternFill/>
    </fill>
    <fill>
      <patternFill patternType="gray125"/>
    </fill>
    <fill>
      <patternFill patternType="solid">
        <fgColor rgb="00003366"/>
      </patternFill>
    </fill>
    <fill>
      <patternFill patternType="solid">
        <fgColor rgb="00D9D9D9"/>
      </patternFill>
    </fill>
    <fill>
      <patternFill patternType="solid">
        <fgColor rgb="00FFC7CE"/>
      </patternFill>
    </fill>
    <fill>
      <patternFill patternType="solid">
        <fgColor rgb="00FFFFFF"/>
      </patternFill>
    </fill>
    <fill>
      <patternFill patternType="solid">
        <fgColor rgb="00F2F2F2"/>
      </patternFill>
    </fill>
    <fill>
      <patternFill patternType="solid">
        <fgColor rgb="00FFFFCC"/>
      </patternFill>
    </fill>
    <fill>
      <patternFill patternType="solid">
        <fgColor rgb="00C00000"/>
      </patternFill>
    </fill>
    <fill>
      <patternFill patternType="solid">
        <fgColor rgb="004472C4"/>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left" vertical="center" wrapText="1"/>
    </xf>
    <xf numFmtId="0" fontId="3" fillId="0" borderId="0" pivotButton="0" quotePrefix="0" xfId="0"/>
    <xf numFmtId="0" fontId="4" fillId="0" borderId="0" pivotButton="0" quotePrefix="0" xfId="0"/>
    <xf numFmtId="0" fontId="5" fillId="4" borderId="0" pivotButton="0" quotePrefix="0" xfId="0"/>
    <xf numFmtId="0" fontId="0" fillId="0" borderId="0" applyAlignment="1" pivotButton="0" quotePrefix="0" xfId="0">
      <alignment vertical="top" wrapText="1"/>
    </xf>
    <xf numFmtId="0" fontId="6" fillId="2" borderId="1" applyAlignment="1" pivotButton="0" quotePrefix="0" xfId="0">
      <alignment horizontal="center" vertical="center" wrapText="1"/>
    </xf>
    <xf numFmtId="0" fontId="0" fillId="0" borderId="4" pivotButton="0" quotePrefix="0" xfId="0"/>
    <xf numFmtId="0" fontId="0" fillId="0" borderId="5" pivotButton="0" quotePrefix="0" xfId="0"/>
    <xf numFmtId="0" fontId="7" fillId="5" borderId="0" applyAlignment="1" pivotButton="0" quotePrefix="0" xfId="0">
      <alignment horizontal="left" vertical="center"/>
    </xf>
    <xf numFmtId="0" fontId="2" fillId="3" borderId="1" applyAlignment="1" pivotButton="0" quotePrefix="0" xfId="0">
      <alignment horizontal="center" vertical="center" wrapText="1"/>
    </xf>
    <xf numFmtId="0" fontId="0" fillId="3" borderId="1" pivotButton="0" quotePrefix="0" xfId="0"/>
    <xf numFmtId="0" fontId="8" fillId="0" borderId="0" applyAlignment="1" pivotButton="0" quotePrefix="0" xfId="0">
      <alignment vertical="center" wrapText="1"/>
    </xf>
    <xf numFmtId="0" fontId="9" fillId="0" borderId="0" applyAlignment="1" pivotButton="0" quotePrefix="0" xfId="0">
      <alignment horizontal="left" vertical="center" wrapText="1"/>
    </xf>
    <xf numFmtId="0" fontId="7" fillId="6" borderId="0" applyAlignment="1" pivotButton="0" quotePrefix="0" xfId="0">
      <alignment horizontal="left" vertical="center"/>
    </xf>
    <xf numFmtId="0" fontId="7" fillId="7" borderId="1" applyAlignment="1" pivotButton="0" quotePrefix="0" xfId="0">
      <alignment horizontal="left" vertical="center"/>
    </xf>
    <xf numFmtId="0" fontId="1" fillId="2" borderId="0" applyAlignment="1" pivotButton="0" quotePrefix="0" xfId="0">
      <alignment horizontal="center" vertical="center"/>
    </xf>
    <xf numFmtId="0" fontId="10" fillId="0" borderId="0" applyAlignment="1" pivotButton="0" quotePrefix="0" xfId="0">
      <alignment horizontal="left" vertical="center" wrapText="1"/>
    </xf>
    <xf numFmtId="0" fontId="9" fillId="0" borderId="0" applyAlignment="1" pivotButton="0" quotePrefix="0" xfId="0">
      <alignment horizontal="left" vertical="center"/>
    </xf>
    <xf numFmtId="0" fontId="6" fillId="2" borderId="0" applyAlignment="1" pivotButton="0" quotePrefix="0" xfId="0">
      <alignment horizontal="left" vertical="center"/>
    </xf>
    <xf numFmtId="0" fontId="0" fillId="0" borderId="1" pivotButton="0" quotePrefix="0" xfId="0"/>
    <xf numFmtId="0" fontId="11" fillId="3" borderId="1" applyAlignment="1" pivotButton="0" quotePrefix="0" xfId="0">
      <alignment horizontal="center" vertical="center" wrapText="1"/>
    </xf>
    <xf numFmtId="0" fontId="7" fillId="0" borderId="1" applyAlignment="1" pivotButton="0" quotePrefix="0" xfId="0">
      <alignment horizontal="left" vertical="center"/>
    </xf>
    <xf numFmtId="164" fontId="7" fillId="0" borderId="1" applyAlignment="1" pivotButton="0" quotePrefix="0" xfId="0">
      <alignment horizontal="left" vertical="center"/>
    </xf>
    <xf numFmtId="0" fontId="0" fillId="7" borderId="1" pivotButton="0" quotePrefix="0" xfId="0"/>
    <xf numFmtId="0" fontId="7" fillId="7" borderId="1" applyAlignment="1" pivotButton="0" quotePrefix="0" xfId="0">
      <alignment horizontal="left" vertical="center"/>
    </xf>
    <xf numFmtId="164" fontId="7" fillId="7" borderId="1" applyAlignment="1" pivotButton="0" quotePrefix="0" xfId="0">
      <alignment horizontal="left" vertical="center"/>
    </xf>
    <xf numFmtId="0" fontId="6" fillId="8" borderId="0" applyAlignment="1" pivotButton="0" quotePrefix="0" xfId="0">
      <alignment horizontal="left" vertical="center"/>
    </xf>
    <xf numFmtId="0" fontId="11" fillId="0" borderId="1" applyAlignment="1" pivotButton="0" quotePrefix="0" xfId="0">
      <alignment horizontal="left" vertical="center"/>
    </xf>
    <xf numFmtId="0" fontId="1" fillId="2" borderId="1" applyAlignment="1" pivotButton="0" quotePrefix="0" xfId="0">
      <alignment horizontal="center" vertical="center"/>
    </xf>
    <xf numFmtId="0" fontId="9" fillId="0" borderId="1" applyAlignment="1" pivotButton="0" quotePrefix="0" xfId="0">
      <alignment horizontal="center" vertical="center"/>
    </xf>
    <xf numFmtId="0" fontId="6" fillId="9" borderId="1" applyAlignment="1" pivotButton="0" quotePrefix="0" xfId="0">
      <alignment horizontal="left" vertical="center"/>
    </xf>
    <xf numFmtId="0" fontId="3" fillId="0" borderId="1" pivotButton="0" quotePrefix="0" xfId="0"/>
    <xf numFmtId="164" fontId="0" fillId="7" borderId="1" pivotButton="0" quotePrefix="0" xfId="0"/>
    <xf numFmtId="0" fontId="6" fillId="2" borderId="1" applyAlignment="1" pivotButton="0" quotePrefix="0" xfId="0">
      <alignment horizontal="left" vertical="center"/>
    </xf>
    <xf numFmtId="0" fontId="1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9"/>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ISMS-IMP-A.8.2-3-5.S3  -  PRIVILEGED ACCOUNT INVENTORY ASSESSMENT
ISO/IEC 27001:2022 - Control A.8.2-3-5: Access and Authentication Management</t>
        </is>
      </c>
    </row>
    <row r="3">
      <c r="A3" s="2" t="inlineStr">
        <is>
          <t>Document Information</t>
        </is>
      </c>
    </row>
    <row r="4">
      <c r="A4" s="3" t="inlineStr">
        <is>
          <t>Document ID:</t>
        </is>
      </c>
      <c r="B4" s="4" t="inlineStr">
        <is>
          <t>ISMS-IMP-A.8.2-3-5.S3</t>
        </is>
      </c>
    </row>
    <row r="5">
      <c r="A5" s="3" t="inlineStr">
        <is>
          <t>Assessment:</t>
        </is>
      </c>
      <c r="B5" s="4" t="inlineStr">
        <is>
          <t>Privileged Accounts Assessment</t>
        </is>
      </c>
    </row>
    <row r="6">
      <c r="A6" s="3" t="inlineStr">
        <is>
          <t>Version:</t>
        </is>
      </c>
      <c r="B6" s="4" t="inlineStr">
        <is>
          <t>1.0</t>
        </is>
      </c>
    </row>
    <row r="7">
      <c r="A7" s="3" t="inlineStr">
        <is>
          <t>Generated:</t>
        </is>
      </c>
      <c r="B7" s="4" t="inlineStr">
        <is>
          <t>01.03.2026 12:12</t>
        </is>
      </c>
    </row>
    <row r="9">
      <c r="A9" s="5" t="inlineStr">
        <is>
          <t>CRITICAL: PRIVILEGED ACCESS = HIGHEST SECURITY RISK</t>
        </is>
      </c>
    </row>
    <row r="10" ht="45" customHeight="1">
      <c r="A10" s="6" t="inlineStr">
        <is>
          <t>80% of data breaches involve privileged access abuse. The Admin Tiering Model (Tier 0/1/2) prevents lateral movement and limits blast radius. Tier 0 accounts NEVER log into Tier 1 or Tier 2 systems.</t>
        </is>
      </c>
    </row>
    <row r="12">
      <c r="A12" s="2" t="inlineStr">
        <is>
          <t>Instructions</t>
        </is>
      </c>
    </row>
    <row r="13" ht="45" customHeight="1">
      <c r="A13" s="6" t="inlineStr">
        <is>
          <t>Complete the Privileged Account Inventory (Sheet 2) with all privileged accounts. Classify each account by tier, document PAM vault status, MFA method, and review dates. Use the Admin Tiering Matrix (Sheet 3) to verify correct tier classification.</t>
        </is>
      </c>
    </row>
    <row r="15">
      <c r="A15" s="2" t="inlineStr">
        <is>
          <t>ADMIN TIERING MODEL</t>
        </is>
      </c>
    </row>
    <row r="16">
      <c r="A16" s="7" t="inlineStr">
        <is>
          <t>Tier</t>
        </is>
      </c>
      <c r="B16" s="7" t="inlineStr">
        <is>
          <t>Systems</t>
        </is>
      </c>
      <c r="C16" s="7" t="inlineStr">
        <is>
          <t>Security Requirements</t>
        </is>
      </c>
      <c r="D16" s="8" t="n"/>
      <c r="E16" s="8" t="n"/>
      <c r="F16" s="8" t="n"/>
      <c r="G16" s="9" t="n"/>
    </row>
    <row r="17" ht="30" customHeight="1">
      <c r="A17" s="10" t="inlineStr">
        <is>
          <t>Tier 0 (Domain / Enterprise / Critical)</t>
        </is>
      </c>
      <c r="B17" s="10" t="inlineStr">
        <is>
          <t>Domain Controllers, Microsoft Entra ID, AWS root, PKI CA, SIEM, PAM vault</t>
        </is>
      </c>
      <c r="C17" s="10" t="inlineStr">
        <is>
          <t>PAWs required, Hardware MFA (FIDO2) mandatory, 100% session recording, JIT access</t>
        </is>
      </c>
    </row>
    <row r="18" ht="30" customHeight="1">
      <c r="A18" s="10" t="inlineStr">
        <is>
          <t>Tier 1 (Server / Application)</t>
        </is>
      </c>
      <c r="B18" s="10" t="inlineStr">
        <is>
          <t>Production servers, databases, ERP/CRM, virtualisation, cloud subscriptions</t>
        </is>
      </c>
      <c r="C18" s="10" t="inlineStr">
        <is>
          <t>Separate admin accounts, MFA mandatory, session recording for prod, quarterly reviews</t>
        </is>
      </c>
    </row>
    <row r="19" ht="30" customHeight="1">
      <c r="A19" s="10" t="inlineStr">
        <is>
          <t>Tier 2 (Workstation / Endpoint)</t>
        </is>
      </c>
      <c r="B19" s="10" t="inlineStr">
        <is>
          <t>End-user workstations, laptops, mobile devices</t>
        </is>
      </c>
      <c r="C19" s="10" t="inlineStr">
        <is>
          <t>Local admin only, MFA mandatory, standard logging</t>
        </is>
      </c>
    </row>
    <row r="21">
      <c r="A21" s="2" t="inlineStr">
        <is>
          <t>Status Legend</t>
        </is>
      </c>
    </row>
    <row r="22">
      <c r="A22" s="11" t="inlineStr">
        <is>
          <t>Status</t>
        </is>
      </c>
      <c r="B22" s="11" t="inlineStr">
        <is>
          <t>Description</t>
        </is>
      </c>
      <c r="C22" s="12" t="inlineStr"/>
      <c r="D22" s="8" t="n"/>
      <c r="E22" s="8" t="n"/>
      <c r="F22" s="8" t="n"/>
      <c r="G22" s="9" t="n"/>
    </row>
    <row r="23">
      <c r="A23" s="10" t="inlineStr">
        <is>
          <t>✅ Compliant</t>
        </is>
      </c>
      <c r="B23" s="10" t="inlineStr">
        <is>
          <t>Meets all privileged access requirements</t>
        </is>
      </c>
    </row>
    <row r="24">
      <c r="A24" s="10" t="inlineStr">
        <is>
          <t>⚠ Partial Compliance</t>
        </is>
      </c>
      <c r="B24" s="10" t="inlineStr">
        <is>
          <t>Meets some but not all requirements</t>
        </is>
      </c>
    </row>
    <row r="25">
      <c r="A25" s="10" t="inlineStr">
        <is>
          <t>❌ Non-Compliant</t>
        </is>
      </c>
      <c r="B25" s="10" t="inlineStr">
        <is>
          <t>Does not meet requirements — immediate action required</t>
        </is>
      </c>
    </row>
    <row r="26">
      <c r="A26" s="10" t="inlineStr">
        <is>
          <t>In Progress</t>
        </is>
      </c>
      <c r="B26" s="10" t="inlineStr">
        <is>
          <t>Remediation in progress</t>
        </is>
      </c>
    </row>
    <row r="27">
      <c r="A27" s="10" t="inlineStr">
        <is>
          <t>—</t>
        </is>
      </c>
      <c r="B27" s="10" t="inlineStr">
        <is>
          <t>Not applicable</t>
        </is>
      </c>
    </row>
    <row r="29" ht="30" customHeight="1">
      <c r="A29" s="13" t="inlineStr">
        <is>
          <t>REMEMBER: Privileged access is the 'keys to the kingdom'. Get this wrong and no other security controls matter.</t>
        </is>
      </c>
    </row>
  </sheetData>
  <mergeCells count="19">
    <mergeCell ref="B23:G23"/>
    <mergeCell ref="A29:G29"/>
    <mergeCell ref="A10:G10"/>
    <mergeCell ref="A13:G13"/>
    <mergeCell ref="A9:G9"/>
    <mergeCell ref="C16:G16"/>
    <mergeCell ref="A15:G15"/>
    <mergeCell ref="C22:G22"/>
    <mergeCell ref="A3:B3"/>
    <mergeCell ref="B24:G24"/>
    <mergeCell ref="A1:G1"/>
    <mergeCell ref="B26:G26"/>
    <mergeCell ref="B25:G25"/>
    <mergeCell ref="C17:G17"/>
    <mergeCell ref="A21:G21"/>
    <mergeCell ref="A12:G12"/>
    <mergeCell ref="B27:G27"/>
    <mergeCell ref="C19:G19"/>
    <mergeCell ref="C18:G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5"/>
  <sheetViews>
    <sheetView showGridLines="0" workbookViewId="0">
      <pane ySplit="4" topLeftCell="A5" activePane="bottomLeft" state="frozen"/>
      <selection pane="bottomLeft" activeCell="A1" sqref="A1"/>
    </sheetView>
  </sheetViews>
  <sheetFormatPr baseColWidth="8" defaultRowHeight="15"/>
  <cols>
    <col width="28" customWidth="1" min="1" max="1"/>
    <col width="25" customWidth="1" min="2" max="2"/>
    <col width="22" customWidth="1" min="3" max="3"/>
    <col width="25" customWidth="1" min="4" max="4"/>
    <col width="25" customWidth="1" min="5" max="5"/>
    <col width="22" customWidth="1" min="6" max="6"/>
    <col width="14" customWidth="1" min="7" max="7"/>
    <col width="32" customWidth="1" min="8" max="8"/>
    <col width="22" customWidth="1" min="9" max="9"/>
    <col width="16" customWidth="1" min="10" max="10"/>
    <col width="22" customWidth="1" min="11" max="11"/>
    <col width="16" customWidth="1" min="12" max="12"/>
    <col width="18" customWidth="1" min="13" max="13"/>
    <col width="35" customWidth="1" min="14" max="14"/>
  </cols>
  <sheetData>
    <row r="1" ht="35" customHeight="1">
      <c r="A1" s="1" t="inlineStr">
        <is>
          <t>PRIVILEGED ACCOUNT INVENTORY</t>
        </is>
      </c>
    </row>
    <row r="2">
      <c r="A2" s="14" t="inlineStr">
        <is>
          <t>Complete inventory of all privileged accounts with tier classification</t>
        </is>
      </c>
    </row>
    <row r="4">
      <c r="A4" s="7" t="inlineStr">
        <is>
          <t>Account Name</t>
        </is>
      </c>
      <c r="B4" s="7" t="inlineStr">
        <is>
          <t>Account Type</t>
        </is>
      </c>
      <c r="C4" s="7" t="inlineStr">
        <is>
          <t>Admin Tier</t>
        </is>
      </c>
      <c r="D4" s="7" t="inlineStr">
        <is>
          <t>Privileged Role</t>
        </is>
      </c>
      <c r="E4" s="7" t="inlineStr">
        <is>
          <t>System / Platform</t>
        </is>
      </c>
      <c r="F4" s="7" t="inlineStr">
        <is>
          <t>Owner / Responsible</t>
        </is>
      </c>
      <c r="G4" s="7" t="inlineStr">
        <is>
          <t>MFA Status</t>
        </is>
      </c>
      <c r="H4" s="7" t="inlineStr">
        <is>
          <t>MFA Method</t>
        </is>
      </c>
      <c r="I4" s="7" t="inlineStr">
        <is>
          <t>PAM Vaulted</t>
        </is>
      </c>
      <c r="J4" s="7" t="inlineStr">
        <is>
          <t>Last Password Change</t>
        </is>
      </c>
      <c r="K4" s="7" t="inlineStr">
        <is>
          <t>Password Rotation Freq</t>
        </is>
      </c>
      <c r="L4" s="7" t="inlineStr">
        <is>
          <t>Last Access Review</t>
        </is>
      </c>
      <c r="M4" s="7" t="inlineStr">
        <is>
          <t>Compliance Status</t>
        </is>
      </c>
      <c r="N4" s="7" t="inlineStr">
        <is>
          <t>Notes</t>
        </is>
      </c>
    </row>
    <row r="5">
      <c r="A5" s="15" t="inlineStr">
        <is>
          <t>admin.username</t>
        </is>
      </c>
      <c r="B5" s="15" t="inlineStr">
        <is>
          <t>Named Privileged (user.admin)</t>
        </is>
      </c>
      <c r="C5" s="15" t="inlineStr">
        <is>
          <t>Tier 0 (Domain/Enterprise/Critical)</t>
        </is>
      </c>
      <c r="D5" s="15" t="inlineStr">
        <is>
          <t>Domain Admin</t>
        </is>
      </c>
      <c r="E5" s="15" t="inlineStr">
        <is>
          <t>Active Directory</t>
        </is>
      </c>
      <c r="F5" s="15" t="inlineStr">
        <is>
          <t>[Owner Name]</t>
        </is>
      </c>
      <c r="G5" s="15" t="inlineStr">
        <is>
          <t>✅ Enrolled - Active</t>
        </is>
      </c>
      <c r="H5" s="15" t="inlineStr">
        <is>
          <t>Hardware Token (FIDO2) - Tier 0 Required</t>
        </is>
      </c>
      <c r="I5" s="15" t="inlineStr">
        <is>
          <t>✅ Vaulted - JIT Enabled</t>
        </is>
      </c>
      <c r="J5" s="15" t="inlineStr">
        <is>
          <t>01.03.2026</t>
        </is>
      </c>
      <c r="K5" s="15" t="inlineStr">
        <is>
          <t>After Each Use (Check-in)</t>
        </is>
      </c>
      <c r="L5" s="15" t="inlineStr">
        <is>
          <t>01.03.2026</t>
        </is>
      </c>
      <c r="M5" s="15" t="inlineStr">
        <is>
          <t>✅ Compliant</t>
        </is>
      </c>
      <c r="N5" s="15" t="inlineStr"/>
    </row>
    <row r="6">
      <c r="A6" s="16" t="n"/>
      <c r="B6" s="16" t="n"/>
      <c r="C6" s="16" t="n"/>
      <c r="D6" s="16" t="n"/>
      <c r="E6" s="16" t="n"/>
      <c r="F6" s="16" t="n"/>
      <c r="G6" s="16" t="n"/>
      <c r="H6" s="16" t="n"/>
      <c r="I6" s="16" t="n"/>
      <c r="J6" s="16" t="n"/>
      <c r="K6" s="16" t="n"/>
      <c r="L6" s="16" t="n"/>
      <c r="M6" s="16" t="n"/>
      <c r="N6" s="16" t="n"/>
    </row>
    <row r="7">
      <c r="A7" s="16" t="n"/>
      <c r="B7" s="16" t="n"/>
      <c r="C7" s="16" t="n"/>
      <c r="D7" s="16" t="n"/>
      <c r="E7" s="16" t="n"/>
      <c r="F7" s="16" t="n"/>
      <c r="G7" s="16" t="n"/>
      <c r="H7" s="16" t="n"/>
      <c r="I7" s="16" t="n"/>
      <c r="J7" s="16" t="n"/>
      <c r="K7" s="16" t="n"/>
      <c r="L7" s="16" t="n"/>
      <c r="M7" s="16" t="n"/>
      <c r="N7" s="16" t="n"/>
    </row>
    <row r="8">
      <c r="A8" s="16" t="n"/>
      <c r="B8" s="16" t="n"/>
      <c r="C8" s="16" t="n"/>
      <c r="D8" s="16" t="n"/>
      <c r="E8" s="16" t="n"/>
      <c r="F8" s="16" t="n"/>
      <c r="G8" s="16" t="n"/>
      <c r="H8" s="16" t="n"/>
      <c r="I8" s="16" t="n"/>
      <c r="J8" s="16" t="n"/>
      <c r="K8" s="16" t="n"/>
      <c r="L8" s="16" t="n"/>
      <c r="M8" s="16" t="n"/>
      <c r="N8" s="16" t="n"/>
    </row>
    <row r="9">
      <c r="A9" s="16" t="n"/>
      <c r="B9" s="16" t="n"/>
      <c r="C9" s="16" t="n"/>
      <c r="D9" s="16" t="n"/>
      <c r="E9" s="16" t="n"/>
      <c r="F9" s="16" t="n"/>
      <c r="G9" s="16" t="n"/>
      <c r="H9" s="16" t="n"/>
      <c r="I9" s="16" t="n"/>
      <c r="J9" s="16" t="n"/>
      <c r="K9" s="16" t="n"/>
      <c r="L9" s="16" t="n"/>
      <c r="M9" s="16" t="n"/>
      <c r="N9" s="16" t="n"/>
    </row>
    <row r="10">
      <c r="A10" s="16" t="n"/>
      <c r="B10" s="16" t="n"/>
      <c r="C10" s="16" t="n"/>
      <c r="D10" s="16" t="n"/>
      <c r="E10" s="16" t="n"/>
      <c r="F10" s="16" t="n"/>
      <c r="G10" s="16" t="n"/>
      <c r="H10" s="16" t="n"/>
      <c r="I10" s="16" t="n"/>
      <c r="J10" s="16" t="n"/>
      <c r="K10" s="16" t="n"/>
      <c r="L10" s="16" t="n"/>
      <c r="M10" s="16" t="n"/>
      <c r="N10" s="16" t="n"/>
    </row>
    <row r="11">
      <c r="A11" s="16" t="n"/>
      <c r="B11" s="16" t="n"/>
      <c r="C11" s="16" t="n"/>
      <c r="D11" s="16" t="n"/>
      <c r="E11" s="16" t="n"/>
      <c r="F11" s="16" t="n"/>
      <c r="G11" s="16" t="n"/>
      <c r="H11" s="16" t="n"/>
      <c r="I11" s="16" t="n"/>
      <c r="J11" s="16" t="n"/>
      <c r="K11" s="16" t="n"/>
      <c r="L11" s="16" t="n"/>
      <c r="M11" s="16" t="n"/>
      <c r="N11" s="16" t="n"/>
    </row>
    <row r="12">
      <c r="A12" s="16" t="n"/>
      <c r="B12" s="16" t="n"/>
      <c r="C12" s="16" t="n"/>
      <c r="D12" s="16" t="n"/>
      <c r="E12" s="16" t="n"/>
      <c r="F12" s="16" t="n"/>
      <c r="G12" s="16" t="n"/>
      <c r="H12" s="16" t="n"/>
      <c r="I12" s="16" t="n"/>
      <c r="J12" s="16" t="n"/>
      <c r="K12" s="16" t="n"/>
      <c r="L12" s="16" t="n"/>
      <c r="M12" s="16" t="n"/>
      <c r="N12" s="16" t="n"/>
    </row>
    <row r="13">
      <c r="A13" s="16" t="n"/>
      <c r="B13" s="16" t="n"/>
      <c r="C13" s="16" t="n"/>
      <c r="D13" s="16" t="n"/>
      <c r="E13" s="16" t="n"/>
      <c r="F13" s="16" t="n"/>
      <c r="G13" s="16" t="n"/>
      <c r="H13" s="16" t="n"/>
      <c r="I13" s="16" t="n"/>
      <c r="J13" s="16" t="n"/>
      <c r="K13" s="16" t="n"/>
      <c r="L13" s="16" t="n"/>
      <c r="M13" s="16" t="n"/>
      <c r="N13" s="16" t="n"/>
    </row>
    <row r="14">
      <c r="A14" s="16" t="n"/>
      <c r="B14" s="16" t="n"/>
      <c r="C14" s="16" t="n"/>
      <c r="D14" s="16" t="n"/>
      <c r="E14" s="16" t="n"/>
      <c r="F14" s="16" t="n"/>
      <c r="G14" s="16" t="n"/>
      <c r="H14" s="16" t="n"/>
      <c r="I14" s="16" t="n"/>
      <c r="J14" s="16" t="n"/>
      <c r="K14" s="16" t="n"/>
      <c r="L14" s="16" t="n"/>
      <c r="M14" s="16" t="n"/>
      <c r="N14" s="16" t="n"/>
    </row>
    <row r="15">
      <c r="A15" s="16" t="n"/>
      <c r="B15" s="16" t="n"/>
      <c r="C15" s="16" t="n"/>
      <c r="D15" s="16" t="n"/>
      <c r="E15" s="16" t="n"/>
      <c r="F15" s="16" t="n"/>
      <c r="G15" s="16" t="n"/>
      <c r="H15" s="16" t="n"/>
      <c r="I15" s="16" t="n"/>
      <c r="J15" s="16" t="n"/>
      <c r="K15" s="16" t="n"/>
      <c r="L15" s="16" t="n"/>
      <c r="M15" s="16" t="n"/>
      <c r="N15" s="16" t="n"/>
    </row>
    <row r="16">
      <c r="A16" s="16" t="n"/>
      <c r="B16" s="16" t="n"/>
      <c r="C16" s="16" t="n"/>
      <c r="D16" s="16" t="n"/>
      <c r="E16" s="16" t="n"/>
      <c r="F16" s="16" t="n"/>
      <c r="G16" s="16" t="n"/>
      <c r="H16" s="16" t="n"/>
      <c r="I16" s="16" t="n"/>
      <c r="J16" s="16" t="n"/>
      <c r="K16" s="16" t="n"/>
      <c r="L16" s="16" t="n"/>
      <c r="M16" s="16" t="n"/>
      <c r="N16" s="16" t="n"/>
    </row>
    <row r="17">
      <c r="A17" s="16" t="n"/>
      <c r="B17" s="16" t="n"/>
      <c r="C17" s="16" t="n"/>
      <c r="D17" s="16" t="n"/>
      <c r="E17" s="16" t="n"/>
      <c r="F17" s="16" t="n"/>
      <c r="G17" s="16" t="n"/>
      <c r="H17" s="16" t="n"/>
      <c r="I17" s="16" t="n"/>
      <c r="J17" s="16" t="n"/>
      <c r="K17" s="16" t="n"/>
      <c r="L17" s="16" t="n"/>
      <c r="M17" s="16" t="n"/>
      <c r="N17" s="16" t="n"/>
    </row>
    <row r="18">
      <c r="A18" s="16" t="n"/>
      <c r="B18" s="16" t="n"/>
      <c r="C18" s="16" t="n"/>
      <c r="D18" s="16" t="n"/>
      <c r="E18" s="16" t="n"/>
      <c r="F18" s="16" t="n"/>
      <c r="G18" s="16" t="n"/>
      <c r="H18" s="16" t="n"/>
      <c r="I18" s="16" t="n"/>
      <c r="J18" s="16" t="n"/>
      <c r="K18" s="16" t="n"/>
      <c r="L18" s="16" t="n"/>
      <c r="M18" s="16" t="n"/>
      <c r="N18" s="16" t="n"/>
    </row>
    <row r="19">
      <c r="A19" s="16" t="n"/>
      <c r="B19" s="16" t="n"/>
      <c r="C19" s="16" t="n"/>
      <c r="D19" s="16" t="n"/>
      <c r="E19" s="16" t="n"/>
      <c r="F19" s="16" t="n"/>
      <c r="G19" s="16" t="n"/>
      <c r="H19" s="16" t="n"/>
      <c r="I19" s="16" t="n"/>
      <c r="J19" s="16" t="n"/>
      <c r="K19" s="16" t="n"/>
      <c r="L19" s="16" t="n"/>
      <c r="M19" s="16" t="n"/>
      <c r="N19" s="16" t="n"/>
    </row>
    <row r="20">
      <c r="A20" s="16" t="n"/>
      <c r="B20" s="16" t="n"/>
      <c r="C20" s="16" t="n"/>
      <c r="D20" s="16" t="n"/>
      <c r="E20" s="16" t="n"/>
      <c r="F20" s="16" t="n"/>
      <c r="G20" s="16" t="n"/>
      <c r="H20" s="16" t="n"/>
      <c r="I20" s="16" t="n"/>
      <c r="J20" s="16" t="n"/>
      <c r="K20" s="16" t="n"/>
      <c r="L20" s="16" t="n"/>
      <c r="M20" s="16" t="n"/>
      <c r="N20" s="16" t="n"/>
    </row>
    <row r="21">
      <c r="A21" s="16" t="n"/>
      <c r="B21" s="16" t="n"/>
      <c r="C21" s="16" t="n"/>
      <c r="D21" s="16" t="n"/>
      <c r="E21" s="16" t="n"/>
      <c r="F21" s="16" t="n"/>
      <c r="G21" s="16" t="n"/>
      <c r="H21" s="16" t="n"/>
      <c r="I21" s="16" t="n"/>
      <c r="J21" s="16" t="n"/>
      <c r="K21" s="16" t="n"/>
      <c r="L21" s="16" t="n"/>
      <c r="M21" s="16" t="n"/>
      <c r="N21" s="16" t="n"/>
    </row>
    <row r="22">
      <c r="A22" s="16" t="n"/>
      <c r="B22" s="16" t="n"/>
      <c r="C22" s="16" t="n"/>
      <c r="D22" s="16" t="n"/>
      <c r="E22" s="16" t="n"/>
      <c r="F22" s="16" t="n"/>
      <c r="G22" s="16" t="n"/>
      <c r="H22" s="16" t="n"/>
      <c r="I22" s="16" t="n"/>
      <c r="J22" s="16" t="n"/>
      <c r="K22" s="16" t="n"/>
      <c r="L22" s="16" t="n"/>
      <c r="M22" s="16" t="n"/>
      <c r="N22" s="16" t="n"/>
    </row>
    <row r="23">
      <c r="A23" s="16" t="n"/>
      <c r="B23" s="16" t="n"/>
      <c r="C23" s="16" t="n"/>
      <c r="D23" s="16" t="n"/>
      <c r="E23" s="16" t="n"/>
      <c r="F23" s="16" t="n"/>
      <c r="G23" s="16" t="n"/>
      <c r="H23" s="16" t="n"/>
      <c r="I23" s="16" t="n"/>
      <c r="J23" s="16" t="n"/>
      <c r="K23" s="16" t="n"/>
      <c r="L23" s="16" t="n"/>
      <c r="M23" s="16" t="n"/>
      <c r="N23" s="16" t="n"/>
    </row>
    <row r="24">
      <c r="A24" s="16" t="n"/>
      <c r="B24" s="16" t="n"/>
      <c r="C24" s="16" t="n"/>
      <c r="D24" s="16" t="n"/>
      <c r="E24" s="16" t="n"/>
      <c r="F24" s="16" t="n"/>
      <c r="G24" s="16" t="n"/>
      <c r="H24" s="16" t="n"/>
      <c r="I24" s="16" t="n"/>
      <c r="J24" s="16" t="n"/>
      <c r="K24" s="16" t="n"/>
      <c r="L24" s="16" t="n"/>
      <c r="M24" s="16" t="n"/>
      <c r="N24" s="16" t="n"/>
    </row>
    <row r="25">
      <c r="A25" s="16" t="n"/>
      <c r="B25" s="16" t="n"/>
      <c r="C25" s="16" t="n"/>
      <c r="D25" s="16" t="n"/>
      <c r="E25" s="16" t="n"/>
      <c r="F25" s="16" t="n"/>
      <c r="G25" s="16" t="n"/>
      <c r="H25" s="16" t="n"/>
      <c r="I25" s="16" t="n"/>
      <c r="J25" s="16" t="n"/>
      <c r="K25" s="16" t="n"/>
      <c r="L25" s="16" t="n"/>
      <c r="M25" s="16" t="n"/>
      <c r="N25" s="16" t="n"/>
    </row>
    <row r="26">
      <c r="A26" s="16" t="n"/>
      <c r="B26" s="16" t="n"/>
      <c r="C26" s="16" t="n"/>
      <c r="D26" s="16" t="n"/>
      <c r="E26" s="16" t="n"/>
      <c r="F26" s="16" t="n"/>
      <c r="G26" s="16" t="n"/>
      <c r="H26" s="16" t="n"/>
      <c r="I26" s="16" t="n"/>
      <c r="J26" s="16" t="n"/>
      <c r="K26" s="16" t="n"/>
      <c r="L26" s="16" t="n"/>
      <c r="M26" s="16" t="n"/>
      <c r="N26" s="16" t="n"/>
    </row>
    <row r="27">
      <c r="A27" s="16" t="n"/>
      <c r="B27" s="16" t="n"/>
      <c r="C27" s="16" t="n"/>
      <c r="D27" s="16" t="n"/>
      <c r="E27" s="16" t="n"/>
      <c r="F27" s="16" t="n"/>
      <c r="G27" s="16" t="n"/>
      <c r="H27" s="16" t="n"/>
      <c r="I27" s="16" t="n"/>
      <c r="J27" s="16" t="n"/>
      <c r="K27" s="16" t="n"/>
      <c r="L27" s="16" t="n"/>
      <c r="M27" s="16" t="n"/>
      <c r="N27" s="16" t="n"/>
    </row>
    <row r="28">
      <c r="A28" s="16" t="n"/>
      <c r="B28" s="16" t="n"/>
      <c r="C28" s="16" t="n"/>
      <c r="D28" s="16" t="n"/>
      <c r="E28" s="16" t="n"/>
      <c r="F28" s="16" t="n"/>
      <c r="G28" s="16" t="n"/>
      <c r="H28" s="16" t="n"/>
      <c r="I28" s="16" t="n"/>
      <c r="J28" s="16" t="n"/>
      <c r="K28" s="16" t="n"/>
      <c r="L28" s="16" t="n"/>
      <c r="M28" s="16" t="n"/>
      <c r="N28" s="16" t="n"/>
    </row>
    <row r="29">
      <c r="A29" s="16" t="n"/>
      <c r="B29" s="16" t="n"/>
      <c r="C29" s="16" t="n"/>
      <c r="D29" s="16" t="n"/>
      <c r="E29" s="16" t="n"/>
      <c r="F29" s="16" t="n"/>
      <c r="G29" s="16" t="n"/>
      <c r="H29" s="16" t="n"/>
      <c r="I29" s="16" t="n"/>
      <c r="J29" s="16" t="n"/>
      <c r="K29" s="16" t="n"/>
      <c r="L29" s="16" t="n"/>
      <c r="M29" s="16" t="n"/>
      <c r="N29" s="16" t="n"/>
    </row>
    <row r="30">
      <c r="A30" s="16" t="n"/>
      <c r="B30" s="16" t="n"/>
      <c r="C30" s="16" t="n"/>
      <c r="D30" s="16" t="n"/>
      <c r="E30" s="16" t="n"/>
      <c r="F30" s="16" t="n"/>
      <c r="G30" s="16" t="n"/>
      <c r="H30" s="16" t="n"/>
      <c r="I30" s="16" t="n"/>
      <c r="J30" s="16" t="n"/>
      <c r="K30" s="16" t="n"/>
      <c r="L30" s="16" t="n"/>
      <c r="M30" s="16" t="n"/>
      <c r="N30" s="16" t="n"/>
    </row>
    <row r="31">
      <c r="A31" s="16" t="n"/>
      <c r="B31" s="16" t="n"/>
      <c r="C31" s="16" t="n"/>
      <c r="D31" s="16" t="n"/>
      <c r="E31" s="16" t="n"/>
      <c r="F31" s="16" t="n"/>
      <c r="G31" s="16" t="n"/>
      <c r="H31" s="16" t="n"/>
      <c r="I31" s="16" t="n"/>
      <c r="J31" s="16" t="n"/>
      <c r="K31" s="16" t="n"/>
      <c r="L31" s="16" t="n"/>
      <c r="M31" s="16" t="n"/>
      <c r="N31" s="16" t="n"/>
    </row>
    <row r="32">
      <c r="A32" s="16" t="n"/>
      <c r="B32" s="16" t="n"/>
      <c r="C32" s="16" t="n"/>
      <c r="D32" s="16" t="n"/>
      <c r="E32" s="16" t="n"/>
      <c r="F32" s="16" t="n"/>
      <c r="G32" s="16" t="n"/>
      <c r="H32" s="16" t="n"/>
      <c r="I32" s="16" t="n"/>
      <c r="J32" s="16" t="n"/>
      <c r="K32" s="16" t="n"/>
      <c r="L32" s="16" t="n"/>
      <c r="M32" s="16" t="n"/>
      <c r="N32" s="16" t="n"/>
    </row>
    <row r="33">
      <c r="A33" s="16" t="n"/>
      <c r="B33" s="16" t="n"/>
      <c r="C33" s="16" t="n"/>
      <c r="D33" s="16" t="n"/>
      <c r="E33" s="16" t="n"/>
      <c r="F33" s="16" t="n"/>
      <c r="G33" s="16" t="n"/>
      <c r="H33" s="16" t="n"/>
      <c r="I33" s="16" t="n"/>
      <c r="J33" s="16" t="n"/>
      <c r="K33" s="16" t="n"/>
      <c r="L33" s="16" t="n"/>
      <c r="M33" s="16" t="n"/>
      <c r="N33" s="16" t="n"/>
    </row>
    <row r="34">
      <c r="A34" s="16" t="n"/>
      <c r="B34" s="16" t="n"/>
      <c r="C34" s="16" t="n"/>
      <c r="D34" s="16" t="n"/>
      <c r="E34" s="16" t="n"/>
      <c r="F34" s="16" t="n"/>
      <c r="G34" s="16" t="n"/>
      <c r="H34" s="16" t="n"/>
      <c r="I34" s="16" t="n"/>
      <c r="J34" s="16" t="n"/>
      <c r="K34" s="16" t="n"/>
      <c r="L34" s="16" t="n"/>
      <c r="M34" s="16" t="n"/>
      <c r="N34" s="16" t="n"/>
    </row>
    <row r="35">
      <c r="A35" s="16" t="n"/>
      <c r="B35" s="16" t="n"/>
      <c r="C35" s="16" t="n"/>
      <c r="D35" s="16" t="n"/>
      <c r="E35" s="16" t="n"/>
      <c r="F35" s="16" t="n"/>
      <c r="G35" s="16" t="n"/>
      <c r="H35" s="16" t="n"/>
      <c r="I35" s="16" t="n"/>
      <c r="J35" s="16" t="n"/>
      <c r="K35" s="16" t="n"/>
      <c r="L35" s="16" t="n"/>
      <c r="M35" s="16" t="n"/>
      <c r="N35" s="16" t="n"/>
    </row>
    <row r="36">
      <c r="A36" s="16" t="n"/>
      <c r="B36" s="16" t="n"/>
      <c r="C36" s="16" t="n"/>
      <c r="D36" s="16" t="n"/>
      <c r="E36" s="16" t="n"/>
      <c r="F36" s="16" t="n"/>
      <c r="G36" s="16" t="n"/>
      <c r="H36" s="16" t="n"/>
      <c r="I36" s="16" t="n"/>
      <c r="J36" s="16" t="n"/>
      <c r="K36" s="16" t="n"/>
      <c r="L36" s="16" t="n"/>
      <c r="M36" s="16" t="n"/>
      <c r="N36" s="16" t="n"/>
    </row>
    <row r="37">
      <c r="A37" s="16" t="n"/>
      <c r="B37" s="16" t="n"/>
      <c r="C37" s="16" t="n"/>
      <c r="D37" s="16" t="n"/>
      <c r="E37" s="16" t="n"/>
      <c r="F37" s="16" t="n"/>
      <c r="G37" s="16" t="n"/>
      <c r="H37" s="16" t="n"/>
      <c r="I37" s="16" t="n"/>
      <c r="J37" s="16" t="n"/>
      <c r="K37" s="16" t="n"/>
      <c r="L37" s="16" t="n"/>
      <c r="M37" s="16" t="n"/>
      <c r="N37" s="16" t="n"/>
    </row>
    <row r="38">
      <c r="A38" s="16" t="n"/>
      <c r="B38" s="16" t="n"/>
      <c r="C38" s="16" t="n"/>
      <c r="D38" s="16" t="n"/>
      <c r="E38" s="16" t="n"/>
      <c r="F38" s="16" t="n"/>
      <c r="G38" s="16" t="n"/>
      <c r="H38" s="16" t="n"/>
      <c r="I38" s="16" t="n"/>
      <c r="J38" s="16" t="n"/>
      <c r="K38" s="16" t="n"/>
      <c r="L38" s="16" t="n"/>
      <c r="M38" s="16" t="n"/>
      <c r="N38" s="16" t="n"/>
    </row>
    <row r="39">
      <c r="A39" s="16" t="n"/>
      <c r="B39" s="16" t="n"/>
      <c r="C39" s="16" t="n"/>
      <c r="D39" s="16" t="n"/>
      <c r="E39" s="16" t="n"/>
      <c r="F39" s="16" t="n"/>
      <c r="G39" s="16" t="n"/>
      <c r="H39" s="16" t="n"/>
      <c r="I39" s="16" t="n"/>
      <c r="J39" s="16" t="n"/>
      <c r="K39" s="16" t="n"/>
      <c r="L39" s="16" t="n"/>
      <c r="M39" s="16" t="n"/>
      <c r="N39" s="16" t="n"/>
    </row>
    <row r="40">
      <c r="A40" s="16" t="n"/>
      <c r="B40" s="16" t="n"/>
      <c r="C40" s="16" t="n"/>
      <c r="D40" s="16" t="n"/>
      <c r="E40" s="16" t="n"/>
      <c r="F40" s="16" t="n"/>
      <c r="G40" s="16" t="n"/>
      <c r="H40" s="16" t="n"/>
      <c r="I40" s="16" t="n"/>
      <c r="J40" s="16" t="n"/>
      <c r="K40" s="16" t="n"/>
      <c r="L40" s="16" t="n"/>
      <c r="M40" s="16" t="n"/>
      <c r="N40" s="16" t="n"/>
    </row>
    <row r="41">
      <c r="A41" s="16" t="n"/>
      <c r="B41" s="16" t="n"/>
      <c r="C41" s="16" t="n"/>
      <c r="D41" s="16" t="n"/>
      <c r="E41" s="16" t="n"/>
      <c r="F41" s="16" t="n"/>
      <c r="G41" s="16" t="n"/>
      <c r="H41" s="16" t="n"/>
      <c r="I41" s="16" t="n"/>
      <c r="J41" s="16" t="n"/>
      <c r="K41" s="16" t="n"/>
      <c r="L41" s="16" t="n"/>
      <c r="M41" s="16" t="n"/>
      <c r="N41" s="16" t="n"/>
    </row>
    <row r="42">
      <c r="A42" s="16" t="n"/>
      <c r="B42" s="16" t="n"/>
      <c r="C42" s="16" t="n"/>
      <c r="D42" s="16" t="n"/>
      <c r="E42" s="16" t="n"/>
      <c r="F42" s="16" t="n"/>
      <c r="G42" s="16" t="n"/>
      <c r="H42" s="16" t="n"/>
      <c r="I42" s="16" t="n"/>
      <c r="J42" s="16" t="n"/>
      <c r="K42" s="16" t="n"/>
      <c r="L42" s="16" t="n"/>
      <c r="M42" s="16" t="n"/>
      <c r="N42" s="16" t="n"/>
    </row>
    <row r="43">
      <c r="A43" s="16" t="n"/>
      <c r="B43" s="16" t="n"/>
      <c r="C43" s="16" t="n"/>
      <c r="D43" s="16" t="n"/>
      <c r="E43" s="16" t="n"/>
      <c r="F43" s="16" t="n"/>
      <c r="G43" s="16" t="n"/>
      <c r="H43" s="16" t="n"/>
      <c r="I43" s="16" t="n"/>
      <c r="J43" s="16" t="n"/>
      <c r="K43" s="16" t="n"/>
      <c r="L43" s="16" t="n"/>
      <c r="M43" s="16" t="n"/>
      <c r="N43" s="16" t="n"/>
    </row>
    <row r="44">
      <c r="A44" s="16" t="n"/>
      <c r="B44" s="16" t="n"/>
      <c r="C44" s="16" t="n"/>
      <c r="D44" s="16" t="n"/>
      <c r="E44" s="16" t="n"/>
      <c r="F44" s="16" t="n"/>
      <c r="G44" s="16" t="n"/>
      <c r="H44" s="16" t="n"/>
      <c r="I44" s="16" t="n"/>
      <c r="J44" s="16" t="n"/>
      <c r="K44" s="16" t="n"/>
      <c r="L44" s="16" t="n"/>
      <c r="M44" s="16" t="n"/>
      <c r="N44" s="16" t="n"/>
    </row>
    <row r="45">
      <c r="A45" s="16" t="n"/>
      <c r="B45" s="16" t="n"/>
      <c r="C45" s="16" t="n"/>
      <c r="D45" s="16" t="n"/>
      <c r="E45" s="16" t="n"/>
      <c r="F45" s="16" t="n"/>
      <c r="G45" s="16" t="n"/>
      <c r="H45" s="16" t="n"/>
      <c r="I45" s="16" t="n"/>
      <c r="J45" s="16" t="n"/>
      <c r="K45" s="16" t="n"/>
      <c r="L45" s="16" t="n"/>
      <c r="M45" s="16" t="n"/>
      <c r="N45" s="16" t="n"/>
    </row>
    <row r="46">
      <c r="A46" s="16" t="n"/>
      <c r="B46" s="16" t="n"/>
      <c r="C46" s="16" t="n"/>
      <c r="D46" s="16" t="n"/>
      <c r="E46" s="16" t="n"/>
      <c r="F46" s="16" t="n"/>
      <c r="G46" s="16" t="n"/>
      <c r="H46" s="16" t="n"/>
      <c r="I46" s="16" t="n"/>
      <c r="J46" s="16" t="n"/>
      <c r="K46" s="16" t="n"/>
      <c r="L46" s="16" t="n"/>
      <c r="M46" s="16" t="n"/>
      <c r="N46" s="16" t="n"/>
    </row>
    <row r="47">
      <c r="A47" s="16" t="n"/>
      <c r="B47" s="16" t="n"/>
      <c r="C47" s="16" t="n"/>
      <c r="D47" s="16" t="n"/>
      <c r="E47" s="16" t="n"/>
      <c r="F47" s="16" t="n"/>
      <c r="G47" s="16" t="n"/>
      <c r="H47" s="16" t="n"/>
      <c r="I47" s="16" t="n"/>
      <c r="J47" s="16" t="n"/>
      <c r="K47" s="16" t="n"/>
      <c r="L47" s="16" t="n"/>
      <c r="M47" s="16" t="n"/>
      <c r="N47" s="16" t="n"/>
    </row>
    <row r="48">
      <c r="A48" s="16" t="n"/>
      <c r="B48" s="16" t="n"/>
      <c r="C48" s="16" t="n"/>
      <c r="D48" s="16" t="n"/>
      <c r="E48" s="16" t="n"/>
      <c r="F48" s="16" t="n"/>
      <c r="G48" s="16" t="n"/>
      <c r="H48" s="16" t="n"/>
      <c r="I48" s="16" t="n"/>
      <c r="J48" s="16" t="n"/>
      <c r="K48" s="16" t="n"/>
      <c r="L48" s="16" t="n"/>
      <c r="M48" s="16" t="n"/>
      <c r="N48" s="16" t="n"/>
    </row>
    <row r="49">
      <c r="A49" s="16" t="n"/>
      <c r="B49" s="16" t="n"/>
      <c r="C49" s="16" t="n"/>
      <c r="D49" s="16" t="n"/>
      <c r="E49" s="16" t="n"/>
      <c r="F49" s="16" t="n"/>
      <c r="G49" s="16" t="n"/>
      <c r="H49" s="16" t="n"/>
      <c r="I49" s="16" t="n"/>
      <c r="J49" s="16" t="n"/>
      <c r="K49" s="16" t="n"/>
      <c r="L49" s="16" t="n"/>
      <c r="M49" s="16" t="n"/>
      <c r="N49" s="16" t="n"/>
    </row>
    <row r="50">
      <c r="A50" s="16" t="n"/>
      <c r="B50" s="16" t="n"/>
      <c r="C50" s="16" t="n"/>
      <c r="D50" s="16" t="n"/>
      <c r="E50" s="16" t="n"/>
      <c r="F50" s="16" t="n"/>
      <c r="G50" s="16" t="n"/>
      <c r="H50" s="16" t="n"/>
      <c r="I50" s="16" t="n"/>
      <c r="J50" s="16" t="n"/>
      <c r="K50" s="16" t="n"/>
      <c r="L50" s="16" t="n"/>
      <c r="M50" s="16" t="n"/>
      <c r="N50" s="16" t="n"/>
    </row>
    <row r="51">
      <c r="A51" s="16" t="n"/>
      <c r="B51" s="16" t="n"/>
      <c r="C51" s="16" t="n"/>
      <c r="D51" s="16" t="n"/>
      <c r="E51" s="16" t="n"/>
      <c r="F51" s="16" t="n"/>
      <c r="G51" s="16" t="n"/>
      <c r="H51" s="16" t="n"/>
      <c r="I51" s="16" t="n"/>
      <c r="J51" s="16" t="n"/>
      <c r="K51" s="16" t="n"/>
      <c r="L51" s="16" t="n"/>
      <c r="M51" s="16" t="n"/>
      <c r="N51" s="16" t="n"/>
    </row>
    <row r="52">
      <c r="A52" s="16" t="n"/>
      <c r="B52" s="16" t="n"/>
      <c r="C52" s="16" t="n"/>
      <c r="D52" s="16" t="n"/>
      <c r="E52" s="16" t="n"/>
      <c r="F52" s="16" t="n"/>
      <c r="G52" s="16" t="n"/>
      <c r="H52" s="16" t="n"/>
      <c r="I52" s="16" t="n"/>
      <c r="J52" s="16" t="n"/>
      <c r="K52" s="16" t="n"/>
      <c r="L52" s="16" t="n"/>
      <c r="M52" s="16" t="n"/>
      <c r="N52" s="16" t="n"/>
    </row>
    <row r="53">
      <c r="A53" s="16" t="n"/>
      <c r="B53" s="16" t="n"/>
      <c r="C53" s="16" t="n"/>
      <c r="D53" s="16" t="n"/>
      <c r="E53" s="16" t="n"/>
      <c r="F53" s="16" t="n"/>
      <c r="G53" s="16" t="n"/>
      <c r="H53" s="16" t="n"/>
      <c r="I53" s="16" t="n"/>
      <c r="J53" s="16" t="n"/>
      <c r="K53" s="16" t="n"/>
      <c r="L53" s="16" t="n"/>
      <c r="M53" s="16" t="n"/>
      <c r="N53" s="16" t="n"/>
    </row>
    <row r="54">
      <c r="A54" s="16" t="n"/>
      <c r="B54" s="16" t="n"/>
      <c r="C54" s="16" t="n"/>
      <c r="D54" s="16" t="n"/>
      <c r="E54" s="16" t="n"/>
      <c r="F54" s="16" t="n"/>
      <c r="G54" s="16" t="n"/>
      <c r="H54" s="16" t="n"/>
      <c r="I54" s="16" t="n"/>
      <c r="J54" s="16" t="n"/>
      <c r="K54" s="16" t="n"/>
      <c r="L54" s="16" t="n"/>
      <c r="M54" s="16" t="n"/>
      <c r="N54" s="16" t="n"/>
    </row>
    <row r="55">
      <c r="A55" s="16" t="n"/>
      <c r="B55" s="16" t="n"/>
      <c r="C55" s="16" t="n"/>
      <c r="D55" s="16" t="n"/>
      <c r="E55" s="16" t="n"/>
      <c r="F55" s="16" t="n"/>
      <c r="G55" s="16" t="n"/>
      <c r="H55" s="16" t="n"/>
      <c r="I55" s="16" t="n"/>
      <c r="J55" s="16" t="n"/>
      <c r="K55" s="16" t="n"/>
      <c r="L55" s="16" t="n"/>
      <c r="M55" s="16" t="n"/>
      <c r="N55" s="16" t="n"/>
    </row>
  </sheetData>
  <mergeCells count="2">
    <mergeCell ref="A2:N2"/>
    <mergeCell ref="A1:N1"/>
  </mergeCells>
  <dataValidations count="8">
    <dataValidation sqref="B5:B55" showDropDown="0" showInputMessage="0" showErrorMessage="0" allowBlank="1" type="list">
      <formula1>"Named Privileged (user.admin),Shared Privileged (root, Administrator, sa),Service Account (Privileged),Break-Glass / Emergency,Cloud Global Admin,Local Administrator,Non-Privileged (Standard User)"</formula1>
    </dataValidation>
    <dataValidation sqref="C5:C55" showDropDown="0" showInputMessage="0" showErrorMessage="0" allowBlank="1" type="list">
      <formula1>"Tier 0 (Domain/Enterprise/Critical),Tier 1 (Server/Application),Tier 2 (Workstation/Endpoint),N/A (Non-Privileged)"</formula1>
    </dataValidation>
    <dataValidation sqref="D5:D55" showDropDown="0" showInputMessage="0" showErrorMessage="0" allowBlank="1" type="list">
      <formula1>"Domain Admin,Enterprise Admin,Schema Admin,Azure Global Administrator,AWS Root / Admin,GCP Owner / Admin,Database Administrator (DBA),Security Administrator,Network Administrator,Server Administrator,Backup Administrator,PKI Administrator,PAM Administrator,SIEM Administrator,Workstation Local Admin,Application Administrator,Other (Specify)"</formula1>
    </dataValidation>
    <dataValidation sqref="G5:G55" showDropDown="0" showInputMessage="0" showErrorMessage="0" allowBlank="1" type="list">
      <formula1>"✅ Enrolled - Active,✅ Enrolled - Verified,❌ Not Enrolled"</formula1>
    </dataValidation>
    <dataValidation sqref="H5:H55" showDropDown="0" showInputMessage="0" showErrorMessage="0" allowBlank="1" type="list">
      <formula1>"Hardware Token (FIDO2) - Tier 0 Required,Authenticator App (TOTP),Push Notification,❌ Not Enrolled (Non-Compliant)"</formula1>
    </dataValidation>
    <dataValidation sqref="I5:I55" showDropDown="0" showInputMessage="0" showErrorMessage="0" allowBlank="1" type="list">
      <formula1>"✅ Vaulted - Active,✅ Vaulted - JIT Enabled,⚠ Vaulted - Rotation Issues,❌ Not Vaulted (Gap),Onboarding In Progress,N/A (Named Account)"</formula1>
    </dataValidation>
    <dataValidation sqref="K5:K55" showDropDown="0" showInputMessage="0" showErrorMessage="0" allowBlank="1" type="list">
      <formula1>"After Each Use (Check-in),Daily,Weekly,Monthly,Quarterly,On Demand Only,Not Applicable"</formula1>
    </dataValidation>
    <dataValidation sqref="M5:M55" showDropDown="0" showInputMessage="0" showErrorMessage="0" allowBlank="1" type="list">
      <formula1>"✅ Compliant,⚠ Partial Compliance,❌ Non-Compliant,In Progress,Under Review,Unknown,N/A"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68"/>
  <sheetViews>
    <sheetView showGridLines="0" workbookViewId="0">
      <pane ySplit="4" topLeftCell="A5" activePane="bottomLeft" state="frozen"/>
      <selection pane="bottomLeft" activeCell="A1" sqref="A1"/>
    </sheetView>
  </sheetViews>
  <sheetFormatPr baseColWidth="8" defaultRowHeight="15"/>
  <cols>
    <col width="30" customWidth="1" min="1" max="1"/>
    <col width="20" customWidth="1" min="2" max="2"/>
    <col width="15" customWidth="1" min="3" max="3"/>
    <col width="40" customWidth="1" min="4" max="4"/>
    <col width="30" customWidth="1" min="5" max="5"/>
  </cols>
  <sheetData>
    <row r="1" ht="35" customHeight="1">
      <c r="A1" s="1" t="inlineStr">
        <is>
          <t>ADMIN TIERING MATRIX</t>
        </is>
      </c>
    </row>
    <row r="2">
      <c r="A2" s="14" t="inlineStr">
        <is>
          <t>Classify systems and accounts into Tier 0/1/2 for isolation enforcement</t>
        </is>
      </c>
    </row>
    <row r="4">
      <c r="A4" s="7" t="inlineStr">
        <is>
          <t>System / Infrastructure</t>
        </is>
      </c>
      <c r="B4" s="7" t="inlineStr">
        <is>
          <t>Tier Classification</t>
        </is>
      </c>
      <c r="C4" s="7" t="inlineStr">
        <is>
          <t>Criticality</t>
        </is>
      </c>
      <c r="D4" s="7" t="inlineStr">
        <is>
          <t>Security Requirements</t>
        </is>
      </c>
      <c r="E4" s="7" t="inlineStr">
        <is>
          <t>Notes</t>
        </is>
      </c>
    </row>
    <row r="5">
      <c r="A5" s="15" t="inlineStr">
        <is>
          <t>Domain Controllers</t>
        </is>
      </c>
      <c r="B5" s="15" t="inlineStr">
        <is>
          <t>Tier 0</t>
        </is>
      </c>
      <c r="C5" s="15" t="inlineStr">
        <is>
          <t>Critical</t>
        </is>
      </c>
      <c r="D5" s="15" t="inlineStr">
        <is>
          <t>PAWs, Hardware MFA, Session Recording</t>
        </is>
      </c>
      <c r="E5" s="15" t="inlineStr"/>
    </row>
    <row r="6">
      <c r="A6" s="10" t="inlineStr">
        <is>
          <t>Microsoft Entra ID Tenant</t>
        </is>
      </c>
      <c r="B6" s="10" t="inlineStr">
        <is>
          <t>Tier 0</t>
        </is>
      </c>
      <c r="C6" s="10" t="inlineStr">
        <is>
          <t>Critical</t>
        </is>
      </c>
      <c r="D6" s="10" t="inlineStr">
        <is>
          <t>Global Admin requires PAW</t>
        </is>
      </c>
      <c r="E6" s="10" t="inlineStr"/>
    </row>
    <row r="7">
      <c r="A7" s="10" t="inlineStr">
        <is>
          <t>AWS Organisation Root</t>
        </is>
      </c>
      <c r="B7" s="10" t="inlineStr">
        <is>
          <t>Tier 0</t>
        </is>
      </c>
      <c r="C7" s="10" t="inlineStr">
        <is>
          <t>Critical</t>
        </is>
      </c>
      <c r="D7" s="10" t="inlineStr">
        <is>
          <t>Root user MFA, break-glass only</t>
        </is>
      </c>
      <c r="E7" s="10" t="inlineStr"/>
    </row>
    <row r="8">
      <c r="A8" s="10" t="inlineStr">
        <is>
          <t>PKI Certificate Authority</t>
        </is>
      </c>
      <c r="B8" s="10" t="inlineStr">
        <is>
          <t>Tier 0</t>
        </is>
      </c>
      <c r="C8" s="10" t="inlineStr">
        <is>
          <t>Critical</t>
        </is>
      </c>
      <c r="D8" s="10" t="inlineStr">
        <is>
          <t>CA admins Tier 0</t>
        </is>
      </c>
      <c r="E8" s="10" t="inlineStr"/>
    </row>
    <row r="9">
      <c r="A9" s="10" t="inlineStr">
        <is>
          <t>SIEM Infrastructure</t>
        </is>
      </c>
      <c r="B9" s="10" t="inlineStr">
        <is>
          <t>Tier 0</t>
        </is>
      </c>
      <c r="C9" s="10" t="inlineStr">
        <is>
          <t>Critical</t>
        </is>
      </c>
      <c r="D9" s="10" t="inlineStr">
        <is>
          <t>Security admins Tier 0</t>
        </is>
      </c>
      <c r="E9" s="10" t="inlineStr"/>
    </row>
    <row r="10">
      <c r="A10" s="10" t="inlineStr">
        <is>
          <t>PAM Vault</t>
        </is>
      </c>
      <c r="B10" s="10" t="inlineStr">
        <is>
          <t>Tier 0</t>
        </is>
      </c>
      <c r="C10" s="10" t="inlineStr">
        <is>
          <t>Critical</t>
        </is>
      </c>
      <c r="D10" s="10" t="inlineStr">
        <is>
          <t>PAM admins Tier 0</t>
        </is>
      </c>
      <c r="E10" s="10" t="inlineStr"/>
    </row>
    <row r="11">
      <c r="A11" s="10" t="inlineStr">
        <is>
          <t>Backup Infrastructure</t>
        </is>
      </c>
      <c r="B11" s="10" t="inlineStr">
        <is>
          <t>Tier 0</t>
        </is>
      </c>
      <c r="C11" s="10" t="inlineStr">
        <is>
          <t>Critical</t>
        </is>
      </c>
      <c r="D11" s="10" t="inlineStr">
        <is>
          <t>Backup admins Tier 0</t>
        </is>
      </c>
      <c r="E11" s="10" t="inlineStr"/>
    </row>
    <row r="12">
      <c r="A12" s="10" t="inlineStr">
        <is>
          <t>Production Servers</t>
        </is>
      </c>
      <c r="B12" s="10" t="inlineStr">
        <is>
          <t>Tier 1</t>
        </is>
      </c>
      <c r="C12" s="10" t="inlineStr">
        <is>
          <t>High</t>
        </is>
      </c>
      <c r="D12" s="10" t="inlineStr">
        <is>
          <t>Separate admin accounts, MFA, Session recording</t>
        </is>
      </c>
      <c r="E12" s="10" t="inlineStr"/>
    </row>
    <row r="13">
      <c r="A13" s="10" t="inlineStr">
        <is>
          <t>Production Databases</t>
        </is>
      </c>
      <c r="B13" s="10" t="inlineStr">
        <is>
          <t>Tier 1</t>
        </is>
      </c>
      <c r="C13" s="10" t="inlineStr">
        <is>
          <t>High</t>
        </is>
      </c>
      <c r="D13" s="10" t="inlineStr">
        <is>
          <t>DBAs Tier 1, PAM vaulting</t>
        </is>
      </c>
      <c r="E13" s="10" t="inlineStr"/>
    </row>
    <row r="14">
      <c r="A14" s="10" t="inlineStr">
        <is>
          <t>ERP / CRM Systems</t>
        </is>
      </c>
      <c r="B14" s="10" t="inlineStr">
        <is>
          <t>Tier 1</t>
        </is>
      </c>
      <c r="C14" s="10" t="inlineStr">
        <is>
          <t>High</t>
        </is>
      </c>
      <c r="D14" s="10" t="inlineStr">
        <is>
          <t>App admins Tier 1</t>
        </is>
      </c>
      <c r="E14" s="10" t="inlineStr"/>
    </row>
    <row r="15">
      <c r="A15" s="10" t="inlineStr">
        <is>
          <t>Cloud VMs (Non-Global)</t>
        </is>
      </c>
      <c r="B15" s="10" t="inlineStr">
        <is>
          <t>Tier 1</t>
        </is>
      </c>
      <c r="C15" s="10" t="inlineStr">
        <is>
          <t>Medium</t>
        </is>
      </c>
      <c r="D15" s="10" t="inlineStr">
        <is>
          <t>Subscription admins Tier 1</t>
        </is>
      </c>
      <c r="E15" s="10" t="inlineStr"/>
    </row>
    <row r="16">
      <c r="A16" s="10" t="inlineStr">
        <is>
          <t>User Workstations</t>
        </is>
      </c>
      <c r="B16" s="10" t="inlineStr">
        <is>
          <t>Tier 2</t>
        </is>
      </c>
      <c r="C16" s="10" t="inlineStr">
        <is>
          <t>Low</t>
        </is>
      </c>
      <c r="D16" s="10" t="inlineStr">
        <is>
          <t>Local admin only, MFA</t>
        </is>
      </c>
      <c r="E16" s="10" t="inlineStr"/>
    </row>
    <row r="17">
      <c r="A17" s="10" t="inlineStr">
        <is>
          <t>User Laptops</t>
        </is>
      </c>
      <c r="B17" s="10" t="inlineStr">
        <is>
          <t>Tier 2</t>
        </is>
      </c>
      <c r="C17" s="10" t="inlineStr">
        <is>
          <t>Low</t>
        </is>
      </c>
      <c r="D17" s="10" t="inlineStr">
        <is>
          <t>Help desk local admin</t>
        </is>
      </c>
      <c r="E17" s="10" t="inlineStr"/>
    </row>
    <row r="18">
      <c r="A18" s="10" t="inlineStr">
        <is>
          <t>Mobile Devices</t>
        </is>
      </c>
      <c r="B18" s="10" t="inlineStr">
        <is>
          <t>Tier 2</t>
        </is>
      </c>
      <c r="C18" s="10" t="inlineStr">
        <is>
          <t>Low</t>
        </is>
      </c>
      <c r="D18" s="10" t="inlineStr">
        <is>
          <t>MDM admins</t>
        </is>
      </c>
      <c r="E18" s="10" t="inlineStr"/>
    </row>
    <row r="19">
      <c r="A19" s="16" t="n"/>
      <c r="B19" s="16" t="n"/>
      <c r="C19" s="16" t="n"/>
      <c r="D19" s="16" t="n"/>
      <c r="E19" s="16" t="n"/>
    </row>
    <row r="20">
      <c r="A20" s="16" t="n"/>
      <c r="B20" s="16" t="n"/>
      <c r="C20" s="16" t="n"/>
      <c r="D20" s="16" t="n"/>
      <c r="E20" s="16" t="n"/>
    </row>
    <row r="21">
      <c r="A21" s="16" t="n"/>
      <c r="B21" s="16" t="n"/>
      <c r="C21" s="16" t="n"/>
      <c r="D21" s="16" t="n"/>
      <c r="E21" s="16" t="n"/>
    </row>
    <row r="22">
      <c r="A22" s="16" t="n"/>
      <c r="B22" s="16" t="n"/>
      <c r="C22" s="16" t="n"/>
      <c r="D22" s="16" t="n"/>
      <c r="E22" s="16" t="n"/>
    </row>
    <row r="23">
      <c r="A23" s="16" t="n"/>
      <c r="B23" s="16" t="n"/>
      <c r="C23" s="16" t="n"/>
      <c r="D23" s="16" t="n"/>
      <c r="E23" s="16" t="n"/>
    </row>
    <row r="24">
      <c r="A24" s="16" t="n"/>
      <c r="B24" s="16" t="n"/>
      <c r="C24" s="16" t="n"/>
      <c r="D24" s="16" t="n"/>
      <c r="E24" s="16" t="n"/>
    </row>
    <row r="25">
      <c r="A25" s="16" t="n"/>
      <c r="B25" s="16" t="n"/>
      <c r="C25" s="16" t="n"/>
      <c r="D25" s="16" t="n"/>
      <c r="E25" s="16" t="n"/>
    </row>
    <row r="26">
      <c r="A26" s="16" t="n"/>
      <c r="B26" s="16" t="n"/>
      <c r="C26" s="16" t="n"/>
      <c r="D26" s="16" t="n"/>
      <c r="E26" s="16" t="n"/>
    </row>
    <row r="27">
      <c r="A27" s="16" t="n"/>
      <c r="B27" s="16" t="n"/>
      <c r="C27" s="16" t="n"/>
      <c r="D27" s="16" t="n"/>
      <c r="E27" s="16" t="n"/>
    </row>
    <row r="28">
      <c r="A28" s="16" t="n"/>
      <c r="B28" s="16" t="n"/>
      <c r="C28" s="16" t="n"/>
      <c r="D28" s="16" t="n"/>
      <c r="E28" s="16" t="n"/>
    </row>
    <row r="29">
      <c r="A29" s="16" t="n"/>
      <c r="B29" s="16" t="n"/>
      <c r="C29" s="16" t="n"/>
      <c r="D29" s="16" t="n"/>
      <c r="E29" s="16" t="n"/>
    </row>
    <row r="30">
      <c r="A30" s="16" t="n"/>
      <c r="B30" s="16" t="n"/>
      <c r="C30" s="16" t="n"/>
      <c r="D30" s="16" t="n"/>
      <c r="E30" s="16" t="n"/>
    </row>
    <row r="31">
      <c r="A31" s="16" t="n"/>
      <c r="B31" s="16" t="n"/>
      <c r="C31" s="16" t="n"/>
      <c r="D31" s="16" t="n"/>
      <c r="E31" s="16" t="n"/>
    </row>
    <row r="32">
      <c r="A32" s="16" t="n"/>
      <c r="B32" s="16" t="n"/>
      <c r="C32" s="16" t="n"/>
      <c r="D32" s="16" t="n"/>
      <c r="E32" s="16" t="n"/>
    </row>
    <row r="33">
      <c r="A33" s="16" t="n"/>
      <c r="B33" s="16" t="n"/>
      <c r="C33" s="16" t="n"/>
      <c r="D33" s="16" t="n"/>
      <c r="E33" s="16" t="n"/>
    </row>
    <row r="34">
      <c r="A34" s="16" t="n"/>
      <c r="B34" s="16" t="n"/>
      <c r="C34" s="16" t="n"/>
      <c r="D34" s="16" t="n"/>
      <c r="E34" s="16" t="n"/>
    </row>
    <row r="35">
      <c r="A35" s="16" t="n"/>
      <c r="B35" s="16" t="n"/>
      <c r="C35" s="16" t="n"/>
      <c r="D35" s="16" t="n"/>
      <c r="E35" s="16" t="n"/>
    </row>
    <row r="36">
      <c r="A36" s="16" t="n"/>
      <c r="B36" s="16" t="n"/>
      <c r="C36" s="16" t="n"/>
      <c r="D36" s="16" t="n"/>
      <c r="E36" s="16" t="n"/>
    </row>
    <row r="37">
      <c r="A37" s="16" t="n"/>
      <c r="B37" s="16" t="n"/>
      <c r="C37" s="16" t="n"/>
      <c r="D37" s="16" t="n"/>
      <c r="E37" s="16" t="n"/>
    </row>
    <row r="38">
      <c r="A38" s="16" t="n"/>
      <c r="B38" s="16" t="n"/>
      <c r="C38" s="16" t="n"/>
      <c r="D38" s="16" t="n"/>
      <c r="E38" s="16" t="n"/>
    </row>
    <row r="39">
      <c r="A39" s="16" t="n"/>
      <c r="B39" s="16" t="n"/>
      <c r="C39" s="16" t="n"/>
      <c r="D39" s="16" t="n"/>
      <c r="E39" s="16" t="n"/>
    </row>
    <row r="40">
      <c r="A40" s="16" t="n"/>
      <c r="B40" s="16" t="n"/>
      <c r="C40" s="16" t="n"/>
      <c r="D40" s="16" t="n"/>
      <c r="E40" s="16" t="n"/>
    </row>
    <row r="41">
      <c r="A41" s="16" t="n"/>
      <c r="B41" s="16" t="n"/>
      <c r="C41" s="16" t="n"/>
      <c r="D41" s="16" t="n"/>
      <c r="E41" s="16" t="n"/>
    </row>
    <row r="42">
      <c r="A42" s="16" t="n"/>
      <c r="B42" s="16" t="n"/>
      <c r="C42" s="16" t="n"/>
      <c r="D42" s="16" t="n"/>
      <c r="E42" s="16" t="n"/>
    </row>
    <row r="43">
      <c r="A43" s="16" t="n"/>
      <c r="B43" s="16" t="n"/>
      <c r="C43" s="16" t="n"/>
      <c r="D43" s="16" t="n"/>
      <c r="E43" s="16" t="n"/>
    </row>
    <row r="44">
      <c r="A44" s="16" t="n"/>
      <c r="B44" s="16" t="n"/>
      <c r="C44" s="16" t="n"/>
      <c r="D44" s="16" t="n"/>
      <c r="E44" s="16" t="n"/>
    </row>
    <row r="45">
      <c r="A45" s="16" t="n"/>
      <c r="B45" s="16" t="n"/>
      <c r="C45" s="16" t="n"/>
      <c r="D45" s="16" t="n"/>
      <c r="E45" s="16" t="n"/>
    </row>
    <row r="46">
      <c r="A46" s="16" t="n"/>
      <c r="B46" s="16" t="n"/>
      <c r="C46" s="16" t="n"/>
      <c r="D46" s="16" t="n"/>
      <c r="E46" s="16" t="n"/>
    </row>
    <row r="47">
      <c r="A47" s="16" t="n"/>
      <c r="B47" s="16" t="n"/>
      <c r="C47" s="16" t="n"/>
      <c r="D47" s="16" t="n"/>
      <c r="E47" s="16" t="n"/>
    </row>
    <row r="48">
      <c r="A48" s="16" t="n"/>
      <c r="B48" s="16" t="n"/>
      <c r="C48" s="16" t="n"/>
      <c r="D48" s="16" t="n"/>
      <c r="E48" s="16" t="n"/>
    </row>
    <row r="49">
      <c r="A49" s="16" t="n"/>
      <c r="B49" s="16" t="n"/>
      <c r="C49" s="16" t="n"/>
      <c r="D49" s="16" t="n"/>
      <c r="E49" s="16" t="n"/>
    </row>
    <row r="50">
      <c r="A50" s="16" t="n"/>
      <c r="B50" s="16" t="n"/>
      <c r="C50" s="16" t="n"/>
      <c r="D50" s="16" t="n"/>
      <c r="E50" s="16" t="n"/>
    </row>
    <row r="51">
      <c r="A51" s="16" t="n"/>
      <c r="B51" s="16" t="n"/>
      <c r="C51" s="16" t="n"/>
      <c r="D51" s="16" t="n"/>
      <c r="E51" s="16" t="n"/>
    </row>
    <row r="52">
      <c r="A52" s="16" t="n"/>
      <c r="B52" s="16" t="n"/>
      <c r="C52" s="16" t="n"/>
      <c r="D52" s="16" t="n"/>
      <c r="E52" s="16" t="n"/>
    </row>
    <row r="53">
      <c r="A53" s="16" t="n"/>
      <c r="B53" s="16" t="n"/>
      <c r="C53" s="16" t="n"/>
      <c r="D53" s="16" t="n"/>
      <c r="E53" s="16" t="n"/>
    </row>
    <row r="54">
      <c r="A54" s="16" t="n"/>
      <c r="B54" s="16" t="n"/>
      <c r="C54" s="16" t="n"/>
      <c r="D54" s="16" t="n"/>
      <c r="E54" s="16" t="n"/>
    </row>
    <row r="55">
      <c r="A55" s="16" t="n"/>
      <c r="B55" s="16" t="n"/>
      <c r="C55" s="16" t="n"/>
      <c r="D55" s="16" t="n"/>
      <c r="E55" s="16" t="n"/>
    </row>
    <row r="56">
      <c r="A56" s="16" t="n"/>
      <c r="B56" s="16" t="n"/>
      <c r="C56" s="16" t="n"/>
      <c r="D56" s="16" t="n"/>
      <c r="E56" s="16" t="n"/>
    </row>
    <row r="57">
      <c r="A57" s="16" t="n"/>
      <c r="B57" s="16" t="n"/>
      <c r="C57" s="16" t="n"/>
      <c r="D57" s="16" t="n"/>
      <c r="E57" s="16" t="n"/>
    </row>
    <row r="58">
      <c r="A58" s="16" t="n"/>
      <c r="B58" s="16" t="n"/>
      <c r="C58" s="16" t="n"/>
      <c r="D58" s="16" t="n"/>
      <c r="E58" s="16" t="n"/>
    </row>
    <row r="59">
      <c r="A59" s="16" t="n"/>
      <c r="B59" s="16" t="n"/>
      <c r="C59" s="16" t="n"/>
      <c r="D59" s="16" t="n"/>
      <c r="E59" s="16" t="n"/>
    </row>
    <row r="60">
      <c r="A60" s="16" t="n"/>
      <c r="B60" s="16" t="n"/>
      <c r="C60" s="16" t="n"/>
      <c r="D60" s="16" t="n"/>
      <c r="E60" s="16" t="n"/>
    </row>
    <row r="61">
      <c r="A61" s="16" t="n"/>
      <c r="B61" s="16" t="n"/>
      <c r="C61" s="16" t="n"/>
      <c r="D61" s="16" t="n"/>
      <c r="E61" s="16" t="n"/>
    </row>
    <row r="62">
      <c r="A62" s="16" t="n"/>
      <c r="B62" s="16" t="n"/>
      <c r="C62" s="16" t="n"/>
      <c r="D62" s="16" t="n"/>
      <c r="E62" s="16" t="n"/>
    </row>
    <row r="63">
      <c r="A63" s="16" t="n"/>
      <c r="B63" s="16" t="n"/>
      <c r="C63" s="16" t="n"/>
      <c r="D63" s="16" t="n"/>
      <c r="E63" s="16" t="n"/>
    </row>
    <row r="64">
      <c r="A64" s="16" t="n"/>
      <c r="B64" s="16" t="n"/>
      <c r="C64" s="16" t="n"/>
      <c r="D64" s="16" t="n"/>
      <c r="E64" s="16" t="n"/>
    </row>
    <row r="65">
      <c r="A65" s="16" t="n"/>
      <c r="B65" s="16" t="n"/>
      <c r="C65" s="16" t="n"/>
      <c r="D65" s="16" t="n"/>
      <c r="E65" s="16" t="n"/>
    </row>
    <row r="66">
      <c r="A66" s="16" t="n"/>
      <c r="B66" s="16" t="n"/>
      <c r="C66" s="16" t="n"/>
      <c r="D66" s="16" t="n"/>
      <c r="E66" s="16" t="n"/>
    </row>
    <row r="67">
      <c r="A67" s="16" t="n"/>
      <c r="B67" s="16" t="n"/>
      <c r="C67" s="16" t="n"/>
      <c r="D67" s="16" t="n"/>
      <c r="E67" s="16" t="n"/>
    </row>
    <row r="68">
      <c r="A68" s="16" t="n"/>
      <c r="B68" s="16" t="n"/>
      <c r="C68" s="16" t="n"/>
      <c r="D68" s="16" t="n"/>
      <c r="E68" s="16" t="n"/>
    </row>
  </sheetData>
  <mergeCells count="2">
    <mergeCell ref="A2:E2"/>
    <mergeCell ref="A1:E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5"/>
  <sheetViews>
    <sheetView showGridLines="0" workbookViewId="0">
      <pane ySplit="4" topLeftCell="A5" activePane="bottomLeft" state="frozen"/>
      <selection pane="bottomLeft" activeCell="A1" sqref="A1"/>
    </sheetView>
  </sheetViews>
  <sheetFormatPr baseColWidth="8" defaultRowHeight="15"/>
  <sheetData>
    <row r="1" ht="35" customHeight="1">
      <c r="A1" s="1" t="inlineStr">
        <is>
          <t>PRIVILEGED USER ROSTER</t>
        </is>
      </c>
    </row>
    <row r="2">
      <c r="A2" s="14" t="inlineStr">
        <is>
          <t>Mapping of users to privileged accounts and tier access</t>
        </is>
      </c>
    </row>
    <row r="4">
      <c r="A4" s="7" t="inlineStr">
        <is>
          <t>User Name</t>
        </is>
      </c>
      <c r="B4" s="7" t="inlineStr">
        <is>
          <t>User ID</t>
        </is>
      </c>
      <c r="C4" s="7" t="inlineStr">
        <is>
          <t>Privileged Accounts Owned</t>
        </is>
      </c>
      <c r="D4" s="7" t="inlineStr">
        <is>
          <t>Tier 0 Access</t>
        </is>
      </c>
      <c r="E4" s="7" t="inlineStr">
        <is>
          <t>Tier 1 Access</t>
        </is>
      </c>
      <c r="F4" s="7" t="inlineStr">
        <is>
          <t>Tier 2 Access</t>
        </is>
      </c>
      <c r="G4" s="7" t="inlineStr">
        <is>
          <t>Business Justification</t>
        </is>
      </c>
      <c r="H4" s="7" t="inlineStr">
        <is>
          <t>Last Review Date</t>
        </is>
      </c>
    </row>
    <row r="5">
      <c r="A5" s="15" t="inlineStr">
        <is>
          <t>[User Name]</t>
        </is>
      </c>
      <c r="B5" s="15" t="inlineStr">
        <is>
          <t>user@example.com</t>
        </is>
      </c>
      <c r="C5" s="15" t="inlineStr">
        <is>
          <t>admin.username</t>
        </is>
      </c>
      <c r="D5" s="15" t="inlineStr">
        <is>
          <t>Yes</t>
        </is>
      </c>
      <c r="E5" s="15" t="inlineStr">
        <is>
          <t>No</t>
        </is>
      </c>
      <c r="F5" s="15" t="inlineStr">
        <is>
          <t>No</t>
        </is>
      </c>
      <c r="G5" s="15" t="inlineStr">
        <is>
          <t>[Justification]</t>
        </is>
      </c>
      <c r="H5" s="15" t="inlineStr">
        <is>
          <t>01.03.2026</t>
        </is>
      </c>
    </row>
    <row r="6">
      <c r="A6" s="16" t="n"/>
      <c r="B6" s="16" t="n"/>
      <c r="C6" s="16" t="n"/>
      <c r="D6" s="16" t="n"/>
      <c r="E6" s="16" t="n"/>
      <c r="F6" s="16" t="n"/>
      <c r="G6" s="16" t="n"/>
      <c r="H6" s="16" t="n"/>
    </row>
    <row r="7">
      <c r="A7" s="16" t="n"/>
      <c r="B7" s="16" t="n"/>
      <c r="C7" s="16" t="n"/>
      <c r="D7" s="16" t="n"/>
      <c r="E7" s="16" t="n"/>
      <c r="F7" s="16" t="n"/>
      <c r="G7" s="16" t="n"/>
      <c r="H7" s="16" t="n"/>
    </row>
    <row r="8">
      <c r="A8" s="16" t="n"/>
      <c r="B8" s="16" t="n"/>
      <c r="C8" s="16" t="n"/>
      <c r="D8" s="16" t="n"/>
      <c r="E8" s="16" t="n"/>
      <c r="F8" s="16" t="n"/>
      <c r="G8" s="16" t="n"/>
      <c r="H8" s="16" t="n"/>
    </row>
    <row r="9">
      <c r="A9" s="16" t="n"/>
      <c r="B9" s="16" t="n"/>
      <c r="C9" s="16" t="n"/>
      <c r="D9" s="16" t="n"/>
      <c r="E9" s="16" t="n"/>
      <c r="F9" s="16" t="n"/>
      <c r="G9" s="16" t="n"/>
      <c r="H9" s="16" t="n"/>
    </row>
    <row r="10">
      <c r="A10" s="16" t="n"/>
      <c r="B10" s="16" t="n"/>
      <c r="C10" s="16" t="n"/>
      <c r="D10" s="16" t="n"/>
      <c r="E10" s="16" t="n"/>
      <c r="F10" s="16" t="n"/>
      <c r="G10" s="16" t="n"/>
      <c r="H10" s="16" t="n"/>
    </row>
    <row r="11">
      <c r="A11" s="16" t="n"/>
      <c r="B11" s="16" t="n"/>
      <c r="C11" s="16" t="n"/>
      <c r="D11" s="16" t="n"/>
      <c r="E11" s="16" t="n"/>
      <c r="F11" s="16" t="n"/>
      <c r="G11" s="16" t="n"/>
      <c r="H11" s="16" t="n"/>
    </row>
    <row r="12">
      <c r="A12" s="16" t="n"/>
      <c r="B12" s="16" t="n"/>
      <c r="C12" s="16" t="n"/>
      <c r="D12" s="16" t="n"/>
      <c r="E12" s="16" t="n"/>
      <c r="F12" s="16" t="n"/>
      <c r="G12" s="16" t="n"/>
      <c r="H12" s="16" t="n"/>
    </row>
    <row r="13">
      <c r="A13" s="16" t="n"/>
      <c r="B13" s="16" t="n"/>
      <c r="C13" s="16" t="n"/>
      <c r="D13" s="16" t="n"/>
      <c r="E13" s="16" t="n"/>
      <c r="F13" s="16" t="n"/>
      <c r="G13" s="16" t="n"/>
      <c r="H13" s="16" t="n"/>
    </row>
    <row r="14">
      <c r="A14" s="16" t="n"/>
      <c r="B14" s="16" t="n"/>
      <c r="C14" s="16" t="n"/>
      <c r="D14" s="16" t="n"/>
      <c r="E14" s="16" t="n"/>
      <c r="F14" s="16" t="n"/>
      <c r="G14" s="16" t="n"/>
      <c r="H14" s="16" t="n"/>
    </row>
    <row r="15">
      <c r="A15" s="16" t="n"/>
      <c r="B15" s="16" t="n"/>
      <c r="C15" s="16" t="n"/>
      <c r="D15" s="16" t="n"/>
      <c r="E15" s="16" t="n"/>
      <c r="F15" s="16" t="n"/>
      <c r="G15" s="16" t="n"/>
      <c r="H15" s="16" t="n"/>
    </row>
    <row r="16">
      <c r="A16" s="16" t="n"/>
      <c r="B16" s="16" t="n"/>
      <c r="C16" s="16" t="n"/>
      <c r="D16" s="16" t="n"/>
      <c r="E16" s="16" t="n"/>
      <c r="F16" s="16" t="n"/>
      <c r="G16" s="16" t="n"/>
      <c r="H16" s="16" t="n"/>
    </row>
    <row r="17">
      <c r="A17" s="16" t="n"/>
      <c r="B17" s="16" t="n"/>
      <c r="C17" s="16" t="n"/>
      <c r="D17" s="16" t="n"/>
      <c r="E17" s="16" t="n"/>
      <c r="F17" s="16" t="n"/>
      <c r="G17" s="16" t="n"/>
      <c r="H17" s="16" t="n"/>
    </row>
    <row r="18">
      <c r="A18" s="16" t="n"/>
      <c r="B18" s="16" t="n"/>
      <c r="C18" s="16" t="n"/>
      <c r="D18" s="16" t="n"/>
      <c r="E18" s="16" t="n"/>
      <c r="F18" s="16" t="n"/>
      <c r="G18" s="16" t="n"/>
      <c r="H18" s="16" t="n"/>
    </row>
    <row r="19">
      <c r="A19" s="16" t="n"/>
      <c r="B19" s="16" t="n"/>
      <c r="C19" s="16" t="n"/>
      <c r="D19" s="16" t="n"/>
      <c r="E19" s="16" t="n"/>
      <c r="F19" s="16" t="n"/>
      <c r="G19" s="16" t="n"/>
      <c r="H19" s="16" t="n"/>
    </row>
    <row r="20">
      <c r="A20" s="16" t="n"/>
      <c r="B20" s="16" t="n"/>
      <c r="C20" s="16" t="n"/>
      <c r="D20" s="16" t="n"/>
      <c r="E20" s="16" t="n"/>
      <c r="F20" s="16" t="n"/>
      <c r="G20" s="16" t="n"/>
      <c r="H20" s="16" t="n"/>
    </row>
    <row r="21">
      <c r="A21" s="16" t="n"/>
      <c r="B21" s="16" t="n"/>
      <c r="C21" s="16" t="n"/>
      <c r="D21" s="16" t="n"/>
      <c r="E21" s="16" t="n"/>
      <c r="F21" s="16" t="n"/>
      <c r="G21" s="16" t="n"/>
      <c r="H21" s="16" t="n"/>
    </row>
    <row r="22">
      <c r="A22" s="16" t="n"/>
      <c r="B22" s="16" t="n"/>
      <c r="C22" s="16" t="n"/>
      <c r="D22" s="16" t="n"/>
      <c r="E22" s="16" t="n"/>
      <c r="F22" s="16" t="n"/>
      <c r="G22" s="16" t="n"/>
      <c r="H22" s="16" t="n"/>
    </row>
    <row r="23">
      <c r="A23" s="16" t="n"/>
      <c r="B23" s="16" t="n"/>
      <c r="C23" s="16" t="n"/>
      <c r="D23" s="16" t="n"/>
      <c r="E23" s="16" t="n"/>
      <c r="F23" s="16" t="n"/>
      <c r="G23" s="16" t="n"/>
      <c r="H23" s="16" t="n"/>
    </row>
    <row r="24">
      <c r="A24" s="16" t="n"/>
      <c r="B24" s="16" t="n"/>
      <c r="C24" s="16" t="n"/>
      <c r="D24" s="16" t="n"/>
      <c r="E24" s="16" t="n"/>
      <c r="F24" s="16" t="n"/>
      <c r="G24" s="16" t="n"/>
      <c r="H24" s="16" t="n"/>
    </row>
    <row r="25">
      <c r="A25" s="16" t="n"/>
      <c r="B25" s="16" t="n"/>
      <c r="C25" s="16" t="n"/>
      <c r="D25" s="16" t="n"/>
      <c r="E25" s="16" t="n"/>
      <c r="F25" s="16" t="n"/>
      <c r="G25" s="16" t="n"/>
      <c r="H25" s="16" t="n"/>
    </row>
    <row r="26">
      <c r="A26" s="16" t="n"/>
      <c r="B26" s="16" t="n"/>
      <c r="C26" s="16" t="n"/>
      <c r="D26" s="16" t="n"/>
      <c r="E26" s="16" t="n"/>
      <c r="F26" s="16" t="n"/>
      <c r="G26" s="16" t="n"/>
      <c r="H26" s="16" t="n"/>
    </row>
    <row r="27">
      <c r="A27" s="16" t="n"/>
      <c r="B27" s="16" t="n"/>
      <c r="C27" s="16" t="n"/>
      <c r="D27" s="16" t="n"/>
      <c r="E27" s="16" t="n"/>
      <c r="F27" s="16" t="n"/>
      <c r="G27" s="16" t="n"/>
      <c r="H27" s="16" t="n"/>
    </row>
    <row r="28">
      <c r="A28" s="16" t="n"/>
      <c r="B28" s="16" t="n"/>
      <c r="C28" s="16" t="n"/>
      <c r="D28" s="16" t="n"/>
      <c r="E28" s="16" t="n"/>
      <c r="F28" s="16" t="n"/>
      <c r="G28" s="16" t="n"/>
      <c r="H28" s="16" t="n"/>
    </row>
    <row r="29">
      <c r="A29" s="16" t="n"/>
      <c r="B29" s="16" t="n"/>
      <c r="C29" s="16" t="n"/>
      <c r="D29" s="16" t="n"/>
      <c r="E29" s="16" t="n"/>
      <c r="F29" s="16" t="n"/>
      <c r="G29" s="16" t="n"/>
      <c r="H29" s="16" t="n"/>
    </row>
    <row r="30">
      <c r="A30" s="16" t="n"/>
      <c r="B30" s="16" t="n"/>
      <c r="C30" s="16" t="n"/>
      <c r="D30" s="16" t="n"/>
      <c r="E30" s="16" t="n"/>
      <c r="F30" s="16" t="n"/>
      <c r="G30" s="16" t="n"/>
      <c r="H30" s="16" t="n"/>
    </row>
    <row r="31">
      <c r="A31" s="16" t="n"/>
      <c r="B31" s="16" t="n"/>
      <c r="C31" s="16" t="n"/>
      <c r="D31" s="16" t="n"/>
      <c r="E31" s="16" t="n"/>
      <c r="F31" s="16" t="n"/>
      <c r="G31" s="16" t="n"/>
      <c r="H31" s="16" t="n"/>
    </row>
    <row r="32">
      <c r="A32" s="16" t="n"/>
      <c r="B32" s="16" t="n"/>
      <c r="C32" s="16" t="n"/>
      <c r="D32" s="16" t="n"/>
      <c r="E32" s="16" t="n"/>
      <c r="F32" s="16" t="n"/>
      <c r="G32" s="16" t="n"/>
      <c r="H32" s="16" t="n"/>
    </row>
    <row r="33">
      <c r="A33" s="16" t="n"/>
      <c r="B33" s="16" t="n"/>
      <c r="C33" s="16" t="n"/>
      <c r="D33" s="16" t="n"/>
      <c r="E33" s="16" t="n"/>
      <c r="F33" s="16" t="n"/>
      <c r="G33" s="16" t="n"/>
      <c r="H33" s="16" t="n"/>
    </row>
    <row r="34">
      <c r="A34" s="16" t="n"/>
      <c r="B34" s="16" t="n"/>
      <c r="C34" s="16" t="n"/>
      <c r="D34" s="16" t="n"/>
      <c r="E34" s="16" t="n"/>
      <c r="F34" s="16" t="n"/>
      <c r="G34" s="16" t="n"/>
      <c r="H34" s="16" t="n"/>
    </row>
    <row r="35">
      <c r="A35" s="16" t="n"/>
      <c r="B35" s="16" t="n"/>
      <c r="C35" s="16" t="n"/>
      <c r="D35" s="16" t="n"/>
      <c r="E35" s="16" t="n"/>
      <c r="F35" s="16" t="n"/>
      <c r="G35" s="16" t="n"/>
      <c r="H35" s="16" t="n"/>
    </row>
    <row r="36">
      <c r="A36" s="16" t="n"/>
      <c r="B36" s="16" t="n"/>
      <c r="C36" s="16" t="n"/>
      <c r="D36" s="16" t="n"/>
      <c r="E36" s="16" t="n"/>
      <c r="F36" s="16" t="n"/>
      <c r="G36" s="16" t="n"/>
      <c r="H36" s="16" t="n"/>
    </row>
    <row r="37">
      <c r="A37" s="16" t="n"/>
      <c r="B37" s="16" t="n"/>
      <c r="C37" s="16" t="n"/>
      <c r="D37" s="16" t="n"/>
      <c r="E37" s="16" t="n"/>
      <c r="F37" s="16" t="n"/>
      <c r="G37" s="16" t="n"/>
      <c r="H37" s="16" t="n"/>
    </row>
    <row r="38">
      <c r="A38" s="16" t="n"/>
      <c r="B38" s="16" t="n"/>
      <c r="C38" s="16" t="n"/>
      <c r="D38" s="16" t="n"/>
      <c r="E38" s="16" t="n"/>
      <c r="F38" s="16" t="n"/>
      <c r="G38" s="16" t="n"/>
      <c r="H38" s="16" t="n"/>
    </row>
    <row r="39">
      <c r="A39" s="16" t="n"/>
      <c r="B39" s="16" t="n"/>
      <c r="C39" s="16" t="n"/>
      <c r="D39" s="16" t="n"/>
      <c r="E39" s="16" t="n"/>
      <c r="F39" s="16" t="n"/>
      <c r="G39" s="16" t="n"/>
      <c r="H39" s="16" t="n"/>
    </row>
    <row r="40">
      <c r="A40" s="16" t="n"/>
      <c r="B40" s="16" t="n"/>
      <c r="C40" s="16" t="n"/>
      <c r="D40" s="16" t="n"/>
      <c r="E40" s="16" t="n"/>
      <c r="F40" s="16" t="n"/>
      <c r="G40" s="16" t="n"/>
      <c r="H40" s="16" t="n"/>
    </row>
    <row r="41">
      <c r="A41" s="16" t="n"/>
      <c r="B41" s="16" t="n"/>
      <c r="C41" s="16" t="n"/>
      <c r="D41" s="16" t="n"/>
      <c r="E41" s="16" t="n"/>
      <c r="F41" s="16" t="n"/>
      <c r="G41" s="16" t="n"/>
      <c r="H41" s="16" t="n"/>
    </row>
    <row r="42">
      <c r="A42" s="16" t="n"/>
      <c r="B42" s="16" t="n"/>
      <c r="C42" s="16" t="n"/>
      <c r="D42" s="16" t="n"/>
      <c r="E42" s="16" t="n"/>
      <c r="F42" s="16" t="n"/>
      <c r="G42" s="16" t="n"/>
      <c r="H42" s="16" t="n"/>
    </row>
    <row r="43">
      <c r="A43" s="16" t="n"/>
      <c r="B43" s="16" t="n"/>
      <c r="C43" s="16" t="n"/>
      <c r="D43" s="16" t="n"/>
      <c r="E43" s="16" t="n"/>
      <c r="F43" s="16" t="n"/>
      <c r="G43" s="16" t="n"/>
      <c r="H43" s="16" t="n"/>
    </row>
    <row r="44">
      <c r="A44" s="16" t="n"/>
      <c r="B44" s="16" t="n"/>
      <c r="C44" s="16" t="n"/>
      <c r="D44" s="16" t="n"/>
      <c r="E44" s="16" t="n"/>
      <c r="F44" s="16" t="n"/>
      <c r="G44" s="16" t="n"/>
      <c r="H44" s="16" t="n"/>
    </row>
    <row r="45">
      <c r="A45" s="16" t="n"/>
      <c r="B45" s="16" t="n"/>
      <c r="C45" s="16" t="n"/>
      <c r="D45" s="16" t="n"/>
      <c r="E45" s="16" t="n"/>
      <c r="F45" s="16" t="n"/>
      <c r="G45" s="16" t="n"/>
      <c r="H45" s="16" t="n"/>
    </row>
    <row r="46">
      <c r="A46" s="16" t="n"/>
      <c r="B46" s="16" t="n"/>
      <c r="C46" s="16" t="n"/>
      <c r="D46" s="16" t="n"/>
      <c r="E46" s="16" t="n"/>
      <c r="F46" s="16" t="n"/>
      <c r="G46" s="16" t="n"/>
      <c r="H46" s="16" t="n"/>
    </row>
    <row r="47">
      <c r="A47" s="16" t="n"/>
      <c r="B47" s="16" t="n"/>
      <c r="C47" s="16" t="n"/>
      <c r="D47" s="16" t="n"/>
      <c r="E47" s="16" t="n"/>
      <c r="F47" s="16" t="n"/>
      <c r="G47" s="16" t="n"/>
      <c r="H47" s="16" t="n"/>
    </row>
    <row r="48">
      <c r="A48" s="16" t="n"/>
      <c r="B48" s="16" t="n"/>
      <c r="C48" s="16" t="n"/>
      <c r="D48" s="16" t="n"/>
      <c r="E48" s="16" t="n"/>
      <c r="F48" s="16" t="n"/>
      <c r="G48" s="16" t="n"/>
      <c r="H48" s="16" t="n"/>
    </row>
    <row r="49">
      <c r="A49" s="16" t="n"/>
      <c r="B49" s="16" t="n"/>
      <c r="C49" s="16" t="n"/>
      <c r="D49" s="16" t="n"/>
      <c r="E49" s="16" t="n"/>
      <c r="F49" s="16" t="n"/>
      <c r="G49" s="16" t="n"/>
      <c r="H49" s="16" t="n"/>
    </row>
    <row r="50">
      <c r="A50" s="16" t="n"/>
      <c r="B50" s="16" t="n"/>
      <c r="C50" s="16" t="n"/>
      <c r="D50" s="16" t="n"/>
      <c r="E50" s="16" t="n"/>
      <c r="F50" s="16" t="n"/>
      <c r="G50" s="16" t="n"/>
      <c r="H50" s="16" t="n"/>
    </row>
    <row r="51">
      <c r="A51" s="16" t="n"/>
      <c r="B51" s="16" t="n"/>
      <c r="C51" s="16" t="n"/>
      <c r="D51" s="16" t="n"/>
      <c r="E51" s="16" t="n"/>
      <c r="F51" s="16" t="n"/>
      <c r="G51" s="16" t="n"/>
      <c r="H51" s="16" t="n"/>
    </row>
    <row r="52">
      <c r="A52" s="16" t="n"/>
      <c r="B52" s="16" t="n"/>
      <c r="C52" s="16" t="n"/>
      <c r="D52" s="16" t="n"/>
      <c r="E52" s="16" t="n"/>
      <c r="F52" s="16" t="n"/>
      <c r="G52" s="16" t="n"/>
      <c r="H52" s="16" t="n"/>
    </row>
    <row r="53">
      <c r="A53" s="16" t="n"/>
      <c r="B53" s="16" t="n"/>
      <c r="C53" s="16" t="n"/>
      <c r="D53" s="16" t="n"/>
      <c r="E53" s="16" t="n"/>
      <c r="F53" s="16" t="n"/>
      <c r="G53" s="16" t="n"/>
      <c r="H53" s="16" t="n"/>
    </row>
    <row r="54">
      <c r="A54" s="16" t="n"/>
      <c r="B54" s="16" t="n"/>
      <c r="C54" s="16" t="n"/>
      <c r="D54" s="16" t="n"/>
      <c r="E54" s="16" t="n"/>
      <c r="F54" s="16" t="n"/>
      <c r="G54" s="16" t="n"/>
      <c r="H54" s="16" t="n"/>
    </row>
    <row r="55">
      <c r="A55" s="16" t="n"/>
      <c r="B55" s="16" t="n"/>
      <c r="C55" s="16" t="n"/>
      <c r="D55" s="16" t="n"/>
      <c r="E55" s="16" t="n"/>
      <c r="F55" s="16" t="n"/>
      <c r="G55" s="16" t="n"/>
      <c r="H55" s="16" t="n"/>
    </row>
  </sheetData>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5"/>
  <sheetViews>
    <sheetView showGridLines="0" workbookViewId="0">
      <pane ySplit="4" topLeftCell="A5" activePane="bottomLeft" state="frozen"/>
      <selection pane="bottomLeft" activeCell="A1" sqref="A1"/>
    </sheetView>
  </sheetViews>
  <sheetFormatPr baseColWidth="8" defaultRowHeight="15"/>
  <sheetData>
    <row r="1" ht="35" customHeight="1">
      <c r="A1" s="1" t="inlineStr">
        <is>
          <t>PAM VAULT COVERAGE</t>
        </is>
      </c>
    </row>
    <row r="2">
      <c r="A2" s="14" t="inlineStr">
        <is>
          <t>Track which privileged accounts are vaulted in PAM solution (Target: 100% shared accounts)</t>
        </is>
      </c>
    </row>
    <row r="4">
      <c r="A4" s="7" t="inlineStr">
        <is>
          <t>Account Name</t>
        </is>
      </c>
      <c r="B4" s="7" t="inlineStr">
        <is>
          <t>Account Type</t>
        </is>
      </c>
      <c r="C4" s="7" t="inlineStr">
        <is>
          <t>PAM Status</t>
        </is>
      </c>
      <c r="D4" s="7" t="inlineStr">
        <is>
          <t>Vault Date</t>
        </is>
      </c>
      <c r="E4" s="7" t="inlineStr">
        <is>
          <t>JIT Enabled</t>
        </is>
      </c>
      <c r="F4" s="7" t="inlineStr">
        <is>
          <t>Session Recording</t>
        </is>
      </c>
      <c r="G4" s="7" t="inlineStr">
        <is>
          <t>Auto Rotation</t>
        </is>
      </c>
      <c r="H4" s="7" t="inlineStr">
        <is>
          <t>Compliance</t>
        </is>
      </c>
    </row>
    <row r="5">
      <c r="A5" s="15" t="inlineStr">
        <is>
          <t>root</t>
        </is>
      </c>
      <c r="B5" s="15" t="inlineStr">
        <is>
          <t>Shared Privileged (root, Administrator, sa)</t>
        </is>
      </c>
      <c r="C5" s="15" t="inlineStr">
        <is>
          <t>✅ Vaulted - JIT Enabled</t>
        </is>
      </c>
      <c r="D5" s="15" t="inlineStr">
        <is>
          <t>01.03.2026</t>
        </is>
      </c>
      <c r="E5" s="15" t="inlineStr">
        <is>
          <t>Yes</t>
        </is>
      </c>
      <c r="F5" s="15" t="inlineStr">
        <is>
          <t>Yes</t>
        </is>
      </c>
      <c r="G5" s="15" t="inlineStr">
        <is>
          <t>Yes</t>
        </is>
      </c>
      <c r="H5" s="15" t="inlineStr">
        <is>
          <t>✅ Compliant</t>
        </is>
      </c>
    </row>
    <row r="6">
      <c r="A6" s="16" t="n"/>
      <c r="B6" s="16" t="n"/>
      <c r="C6" s="16" t="n"/>
      <c r="D6" s="16" t="n"/>
      <c r="E6" s="16" t="n"/>
      <c r="F6" s="16" t="n"/>
      <c r="G6" s="16" t="n"/>
      <c r="H6" s="16" t="n"/>
    </row>
    <row r="7">
      <c r="A7" s="16" t="n"/>
      <c r="B7" s="16" t="n"/>
      <c r="C7" s="16" t="n"/>
      <c r="D7" s="16" t="n"/>
      <c r="E7" s="16" t="n"/>
      <c r="F7" s="16" t="n"/>
      <c r="G7" s="16" t="n"/>
      <c r="H7" s="16" t="n"/>
    </row>
    <row r="8">
      <c r="A8" s="16" t="n"/>
      <c r="B8" s="16" t="n"/>
      <c r="C8" s="16" t="n"/>
      <c r="D8" s="16" t="n"/>
      <c r="E8" s="16" t="n"/>
      <c r="F8" s="16" t="n"/>
      <c r="G8" s="16" t="n"/>
      <c r="H8" s="16" t="n"/>
    </row>
    <row r="9">
      <c r="A9" s="16" t="n"/>
      <c r="B9" s="16" t="n"/>
      <c r="C9" s="16" t="n"/>
      <c r="D9" s="16" t="n"/>
      <c r="E9" s="16" t="n"/>
      <c r="F9" s="16" t="n"/>
      <c r="G9" s="16" t="n"/>
      <c r="H9" s="16" t="n"/>
    </row>
    <row r="10">
      <c r="A10" s="16" t="n"/>
      <c r="B10" s="16" t="n"/>
      <c r="C10" s="16" t="n"/>
      <c r="D10" s="16" t="n"/>
      <c r="E10" s="16" t="n"/>
      <c r="F10" s="16" t="n"/>
      <c r="G10" s="16" t="n"/>
      <c r="H10" s="16" t="n"/>
    </row>
    <row r="11">
      <c r="A11" s="16" t="n"/>
      <c r="B11" s="16" t="n"/>
      <c r="C11" s="16" t="n"/>
      <c r="D11" s="16" t="n"/>
      <c r="E11" s="16" t="n"/>
      <c r="F11" s="16" t="n"/>
      <c r="G11" s="16" t="n"/>
      <c r="H11" s="16" t="n"/>
    </row>
    <row r="12">
      <c r="A12" s="16" t="n"/>
      <c r="B12" s="16" t="n"/>
      <c r="C12" s="16" t="n"/>
      <c r="D12" s="16" t="n"/>
      <c r="E12" s="16" t="n"/>
      <c r="F12" s="16" t="n"/>
      <c r="G12" s="16" t="n"/>
      <c r="H12" s="16" t="n"/>
    </row>
    <row r="13">
      <c r="A13" s="16" t="n"/>
      <c r="B13" s="16" t="n"/>
      <c r="C13" s="16" t="n"/>
      <c r="D13" s="16" t="n"/>
      <c r="E13" s="16" t="n"/>
      <c r="F13" s="16" t="n"/>
      <c r="G13" s="16" t="n"/>
      <c r="H13" s="16" t="n"/>
    </row>
    <row r="14">
      <c r="A14" s="16" t="n"/>
      <c r="B14" s="16" t="n"/>
      <c r="C14" s="16" t="n"/>
      <c r="D14" s="16" t="n"/>
      <c r="E14" s="16" t="n"/>
      <c r="F14" s="16" t="n"/>
      <c r="G14" s="16" t="n"/>
      <c r="H14" s="16" t="n"/>
    </row>
    <row r="15">
      <c r="A15" s="16" t="n"/>
      <c r="B15" s="16" t="n"/>
      <c r="C15" s="16" t="n"/>
      <c r="D15" s="16" t="n"/>
      <c r="E15" s="16" t="n"/>
      <c r="F15" s="16" t="n"/>
      <c r="G15" s="16" t="n"/>
      <c r="H15" s="16" t="n"/>
    </row>
    <row r="16">
      <c r="A16" s="16" t="n"/>
      <c r="B16" s="16" t="n"/>
      <c r="C16" s="16" t="n"/>
      <c r="D16" s="16" t="n"/>
      <c r="E16" s="16" t="n"/>
      <c r="F16" s="16" t="n"/>
      <c r="G16" s="16" t="n"/>
      <c r="H16" s="16" t="n"/>
    </row>
    <row r="17">
      <c r="A17" s="16" t="n"/>
      <c r="B17" s="16" t="n"/>
      <c r="C17" s="16" t="n"/>
      <c r="D17" s="16" t="n"/>
      <c r="E17" s="16" t="n"/>
      <c r="F17" s="16" t="n"/>
      <c r="G17" s="16" t="n"/>
      <c r="H17" s="16" t="n"/>
    </row>
    <row r="18">
      <c r="A18" s="16" t="n"/>
      <c r="B18" s="16" t="n"/>
      <c r="C18" s="16" t="n"/>
      <c r="D18" s="16" t="n"/>
      <c r="E18" s="16" t="n"/>
      <c r="F18" s="16" t="n"/>
      <c r="G18" s="16" t="n"/>
      <c r="H18" s="16" t="n"/>
    </row>
    <row r="19">
      <c r="A19" s="16" t="n"/>
      <c r="B19" s="16" t="n"/>
      <c r="C19" s="16" t="n"/>
      <c r="D19" s="16" t="n"/>
      <c r="E19" s="16" t="n"/>
      <c r="F19" s="16" t="n"/>
      <c r="G19" s="16" t="n"/>
      <c r="H19" s="16" t="n"/>
    </row>
    <row r="20">
      <c r="A20" s="16" t="n"/>
      <c r="B20" s="16" t="n"/>
      <c r="C20" s="16" t="n"/>
      <c r="D20" s="16" t="n"/>
      <c r="E20" s="16" t="n"/>
      <c r="F20" s="16" t="n"/>
      <c r="G20" s="16" t="n"/>
      <c r="H20" s="16" t="n"/>
    </row>
    <row r="21">
      <c r="A21" s="16" t="n"/>
      <c r="B21" s="16" t="n"/>
      <c r="C21" s="16" t="n"/>
      <c r="D21" s="16" t="n"/>
      <c r="E21" s="16" t="n"/>
      <c r="F21" s="16" t="n"/>
      <c r="G21" s="16" t="n"/>
      <c r="H21" s="16" t="n"/>
    </row>
    <row r="22">
      <c r="A22" s="16" t="n"/>
      <c r="B22" s="16" t="n"/>
      <c r="C22" s="16" t="n"/>
      <c r="D22" s="16" t="n"/>
      <c r="E22" s="16" t="n"/>
      <c r="F22" s="16" t="n"/>
      <c r="G22" s="16" t="n"/>
      <c r="H22" s="16" t="n"/>
    </row>
    <row r="23">
      <c r="A23" s="16" t="n"/>
      <c r="B23" s="16" t="n"/>
      <c r="C23" s="16" t="n"/>
      <c r="D23" s="16" t="n"/>
      <c r="E23" s="16" t="n"/>
      <c r="F23" s="16" t="n"/>
      <c r="G23" s="16" t="n"/>
      <c r="H23" s="16" t="n"/>
    </row>
    <row r="24">
      <c r="A24" s="16" t="n"/>
      <c r="B24" s="16" t="n"/>
      <c r="C24" s="16" t="n"/>
      <c r="D24" s="16" t="n"/>
      <c r="E24" s="16" t="n"/>
      <c r="F24" s="16" t="n"/>
      <c r="G24" s="16" t="n"/>
      <c r="H24" s="16" t="n"/>
    </row>
    <row r="25">
      <c r="A25" s="16" t="n"/>
      <c r="B25" s="16" t="n"/>
      <c r="C25" s="16" t="n"/>
      <c r="D25" s="16" t="n"/>
      <c r="E25" s="16" t="n"/>
      <c r="F25" s="16" t="n"/>
      <c r="G25" s="16" t="n"/>
      <c r="H25" s="16" t="n"/>
    </row>
    <row r="26">
      <c r="A26" s="16" t="n"/>
      <c r="B26" s="16" t="n"/>
      <c r="C26" s="16" t="n"/>
      <c r="D26" s="16" t="n"/>
      <c r="E26" s="16" t="n"/>
      <c r="F26" s="16" t="n"/>
      <c r="G26" s="16" t="n"/>
      <c r="H26" s="16" t="n"/>
    </row>
    <row r="27">
      <c r="A27" s="16" t="n"/>
      <c r="B27" s="16" t="n"/>
      <c r="C27" s="16" t="n"/>
      <c r="D27" s="16" t="n"/>
      <c r="E27" s="16" t="n"/>
      <c r="F27" s="16" t="n"/>
      <c r="G27" s="16" t="n"/>
      <c r="H27" s="16" t="n"/>
    </row>
    <row r="28">
      <c r="A28" s="16" t="n"/>
      <c r="B28" s="16" t="n"/>
      <c r="C28" s="16" t="n"/>
      <c r="D28" s="16" t="n"/>
      <c r="E28" s="16" t="n"/>
      <c r="F28" s="16" t="n"/>
      <c r="G28" s="16" t="n"/>
      <c r="H28" s="16" t="n"/>
    </row>
    <row r="29">
      <c r="A29" s="16" t="n"/>
      <c r="B29" s="16" t="n"/>
      <c r="C29" s="16" t="n"/>
      <c r="D29" s="16" t="n"/>
      <c r="E29" s="16" t="n"/>
      <c r="F29" s="16" t="n"/>
      <c r="G29" s="16" t="n"/>
      <c r="H29" s="16" t="n"/>
    </row>
    <row r="30">
      <c r="A30" s="16" t="n"/>
      <c r="B30" s="16" t="n"/>
      <c r="C30" s="16" t="n"/>
      <c r="D30" s="16" t="n"/>
      <c r="E30" s="16" t="n"/>
      <c r="F30" s="16" t="n"/>
      <c r="G30" s="16" t="n"/>
      <c r="H30" s="16" t="n"/>
    </row>
    <row r="31">
      <c r="A31" s="16" t="n"/>
      <c r="B31" s="16" t="n"/>
      <c r="C31" s="16" t="n"/>
      <c r="D31" s="16" t="n"/>
      <c r="E31" s="16" t="n"/>
      <c r="F31" s="16" t="n"/>
      <c r="G31" s="16" t="n"/>
      <c r="H31" s="16" t="n"/>
    </row>
    <row r="32">
      <c r="A32" s="16" t="n"/>
      <c r="B32" s="16" t="n"/>
      <c r="C32" s="16" t="n"/>
      <c r="D32" s="16" t="n"/>
      <c r="E32" s="16" t="n"/>
      <c r="F32" s="16" t="n"/>
      <c r="G32" s="16" t="n"/>
      <c r="H32" s="16" t="n"/>
    </row>
    <row r="33">
      <c r="A33" s="16" t="n"/>
      <c r="B33" s="16" t="n"/>
      <c r="C33" s="16" t="n"/>
      <c r="D33" s="16" t="n"/>
      <c r="E33" s="16" t="n"/>
      <c r="F33" s="16" t="n"/>
      <c r="G33" s="16" t="n"/>
      <c r="H33" s="16" t="n"/>
    </row>
    <row r="34">
      <c r="A34" s="16" t="n"/>
      <c r="B34" s="16" t="n"/>
      <c r="C34" s="16" t="n"/>
      <c r="D34" s="16" t="n"/>
      <c r="E34" s="16" t="n"/>
      <c r="F34" s="16" t="n"/>
      <c r="G34" s="16" t="n"/>
      <c r="H34" s="16" t="n"/>
    </row>
    <row r="35">
      <c r="A35" s="16" t="n"/>
      <c r="B35" s="16" t="n"/>
      <c r="C35" s="16" t="n"/>
      <c r="D35" s="16" t="n"/>
      <c r="E35" s="16" t="n"/>
      <c r="F35" s="16" t="n"/>
      <c r="G35" s="16" t="n"/>
      <c r="H35" s="16" t="n"/>
    </row>
    <row r="36">
      <c r="A36" s="16" t="n"/>
      <c r="B36" s="16" t="n"/>
      <c r="C36" s="16" t="n"/>
      <c r="D36" s="16" t="n"/>
      <c r="E36" s="16" t="n"/>
      <c r="F36" s="16" t="n"/>
      <c r="G36" s="16" t="n"/>
      <c r="H36" s="16" t="n"/>
    </row>
    <row r="37">
      <c r="A37" s="16" t="n"/>
      <c r="B37" s="16" t="n"/>
      <c r="C37" s="16" t="n"/>
      <c r="D37" s="16" t="n"/>
      <c r="E37" s="16" t="n"/>
      <c r="F37" s="16" t="n"/>
      <c r="G37" s="16" t="n"/>
      <c r="H37" s="16" t="n"/>
    </row>
    <row r="38">
      <c r="A38" s="16" t="n"/>
      <c r="B38" s="16" t="n"/>
      <c r="C38" s="16" t="n"/>
      <c r="D38" s="16" t="n"/>
      <c r="E38" s="16" t="n"/>
      <c r="F38" s="16" t="n"/>
      <c r="G38" s="16" t="n"/>
      <c r="H38" s="16" t="n"/>
    </row>
    <row r="39">
      <c r="A39" s="16" t="n"/>
      <c r="B39" s="16" t="n"/>
      <c r="C39" s="16" t="n"/>
      <c r="D39" s="16" t="n"/>
      <c r="E39" s="16" t="n"/>
      <c r="F39" s="16" t="n"/>
      <c r="G39" s="16" t="n"/>
      <c r="H39" s="16" t="n"/>
    </row>
    <row r="40">
      <c r="A40" s="16" t="n"/>
      <c r="B40" s="16" t="n"/>
      <c r="C40" s="16" t="n"/>
      <c r="D40" s="16" t="n"/>
      <c r="E40" s="16" t="n"/>
      <c r="F40" s="16" t="n"/>
      <c r="G40" s="16" t="n"/>
      <c r="H40" s="16" t="n"/>
    </row>
    <row r="41">
      <c r="A41" s="16" t="n"/>
      <c r="B41" s="16" t="n"/>
      <c r="C41" s="16" t="n"/>
      <c r="D41" s="16" t="n"/>
      <c r="E41" s="16" t="n"/>
      <c r="F41" s="16" t="n"/>
      <c r="G41" s="16" t="n"/>
      <c r="H41" s="16" t="n"/>
    </row>
    <row r="42">
      <c r="A42" s="16" t="n"/>
      <c r="B42" s="16" t="n"/>
      <c r="C42" s="16" t="n"/>
      <c r="D42" s="16" t="n"/>
      <c r="E42" s="16" t="n"/>
      <c r="F42" s="16" t="n"/>
      <c r="G42" s="16" t="n"/>
      <c r="H42" s="16" t="n"/>
    </row>
    <row r="43">
      <c r="A43" s="16" t="n"/>
      <c r="B43" s="16" t="n"/>
      <c r="C43" s="16" t="n"/>
      <c r="D43" s="16" t="n"/>
      <c r="E43" s="16" t="n"/>
      <c r="F43" s="16" t="n"/>
      <c r="G43" s="16" t="n"/>
      <c r="H43" s="16" t="n"/>
    </row>
    <row r="44">
      <c r="A44" s="16" t="n"/>
      <c r="B44" s="16" t="n"/>
      <c r="C44" s="16" t="n"/>
      <c r="D44" s="16" t="n"/>
      <c r="E44" s="16" t="n"/>
      <c r="F44" s="16" t="n"/>
      <c r="G44" s="16" t="n"/>
      <c r="H44" s="16" t="n"/>
    </row>
    <row r="45">
      <c r="A45" s="16" t="n"/>
      <c r="B45" s="16" t="n"/>
      <c r="C45" s="16" t="n"/>
      <c r="D45" s="16" t="n"/>
      <c r="E45" s="16" t="n"/>
      <c r="F45" s="16" t="n"/>
      <c r="G45" s="16" t="n"/>
      <c r="H45" s="16" t="n"/>
    </row>
    <row r="46">
      <c r="A46" s="16" t="n"/>
      <c r="B46" s="16" t="n"/>
      <c r="C46" s="16" t="n"/>
      <c r="D46" s="16" t="n"/>
      <c r="E46" s="16" t="n"/>
      <c r="F46" s="16" t="n"/>
      <c r="G46" s="16" t="n"/>
      <c r="H46" s="16" t="n"/>
    </row>
    <row r="47">
      <c r="A47" s="16" t="n"/>
      <c r="B47" s="16" t="n"/>
      <c r="C47" s="16" t="n"/>
      <c r="D47" s="16" t="n"/>
      <c r="E47" s="16" t="n"/>
      <c r="F47" s="16" t="n"/>
      <c r="G47" s="16" t="n"/>
      <c r="H47" s="16" t="n"/>
    </row>
    <row r="48">
      <c r="A48" s="16" t="n"/>
      <c r="B48" s="16" t="n"/>
      <c r="C48" s="16" t="n"/>
      <c r="D48" s="16" t="n"/>
      <c r="E48" s="16" t="n"/>
      <c r="F48" s="16" t="n"/>
      <c r="G48" s="16" t="n"/>
      <c r="H48" s="16" t="n"/>
    </row>
    <row r="49">
      <c r="A49" s="16" t="n"/>
      <c r="B49" s="16" t="n"/>
      <c r="C49" s="16" t="n"/>
      <c r="D49" s="16" t="n"/>
      <c r="E49" s="16" t="n"/>
      <c r="F49" s="16" t="n"/>
      <c r="G49" s="16" t="n"/>
      <c r="H49" s="16" t="n"/>
    </row>
    <row r="50">
      <c r="A50" s="16" t="n"/>
      <c r="B50" s="16" t="n"/>
      <c r="C50" s="16" t="n"/>
      <c r="D50" s="16" t="n"/>
      <c r="E50" s="16" t="n"/>
      <c r="F50" s="16" t="n"/>
      <c r="G50" s="16" t="n"/>
      <c r="H50" s="16" t="n"/>
    </row>
    <row r="51">
      <c r="A51" s="16" t="n"/>
      <c r="B51" s="16" t="n"/>
      <c r="C51" s="16" t="n"/>
      <c r="D51" s="16" t="n"/>
      <c r="E51" s="16" t="n"/>
      <c r="F51" s="16" t="n"/>
      <c r="G51" s="16" t="n"/>
      <c r="H51" s="16" t="n"/>
    </row>
    <row r="52">
      <c r="A52" s="16" t="n"/>
      <c r="B52" s="16" t="n"/>
      <c r="C52" s="16" t="n"/>
      <c r="D52" s="16" t="n"/>
      <c r="E52" s="16" t="n"/>
      <c r="F52" s="16" t="n"/>
      <c r="G52" s="16" t="n"/>
      <c r="H52" s="16" t="n"/>
    </row>
    <row r="53">
      <c r="A53" s="16" t="n"/>
      <c r="B53" s="16" t="n"/>
      <c r="C53" s="16" t="n"/>
      <c r="D53" s="16" t="n"/>
      <c r="E53" s="16" t="n"/>
      <c r="F53" s="16" t="n"/>
      <c r="G53" s="16" t="n"/>
      <c r="H53" s="16" t="n"/>
    </row>
    <row r="54">
      <c r="A54" s="16" t="n"/>
      <c r="B54" s="16" t="n"/>
      <c r="C54" s="16" t="n"/>
      <c r="D54" s="16" t="n"/>
      <c r="E54" s="16" t="n"/>
      <c r="F54" s="16" t="n"/>
      <c r="G54" s="16" t="n"/>
      <c r="H54" s="16" t="n"/>
    </row>
    <row r="55">
      <c r="A55" s="16" t="n"/>
      <c r="B55" s="16" t="n"/>
      <c r="C55" s="16" t="n"/>
      <c r="D55" s="16" t="n"/>
      <c r="E55" s="16" t="n"/>
      <c r="F55" s="16" t="n"/>
      <c r="G55" s="16" t="n"/>
      <c r="H55" s="16" t="n"/>
    </row>
  </sheetData>
  <mergeCells count="2">
    <mergeCell ref="A2:H2"/>
    <mergeCell ref="A1:H1"/>
  </mergeCells>
  <dataValidations count="1">
    <dataValidation sqref="C5:C55" showDropDown="0" showInputMessage="0" showErrorMessage="0" allowBlank="1" type="list">
      <formula1>"✅ Vaulted - Active,✅ Vaulted - JIT Enabled,⚠ Vaulted - Rotation Issues,❌ Not Vaulted (Gap),Onboarding In Progress,N/A (Named Account)"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55"/>
  <sheetViews>
    <sheetView showGridLines="0" workbookViewId="0">
      <pane ySplit="4" topLeftCell="A5" activePane="bottomLeft" state="frozen"/>
      <selection pane="bottomLeft" activeCell="A1" sqref="A1"/>
    </sheetView>
  </sheetViews>
  <sheetFormatPr baseColWidth="8" defaultRowHeight="15"/>
  <sheetData>
    <row r="1" ht="35" customHeight="1">
      <c r="A1" s="1" t="inlineStr">
        <is>
          <t>MFA HARDWARE TOKENS</t>
        </is>
      </c>
    </row>
    <row r="2">
      <c r="A2" s="14" t="inlineStr">
        <is>
          <t>Track hardware token (FIDO2) deployment for Tier 0 admins</t>
        </is>
      </c>
    </row>
    <row r="4">
      <c r="A4" s="7" t="inlineStr">
        <is>
          <t>User Name</t>
        </is>
      </c>
      <c r="B4" s="7" t="inlineStr">
        <is>
          <t>Tier 0 Account</t>
        </is>
      </c>
      <c r="C4" s="7" t="inlineStr">
        <is>
          <t>Primary Token Serial</t>
        </is>
      </c>
      <c r="D4" s="7" t="inlineStr">
        <is>
          <t>Backup Token Serial</t>
        </is>
      </c>
      <c r="E4" s="7" t="inlineStr">
        <is>
          <t>Enrollment Date</t>
        </is>
      </c>
      <c r="F4" s="7" t="inlineStr">
        <is>
          <t>Last Tested</t>
        </is>
      </c>
      <c r="G4" s="7" t="inlineStr">
        <is>
          <t>Status</t>
        </is>
      </c>
    </row>
    <row r="5">
      <c r="A5" s="15" t="inlineStr">
        <is>
          <t>[User Name]</t>
        </is>
      </c>
      <c r="B5" s="15" t="inlineStr">
        <is>
          <t>admin.username</t>
        </is>
      </c>
      <c r="C5" s="15" t="inlineStr">
        <is>
          <t>YK-XXXXXXXX</t>
        </is>
      </c>
      <c r="D5" s="15" t="inlineStr">
        <is>
          <t>YK-YYYYYYYY</t>
        </is>
      </c>
      <c r="E5" s="15" t="inlineStr">
        <is>
          <t>01.03.2026</t>
        </is>
      </c>
      <c r="F5" s="15" t="inlineStr">
        <is>
          <t>01.03.2026</t>
        </is>
      </c>
      <c r="G5" s="15" t="inlineStr">
        <is>
          <t>✅ Active</t>
        </is>
      </c>
    </row>
    <row r="6">
      <c r="A6" s="16" t="n"/>
      <c r="B6" s="16" t="n"/>
      <c r="C6" s="16" t="n"/>
      <c r="D6" s="16" t="n"/>
      <c r="E6" s="16" t="n"/>
      <c r="F6" s="16" t="n"/>
      <c r="G6" s="16" t="n"/>
    </row>
    <row r="7">
      <c r="A7" s="16" t="n"/>
      <c r="B7" s="16" t="n"/>
      <c r="C7" s="16" t="n"/>
      <c r="D7" s="16" t="n"/>
      <c r="E7" s="16" t="n"/>
      <c r="F7" s="16" t="n"/>
      <c r="G7" s="16" t="n"/>
    </row>
    <row r="8">
      <c r="A8" s="16" t="n"/>
      <c r="B8" s="16" t="n"/>
      <c r="C8" s="16" t="n"/>
      <c r="D8" s="16" t="n"/>
      <c r="E8" s="16" t="n"/>
      <c r="F8" s="16" t="n"/>
      <c r="G8" s="16" t="n"/>
    </row>
    <row r="9">
      <c r="A9" s="16" t="n"/>
      <c r="B9" s="16" t="n"/>
      <c r="C9" s="16" t="n"/>
      <c r="D9" s="16" t="n"/>
      <c r="E9" s="16" t="n"/>
      <c r="F9" s="16" t="n"/>
      <c r="G9" s="16" t="n"/>
    </row>
    <row r="10">
      <c r="A10" s="16" t="n"/>
      <c r="B10" s="16" t="n"/>
      <c r="C10" s="16" t="n"/>
      <c r="D10" s="16" t="n"/>
      <c r="E10" s="16" t="n"/>
      <c r="F10" s="16" t="n"/>
      <c r="G10" s="16" t="n"/>
    </row>
    <row r="11">
      <c r="A11" s="16" t="n"/>
      <c r="B11" s="16" t="n"/>
      <c r="C11" s="16" t="n"/>
      <c r="D11" s="16" t="n"/>
      <c r="E11" s="16" t="n"/>
      <c r="F11" s="16" t="n"/>
      <c r="G11" s="16" t="n"/>
    </row>
    <row r="12">
      <c r="A12" s="16" t="n"/>
      <c r="B12" s="16" t="n"/>
      <c r="C12" s="16" t="n"/>
      <c r="D12" s="16" t="n"/>
      <c r="E12" s="16" t="n"/>
      <c r="F12" s="16" t="n"/>
      <c r="G12" s="16" t="n"/>
    </row>
    <row r="13">
      <c r="A13" s="16" t="n"/>
      <c r="B13" s="16" t="n"/>
      <c r="C13" s="16" t="n"/>
      <c r="D13" s="16" t="n"/>
      <c r="E13" s="16" t="n"/>
      <c r="F13" s="16" t="n"/>
      <c r="G13" s="16" t="n"/>
    </row>
    <row r="14">
      <c r="A14" s="16" t="n"/>
      <c r="B14" s="16" t="n"/>
      <c r="C14" s="16" t="n"/>
      <c r="D14" s="16" t="n"/>
      <c r="E14" s="16" t="n"/>
      <c r="F14" s="16" t="n"/>
      <c r="G14" s="16" t="n"/>
    </row>
    <row r="15">
      <c r="A15" s="16" t="n"/>
      <c r="B15" s="16" t="n"/>
      <c r="C15" s="16" t="n"/>
      <c r="D15" s="16" t="n"/>
      <c r="E15" s="16" t="n"/>
      <c r="F15" s="16" t="n"/>
      <c r="G15" s="16" t="n"/>
    </row>
    <row r="16">
      <c r="A16" s="16" t="n"/>
      <c r="B16" s="16" t="n"/>
      <c r="C16" s="16" t="n"/>
      <c r="D16" s="16" t="n"/>
      <c r="E16" s="16" t="n"/>
      <c r="F16" s="16" t="n"/>
      <c r="G16" s="16" t="n"/>
    </row>
    <row r="17">
      <c r="A17" s="16" t="n"/>
      <c r="B17" s="16" t="n"/>
      <c r="C17" s="16" t="n"/>
      <c r="D17" s="16" t="n"/>
      <c r="E17" s="16" t="n"/>
      <c r="F17" s="16" t="n"/>
      <c r="G17" s="16" t="n"/>
    </row>
    <row r="18">
      <c r="A18" s="16" t="n"/>
      <c r="B18" s="16" t="n"/>
      <c r="C18" s="16" t="n"/>
      <c r="D18" s="16" t="n"/>
      <c r="E18" s="16" t="n"/>
      <c r="F18" s="16" t="n"/>
      <c r="G18" s="16" t="n"/>
    </row>
    <row r="19">
      <c r="A19" s="16" t="n"/>
      <c r="B19" s="16" t="n"/>
      <c r="C19" s="16" t="n"/>
      <c r="D19" s="16" t="n"/>
      <c r="E19" s="16" t="n"/>
      <c r="F19" s="16" t="n"/>
      <c r="G19" s="16" t="n"/>
    </row>
    <row r="20">
      <c r="A20" s="16" t="n"/>
      <c r="B20" s="16" t="n"/>
      <c r="C20" s="16" t="n"/>
      <c r="D20" s="16" t="n"/>
      <c r="E20" s="16" t="n"/>
      <c r="F20" s="16" t="n"/>
      <c r="G20" s="16" t="n"/>
    </row>
    <row r="21">
      <c r="A21" s="16" t="n"/>
      <c r="B21" s="16" t="n"/>
      <c r="C21" s="16" t="n"/>
      <c r="D21" s="16" t="n"/>
      <c r="E21" s="16" t="n"/>
      <c r="F21" s="16" t="n"/>
      <c r="G21" s="16" t="n"/>
    </row>
    <row r="22">
      <c r="A22" s="16" t="n"/>
      <c r="B22" s="16" t="n"/>
      <c r="C22" s="16" t="n"/>
      <c r="D22" s="16" t="n"/>
      <c r="E22" s="16" t="n"/>
      <c r="F22" s="16" t="n"/>
      <c r="G22" s="16" t="n"/>
    </row>
    <row r="23">
      <c r="A23" s="16" t="n"/>
      <c r="B23" s="16" t="n"/>
      <c r="C23" s="16" t="n"/>
      <c r="D23" s="16" t="n"/>
      <c r="E23" s="16" t="n"/>
      <c r="F23" s="16" t="n"/>
      <c r="G23" s="16" t="n"/>
    </row>
    <row r="24">
      <c r="A24" s="16" t="n"/>
      <c r="B24" s="16" t="n"/>
      <c r="C24" s="16" t="n"/>
      <c r="D24" s="16" t="n"/>
      <c r="E24" s="16" t="n"/>
      <c r="F24" s="16" t="n"/>
      <c r="G24" s="16" t="n"/>
    </row>
    <row r="25">
      <c r="A25" s="16" t="n"/>
      <c r="B25" s="16" t="n"/>
      <c r="C25" s="16" t="n"/>
      <c r="D25" s="16" t="n"/>
      <c r="E25" s="16" t="n"/>
      <c r="F25" s="16" t="n"/>
      <c r="G25" s="16" t="n"/>
    </row>
    <row r="26">
      <c r="A26" s="16" t="n"/>
      <c r="B26" s="16" t="n"/>
      <c r="C26" s="16" t="n"/>
      <c r="D26" s="16" t="n"/>
      <c r="E26" s="16" t="n"/>
      <c r="F26" s="16" t="n"/>
      <c r="G26" s="16" t="n"/>
    </row>
    <row r="27">
      <c r="A27" s="16" t="n"/>
      <c r="B27" s="16" t="n"/>
      <c r="C27" s="16" t="n"/>
      <c r="D27" s="16" t="n"/>
      <c r="E27" s="16" t="n"/>
      <c r="F27" s="16" t="n"/>
      <c r="G27" s="16" t="n"/>
    </row>
    <row r="28">
      <c r="A28" s="16" t="n"/>
      <c r="B28" s="16" t="n"/>
      <c r="C28" s="16" t="n"/>
      <c r="D28" s="16" t="n"/>
      <c r="E28" s="16" t="n"/>
      <c r="F28" s="16" t="n"/>
      <c r="G28" s="16" t="n"/>
    </row>
    <row r="29">
      <c r="A29" s="16" t="n"/>
      <c r="B29" s="16" t="n"/>
      <c r="C29" s="16" t="n"/>
      <c r="D29" s="16" t="n"/>
      <c r="E29" s="16" t="n"/>
      <c r="F29" s="16" t="n"/>
      <c r="G29" s="16" t="n"/>
    </row>
    <row r="30">
      <c r="A30" s="16" t="n"/>
      <c r="B30" s="16" t="n"/>
      <c r="C30" s="16" t="n"/>
      <c r="D30" s="16" t="n"/>
      <c r="E30" s="16" t="n"/>
      <c r="F30" s="16" t="n"/>
      <c r="G30" s="16" t="n"/>
    </row>
    <row r="31">
      <c r="A31" s="16" t="n"/>
      <c r="B31" s="16" t="n"/>
      <c r="C31" s="16" t="n"/>
      <c r="D31" s="16" t="n"/>
      <c r="E31" s="16" t="n"/>
      <c r="F31" s="16" t="n"/>
      <c r="G31" s="16" t="n"/>
    </row>
    <row r="32">
      <c r="A32" s="16" t="n"/>
      <c r="B32" s="16" t="n"/>
      <c r="C32" s="16" t="n"/>
      <c r="D32" s="16" t="n"/>
      <c r="E32" s="16" t="n"/>
      <c r="F32" s="16" t="n"/>
      <c r="G32" s="16" t="n"/>
    </row>
    <row r="33">
      <c r="A33" s="16" t="n"/>
      <c r="B33" s="16" t="n"/>
      <c r="C33" s="16" t="n"/>
      <c r="D33" s="16" t="n"/>
      <c r="E33" s="16" t="n"/>
      <c r="F33" s="16" t="n"/>
      <c r="G33" s="16" t="n"/>
    </row>
    <row r="34">
      <c r="A34" s="16" t="n"/>
      <c r="B34" s="16" t="n"/>
      <c r="C34" s="16" t="n"/>
      <c r="D34" s="16" t="n"/>
      <c r="E34" s="16" t="n"/>
      <c r="F34" s="16" t="n"/>
      <c r="G34" s="16" t="n"/>
    </row>
    <row r="35">
      <c r="A35" s="16" t="n"/>
      <c r="B35" s="16" t="n"/>
      <c r="C35" s="16" t="n"/>
      <c r="D35" s="16" t="n"/>
      <c r="E35" s="16" t="n"/>
      <c r="F35" s="16" t="n"/>
      <c r="G35" s="16" t="n"/>
    </row>
    <row r="36">
      <c r="A36" s="16" t="n"/>
      <c r="B36" s="16" t="n"/>
      <c r="C36" s="16" t="n"/>
      <c r="D36" s="16" t="n"/>
      <c r="E36" s="16" t="n"/>
      <c r="F36" s="16" t="n"/>
      <c r="G36" s="16" t="n"/>
    </row>
    <row r="37">
      <c r="A37" s="16" t="n"/>
      <c r="B37" s="16" t="n"/>
      <c r="C37" s="16" t="n"/>
      <c r="D37" s="16" t="n"/>
      <c r="E37" s="16" t="n"/>
      <c r="F37" s="16" t="n"/>
      <c r="G37" s="16" t="n"/>
    </row>
    <row r="38">
      <c r="A38" s="16" t="n"/>
      <c r="B38" s="16" t="n"/>
      <c r="C38" s="16" t="n"/>
      <c r="D38" s="16" t="n"/>
      <c r="E38" s="16" t="n"/>
      <c r="F38" s="16" t="n"/>
      <c r="G38" s="16" t="n"/>
    </row>
    <row r="39">
      <c r="A39" s="16" t="n"/>
      <c r="B39" s="16" t="n"/>
      <c r="C39" s="16" t="n"/>
      <c r="D39" s="16" t="n"/>
      <c r="E39" s="16" t="n"/>
      <c r="F39" s="16" t="n"/>
      <c r="G39" s="16" t="n"/>
    </row>
    <row r="40">
      <c r="A40" s="16" t="n"/>
      <c r="B40" s="16" t="n"/>
      <c r="C40" s="16" t="n"/>
      <c r="D40" s="16" t="n"/>
      <c r="E40" s="16" t="n"/>
      <c r="F40" s="16" t="n"/>
      <c r="G40" s="16" t="n"/>
    </row>
    <row r="41">
      <c r="A41" s="16" t="n"/>
      <c r="B41" s="16" t="n"/>
      <c r="C41" s="16" t="n"/>
      <c r="D41" s="16" t="n"/>
      <c r="E41" s="16" t="n"/>
      <c r="F41" s="16" t="n"/>
      <c r="G41" s="16" t="n"/>
    </row>
    <row r="42">
      <c r="A42" s="16" t="n"/>
      <c r="B42" s="16" t="n"/>
      <c r="C42" s="16" t="n"/>
      <c r="D42" s="16" t="n"/>
      <c r="E42" s="16" t="n"/>
      <c r="F42" s="16" t="n"/>
      <c r="G42" s="16" t="n"/>
    </row>
    <row r="43">
      <c r="A43" s="16" t="n"/>
      <c r="B43" s="16" t="n"/>
      <c r="C43" s="16" t="n"/>
      <c r="D43" s="16" t="n"/>
      <c r="E43" s="16" t="n"/>
      <c r="F43" s="16" t="n"/>
      <c r="G43" s="16" t="n"/>
    </row>
    <row r="44">
      <c r="A44" s="16" t="n"/>
      <c r="B44" s="16" t="n"/>
      <c r="C44" s="16" t="n"/>
      <c r="D44" s="16" t="n"/>
      <c r="E44" s="16" t="n"/>
      <c r="F44" s="16" t="n"/>
      <c r="G44" s="16" t="n"/>
    </row>
    <row r="45">
      <c r="A45" s="16" t="n"/>
      <c r="B45" s="16" t="n"/>
      <c r="C45" s="16" t="n"/>
      <c r="D45" s="16" t="n"/>
      <c r="E45" s="16" t="n"/>
      <c r="F45" s="16" t="n"/>
      <c r="G45" s="16" t="n"/>
    </row>
    <row r="46">
      <c r="A46" s="16" t="n"/>
      <c r="B46" s="16" t="n"/>
      <c r="C46" s="16" t="n"/>
      <c r="D46" s="16" t="n"/>
      <c r="E46" s="16" t="n"/>
      <c r="F46" s="16" t="n"/>
      <c r="G46" s="16" t="n"/>
    </row>
    <row r="47">
      <c r="A47" s="16" t="n"/>
      <c r="B47" s="16" t="n"/>
      <c r="C47" s="16" t="n"/>
      <c r="D47" s="16" t="n"/>
      <c r="E47" s="16" t="n"/>
      <c r="F47" s="16" t="n"/>
      <c r="G47" s="16" t="n"/>
    </row>
    <row r="48">
      <c r="A48" s="16" t="n"/>
      <c r="B48" s="16" t="n"/>
      <c r="C48" s="16" t="n"/>
      <c r="D48" s="16" t="n"/>
      <c r="E48" s="16" t="n"/>
      <c r="F48" s="16" t="n"/>
      <c r="G48" s="16" t="n"/>
    </row>
    <row r="49">
      <c r="A49" s="16" t="n"/>
      <c r="B49" s="16" t="n"/>
      <c r="C49" s="16" t="n"/>
      <c r="D49" s="16" t="n"/>
      <c r="E49" s="16" t="n"/>
      <c r="F49" s="16" t="n"/>
      <c r="G49" s="16" t="n"/>
    </row>
    <row r="50">
      <c r="A50" s="16" t="n"/>
      <c r="B50" s="16" t="n"/>
      <c r="C50" s="16" t="n"/>
      <c r="D50" s="16" t="n"/>
      <c r="E50" s="16" t="n"/>
      <c r="F50" s="16" t="n"/>
      <c r="G50" s="16" t="n"/>
    </row>
    <row r="51">
      <c r="A51" s="16" t="n"/>
      <c r="B51" s="16" t="n"/>
      <c r="C51" s="16" t="n"/>
      <c r="D51" s="16" t="n"/>
      <c r="E51" s="16" t="n"/>
      <c r="F51" s="16" t="n"/>
      <c r="G51" s="16" t="n"/>
    </row>
    <row r="52">
      <c r="A52" s="16" t="n"/>
      <c r="B52" s="16" t="n"/>
      <c r="C52" s="16" t="n"/>
      <c r="D52" s="16" t="n"/>
      <c r="E52" s="16" t="n"/>
      <c r="F52" s="16" t="n"/>
      <c r="G52" s="16" t="n"/>
    </row>
    <row r="53">
      <c r="A53" s="16" t="n"/>
      <c r="B53" s="16" t="n"/>
      <c r="C53" s="16" t="n"/>
      <c r="D53" s="16" t="n"/>
      <c r="E53" s="16" t="n"/>
      <c r="F53" s="16" t="n"/>
      <c r="G53" s="16" t="n"/>
    </row>
    <row r="54">
      <c r="A54" s="16" t="n"/>
      <c r="B54" s="16" t="n"/>
      <c r="C54" s="16" t="n"/>
      <c r="D54" s="16" t="n"/>
      <c r="E54" s="16" t="n"/>
      <c r="F54" s="16" t="n"/>
      <c r="G54" s="16" t="n"/>
    </row>
    <row r="55">
      <c r="A55" s="16" t="n"/>
      <c r="B55" s="16" t="n"/>
      <c r="C55" s="16" t="n"/>
      <c r="D55" s="16" t="n"/>
      <c r="E55" s="16" t="n"/>
      <c r="F55" s="16" t="n"/>
      <c r="G55" s="16" t="n"/>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5"/>
  <sheetViews>
    <sheetView showGridLines="0" workbookViewId="0">
      <pane ySplit="4" topLeftCell="A5" activePane="bottomLeft" state="frozen"/>
      <selection pane="bottomLeft" activeCell="A1" sqref="A1"/>
    </sheetView>
  </sheetViews>
  <sheetFormatPr baseColWidth="8" defaultRowHeight="15"/>
  <sheetData>
    <row r="1" ht="35" customHeight="1">
      <c r="A1" s="1" t="inlineStr">
        <is>
          <t>CREDENTIAL ROTATION STATUS</t>
        </is>
      </c>
    </row>
    <row r="2">
      <c r="A2" s="14" t="inlineStr">
        <is>
          <t>Track password rotation for privileged accounts</t>
        </is>
      </c>
    </row>
    <row r="4">
      <c r="A4" s="7" t="inlineStr">
        <is>
          <t>Account Name</t>
        </is>
      </c>
      <c r="B4" s="7" t="inlineStr">
        <is>
          <t>Last Rotation</t>
        </is>
      </c>
      <c r="C4" s="7" t="inlineStr">
        <is>
          <t>Rotation Frequency</t>
        </is>
      </c>
      <c r="D4" s="7" t="inlineStr">
        <is>
          <t>Next Due</t>
        </is>
      </c>
      <c r="E4" s="7" t="inlineStr">
        <is>
          <t>Days Until Due</t>
        </is>
      </c>
      <c r="F4" s="7" t="inlineStr">
        <is>
          <t>Rotation Method</t>
        </is>
      </c>
      <c r="G4" s="7" t="inlineStr">
        <is>
          <t>Compliance</t>
        </is>
      </c>
    </row>
    <row r="5">
      <c r="A5" s="15" t="inlineStr">
        <is>
          <t>root</t>
        </is>
      </c>
      <c r="B5" s="15" t="inlineStr">
        <is>
          <t>01.03.2026</t>
        </is>
      </c>
      <c r="C5" s="15" t="inlineStr">
        <is>
          <t>After Each Use (Check-in)</t>
        </is>
      </c>
      <c r="D5" s="15" t="inlineStr">
        <is>
          <t>01.03.2026</t>
        </is>
      </c>
      <c r="E5" s="15" t="inlineStr">
        <is>
          <t>N/A</t>
        </is>
      </c>
      <c r="F5" s="15" t="inlineStr">
        <is>
          <t>PAM Auto-Rotation</t>
        </is>
      </c>
      <c r="G5" s="15" t="inlineStr">
        <is>
          <t>✅ Compliant</t>
        </is>
      </c>
    </row>
    <row r="6">
      <c r="A6" s="16" t="n"/>
      <c r="B6" s="16" t="n"/>
      <c r="C6" s="16" t="n"/>
      <c r="D6" s="16" t="n"/>
      <c r="E6" s="16">
        <f>IF(D6&lt;&gt;"",D6-TODAY(),"")</f>
        <v/>
      </c>
      <c r="F6" s="16" t="n"/>
      <c r="G6" s="16" t="n"/>
    </row>
    <row r="7">
      <c r="A7" s="16" t="n"/>
      <c r="B7" s="16" t="n"/>
      <c r="C7" s="16" t="n"/>
      <c r="D7" s="16" t="n"/>
      <c r="E7" s="16">
        <f>IF(D7&lt;&gt;"",D7-TODAY(),"")</f>
        <v/>
      </c>
      <c r="F7" s="16" t="n"/>
      <c r="G7" s="16" t="n"/>
    </row>
    <row r="8">
      <c r="A8" s="16" t="n"/>
      <c r="B8" s="16" t="n"/>
      <c r="C8" s="16" t="n"/>
      <c r="D8" s="16" t="n"/>
      <c r="E8" s="16">
        <f>IF(D8&lt;&gt;"",D8-TODAY(),"")</f>
        <v/>
      </c>
      <c r="F8" s="16" t="n"/>
      <c r="G8" s="16" t="n"/>
    </row>
    <row r="9">
      <c r="A9" s="16" t="n"/>
      <c r="B9" s="16" t="n"/>
      <c r="C9" s="16" t="n"/>
      <c r="D9" s="16" t="n"/>
      <c r="E9" s="16">
        <f>IF(D9&lt;&gt;"",D9-TODAY(),"")</f>
        <v/>
      </c>
      <c r="F9" s="16" t="n"/>
      <c r="G9" s="16" t="n"/>
    </row>
    <row r="10">
      <c r="A10" s="16" t="n"/>
      <c r="B10" s="16" t="n"/>
      <c r="C10" s="16" t="n"/>
      <c r="D10" s="16" t="n"/>
      <c r="E10" s="16">
        <f>IF(D10&lt;&gt;"",D10-TODAY(),"")</f>
        <v/>
      </c>
      <c r="F10" s="16" t="n"/>
      <c r="G10" s="16" t="n"/>
    </row>
    <row r="11">
      <c r="A11" s="16" t="n"/>
      <c r="B11" s="16" t="n"/>
      <c r="C11" s="16" t="n"/>
      <c r="D11" s="16" t="n"/>
      <c r="E11" s="16">
        <f>IF(D11&lt;&gt;"",D11-TODAY(),"")</f>
        <v/>
      </c>
      <c r="F11" s="16" t="n"/>
      <c r="G11" s="16" t="n"/>
    </row>
    <row r="12">
      <c r="A12" s="16" t="n"/>
      <c r="B12" s="16" t="n"/>
      <c r="C12" s="16" t="n"/>
      <c r="D12" s="16" t="n"/>
      <c r="E12" s="16">
        <f>IF(D12&lt;&gt;"",D12-TODAY(),"")</f>
        <v/>
      </c>
      <c r="F12" s="16" t="n"/>
      <c r="G12" s="16" t="n"/>
    </row>
    <row r="13">
      <c r="A13" s="16" t="n"/>
      <c r="B13" s="16" t="n"/>
      <c r="C13" s="16" t="n"/>
      <c r="D13" s="16" t="n"/>
      <c r="E13" s="16">
        <f>IF(D13&lt;&gt;"",D13-TODAY(),"")</f>
        <v/>
      </c>
      <c r="F13" s="16" t="n"/>
      <c r="G13" s="16" t="n"/>
    </row>
    <row r="14">
      <c r="A14" s="16" t="n"/>
      <c r="B14" s="16" t="n"/>
      <c r="C14" s="16" t="n"/>
      <c r="D14" s="16" t="n"/>
      <c r="E14" s="16">
        <f>IF(D14&lt;&gt;"",D14-TODAY(),"")</f>
        <v/>
      </c>
      <c r="F14" s="16" t="n"/>
      <c r="G14" s="16" t="n"/>
    </row>
    <row r="15">
      <c r="A15" s="16" t="n"/>
      <c r="B15" s="16" t="n"/>
      <c r="C15" s="16" t="n"/>
      <c r="D15" s="16" t="n"/>
      <c r="E15" s="16">
        <f>IF(D15&lt;&gt;"",D15-TODAY(),"")</f>
        <v/>
      </c>
      <c r="F15" s="16" t="n"/>
      <c r="G15" s="16" t="n"/>
    </row>
    <row r="16">
      <c r="A16" s="16" t="n"/>
      <c r="B16" s="16" t="n"/>
      <c r="C16" s="16" t="n"/>
      <c r="D16" s="16" t="n"/>
      <c r="E16" s="16">
        <f>IF(D16&lt;&gt;"",D16-TODAY(),"")</f>
        <v/>
      </c>
      <c r="F16" s="16" t="n"/>
      <c r="G16" s="16" t="n"/>
    </row>
    <row r="17">
      <c r="A17" s="16" t="n"/>
      <c r="B17" s="16" t="n"/>
      <c r="C17" s="16" t="n"/>
      <c r="D17" s="16" t="n"/>
      <c r="E17" s="16">
        <f>IF(D17&lt;&gt;"",D17-TODAY(),"")</f>
        <v/>
      </c>
      <c r="F17" s="16" t="n"/>
      <c r="G17" s="16" t="n"/>
    </row>
    <row r="18">
      <c r="A18" s="16" t="n"/>
      <c r="B18" s="16" t="n"/>
      <c r="C18" s="16" t="n"/>
      <c r="D18" s="16" t="n"/>
      <c r="E18" s="16">
        <f>IF(D18&lt;&gt;"",D18-TODAY(),"")</f>
        <v/>
      </c>
      <c r="F18" s="16" t="n"/>
      <c r="G18" s="16" t="n"/>
    </row>
    <row r="19">
      <c r="A19" s="16" t="n"/>
      <c r="B19" s="16" t="n"/>
      <c r="C19" s="16" t="n"/>
      <c r="D19" s="16" t="n"/>
      <c r="E19" s="16">
        <f>IF(D19&lt;&gt;"",D19-TODAY(),"")</f>
        <v/>
      </c>
      <c r="F19" s="16" t="n"/>
      <c r="G19" s="16" t="n"/>
    </row>
    <row r="20">
      <c r="A20" s="16" t="n"/>
      <c r="B20" s="16" t="n"/>
      <c r="C20" s="16" t="n"/>
      <c r="D20" s="16" t="n"/>
      <c r="E20" s="16">
        <f>IF(D20&lt;&gt;"",D20-TODAY(),"")</f>
        <v/>
      </c>
      <c r="F20" s="16" t="n"/>
      <c r="G20" s="16" t="n"/>
    </row>
    <row r="21">
      <c r="A21" s="16" t="n"/>
      <c r="B21" s="16" t="n"/>
      <c r="C21" s="16" t="n"/>
      <c r="D21" s="16" t="n"/>
      <c r="E21" s="16">
        <f>IF(D21&lt;&gt;"",D21-TODAY(),"")</f>
        <v/>
      </c>
      <c r="F21" s="16" t="n"/>
      <c r="G21" s="16" t="n"/>
    </row>
    <row r="22">
      <c r="A22" s="16" t="n"/>
      <c r="B22" s="16" t="n"/>
      <c r="C22" s="16" t="n"/>
      <c r="D22" s="16" t="n"/>
      <c r="E22" s="16">
        <f>IF(D22&lt;&gt;"",D22-TODAY(),"")</f>
        <v/>
      </c>
      <c r="F22" s="16" t="n"/>
      <c r="G22" s="16" t="n"/>
    </row>
    <row r="23">
      <c r="A23" s="16" t="n"/>
      <c r="B23" s="16" t="n"/>
      <c r="C23" s="16" t="n"/>
      <c r="D23" s="16" t="n"/>
      <c r="E23" s="16">
        <f>IF(D23&lt;&gt;"",D23-TODAY(),"")</f>
        <v/>
      </c>
      <c r="F23" s="16" t="n"/>
      <c r="G23" s="16" t="n"/>
    </row>
    <row r="24">
      <c r="A24" s="16" t="n"/>
      <c r="B24" s="16" t="n"/>
      <c r="C24" s="16" t="n"/>
      <c r="D24" s="16" t="n"/>
      <c r="E24" s="16">
        <f>IF(D24&lt;&gt;"",D24-TODAY(),"")</f>
        <v/>
      </c>
      <c r="F24" s="16" t="n"/>
      <c r="G24" s="16" t="n"/>
    </row>
    <row r="25">
      <c r="A25" s="16" t="n"/>
      <c r="B25" s="16" t="n"/>
      <c r="C25" s="16" t="n"/>
      <c r="D25" s="16" t="n"/>
      <c r="E25" s="16">
        <f>IF(D25&lt;&gt;"",D25-TODAY(),"")</f>
        <v/>
      </c>
      <c r="F25" s="16" t="n"/>
      <c r="G25" s="16" t="n"/>
    </row>
    <row r="26">
      <c r="A26" s="16" t="n"/>
      <c r="B26" s="16" t="n"/>
      <c r="C26" s="16" t="n"/>
      <c r="D26" s="16" t="n"/>
      <c r="E26" s="16">
        <f>IF(D26&lt;&gt;"",D26-TODAY(),"")</f>
        <v/>
      </c>
      <c r="F26" s="16" t="n"/>
      <c r="G26" s="16" t="n"/>
    </row>
    <row r="27">
      <c r="A27" s="16" t="n"/>
      <c r="B27" s="16" t="n"/>
      <c r="C27" s="16" t="n"/>
      <c r="D27" s="16" t="n"/>
      <c r="E27" s="16">
        <f>IF(D27&lt;&gt;"",D27-TODAY(),"")</f>
        <v/>
      </c>
      <c r="F27" s="16" t="n"/>
      <c r="G27" s="16" t="n"/>
    </row>
    <row r="28">
      <c r="A28" s="16" t="n"/>
      <c r="B28" s="16" t="n"/>
      <c r="C28" s="16" t="n"/>
      <c r="D28" s="16" t="n"/>
      <c r="E28" s="16">
        <f>IF(D28&lt;&gt;"",D28-TODAY(),"")</f>
        <v/>
      </c>
      <c r="F28" s="16" t="n"/>
      <c r="G28" s="16" t="n"/>
    </row>
    <row r="29">
      <c r="A29" s="16" t="n"/>
      <c r="B29" s="16" t="n"/>
      <c r="C29" s="16" t="n"/>
      <c r="D29" s="16" t="n"/>
      <c r="E29" s="16">
        <f>IF(D29&lt;&gt;"",D29-TODAY(),"")</f>
        <v/>
      </c>
      <c r="F29" s="16" t="n"/>
      <c r="G29" s="16" t="n"/>
    </row>
    <row r="30">
      <c r="A30" s="16" t="n"/>
      <c r="B30" s="16" t="n"/>
      <c r="C30" s="16" t="n"/>
      <c r="D30" s="16" t="n"/>
      <c r="E30" s="16">
        <f>IF(D30&lt;&gt;"",D30-TODAY(),"")</f>
        <v/>
      </c>
      <c r="F30" s="16" t="n"/>
      <c r="G30" s="16" t="n"/>
    </row>
    <row r="31">
      <c r="A31" s="16" t="n"/>
      <c r="B31" s="16" t="n"/>
      <c r="C31" s="16" t="n"/>
      <c r="D31" s="16" t="n"/>
      <c r="E31" s="16">
        <f>IF(D31&lt;&gt;"",D31-TODAY(),"")</f>
        <v/>
      </c>
      <c r="F31" s="16" t="n"/>
      <c r="G31" s="16" t="n"/>
    </row>
    <row r="32">
      <c r="A32" s="16" t="n"/>
      <c r="B32" s="16" t="n"/>
      <c r="C32" s="16" t="n"/>
      <c r="D32" s="16" t="n"/>
      <c r="E32" s="16">
        <f>IF(D32&lt;&gt;"",D32-TODAY(),"")</f>
        <v/>
      </c>
      <c r="F32" s="16" t="n"/>
      <c r="G32" s="16" t="n"/>
    </row>
    <row r="33">
      <c r="A33" s="16" t="n"/>
      <c r="B33" s="16" t="n"/>
      <c r="C33" s="16" t="n"/>
      <c r="D33" s="16" t="n"/>
      <c r="E33" s="16">
        <f>IF(D33&lt;&gt;"",D33-TODAY(),"")</f>
        <v/>
      </c>
      <c r="F33" s="16" t="n"/>
      <c r="G33" s="16" t="n"/>
    </row>
    <row r="34">
      <c r="A34" s="16" t="n"/>
      <c r="B34" s="16" t="n"/>
      <c r="C34" s="16" t="n"/>
      <c r="D34" s="16" t="n"/>
      <c r="E34" s="16">
        <f>IF(D34&lt;&gt;"",D34-TODAY(),"")</f>
        <v/>
      </c>
      <c r="F34" s="16" t="n"/>
      <c r="G34" s="16" t="n"/>
    </row>
    <row r="35">
      <c r="A35" s="16" t="n"/>
      <c r="B35" s="16" t="n"/>
      <c r="C35" s="16" t="n"/>
      <c r="D35" s="16" t="n"/>
      <c r="E35" s="16">
        <f>IF(D35&lt;&gt;"",D35-TODAY(),"")</f>
        <v/>
      </c>
      <c r="F35" s="16" t="n"/>
      <c r="G35" s="16" t="n"/>
    </row>
    <row r="36">
      <c r="A36" s="16" t="n"/>
      <c r="B36" s="16" t="n"/>
      <c r="C36" s="16" t="n"/>
      <c r="D36" s="16" t="n"/>
      <c r="E36" s="16">
        <f>IF(D36&lt;&gt;"",D36-TODAY(),"")</f>
        <v/>
      </c>
      <c r="F36" s="16" t="n"/>
      <c r="G36" s="16" t="n"/>
    </row>
    <row r="37">
      <c r="A37" s="16" t="n"/>
      <c r="B37" s="16" t="n"/>
      <c r="C37" s="16" t="n"/>
      <c r="D37" s="16" t="n"/>
      <c r="E37" s="16">
        <f>IF(D37&lt;&gt;"",D37-TODAY(),"")</f>
        <v/>
      </c>
      <c r="F37" s="16" t="n"/>
      <c r="G37" s="16" t="n"/>
    </row>
    <row r="38">
      <c r="A38" s="16" t="n"/>
      <c r="B38" s="16" t="n"/>
      <c r="C38" s="16" t="n"/>
      <c r="D38" s="16" t="n"/>
      <c r="E38" s="16">
        <f>IF(D38&lt;&gt;"",D38-TODAY(),"")</f>
        <v/>
      </c>
      <c r="F38" s="16" t="n"/>
      <c r="G38" s="16" t="n"/>
    </row>
    <row r="39">
      <c r="A39" s="16" t="n"/>
      <c r="B39" s="16" t="n"/>
      <c r="C39" s="16" t="n"/>
      <c r="D39" s="16" t="n"/>
      <c r="E39" s="16">
        <f>IF(D39&lt;&gt;"",D39-TODAY(),"")</f>
        <v/>
      </c>
      <c r="F39" s="16" t="n"/>
      <c r="G39" s="16" t="n"/>
    </row>
    <row r="40">
      <c r="A40" s="16" t="n"/>
      <c r="B40" s="16" t="n"/>
      <c r="C40" s="16" t="n"/>
      <c r="D40" s="16" t="n"/>
      <c r="E40" s="16">
        <f>IF(D40&lt;&gt;"",D40-TODAY(),"")</f>
        <v/>
      </c>
      <c r="F40" s="16" t="n"/>
      <c r="G40" s="16" t="n"/>
    </row>
    <row r="41">
      <c r="A41" s="16" t="n"/>
      <c r="B41" s="16" t="n"/>
      <c r="C41" s="16" t="n"/>
      <c r="D41" s="16" t="n"/>
      <c r="E41" s="16">
        <f>IF(D41&lt;&gt;"",D41-TODAY(),"")</f>
        <v/>
      </c>
      <c r="F41" s="16" t="n"/>
      <c r="G41" s="16" t="n"/>
    </row>
    <row r="42">
      <c r="A42" s="16" t="n"/>
      <c r="B42" s="16" t="n"/>
      <c r="C42" s="16" t="n"/>
      <c r="D42" s="16" t="n"/>
      <c r="E42" s="16">
        <f>IF(D42&lt;&gt;"",D42-TODAY(),"")</f>
        <v/>
      </c>
      <c r="F42" s="16" t="n"/>
      <c r="G42" s="16" t="n"/>
    </row>
    <row r="43">
      <c r="A43" s="16" t="n"/>
      <c r="B43" s="16" t="n"/>
      <c r="C43" s="16" t="n"/>
      <c r="D43" s="16" t="n"/>
      <c r="E43" s="16">
        <f>IF(D43&lt;&gt;"",D43-TODAY(),"")</f>
        <v/>
      </c>
      <c r="F43" s="16" t="n"/>
      <c r="G43" s="16" t="n"/>
    </row>
    <row r="44">
      <c r="A44" s="16" t="n"/>
      <c r="B44" s="16" t="n"/>
      <c r="C44" s="16" t="n"/>
      <c r="D44" s="16" t="n"/>
      <c r="E44" s="16">
        <f>IF(D44&lt;&gt;"",D44-TODAY(),"")</f>
        <v/>
      </c>
      <c r="F44" s="16" t="n"/>
      <c r="G44" s="16" t="n"/>
    </row>
    <row r="45">
      <c r="A45" s="16" t="n"/>
      <c r="B45" s="16" t="n"/>
      <c r="C45" s="16" t="n"/>
      <c r="D45" s="16" t="n"/>
      <c r="E45" s="16">
        <f>IF(D45&lt;&gt;"",D45-TODAY(),"")</f>
        <v/>
      </c>
      <c r="F45" s="16" t="n"/>
      <c r="G45" s="16" t="n"/>
    </row>
    <row r="46">
      <c r="A46" s="16" t="n"/>
      <c r="B46" s="16" t="n"/>
      <c r="C46" s="16" t="n"/>
      <c r="D46" s="16" t="n"/>
      <c r="E46" s="16">
        <f>IF(D46&lt;&gt;"",D46-TODAY(),"")</f>
        <v/>
      </c>
      <c r="F46" s="16" t="n"/>
      <c r="G46" s="16" t="n"/>
    </row>
    <row r="47">
      <c r="A47" s="16" t="n"/>
      <c r="B47" s="16" t="n"/>
      <c r="C47" s="16" t="n"/>
      <c r="D47" s="16" t="n"/>
      <c r="E47" s="16">
        <f>IF(D47&lt;&gt;"",D47-TODAY(),"")</f>
        <v/>
      </c>
      <c r="F47" s="16" t="n"/>
      <c r="G47" s="16" t="n"/>
    </row>
    <row r="48">
      <c r="A48" s="16" t="n"/>
      <c r="B48" s="16" t="n"/>
      <c r="C48" s="16" t="n"/>
      <c r="D48" s="16" t="n"/>
      <c r="E48" s="16">
        <f>IF(D48&lt;&gt;"",D48-TODAY(),"")</f>
        <v/>
      </c>
      <c r="F48" s="16" t="n"/>
      <c r="G48" s="16" t="n"/>
    </row>
    <row r="49">
      <c r="A49" s="16" t="n"/>
      <c r="B49" s="16" t="n"/>
      <c r="C49" s="16" t="n"/>
      <c r="D49" s="16" t="n"/>
      <c r="E49" s="16">
        <f>IF(D49&lt;&gt;"",D49-TODAY(),"")</f>
        <v/>
      </c>
      <c r="F49" s="16" t="n"/>
      <c r="G49" s="16" t="n"/>
    </row>
    <row r="50">
      <c r="A50" s="16" t="n"/>
      <c r="B50" s="16" t="n"/>
      <c r="C50" s="16" t="n"/>
      <c r="D50" s="16" t="n"/>
      <c r="E50" s="16">
        <f>IF(D50&lt;&gt;"",D50-TODAY(),"")</f>
        <v/>
      </c>
      <c r="F50" s="16" t="n"/>
      <c r="G50" s="16" t="n"/>
    </row>
    <row r="51">
      <c r="A51" s="16" t="n"/>
      <c r="B51" s="16" t="n"/>
      <c r="C51" s="16" t="n"/>
      <c r="D51" s="16" t="n"/>
      <c r="E51" s="16">
        <f>IF(D51&lt;&gt;"",D51-TODAY(),"")</f>
        <v/>
      </c>
      <c r="F51" s="16" t="n"/>
      <c r="G51" s="16" t="n"/>
    </row>
    <row r="52">
      <c r="A52" s="16" t="n"/>
      <c r="B52" s="16" t="n"/>
      <c r="C52" s="16" t="n"/>
      <c r="D52" s="16" t="n"/>
      <c r="E52" s="16">
        <f>IF(D52&lt;&gt;"",D52-TODAY(),"")</f>
        <v/>
      </c>
      <c r="F52" s="16" t="n"/>
      <c r="G52" s="16" t="n"/>
    </row>
    <row r="53">
      <c r="A53" s="16" t="n"/>
      <c r="B53" s="16" t="n"/>
      <c r="C53" s="16" t="n"/>
      <c r="D53" s="16" t="n"/>
      <c r="E53" s="16">
        <f>IF(D53&lt;&gt;"",D53-TODAY(),"")</f>
        <v/>
      </c>
      <c r="F53" s="16" t="n"/>
      <c r="G53" s="16" t="n"/>
    </row>
    <row r="54">
      <c r="A54" s="16" t="n"/>
      <c r="B54" s="16" t="n"/>
      <c r="C54" s="16" t="n"/>
      <c r="D54" s="16" t="n"/>
      <c r="E54" s="16">
        <f>IF(D54&lt;&gt;"",D54-TODAY(),"")</f>
        <v/>
      </c>
      <c r="F54" s="16" t="n"/>
      <c r="G54" s="16" t="n"/>
    </row>
    <row r="55">
      <c r="A55" s="16" t="n"/>
      <c r="B55" s="16" t="n"/>
      <c r="C55" s="16" t="n"/>
      <c r="D55" s="16" t="n"/>
      <c r="E55" s="16">
        <f>IF(D55&lt;&gt;"",D55-TODAY(),"")</f>
        <v/>
      </c>
      <c r="F55" s="16" t="n"/>
      <c r="G55" s="16" t="n"/>
    </row>
  </sheetData>
  <mergeCells count="2">
    <mergeCell ref="A2:G2"/>
    <mergeCell ref="A1:G1"/>
  </mergeCells>
  <dataValidations count="1">
    <dataValidation sqref="C5:C55" showDropDown="0" showInputMessage="0" showErrorMessage="0" allowBlank="1" type="list">
      <formula1>"After Each Use (Check-in),Daily,Weekly,Monthly,Quarterly,On Demand Only,Not Applicable"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55"/>
  <sheetViews>
    <sheetView showGridLines="0" workbookViewId="0">
      <pane ySplit="4" topLeftCell="A5" activePane="bottomLeft" state="frozen"/>
      <selection pane="bottomLeft" activeCell="A1" sqref="A1"/>
    </sheetView>
  </sheetViews>
  <sheetFormatPr baseColWidth="8" defaultRowHeight="15"/>
  <sheetData>
    <row r="1" ht="35" customHeight="1">
      <c r="A1" s="1" t="inlineStr">
        <is>
          <t>ACCESS REVIEW RESULTS</t>
        </is>
      </c>
    </row>
    <row r="2">
      <c r="A2" s="14" t="inlineStr">
        <is>
          <t>Track quarterly reviews of privileged access (MANDATORY)</t>
        </is>
      </c>
    </row>
    <row r="4">
      <c r="A4" s="7" t="inlineStr">
        <is>
          <t>Review Period</t>
        </is>
      </c>
      <c r="B4" s="7" t="inlineStr">
        <is>
          <t>User</t>
        </is>
      </c>
      <c r="C4" s="7" t="inlineStr">
        <is>
          <t>Privileged Account</t>
        </is>
      </c>
      <c r="D4" s="7" t="inlineStr">
        <is>
          <t>Access Confirmed</t>
        </is>
      </c>
      <c r="E4" s="7" t="inlineStr">
        <is>
          <t>Access Removed</t>
        </is>
      </c>
      <c r="F4" s="7" t="inlineStr">
        <is>
          <t>Business Justification</t>
        </is>
      </c>
      <c r="G4" s="7" t="inlineStr">
        <is>
          <t>Reviewer</t>
        </is>
      </c>
      <c r="H4" s="7" t="inlineStr">
        <is>
          <t>Review Date</t>
        </is>
      </c>
    </row>
    <row r="5">
      <c r="A5" s="15" t="inlineStr">
        <is>
          <t>Q1 2026</t>
        </is>
      </c>
      <c r="B5" s="15" t="inlineStr">
        <is>
          <t>[User Name]</t>
        </is>
      </c>
      <c r="C5" s="15" t="inlineStr">
        <is>
          <t>admin.username</t>
        </is>
      </c>
      <c r="D5" s="15" t="inlineStr">
        <is>
          <t>Yes</t>
        </is>
      </c>
      <c r="E5" s="15" t="inlineStr">
        <is>
          <t>No</t>
        </is>
      </c>
      <c r="F5" s="15" t="inlineStr">
        <is>
          <t>[Justification]</t>
        </is>
      </c>
      <c r="G5" s="15" t="inlineStr">
        <is>
          <t>[Reviewer Name]</t>
        </is>
      </c>
      <c r="H5" s="15" t="inlineStr">
        <is>
          <t>01.03.2026</t>
        </is>
      </c>
    </row>
    <row r="6">
      <c r="A6" s="16" t="n"/>
      <c r="B6" s="16" t="n"/>
      <c r="C6" s="16" t="n"/>
      <c r="D6" s="16" t="n"/>
      <c r="E6" s="16" t="n"/>
      <c r="F6" s="16" t="n"/>
      <c r="G6" s="16" t="n"/>
      <c r="H6" s="16" t="n"/>
    </row>
    <row r="7">
      <c r="A7" s="16" t="n"/>
      <c r="B7" s="16" t="n"/>
      <c r="C7" s="16" t="n"/>
      <c r="D7" s="16" t="n"/>
      <c r="E7" s="16" t="n"/>
      <c r="F7" s="16" t="n"/>
      <c r="G7" s="16" t="n"/>
      <c r="H7" s="16" t="n"/>
    </row>
    <row r="8">
      <c r="A8" s="16" t="n"/>
      <c r="B8" s="16" t="n"/>
      <c r="C8" s="16" t="n"/>
      <c r="D8" s="16" t="n"/>
      <c r="E8" s="16" t="n"/>
      <c r="F8" s="16" t="n"/>
      <c r="G8" s="16" t="n"/>
      <c r="H8" s="16" t="n"/>
    </row>
    <row r="9">
      <c r="A9" s="16" t="n"/>
      <c r="B9" s="16" t="n"/>
      <c r="C9" s="16" t="n"/>
      <c r="D9" s="16" t="n"/>
      <c r="E9" s="16" t="n"/>
      <c r="F9" s="16" t="n"/>
      <c r="G9" s="16" t="n"/>
      <c r="H9" s="16" t="n"/>
    </row>
    <row r="10">
      <c r="A10" s="16" t="n"/>
      <c r="B10" s="16" t="n"/>
      <c r="C10" s="16" t="n"/>
      <c r="D10" s="16" t="n"/>
      <c r="E10" s="16" t="n"/>
      <c r="F10" s="16" t="n"/>
      <c r="G10" s="16" t="n"/>
      <c r="H10" s="16" t="n"/>
    </row>
    <row r="11">
      <c r="A11" s="16" t="n"/>
      <c r="B11" s="16" t="n"/>
      <c r="C11" s="16" t="n"/>
      <c r="D11" s="16" t="n"/>
      <c r="E11" s="16" t="n"/>
      <c r="F11" s="16" t="n"/>
      <c r="G11" s="16" t="n"/>
      <c r="H11" s="16" t="n"/>
    </row>
    <row r="12">
      <c r="A12" s="16" t="n"/>
      <c r="B12" s="16" t="n"/>
      <c r="C12" s="16" t="n"/>
      <c r="D12" s="16" t="n"/>
      <c r="E12" s="16" t="n"/>
      <c r="F12" s="16" t="n"/>
      <c r="G12" s="16" t="n"/>
      <c r="H12" s="16" t="n"/>
    </row>
    <row r="13">
      <c r="A13" s="16" t="n"/>
      <c r="B13" s="16" t="n"/>
      <c r="C13" s="16" t="n"/>
      <c r="D13" s="16" t="n"/>
      <c r="E13" s="16" t="n"/>
      <c r="F13" s="16" t="n"/>
      <c r="G13" s="16" t="n"/>
      <c r="H13" s="16" t="n"/>
    </row>
    <row r="14">
      <c r="A14" s="16" t="n"/>
      <c r="B14" s="16" t="n"/>
      <c r="C14" s="16" t="n"/>
      <c r="D14" s="16" t="n"/>
      <c r="E14" s="16" t="n"/>
      <c r="F14" s="16" t="n"/>
      <c r="G14" s="16" t="n"/>
      <c r="H14" s="16" t="n"/>
    </row>
    <row r="15">
      <c r="A15" s="16" t="n"/>
      <c r="B15" s="16" t="n"/>
      <c r="C15" s="16" t="n"/>
      <c r="D15" s="16" t="n"/>
      <c r="E15" s="16" t="n"/>
      <c r="F15" s="16" t="n"/>
      <c r="G15" s="16" t="n"/>
      <c r="H15" s="16" t="n"/>
    </row>
    <row r="16">
      <c r="A16" s="16" t="n"/>
      <c r="B16" s="16" t="n"/>
      <c r="C16" s="16" t="n"/>
      <c r="D16" s="16" t="n"/>
      <c r="E16" s="16" t="n"/>
      <c r="F16" s="16" t="n"/>
      <c r="G16" s="16" t="n"/>
      <c r="H16" s="16" t="n"/>
    </row>
    <row r="17">
      <c r="A17" s="16" t="n"/>
      <c r="B17" s="16" t="n"/>
      <c r="C17" s="16" t="n"/>
      <c r="D17" s="16" t="n"/>
      <c r="E17" s="16" t="n"/>
      <c r="F17" s="16" t="n"/>
      <c r="G17" s="16" t="n"/>
      <c r="H17" s="16" t="n"/>
    </row>
    <row r="18">
      <c r="A18" s="16" t="n"/>
      <c r="B18" s="16" t="n"/>
      <c r="C18" s="16" t="n"/>
      <c r="D18" s="16" t="n"/>
      <c r="E18" s="16" t="n"/>
      <c r="F18" s="16" t="n"/>
      <c r="G18" s="16" t="n"/>
      <c r="H18" s="16" t="n"/>
    </row>
    <row r="19">
      <c r="A19" s="16" t="n"/>
      <c r="B19" s="16" t="n"/>
      <c r="C19" s="16" t="n"/>
      <c r="D19" s="16" t="n"/>
      <c r="E19" s="16" t="n"/>
      <c r="F19" s="16" t="n"/>
      <c r="G19" s="16" t="n"/>
      <c r="H19" s="16" t="n"/>
    </row>
    <row r="20">
      <c r="A20" s="16" t="n"/>
      <c r="B20" s="16" t="n"/>
      <c r="C20" s="16" t="n"/>
      <c r="D20" s="16" t="n"/>
      <c r="E20" s="16" t="n"/>
      <c r="F20" s="16" t="n"/>
      <c r="G20" s="16" t="n"/>
      <c r="H20" s="16" t="n"/>
    </row>
    <row r="21">
      <c r="A21" s="16" t="n"/>
      <c r="B21" s="16" t="n"/>
      <c r="C21" s="16" t="n"/>
      <c r="D21" s="16" t="n"/>
      <c r="E21" s="16" t="n"/>
      <c r="F21" s="16" t="n"/>
      <c r="G21" s="16" t="n"/>
      <c r="H21" s="16" t="n"/>
    </row>
    <row r="22">
      <c r="A22" s="16" t="n"/>
      <c r="B22" s="16" t="n"/>
      <c r="C22" s="16" t="n"/>
      <c r="D22" s="16" t="n"/>
      <c r="E22" s="16" t="n"/>
      <c r="F22" s="16" t="n"/>
      <c r="G22" s="16" t="n"/>
      <c r="H22" s="16" t="n"/>
    </row>
    <row r="23">
      <c r="A23" s="16" t="n"/>
      <c r="B23" s="16" t="n"/>
      <c r="C23" s="16" t="n"/>
      <c r="D23" s="16" t="n"/>
      <c r="E23" s="16" t="n"/>
      <c r="F23" s="16" t="n"/>
      <c r="G23" s="16" t="n"/>
      <c r="H23" s="16" t="n"/>
    </row>
    <row r="24">
      <c r="A24" s="16" t="n"/>
      <c r="B24" s="16" t="n"/>
      <c r="C24" s="16" t="n"/>
      <c r="D24" s="16" t="n"/>
      <c r="E24" s="16" t="n"/>
      <c r="F24" s="16" t="n"/>
      <c r="G24" s="16" t="n"/>
      <c r="H24" s="16" t="n"/>
    </row>
    <row r="25">
      <c r="A25" s="16" t="n"/>
      <c r="B25" s="16" t="n"/>
      <c r="C25" s="16" t="n"/>
      <c r="D25" s="16" t="n"/>
      <c r="E25" s="16" t="n"/>
      <c r="F25" s="16" t="n"/>
      <c r="G25" s="16" t="n"/>
      <c r="H25" s="16" t="n"/>
    </row>
    <row r="26">
      <c r="A26" s="16" t="n"/>
      <c r="B26" s="16" t="n"/>
      <c r="C26" s="16" t="n"/>
      <c r="D26" s="16" t="n"/>
      <c r="E26" s="16" t="n"/>
      <c r="F26" s="16" t="n"/>
      <c r="G26" s="16" t="n"/>
      <c r="H26" s="16" t="n"/>
    </row>
    <row r="27">
      <c r="A27" s="16" t="n"/>
      <c r="B27" s="16" t="n"/>
      <c r="C27" s="16" t="n"/>
      <c r="D27" s="16" t="n"/>
      <c r="E27" s="16" t="n"/>
      <c r="F27" s="16" t="n"/>
      <c r="G27" s="16" t="n"/>
      <c r="H27" s="16" t="n"/>
    </row>
    <row r="28">
      <c r="A28" s="16" t="n"/>
      <c r="B28" s="16" t="n"/>
      <c r="C28" s="16" t="n"/>
      <c r="D28" s="16" t="n"/>
      <c r="E28" s="16" t="n"/>
      <c r="F28" s="16" t="n"/>
      <c r="G28" s="16" t="n"/>
      <c r="H28" s="16" t="n"/>
    </row>
    <row r="29">
      <c r="A29" s="16" t="n"/>
      <c r="B29" s="16" t="n"/>
      <c r="C29" s="16" t="n"/>
      <c r="D29" s="16" t="n"/>
      <c r="E29" s="16" t="n"/>
      <c r="F29" s="16" t="n"/>
      <c r="G29" s="16" t="n"/>
      <c r="H29" s="16" t="n"/>
    </row>
    <row r="30">
      <c r="A30" s="16" t="n"/>
      <c r="B30" s="16" t="n"/>
      <c r="C30" s="16" t="n"/>
      <c r="D30" s="16" t="n"/>
      <c r="E30" s="16" t="n"/>
      <c r="F30" s="16" t="n"/>
      <c r="G30" s="16" t="n"/>
      <c r="H30" s="16" t="n"/>
    </row>
    <row r="31">
      <c r="A31" s="16" t="n"/>
      <c r="B31" s="16" t="n"/>
      <c r="C31" s="16" t="n"/>
      <c r="D31" s="16" t="n"/>
      <c r="E31" s="16" t="n"/>
      <c r="F31" s="16" t="n"/>
      <c r="G31" s="16" t="n"/>
      <c r="H31" s="16" t="n"/>
    </row>
    <row r="32">
      <c r="A32" s="16" t="n"/>
      <c r="B32" s="16" t="n"/>
      <c r="C32" s="16" t="n"/>
      <c r="D32" s="16" t="n"/>
      <c r="E32" s="16" t="n"/>
      <c r="F32" s="16" t="n"/>
      <c r="G32" s="16" t="n"/>
      <c r="H32" s="16" t="n"/>
    </row>
    <row r="33">
      <c r="A33" s="16" t="n"/>
      <c r="B33" s="16" t="n"/>
      <c r="C33" s="16" t="n"/>
      <c r="D33" s="16" t="n"/>
      <c r="E33" s="16" t="n"/>
      <c r="F33" s="16" t="n"/>
      <c r="G33" s="16" t="n"/>
      <c r="H33" s="16" t="n"/>
    </row>
    <row r="34">
      <c r="A34" s="16" t="n"/>
      <c r="B34" s="16" t="n"/>
      <c r="C34" s="16" t="n"/>
      <c r="D34" s="16" t="n"/>
      <c r="E34" s="16" t="n"/>
      <c r="F34" s="16" t="n"/>
      <c r="G34" s="16" t="n"/>
      <c r="H34" s="16" t="n"/>
    </row>
    <row r="35">
      <c r="A35" s="16" t="n"/>
      <c r="B35" s="16" t="n"/>
      <c r="C35" s="16" t="n"/>
      <c r="D35" s="16" t="n"/>
      <c r="E35" s="16" t="n"/>
      <c r="F35" s="16" t="n"/>
      <c r="G35" s="16" t="n"/>
      <c r="H35" s="16" t="n"/>
    </row>
    <row r="36">
      <c r="A36" s="16" t="n"/>
      <c r="B36" s="16" t="n"/>
      <c r="C36" s="16" t="n"/>
      <c r="D36" s="16" t="n"/>
      <c r="E36" s="16" t="n"/>
      <c r="F36" s="16" t="n"/>
      <c r="G36" s="16" t="n"/>
      <c r="H36" s="16" t="n"/>
    </row>
    <row r="37">
      <c r="A37" s="16" t="n"/>
      <c r="B37" s="16" t="n"/>
      <c r="C37" s="16" t="n"/>
      <c r="D37" s="16" t="n"/>
      <c r="E37" s="16" t="n"/>
      <c r="F37" s="16" t="n"/>
      <c r="G37" s="16" t="n"/>
      <c r="H37" s="16" t="n"/>
    </row>
    <row r="38">
      <c r="A38" s="16" t="n"/>
      <c r="B38" s="16" t="n"/>
      <c r="C38" s="16" t="n"/>
      <c r="D38" s="16" t="n"/>
      <c r="E38" s="16" t="n"/>
      <c r="F38" s="16" t="n"/>
      <c r="G38" s="16" t="n"/>
      <c r="H38" s="16" t="n"/>
    </row>
    <row r="39">
      <c r="A39" s="16" t="n"/>
      <c r="B39" s="16" t="n"/>
      <c r="C39" s="16" t="n"/>
      <c r="D39" s="16" t="n"/>
      <c r="E39" s="16" t="n"/>
      <c r="F39" s="16" t="n"/>
      <c r="G39" s="16" t="n"/>
      <c r="H39" s="16" t="n"/>
    </row>
    <row r="40">
      <c r="A40" s="16" t="n"/>
      <c r="B40" s="16" t="n"/>
      <c r="C40" s="16" t="n"/>
      <c r="D40" s="16" t="n"/>
      <c r="E40" s="16" t="n"/>
      <c r="F40" s="16" t="n"/>
      <c r="G40" s="16" t="n"/>
      <c r="H40" s="16" t="n"/>
    </row>
    <row r="41">
      <c r="A41" s="16" t="n"/>
      <c r="B41" s="16" t="n"/>
      <c r="C41" s="16" t="n"/>
      <c r="D41" s="16" t="n"/>
      <c r="E41" s="16" t="n"/>
      <c r="F41" s="16" t="n"/>
      <c r="G41" s="16" t="n"/>
      <c r="H41" s="16" t="n"/>
    </row>
    <row r="42">
      <c r="A42" s="16" t="n"/>
      <c r="B42" s="16" t="n"/>
      <c r="C42" s="16" t="n"/>
      <c r="D42" s="16" t="n"/>
      <c r="E42" s="16" t="n"/>
      <c r="F42" s="16" t="n"/>
      <c r="G42" s="16" t="n"/>
      <c r="H42" s="16" t="n"/>
    </row>
    <row r="43">
      <c r="A43" s="16" t="n"/>
      <c r="B43" s="16" t="n"/>
      <c r="C43" s="16" t="n"/>
      <c r="D43" s="16" t="n"/>
      <c r="E43" s="16" t="n"/>
      <c r="F43" s="16" t="n"/>
      <c r="G43" s="16" t="n"/>
      <c r="H43" s="16" t="n"/>
    </row>
    <row r="44">
      <c r="A44" s="16" t="n"/>
      <c r="B44" s="16" t="n"/>
      <c r="C44" s="16" t="n"/>
      <c r="D44" s="16" t="n"/>
      <c r="E44" s="16" t="n"/>
      <c r="F44" s="16" t="n"/>
      <c r="G44" s="16" t="n"/>
      <c r="H44" s="16" t="n"/>
    </row>
    <row r="45">
      <c r="A45" s="16" t="n"/>
      <c r="B45" s="16" t="n"/>
      <c r="C45" s="16" t="n"/>
      <c r="D45" s="16" t="n"/>
      <c r="E45" s="16" t="n"/>
      <c r="F45" s="16" t="n"/>
      <c r="G45" s="16" t="n"/>
      <c r="H45" s="16" t="n"/>
    </row>
    <row r="46">
      <c r="A46" s="16" t="n"/>
      <c r="B46" s="16" t="n"/>
      <c r="C46" s="16" t="n"/>
      <c r="D46" s="16" t="n"/>
      <c r="E46" s="16" t="n"/>
      <c r="F46" s="16" t="n"/>
      <c r="G46" s="16" t="n"/>
      <c r="H46" s="16" t="n"/>
    </row>
    <row r="47">
      <c r="A47" s="16" t="n"/>
      <c r="B47" s="16" t="n"/>
      <c r="C47" s="16" t="n"/>
      <c r="D47" s="16" t="n"/>
      <c r="E47" s="16" t="n"/>
      <c r="F47" s="16" t="n"/>
      <c r="G47" s="16" t="n"/>
      <c r="H47" s="16" t="n"/>
    </row>
    <row r="48">
      <c r="A48" s="16" t="n"/>
      <c r="B48" s="16" t="n"/>
      <c r="C48" s="16" t="n"/>
      <c r="D48" s="16" t="n"/>
      <c r="E48" s="16" t="n"/>
      <c r="F48" s="16" t="n"/>
      <c r="G48" s="16" t="n"/>
      <c r="H48" s="16" t="n"/>
    </row>
    <row r="49">
      <c r="A49" s="16" t="n"/>
      <c r="B49" s="16" t="n"/>
      <c r="C49" s="16" t="n"/>
      <c r="D49" s="16" t="n"/>
      <c r="E49" s="16" t="n"/>
      <c r="F49" s="16" t="n"/>
      <c r="G49" s="16" t="n"/>
      <c r="H49" s="16" t="n"/>
    </row>
    <row r="50">
      <c r="A50" s="16" t="n"/>
      <c r="B50" s="16" t="n"/>
      <c r="C50" s="16" t="n"/>
      <c r="D50" s="16" t="n"/>
      <c r="E50" s="16" t="n"/>
      <c r="F50" s="16" t="n"/>
      <c r="G50" s="16" t="n"/>
      <c r="H50" s="16" t="n"/>
    </row>
    <row r="51">
      <c r="A51" s="16" t="n"/>
      <c r="B51" s="16" t="n"/>
      <c r="C51" s="16" t="n"/>
      <c r="D51" s="16" t="n"/>
      <c r="E51" s="16" t="n"/>
      <c r="F51" s="16" t="n"/>
      <c r="G51" s="16" t="n"/>
      <c r="H51" s="16" t="n"/>
    </row>
    <row r="52">
      <c r="A52" s="16" t="n"/>
      <c r="B52" s="16" t="n"/>
      <c r="C52" s="16" t="n"/>
      <c r="D52" s="16" t="n"/>
      <c r="E52" s="16" t="n"/>
      <c r="F52" s="16" t="n"/>
      <c r="G52" s="16" t="n"/>
      <c r="H52" s="16" t="n"/>
    </row>
    <row r="53">
      <c r="A53" s="16" t="n"/>
      <c r="B53" s="16" t="n"/>
      <c r="C53" s="16" t="n"/>
      <c r="D53" s="16" t="n"/>
      <c r="E53" s="16" t="n"/>
      <c r="F53" s="16" t="n"/>
      <c r="G53" s="16" t="n"/>
      <c r="H53" s="16" t="n"/>
    </row>
    <row r="54">
      <c r="A54" s="16" t="n"/>
      <c r="B54" s="16" t="n"/>
      <c r="C54" s="16" t="n"/>
      <c r="D54" s="16" t="n"/>
      <c r="E54" s="16" t="n"/>
      <c r="F54" s="16" t="n"/>
      <c r="G54" s="16" t="n"/>
      <c r="H54" s="16" t="n"/>
    </row>
    <row r="55">
      <c r="A55" s="16" t="n"/>
      <c r="B55" s="16" t="n"/>
      <c r="C55" s="16" t="n"/>
      <c r="D55" s="16" t="n"/>
      <c r="E55" s="16" t="n"/>
      <c r="F55" s="16" t="n"/>
      <c r="G55" s="16" t="n"/>
      <c r="H55" s="16" t="n"/>
    </row>
  </sheetData>
  <mergeCells count="2">
    <mergeCell ref="A2:H2"/>
    <mergeCell ref="A1:H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55"/>
  <sheetViews>
    <sheetView showGridLines="0" workbookViewId="0">
      <pane ySplit="4" topLeftCell="A5" activePane="bottomLeft" state="frozen"/>
      <selection pane="bottomLeft" activeCell="A1" sqref="A1"/>
    </sheetView>
  </sheetViews>
  <sheetFormatPr baseColWidth="8" defaultRowHeight="15"/>
  <sheetData>
    <row r="1" ht="35" customHeight="1">
      <c r="A1" s="1" t="inlineStr">
        <is>
          <t>TIER ISOLATION COMPLIANCE</t>
        </is>
      </c>
    </row>
    <row r="2">
      <c r="A2" s="14" t="inlineStr">
        <is>
          <t>Monitor and investigate cross-tier login attempts (target: ZERO violations)</t>
        </is>
      </c>
    </row>
    <row r="4">
      <c r="A4" s="7" t="inlineStr">
        <is>
          <t>Date</t>
        </is>
      </c>
      <c r="B4" s="7" t="inlineStr">
        <is>
          <t>Account</t>
        </is>
      </c>
      <c r="C4" s="7" t="inlineStr">
        <is>
          <t>Account Tier</t>
        </is>
      </c>
      <c r="D4" s="7" t="inlineStr">
        <is>
          <t>System Accessed</t>
        </is>
      </c>
      <c r="E4" s="7" t="inlineStr">
        <is>
          <t>System Tier</t>
        </is>
      </c>
      <c r="F4" s="7" t="inlineStr">
        <is>
          <t>Violation Type</t>
        </is>
      </c>
      <c r="G4" s="7" t="inlineStr">
        <is>
          <t>Investigation Status</t>
        </is>
      </c>
      <c r="H4" s="7" t="inlineStr">
        <is>
          <t>Remediation</t>
        </is>
      </c>
    </row>
    <row r="5">
      <c r="A5" s="15" t="inlineStr">
        <is>
          <t>01.03.2026</t>
        </is>
      </c>
      <c r="B5" s="15" t="inlineStr">
        <is>
          <t>[Account]</t>
        </is>
      </c>
      <c r="C5" s="15" t="inlineStr">
        <is>
          <t>Tier 0 (Domain/Enterprise/Critical)</t>
        </is>
      </c>
      <c r="D5" s="15" t="inlineStr">
        <is>
          <t>[System]</t>
        </is>
      </c>
      <c r="E5" s="15" t="inlineStr">
        <is>
          <t>Tier 2 (Workstation/Endpoint)</t>
        </is>
      </c>
      <c r="F5" s="15" t="inlineStr">
        <is>
          <t>Tier 0 account on Tier 2 system</t>
        </is>
      </c>
      <c r="G5" s="15" t="inlineStr">
        <is>
          <t>Under Investigation</t>
        </is>
      </c>
      <c r="H5" s="15" t="inlineStr">
        <is>
          <t>[Remediation action]</t>
        </is>
      </c>
    </row>
    <row r="6">
      <c r="A6" s="16" t="n"/>
      <c r="B6" s="16" t="n"/>
      <c r="C6" s="16" t="n"/>
      <c r="D6" s="16" t="n"/>
      <c r="E6" s="16" t="n"/>
      <c r="F6" s="16" t="n"/>
      <c r="G6" s="16" t="n"/>
      <c r="H6" s="16" t="n"/>
    </row>
    <row r="7">
      <c r="A7" s="16" t="n"/>
      <c r="B7" s="16" t="n"/>
      <c r="C7" s="16" t="n"/>
      <c r="D7" s="16" t="n"/>
      <c r="E7" s="16" t="n"/>
      <c r="F7" s="16" t="n"/>
      <c r="G7" s="16" t="n"/>
      <c r="H7" s="16" t="n"/>
    </row>
    <row r="8">
      <c r="A8" s="16" t="n"/>
      <c r="B8" s="16" t="n"/>
      <c r="C8" s="16" t="n"/>
      <c r="D8" s="16" t="n"/>
      <c r="E8" s="16" t="n"/>
      <c r="F8" s="16" t="n"/>
      <c r="G8" s="16" t="n"/>
      <c r="H8" s="16" t="n"/>
    </row>
    <row r="9">
      <c r="A9" s="16" t="n"/>
      <c r="B9" s="16" t="n"/>
      <c r="C9" s="16" t="n"/>
      <c r="D9" s="16" t="n"/>
      <c r="E9" s="16" t="n"/>
      <c r="F9" s="16" t="n"/>
      <c r="G9" s="16" t="n"/>
      <c r="H9" s="16" t="n"/>
    </row>
    <row r="10">
      <c r="A10" s="16" t="n"/>
      <c r="B10" s="16" t="n"/>
      <c r="C10" s="16" t="n"/>
      <c r="D10" s="16" t="n"/>
      <c r="E10" s="16" t="n"/>
      <c r="F10" s="16" t="n"/>
      <c r="G10" s="16" t="n"/>
      <c r="H10" s="16" t="n"/>
    </row>
    <row r="11">
      <c r="A11" s="16" t="n"/>
      <c r="B11" s="16" t="n"/>
      <c r="C11" s="16" t="n"/>
      <c r="D11" s="16" t="n"/>
      <c r="E11" s="16" t="n"/>
      <c r="F11" s="16" t="n"/>
      <c r="G11" s="16" t="n"/>
      <c r="H11" s="16" t="n"/>
    </row>
    <row r="12">
      <c r="A12" s="16" t="n"/>
      <c r="B12" s="16" t="n"/>
      <c r="C12" s="16" t="n"/>
      <c r="D12" s="16" t="n"/>
      <c r="E12" s="16" t="n"/>
      <c r="F12" s="16" t="n"/>
      <c r="G12" s="16" t="n"/>
      <c r="H12" s="16" t="n"/>
    </row>
    <row r="13">
      <c r="A13" s="16" t="n"/>
      <c r="B13" s="16" t="n"/>
      <c r="C13" s="16" t="n"/>
      <c r="D13" s="16" t="n"/>
      <c r="E13" s="16" t="n"/>
      <c r="F13" s="16" t="n"/>
      <c r="G13" s="16" t="n"/>
      <c r="H13" s="16" t="n"/>
    </row>
    <row r="14">
      <c r="A14" s="16" t="n"/>
      <c r="B14" s="16" t="n"/>
      <c r="C14" s="16" t="n"/>
      <c r="D14" s="16" t="n"/>
      <c r="E14" s="16" t="n"/>
      <c r="F14" s="16" t="n"/>
      <c r="G14" s="16" t="n"/>
      <c r="H14" s="16" t="n"/>
    </row>
    <row r="15">
      <c r="A15" s="16" t="n"/>
      <c r="B15" s="16" t="n"/>
      <c r="C15" s="16" t="n"/>
      <c r="D15" s="16" t="n"/>
      <c r="E15" s="16" t="n"/>
      <c r="F15" s="16" t="n"/>
      <c r="G15" s="16" t="n"/>
      <c r="H15" s="16" t="n"/>
    </row>
    <row r="16">
      <c r="A16" s="16" t="n"/>
      <c r="B16" s="16" t="n"/>
      <c r="C16" s="16" t="n"/>
      <c r="D16" s="16" t="n"/>
      <c r="E16" s="16" t="n"/>
      <c r="F16" s="16" t="n"/>
      <c r="G16" s="16" t="n"/>
      <c r="H16" s="16" t="n"/>
    </row>
    <row r="17">
      <c r="A17" s="16" t="n"/>
      <c r="B17" s="16" t="n"/>
      <c r="C17" s="16" t="n"/>
      <c r="D17" s="16" t="n"/>
      <c r="E17" s="16" t="n"/>
      <c r="F17" s="16" t="n"/>
      <c r="G17" s="16" t="n"/>
      <c r="H17" s="16" t="n"/>
    </row>
    <row r="18">
      <c r="A18" s="16" t="n"/>
      <c r="B18" s="16" t="n"/>
      <c r="C18" s="16" t="n"/>
      <c r="D18" s="16" t="n"/>
      <c r="E18" s="16" t="n"/>
      <c r="F18" s="16" t="n"/>
      <c r="G18" s="16" t="n"/>
      <c r="H18" s="16" t="n"/>
    </row>
    <row r="19">
      <c r="A19" s="16" t="n"/>
      <c r="B19" s="16" t="n"/>
      <c r="C19" s="16" t="n"/>
      <c r="D19" s="16" t="n"/>
      <c r="E19" s="16" t="n"/>
      <c r="F19" s="16" t="n"/>
      <c r="G19" s="16" t="n"/>
      <c r="H19" s="16" t="n"/>
    </row>
    <row r="20">
      <c r="A20" s="16" t="n"/>
      <c r="B20" s="16" t="n"/>
      <c r="C20" s="16" t="n"/>
      <c r="D20" s="16" t="n"/>
      <c r="E20" s="16" t="n"/>
      <c r="F20" s="16" t="n"/>
      <c r="G20" s="16" t="n"/>
      <c r="H20" s="16" t="n"/>
    </row>
    <row r="21">
      <c r="A21" s="16" t="n"/>
      <c r="B21" s="16" t="n"/>
      <c r="C21" s="16" t="n"/>
      <c r="D21" s="16" t="n"/>
      <c r="E21" s="16" t="n"/>
      <c r="F21" s="16" t="n"/>
      <c r="G21" s="16" t="n"/>
      <c r="H21" s="16" t="n"/>
    </row>
    <row r="22">
      <c r="A22" s="16" t="n"/>
      <c r="B22" s="16" t="n"/>
      <c r="C22" s="16" t="n"/>
      <c r="D22" s="16" t="n"/>
      <c r="E22" s="16" t="n"/>
      <c r="F22" s="16" t="n"/>
      <c r="G22" s="16" t="n"/>
      <c r="H22" s="16" t="n"/>
    </row>
    <row r="23">
      <c r="A23" s="16" t="n"/>
      <c r="B23" s="16" t="n"/>
      <c r="C23" s="16" t="n"/>
      <c r="D23" s="16" t="n"/>
      <c r="E23" s="16" t="n"/>
      <c r="F23" s="16" t="n"/>
      <c r="G23" s="16" t="n"/>
      <c r="H23" s="16" t="n"/>
    </row>
    <row r="24">
      <c r="A24" s="16" t="n"/>
      <c r="B24" s="16" t="n"/>
      <c r="C24" s="16" t="n"/>
      <c r="D24" s="16" t="n"/>
      <c r="E24" s="16" t="n"/>
      <c r="F24" s="16" t="n"/>
      <c r="G24" s="16" t="n"/>
      <c r="H24" s="16" t="n"/>
    </row>
    <row r="25">
      <c r="A25" s="16" t="n"/>
      <c r="B25" s="16" t="n"/>
      <c r="C25" s="16" t="n"/>
      <c r="D25" s="16" t="n"/>
      <c r="E25" s="16" t="n"/>
      <c r="F25" s="16" t="n"/>
      <c r="G25" s="16" t="n"/>
      <c r="H25" s="16" t="n"/>
    </row>
    <row r="26">
      <c r="A26" s="16" t="n"/>
      <c r="B26" s="16" t="n"/>
      <c r="C26" s="16" t="n"/>
      <c r="D26" s="16" t="n"/>
      <c r="E26" s="16" t="n"/>
      <c r="F26" s="16" t="n"/>
      <c r="G26" s="16" t="n"/>
      <c r="H26" s="16" t="n"/>
    </row>
    <row r="27">
      <c r="A27" s="16" t="n"/>
      <c r="B27" s="16" t="n"/>
      <c r="C27" s="16" t="n"/>
      <c r="D27" s="16" t="n"/>
      <c r="E27" s="16" t="n"/>
      <c r="F27" s="16" t="n"/>
      <c r="G27" s="16" t="n"/>
      <c r="H27" s="16" t="n"/>
    </row>
    <row r="28">
      <c r="A28" s="16" t="n"/>
      <c r="B28" s="16" t="n"/>
      <c r="C28" s="16" t="n"/>
      <c r="D28" s="16" t="n"/>
      <c r="E28" s="16" t="n"/>
      <c r="F28" s="16" t="n"/>
      <c r="G28" s="16" t="n"/>
      <c r="H28" s="16" t="n"/>
    </row>
    <row r="29">
      <c r="A29" s="16" t="n"/>
      <c r="B29" s="16" t="n"/>
      <c r="C29" s="16" t="n"/>
      <c r="D29" s="16" t="n"/>
      <c r="E29" s="16" t="n"/>
      <c r="F29" s="16" t="n"/>
      <c r="G29" s="16" t="n"/>
      <c r="H29" s="16" t="n"/>
    </row>
    <row r="30">
      <c r="A30" s="16" t="n"/>
      <c r="B30" s="16" t="n"/>
      <c r="C30" s="16" t="n"/>
      <c r="D30" s="16" t="n"/>
      <c r="E30" s="16" t="n"/>
      <c r="F30" s="16" t="n"/>
      <c r="G30" s="16" t="n"/>
      <c r="H30" s="16" t="n"/>
    </row>
    <row r="31">
      <c r="A31" s="16" t="n"/>
      <c r="B31" s="16" t="n"/>
      <c r="C31" s="16" t="n"/>
      <c r="D31" s="16" t="n"/>
      <c r="E31" s="16" t="n"/>
      <c r="F31" s="16" t="n"/>
      <c r="G31" s="16" t="n"/>
      <c r="H31" s="16" t="n"/>
    </row>
    <row r="32">
      <c r="A32" s="16" t="n"/>
      <c r="B32" s="16" t="n"/>
      <c r="C32" s="16" t="n"/>
      <c r="D32" s="16" t="n"/>
      <c r="E32" s="16" t="n"/>
      <c r="F32" s="16" t="n"/>
      <c r="G32" s="16" t="n"/>
      <c r="H32" s="16" t="n"/>
    </row>
    <row r="33">
      <c r="A33" s="16" t="n"/>
      <c r="B33" s="16" t="n"/>
      <c r="C33" s="16" t="n"/>
      <c r="D33" s="16" t="n"/>
      <c r="E33" s="16" t="n"/>
      <c r="F33" s="16" t="n"/>
      <c r="G33" s="16" t="n"/>
      <c r="H33" s="16" t="n"/>
    </row>
    <row r="34">
      <c r="A34" s="16" t="n"/>
      <c r="B34" s="16" t="n"/>
      <c r="C34" s="16" t="n"/>
      <c r="D34" s="16" t="n"/>
      <c r="E34" s="16" t="n"/>
      <c r="F34" s="16" t="n"/>
      <c r="G34" s="16" t="n"/>
      <c r="H34" s="16" t="n"/>
    </row>
    <row r="35">
      <c r="A35" s="16" t="n"/>
      <c r="B35" s="16" t="n"/>
      <c r="C35" s="16" t="n"/>
      <c r="D35" s="16" t="n"/>
      <c r="E35" s="16" t="n"/>
      <c r="F35" s="16" t="n"/>
      <c r="G35" s="16" t="n"/>
      <c r="H35" s="16" t="n"/>
    </row>
    <row r="36">
      <c r="A36" s="16" t="n"/>
      <c r="B36" s="16" t="n"/>
      <c r="C36" s="16" t="n"/>
      <c r="D36" s="16" t="n"/>
      <c r="E36" s="16" t="n"/>
      <c r="F36" s="16" t="n"/>
      <c r="G36" s="16" t="n"/>
      <c r="H36" s="16" t="n"/>
    </row>
    <row r="37">
      <c r="A37" s="16" t="n"/>
      <c r="B37" s="16" t="n"/>
      <c r="C37" s="16" t="n"/>
      <c r="D37" s="16" t="n"/>
      <c r="E37" s="16" t="n"/>
      <c r="F37" s="16" t="n"/>
      <c r="G37" s="16" t="n"/>
      <c r="H37" s="16" t="n"/>
    </row>
    <row r="38">
      <c r="A38" s="16" t="n"/>
      <c r="B38" s="16" t="n"/>
      <c r="C38" s="16" t="n"/>
      <c r="D38" s="16" t="n"/>
      <c r="E38" s="16" t="n"/>
      <c r="F38" s="16" t="n"/>
      <c r="G38" s="16" t="n"/>
      <c r="H38" s="16" t="n"/>
    </row>
    <row r="39">
      <c r="A39" s="16" t="n"/>
      <c r="B39" s="16" t="n"/>
      <c r="C39" s="16" t="n"/>
      <c r="D39" s="16" t="n"/>
      <c r="E39" s="16" t="n"/>
      <c r="F39" s="16" t="n"/>
      <c r="G39" s="16" t="n"/>
      <c r="H39" s="16" t="n"/>
    </row>
    <row r="40">
      <c r="A40" s="16" t="n"/>
      <c r="B40" s="16" t="n"/>
      <c r="C40" s="16" t="n"/>
      <c r="D40" s="16" t="n"/>
      <c r="E40" s="16" t="n"/>
      <c r="F40" s="16" t="n"/>
      <c r="G40" s="16" t="n"/>
      <c r="H40" s="16" t="n"/>
    </row>
    <row r="41">
      <c r="A41" s="16" t="n"/>
      <c r="B41" s="16" t="n"/>
      <c r="C41" s="16" t="n"/>
      <c r="D41" s="16" t="n"/>
      <c r="E41" s="16" t="n"/>
      <c r="F41" s="16" t="n"/>
      <c r="G41" s="16" t="n"/>
      <c r="H41" s="16" t="n"/>
    </row>
    <row r="42">
      <c r="A42" s="16" t="n"/>
      <c r="B42" s="16" t="n"/>
      <c r="C42" s="16" t="n"/>
      <c r="D42" s="16" t="n"/>
      <c r="E42" s="16" t="n"/>
      <c r="F42" s="16" t="n"/>
      <c r="G42" s="16" t="n"/>
      <c r="H42" s="16" t="n"/>
    </row>
    <row r="43">
      <c r="A43" s="16" t="n"/>
      <c r="B43" s="16" t="n"/>
      <c r="C43" s="16" t="n"/>
      <c r="D43" s="16" t="n"/>
      <c r="E43" s="16" t="n"/>
      <c r="F43" s="16" t="n"/>
      <c r="G43" s="16" t="n"/>
      <c r="H43" s="16" t="n"/>
    </row>
    <row r="44">
      <c r="A44" s="16" t="n"/>
      <c r="B44" s="16" t="n"/>
      <c r="C44" s="16" t="n"/>
      <c r="D44" s="16" t="n"/>
      <c r="E44" s="16" t="n"/>
      <c r="F44" s="16" t="n"/>
      <c r="G44" s="16" t="n"/>
      <c r="H44" s="16" t="n"/>
    </row>
    <row r="45">
      <c r="A45" s="16" t="n"/>
      <c r="B45" s="16" t="n"/>
      <c r="C45" s="16" t="n"/>
      <c r="D45" s="16" t="n"/>
      <c r="E45" s="16" t="n"/>
      <c r="F45" s="16" t="n"/>
      <c r="G45" s="16" t="n"/>
      <c r="H45" s="16" t="n"/>
    </row>
    <row r="46">
      <c r="A46" s="16" t="n"/>
      <c r="B46" s="16" t="n"/>
      <c r="C46" s="16" t="n"/>
      <c r="D46" s="16" t="n"/>
      <c r="E46" s="16" t="n"/>
      <c r="F46" s="16" t="n"/>
      <c r="G46" s="16" t="n"/>
      <c r="H46" s="16" t="n"/>
    </row>
    <row r="47">
      <c r="A47" s="16" t="n"/>
      <c r="B47" s="16" t="n"/>
      <c r="C47" s="16" t="n"/>
      <c r="D47" s="16" t="n"/>
      <c r="E47" s="16" t="n"/>
      <c r="F47" s="16" t="n"/>
      <c r="G47" s="16" t="n"/>
      <c r="H47" s="16" t="n"/>
    </row>
    <row r="48">
      <c r="A48" s="16" t="n"/>
      <c r="B48" s="16" t="n"/>
      <c r="C48" s="16" t="n"/>
      <c r="D48" s="16" t="n"/>
      <c r="E48" s="16" t="n"/>
      <c r="F48" s="16" t="n"/>
      <c r="G48" s="16" t="n"/>
      <c r="H48" s="16" t="n"/>
    </row>
    <row r="49">
      <c r="A49" s="16" t="n"/>
      <c r="B49" s="16" t="n"/>
      <c r="C49" s="16" t="n"/>
      <c r="D49" s="16" t="n"/>
      <c r="E49" s="16" t="n"/>
      <c r="F49" s="16" t="n"/>
      <c r="G49" s="16" t="n"/>
      <c r="H49" s="16" t="n"/>
    </row>
    <row r="50">
      <c r="A50" s="16" t="n"/>
      <c r="B50" s="16" t="n"/>
      <c r="C50" s="16" t="n"/>
      <c r="D50" s="16" t="n"/>
      <c r="E50" s="16" t="n"/>
      <c r="F50" s="16" t="n"/>
      <c r="G50" s="16" t="n"/>
      <c r="H50" s="16" t="n"/>
    </row>
    <row r="51">
      <c r="A51" s="16" t="n"/>
      <c r="B51" s="16" t="n"/>
      <c r="C51" s="16" t="n"/>
      <c r="D51" s="16" t="n"/>
      <c r="E51" s="16" t="n"/>
      <c r="F51" s="16" t="n"/>
      <c r="G51" s="16" t="n"/>
      <c r="H51" s="16" t="n"/>
    </row>
    <row r="52">
      <c r="A52" s="16" t="n"/>
      <c r="B52" s="16" t="n"/>
      <c r="C52" s="16" t="n"/>
      <c r="D52" s="16" t="n"/>
      <c r="E52" s="16" t="n"/>
      <c r="F52" s="16" t="n"/>
      <c r="G52" s="16" t="n"/>
      <c r="H52" s="16" t="n"/>
    </row>
    <row r="53">
      <c r="A53" s="16" t="n"/>
      <c r="B53" s="16" t="n"/>
      <c r="C53" s="16" t="n"/>
      <c r="D53" s="16" t="n"/>
      <c r="E53" s="16" t="n"/>
      <c r="F53" s="16" t="n"/>
      <c r="G53" s="16" t="n"/>
      <c r="H53" s="16" t="n"/>
    </row>
    <row r="54">
      <c r="A54" s="16" t="n"/>
      <c r="B54" s="16" t="n"/>
      <c r="C54" s="16" t="n"/>
      <c r="D54" s="16" t="n"/>
      <c r="E54" s="16" t="n"/>
      <c r="F54" s="16" t="n"/>
      <c r="G54" s="16" t="n"/>
      <c r="H54" s="16" t="n"/>
    </row>
    <row r="55">
      <c r="A55" s="16" t="n"/>
      <c r="B55" s="16" t="n"/>
      <c r="C55" s="16" t="n"/>
      <c r="D55" s="16" t="n"/>
      <c r="E55" s="16" t="n"/>
      <c r="F55" s="16" t="n"/>
      <c r="G55" s="16" t="n"/>
      <c r="H55" s="16" t="n"/>
    </row>
  </sheetData>
  <mergeCells count="2">
    <mergeCell ref="A2:H2"/>
    <mergeCell ref="A1:H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20" customWidth="1" min="3" max="3"/>
    <col width="40" customWidth="1" min="4" max="4"/>
    <col width="30" customWidth="1" min="5" max="5"/>
    <col width="14" customWidth="1" min="6" max="6"/>
    <col width="18" customWidth="1" min="7" max="7"/>
    <col width="18" customWidth="1" min="8" max="8"/>
  </cols>
  <sheetData>
    <row r="1" ht="35" customHeight="1">
      <c r="A1" s="17" t="inlineStr">
        <is>
          <t>EVIDENCE REGISTER</t>
        </is>
      </c>
    </row>
    <row r="2">
      <c r="A2" s="18" t="inlineStr">
        <is>
          <t>ISMS-IMP-A.8.2-3-5.S3 - Privileged Accounts Assessment — Evidence log for audit readiness</t>
        </is>
      </c>
    </row>
    <row r="4">
      <c r="A4" s="7" t="inlineStr">
        <is>
          <t>Evidence ID</t>
        </is>
      </c>
      <c r="B4" s="7" t="inlineStr">
        <is>
          <t>Control Ref</t>
        </is>
      </c>
      <c r="C4" s="7" t="inlineStr">
        <is>
          <t>Evidence Type</t>
        </is>
      </c>
      <c r="D4" s="7" t="inlineStr">
        <is>
          <t>Description</t>
        </is>
      </c>
      <c r="E4" s="7" t="inlineStr">
        <is>
          <t>Location / Reference</t>
        </is>
      </c>
      <c r="F4" s="7" t="inlineStr">
        <is>
          <t>Date Collected</t>
        </is>
      </c>
      <c r="G4" s="7" t="inlineStr">
        <is>
          <t>Collected By</t>
        </is>
      </c>
      <c r="H4" s="7" t="inlineStr">
        <is>
          <t>Verification Status</t>
        </is>
      </c>
    </row>
    <row r="5">
      <c r="A5" s="15" t="inlineStr">
        <is>
          <t>EV-001</t>
        </is>
      </c>
      <c r="B5" s="15" t="inlineStr">
        <is>
          <t>A.8.2</t>
        </is>
      </c>
      <c r="C5" s="15" t="inlineStr">
        <is>
          <t>Report</t>
        </is>
      </c>
      <c r="D5" s="15" t="inlineStr">
        <is>
          <t>Privileged account inventory export from PAM vault</t>
        </is>
      </c>
      <c r="E5" s="15" t="inlineStr">
        <is>
          <t>SharePoint/Evidence/A8235/</t>
        </is>
      </c>
      <c r="F5" s="15" t="inlineStr">
        <is>
          <t>01.03.2026</t>
        </is>
      </c>
      <c r="G5" s="15" t="inlineStr">
        <is>
          <t>[Name]</t>
        </is>
      </c>
      <c r="H5" s="15" t="inlineStr">
        <is>
          <t>✅ Verified</t>
        </is>
      </c>
    </row>
    <row r="6">
      <c r="A6" s="16" t="n"/>
      <c r="B6" s="16" t="n"/>
      <c r="C6" s="16" t="n"/>
      <c r="D6" s="16" t="n"/>
      <c r="E6" s="16" t="n"/>
      <c r="F6" s="16" t="n"/>
      <c r="G6" s="16" t="n"/>
      <c r="H6" s="16" t="n"/>
    </row>
    <row r="7">
      <c r="A7" s="16" t="n"/>
      <c r="B7" s="16" t="n"/>
      <c r="C7" s="16" t="n"/>
      <c r="D7" s="16" t="n"/>
      <c r="E7" s="16" t="n"/>
      <c r="F7" s="16" t="n"/>
      <c r="G7" s="16" t="n"/>
      <c r="H7" s="16" t="n"/>
    </row>
    <row r="8">
      <c r="A8" s="16" t="n"/>
      <c r="B8" s="16" t="n"/>
      <c r="C8" s="16" t="n"/>
      <c r="D8" s="16" t="n"/>
      <c r="E8" s="16" t="n"/>
      <c r="F8" s="16" t="n"/>
      <c r="G8" s="16" t="n"/>
      <c r="H8" s="16" t="n"/>
    </row>
    <row r="9">
      <c r="A9" s="16" t="n"/>
      <c r="B9" s="16" t="n"/>
      <c r="C9" s="16" t="n"/>
      <c r="D9" s="16" t="n"/>
      <c r="E9" s="16" t="n"/>
      <c r="F9" s="16" t="n"/>
      <c r="G9" s="16" t="n"/>
      <c r="H9" s="16" t="n"/>
    </row>
    <row r="10">
      <c r="A10" s="16" t="n"/>
      <c r="B10" s="16" t="n"/>
      <c r="C10" s="16" t="n"/>
      <c r="D10" s="16" t="n"/>
      <c r="E10" s="16" t="n"/>
      <c r="F10" s="16" t="n"/>
      <c r="G10" s="16" t="n"/>
      <c r="H10" s="16" t="n"/>
    </row>
    <row r="11">
      <c r="A11" s="16" t="n"/>
      <c r="B11" s="16" t="n"/>
      <c r="C11" s="16" t="n"/>
      <c r="D11" s="16" t="n"/>
      <c r="E11" s="16" t="n"/>
      <c r="F11" s="16" t="n"/>
      <c r="G11" s="16" t="n"/>
      <c r="H11" s="16" t="n"/>
    </row>
    <row r="12">
      <c r="A12" s="16" t="n"/>
      <c r="B12" s="16" t="n"/>
      <c r="C12" s="16" t="n"/>
      <c r="D12" s="16" t="n"/>
      <c r="E12" s="16" t="n"/>
      <c r="F12" s="16" t="n"/>
      <c r="G12" s="16" t="n"/>
      <c r="H12" s="16" t="n"/>
    </row>
    <row r="13">
      <c r="A13" s="16" t="n"/>
      <c r="B13" s="16" t="n"/>
      <c r="C13" s="16" t="n"/>
      <c r="D13" s="16" t="n"/>
      <c r="E13" s="16" t="n"/>
      <c r="F13" s="16" t="n"/>
      <c r="G13" s="16" t="n"/>
      <c r="H13" s="16" t="n"/>
    </row>
    <row r="14">
      <c r="A14" s="16" t="n"/>
      <c r="B14" s="16" t="n"/>
      <c r="C14" s="16" t="n"/>
      <c r="D14" s="16" t="n"/>
      <c r="E14" s="16" t="n"/>
      <c r="F14" s="16" t="n"/>
      <c r="G14" s="16" t="n"/>
      <c r="H14" s="16" t="n"/>
    </row>
    <row r="15">
      <c r="A15" s="16" t="n"/>
      <c r="B15" s="16" t="n"/>
      <c r="C15" s="16" t="n"/>
      <c r="D15" s="16" t="n"/>
      <c r="E15" s="16" t="n"/>
      <c r="F15" s="16" t="n"/>
      <c r="G15" s="16" t="n"/>
      <c r="H15" s="16" t="n"/>
    </row>
    <row r="16">
      <c r="A16" s="16" t="n"/>
      <c r="B16" s="16" t="n"/>
      <c r="C16" s="16" t="n"/>
      <c r="D16" s="16" t="n"/>
      <c r="E16" s="16" t="n"/>
      <c r="F16" s="16" t="n"/>
      <c r="G16" s="16" t="n"/>
      <c r="H16" s="16" t="n"/>
    </row>
    <row r="17">
      <c r="A17" s="16" t="n"/>
      <c r="B17" s="16" t="n"/>
      <c r="C17" s="16" t="n"/>
      <c r="D17" s="16" t="n"/>
      <c r="E17" s="16" t="n"/>
      <c r="F17" s="16" t="n"/>
      <c r="G17" s="16" t="n"/>
      <c r="H17" s="16" t="n"/>
    </row>
    <row r="18">
      <c r="A18" s="16" t="n"/>
      <c r="B18" s="16" t="n"/>
      <c r="C18" s="16" t="n"/>
      <c r="D18" s="16" t="n"/>
      <c r="E18" s="16" t="n"/>
      <c r="F18" s="16" t="n"/>
      <c r="G18" s="16" t="n"/>
      <c r="H18" s="16" t="n"/>
    </row>
    <row r="19">
      <c r="A19" s="16" t="n"/>
      <c r="B19" s="16" t="n"/>
      <c r="C19" s="16" t="n"/>
      <c r="D19" s="16" t="n"/>
      <c r="E19" s="16" t="n"/>
      <c r="F19" s="16" t="n"/>
      <c r="G19" s="16" t="n"/>
      <c r="H19" s="16" t="n"/>
    </row>
    <row r="20">
      <c r="A20" s="16" t="n"/>
      <c r="B20" s="16" t="n"/>
      <c r="C20" s="16" t="n"/>
      <c r="D20" s="16" t="n"/>
      <c r="E20" s="16" t="n"/>
      <c r="F20" s="16" t="n"/>
      <c r="G20" s="16" t="n"/>
      <c r="H20" s="16" t="n"/>
    </row>
    <row r="21">
      <c r="A21" s="16" t="n"/>
      <c r="B21" s="16" t="n"/>
      <c r="C21" s="16" t="n"/>
      <c r="D21" s="16" t="n"/>
      <c r="E21" s="16" t="n"/>
      <c r="F21" s="16" t="n"/>
      <c r="G21" s="16" t="n"/>
      <c r="H21" s="16" t="n"/>
    </row>
    <row r="22">
      <c r="A22" s="16" t="n"/>
      <c r="B22" s="16" t="n"/>
      <c r="C22" s="16" t="n"/>
      <c r="D22" s="16" t="n"/>
      <c r="E22" s="16" t="n"/>
      <c r="F22" s="16" t="n"/>
      <c r="G22" s="16" t="n"/>
      <c r="H22" s="16" t="n"/>
    </row>
    <row r="23">
      <c r="A23" s="16" t="n"/>
      <c r="B23" s="16" t="n"/>
      <c r="C23" s="16" t="n"/>
      <c r="D23" s="16" t="n"/>
      <c r="E23" s="16" t="n"/>
      <c r="F23" s="16" t="n"/>
      <c r="G23" s="16" t="n"/>
      <c r="H23" s="16" t="n"/>
    </row>
    <row r="24">
      <c r="A24" s="16" t="n"/>
      <c r="B24" s="16" t="n"/>
      <c r="C24" s="16" t="n"/>
      <c r="D24" s="16" t="n"/>
      <c r="E24" s="16" t="n"/>
      <c r="F24" s="16" t="n"/>
      <c r="G24" s="16" t="n"/>
      <c r="H24" s="16" t="n"/>
    </row>
    <row r="25">
      <c r="A25" s="16" t="n"/>
      <c r="B25" s="16" t="n"/>
      <c r="C25" s="16" t="n"/>
      <c r="D25" s="16" t="n"/>
      <c r="E25" s="16" t="n"/>
      <c r="F25" s="16" t="n"/>
      <c r="G25" s="16" t="n"/>
      <c r="H25" s="16" t="n"/>
    </row>
    <row r="26">
      <c r="A26" s="16" t="n"/>
      <c r="B26" s="16" t="n"/>
      <c r="C26" s="16" t="n"/>
      <c r="D26" s="16" t="n"/>
      <c r="E26" s="16" t="n"/>
      <c r="F26" s="16" t="n"/>
      <c r="G26" s="16" t="n"/>
      <c r="H26" s="16" t="n"/>
    </row>
    <row r="27">
      <c r="A27" s="16" t="n"/>
      <c r="B27" s="16" t="n"/>
      <c r="C27" s="16" t="n"/>
      <c r="D27" s="16" t="n"/>
      <c r="E27" s="16" t="n"/>
      <c r="F27" s="16" t="n"/>
      <c r="G27" s="16" t="n"/>
      <c r="H27" s="16" t="n"/>
    </row>
    <row r="28">
      <c r="A28" s="16" t="n"/>
      <c r="B28" s="16" t="n"/>
      <c r="C28" s="16" t="n"/>
      <c r="D28" s="16" t="n"/>
      <c r="E28" s="16" t="n"/>
      <c r="F28" s="16" t="n"/>
      <c r="G28" s="16" t="n"/>
      <c r="H28" s="16" t="n"/>
    </row>
    <row r="29">
      <c r="A29" s="16" t="n"/>
      <c r="B29" s="16" t="n"/>
      <c r="C29" s="16" t="n"/>
      <c r="D29" s="16" t="n"/>
      <c r="E29" s="16" t="n"/>
      <c r="F29" s="16" t="n"/>
      <c r="G29" s="16" t="n"/>
      <c r="H29" s="16" t="n"/>
    </row>
    <row r="30">
      <c r="A30" s="16" t="n"/>
      <c r="B30" s="16" t="n"/>
      <c r="C30" s="16" t="n"/>
      <c r="D30" s="16" t="n"/>
      <c r="E30" s="16" t="n"/>
      <c r="F30" s="16" t="n"/>
      <c r="G30" s="16" t="n"/>
      <c r="H30" s="16" t="n"/>
    </row>
    <row r="31">
      <c r="A31" s="16" t="n"/>
      <c r="B31" s="16" t="n"/>
      <c r="C31" s="16" t="n"/>
      <c r="D31" s="16" t="n"/>
      <c r="E31" s="16" t="n"/>
      <c r="F31" s="16" t="n"/>
      <c r="G31" s="16" t="n"/>
      <c r="H31" s="16" t="n"/>
    </row>
    <row r="32">
      <c r="A32" s="16" t="n"/>
      <c r="B32" s="16" t="n"/>
      <c r="C32" s="16" t="n"/>
      <c r="D32" s="16" t="n"/>
      <c r="E32" s="16" t="n"/>
      <c r="F32" s="16" t="n"/>
      <c r="G32" s="16" t="n"/>
      <c r="H32" s="16" t="n"/>
    </row>
    <row r="33">
      <c r="A33" s="16" t="n"/>
      <c r="B33" s="16" t="n"/>
      <c r="C33" s="16" t="n"/>
      <c r="D33" s="16" t="n"/>
      <c r="E33" s="16" t="n"/>
      <c r="F33" s="16" t="n"/>
      <c r="G33" s="16" t="n"/>
      <c r="H33" s="16" t="n"/>
    </row>
    <row r="34">
      <c r="A34" s="16" t="n"/>
      <c r="B34" s="16" t="n"/>
      <c r="C34" s="16" t="n"/>
      <c r="D34" s="16" t="n"/>
      <c r="E34" s="16" t="n"/>
      <c r="F34" s="16" t="n"/>
      <c r="G34" s="16" t="n"/>
      <c r="H34" s="16" t="n"/>
    </row>
    <row r="35">
      <c r="A35" s="16" t="n"/>
      <c r="B35" s="16" t="n"/>
      <c r="C35" s="16" t="n"/>
      <c r="D35" s="16" t="n"/>
      <c r="E35" s="16" t="n"/>
      <c r="F35" s="16" t="n"/>
      <c r="G35" s="16" t="n"/>
      <c r="H35" s="16" t="n"/>
    </row>
    <row r="36">
      <c r="A36" s="16" t="n"/>
      <c r="B36" s="16" t="n"/>
      <c r="C36" s="16" t="n"/>
      <c r="D36" s="16" t="n"/>
      <c r="E36" s="16" t="n"/>
      <c r="F36" s="16" t="n"/>
      <c r="G36" s="16" t="n"/>
      <c r="H36" s="16" t="n"/>
    </row>
    <row r="37">
      <c r="A37" s="16" t="n"/>
      <c r="B37" s="16" t="n"/>
      <c r="C37" s="16" t="n"/>
      <c r="D37" s="16" t="n"/>
      <c r="E37" s="16" t="n"/>
      <c r="F37" s="16" t="n"/>
      <c r="G37" s="16" t="n"/>
      <c r="H37" s="16" t="n"/>
    </row>
    <row r="38">
      <c r="A38" s="16" t="n"/>
      <c r="B38" s="16" t="n"/>
      <c r="C38" s="16" t="n"/>
      <c r="D38" s="16" t="n"/>
      <c r="E38" s="16" t="n"/>
      <c r="F38" s="16" t="n"/>
      <c r="G38" s="16" t="n"/>
      <c r="H38" s="16" t="n"/>
    </row>
    <row r="39">
      <c r="A39" s="16" t="n"/>
      <c r="B39" s="16" t="n"/>
      <c r="C39" s="16" t="n"/>
      <c r="D39" s="16" t="n"/>
      <c r="E39" s="16" t="n"/>
      <c r="F39" s="16" t="n"/>
      <c r="G39" s="16" t="n"/>
      <c r="H39" s="16" t="n"/>
    </row>
    <row r="40">
      <c r="A40" s="16" t="n"/>
      <c r="B40" s="16" t="n"/>
      <c r="C40" s="16" t="n"/>
      <c r="D40" s="16" t="n"/>
      <c r="E40" s="16" t="n"/>
      <c r="F40" s="16" t="n"/>
      <c r="G40" s="16" t="n"/>
      <c r="H40" s="16" t="n"/>
    </row>
    <row r="41">
      <c r="A41" s="16" t="n"/>
      <c r="B41" s="16" t="n"/>
      <c r="C41" s="16" t="n"/>
      <c r="D41" s="16" t="n"/>
      <c r="E41" s="16" t="n"/>
      <c r="F41" s="16" t="n"/>
      <c r="G41" s="16" t="n"/>
      <c r="H41" s="16" t="n"/>
    </row>
    <row r="42">
      <c r="A42" s="16" t="n"/>
      <c r="B42" s="16" t="n"/>
      <c r="C42" s="16" t="n"/>
      <c r="D42" s="16" t="n"/>
      <c r="E42" s="16" t="n"/>
      <c r="F42" s="16" t="n"/>
      <c r="G42" s="16" t="n"/>
      <c r="H42" s="16" t="n"/>
    </row>
    <row r="43">
      <c r="A43" s="16" t="n"/>
      <c r="B43" s="16" t="n"/>
      <c r="C43" s="16" t="n"/>
      <c r="D43" s="16" t="n"/>
      <c r="E43" s="16" t="n"/>
      <c r="F43" s="16" t="n"/>
      <c r="G43" s="16" t="n"/>
      <c r="H43" s="16" t="n"/>
    </row>
    <row r="44">
      <c r="A44" s="16" t="n"/>
      <c r="B44" s="16" t="n"/>
      <c r="C44" s="16" t="n"/>
      <c r="D44" s="16" t="n"/>
      <c r="E44" s="16" t="n"/>
      <c r="F44" s="16" t="n"/>
      <c r="G44" s="16" t="n"/>
      <c r="H44" s="16" t="n"/>
    </row>
    <row r="45">
      <c r="A45" s="16" t="n"/>
      <c r="B45" s="16" t="n"/>
      <c r="C45" s="16" t="n"/>
      <c r="D45" s="16" t="n"/>
      <c r="E45" s="16" t="n"/>
      <c r="F45" s="16" t="n"/>
      <c r="G45" s="16" t="n"/>
      <c r="H45" s="16" t="n"/>
    </row>
    <row r="46">
      <c r="A46" s="16" t="n"/>
      <c r="B46" s="16" t="n"/>
      <c r="C46" s="16" t="n"/>
      <c r="D46" s="16" t="n"/>
      <c r="E46" s="16" t="n"/>
      <c r="F46" s="16" t="n"/>
      <c r="G46" s="16" t="n"/>
      <c r="H46" s="16" t="n"/>
    </row>
    <row r="47">
      <c r="A47" s="16" t="n"/>
      <c r="B47" s="16" t="n"/>
      <c r="C47" s="16" t="n"/>
      <c r="D47" s="16" t="n"/>
      <c r="E47" s="16" t="n"/>
      <c r="F47" s="16" t="n"/>
      <c r="G47" s="16" t="n"/>
      <c r="H47" s="16" t="n"/>
    </row>
    <row r="48">
      <c r="A48" s="16" t="n"/>
      <c r="B48" s="16" t="n"/>
      <c r="C48" s="16" t="n"/>
      <c r="D48" s="16" t="n"/>
      <c r="E48" s="16" t="n"/>
      <c r="F48" s="16" t="n"/>
      <c r="G48" s="16" t="n"/>
      <c r="H48" s="16" t="n"/>
    </row>
    <row r="49">
      <c r="A49" s="16" t="n"/>
      <c r="B49" s="16" t="n"/>
      <c r="C49" s="16" t="n"/>
      <c r="D49" s="16" t="n"/>
      <c r="E49" s="16" t="n"/>
      <c r="F49" s="16" t="n"/>
      <c r="G49" s="16" t="n"/>
      <c r="H49" s="16" t="n"/>
    </row>
    <row r="50">
      <c r="A50" s="16" t="n"/>
      <c r="B50" s="16" t="n"/>
      <c r="C50" s="16" t="n"/>
      <c r="D50" s="16" t="n"/>
      <c r="E50" s="16" t="n"/>
      <c r="F50" s="16" t="n"/>
      <c r="G50" s="16" t="n"/>
      <c r="H50" s="16" t="n"/>
    </row>
    <row r="51">
      <c r="A51" s="16" t="n"/>
      <c r="B51" s="16" t="n"/>
      <c r="C51" s="16" t="n"/>
      <c r="D51" s="16" t="n"/>
      <c r="E51" s="16" t="n"/>
      <c r="F51" s="16" t="n"/>
      <c r="G51" s="16" t="n"/>
      <c r="H51" s="16" t="n"/>
    </row>
    <row r="52">
      <c r="A52" s="16" t="n"/>
      <c r="B52" s="16" t="n"/>
      <c r="C52" s="16" t="n"/>
      <c r="D52" s="16" t="n"/>
      <c r="E52" s="16" t="n"/>
      <c r="F52" s="16" t="n"/>
      <c r="G52" s="16" t="n"/>
      <c r="H52" s="16" t="n"/>
    </row>
    <row r="53">
      <c r="A53" s="16" t="n"/>
      <c r="B53" s="16" t="n"/>
      <c r="C53" s="16" t="n"/>
      <c r="D53" s="16" t="n"/>
      <c r="E53" s="16" t="n"/>
      <c r="F53" s="16" t="n"/>
      <c r="G53" s="16" t="n"/>
      <c r="H53" s="16" t="n"/>
    </row>
    <row r="54">
      <c r="A54" s="16" t="n"/>
      <c r="B54" s="16" t="n"/>
      <c r="C54" s="16" t="n"/>
      <c r="D54" s="16" t="n"/>
      <c r="E54" s="16" t="n"/>
      <c r="F54" s="16" t="n"/>
      <c r="G54" s="16" t="n"/>
      <c r="H54" s="16" t="n"/>
    </row>
    <row r="55">
      <c r="A55" s="16" t="n"/>
      <c r="B55" s="16" t="n"/>
      <c r="C55" s="16" t="n"/>
      <c r="D55" s="16" t="n"/>
      <c r="E55" s="16" t="n"/>
      <c r="F55" s="16" t="n"/>
      <c r="G55" s="16" t="n"/>
      <c r="H55" s="16" t="n"/>
    </row>
    <row r="56">
      <c r="A56" s="16" t="n"/>
      <c r="B56" s="16" t="n"/>
      <c r="C56" s="16" t="n"/>
      <c r="D56" s="16" t="n"/>
      <c r="E56" s="16" t="n"/>
      <c r="F56" s="16" t="n"/>
      <c r="G56" s="16" t="n"/>
      <c r="H56" s="16" t="n"/>
    </row>
    <row r="57">
      <c r="A57" s="16" t="n"/>
      <c r="B57" s="16" t="n"/>
      <c r="C57" s="16" t="n"/>
      <c r="D57" s="16" t="n"/>
      <c r="E57" s="16" t="n"/>
      <c r="F57" s="16" t="n"/>
      <c r="G57" s="16" t="n"/>
      <c r="H57" s="16" t="n"/>
    </row>
    <row r="58">
      <c r="A58" s="16" t="n"/>
      <c r="B58" s="16" t="n"/>
      <c r="C58" s="16" t="n"/>
      <c r="D58" s="16" t="n"/>
      <c r="E58" s="16" t="n"/>
      <c r="F58" s="16" t="n"/>
      <c r="G58" s="16" t="n"/>
      <c r="H58" s="16" t="n"/>
    </row>
    <row r="59">
      <c r="A59" s="16" t="n"/>
      <c r="B59" s="16" t="n"/>
      <c r="C59" s="16" t="n"/>
      <c r="D59" s="16" t="n"/>
      <c r="E59" s="16" t="n"/>
      <c r="F59" s="16" t="n"/>
      <c r="G59" s="16" t="n"/>
      <c r="H59" s="16" t="n"/>
    </row>
    <row r="60">
      <c r="A60" s="16" t="n"/>
      <c r="B60" s="16" t="n"/>
      <c r="C60" s="16" t="n"/>
      <c r="D60" s="16" t="n"/>
      <c r="E60" s="16" t="n"/>
      <c r="F60" s="16" t="n"/>
      <c r="G60" s="16" t="n"/>
      <c r="H60" s="16" t="n"/>
    </row>
    <row r="61">
      <c r="A61" s="16" t="n"/>
      <c r="B61" s="16" t="n"/>
      <c r="C61" s="16" t="n"/>
      <c r="D61" s="16" t="n"/>
      <c r="E61" s="16" t="n"/>
      <c r="F61" s="16" t="n"/>
      <c r="G61" s="16" t="n"/>
      <c r="H61" s="16" t="n"/>
    </row>
    <row r="62">
      <c r="A62" s="16" t="n"/>
      <c r="B62" s="16" t="n"/>
      <c r="C62" s="16" t="n"/>
      <c r="D62" s="16" t="n"/>
      <c r="E62" s="16" t="n"/>
      <c r="F62" s="16" t="n"/>
      <c r="G62" s="16" t="n"/>
      <c r="H62" s="16" t="n"/>
    </row>
    <row r="63">
      <c r="A63" s="16" t="n"/>
      <c r="B63" s="16" t="n"/>
      <c r="C63" s="16" t="n"/>
      <c r="D63" s="16" t="n"/>
      <c r="E63" s="16" t="n"/>
      <c r="F63" s="16" t="n"/>
      <c r="G63" s="16" t="n"/>
      <c r="H63" s="16" t="n"/>
    </row>
    <row r="64">
      <c r="A64" s="16" t="n"/>
      <c r="B64" s="16" t="n"/>
      <c r="C64" s="16" t="n"/>
      <c r="D64" s="16" t="n"/>
      <c r="E64" s="16" t="n"/>
      <c r="F64" s="16" t="n"/>
      <c r="G64" s="16" t="n"/>
      <c r="H64" s="16" t="n"/>
    </row>
    <row r="65">
      <c r="A65" s="16" t="n"/>
      <c r="B65" s="16" t="n"/>
      <c r="C65" s="16" t="n"/>
      <c r="D65" s="16" t="n"/>
      <c r="E65" s="16" t="n"/>
      <c r="F65" s="16" t="n"/>
      <c r="G65" s="16" t="n"/>
      <c r="H65" s="16" t="n"/>
    </row>
    <row r="66">
      <c r="A66" s="16" t="n"/>
      <c r="B66" s="16" t="n"/>
      <c r="C66" s="16" t="n"/>
      <c r="D66" s="16" t="n"/>
      <c r="E66" s="16" t="n"/>
      <c r="F66" s="16" t="n"/>
      <c r="G66" s="16" t="n"/>
      <c r="H66" s="16" t="n"/>
    </row>
    <row r="67">
      <c r="A67" s="16" t="n"/>
      <c r="B67" s="16" t="n"/>
      <c r="C67" s="16" t="n"/>
      <c r="D67" s="16" t="n"/>
      <c r="E67" s="16" t="n"/>
      <c r="F67" s="16" t="n"/>
      <c r="G67" s="16" t="n"/>
      <c r="H67" s="16" t="n"/>
    </row>
    <row r="68">
      <c r="A68" s="16" t="n"/>
      <c r="B68" s="16" t="n"/>
      <c r="C68" s="16" t="n"/>
      <c r="D68" s="16" t="n"/>
      <c r="E68" s="16" t="n"/>
      <c r="F68" s="16" t="n"/>
      <c r="G68" s="16" t="n"/>
      <c r="H68" s="16" t="n"/>
    </row>
    <row r="69">
      <c r="A69" s="16" t="n"/>
      <c r="B69" s="16" t="n"/>
      <c r="C69" s="16" t="n"/>
      <c r="D69" s="16" t="n"/>
      <c r="E69" s="16" t="n"/>
      <c r="F69" s="16" t="n"/>
      <c r="G69" s="16" t="n"/>
      <c r="H69" s="16" t="n"/>
    </row>
    <row r="70">
      <c r="A70" s="16" t="n"/>
      <c r="B70" s="16" t="n"/>
      <c r="C70" s="16" t="n"/>
      <c r="D70" s="16" t="n"/>
      <c r="E70" s="16" t="n"/>
      <c r="F70" s="16" t="n"/>
      <c r="G70" s="16" t="n"/>
      <c r="H70" s="16" t="n"/>
    </row>
    <row r="71">
      <c r="A71" s="16" t="n"/>
      <c r="B71" s="16" t="n"/>
      <c r="C71" s="16" t="n"/>
      <c r="D71" s="16" t="n"/>
      <c r="E71" s="16" t="n"/>
      <c r="F71" s="16" t="n"/>
      <c r="G71" s="16" t="n"/>
      <c r="H71" s="16" t="n"/>
    </row>
    <row r="72">
      <c r="A72" s="16" t="n"/>
      <c r="B72" s="16" t="n"/>
      <c r="C72" s="16" t="n"/>
      <c r="D72" s="16" t="n"/>
      <c r="E72" s="16" t="n"/>
      <c r="F72" s="16" t="n"/>
      <c r="G72" s="16" t="n"/>
      <c r="H72" s="16" t="n"/>
    </row>
    <row r="73">
      <c r="A73" s="16" t="n"/>
      <c r="B73" s="16" t="n"/>
      <c r="C73" s="16" t="n"/>
      <c r="D73" s="16" t="n"/>
      <c r="E73" s="16" t="n"/>
      <c r="F73" s="16" t="n"/>
      <c r="G73" s="16" t="n"/>
      <c r="H73" s="16" t="n"/>
    </row>
    <row r="74">
      <c r="A74" s="16" t="n"/>
      <c r="B74" s="16" t="n"/>
      <c r="C74" s="16" t="n"/>
      <c r="D74" s="16" t="n"/>
      <c r="E74" s="16" t="n"/>
      <c r="F74" s="16" t="n"/>
      <c r="G74" s="16" t="n"/>
      <c r="H74" s="16" t="n"/>
    </row>
    <row r="75">
      <c r="A75" s="16" t="n"/>
      <c r="B75" s="16" t="n"/>
      <c r="C75" s="16" t="n"/>
      <c r="D75" s="16" t="n"/>
      <c r="E75" s="16" t="n"/>
      <c r="F75" s="16" t="n"/>
      <c r="G75" s="16" t="n"/>
      <c r="H75" s="16" t="n"/>
    </row>
    <row r="76">
      <c r="A76" s="16" t="n"/>
      <c r="B76" s="16" t="n"/>
      <c r="C76" s="16" t="n"/>
      <c r="D76" s="16" t="n"/>
      <c r="E76" s="16" t="n"/>
      <c r="F76" s="16" t="n"/>
      <c r="G76" s="16" t="n"/>
      <c r="H76" s="16" t="n"/>
    </row>
    <row r="77">
      <c r="A77" s="16" t="n"/>
      <c r="B77" s="16" t="n"/>
      <c r="C77" s="16" t="n"/>
      <c r="D77" s="16" t="n"/>
      <c r="E77" s="16" t="n"/>
      <c r="F77" s="16" t="n"/>
      <c r="G77" s="16" t="n"/>
      <c r="H77" s="16" t="n"/>
    </row>
    <row r="78">
      <c r="A78" s="16" t="n"/>
      <c r="B78" s="16" t="n"/>
      <c r="C78" s="16" t="n"/>
      <c r="D78" s="16" t="n"/>
      <c r="E78" s="16" t="n"/>
      <c r="F78" s="16" t="n"/>
      <c r="G78" s="16" t="n"/>
      <c r="H78" s="16" t="n"/>
    </row>
    <row r="79">
      <c r="A79" s="16" t="n"/>
      <c r="B79" s="16" t="n"/>
      <c r="C79" s="16" t="n"/>
      <c r="D79" s="16" t="n"/>
      <c r="E79" s="16" t="n"/>
      <c r="F79" s="16" t="n"/>
      <c r="G79" s="16" t="n"/>
      <c r="H79" s="16" t="n"/>
    </row>
    <row r="80">
      <c r="A80" s="16" t="n"/>
      <c r="B80" s="16" t="n"/>
      <c r="C80" s="16" t="n"/>
      <c r="D80" s="16" t="n"/>
      <c r="E80" s="16" t="n"/>
      <c r="F80" s="16" t="n"/>
      <c r="G80" s="16" t="n"/>
      <c r="H80" s="16" t="n"/>
    </row>
    <row r="81">
      <c r="A81" s="16" t="n"/>
      <c r="B81" s="16" t="n"/>
      <c r="C81" s="16" t="n"/>
      <c r="D81" s="16" t="n"/>
      <c r="E81" s="16" t="n"/>
      <c r="F81" s="16" t="n"/>
      <c r="G81" s="16" t="n"/>
      <c r="H81" s="16" t="n"/>
    </row>
    <row r="82">
      <c r="A82" s="16" t="n"/>
      <c r="B82" s="16" t="n"/>
      <c r="C82" s="16" t="n"/>
      <c r="D82" s="16" t="n"/>
      <c r="E82" s="16" t="n"/>
      <c r="F82" s="16" t="n"/>
      <c r="G82" s="16" t="n"/>
      <c r="H82" s="16" t="n"/>
    </row>
    <row r="83">
      <c r="A83" s="16" t="n"/>
      <c r="B83" s="16" t="n"/>
      <c r="C83" s="16" t="n"/>
      <c r="D83" s="16" t="n"/>
      <c r="E83" s="16" t="n"/>
      <c r="F83" s="16" t="n"/>
      <c r="G83" s="16" t="n"/>
      <c r="H83" s="16" t="n"/>
    </row>
    <row r="84">
      <c r="A84" s="16" t="n"/>
      <c r="B84" s="16" t="n"/>
      <c r="C84" s="16" t="n"/>
      <c r="D84" s="16" t="n"/>
      <c r="E84" s="16" t="n"/>
      <c r="F84" s="16" t="n"/>
      <c r="G84" s="16" t="n"/>
      <c r="H84" s="16" t="n"/>
    </row>
    <row r="85">
      <c r="A85" s="16" t="n"/>
      <c r="B85" s="16" t="n"/>
      <c r="C85" s="16" t="n"/>
      <c r="D85" s="16" t="n"/>
      <c r="E85" s="16" t="n"/>
      <c r="F85" s="16" t="n"/>
      <c r="G85" s="16" t="n"/>
      <c r="H85" s="16" t="n"/>
    </row>
    <row r="86">
      <c r="A86" s="16" t="n"/>
      <c r="B86" s="16" t="n"/>
      <c r="C86" s="16" t="n"/>
      <c r="D86" s="16" t="n"/>
      <c r="E86" s="16" t="n"/>
      <c r="F86" s="16" t="n"/>
      <c r="G86" s="16" t="n"/>
      <c r="H86" s="16" t="n"/>
    </row>
    <row r="87">
      <c r="A87" s="16" t="n"/>
      <c r="B87" s="16" t="n"/>
      <c r="C87" s="16" t="n"/>
      <c r="D87" s="16" t="n"/>
      <c r="E87" s="16" t="n"/>
      <c r="F87" s="16" t="n"/>
      <c r="G87" s="16" t="n"/>
      <c r="H87" s="16" t="n"/>
    </row>
    <row r="88">
      <c r="A88" s="16" t="n"/>
      <c r="B88" s="16" t="n"/>
      <c r="C88" s="16" t="n"/>
      <c r="D88" s="16" t="n"/>
      <c r="E88" s="16" t="n"/>
      <c r="F88" s="16" t="n"/>
      <c r="G88" s="16" t="n"/>
      <c r="H88" s="16" t="n"/>
    </row>
    <row r="89">
      <c r="A89" s="16" t="n"/>
      <c r="B89" s="16" t="n"/>
      <c r="C89" s="16" t="n"/>
      <c r="D89" s="16" t="n"/>
      <c r="E89" s="16" t="n"/>
      <c r="F89" s="16" t="n"/>
      <c r="G89" s="16" t="n"/>
      <c r="H89" s="16" t="n"/>
    </row>
    <row r="90">
      <c r="A90" s="16" t="n"/>
      <c r="B90" s="16" t="n"/>
      <c r="C90" s="16" t="n"/>
      <c r="D90" s="16" t="n"/>
      <c r="E90" s="16" t="n"/>
      <c r="F90" s="16" t="n"/>
      <c r="G90" s="16" t="n"/>
      <c r="H90" s="16" t="n"/>
    </row>
    <row r="91">
      <c r="A91" s="16" t="n"/>
      <c r="B91" s="16" t="n"/>
      <c r="C91" s="16" t="n"/>
      <c r="D91" s="16" t="n"/>
      <c r="E91" s="16" t="n"/>
      <c r="F91" s="16" t="n"/>
      <c r="G91" s="16" t="n"/>
      <c r="H91" s="16" t="n"/>
    </row>
    <row r="92">
      <c r="A92" s="16" t="n"/>
      <c r="B92" s="16" t="n"/>
      <c r="C92" s="16" t="n"/>
      <c r="D92" s="16" t="n"/>
      <c r="E92" s="16" t="n"/>
      <c r="F92" s="16" t="n"/>
      <c r="G92" s="16" t="n"/>
      <c r="H92" s="16" t="n"/>
    </row>
    <row r="93">
      <c r="A93" s="16" t="n"/>
      <c r="B93" s="16" t="n"/>
      <c r="C93" s="16" t="n"/>
      <c r="D93" s="16" t="n"/>
      <c r="E93" s="16" t="n"/>
      <c r="F93" s="16" t="n"/>
      <c r="G93" s="16" t="n"/>
      <c r="H93" s="16" t="n"/>
    </row>
    <row r="94">
      <c r="A94" s="16" t="n"/>
      <c r="B94" s="16" t="n"/>
      <c r="C94" s="16" t="n"/>
      <c r="D94" s="16" t="n"/>
      <c r="E94" s="16" t="n"/>
      <c r="F94" s="16" t="n"/>
      <c r="G94" s="16" t="n"/>
      <c r="H94" s="16" t="n"/>
    </row>
    <row r="95">
      <c r="A95" s="16" t="n"/>
      <c r="B95" s="16" t="n"/>
      <c r="C95" s="16" t="n"/>
      <c r="D95" s="16" t="n"/>
      <c r="E95" s="16" t="n"/>
      <c r="F95" s="16" t="n"/>
      <c r="G95" s="16" t="n"/>
      <c r="H95" s="16" t="n"/>
    </row>
    <row r="96">
      <c r="A96" s="16" t="n"/>
      <c r="B96" s="16" t="n"/>
      <c r="C96" s="16" t="n"/>
      <c r="D96" s="16" t="n"/>
      <c r="E96" s="16" t="n"/>
      <c r="F96" s="16" t="n"/>
      <c r="G96" s="16" t="n"/>
      <c r="H96" s="16" t="n"/>
    </row>
    <row r="97">
      <c r="A97" s="16" t="n"/>
      <c r="B97" s="16" t="n"/>
      <c r="C97" s="16" t="n"/>
      <c r="D97" s="16" t="n"/>
      <c r="E97" s="16" t="n"/>
      <c r="F97" s="16" t="n"/>
      <c r="G97" s="16" t="n"/>
      <c r="H97" s="16" t="n"/>
    </row>
    <row r="98">
      <c r="A98" s="16" t="n"/>
      <c r="B98" s="16" t="n"/>
      <c r="C98" s="16" t="n"/>
      <c r="D98" s="16" t="n"/>
      <c r="E98" s="16" t="n"/>
      <c r="F98" s="16" t="n"/>
      <c r="G98" s="16" t="n"/>
      <c r="H98" s="16" t="n"/>
    </row>
    <row r="99">
      <c r="A99" s="16" t="n"/>
      <c r="B99" s="16" t="n"/>
      <c r="C99" s="16" t="n"/>
      <c r="D99" s="16" t="n"/>
      <c r="E99" s="16" t="n"/>
      <c r="F99" s="16" t="n"/>
      <c r="G99" s="16" t="n"/>
      <c r="H99" s="16" t="n"/>
    </row>
    <row r="100">
      <c r="A100" s="16" t="n"/>
      <c r="B100" s="16" t="n"/>
      <c r="C100" s="16" t="n"/>
      <c r="D100" s="16" t="n"/>
      <c r="E100" s="16" t="n"/>
      <c r="F100" s="16" t="n"/>
      <c r="G100" s="16" t="n"/>
      <c r="H100" s="16" t="n"/>
    </row>
    <row r="101">
      <c r="A101" s="16" t="n"/>
      <c r="B101" s="16" t="n"/>
      <c r="C101" s="16" t="n"/>
      <c r="D101" s="16" t="n"/>
      <c r="E101" s="16" t="n"/>
      <c r="F101" s="16" t="n"/>
      <c r="G101" s="16" t="n"/>
      <c r="H101" s="16" t="n"/>
    </row>
    <row r="102">
      <c r="A102" s="16" t="n"/>
      <c r="B102" s="16" t="n"/>
      <c r="C102" s="16" t="n"/>
      <c r="D102" s="16" t="n"/>
      <c r="E102" s="16" t="n"/>
      <c r="F102" s="16" t="n"/>
      <c r="G102" s="16" t="n"/>
      <c r="H102" s="16" t="n"/>
    </row>
    <row r="103">
      <c r="A103" s="16" t="n"/>
      <c r="B103" s="16" t="n"/>
      <c r="C103" s="16" t="n"/>
      <c r="D103" s="16" t="n"/>
      <c r="E103" s="16" t="n"/>
      <c r="F103" s="16" t="n"/>
      <c r="G103" s="16" t="n"/>
      <c r="H103" s="16" t="n"/>
    </row>
    <row r="104">
      <c r="A104" s="16" t="n"/>
      <c r="B104" s="16" t="n"/>
      <c r="C104" s="16" t="n"/>
      <c r="D104" s="16" t="n"/>
      <c r="E104" s="16" t="n"/>
      <c r="F104" s="16" t="n"/>
      <c r="G104" s="16" t="n"/>
      <c r="H104" s="16" t="n"/>
    </row>
    <row r="105">
      <c r="A105" s="16" t="n"/>
      <c r="B105" s="16" t="n"/>
      <c r="C105" s="16" t="n"/>
      <c r="D105" s="16" t="n"/>
      <c r="E105" s="16" t="n"/>
      <c r="F105" s="16" t="n"/>
      <c r="G105" s="16" t="n"/>
      <c r="H105" s="16" t="n"/>
    </row>
  </sheetData>
  <mergeCells count="2">
    <mergeCell ref="A2:H2"/>
    <mergeCell ref="A1:H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41"/>
  <sheetViews>
    <sheetView workbookViewId="0">
      <pane ySplit="2" topLeftCell="A3" activePane="bottomLeft" state="frozen"/>
      <selection pane="bottomLeft" activeCell="A1" sqref="A1"/>
    </sheetView>
  </sheetViews>
  <sheetFormatPr baseColWidth="8" defaultRowHeight="15"/>
  <cols>
    <col width="40" customWidth="1" min="1" max="1"/>
    <col width="18" customWidth="1" min="2" max="2"/>
    <col width="15" customWidth="1" min="3" max="3"/>
    <col width="15" customWidth="1" min="4" max="4"/>
    <col width="18" customWidth="1" min="5" max="5"/>
    <col width="15" customWidth="1" min="6" max="6"/>
    <col width="12" customWidth="1" min="7" max="7"/>
  </cols>
  <sheetData>
    <row r="1" ht="35" customHeight="1">
      <c r="A1" s="1" t="inlineStr">
        <is>
          <t>PRIVILEGED ACCOUNTS — SUMMARY DASHBOARD</t>
        </is>
      </c>
    </row>
    <row r="2">
      <c r="A2" s="19" t="inlineStr">
        <is>
          <t>Privileged account inventory, PAM vault coverage, MFA enrolment, and credential rotation compliance</t>
        </is>
      </c>
    </row>
    <row r="3">
      <c r="A3" s="20" t="inlineStr">
        <is>
          <t>TABLE 1 — ASSESSMENT AREA COMPLIANCE</t>
        </is>
      </c>
      <c r="B3" s="21" t="n"/>
      <c r="C3" s="21" t="n"/>
      <c r="D3" s="21" t="n"/>
      <c r="E3" s="21" t="n"/>
      <c r="F3" s="21" t="n"/>
      <c r="G3" s="21" t="n"/>
    </row>
    <row r="4">
      <c r="A4" s="22" t="inlineStr">
        <is>
          <t>Assessment Area</t>
        </is>
      </c>
      <c r="B4" s="22" t="inlineStr">
        <is>
          <t>Total Items</t>
        </is>
      </c>
      <c r="C4" s="22" t="inlineStr">
        <is>
          <t>Compliant</t>
        </is>
      </c>
      <c r="D4" s="22" t="inlineStr">
        <is>
          <t>Partial</t>
        </is>
      </c>
      <c r="E4" s="22" t="inlineStr">
        <is>
          <t>Non-Compliant</t>
        </is>
      </c>
      <c r="F4" s="22" t="inlineStr">
        <is>
          <t>N/A</t>
        </is>
      </c>
      <c r="G4" s="22" t="inlineStr">
        <is>
          <t>Compliance %</t>
        </is>
      </c>
    </row>
    <row r="5">
      <c r="A5" s="23" t="inlineStr">
        <is>
          <t>Privileged Account Inventory</t>
        </is>
      </c>
      <c r="B5" s="23">
        <f>COUNTA('Privileged Account Inventory'!B6:B55)</f>
        <v/>
      </c>
      <c r="C5" s="23">
        <f>COUNTIF('Privileged Account Inventory'!M6:M55,"✅ Compliant")</f>
        <v/>
      </c>
      <c r="D5" s="23">
        <f>COUNTIF('Privileged Account Inventory'!M6:M55,"⚠ Partial Compliance")</f>
        <v/>
      </c>
      <c r="E5" s="23">
        <f>COUNTIF('Privileged Account Inventory'!M6:M55,"❌ Non-Compliant")</f>
        <v/>
      </c>
      <c r="F5" s="23">
        <f>COUNTIF('Privileged Account Inventory'!M6:M55,"N/A")</f>
        <v/>
      </c>
      <c r="G5" s="24">
        <f>IF((B5-F5)=0,0,C5/(B5-F5))</f>
        <v/>
      </c>
    </row>
    <row r="6">
      <c r="A6" s="23" t="inlineStr">
        <is>
          <t>PAM Vault Coverage</t>
        </is>
      </c>
      <c r="B6" s="23">
        <f>COUNTA('PAM Vault Coverage'!B6:B105)</f>
        <v/>
      </c>
      <c r="C6" s="23">
        <f>COUNTIF('PAM Vault Coverage'!C6:C105,"✅ Vaulted - Active")+COUNTIF('PAM Vault Coverage'!C6:C105,"✅ Vaulted - JIT Enabled")</f>
        <v/>
      </c>
      <c r="D6" s="23">
        <f>COUNTIF('PAM Vault Coverage'!C6:C105,"⚠ Vaulted - Rotation Issues")+COUNTIF('PAM Vault Coverage'!C6:C105,"Onboarding In Progress")</f>
        <v/>
      </c>
      <c r="E6" s="23">
        <f>COUNTIF('PAM Vault Coverage'!C6:C105,"❌ Not Vaulted (Gap)")</f>
        <v/>
      </c>
      <c r="F6" s="23">
        <f>COUNTIF('PAM Vault Coverage'!C6:C105,"N/A (Named Account)")</f>
        <v/>
      </c>
      <c r="G6" s="24">
        <f>IF((B6-F6)=0,0,C6/(B6-F6))</f>
        <v/>
      </c>
    </row>
    <row r="7">
      <c r="A7" s="23" t="inlineStr">
        <is>
          <t>MFA Enrolment (Privileged)</t>
        </is>
      </c>
      <c r="B7" s="23">
        <f>COUNTA('Privileged Account Inventory'!B6:B55)</f>
        <v/>
      </c>
      <c r="C7" s="23">
        <f>COUNTIF('Privileged Account Inventory'!G6:G55,"✅ Enrolled - Active")+COUNTIF('Privileged Account Inventory'!G6:G55,"✅ Enrolled - Verified")</f>
        <v/>
      </c>
      <c r="D7" s="23">
        <f>0</f>
        <v/>
      </c>
      <c r="E7" s="23">
        <f>COUNTIF('Privileged Account Inventory'!G6:G55,"❌ Not Enrolled")</f>
        <v/>
      </c>
      <c r="F7" s="23">
        <f>0</f>
        <v/>
      </c>
      <c r="G7" s="24">
        <f>IF((B7-F7)=0,0,C7/(B7-F7))</f>
        <v/>
      </c>
    </row>
    <row r="8">
      <c r="A8" s="23" t="inlineStr">
        <is>
          <t>Credential Rotation Status</t>
        </is>
      </c>
      <c r="B8" s="23">
        <f>COUNTA('Credential Rotation Status'!B6:B55)</f>
        <v/>
      </c>
      <c r="C8" s="23">
        <f>COUNTIF('Credential Rotation Status'!C6:C55,"After Each Use (Check-in)")+COUNTIF('Credential Rotation Status'!C6:C55,"Daily")+COUNTIF('Credential Rotation Status'!C6:C55,"Weekly")+COUNTIF('Credential Rotation Status'!C6:C55,"Monthly")</f>
        <v/>
      </c>
      <c r="D8" s="23">
        <f>COUNTIF('Credential Rotation Status'!C6:C55,"Quarterly")+COUNTIF('Credential Rotation Status'!C6:C55,"On Demand Only")</f>
        <v/>
      </c>
      <c r="E8" s="23">
        <f>0</f>
        <v/>
      </c>
      <c r="F8" s="23">
        <f>COUNTIF('Credential Rotation Status'!C6:C55,"Not Applicable")</f>
        <v/>
      </c>
      <c r="G8" s="24">
        <f>IF((B8-F8)=0,0,C8/(B8-F8))</f>
        <v/>
      </c>
    </row>
    <row r="9">
      <c r="A9" s="25" t="n"/>
      <c r="B9" s="25" t="n"/>
      <c r="C9" s="25" t="n"/>
      <c r="D9" s="25" t="n"/>
      <c r="E9" s="25" t="n"/>
      <c r="F9" s="25" t="n"/>
      <c r="G9" s="25" t="n"/>
    </row>
    <row r="10">
      <c r="A10" s="25" t="n"/>
      <c r="B10" s="25" t="n"/>
      <c r="C10" s="25" t="n"/>
      <c r="D10" s="25" t="n"/>
      <c r="E10" s="25" t="n"/>
      <c r="F10" s="25" t="n"/>
      <c r="G10" s="25" t="n"/>
    </row>
    <row r="12">
      <c r="A12" s="20" t="inlineStr">
        <is>
          <t>TABLE 2 — KEY PERFORMANCE INDICATORS</t>
        </is>
      </c>
      <c r="B12" s="21" t="n"/>
      <c r="C12" s="21" t="n"/>
      <c r="D12" s="21" t="n"/>
      <c r="E12" s="21" t="n"/>
      <c r="F12" s="21" t="n"/>
      <c r="G12" s="21" t="n"/>
    </row>
    <row r="13">
      <c r="A13" s="22" t="inlineStr">
        <is>
          <t>KPI</t>
        </is>
      </c>
      <c r="B13" s="22" t="inlineStr">
        <is>
          <t>Current Value</t>
        </is>
      </c>
      <c r="C13" s="22" t="inlineStr">
        <is>
          <t>Target</t>
        </is>
      </c>
      <c r="D13" s="22" t="inlineStr">
        <is>
          <t>Status</t>
        </is>
      </c>
      <c r="E13" s="22" t="inlineStr">
        <is>
          <t>Last Updated</t>
        </is>
      </c>
      <c r="F13" s="22" t="inlineStr">
        <is>
          <t>Owner</t>
        </is>
      </c>
      <c r="G13" s="22" t="inlineStr">
        <is>
          <t>Notes</t>
        </is>
      </c>
    </row>
    <row r="14">
      <c r="A14" s="26" t="inlineStr">
        <is>
          <t>Total Privileged Accounts</t>
        </is>
      </c>
      <c r="B14" s="26">
        <f>COUNTA('Privileged Account Inventory'!B6:B55)</f>
        <v/>
      </c>
      <c r="C14" s="26" t="inlineStr"/>
      <c r="D14" s="26" t="inlineStr"/>
      <c r="E14" s="26" t="inlineStr"/>
      <c r="F14" s="26" t="inlineStr"/>
      <c r="G14" s="26" t="inlineStr"/>
    </row>
    <row r="15">
      <c r="A15" s="26" t="inlineStr">
        <is>
          <t>Account Compliance Rate</t>
        </is>
      </c>
      <c r="B15" s="27">
        <f>IF(COUNTA('Privileged Account Inventory'!B6:B55)=0,0,COUNTIF('Privileged Account Inventory'!M6:M55,"✅ Compliant")/COUNTA('Privileged Account Inventory'!B6:B55))</f>
        <v/>
      </c>
      <c r="C15" s="26" t="inlineStr"/>
      <c r="D15" s="26" t="inlineStr"/>
      <c r="E15" s="26" t="inlineStr"/>
      <c r="F15" s="26" t="inlineStr"/>
      <c r="G15" s="26" t="inlineStr"/>
    </row>
    <row r="16">
      <c r="A16" s="26" t="inlineStr">
        <is>
          <t>Tier 0 Accounts</t>
        </is>
      </c>
      <c r="B16" s="26">
        <f>COUNTIF('Privileged Account Inventory'!C6:C55,"Tier 0 (Domain/Enterprise/Critical)")</f>
        <v/>
      </c>
      <c r="C16" s="26" t="inlineStr"/>
      <c r="D16" s="26" t="inlineStr"/>
      <c r="E16" s="26" t="inlineStr"/>
      <c r="F16" s="26" t="inlineStr"/>
      <c r="G16" s="26" t="inlineStr"/>
    </row>
    <row r="17">
      <c r="A17" s="26" t="inlineStr">
        <is>
          <t>PAM Vault Coverage Rate</t>
        </is>
      </c>
      <c r="B17" s="27">
        <f>IF(COUNTA('PAM Vault Coverage'!B6:B105)=0,0,(COUNTIF('PAM Vault Coverage'!C6:C105,"✅ Vaulted - Active")+COUNTIF('PAM Vault Coverage'!C6:C105,"✅ Vaulted - JIT Enabled"))/COUNTA('PAM Vault Coverage'!B6:B105))</f>
        <v/>
      </c>
      <c r="C17" s="26" t="inlineStr"/>
      <c r="D17" s="26" t="inlineStr"/>
      <c r="E17" s="26" t="inlineStr"/>
      <c r="F17" s="26" t="inlineStr"/>
      <c r="G17" s="26" t="inlineStr"/>
    </row>
    <row r="18">
      <c r="A18" s="26" t="inlineStr">
        <is>
          <t>Not Vaulted (Gap)</t>
        </is>
      </c>
      <c r="B18" s="26">
        <f>COUNTIF('PAM Vault Coverage'!C6:C105,"❌ Not Vaulted (Gap)")</f>
        <v/>
      </c>
      <c r="C18" s="26" t="inlineStr"/>
      <c r="D18" s="26" t="inlineStr"/>
      <c r="E18" s="26" t="inlineStr"/>
      <c r="F18" s="26" t="inlineStr"/>
      <c r="G18" s="26" t="inlineStr"/>
    </row>
    <row r="19">
      <c r="A19" s="26" t="inlineStr">
        <is>
          <t>MFA Enrolled (Privileged)</t>
        </is>
      </c>
      <c r="B19" s="27">
        <f>IF(COUNTA('Privileged Account Inventory'!B6:B55)=0,0,(COUNTIF('Privileged Account Inventory'!G6:G55,"✅ Enrolled - Active")+COUNTIF('Privileged Account Inventory'!G6:G55,"✅ Enrolled - Verified"))/COUNTA('Privileged Account Inventory'!B6:B55))</f>
        <v/>
      </c>
      <c r="C19" s="26" t="inlineStr"/>
      <c r="D19" s="26" t="inlineStr"/>
      <c r="E19" s="26" t="inlineStr"/>
      <c r="F19" s="26" t="inlineStr"/>
      <c r="G19" s="26" t="inlineStr"/>
    </row>
    <row r="20">
      <c r="A20" s="26" t="inlineStr">
        <is>
          <t>Credential Rotation Tracked</t>
        </is>
      </c>
      <c r="B20" s="26">
        <f>COUNTA('Credential Rotation Status'!B6:B55)</f>
        <v/>
      </c>
      <c r="C20" s="26" t="inlineStr"/>
      <c r="D20" s="26" t="inlineStr"/>
      <c r="E20" s="26" t="inlineStr"/>
      <c r="F20" s="26" t="inlineStr"/>
      <c r="G20" s="26" t="inlineStr"/>
    </row>
    <row r="21">
      <c r="A21" s="26" t="inlineStr">
        <is>
          <t>Access Reviews on Record</t>
        </is>
      </c>
      <c r="B21" s="26">
        <f>COUNTA('Access Review Results'!B6:B55)</f>
        <v/>
      </c>
      <c r="C21" s="26" t="inlineStr"/>
      <c r="D21" s="26" t="inlineStr"/>
      <c r="E21" s="26" t="inlineStr"/>
      <c r="F21" s="26" t="inlineStr"/>
      <c r="G21" s="26" t="inlineStr"/>
    </row>
    <row r="22">
      <c r="A22" s="26" t="inlineStr">
        <is>
          <t>Non-Compliant Accounts</t>
        </is>
      </c>
      <c r="B22" s="26">
        <f>COUNTIF('Privileged Account Inventory'!M6:M55,"❌ Non-Compliant")</f>
        <v/>
      </c>
      <c r="C22" s="26" t="inlineStr"/>
      <c r="D22" s="26" t="inlineStr"/>
      <c r="E22" s="26" t="inlineStr"/>
      <c r="F22" s="26" t="inlineStr"/>
      <c r="G22" s="26" t="inlineStr"/>
    </row>
    <row r="23">
      <c r="A23" s="26" t="inlineStr">
        <is>
          <t>Tier Isolation Records</t>
        </is>
      </c>
      <c r="B23" s="26">
        <f>COUNTA('Tier Isolation Compliance'!B6:B55)</f>
        <v/>
      </c>
      <c r="C23" s="26" t="inlineStr"/>
      <c r="D23" s="26" t="inlineStr"/>
      <c r="E23" s="26" t="inlineStr"/>
      <c r="F23" s="26" t="inlineStr"/>
      <c r="G23" s="26" t="inlineStr"/>
    </row>
    <row r="24">
      <c r="A24" s="25" t="n"/>
      <c r="B24" s="25" t="n"/>
      <c r="C24" s="25" t="n"/>
      <c r="D24" s="25" t="n"/>
      <c r="E24" s="25" t="n"/>
      <c r="F24" s="25" t="n"/>
      <c r="G24" s="25" t="n"/>
    </row>
    <row r="25">
      <c r="A25" s="25" t="n"/>
      <c r="B25" s="25" t="n"/>
      <c r="C25" s="25" t="n"/>
      <c r="D25" s="25" t="n"/>
      <c r="E25" s="25" t="n"/>
      <c r="F25" s="25" t="n"/>
      <c r="G25" s="25" t="n"/>
    </row>
    <row r="27">
      <c r="A27" s="28" t="inlineStr">
        <is>
          <t>TABLE 3 — CRITICAL FINDINGS</t>
        </is>
      </c>
      <c r="B27" s="21" t="n"/>
      <c r="C27" s="21" t="n"/>
      <c r="D27" s="21" t="n"/>
      <c r="E27" s="21" t="n"/>
      <c r="F27" s="21" t="n"/>
      <c r="G27" s="21" t="n"/>
    </row>
    <row r="28">
      <c r="A28" s="22" t="inlineStr">
        <is>
          <t>Account ID</t>
        </is>
      </c>
      <c r="B28" s="22" t="inlineStr">
        <is>
          <t>Account Name</t>
        </is>
      </c>
      <c r="C28" s="22" t="inlineStr">
        <is>
          <t>Admin Tier</t>
        </is>
      </c>
      <c r="D28" s="22" t="inlineStr">
        <is>
          <t>Compliance Status</t>
        </is>
      </c>
      <c r="E28" s="22" t="inlineStr">
        <is>
          <t>MFA Status</t>
        </is>
      </c>
      <c r="F28" s="22" t="inlineStr">
        <is>
          <t>PAM Status</t>
        </is>
      </c>
      <c r="G28" s="22" t="inlineStr">
        <is>
          <t>Account Owner</t>
        </is>
      </c>
    </row>
    <row r="29">
      <c r="A29" s="26">
        <f>IFERROR(INDEX('Privileged Account Inventory'!A$6:A$55,SMALL(IF('Privileged Account Inventory'!M$6:M$55="❌ Non-Compliant",ROW('Privileged Account Inventory'!A$6:A$55)-ROW('Privileged Account Inventory'!A$6)+1),ROWS($A$1:A1))),"")</f>
        <v/>
      </c>
      <c r="B29" s="26">
        <f>IFERROR(INDEX('Privileged Account Inventory'!B$6:B$55,SMALL(IF('Privileged Account Inventory'!M$6:M$55="❌ Non-Compliant",ROW('Privileged Account Inventory'!A$6:A$55)-ROW('Privileged Account Inventory'!A$6)+1),ROWS($A$1:A1))),"")</f>
        <v/>
      </c>
      <c r="C29" s="26">
        <f>IFERROR(INDEX('Privileged Account Inventory'!C$6:C$55,SMALL(IF('Privileged Account Inventory'!M$6:M$55="❌ Non-Compliant",ROW('Privileged Account Inventory'!A$6:A$55)-ROW('Privileged Account Inventory'!A$6)+1),ROWS($A$1:A1))),"")</f>
        <v/>
      </c>
      <c r="D29" s="26">
        <f>IFERROR(INDEX('Privileged Account Inventory'!M$6:M$55,SMALL(IF('Privileged Account Inventory'!M$6:M$55="❌ Non-Compliant",ROW('Privileged Account Inventory'!A$6:A$55)-ROW('Privileged Account Inventory'!A$6)+1),ROWS($A$1:A1))),"")</f>
        <v/>
      </c>
      <c r="E29" s="26">
        <f>IFERROR(INDEX('Privileged Account Inventory'!G$6:G$55,SMALL(IF('Privileged Account Inventory'!M$6:M$55="❌ Non-Compliant",ROW('Privileged Account Inventory'!A$6:A$55)-ROW('Privileged Account Inventory'!A$6)+1),ROWS($A$1:A1))),"")</f>
        <v/>
      </c>
      <c r="F29" s="26">
        <f>IFERROR(INDEX('Privileged Account Inventory'!I$6:I$55,SMALL(IF('Privileged Account Inventory'!M$6:M$55="❌ Non-Compliant",ROW('Privileged Account Inventory'!A$6:A$55)-ROW('Privileged Account Inventory'!A$6)+1),ROWS($A$1:A1))),"")</f>
        <v/>
      </c>
      <c r="G29" s="26">
        <f>IFERROR(INDEX('Privileged Account Inventory'!F$6:F$55,SMALL(IF('Privileged Account Inventory'!M$6:M$55="❌ Non-Compliant",ROW('Privileged Account Inventory'!A$6:A$55)-ROW('Privileged Account Inventory'!A$6)+1),ROWS($A$1:A1))),"")</f>
        <v/>
      </c>
    </row>
    <row r="30">
      <c r="A30" s="26">
        <f>IFERROR(INDEX('Privileged Account Inventory'!A$6:A$55,SMALL(IF('Privileged Account Inventory'!M$6:M$55="❌ Non-Compliant",ROW('Privileged Account Inventory'!A$6:A$55)-ROW('Privileged Account Inventory'!A$6)+1),ROWS($A$1:A2))),"")</f>
        <v/>
      </c>
      <c r="B30" s="26">
        <f>IFERROR(INDEX('Privileged Account Inventory'!B$6:B$55,SMALL(IF('Privileged Account Inventory'!M$6:M$55="❌ Non-Compliant",ROW('Privileged Account Inventory'!A$6:A$55)-ROW('Privileged Account Inventory'!A$6)+1),ROWS($A$1:A2))),"")</f>
        <v/>
      </c>
      <c r="C30" s="26">
        <f>IFERROR(INDEX('Privileged Account Inventory'!C$6:C$55,SMALL(IF('Privileged Account Inventory'!M$6:M$55="❌ Non-Compliant",ROW('Privileged Account Inventory'!A$6:A$55)-ROW('Privileged Account Inventory'!A$6)+1),ROWS($A$1:A2))),"")</f>
        <v/>
      </c>
      <c r="D30" s="26">
        <f>IFERROR(INDEX('Privileged Account Inventory'!M$6:M$55,SMALL(IF('Privileged Account Inventory'!M$6:M$55="❌ Non-Compliant",ROW('Privileged Account Inventory'!A$6:A$55)-ROW('Privileged Account Inventory'!A$6)+1),ROWS($A$1:A2))),"")</f>
        <v/>
      </c>
      <c r="E30" s="26">
        <f>IFERROR(INDEX('Privileged Account Inventory'!G$6:G$55,SMALL(IF('Privileged Account Inventory'!M$6:M$55="❌ Non-Compliant",ROW('Privileged Account Inventory'!A$6:A$55)-ROW('Privileged Account Inventory'!A$6)+1),ROWS($A$1:A2))),"")</f>
        <v/>
      </c>
      <c r="F30" s="26">
        <f>IFERROR(INDEX('Privileged Account Inventory'!I$6:I$55,SMALL(IF('Privileged Account Inventory'!M$6:M$55="❌ Non-Compliant",ROW('Privileged Account Inventory'!A$6:A$55)-ROW('Privileged Account Inventory'!A$6)+1),ROWS($A$1:A2))),"")</f>
        <v/>
      </c>
      <c r="G30" s="26">
        <f>IFERROR(INDEX('Privileged Account Inventory'!F$6:F$55,SMALL(IF('Privileged Account Inventory'!M$6:M$55="❌ Non-Compliant",ROW('Privileged Account Inventory'!A$6:A$55)-ROW('Privileged Account Inventory'!A$6)+1),ROWS($A$1:A2))),"")</f>
        <v/>
      </c>
    </row>
    <row r="31">
      <c r="A31" s="26">
        <f>IFERROR(INDEX('Privileged Account Inventory'!A$6:A$55,SMALL(IF('Privileged Account Inventory'!M$6:M$55="❌ Non-Compliant",ROW('Privileged Account Inventory'!A$6:A$55)-ROW('Privileged Account Inventory'!A$6)+1),ROWS($A$1:A3))),"")</f>
        <v/>
      </c>
      <c r="B31" s="26">
        <f>IFERROR(INDEX('Privileged Account Inventory'!B$6:B$55,SMALL(IF('Privileged Account Inventory'!M$6:M$55="❌ Non-Compliant",ROW('Privileged Account Inventory'!A$6:A$55)-ROW('Privileged Account Inventory'!A$6)+1),ROWS($A$1:A3))),"")</f>
        <v/>
      </c>
      <c r="C31" s="26">
        <f>IFERROR(INDEX('Privileged Account Inventory'!C$6:C$55,SMALL(IF('Privileged Account Inventory'!M$6:M$55="❌ Non-Compliant",ROW('Privileged Account Inventory'!A$6:A$55)-ROW('Privileged Account Inventory'!A$6)+1),ROWS($A$1:A3))),"")</f>
        <v/>
      </c>
      <c r="D31" s="26">
        <f>IFERROR(INDEX('Privileged Account Inventory'!M$6:M$55,SMALL(IF('Privileged Account Inventory'!M$6:M$55="❌ Non-Compliant",ROW('Privileged Account Inventory'!A$6:A$55)-ROW('Privileged Account Inventory'!A$6)+1),ROWS($A$1:A3))),"")</f>
        <v/>
      </c>
      <c r="E31" s="26">
        <f>IFERROR(INDEX('Privileged Account Inventory'!G$6:G$55,SMALL(IF('Privileged Account Inventory'!M$6:M$55="❌ Non-Compliant",ROW('Privileged Account Inventory'!A$6:A$55)-ROW('Privileged Account Inventory'!A$6)+1),ROWS($A$1:A3))),"")</f>
        <v/>
      </c>
      <c r="F31" s="26">
        <f>IFERROR(INDEX('Privileged Account Inventory'!I$6:I$55,SMALL(IF('Privileged Account Inventory'!M$6:M$55="❌ Non-Compliant",ROW('Privileged Account Inventory'!A$6:A$55)-ROW('Privileged Account Inventory'!A$6)+1),ROWS($A$1:A3))),"")</f>
        <v/>
      </c>
      <c r="G31" s="26">
        <f>IFERROR(INDEX('Privileged Account Inventory'!F$6:F$55,SMALL(IF('Privileged Account Inventory'!M$6:M$55="❌ Non-Compliant",ROW('Privileged Account Inventory'!A$6:A$55)-ROW('Privileged Account Inventory'!A$6)+1),ROWS($A$1:A3))),"")</f>
        <v/>
      </c>
    </row>
    <row r="32">
      <c r="A32" s="26">
        <f>IFERROR(INDEX('Privileged Account Inventory'!A$6:A$55,SMALL(IF('Privileged Account Inventory'!M$6:M$55="❌ Non-Compliant",ROW('Privileged Account Inventory'!A$6:A$55)-ROW('Privileged Account Inventory'!A$6)+1),ROWS($A$1:A4))),"")</f>
        <v/>
      </c>
      <c r="B32" s="26">
        <f>IFERROR(INDEX('Privileged Account Inventory'!B$6:B$55,SMALL(IF('Privileged Account Inventory'!M$6:M$55="❌ Non-Compliant",ROW('Privileged Account Inventory'!A$6:A$55)-ROW('Privileged Account Inventory'!A$6)+1),ROWS($A$1:A4))),"")</f>
        <v/>
      </c>
      <c r="C32" s="26">
        <f>IFERROR(INDEX('Privileged Account Inventory'!C$6:C$55,SMALL(IF('Privileged Account Inventory'!M$6:M$55="❌ Non-Compliant",ROW('Privileged Account Inventory'!A$6:A$55)-ROW('Privileged Account Inventory'!A$6)+1),ROWS($A$1:A4))),"")</f>
        <v/>
      </c>
      <c r="D32" s="26">
        <f>IFERROR(INDEX('Privileged Account Inventory'!M$6:M$55,SMALL(IF('Privileged Account Inventory'!M$6:M$55="❌ Non-Compliant",ROW('Privileged Account Inventory'!A$6:A$55)-ROW('Privileged Account Inventory'!A$6)+1),ROWS($A$1:A4))),"")</f>
        <v/>
      </c>
      <c r="E32" s="26">
        <f>IFERROR(INDEX('Privileged Account Inventory'!G$6:G$55,SMALL(IF('Privileged Account Inventory'!M$6:M$55="❌ Non-Compliant",ROW('Privileged Account Inventory'!A$6:A$55)-ROW('Privileged Account Inventory'!A$6)+1),ROWS($A$1:A4))),"")</f>
        <v/>
      </c>
      <c r="F32" s="26">
        <f>IFERROR(INDEX('Privileged Account Inventory'!I$6:I$55,SMALL(IF('Privileged Account Inventory'!M$6:M$55="❌ Non-Compliant",ROW('Privileged Account Inventory'!A$6:A$55)-ROW('Privileged Account Inventory'!A$6)+1),ROWS($A$1:A4))),"")</f>
        <v/>
      </c>
      <c r="G32" s="26">
        <f>IFERROR(INDEX('Privileged Account Inventory'!F$6:F$55,SMALL(IF('Privileged Account Inventory'!M$6:M$55="❌ Non-Compliant",ROW('Privileged Account Inventory'!A$6:A$55)-ROW('Privileged Account Inventory'!A$6)+1),ROWS($A$1:A4))),"")</f>
        <v/>
      </c>
    </row>
    <row r="33">
      <c r="A33" s="26">
        <f>IFERROR(INDEX('Privileged Account Inventory'!A$6:A$55,SMALL(IF('Privileged Account Inventory'!M$6:M$55="❌ Non-Compliant",ROW('Privileged Account Inventory'!A$6:A$55)-ROW('Privileged Account Inventory'!A$6)+1),ROWS($A$1:A5))),"")</f>
        <v/>
      </c>
      <c r="B33" s="26">
        <f>IFERROR(INDEX('Privileged Account Inventory'!B$6:B$55,SMALL(IF('Privileged Account Inventory'!M$6:M$55="❌ Non-Compliant",ROW('Privileged Account Inventory'!A$6:A$55)-ROW('Privileged Account Inventory'!A$6)+1),ROWS($A$1:A5))),"")</f>
        <v/>
      </c>
      <c r="C33" s="26">
        <f>IFERROR(INDEX('Privileged Account Inventory'!C$6:C$55,SMALL(IF('Privileged Account Inventory'!M$6:M$55="❌ Non-Compliant",ROW('Privileged Account Inventory'!A$6:A$55)-ROW('Privileged Account Inventory'!A$6)+1),ROWS($A$1:A5))),"")</f>
        <v/>
      </c>
      <c r="D33" s="26">
        <f>IFERROR(INDEX('Privileged Account Inventory'!M$6:M$55,SMALL(IF('Privileged Account Inventory'!M$6:M$55="❌ Non-Compliant",ROW('Privileged Account Inventory'!A$6:A$55)-ROW('Privileged Account Inventory'!A$6)+1),ROWS($A$1:A5))),"")</f>
        <v/>
      </c>
      <c r="E33" s="26">
        <f>IFERROR(INDEX('Privileged Account Inventory'!G$6:G$55,SMALL(IF('Privileged Account Inventory'!M$6:M$55="❌ Non-Compliant",ROW('Privileged Account Inventory'!A$6:A$55)-ROW('Privileged Account Inventory'!A$6)+1),ROWS($A$1:A5))),"")</f>
        <v/>
      </c>
      <c r="F33" s="26">
        <f>IFERROR(INDEX('Privileged Account Inventory'!I$6:I$55,SMALL(IF('Privileged Account Inventory'!M$6:M$55="❌ Non-Compliant",ROW('Privileged Account Inventory'!A$6:A$55)-ROW('Privileged Account Inventory'!A$6)+1),ROWS($A$1:A5))),"")</f>
        <v/>
      </c>
      <c r="G33" s="26">
        <f>IFERROR(INDEX('Privileged Account Inventory'!F$6:F$55,SMALL(IF('Privileged Account Inventory'!M$6:M$55="❌ Non-Compliant",ROW('Privileged Account Inventory'!A$6:A$55)-ROW('Privileged Account Inventory'!A$6)+1),ROWS($A$1:A5))),"")</f>
        <v/>
      </c>
    </row>
    <row r="34">
      <c r="A34" s="26">
        <f>IFERROR(INDEX('Privileged Account Inventory'!A$6:A$55,SMALL(IF('Privileged Account Inventory'!M$6:M$55="❌ Non-Compliant",ROW('Privileged Account Inventory'!A$6:A$55)-ROW('Privileged Account Inventory'!A$6)+1),ROWS($A$1:A6))),"")</f>
        <v/>
      </c>
      <c r="B34" s="26">
        <f>IFERROR(INDEX('Privileged Account Inventory'!B$6:B$55,SMALL(IF('Privileged Account Inventory'!M$6:M$55="❌ Non-Compliant",ROW('Privileged Account Inventory'!A$6:A$55)-ROW('Privileged Account Inventory'!A$6)+1),ROWS($A$1:A6))),"")</f>
        <v/>
      </c>
      <c r="C34" s="26">
        <f>IFERROR(INDEX('Privileged Account Inventory'!C$6:C$55,SMALL(IF('Privileged Account Inventory'!M$6:M$55="❌ Non-Compliant",ROW('Privileged Account Inventory'!A$6:A$55)-ROW('Privileged Account Inventory'!A$6)+1),ROWS($A$1:A6))),"")</f>
        <v/>
      </c>
      <c r="D34" s="26">
        <f>IFERROR(INDEX('Privileged Account Inventory'!M$6:M$55,SMALL(IF('Privileged Account Inventory'!M$6:M$55="❌ Non-Compliant",ROW('Privileged Account Inventory'!A$6:A$55)-ROW('Privileged Account Inventory'!A$6)+1),ROWS($A$1:A6))),"")</f>
        <v/>
      </c>
      <c r="E34" s="26">
        <f>IFERROR(INDEX('Privileged Account Inventory'!G$6:G$55,SMALL(IF('Privileged Account Inventory'!M$6:M$55="❌ Non-Compliant",ROW('Privileged Account Inventory'!A$6:A$55)-ROW('Privileged Account Inventory'!A$6)+1),ROWS($A$1:A6))),"")</f>
        <v/>
      </c>
      <c r="F34" s="26">
        <f>IFERROR(INDEX('Privileged Account Inventory'!I$6:I$55,SMALL(IF('Privileged Account Inventory'!M$6:M$55="❌ Non-Compliant",ROW('Privileged Account Inventory'!A$6:A$55)-ROW('Privileged Account Inventory'!A$6)+1),ROWS($A$1:A6))),"")</f>
        <v/>
      </c>
      <c r="G34" s="26">
        <f>IFERROR(INDEX('Privileged Account Inventory'!F$6:F$55,SMALL(IF('Privileged Account Inventory'!M$6:M$55="❌ Non-Compliant",ROW('Privileged Account Inventory'!A$6:A$55)-ROW('Privileged Account Inventory'!A$6)+1),ROWS($A$1:A6))),"")</f>
        <v/>
      </c>
    </row>
    <row r="35">
      <c r="A35" s="26">
        <f>IFERROR(INDEX('Privileged Account Inventory'!A$6:A$55,SMALL(IF('Privileged Account Inventory'!M$6:M$55="❌ Non-Compliant",ROW('Privileged Account Inventory'!A$6:A$55)-ROW('Privileged Account Inventory'!A$6)+1),ROWS($A$1:A7))),"")</f>
        <v/>
      </c>
      <c r="B35" s="26">
        <f>IFERROR(INDEX('Privileged Account Inventory'!B$6:B$55,SMALL(IF('Privileged Account Inventory'!M$6:M$55="❌ Non-Compliant",ROW('Privileged Account Inventory'!A$6:A$55)-ROW('Privileged Account Inventory'!A$6)+1),ROWS($A$1:A7))),"")</f>
        <v/>
      </c>
      <c r="C35" s="26">
        <f>IFERROR(INDEX('Privileged Account Inventory'!C$6:C$55,SMALL(IF('Privileged Account Inventory'!M$6:M$55="❌ Non-Compliant",ROW('Privileged Account Inventory'!A$6:A$55)-ROW('Privileged Account Inventory'!A$6)+1),ROWS($A$1:A7))),"")</f>
        <v/>
      </c>
      <c r="D35" s="26">
        <f>IFERROR(INDEX('Privileged Account Inventory'!M$6:M$55,SMALL(IF('Privileged Account Inventory'!M$6:M$55="❌ Non-Compliant",ROW('Privileged Account Inventory'!A$6:A$55)-ROW('Privileged Account Inventory'!A$6)+1),ROWS($A$1:A7))),"")</f>
        <v/>
      </c>
      <c r="E35" s="26">
        <f>IFERROR(INDEX('Privileged Account Inventory'!G$6:G$55,SMALL(IF('Privileged Account Inventory'!M$6:M$55="❌ Non-Compliant",ROW('Privileged Account Inventory'!A$6:A$55)-ROW('Privileged Account Inventory'!A$6)+1),ROWS($A$1:A7))),"")</f>
        <v/>
      </c>
      <c r="F35" s="26">
        <f>IFERROR(INDEX('Privileged Account Inventory'!I$6:I$55,SMALL(IF('Privileged Account Inventory'!M$6:M$55="❌ Non-Compliant",ROW('Privileged Account Inventory'!A$6:A$55)-ROW('Privileged Account Inventory'!A$6)+1),ROWS($A$1:A7))),"")</f>
        <v/>
      </c>
      <c r="G35" s="26">
        <f>IFERROR(INDEX('Privileged Account Inventory'!F$6:F$55,SMALL(IF('Privileged Account Inventory'!M$6:M$55="❌ Non-Compliant",ROW('Privileged Account Inventory'!A$6:A$55)-ROW('Privileged Account Inventory'!A$6)+1),ROWS($A$1:A7))),"")</f>
        <v/>
      </c>
    </row>
    <row r="36">
      <c r="A36" s="26">
        <f>IFERROR(INDEX('Privileged Account Inventory'!A$6:A$55,SMALL(IF('Privileged Account Inventory'!M$6:M$55="❌ Non-Compliant",ROW('Privileged Account Inventory'!A$6:A$55)-ROW('Privileged Account Inventory'!A$6)+1),ROWS($A$1:A8))),"")</f>
        <v/>
      </c>
      <c r="B36" s="26">
        <f>IFERROR(INDEX('Privileged Account Inventory'!B$6:B$55,SMALL(IF('Privileged Account Inventory'!M$6:M$55="❌ Non-Compliant",ROW('Privileged Account Inventory'!A$6:A$55)-ROW('Privileged Account Inventory'!A$6)+1),ROWS($A$1:A8))),"")</f>
        <v/>
      </c>
      <c r="C36" s="26">
        <f>IFERROR(INDEX('Privileged Account Inventory'!C$6:C$55,SMALL(IF('Privileged Account Inventory'!M$6:M$55="❌ Non-Compliant",ROW('Privileged Account Inventory'!A$6:A$55)-ROW('Privileged Account Inventory'!A$6)+1),ROWS($A$1:A8))),"")</f>
        <v/>
      </c>
      <c r="D36" s="26">
        <f>IFERROR(INDEX('Privileged Account Inventory'!M$6:M$55,SMALL(IF('Privileged Account Inventory'!M$6:M$55="❌ Non-Compliant",ROW('Privileged Account Inventory'!A$6:A$55)-ROW('Privileged Account Inventory'!A$6)+1),ROWS($A$1:A8))),"")</f>
        <v/>
      </c>
      <c r="E36" s="26">
        <f>IFERROR(INDEX('Privileged Account Inventory'!G$6:G$55,SMALL(IF('Privileged Account Inventory'!M$6:M$55="❌ Non-Compliant",ROW('Privileged Account Inventory'!A$6:A$55)-ROW('Privileged Account Inventory'!A$6)+1),ROWS($A$1:A8))),"")</f>
        <v/>
      </c>
      <c r="F36" s="26">
        <f>IFERROR(INDEX('Privileged Account Inventory'!I$6:I$55,SMALL(IF('Privileged Account Inventory'!M$6:M$55="❌ Non-Compliant",ROW('Privileged Account Inventory'!A$6:A$55)-ROW('Privileged Account Inventory'!A$6)+1),ROWS($A$1:A8))),"")</f>
        <v/>
      </c>
      <c r="G36" s="26">
        <f>IFERROR(INDEX('Privileged Account Inventory'!F$6:F$55,SMALL(IF('Privileged Account Inventory'!M$6:M$55="❌ Non-Compliant",ROW('Privileged Account Inventory'!A$6:A$55)-ROW('Privileged Account Inventory'!A$6)+1),ROWS($A$1:A8))),"")</f>
        <v/>
      </c>
    </row>
    <row r="37">
      <c r="A37" s="26">
        <f>IFERROR(INDEX('Privileged Account Inventory'!A$6:A$55,SMALL(IF('Privileged Account Inventory'!M$6:M$55="❌ Non-Compliant",ROW('Privileged Account Inventory'!A$6:A$55)-ROW('Privileged Account Inventory'!A$6)+1),ROWS($A$1:A9))),"")</f>
        <v/>
      </c>
      <c r="B37" s="26">
        <f>IFERROR(INDEX('Privileged Account Inventory'!B$6:B$55,SMALL(IF('Privileged Account Inventory'!M$6:M$55="❌ Non-Compliant",ROW('Privileged Account Inventory'!A$6:A$55)-ROW('Privileged Account Inventory'!A$6)+1),ROWS($A$1:A9))),"")</f>
        <v/>
      </c>
      <c r="C37" s="26">
        <f>IFERROR(INDEX('Privileged Account Inventory'!C$6:C$55,SMALL(IF('Privileged Account Inventory'!M$6:M$55="❌ Non-Compliant",ROW('Privileged Account Inventory'!A$6:A$55)-ROW('Privileged Account Inventory'!A$6)+1),ROWS($A$1:A9))),"")</f>
        <v/>
      </c>
      <c r="D37" s="26">
        <f>IFERROR(INDEX('Privileged Account Inventory'!M$6:M$55,SMALL(IF('Privileged Account Inventory'!M$6:M$55="❌ Non-Compliant",ROW('Privileged Account Inventory'!A$6:A$55)-ROW('Privileged Account Inventory'!A$6)+1),ROWS($A$1:A9))),"")</f>
        <v/>
      </c>
      <c r="E37" s="26">
        <f>IFERROR(INDEX('Privileged Account Inventory'!G$6:G$55,SMALL(IF('Privileged Account Inventory'!M$6:M$55="❌ Non-Compliant",ROW('Privileged Account Inventory'!A$6:A$55)-ROW('Privileged Account Inventory'!A$6)+1),ROWS($A$1:A9))),"")</f>
        <v/>
      </c>
      <c r="F37" s="26">
        <f>IFERROR(INDEX('Privileged Account Inventory'!I$6:I$55,SMALL(IF('Privileged Account Inventory'!M$6:M$55="❌ Non-Compliant",ROW('Privileged Account Inventory'!A$6:A$55)-ROW('Privileged Account Inventory'!A$6)+1),ROWS($A$1:A9))),"")</f>
        <v/>
      </c>
      <c r="G37" s="26">
        <f>IFERROR(INDEX('Privileged Account Inventory'!F$6:F$55,SMALL(IF('Privileged Account Inventory'!M$6:M$55="❌ Non-Compliant",ROW('Privileged Account Inventory'!A$6:A$55)-ROW('Privileged Account Inventory'!A$6)+1),ROWS($A$1:A9))),"")</f>
        <v/>
      </c>
    </row>
    <row r="38">
      <c r="A38" s="26">
        <f>IFERROR(INDEX('Privileged Account Inventory'!A$6:A$55,SMALL(IF('Privileged Account Inventory'!M$6:M$55="❌ Non-Compliant",ROW('Privileged Account Inventory'!A$6:A$55)-ROW('Privileged Account Inventory'!A$6)+1),ROWS($A$1:A10))),"")</f>
        <v/>
      </c>
      <c r="B38" s="26">
        <f>IFERROR(INDEX('Privileged Account Inventory'!B$6:B$55,SMALL(IF('Privileged Account Inventory'!M$6:M$55="❌ Non-Compliant",ROW('Privileged Account Inventory'!A$6:A$55)-ROW('Privileged Account Inventory'!A$6)+1),ROWS($A$1:A10))),"")</f>
        <v/>
      </c>
      <c r="C38" s="26">
        <f>IFERROR(INDEX('Privileged Account Inventory'!C$6:C$55,SMALL(IF('Privileged Account Inventory'!M$6:M$55="❌ Non-Compliant",ROW('Privileged Account Inventory'!A$6:A$55)-ROW('Privileged Account Inventory'!A$6)+1),ROWS($A$1:A10))),"")</f>
        <v/>
      </c>
      <c r="D38" s="26">
        <f>IFERROR(INDEX('Privileged Account Inventory'!M$6:M$55,SMALL(IF('Privileged Account Inventory'!M$6:M$55="❌ Non-Compliant",ROW('Privileged Account Inventory'!A$6:A$55)-ROW('Privileged Account Inventory'!A$6)+1),ROWS($A$1:A10))),"")</f>
        <v/>
      </c>
      <c r="E38" s="26">
        <f>IFERROR(INDEX('Privileged Account Inventory'!G$6:G$55,SMALL(IF('Privileged Account Inventory'!M$6:M$55="❌ Non-Compliant",ROW('Privileged Account Inventory'!A$6:A$55)-ROW('Privileged Account Inventory'!A$6)+1),ROWS($A$1:A10))),"")</f>
        <v/>
      </c>
      <c r="F38" s="26">
        <f>IFERROR(INDEX('Privileged Account Inventory'!I$6:I$55,SMALL(IF('Privileged Account Inventory'!M$6:M$55="❌ Non-Compliant",ROW('Privileged Account Inventory'!A$6:A$55)-ROW('Privileged Account Inventory'!A$6)+1),ROWS($A$1:A10))),"")</f>
        <v/>
      </c>
      <c r="G38" s="26">
        <f>IFERROR(INDEX('Privileged Account Inventory'!F$6:F$55,SMALL(IF('Privileged Account Inventory'!M$6:M$55="❌ Non-Compliant",ROW('Privileged Account Inventory'!A$6:A$55)-ROW('Privileged Account Inventory'!A$6)+1),ROWS($A$1:A10))),"")</f>
        <v/>
      </c>
    </row>
    <row r="39">
      <c r="A39" s="25" t="n"/>
      <c r="B39" s="25" t="n"/>
      <c r="C39" s="25" t="n"/>
      <c r="D39" s="25" t="n"/>
      <c r="E39" s="25" t="n"/>
      <c r="F39" s="25" t="n"/>
      <c r="G39" s="25" t="n"/>
    </row>
    <row r="40">
      <c r="A40" s="25" t="n"/>
      <c r="B40" s="25" t="n"/>
      <c r="C40" s="25" t="n"/>
      <c r="D40" s="25" t="n"/>
      <c r="E40" s="25" t="n"/>
      <c r="F40" s="25" t="n"/>
      <c r="G40" s="25" t="n"/>
    </row>
    <row r="41">
      <c r="A41" s="29" t="inlineStr">
        <is>
          <t>Total Non-Compliant Accounts:</t>
        </is>
      </c>
      <c r="B41" s="29">
        <f>COUNTIF('Privileged Account Inventory'!M6:M55,"❌ Non-Compliant")</f>
        <v/>
      </c>
    </row>
  </sheetData>
  <mergeCells count="5">
    <mergeCell ref="A1:G1"/>
    <mergeCell ref="A27:G27"/>
    <mergeCell ref="A3:G3"/>
    <mergeCell ref="A12:G12"/>
    <mergeCell ref="A2:G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8"/>
  <sheetViews>
    <sheetView workbookViewId="0">
      <pane ySplit="2" topLeftCell="A3" activePane="bottomLeft" state="frozen"/>
      <selection pane="bottomLeft" activeCell="A1" sqref="A1"/>
    </sheetView>
  </sheetViews>
  <sheetFormatPr baseColWidth="8" defaultRowHeight="15"/>
  <cols>
    <col width="32" customWidth="1" min="1" max="1"/>
    <col width="28" customWidth="1" min="2" max="2"/>
    <col width="22" customWidth="1" min="3" max="3"/>
    <col width="14" customWidth="1" min="4" max="4"/>
    <col width="22" customWidth="1" min="5" max="5"/>
  </cols>
  <sheetData>
    <row r="1" ht="35" customHeight="1">
      <c r="A1" s="30" t="inlineStr">
        <is>
          <t>ASSESSMENT APPROVAL AND SIGN-OFF</t>
        </is>
      </c>
      <c r="B1" s="21" t="n"/>
      <c r="C1" s="21" t="n"/>
      <c r="D1" s="21" t="n"/>
      <c r="E1" s="21" t="n"/>
    </row>
    <row r="2">
      <c r="A2" s="31" t="inlineStr">
        <is>
          <t>ISMS-IMP-A.8.2-3-5.S3 | ISO/IEC 27001:2022 - Control A.8.2-3-5: Access and Authentication Management</t>
        </is>
      </c>
      <c r="B2" s="21" t="n"/>
      <c r="C2" s="21" t="n"/>
      <c r="D2" s="21" t="n"/>
      <c r="E2" s="21" t="n"/>
    </row>
    <row r="3">
      <c r="A3" s="32" t="inlineStr">
        <is>
          <t>ASSESSMENT SUMMARY</t>
        </is>
      </c>
      <c r="B3" s="21" t="n"/>
      <c r="C3" s="21" t="n"/>
      <c r="D3" s="21" t="n"/>
      <c r="E3" s="21" t="n"/>
    </row>
    <row r="4">
      <c r="A4" s="33" t="inlineStr">
        <is>
          <t>Document:</t>
        </is>
      </c>
      <c r="B4" s="21" t="inlineStr">
        <is>
          <t>ISMS-IMP-A.8.2-3-5.S3 - Privileged Accounts Assessment</t>
        </is>
      </c>
      <c r="C4" s="21" t="n"/>
      <c r="D4" s="21" t="n"/>
      <c r="E4" s="21" t="n"/>
    </row>
    <row r="5">
      <c r="A5" s="33" t="inlineStr">
        <is>
          <t>Assessment Period:</t>
        </is>
      </c>
      <c r="B5" s="25" t="inlineStr"/>
      <c r="C5" s="25" t="n"/>
      <c r="D5" s="25" t="n"/>
      <c r="E5" s="25" t="n"/>
    </row>
    <row r="6">
      <c r="A6" s="33" t="inlineStr">
        <is>
          <t>Overall Compliance Rate:</t>
        </is>
      </c>
      <c r="B6" s="34">
        <f>IFERROR(AVERAGE('Summary Dashboard'!G5:G8),"")</f>
        <v/>
      </c>
      <c r="C6" s="25" t="n"/>
      <c r="D6" s="25" t="n"/>
      <c r="E6" s="25" t="n"/>
    </row>
    <row r="7">
      <c r="A7" s="33" t="inlineStr">
        <is>
          <t>Assessment Status:</t>
        </is>
      </c>
      <c r="B7" s="25" t="inlineStr"/>
      <c r="C7" s="25" t="n"/>
      <c r="D7" s="25" t="n"/>
      <c r="E7" s="25" t="n"/>
    </row>
    <row r="8">
      <c r="A8" s="33" t="inlineStr">
        <is>
          <t>Assessed By:</t>
        </is>
      </c>
      <c r="B8" s="25" t="inlineStr"/>
      <c r="C8" s="25" t="n"/>
      <c r="D8" s="25" t="n"/>
      <c r="E8" s="25" t="n"/>
    </row>
    <row r="11">
      <c r="A11" s="32" t="inlineStr">
        <is>
          <t>COMPLETED BY (ASSESSOR)</t>
        </is>
      </c>
      <c r="B11" s="21" t="n"/>
      <c r="C11" s="21" t="n"/>
      <c r="D11" s="21" t="n"/>
      <c r="E11" s="21" t="n"/>
    </row>
    <row r="12">
      <c r="A12" s="33" t="inlineStr">
        <is>
          <t>Name:</t>
        </is>
      </c>
      <c r="B12" s="25" t="n"/>
      <c r="C12" s="25" t="n"/>
      <c r="D12" s="25" t="n"/>
      <c r="E12" s="25" t="n"/>
    </row>
    <row r="13">
      <c r="A13" s="33" t="inlineStr">
        <is>
          <t>Title:</t>
        </is>
      </c>
      <c r="B13" s="25" t="n"/>
      <c r="C13" s="25" t="n"/>
      <c r="D13" s="25" t="n"/>
      <c r="E13" s="25" t="n"/>
    </row>
    <row r="14">
      <c r="A14" s="33" t="inlineStr">
        <is>
          <t>Date:</t>
        </is>
      </c>
      <c r="B14" s="25" t="n"/>
      <c r="C14" s="25" t="n"/>
      <c r="D14" s="25" t="n"/>
      <c r="E14" s="25" t="n"/>
    </row>
    <row r="15">
      <c r="A15" s="33" t="inlineStr">
        <is>
          <t>Signature:</t>
        </is>
      </c>
      <c r="B15" s="25" t="n"/>
      <c r="C15" s="25" t="n"/>
      <c r="D15" s="25" t="n"/>
      <c r="E15" s="25" t="n"/>
    </row>
    <row r="16">
      <c r="A16" s="33" t="inlineStr">
        <is>
          <t>Comments:</t>
        </is>
      </c>
      <c r="B16" s="25" t="n"/>
      <c r="C16" s="25" t="n"/>
      <c r="D16" s="25" t="n"/>
      <c r="E16" s="25" t="n"/>
    </row>
    <row r="18">
      <c r="A18" s="32" t="inlineStr">
        <is>
          <t>REVIEWED BY (INFORMATION SECURITY OFFICER)</t>
        </is>
      </c>
      <c r="B18" s="21" t="n"/>
      <c r="C18" s="21" t="n"/>
      <c r="D18" s="21" t="n"/>
      <c r="E18" s="21" t="n"/>
    </row>
    <row r="19">
      <c r="A19" s="33" t="inlineStr">
        <is>
          <t>Name:</t>
        </is>
      </c>
      <c r="B19" s="25" t="n"/>
      <c r="C19" s="25" t="n"/>
      <c r="D19" s="25" t="n"/>
      <c r="E19" s="25" t="n"/>
    </row>
    <row r="20">
      <c r="A20" s="33" t="inlineStr">
        <is>
          <t>Title:</t>
        </is>
      </c>
      <c r="B20" s="25" t="n"/>
      <c r="C20" s="25" t="n"/>
      <c r="D20" s="25" t="n"/>
      <c r="E20" s="25" t="n"/>
    </row>
    <row r="21">
      <c r="A21" s="33" t="inlineStr">
        <is>
          <t>Date:</t>
        </is>
      </c>
      <c r="B21" s="25" t="n"/>
      <c r="C21" s="25" t="n"/>
      <c r="D21" s="25" t="n"/>
      <c r="E21" s="25" t="n"/>
    </row>
    <row r="22">
      <c r="A22" s="33" t="inlineStr">
        <is>
          <t>Signature:</t>
        </is>
      </c>
      <c r="B22" s="25" t="n"/>
      <c r="C22" s="25" t="n"/>
      <c r="D22" s="25" t="n"/>
      <c r="E22" s="25" t="n"/>
    </row>
    <row r="23">
      <c r="A23" s="33" t="inlineStr">
        <is>
          <t>Comments:</t>
        </is>
      </c>
      <c r="B23" s="25" t="n"/>
      <c r="C23" s="25" t="n"/>
      <c r="D23" s="25" t="n"/>
      <c r="E23" s="25" t="n"/>
    </row>
    <row r="25">
      <c r="A25" s="35" t="inlineStr">
        <is>
          <t>APPROVED BY (CISO)</t>
        </is>
      </c>
      <c r="B25" s="21" t="n"/>
      <c r="C25" s="21" t="n"/>
      <c r="D25" s="21" t="n"/>
      <c r="E25" s="21" t="n"/>
    </row>
    <row r="26">
      <c r="A26" s="33" t="inlineStr">
        <is>
          <t>Name:</t>
        </is>
      </c>
      <c r="B26" s="25" t="n"/>
      <c r="C26" s="25" t="n"/>
      <c r="D26" s="25" t="n"/>
      <c r="E26" s="25" t="n"/>
    </row>
    <row r="27">
      <c r="A27" s="33" t="inlineStr">
        <is>
          <t>Title:</t>
        </is>
      </c>
      <c r="B27" s="25" t="n"/>
      <c r="C27" s="25" t="n"/>
      <c r="D27" s="25" t="n"/>
      <c r="E27" s="25" t="n"/>
    </row>
    <row r="28">
      <c r="A28" s="33" t="inlineStr">
        <is>
          <t>Date:</t>
        </is>
      </c>
      <c r="B28" s="25" t="n"/>
      <c r="C28" s="25" t="n"/>
      <c r="D28" s="25" t="n"/>
      <c r="E28" s="25" t="n"/>
    </row>
    <row r="29">
      <c r="A29" s="33" t="inlineStr">
        <is>
          <t>Signature:</t>
        </is>
      </c>
      <c r="B29" s="25" t="n"/>
      <c r="C29" s="25" t="n"/>
      <c r="D29" s="25" t="n"/>
      <c r="E29" s="25" t="n"/>
    </row>
    <row r="30">
      <c r="A30" s="33" t="inlineStr">
        <is>
          <t>Comments:</t>
        </is>
      </c>
      <c r="B30" s="25" t="n"/>
      <c r="C30" s="25" t="n"/>
      <c r="D30" s="25" t="n"/>
      <c r="E30" s="25" t="n"/>
    </row>
    <row r="32">
      <c r="A32" s="36" t="inlineStr">
        <is>
          <t>FINAL DECISION:</t>
        </is>
      </c>
      <c r="B32" s="25" t="n"/>
      <c r="C32" s="25" t="n"/>
      <c r="D32" s="25" t="n"/>
      <c r="E32" s="25" t="n"/>
    </row>
    <row r="35">
      <c r="A35" s="32" t="inlineStr">
        <is>
          <t>NEXT REVIEW DETAILS</t>
        </is>
      </c>
      <c r="B35" s="21" t="n"/>
      <c r="C35" s="21" t="n"/>
      <c r="D35" s="21" t="n"/>
      <c r="E35" s="21" t="n"/>
    </row>
    <row r="36">
      <c r="A36" s="33" t="inlineStr">
        <is>
          <t>Next Review Date:</t>
        </is>
      </c>
      <c r="B36" s="25" t="n"/>
      <c r="C36" s="25" t="n"/>
      <c r="D36" s="25" t="n"/>
      <c r="E36" s="25" t="n"/>
    </row>
    <row r="37">
      <c r="A37" s="33" t="inlineStr">
        <is>
          <t>Review Responsible:</t>
        </is>
      </c>
      <c r="B37" s="25" t="n"/>
      <c r="C37" s="25" t="n"/>
      <c r="D37" s="25" t="n"/>
      <c r="E37" s="25" t="n"/>
    </row>
    <row r="38">
      <c r="A38" s="33" t="inlineStr">
        <is>
          <t>Special Considerations:</t>
        </is>
      </c>
      <c r="B38" s="25" t="n"/>
      <c r="C38" s="25" t="n"/>
      <c r="D38" s="25" t="n"/>
      <c r="E38" s="25"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ISMS-IMP-A.8.2-3-5.S3 — Privileged Accounts Assessment</dc:title>
  <dc:description xmlns:dc="http://purl.org/dc/elements/1.1/">ISMS Implementation Workbook — ISMS-IMP-A.8.2-3-5.S3</dc:description>
  <dc:subject xmlns:dc="http://purl.org/dc/elements/1.1/">ISO/IEC 27001:2022 — Control A.8.2-3-5: Access and Authentication Management</dc:subject>
  <dcterms:created xmlns:dcterms="http://purl.org/dc/terms/" xmlns:xsi="http://www.w3.org/2001/XMLSchema-instance" xsi:type="dcterms:W3CDTF">2026-03-01T11:12:21Z</dcterms:created>
  <dcterms:modified xmlns:dcterms="http://purl.org/dc/terms/" xmlns:xsi="http://www.w3.org/2001/XMLSchema-instance" xsi:type="dcterms:W3CDTF">2026-03-01T11:12:21Z</dcterms:modified>
</cp:coreProperties>
</file>