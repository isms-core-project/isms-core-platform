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thentication Inventory" sheetId="2" state="visible" r:id="rId2"/>
    <sheet xmlns:r="http://schemas.openxmlformats.org/officeDocument/2006/relationships" name="Protocol Analysis" sheetId="3" state="visible" r:id="rId3"/>
    <sheet xmlns:r="http://schemas.openxmlformats.org/officeDocument/2006/relationships" name="SSO Integration Status" sheetId="4" state="visible" r:id="rId4"/>
    <sheet xmlns:r="http://schemas.openxmlformats.org/officeDocument/2006/relationships" name="Password Policy" sheetId="5" state="visible" r:id="rId5"/>
    <sheet xmlns:r="http://schemas.openxmlformats.org/officeDocument/2006/relationships" name="MFA Availability" sheetId="6" state="visible" r:id="rId6"/>
    <sheet xmlns:r="http://schemas.openxmlformats.org/officeDocument/2006/relationships" name="Legacy Authentication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000000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C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0" fillId="6" borderId="1" pivotButton="0" quotePrefix="0" xfId="0"/>
    <xf numFmtId="0" fontId="5" fillId="6" borderId="1" pivotButton="0" quotePrefix="0" xfId="0"/>
    <xf numFmtId="164" fontId="5" fillId="6" borderId="1" pivotButton="0" quotePrefix="0" xfId="0"/>
    <xf numFmtId="0" fontId="8" fillId="7" borderId="0" applyAlignment="1" pivotButton="0" quotePrefix="0" xfId="0">
      <alignment horizontal="left" vertical="center"/>
    </xf>
    <xf numFmtId="0" fontId="10" fillId="6" borderId="1" pivotButton="0" quotePrefix="0" xfId="0"/>
    <xf numFmtId="0" fontId="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6" borderId="1" pivotButton="0" quotePrefix="0" xfId="0"/>
    <xf numFmtId="0" fontId="8" fillId="2" borderId="1" applyAlignment="1" pivotButton="0" quotePrefix="0" xfId="0">
      <alignment horizontal="left" vertical="center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ISMS-IMP-A.8.2-3-5.S1  -  AUTHENTICATION INVENTORY ASSESSMENT
ISO/IEC 27001:2022 - Control A.8.2-3-5: Access and Authentication Management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ISMS-IMP-A.8.2-3-5.S1</t>
        </is>
      </c>
    </row>
    <row r="5">
      <c r="A5" s="3" t="inlineStr">
        <is>
          <t>Assessment:</t>
        </is>
      </c>
      <c r="B5" s="4" t="inlineStr">
        <is>
          <t>Authentication Inventory Assessment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Generated:</t>
        </is>
      </c>
      <c r="B7" s="4" t="inlineStr">
        <is>
          <t>10.03.2026 19:49</t>
        </is>
      </c>
    </row>
    <row r="9">
      <c r="A9" s="2" t="inlineStr">
        <is>
          <t>PURPOSE</t>
        </is>
      </c>
    </row>
    <row r="10" ht="45" customHeight="1">
      <c r="A10" s="5" t="inlineStr">
        <is>
          <t>This workbook provides a framework for assessing authentication mechanisms across all organisational systems. It supports systematic inventory of methods, protocols, SSO integration, and compliance with ISO 27001:2022 Control A.8.5 requirements.</t>
        </is>
      </c>
    </row>
    <row r="12">
      <c r="A12" s="2" t="inlineStr">
        <is>
          <t>Instructions</t>
        </is>
      </c>
    </row>
    <row r="13">
      <c r="A13" s="5" t="inlineStr">
        <is>
          <t>1. AUTHENTICATION INVENTORY: Complete mechanism inventory for all systems (Sheet 2)</t>
        </is>
      </c>
    </row>
    <row r="14">
      <c r="A14" s="5" t="inlineStr">
        <is>
          <t>2. PROTOCOL ANALYSIS: Assess security of authentication protocols (Sheet 3)</t>
        </is>
      </c>
    </row>
    <row r="15">
      <c r="A15" s="5" t="inlineStr">
        <is>
          <t>3. SSO INTEGRATION: Track SSO adoption and identify integration gaps (Sheet 4)</t>
        </is>
      </c>
    </row>
    <row r="16">
      <c r="A16" s="5" t="inlineStr">
        <is>
          <t>4. PASSWORD POLICY: Verify password policy configuration compliance (Sheet 5)</t>
        </is>
      </c>
    </row>
    <row r="17">
      <c r="A17" s="5" t="inlineStr">
        <is>
          <t>5. MFA AVAILABILITY: Document MFA methods available per system (Sheet 6)</t>
        </is>
      </c>
    </row>
    <row r="18">
      <c r="A18" s="5" t="inlineStr">
        <is>
          <t>6. LEGACY DEPRECATION: Identify and plan deprecation of legacy methods (Sheet 7)</t>
        </is>
      </c>
    </row>
    <row r="19">
      <c r="A19" s="5" t="inlineStr">
        <is>
          <t>7. GAP ANALYSIS: Identify authentication security gaps (Sheet 8)</t>
        </is>
      </c>
    </row>
    <row r="20">
      <c r="A20" s="5" t="inlineStr">
        <is>
          <t>8. EVIDENCE COLLECTION: Document evidence supporting controls (Sheet 9)</t>
        </is>
      </c>
    </row>
    <row r="21">
      <c r="A21" s="5" t="inlineStr">
        <is>
          <t>9. APPROVAL: Obtain required approvals from stakeholders (Sheet 10)</t>
        </is>
      </c>
    </row>
    <row r="23">
      <c r="A23" s="2" t="inlineStr">
        <is>
          <t>Status Legend</t>
        </is>
      </c>
    </row>
    <row r="24">
      <c r="A24" s="6" t="inlineStr">
        <is>
          <t>Status</t>
        </is>
      </c>
      <c r="B24" s="6" t="inlineStr">
        <is>
          <t>Description</t>
        </is>
      </c>
      <c r="C24" s="7" t="inlineStr"/>
      <c r="D24" s="8" t="n"/>
      <c r="E24" s="8" t="n"/>
      <c r="F24" s="8" t="n"/>
      <c r="G24" s="9" t="n"/>
    </row>
    <row r="25">
      <c r="A25" s="10" t="inlineStr">
        <is>
          <t>✅ Compliant</t>
        </is>
      </c>
      <c r="B25" s="10" t="inlineStr">
        <is>
          <t>Authentication mechanism meets all security requirements</t>
        </is>
      </c>
    </row>
    <row r="26">
      <c r="A26" s="10" t="inlineStr">
        <is>
          <t>⚠ Partial Compliance</t>
        </is>
      </c>
      <c r="B26" s="10" t="inlineStr">
        <is>
          <t>Meets some but not all requirements</t>
        </is>
      </c>
    </row>
    <row r="27">
      <c r="A27" s="10" t="inlineStr">
        <is>
          <t>❌ Non-Compliant</t>
        </is>
      </c>
      <c r="B27" s="10" t="inlineStr">
        <is>
          <t>Does not meet security requirements</t>
        </is>
      </c>
    </row>
    <row r="28">
      <c r="A28" s="10" t="inlineStr">
        <is>
          <t>In Progress</t>
        </is>
      </c>
      <c r="B28" s="10" t="inlineStr">
        <is>
          <t>Improvement project in progress</t>
        </is>
      </c>
    </row>
    <row r="29">
      <c r="A29" s="10" t="inlineStr">
        <is>
          <t>Under Review</t>
        </is>
      </c>
      <c r="B29" s="10" t="inlineStr">
        <is>
          <t>Being assessed</t>
        </is>
      </c>
    </row>
    <row r="30">
      <c r="A30" s="10" t="inlineStr">
        <is>
          <t>Unknown</t>
        </is>
      </c>
      <c r="B30" s="10" t="inlineStr">
        <is>
          <t>Status not yet determined</t>
        </is>
      </c>
    </row>
    <row r="31">
      <c r="A31" s="10" t="inlineStr">
        <is>
          <t>—</t>
        </is>
      </c>
      <c r="B31" s="10" t="inlineStr">
        <is>
          <t>Not applicable</t>
        </is>
      </c>
    </row>
    <row r="33" ht="30" customHeight="1">
      <c r="A33" s="11" t="inlineStr">
        <is>
          <t>REMEMBER: Authentication security means nothing without measurable MFA coverage and modern protocols. Evidence over theatre.</t>
        </is>
      </c>
    </row>
  </sheetData>
  <mergeCells count="24">
    <mergeCell ref="A14:G14"/>
    <mergeCell ref="A17:G17"/>
    <mergeCell ref="C24:G24"/>
    <mergeCell ref="A20:G20"/>
    <mergeCell ref="A19:G19"/>
    <mergeCell ref="B29:G29"/>
    <mergeCell ref="A10:G10"/>
    <mergeCell ref="A13:G13"/>
    <mergeCell ref="B28:G28"/>
    <mergeCell ref="A9:G9"/>
    <mergeCell ref="A15:G15"/>
    <mergeCell ref="B30:G30"/>
    <mergeCell ref="A3:B3"/>
    <mergeCell ref="A1:G1"/>
    <mergeCell ref="A16:G16"/>
    <mergeCell ref="B26:G26"/>
    <mergeCell ref="B25:G25"/>
    <mergeCell ref="A18:G18"/>
    <mergeCell ref="A21:G21"/>
    <mergeCell ref="B31:G31"/>
    <mergeCell ref="A12:G12"/>
    <mergeCell ref="B27:G27"/>
    <mergeCell ref="A33:G33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22" customWidth="1" min="4" max="4"/>
    <col width="18" customWidth="1" min="5" max="5"/>
    <col width="22" customWidth="1" min="6" max="6"/>
    <col width="14" customWidth="1" min="7" max="7"/>
    <col width="14" customWidth="1" min="8" max="8"/>
    <col width="24" customWidth="1" min="9" max="9"/>
    <col width="16" customWidth="1" min="10" max="10"/>
    <col width="20" customWidth="1" min="11" max="11"/>
    <col width="18" customWidth="1" min="12" max="12"/>
    <col width="35" customWidth="1" min="13" max="13"/>
  </cols>
  <sheetData>
    <row r="1" ht="35" customHeight="1">
      <c r="A1" s="1" t="inlineStr">
        <is>
          <t>AUTHENTICATION INVENTORY</t>
        </is>
      </c>
    </row>
    <row r="2">
      <c r="A2" s="12" t="inlineStr">
        <is>
          <t>Complete inventory of authentication mechanisms for all organisational systems</t>
        </is>
      </c>
    </row>
    <row r="4">
      <c r="A4" s="13" t="inlineStr">
        <is>
          <t>System / Application</t>
        </is>
      </c>
      <c r="B4" s="13" t="inlineStr">
        <is>
          <t>System Type</t>
        </is>
      </c>
      <c r="C4" s="13" t="inlineStr">
        <is>
          <t>Environment</t>
        </is>
      </c>
      <c r="D4" s="13" t="inlineStr">
        <is>
          <t>Primary Auth Method</t>
        </is>
      </c>
      <c r="E4" s="13" t="inlineStr">
        <is>
          <t>Auth Protocol</t>
        </is>
      </c>
      <c r="F4" s="13" t="inlineStr">
        <is>
          <t>Identity Provider</t>
        </is>
      </c>
      <c r="G4" s="13" t="inlineStr">
        <is>
          <t>SSO Integrated</t>
        </is>
      </c>
      <c r="H4" s="13" t="inlineStr">
        <is>
          <t>MFA Available</t>
        </is>
      </c>
      <c r="I4" s="13" t="inlineStr">
        <is>
          <t>MFA Method</t>
        </is>
      </c>
      <c r="J4" s="13" t="inlineStr">
        <is>
          <t>Password Policy</t>
        </is>
      </c>
      <c r="K4" s="13" t="inlineStr">
        <is>
          <t>Security Rating</t>
        </is>
      </c>
      <c r="L4" s="13" t="inlineStr">
        <is>
          <t>Compliance Status</t>
        </is>
      </c>
      <c r="M4" s="13" t="inlineStr">
        <is>
          <t>Notes / Gaps</t>
        </is>
      </c>
    </row>
    <row r="5">
      <c r="A5" s="14" t="inlineStr">
        <is>
          <t>SYS-001 / [App Name]</t>
        </is>
      </c>
      <c r="B5" s="14" t="inlineStr">
        <is>
          <t>SaaS</t>
        </is>
      </c>
      <c r="C5" s="14" t="inlineStr">
        <is>
          <t>Production</t>
        </is>
      </c>
      <c r="D5" s="14" t="inlineStr">
        <is>
          <t>Password + MFA (Mandatory)</t>
        </is>
      </c>
      <c r="E5" s="14" t="inlineStr">
        <is>
          <t>SAML 2.0</t>
        </is>
      </c>
      <c r="F5" s="14" t="inlineStr">
        <is>
          <t>Microsoft Entra ID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Authenticator App (TOTP)</t>
        </is>
      </c>
      <c r="J5" s="14" t="inlineStr">
        <is>
          <t>Compliant</t>
        </is>
      </c>
      <c r="K5" s="14" t="inlineStr">
        <is>
          <t>Adequate (70-89%)</t>
        </is>
      </c>
      <c r="L5" s="14" t="inlineStr">
        <is>
          <t>✅ Compliant</t>
        </is>
      </c>
      <c r="M5" s="14" t="inlineStr">
        <is>
          <t>[Notes]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</sheetData>
  <mergeCells count="2">
    <mergeCell ref="A2:M2"/>
    <mergeCell ref="A1:M1"/>
  </mergeCells>
  <dataValidations count="9">
    <dataValidation sqref="D5:D55" showDropDown="0" showInputMessage="0" showErrorMessage="0" allowBlank="1" type="list">
      <formula1>"Password Only,Password + MFA (Optional),Password + MFA (Mandatory),SSO (Password-based),SSO + MFA (Mandatory),Certificate-Based,Certificate + MFA,Hardware Token (FIDO2),Biometric,Smart Card,Other (Specify)"</formula1>
    </dataValidation>
    <dataValidation sqref="E5:E55" showDropDown="0" showInputMessage="0" showErrorMessage="0" allowBlank="1" type="list">
      <formula1>"SAML 2.0,OAuth 2.0,OpenID Connect (OIDC),Kerberos,RADIUS,LDAP,LDAPS (LDAP over TLS),NTLM (Legacy),Basic Auth (Legacy),Certificate (mTLS),Custom/Proprietary,Unknown"</formula1>
    </dataValidation>
    <dataValidation sqref="F5:F55" showDropDown="0" showInputMessage="0" showErrorMessage="0" allowBlank="1" type="list">
      <formula1>"Microsoft Entra ID,Okta,Google Workspace,Active Directory (On-Prem),Auth0,Ping Identity,OneLogin,Local Authentication,Application-Specific"</formula1>
    </dataValidation>
    <dataValidation sqref="G5:G55" showDropDown="0" showInputMessage="0" showErrorMessage="0" allowBlank="1" type="list">
      <formula1>"Yes,No,In Progress,Not Supported"</formula1>
    </dataValidation>
    <dataValidation sqref="H5:H55" showDropDown="0" showInputMessage="0" showErrorMessage="0" allowBlank="1" type="list">
      <formula1>"Yes,No,Planned"</formula1>
    </dataValidation>
    <dataValidation sqref="I5:I55" showDropDown="0" showInputMessage="0" showErrorMessage="0" allowBlank="1" type="list">
      <formula1>"Hardware Token (FIDO2/YubiKey),Authenticator App (TOTP),Push Notification,Biometric (Fingerprint/Face),SMS (Discouraged),Voice Call,Email OTP,Not Available"</formula1>
    </dataValidation>
    <dataValidation sqref="J5:J55" showDropDown="0" showInputMessage="0" showErrorMessage="0" allowBlank="1" type="list">
      <formula1>"Compliant,Partial,Non-Compliant,N/A (Certificate)"</formula1>
    </dataValidation>
    <dataValidation sqref="K5:K55" showDropDown="0" showInputMessage="0" showErrorMessage="0" allowBlank="1" type="list">
      <formula1>"Strong (90-100%),Adequate (70-89%),Weak (50-69%),Poor (&lt;50%),Unacceptable"</formula1>
    </dataValidation>
    <dataValidation sqref="L5:L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3" max="3"/>
    <col width="14" customWidth="1" min="4" max="4"/>
    <col width="22" customWidth="1" min="5" max="5"/>
    <col width="18" customWidth="1" min="7" max="7"/>
    <col width="30" customWidth="1" min="8" max="8"/>
    <col width="14" customWidth="1" min="9" max="9"/>
    <col width="35" customWidth="1" min="10" max="10"/>
  </cols>
  <sheetData>
    <row r="1" ht="35" customHeight="1">
      <c r="A1" s="1" t="inlineStr">
        <is>
          <t>PROTOCOL ANALYSIS</t>
        </is>
      </c>
    </row>
    <row r="2">
      <c r="A2" s="12" t="inlineStr">
        <is>
          <t>Security assessment of authentication protocols in use</t>
        </is>
      </c>
    </row>
    <row r="4">
      <c r="A4" s="13" t="inlineStr">
        <is>
          <t>Protocol Name</t>
        </is>
      </c>
      <c r="B4" s="13" t="inlineStr">
        <is>
          <t>Systems Using</t>
        </is>
      </c>
      <c r="C4" s="13" t="inlineStr">
        <is>
          <t>Security Level</t>
        </is>
      </c>
      <c r="D4" s="13" t="inlineStr">
        <is>
          <t>TLS Required</t>
        </is>
      </c>
      <c r="E4" s="13" t="inlineStr">
        <is>
          <t>TLS Version</t>
        </is>
      </c>
      <c r="F4" s="13" t="inlineStr">
        <is>
          <t>Deprecation Status</t>
        </is>
      </c>
      <c r="G4" s="13" t="inlineStr">
        <is>
          <t>Compliance Rating</t>
        </is>
      </c>
      <c r="H4" s="13" t="inlineStr">
        <is>
          <t>Remediation Plan</t>
        </is>
      </c>
      <c r="I4" s="13" t="inlineStr">
        <is>
          <t>Target Date</t>
        </is>
      </c>
      <c r="J4" s="13" t="inlineStr">
        <is>
          <t>Notes</t>
        </is>
      </c>
    </row>
    <row r="5">
      <c r="A5" s="14" t="inlineStr">
        <is>
          <t>SAML 2.0</t>
        </is>
      </c>
      <c r="B5" s="14" t="inlineStr">
        <is>
          <t>Office 365, CRM</t>
        </is>
      </c>
      <c r="C5" s="14" t="inlineStr">
        <is>
          <t>Strong</t>
        </is>
      </c>
      <c r="D5" s="14" t="inlineStr">
        <is>
          <t>Yes</t>
        </is>
      </c>
      <c r="E5" s="14" t="inlineStr">
        <is>
          <t>TLS 1.3</t>
        </is>
      </c>
      <c r="F5" s="14" t="inlineStr">
        <is>
          <t>Active - Recommended</t>
        </is>
      </c>
      <c r="G5" s="14" t="inlineStr">
        <is>
          <t>✅ Compliant</t>
        </is>
      </c>
      <c r="H5" s="14" t="inlineStr"/>
      <c r="I5" s="14" t="inlineStr"/>
      <c r="J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6">
    <dataValidation sqref="A5:A55" showDropDown="0" showInputMessage="0" showErrorMessage="0" allowBlank="1" type="list">
      <formula1>"SAML 2.0,OAuth 2.0,OpenID Connect (OIDC),Kerberos,RADIUS,LDAP,LDAPS (LDAP over TLS),NTLM (Legacy),Basic Auth (Legacy),Certificate (mTLS),Custom/Proprietary,Unknown"</formula1>
    </dataValidation>
    <dataValidation sqref="C5:C55" showDropDown="0" showInputMessage="0" showErrorMessage="0" allowBlank="1" type="list">
      <formula1>"Strong,Adequate,Weak,Legacy/Insecure"</formula1>
    </dataValidation>
    <dataValidation sqref="D5:D55" showDropDown="0" showInputMessage="0" showErrorMessage="0" allowBlank="1" type="list">
      <formula1>"Yes,No,N/A"</formula1>
    </dataValidation>
    <dataValidation sqref="E5:E55" showDropDown="0" showInputMessage="0" showErrorMessage="0" allowBlank="1" type="list">
      <formula1>"TLS 1.3,TLS 1.2,TLS 1.1 (Deprecated),TLS 1.0 (Insecure),No TLS"</formula1>
    </dataValidation>
    <dataValidation sqref="F5:F55" showDropDown="0" showInputMessage="0" showErrorMessage="0" allowBlank="1" type="list">
      <formula1>"Active - Recommended,Active - Acceptable,Deprecated - Migrate,Prohibited - Block"</formula1>
    </dataValidation>
    <dataValidation sqref="G5:G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2" max="2"/>
    <col width="20" customWidth="1" min="4" max="4"/>
    <col width="14" customWidth="1" min="6" max="6"/>
    <col width="22" customWidth="1" min="7" max="7"/>
    <col width="22" customWidth="1" min="8" max="8"/>
    <col width="14" customWidth="1" min="9" max="9"/>
    <col width="18" customWidth="1" min="10" max="10"/>
    <col width="35" customWidth="1" min="11" max="11"/>
  </cols>
  <sheetData>
    <row r="1" ht="35" customHeight="1">
      <c r="A1" s="1" t="inlineStr">
        <is>
          <t>SSO INTEGRATION STATUS</t>
        </is>
      </c>
    </row>
    <row r="2">
      <c r="A2" s="12" t="inlineStr">
        <is>
          <t>Track SSO adoption and identify integration gaps (Target: 90%+ SSO integration)</t>
        </is>
      </c>
    </row>
    <row r="4">
      <c r="A4" s="13" t="inlineStr">
        <is>
          <t>Application Name</t>
        </is>
      </c>
      <c r="B4" s="13" t="inlineStr">
        <is>
          <t>Application Type</t>
        </is>
      </c>
      <c r="C4" s="13" t="inlineStr">
        <is>
          <t>User Count</t>
        </is>
      </c>
      <c r="D4" s="13" t="inlineStr">
        <is>
          <t>SSO Status</t>
        </is>
      </c>
      <c r="E4" s="13" t="inlineStr">
        <is>
          <t>SSO Protocol</t>
        </is>
      </c>
      <c r="F4" s="13" t="inlineStr">
        <is>
          <t>Integration Date</t>
        </is>
      </c>
      <c r="G4" s="13" t="inlineStr">
        <is>
          <t>SSO Platform</t>
        </is>
      </c>
      <c r="H4" s="13" t="inlineStr">
        <is>
          <t>Integration Effort</t>
        </is>
      </c>
      <c r="I4" s="13" t="inlineStr">
        <is>
          <t>Business Priority</t>
        </is>
      </c>
      <c r="J4" s="13" t="inlineStr">
        <is>
          <t>Compliance Status</t>
        </is>
      </c>
      <c r="K4" s="13" t="inlineStr">
        <is>
          <t>Notes</t>
        </is>
      </c>
    </row>
    <row r="5">
      <c r="A5" s="14" t="inlineStr">
        <is>
          <t>[Application Name]</t>
        </is>
      </c>
      <c r="B5" s="14" t="inlineStr">
        <is>
          <t>SaaS</t>
        </is>
      </c>
      <c r="C5" s="14" t="inlineStr">
        <is>
          <t>50</t>
        </is>
      </c>
      <c r="D5" s="14" t="inlineStr">
        <is>
          <t>Integrated</t>
        </is>
      </c>
      <c r="E5" s="14" t="inlineStr">
        <is>
          <t>SAML 2.0</t>
        </is>
      </c>
      <c r="F5" s="14" t="inlineStr">
        <is>
          <t>10.03.2026</t>
        </is>
      </c>
      <c r="G5" s="14" t="inlineStr">
        <is>
          <t>Microsoft Entra ID</t>
        </is>
      </c>
      <c r="H5" s="14" t="inlineStr">
        <is>
          <t>Low (Pre-built)</t>
        </is>
      </c>
      <c r="I5" s="14" t="inlineStr">
        <is>
          <t>High</t>
        </is>
      </c>
      <c r="J5" s="14" t="inlineStr">
        <is>
          <t>✅ Compliant</t>
        </is>
      </c>
      <c r="K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6">
    <dataValidation sqref="B5:B55" showDropDown="0" showInputMessage="0" showErrorMessage="0" allowBlank="1" type="list">
      <formula1>"SaaS,On-Premises Web App,Cloud Service,Internal Portal,Database,Legacy,Other"</formula1>
    </dataValidation>
    <dataValidation sqref="D5:D55" showDropDown="0" showInputMessage="0" showErrorMessage="0" allowBlank="1" type="list">
      <formula1>"Integrated,In Progress,Planned,Not Supported,Password Vaulting,Not Assessed"</formula1>
    </dataValidation>
    <dataValidation sqref="E5:E55" showDropDown="0" showInputMessage="0" showErrorMessage="0" allowBlank="1" type="list">
      <formula1>"SAML 2.0,OAuth 2.0,OpenID Connect,WS-Federation,Not Supported"</formula1>
    </dataValidation>
    <dataValidation sqref="G5:G55" showDropDown="0" showInputMessage="0" showErrorMessage="0" allowBlank="1" type="list">
      <formula1>"Microsoft Entra ID,Okta,Google Workspace,Active Directory (On-Prem),Auth0,Ping Identity,OneLogin,Local Authentication,Application-Specific"</formula1>
    </dataValidation>
    <dataValidation sqref="H5:H55" showDropDown="0" showInputMessage="0" showErrorMessage="0" allowBlank="1" type="list">
      <formula1>"Low (Pre-built),Medium (Custom Config),High (Development),Not Possible"</formula1>
    </dataValidation>
    <dataValidation sqref="I5:I55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4" max="4"/>
    <col width="16" customWidth="1" min="7" max="7"/>
    <col width="16" customWidth="1" min="8" max="8"/>
    <col width="18" customWidth="1" min="10" max="10"/>
    <col width="18" customWidth="1" min="11" max="11"/>
    <col width="35" customWidth="1" min="12" max="12"/>
  </cols>
  <sheetData>
    <row r="1" ht="35" customHeight="1">
      <c r="A1" s="1" t="inlineStr">
        <is>
          <t>PASSWORD POLICY</t>
        </is>
      </c>
    </row>
    <row r="2">
      <c r="A2" s="12" t="inlineStr">
        <is>
          <t>Modern password policies: length over complexity, no forced expiry, breach detection enabled</t>
        </is>
      </c>
    </row>
    <row r="4">
      <c r="A4" s="13" t="inlineStr">
        <is>
          <t>System / Platform</t>
        </is>
      </c>
      <c r="B4" s="13" t="inlineStr">
        <is>
          <t>Policy Enforced</t>
        </is>
      </c>
      <c r="C4" s="13" t="inlineStr">
        <is>
          <t>Min Length</t>
        </is>
      </c>
      <c r="D4" s="13" t="inlineStr">
        <is>
          <t>Complexity Req</t>
        </is>
      </c>
      <c r="E4" s="13" t="inlineStr">
        <is>
          <t>Password Expiry</t>
        </is>
      </c>
      <c r="F4" s="13" t="inlineStr">
        <is>
          <t>History Count</t>
        </is>
      </c>
      <c r="G4" s="13" t="inlineStr">
        <is>
          <t>Breach Detection</t>
        </is>
      </c>
      <c r="H4" s="13" t="inlineStr">
        <is>
          <t>Lockout Threshold</t>
        </is>
      </c>
      <c r="I4" s="13" t="inlineStr">
        <is>
          <t>Compliance Score</t>
        </is>
      </c>
      <c r="J4" s="13" t="inlineStr">
        <is>
          <t>Gaps Identified</t>
        </is>
      </c>
      <c r="K4" s="13" t="inlineStr">
        <is>
          <t>Compliance Status</t>
        </is>
      </c>
      <c r="L4" s="13" t="inlineStr">
        <is>
          <t>Notes</t>
        </is>
      </c>
    </row>
    <row r="5">
      <c r="A5" s="14" t="inlineStr">
        <is>
          <t>[System Name]</t>
        </is>
      </c>
      <c r="B5" s="14" t="inlineStr">
        <is>
          <t>Yes</t>
        </is>
      </c>
      <c r="C5" s="14" t="inlineStr">
        <is>
          <t>14</t>
        </is>
      </c>
      <c r="D5" s="14" t="inlineStr">
        <is>
          <t>Yes</t>
        </is>
      </c>
      <c r="E5" s="14" t="inlineStr">
        <is>
          <t>Never (Recommended)</t>
        </is>
      </c>
      <c r="F5" s="14" t="inlineStr">
        <is>
          <t>10</t>
        </is>
      </c>
      <c r="G5" s="14" t="inlineStr">
        <is>
          <t>Enabled</t>
        </is>
      </c>
      <c r="H5" s="14" t="inlineStr">
        <is>
          <t>5 attempts</t>
        </is>
      </c>
      <c r="I5" s="14" t="inlineStr">
        <is>
          <t>100% Compliant</t>
        </is>
      </c>
      <c r="J5" s="14" t="inlineStr">
        <is>
          <t>None</t>
        </is>
      </c>
      <c r="K5" s="14" t="inlineStr">
        <is>
          <t>✅ Compliant</t>
        </is>
      </c>
      <c r="L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2">
    <mergeCell ref="A2:L2"/>
    <mergeCell ref="A1:L1"/>
  </mergeCells>
  <dataValidations count="4">
    <dataValidation sqref="B5:B55" showDropDown="0" showInputMessage="0" showErrorMessage="0" allowBlank="1" type="list">
      <formula1>"Yes,No,Partial"</formula1>
    </dataValidation>
    <dataValidation sqref="E5:E55" showDropDown="0" showInputMessage="0" showErrorMessage="0" allowBlank="1" type="list">
      <formula1>"Never (Recommended),90 Days,60 Days,30 Days,Custom"</formula1>
    </dataValidation>
    <dataValidation sqref="G5:G55" showDropDown="0" showInputMessage="0" showErrorMessage="0" allowBlank="1" type="list">
      <formula1>"✅ Enabled,❌ Not Available,Planned"</formula1>
    </dataValidation>
    <dataValidation sqref="K5:K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MFA AVAILABILITY</t>
        </is>
      </c>
    </row>
    <row r="2">
      <c r="A2" s="12" t="inlineStr">
        <is>
          <t>MFA method availability per system</t>
        </is>
      </c>
    </row>
    <row r="4">
      <c r="A4" s="13" t="inlineStr">
        <is>
          <t>System / Application</t>
        </is>
      </c>
      <c r="B4" s="13" t="inlineStr">
        <is>
          <t>MFA Available</t>
        </is>
      </c>
      <c r="C4" s="13" t="inlineStr">
        <is>
          <t>MFA Methods Supported</t>
        </is>
      </c>
      <c r="D4" s="13" t="inlineStr">
        <is>
          <t>Hardware Token</t>
        </is>
      </c>
      <c r="E4" s="13" t="inlineStr">
        <is>
          <t>Authenticator App</t>
        </is>
      </c>
      <c r="F4" s="13" t="inlineStr">
        <is>
          <t>Deployment Status</t>
        </is>
      </c>
      <c r="G4" s="13" t="inlineStr">
        <is>
          <t>Compliance</t>
        </is>
      </c>
    </row>
    <row r="5">
      <c r="A5" s="14" t="inlineStr">
        <is>
          <t>[System Name]</t>
        </is>
      </c>
      <c r="B5" s="14" t="inlineStr">
        <is>
          <t>Yes</t>
        </is>
      </c>
      <c r="C5" s="14" t="inlineStr">
        <is>
          <t>Authenticator App, Push</t>
        </is>
      </c>
      <c r="D5" s="14" t="inlineStr">
        <is>
          <t>No</t>
        </is>
      </c>
      <c r="E5" s="14" t="inlineStr">
        <is>
          <t>Yes</t>
        </is>
      </c>
      <c r="F5" s="14" t="inlineStr">
        <is>
          <t>Deployed</t>
        </is>
      </c>
      <c r="G5" s="14" t="inlineStr">
        <is>
          <t>✅ Compliant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LEGACY AUTHENTICATION</t>
        </is>
      </c>
    </row>
    <row r="2">
      <c r="A2" s="12" t="inlineStr">
        <is>
          <t>Identify and plan migration from legacy protocols (NTLM, Basic Auth)</t>
        </is>
      </c>
    </row>
    <row r="4">
      <c r="A4" s="13" t="inlineStr">
        <is>
          <t>System</t>
        </is>
      </c>
      <c r="B4" s="13" t="inlineStr">
        <is>
          <t>Legacy Protocol</t>
        </is>
      </c>
      <c r="C4" s="13" t="inlineStr">
        <is>
          <t>Risk Level</t>
        </is>
      </c>
      <c r="D4" s="13" t="inlineStr">
        <is>
          <t>Users Affected</t>
        </is>
      </c>
      <c r="E4" s="13" t="inlineStr">
        <is>
          <t>Migration Plan</t>
        </is>
      </c>
      <c r="F4" s="13" t="inlineStr">
        <is>
          <t>Target Date</t>
        </is>
      </c>
      <c r="G4" s="13" t="inlineStr">
        <is>
          <t>Status</t>
        </is>
      </c>
    </row>
    <row r="5">
      <c r="A5" s="14" t="inlineStr">
        <is>
          <t>[System Name]</t>
        </is>
      </c>
      <c r="B5" s="14" t="inlineStr">
        <is>
          <t>NTLM (Legacy)</t>
        </is>
      </c>
      <c r="C5" s="14" t="inlineStr">
        <is>
          <t>High</t>
        </is>
      </c>
      <c r="D5" s="14" t="inlineStr">
        <is>
          <t>50</t>
        </is>
      </c>
      <c r="E5" s="14" t="inlineStr">
        <is>
          <t>Migrate to SAML 2.0</t>
        </is>
      </c>
      <c r="F5" s="14" t="inlineStr">
        <is>
          <t>10.03.2026</t>
        </is>
      </c>
      <c r="G5" s="14" t="inlineStr">
        <is>
          <t>In Progress</t>
        </is>
      </c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GAP ANALYSIS</t>
        </is>
      </c>
    </row>
    <row r="2">
      <c r="A2" s="12" t="inlineStr">
        <is>
          <t>Authentication security gaps requiring remediation</t>
        </is>
      </c>
    </row>
    <row r="4">
      <c r="A4" s="13" t="inlineStr">
        <is>
          <t>Gap ID</t>
        </is>
      </c>
      <c r="B4" s="13" t="inlineStr">
        <is>
          <t>System / Area</t>
        </is>
      </c>
      <c r="C4" s="13" t="inlineStr">
        <is>
          <t>Gap Description</t>
        </is>
      </c>
      <c r="D4" s="13" t="inlineStr">
        <is>
          <t>Risk Level</t>
        </is>
      </c>
      <c r="E4" s="13" t="inlineStr">
        <is>
          <t>Impact</t>
        </is>
      </c>
      <c r="F4" s="13" t="inlineStr">
        <is>
          <t>Remediation Plan</t>
        </is>
      </c>
      <c r="G4" s="13" t="inlineStr">
        <is>
          <t>Owner</t>
        </is>
      </c>
      <c r="H4" s="13" t="inlineStr">
        <is>
          <t>Target Date</t>
        </is>
      </c>
      <c r="I4" s="13" t="inlineStr">
        <is>
          <t>Status</t>
        </is>
      </c>
    </row>
    <row r="5">
      <c r="A5" s="14" t="inlineStr">
        <is>
          <t>GAP-001</t>
        </is>
      </c>
      <c r="B5" s="14" t="inlineStr">
        <is>
          <t>[System]</t>
        </is>
      </c>
      <c r="C5" s="14" t="inlineStr">
        <is>
          <t>[Gap description]</t>
        </is>
      </c>
      <c r="D5" s="14" t="inlineStr">
        <is>
          <t>High</t>
        </is>
      </c>
      <c r="E5" s="14" t="inlineStr">
        <is>
          <t>[Impact]</t>
        </is>
      </c>
      <c r="F5" s="14" t="inlineStr">
        <is>
          <t>[Remediation plan]</t>
        </is>
      </c>
      <c r="G5" s="14" t="inlineStr">
        <is>
          <t>[Owner]</t>
        </is>
      </c>
      <c r="H5" s="14" t="inlineStr">
        <is>
          <t>10.03.2026</t>
        </is>
      </c>
      <c r="I5" s="14" t="inlineStr">
        <is>
          <t>Open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40" customWidth="1" min="4" max="4"/>
    <col width="30" customWidth="1" min="5" max="5"/>
    <col width="14" customWidth="1" min="6" max="6"/>
    <col width="18" customWidth="1" min="7" max="7"/>
    <col width="18" customWidth="1" min="8" max="8"/>
  </cols>
  <sheetData>
    <row r="1" ht="35" customHeight="1">
      <c r="A1" s="16" t="inlineStr">
        <is>
          <t>EVIDENCE REGISTER</t>
        </is>
      </c>
    </row>
    <row r="2">
      <c r="A2" s="17" t="inlineStr">
        <is>
          <t>ISMS-IMP-A.8.2-3-5.S1 - Authentication Inventory Assessment — Evidence log for audit readiness</t>
        </is>
      </c>
    </row>
    <row r="4">
      <c r="A4" s="13" t="inlineStr">
        <is>
          <t>Evidence ID</t>
        </is>
      </c>
      <c r="B4" s="13" t="inlineStr">
        <is>
          <t>Control Ref</t>
        </is>
      </c>
      <c r="C4" s="13" t="inlineStr">
        <is>
          <t>Evidence Type</t>
        </is>
      </c>
      <c r="D4" s="13" t="inlineStr">
        <is>
          <t>Description</t>
        </is>
      </c>
      <c r="E4" s="13" t="inlineStr">
        <is>
          <t>Location / Reference</t>
        </is>
      </c>
      <c r="F4" s="13" t="inlineStr">
        <is>
          <t>Date Collected</t>
        </is>
      </c>
      <c r="G4" s="13" t="inlineStr">
        <is>
          <t>Collected By</t>
        </is>
      </c>
      <c r="H4" s="13" t="inlineStr">
        <is>
          <t>Verification Status</t>
        </is>
      </c>
    </row>
    <row r="5">
      <c r="A5" s="14" t="inlineStr">
        <is>
          <t>EV-001</t>
        </is>
      </c>
      <c r="B5" s="14" t="inlineStr">
        <is>
          <t>A.8.5</t>
        </is>
      </c>
      <c r="C5" s="14" t="inlineStr">
        <is>
          <t>Screenshot</t>
        </is>
      </c>
      <c r="D5" s="14" t="inlineStr">
        <is>
          <t>MFA enrollment report from identity provider</t>
        </is>
      </c>
      <c r="E5" s="14" t="inlineStr">
        <is>
          <t>SharePoint/Evidence/A8235/</t>
        </is>
      </c>
      <c r="F5" s="14" t="inlineStr">
        <is>
          <t>10.03.2026</t>
        </is>
      </c>
      <c r="G5" s="14" t="inlineStr">
        <is>
          <t>[Name]</t>
        </is>
      </c>
      <c r="H5" s="14" t="inlineStr">
        <is>
          <t>✅ 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12" customWidth="1" min="7" max="7"/>
  </cols>
  <sheetData>
    <row r="1" ht="35" customHeight="1">
      <c r="A1" s="1" t="inlineStr">
        <is>
          <t>AUTHENTICATION INVENTORY — SUMMARY DASHBOARD</t>
        </is>
      </c>
    </row>
    <row r="2">
      <c r="A2" s="18" t="inlineStr">
        <is>
          <t>Key assessment metrics for authentication inventory, protocol security, and gap analysis</t>
        </is>
      </c>
    </row>
    <row r="3">
      <c r="A3" s="19" t="inlineStr">
        <is>
          <t>TABLE 1 — ASSESSMENT AREA COMPLIANCE</t>
        </is>
      </c>
      <c r="B3" s="20" t="n"/>
      <c r="C3" s="20" t="n"/>
      <c r="D3" s="20" t="n"/>
      <c r="E3" s="20" t="n"/>
      <c r="F3" s="20" t="n"/>
      <c r="G3" s="20" t="n"/>
    </row>
    <row r="4">
      <c r="A4" s="6" t="inlineStr">
        <is>
          <t>Assessment Area</t>
        </is>
      </c>
      <c r="B4" s="6" t="inlineStr">
        <is>
          <t>Total Items</t>
        </is>
      </c>
      <c r="C4" s="6" t="inlineStr">
        <is>
          <t>Compliant</t>
        </is>
      </c>
      <c r="D4" s="6" t="inlineStr">
        <is>
          <t>Partial</t>
        </is>
      </c>
      <c r="E4" s="6" t="inlineStr">
        <is>
          <t>Non-Compliant</t>
        </is>
      </c>
      <c r="F4" s="6" t="inlineStr">
        <is>
          <t>N/A</t>
        </is>
      </c>
      <c r="G4" s="6" t="inlineStr">
        <is>
          <t>Compliance %</t>
        </is>
      </c>
    </row>
    <row r="5">
      <c r="A5" s="21" t="inlineStr">
        <is>
          <t>Authentication Inventory</t>
        </is>
      </c>
      <c r="B5" s="21">
        <f>COUNTA('Authentication Inventory'!B6:B55)</f>
        <v/>
      </c>
      <c r="C5" s="21">
        <f>COUNTIF('Authentication Inventory'!L6:L55,"✅ Compliant")</f>
        <v/>
      </c>
      <c r="D5" s="21">
        <f>COUNTIF('Authentication Inventory'!L6:L55,"⚠ Partial Compliance")</f>
        <v/>
      </c>
      <c r="E5" s="21">
        <f>COUNTIF('Authentication Inventory'!L6:L55,"❌ Non-Compliant")</f>
        <v/>
      </c>
      <c r="F5" s="21">
        <f>COUNTIF('Authentication Inventory'!L6:L55,"N/A")</f>
        <v/>
      </c>
      <c r="G5" s="22">
        <f>IF((B5-F5)=0,0,C5/(B5-F5))</f>
        <v/>
      </c>
    </row>
    <row r="6">
      <c r="A6" s="21" t="inlineStr">
        <is>
          <t>Protocol Security Analysis</t>
        </is>
      </c>
      <c r="B6" s="21">
        <f>COUNTA('Protocol Analysis'!A6:A55)</f>
        <v/>
      </c>
      <c r="C6" s="21">
        <f>COUNTIF('Protocol Analysis'!G6:G55,"✅ Compliant")</f>
        <v/>
      </c>
      <c r="D6" s="21">
        <f>COUNTIF('Protocol Analysis'!G6:G55,"⚠ Partial Compliance")</f>
        <v/>
      </c>
      <c r="E6" s="21">
        <f>COUNTIF('Protocol Analysis'!G6:G55,"❌ Non-Compliant")</f>
        <v/>
      </c>
      <c r="F6" s="21">
        <f>COUNTIF('Protocol Analysis'!G6:G55,"N/A")</f>
        <v/>
      </c>
      <c r="G6" s="22">
        <f>IF((B6-F6)=0,0,C6/(B6-F6))</f>
        <v/>
      </c>
    </row>
    <row r="7">
      <c r="A7" s="21" t="inlineStr">
        <is>
          <t>Password Policy Compliance</t>
        </is>
      </c>
      <c r="B7" s="21">
        <f>COUNTA('Password Policy'!A6:A55)</f>
        <v/>
      </c>
      <c r="C7" s="21">
        <f>COUNTIF('Password Policy'!K6:K55,"✅ Compliant")</f>
        <v/>
      </c>
      <c r="D7" s="21">
        <f>COUNTIF('Password Policy'!K6:K55,"⚠ Partial Compliance")</f>
        <v/>
      </c>
      <c r="E7" s="21">
        <f>COUNTIF('Password Policy'!K6:K55,"❌ Non-Compliant")</f>
        <v/>
      </c>
      <c r="F7" s="21">
        <f>COUNTIF('Password Policy'!K6:K55,"N/A")</f>
        <v/>
      </c>
      <c r="G7" s="22">
        <f>IF((B7-F7)=0,0,C7/(B7-F7))</f>
        <v/>
      </c>
    </row>
    <row r="8">
      <c r="A8" s="21" t="inlineStr">
        <is>
          <t>Gap Analysis Status</t>
        </is>
      </c>
      <c r="B8" s="21">
        <f>COUNTA('Gap Analysis'!A6:A55)</f>
        <v/>
      </c>
      <c r="C8" s="21">
        <f>COUNTIF('Gap Analysis'!I6:I55,"Closed")</f>
        <v/>
      </c>
      <c r="D8" s="21">
        <f>COUNTIF('Gap Analysis'!I6:I55,"In Progress")</f>
        <v/>
      </c>
      <c r="E8" s="21">
        <f>COUNTIF('Gap Analysis'!I6:I55,"Open")</f>
        <v/>
      </c>
      <c r="F8" s="21">
        <f>0</f>
        <v/>
      </c>
      <c r="G8" s="22">
        <f>IF((B8-F8)=0,0,C8/(B8-F8))</f>
        <v/>
      </c>
    </row>
    <row r="9">
      <c r="A9" s="23" t="n"/>
      <c r="B9" s="23" t="n"/>
      <c r="C9" s="23" t="n"/>
      <c r="D9" s="23" t="n"/>
      <c r="E9" s="23" t="n"/>
      <c r="F9" s="23" t="n"/>
      <c r="G9" s="23" t="n"/>
    </row>
    <row r="10">
      <c r="A10" s="23" t="n"/>
      <c r="B10" s="23" t="n"/>
      <c r="C10" s="23" t="n"/>
      <c r="D10" s="23" t="n"/>
      <c r="E10" s="23" t="n"/>
      <c r="F10" s="23" t="n"/>
      <c r="G10" s="23" t="n"/>
    </row>
    <row r="12">
      <c r="A12" s="19" t="inlineStr">
        <is>
          <t>TABLE 2 — KEY PERFORMANCE INDICATORS</t>
        </is>
      </c>
      <c r="B12" s="20" t="n"/>
      <c r="C12" s="20" t="n"/>
      <c r="D12" s="20" t="n"/>
      <c r="E12" s="20" t="n"/>
      <c r="F12" s="20" t="n"/>
      <c r="G12" s="20" t="n"/>
    </row>
    <row r="13">
      <c r="A13" s="6" t="inlineStr">
        <is>
          <t>KPI</t>
        </is>
      </c>
      <c r="B13" s="6" t="inlineStr">
        <is>
          <t>Current Value</t>
        </is>
      </c>
      <c r="C13" s="6" t="inlineStr">
        <is>
          <t>Target</t>
        </is>
      </c>
      <c r="D13" s="6" t="inlineStr">
        <is>
          <t>Status</t>
        </is>
      </c>
      <c r="E13" s="6" t="inlineStr">
        <is>
          <t>Last Updated</t>
        </is>
      </c>
      <c r="F13" s="6" t="inlineStr">
        <is>
          <t>Owner</t>
        </is>
      </c>
      <c r="G13" s="6" t="inlineStr">
        <is>
          <t>Notes</t>
        </is>
      </c>
    </row>
    <row r="14">
      <c r="A14" s="24" t="inlineStr">
        <is>
          <t>Total Systems Assessed</t>
        </is>
      </c>
      <c r="B14" s="24">
        <f>COUNTA('Authentication Inventory'!B6:B55)</f>
        <v/>
      </c>
      <c r="C14" s="23" t="n"/>
      <c r="D14" s="23" t="n"/>
      <c r="E14" s="23" t="n"/>
      <c r="F14" s="23" t="n"/>
      <c r="G14" s="23" t="n"/>
    </row>
    <row r="15">
      <c r="A15" s="24" t="inlineStr">
        <is>
          <t>Authentication Compliance Rate</t>
        </is>
      </c>
      <c r="B15" s="25">
        <f>IF(COUNTA('Authentication Inventory'!B6:B55)=0,0,COUNTIF('Authentication Inventory'!L6:L55,"✅ Compliant")/COUNTA('Authentication Inventory'!B6:B55))</f>
        <v/>
      </c>
      <c r="C15" s="23" t="n"/>
      <c r="D15" s="23" t="n"/>
      <c r="E15" s="23" t="n"/>
      <c r="F15" s="23" t="n"/>
      <c r="G15" s="23" t="n"/>
    </row>
    <row r="16">
      <c r="A16" s="24" t="inlineStr">
        <is>
          <t>Protocol Security Compliance</t>
        </is>
      </c>
      <c r="B16" s="25">
        <f>IF(COUNTA('Protocol Analysis'!A6:A55)=0,0,COUNTIF('Protocol Analysis'!G6:G55,"✅ Compliant")/COUNTA('Protocol Analysis'!A6:A55))</f>
        <v/>
      </c>
      <c r="C16" s="23" t="n"/>
      <c r="D16" s="23" t="n"/>
      <c r="E16" s="23" t="n"/>
      <c r="F16" s="23" t="n"/>
      <c r="G16" s="23" t="n"/>
    </row>
    <row r="17">
      <c r="A17" s="24" t="inlineStr">
        <is>
          <t>SSO Integration Rate</t>
        </is>
      </c>
      <c r="B17" s="25">
        <f>IF(COUNTA('Authentication Inventory'!B6:B55)=0,0,COUNTIF('Authentication Inventory'!G6:G55,"Yes")/COUNTA('Authentication Inventory'!B6:B55))</f>
        <v/>
      </c>
      <c r="C17" s="23" t="n"/>
      <c r="D17" s="23" t="n"/>
      <c r="E17" s="23" t="n"/>
      <c r="F17" s="23" t="n"/>
      <c r="G17" s="23" t="n"/>
    </row>
    <row r="18">
      <c r="A18" s="24" t="inlineStr">
        <is>
          <t>Password Policy Compliance</t>
        </is>
      </c>
      <c r="B18" s="25">
        <f>IF(COUNTA('Password Policy'!A6:A55)=0,0,COUNTIF('Password Policy'!K6:K55,"✅ Compliant")/COUNTA('Password Policy'!A6:A55))</f>
        <v/>
      </c>
      <c r="C18" s="23" t="n"/>
      <c r="D18" s="23" t="n"/>
      <c r="E18" s="23" t="n"/>
      <c r="F18" s="23" t="n"/>
      <c r="G18" s="23" t="n"/>
    </row>
    <row r="19">
      <c r="A19" s="24" t="inlineStr">
        <is>
          <t>Systems with MFA Available</t>
        </is>
      </c>
      <c r="B19" s="25">
        <f>IF(COUNTA('Authentication Inventory'!B6:B55)=0,0,COUNTIF('Authentication Inventory'!H6:H55,"Yes")/COUNTA('Authentication Inventory'!B6:B55))</f>
        <v/>
      </c>
      <c r="C19" s="23" t="n"/>
      <c r="D19" s="23" t="n"/>
      <c r="E19" s="23" t="n"/>
      <c r="F19" s="23" t="n"/>
      <c r="G19" s="23" t="n"/>
    </row>
    <row r="20">
      <c r="A20" s="24" t="inlineStr">
        <is>
          <t>Legacy Auth Systems Identified</t>
        </is>
      </c>
      <c r="B20" s="24">
        <f>COUNTA('Legacy Authentication'!B6:B55)</f>
        <v/>
      </c>
      <c r="C20" s="23" t="n"/>
      <c r="D20" s="23" t="n"/>
      <c r="E20" s="23" t="n"/>
      <c r="F20" s="23" t="n"/>
      <c r="G20" s="23" t="n"/>
    </row>
    <row r="21">
      <c r="A21" s="24" t="inlineStr">
        <is>
          <t>Open Authentication Gaps</t>
        </is>
      </c>
      <c r="B21" s="24">
        <f>COUNTIF('Gap Analysis'!I6:I55,"Open")+COUNTIF('Gap Analysis'!I6:I55,"In Progress")</f>
        <v/>
      </c>
      <c r="C21" s="23" t="n"/>
      <c r="D21" s="23" t="n"/>
      <c r="E21" s="23" t="n"/>
      <c r="F21" s="23" t="n"/>
      <c r="G21" s="23" t="n"/>
    </row>
    <row r="22">
      <c r="A22" s="24" t="inlineStr">
        <is>
          <t>Critical/High Risk Gaps</t>
        </is>
      </c>
      <c r="B22" s="24">
        <f>COUNTIF('Gap Analysis'!D6:D55,"Critical")+COUNTIF('Gap Analysis'!D6:D55,"High")</f>
        <v/>
      </c>
      <c r="C22" s="23" t="n"/>
      <c r="D22" s="23" t="n"/>
      <c r="E22" s="23" t="n"/>
      <c r="F22" s="23" t="n"/>
      <c r="G22" s="23" t="n"/>
    </row>
    <row r="23">
      <c r="A23" s="23" t="n"/>
      <c r="B23" s="23" t="n"/>
      <c r="C23" s="23" t="n"/>
      <c r="D23" s="23" t="n"/>
      <c r="E23" s="23" t="n"/>
      <c r="F23" s="23" t="n"/>
      <c r="G23" s="23" t="n"/>
    </row>
    <row r="24">
      <c r="A24" s="23" t="n"/>
      <c r="B24" s="23" t="n"/>
      <c r="C24" s="23" t="n"/>
      <c r="D24" s="23" t="n"/>
      <c r="E24" s="23" t="n"/>
      <c r="F24" s="23" t="n"/>
      <c r="G24" s="23" t="n"/>
    </row>
    <row r="26">
      <c r="A26" s="26" t="inlineStr">
        <is>
          <t>TABLE 3 — CRITICAL FINDINGS</t>
        </is>
      </c>
      <c r="B26" s="20" t="n"/>
      <c r="C26" s="20" t="n"/>
      <c r="D26" s="20" t="n"/>
      <c r="E26" s="20" t="n"/>
      <c r="F26" s="20" t="n"/>
      <c r="G26" s="20" t="n"/>
    </row>
    <row r="27">
      <c r="A27" s="6" t="inlineStr">
        <is>
          <t>Finding ID</t>
        </is>
      </c>
      <c r="B27" s="6" t="inlineStr">
        <is>
          <t>Description</t>
        </is>
      </c>
      <c r="C27" s="6" t="inlineStr">
        <is>
          <t>Affected Area</t>
        </is>
      </c>
      <c r="D27" s="6" t="inlineStr">
        <is>
          <t>Severity</t>
        </is>
      </c>
      <c r="E27" s="6" t="inlineStr">
        <is>
          <t>Status</t>
        </is>
      </c>
      <c r="F27" s="6" t="inlineStr">
        <is>
          <t>Owner</t>
        </is>
      </c>
      <c r="G27" s="6" t="inlineStr">
        <is>
          <t>Due Date</t>
        </is>
      </c>
    </row>
    <row r="28">
      <c r="A28" s="24">
        <f>IFERROR(INDEX('Gap Analysis'!A$6:A$55,SMALL(IF(('Gap Analysis'!D$6:D$55="Critical")+('Gap Analysis'!D$6:D$55="High"),ROW('Gap Analysis'!A$6:A$55)-ROW('Gap Analysis'!A$6)+1),ROWS($A$1:A1))),"")</f>
        <v/>
      </c>
      <c r="B28" s="24">
        <f>IFERROR(INDEX('Gap Analysis'!C$6:C$55,SMALL(IF(('Gap Analysis'!D$6:D$55="Critical")+('Gap Analysis'!D$6:D$55="High"),ROW('Gap Analysis'!A$6:A$55)-ROW('Gap Analysis'!A$6)+1),ROWS($A$1:A1))),"")</f>
        <v/>
      </c>
      <c r="C28" s="24">
        <f>IFERROR(INDEX('Gap Analysis'!B$6:B$55,SMALL(IF(('Gap Analysis'!D$6:D$55="Critical")+('Gap Analysis'!D$6:D$55="High"),ROW('Gap Analysis'!A$6:A$55)-ROW('Gap Analysis'!A$6)+1),ROWS($A$1:A1))),"")</f>
        <v/>
      </c>
      <c r="D28" s="24">
        <f>IFERROR(INDEX('Gap Analysis'!D$6:D$55,SMALL(IF(('Gap Analysis'!D$6:D$55="Critical")+('Gap Analysis'!D$6:D$55="High"),ROW('Gap Analysis'!A$6:A$55)-ROW('Gap Analysis'!A$6)+1),ROWS($A$1:A1))),"")</f>
        <v/>
      </c>
      <c r="E28" s="24">
        <f>IFERROR(INDEX('Gap Analysis'!I$6:I$55,SMALL(IF(('Gap Analysis'!D$6:D$55="Critical")+('Gap Analysis'!D$6:D$55="High"),ROW('Gap Analysis'!A$6:A$55)-ROW('Gap Analysis'!A$6)+1),ROWS($A$1:A1))),"")</f>
        <v/>
      </c>
      <c r="F28" s="24">
        <f>IFERROR(INDEX('Gap Analysis'!G$6:G$55,SMALL(IF(('Gap Analysis'!D$6:D$55="Critical")+('Gap Analysis'!D$6:D$55="High"),ROW('Gap Analysis'!A$6:A$55)-ROW('Gap Analysis'!A$6)+1),ROWS($A$1:A1))),"")</f>
        <v/>
      </c>
      <c r="G28" s="24">
        <f>IFERROR(INDEX('Gap Analysis'!H$6:H$55,SMALL(IF(('Gap Analysis'!D$6:D$55="Critical")+('Gap Analysis'!D$6:D$55="High"),ROW('Gap Analysis'!A$6:A$55)-ROW('Gap Analysis'!A$6)+1),ROWS($A$1:A1))),"")</f>
        <v/>
      </c>
    </row>
    <row r="29">
      <c r="A29" s="24">
        <f>IFERROR(INDEX('Gap Analysis'!A$6:A$55,SMALL(IF(('Gap Analysis'!D$6:D$55="Critical")+('Gap Analysis'!D$6:D$55="High"),ROW('Gap Analysis'!A$6:A$55)-ROW('Gap Analysis'!A$6)+1),ROWS($A$1:A2))),"")</f>
        <v/>
      </c>
      <c r="B29" s="24">
        <f>IFERROR(INDEX('Gap Analysis'!C$6:C$55,SMALL(IF(('Gap Analysis'!D$6:D$55="Critical")+('Gap Analysis'!D$6:D$55="High"),ROW('Gap Analysis'!A$6:A$55)-ROW('Gap Analysis'!A$6)+1),ROWS($A$1:A2))),"")</f>
        <v/>
      </c>
      <c r="C29" s="24">
        <f>IFERROR(INDEX('Gap Analysis'!B$6:B$55,SMALL(IF(('Gap Analysis'!D$6:D$55="Critical")+('Gap Analysis'!D$6:D$55="High"),ROW('Gap Analysis'!A$6:A$55)-ROW('Gap Analysis'!A$6)+1),ROWS($A$1:A2))),"")</f>
        <v/>
      </c>
      <c r="D29" s="24">
        <f>IFERROR(INDEX('Gap Analysis'!D$6:D$55,SMALL(IF(('Gap Analysis'!D$6:D$55="Critical")+('Gap Analysis'!D$6:D$55="High"),ROW('Gap Analysis'!A$6:A$55)-ROW('Gap Analysis'!A$6)+1),ROWS($A$1:A2))),"")</f>
        <v/>
      </c>
      <c r="E29" s="24">
        <f>IFERROR(INDEX('Gap Analysis'!I$6:I$55,SMALL(IF(('Gap Analysis'!D$6:D$55="Critical")+('Gap Analysis'!D$6:D$55="High"),ROW('Gap Analysis'!A$6:A$55)-ROW('Gap Analysis'!A$6)+1),ROWS($A$1:A2))),"")</f>
        <v/>
      </c>
      <c r="F29" s="24">
        <f>IFERROR(INDEX('Gap Analysis'!G$6:G$55,SMALL(IF(('Gap Analysis'!D$6:D$55="Critical")+('Gap Analysis'!D$6:D$55="High"),ROW('Gap Analysis'!A$6:A$55)-ROW('Gap Analysis'!A$6)+1),ROWS($A$1:A2))),"")</f>
        <v/>
      </c>
      <c r="G29" s="24">
        <f>IFERROR(INDEX('Gap Analysis'!H$6:H$55,SMALL(IF(('Gap Analysis'!D$6:D$55="Critical")+('Gap Analysis'!D$6:D$55="High"),ROW('Gap Analysis'!A$6:A$55)-ROW('Gap Analysis'!A$6)+1),ROWS($A$1:A2))),"")</f>
        <v/>
      </c>
    </row>
    <row r="30">
      <c r="A30" s="24">
        <f>IFERROR(INDEX('Gap Analysis'!A$6:A$55,SMALL(IF(('Gap Analysis'!D$6:D$55="Critical")+('Gap Analysis'!D$6:D$55="High"),ROW('Gap Analysis'!A$6:A$55)-ROW('Gap Analysis'!A$6)+1),ROWS($A$1:A3))),"")</f>
        <v/>
      </c>
      <c r="B30" s="24">
        <f>IFERROR(INDEX('Gap Analysis'!C$6:C$55,SMALL(IF(('Gap Analysis'!D$6:D$55="Critical")+('Gap Analysis'!D$6:D$55="High"),ROW('Gap Analysis'!A$6:A$55)-ROW('Gap Analysis'!A$6)+1),ROWS($A$1:A3))),"")</f>
        <v/>
      </c>
      <c r="C30" s="24">
        <f>IFERROR(INDEX('Gap Analysis'!B$6:B$55,SMALL(IF(('Gap Analysis'!D$6:D$55="Critical")+('Gap Analysis'!D$6:D$55="High"),ROW('Gap Analysis'!A$6:A$55)-ROW('Gap Analysis'!A$6)+1),ROWS($A$1:A3))),"")</f>
        <v/>
      </c>
      <c r="D30" s="24">
        <f>IFERROR(INDEX('Gap Analysis'!D$6:D$55,SMALL(IF(('Gap Analysis'!D$6:D$55="Critical")+('Gap Analysis'!D$6:D$55="High"),ROW('Gap Analysis'!A$6:A$55)-ROW('Gap Analysis'!A$6)+1),ROWS($A$1:A3))),"")</f>
        <v/>
      </c>
      <c r="E30" s="24">
        <f>IFERROR(INDEX('Gap Analysis'!I$6:I$55,SMALL(IF(('Gap Analysis'!D$6:D$55="Critical")+('Gap Analysis'!D$6:D$55="High"),ROW('Gap Analysis'!A$6:A$55)-ROW('Gap Analysis'!A$6)+1),ROWS($A$1:A3))),"")</f>
        <v/>
      </c>
      <c r="F30" s="24">
        <f>IFERROR(INDEX('Gap Analysis'!G$6:G$55,SMALL(IF(('Gap Analysis'!D$6:D$55="Critical")+('Gap Analysis'!D$6:D$55="High"),ROW('Gap Analysis'!A$6:A$55)-ROW('Gap Analysis'!A$6)+1),ROWS($A$1:A3))),"")</f>
        <v/>
      </c>
      <c r="G30" s="24">
        <f>IFERROR(INDEX('Gap Analysis'!H$6:H$55,SMALL(IF(('Gap Analysis'!D$6:D$55="Critical")+('Gap Analysis'!D$6:D$55="High"),ROW('Gap Analysis'!A$6:A$55)-ROW('Gap Analysis'!A$6)+1),ROWS($A$1:A3))),"")</f>
        <v/>
      </c>
    </row>
    <row r="31">
      <c r="A31" s="24">
        <f>IFERROR(INDEX('Gap Analysis'!A$6:A$55,SMALL(IF(('Gap Analysis'!D$6:D$55="Critical")+('Gap Analysis'!D$6:D$55="High"),ROW('Gap Analysis'!A$6:A$55)-ROW('Gap Analysis'!A$6)+1),ROWS($A$1:A4))),"")</f>
        <v/>
      </c>
      <c r="B31" s="24">
        <f>IFERROR(INDEX('Gap Analysis'!C$6:C$55,SMALL(IF(('Gap Analysis'!D$6:D$55="Critical")+('Gap Analysis'!D$6:D$55="High"),ROW('Gap Analysis'!A$6:A$55)-ROW('Gap Analysis'!A$6)+1),ROWS($A$1:A4))),"")</f>
        <v/>
      </c>
      <c r="C31" s="24">
        <f>IFERROR(INDEX('Gap Analysis'!B$6:B$55,SMALL(IF(('Gap Analysis'!D$6:D$55="Critical")+('Gap Analysis'!D$6:D$55="High"),ROW('Gap Analysis'!A$6:A$55)-ROW('Gap Analysis'!A$6)+1),ROWS($A$1:A4))),"")</f>
        <v/>
      </c>
      <c r="D31" s="24">
        <f>IFERROR(INDEX('Gap Analysis'!D$6:D$55,SMALL(IF(('Gap Analysis'!D$6:D$55="Critical")+('Gap Analysis'!D$6:D$55="High"),ROW('Gap Analysis'!A$6:A$55)-ROW('Gap Analysis'!A$6)+1),ROWS($A$1:A4))),"")</f>
        <v/>
      </c>
      <c r="E31" s="24">
        <f>IFERROR(INDEX('Gap Analysis'!I$6:I$55,SMALL(IF(('Gap Analysis'!D$6:D$55="Critical")+('Gap Analysis'!D$6:D$55="High"),ROW('Gap Analysis'!A$6:A$55)-ROW('Gap Analysis'!A$6)+1),ROWS($A$1:A4))),"")</f>
        <v/>
      </c>
      <c r="F31" s="24">
        <f>IFERROR(INDEX('Gap Analysis'!G$6:G$55,SMALL(IF(('Gap Analysis'!D$6:D$55="Critical")+('Gap Analysis'!D$6:D$55="High"),ROW('Gap Analysis'!A$6:A$55)-ROW('Gap Analysis'!A$6)+1),ROWS($A$1:A4))),"")</f>
        <v/>
      </c>
      <c r="G31" s="24">
        <f>IFERROR(INDEX('Gap Analysis'!H$6:H$55,SMALL(IF(('Gap Analysis'!D$6:D$55="Critical")+('Gap Analysis'!D$6:D$55="High"),ROW('Gap Analysis'!A$6:A$55)-ROW('Gap Analysis'!A$6)+1),ROWS($A$1:A4))),"")</f>
        <v/>
      </c>
    </row>
    <row r="32">
      <c r="A32" s="24">
        <f>IFERROR(INDEX('Gap Analysis'!A$6:A$55,SMALL(IF(('Gap Analysis'!D$6:D$55="Critical")+('Gap Analysis'!D$6:D$55="High"),ROW('Gap Analysis'!A$6:A$55)-ROW('Gap Analysis'!A$6)+1),ROWS($A$1:A5))),"")</f>
        <v/>
      </c>
      <c r="B32" s="24">
        <f>IFERROR(INDEX('Gap Analysis'!C$6:C$55,SMALL(IF(('Gap Analysis'!D$6:D$55="Critical")+('Gap Analysis'!D$6:D$55="High"),ROW('Gap Analysis'!A$6:A$55)-ROW('Gap Analysis'!A$6)+1),ROWS($A$1:A5))),"")</f>
        <v/>
      </c>
      <c r="C32" s="24">
        <f>IFERROR(INDEX('Gap Analysis'!B$6:B$55,SMALL(IF(('Gap Analysis'!D$6:D$55="Critical")+('Gap Analysis'!D$6:D$55="High"),ROW('Gap Analysis'!A$6:A$55)-ROW('Gap Analysis'!A$6)+1),ROWS($A$1:A5))),"")</f>
        <v/>
      </c>
      <c r="D32" s="24">
        <f>IFERROR(INDEX('Gap Analysis'!D$6:D$55,SMALL(IF(('Gap Analysis'!D$6:D$55="Critical")+('Gap Analysis'!D$6:D$55="High"),ROW('Gap Analysis'!A$6:A$55)-ROW('Gap Analysis'!A$6)+1),ROWS($A$1:A5))),"")</f>
        <v/>
      </c>
      <c r="E32" s="24">
        <f>IFERROR(INDEX('Gap Analysis'!I$6:I$55,SMALL(IF(('Gap Analysis'!D$6:D$55="Critical")+('Gap Analysis'!D$6:D$55="High"),ROW('Gap Analysis'!A$6:A$55)-ROW('Gap Analysis'!A$6)+1),ROWS($A$1:A5))),"")</f>
        <v/>
      </c>
      <c r="F32" s="24">
        <f>IFERROR(INDEX('Gap Analysis'!G$6:G$55,SMALL(IF(('Gap Analysis'!D$6:D$55="Critical")+('Gap Analysis'!D$6:D$55="High"),ROW('Gap Analysis'!A$6:A$55)-ROW('Gap Analysis'!A$6)+1),ROWS($A$1:A5))),"")</f>
        <v/>
      </c>
      <c r="G32" s="24">
        <f>IFERROR(INDEX('Gap Analysis'!H$6:H$55,SMALL(IF(('Gap Analysis'!D$6:D$55="Critical")+('Gap Analysis'!D$6:D$55="High"),ROW('Gap Analysis'!A$6:A$55)-ROW('Gap Analysis'!A$6)+1),ROWS($A$1:A5))),"")</f>
        <v/>
      </c>
    </row>
    <row r="33">
      <c r="A33" s="24">
        <f>IFERROR(INDEX('Gap Analysis'!A$6:A$55,SMALL(IF(('Gap Analysis'!D$6:D$55="Critical")+('Gap Analysis'!D$6:D$55="High"),ROW('Gap Analysis'!A$6:A$55)-ROW('Gap Analysis'!A$6)+1),ROWS($A$1:A6))),"")</f>
        <v/>
      </c>
      <c r="B33" s="24">
        <f>IFERROR(INDEX('Gap Analysis'!C$6:C$55,SMALL(IF(('Gap Analysis'!D$6:D$55="Critical")+('Gap Analysis'!D$6:D$55="High"),ROW('Gap Analysis'!A$6:A$55)-ROW('Gap Analysis'!A$6)+1),ROWS($A$1:A6))),"")</f>
        <v/>
      </c>
      <c r="C33" s="24">
        <f>IFERROR(INDEX('Gap Analysis'!B$6:B$55,SMALL(IF(('Gap Analysis'!D$6:D$55="Critical")+('Gap Analysis'!D$6:D$55="High"),ROW('Gap Analysis'!A$6:A$55)-ROW('Gap Analysis'!A$6)+1),ROWS($A$1:A6))),"")</f>
        <v/>
      </c>
      <c r="D33" s="24">
        <f>IFERROR(INDEX('Gap Analysis'!D$6:D$55,SMALL(IF(('Gap Analysis'!D$6:D$55="Critical")+('Gap Analysis'!D$6:D$55="High"),ROW('Gap Analysis'!A$6:A$55)-ROW('Gap Analysis'!A$6)+1),ROWS($A$1:A6))),"")</f>
        <v/>
      </c>
      <c r="E33" s="24">
        <f>IFERROR(INDEX('Gap Analysis'!I$6:I$55,SMALL(IF(('Gap Analysis'!D$6:D$55="Critical")+('Gap Analysis'!D$6:D$55="High"),ROW('Gap Analysis'!A$6:A$55)-ROW('Gap Analysis'!A$6)+1),ROWS($A$1:A6))),"")</f>
        <v/>
      </c>
      <c r="F33" s="24">
        <f>IFERROR(INDEX('Gap Analysis'!G$6:G$55,SMALL(IF(('Gap Analysis'!D$6:D$55="Critical")+('Gap Analysis'!D$6:D$55="High"),ROW('Gap Analysis'!A$6:A$55)-ROW('Gap Analysis'!A$6)+1),ROWS($A$1:A6))),"")</f>
        <v/>
      </c>
      <c r="G33" s="24">
        <f>IFERROR(INDEX('Gap Analysis'!H$6:H$55,SMALL(IF(('Gap Analysis'!D$6:D$55="Critical")+('Gap Analysis'!D$6:D$55="High"),ROW('Gap Analysis'!A$6:A$55)-ROW('Gap Analysis'!A$6)+1),ROWS($A$1:A6))),"")</f>
        <v/>
      </c>
    </row>
    <row r="34">
      <c r="A34" s="24">
        <f>IFERROR(INDEX('Gap Analysis'!A$6:A$55,SMALL(IF(('Gap Analysis'!D$6:D$55="Critical")+('Gap Analysis'!D$6:D$55="High"),ROW('Gap Analysis'!A$6:A$55)-ROW('Gap Analysis'!A$6)+1),ROWS($A$1:A7))),"")</f>
        <v/>
      </c>
      <c r="B34" s="24">
        <f>IFERROR(INDEX('Gap Analysis'!C$6:C$55,SMALL(IF(('Gap Analysis'!D$6:D$55="Critical")+('Gap Analysis'!D$6:D$55="High"),ROW('Gap Analysis'!A$6:A$55)-ROW('Gap Analysis'!A$6)+1),ROWS($A$1:A7))),"")</f>
        <v/>
      </c>
      <c r="C34" s="24">
        <f>IFERROR(INDEX('Gap Analysis'!B$6:B$55,SMALL(IF(('Gap Analysis'!D$6:D$55="Critical")+('Gap Analysis'!D$6:D$55="High"),ROW('Gap Analysis'!A$6:A$55)-ROW('Gap Analysis'!A$6)+1),ROWS($A$1:A7))),"")</f>
        <v/>
      </c>
      <c r="D34" s="24">
        <f>IFERROR(INDEX('Gap Analysis'!D$6:D$55,SMALL(IF(('Gap Analysis'!D$6:D$55="Critical")+('Gap Analysis'!D$6:D$55="High"),ROW('Gap Analysis'!A$6:A$55)-ROW('Gap Analysis'!A$6)+1),ROWS($A$1:A7))),"")</f>
        <v/>
      </c>
      <c r="E34" s="24">
        <f>IFERROR(INDEX('Gap Analysis'!I$6:I$55,SMALL(IF(('Gap Analysis'!D$6:D$55="Critical")+('Gap Analysis'!D$6:D$55="High"),ROW('Gap Analysis'!A$6:A$55)-ROW('Gap Analysis'!A$6)+1),ROWS($A$1:A7))),"")</f>
        <v/>
      </c>
      <c r="F34" s="24">
        <f>IFERROR(INDEX('Gap Analysis'!G$6:G$55,SMALL(IF(('Gap Analysis'!D$6:D$55="Critical")+('Gap Analysis'!D$6:D$55="High"),ROW('Gap Analysis'!A$6:A$55)-ROW('Gap Analysis'!A$6)+1),ROWS($A$1:A7))),"")</f>
        <v/>
      </c>
      <c r="G34" s="24">
        <f>IFERROR(INDEX('Gap Analysis'!H$6:H$55,SMALL(IF(('Gap Analysis'!D$6:D$55="Critical")+('Gap Analysis'!D$6:D$55="High"),ROW('Gap Analysis'!A$6:A$55)-ROW('Gap Analysis'!A$6)+1),ROWS($A$1:A7))),"")</f>
        <v/>
      </c>
    </row>
    <row r="35">
      <c r="A35" s="24">
        <f>IFERROR(INDEX('Gap Analysis'!A$6:A$55,SMALL(IF(('Gap Analysis'!D$6:D$55="Critical")+('Gap Analysis'!D$6:D$55="High"),ROW('Gap Analysis'!A$6:A$55)-ROW('Gap Analysis'!A$6)+1),ROWS($A$1:A8))),"")</f>
        <v/>
      </c>
      <c r="B35" s="24">
        <f>IFERROR(INDEX('Gap Analysis'!C$6:C$55,SMALL(IF(('Gap Analysis'!D$6:D$55="Critical")+('Gap Analysis'!D$6:D$55="High"),ROW('Gap Analysis'!A$6:A$55)-ROW('Gap Analysis'!A$6)+1),ROWS($A$1:A8))),"")</f>
        <v/>
      </c>
      <c r="C35" s="24">
        <f>IFERROR(INDEX('Gap Analysis'!B$6:B$55,SMALL(IF(('Gap Analysis'!D$6:D$55="Critical")+('Gap Analysis'!D$6:D$55="High"),ROW('Gap Analysis'!A$6:A$55)-ROW('Gap Analysis'!A$6)+1),ROWS($A$1:A8))),"")</f>
        <v/>
      </c>
      <c r="D35" s="24">
        <f>IFERROR(INDEX('Gap Analysis'!D$6:D$55,SMALL(IF(('Gap Analysis'!D$6:D$55="Critical")+('Gap Analysis'!D$6:D$55="High"),ROW('Gap Analysis'!A$6:A$55)-ROW('Gap Analysis'!A$6)+1),ROWS($A$1:A8))),"")</f>
        <v/>
      </c>
      <c r="E35" s="24">
        <f>IFERROR(INDEX('Gap Analysis'!I$6:I$55,SMALL(IF(('Gap Analysis'!D$6:D$55="Critical")+('Gap Analysis'!D$6:D$55="High"),ROW('Gap Analysis'!A$6:A$55)-ROW('Gap Analysis'!A$6)+1),ROWS($A$1:A8))),"")</f>
        <v/>
      </c>
      <c r="F35" s="24">
        <f>IFERROR(INDEX('Gap Analysis'!G$6:G$55,SMALL(IF(('Gap Analysis'!D$6:D$55="Critical")+('Gap Analysis'!D$6:D$55="High"),ROW('Gap Analysis'!A$6:A$55)-ROW('Gap Analysis'!A$6)+1),ROWS($A$1:A8))),"")</f>
        <v/>
      </c>
      <c r="G35" s="24">
        <f>IFERROR(INDEX('Gap Analysis'!H$6:H$55,SMALL(IF(('Gap Analysis'!D$6:D$55="Critical")+('Gap Analysis'!D$6:D$55="High"),ROW('Gap Analysis'!A$6:A$55)-ROW('Gap Analysis'!A$6)+1),ROWS($A$1:A8))),"")</f>
        <v/>
      </c>
    </row>
    <row r="36">
      <c r="A36" s="24">
        <f>IFERROR(INDEX('Gap Analysis'!A$6:A$55,SMALL(IF(('Gap Analysis'!D$6:D$55="Critical")+('Gap Analysis'!D$6:D$55="High"),ROW('Gap Analysis'!A$6:A$55)-ROW('Gap Analysis'!A$6)+1),ROWS($A$1:A9))),"")</f>
        <v/>
      </c>
      <c r="B36" s="24">
        <f>IFERROR(INDEX('Gap Analysis'!C$6:C$55,SMALL(IF(('Gap Analysis'!D$6:D$55="Critical")+('Gap Analysis'!D$6:D$55="High"),ROW('Gap Analysis'!A$6:A$55)-ROW('Gap Analysis'!A$6)+1),ROWS($A$1:A9))),"")</f>
        <v/>
      </c>
      <c r="C36" s="24">
        <f>IFERROR(INDEX('Gap Analysis'!B$6:B$55,SMALL(IF(('Gap Analysis'!D$6:D$55="Critical")+('Gap Analysis'!D$6:D$55="High"),ROW('Gap Analysis'!A$6:A$55)-ROW('Gap Analysis'!A$6)+1),ROWS($A$1:A9))),"")</f>
        <v/>
      </c>
      <c r="D36" s="24">
        <f>IFERROR(INDEX('Gap Analysis'!D$6:D$55,SMALL(IF(('Gap Analysis'!D$6:D$55="Critical")+('Gap Analysis'!D$6:D$55="High"),ROW('Gap Analysis'!A$6:A$55)-ROW('Gap Analysis'!A$6)+1),ROWS($A$1:A9))),"")</f>
        <v/>
      </c>
      <c r="E36" s="24">
        <f>IFERROR(INDEX('Gap Analysis'!I$6:I$55,SMALL(IF(('Gap Analysis'!D$6:D$55="Critical")+('Gap Analysis'!D$6:D$55="High"),ROW('Gap Analysis'!A$6:A$55)-ROW('Gap Analysis'!A$6)+1),ROWS($A$1:A9))),"")</f>
        <v/>
      </c>
      <c r="F36" s="24">
        <f>IFERROR(INDEX('Gap Analysis'!G$6:G$55,SMALL(IF(('Gap Analysis'!D$6:D$55="Critical")+('Gap Analysis'!D$6:D$55="High"),ROW('Gap Analysis'!A$6:A$55)-ROW('Gap Analysis'!A$6)+1),ROWS($A$1:A9))),"")</f>
        <v/>
      </c>
      <c r="G36" s="24">
        <f>IFERROR(INDEX('Gap Analysis'!H$6:H$55,SMALL(IF(('Gap Analysis'!D$6:D$55="Critical")+('Gap Analysis'!D$6:D$55="High"),ROW('Gap Analysis'!A$6:A$55)-ROW('Gap Analysis'!A$6)+1),ROWS($A$1:A9))),"")</f>
        <v/>
      </c>
    </row>
    <row r="37">
      <c r="A37" s="24">
        <f>IFERROR(INDEX('Gap Analysis'!A$6:A$55,SMALL(IF(('Gap Analysis'!D$6:D$55="Critical")+('Gap Analysis'!D$6:D$55="High"),ROW('Gap Analysis'!A$6:A$55)-ROW('Gap Analysis'!A$6)+1),ROWS($A$1:A10))),"")</f>
        <v/>
      </c>
      <c r="B37" s="24">
        <f>IFERROR(INDEX('Gap Analysis'!C$6:C$55,SMALL(IF(('Gap Analysis'!D$6:D$55="Critical")+('Gap Analysis'!D$6:D$55="High"),ROW('Gap Analysis'!A$6:A$55)-ROW('Gap Analysis'!A$6)+1),ROWS($A$1:A10))),"")</f>
        <v/>
      </c>
      <c r="C37" s="24">
        <f>IFERROR(INDEX('Gap Analysis'!B$6:B$55,SMALL(IF(('Gap Analysis'!D$6:D$55="Critical")+('Gap Analysis'!D$6:D$55="High"),ROW('Gap Analysis'!A$6:A$55)-ROW('Gap Analysis'!A$6)+1),ROWS($A$1:A10))),"")</f>
        <v/>
      </c>
      <c r="D37" s="24">
        <f>IFERROR(INDEX('Gap Analysis'!D$6:D$55,SMALL(IF(('Gap Analysis'!D$6:D$55="Critical")+('Gap Analysis'!D$6:D$55="High"),ROW('Gap Analysis'!A$6:A$55)-ROW('Gap Analysis'!A$6)+1),ROWS($A$1:A10))),"")</f>
        <v/>
      </c>
      <c r="E37" s="24">
        <f>IFERROR(INDEX('Gap Analysis'!I$6:I$55,SMALL(IF(('Gap Analysis'!D$6:D$55="Critical")+('Gap Analysis'!D$6:D$55="High"),ROW('Gap Analysis'!A$6:A$55)-ROW('Gap Analysis'!A$6)+1),ROWS($A$1:A10))),"")</f>
        <v/>
      </c>
      <c r="F37" s="24">
        <f>IFERROR(INDEX('Gap Analysis'!G$6:G$55,SMALL(IF(('Gap Analysis'!D$6:D$55="Critical")+('Gap Analysis'!D$6:D$55="High"),ROW('Gap Analysis'!A$6:A$55)-ROW('Gap Analysis'!A$6)+1),ROWS($A$1:A10))),"")</f>
        <v/>
      </c>
      <c r="G37" s="24">
        <f>IFERROR(INDEX('Gap Analysis'!H$6:H$55,SMALL(IF(('Gap Analysis'!D$6:D$55="Critical")+('Gap Analysis'!D$6:D$55="High"),ROW('Gap Analysis'!A$6:A$55)-ROW('Gap Analysis'!A$6)+1),ROWS($A$1:A10))),"")</f>
        <v/>
      </c>
    </row>
    <row r="38">
      <c r="A38" s="23" t="n"/>
      <c r="B38" s="23" t="n"/>
      <c r="C38" s="23" t="n"/>
      <c r="D38" s="23" t="n"/>
      <c r="E38" s="23" t="n"/>
      <c r="F38" s="23" t="n"/>
      <c r="G38" s="23" t="n"/>
    </row>
    <row r="39">
      <c r="A39" s="23" t="n"/>
      <c r="B39" s="23" t="n"/>
      <c r="C39" s="23" t="n"/>
      <c r="D39" s="23" t="n"/>
      <c r="E39" s="23" t="n"/>
      <c r="F39" s="23" t="n"/>
      <c r="G39" s="23" t="n"/>
    </row>
    <row r="40">
      <c r="A40" s="27" t="inlineStr">
        <is>
          <t>Total Critical/High Findings:</t>
        </is>
      </c>
      <c r="B40" s="24">
        <f>COUNTIF('Gap Analysis'!D6:D55,"Critical")+COUNTIF('Gap Analysis'!D6:D55,"High")</f>
        <v/>
      </c>
      <c r="C40" s="23" t="n"/>
      <c r="D40" s="23" t="n"/>
      <c r="E40" s="23" t="n"/>
      <c r="F40" s="23" t="n"/>
      <c r="G40" s="23" t="n"/>
    </row>
  </sheetData>
  <mergeCells count="5">
    <mergeCell ref="A1:G1"/>
    <mergeCell ref="A3:G3"/>
    <mergeCell ref="A12:G12"/>
    <mergeCell ref="A26:G26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4" customWidth="1" min="4" max="4"/>
    <col width="22" customWidth="1" min="5" max="5"/>
  </cols>
  <sheetData>
    <row r="1" ht="35" customHeight="1">
      <c r="A1" s="28" t="inlineStr">
        <is>
          <t>ASSESSMENT APPROVAL AND SIGN-OFF</t>
        </is>
      </c>
      <c r="B1" s="20" t="n"/>
      <c r="C1" s="20" t="n"/>
      <c r="D1" s="20" t="n"/>
      <c r="E1" s="20" t="n"/>
    </row>
    <row r="2">
      <c r="A2" s="29" t="inlineStr">
        <is>
          <t>ISMS-IMP-A.8.2-3-5.S1 | ISO/IEC 27001:2022 - Control A.8.2-3-5: Access and Authentication Management</t>
        </is>
      </c>
      <c r="B2" s="20" t="n"/>
      <c r="C2" s="20" t="n"/>
      <c r="D2" s="20" t="n"/>
      <c r="E2" s="20" t="n"/>
    </row>
    <row r="3">
      <c r="A3" s="30" t="inlineStr">
        <is>
          <t>ASSESSMENT SUMMARY</t>
        </is>
      </c>
      <c r="B3" s="20" t="n"/>
      <c r="C3" s="20" t="n"/>
      <c r="D3" s="20" t="n"/>
      <c r="E3" s="20" t="n"/>
    </row>
    <row r="4">
      <c r="A4" s="31" t="inlineStr">
        <is>
          <t>Document:</t>
        </is>
      </c>
      <c r="B4" s="20" t="inlineStr">
        <is>
          <t>ISMS-IMP-A.8.2-3-5.S1 - Authentication Inventory Assessment</t>
        </is>
      </c>
      <c r="C4" s="20" t="n"/>
      <c r="D4" s="20" t="n"/>
      <c r="E4" s="20" t="n"/>
    </row>
    <row r="5">
      <c r="A5" s="31" t="inlineStr">
        <is>
          <t>Assessment Period:</t>
        </is>
      </c>
      <c r="B5" s="23" t="inlineStr"/>
      <c r="C5" s="23" t="n"/>
      <c r="D5" s="23" t="n"/>
      <c r="E5" s="23" t="n"/>
    </row>
    <row r="6">
      <c r="A6" s="31" t="inlineStr">
        <is>
          <t>Overall Compliance Rate:</t>
        </is>
      </c>
      <c r="B6" s="32">
        <f>IFERROR(AVERAGE('Summary Dashboard'!G5:G8),"")</f>
        <v/>
      </c>
      <c r="C6" s="23" t="n"/>
      <c r="D6" s="23" t="n"/>
      <c r="E6" s="23" t="n"/>
    </row>
    <row r="7">
      <c r="A7" s="31" t="inlineStr">
        <is>
          <t>Assessment Status:</t>
        </is>
      </c>
      <c r="B7" s="23" t="inlineStr"/>
      <c r="C7" s="23" t="n"/>
      <c r="D7" s="23" t="n"/>
      <c r="E7" s="23" t="n"/>
    </row>
    <row r="8">
      <c r="A8" s="31" t="inlineStr">
        <is>
          <t>Assessed By:</t>
        </is>
      </c>
      <c r="B8" s="23" t="inlineStr"/>
      <c r="C8" s="23" t="n"/>
      <c r="D8" s="23" t="n"/>
      <c r="E8" s="23" t="n"/>
    </row>
    <row r="11">
      <c r="A11" s="30" t="inlineStr">
        <is>
          <t>COMPLETED BY (ASSESSOR)</t>
        </is>
      </c>
      <c r="B11" s="20" t="n"/>
      <c r="C11" s="20" t="n"/>
      <c r="D11" s="20" t="n"/>
      <c r="E11" s="20" t="n"/>
    </row>
    <row r="12">
      <c r="A12" s="31" t="inlineStr">
        <is>
          <t>Name:</t>
        </is>
      </c>
      <c r="B12" s="23" t="n"/>
      <c r="C12" s="23" t="n"/>
      <c r="D12" s="23" t="n"/>
      <c r="E12" s="23" t="n"/>
    </row>
    <row r="13">
      <c r="A13" s="31" t="inlineStr">
        <is>
          <t>Title:</t>
        </is>
      </c>
      <c r="B13" s="23" t="n"/>
      <c r="C13" s="23" t="n"/>
      <c r="D13" s="23" t="n"/>
      <c r="E13" s="23" t="n"/>
    </row>
    <row r="14">
      <c r="A14" s="31" t="inlineStr">
        <is>
          <t>Date:</t>
        </is>
      </c>
      <c r="B14" s="23" t="n"/>
      <c r="C14" s="23" t="n"/>
      <c r="D14" s="23" t="n"/>
      <c r="E14" s="23" t="n"/>
    </row>
    <row r="15">
      <c r="A15" s="31" t="inlineStr">
        <is>
          <t>Signature:</t>
        </is>
      </c>
      <c r="B15" s="23" t="n"/>
      <c r="C15" s="23" t="n"/>
      <c r="D15" s="23" t="n"/>
      <c r="E15" s="23" t="n"/>
    </row>
    <row r="16">
      <c r="A16" s="31" t="inlineStr">
        <is>
          <t>Comments:</t>
        </is>
      </c>
      <c r="B16" s="23" t="n"/>
      <c r="C16" s="23" t="n"/>
      <c r="D16" s="23" t="n"/>
      <c r="E16" s="23" t="n"/>
    </row>
    <row r="18">
      <c r="A18" s="30" t="inlineStr">
        <is>
          <t>REVIEWED BY (INFORMATION SECURITY OFFICER)</t>
        </is>
      </c>
      <c r="B18" s="20" t="n"/>
      <c r="C18" s="20" t="n"/>
      <c r="D18" s="20" t="n"/>
      <c r="E18" s="20" t="n"/>
    </row>
    <row r="19">
      <c r="A19" s="31" t="inlineStr">
        <is>
          <t>Name:</t>
        </is>
      </c>
      <c r="B19" s="23" t="n"/>
      <c r="C19" s="23" t="n"/>
      <c r="D19" s="23" t="n"/>
      <c r="E19" s="23" t="n"/>
    </row>
    <row r="20">
      <c r="A20" s="31" t="inlineStr">
        <is>
          <t>Title:</t>
        </is>
      </c>
      <c r="B20" s="23" t="n"/>
      <c r="C20" s="23" t="n"/>
      <c r="D20" s="23" t="n"/>
      <c r="E20" s="23" t="n"/>
    </row>
    <row r="21">
      <c r="A21" s="31" t="inlineStr">
        <is>
          <t>Date:</t>
        </is>
      </c>
      <c r="B21" s="23" t="n"/>
      <c r="C21" s="23" t="n"/>
      <c r="D21" s="23" t="n"/>
      <c r="E21" s="23" t="n"/>
    </row>
    <row r="22">
      <c r="A22" s="31" t="inlineStr">
        <is>
          <t>Signature:</t>
        </is>
      </c>
      <c r="B22" s="23" t="n"/>
      <c r="C22" s="23" t="n"/>
      <c r="D22" s="23" t="n"/>
      <c r="E22" s="23" t="n"/>
    </row>
    <row r="23">
      <c r="A23" s="31" t="inlineStr">
        <is>
          <t>Comments:</t>
        </is>
      </c>
      <c r="B23" s="23" t="n"/>
      <c r="C23" s="23" t="n"/>
      <c r="D23" s="23" t="n"/>
      <c r="E23" s="23" t="n"/>
    </row>
    <row r="25">
      <c r="A25" s="33" t="inlineStr">
        <is>
          <t>APPROVED BY (CISO)</t>
        </is>
      </c>
      <c r="B25" s="20" t="n"/>
      <c r="C25" s="20" t="n"/>
      <c r="D25" s="20" t="n"/>
      <c r="E25" s="20" t="n"/>
    </row>
    <row r="26">
      <c r="A26" s="31" t="inlineStr">
        <is>
          <t>Name:</t>
        </is>
      </c>
      <c r="B26" s="23" t="n"/>
      <c r="C26" s="23" t="n"/>
      <c r="D26" s="23" t="n"/>
      <c r="E26" s="23" t="n"/>
    </row>
    <row r="27">
      <c r="A27" s="31" t="inlineStr">
        <is>
          <t>Title:</t>
        </is>
      </c>
      <c r="B27" s="23" t="n"/>
      <c r="C27" s="23" t="n"/>
      <c r="D27" s="23" t="n"/>
      <c r="E27" s="23" t="n"/>
    </row>
    <row r="28">
      <c r="A28" s="31" t="inlineStr">
        <is>
          <t>Date:</t>
        </is>
      </c>
      <c r="B28" s="23" t="n"/>
      <c r="C28" s="23" t="n"/>
      <c r="D28" s="23" t="n"/>
      <c r="E28" s="23" t="n"/>
    </row>
    <row r="29">
      <c r="A29" s="31" t="inlineStr">
        <is>
          <t>Signature:</t>
        </is>
      </c>
      <c r="B29" s="23" t="n"/>
      <c r="C29" s="23" t="n"/>
      <c r="D29" s="23" t="n"/>
      <c r="E29" s="23" t="n"/>
    </row>
    <row r="30">
      <c r="A30" s="31" t="inlineStr">
        <is>
          <t>Comments:</t>
        </is>
      </c>
      <c r="B30" s="23" t="n"/>
      <c r="C30" s="23" t="n"/>
      <c r="D30" s="23" t="n"/>
      <c r="E30" s="23" t="n"/>
    </row>
    <row r="32">
      <c r="A32" s="34" t="inlineStr">
        <is>
          <t>FINAL DECISION:</t>
        </is>
      </c>
      <c r="B32" s="23" t="n"/>
      <c r="C32" s="23" t="n"/>
      <c r="D32" s="23" t="n"/>
      <c r="E32" s="23" t="n"/>
    </row>
    <row r="35">
      <c r="A35" s="30" t="inlineStr">
        <is>
          <t>NEXT REVIEW DETAILS</t>
        </is>
      </c>
      <c r="B35" s="20" t="n"/>
      <c r="C35" s="20" t="n"/>
      <c r="D35" s="20" t="n"/>
      <c r="E35" s="20" t="n"/>
    </row>
    <row r="36">
      <c r="A36" s="31" t="inlineStr">
        <is>
          <t>Next Review Date:</t>
        </is>
      </c>
      <c r="B36" s="23" t="n"/>
      <c r="C36" s="23" t="n"/>
      <c r="D36" s="23" t="n"/>
      <c r="E36" s="23" t="n"/>
    </row>
    <row r="37">
      <c r="A37" s="31" t="inlineStr">
        <is>
          <t>Review Responsible:</t>
        </is>
      </c>
      <c r="B37" s="23" t="n"/>
      <c r="C37" s="23" t="n"/>
      <c r="D37" s="23" t="n"/>
      <c r="E37" s="23" t="n"/>
    </row>
    <row r="38">
      <c r="A38" s="31" t="inlineStr">
        <is>
          <t>Special Considerations:</t>
        </is>
      </c>
      <c r="B38" s="23" t="n"/>
      <c r="C38" s="23" t="n"/>
      <c r="D38" s="23" t="n"/>
      <c r="E38" s="23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ISMS-IMP-A.8.2-3-5.S1 — Authentication Inventory Assessment</dc:title>
  <dc:description xmlns:dc="http://purl.org/dc/elements/1.1/">ISMS Implementation Workbook — ISMS-IMP-A.8.2-3-5.S1</dc:description>
  <dc:subject xmlns:dc="http://purl.org/dc/elements/1.1/">ISO/IEC 27001:2022 — Control A.8.2-3-5: Access and Authentication Management</dc:subject>
  <dcterms:created xmlns:dcterms="http://purl.org/dc/terms/" xmlns:xsi="http://www.w3.org/2001/XMLSchema-instance" xsi:type="dcterms:W3CDTF">2026-03-10T18:49:26Z</dcterms:created>
  <dcterms:modified xmlns:dcterms="http://purl.org/dc/terms/" xmlns:xsi="http://www.w3.org/2001/XMLSchema-instance" xsi:type="dcterms:W3CDTF">2026-03-10T18:49:26Z</dcterms:modified>
</cp:coreProperties>
</file>