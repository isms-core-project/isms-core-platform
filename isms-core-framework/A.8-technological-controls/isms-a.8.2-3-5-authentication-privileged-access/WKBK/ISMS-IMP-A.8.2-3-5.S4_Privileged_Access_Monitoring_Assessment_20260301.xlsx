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ession Recording Coverage" sheetId="2" state="visible" r:id="rId2"/>
    <sheet xmlns:r="http://schemas.openxmlformats.org/officeDocument/2006/relationships" name="Privileged Command Logging" sheetId="3" state="visible" r:id="rId3"/>
    <sheet xmlns:r="http://schemas.openxmlformats.org/officeDocument/2006/relationships" name="Anomaly Detection Rules" sheetId="4" state="visible" r:id="rId4"/>
    <sheet xmlns:r="http://schemas.openxmlformats.org/officeDocument/2006/relationships" name="Privileged Access Activity" sheetId="5" state="visible" r:id="rId5"/>
    <sheet xmlns:r="http://schemas.openxmlformats.org/officeDocument/2006/relationships" name="Alert Response Tracking" sheetId="6" state="visible" r:id="rId6"/>
    <sheet xmlns:r="http://schemas.openxmlformats.org/officeDocument/2006/relationships" name="Off Hours Access Log" sheetId="7" state="visible" r:id="rId7"/>
    <sheet xmlns:r="http://schemas.openxmlformats.org/officeDocument/2006/relationships" name="Failed Login Analysis" sheetId="8" state="visible" r:id="rId8"/>
    <sheet xmlns:r="http://schemas.openxmlformats.org/officeDocument/2006/relationships" name="Tier Violation Incidents"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color rgb="00000000"/>
      <sz val="11"/>
    </font>
    <font>
      <name val="Calibri"/>
      <b val="1"/>
      <sz val="10"/>
    </font>
    <font>
      <name val="Calibri"/>
      <sz val="10"/>
    </font>
    <font>
      <name val="Calibri"/>
      <b val="1"/>
      <color rgb="00C00000"/>
      <sz val="12"/>
    </font>
    <font>
      <name val="Calibri"/>
      <b val="1"/>
      <color rgb="00FFFFFF"/>
      <sz val="11"/>
    </font>
    <font>
      <name val="Calibri"/>
      <color rgb="00000000"/>
      <sz val="10"/>
    </font>
    <font>
      <name val="Calibri"/>
      <b val="1"/>
      <i val="1"/>
      <color rgb="00C00000"/>
      <sz val="11"/>
    </font>
    <font>
      <name val="Calibri"/>
      <i val="1"/>
      <color rgb="00003366"/>
      <sz val="10"/>
    </font>
    <font>
      <name val="Calibri"/>
      <i val="1"/>
      <sz val="10"/>
    </font>
    <font>
      <name val="Calibri"/>
      <b val="1"/>
      <color rgb="00000000"/>
      <sz val="10"/>
    </font>
    <font>
      <name val="Calibri"/>
      <b val="1"/>
      <color rgb="00C00000"/>
      <sz val="10"/>
    </font>
    <font>
      <name val="Calibri"/>
      <b val="1"/>
      <sz val="11"/>
    </font>
  </fonts>
  <fills count="10">
    <fill>
      <patternFill/>
    </fill>
    <fill>
      <patternFill patternType="gray125"/>
    </fill>
    <fill>
      <patternFill patternType="solid">
        <fgColor rgb="00003366"/>
      </patternFill>
    </fill>
    <fill>
      <patternFill patternType="solid">
        <fgColor rgb="00D9D9D9"/>
      </patternFill>
    </fill>
    <fill>
      <patternFill patternType="solid">
        <fgColor rgb="00FFC7CE"/>
      </patternFill>
    </fill>
    <fill>
      <patternFill patternType="solid">
        <fgColor rgb="00FFFFFF"/>
      </patternFill>
    </fill>
    <fill>
      <patternFill patternType="solid">
        <fgColor rgb="00F2F2F2"/>
      </patternFill>
    </fill>
    <fill>
      <patternFill patternType="solid">
        <fgColor rgb="00FFFFCC"/>
      </patternFill>
    </fill>
    <fill>
      <patternFill patternType="solid">
        <fgColor rgb="00C00000"/>
      </patternFill>
    </fill>
    <fill>
      <patternFill patternType="solid">
        <fgColor rgb="004472C4"/>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0" fontId="3" fillId="0" borderId="0" pivotButton="0" quotePrefix="0" xfId="0"/>
    <xf numFmtId="0" fontId="4" fillId="0" borderId="0" pivotButton="0" quotePrefix="0" xfId="0"/>
    <xf numFmtId="0" fontId="5" fillId="4" borderId="0" pivotButton="0" quotePrefix="0" xfId="0"/>
    <xf numFmtId="0" fontId="0" fillId="0" borderId="0" applyAlignment="1" pivotButton="0" quotePrefix="0" xfId="0">
      <alignment vertical="top" wrapText="1"/>
    </xf>
    <xf numFmtId="0" fontId="6"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7" fillId="5" borderId="0" applyAlignment="1" pivotButton="0" quotePrefix="0" xfId="0">
      <alignment horizontal="left" vertical="center"/>
    </xf>
    <xf numFmtId="0" fontId="2" fillId="3" borderId="1" applyAlignment="1" pivotButton="0" quotePrefix="0" xfId="0">
      <alignment horizontal="center" vertical="center" wrapText="1"/>
    </xf>
    <xf numFmtId="0" fontId="0" fillId="3" borderId="1" pivotButton="0" quotePrefix="0" xfId="0"/>
    <xf numFmtId="0" fontId="8" fillId="0" borderId="0" applyAlignment="1" pivotButton="0" quotePrefix="0" xfId="0">
      <alignment vertical="center" wrapText="1"/>
    </xf>
    <xf numFmtId="0" fontId="9" fillId="0" borderId="0" applyAlignment="1" pivotButton="0" quotePrefix="0" xfId="0">
      <alignment horizontal="left" vertical="center" wrapText="1"/>
    </xf>
    <xf numFmtId="0" fontId="7" fillId="6" borderId="0" applyAlignment="1" pivotButton="0" quotePrefix="0" xfId="0">
      <alignment horizontal="left" vertical="center"/>
    </xf>
    <xf numFmtId="0" fontId="7" fillId="7" borderId="1" applyAlignment="1" pivotButton="0" quotePrefix="0" xfId="0">
      <alignment horizontal="left" vertical="center"/>
    </xf>
    <xf numFmtId="0" fontId="1" fillId="2" borderId="0" applyAlignment="1" pivotButton="0" quotePrefix="0" xfId="0">
      <alignment horizontal="center" vertical="center"/>
    </xf>
    <xf numFmtId="0" fontId="10" fillId="0" borderId="0" applyAlignment="1" pivotButton="0" quotePrefix="0" xfId="0">
      <alignment horizontal="left" vertical="center" wrapText="1"/>
    </xf>
    <xf numFmtId="0" fontId="9" fillId="0" borderId="0" applyAlignment="1" pivotButton="0" quotePrefix="0" xfId="0">
      <alignment horizontal="left" vertical="center"/>
    </xf>
    <xf numFmtId="0" fontId="6" fillId="2" borderId="0" applyAlignment="1" pivotButton="0" quotePrefix="0" xfId="0">
      <alignment horizontal="left" vertical="center"/>
    </xf>
    <xf numFmtId="0" fontId="0" fillId="0" borderId="1" pivotButton="0" quotePrefix="0" xfId="0"/>
    <xf numFmtId="0" fontId="11" fillId="3" borderId="1" applyAlignment="1" pivotButton="0" quotePrefix="0" xfId="0">
      <alignment horizontal="center" vertical="center" wrapText="1"/>
    </xf>
    <xf numFmtId="0" fontId="7" fillId="0" borderId="1" applyAlignment="1" pivotButton="0" quotePrefix="0" xfId="0">
      <alignment horizontal="left" vertical="center"/>
    </xf>
    <xf numFmtId="0" fontId="7" fillId="0" borderId="1" applyAlignment="1" pivotButton="0" quotePrefix="0" xfId="0">
      <alignment horizontal="center" vertical="center"/>
    </xf>
    <xf numFmtId="164" fontId="7" fillId="0" borderId="1" applyAlignment="1" pivotButton="0" quotePrefix="0" xfId="0">
      <alignment horizontal="center" vertical="center"/>
    </xf>
    <xf numFmtId="0" fontId="0" fillId="7" borderId="1" pivotButton="0" quotePrefix="0" xfId="0"/>
    <xf numFmtId="0" fontId="7" fillId="7" borderId="1" applyAlignment="1" pivotButton="0" quotePrefix="0" xfId="0">
      <alignment horizontal="left" vertical="center"/>
    </xf>
    <xf numFmtId="164" fontId="7" fillId="7" borderId="1" applyAlignment="1" pivotButton="0" quotePrefix="0" xfId="0">
      <alignment horizontal="center" vertical="center"/>
    </xf>
    <xf numFmtId="0" fontId="7" fillId="7" borderId="1" applyAlignment="1" pivotButton="0" quotePrefix="0" xfId="0">
      <alignment horizontal="center" vertical="center"/>
    </xf>
    <xf numFmtId="0" fontId="6" fillId="8" borderId="0" applyAlignment="1" pivotButton="0" quotePrefix="0" xfId="0">
      <alignment horizontal="left" vertical="center"/>
    </xf>
    <xf numFmtId="0" fontId="11" fillId="0" borderId="0" applyAlignment="1" pivotButton="0" quotePrefix="0" xfId="0">
      <alignment horizontal="left" vertical="center"/>
    </xf>
    <xf numFmtId="0" fontId="12" fillId="0" borderId="1" applyAlignment="1" pivotButton="0" quotePrefix="0" xfId="0">
      <alignment horizontal="center" vertical="center"/>
    </xf>
    <xf numFmtId="0" fontId="1" fillId="2" borderId="1" applyAlignment="1" pivotButton="0" quotePrefix="0" xfId="0">
      <alignment horizontal="center" vertical="center"/>
    </xf>
    <xf numFmtId="0" fontId="9" fillId="0" borderId="1" applyAlignment="1" pivotButton="0" quotePrefix="0" xfId="0">
      <alignment horizontal="center" vertical="center"/>
    </xf>
    <xf numFmtId="0" fontId="6" fillId="9" borderId="1" applyAlignment="1" pivotButton="0" quotePrefix="0" xfId="0">
      <alignment horizontal="left" vertical="center"/>
    </xf>
    <xf numFmtId="0" fontId="3" fillId="0" borderId="1" pivotButton="0" quotePrefix="0" xfId="0"/>
    <xf numFmtId="164" fontId="0" fillId="7" borderId="1" pivotButton="0" quotePrefix="0" xfId="0"/>
    <xf numFmtId="0" fontId="6" fillId="2" borderId="1" applyAlignment="1" pivotButton="0" quotePrefix="0" xfId="0">
      <alignment horizontal="left" vertical="center"/>
    </xf>
    <xf numFmtId="0" fontId="1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ISMS-IMP-A.8.2-3-5.S4  -  PRIVILEGED ACCESS MONITORING ASSESSMENT
ISO/IEC 27001:2022 - Control A.8.2-3-5: Access and Authentication Management</t>
        </is>
      </c>
    </row>
    <row r="3">
      <c r="A3" s="2" t="inlineStr">
        <is>
          <t>Document Information</t>
        </is>
      </c>
    </row>
    <row r="4">
      <c r="A4" s="3" t="inlineStr">
        <is>
          <t>Document ID:</t>
        </is>
      </c>
      <c r="B4" s="4" t="inlineStr">
        <is>
          <t>ISMS-IMP-A.8.2-3-5.S4</t>
        </is>
      </c>
    </row>
    <row r="5">
      <c r="A5" s="3" t="inlineStr">
        <is>
          <t>Assessment:</t>
        </is>
      </c>
      <c r="B5" s="4" t="inlineStr">
        <is>
          <t>Privileged Access Monitoring Assessment</t>
        </is>
      </c>
    </row>
    <row r="6">
      <c r="A6" s="3" t="inlineStr">
        <is>
          <t>Version:</t>
        </is>
      </c>
      <c r="B6" s="4" t="inlineStr">
        <is>
          <t>1.0</t>
        </is>
      </c>
    </row>
    <row r="7">
      <c r="A7" s="3" t="inlineStr">
        <is>
          <t>Generated:</t>
        </is>
      </c>
      <c r="B7" s="4" t="inlineStr">
        <is>
          <t>01.03.2026 12:12</t>
        </is>
      </c>
    </row>
    <row r="9">
      <c r="A9" s="5" t="inlineStr">
        <is>
          <t>MONITORING = DETECTION CAPABILITY</t>
        </is>
      </c>
    </row>
    <row r="10" ht="45" customHeight="1">
      <c r="A10" s="6" t="inlineStr">
        <is>
          <t>Without monitoring, privileged access abuse is invisible. Session recording provides evidence of what privileged users did. Real-time anomaly detection enables rapid incident response. Monitoring is not optional for privileged access.</t>
        </is>
      </c>
    </row>
    <row r="12">
      <c r="A12" s="2" t="inlineStr">
        <is>
          <t>Instructions</t>
        </is>
      </c>
    </row>
    <row r="13" ht="45" customHeight="1">
      <c r="A13" s="6" t="inlineStr">
        <is>
          <t>Complete the Session Recording Coverage sheet (Sheet 2) for all privileged accounts. Document anomaly detection rules (Sheet 4), review privileged access activity (Sheet 5), and track alert response times against SLAs (Sheet 6).</t>
        </is>
      </c>
    </row>
    <row r="15">
      <c r="A15" s="2" t="inlineStr">
        <is>
          <t>MONITORING COVERAGE REQUIREMENTS</t>
        </is>
      </c>
    </row>
    <row r="16">
      <c r="A16" s="7" t="inlineStr">
        <is>
          <t>Monitoring Component</t>
        </is>
      </c>
      <c r="B16" s="7" t="inlineStr">
        <is>
          <t>Requirement</t>
        </is>
      </c>
      <c r="C16" s="8" t="n"/>
      <c r="D16" s="8" t="n"/>
      <c r="E16" s="8" t="n"/>
      <c r="F16" s="9" t="n"/>
    </row>
    <row r="17">
      <c r="A17" s="10" t="inlineStr">
        <is>
          <t>Session Recording</t>
        </is>
      </c>
      <c r="B17" s="10" t="inlineStr">
        <is>
          <t>Tier 0: 100% | Tier 1 Production: 90%+ | Tier 2: Optional</t>
        </is>
      </c>
      <c r="C17" s="10" t="inlineStr">
        <is>
          <t>Critical</t>
        </is>
      </c>
    </row>
    <row r="18">
      <c r="A18" s="10" t="inlineStr">
        <is>
          <t>Command Logging</t>
        </is>
      </c>
      <c r="B18" s="10" t="inlineStr">
        <is>
          <t>All privileged commands (sudo, PowerShell, database DDL, cloud APIs)</t>
        </is>
      </c>
      <c r="C18" s="10" t="inlineStr">
        <is>
          <t>Critical</t>
        </is>
      </c>
    </row>
    <row r="19">
      <c r="A19" s="10" t="inlineStr">
        <is>
          <t>Real-Time Alerts</t>
        </is>
      </c>
      <c r="B19" s="10" t="inlineStr">
        <is>
          <t>Off-hours access, failed logins, tier violations, unusual activity</t>
        </is>
      </c>
      <c r="C19" s="10" t="inlineStr">
        <is>
          <t>Critical</t>
        </is>
      </c>
    </row>
    <row r="20">
      <c r="A20" s="10" t="inlineStr">
        <is>
          <t>Response Time</t>
        </is>
      </c>
      <c r="B20" s="10" t="inlineStr">
        <is>
          <t>Critical alerts: &lt;30 min | High alerts: &lt;2 hours</t>
        </is>
      </c>
      <c r="C20" s="10" t="inlineStr">
        <is>
          <t>High</t>
        </is>
      </c>
    </row>
    <row r="21">
      <c r="A21" s="10" t="inlineStr">
        <is>
          <t>Log Retention</t>
        </is>
      </c>
      <c r="B21" s="10" t="inlineStr">
        <is>
          <t>90 days online, 1 year archived minimum</t>
        </is>
      </c>
      <c r="C21" s="10" t="inlineStr">
        <is>
          <t>Medium</t>
        </is>
      </c>
    </row>
    <row r="22">
      <c r="A22" s="10" t="inlineStr">
        <is>
          <t>SIEM Integration</t>
        </is>
      </c>
      <c r="B22" s="10" t="inlineStr">
        <is>
          <t>Forward privileged access logs to SIEM (A.8.16)</t>
        </is>
      </c>
      <c r="C22" s="10" t="inlineStr">
        <is>
          <t>High</t>
        </is>
      </c>
    </row>
    <row r="24">
      <c r="A24" s="2" t="inlineStr">
        <is>
          <t>Status Legend</t>
        </is>
      </c>
    </row>
    <row r="25">
      <c r="A25" s="11" t="inlineStr">
        <is>
          <t>Status</t>
        </is>
      </c>
      <c r="B25" s="11" t="inlineStr">
        <is>
          <t>Description</t>
        </is>
      </c>
      <c r="C25" s="12" t="inlineStr"/>
      <c r="D25" s="8" t="n"/>
      <c r="E25" s="8" t="n"/>
      <c r="F25" s="8" t="n"/>
      <c r="G25" s="9" t="n"/>
    </row>
    <row r="26">
      <c r="A26" s="10" t="inlineStr">
        <is>
          <t>✅ Enabled - Active Recording</t>
        </is>
      </c>
      <c r="B26" s="10" t="inlineStr">
        <is>
          <t>Session recording active and verified</t>
        </is>
      </c>
    </row>
    <row r="27">
      <c r="A27" s="10" t="inlineStr">
        <is>
          <t>⚠ Enabled - Storage Issues</t>
        </is>
      </c>
      <c r="B27" s="10" t="inlineStr">
        <is>
          <t>Recording active but storage problems detected</t>
        </is>
      </c>
    </row>
    <row r="28">
      <c r="A28" s="10" t="inlineStr">
        <is>
          <t>❌ Not Enabled (Gap)</t>
        </is>
      </c>
      <c r="B28" s="10" t="inlineStr">
        <is>
          <t>Recording not implemented — action required</t>
        </is>
      </c>
    </row>
    <row r="29">
      <c r="A29" s="10" t="inlineStr">
        <is>
          <t>N/A (Not Applicable)</t>
        </is>
      </c>
      <c r="B29" s="10" t="inlineStr">
        <is>
          <t>Not applicable to this system/tier</t>
        </is>
      </c>
    </row>
    <row r="30">
      <c r="A30" s="10" t="inlineStr">
        <is>
          <t>—</t>
        </is>
      </c>
      <c r="B30" s="10" t="inlineStr">
        <is>
          <t>Not applicable</t>
        </is>
      </c>
    </row>
    <row r="32" ht="30" customHeight="1">
      <c r="A32" s="13" t="inlineStr">
        <is>
          <t>REMEMBER: 'We monitor privileged access' means nothing without actual session recordings and real-time alerts. Evidence over theatre.</t>
        </is>
      </c>
    </row>
  </sheetData>
  <mergeCells count="16">
    <mergeCell ref="A32:G32"/>
    <mergeCell ref="A13:G13"/>
    <mergeCell ref="A1:G1"/>
    <mergeCell ref="B28:G28"/>
    <mergeCell ref="A9:G9"/>
    <mergeCell ref="B16:F16"/>
    <mergeCell ref="A12:G12"/>
    <mergeCell ref="C25:G25"/>
    <mergeCell ref="B27:G27"/>
    <mergeCell ref="A24:G24"/>
    <mergeCell ref="B26:G26"/>
    <mergeCell ref="A15:G15"/>
    <mergeCell ref="B30:G30"/>
    <mergeCell ref="A3:B3"/>
    <mergeCell ref="B29:G29"/>
    <mergeCell ref="A10:G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5"/>
  <sheetViews>
    <sheetView showGridLines="0" workbookViewId="0">
      <pane ySplit="4" topLeftCell="A5" activePane="bottomLeft" state="frozen"/>
      <selection pane="bottomLeft" activeCell="A1" sqref="A1"/>
    </sheetView>
  </sheetViews>
  <sheetFormatPr baseColWidth="8" defaultRowHeight="15"/>
  <cols>
    <col width="22" customWidth="1" min="2" max="2"/>
    <col width="16" customWidth="1" min="3" max="3"/>
    <col width="26" customWidth="1" min="4" max="4"/>
    <col width="22" customWidth="1" min="5" max="5"/>
    <col width="25" customWidth="1" min="6" max="6"/>
    <col width="16" customWidth="1" min="7" max="7"/>
    <col width="16" customWidth="1" min="8" max="8"/>
    <col width="14" customWidth="1" min="9" max="9"/>
    <col width="20" customWidth="1" min="10" max="10"/>
    <col width="18" customWidth="1" min="11" max="11"/>
    <col width="35" customWidth="1" min="12" max="12"/>
  </cols>
  <sheetData>
    <row r="1" ht="35" customHeight="1">
      <c r="A1" s="1" t="inlineStr">
        <is>
          <t>SESSION RECORDING COVERAGE</t>
        </is>
      </c>
    </row>
    <row r="2">
      <c r="A2" s="14" t="inlineStr">
        <is>
          <t>Track session recording deployment (Target: Tier 0 100%, Tier 1 Production 90%+)</t>
        </is>
      </c>
    </row>
    <row r="4">
      <c r="A4" s="7" t="inlineStr">
        <is>
          <t>Account / System</t>
        </is>
      </c>
      <c r="B4" s="7" t="inlineStr">
        <is>
          <t>Admin Tier</t>
        </is>
      </c>
      <c r="C4" s="7" t="inlineStr">
        <is>
          <t>Environment</t>
        </is>
      </c>
      <c r="D4" s="7" t="inlineStr">
        <is>
          <t>Recording Status</t>
        </is>
      </c>
      <c r="E4" s="7" t="inlineStr">
        <is>
          <t>Recording Method</t>
        </is>
      </c>
      <c r="F4" s="7" t="inlineStr">
        <is>
          <t>Storage Location</t>
        </is>
      </c>
      <c r="G4" s="7" t="inlineStr">
        <is>
          <t>Retention Period</t>
        </is>
      </c>
      <c r="H4" s="7" t="inlineStr">
        <is>
          <t>Last Recording Date</t>
        </is>
      </c>
      <c r="I4" s="7" t="inlineStr">
        <is>
          <t>Playback Tested</t>
        </is>
      </c>
      <c r="J4" s="7" t="inlineStr">
        <is>
          <t>Compliance Target</t>
        </is>
      </c>
      <c r="K4" s="7" t="inlineStr">
        <is>
          <t>Compliance Status</t>
        </is>
      </c>
      <c r="L4" s="7" t="inlineStr">
        <is>
          <t>Notes</t>
        </is>
      </c>
    </row>
    <row r="5">
      <c r="A5" s="15" t="inlineStr">
        <is>
          <t>admin.username</t>
        </is>
      </c>
      <c r="B5" s="15" t="inlineStr">
        <is>
          <t>Tier 0 (Domain/Enterprise/Critical)</t>
        </is>
      </c>
      <c r="C5" s="15" t="inlineStr">
        <is>
          <t>Production</t>
        </is>
      </c>
      <c r="D5" s="15" t="inlineStr">
        <is>
          <t>✅ Enabled - Active Recording</t>
        </is>
      </c>
      <c r="E5" s="15" t="inlineStr">
        <is>
          <t>Video Recording</t>
        </is>
      </c>
      <c r="F5" s="15" t="inlineStr">
        <is>
          <t>PAM Vault Storage</t>
        </is>
      </c>
      <c r="G5" s="15" t="inlineStr">
        <is>
          <t>365 days</t>
        </is>
      </c>
      <c r="H5" s="15" t="inlineStr">
        <is>
          <t>01.03.2026</t>
        </is>
      </c>
      <c r="I5" s="15" t="inlineStr">
        <is>
          <t>Yes</t>
        </is>
      </c>
      <c r="J5" s="15" t="inlineStr">
        <is>
          <t>Tier 0: 100%</t>
        </is>
      </c>
      <c r="K5" s="15" t="inlineStr">
        <is>
          <t>✅ Compliant</t>
        </is>
      </c>
      <c r="L5" s="15" t="inlineStr"/>
    </row>
    <row r="6">
      <c r="A6" s="16" t="n"/>
      <c r="B6" s="16" t="n"/>
      <c r="C6" s="16" t="n"/>
      <c r="D6" s="16" t="n"/>
      <c r="E6" s="16" t="n"/>
      <c r="F6" s="16" t="n"/>
      <c r="G6" s="16" t="n"/>
      <c r="H6" s="16" t="n"/>
      <c r="I6" s="16" t="n"/>
      <c r="J6" s="16" t="n"/>
      <c r="K6" s="16" t="n"/>
      <c r="L6" s="16" t="n"/>
    </row>
    <row r="7">
      <c r="A7" s="16" t="n"/>
      <c r="B7" s="16" t="n"/>
      <c r="C7" s="16" t="n"/>
      <c r="D7" s="16" t="n"/>
      <c r="E7" s="16" t="n"/>
      <c r="F7" s="16" t="n"/>
      <c r="G7" s="16" t="n"/>
      <c r="H7" s="16" t="n"/>
      <c r="I7" s="16" t="n"/>
      <c r="J7" s="16" t="n"/>
      <c r="K7" s="16" t="n"/>
      <c r="L7" s="16" t="n"/>
    </row>
    <row r="8">
      <c r="A8" s="16" t="n"/>
      <c r="B8" s="16" t="n"/>
      <c r="C8" s="16" t="n"/>
      <c r="D8" s="16" t="n"/>
      <c r="E8" s="16" t="n"/>
      <c r="F8" s="16" t="n"/>
      <c r="G8" s="16" t="n"/>
      <c r="H8" s="16" t="n"/>
      <c r="I8" s="16" t="n"/>
      <c r="J8" s="16" t="n"/>
      <c r="K8" s="16" t="n"/>
      <c r="L8" s="16" t="n"/>
    </row>
    <row r="9">
      <c r="A9" s="16" t="n"/>
      <c r="B9" s="16" t="n"/>
      <c r="C9" s="16" t="n"/>
      <c r="D9" s="16" t="n"/>
      <c r="E9" s="16" t="n"/>
      <c r="F9" s="16" t="n"/>
      <c r="G9" s="16" t="n"/>
      <c r="H9" s="16" t="n"/>
      <c r="I9" s="16" t="n"/>
      <c r="J9" s="16" t="n"/>
      <c r="K9" s="16" t="n"/>
      <c r="L9" s="16" t="n"/>
    </row>
    <row r="10">
      <c r="A10" s="16" t="n"/>
      <c r="B10" s="16" t="n"/>
      <c r="C10" s="16" t="n"/>
      <c r="D10" s="16" t="n"/>
      <c r="E10" s="16" t="n"/>
      <c r="F10" s="16" t="n"/>
      <c r="G10" s="16" t="n"/>
      <c r="H10" s="16" t="n"/>
      <c r="I10" s="16" t="n"/>
      <c r="J10" s="16" t="n"/>
      <c r="K10" s="16" t="n"/>
      <c r="L10" s="16" t="n"/>
    </row>
    <row r="11">
      <c r="A11" s="16" t="n"/>
      <c r="B11" s="16" t="n"/>
      <c r="C11" s="16" t="n"/>
      <c r="D11" s="16" t="n"/>
      <c r="E11" s="16" t="n"/>
      <c r="F11" s="16" t="n"/>
      <c r="G11" s="16" t="n"/>
      <c r="H11" s="16" t="n"/>
      <c r="I11" s="16" t="n"/>
      <c r="J11" s="16" t="n"/>
      <c r="K11" s="16" t="n"/>
      <c r="L11" s="16" t="n"/>
    </row>
    <row r="12">
      <c r="A12" s="16" t="n"/>
      <c r="B12" s="16" t="n"/>
      <c r="C12" s="16" t="n"/>
      <c r="D12" s="16" t="n"/>
      <c r="E12" s="16" t="n"/>
      <c r="F12" s="16" t="n"/>
      <c r="G12" s="16" t="n"/>
      <c r="H12" s="16" t="n"/>
      <c r="I12" s="16" t="n"/>
      <c r="J12" s="16" t="n"/>
      <c r="K12" s="16" t="n"/>
      <c r="L12" s="16" t="n"/>
    </row>
    <row r="13">
      <c r="A13" s="16" t="n"/>
      <c r="B13" s="16" t="n"/>
      <c r="C13" s="16" t="n"/>
      <c r="D13" s="16" t="n"/>
      <c r="E13" s="16" t="n"/>
      <c r="F13" s="16" t="n"/>
      <c r="G13" s="16" t="n"/>
      <c r="H13" s="16" t="n"/>
      <c r="I13" s="16" t="n"/>
      <c r="J13" s="16" t="n"/>
      <c r="K13" s="16" t="n"/>
      <c r="L13" s="16" t="n"/>
    </row>
    <row r="14">
      <c r="A14" s="16" t="n"/>
      <c r="B14" s="16" t="n"/>
      <c r="C14" s="16" t="n"/>
      <c r="D14" s="16" t="n"/>
      <c r="E14" s="16" t="n"/>
      <c r="F14" s="16" t="n"/>
      <c r="G14" s="16" t="n"/>
      <c r="H14" s="16" t="n"/>
      <c r="I14" s="16" t="n"/>
      <c r="J14" s="16" t="n"/>
      <c r="K14" s="16" t="n"/>
      <c r="L14" s="16" t="n"/>
    </row>
    <row r="15">
      <c r="A15" s="16" t="n"/>
      <c r="B15" s="16" t="n"/>
      <c r="C15" s="16" t="n"/>
      <c r="D15" s="16" t="n"/>
      <c r="E15" s="16" t="n"/>
      <c r="F15" s="16" t="n"/>
      <c r="G15" s="16" t="n"/>
      <c r="H15" s="16" t="n"/>
      <c r="I15" s="16" t="n"/>
      <c r="J15" s="16" t="n"/>
      <c r="K15" s="16" t="n"/>
      <c r="L15" s="16" t="n"/>
    </row>
    <row r="16">
      <c r="A16" s="16" t="n"/>
      <c r="B16" s="16" t="n"/>
      <c r="C16" s="16" t="n"/>
      <c r="D16" s="16" t="n"/>
      <c r="E16" s="16" t="n"/>
      <c r="F16" s="16" t="n"/>
      <c r="G16" s="16" t="n"/>
      <c r="H16" s="16" t="n"/>
      <c r="I16" s="16" t="n"/>
      <c r="J16" s="16" t="n"/>
      <c r="K16" s="16" t="n"/>
      <c r="L16" s="16" t="n"/>
    </row>
    <row r="17">
      <c r="A17" s="16" t="n"/>
      <c r="B17" s="16" t="n"/>
      <c r="C17" s="16" t="n"/>
      <c r="D17" s="16" t="n"/>
      <c r="E17" s="16" t="n"/>
      <c r="F17" s="16" t="n"/>
      <c r="G17" s="16" t="n"/>
      <c r="H17" s="16" t="n"/>
      <c r="I17" s="16" t="n"/>
      <c r="J17" s="16" t="n"/>
      <c r="K17" s="16" t="n"/>
      <c r="L17" s="16" t="n"/>
    </row>
    <row r="18">
      <c r="A18" s="16" t="n"/>
      <c r="B18" s="16" t="n"/>
      <c r="C18" s="16" t="n"/>
      <c r="D18" s="16" t="n"/>
      <c r="E18" s="16" t="n"/>
      <c r="F18" s="16" t="n"/>
      <c r="G18" s="16" t="n"/>
      <c r="H18" s="16" t="n"/>
      <c r="I18" s="16" t="n"/>
      <c r="J18" s="16" t="n"/>
      <c r="K18" s="16" t="n"/>
      <c r="L18" s="16" t="n"/>
    </row>
    <row r="19">
      <c r="A19" s="16" t="n"/>
      <c r="B19" s="16" t="n"/>
      <c r="C19" s="16" t="n"/>
      <c r="D19" s="16" t="n"/>
      <c r="E19" s="16" t="n"/>
      <c r="F19" s="16" t="n"/>
      <c r="G19" s="16" t="n"/>
      <c r="H19" s="16" t="n"/>
      <c r="I19" s="16" t="n"/>
      <c r="J19" s="16" t="n"/>
      <c r="K19" s="16" t="n"/>
      <c r="L19" s="16" t="n"/>
    </row>
    <row r="20">
      <c r="A20" s="16" t="n"/>
      <c r="B20" s="16" t="n"/>
      <c r="C20" s="16" t="n"/>
      <c r="D20" s="16" t="n"/>
      <c r="E20" s="16" t="n"/>
      <c r="F20" s="16" t="n"/>
      <c r="G20" s="16" t="n"/>
      <c r="H20" s="16" t="n"/>
      <c r="I20" s="16" t="n"/>
      <c r="J20" s="16" t="n"/>
      <c r="K20" s="16" t="n"/>
      <c r="L20" s="16" t="n"/>
    </row>
    <row r="21">
      <c r="A21" s="16" t="n"/>
      <c r="B21" s="16" t="n"/>
      <c r="C21" s="16" t="n"/>
      <c r="D21" s="16" t="n"/>
      <c r="E21" s="16" t="n"/>
      <c r="F21" s="16" t="n"/>
      <c r="G21" s="16" t="n"/>
      <c r="H21" s="16" t="n"/>
      <c r="I21" s="16" t="n"/>
      <c r="J21" s="16" t="n"/>
      <c r="K21" s="16" t="n"/>
      <c r="L21" s="16" t="n"/>
    </row>
    <row r="22">
      <c r="A22" s="16" t="n"/>
      <c r="B22" s="16" t="n"/>
      <c r="C22" s="16" t="n"/>
      <c r="D22" s="16" t="n"/>
      <c r="E22" s="16" t="n"/>
      <c r="F22" s="16" t="n"/>
      <c r="G22" s="16" t="n"/>
      <c r="H22" s="16" t="n"/>
      <c r="I22" s="16" t="n"/>
      <c r="J22" s="16" t="n"/>
      <c r="K22" s="16" t="n"/>
      <c r="L22" s="16" t="n"/>
    </row>
    <row r="23">
      <c r="A23" s="16" t="n"/>
      <c r="B23" s="16" t="n"/>
      <c r="C23" s="16" t="n"/>
      <c r="D23" s="16" t="n"/>
      <c r="E23" s="16" t="n"/>
      <c r="F23" s="16" t="n"/>
      <c r="G23" s="16" t="n"/>
      <c r="H23" s="16" t="n"/>
      <c r="I23" s="16" t="n"/>
      <c r="J23" s="16" t="n"/>
      <c r="K23" s="16" t="n"/>
      <c r="L23" s="16" t="n"/>
    </row>
    <row r="24">
      <c r="A24" s="16" t="n"/>
      <c r="B24" s="16" t="n"/>
      <c r="C24" s="16" t="n"/>
      <c r="D24" s="16" t="n"/>
      <c r="E24" s="16" t="n"/>
      <c r="F24" s="16" t="n"/>
      <c r="G24" s="16" t="n"/>
      <c r="H24" s="16" t="n"/>
      <c r="I24" s="16" t="n"/>
      <c r="J24" s="16" t="n"/>
      <c r="K24" s="16" t="n"/>
      <c r="L24" s="16" t="n"/>
    </row>
    <row r="25">
      <c r="A25" s="16" t="n"/>
      <c r="B25" s="16" t="n"/>
      <c r="C25" s="16" t="n"/>
      <c r="D25" s="16" t="n"/>
      <c r="E25" s="16" t="n"/>
      <c r="F25" s="16" t="n"/>
      <c r="G25" s="16" t="n"/>
      <c r="H25" s="16" t="n"/>
      <c r="I25" s="16" t="n"/>
      <c r="J25" s="16" t="n"/>
      <c r="K25" s="16" t="n"/>
      <c r="L25" s="16" t="n"/>
    </row>
    <row r="26">
      <c r="A26" s="16" t="n"/>
      <c r="B26" s="16" t="n"/>
      <c r="C26" s="16" t="n"/>
      <c r="D26" s="16" t="n"/>
      <c r="E26" s="16" t="n"/>
      <c r="F26" s="16" t="n"/>
      <c r="G26" s="16" t="n"/>
      <c r="H26" s="16" t="n"/>
      <c r="I26" s="16" t="n"/>
      <c r="J26" s="16" t="n"/>
      <c r="K26" s="16" t="n"/>
      <c r="L26" s="16" t="n"/>
    </row>
    <row r="27">
      <c r="A27" s="16" t="n"/>
      <c r="B27" s="16" t="n"/>
      <c r="C27" s="16" t="n"/>
      <c r="D27" s="16" t="n"/>
      <c r="E27" s="16" t="n"/>
      <c r="F27" s="16" t="n"/>
      <c r="G27" s="16" t="n"/>
      <c r="H27" s="16" t="n"/>
      <c r="I27" s="16" t="n"/>
      <c r="J27" s="16" t="n"/>
      <c r="K27" s="16" t="n"/>
      <c r="L27" s="16" t="n"/>
    </row>
    <row r="28">
      <c r="A28" s="16" t="n"/>
      <c r="B28" s="16" t="n"/>
      <c r="C28" s="16" t="n"/>
      <c r="D28" s="16" t="n"/>
      <c r="E28" s="16" t="n"/>
      <c r="F28" s="16" t="n"/>
      <c r="G28" s="16" t="n"/>
      <c r="H28" s="16" t="n"/>
      <c r="I28" s="16" t="n"/>
      <c r="J28" s="16" t="n"/>
      <c r="K28" s="16" t="n"/>
      <c r="L28" s="16" t="n"/>
    </row>
    <row r="29">
      <c r="A29" s="16" t="n"/>
      <c r="B29" s="16" t="n"/>
      <c r="C29" s="16" t="n"/>
      <c r="D29" s="16" t="n"/>
      <c r="E29" s="16" t="n"/>
      <c r="F29" s="16" t="n"/>
      <c r="G29" s="16" t="n"/>
      <c r="H29" s="16" t="n"/>
      <c r="I29" s="16" t="n"/>
      <c r="J29" s="16" t="n"/>
      <c r="K29" s="16" t="n"/>
      <c r="L29" s="16" t="n"/>
    </row>
    <row r="30">
      <c r="A30" s="16" t="n"/>
      <c r="B30" s="16" t="n"/>
      <c r="C30" s="16" t="n"/>
      <c r="D30" s="16" t="n"/>
      <c r="E30" s="16" t="n"/>
      <c r="F30" s="16" t="n"/>
      <c r="G30" s="16" t="n"/>
      <c r="H30" s="16" t="n"/>
      <c r="I30" s="16" t="n"/>
      <c r="J30" s="16" t="n"/>
      <c r="K30" s="16" t="n"/>
      <c r="L30" s="16" t="n"/>
    </row>
    <row r="31">
      <c r="A31" s="16" t="n"/>
      <c r="B31" s="16" t="n"/>
      <c r="C31" s="16" t="n"/>
      <c r="D31" s="16" t="n"/>
      <c r="E31" s="16" t="n"/>
      <c r="F31" s="16" t="n"/>
      <c r="G31" s="16" t="n"/>
      <c r="H31" s="16" t="n"/>
      <c r="I31" s="16" t="n"/>
      <c r="J31" s="16" t="n"/>
      <c r="K31" s="16" t="n"/>
      <c r="L31" s="16" t="n"/>
    </row>
    <row r="32">
      <c r="A32" s="16" t="n"/>
      <c r="B32" s="16" t="n"/>
      <c r="C32" s="16" t="n"/>
      <c r="D32" s="16" t="n"/>
      <c r="E32" s="16" t="n"/>
      <c r="F32" s="16" t="n"/>
      <c r="G32" s="16" t="n"/>
      <c r="H32" s="16" t="n"/>
      <c r="I32" s="16" t="n"/>
      <c r="J32" s="16" t="n"/>
      <c r="K32" s="16" t="n"/>
      <c r="L32" s="16" t="n"/>
    </row>
    <row r="33">
      <c r="A33" s="16" t="n"/>
      <c r="B33" s="16" t="n"/>
      <c r="C33" s="16" t="n"/>
      <c r="D33" s="16" t="n"/>
      <c r="E33" s="16" t="n"/>
      <c r="F33" s="16" t="n"/>
      <c r="G33" s="16" t="n"/>
      <c r="H33" s="16" t="n"/>
      <c r="I33" s="16" t="n"/>
      <c r="J33" s="16" t="n"/>
      <c r="K33" s="16" t="n"/>
      <c r="L33" s="16" t="n"/>
    </row>
    <row r="34">
      <c r="A34" s="16" t="n"/>
      <c r="B34" s="16" t="n"/>
      <c r="C34" s="16" t="n"/>
      <c r="D34" s="16" t="n"/>
      <c r="E34" s="16" t="n"/>
      <c r="F34" s="16" t="n"/>
      <c r="G34" s="16" t="n"/>
      <c r="H34" s="16" t="n"/>
      <c r="I34" s="16" t="n"/>
      <c r="J34" s="16" t="n"/>
      <c r="K34" s="16" t="n"/>
      <c r="L34" s="16" t="n"/>
    </row>
    <row r="35">
      <c r="A35" s="16" t="n"/>
      <c r="B35" s="16" t="n"/>
      <c r="C35" s="16" t="n"/>
      <c r="D35" s="16" t="n"/>
      <c r="E35" s="16" t="n"/>
      <c r="F35" s="16" t="n"/>
      <c r="G35" s="16" t="n"/>
      <c r="H35" s="16" t="n"/>
      <c r="I35" s="16" t="n"/>
      <c r="J35" s="16" t="n"/>
      <c r="K35" s="16" t="n"/>
      <c r="L35" s="16" t="n"/>
    </row>
    <row r="36">
      <c r="A36" s="16" t="n"/>
      <c r="B36" s="16" t="n"/>
      <c r="C36" s="16" t="n"/>
      <c r="D36" s="16" t="n"/>
      <c r="E36" s="16" t="n"/>
      <c r="F36" s="16" t="n"/>
      <c r="G36" s="16" t="n"/>
      <c r="H36" s="16" t="n"/>
      <c r="I36" s="16" t="n"/>
      <c r="J36" s="16" t="n"/>
      <c r="K36" s="16" t="n"/>
      <c r="L36" s="16" t="n"/>
    </row>
    <row r="37">
      <c r="A37" s="16" t="n"/>
      <c r="B37" s="16" t="n"/>
      <c r="C37" s="16" t="n"/>
      <c r="D37" s="16" t="n"/>
      <c r="E37" s="16" t="n"/>
      <c r="F37" s="16" t="n"/>
      <c r="G37" s="16" t="n"/>
      <c r="H37" s="16" t="n"/>
      <c r="I37" s="16" t="n"/>
      <c r="J37" s="16" t="n"/>
      <c r="K37" s="16" t="n"/>
      <c r="L37" s="16" t="n"/>
    </row>
    <row r="38">
      <c r="A38" s="16" t="n"/>
      <c r="B38" s="16" t="n"/>
      <c r="C38" s="16" t="n"/>
      <c r="D38" s="16" t="n"/>
      <c r="E38" s="16" t="n"/>
      <c r="F38" s="16" t="n"/>
      <c r="G38" s="16" t="n"/>
      <c r="H38" s="16" t="n"/>
      <c r="I38" s="16" t="n"/>
      <c r="J38" s="16" t="n"/>
      <c r="K38" s="16" t="n"/>
      <c r="L38" s="16" t="n"/>
    </row>
    <row r="39">
      <c r="A39" s="16" t="n"/>
      <c r="B39" s="16" t="n"/>
      <c r="C39" s="16" t="n"/>
      <c r="D39" s="16" t="n"/>
      <c r="E39" s="16" t="n"/>
      <c r="F39" s="16" t="n"/>
      <c r="G39" s="16" t="n"/>
      <c r="H39" s="16" t="n"/>
      <c r="I39" s="16" t="n"/>
      <c r="J39" s="16" t="n"/>
      <c r="K39" s="16" t="n"/>
      <c r="L39" s="16" t="n"/>
    </row>
    <row r="40">
      <c r="A40" s="16" t="n"/>
      <c r="B40" s="16" t="n"/>
      <c r="C40" s="16" t="n"/>
      <c r="D40" s="16" t="n"/>
      <c r="E40" s="16" t="n"/>
      <c r="F40" s="16" t="n"/>
      <c r="G40" s="16" t="n"/>
      <c r="H40" s="16" t="n"/>
      <c r="I40" s="16" t="n"/>
      <c r="J40" s="16" t="n"/>
      <c r="K40" s="16" t="n"/>
      <c r="L40" s="16" t="n"/>
    </row>
    <row r="41">
      <c r="A41" s="16" t="n"/>
      <c r="B41" s="16" t="n"/>
      <c r="C41" s="16" t="n"/>
      <c r="D41" s="16" t="n"/>
      <c r="E41" s="16" t="n"/>
      <c r="F41" s="16" t="n"/>
      <c r="G41" s="16" t="n"/>
      <c r="H41" s="16" t="n"/>
      <c r="I41" s="16" t="n"/>
      <c r="J41" s="16" t="n"/>
      <c r="K41" s="16" t="n"/>
      <c r="L41" s="16" t="n"/>
    </row>
    <row r="42">
      <c r="A42" s="16" t="n"/>
      <c r="B42" s="16" t="n"/>
      <c r="C42" s="16" t="n"/>
      <c r="D42" s="16" t="n"/>
      <c r="E42" s="16" t="n"/>
      <c r="F42" s="16" t="n"/>
      <c r="G42" s="16" t="n"/>
      <c r="H42" s="16" t="n"/>
      <c r="I42" s="16" t="n"/>
      <c r="J42" s="16" t="n"/>
      <c r="K42" s="16" t="n"/>
      <c r="L42" s="16" t="n"/>
    </row>
    <row r="43">
      <c r="A43" s="16" t="n"/>
      <c r="B43" s="16" t="n"/>
      <c r="C43" s="16" t="n"/>
      <c r="D43" s="16" t="n"/>
      <c r="E43" s="16" t="n"/>
      <c r="F43" s="16" t="n"/>
      <c r="G43" s="16" t="n"/>
      <c r="H43" s="16" t="n"/>
      <c r="I43" s="16" t="n"/>
      <c r="J43" s="16" t="n"/>
      <c r="K43" s="16" t="n"/>
      <c r="L43" s="16" t="n"/>
    </row>
    <row r="44">
      <c r="A44" s="16" t="n"/>
      <c r="B44" s="16" t="n"/>
      <c r="C44" s="16" t="n"/>
      <c r="D44" s="16" t="n"/>
      <c r="E44" s="16" t="n"/>
      <c r="F44" s="16" t="n"/>
      <c r="G44" s="16" t="n"/>
      <c r="H44" s="16" t="n"/>
      <c r="I44" s="16" t="n"/>
      <c r="J44" s="16" t="n"/>
      <c r="K44" s="16" t="n"/>
      <c r="L44" s="16" t="n"/>
    </row>
    <row r="45">
      <c r="A45" s="16" t="n"/>
      <c r="B45" s="16" t="n"/>
      <c r="C45" s="16" t="n"/>
      <c r="D45" s="16" t="n"/>
      <c r="E45" s="16" t="n"/>
      <c r="F45" s="16" t="n"/>
      <c r="G45" s="16" t="n"/>
      <c r="H45" s="16" t="n"/>
      <c r="I45" s="16" t="n"/>
      <c r="J45" s="16" t="n"/>
      <c r="K45" s="16" t="n"/>
      <c r="L45" s="16" t="n"/>
    </row>
    <row r="46">
      <c r="A46" s="16" t="n"/>
      <c r="B46" s="16" t="n"/>
      <c r="C46" s="16" t="n"/>
      <c r="D46" s="16" t="n"/>
      <c r="E46" s="16" t="n"/>
      <c r="F46" s="16" t="n"/>
      <c r="G46" s="16" t="n"/>
      <c r="H46" s="16" t="n"/>
      <c r="I46" s="16" t="n"/>
      <c r="J46" s="16" t="n"/>
      <c r="K46" s="16" t="n"/>
      <c r="L46" s="16" t="n"/>
    </row>
    <row r="47">
      <c r="A47" s="16" t="n"/>
      <c r="B47" s="16" t="n"/>
      <c r="C47" s="16" t="n"/>
      <c r="D47" s="16" t="n"/>
      <c r="E47" s="16" t="n"/>
      <c r="F47" s="16" t="n"/>
      <c r="G47" s="16" t="n"/>
      <c r="H47" s="16" t="n"/>
      <c r="I47" s="16" t="n"/>
      <c r="J47" s="16" t="n"/>
      <c r="K47" s="16" t="n"/>
      <c r="L47" s="16" t="n"/>
    </row>
    <row r="48">
      <c r="A48" s="16" t="n"/>
      <c r="B48" s="16" t="n"/>
      <c r="C48" s="16" t="n"/>
      <c r="D48" s="16" t="n"/>
      <c r="E48" s="16" t="n"/>
      <c r="F48" s="16" t="n"/>
      <c r="G48" s="16" t="n"/>
      <c r="H48" s="16" t="n"/>
      <c r="I48" s="16" t="n"/>
      <c r="J48" s="16" t="n"/>
      <c r="K48" s="16" t="n"/>
      <c r="L48" s="16" t="n"/>
    </row>
    <row r="49">
      <c r="A49" s="16" t="n"/>
      <c r="B49" s="16" t="n"/>
      <c r="C49" s="16" t="n"/>
      <c r="D49" s="16" t="n"/>
      <c r="E49" s="16" t="n"/>
      <c r="F49" s="16" t="n"/>
      <c r="G49" s="16" t="n"/>
      <c r="H49" s="16" t="n"/>
      <c r="I49" s="16" t="n"/>
      <c r="J49" s="16" t="n"/>
      <c r="K49" s="16" t="n"/>
      <c r="L49" s="16" t="n"/>
    </row>
    <row r="50">
      <c r="A50" s="16" t="n"/>
      <c r="B50" s="16" t="n"/>
      <c r="C50" s="16" t="n"/>
      <c r="D50" s="16" t="n"/>
      <c r="E50" s="16" t="n"/>
      <c r="F50" s="16" t="n"/>
      <c r="G50" s="16" t="n"/>
      <c r="H50" s="16" t="n"/>
      <c r="I50" s="16" t="n"/>
      <c r="J50" s="16" t="n"/>
      <c r="K50" s="16" t="n"/>
      <c r="L50" s="16" t="n"/>
    </row>
    <row r="51">
      <c r="A51" s="16" t="n"/>
      <c r="B51" s="16" t="n"/>
      <c r="C51" s="16" t="n"/>
      <c r="D51" s="16" t="n"/>
      <c r="E51" s="16" t="n"/>
      <c r="F51" s="16" t="n"/>
      <c r="G51" s="16" t="n"/>
      <c r="H51" s="16" t="n"/>
      <c r="I51" s="16" t="n"/>
      <c r="J51" s="16" t="n"/>
      <c r="K51" s="16" t="n"/>
      <c r="L51" s="16" t="n"/>
    </row>
    <row r="52">
      <c r="A52" s="16" t="n"/>
      <c r="B52" s="16" t="n"/>
      <c r="C52" s="16" t="n"/>
      <c r="D52" s="16" t="n"/>
      <c r="E52" s="16" t="n"/>
      <c r="F52" s="16" t="n"/>
      <c r="G52" s="16" t="n"/>
      <c r="H52" s="16" t="n"/>
      <c r="I52" s="16" t="n"/>
      <c r="J52" s="16" t="n"/>
      <c r="K52" s="16" t="n"/>
      <c r="L52" s="16" t="n"/>
    </row>
    <row r="53">
      <c r="A53" s="16" t="n"/>
      <c r="B53" s="16" t="n"/>
      <c r="C53" s="16" t="n"/>
      <c r="D53" s="16" t="n"/>
      <c r="E53" s="16" t="n"/>
      <c r="F53" s="16" t="n"/>
      <c r="G53" s="16" t="n"/>
      <c r="H53" s="16" t="n"/>
      <c r="I53" s="16" t="n"/>
      <c r="J53" s="16" t="n"/>
      <c r="K53" s="16" t="n"/>
      <c r="L53" s="16" t="n"/>
    </row>
    <row r="54">
      <c r="A54" s="16" t="n"/>
      <c r="B54" s="16" t="n"/>
      <c r="C54" s="16" t="n"/>
      <c r="D54" s="16" t="n"/>
      <c r="E54" s="16" t="n"/>
      <c r="F54" s="16" t="n"/>
      <c r="G54" s="16" t="n"/>
      <c r="H54" s="16" t="n"/>
      <c r="I54" s="16" t="n"/>
      <c r="J54" s="16" t="n"/>
      <c r="K54" s="16" t="n"/>
      <c r="L54" s="16" t="n"/>
    </row>
    <row r="55">
      <c r="A55" s="16" t="n"/>
      <c r="B55" s="16" t="n"/>
      <c r="C55" s="16" t="n"/>
      <c r="D55" s="16" t="n"/>
      <c r="E55" s="16" t="n"/>
      <c r="F55" s="16" t="n"/>
      <c r="G55" s="16" t="n"/>
      <c r="H55" s="16" t="n"/>
      <c r="I55" s="16" t="n"/>
      <c r="J55" s="16" t="n"/>
      <c r="K55" s="16" t="n"/>
      <c r="L55" s="16" t="n"/>
    </row>
  </sheetData>
  <mergeCells count="2">
    <mergeCell ref="A2:L2"/>
    <mergeCell ref="A1:L1"/>
  </mergeCells>
  <dataValidations count="7">
    <dataValidation sqref="B5:B55" showDropDown="0" showInputMessage="0" showErrorMessage="0" allowBlank="1" type="list">
      <formula1>"Tier 0 (Domain/Enterprise/Critical),Tier 1 (Server/Application),Tier 2 (Workstation/Endpoint),N/A (Non-Privileged)"</formula1>
    </dataValidation>
    <dataValidation sqref="C5:C55" showDropDown="0" showInputMessage="0" showErrorMessage="0" allowBlank="1" type="list">
      <formula1>"Production,Non-Production,Test,Development"</formula1>
    </dataValidation>
    <dataValidation sqref="D5:D55" showDropDown="0" showInputMessage="0" showErrorMessage="0" allowBlank="1" type="list">
      <formula1>"✅ Enabled - Active Recording,✅ Enabled - Verified,⚠ Enabled - Storage Issues,❌ Not Enabled (Gap),Implementation In Progress,N/A (Not Applicable)"</formula1>
    </dataValidation>
    <dataValidation sqref="E5:E55" showDropDown="0" showInputMessage="0" showErrorMessage="0" allowBlank="1" type="list">
      <formula1>"Video Recording,Keystroke Logging,Both (Video + Keystroke),None"</formula1>
    </dataValidation>
    <dataValidation sqref="I5:I55" showDropDown="0" showInputMessage="0" showErrorMessage="0" allowBlank="1" type="list">
      <formula1>"Yes,No"</formula1>
    </dataValidation>
    <dataValidation sqref="J5:J55" showDropDown="0" showInputMessage="0" showErrorMessage="0" allowBlank="1" type="list">
      <formula1>"Tier 0: 100%,Tier 1 Prod: 90%+,Tier 1 Non-Prod: 50%+,Optional"</formula1>
    </dataValidation>
    <dataValidation sqref="K5:K55" showDropDown="0" showInputMessage="0" showErrorMessage="0" allowBlank="1" type="list">
      <formula1>"✅ Compliant,⚠ Partial Compliance,❌ Non-Compliant,In Progress,Under Review,Unknown,N/A"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PRIVILEGED COMMAND LOGGING</t>
        </is>
      </c>
    </row>
    <row r="2">
      <c r="A2" s="14" t="inlineStr">
        <is>
          <t>Verify command logging is enabled for all privileged activities</t>
        </is>
      </c>
    </row>
    <row r="4">
      <c r="A4" s="7" t="inlineStr">
        <is>
          <t>System / Platform</t>
        </is>
      </c>
      <c r="B4" s="7" t="inlineStr">
        <is>
          <t>Admin Tier</t>
        </is>
      </c>
      <c r="C4" s="7" t="inlineStr">
        <is>
          <t>Logging Type</t>
        </is>
      </c>
      <c r="D4" s="7" t="inlineStr">
        <is>
          <t>Status</t>
        </is>
      </c>
      <c r="E4" s="7" t="inlineStr">
        <is>
          <t>Log Destination</t>
        </is>
      </c>
      <c r="F4" s="7" t="inlineStr">
        <is>
          <t>Retention</t>
        </is>
      </c>
      <c r="G4" s="7" t="inlineStr">
        <is>
          <t>SIEM Integrated</t>
        </is>
      </c>
      <c r="H4" s="7" t="inlineStr">
        <is>
          <t>Compliance</t>
        </is>
      </c>
    </row>
    <row r="5">
      <c r="A5" s="15" t="inlineStr">
        <is>
          <t>Domain Controllers</t>
        </is>
      </c>
      <c r="B5" s="15" t="inlineStr">
        <is>
          <t>Tier 0 (Domain/Enterprise/Critical)</t>
        </is>
      </c>
      <c r="C5" s="15" t="inlineStr">
        <is>
          <t>PowerShell Script Block Logging</t>
        </is>
      </c>
      <c r="D5" s="15" t="inlineStr">
        <is>
          <t>✅ Enabled - Active Recording</t>
        </is>
      </c>
      <c r="E5" s="15" t="inlineStr">
        <is>
          <t>SIEM / Splunk</t>
        </is>
      </c>
      <c r="F5" s="15" t="inlineStr">
        <is>
          <t>365 days</t>
        </is>
      </c>
      <c r="G5" s="15" t="inlineStr">
        <is>
          <t>Yes</t>
        </is>
      </c>
      <c r="H5" s="15" t="inlineStr">
        <is>
          <t>✅ Compliant</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dataValidations count="1">
    <dataValidation sqref="D5:D55" showDropDown="0" showInputMessage="0" showErrorMessage="0" allowBlank="1" type="list">
      <formula1>"✅ Enabled - Active Recording,✅ Enabled - Verified,⚠ Enabled - Storage Issues,❌ Not Enabled (Gap),Implementation In Progress,N/A (Not Applicable)"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ANOMALY DETECTION RULES</t>
        </is>
      </c>
    </row>
    <row r="2">
      <c r="A2" s="14" t="inlineStr">
        <is>
          <t>Alert configuration and escalation framework for privileged access anomalies</t>
        </is>
      </c>
    </row>
    <row r="4">
      <c r="A4" s="7" t="inlineStr">
        <is>
          <t>Alert Rule Name</t>
        </is>
      </c>
      <c r="B4" s="7" t="inlineStr">
        <is>
          <t>Anomaly Type</t>
        </is>
      </c>
      <c r="C4" s="7" t="inlineStr">
        <is>
          <t>Severity</t>
        </is>
      </c>
      <c r="D4" s="7" t="inlineStr">
        <is>
          <t>Detection Logic</t>
        </is>
      </c>
      <c r="E4" s="7" t="inlineStr">
        <is>
          <t>Alert Destination</t>
        </is>
      </c>
      <c r="F4" s="7" t="inlineStr">
        <is>
          <t>Response SLA</t>
        </is>
      </c>
      <c r="G4" s="7" t="inlineStr">
        <is>
          <t>Status</t>
        </is>
      </c>
    </row>
    <row r="5">
      <c r="A5" s="15" t="inlineStr">
        <is>
          <t>Off-Hours Tier 0 Access</t>
        </is>
      </c>
      <c r="B5" s="15" t="inlineStr">
        <is>
          <t>Off-Hours Access (Outside Business Hours)</t>
        </is>
      </c>
      <c r="C5" s="15" t="inlineStr">
        <is>
          <t>Critical</t>
        </is>
      </c>
      <c r="D5" s="15" t="inlineStr">
        <is>
          <t>Tier 0 logon between 18:00-08:00 or weekend</t>
        </is>
      </c>
      <c r="E5" s="15" t="inlineStr">
        <is>
          <t>SOC / SIEM Alert</t>
        </is>
      </c>
      <c r="F5" s="15" t="inlineStr">
        <is>
          <t>&lt;30 minutes</t>
        </is>
      </c>
      <c r="G5" s="15" t="inlineStr">
        <is>
          <t>✅ Active</t>
        </is>
      </c>
    </row>
    <row r="6">
      <c r="A6" s="16" t="n"/>
      <c r="B6" s="16" t="n"/>
      <c r="C6" s="16" t="n"/>
      <c r="D6" s="16" t="n"/>
      <c r="E6" s="16" t="n"/>
      <c r="F6" s="16" t="n"/>
      <c r="G6" s="16" t="n"/>
    </row>
    <row r="7">
      <c r="A7" s="16" t="n"/>
      <c r="B7" s="16" t="n"/>
      <c r="C7" s="16" t="n"/>
      <c r="D7" s="16" t="n"/>
      <c r="E7" s="16" t="n"/>
      <c r="F7" s="16" t="n"/>
      <c r="G7" s="16" t="n"/>
    </row>
    <row r="8">
      <c r="A8" s="16" t="n"/>
      <c r="B8" s="16" t="n"/>
      <c r="C8" s="16" t="n"/>
      <c r="D8" s="16" t="n"/>
      <c r="E8" s="16" t="n"/>
      <c r="F8" s="16" t="n"/>
      <c r="G8" s="16" t="n"/>
    </row>
    <row r="9">
      <c r="A9" s="16" t="n"/>
      <c r="B9" s="16" t="n"/>
      <c r="C9" s="16" t="n"/>
      <c r="D9" s="16" t="n"/>
      <c r="E9" s="16" t="n"/>
      <c r="F9" s="16" t="n"/>
      <c r="G9" s="16" t="n"/>
    </row>
    <row r="10">
      <c r="A10" s="16" t="n"/>
      <c r="B10" s="16" t="n"/>
      <c r="C10" s="16" t="n"/>
      <c r="D10" s="16" t="n"/>
      <c r="E10" s="16" t="n"/>
      <c r="F10" s="16" t="n"/>
      <c r="G10" s="16" t="n"/>
    </row>
    <row r="11">
      <c r="A11" s="16" t="n"/>
      <c r="B11" s="16" t="n"/>
      <c r="C11" s="16" t="n"/>
      <c r="D11" s="16" t="n"/>
      <c r="E11" s="16" t="n"/>
      <c r="F11" s="16" t="n"/>
      <c r="G11" s="16" t="n"/>
    </row>
    <row r="12">
      <c r="A12" s="16" t="n"/>
      <c r="B12" s="16" t="n"/>
      <c r="C12" s="16" t="n"/>
      <c r="D12" s="16" t="n"/>
      <c r="E12" s="16" t="n"/>
      <c r="F12" s="16" t="n"/>
      <c r="G12" s="16" t="n"/>
    </row>
    <row r="13">
      <c r="A13" s="16" t="n"/>
      <c r="B13" s="16" t="n"/>
      <c r="C13" s="16" t="n"/>
      <c r="D13" s="16" t="n"/>
      <c r="E13" s="16" t="n"/>
      <c r="F13" s="16" t="n"/>
      <c r="G13" s="16" t="n"/>
    </row>
    <row r="14">
      <c r="A14" s="16" t="n"/>
      <c r="B14" s="16" t="n"/>
      <c r="C14" s="16" t="n"/>
      <c r="D14" s="16" t="n"/>
      <c r="E14" s="16" t="n"/>
      <c r="F14" s="16" t="n"/>
      <c r="G14" s="16" t="n"/>
    </row>
    <row r="15">
      <c r="A15" s="16" t="n"/>
      <c r="B15" s="16" t="n"/>
      <c r="C15" s="16" t="n"/>
      <c r="D15" s="16" t="n"/>
      <c r="E15" s="16" t="n"/>
      <c r="F15" s="16" t="n"/>
      <c r="G15" s="16" t="n"/>
    </row>
    <row r="16">
      <c r="A16" s="16" t="n"/>
      <c r="B16" s="16" t="n"/>
      <c r="C16" s="16" t="n"/>
      <c r="D16" s="16" t="n"/>
      <c r="E16" s="16" t="n"/>
      <c r="F16" s="16" t="n"/>
      <c r="G16" s="16" t="n"/>
    </row>
    <row r="17">
      <c r="A17" s="16" t="n"/>
      <c r="B17" s="16" t="n"/>
      <c r="C17" s="16" t="n"/>
      <c r="D17" s="16" t="n"/>
      <c r="E17" s="16" t="n"/>
      <c r="F17" s="16" t="n"/>
      <c r="G17" s="16" t="n"/>
    </row>
    <row r="18">
      <c r="A18" s="16" t="n"/>
      <c r="B18" s="16" t="n"/>
      <c r="C18" s="16" t="n"/>
      <c r="D18" s="16" t="n"/>
      <c r="E18" s="16" t="n"/>
      <c r="F18" s="16" t="n"/>
      <c r="G18" s="16" t="n"/>
    </row>
    <row r="19">
      <c r="A19" s="16" t="n"/>
      <c r="B19" s="16" t="n"/>
      <c r="C19" s="16" t="n"/>
      <c r="D19" s="16" t="n"/>
      <c r="E19" s="16" t="n"/>
      <c r="F19" s="16" t="n"/>
      <c r="G19" s="16" t="n"/>
    </row>
    <row r="20">
      <c r="A20" s="16" t="n"/>
      <c r="B20" s="16" t="n"/>
      <c r="C20" s="16" t="n"/>
      <c r="D20" s="16" t="n"/>
      <c r="E20" s="16" t="n"/>
      <c r="F20" s="16" t="n"/>
      <c r="G20" s="16" t="n"/>
    </row>
    <row r="21">
      <c r="A21" s="16" t="n"/>
      <c r="B21" s="16" t="n"/>
      <c r="C21" s="16" t="n"/>
      <c r="D21" s="16" t="n"/>
      <c r="E21" s="16" t="n"/>
      <c r="F21" s="16" t="n"/>
      <c r="G21" s="16" t="n"/>
    </row>
    <row r="22">
      <c r="A22" s="16" t="n"/>
      <c r="B22" s="16" t="n"/>
      <c r="C22" s="16" t="n"/>
      <c r="D22" s="16" t="n"/>
      <c r="E22" s="16" t="n"/>
      <c r="F22" s="16" t="n"/>
      <c r="G22" s="16" t="n"/>
    </row>
    <row r="23">
      <c r="A23" s="16" t="n"/>
      <c r="B23" s="16" t="n"/>
      <c r="C23" s="16" t="n"/>
      <c r="D23" s="16" t="n"/>
      <c r="E23" s="16" t="n"/>
      <c r="F23" s="16" t="n"/>
      <c r="G23" s="16" t="n"/>
    </row>
    <row r="24">
      <c r="A24" s="16" t="n"/>
      <c r="B24" s="16" t="n"/>
      <c r="C24" s="16" t="n"/>
      <c r="D24" s="16" t="n"/>
      <c r="E24" s="16" t="n"/>
      <c r="F24" s="16" t="n"/>
      <c r="G24" s="16" t="n"/>
    </row>
    <row r="25">
      <c r="A25" s="16" t="n"/>
      <c r="B25" s="16" t="n"/>
      <c r="C25" s="16" t="n"/>
      <c r="D25" s="16" t="n"/>
      <c r="E25" s="16" t="n"/>
      <c r="F25" s="16" t="n"/>
      <c r="G25" s="16" t="n"/>
    </row>
    <row r="26">
      <c r="A26" s="16" t="n"/>
      <c r="B26" s="16" t="n"/>
      <c r="C26" s="16" t="n"/>
      <c r="D26" s="16" t="n"/>
      <c r="E26" s="16" t="n"/>
      <c r="F26" s="16" t="n"/>
      <c r="G26" s="16" t="n"/>
    </row>
    <row r="27">
      <c r="A27" s="16" t="n"/>
      <c r="B27" s="16" t="n"/>
      <c r="C27" s="16" t="n"/>
      <c r="D27" s="16" t="n"/>
      <c r="E27" s="16" t="n"/>
      <c r="F27" s="16" t="n"/>
      <c r="G27" s="16" t="n"/>
    </row>
    <row r="28">
      <c r="A28" s="16" t="n"/>
      <c r="B28" s="16" t="n"/>
      <c r="C28" s="16" t="n"/>
      <c r="D28" s="16" t="n"/>
      <c r="E28" s="16" t="n"/>
      <c r="F28" s="16" t="n"/>
      <c r="G28" s="16" t="n"/>
    </row>
    <row r="29">
      <c r="A29" s="16" t="n"/>
      <c r="B29" s="16" t="n"/>
      <c r="C29" s="16" t="n"/>
      <c r="D29" s="16" t="n"/>
      <c r="E29" s="16" t="n"/>
      <c r="F29" s="16" t="n"/>
      <c r="G29" s="16" t="n"/>
    </row>
    <row r="30">
      <c r="A30" s="16" t="n"/>
      <c r="B30" s="16" t="n"/>
      <c r="C30" s="16" t="n"/>
      <c r="D30" s="16" t="n"/>
      <c r="E30" s="16" t="n"/>
      <c r="F30" s="16" t="n"/>
      <c r="G30" s="16" t="n"/>
    </row>
    <row r="31">
      <c r="A31" s="16" t="n"/>
      <c r="B31" s="16" t="n"/>
      <c r="C31" s="16" t="n"/>
      <c r="D31" s="16" t="n"/>
      <c r="E31" s="16" t="n"/>
      <c r="F31" s="16" t="n"/>
      <c r="G31" s="16" t="n"/>
    </row>
    <row r="32">
      <c r="A32" s="16" t="n"/>
      <c r="B32" s="16" t="n"/>
      <c r="C32" s="16" t="n"/>
      <c r="D32" s="16" t="n"/>
      <c r="E32" s="16" t="n"/>
      <c r="F32" s="16" t="n"/>
      <c r="G32" s="16" t="n"/>
    </row>
    <row r="33">
      <c r="A33" s="16" t="n"/>
      <c r="B33" s="16" t="n"/>
      <c r="C33" s="16" t="n"/>
      <c r="D33" s="16" t="n"/>
      <c r="E33" s="16" t="n"/>
      <c r="F33" s="16" t="n"/>
      <c r="G33" s="16" t="n"/>
    </row>
    <row r="34">
      <c r="A34" s="16" t="n"/>
      <c r="B34" s="16" t="n"/>
      <c r="C34" s="16" t="n"/>
      <c r="D34" s="16" t="n"/>
      <c r="E34" s="16" t="n"/>
      <c r="F34" s="16" t="n"/>
      <c r="G34" s="16" t="n"/>
    </row>
    <row r="35">
      <c r="A35" s="16" t="n"/>
      <c r="B35" s="16" t="n"/>
      <c r="C35" s="16" t="n"/>
      <c r="D35" s="16" t="n"/>
      <c r="E35" s="16" t="n"/>
      <c r="F35" s="16" t="n"/>
      <c r="G35" s="16" t="n"/>
    </row>
    <row r="36">
      <c r="A36" s="16" t="n"/>
      <c r="B36" s="16" t="n"/>
      <c r="C36" s="16" t="n"/>
      <c r="D36" s="16" t="n"/>
      <c r="E36" s="16" t="n"/>
      <c r="F36" s="16" t="n"/>
      <c r="G36" s="16" t="n"/>
    </row>
    <row r="37">
      <c r="A37" s="16" t="n"/>
      <c r="B37" s="16" t="n"/>
      <c r="C37" s="16" t="n"/>
      <c r="D37" s="16" t="n"/>
      <c r="E37" s="16" t="n"/>
      <c r="F37" s="16" t="n"/>
      <c r="G37" s="16" t="n"/>
    </row>
    <row r="38">
      <c r="A38" s="16" t="n"/>
      <c r="B38" s="16" t="n"/>
      <c r="C38" s="16" t="n"/>
      <c r="D38" s="16" t="n"/>
      <c r="E38" s="16" t="n"/>
      <c r="F38" s="16" t="n"/>
      <c r="G38" s="16" t="n"/>
    </row>
    <row r="39">
      <c r="A39" s="16" t="n"/>
      <c r="B39" s="16" t="n"/>
      <c r="C39" s="16" t="n"/>
      <c r="D39" s="16" t="n"/>
      <c r="E39" s="16" t="n"/>
      <c r="F39" s="16" t="n"/>
      <c r="G39" s="16" t="n"/>
    </row>
    <row r="40">
      <c r="A40" s="16" t="n"/>
      <c r="B40" s="16" t="n"/>
      <c r="C40" s="16" t="n"/>
      <c r="D40" s="16" t="n"/>
      <c r="E40" s="16" t="n"/>
      <c r="F40" s="16" t="n"/>
      <c r="G40" s="16" t="n"/>
    </row>
    <row r="41">
      <c r="A41" s="16" t="n"/>
      <c r="B41" s="16" t="n"/>
      <c r="C41" s="16" t="n"/>
      <c r="D41" s="16" t="n"/>
      <c r="E41" s="16" t="n"/>
      <c r="F41" s="16" t="n"/>
      <c r="G41" s="16" t="n"/>
    </row>
    <row r="42">
      <c r="A42" s="16" t="n"/>
      <c r="B42" s="16" t="n"/>
      <c r="C42" s="16" t="n"/>
      <c r="D42" s="16" t="n"/>
      <c r="E42" s="16" t="n"/>
      <c r="F42" s="16" t="n"/>
      <c r="G42" s="16" t="n"/>
    </row>
    <row r="43">
      <c r="A43" s="16" t="n"/>
      <c r="B43" s="16" t="n"/>
      <c r="C43" s="16" t="n"/>
      <c r="D43" s="16" t="n"/>
      <c r="E43" s="16" t="n"/>
      <c r="F43" s="16" t="n"/>
      <c r="G43" s="16" t="n"/>
    </row>
    <row r="44">
      <c r="A44" s="16" t="n"/>
      <c r="B44" s="16" t="n"/>
      <c r="C44" s="16" t="n"/>
      <c r="D44" s="16" t="n"/>
      <c r="E44" s="16" t="n"/>
      <c r="F44" s="16" t="n"/>
      <c r="G44" s="16" t="n"/>
    </row>
    <row r="45">
      <c r="A45" s="16" t="n"/>
      <c r="B45" s="16" t="n"/>
      <c r="C45" s="16" t="n"/>
      <c r="D45" s="16" t="n"/>
      <c r="E45" s="16" t="n"/>
      <c r="F45" s="16" t="n"/>
      <c r="G45" s="16" t="n"/>
    </row>
    <row r="46">
      <c r="A46" s="16" t="n"/>
      <c r="B46" s="16" t="n"/>
      <c r="C46" s="16" t="n"/>
      <c r="D46" s="16" t="n"/>
      <c r="E46" s="16" t="n"/>
      <c r="F46" s="16" t="n"/>
      <c r="G46" s="16" t="n"/>
    </row>
    <row r="47">
      <c r="A47" s="16" t="n"/>
      <c r="B47" s="16" t="n"/>
      <c r="C47" s="16" t="n"/>
      <c r="D47" s="16" t="n"/>
      <c r="E47" s="16" t="n"/>
      <c r="F47" s="16" t="n"/>
      <c r="G47" s="16" t="n"/>
    </row>
    <row r="48">
      <c r="A48" s="16" t="n"/>
      <c r="B48" s="16" t="n"/>
      <c r="C48" s="16" t="n"/>
      <c r="D48" s="16" t="n"/>
      <c r="E48" s="16" t="n"/>
      <c r="F48" s="16" t="n"/>
      <c r="G48" s="16" t="n"/>
    </row>
    <row r="49">
      <c r="A49" s="16" t="n"/>
      <c r="B49" s="16" t="n"/>
      <c r="C49" s="16" t="n"/>
      <c r="D49" s="16" t="n"/>
      <c r="E49" s="16" t="n"/>
      <c r="F49" s="16" t="n"/>
      <c r="G49" s="16" t="n"/>
    </row>
    <row r="50">
      <c r="A50" s="16" t="n"/>
      <c r="B50" s="16" t="n"/>
      <c r="C50" s="16" t="n"/>
      <c r="D50" s="16" t="n"/>
      <c r="E50" s="16" t="n"/>
      <c r="F50" s="16" t="n"/>
      <c r="G50" s="16" t="n"/>
    </row>
    <row r="51">
      <c r="A51" s="16" t="n"/>
      <c r="B51" s="16" t="n"/>
      <c r="C51" s="16" t="n"/>
      <c r="D51" s="16" t="n"/>
      <c r="E51" s="16" t="n"/>
      <c r="F51" s="16" t="n"/>
      <c r="G51" s="16" t="n"/>
    </row>
    <row r="52">
      <c r="A52" s="16" t="n"/>
      <c r="B52" s="16" t="n"/>
      <c r="C52" s="16" t="n"/>
      <c r="D52" s="16" t="n"/>
      <c r="E52" s="16" t="n"/>
      <c r="F52" s="16" t="n"/>
      <c r="G52" s="16" t="n"/>
    </row>
    <row r="53">
      <c r="A53" s="16" t="n"/>
      <c r="B53" s="16" t="n"/>
      <c r="C53" s="16" t="n"/>
      <c r="D53" s="16" t="n"/>
      <c r="E53" s="16" t="n"/>
      <c r="F53" s="16" t="n"/>
      <c r="G53" s="16" t="n"/>
    </row>
    <row r="54">
      <c r="A54" s="16" t="n"/>
      <c r="B54" s="16" t="n"/>
      <c r="C54" s="16" t="n"/>
      <c r="D54" s="16" t="n"/>
      <c r="E54" s="16" t="n"/>
      <c r="F54" s="16" t="n"/>
      <c r="G54" s="16" t="n"/>
    </row>
    <row r="55">
      <c r="A55" s="16" t="n"/>
      <c r="B55" s="16" t="n"/>
      <c r="C55" s="16" t="n"/>
      <c r="D55" s="16" t="n"/>
      <c r="E55" s="16" t="n"/>
      <c r="F55" s="16" t="n"/>
      <c r="G55" s="16" t="n"/>
    </row>
  </sheetData>
  <mergeCells count="2">
    <mergeCell ref="A2:G2"/>
    <mergeCell ref="A1:G1"/>
  </mergeCells>
  <dataValidations count="1">
    <dataValidation sqref="C5:C55" showDropDown="0" showInputMessage="0" showErrorMessage="0" allowBlank="1" type="list">
      <formula1>"Critical,High,Medium,Low,Informational"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PRIVILEGED ACCESS ACTIVITY</t>
        </is>
      </c>
    </row>
    <row r="2">
      <c r="A2" s="14" t="inlineStr">
        <is>
          <t>Historical log of privileged access activity for review</t>
        </is>
      </c>
    </row>
    <row r="4">
      <c r="A4" s="7" t="inlineStr">
        <is>
          <t>Date/Time</t>
        </is>
      </c>
      <c r="B4" s="7" t="inlineStr">
        <is>
          <t>Account</t>
        </is>
      </c>
      <c r="C4" s="7" t="inlineStr">
        <is>
          <t>User</t>
        </is>
      </c>
      <c r="D4" s="7" t="inlineStr">
        <is>
          <t>System</t>
        </is>
      </c>
      <c r="E4" s="7" t="inlineStr">
        <is>
          <t>Action</t>
        </is>
      </c>
      <c r="F4" s="7" t="inlineStr">
        <is>
          <t>Duration</t>
        </is>
      </c>
      <c r="G4" s="7" t="inlineStr">
        <is>
          <t>Location</t>
        </is>
      </c>
      <c r="H4" s="7" t="inlineStr">
        <is>
          <t>Anomaly Detected</t>
        </is>
      </c>
      <c r="I4" s="7" t="inlineStr">
        <is>
          <t>Review Status</t>
        </is>
      </c>
    </row>
    <row r="5">
      <c r="A5" s="15" t="inlineStr">
        <is>
          <t>01.03.2026 09:00</t>
        </is>
      </c>
      <c r="B5" s="15" t="inlineStr">
        <is>
          <t>admin.username</t>
        </is>
      </c>
      <c r="C5" s="15" t="inlineStr">
        <is>
          <t>[User Name]</t>
        </is>
      </c>
      <c r="D5" s="15" t="inlineStr">
        <is>
          <t>DC01</t>
        </is>
      </c>
      <c r="E5" s="15" t="inlineStr">
        <is>
          <t>Group Policy Update</t>
        </is>
      </c>
      <c r="F5" s="15" t="inlineStr">
        <is>
          <t>15 min</t>
        </is>
      </c>
      <c r="G5" s="15" t="inlineStr">
        <is>
          <t>Office / On-site</t>
        </is>
      </c>
      <c r="H5" s="15" t="inlineStr">
        <is>
          <t>No</t>
        </is>
      </c>
      <c r="I5" s="15" t="inlineStr">
        <is>
          <t>Reviewed</t>
        </is>
      </c>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row r="55">
      <c r="A55" s="16" t="n"/>
      <c r="B55" s="16" t="n"/>
      <c r="C55" s="16" t="n"/>
      <c r="D55" s="16" t="n"/>
      <c r="E55" s="16" t="n"/>
      <c r="F55" s="16" t="n"/>
      <c r="G55" s="16" t="n"/>
      <c r="H55" s="16" t="n"/>
      <c r="I55" s="16" t="n"/>
    </row>
  </sheetData>
  <mergeCells count="2">
    <mergeCell ref="A1:I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ALERT RESPONSE TRACKING</t>
        </is>
      </c>
    </row>
    <row r="2">
      <c r="A2" s="14" t="inlineStr">
        <is>
          <t>Track security alert response times (Critical SLA: &lt;30 minutes)</t>
        </is>
      </c>
    </row>
    <row r="4">
      <c r="A4" s="7" t="inlineStr">
        <is>
          <t>Alert ID</t>
        </is>
      </c>
      <c r="B4" s="7" t="inlineStr">
        <is>
          <t>Alert Time</t>
        </is>
      </c>
      <c r="C4" s="7" t="inlineStr">
        <is>
          <t>Alert Type</t>
        </is>
      </c>
      <c r="D4" s="7" t="inlineStr">
        <is>
          <t>Severity</t>
        </is>
      </c>
      <c r="E4" s="7" t="inlineStr">
        <is>
          <t>Account</t>
        </is>
      </c>
      <c r="F4" s="7" t="inlineStr">
        <is>
          <t>Assigned To</t>
        </is>
      </c>
      <c r="G4" s="7" t="inlineStr">
        <is>
          <t>Response Time (min)</t>
        </is>
      </c>
      <c r="H4" s="7" t="inlineStr">
        <is>
          <t>Resolution</t>
        </is>
      </c>
      <c r="I4" s="7" t="inlineStr">
        <is>
          <t>Status</t>
        </is>
      </c>
    </row>
    <row r="5">
      <c r="A5" s="15" t="inlineStr">
        <is>
          <t>ALT-001</t>
        </is>
      </c>
      <c r="B5" s="15" t="inlineStr">
        <is>
          <t>01.03.2026 22:15</t>
        </is>
      </c>
      <c r="C5" s="15" t="inlineStr">
        <is>
          <t>Off-Hours Tier 0 Access</t>
        </is>
      </c>
      <c r="D5" s="15" t="inlineStr">
        <is>
          <t>Critical</t>
        </is>
      </c>
      <c r="E5" s="15" t="inlineStr">
        <is>
          <t>admin.username</t>
        </is>
      </c>
      <c r="F5" s="15" t="inlineStr">
        <is>
          <t>[Analyst Name]</t>
        </is>
      </c>
      <c r="G5" s="15" t="inlineStr">
        <is>
          <t>18</t>
        </is>
      </c>
      <c r="H5" s="15" t="inlineStr">
        <is>
          <t>Confirmed legitimate maintenance</t>
        </is>
      </c>
      <c r="I5" s="15" t="inlineStr">
        <is>
          <t>Closed - Legitimate Activity</t>
        </is>
      </c>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row r="55">
      <c r="A55" s="16" t="n"/>
      <c r="B55" s="16" t="n"/>
      <c r="C55" s="16" t="n"/>
      <c r="D55" s="16" t="n"/>
      <c r="E55" s="16" t="n"/>
      <c r="F55" s="16" t="n"/>
      <c r="G55" s="16" t="n"/>
      <c r="H55" s="16" t="n"/>
      <c r="I55" s="16" t="n"/>
    </row>
  </sheetData>
  <mergeCells count="2">
    <mergeCell ref="A1:I1"/>
    <mergeCell ref="A2:I2"/>
  </mergeCells>
  <dataValidations count="1">
    <dataValidation sqref="I5:I55" showDropDown="0" showInputMessage="0" showErrorMessage="0" allowBlank="1" type="list">
      <formula1>"Open - Investigating,Open - Awaiting Response,Closed - Legitimate Activity,Closed - Security Incident,Closed - False Positive"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OFF HOURS ACCESS LOG</t>
        </is>
      </c>
    </row>
    <row r="2">
      <c r="A2" s="14" t="inlineStr">
        <is>
          <t>Review privileged access outside business hours (weekdays 18:00-08:00, weekends, holidays)</t>
        </is>
      </c>
    </row>
    <row r="4">
      <c r="A4" s="7" t="inlineStr">
        <is>
          <t>Date/Time</t>
        </is>
      </c>
      <c r="B4" s="7" t="inlineStr">
        <is>
          <t>Account</t>
        </is>
      </c>
      <c r="C4" s="7" t="inlineStr">
        <is>
          <t>User</t>
        </is>
      </c>
      <c r="D4" s="7" t="inlineStr">
        <is>
          <t>System</t>
        </is>
      </c>
      <c r="E4" s="7" t="inlineStr">
        <is>
          <t>Tier</t>
        </is>
      </c>
      <c r="F4" s="7" t="inlineStr">
        <is>
          <t>Business Justification</t>
        </is>
      </c>
      <c r="G4" s="7" t="inlineStr">
        <is>
          <t>Approved By</t>
        </is>
      </c>
      <c r="H4" s="7" t="inlineStr">
        <is>
          <t>Review Status</t>
        </is>
      </c>
    </row>
    <row r="5">
      <c r="A5" s="15" t="inlineStr">
        <is>
          <t>01.03.2026 22:00</t>
        </is>
      </c>
      <c r="B5" s="15" t="inlineStr">
        <is>
          <t>admin.username</t>
        </is>
      </c>
      <c r="C5" s="15" t="inlineStr">
        <is>
          <t>[User Name]</t>
        </is>
      </c>
      <c r="D5" s="15" t="inlineStr">
        <is>
          <t>DC01</t>
        </is>
      </c>
      <c r="E5" s="15" t="inlineStr">
        <is>
          <t>Tier 0 (Domain/Enterprise/Critical)</t>
        </is>
      </c>
      <c r="F5" s="15" t="inlineStr">
        <is>
          <t>Emergency patching</t>
        </is>
      </c>
      <c r="G5" s="15" t="inlineStr">
        <is>
          <t>[Manager Name]</t>
        </is>
      </c>
      <c r="H5" s="15" t="inlineStr">
        <is>
          <t>✅ Reviewed</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FAILED LOGIN ANALYSIS</t>
        </is>
      </c>
    </row>
    <row r="2">
      <c r="A2" s="14" t="inlineStr">
        <is>
          <t>Track failed authentication attempts (&gt;3 failures in 5 minutes = alert)</t>
        </is>
      </c>
    </row>
    <row r="4">
      <c r="A4" s="7" t="inlineStr">
        <is>
          <t>Date/Time</t>
        </is>
      </c>
      <c r="B4" s="7" t="inlineStr">
        <is>
          <t>Account</t>
        </is>
      </c>
      <c r="C4" s="7" t="inlineStr">
        <is>
          <t>Source IP</t>
        </is>
      </c>
      <c r="D4" s="7" t="inlineStr">
        <is>
          <t>System</t>
        </is>
      </c>
      <c r="E4" s="7" t="inlineStr">
        <is>
          <t>Failure Count</t>
        </is>
      </c>
      <c r="F4" s="7" t="inlineStr">
        <is>
          <t>Time Window</t>
        </is>
      </c>
      <c r="G4" s="7" t="inlineStr">
        <is>
          <t>Alert Generated</t>
        </is>
      </c>
      <c r="H4" s="7" t="inlineStr">
        <is>
          <t>Investigation</t>
        </is>
      </c>
    </row>
    <row r="5">
      <c r="A5" s="15" t="inlineStr">
        <is>
          <t>01.03.2026 14:32</t>
        </is>
      </c>
      <c r="B5" s="15" t="inlineStr">
        <is>
          <t>admin.username</t>
        </is>
      </c>
      <c r="C5" s="15" t="inlineStr">
        <is>
          <t>192.168.1.100</t>
        </is>
      </c>
      <c r="D5" s="15" t="inlineStr">
        <is>
          <t>DC01</t>
        </is>
      </c>
      <c r="E5" s="15" t="inlineStr">
        <is>
          <t>5</t>
        </is>
      </c>
      <c r="F5" s="15" t="inlineStr">
        <is>
          <t>5 minutes</t>
        </is>
      </c>
      <c r="G5" s="15" t="inlineStr">
        <is>
          <t>Yes</t>
        </is>
      </c>
      <c r="H5" s="15" t="inlineStr">
        <is>
          <t>Investigated — brute force attempt blocked</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TIER VIOLATION INCIDENTS</t>
        </is>
      </c>
    </row>
    <row r="2">
      <c r="A2" s="14" t="inlineStr">
        <is>
          <t>Track and investigate cross-tier login attempts (target: ZERO violations)</t>
        </is>
      </c>
    </row>
    <row r="4">
      <c r="A4" s="7" t="inlineStr">
        <is>
          <t>Date</t>
        </is>
      </c>
      <c r="B4" s="7" t="inlineStr">
        <is>
          <t>Account</t>
        </is>
      </c>
      <c r="C4" s="7" t="inlineStr">
        <is>
          <t>Account Tier</t>
        </is>
      </c>
      <c r="D4" s="7" t="inlineStr">
        <is>
          <t>System</t>
        </is>
      </c>
      <c r="E4" s="7" t="inlineStr">
        <is>
          <t>System Tier</t>
        </is>
      </c>
      <c r="F4" s="7" t="inlineStr">
        <is>
          <t>Violation Type</t>
        </is>
      </c>
      <c r="G4" s="7" t="inlineStr">
        <is>
          <t>Action Taken</t>
        </is>
      </c>
      <c r="H4" s="7" t="inlineStr">
        <is>
          <t>Root Cause</t>
        </is>
      </c>
      <c r="I4" s="7" t="inlineStr">
        <is>
          <t>Status</t>
        </is>
      </c>
    </row>
    <row r="5">
      <c r="A5" s="15" t="inlineStr">
        <is>
          <t>01.03.2026</t>
        </is>
      </c>
      <c r="B5" s="15" t="inlineStr">
        <is>
          <t>admin.username</t>
        </is>
      </c>
      <c r="C5" s="15" t="inlineStr">
        <is>
          <t>Tier 0 (Domain/Enterprise/Critical)</t>
        </is>
      </c>
      <c r="D5" s="15" t="inlineStr">
        <is>
          <t>[Workstation]</t>
        </is>
      </c>
      <c r="E5" s="15" t="inlineStr">
        <is>
          <t>Tier 2 (Workstation/Endpoint)</t>
        </is>
      </c>
      <c r="F5" s="15" t="inlineStr">
        <is>
          <t>Tier 0 account logged onto Tier 2 system</t>
        </is>
      </c>
      <c r="G5" s="15" t="inlineStr">
        <is>
          <t>Session terminated, account reviewed</t>
        </is>
      </c>
      <c r="H5" s="15" t="inlineStr">
        <is>
          <t>Misconfigured jump host</t>
        </is>
      </c>
      <c r="I5" s="15" t="inlineStr">
        <is>
          <t>Closed - Remediated</t>
        </is>
      </c>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row r="55">
      <c r="A55" s="16" t="n"/>
      <c r="B55" s="16" t="n"/>
      <c r="C55" s="16" t="n"/>
      <c r="D55" s="16" t="n"/>
      <c r="E55" s="16" t="n"/>
      <c r="F55" s="16" t="n"/>
      <c r="G55" s="16" t="n"/>
      <c r="H55" s="16" t="n"/>
      <c r="I55" s="16" t="n"/>
    </row>
  </sheetData>
  <mergeCells count="2">
    <mergeCell ref="A1:I1"/>
    <mergeCell ref="A2:I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20" customWidth="1" min="3" max="3"/>
    <col width="40" customWidth="1" min="4" max="4"/>
    <col width="30" customWidth="1" min="5" max="5"/>
    <col width="14" customWidth="1" min="6" max="6"/>
    <col width="18" customWidth="1" min="7" max="7"/>
    <col width="18" customWidth="1" min="8" max="8"/>
  </cols>
  <sheetData>
    <row r="1" ht="35" customHeight="1">
      <c r="A1" s="17" t="inlineStr">
        <is>
          <t>EVIDENCE REGISTER</t>
        </is>
      </c>
    </row>
    <row r="2">
      <c r="A2" s="18" t="inlineStr">
        <is>
          <t>ISMS-IMP-A.8.2-3-5.S4 - Privileged Monitoring Assessment — Evidence log for audit readiness</t>
        </is>
      </c>
    </row>
    <row r="4">
      <c r="A4" s="7" t="inlineStr">
        <is>
          <t>Evidence ID</t>
        </is>
      </c>
      <c r="B4" s="7" t="inlineStr">
        <is>
          <t>Control Ref</t>
        </is>
      </c>
      <c r="C4" s="7" t="inlineStr">
        <is>
          <t>Evidence Type</t>
        </is>
      </c>
      <c r="D4" s="7" t="inlineStr">
        <is>
          <t>Description</t>
        </is>
      </c>
      <c r="E4" s="7" t="inlineStr">
        <is>
          <t>Location / Reference</t>
        </is>
      </c>
      <c r="F4" s="7" t="inlineStr">
        <is>
          <t>Date Collected</t>
        </is>
      </c>
      <c r="G4" s="7" t="inlineStr">
        <is>
          <t>Collected By</t>
        </is>
      </c>
      <c r="H4" s="7" t="inlineStr">
        <is>
          <t>Verification Status</t>
        </is>
      </c>
    </row>
    <row r="5">
      <c r="A5" s="15" t="inlineStr">
        <is>
          <t>EV-001</t>
        </is>
      </c>
      <c r="B5" s="15" t="inlineStr">
        <is>
          <t>A.8.2</t>
        </is>
      </c>
      <c r="C5" s="15" t="inlineStr">
        <is>
          <t>Screenshot</t>
        </is>
      </c>
      <c r="D5" s="15" t="inlineStr">
        <is>
          <t>Session recording coverage report from PAM solution</t>
        </is>
      </c>
      <c r="E5" s="15" t="inlineStr">
        <is>
          <t>SharePoint/Evidence/A8235/</t>
        </is>
      </c>
      <c r="F5" s="15" t="inlineStr">
        <is>
          <t>01.03.2026</t>
        </is>
      </c>
      <c r="G5" s="15" t="inlineStr">
        <is>
          <t>[Name]</t>
        </is>
      </c>
      <c r="H5" s="15" t="inlineStr">
        <is>
          <t>✅ Verified</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row r="56">
      <c r="A56" s="16" t="n"/>
      <c r="B56" s="16" t="n"/>
      <c r="C56" s="16" t="n"/>
      <c r="D56" s="16" t="n"/>
      <c r="E56" s="16" t="n"/>
      <c r="F56" s="16" t="n"/>
      <c r="G56" s="16" t="n"/>
      <c r="H56" s="16" t="n"/>
    </row>
    <row r="57">
      <c r="A57" s="16" t="n"/>
      <c r="B57" s="16" t="n"/>
      <c r="C57" s="16" t="n"/>
      <c r="D57" s="16" t="n"/>
      <c r="E57" s="16" t="n"/>
      <c r="F57" s="16" t="n"/>
      <c r="G57" s="16" t="n"/>
      <c r="H57" s="16" t="n"/>
    </row>
    <row r="58">
      <c r="A58" s="16" t="n"/>
      <c r="B58" s="16" t="n"/>
      <c r="C58" s="16" t="n"/>
      <c r="D58" s="16" t="n"/>
      <c r="E58" s="16" t="n"/>
      <c r="F58" s="16" t="n"/>
      <c r="G58" s="16" t="n"/>
      <c r="H58" s="16" t="n"/>
    </row>
    <row r="59">
      <c r="A59" s="16" t="n"/>
      <c r="B59" s="16" t="n"/>
      <c r="C59" s="16" t="n"/>
      <c r="D59" s="16" t="n"/>
      <c r="E59" s="16" t="n"/>
      <c r="F59" s="16" t="n"/>
      <c r="G59" s="16" t="n"/>
      <c r="H59" s="16" t="n"/>
    </row>
    <row r="60">
      <c r="A60" s="16" t="n"/>
      <c r="B60" s="16" t="n"/>
      <c r="C60" s="16" t="n"/>
      <c r="D60" s="16" t="n"/>
      <c r="E60" s="16" t="n"/>
      <c r="F60" s="16" t="n"/>
      <c r="G60" s="16" t="n"/>
      <c r="H60" s="16" t="n"/>
    </row>
    <row r="61">
      <c r="A61" s="16" t="n"/>
      <c r="B61" s="16" t="n"/>
      <c r="C61" s="16" t="n"/>
      <c r="D61" s="16" t="n"/>
      <c r="E61" s="16" t="n"/>
      <c r="F61" s="16" t="n"/>
      <c r="G61" s="16" t="n"/>
      <c r="H61" s="16" t="n"/>
    </row>
    <row r="62">
      <c r="A62" s="16" t="n"/>
      <c r="B62" s="16" t="n"/>
      <c r="C62" s="16" t="n"/>
      <c r="D62" s="16" t="n"/>
      <c r="E62" s="16" t="n"/>
      <c r="F62" s="16" t="n"/>
      <c r="G62" s="16" t="n"/>
      <c r="H62" s="16" t="n"/>
    </row>
    <row r="63">
      <c r="A63" s="16" t="n"/>
      <c r="B63" s="16" t="n"/>
      <c r="C63" s="16" t="n"/>
      <c r="D63" s="16" t="n"/>
      <c r="E63" s="16" t="n"/>
      <c r="F63" s="16" t="n"/>
      <c r="G63" s="16" t="n"/>
      <c r="H63" s="16" t="n"/>
    </row>
    <row r="64">
      <c r="A64" s="16" t="n"/>
      <c r="B64" s="16" t="n"/>
      <c r="C64" s="16" t="n"/>
      <c r="D64" s="16" t="n"/>
      <c r="E64" s="16" t="n"/>
      <c r="F64" s="16" t="n"/>
      <c r="G64" s="16" t="n"/>
      <c r="H64" s="16" t="n"/>
    </row>
    <row r="65">
      <c r="A65" s="16" t="n"/>
      <c r="B65" s="16" t="n"/>
      <c r="C65" s="16" t="n"/>
      <c r="D65" s="16" t="n"/>
      <c r="E65" s="16" t="n"/>
      <c r="F65" s="16" t="n"/>
      <c r="G65" s="16" t="n"/>
      <c r="H65" s="16" t="n"/>
    </row>
    <row r="66">
      <c r="A66" s="16" t="n"/>
      <c r="B66" s="16" t="n"/>
      <c r="C66" s="16" t="n"/>
      <c r="D66" s="16" t="n"/>
      <c r="E66" s="16" t="n"/>
      <c r="F66" s="16" t="n"/>
      <c r="G66" s="16" t="n"/>
      <c r="H66" s="16" t="n"/>
    </row>
    <row r="67">
      <c r="A67" s="16" t="n"/>
      <c r="B67" s="16" t="n"/>
      <c r="C67" s="16" t="n"/>
      <c r="D67" s="16" t="n"/>
      <c r="E67" s="16" t="n"/>
      <c r="F67" s="16" t="n"/>
      <c r="G67" s="16" t="n"/>
      <c r="H67" s="16" t="n"/>
    </row>
    <row r="68">
      <c r="A68" s="16" t="n"/>
      <c r="B68" s="16" t="n"/>
      <c r="C68" s="16" t="n"/>
      <c r="D68" s="16" t="n"/>
      <c r="E68" s="16" t="n"/>
      <c r="F68" s="16" t="n"/>
      <c r="G68" s="16" t="n"/>
      <c r="H68" s="16" t="n"/>
    </row>
    <row r="69">
      <c r="A69" s="16" t="n"/>
      <c r="B69" s="16" t="n"/>
      <c r="C69" s="16" t="n"/>
      <c r="D69" s="16" t="n"/>
      <c r="E69" s="16" t="n"/>
      <c r="F69" s="16" t="n"/>
      <c r="G69" s="16" t="n"/>
      <c r="H69" s="16" t="n"/>
    </row>
    <row r="70">
      <c r="A70" s="16" t="n"/>
      <c r="B70" s="16" t="n"/>
      <c r="C70" s="16" t="n"/>
      <c r="D70" s="16" t="n"/>
      <c r="E70" s="16" t="n"/>
      <c r="F70" s="16" t="n"/>
      <c r="G70" s="16" t="n"/>
      <c r="H70" s="16" t="n"/>
    </row>
    <row r="71">
      <c r="A71" s="16" t="n"/>
      <c r="B71" s="16" t="n"/>
      <c r="C71" s="16" t="n"/>
      <c r="D71" s="16" t="n"/>
      <c r="E71" s="16" t="n"/>
      <c r="F71" s="16" t="n"/>
      <c r="G71" s="16" t="n"/>
      <c r="H71" s="16" t="n"/>
    </row>
    <row r="72">
      <c r="A72" s="16" t="n"/>
      <c r="B72" s="16" t="n"/>
      <c r="C72" s="16" t="n"/>
      <c r="D72" s="16" t="n"/>
      <c r="E72" s="16" t="n"/>
      <c r="F72" s="16" t="n"/>
      <c r="G72" s="16" t="n"/>
      <c r="H72" s="16" t="n"/>
    </row>
    <row r="73">
      <c r="A73" s="16" t="n"/>
      <c r="B73" s="16" t="n"/>
      <c r="C73" s="16" t="n"/>
      <c r="D73" s="16" t="n"/>
      <c r="E73" s="16" t="n"/>
      <c r="F73" s="16" t="n"/>
      <c r="G73" s="16" t="n"/>
      <c r="H73" s="16" t="n"/>
    </row>
    <row r="74">
      <c r="A74" s="16" t="n"/>
      <c r="B74" s="16" t="n"/>
      <c r="C74" s="16" t="n"/>
      <c r="D74" s="16" t="n"/>
      <c r="E74" s="16" t="n"/>
      <c r="F74" s="16" t="n"/>
      <c r="G74" s="16" t="n"/>
      <c r="H74" s="16" t="n"/>
    </row>
    <row r="75">
      <c r="A75" s="16" t="n"/>
      <c r="B75" s="16" t="n"/>
      <c r="C75" s="16" t="n"/>
      <c r="D75" s="16" t="n"/>
      <c r="E75" s="16" t="n"/>
      <c r="F75" s="16" t="n"/>
      <c r="G75" s="16" t="n"/>
      <c r="H75" s="16" t="n"/>
    </row>
    <row r="76">
      <c r="A76" s="16" t="n"/>
      <c r="B76" s="16" t="n"/>
      <c r="C76" s="16" t="n"/>
      <c r="D76" s="16" t="n"/>
      <c r="E76" s="16" t="n"/>
      <c r="F76" s="16" t="n"/>
      <c r="G76" s="16" t="n"/>
      <c r="H76" s="16" t="n"/>
    </row>
    <row r="77">
      <c r="A77" s="16" t="n"/>
      <c r="B77" s="16" t="n"/>
      <c r="C77" s="16" t="n"/>
      <c r="D77" s="16" t="n"/>
      <c r="E77" s="16" t="n"/>
      <c r="F77" s="16" t="n"/>
      <c r="G77" s="16" t="n"/>
      <c r="H77" s="16" t="n"/>
    </row>
    <row r="78">
      <c r="A78" s="16" t="n"/>
      <c r="B78" s="16" t="n"/>
      <c r="C78" s="16" t="n"/>
      <c r="D78" s="16" t="n"/>
      <c r="E78" s="16" t="n"/>
      <c r="F78" s="16" t="n"/>
      <c r="G78" s="16" t="n"/>
      <c r="H78" s="16" t="n"/>
    </row>
    <row r="79">
      <c r="A79" s="16" t="n"/>
      <c r="B79" s="16" t="n"/>
      <c r="C79" s="16" t="n"/>
      <c r="D79" s="16" t="n"/>
      <c r="E79" s="16" t="n"/>
      <c r="F79" s="16" t="n"/>
      <c r="G79" s="16" t="n"/>
      <c r="H79" s="16" t="n"/>
    </row>
    <row r="80">
      <c r="A80" s="16" t="n"/>
      <c r="B80" s="16" t="n"/>
      <c r="C80" s="16" t="n"/>
      <c r="D80" s="16" t="n"/>
      <c r="E80" s="16" t="n"/>
      <c r="F80" s="16" t="n"/>
      <c r="G80" s="16" t="n"/>
      <c r="H80" s="16" t="n"/>
    </row>
    <row r="81">
      <c r="A81" s="16" t="n"/>
      <c r="B81" s="16" t="n"/>
      <c r="C81" s="16" t="n"/>
      <c r="D81" s="16" t="n"/>
      <c r="E81" s="16" t="n"/>
      <c r="F81" s="16" t="n"/>
      <c r="G81" s="16" t="n"/>
      <c r="H81" s="16" t="n"/>
    </row>
    <row r="82">
      <c r="A82" s="16" t="n"/>
      <c r="B82" s="16" t="n"/>
      <c r="C82" s="16" t="n"/>
      <c r="D82" s="16" t="n"/>
      <c r="E82" s="16" t="n"/>
      <c r="F82" s="16" t="n"/>
      <c r="G82" s="16" t="n"/>
      <c r="H82" s="16" t="n"/>
    </row>
    <row r="83">
      <c r="A83" s="16" t="n"/>
      <c r="B83" s="16" t="n"/>
      <c r="C83" s="16" t="n"/>
      <c r="D83" s="16" t="n"/>
      <c r="E83" s="16" t="n"/>
      <c r="F83" s="16" t="n"/>
      <c r="G83" s="16" t="n"/>
      <c r="H83" s="16" t="n"/>
    </row>
    <row r="84">
      <c r="A84" s="16" t="n"/>
      <c r="B84" s="16" t="n"/>
      <c r="C84" s="16" t="n"/>
      <c r="D84" s="16" t="n"/>
      <c r="E84" s="16" t="n"/>
      <c r="F84" s="16" t="n"/>
      <c r="G84" s="16" t="n"/>
      <c r="H84" s="16" t="n"/>
    </row>
    <row r="85">
      <c r="A85" s="16" t="n"/>
      <c r="B85" s="16" t="n"/>
      <c r="C85" s="16" t="n"/>
      <c r="D85" s="16" t="n"/>
      <c r="E85" s="16" t="n"/>
      <c r="F85" s="16" t="n"/>
      <c r="G85" s="16" t="n"/>
      <c r="H85" s="16" t="n"/>
    </row>
    <row r="86">
      <c r="A86" s="16" t="n"/>
      <c r="B86" s="16" t="n"/>
      <c r="C86" s="16" t="n"/>
      <c r="D86" s="16" t="n"/>
      <c r="E86" s="16" t="n"/>
      <c r="F86" s="16" t="n"/>
      <c r="G86" s="16" t="n"/>
      <c r="H86" s="16" t="n"/>
    </row>
    <row r="87">
      <c r="A87" s="16" t="n"/>
      <c r="B87" s="16" t="n"/>
      <c r="C87" s="16" t="n"/>
      <c r="D87" s="16" t="n"/>
      <c r="E87" s="16" t="n"/>
      <c r="F87" s="16" t="n"/>
      <c r="G87" s="16" t="n"/>
      <c r="H87" s="16" t="n"/>
    </row>
    <row r="88">
      <c r="A88" s="16" t="n"/>
      <c r="B88" s="16" t="n"/>
      <c r="C88" s="16" t="n"/>
      <c r="D88" s="16" t="n"/>
      <c r="E88" s="16" t="n"/>
      <c r="F88" s="16" t="n"/>
      <c r="G88" s="16" t="n"/>
      <c r="H88" s="16" t="n"/>
    </row>
    <row r="89">
      <c r="A89" s="16" t="n"/>
      <c r="B89" s="16" t="n"/>
      <c r="C89" s="16" t="n"/>
      <c r="D89" s="16" t="n"/>
      <c r="E89" s="16" t="n"/>
      <c r="F89" s="16" t="n"/>
      <c r="G89" s="16" t="n"/>
      <c r="H89" s="16" t="n"/>
    </row>
    <row r="90">
      <c r="A90" s="16" t="n"/>
      <c r="B90" s="16" t="n"/>
      <c r="C90" s="16" t="n"/>
      <c r="D90" s="16" t="n"/>
      <c r="E90" s="16" t="n"/>
      <c r="F90" s="16" t="n"/>
      <c r="G90" s="16" t="n"/>
      <c r="H90" s="16" t="n"/>
    </row>
    <row r="91">
      <c r="A91" s="16" t="n"/>
      <c r="B91" s="16" t="n"/>
      <c r="C91" s="16" t="n"/>
      <c r="D91" s="16" t="n"/>
      <c r="E91" s="16" t="n"/>
      <c r="F91" s="16" t="n"/>
      <c r="G91" s="16" t="n"/>
      <c r="H91" s="16" t="n"/>
    </row>
    <row r="92">
      <c r="A92" s="16" t="n"/>
      <c r="B92" s="16" t="n"/>
      <c r="C92" s="16" t="n"/>
      <c r="D92" s="16" t="n"/>
      <c r="E92" s="16" t="n"/>
      <c r="F92" s="16" t="n"/>
      <c r="G92" s="16" t="n"/>
      <c r="H92" s="16" t="n"/>
    </row>
    <row r="93">
      <c r="A93" s="16" t="n"/>
      <c r="B93" s="16" t="n"/>
      <c r="C93" s="16" t="n"/>
      <c r="D93" s="16" t="n"/>
      <c r="E93" s="16" t="n"/>
      <c r="F93" s="16" t="n"/>
      <c r="G93" s="16" t="n"/>
      <c r="H93" s="16" t="n"/>
    </row>
    <row r="94">
      <c r="A94" s="16" t="n"/>
      <c r="B94" s="16" t="n"/>
      <c r="C94" s="16" t="n"/>
      <c r="D94" s="16" t="n"/>
      <c r="E94" s="16" t="n"/>
      <c r="F94" s="16" t="n"/>
      <c r="G94" s="16" t="n"/>
      <c r="H94" s="16" t="n"/>
    </row>
    <row r="95">
      <c r="A95" s="16" t="n"/>
      <c r="B95" s="16" t="n"/>
      <c r="C95" s="16" t="n"/>
      <c r="D95" s="16" t="n"/>
      <c r="E95" s="16" t="n"/>
      <c r="F95" s="16" t="n"/>
      <c r="G95" s="16" t="n"/>
      <c r="H95" s="16" t="n"/>
    </row>
    <row r="96">
      <c r="A96" s="16" t="n"/>
      <c r="B96" s="16" t="n"/>
      <c r="C96" s="16" t="n"/>
      <c r="D96" s="16" t="n"/>
      <c r="E96" s="16" t="n"/>
      <c r="F96" s="16" t="n"/>
      <c r="G96" s="16" t="n"/>
      <c r="H96" s="16" t="n"/>
    </row>
    <row r="97">
      <c r="A97" s="16" t="n"/>
      <c r="B97" s="16" t="n"/>
      <c r="C97" s="16" t="n"/>
      <c r="D97" s="16" t="n"/>
      <c r="E97" s="16" t="n"/>
      <c r="F97" s="16" t="n"/>
      <c r="G97" s="16" t="n"/>
      <c r="H97" s="16" t="n"/>
    </row>
    <row r="98">
      <c r="A98" s="16" t="n"/>
      <c r="B98" s="16" t="n"/>
      <c r="C98" s="16" t="n"/>
      <c r="D98" s="16" t="n"/>
      <c r="E98" s="16" t="n"/>
      <c r="F98" s="16" t="n"/>
      <c r="G98" s="16" t="n"/>
      <c r="H98" s="16" t="n"/>
    </row>
    <row r="99">
      <c r="A99" s="16" t="n"/>
      <c r="B99" s="16" t="n"/>
      <c r="C99" s="16" t="n"/>
      <c r="D99" s="16" t="n"/>
      <c r="E99" s="16" t="n"/>
      <c r="F99" s="16" t="n"/>
      <c r="G99" s="16" t="n"/>
      <c r="H99" s="16" t="n"/>
    </row>
    <row r="100">
      <c r="A100" s="16" t="n"/>
      <c r="B100" s="16" t="n"/>
      <c r="C100" s="16" t="n"/>
      <c r="D100" s="16" t="n"/>
      <c r="E100" s="16" t="n"/>
      <c r="F100" s="16" t="n"/>
      <c r="G100" s="16" t="n"/>
      <c r="H100" s="16" t="n"/>
    </row>
    <row r="101">
      <c r="A101" s="16" t="n"/>
      <c r="B101" s="16" t="n"/>
      <c r="C101" s="16" t="n"/>
      <c r="D101" s="16" t="n"/>
      <c r="E101" s="16" t="n"/>
      <c r="F101" s="16" t="n"/>
      <c r="G101" s="16" t="n"/>
      <c r="H101" s="16" t="n"/>
    </row>
    <row r="102">
      <c r="A102" s="16" t="n"/>
      <c r="B102" s="16" t="n"/>
      <c r="C102" s="16" t="n"/>
      <c r="D102" s="16" t="n"/>
      <c r="E102" s="16" t="n"/>
      <c r="F102" s="16" t="n"/>
      <c r="G102" s="16" t="n"/>
      <c r="H102" s="16" t="n"/>
    </row>
    <row r="103">
      <c r="A103" s="16" t="n"/>
      <c r="B103" s="16" t="n"/>
      <c r="C103" s="16" t="n"/>
      <c r="D103" s="16" t="n"/>
      <c r="E103" s="16" t="n"/>
      <c r="F103" s="16" t="n"/>
      <c r="G103" s="16" t="n"/>
      <c r="H103" s="16" t="n"/>
    </row>
    <row r="104">
      <c r="A104" s="16" t="n"/>
      <c r="B104" s="16" t="n"/>
      <c r="C104" s="16" t="n"/>
      <c r="D104" s="16" t="n"/>
      <c r="E104" s="16" t="n"/>
      <c r="F104" s="16" t="n"/>
      <c r="G104" s="16" t="n"/>
      <c r="H104" s="16" t="n"/>
    </row>
    <row r="105">
      <c r="A105" s="16" t="n"/>
      <c r="B105" s="16" t="n"/>
      <c r="C105" s="16" t="n"/>
      <c r="D105" s="16" t="n"/>
      <c r="E105" s="16" t="n"/>
      <c r="F105" s="16" t="n"/>
      <c r="G105" s="16" t="n"/>
      <c r="H105" s="16" t="n"/>
    </row>
  </sheetData>
  <mergeCells count="2">
    <mergeCell ref="A2:H2"/>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40" customWidth="1" min="1" max="1"/>
    <col width="18" customWidth="1" min="2" max="2"/>
    <col width="15" customWidth="1" min="3" max="3"/>
    <col width="15" customWidth="1" min="4" max="4"/>
    <col width="18" customWidth="1" min="5" max="5"/>
    <col width="15" customWidth="1" min="6" max="6"/>
    <col width="12" customWidth="1" min="7" max="7"/>
  </cols>
  <sheetData>
    <row r="1" ht="35" customHeight="1">
      <c r="A1" s="1" t="inlineStr">
        <is>
          <t>PRIVILEGED MONITORING — SUMMARY DASHBOARD</t>
        </is>
      </c>
    </row>
    <row r="2">
      <c r="A2" s="19" t="inlineStr">
        <is>
          <t>Session recording coverage, command logging, anomaly detection, and alert response assessment</t>
        </is>
      </c>
    </row>
    <row r="3">
      <c r="A3" s="20" t="inlineStr">
        <is>
          <t>TABLE 1 — ASSESSMENT AREA COMPLIANCE</t>
        </is>
      </c>
      <c r="B3" s="21" t="n"/>
      <c r="C3" s="21" t="n"/>
      <c r="D3" s="21" t="n"/>
      <c r="E3" s="21" t="n"/>
      <c r="F3" s="21" t="n"/>
      <c r="G3" s="21" t="n"/>
    </row>
    <row r="4">
      <c r="A4" s="22" t="inlineStr">
        <is>
          <t>Assessment Area</t>
        </is>
      </c>
      <c r="B4" s="22" t="inlineStr">
        <is>
          <t>Total Items</t>
        </is>
      </c>
      <c r="C4" s="22" t="inlineStr">
        <is>
          <t>Compliant</t>
        </is>
      </c>
      <c r="D4" s="22" t="inlineStr">
        <is>
          <t>Partial</t>
        </is>
      </c>
      <c r="E4" s="22" t="inlineStr">
        <is>
          <t>Non-Compliant</t>
        </is>
      </c>
      <c r="F4" s="22" t="inlineStr">
        <is>
          <t>N/A</t>
        </is>
      </c>
      <c r="G4" s="22" t="inlineStr">
        <is>
          <t>Compliance %</t>
        </is>
      </c>
    </row>
    <row r="5">
      <c r="A5" s="23" t="inlineStr">
        <is>
          <t>Session Recording</t>
        </is>
      </c>
      <c r="B5" s="24">
        <f>COUNTA('Session Recording Coverage'!B6:B55)</f>
        <v/>
      </c>
      <c r="C5" s="24">
        <f>COUNTIF('Session Recording Coverage'!K6:K55,"✅ Compliant")</f>
        <v/>
      </c>
      <c r="D5" s="24">
        <f>COUNTIF('Session Recording Coverage'!K6:K55,"⚠ Partial Compliance")</f>
        <v/>
      </c>
      <c r="E5" s="24">
        <f>COUNTIF('Session Recording Coverage'!K6:K55,"❌ Non-Compliant")</f>
        <v/>
      </c>
      <c r="F5" s="24">
        <f>COUNTIF('Session Recording Coverage'!K6:K55,"N/A")</f>
        <v/>
      </c>
      <c r="G5" s="25">
        <f>IF((B5-F5)=0,0,C5/(B5-F5))</f>
        <v/>
      </c>
    </row>
    <row r="6">
      <c r="A6" s="23" t="inlineStr">
        <is>
          <t>Command Logging</t>
        </is>
      </c>
      <c r="B6" s="24">
        <f>COUNTA('Privileged Command Logging'!B6:B55)</f>
        <v/>
      </c>
      <c r="C6" s="24">
        <f>COUNTIF('Privileged Command Logging'!D6:D55,"✅ Enabled - Active Recording")+COUNTIF('Privileged Command Logging'!D6:D55,"✅ Enabled - Verified")</f>
        <v/>
      </c>
      <c r="D6" s="24">
        <f>COUNTIF('Privileged Command Logging'!D6:D55,"⚠ Enabled - Storage Issues")+COUNTIF('Privileged Command Logging'!D6:D55,"Implementation In Progress")</f>
        <v/>
      </c>
      <c r="E6" s="24">
        <f>COUNTIF('Privileged Command Logging'!D6:D55,"❌ Not Enabled (Gap)")</f>
        <v/>
      </c>
      <c r="F6" s="24">
        <f>COUNTIF('Privileged Command Logging'!D6:D55,"N/A (Not Applicable)")</f>
        <v/>
      </c>
      <c r="G6" s="25">
        <f>IF((B6-F6)=0,0,C6/(B6-F6))</f>
        <v/>
      </c>
    </row>
    <row r="7">
      <c r="A7" s="23" t="inlineStr">
        <is>
          <t>Alert Response Status</t>
        </is>
      </c>
      <c r="B7" s="24">
        <f>COUNTA('Alert Response Tracking'!B6:B55)</f>
        <v/>
      </c>
      <c r="C7" s="24">
        <f>COUNTIF('Alert Response Tracking'!I6:I55,"Closed - Legitimate Activity")+COUNTIF('Alert Response Tracking'!I6:I55,"Closed - Security Incident")+COUNTIF('Alert Response Tracking'!I6:I55,"Closed - False Positive")</f>
        <v/>
      </c>
      <c r="D7" s="24">
        <f>COUNTIF('Alert Response Tracking'!I6:I55,"Open - Investigating")+COUNTIF('Alert Response Tracking'!I6:I55,"Open - Awaiting Response")</f>
        <v/>
      </c>
      <c r="E7" s="24">
        <f>0</f>
        <v/>
      </c>
      <c r="F7" s="24">
        <f>0</f>
        <v/>
      </c>
      <c r="G7" s="25">
        <f>IF((B7-F7)=0,0,C7/(B7-F7))</f>
        <v/>
      </c>
    </row>
    <row r="8">
      <c r="A8" s="26" t="n"/>
      <c r="B8" s="26" t="n"/>
      <c r="C8" s="26" t="n"/>
      <c r="D8" s="26" t="n"/>
      <c r="E8" s="26" t="n"/>
      <c r="F8" s="26" t="n"/>
      <c r="G8" s="26" t="n"/>
    </row>
    <row r="9">
      <c r="A9" s="26" t="n"/>
      <c r="B9" s="26" t="n"/>
      <c r="C9" s="26" t="n"/>
      <c r="D9" s="26" t="n"/>
      <c r="E9" s="26" t="n"/>
      <c r="F9" s="26" t="n"/>
      <c r="G9" s="26" t="n"/>
    </row>
    <row r="11">
      <c r="A11" s="20" t="inlineStr">
        <is>
          <t>TABLE 2 — KEY PERFORMANCE INDICATORS</t>
        </is>
      </c>
      <c r="B11" s="21" t="n"/>
      <c r="C11" s="21" t="n"/>
      <c r="D11" s="21" t="n"/>
      <c r="E11" s="21" t="n"/>
      <c r="F11" s="21" t="n"/>
      <c r="G11" s="21" t="n"/>
    </row>
    <row r="12">
      <c r="A12" s="22" t="inlineStr">
        <is>
          <t>KPI</t>
        </is>
      </c>
      <c r="B12" s="22" t="inlineStr">
        <is>
          <t>Current Value</t>
        </is>
      </c>
      <c r="C12" s="22" t="inlineStr">
        <is>
          <t>Target</t>
        </is>
      </c>
      <c r="D12" s="22" t="inlineStr">
        <is>
          <t>Status</t>
        </is>
      </c>
      <c r="E12" s="22" t="inlineStr">
        <is>
          <t>Last Updated</t>
        </is>
      </c>
      <c r="F12" s="22" t="inlineStr">
        <is>
          <t>Owner</t>
        </is>
      </c>
      <c r="G12" s="22" t="inlineStr">
        <is>
          <t>Notes</t>
        </is>
      </c>
    </row>
    <row r="13">
      <c r="A13" s="27" t="inlineStr">
        <is>
          <t>Session Recording Compliance</t>
        </is>
      </c>
      <c r="B13" s="28">
        <f>IF(COUNTA('Session Recording Coverage'!B6:B55)=0,0,COUNTIF('Session Recording Coverage'!K6:K55,"✅ Compliant")/COUNTA('Session Recording Coverage'!B6:B55))</f>
        <v/>
      </c>
      <c r="C13" s="29" t="inlineStr"/>
      <c r="D13" s="29" t="inlineStr"/>
      <c r="E13" s="29" t="inlineStr"/>
      <c r="F13" s="29" t="inlineStr"/>
      <c r="G13" s="29" t="inlineStr"/>
    </row>
    <row r="14">
      <c r="A14" s="27" t="inlineStr">
        <is>
          <t>Sessions Not Recorded (Gap)</t>
        </is>
      </c>
      <c r="B14" s="29">
        <f>COUNTIF('Session Recording Coverage'!D6:D55,"❌ Not Enabled (Gap)")</f>
        <v/>
      </c>
      <c r="C14" s="29" t="inlineStr"/>
      <c r="D14" s="29" t="inlineStr"/>
      <c r="E14" s="29" t="inlineStr"/>
      <c r="F14" s="29" t="inlineStr"/>
      <c r="G14" s="29" t="inlineStr"/>
    </row>
    <row r="15">
      <c r="A15" s="27" t="inlineStr">
        <is>
          <t>Command Logging Coverage</t>
        </is>
      </c>
      <c r="B15" s="28">
        <f>IF(COUNTA('Privileged Command Logging'!B6:B55)=0,0,(COUNTIF('Privileged Command Logging'!D6:D55,"✅ Enabled - Active Recording")+COUNTIF('Privileged Command Logging'!D6:D55,"✅ Enabled - Verified"))/COUNTA('Privileged Command Logging'!B6:B55))</f>
        <v/>
      </c>
      <c r="C15" s="29" t="inlineStr"/>
      <c r="D15" s="29" t="inlineStr"/>
      <c r="E15" s="29" t="inlineStr"/>
      <c r="F15" s="29" t="inlineStr"/>
      <c r="G15" s="29" t="inlineStr"/>
    </row>
    <row r="16">
      <c r="A16" s="27" t="inlineStr">
        <is>
          <t>Anomaly Rules Configured</t>
        </is>
      </c>
      <c r="B16" s="29">
        <f>COUNTA('Anomaly Detection Rules'!B6:B55)</f>
        <v/>
      </c>
      <c r="C16" s="29" t="inlineStr"/>
      <c r="D16" s="29" t="inlineStr"/>
      <c r="E16" s="29" t="inlineStr"/>
      <c r="F16" s="29" t="inlineStr"/>
      <c r="G16" s="29" t="inlineStr"/>
    </row>
    <row r="17">
      <c r="A17" s="27" t="inlineStr">
        <is>
          <t>Active Alerts (Open)</t>
        </is>
      </c>
      <c r="B17" s="29">
        <f>COUNTIF('Alert Response Tracking'!I6:I55,"Open - Investigating")+COUNTIF('Alert Response Tracking'!I6:I55,"Open - Awaiting Response")</f>
        <v/>
      </c>
      <c r="C17" s="29" t="inlineStr"/>
      <c r="D17" s="29" t="inlineStr"/>
      <c r="E17" s="29" t="inlineStr"/>
      <c r="F17" s="29" t="inlineStr"/>
      <c r="G17" s="29" t="inlineStr"/>
    </row>
    <row r="18">
      <c r="A18" s="27" t="inlineStr">
        <is>
          <t>Alert Resolution Rate</t>
        </is>
      </c>
      <c r="B18" s="28">
        <f>IF(COUNTA('Alert Response Tracking'!B6:B55)=0,0,(COUNTIF('Alert Response Tracking'!I6:I55,"Closed - Legitimate Activity")+COUNTIF('Alert Response Tracking'!I6:I55,"Closed - Security Incident")+COUNTIF('Alert Response Tracking'!I6:I55,"Closed - False Positive"))/COUNTA('Alert Response Tracking'!B6:B55))</f>
        <v/>
      </c>
      <c r="C18" s="29" t="inlineStr"/>
      <c r="D18" s="29" t="inlineStr"/>
      <c r="E18" s="29" t="inlineStr"/>
      <c r="F18" s="29" t="inlineStr"/>
      <c r="G18" s="29" t="inlineStr"/>
    </row>
    <row r="19">
      <c r="A19" s="27" t="inlineStr">
        <is>
          <t>Off-Hours Access Events</t>
        </is>
      </c>
      <c r="B19" s="29">
        <f>COUNTA('Off Hours Access Log'!B6:B55)</f>
        <v/>
      </c>
      <c r="C19" s="29" t="inlineStr"/>
      <c r="D19" s="29" t="inlineStr"/>
      <c r="E19" s="29" t="inlineStr"/>
      <c r="F19" s="29" t="inlineStr"/>
      <c r="G19" s="29" t="inlineStr"/>
    </row>
    <row r="20">
      <c r="A20" s="27" t="inlineStr">
        <is>
          <t>Tier Violation Incidents</t>
        </is>
      </c>
      <c r="B20" s="29">
        <f>COUNTA('Tier Violation Incidents'!B6:B55)</f>
        <v/>
      </c>
      <c r="C20" s="29" t="inlineStr"/>
      <c r="D20" s="29" t="inlineStr"/>
      <c r="E20" s="29" t="inlineStr"/>
      <c r="F20" s="29" t="inlineStr"/>
      <c r="G20" s="29" t="inlineStr"/>
    </row>
    <row r="21">
      <c r="A21" s="27" t="inlineStr">
        <is>
          <t>Failed Login Events</t>
        </is>
      </c>
      <c r="B21" s="29">
        <f>COUNTA('Failed Login Analysis'!B6:B55)</f>
        <v/>
      </c>
      <c r="C21" s="29" t="inlineStr"/>
      <c r="D21" s="29" t="inlineStr"/>
      <c r="E21" s="29" t="inlineStr"/>
      <c r="F21" s="29" t="inlineStr"/>
      <c r="G21" s="29" t="inlineStr"/>
    </row>
    <row r="22">
      <c r="A22" s="26" t="n"/>
      <c r="B22" s="26" t="n"/>
      <c r="C22" s="26" t="n"/>
      <c r="D22" s="26" t="n"/>
      <c r="E22" s="26" t="n"/>
      <c r="F22" s="26" t="n"/>
      <c r="G22" s="26" t="n"/>
    </row>
    <row r="23">
      <c r="A23" s="26" t="n"/>
      <c r="B23" s="26" t="n"/>
      <c r="C23" s="26" t="n"/>
      <c r="D23" s="26" t="n"/>
      <c r="E23" s="26" t="n"/>
      <c r="F23" s="26" t="n"/>
      <c r="G23" s="26" t="n"/>
    </row>
    <row r="25">
      <c r="A25" s="30" t="inlineStr">
        <is>
          <t>TABLE 3 — CRITICAL FINDINGS</t>
        </is>
      </c>
      <c r="B25" s="21" t="n"/>
      <c r="C25" s="21" t="n"/>
      <c r="D25" s="21" t="n"/>
      <c r="E25" s="21" t="n"/>
      <c r="F25" s="21" t="n"/>
      <c r="G25" s="21" t="n"/>
    </row>
    <row r="26">
      <c r="A26" s="22" t="inlineStr">
        <is>
          <t>System ID</t>
        </is>
      </c>
      <c r="B26" s="22" t="inlineStr">
        <is>
          <t>System Name</t>
        </is>
      </c>
      <c r="C26" s="22" t="inlineStr">
        <is>
          <t>Admin Tier</t>
        </is>
      </c>
      <c r="D26" s="22" t="inlineStr">
        <is>
          <t>Recording Status</t>
        </is>
      </c>
      <c r="E26" s="22" t="inlineStr">
        <is>
          <t>Compliance Target</t>
        </is>
      </c>
      <c r="F26" s="22" t="inlineStr">
        <is>
          <t>Compliance Status</t>
        </is>
      </c>
      <c r="G26" s="22" t="inlineStr">
        <is>
          <t>Notes</t>
        </is>
      </c>
    </row>
    <row r="27">
      <c r="A27" s="27">
        <f>IFERROR(INDEX('Session Recording Coverage'!A$6:A$55,SMALL(IF('Session Recording Coverage'!D$6:D$55="❌ Not Enabled (Gap)",ROW('Session Recording Coverage'!A$6:A$55)-ROW('Session Recording Coverage'!A$6)+1),ROWS($A$1:A1))),"")</f>
        <v/>
      </c>
      <c r="B27" s="27">
        <f>IFERROR(INDEX('Session Recording Coverage'!A$6:A$55,SMALL(IF('Session Recording Coverage'!D$6:D$55="❌ Not Enabled (Gap)",ROW('Session Recording Coverage'!A$6:A$55)-ROW('Session Recording Coverage'!A$6)+1),ROWS($A$1:A1))),"")</f>
        <v/>
      </c>
      <c r="C27" s="27">
        <f>IFERROR(INDEX('Session Recording Coverage'!B$6:B$55,SMALL(IF('Session Recording Coverage'!D$6:D$55="❌ Not Enabled (Gap)",ROW('Session Recording Coverage'!A$6:A$55)-ROW('Session Recording Coverage'!A$6)+1),ROWS($A$1:A1))),"")</f>
        <v/>
      </c>
      <c r="D27" s="27">
        <f>IFERROR(INDEX('Session Recording Coverage'!D$6:D$55,SMALL(IF('Session Recording Coverage'!D$6:D$55="❌ Not Enabled (Gap)",ROW('Session Recording Coverage'!A$6:A$55)-ROW('Session Recording Coverage'!A$6)+1),ROWS($A$1:A1))),"")</f>
        <v/>
      </c>
      <c r="E27" s="27">
        <f>IFERROR(INDEX('Session Recording Coverage'!J$6:J$55,SMALL(IF('Session Recording Coverage'!D$6:D$55="❌ Not Enabled (Gap)",ROW('Session Recording Coverage'!A$6:A$55)-ROW('Session Recording Coverage'!A$6)+1),ROWS($A$1:A1))),"")</f>
        <v/>
      </c>
      <c r="F27" s="27">
        <f>IFERROR(INDEX('Session Recording Coverage'!K$6:K$55,SMALL(IF('Session Recording Coverage'!D$6:D$55="❌ Not Enabled (Gap)",ROW('Session Recording Coverage'!A$6:A$55)-ROW('Session Recording Coverage'!A$6)+1),ROWS($A$1:A1))),"")</f>
        <v/>
      </c>
      <c r="G27" s="26" t="inlineStr"/>
    </row>
    <row r="28">
      <c r="A28" s="27">
        <f>IFERROR(INDEX('Session Recording Coverage'!A$6:A$55,SMALL(IF('Session Recording Coverage'!D$6:D$55="❌ Not Enabled (Gap)",ROW('Session Recording Coverage'!A$6:A$55)-ROW('Session Recording Coverage'!A$6)+1),ROWS($A$1:A2))),"")</f>
        <v/>
      </c>
      <c r="B28" s="27">
        <f>IFERROR(INDEX('Session Recording Coverage'!A$6:A$55,SMALL(IF('Session Recording Coverage'!D$6:D$55="❌ Not Enabled (Gap)",ROW('Session Recording Coverage'!A$6:A$55)-ROW('Session Recording Coverage'!A$6)+1),ROWS($A$1:A2))),"")</f>
        <v/>
      </c>
      <c r="C28" s="27">
        <f>IFERROR(INDEX('Session Recording Coverage'!B$6:B$55,SMALL(IF('Session Recording Coverage'!D$6:D$55="❌ Not Enabled (Gap)",ROW('Session Recording Coverage'!A$6:A$55)-ROW('Session Recording Coverage'!A$6)+1),ROWS($A$1:A2))),"")</f>
        <v/>
      </c>
      <c r="D28" s="27">
        <f>IFERROR(INDEX('Session Recording Coverage'!D$6:D$55,SMALL(IF('Session Recording Coverage'!D$6:D$55="❌ Not Enabled (Gap)",ROW('Session Recording Coverage'!A$6:A$55)-ROW('Session Recording Coverage'!A$6)+1),ROWS($A$1:A2))),"")</f>
        <v/>
      </c>
      <c r="E28" s="27">
        <f>IFERROR(INDEX('Session Recording Coverage'!J$6:J$55,SMALL(IF('Session Recording Coverage'!D$6:D$55="❌ Not Enabled (Gap)",ROW('Session Recording Coverage'!A$6:A$55)-ROW('Session Recording Coverage'!A$6)+1),ROWS($A$1:A2))),"")</f>
        <v/>
      </c>
      <c r="F28" s="27">
        <f>IFERROR(INDEX('Session Recording Coverage'!K$6:K$55,SMALL(IF('Session Recording Coverage'!D$6:D$55="❌ Not Enabled (Gap)",ROW('Session Recording Coverage'!A$6:A$55)-ROW('Session Recording Coverage'!A$6)+1),ROWS($A$1:A2))),"")</f>
        <v/>
      </c>
      <c r="G28" s="26" t="inlineStr"/>
    </row>
    <row r="29">
      <c r="A29" s="27">
        <f>IFERROR(INDEX('Session Recording Coverage'!A$6:A$55,SMALL(IF('Session Recording Coverage'!D$6:D$55="❌ Not Enabled (Gap)",ROW('Session Recording Coverage'!A$6:A$55)-ROW('Session Recording Coverage'!A$6)+1),ROWS($A$1:A3))),"")</f>
        <v/>
      </c>
      <c r="B29" s="27">
        <f>IFERROR(INDEX('Session Recording Coverage'!A$6:A$55,SMALL(IF('Session Recording Coverage'!D$6:D$55="❌ Not Enabled (Gap)",ROW('Session Recording Coverage'!A$6:A$55)-ROW('Session Recording Coverage'!A$6)+1),ROWS($A$1:A3))),"")</f>
        <v/>
      </c>
      <c r="C29" s="27">
        <f>IFERROR(INDEX('Session Recording Coverage'!B$6:B$55,SMALL(IF('Session Recording Coverage'!D$6:D$55="❌ Not Enabled (Gap)",ROW('Session Recording Coverage'!A$6:A$55)-ROW('Session Recording Coverage'!A$6)+1),ROWS($A$1:A3))),"")</f>
        <v/>
      </c>
      <c r="D29" s="27">
        <f>IFERROR(INDEX('Session Recording Coverage'!D$6:D$55,SMALL(IF('Session Recording Coverage'!D$6:D$55="❌ Not Enabled (Gap)",ROW('Session Recording Coverage'!A$6:A$55)-ROW('Session Recording Coverage'!A$6)+1),ROWS($A$1:A3))),"")</f>
        <v/>
      </c>
      <c r="E29" s="27">
        <f>IFERROR(INDEX('Session Recording Coverage'!J$6:J$55,SMALL(IF('Session Recording Coverage'!D$6:D$55="❌ Not Enabled (Gap)",ROW('Session Recording Coverage'!A$6:A$55)-ROW('Session Recording Coverage'!A$6)+1),ROWS($A$1:A3))),"")</f>
        <v/>
      </c>
      <c r="F29" s="27">
        <f>IFERROR(INDEX('Session Recording Coverage'!K$6:K$55,SMALL(IF('Session Recording Coverage'!D$6:D$55="❌ Not Enabled (Gap)",ROW('Session Recording Coverage'!A$6:A$55)-ROW('Session Recording Coverage'!A$6)+1),ROWS($A$1:A3))),"")</f>
        <v/>
      </c>
      <c r="G29" s="26" t="inlineStr"/>
    </row>
    <row r="30">
      <c r="A30" s="27">
        <f>IFERROR(INDEX('Session Recording Coverage'!A$6:A$55,SMALL(IF('Session Recording Coverage'!D$6:D$55="❌ Not Enabled (Gap)",ROW('Session Recording Coverage'!A$6:A$55)-ROW('Session Recording Coverage'!A$6)+1),ROWS($A$1:A4))),"")</f>
        <v/>
      </c>
      <c r="B30" s="27">
        <f>IFERROR(INDEX('Session Recording Coverage'!A$6:A$55,SMALL(IF('Session Recording Coverage'!D$6:D$55="❌ Not Enabled (Gap)",ROW('Session Recording Coverage'!A$6:A$55)-ROW('Session Recording Coverage'!A$6)+1),ROWS($A$1:A4))),"")</f>
        <v/>
      </c>
      <c r="C30" s="27">
        <f>IFERROR(INDEX('Session Recording Coverage'!B$6:B$55,SMALL(IF('Session Recording Coverage'!D$6:D$55="❌ Not Enabled (Gap)",ROW('Session Recording Coverage'!A$6:A$55)-ROW('Session Recording Coverage'!A$6)+1),ROWS($A$1:A4))),"")</f>
        <v/>
      </c>
      <c r="D30" s="27">
        <f>IFERROR(INDEX('Session Recording Coverage'!D$6:D$55,SMALL(IF('Session Recording Coverage'!D$6:D$55="❌ Not Enabled (Gap)",ROW('Session Recording Coverage'!A$6:A$55)-ROW('Session Recording Coverage'!A$6)+1),ROWS($A$1:A4))),"")</f>
        <v/>
      </c>
      <c r="E30" s="27">
        <f>IFERROR(INDEX('Session Recording Coverage'!J$6:J$55,SMALL(IF('Session Recording Coverage'!D$6:D$55="❌ Not Enabled (Gap)",ROW('Session Recording Coverage'!A$6:A$55)-ROW('Session Recording Coverage'!A$6)+1),ROWS($A$1:A4))),"")</f>
        <v/>
      </c>
      <c r="F30" s="27">
        <f>IFERROR(INDEX('Session Recording Coverage'!K$6:K$55,SMALL(IF('Session Recording Coverage'!D$6:D$55="❌ Not Enabled (Gap)",ROW('Session Recording Coverage'!A$6:A$55)-ROW('Session Recording Coverage'!A$6)+1),ROWS($A$1:A4))),"")</f>
        <v/>
      </c>
      <c r="G30" s="26" t="inlineStr"/>
    </row>
    <row r="31">
      <c r="A31" s="27">
        <f>IFERROR(INDEX('Session Recording Coverage'!A$6:A$55,SMALL(IF('Session Recording Coverage'!D$6:D$55="❌ Not Enabled (Gap)",ROW('Session Recording Coverage'!A$6:A$55)-ROW('Session Recording Coverage'!A$6)+1),ROWS($A$1:A5))),"")</f>
        <v/>
      </c>
      <c r="B31" s="27">
        <f>IFERROR(INDEX('Session Recording Coverage'!A$6:A$55,SMALL(IF('Session Recording Coverage'!D$6:D$55="❌ Not Enabled (Gap)",ROW('Session Recording Coverage'!A$6:A$55)-ROW('Session Recording Coverage'!A$6)+1),ROWS($A$1:A5))),"")</f>
        <v/>
      </c>
      <c r="C31" s="27">
        <f>IFERROR(INDEX('Session Recording Coverage'!B$6:B$55,SMALL(IF('Session Recording Coverage'!D$6:D$55="❌ Not Enabled (Gap)",ROW('Session Recording Coverage'!A$6:A$55)-ROW('Session Recording Coverage'!A$6)+1),ROWS($A$1:A5))),"")</f>
        <v/>
      </c>
      <c r="D31" s="27">
        <f>IFERROR(INDEX('Session Recording Coverage'!D$6:D$55,SMALL(IF('Session Recording Coverage'!D$6:D$55="❌ Not Enabled (Gap)",ROW('Session Recording Coverage'!A$6:A$55)-ROW('Session Recording Coverage'!A$6)+1),ROWS($A$1:A5))),"")</f>
        <v/>
      </c>
      <c r="E31" s="27">
        <f>IFERROR(INDEX('Session Recording Coverage'!J$6:J$55,SMALL(IF('Session Recording Coverage'!D$6:D$55="❌ Not Enabled (Gap)",ROW('Session Recording Coverage'!A$6:A$55)-ROW('Session Recording Coverage'!A$6)+1),ROWS($A$1:A5))),"")</f>
        <v/>
      </c>
      <c r="F31" s="27">
        <f>IFERROR(INDEX('Session Recording Coverage'!K$6:K$55,SMALL(IF('Session Recording Coverage'!D$6:D$55="❌ Not Enabled (Gap)",ROW('Session Recording Coverage'!A$6:A$55)-ROW('Session Recording Coverage'!A$6)+1),ROWS($A$1:A5))),"")</f>
        <v/>
      </c>
      <c r="G31" s="26" t="inlineStr"/>
    </row>
    <row r="32">
      <c r="A32" s="27">
        <f>IFERROR(INDEX('Session Recording Coverage'!A$6:A$55,SMALL(IF('Session Recording Coverage'!D$6:D$55="❌ Not Enabled (Gap)",ROW('Session Recording Coverage'!A$6:A$55)-ROW('Session Recording Coverage'!A$6)+1),ROWS($A$1:A6))),"")</f>
        <v/>
      </c>
      <c r="B32" s="27">
        <f>IFERROR(INDEX('Session Recording Coverage'!A$6:A$55,SMALL(IF('Session Recording Coverage'!D$6:D$55="❌ Not Enabled (Gap)",ROW('Session Recording Coverage'!A$6:A$55)-ROW('Session Recording Coverage'!A$6)+1),ROWS($A$1:A6))),"")</f>
        <v/>
      </c>
      <c r="C32" s="27">
        <f>IFERROR(INDEX('Session Recording Coverage'!B$6:B$55,SMALL(IF('Session Recording Coverage'!D$6:D$55="❌ Not Enabled (Gap)",ROW('Session Recording Coverage'!A$6:A$55)-ROW('Session Recording Coverage'!A$6)+1),ROWS($A$1:A6))),"")</f>
        <v/>
      </c>
      <c r="D32" s="27">
        <f>IFERROR(INDEX('Session Recording Coverage'!D$6:D$55,SMALL(IF('Session Recording Coverage'!D$6:D$55="❌ Not Enabled (Gap)",ROW('Session Recording Coverage'!A$6:A$55)-ROW('Session Recording Coverage'!A$6)+1),ROWS($A$1:A6))),"")</f>
        <v/>
      </c>
      <c r="E32" s="27">
        <f>IFERROR(INDEX('Session Recording Coverage'!J$6:J$55,SMALL(IF('Session Recording Coverage'!D$6:D$55="❌ Not Enabled (Gap)",ROW('Session Recording Coverage'!A$6:A$55)-ROW('Session Recording Coverage'!A$6)+1),ROWS($A$1:A6))),"")</f>
        <v/>
      </c>
      <c r="F32" s="27">
        <f>IFERROR(INDEX('Session Recording Coverage'!K$6:K$55,SMALL(IF('Session Recording Coverage'!D$6:D$55="❌ Not Enabled (Gap)",ROW('Session Recording Coverage'!A$6:A$55)-ROW('Session Recording Coverage'!A$6)+1),ROWS($A$1:A6))),"")</f>
        <v/>
      </c>
      <c r="G32" s="26" t="inlineStr"/>
    </row>
    <row r="33">
      <c r="A33" s="27">
        <f>IFERROR(INDEX('Session Recording Coverage'!A$6:A$55,SMALL(IF('Session Recording Coverage'!D$6:D$55="❌ Not Enabled (Gap)",ROW('Session Recording Coverage'!A$6:A$55)-ROW('Session Recording Coverage'!A$6)+1),ROWS($A$1:A7))),"")</f>
        <v/>
      </c>
      <c r="B33" s="27">
        <f>IFERROR(INDEX('Session Recording Coverage'!A$6:A$55,SMALL(IF('Session Recording Coverage'!D$6:D$55="❌ Not Enabled (Gap)",ROW('Session Recording Coverage'!A$6:A$55)-ROW('Session Recording Coverage'!A$6)+1),ROWS($A$1:A7))),"")</f>
        <v/>
      </c>
      <c r="C33" s="27">
        <f>IFERROR(INDEX('Session Recording Coverage'!B$6:B$55,SMALL(IF('Session Recording Coverage'!D$6:D$55="❌ Not Enabled (Gap)",ROW('Session Recording Coverage'!A$6:A$55)-ROW('Session Recording Coverage'!A$6)+1),ROWS($A$1:A7))),"")</f>
        <v/>
      </c>
      <c r="D33" s="27">
        <f>IFERROR(INDEX('Session Recording Coverage'!D$6:D$55,SMALL(IF('Session Recording Coverage'!D$6:D$55="❌ Not Enabled (Gap)",ROW('Session Recording Coverage'!A$6:A$55)-ROW('Session Recording Coverage'!A$6)+1),ROWS($A$1:A7))),"")</f>
        <v/>
      </c>
      <c r="E33" s="27">
        <f>IFERROR(INDEX('Session Recording Coverage'!J$6:J$55,SMALL(IF('Session Recording Coverage'!D$6:D$55="❌ Not Enabled (Gap)",ROW('Session Recording Coverage'!A$6:A$55)-ROW('Session Recording Coverage'!A$6)+1),ROWS($A$1:A7))),"")</f>
        <v/>
      </c>
      <c r="F33" s="27">
        <f>IFERROR(INDEX('Session Recording Coverage'!K$6:K$55,SMALL(IF('Session Recording Coverage'!D$6:D$55="❌ Not Enabled (Gap)",ROW('Session Recording Coverage'!A$6:A$55)-ROW('Session Recording Coverage'!A$6)+1),ROWS($A$1:A7))),"")</f>
        <v/>
      </c>
      <c r="G33" s="26" t="inlineStr"/>
    </row>
    <row r="34">
      <c r="A34" s="27">
        <f>IFERROR(INDEX('Session Recording Coverage'!A$6:A$55,SMALL(IF('Session Recording Coverage'!D$6:D$55="❌ Not Enabled (Gap)",ROW('Session Recording Coverage'!A$6:A$55)-ROW('Session Recording Coverage'!A$6)+1),ROWS($A$1:A8))),"")</f>
        <v/>
      </c>
      <c r="B34" s="27">
        <f>IFERROR(INDEX('Session Recording Coverage'!A$6:A$55,SMALL(IF('Session Recording Coverage'!D$6:D$55="❌ Not Enabled (Gap)",ROW('Session Recording Coverage'!A$6:A$55)-ROW('Session Recording Coverage'!A$6)+1),ROWS($A$1:A8))),"")</f>
        <v/>
      </c>
      <c r="C34" s="27">
        <f>IFERROR(INDEX('Session Recording Coverage'!B$6:B$55,SMALL(IF('Session Recording Coverage'!D$6:D$55="❌ Not Enabled (Gap)",ROW('Session Recording Coverage'!A$6:A$55)-ROW('Session Recording Coverage'!A$6)+1),ROWS($A$1:A8))),"")</f>
        <v/>
      </c>
      <c r="D34" s="27">
        <f>IFERROR(INDEX('Session Recording Coverage'!D$6:D$55,SMALL(IF('Session Recording Coverage'!D$6:D$55="❌ Not Enabled (Gap)",ROW('Session Recording Coverage'!A$6:A$55)-ROW('Session Recording Coverage'!A$6)+1),ROWS($A$1:A8))),"")</f>
        <v/>
      </c>
      <c r="E34" s="27">
        <f>IFERROR(INDEX('Session Recording Coverage'!J$6:J$55,SMALL(IF('Session Recording Coverage'!D$6:D$55="❌ Not Enabled (Gap)",ROW('Session Recording Coverage'!A$6:A$55)-ROW('Session Recording Coverage'!A$6)+1),ROWS($A$1:A8))),"")</f>
        <v/>
      </c>
      <c r="F34" s="27">
        <f>IFERROR(INDEX('Session Recording Coverage'!K$6:K$55,SMALL(IF('Session Recording Coverage'!D$6:D$55="❌ Not Enabled (Gap)",ROW('Session Recording Coverage'!A$6:A$55)-ROW('Session Recording Coverage'!A$6)+1),ROWS($A$1:A8))),"")</f>
        <v/>
      </c>
      <c r="G34" s="26" t="inlineStr"/>
    </row>
    <row r="35">
      <c r="A35" s="27">
        <f>IFERROR(INDEX('Session Recording Coverage'!A$6:A$55,SMALL(IF('Session Recording Coverage'!D$6:D$55="❌ Not Enabled (Gap)",ROW('Session Recording Coverage'!A$6:A$55)-ROW('Session Recording Coverage'!A$6)+1),ROWS($A$1:A9))),"")</f>
        <v/>
      </c>
      <c r="B35" s="27">
        <f>IFERROR(INDEX('Session Recording Coverage'!A$6:A$55,SMALL(IF('Session Recording Coverage'!D$6:D$55="❌ Not Enabled (Gap)",ROW('Session Recording Coverage'!A$6:A$55)-ROW('Session Recording Coverage'!A$6)+1),ROWS($A$1:A9))),"")</f>
        <v/>
      </c>
      <c r="C35" s="27">
        <f>IFERROR(INDEX('Session Recording Coverage'!B$6:B$55,SMALL(IF('Session Recording Coverage'!D$6:D$55="❌ Not Enabled (Gap)",ROW('Session Recording Coverage'!A$6:A$55)-ROW('Session Recording Coverage'!A$6)+1),ROWS($A$1:A9))),"")</f>
        <v/>
      </c>
      <c r="D35" s="27">
        <f>IFERROR(INDEX('Session Recording Coverage'!D$6:D$55,SMALL(IF('Session Recording Coverage'!D$6:D$55="❌ Not Enabled (Gap)",ROW('Session Recording Coverage'!A$6:A$55)-ROW('Session Recording Coverage'!A$6)+1),ROWS($A$1:A9))),"")</f>
        <v/>
      </c>
      <c r="E35" s="27">
        <f>IFERROR(INDEX('Session Recording Coverage'!J$6:J$55,SMALL(IF('Session Recording Coverage'!D$6:D$55="❌ Not Enabled (Gap)",ROW('Session Recording Coverage'!A$6:A$55)-ROW('Session Recording Coverage'!A$6)+1),ROWS($A$1:A9))),"")</f>
        <v/>
      </c>
      <c r="F35" s="27">
        <f>IFERROR(INDEX('Session Recording Coverage'!K$6:K$55,SMALL(IF('Session Recording Coverage'!D$6:D$55="❌ Not Enabled (Gap)",ROW('Session Recording Coverage'!A$6:A$55)-ROW('Session Recording Coverage'!A$6)+1),ROWS($A$1:A9))),"")</f>
        <v/>
      </c>
      <c r="G35" s="26" t="inlineStr"/>
    </row>
    <row r="36">
      <c r="A36" s="27">
        <f>IFERROR(INDEX('Session Recording Coverage'!A$6:A$55,SMALL(IF('Session Recording Coverage'!D$6:D$55="❌ Not Enabled (Gap)",ROW('Session Recording Coverage'!A$6:A$55)-ROW('Session Recording Coverage'!A$6)+1),ROWS($A$1:A10))),"")</f>
        <v/>
      </c>
      <c r="B36" s="27">
        <f>IFERROR(INDEX('Session Recording Coverage'!A$6:A$55,SMALL(IF('Session Recording Coverage'!D$6:D$55="❌ Not Enabled (Gap)",ROW('Session Recording Coverage'!A$6:A$55)-ROW('Session Recording Coverage'!A$6)+1),ROWS($A$1:A10))),"")</f>
        <v/>
      </c>
      <c r="C36" s="27">
        <f>IFERROR(INDEX('Session Recording Coverage'!B$6:B$55,SMALL(IF('Session Recording Coverage'!D$6:D$55="❌ Not Enabled (Gap)",ROW('Session Recording Coverage'!A$6:A$55)-ROW('Session Recording Coverage'!A$6)+1),ROWS($A$1:A10))),"")</f>
        <v/>
      </c>
      <c r="D36" s="27">
        <f>IFERROR(INDEX('Session Recording Coverage'!D$6:D$55,SMALL(IF('Session Recording Coverage'!D$6:D$55="❌ Not Enabled (Gap)",ROW('Session Recording Coverage'!A$6:A$55)-ROW('Session Recording Coverage'!A$6)+1),ROWS($A$1:A10))),"")</f>
        <v/>
      </c>
      <c r="E36" s="27">
        <f>IFERROR(INDEX('Session Recording Coverage'!J$6:J$55,SMALL(IF('Session Recording Coverage'!D$6:D$55="❌ Not Enabled (Gap)",ROW('Session Recording Coverage'!A$6:A$55)-ROW('Session Recording Coverage'!A$6)+1),ROWS($A$1:A10))),"")</f>
        <v/>
      </c>
      <c r="F36" s="27">
        <f>IFERROR(INDEX('Session Recording Coverage'!K$6:K$55,SMALL(IF('Session Recording Coverage'!D$6:D$55="❌ Not Enabled (Gap)",ROW('Session Recording Coverage'!A$6:A$55)-ROW('Session Recording Coverage'!A$6)+1),ROWS($A$1:A10))),"")</f>
        <v/>
      </c>
      <c r="G36" s="26" t="inlineStr"/>
    </row>
    <row r="37">
      <c r="A37" s="26" t="n"/>
      <c r="B37" s="26" t="n"/>
      <c r="C37" s="26" t="n"/>
      <c r="D37" s="26" t="n"/>
      <c r="E37" s="26" t="n"/>
      <c r="F37" s="26" t="n"/>
      <c r="G37" s="26" t="n"/>
    </row>
    <row r="38">
      <c r="A38" s="26" t="n"/>
      <c r="B38" s="26" t="n"/>
      <c r="C38" s="26" t="n"/>
      <c r="D38" s="26" t="n"/>
      <c r="E38" s="26" t="n"/>
      <c r="F38" s="26" t="n"/>
      <c r="G38" s="26" t="n"/>
    </row>
    <row r="39">
      <c r="A39" s="31" t="inlineStr">
        <is>
          <t>Total Systems Not Recording:</t>
        </is>
      </c>
      <c r="B39" s="32">
        <f>COUNTIF('Session Recording Coverage'!D6:D55,"❌ Not Enabled (Gap)")</f>
        <v/>
      </c>
    </row>
  </sheetData>
  <mergeCells count="5">
    <mergeCell ref="A1:G1"/>
    <mergeCell ref="A3:G3"/>
    <mergeCell ref="A2:G2"/>
    <mergeCell ref="A25:G25"/>
    <mergeCell ref="A11:G1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8"/>
  <sheetViews>
    <sheetView workbookViewId="0">
      <pane ySplit="2" topLeftCell="A3" activePane="bottomLeft" state="frozen"/>
      <selection pane="bottomLeft" activeCell="A1" sqref="A1"/>
    </sheetView>
  </sheetViews>
  <sheetFormatPr baseColWidth="8" defaultRowHeight="15"/>
  <cols>
    <col width="32" customWidth="1" min="1" max="1"/>
    <col width="28" customWidth="1" min="2" max="2"/>
    <col width="22" customWidth="1" min="3" max="3"/>
    <col width="14" customWidth="1" min="4" max="4"/>
    <col width="22" customWidth="1" min="5" max="5"/>
  </cols>
  <sheetData>
    <row r="1" ht="35" customHeight="1">
      <c r="A1" s="33" t="inlineStr">
        <is>
          <t>ASSESSMENT APPROVAL AND SIGN-OFF</t>
        </is>
      </c>
      <c r="B1" s="21" t="n"/>
      <c r="C1" s="21" t="n"/>
      <c r="D1" s="21" t="n"/>
      <c r="E1" s="21" t="n"/>
    </row>
    <row r="2">
      <c r="A2" s="34" t="inlineStr">
        <is>
          <t>ISMS-IMP-A.8.2-3-5.S4 | ISO/IEC 27001:2022 - Control A.8.2-3-5: Access and Authentication Management</t>
        </is>
      </c>
      <c r="B2" s="21" t="n"/>
      <c r="C2" s="21" t="n"/>
      <c r="D2" s="21" t="n"/>
      <c r="E2" s="21" t="n"/>
    </row>
    <row r="3">
      <c r="A3" s="35" t="inlineStr">
        <is>
          <t>ASSESSMENT SUMMARY</t>
        </is>
      </c>
      <c r="B3" s="21" t="n"/>
      <c r="C3" s="21" t="n"/>
      <c r="D3" s="21" t="n"/>
      <c r="E3" s="21" t="n"/>
    </row>
    <row r="4">
      <c r="A4" s="36" t="inlineStr">
        <is>
          <t>Document:</t>
        </is>
      </c>
      <c r="B4" s="21" t="inlineStr">
        <is>
          <t>ISMS-IMP-A.8.2-3-5.S4 - Privileged Access Monitoring Assessment</t>
        </is>
      </c>
      <c r="C4" s="21" t="n"/>
      <c r="D4" s="21" t="n"/>
      <c r="E4" s="21" t="n"/>
    </row>
    <row r="5">
      <c r="A5" s="36" t="inlineStr">
        <is>
          <t>Assessment Period:</t>
        </is>
      </c>
      <c r="B5" s="26" t="inlineStr"/>
      <c r="C5" s="26" t="n"/>
      <c r="D5" s="26" t="n"/>
      <c r="E5" s="26" t="n"/>
    </row>
    <row r="6">
      <c r="A6" s="36" t="inlineStr">
        <is>
          <t>Overall Compliance Rate:</t>
        </is>
      </c>
      <c r="B6" s="37">
        <f>IFERROR(AVERAGE('Summary Dashboard'!G5:G7),"")</f>
        <v/>
      </c>
      <c r="C6" s="26" t="n"/>
      <c r="D6" s="26" t="n"/>
      <c r="E6" s="26" t="n"/>
    </row>
    <row r="7">
      <c r="A7" s="36" t="inlineStr">
        <is>
          <t>Assessment Status:</t>
        </is>
      </c>
      <c r="B7" s="26" t="inlineStr"/>
      <c r="C7" s="26" t="n"/>
      <c r="D7" s="26" t="n"/>
      <c r="E7" s="26" t="n"/>
    </row>
    <row r="8">
      <c r="A8" s="36" t="inlineStr">
        <is>
          <t>Assessed By:</t>
        </is>
      </c>
      <c r="B8" s="26" t="inlineStr"/>
      <c r="C8" s="26" t="n"/>
      <c r="D8" s="26" t="n"/>
      <c r="E8" s="26" t="n"/>
    </row>
    <row r="11">
      <c r="A11" s="35" t="inlineStr">
        <is>
          <t>COMPLETED BY (ASSESSOR)</t>
        </is>
      </c>
      <c r="B11" s="21" t="n"/>
      <c r="C11" s="21" t="n"/>
      <c r="D11" s="21" t="n"/>
      <c r="E11" s="21" t="n"/>
    </row>
    <row r="12">
      <c r="A12" s="36" t="inlineStr">
        <is>
          <t>Name:</t>
        </is>
      </c>
      <c r="B12" s="26" t="n"/>
      <c r="C12" s="26" t="n"/>
      <c r="D12" s="26" t="n"/>
      <c r="E12" s="26" t="n"/>
    </row>
    <row r="13">
      <c r="A13" s="36" t="inlineStr">
        <is>
          <t>Title:</t>
        </is>
      </c>
      <c r="B13" s="26" t="n"/>
      <c r="C13" s="26" t="n"/>
      <c r="D13" s="26" t="n"/>
      <c r="E13" s="26" t="n"/>
    </row>
    <row r="14">
      <c r="A14" s="36" t="inlineStr">
        <is>
          <t>Date:</t>
        </is>
      </c>
      <c r="B14" s="26" t="n"/>
      <c r="C14" s="26" t="n"/>
      <c r="D14" s="26" t="n"/>
      <c r="E14" s="26" t="n"/>
    </row>
    <row r="15">
      <c r="A15" s="36" t="inlineStr">
        <is>
          <t>Signature:</t>
        </is>
      </c>
      <c r="B15" s="26" t="n"/>
      <c r="C15" s="26" t="n"/>
      <c r="D15" s="26" t="n"/>
      <c r="E15" s="26" t="n"/>
    </row>
    <row r="16">
      <c r="A16" s="36" t="inlineStr">
        <is>
          <t>Comments:</t>
        </is>
      </c>
      <c r="B16" s="26" t="n"/>
      <c r="C16" s="26" t="n"/>
      <c r="D16" s="26" t="n"/>
      <c r="E16" s="26" t="n"/>
    </row>
    <row r="18">
      <c r="A18" s="35" t="inlineStr">
        <is>
          <t>REVIEWED BY (INFORMATION SECURITY OFFICER)</t>
        </is>
      </c>
      <c r="B18" s="21" t="n"/>
      <c r="C18" s="21" t="n"/>
      <c r="D18" s="21" t="n"/>
      <c r="E18" s="21" t="n"/>
    </row>
    <row r="19">
      <c r="A19" s="36" t="inlineStr">
        <is>
          <t>Name:</t>
        </is>
      </c>
      <c r="B19" s="26" t="n"/>
      <c r="C19" s="26" t="n"/>
      <c r="D19" s="26" t="n"/>
      <c r="E19" s="26" t="n"/>
    </row>
    <row r="20">
      <c r="A20" s="36" t="inlineStr">
        <is>
          <t>Title:</t>
        </is>
      </c>
      <c r="B20" s="26" t="n"/>
      <c r="C20" s="26" t="n"/>
      <c r="D20" s="26" t="n"/>
      <c r="E20" s="26" t="n"/>
    </row>
    <row r="21">
      <c r="A21" s="36" t="inlineStr">
        <is>
          <t>Date:</t>
        </is>
      </c>
      <c r="B21" s="26" t="n"/>
      <c r="C21" s="26" t="n"/>
      <c r="D21" s="26" t="n"/>
      <c r="E21" s="26" t="n"/>
    </row>
    <row r="22">
      <c r="A22" s="36" t="inlineStr">
        <is>
          <t>Signature:</t>
        </is>
      </c>
      <c r="B22" s="26" t="n"/>
      <c r="C22" s="26" t="n"/>
      <c r="D22" s="26" t="n"/>
      <c r="E22" s="26" t="n"/>
    </row>
    <row r="23">
      <c r="A23" s="36" t="inlineStr">
        <is>
          <t>Comments:</t>
        </is>
      </c>
      <c r="B23" s="26" t="n"/>
      <c r="C23" s="26" t="n"/>
      <c r="D23" s="26" t="n"/>
      <c r="E23" s="26" t="n"/>
    </row>
    <row r="25">
      <c r="A25" s="38" t="inlineStr">
        <is>
          <t>APPROVED BY (CISO)</t>
        </is>
      </c>
      <c r="B25" s="21" t="n"/>
      <c r="C25" s="21" t="n"/>
      <c r="D25" s="21" t="n"/>
      <c r="E25" s="21" t="n"/>
    </row>
    <row r="26">
      <c r="A26" s="36" t="inlineStr">
        <is>
          <t>Name:</t>
        </is>
      </c>
      <c r="B26" s="26" t="n"/>
      <c r="C26" s="26" t="n"/>
      <c r="D26" s="26" t="n"/>
      <c r="E26" s="26" t="n"/>
    </row>
    <row r="27">
      <c r="A27" s="36" t="inlineStr">
        <is>
          <t>Title:</t>
        </is>
      </c>
      <c r="B27" s="26" t="n"/>
      <c r="C27" s="26" t="n"/>
      <c r="D27" s="26" t="n"/>
      <c r="E27" s="26" t="n"/>
    </row>
    <row r="28">
      <c r="A28" s="36" t="inlineStr">
        <is>
          <t>Date:</t>
        </is>
      </c>
      <c r="B28" s="26" t="n"/>
      <c r="C28" s="26" t="n"/>
      <c r="D28" s="26" t="n"/>
      <c r="E28" s="26" t="n"/>
    </row>
    <row r="29">
      <c r="A29" s="36" t="inlineStr">
        <is>
          <t>Signature:</t>
        </is>
      </c>
      <c r="B29" s="26" t="n"/>
      <c r="C29" s="26" t="n"/>
      <c r="D29" s="26" t="n"/>
      <c r="E29" s="26" t="n"/>
    </row>
    <row r="30">
      <c r="A30" s="36" t="inlineStr">
        <is>
          <t>Comments:</t>
        </is>
      </c>
      <c r="B30" s="26" t="n"/>
      <c r="C30" s="26" t="n"/>
      <c r="D30" s="26" t="n"/>
      <c r="E30" s="26" t="n"/>
    </row>
    <row r="32">
      <c r="A32" s="39" t="inlineStr">
        <is>
          <t>FINAL DECISION:</t>
        </is>
      </c>
      <c r="B32" s="26" t="n"/>
      <c r="C32" s="26" t="n"/>
      <c r="D32" s="26" t="n"/>
      <c r="E32" s="26" t="n"/>
    </row>
    <row r="35">
      <c r="A35" s="35" t="inlineStr">
        <is>
          <t>NEXT REVIEW DETAILS</t>
        </is>
      </c>
      <c r="B35" s="21" t="n"/>
      <c r="C35" s="21" t="n"/>
      <c r="D35" s="21" t="n"/>
      <c r="E35" s="21" t="n"/>
    </row>
    <row r="36">
      <c r="A36" s="36" t="inlineStr">
        <is>
          <t>Next Review Date:</t>
        </is>
      </c>
      <c r="B36" s="26" t="n"/>
      <c r="C36" s="26" t="n"/>
      <c r="D36" s="26" t="n"/>
      <c r="E36" s="26" t="n"/>
    </row>
    <row r="37">
      <c r="A37" s="36" t="inlineStr">
        <is>
          <t>Review Responsible:</t>
        </is>
      </c>
      <c r="B37" s="26" t="n"/>
      <c r="C37" s="26" t="n"/>
      <c r="D37" s="26" t="n"/>
      <c r="E37" s="26" t="n"/>
    </row>
    <row r="38">
      <c r="A38" s="36" t="inlineStr">
        <is>
          <t>Special Considerations:</t>
        </is>
      </c>
      <c r="B38" s="26" t="n"/>
      <c r="C38" s="26" t="n"/>
      <c r="D38" s="26" t="n"/>
      <c r="E38" s="2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ISMS-IMP-A.8.2-3-5.S4 — Privileged Access Monitoring Assessment</dc:title>
  <dc:description xmlns:dc="http://purl.org/dc/elements/1.1/">ISMS Implementation Workbook — ISMS-IMP-A.8.2-3-5.S4</dc:description>
  <dc:subject xmlns:dc="http://purl.org/dc/elements/1.1/">ISO/IEC 27001:2022 — Control A.8.2-3-5: Access and Authentication Management</dc:subject>
  <dcterms:created xmlns:dcterms="http://purl.org/dc/terms/" xmlns:xsi="http://www.w3.org/2001/XMLSchema-instance" xsi:type="dcterms:W3CDTF">2026-03-01T11:12:22Z</dcterms:created>
  <dcterms:modified xmlns:dcterms="http://purl.org/dc/terms/" xmlns:xsi="http://www.w3.org/2001/XMLSchema-instance" xsi:type="dcterms:W3CDTF">2026-03-01T11:12:22Z</dcterms:modified>
</cp:coreProperties>
</file>