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MFA Enrollment" sheetId="2" state="visible" r:id="rId2"/>
    <sheet xmlns:r="http://schemas.openxmlformats.org/officeDocument/2006/relationships" name="MFA Coverage By Type" sheetId="3" state="visible" r:id="rId3"/>
    <sheet xmlns:r="http://schemas.openxmlformats.org/officeDocument/2006/relationships" name="MFA Method Analysis" sheetId="4" state="visible" r:id="rId4"/>
    <sheet xmlns:r="http://schemas.openxmlformats.org/officeDocument/2006/relationships" name="MFA Gaps Priority" sheetId="5" state="visible" r:id="rId5"/>
    <sheet xmlns:r="http://schemas.openxmlformats.org/officeDocument/2006/relationships" name="Enrollment Campaign" sheetId="6" state="visible" r:id="rId6"/>
    <sheet xmlns:r="http://schemas.openxmlformats.org/officeDocument/2006/relationships" name="Backup Method Statu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7" borderId="1" pivotButton="0" quotePrefix="0" xfId="0"/>
    <xf numFmtId="0" fontId="6" fillId="2" borderId="1" applyAlignment="1" pivotButton="0" quotePrefix="0" xfId="0">
      <alignment horizontal="left" vertical="center"/>
    </xf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ISMS-IMP-A.8.2-3-5.S2  -  MFA COVERAGE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ISMS-IMP-A.8.2-3-5.S2</t>
        </is>
      </c>
    </row>
    <row r="5">
      <c r="A5" s="3" t="inlineStr">
        <is>
          <t>Assessment:</t>
        </is>
      </c>
      <c r="B5" s="4" t="inlineStr">
        <is>
          <t>MFA Coverage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10.03.2026 19:49</t>
        </is>
      </c>
    </row>
    <row r="9">
      <c r="A9" s="5" t="inlineStr">
        <is>
          <t>NIS2 COMPLIANCE REQUIREMENT</t>
        </is>
      </c>
    </row>
    <row r="10" ht="40" customHeight="1">
      <c r="A10" s="6" t="inlineStr">
        <is>
          <t>NIS2 Article 21(2)(e) explicitly requires multi-factor authentication for essential and important entities. This is NOT OPTIONAL.</t>
        </is>
      </c>
    </row>
    <row r="12">
      <c r="A12" s="2" t="inlineStr">
        <is>
          <t>Instructions</t>
        </is>
      </c>
    </row>
    <row r="13">
      <c r="A13" s="7" t="inlineStr">
        <is>
          <t>User Category</t>
        </is>
      </c>
      <c r="B13" s="7" t="inlineStr">
        <is>
          <t>Target Coverage</t>
        </is>
      </c>
      <c r="C13" s="7" t="inlineStr">
        <is>
          <t>Requirement Level</t>
        </is>
      </c>
      <c r="D13" s="8" t="n"/>
      <c r="E13" s="8" t="n"/>
      <c r="F13" s="8" t="n"/>
      <c r="G13" s="9" t="n"/>
    </row>
    <row r="14">
      <c r="A14" s="10" t="inlineStr">
        <is>
          <t>Privileged Users (All Tiers)</t>
        </is>
      </c>
      <c r="B14" s="10" t="inlineStr">
        <is>
          <t>100%</t>
        </is>
      </c>
      <c r="C14" s="10" t="inlineStr">
        <is>
          <t>MANDATORY — No exceptions</t>
        </is>
      </c>
    </row>
    <row r="15">
      <c r="A15" s="10" t="inlineStr">
        <is>
          <t>Remote Access Users (VPN, External)</t>
        </is>
      </c>
      <c r="B15" s="10" t="inlineStr">
        <is>
          <t>100%</t>
        </is>
      </c>
      <c r="C15" s="10" t="inlineStr">
        <is>
          <t>MANDATORY — Security requirement</t>
        </is>
      </c>
    </row>
    <row r="16">
      <c r="A16" s="10" t="inlineStr">
        <is>
          <t>Standard Internal Users</t>
        </is>
      </c>
      <c r="B16" s="10" t="inlineStr">
        <is>
          <t>90%+</t>
        </is>
      </c>
      <c r="C16" s="10" t="inlineStr">
        <is>
          <t>RECOMMENDED — Best practice</t>
        </is>
      </c>
    </row>
    <row r="17">
      <c r="A17" s="10" t="inlineStr">
        <is>
          <t>Overall Organisation</t>
        </is>
      </c>
      <c r="B17" s="10" t="inlineStr">
        <is>
          <t>85%+</t>
        </is>
      </c>
      <c r="C17" s="10" t="inlineStr">
        <is>
          <t>Target for mature security posture</t>
        </is>
      </c>
    </row>
    <row r="19">
      <c r="A19" s="2" t="inlineStr">
        <is>
          <t>Status Legend</t>
        </is>
      </c>
    </row>
    <row r="20">
      <c r="A20" s="11" t="inlineStr">
        <is>
          <t>Status</t>
        </is>
      </c>
      <c r="B20" s="11" t="inlineStr">
        <is>
          <t>Description</t>
        </is>
      </c>
      <c r="C20" s="12" t="inlineStr"/>
      <c r="D20" s="8" t="n"/>
      <c r="E20" s="8" t="n"/>
      <c r="F20" s="8" t="n"/>
      <c r="G20" s="9" t="n"/>
    </row>
    <row r="21">
      <c r="A21" s="10" t="inlineStr">
        <is>
          <t>✅ Enrolled - Active</t>
        </is>
      </c>
      <c r="B21" s="10" t="inlineStr">
        <is>
          <t>MFA active and verified</t>
        </is>
      </c>
    </row>
    <row r="22">
      <c r="A22" s="10" t="inlineStr">
        <is>
          <t>⚠ Enrolled - Not Verified</t>
        </is>
      </c>
      <c r="B22" s="10" t="inlineStr">
        <is>
          <t>Enrolled but verification overdue</t>
        </is>
      </c>
    </row>
    <row r="23">
      <c r="A23" s="10" t="inlineStr">
        <is>
          <t>❌ Not Enrolled - Overdue</t>
        </is>
      </c>
      <c r="B23" s="10" t="inlineStr">
        <is>
          <t>Overdue — requires immediate action</t>
        </is>
      </c>
    </row>
    <row r="24">
      <c r="A24" s="10" t="inlineStr">
        <is>
          <t>N/A (Service Account)</t>
        </is>
      </c>
      <c r="B24" s="10" t="inlineStr">
        <is>
          <t>Service accounts excluded from MFA requirement</t>
        </is>
      </c>
    </row>
    <row r="25">
      <c r="A25" s="10" t="inlineStr">
        <is>
          <t>—</t>
        </is>
      </c>
      <c r="B25" s="10" t="inlineStr">
        <is>
          <t>Not applicable</t>
        </is>
      </c>
    </row>
    <row r="27" ht="30" customHeight="1">
      <c r="A27" s="13" t="inlineStr">
        <is>
          <t>REMEMBER: 81% of breaches involve weak or stolen credentials. MFA reduces account compromise risk by 99.9%.</t>
        </is>
      </c>
    </row>
  </sheetData>
  <mergeCells count="14">
    <mergeCell ref="B24:G24"/>
    <mergeCell ref="B21:G21"/>
    <mergeCell ref="A1:G1"/>
    <mergeCell ref="C20:G20"/>
    <mergeCell ref="A9:G9"/>
    <mergeCell ref="B22:G22"/>
    <mergeCell ref="A27:G27"/>
    <mergeCell ref="B23:G23"/>
    <mergeCell ref="A12:G12"/>
    <mergeCell ref="C13:G13"/>
    <mergeCell ref="A19:G19"/>
    <mergeCell ref="A3:B3"/>
    <mergeCell ref="A10:G10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6" customWidth="1" min="5" max="5"/>
    <col width="30" customWidth="1" min="6" max="6"/>
    <col width="30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35" customWidth="1" min="13" max="13"/>
  </cols>
  <sheetData>
    <row r="1" ht="35" customHeight="1">
      <c r="A1" s="1" t="inlineStr">
        <is>
          <t>USER MFA ENROLLMENT</t>
        </is>
      </c>
    </row>
    <row r="2">
      <c r="A2" s="14" t="inlineStr">
        <is>
          <t>Complete tracking of MFA enrollment for all organisational users</t>
        </is>
      </c>
    </row>
    <row r="4">
      <c r="A4" s="7" t="inlineStr">
        <is>
          <t>User ID / Email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MFA Status</t>
        </is>
      </c>
      <c r="F4" s="7" t="inlineStr">
        <is>
          <t>MFA Method</t>
        </is>
      </c>
      <c r="G4" s="7" t="inlineStr">
        <is>
          <t>Backup Method</t>
        </is>
      </c>
      <c r="H4" s="7" t="inlineStr">
        <is>
          <t>Enrollment Date</t>
        </is>
      </c>
      <c r="I4" s="7" t="inlineStr">
        <is>
          <t>Last Verified</t>
        </is>
      </c>
      <c r="J4" s="7" t="inlineStr">
        <is>
          <t>Enrollment Deadline</t>
        </is>
      </c>
      <c r="K4" s="7" t="inlineStr">
        <is>
          <t>Days Overdue</t>
        </is>
      </c>
      <c r="L4" s="7" t="inlineStr">
        <is>
          <t>Compliance Status</t>
        </is>
      </c>
      <c r="M4" s="7" t="inlineStr">
        <is>
          <t>Notes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 Security</t>
        </is>
      </c>
      <c r="E5" s="15" t="inlineStr">
        <is>
          <t>✅ Enrolled - Active</t>
        </is>
      </c>
      <c r="F5" s="15" t="inlineStr">
        <is>
          <t>Hardware Token (FIDO2/YubiKey)</t>
        </is>
      </c>
      <c r="G5" s="15" t="inlineStr">
        <is>
          <t>Authenticator App (TOTP)</t>
        </is>
      </c>
      <c r="H5" s="15" t="inlineStr">
        <is>
          <t>10.03.2026</t>
        </is>
      </c>
      <c r="I5" s="15" t="inlineStr">
        <is>
          <t>10.03.2026</t>
        </is>
      </c>
      <c r="J5" s="15" t="inlineStr">
        <is>
          <t>10.03.2026</t>
        </is>
      </c>
      <c r="K5" s="15" t="inlineStr">
        <is>
          <t>0</t>
        </is>
      </c>
      <c r="L5" s="15" t="inlineStr">
        <is>
          <t>✅ Compliant</t>
        </is>
      </c>
      <c r="M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>
        <f>IF(AND(J6&lt;&gt;"",E6="❌ Not Enrolled - Overdue"),TODAY()-J6,"")</f>
        <v/>
      </c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>
        <f>IF(AND(J7&lt;&gt;"",E7="❌ Not Enrolled - Overdue"),TODAY()-J7,"")</f>
        <v/>
      </c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>
        <f>IF(AND(J8&lt;&gt;"",E8="❌ Not Enrolled - Overdue"),TODAY()-J8,"")</f>
        <v/>
      </c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>
        <f>IF(AND(J9&lt;&gt;"",E9="❌ Not Enrolled - Overdue"),TODAY()-J9,"")</f>
        <v/>
      </c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>
        <f>IF(AND(J10&lt;&gt;"",E10="❌ Not Enrolled - Overdue"),TODAY()-J10,"")</f>
        <v/>
      </c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>
        <f>IF(AND(J11&lt;&gt;"",E11="❌ Not Enrolled - Overdue"),TODAY()-J11,"")</f>
        <v/>
      </c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>
        <f>IF(AND(J12&lt;&gt;"",E12="❌ Not Enrolled - Overdue"),TODAY()-J12,"")</f>
        <v/>
      </c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>
        <f>IF(AND(J13&lt;&gt;"",E13="❌ Not Enrolled - Overdue"),TODAY()-J13,"")</f>
        <v/>
      </c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>
        <f>IF(AND(J14&lt;&gt;"",E14="❌ Not Enrolled - Overdue"),TODAY()-J14,"")</f>
        <v/>
      </c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>
        <f>IF(AND(J15&lt;&gt;"",E15="❌ Not Enrolled - Overdue"),TODAY()-J15,"")</f>
        <v/>
      </c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>
        <f>IF(AND(J16&lt;&gt;"",E16="❌ Not Enrolled - Overdue"),TODAY()-J16,"")</f>
        <v/>
      </c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>
        <f>IF(AND(J17&lt;&gt;"",E17="❌ Not Enrolled - Overdue"),TODAY()-J17,"")</f>
        <v/>
      </c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>
        <f>IF(AND(J18&lt;&gt;"",E18="❌ Not Enrolled - Overdue"),TODAY()-J18,"")</f>
        <v/>
      </c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>
        <f>IF(AND(J19&lt;&gt;"",E19="❌ Not Enrolled - Overdue"),TODAY()-J19,"")</f>
        <v/>
      </c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>
        <f>IF(AND(J20&lt;&gt;"",E20="❌ Not Enrolled - Overdue"),TODAY()-J20,"")</f>
        <v/>
      </c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>
        <f>IF(AND(J21&lt;&gt;"",E21="❌ Not Enrolled - Overdue"),TODAY()-J21,"")</f>
        <v/>
      </c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>
        <f>IF(AND(J22&lt;&gt;"",E22="❌ Not Enrolled - Overdue"),TODAY()-J22,"")</f>
        <v/>
      </c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>
        <f>IF(AND(J23&lt;&gt;"",E23="❌ Not Enrolled - Overdue"),TODAY()-J23,"")</f>
        <v/>
      </c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>
        <f>IF(AND(J24&lt;&gt;"",E24="❌ Not Enrolled - Overdue"),TODAY()-J24,"")</f>
        <v/>
      </c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>
        <f>IF(AND(J25&lt;&gt;"",E25="❌ Not Enrolled - Overdue"),TODAY()-J25,"")</f>
        <v/>
      </c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>
        <f>IF(AND(J26&lt;&gt;"",E26="❌ Not Enrolled - Overdue"),TODAY()-J26,"")</f>
        <v/>
      </c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>
        <f>IF(AND(J27&lt;&gt;"",E27="❌ Not Enrolled - Overdue"),TODAY()-J27,"")</f>
        <v/>
      </c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>
        <f>IF(AND(J28&lt;&gt;"",E28="❌ Not Enrolled - Overdue"),TODAY()-J28,"")</f>
        <v/>
      </c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>
        <f>IF(AND(J29&lt;&gt;"",E29="❌ Not Enrolled - Overdue"),TODAY()-J29,"")</f>
        <v/>
      </c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>
        <f>IF(AND(J30&lt;&gt;"",E30="❌ Not Enrolled - Overdue"),TODAY()-J30,"")</f>
        <v/>
      </c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>
        <f>IF(AND(J31&lt;&gt;"",E31="❌ Not Enrolled - Overdue"),TODAY()-J31,"")</f>
        <v/>
      </c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>
        <f>IF(AND(J32&lt;&gt;"",E32="❌ Not Enrolled - Overdue"),TODAY()-J32,"")</f>
        <v/>
      </c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>
        <f>IF(AND(J33&lt;&gt;"",E33="❌ Not Enrolled - Overdue"),TODAY()-J33,"")</f>
        <v/>
      </c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>
        <f>IF(AND(J34&lt;&gt;"",E34="❌ Not Enrolled - Overdue"),TODAY()-J34,"")</f>
        <v/>
      </c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>
        <f>IF(AND(J35&lt;&gt;"",E35="❌ Not Enrolled - Overdue"),TODAY()-J35,"")</f>
        <v/>
      </c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>
        <f>IF(AND(J36&lt;&gt;"",E36="❌ Not Enrolled - Overdue"),TODAY()-J36,"")</f>
        <v/>
      </c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>
        <f>IF(AND(J37&lt;&gt;"",E37="❌ Not Enrolled - Overdue"),TODAY()-J37,"")</f>
        <v/>
      </c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>
        <f>IF(AND(J38&lt;&gt;"",E38="❌ Not Enrolled - Overdue"),TODAY()-J38,"")</f>
        <v/>
      </c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>
        <f>IF(AND(J39&lt;&gt;"",E39="❌ Not Enrolled - Overdue"),TODAY()-J39,"")</f>
        <v/>
      </c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>
        <f>IF(AND(J40&lt;&gt;"",E40="❌ Not Enrolled - Overdue"),TODAY()-J40,"")</f>
        <v/>
      </c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>
        <f>IF(AND(J41&lt;&gt;"",E41="❌ Not Enrolled - Overdue"),TODAY()-J41,"")</f>
        <v/>
      </c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>
        <f>IF(AND(J42&lt;&gt;"",E42="❌ Not Enrolled - Overdue"),TODAY()-J42,"")</f>
        <v/>
      </c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>
        <f>IF(AND(J43&lt;&gt;"",E43="❌ Not Enrolled - Overdue"),TODAY()-J43,"")</f>
        <v/>
      </c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>
        <f>IF(AND(J44&lt;&gt;"",E44="❌ Not Enrolled - Overdue"),TODAY()-J44,"")</f>
        <v/>
      </c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>
        <f>IF(AND(J45&lt;&gt;"",E45="❌ Not Enrolled - Overdue"),TODAY()-J45,"")</f>
        <v/>
      </c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>
        <f>IF(AND(J46&lt;&gt;"",E46="❌ Not Enrolled - Overdue"),TODAY()-J46,"")</f>
        <v/>
      </c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>
        <f>IF(AND(J47&lt;&gt;"",E47="❌ Not Enrolled - Overdue"),TODAY()-J47,"")</f>
        <v/>
      </c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>
        <f>IF(AND(J48&lt;&gt;"",E48="❌ Not Enrolled - Overdue"),TODAY()-J48,"")</f>
        <v/>
      </c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>
        <f>IF(AND(J49&lt;&gt;"",E49="❌ Not Enrolled - Overdue"),TODAY()-J49,"")</f>
        <v/>
      </c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>
        <f>IF(AND(J50&lt;&gt;"",E50="❌ Not Enrolled - Overdue"),TODAY()-J50,"")</f>
        <v/>
      </c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>
        <f>IF(AND(J51&lt;&gt;"",E51="❌ Not Enrolled - Overdue"),TODAY()-J51,"")</f>
        <v/>
      </c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>
        <f>IF(AND(J52&lt;&gt;"",E52="❌ Not Enrolled - Overdue"),TODAY()-J52,"")</f>
        <v/>
      </c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>
        <f>IF(AND(J53&lt;&gt;"",E53="❌ Not Enrolled - Overdue"),TODAY()-J53,"")</f>
        <v/>
      </c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>
        <f>IF(AND(J54&lt;&gt;"",E54="❌ Not Enrolled - Overdue"),TODAY()-J54,"")</f>
        <v/>
      </c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>
        <f>IF(AND(J55&lt;&gt;"",E55="❌ Not Enrolled - Overdue"),TODAY()-J55,"")</f>
        <v/>
      </c>
      <c r="L55" s="16" t="n"/>
      <c r="M55" s="16" t="n"/>
    </row>
  </sheetData>
  <mergeCells count="2">
    <mergeCell ref="A2:M2"/>
    <mergeCell ref="A1:M1"/>
  </mergeCells>
  <dataValidations count="5">
    <dataValidation sqref="C5:C55" showDropDown="0" showInputMessage="0" showErrorMessage="0" allowBlank="1" type="list">
      <formula1>"Privileged - Tier 0 Admin,Privileged - Tier 1 Admin,Privileged - Tier 2 Admin,Privileged - Database Admin,Privileged - Security Admin,Privileged - Cloud Admin,Remote Access - VPN User,Remote Access - External Contractor,Remote Access - Remote Employee,Standard - Internal Employee,Standard - Manager/Executive,Standard - Developer,Standard - Support Staff,Service Account (MFA N/A),Other (Specify)"</formula1>
    </dataValidation>
    <dataValidation sqref="E5:E55" showDropDown="0" showInputMessage="0" showErrorMessage="0" allowBlank="1" type="list">
      <formula1>"✅ Enrolled - Active,✅ Enrolled - Verified,⚠ Enrolled - Not Verified,Enrollment In Progress,Scheduled for Enrollment,❌ Not Enrolled - Overdue,❌ Not Enrolled - No Deadline,N/A (Service Account)"</formula1>
    </dataValidation>
    <dataValidation sqref="F5:F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G5:G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8" customWidth="1" min="8" max="8"/>
    <col width="24" customWidth="1" min="9" max="9"/>
    <col width="35" customWidth="1" min="10" max="10"/>
  </cols>
  <sheetData>
    <row r="1" ht="35" customHeight="1">
      <c r="A1" s="1" t="inlineStr">
        <is>
          <t>MFA COVERAGE BY TYPE</t>
        </is>
      </c>
    </row>
    <row r="2">
      <c r="A2" s="14" t="inlineStr">
        <is>
          <t>Calculate MFA coverage percentages by user category and compare to targets</t>
        </is>
      </c>
    </row>
    <row r="4">
      <c r="A4" s="7" t="inlineStr">
        <is>
          <t>User Type Category</t>
        </is>
      </c>
      <c r="B4" s="7" t="inlineStr">
        <is>
          <t>Total Users</t>
        </is>
      </c>
      <c r="C4" s="7" t="inlineStr">
        <is>
          <t>MFA Enrolled</t>
        </is>
      </c>
      <c r="D4" s="7" t="inlineStr">
        <is>
          <t>Not Enrolled</t>
        </is>
      </c>
      <c r="E4" s="7" t="inlineStr">
        <is>
          <t>Coverage %</t>
        </is>
      </c>
      <c r="F4" s="7" t="inlineStr">
        <is>
          <t>Target %</t>
        </is>
      </c>
      <c r="G4" s="7" t="inlineStr">
        <is>
          <t>Gap</t>
        </is>
      </c>
      <c r="H4" s="7" t="inlineStr">
        <is>
          <t>Compliance</t>
        </is>
      </c>
      <c r="I4" s="7" t="inlineStr">
        <is>
          <t>Priority</t>
        </is>
      </c>
      <c r="J4" s="7" t="inlineStr">
        <is>
          <t>Notes</t>
        </is>
      </c>
    </row>
    <row r="5">
      <c r="A5" s="15" t="inlineStr">
        <is>
          <t>Privileged - Tier 0 Admin</t>
        </is>
      </c>
      <c r="B5" s="15" t="inlineStr">
        <is>
          <t>10</t>
        </is>
      </c>
      <c r="C5" s="15" t="inlineStr">
        <is>
          <t>10</t>
        </is>
      </c>
      <c r="D5" s="15" t="inlineStr">
        <is>
          <t>0</t>
        </is>
      </c>
      <c r="E5" s="15" t="inlineStr">
        <is>
          <t>100%</t>
        </is>
      </c>
      <c r="F5" s="15" t="inlineStr">
        <is>
          <t>100%</t>
        </is>
      </c>
      <c r="G5" s="15" t="inlineStr">
        <is>
          <t>0%</t>
        </is>
      </c>
      <c r="H5" s="15" t="inlineStr">
        <is>
          <t>✅ Compliant</t>
        </is>
      </c>
      <c r="I5" s="15" t="inlineStr">
        <is>
          <t>Critical (Privileged User)</t>
        </is>
      </c>
      <c r="J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METHOD ANALYSIS</t>
        </is>
      </c>
    </row>
    <row r="2">
      <c r="A2" s="14" t="inlineStr">
        <is>
          <t>Assess security quality of MFA methods deployed</t>
        </is>
      </c>
    </row>
    <row r="4">
      <c r="A4" s="7" t="inlineStr">
        <is>
          <t>MFA Method</t>
        </is>
      </c>
      <c r="B4" s="7" t="inlineStr">
        <is>
          <t>Users Using</t>
        </is>
      </c>
      <c r="C4" s="7" t="inlineStr">
        <is>
          <t>Security Rating</t>
        </is>
      </c>
      <c r="D4" s="7" t="inlineStr">
        <is>
          <t>Phishing Resistant</t>
        </is>
      </c>
      <c r="E4" s="7" t="inlineStr">
        <is>
          <t>Deployment Date</t>
        </is>
      </c>
      <c r="F4" s="7" t="inlineStr">
        <is>
          <t>Replacement Plan</t>
        </is>
      </c>
      <c r="G4" s="7" t="inlineStr">
        <is>
          <t>Target Date</t>
        </is>
      </c>
      <c r="H4" s="7" t="inlineStr">
        <is>
          <t>Status</t>
        </is>
      </c>
    </row>
    <row r="5">
      <c r="A5" s="15" t="inlineStr">
        <is>
          <t>Hardware Token (FIDO2/YubiKey)</t>
        </is>
      </c>
      <c r="B5" s="15" t="inlineStr">
        <is>
          <t>50</t>
        </is>
      </c>
      <c r="C5" s="15" t="inlineStr">
        <is>
          <t>Highest</t>
        </is>
      </c>
      <c r="D5" s="15" t="inlineStr">
        <is>
          <t>Yes</t>
        </is>
      </c>
      <c r="E5" s="15" t="inlineStr">
        <is>
          <t>10.03.2026</t>
        </is>
      </c>
      <c r="F5" s="15" t="inlineStr">
        <is>
          <t>N/A</t>
        </is>
      </c>
      <c r="G5" s="15" t="inlineStr">
        <is>
          <t>N/A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GAPS PRIORITY</t>
        </is>
      </c>
    </row>
    <row r="2">
      <c r="A2" s="14" t="inlineStr">
        <is>
          <t>Prioritised remediation list — users without MFA enrolled</t>
        </is>
      </c>
    </row>
    <row r="4">
      <c r="A4" s="7" t="inlineStr">
        <is>
          <t>User ID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Risk Level</t>
        </is>
      </c>
      <c r="F4" s="7" t="inlineStr">
        <is>
          <t>Days Overdue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Target Date</t>
        </is>
      </c>
      <c r="J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</t>
        </is>
      </c>
      <c r="E5" s="15" t="inlineStr">
        <is>
          <t>Critical (Privileged User)</t>
        </is>
      </c>
      <c r="F5" s="15" t="inlineStr">
        <is>
          <t>30</t>
        </is>
      </c>
      <c r="G5" s="15" t="inlineStr">
        <is>
          <t>Enrol hardware token immediately</t>
        </is>
      </c>
      <c r="H5" s="15" t="inlineStr">
        <is>
          <t>[Manager]</t>
        </is>
      </c>
      <c r="I5" s="15" t="inlineStr">
        <is>
          <t>10.03.2026</t>
        </is>
      </c>
      <c r="J5" s="15" t="inlineStr">
        <is>
          <t>Open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dataValidations count="1">
    <dataValidation sqref="E5:E55" showDropDown="0" showInputMessage="0" showErrorMessage="0" allowBlank="1" type="list">
      <formula1>"Critical (Privileged User),High (Remote Access),Medium (Standard User),Low (Future Enhancement),Informational"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ENROLLMENT CAMPAIGN</t>
        </is>
      </c>
    </row>
    <row r="2">
      <c r="A2" s="14" t="inlineStr">
        <is>
          <t>MFA rollout campaign tracking and milestones</t>
        </is>
      </c>
    </row>
    <row r="4">
      <c r="A4" s="7" t="inlineStr">
        <is>
          <t>Campaign Phase</t>
        </is>
      </c>
      <c r="B4" s="7" t="inlineStr">
        <is>
          <t>Target Group</t>
        </is>
      </c>
      <c r="C4" s="7" t="inlineStr">
        <is>
          <t>Start Date</t>
        </is>
      </c>
      <c r="D4" s="7" t="inlineStr">
        <is>
          <t>End Date</t>
        </is>
      </c>
      <c r="E4" s="7" t="inlineStr">
        <is>
          <t>Users Targeted</t>
        </is>
      </c>
      <c r="F4" s="7" t="inlineStr">
        <is>
          <t>Users Enrolled</t>
        </is>
      </c>
      <c r="G4" s="7" t="inlineStr">
        <is>
          <t>Completion %</t>
        </is>
      </c>
      <c r="H4" s="7" t="inlineStr">
        <is>
          <t>Status</t>
        </is>
      </c>
    </row>
    <row r="5">
      <c r="A5" s="15" t="inlineStr">
        <is>
          <t>Phase 1 - Privileged Users</t>
        </is>
      </c>
      <c r="B5" s="15" t="inlineStr">
        <is>
          <t>Tier 0 Admins</t>
        </is>
      </c>
      <c r="C5" s="15" t="inlineStr">
        <is>
          <t>10.03.2026</t>
        </is>
      </c>
      <c r="D5" s="15" t="inlineStr">
        <is>
          <t>09.04.2026</t>
        </is>
      </c>
      <c r="E5" s="15" t="inlineStr">
        <is>
          <t>15</t>
        </is>
      </c>
      <c r="F5" s="15" t="inlineStr">
        <is>
          <t>15</t>
        </is>
      </c>
      <c r="G5" s="15" t="inlineStr">
        <is>
          <t>100%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BACKUP METHOD STATUS</t>
        </is>
      </c>
    </row>
    <row r="2">
      <c r="A2" s="14" t="inlineStr">
        <is>
          <t>Users should register a backup MFA method in case primary device is lost</t>
        </is>
      </c>
    </row>
    <row r="4">
      <c r="A4" s="7" t="inlineStr">
        <is>
          <t>User ID</t>
        </is>
      </c>
      <c r="B4" s="7" t="inlineStr">
        <is>
          <t>Primary MFA</t>
        </is>
      </c>
      <c r="C4" s="7" t="inlineStr">
        <is>
          <t>Backup Method Registered</t>
        </is>
      </c>
      <c r="D4" s="7" t="inlineStr">
        <is>
          <t>Backup Method Type</t>
        </is>
      </c>
      <c r="E4" s="7" t="inlineStr">
        <is>
          <t>Last Tested</t>
        </is>
      </c>
      <c r="F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Hardware Token (FIDO2/YubiKey)</t>
        </is>
      </c>
      <c r="C5" s="15" t="inlineStr">
        <is>
          <t>Yes</t>
        </is>
      </c>
      <c r="D5" s="15" t="inlineStr">
        <is>
          <t>Authenticator App (TOTP)</t>
        </is>
      </c>
      <c r="E5" s="15" t="inlineStr">
        <is>
          <t>10.03.2026</t>
        </is>
      </c>
      <c r="F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>
      <c r="A12" s="16" t="n"/>
      <c r="B12" s="16" t="n"/>
      <c r="C12" s="16" t="n"/>
      <c r="D12" s="16" t="n"/>
      <c r="E12" s="16" t="n"/>
      <c r="F12" s="16" t="n"/>
    </row>
    <row r="13">
      <c r="A13" s="16" t="n"/>
      <c r="B13" s="16" t="n"/>
      <c r="C13" s="16" t="n"/>
      <c r="D13" s="16" t="n"/>
      <c r="E13" s="16" t="n"/>
      <c r="F13" s="16" t="n"/>
    </row>
    <row r="14">
      <c r="A14" s="16" t="n"/>
      <c r="B14" s="16" t="n"/>
      <c r="C14" s="16" t="n"/>
      <c r="D14" s="16" t="n"/>
      <c r="E14" s="16" t="n"/>
      <c r="F14" s="16" t="n"/>
    </row>
    <row r="15">
      <c r="A15" s="16" t="n"/>
      <c r="B15" s="16" t="n"/>
      <c r="C15" s="16" t="n"/>
      <c r="D15" s="16" t="n"/>
      <c r="E15" s="16" t="n"/>
      <c r="F15" s="16" t="n"/>
    </row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n"/>
      <c r="B20" s="16" t="n"/>
      <c r="C20" s="16" t="n"/>
      <c r="D20" s="16" t="n"/>
      <c r="E20" s="16" t="n"/>
      <c r="F20" s="16" t="n"/>
    </row>
    <row r="21">
      <c r="A21" s="16" t="n"/>
      <c r="B21" s="16" t="n"/>
      <c r="C21" s="16" t="n"/>
      <c r="D21" s="16" t="n"/>
      <c r="E21" s="16" t="n"/>
      <c r="F21" s="16" t="n"/>
    </row>
    <row r="22">
      <c r="A22" s="16" t="n"/>
      <c r="B22" s="16" t="n"/>
      <c r="C22" s="16" t="n"/>
      <c r="D22" s="16" t="n"/>
      <c r="E22" s="16" t="n"/>
      <c r="F22" s="16" t="n"/>
    </row>
    <row r="23">
      <c r="A23" s="16" t="n"/>
      <c r="B23" s="16" t="n"/>
      <c r="C23" s="16" t="n"/>
      <c r="D23" s="16" t="n"/>
      <c r="E23" s="16" t="n"/>
      <c r="F23" s="16" t="n"/>
    </row>
    <row r="24">
      <c r="A24" s="16" t="n"/>
      <c r="B24" s="16" t="n"/>
      <c r="C24" s="16" t="n"/>
      <c r="D24" s="16" t="n"/>
      <c r="E24" s="16" t="n"/>
      <c r="F24" s="16" t="n"/>
    </row>
    <row r="25">
      <c r="A25" s="16" t="n"/>
      <c r="B25" s="16" t="n"/>
      <c r="C25" s="16" t="n"/>
      <c r="D25" s="16" t="n"/>
      <c r="E25" s="16" t="n"/>
      <c r="F25" s="16" t="n"/>
    </row>
    <row r="26">
      <c r="A26" s="16" t="n"/>
      <c r="B26" s="16" t="n"/>
      <c r="C26" s="16" t="n"/>
      <c r="D26" s="16" t="n"/>
      <c r="E26" s="16" t="n"/>
      <c r="F26" s="16" t="n"/>
    </row>
    <row r="27">
      <c r="A27" s="16" t="n"/>
      <c r="B27" s="16" t="n"/>
      <c r="C27" s="16" t="n"/>
      <c r="D27" s="16" t="n"/>
      <c r="E27" s="16" t="n"/>
      <c r="F27" s="16" t="n"/>
    </row>
    <row r="28">
      <c r="A28" s="16" t="n"/>
      <c r="B28" s="16" t="n"/>
      <c r="C28" s="16" t="n"/>
      <c r="D28" s="16" t="n"/>
      <c r="E28" s="16" t="n"/>
      <c r="F28" s="16" t="n"/>
    </row>
    <row r="29">
      <c r="A29" s="16" t="n"/>
      <c r="B29" s="16" t="n"/>
      <c r="C29" s="16" t="n"/>
      <c r="D29" s="16" t="n"/>
      <c r="E29" s="16" t="n"/>
      <c r="F29" s="16" t="n"/>
    </row>
    <row r="30">
      <c r="A30" s="16" t="n"/>
      <c r="B30" s="16" t="n"/>
      <c r="C30" s="16" t="n"/>
      <c r="D30" s="16" t="n"/>
      <c r="E30" s="16" t="n"/>
      <c r="F30" s="16" t="n"/>
    </row>
    <row r="31">
      <c r="A31" s="16" t="n"/>
      <c r="B31" s="16" t="n"/>
      <c r="C31" s="16" t="n"/>
      <c r="D31" s="16" t="n"/>
      <c r="E31" s="16" t="n"/>
      <c r="F31" s="16" t="n"/>
    </row>
    <row r="32">
      <c r="A32" s="16" t="n"/>
      <c r="B32" s="16" t="n"/>
      <c r="C32" s="16" t="n"/>
      <c r="D32" s="16" t="n"/>
      <c r="E32" s="16" t="n"/>
      <c r="F32" s="16" t="n"/>
    </row>
    <row r="33">
      <c r="A33" s="16" t="n"/>
      <c r="B33" s="16" t="n"/>
      <c r="C33" s="16" t="n"/>
      <c r="D33" s="16" t="n"/>
      <c r="E33" s="16" t="n"/>
      <c r="F33" s="16" t="n"/>
    </row>
    <row r="34">
      <c r="A34" s="16" t="n"/>
      <c r="B34" s="16" t="n"/>
      <c r="C34" s="16" t="n"/>
      <c r="D34" s="16" t="n"/>
      <c r="E34" s="16" t="n"/>
      <c r="F34" s="16" t="n"/>
    </row>
    <row r="35">
      <c r="A35" s="16" t="n"/>
      <c r="B35" s="16" t="n"/>
      <c r="C35" s="16" t="n"/>
      <c r="D35" s="16" t="n"/>
      <c r="E35" s="16" t="n"/>
      <c r="F35" s="16" t="n"/>
    </row>
    <row r="36">
      <c r="A36" s="16" t="n"/>
      <c r="B36" s="16" t="n"/>
      <c r="C36" s="16" t="n"/>
      <c r="D36" s="16" t="n"/>
      <c r="E36" s="16" t="n"/>
      <c r="F36" s="16" t="n"/>
    </row>
    <row r="37">
      <c r="A37" s="16" t="n"/>
      <c r="B37" s="16" t="n"/>
      <c r="C37" s="16" t="n"/>
      <c r="D37" s="16" t="n"/>
      <c r="E37" s="16" t="n"/>
      <c r="F37" s="16" t="n"/>
    </row>
    <row r="38">
      <c r="A38" s="16" t="n"/>
      <c r="B38" s="16" t="n"/>
      <c r="C38" s="16" t="n"/>
      <c r="D38" s="16" t="n"/>
      <c r="E38" s="16" t="n"/>
      <c r="F38" s="16" t="n"/>
    </row>
    <row r="39">
      <c r="A39" s="16" t="n"/>
      <c r="B39" s="16" t="n"/>
      <c r="C39" s="16" t="n"/>
      <c r="D39" s="16" t="n"/>
      <c r="E39" s="16" t="n"/>
      <c r="F39" s="16" t="n"/>
    </row>
    <row r="40">
      <c r="A40" s="16" t="n"/>
      <c r="B40" s="16" t="n"/>
      <c r="C40" s="16" t="n"/>
      <c r="D40" s="16" t="n"/>
      <c r="E40" s="16" t="n"/>
      <c r="F40" s="16" t="n"/>
    </row>
    <row r="41">
      <c r="A41" s="16" t="n"/>
      <c r="B41" s="16" t="n"/>
      <c r="C41" s="16" t="n"/>
      <c r="D41" s="16" t="n"/>
      <c r="E41" s="16" t="n"/>
      <c r="F41" s="16" t="n"/>
    </row>
    <row r="42">
      <c r="A42" s="16" t="n"/>
      <c r="B42" s="16" t="n"/>
      <c r="C42" s="16" t="n"/>
      <c r="D42" s="16" t="n"/>
      <c r="E42" s="16" t="n"/>
      <c r="F42" s="16" t="n"/>
    </row>
    <row r="43">
      <c r="A43" s="16" t="n"/>
      <c r="B43" s="16" t="n"/>
      <c r="C43" s="16" t="n"/>
      <c r="D43" s="16" t="n"/>
      <c r="E43" s="16" t="n"/>
      <c r="F43" s="16" t="n"/>
    </row>
    <row r="44">
      <c r="A44" s="16" t="n"/>
      <c r="B44" s="16" t="n"/>
      <c r="C44" s="16" t="n"/>
      <c r="D44" s="16" t="n"/>
      <c r="E44" s="16" t="n"/>
      <c r="F44" s="16" t="n"/>
    </row>
    <row r="45">
      <c r="A45" s="16" t="n"/>
      <c r="B45" s="16" t="n"/>
      <c r="C45" s="16" t="n"/>
      <c r="D45" s="16" t="n"/>
      <c r="E45" s="16" t="n"/>
      <c r="F45" s="16" t="n"/>
    </row>
    <row r="46">
      <c r="A46" s="16" t="n"/>
      <c r="B46" s="16" t="n"/>
      <c r="C46" s="16" t="n"/>
      <c r="D46" s="16" t="n"/>
      <c r="E46" s="16" t="n"/>
      <c r="F46" s="16" t="n"/>
    </row>
    <row r="47">
      <c r="A47" s="16" t="n"/>
      <c r="B47" s="16" t="n"/>
      <c r="C47" s="16" t="n"/>
      <c r="D47" s="16" t="n"/>
      <c r="E47" s="16" t="n"/>
      <c r="F47" s="16" t="n"/>
    </row>
    <row r="48">
      <c r="A48" s="16" t="n"/>
      <c r="B48" s="16" t="n"/>
      <c r="C48" s="16" t="n"/>
      <c r="D48" s="16" t="n"/>
      <c r="E48" s="16" t="n"/>
      <c r="F48" s="16" t="n"/>
    </row>
    <row r="49">
      <c r="A49" s="16" t="n"/>
      <c r="B49" s="16" t="n"/>
      <c r="C49" s="16" t="n"/>
      <c r="D49" s="16" t="n"/>
      <c r="E49" s="16" t="n"/>
      <c r="F49" s="16" t="n"/>
    </row>
    <row r="50">
      <c r="A50" s="16" t="n"/>
      <c r="B50" s="16" t="n"/>
      <c r="C50" s="16" t="n"/>
      <c r="D50" s="16" t="n"/>
      <c r="E50" s="16" t="n"/>
      <c r="F50" s="16" t="n"/>
    </row>
    <row r="51">
      <c r="A51" s="16" t="n"/>
      <c r="B51" s="16" t="n"/>
      <c r="C51" s="16" t="n"/>
      <c r="D51" s="16" t="n"/>
      <c r="E51" s="16" t="n"/>
      <c r="F51" s="16" t="n"/>
    </row>
    <row r="52">
      <c r="A52" s="16" t="n"/>
      <c r="B52" s="16" t="n"/>
      <c r="C52" s="16" t="n"/>
      <c r="D52" s="16" t="n"/>
      <c r="E52" s="16" t="n"/>
      <c r="F52" s="16" t="n"/>
    </row>
    <row r="53">
      <c r="A53" s="16" t="n"/>
      <c r="B53" s="16" t="n"/>
      <c r="C53" s="16" t="n"/>
      <c r="D53" s="16" t="n"/>
      <c r="E53" s="16" t="n"/>
      <c r="F53" s="16" t="n"/>
    </row>
    <row r="54">
      <c r="A54" s="16" t="n"/>
      <c r="B54" s="16" t="n"/>
      <c r="C54" s="16" t="n"/>
      <c r="D54" s="16" t="n"/>
      <c r="E54" s="16" t="n"/>
      <c r="F54" s="16" t="n"/>
    </row>
    <row r="55">
      <c r="A55" s="16" t="n"/>
      <c r="B55" s="16" t="n"/>
      <c r="C55" s="16" t="n"/>
      <c r="D55" s="16" t="n"/>
      <c r="E55" s="16" t="n"/>
      <c r="F55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7" t="inlineStr">
        <is>
          <t>EVIDENCE REGISTER</t>
        </is>
      </c>
    </row>
    <row r="2">
      <c r="A2" s="18" t="inlineStr">
        <is>
          <t>ISMS-IMP-A.8.2-3-5.S2 - MFA Coverage Assessment — Evidence log for audit readiness</t>
        </is>
      </c>
    </row>
    <row r="4">
      <c r="A4" s="7" t="inlineStr">
        <is>
          <t>Evidence ID</t>
        </is>
      </c>
      <c r="B4" s="7" t="inlineStr">
        <is>
          <t>Control Ref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 / Reference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15" t="inlineStr">
        <is>
          <t>EV-001</t>
        </is>
      </c>
      <c r="B5" s="15" t="inlineStr">
        <is>
          <t>A.8.5</t>
        </is>
      </c>
      <c r="C5" s="15" t="inlineStr">
        <is>
          <t>Export</t>
        </is>
      </c>
      <c r="D5" s="15" t="inlineStr">
        <is>
          <t>MFA enrollment report from identity provider</t>
        </is>
      </c>
      <c r="E5" s="15" t="inlineStr">
        <is>
          <t>SharePoint/Evidence/A8235/</t>
        </is>
      </c>
      <c r="F5" s="15" t="inlineStr">
        <is>
          <t>10.03.2026</t>
        </is>
      </c>
      <c r="G5" s="15" t="inlineStr">
        <is>
          <t>[Name]</t>
        </is>
      </c>
      <c r="H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MFA COVERAGE — SUMMARY DASHBOARD</t>
        </is>
      </c>
    </row>
    <row r="2">
      <c r="A2" s="19" t="inlineStr">
        <is>
          <t>MFA enrolment rates, coverage gaps, and method quality assessment</t>
        </is>
      </c>
    </row>
    <row r="3">
      <c r="A3" s="20" t="inlineStr">
        <is>
          <t>TABLE 1 — ASSESSMENT AREA COMPLIANCE</t>
        </is>
      </c>
      <c r="B3" s="21" t="n"/>
      <c r="C3" s="21" t="n"/>
      <c r="D3" s="21" t="n"/>
      <c r="E3" s="21" t="n"/>
      <c r="F3" s="21" t="n"/>
      <c r="G3" s="21" t="n"/>
    </row>
    <row r="4">
      <c r="A4" s="22" t="inlineStr">
        <is>
          <t>Assessment Area</t>
        </is>
      </c>
      <c r="B4" s="22" t="inlineStr">
        <is>
          <t>Total Items</t>
        </is>
      </c>
      <c r="C4" s="22" t="inlineStr">
        <is>
          <t>Compliant</t>
        </is>
      </c>
      <c r="D4" s="22" t="inlineStr">
        <is>
          <t>Partial</t>
        </is>
      </c>
      <c r="E4" s="22" t="inlineStr">
        <is>
          <t>Non-Compliant</t>
        </is>
      </c>
      <c r="F4" s="22" t="inlineStr">
        <is>
          <t>N/A</t>
        </is>
      </c>
      <c r="G4" s="22" t="inlineStr">
        <is>
          <t>Compliance %</t>
        </is>
      </c>
    </row>
    <row r="5">
      <c r="A5" s="23" t="inlineStr">
        <is>
          <t>MFA User Enrolment</t>
        </is>
      </c>
      <c r="B5" s="24">
        <f>COUNTA('User MFA Enrollment'!B6:B55)</f>
        <v/>
      </c>
      <c r="C5" s="24">
        <f>COUNTIF('User MFA Enrollment'!L6:L55,"✅ Compliant")</f>
        <v/>
      </c>
      <c r="D5" s="24">
        <f>COUNTIF('User MFA Enrollment'!L6:L55,"⚠ Partial Compliance")</f>
        <v/>
      </c>
      <c r="E5" s="24">
        <f>COUNTIF('User MFA Enrollment'!L6:L55,"❌ Non-Compliant")</f>
        <v/>
      </c>
      <c r="F5" s="24">
        <f>COUNTIF('User MFA Enrollment'!L6:L55,"N/A")</f>
        <v/>
      </c>
      <c r="G5" s="25">
        <f>IF((B5-F5)=0,0,C5/(B5-F5))</f>
        <v/>
      </c>
    </row>
    <row r="6">
      <c r="A6" s="23" t="inlineStr">
        <is>
          <t>MFA Status (Enrolled)</t>
        </is>
      </c>
      <c r="B6" s="24">
        <f>COUNTA('User MFA Enrollment'!B6:B55)</f>
        <v/>
      </c>
      <c r="C6" s="24">
        <f>COUNTIF('User MFA Enrollment'!E6:E55,"✅ Enrolled - Active")+COUNTIF('User MFA Enrollment'!E6:E55,"✅ Enrolled - Verified")</f>
        <v/>
      </c>
      <c r="D6" s="24">
        <f>COUNTIF('User MFA Enrollment'!E6:E55,"⚠ Enrolled - Not Verified")+COUNTIF('User MFA Enrollment'!E6:E55,"Enrollment In Progress")</f>
        <v/>
      </c>
      <c r="E6" s="24">
        <f>COUNTIF('User MFA Enrollment'!E6:E55,"❌ Not Enrolled - Overdue")+COUNTIF('User MFA Enrollment'!E6:E55,"❌ Not Enrolled - No Deadline")</f>
        <v/>
      </c>
      <c r="F6" s="24">
        <f>COUNTIF('User MFA Enrollment'!E6:E55,"N/A (Service Account)")</f>
        <v/>
      </c>
      <c r="G6" s="25">
        <f>IF((B6-F6)=0,0,C6/(B6-F6))</f>
        <v/>
      </c>
    </row>
    <row r="7">
      <c r="A7" s="23" t="inlineStr">
        <is>
          <t>MFA Gap Priority</t>
        </is>
      </c>
      <c r="B7" s="24">
        <f>COUNTA('MFA Gaps Priority'!B6:B55)</f>
        <v/>
      </c>
      <c r="C7" s="24">
        <f>COUNTIF('MFA Gaps Priority'!E6:E55,"Low (Future Enhancement)")+COUNTIF('MFA Gaps Priority'!E6:E55,"Informational")</f>
        <v/>
      </c>
      <c r="D7" s="24">
        <f>COUNTIF('MFA Gaps Priority'!E6:E55,"Medium (Standard User)")</f>
        <v/>
      </c>
      <c r="E7" s="24">
        <f>COUNTIF('MFA Gaps Priority'!E6:E55,"Critical (Privileged User)")+COUNTIF('MFA Gaps Priority'!E6:E55,"High (Remote Access)")</f>
        <v/>
      </c>
      <c r="F7" s="24">
        <f>0</f>
        <v/>
      </c>
      <c r="G7" s="25">
        <f>IF((B7-F7)=0,0,C7/(B7-F7))</f>
        <v/>
      </c>
    </row>
    <row r="8">
      <c r="A8" s="26" t="n"/>
      <c r="B8" s="26" t="n"/>
      <c r="C8" s="26" t="n"/>
      <c r="D8" s="26" t="n"/>
      <c r="E8" s="26" t="n"/>
      <c r="F8" s="26" t="n"/>
      <c r="G8" s="26" t="n"/>
    </row>
    <row r="9">
      <c r="A9" s="26" t="n"/>
      <c r="B9" s="26" t="n"/>
      <c r="C9" s="26" t="n"/>
      <c r="D9" s="26" t="n"/>
      <c r="E9" s="26" t="n"/>
      <c r="F9" s="26" t="n"/>
      <c r="G9" s="26" t="n"/>
    </row>
    <row r="11">
      <c r="A11" s="20" t="inlineStr">
        <is>
          <t>TABLE 2 — KEY PERFORMANCE INDICATORS</t>
        </is>
      </c>
      <c r="B11" s="21" t="n"/>
      <c r="C11" s="21" t="n"/>
      <c r="D11" s="21" t="n"/>
      <c r="E11" s="21" t="n"/>
      <c r="F11" s="21" t="n"/>
      <c r="G11" s="21" t="n"/>
    </row>
    <row r="12">
      <c r="A12" s="22" t="inlineStr">
        <is>
          <t>KPI</t>
        </is>
      </c>
      <c r="B12" s="22" t="inlineStr">
        <is>
          <t>Current Value</t>
        </is>
      </c>
      <c r="C12" s="22" t="inlineStr">
        <is>
          <t>Target</t>
        </is>
      </c>
      <c r="D12" s="22" t="inlineStr">
        <is>
          <t>Status</t>
        </is>
      </c>
      <c r="E12" s="22" t="inlineStr">
        <is>
          <t>Last Updated</t>
        </is>
      </c>
      <c r="F12" s="22" t="inlineStr">
        <is>
          <t>Owner</t>
        </is>
      </c>
      <c r="G12" s="22" t="inlineStr">
        <is>
          <t>Notes</t>
        </is>
      </c>
    </row>
    <row r="13">
      <c r="A13" s="27" t="inlineStr">
        <is>
          <t>Total Users in MFA Scope</t>
        </is>
      </c>
      <c r="B13" s="28">
        <f>COUNTA('User MFA Enrollment'!B6:B55)</f>
        <v/>
      </c>
      <c r="C13" s="28" t="inlineStr"/>
      <c r="D13" s="28" t="inlineStr"/>
      <c r="E13" s="28" t="inlineStr"/>
      <c r="F13" s="28" t="inlineStr"/>
      <c r="G13" s="28" t="inlineStr"/>
    </row>
    <row r="14">
      <c r="A14" s="27" t="inlineStr">
        <is>
          <t>Overall MFA Compliance Rate</t>
        </is>
      </c>
      <c r="B14" s="29">
        <f>IF(COUNTA('User MFA Enrollment'!B6:B55)=0,0,COUNTIF('User MFA Enrollment'!L6:L55,"✅ Compliant")/COUNTA('User MFA Enrollment'!B6:B55))</f>
        <v/>
      </c>
      <c r="C14" s="28" t="inlineStr"/>
      <c r="D14" s="28" t="inlineStr"/>
      <c r="E14" s="28" t="inlineStr"/>
      <c r="F14" s="28" t="inlineStr"/>
      <c r="G14" s="28" t="inlineStr"/>
    </row>
    <row r="15">
      <c r="A15" s="27" t="inlineStr">
        <is>
          <t>MFA Enrolled (Active/Verified)</t>
        </is>
      </c>
      <c r="B15" s="29">
        <f>IF(COUNTA('User MFA Enrollment'!B6:B55)=0,0,(COUNTIF('User MFA Enrollment'!E6:E55,"✅ Enrolled - Active")+COUNTIF('User MFA Enrollment'!E6:E55,"✅ Enrolled - Verified"))/COUNTA('User MFA Enrollment'!B6:B55))</f>
        <v/>
      </c>
      <c r="C15" s="28" t="inlineStr"/>
      <c r="D15" s="28" t="inlineStr"/>
      <c r="E15" s="28" t="inlineStr"/>
      <c r="F15" s="28" t="inlineStr"/>
      <c r="G15" s="28" t="inlineStr"/>
    </row>
    <row r="16">
      <c r="A16" s="27" t="inlineStr">
        <is>
          <t>Not Enrolled (Gap Count)</t>
        </is>
      </c>
      <c r="B16" s="28">
        <f>COUNTIF('User MFA Enrollment'!E6:E55,"❌ Not Enrolled - Overdue")+COUNTIF('User MFA Enrollment'!E6:E55,"❌ Not Enrolled - No Deadline")</f>
        <v/>
      </c>
      <c r="C16" s="28" t="inlineStr"/>
      <c r="D16" s="28" t="inlineStr"/>
      <c r="E16" s="28" t="inlineStr"/>
      <c r="F16" s="28" t="inlineStr"/>
      <c r="G16" s="28" t="inlineStr"/>
    </row>
    <row r="17">
      <c r="A17" s="27" t="inlineStr">
        <is>
          <t>MFA Coverage Types Assessed</t>
        </is>
      </c>
      <c r="B17" s="28">
        <f>COUNTA('MFA Coverage By Type'!B6:B55)</f>
        <v/>
      </c>
      <c r="C17" s="28" t="inlineStr"/>
      <c r="D17" s="28" t="inlineStr"/>
      <c r="E17" s="28" t="inlineStr"/>
      <c r="F17" s="28" t="inlineStr"/>
      <c r="G17" s="28" t="inlineStr"/>
    </row>
    <row r="18">
      <c r="A18" s="27" t="inlineStr">
        <is>
          <t>Critical/High Priority Gaps</t>
        </is>
      </c>
      <c r="B18" s="28">
        <f>COUNTIF('MFA Gaps Priority'!E6:E55,"Critical (Privileged User)")+COUNTIF('MFA Gaps Priority'!E6:E55,"High (Remote Access)")</f>
        <v/>
      </c>
      <c r="C18" s="28" t="inlineStr"/>
      <c r="D18" s="28" t="inlineStr"/>
      <c r="E18" s="28" t="inlineStr"/>
      <c r="F18" s="28" t="inlineStr"/>
      <c r="G18" s="28" t="inlineStr"/>
    </row>
    <row r="19">
      <c r="A19" s="27" t="inlineStr">
        <is>
          <t>Users with Backup Method</t>
        </is>
      </c>
      <c r="B19" s="28">
        <f>COUNTA('Backup Method Status'!B6:B55)</f>
        <v/>
      </c>
      <c r="C19" s="28" t="inlineStr"/>
      <c r="D19" s="28" t="inlineStr"/>
      <c r="E19" s="28" t="inlineStr"/>
      <c r="F19" s="28" t="inlineStr"/>
      <c r="G19" s="28" t="inlineStr"/>
    </row>
    <row r="20">
      <c r="A20" s="27" t="inlineStr">
        <is>
          <t>Enrolment Campaign Records</t>
        </is>
      </c>
      <c r="B20" s="28">
        <f>COUNTA('Enrollment Campaign'!B6:B55)</f>
        <v/>
      </c>
      <c r="C20" s="28" t="inlineStr"/>
      <c r="D20" s="28" t="inlineStr"/>
      <c r="E20" s="28" t="inlineStr"/>
      <c r="F20" s="28" t="inlineStr"/>
      <c r="G20" s="28" t="inlineStr"/>
    </row>
    <row r="21">
      <c r="A21" s="26" t="n"/>
      <c r="B21" s="26" t="n"/>
      <c r="C21" s="26" t="n"/>
      <c r="D21" s="26" t="n"/>
      <c r="E21" s="26" t="n"/>
      <c r="F21" s="26" t="n"/>
      <c r="G21" s="26" t="n"/>
    </row>
    <row r="22">
      <c r="A22" s="26" t="n"/>
      <c r="B22" s="26" t="n"/>
      <c r="C22" s="26" t="n"/>
      <c r="D22" s="26" t="n"/>
      <c r="E22" s="26" t="n"/>
      <c r="F22" s="26" t="n"/>
      <c r="G22" s="26" t="n"/>
    </row>
    <row r="24">
      <c r="A24" s="30" t="inlineStr">
        <is>
          <t>TABLE 3 — CRITICAL FINDINGS</t>
        </is>
      </c>
      <c r="B24" s="21" t="n"/>
      <c r="C24" s="21" t="n"/>
      <c r="D24" s="21" t="n"/>
      <c r="E24" s="21" t="n"/>
      <c r="F24" s="21" t="n"/>
      <c r="G24" s="21" t="n"/>
    </row>
    <row r="25">
      <c r="A25" s="22" t="inlineStr">
        <is>
          <t>Finding ID</t>
        </is>
      </c>
      <c r="B25" s="22" t="inlineStr">
        <is>
          <t>User / Group</t>
        </is>
      </c>
      <c r="C25" s="22" t="inlineStr">
        <is>
          <t>Gap Description</t>
        </is>
      </c>
      <c r="D25" s="22" t="inlineStr">
        <is>
          <t>Priority</t>
        </is>
      </c>
      <c r="E25" s="22" t="inlineStr">
        <is>
          <t>MFA Required</t>
        </is>
      </c>
      <c r="F25" s="22" t="inlineStr">
        <is>
          <t>Owner</t>
        </is>
      </c>
      <c r="G25" s="22" t="inlineStr">
        <is>
          <t>Target Date</t>
        </is>
      </c>
    </row>
    <row r="26">
      <c r="A26" s="27">
        <f>IFERROR(INDEX('MFA Gaps Priority'!A$6:A$55,SMALL(IF(('MFA Gaps Priority'!E$6:E$55="Critical (Privileged User)")+('MFA Gaps Priority'!E$6:E$55="High (Remote Access)"),ROW('MFA Gaps Priority'!A$6:A$55)-ROW('MFA Gaps Priority'!A$6)+1),ROWS($A$1:A1))),"")</f>
        <v/>
      </c>
      <c r="B26" s="27">
        <f>IFERROR(INDEX('MFA Gaps Priority'!B$6:B$55,SMALL(IF(('MFA Gaps Priority'!E$6:E$55="Critical (Privileged User)")+('MFA Gaps Priority'!E$6:E$55="High (Remote Access)"),ROW('MFA Gaps Priority'!A$6:A$55)-ROW('MFA Gaps Priority'!A$6)+1),ROWS($A$1:A1))),"")</f>
        <v/>
      </c>
      <c r="C26" s="27">
        <f>IFERROR(INDEX('MFA Gaps Priority'!G$6:G$55,SMALL(IF(('MFA Gaps Priority'!E$6:E$55="Critical (Privileged User)")+('MFA Gaps Priority'!E$6:E$55="High (Remote Access)"),ROW('MFA Gaps Priority'!A$6:A$55)-ROW('MFA Gaps Priority'!A$6)+1),ROWS($A$1:A1))),"")</f>
        <v/>
      </c>
      <c r="D26" s="27">
        <f>IFERROR(INDEX('MFA Gaps Priority'!E$6:E$55,SMALL(IF(('MFA Gaps Priority'!E$6:E$55="Critical (Privileged User)")+('MFA Gaps Priority'!E$6:E$55="High (Remote Access)"),ROW('MFA Gaps Priority'!A$6:A$55)-ROW('MFA Gaps Priority'!A$6)+1),ROWS($A$1:A1))),"")</f>
        <v/>
      </c>
      <c r="E26" s="27" t="inlineStr">
        <is>
          <t>""</t>
        </is>
      </c>
      <c r="F26" s="27">
        <f>IFERROR(INDEX('MFA Gaps Priority'!H$6:H$55,SMALL(IF(('MFA Gaps Priority'!E$6:E$55="Critical (Privileged User)")+('MFA Gaps Priority'!E$6:E$55="High (Remote Access)"),ROW('MFA Gaps Priority'!A$6:A$55)-ROW('MFA Gaps Priority'!A$6)+1),ROWS($A$1:A1))),"")</f>
        <v/>
      </c>
      <c r="G26" s="27">
        <f>IFERROR(INDEX('MFA Gaps Priority'!I$6:I$55,SMALL(IF(('MFA Gaps Priority'!E$6:E$55="Critical (Privileged User)")+('MFA Gaps Priority'!E$6:E$55="High (Remote Access)"),ROW('MFA Gaps Priority'!A$6:A$55)-ROW('MFA Gaps Priority'!A$6)+1),ROWS($A$1:A1))),"")</f>
        <v/>
      </c>
    </row>
    <row r="27">
      <c r="A27" s="27">
        <f>IFERROR(INDEX('MFA Gaps Priority'!A$6:A$55,SMALL(IF(('MFA Gaps Priority'!E$6:E$55="Critical (Privileged User)")+('MFA Gaps Priority'!E$6:E$55="High (Remote Access)"),ROW('MFA Gaps Priority'!A$6:A$55)-ROW('MFA Gaps Priority'!A$6)+1),ROWS($A$1:A2))),"")</f>
        <v/>
      </c>
      <c r="B27" s="27">
        <f>IFERROR(INDEX('MFA Gaps Priority'!B$6:B$55,SMALL(IF(('MFA Gaps Priority'!E$6:E$55="Critical (Privileged User)")+('MFA Gaps Priority'!E$6:E$55="High (Remote Access)"),ROW('MFA Gaps Priority'!A$6:A$55)-ROW('MFA Gaps Priority'!A$6)+1),ROWS($A$1:A2))),"")</f>
        <v/>
      </c>
      <c r="C27" s="27">
        <f>IFERROR(INDEX('MFA Gaps Priority'!G$6:G$55,SMALL(IF(('MFA Gaps Priority'!E$6:E$55="Critical (Privileged User)")+('MFA Gaps Priority'!E$6:E$55="High (Remote Access)"),ROW('MFA Gaps Priority'!A$6:A$55)-ROW('MFA Gaps Priority'!A$6)+1),ROWS($A$1:A2))),"")</f>
        <v/>
      </c>
      <c r="D27" s="27">
        <f>IFERROR(INDEX('MFA Gaps Priority'!E$6:E$55,SMALL(IF(('MFA Gaps Priority'!E$6:E$55="Critical (Privileged User)")+('MFA Gaps Priority'!E$6:E$55="High (Remote Access)"),ROW('MFA Gaps Priority'!A$6:A$55)-ROW('MFA Gaps Priority'!A$6)+1),ROWS($A$1:A2))),"")</f>
        <v/>
      </c>
      <c r="E27" s="27" t="inlineStr">
        <is>
          <t>""</t>
        </is>
      </c>
      <c r="F27" s="27">
        <f>IFERROR(INDEX('MFA Gaps Priority'!H$6:H$55,SMALL(IF(('MFA Gaps Priority'!E$6:E$55="Critical (Privileged User)")+('MFA Gaps Priority'!E$6:E$55="High (Remote Access)"),ROW('MFA Gaps Priority'!A$6:A$55)-ROW('MFA Gaps Priority'!A$6)+1),ROWS($A$1:A2))),"")</f>
        <v/>
      </c>
      <c r="G27" s="27">
        <f>IFERROR(INDEX('MFA Gaps Priority'!I$6:I$55,SMALL(IF(('MFA Gaps Priority'!E$6:E$55="Critical (Privileged User)")+('MFA Gaps Priority'!E$6:E$55="High (Remote Access)"),ROW('MFA Gaps Priority'!A$6:A$55)-ROW('MFA Gaps Priority'!A$6)+1),ROWS($A$1:A2))),"")</f>
        <v/>
      </c>
    </row>
    <row r="28">
      <c r="A28" s="27">
        <f>IFERROR(INDEX('MFA Gaps Priority'!A$6:A$55,SMALL(IF(('MFA Gaps Priority'!E$6:E$55="Critical (Privileged User)")+('MFA Gaps Priority'!E$6:E$55="High (Remote Access)"),ROW('MFA Gaps Priority'!A$6:A$55)-ROW('MFA Gaps Priority'!A$6)+1),ROWS($A$1:A3))),"")</f>
        <v/>
      </c>
      <c r="B28" s="27">
        <f>IFERROR(INDEX('MFA Gaps Priority'!B$6:B$55,SMALL(IF(('MFA Gaps Priority'!E$6:E$55="Critical (Privileged User)")+('MFA Gaps Priority'!E$6:E$55="High (Remote Access)"),ROW('MFA Gaps Priority'!A$6:A$55)-ROW('MFA Gaps Priority'!A$6)+1),ROWS($A$1:A3))),"")</f>
        <v/>
      </c>
      <c r="C28" s="27">
        <f>IFERROR(INDEX('MFA Gaps Priority'!G$6:G$55,SMALL(IF(('MFA Gaps Priority'!E$6:E$55="Critical (Privileged User)")+('MFA Gaps Priority'!E$6:E$55="High (Remote Access)"),ROW('MFA Gaps Priority'!A$6:A$55)-ROW('MFA Gaps Priority'!A$6)+1),ROWS($A$1:A3))),"")</f>
        <v/>
      </c>
      <c r="D28" s="27">
        <f>IFERROR(INDEX('MFA Gaps Priority'!E$6:E$55,SMALL(IF(('MFA Gaps Priority'!E$6:E$55="Critical (Privileged User)")+('MFA Gaps Priority'!E$6:E$55="High (Remote Access)"),ROW('MFA Gaps Priority'!A$6:A$55)-ROW('MFA Gaps Priority'!A$6)+1),ROWS($A$1:A3))),"")</f>
        <v/>
      </c>
      <c r="E28" s="27" t="inlineStr">
        <is>
          <t>""</t>
        </is>
      </c>
      <c r="F28" s="27">
        <f>IFERROR(INDEX('MFA Gaps Priority'!H$6:H$55,SMALL(IF(('MFA Gaps Priority'!E$6:E$55="Critical (Privileged User)")+('MFA Gaps Priority'!E$6:E$55="High (Remote Access)"),ROW('MFA Gaps Priority'!A$6:A$55)-ROW('MFA Gaps Priority'!A$6)+1),ROWS($A$1:A3))),"")</f>
        <v/>
      </c>
      <c r="G28" s="27">
        <f>IFERROR(INDEX('MFA Gaps Priority'!I$6:I$55,SMALL(IF(('MFA Gaps Priority'!E$6:E$55="Critical (Privileged User)")+('MFA Gaps Priority'!E$6:E$55="High (Remote Access)"),ROW('MFA Gaps Priority'!A$6:A$55)-ROW('MFA Gaps Priority'!A$6)+1),ROWS($A$1:A3))),"")</f>
        <v/>
      </c>
    </row>
    <row r="29">
      <c r="A29" s="27">
        <f>IFERROR(INDEX('MFA Gaps Priority'!A$6:A$55,SMALL(IF(('MFA Gaps Priority'!E$6:E$55="Critical (Privileged User)")+('MFA Gaps Priority'!E$6:E$55="High (Remote Access)"),ROW('MFA Gaps Priority'!A$6:A$55)-ROW('MFA Gaps Priority'!A$6)+1),ROWS($A$1:A4))),"")</f>
        <v/>
      </c>
      <c r="B29" s="27">
        <f>IFERROR(INDEX('MFA Gaps Priority'!B$6:B$55,SMALL(IF(('MFA Gaps Priority'!E$6:E$55="Critical (Privileged User)")+('MFA Gaps Priority'!E$6:E$55="High (Remote Access)"),ROW('MFA Gaps Priority'!A$6:A$55)-ROW('MFA Gaps Priority'!A$6)+1),ROWS($A$1:A4))),"")</f>
        <v/>
      </c>
      <c r="C29" s="27">
        <f>IFERROR(INDEX('MFA Gaps Priority'!G$6:G$55,SMALL(IF(('MFA Gaps Priority'!E$6:E$55="Critical (Privileged User)")+('MFA Gaps Priority'!E$6:E$55="High (Remote Access)"),ROW('MFA Gaps Priority'!A$6:A$55)-ROW('MFA Gaps Priority'!A$6)+1),ROWS($A$1:A4))),"")</f>
        <v/>
      </c>
      <c r="D29" s="27">
        <f>IFERROR(INDEX('MFA Gaps Priority'!E$6:E$55,SMALL(IF(('MFA Gaps Priority'!E$6:E$55="Critical (Privileged User)")+('MFA Gaps Priority'!E$6:E$55="High (Remote Access)"),ROW('MFA Gaps Priority'!A$6:A$55)-ROW('MFA Gaps Priority'!A$6)+1),ROWS($A$1:A4))),"")</f>
        <v/>
      </c>
      <c r="E29" s="27" t="inlineStr">
        <is>
          <t>""</t>
        </is>
      </c>
      <c r="F29" s="27">
        <f>IFERROR(INDEX('MFA Gaps Priority'!H$6:H$55,SMALL(IF(('MFA Gaps Priority'!E$6:E$55="Critical (Privileged User)")+('MFA Gaps Priority'!E$6:E$55="High (Remote Access)"),ROW('MFA Gaps Priority'!A$6:A$55)-ROW('MFA Gaps Priority'!A$6)+1),ROWS($A$1:A4))),"")</f>
        <v/>
      </c>
      <c r="G29" s="27">
        <f>IFERROR(INDEX('MFA Gaps Priority'!I$6:I$55,SMALL(IF(('MFA Gaps Priority'!E$6:E$55="Critical (Privileged User)")+('MFA Gaps Priority'!E$6:E$55="High (Remote Access)"),ROW('MFA Gaps Priority'!A$6:A$55)-ROW('MFA Gaps Priority'!A$6)+1),ROWS($A$1:A4))),"")</f>
        <v/>
      </c>
    </row>
    <row r="30">
      <c r="A30" s="27">
        <f>IFERROR(INDEX('MFA Gaps Priority'!A$6:A$55,SMALL(IF(('MFA Gaps Priority'!E$6:E$55="Critical (Privileged User)")+('MFA Gaps Priority'!E$6:E$55="High (Remote Access)"),ROW('MFA Gaps Priority'!A$6:A$55)-ROW('MFA Gaps Priority'!A$6)+1),ROWS($A$1:A5))),"")</f>
        <v/>
      </c>
      <c r="B30" s="27">
        <f>IFERROR(INDEX('MFA Gaps Priority'!B$6:B$55,SMALL(IF(('MFA Gaps Priority'!E$6:E$55="Critical (Privileged User)")+('MFA Gaps Priority'!E$6:E$55="High (Remote Access)"),ROW('MFA Gaps Priority'!A$6:A$55)-ROW('MFA Gaps Priority'!A$6)+1),ROWS($A$1:A5))),"")</f>
        <v/>
      </c>
      <c r="C30" s="27">
        <f>IFERROR(INDEX('MFA Gaps Priority'!G$6:G$55,SMALL(IF(('MFA Gaps Priority'!E$6:E$55="Critical (Privileged User)")+('MFA Gaps Priority'!E$6:E$55="High (Remote Access)"),ROW('MFA Gaps Priority'!A$6:A$55)-ROW('MFA Gaps Priority'!A$6)+1),ROWS($A$1:A5))),"")</f>
        <v/>
      </c>
      <c r="D30" s="27">
        <f>IFERROR(INDEX('MFA Gaps Priority'!E$6:E$55,SMALL(IF(('MFA Gaps Priority'!E$6:E$55="Critical (Privileged User)")+('MFA Gaps Priority'!E$6:E$55="High (Remote Access)"),ROW('MFA Gaps Priority'!A$6:A$55)-ROW('MFA Gaps Priority'!A$6)+1),ROWS($A$1:A5))),"")</f>
        <v/>
      </c>
      <c r="E30" s="27" t="inlineStr">
        <is>
          <t>""</t>
        </is>
      </c>
      <c r="F30" s="27">
        <f>IFERROR(INDEX('MFA Gaps Priority'!H$6:H$55,SMALL(IF(('MFA Gaps Priority'!E$6:E$55="Critical (Privileged User)")+('MFA Gaps Priority'!E$6:E$55="High (Remote Access)"),ROW('MFA Gaps Priority'!A$6:A$55)-ROW('MFA Gaps Priority'!A$6)+1),ROWS($A$1:A5))),"")</f>
        <v/>
      </c>
      <c r="G30" s="27">
        <f>IFERROR(INDEX('MFA Gaps Priority'!I$6:I$55,SMALL(IF(('MFA Gaps Priority'!E$6:E$55="Critical (Privileged User)")+('MFA Gaps Priority'!E$6:E$55="High (Remote Access)"),ROW('MFA Gaps Priority'!A$6:A$55)-ROW('MFA Gaps Priority'!A$6)+1),ROWS($A$1:A5))),"")</f>
        <v/>
      </c>
    </row>
    <row r="31">
      <c r="A31" s="27">
        <f>IFERROR(INDEX('MFA Gaps Priority'!A$6:A$55,SMALL(IF(('MFA Gaps Priority'!E$6:E$55="Critical (Privileged User)")+('MFA Gaps Priority'!E$6:E$55="High (Remote Access)"),ROW('MFA Gaps Priority'!A$6:A$55)-ROW('MFA Gaps Priority'!A$6)+1),ROWS($A$1:A6))),"")</f>
        <v/>
      </c>
      <c r="B31" s="27">
        <f>IFERROR(INDEX('MFA Gaps Priority'!B$6:B$55,SMALL(IF(('MFA Gaps Priority'!E$6:E$55="Critical (Privileged User)")+('MFA Gaps Priority'!E$6:E$55="High (Remote Access)"),ROW('MFA Gaps Priority'!A$6:A$55)-ROW('MFA Gaps Priority'!A$6)+1),ROWS($A$1:A6))),"")</f>
        <v/>
      </c>
      <c r="C31" s="27">
        <f>IFERROR(INDEX('MFA Gaps Priority'!G$6:G$55,SMALL(IF(('MFA Gaps Priority'!E$6:E$55="Critical (Privileged User)")+('MFA Gaps Priority'!E$6:E$55="High (Remote Access)"),ROW('MFA Gaps Priority'!A$6:A$55)-ROW('MFA Gaps Priority'!A$6)+1),ROWS($A$1:A6))),"")</f>
        <v/>
      </c>
      <c r="D31" s="27">
        <f>IFERROR(INDEX('MFA Gaps Priority'!E$6:E$55,SMALL(IF(('MFA Gaps Priority'!E$6:E$55="Critical (Privileged User)")+('MFA Gaps Priority'!E$6:E$55="High (Remote Access)"),ROW('MFA Gaps Priority'!A$6:A$55)-ROW('MFA Gaps Priority'!A$6)+1),ROWS($A$1:A6))),"")</f>
        <v/>
      </c>
      <c r="E31" s="27" t="inlineStr">
        <is>
          <t>""</t>
        </is>
      </c>
      <c r="F31" s="27">
        <f>IFERROR(INDEX('MFA Gaps Priority'!H$6:H$55,SMALL(IF(('MFA Gaps Priority'!E$6:E$55="Critical (Privileged User)")+('MFA Gaps Priority'!E$6:E$55="High (Remote Access)"),ROW('MFA Gaps Priority'!A$6:A$55)-ROW('MFA Gaps Priority'!A$6)+1),ROWS($A$1:A6))),"")</f>
        <v/>
      </c>
      <c r="G31" s="27">
        <f>IFERROR(INDEX('MFA Gaps Priority'!I$6:I$55,SMALL(IF(('MFA Gaps Priority'!E$6:E$55="Critical (Privileged User)")+('MFA Gaps Priority'!E$6:E$55="High (Remote Access)"),ROW('MFA Gaps Priority'!A$6:A$55)-ROW('MFA Gaps Priority'!A$6)+1),ROWS($A$1:A6))),"")</f>
        <v/>
      </c>
    </row>
    <row r="32">
      <c r="A32" s="27">
        <f>IFERROR(INDEX('MFA Gaps Priority'!A$6:A$55,SMALL(IF(('MFA Gaps Priority'!E$6:E$55="Critical (Privileged User)")+('MFA Gaps Priority'!E$6:E$55="High (Remote Access)"),ROW('MFA Gaps Priority'!A$6:A$55)-ROW('MFA Gaps Priority'!A$6)+1),ROWS($A$1:A7))),"")</f>
        <v/>
      </c>
      <c r="B32" s="27">
        <f>IFERROR(INDEX('MFA Gaps Priority'!B$6:B$55,SMALL(IF(('MFA Gaps Priority'!E$6:E$55="Critical (Privileged User)")+('MFA Gaps Priority'!E$6:E$55="High (Remote Access)"),ROW('MFA Gaps Priority'!A$6:A$55)-ROW('MFA Gaps Priority'!A$6)+1),ROWS($A$1:A7))),"")</f>
        <v/>
      </c>
      <c r="C32" s="27">
        <f>IFERROR(INDEX('MFA Gaps Priority'!G$6:G$55,SMALL(IF(('MFA Gaps Priority'!E$6:E$55="Critical (Privileged User)")+('MFA Gaps Priority'!E$6:E$55="High (Remote Access)"),ROW('MFA Gaps Priority'!A$6:A$55)-ROW('MFA Gaps Priority'!A$6)+1),ROWS($A$1:A7))),"")</f>
        <v/>
      </c>
      <c r="D32" s="27">
        <f>IFERROR(INDEX('MFA Gaps Priority'!E$6:E$55,SMALL(IF(('MFA Gaps Priority'!E$6:E$55="Critical (Privileged User)")+('MFA Gaps Priority'!E$6:E$55="High (Remote Access)"),ROW('MFA Gaps Priority'!A$6:A$55)-ROW('MFA Gaps Priority'!A$6)+1),ROWS($A$1:A7))),"")</f>
        <v/>
      </c>
      <c r="E32" s="27" t="inlineStr">
        <is>
          <t>""</t>
        </is>
      </c>
      <c r="F32" s="27">
        <f>IFERROR(INDEX('MFA Gaps Priority'!H$6:H$55,SMALL(IF(('MFA Gaps Priority'!E$6:E$55="Critical (Privileged User)")+('MFA Gaps Priority'!E$6:E$55="High (Remote Access)"),ROW('MFA Gaps Priority'!A$6:A$55)-ROW('MFA Gaps Priority'!A$6)+1),ROWS($A$1:A7))),"")</f>
        <v/>
      </c>
      <c r="G32" s="27">
        <f>IFERROR(INDEX('MFA Gaps Priority'!I$6:I$55,SMALL(IF(('MFA Gaps Priority'!E$6:E$55="Critical (Privileged User)")+('MFA Gaps Priority'!E$6:E$55="High (Remote Access)"),ROW('MFA Gaps Priority'!A$6:A$55)-ROW('MFA Gaps Priority'!A$6)+1),ROWS($A$1:A7))),"")</f>
        <v/>
      </c>
    </row>
    <row r="33">
      <c r="A33" s="27">
        <f>IFERROR(INDEX('MFA Gaps Priority'!A$6:A$55,SMALL(IF(('MFA Gaps Priority'!E$6:E$55="Critical (Privileged User)")+('MFA Gaps Priority'!E$6:E$55="High (Remote Access)"),ROW('MFA Gaps Priority'!A$6:A$55)-ROW('MFA Gaps Priority'!A$6)+1),ROWS($A$1:A8))),"")</f>
        <v/>
      </c>
      <c r="B33" s="27">
        <f>IFERROR(INDEX('MFA Gaps Priority'!B$6:B$55,SMALL(IF(('MFA Gaps Priority'!E$6:E$55="Critical (Privileged User)")+('MFA Gaps Priority'!E$6:E$55="High (Remote Access)"),ROW('MFA Gaps Priority'!A$6:A$55)-ROW('MFA Gaps Priority'!A$6)+1),ROWS($A$1:A8))),"")</f>
        <v/>
      </c>
      <c r="C33" s="27">
        <f>IFERROR(INDEX('MFA Gaps Priority'!G$6:G$55,SMALL(IF(('MFA Gaps Priority'!E$6:E$55="Critical (Privileged User)")+('MFA Gaps Priority'!E$6:E$55="High (Remote Access)"),ROW('MFA Gaps Priority'!A$6:A$55)-ROW('MFA Gaps Priority'!A$6)+1),ROWS($A$1:A8))),"")</f>
        <v/>
      </c>
      <c r="D33" s="27">
        <f>IFERROR(INDEX('MFA Gaps Priority'!E$6:E$55,SMALL(IF(('MFA Gaps Priority'!E$6:E$55="Critical (Privileged User)")+('MFA Gaps Priority'!E$6:E$55="High (Remote Access)"),ROW('MFA Gaps Priority'!A$6:A$55)-ROW('MFA Gaps Priority'!A$6)+1),ROWS($A$1:A8))),"")</f>
        <v/>
      </c>
      <c r="E33" s="27" t="inlineStr">
        <is>
          <t>""</t>
        </is>
      </c>
      <c r="F33" s="27">
        <f>IFERROR(INDEX('MFA Gaps Priority'!H$6:H$55,SMALL(IF(('MFA Gaps Priority'!E$6:E$55="Critical (Privileged User)")+('MFA Gaps Priority'!E$6:E$55="High (Remote Access)"),ROW('MFA Gaps Priority'!A$6:A$55)-ROW('MFA Gaps Priority'!A$6)+1),ROWS($A$1:A8))),"")</f>
        <v/>
      </c>
      <c r="G33" s="27">
        <f>IFERROR(INDEX('MFA Gaps Priority'!I$6:I$55,SMALL(IF(('MFA Gaps Priority'!E$6:E$55="Critical (Privileged User)")+('MFA Gaps Priority'!E$6:E$55="High (Remote Access)"),ROW('MFA Gaps Priority'!A$6:A$55)-ROW('MFA Gaps Priority'!A$6)+1),ROWS($A$1:A8))),"")</f>
        <v/>
      </c>
    </row>
    <row r="34">
      <c r="A34" s="27">
        <f>IFERROR(INDEX('MFA Gaps Priority'!A$6:A$55,SMALL(IF(('MFA Gaps Priority'!E$6:E$55="Critical (Privileged User)")+('MFA Gaps Priority'!E$6:E$55="High (Remote Access)"),ROW('MFA Gaps Priority'!A$6:A$55)-ROW('MFA Gaps Priority'!A$6)+1),ROWS($A$1:A9))),"")</f>
        <v/>
      </c>
      <c r="B34" s="27">
        <f>IFERROR(INDEX('MFA Gaps Priority'!B$6:B$55,SMALL(IF(('MFA Gaps Priority'!E$6:E$55="Critical (Privileged User)")+('MFA Gaps Priority'!E$6:E$55="High (Remote Access)"),ROW('MFA Gaps Priority'!A$6:A$55)-ROW('MFA Gaps Priority'!A$6)+1),ROWS($A$1:A9))),"")</f>
        <v/>
      </c>
      <c r="C34" s="27">
        <f>IFERROR(INDEX('MFA Gaps Priority'!G$6:G$55,SMALL(IF(('MFA Gaps Priority'!E$6:E$55="Critical (Privileged User)")+('MFA Gaps Priority'!E$6:E$55="High (Remote Access)"),ROW('MFA Gaps Priority'!A$6:A$55)-ROW('MFA Gaps Priority'!A$6)+1),ROWS($A$1:A9))),"")</f>
        <v/>
      </c>
      <c r="D34" s="27">
        <f>IFERROR(INDEX('MFA Gaps Priority'!E$6:E$55,SMALL(IF(('MFA Gaps Priority'!E$6:E$55="Critical (Privileged User)")+('MFA Gaps Priority'!E$6:E$55="High (Remote Access)"),ROW('MFA Gaps Priority'!A$6:A$55)-ROW('MFA Gaps Priority'!A$6)+1),ROWS($A$1:A9))),"")</f>
        <v/>
      </c>
      <c r="E34" s="27" t="inlineStr">
        <is>
          <t>""</t>
        </is>
      </c>
      <c r="F34" s="27">
        <f>IFERROR(INDEX('MFA Gaps Priority'!H$6:H$55,SMALL(IF(('MFA Gaps Priority'!E$6:E$55="Critical (Privileged User)")+('MFA Gaps Priority'!E$6:E$55="High (Remote Access)"),ROW('MFA Gaps Priority'!A$6:A$55)-ROW('MFA Gaps Priority'!A$6)+1),ROWS($A$1:A9))),"")</f>
        <v/>
      </c>
      <c r="G34" s="27">
        <f>IFERROR(INDEX('MFA Gaps Priority'!I$6:I$55,SMALL(IF(('MFA Gaps Priority'!E$6:E$55="Critical (Privileged User)")+('MFA Gaps Priority'!E$6:E$55="High (Remote Access)"),ROW('MFA Gaps Priority'!A$6:A$55)-ROW('MFA Gaps Priority'!A$6)+1),ROWS($A$1:A9))),"")</f>
        <v/>
      </c>
    </row>
    <row r="35">
      <c r="A35" s="27">
        <f>IFERROR(INDEX('MFA Gaps Priority'!A$6:A$55,SMALL(IF(('MFA Gaps Priority'!E$6:E$55="Critical (Privileged User)")+('MFA Gaps Priority'!E$6:E$55="High (Remote Access)"),ROW('MFA Gaps Priority'!A$6:A$55)-ROW('MFA Gaps Priority'!A$6)+1),ROWS($A$1:A10))),"")</f>
        <v/>
      </c>
      <c r="B35" s="27">
        <f>IFERROR(INDEX('MFA Gaps Priority'!B$6:B$55,SMALL(IF(('MFA Gaps Priority'!E$6:E$55="Critical (Privileged User)")+('MFA Gaps Priority'!E$6:E$55="High (Remote Access)"),ROW('MFA Gaps Priority'!A$6:A$55)-ROW('MFA Gaps Priority'!A$6)+1),ROWS($A$1:A10))),"")</f>
        <v/>
      </c>
      <c r="C35" s="27">
        <f>IFERROR(INDEX('MFA Gaps Priority'!G$6:G$55,SMALL(IF(('MFA Gaps Priority'!E$6:E$55="Critical (Privileged User)")+('MFA Gaps Priority'!E$6:E$55="High (Remote Access)"),ROW('MFA Gaps Priority'!A$6:A$55)-ROW('MFA Gaps Priority'!A$6)+1),ROWS($A$1:A10))),"")</f>
        <v/>
      </c>
      <c r="D35" s="27">
        <f>IFERROR(INDEX('MFA Gaps Priority'!E$6:E$55,SMALL(IF(('MFA Gaps Priority'!E$6:E$55="Critical (Privileged User)")+('MFA Gaps Priority'!E$6:E$55="High (Remote Access)"),ROW('MFA Gaps Priority'!A$6:A$55)-ROW('MFA Gaps Priority'!A$6)+1),ROWS($A$1:A10))),"")</f>
        <v/>
      </c>
      <c r="E35" s="27" t="inlineStr">
        <is>
          <t>""</t>
        </is>
      </c>
      <c r="F35" s="27">
        <f>IFERROR(INDEX('MFA Gaps Priority'!H$6:H$55,SMALL(IF(('MFA Gaps Priority'!E$6:E$55="Critical (Privileged User)")+('MFA Gaps Priority'!E$6:E$55="High (Remote Access)"),ROW('MFA Gaps Priority'!A$6:A$55)-ROW('MFA Gaps Priority'!A$6)+1),ROWS($A$1:A10))),"")</f>
        <v/>
      </c>
      <c r="G35" s="27">
        <f>IFERROR(INDEX('MFA Gaps Priority'!I$6:I$55,SMALL(IF(('MFA Gaps Priority'!E$6:E$55="Critical (Privileged User)")+('MFA Gaps Priority'!E$6:E$55="High (Remote Access)"),ROW('MFA Gaps Priority'!A$6:A$55)-ROW('MFA Gaps Priority'!A$6)+1),ROWS($A$1:A10))),"")</f>
        <v/>
      </c>
    </row>
    <row r="36">
      <c r="A36" s="26" t="n"/>
      <c r="B36" s="26" t="n"/>
      <c r="C36" s="26" t="n"/>
      <c r="D36" s="26" t="n"/>
      <c r="E36" s="26" t="n"/>
      <c r="F36" s="26" t="n"/>
      <c r="G36" s="26" t="n"/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31" t="inlineStr">
        <is>
          <t>Total Critical/High MFA Gaps:</t>
        </is>
      </c>
      <c r="B38" s="32">
        <f>COUNTIF('MFA Gaps Priority'!E6:E55,"Critical (Privileged User)")+COUNTIF('MFA Gaps Priority'!E6:E55,"High (Remote Access)")</f>
        <v/>
      </c>
      <c r="C38" s="21" t="n"/>
      <c r="D38" s="21" t="n"/>
      <c r="E38" s="21" t="n"/>
      <c r="F38" s="21" t="n"/>
      <c r="G38" s="21" t="n"/>
    </row>
  </sheetData>
  <mergeCells count="5">
    <mergeCell ref="A1:G1"/>
    <mergeCell ref="A3:G3"/>
    <mergeCell ref="A24:G24"/>
    <mergeCell ref="A2:G2"/>
    <mergeCell ref="A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33" t="inlineStr">
        <is>
          <t>ASSESSMENT APPROVAL AND SIGN-OFF</t>
        </is>
      </c>
      <c r="B1" s="21" t="n"/>
      <c r="C1" s="21" t="n"/>
      <c r="D1" s="21" t="n"/>
      <c r="E1" s="21" t="n"/>
    </row>
    <row r="2">
      <c r="A2" s="34" t="inlineStr">
        <is>
          <t>ISMS-IMP-A.8.2-3-5.S2 | ISO/IEC 27001:2022 - Control A.8.2-3-5: Access and Authentication Management</t>
        </is>
      </c>
      <c r="B2" s="21" t="n"/>
      <c r="C2" s="21" t="n"/>
      <c r="D2" s="21" t="n"/>
      <c r="E2" s="21" t="n"/>
    </row>
    <row r="3">
      <c r="A3" s="35" t="inlineStr">
        <is>
          <t>ASSESSMENT SUMMARY</t>
        </is>
      </c>
      <c r="B3" s="21" t="n"/>
      <c r="C3" s="21" t="n"/>
      <c r="D3" s="21" t="n"/>
      <c r="E3" s="21" t="n"/>
    </row>
    <row r="4">
      <c r="A4" s="36" t="inlineStr">
        <is>
          <t>Document:</t>
        </is>
      </c>
      <c r="B4" s="21" t="inlineStr">
        <is>
          <t>ISMS-IMP-A.8.2-3-5.S2 - MFA Coverage Assessment</t>
        </is>
      </c>
      <c r="C4" s="21" t="n"/>
      <c r="D4" s="21" t="n"/>
      <c r="E4" s="21" t="n"/>
    </row>
    <row r="5">
      <c r="A5" s="36" t="inlineStr">
        <is>
          <t>Assessment Period:</t>
        </is>
      </c>
      <c r="B5" s="26" t="inlineStr"/>
      <c r="C5" s="26" t="n"/>
      <c r="D5" s="26" t="n"/>
      <c r="E5" s="26" t="n"/>
    </row>
    <row r="6">
      <c r="A6" s="36" t="inlineStr">
        <is>
          <t>Overall Compliance Rate:</t>
        </is>
      </c>
      <c r="B6" s="37">
        <f>IFERROR(AVERAGE('Summary Dashboard'!G5:G7),"")</f>
        <v/>
      </c>
      <c r="C6" s="26" t="n"/>
      <c r="D6" s="26" t="n"/>
      <c r="E6" s="26" t="n"/>
    </row>
    <row r="7">
      <c r="A7" s="36" t="inlineStr">
        <is>
          <t>Assessment Status:</t>
        </is>
      </c>
      <c r="B7" s="26" t="inlineStr"/>
      <c r="C7" s="26" t="n"/>
      <c r="D7" s="26" t="n"/>
      <c r="E7" s="26" t="n"/>
    </row>
    <row r="8">
      <c r="A8" s="36" t="inlineStr">
        <is>
          <t>Assessed By:</t>
        </is>
      </c>
      <c r="B8" s="26" t="inlineStr"/>
      <c r="C8" s="26" t="n"/>
      <c r="D8" s="26" t="n"/>
      <c r="E8" s="26" t="n"/>
    </row>
    <row r="11">
      <c r="A11" s="35" t="inlineStr">
        <is>
          <t>COMPLETED BY (ASSESSOR)</t>
        </is>
      </c>
      <c r="B11" s="21" t="n"/>
      <c r="C11" s="21" t="n"/>
      <c r="D11" s="21" t="n"/>
      <c r="E11" s="21" t="n"/>
    </row>
    <row r="12">
      <c r="A12" s="36" t="inlineStr">
        <is>
          <t>Name:</t>
        </is>
      </c>
      <c r="B12" s="26" t="n"/>
      <c r="C12" s="26" t="n"/>
      <c r="D12" s="26" t="n"/>
      <c r="E12" s="26" t="n"/>
    </row>
    <row r="13">
      <c r="A13" s="36" t="inlineStr">
        <is>
          <t>Title:</t>
        </is>
      </c>
      <c r="B13" s="26" t="n"/>
      <c r="C13" s="26" t="n"/>
      <c r="D13" s="26" t="n"/>
      <c r="E13" s="26" t="n"/>
    </row>
    <row r="14">
      <c r="A14" s="36" t="inlineStr">
        <is>
          <t>Date:</t>
        </is>
      </c>
      <c r="B14" s="26" t="n"/>
      <c r="C14" s="26" t="n"/>
      <c r="D14" s="26" t="n"/>
      <c r="E14" s="26" t="n"/>
    </row>
    <row r="15">
      <c r="A15" s="36" t="inlineStr">
        <is>
          <t>Signature:</t>
        </is>
      </c>
      <c r="B15" s="26" t="n"/>
      <c r="C15" s="26" t="n"/>
      <c r="D15" s="26" t="n"/>
      <c r="E15" s="26" t="n"/>
    </row>
    <row r="16">
      <c r="A16" s="36" t="inlineStr">
        <is>
          <t>Comments:</t>
        </is>
      </c>
      <c r="B16" s="26" t="n"/>
      <c r="C16" s="26" t="n"/>
      <c r="D16" s="26" t="n"/>
      <c r="E16" s="26" t="n"/>
    </row>
    <row r="18">
      <c r="A18" s="35" t="inlineStr">
        <is>
          <t>REVIEWED BY (INFORMATION SECURITY OFFICER)</t>
        </is>
      </c>
      <c r="B18" s="21" t="n"/>
      <c r="C18" s="21" t="n"/>
      <c r="D18" s="21" t="n"/>
      <c r="E18" s="21" t="n"/>
    </row>
    <row r="19">
      <c r="A19" s="36" t="inlineStr">
        <is>
          <t>Name:</t>
        </is>
      </c>
      <c r="B19" s="26" t="n"/>
      <c r="C19" s="26" t="n"/>
      <c r="D19" s="26" t="n"/>
      <c r="E19" s="26" t="n"/>
    </row>
    <row r="20">
      <c r="A20" s="36" t="inlineStr">
        <is>
          <t>Title:</t>
        </is>
      </c>
      <c r="B20" s="26" t="n"/>
      <c r="C20" s="26" t="n"/>
      <c r="D20" s="26" t="n"/>
      <c r="E20" s="26" t="n"/>
    </row>
    <row r="21">
      <c r="A21" s="36" t="inlineStr">
        <is>
          <t>Date:</t>
        </is>
      </c>
      <c r="B21" s="26" t="n"/>
      <c r="C21" s="26" t="n"/>
      <c r="D21" s="26" t="n"/>
      <c r="E21" s="26" t="n"/>
    </row>
    <row r="22">
      <c r="A22" s="36" t="inlineStr">
        <is>
          <t>Signature:</t>
        </is>
      </c>
      <c r="B22" s="26" t="n"/>
      <c r="C22" s="26" t="n"/>
      <c r="D22" s="26" t="n"/>
      <c r="E22" s="26" t="n"/>
    </row>
    <row r="23">
      <c r="A23" s="36" t="inlineStr">
        <is>
          <t>Comments:</t>
        </is>
      </c>
      <c r="B23" s="26" t="n"/>
      <c r="C23" s="26" t="n"/>
      <c r="D23" s="26" t="n"/>
      <c r="E23" s="26" t="n"/>
    </row>
    <row r="25">
      <c r="A25" s="38" t="inlineStr">
        <is>
          <t>APPROVED BY (CISO)</t>
        </is>
      </c>
      <c r="B25" s="21" t="n"/>
      <c r="C25" s="21" t="n"/>
      <c r="D25" s="21" t="n"/>
      <c r="E25" s="21" t="n"/>
    </row>
    <row r="26">
      <c r="A26" s="36" t="inlineStr">
        <is>
          <t>Name:</t>
        </is>
      </c>
      <c r="B26" s="26" t="n"/>
      <c r="C26" s="26" t="n"/>
      <c r="D26" s="26" t="n"/>
      <c r="E26" s="26" t="n"/>
    </row>
    <row r="27">
      <c r="A27" s="36" t="inlineStr">
        <is>
          <t>Title:</t>
        </is>
      </c>
      <c r="B27" s="26" t="n"/>
      <c r="C27" s="26" t="n"/>
      <c r="D27" s="26" t="n"/>
      <c r="E27" s="26" t="n"/>
    </row>
    <row r="28">
      <c r="A28" s="36" t="inlineStr">
        <is>
          <t>Date:</t>
        </is>
      </c>
      <c r="B28" s="26" t="n"/>
      <c r="C28" s="26" t="n"/>
      <c r="D28" s="26" t="n"/>
      <c r="E28" s="26" t="n"/>
    </row>
    <row r="29">
      <c r="A29" s="36" t="inlineStr">
        <is>
          <t>Signature:</t>
        </is>
      </c>
      <c r="B29" s="26" t="n"/>
      <c r="C29" s="26" t="n"/>
      <c r="D29" s="26" t="n"/>
      <c r="E29" s="26" t="n"/>
    </row>
    <row r="30">
      <c r="A30" s="36" t="inlineStr">
        <is>
          <t>Comments:</t>
        </is>
      </c>
      <c r="B30" s="26" t="n"/>
      <c r="C30" s="26" t="n"/>
      <c r="D30" s="26" t="n"/>
      <c r="E30" s="26" t="n"/>
    </row>
    <row r="32">
      <c r="A32" s="39" t="inlineStr">
        <is>
          <t>FINAL DECISION:</t>
        </is>
      </c>
      <c r="B32" s="26" t="n"/>
      <c r="C32" s="26" t="n"/>
      <c r="D32" s="26" t="n"/>
      <c r="E32" s="26" t="n"/>
    </row>
    <row r="35">
      <c r="A35" s="35" t="inlineStr">
        <is>
          <t>NEXT REVIEW DETAILS</t>
        </is>
      </c>
      <c r="B35" s="21" t="n"/>
      <c r="C35" s="21" t="n"/>
      <c r="D35" s="21" t="n"/>
      <c r="E35" s="21" t="n"/>
    </row>
    <row r="36">
      <c r="A36" s="36" t="inlineStr">
        <is>
          <t>Next Review Date:</t>
        </is>
      </c>
      <c r="B36" s="26" t="n"/>
      <c r="C36" s="26" t="n"/>
      <c r="D36" s="26" t="n"/>
      <c r="E36" s="26" t="n"/>
    </row>
    <row r="37">
      <c r="A37" s="36" t="inlineStr">
        <is>
          <t>Review Responsible:</t>
        </is>
      </c>
      <c r="B37" s="26" t="n"/>
      <c r="C37" s="26" t="n"/>
      <c r="D37" s="26" t="n"/>
      <c r="E37" s="26" t="n"/>
    </row>
    <row r="38">
      <c r="A38" s="36" t="inlineStr">
        <is>
          <t>Special Considerations:</t>
        </is>
      </c>
      <c r="B38" s="26" t="n"/>
      <c r="C38" s="26" t="n"/>
      <c r="D38" s="26" t="n"/>
      <c r="E38" s="2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ISMS-IMP-A.8.2-3-5.S2 — MFA Coverage Assessment</dc:title>
  <dc:description xmlns:dc="http://purl.org/dc/elements/1.1/">ISMS Implementation Workbook — ISMS-IMP-A.8.2-3-5.S2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2026-03-10T18:49:27Z</dcterms:created>
  <dcterms:modified xmlns:dcterms="http://purl.org/dc/terms/" xmlns:xsi="http://www.w3.org/2001/XMLSchema-instance" xsi:type="dcterms:W3CDTF">2026-03-10T18:49:27Z</dcterms:modified>
</cp:coreProperties>
</file>