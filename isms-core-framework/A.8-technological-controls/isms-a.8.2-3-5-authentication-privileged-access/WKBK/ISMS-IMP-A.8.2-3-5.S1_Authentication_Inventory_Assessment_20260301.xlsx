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&amp; Legend" sheetId="1" state="visible" r:id="rId1"/>
    <sheet xmlns:r="http://schemas.openxmlformats.org/officeDocument/2006/relationships" name="Authentication Inventory" sheetId="2" state="visible" r:id="rId2"/>
    <sheet xmlns:r="http://schemas.openxmlformats.org/officeDocument/2006/relationships" name="Protocol Analysis" sheetId="3" state="visible" r:id="rId3"/>
    <sheet xmlns:r="http://schemas.openxmlformats.org/officeDocument/2006/relationships" name="SSO Integration Status" sheetId="4" state="visible" r:id="rId4"/>
    <sheet xmlns:r="http://schemas.openxmlformats.org/officeDocument/2006/relationships" name="Password Policy" sheetId="5" state="visible" r:id="rId5"/>
    <sheet xmlns:r="http://schemas.openxmlformats.org/officeDocument/2006/relationships" name="MFA Availability" sheetId="6" state="visible" r:id="rId6"/>
    <sheet xmlns:r="http://schemas.openxmlformats.org/officeDocument/2006/relationships" name="Legacy Authentication" sheetId="7" state="visible" r:id="rId7"/>
    <sheet xmlns:r="http://schemas.openxmlformats.org/officeDocument/2006/relationships" name="Gap Analysis" sheetId="8" state="visible" r:id="rId8"/>
    <sheet xmlns:r="http://schemas.openxmlformats.org/officeDocument/2006/relationships" name="Evidence Register" sheetId="9" state="visible" r:id="rId9"/>
    <sheet xmlns:r="http://schemas.openxmlformats.org/officeDocument/2006/relationships" name="Summary Dashboard" sheetId="10" state="visible" r:id="rId10"/>
    <sheet xmlns:r="http://schemas.openxmlformats.org/officeDocument/2006/relationships" name="Approval Sign-Of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000000"/>
      <sz val="11"/>
    </font>
    <font>
      <name val="Calibri"/>
      <b val="1"/>
      <sz val="10"/>
    </font>
    <font>
      <name val="Calibri"/>
      <sz val="10"/>
    </font>
    <font>
      <name val="Calibri"/>
      <color rgb="00000000"/>
      <sz val="10"/>
    </font>
    <font>
      <name val="Calibri"/>
      <b val="1"/>
      <i val="1"/>
      <color rgb="00C00000"/>
      <sz val="11"/>
    </font>
    <font>
      <name val="Calibri"/>
      <i val="1"/>
      <color rgb="00003366"/>
      <sz val="10"/>
    </font>
    <font>
      <name val="Calibri"/>
      <b val="1"/>
      <color rgb="00FFFFFF"/>
      <sz val="11"/>
    </font>
    <font>
      <name val="Calibri"/>
      <i val="1"/>
      <sz val="10"/>
    </font>
    <font>
      <name val="Calibri"/>
      <b val="1"/>
      <color rgb="00000000"/>
      <sz val="10"/>
    </font>
    <font>
      <name val="Calibri"/>
      <b val="1"/>
      <sz val="11"/>
    </font>
  </fonts>
  <fills count="9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FCC"/>
      </patternFill>
    </fill>
    <fill>
      <patternFill patternType="solid">
        <fgColor rgb="00C00000"/>
      </patternFill>
    </fill>
    <fill>
      <patternFill patternType="solid">
        <fgColor rgb="004472C4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4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0" fillId="6" borderId="1" pivotButton="0" quotePrefix="0" xfId="0"/>
    <xf numFmtId="0" fontId="5" fillId="6" borderId="1" pivotButton="0" quotePrefix="0" xfId="0"/>
    <xf numFmtId="164" fontId="5" fillId="6" borderId="1" pivotButton="0" quotePrefix="0" xfId="0"/>
    <xf numFmtId="0" fontId="8" fillId="7" borderId="0" applyAlignment="1" pivotButton="0" quotePrefix="0" xfId="0">
      <alignment horizontal="left" vertical="center"/>
    </xf>
    <xf numFmtId="0" fontId="10" fillId="6" borderId="1" pivotButton="0" quotePrefix="0" xfId="0"/>
    <xf numFmtId="0" fontId="1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left" vertical="center"/>
    </xf>
    <xf numFmtId="0" fontId="3" fillId="0" borderId="1" pivotButton="0" quotePrefix="0" xfId="0"/>
    <xf numFmtId="164" fontId="0" fillId="6" borderId="1" pivotButton="0" quotePrefix="0" xfId="0"/>
    <xf numFmtId="0" fontId="8" fillId="2" borderId="1" applyAlignment="1" pivotButton="0" quotePrefix="0" xfId="0">
      <alignment horizontal="left" vertical="center"/>
    </xf>
    <xf numFmtId="0" fontId="1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70" customWidth="1" min="3" max="3"/>
  </cols>
  <sheetData>
    <row r="1" ht="40" customHeight="1">
      <c r="A1" s="1" t="inlineStr">
        <is>
          <t>ISMS-IMP-A.8.2-3-5.S1  -  AUTHENTICATION INVENTORY ASSESSMENT
ISO/IEC 27001:2022 - Control A.8.2-3-5: Access and Authentication Management</t>
        </is>
      </c>
    </row>
    <row r="3">
      <c r="A3" s="2" t="inlineStr">
        <is>
          <t>Document Information</t>
        </is>
      </c>
    </row>
    <row r="4">
      <c r="A4" s="3" t="inlineStr">
        <is>
          <t>Document ID:</t>
        </is>
      </c>
      <c r="B4" s="4" t="inlineStr">
        <is>
          <t>ISMS-IMP-A.8.2-3-5.S1</t>
        </is>
      </c>
    </row>
    <row r="5">
      <c r="A5" s="3" t="inlineStr">
        <is>
          <t>Assessment:</t>
        </is>
      </c>
      <c r="B5" s="4" t="inlineStr">
        <is>
          <t>Authentication Inventory Assessment</t>
        </is>
      </c>
    </row>
    <row r="6">
      <c r="A6" s="3" t="inlineStr">
        <is>
          <t>Version:</t>
        </is>
      </c>
      <c r="B6" s="4" t="inlineStr">
        <is>
          <t>1.0</t>
        </is>
      </c>
    </row>
    <row r="7">
      <c r="A7" s="3" t="inlineStr">
        <is>
          <t>Generated:</t>
        </is>
      </c>
      <c r="B7" s="4" t="inlineStr">
        <is>
          <t>01.03.2026 17:58</t>
        </is>
      </c>
    </row>
    <row r="9">
      <c r="A9" s="2" t="inlineStr">
        <is>
          <t>PURPOSE</t>
        </is>
      </c>
    </row>
    <row r="10" ht="45" customHeight="1">
      <c r="A10" s="5" t="inlineStr">
        <is>
          <t>This workbook provides a framework for assessing authentication mechanisms across all organisational systems. It supports systematic inventory of methods, protocols, SSO integration, and compliance with ISO 27001:2022 Control A.8.5 requirements.</t>
        </is>
      </c>
    </row>
    <row r="12">
      <c r="A12" s="2" t="inlineStr">
        <is>
          <t>Instructions</t>
        </is>
      </c>
    </row>
    <row r="13">
      <c r="A13" s="5" t="inlineStr">
        <is>
          <t>1. AUTHENTICATION INVENTORY: Complete mechanism inventory for all systems (Sheet 2)</t>
        </is>
      </c>
    </row>
    <row r="14">
      <c r="A14" s="5" t="inlineStr">
        <is>
          <t>2. PROTOCOL ANALYSIS: Assess security of authentication protocols (Sheet 3)</t>
        </is>
      </c>
    </row>
    <row r="15">
      <c r="A15" s="5" t="inlineStr">
        <is>
          <t>3. SSO INTEGRATION: Track SSO adoption and identify integration gaps (Sheet 4)</t>
        </is>
      </c>
    </row>
    <row r="16">
      <c r="A16" s="5" t="inlineStr">
        <is>
          <t>4. PASSWORD POLICY: Verify password policy configuration compliance (Sheet 5)</t>
        </is>
      </c>
    </row>
    <row r="17">
      <c r="A17" s="5" t="inlineStr">
        <is>
          <t>5. MFA AVAILABILITY: Document MFA methods available per system (Sheet 6)</t>
        </is>
      </c>
    </row>
    <row r="18">
      <c r="A18" s="5" t="inlineStr">
        <is>
          <t>6. LEGACY DEPRECATION: Identify and plan deprecation of legacy methods (Sheet 7)</t>
        </is>
      </c>
    </row>
    <row r="19">
      <c r="A19" s="5" t="inlineStr">
        <is>
          <t>7. GAP ANALYSIS: Identify authentication security gaps (Sheet 8)</t>
        </is>
      </c>
    </row>
    <row r="20">
      <c r="A20" s="5" t="inlineStr">
        <is>
          <t>8. EVIDENCE COLLECTION: Document evidence supporting controls (Sheet 9)</t>
        </is>
      </c>
    </row>
    <row r="21">
      <c r="A21" s="5" t="inlineStr">
        <is>
          <t>9. APPROVAL: Obtain required approvals from stakeholders (Sheet 10)</t>
        </is>
      </c>
    </row>
    <row r="23">
      <c r="A23" s="2" t="inlineStr">
        <is>
          <t>Status Legend</t>
        </is>
      </c>
    </row>
    <row r="24">
      <c r="A24" s="6" t="inlineStr">
        <is>
          <t>Status</t>
        </is>
      </c>
      <c r="B24" s="6" t="inlineStr">
        <is>
          <t>Description</t>
        </is>
      </c>
      <c r="C24" s="7" t="inlineStr"/>
      <c r="D24" s="8" t="n"/>
      <c r="E24" s="8" t="n"/>
      <c r="F24" s="8" t="n"/>
      <c r="G24" s="9" t="n"/>
    </row>
    <row r="25">
      <c r="A25" s="10" t="inlineStr">
        <is>
          <t>✅ Compliant</t>
        </is>
      </c>
      <c r="B25" s="10" t="inlineStr">
        <is>
          <t>Authentication mechanism meets all security requirements</t>
        </is>
      </c>
    </row>
    <row r="26">
      <c r="A26" s="10" t="inlineStr">
        <is>
          <t>⚠ Partial Compliance</t>
        </is>
      </c>
      <c r="B26" s="10" t="inlineStr">
        <is>
          <t>Meets some but not all requirements</t>
        </is>
      </c>
    </row>
    <row r="27">
      <c r="A27" s="10" t="inlineStr">
        <is>
          <t>❌ Non-Compliant</t>
        </is>
      </c>
      <c r="B27" s="10" t="inlineStr">
        <is>
          <t>Does not meet security requirements</t>
        </is>
      </c>
    </row>
    <row r="28">
      <c r="A28" s="10" t="inlineStr">
        <is>
          <t>In Progress</t>
        </is>
      </c>
      <c r="B28" s="10" t="inlineStr">
        <is>
          <t>Improvement project in progress</t>
        </is>
      </c>
    </row>
    <row r="29">
      <c r="A29" s="10" t="inlineStr">
        <is>
          <t>Under Review</t>
        </is>
      </c>
      <c r="B29" s="10" t="inlineStr">
        <is>
          <t>Being assessed</t>
        </is>
      </c>
    </row>
    <row r="30">
      <c r="A30" s="10" t="inlineStr">
        <is>
          <t>Unknown</t>
        </is>
      </c>
      <c r="B30" s="10" t="inlineStr">
        <is>
          <t>Status not yet determined</t>
        </is>
      </c>
    </row>
    <row r="31">
      <c r="A31" s="10" t="inlineStr">
        <is>
          <t>—</t>
        </is>
      </c>
      <c r="B31" s="10" t="inlineStr">
        <is>
          <t>Not applicable</t>
        </is>
      </c>
    </row>
    <row r="33" ht="30" customHeight="1">
      <c r="A33" s="11" t="inlineStr">
        <is>
          <t>REMEMBER: Authentication security means nothing without measurable MFA coverage and modern protocols. Evidence over theatre.</t>
        </is>
      </c>
    </row>
  </sheetData>
  <mergeCells count="24">
    <mergeCell ref="A14:G14"/>
    <mergeCell ref="A17:G17"/>
    <mergeCell ref="C24:G24"/>
    <mergeCell ref="A20:G20"/>
    <mergeCell ref="A19:G19"/>
    <mergeCell ref="B29:G29"/>
    <mergeCell ref="A10:G10"/>
    <mergeCell ref="A13:G13"/>
    <mergeCell ref="B28:G28"/>
    <mergeCell ref="A9:G9"/>
    <mergeCell ref="A15:G15"/>
    <mergeCell ref="B30:G30"/>
    <mergeCell ref="A3:B3"/>
    <mergeCell ref="A1:G1"/>
    <mergeCell ref="A16:G16"/>
    <mergeCell ref="B26:G26"/>
    <mergeCell ref="B25:G25"/>
    <mergeCell ref="A18:G18"/>
    <mergeCell ref="A21:G21"/>
    <mergeCell ref="B31:G31"/>
    <mergeCell ref="A12:G12"/>
    <mergeCell ref="B27:G27"/>
    <mergeCell ref="A33:G33"/>
    <mergeCell ref="A23:G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2" customWidth="1" min="3" max="3"/>
    <col width="22" customWidth="1" min="4" max="4"/>
    <col width="18" customWidth="1" min="5" max="5"/>
    <col width="22" customWidth="1" min="6" max="6"/>
    <col width="14" customWidth="1" min="7" max="7"/>
    <col width="14" customWidth="1" min="8" max="8"/>
    <col width="24" customWidth="1" min="9" max="9"/>
    <col width="16" customWidth="1" min="10" max="10"/>
    <col width="20" customWidth="1" min="11" max="11"/>
    <col width="18" customWidth="1" min="12" max="12"/>
    <col width="35" customWidth="1" min="13" max="13"/>
  </cols>
  <sheetData>
    <row r="1" ht="35" customHeight="1">
      <c r="A1" s="1" t="inlineStr">
        <is>
          <t>AUTHENTICATION INVENTORY</t>
        </is>
      </c>
    </row>
    <row r="2">
      <c r="A2" s="12" t="inlineStr">
        <is>
          <t>Complete inventory of authentication mechanisms for all organisational systems</t>
        </is>
      </c>
    </row>
    <row r="4">
      <c r="A4" s="13" t="inlineStr">
        <is>
          <t>System / Application</t>
        </is>
      </c>
      <c r="B4" s="13" t="inlineStr">
        <is>
          <t>System Type</t>
        </is>
      </c>
      <c r="C4" s="13" t="inlineStr">
        <is>
          <t>Environment</t>
        </is>
      </c>
      <c r="D4" s="13" t="inlineStr">
        <is>
          <t>Primary Auth Method</t>
        </is>
      </c>
      <c r="E4" s="13" t="inlineStr">
        <is>
          <t>Auth Protocol</t>
        </is>
      </c>
      <c r="F4" s="13" t="inlineStr">
        <is>
          <t>Identity Provider</t>
        </is>
      </c>
      <c r="G4" s="13" t="inlineStr">
        <is>
          <t>SSO Integrated</t>
        </is>
      </c>
      <c r="H4" s="13" t="inlineStr">
        <is>
          <t>MFA Available</t>
        </is>
      </c>
      <c r="I4" s="13" t="inlineStr">
        <is>
          <t>MFA Method</t>
        </is>
      </c>
      <c r="J4" s="13" t="inlineStr">
        <is>
          <t>Password Policy</t>
        </is>
      </c>
      <c r="K4" s="13" t="inlineStr">
        <is>
          <t>Security Rating</t>
        </is>
      </c>
      <c r="L4" s="13" t="inlineStr">
        <is>
          <t>Compliance Status</t>
        </is>
      </c>
      <c r="M4" s="13" t="inlineStr">
        <is>
          <t>Notes / Gaps</t>
        </is>
      </c>
    </row>
    <row r="5">
      <c r="A5" s="14" t="inlineStr">
        <is>
          <t>SYS-001 / [App Name]</t>
        </is>
      </c>
      <c r="B5" s="14" t="inlineStr">
        <is>
          <t>SaaS</t>
        </is>
      </c>
      <c r="C5" s="14" t="inlineStr">
        <is>
          <t>Production</t>
        </is>
      </c>
      <c r="D5" s="14" t="inlineStr">
        <is>
          <t>Password + MFA (Mandatory)</t>
        </is>
      </c>
      <c r="E5" s="14" t="inlineStr">
        <is>
          <t>SAML 2.0</t>
        </is>
      </c>
      <c r="F5" s="14" t="inlineStr">
        <is>
          <t>Microsoft Entra ID</t>
        </is>
      </c>
      <c r="G5" s="14" t="inlineStr">
        <is>
          <t>Yes</t>
        </is>
      </c>
      <c r="H5" s="14" t="inlineStr">
        <is>
          <t>Yes</t>
        </is>
      </c>
      <c r="I5" s="14" t="inlineStr">
        <is>
          <t>Authenticator App (TOTP)</t>
        </is>
      </c>
      <c r="J5" s="14" t="inlineStr">
        <is>
          <t>Compliant</t>
        </is>
      </c>
      <c r="K5" s="14" t="inlineStr">
        <is>
          <t>Adequate (70-89%)</t>
        </is>
      </c>
      <c r="L5" s="14" t="inlineStr">
        <is>
          <t>✅ Compliant</t>
        </is>
      </c>
      <c r="M5" s="14" t="inlineStr">
        <is>
          <t>[Notes]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  <c r="M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  <c r="M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</row>
  </sheetData>
  <mergeCells count="2">
    <mergeCell ref="A2:M2"/>
    <mergeCell ref="A1:M1"/>
  </mergeCells>
  <dataValidations count="9">
    <dataValidation sqref="D5:D55" showDropDown="0" showInputMessage="0" showErrorMessage="0" allowBlank="1" type="list">
      <formula1>"Password Only,Password + MFA (Optional),Password + MFA (Mandatory),SSO (Password-based),SSO + MFA (Mandatory),Certificate-Based,Certificate + MFA,Hardware Token (FIDO2),Biometric,Smart Card,Other (Specify)"</formula1>
    </dataValidation>
    <dataValidation sqref="E5:E55" showDropDown="0" showInputMessage="0" showErrorMessage="0" allowBlank="1" type="list">
      <formula1>"SAML 2.0,OAuth 2.0,OpenID Connect (OIDC),Kerberos,RADIUS,LDAP,LDAPS (LDAP over TLS),NTLM (Legacy),Basic Auth (Legacy),Certificate (mTLS),Custom/Proprietary,Unknown"</formula1>
    </dataValidation>
    <dataValidation sqref="F5:F55" showDropDown="0" showInputMessage="0" showErrorMessage="0" allowBlank="1" type="list">
      <formula1>"Microsoft Entra ID,Okta,Google Workspace,Active Directory (On-Prem),Auth0,Ping Identity,OneLogin,Local Authentication,Application-Specific"</formula1>
    </dataValidation>
    <dataValidation sqref="G5:G55" showDropDown="0" showInputMessage="0" showErrorMessage="0" allowBlank="1" type="list">
      <formula1>"Yes,No,In Progress,Not Supported"</formula1>
    </dataValidation>
    <dataValidation sqref="H5:H55" showDropDown="0" showInputMessage="0" showErrorMessage="0" allowBlank="1" type="list">
      <formula1>"Yes,No,Planned"</formula1>
    </dataValidation>
    <dataValidation sqref="I5:I55" showDropDown="0" showInputMessage="0" showErrorMessage="0" allowBlank="1" type="list">
      <formula1>"Hardware Token (FIDO2/YubiKey),Authenticator App (TOTP),Push Notification,Biometric (Fingerprint/Face),SMS (Discouraged),Voice Call,Email OTP,Not Available"</formula1>
    </dataValidation>
    <dataValidation sqref="J5:J55" showDropDown="0" showInputMessage="0" showErrorMessage="0" allowBlank="1" type="list">
      <formula1>"Compliant,Partial,Non-Compliant,N/A (Certificate)"</formula1>
    </dataValidation>
    <dataValidation sqref="K5:K55" showDropDown="0" showInputMessage="0" showErrorMessage="0" allowBlank="1" type="list">
      <formula1>"Strong (90-100%),Adequate (70-89%),Weak (50-69%),Poor (&lt;50%),Unacceptable"</formula1>
    </dataValidation>
    <dataValidation sqref="L5:L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3" max="3"/>
    <col width="14" customWidth="1" min="4" max="4"/>
    <col width="22" customWidth="1" min="5" max="5"/>
    <col width="18" customWidth="1" min="7" max="7"/>
    <col width="30" customWidth="1" min="8" max="8"/>
    <col width="14" customWidth="1" min="9" max="9"/>
    <col width="35" customWidth="1" min="10" max="10"/>
  </cols>
  <sheetData>
    <row r="1" ht="35" customHeight="1">
      <c r="A1" s="1" t="inlineStr">
        <is>
          <t>PROTOCOL ANALYSIS</t>
        </is>
      </c>
    </row>
    <row r="2">
      <c r="A2" s="12" t="inlineStr">
        <is>
          <t>Security assessment of authentication protocols in use</t>
        </is>
      </c>
    </row>
    <row r="4">
      <c r="A4" s="13" t="inlineStr">
        <is>
          <t>Protocol Name</t>
        </is>
      </c>
      <c r="B4" s="13" t="inlineStr">
        <is>
          <t>Systems Using</t>
        </is>
      </c>
      <c r="C4" s="13" t="inlineStr">
        <is>
          <t>Security Level</t>
        </is>
      </c>
      <c r="D4" s="13" t="inlineStr">
        <is>
          <t>TLS Required</t>
        </is>
      </c>
      <c r="E4" s="13" t="inlineStr">
        <is>
          <t>TLS Version</t>
        </is>
      </c>
      <c r="F4" s="13" t="inlineStr">
        <is>
          <t>Deprecation Status</t>
        </is>
      </c>
      <c r="G4" s="13" t="inlineStr">
        <is>
          <t>Compliance Rating</t>
        </is>
      </c>
      <c r="H4" s="13" t="inlineStr">
        <is>
          <t>Remediation Plan</t>
        </is>
      </c>
      <c r="I4" s="13" t="inlineStr">
        <is>
          <t>Target Date</t>
        </is>
      </c>
      <c r="J4" s="13" t="inlineStr">
        <is>
          <t>Notes</t>
        </is>
      </c>
    </row>
    <row r="5">
      <c r="A5" s="14" t="inlineStr">
        <is>
          <t>SAML 2.0</t>
        </is>
      </c>
      <c r="B5" s="14" t="inlineStr">
        <is>
          <t>Office 365, CRM</t>
        </is>
      </c>
      <c r="C5" s="14" t="inlineStr">
        <is>
          <t>Strong</t>
        </is>
      </c>
      <c r="D5" s="14" t="inlineStr">
        <is>
          <t>Yes</t>
        </is>
      </c>
      <c r="E5" s="14" t="inlineStr">
        <is>
          <t>TLS 1.3</t>
        </is>
      </c>
      <c r="F5" s="14" t="inlineStr">
        <is>
          <t>Active - Recommended</t>
        </is>
      </c>
      <c r="G5" s="14" t="inlineStr">
        <is>
          <t>✅ Compliant</t>
        </is>
      </c>
      <c r="H5" s="14" t="inlineStr"/>
      <c r="I5" s="14" t="inlineStr"/>
      <c r="J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</row>
  </sheetData>
  <mergeCells count="2">
    <mergeCell ref="A1:J1"/>
    <mergeCell ref="A2:J2"/>
  </mergeCells>
  <dataValidations count="6">
    <dataValidation sqref="A5:A55" showDropDown="0" showInputMessage="0" showErrorMessage="0" allowBlank="1" type="list">
      <formula1>"SAML 2.0,OAuth 2.0,OpenID Connect (OIDC),Kerberos,RADIUS,LDAP,LDAPS (LDAP over TLS),NTLM (Legacy),Basic Auth (Legacy),Certificate (mTLS),Custom/Proprietary,Unknown"</formula1>
    </dataValidation>
    <dataValidation sqref="C5:C55" showDropDown="0" showInputMessage="0" showErrorMessage="0" allowBlank="1" type="list">
      <formula1>"Strong,Adequate,Weak,Legacy/Insecure"</formula1>
    </dataValidation>
    <dataValidation sqref="D5:D55" showDropDown="0" showInputMessage="0" showErrorMessage="0" allowBlank="1" type="list">
      <formula1>"Yes,No,N/A"</formula1>
    </dataValidation>
    <dataValidation sqref="E5:E55" showDropDown="0" showInputMessage="0" showErrorMessage="0" allowBlank="1" type="list">
      <formula1>"TLS 1.3,TLS 1.2,TLS 1.1 (Deprecated),TLS 1.0 (Insecure),No TLS"</formula1>
    </dataValidation>
    <dataValidation sqref="F5:F55" showDropDown="0" showInputMessage="0" showErrorMessage="0" allowBlank="1" type="list">
      <formula1>"Active - Recommended,Active - Acceptable,Deprecated - Migrate,Prohibited - Block"</formula1>
    </dataValidation>
    <dataValidation sqref="G5:G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2" max="2"/>
    <col width="20" customWidth="1" min="4" max="4"/>
    <col width="14" customWidth="1" min="6" max="6"/>
    <col width="22" customWidth="1" min="7" max="7"/>
    <col width="22" customWidth="1" min="8" max="8"/>
    <col width="14" customWidth="1" min="9" max="9"/>
    <col width="18" customWidth="1" min="10" max="10"/>
    <col width="35" customWidth="1" min="11" max="11"/>
  </cols>
  <sheetData>
    <row r="1" ht="35" customHeight="1">
      <c r="A1" s="1" t="inlineStr">
        <is>
          <t>SSO INTEGRATION STATUS</t>
        </is>
      </c>
    </row>
    <row r="2">
      <c r="A2" s="12" t="inlineStr">
        <is>
          <t>Track SSO adoption and identify integration gaps (Target: 90%+ SSO integration)</t>
        </is>
      </c>
    </row>
    <row r="4">
      <c r="A4" s="13" t="inlineStr">
        <is>
          <t>Application Name</t>
        </is>
      </c>
      <c r="B4" s="13" t="inlineStr">
        <is>
          <t>Application Type</t>
        </is>
      </c>
      <c r="C4" s="13" t="inlineStr">
        <is>
          <t>User Count</t>
        </is>
      </c>
      <c r="D4" s="13" t="inlineStr">
        <is>
          <t>SSO Status</t>
        </is>
      </c>
      <c r="E4" s="13" t="inlineStr">
        <is>
          <t>SSO Protocol</t>
        </is>
      </c>
      <c r="F4" s="13" t="inlineStr">
        <is>
          <t>Integration Date</t>
        </is>
      </c>
      <c r="G4" s="13" t="inlineStr">
        <is>
          <t>SSO Platform</t>
        </is>
      </c>
      <c r="H4" s="13" t="inlineStr">
        <is>
          <t>Integration Effort</t>
        </is>
      </c>
      <c r="I4" s="13" t="inlineStr">
        <is>
          <t>Business Priority</t>
        </is>
      </c>
      <c r="J4" s="13" t="inlineStr">
        <is>
          <t>Compliance Status</t>
        </is>
      </c>
      <c r="K4" s="13" t="inlineStr">
        <is>
          <t>Notes</t>
        </is>
      </c>
    </row>
    <row r="5">
      <c r="A5" s="14" t="inlineStr">
        <is>
          <t>[Application Name]</t>
        </is>
      </c>
      <c r="B5" s="14" t="inlineStr">
        <is>
          <t>SaaS</t>
        </is>
      </c>
      <c r="C5" s="14" t="inlineStr">
        <is>
          <t>50</t>
        </is>
      </c>
      <c r="D5" s="14" t="inlineStr">
        <is>
          <t>Integrated</t>
        </is>
      </c>
      <c r="E5" s="14" t="inlineStr">
        <is>
          <t>SAML 2.0</t>
        </is>
      </c>
      <c r="F5" s="14" t="inlineStr">
        <is>
          <t>01.03.2026</t>
        </is>
      </c>
      <c r="G5" s="14" t="inlineStr">
        <is>
          <t>Microsoft Entra ID</t>
        </is>
      </c>
      <c r="H5" s="14" t="inlineStr">
        <is>
          <t>Low (Pre-built)</t>
        </is>
      </c>
      <c r="I5" s="14" t="inlineStr">
        <is>
          <t>High</t>
        </is>
      </c>
      <c r="J5" s="14" t="inlineStr">
        <is>
          <t>✅ Compliant</t>
        </is>
      </c>
      <c r="K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</row>
  </sheetData>
  <mergeCells count="2">
    <mergeCell ref="A2:K2"/>
    <mergeCell ref="A1:K1"/>
  </mergeCells>
  <dataValidations count="6">
    <dataValidation sqref="B5:B55" showDropDown="0" showInputMessage="0" showErrorMessage="0" allowBlank="1" type="list">
      <formula1>"SaaS,On-Premises Web App,Cloud Service,Internal Portal,Database,Legacy,Other"</formula1>
    </dataValidation>
    <dataValidation sqref="D5:D55" showDropDown="0" showInputMessage="0" showErrorMessage="0" allowBlank="1" type="list">
      <formula1>"Integrated,In Progress,Planned,Not Supported,Password Vaulting,Not Assessed"</formula1>
    </dataValidation>
    <dataValidation sqref="E5:E55" showDropDown="0" showInputMessage="0" showErrorMessage="0" allowBlank="1" type="list">
      <formula1>"SAML 2.0,OAuth 2.0,OpenID Connect,WS-Federation,Not Supported"</formula1>
    </dataValidation>
    <dataValidation sqref="G5:G55" showDropDown="0" showInputMessage="0" showErrorMessage="0" allowBlank="1" type="list">
      <formula1>"Microsoft Entra ID,Okta,Google Workspace,Active Directory (On-Prem),Auth0,Ping Identity,OneLogin,Local Authentication,Application-Specific"</formula1>
    </dataValidation>
    <dataValidation sqref="H5:H55" showDropDown="0" showInputMessage="0" showErrorMessage="0" allowBlank="1" type="list">
      <formula1>"Low (Pre-built),Medium (Custom Config),High (Development),Not Possible"</formula1>
    </dataValidation>
    <dataValidation sqref="I5:I55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6" customWidth="1" min="4" max="4"/>
    <col width="16" customWidth="1" min="7" max="7"/>
    <col width="16" customWidth="1" min="8" max="8"/>
    <col width="18" customWidth="1" min="10" max="10"/>
    <col width="18" customWidth="1" min="11" max="11"/>
    <col width="35" customWidth="1" min="12" max="12"/>
  </cols>
  <sheetData>
    <row r="1" ht="35" customHeight="1">
      <c r="A1" s="1" t="inlineStr">
        <is>
          <t>PASSWORD POLICY</t>
        </is>
      </c>
    </row>
    <row r="2">
      <c r="A2" s="12" t="inlineStr">
        <is>
          <t>Modern password policies: length over complexity, no forced expiry, breach detection enabled</t>
        </is>
      </c>
    </row>
    <row r="4">
      <c r="A4" s="13" t="inlineStr">
        <is>
          <t>System / Platform</t>
        </is>
      </c>
      <c r="B4" s="13" t="inlineStr">
        <is>
          <t>Policy Enforced</t>
        </is>
      </c>
      <c r="C4" s="13" t="inlineStr">
        <is>
          <t>Min Length</t>
        </is>
      </c>
      <c r="D4" s="13" t="inlineStr">
        <is>
          <t>Complexity Req</t>
        </is>
      </c>
      <c r="E4" s="13" t="inlineStr">
        <is>
          <t>Password Expiry</t>
        </is>
      </c>
      <c r="F4" s="13" t="inlineStr">
        <is>
          <t>History Count</t>
        </is>
      </c>
      <c r="G4" s="13" t="inlineStr">
        <is>
          <t>Breach Detection</t>
        </is>
      </c>
      <c r="H4" s="13" t="inlineStr">
        <is>
          <t>Lockout Threshold</t>
        </is>
      </c>
      <c r="I4" s="13" t="inlineStr">
        <is>
          <t>Compliance Score</t>
        </is>
      </c>
      <c r="J4" s="13" t="inlineStr">
        <is>
          <t>Gaps Identified</t>
        </is>
      </c>
      <c r="K4" s="13" t="inlineStr">
        <is>
          <t>Compliance Status</t>
        </is>
      </c>
      <c r="L4" s="13" t="inlineStr">
        <is>
          <t>Notes</t>
        </is>
      </c>
    </row>
    <row r="5">
      <c r="A5" s="14" t="inlineStr">
        <is>
          <t>[System Name]</t>
        </is>
      </c>
      <c r="B5" s="14" t="inlineStr">
        <is>
          <t>Yes</t>
        </is>
      </c>
      <c r="C5" s="14" t="inlineStr">
        <is>
          <t>14</t>
        </is>
      </c>
      <c r="D5" s="14" t="inlineStr">
        <is>
          <t>Yes</t>
        </is>
      </c>
      <c r="E5" s="14" t="inlineStr">
        <is>
          <t>Never (Recommended)</t>
        </is>
      </c>
      <c r="F5" s="14" t="inlineStr">
        <is>
          <t>10</t>
        </is>
      </c>
      <c r="G5" s="14" t="inlineStr">
        <is>
          <t>Enabled</t>
        </is>
      </c>
      <c r="H5" s="14" t="inlineStr">
        <is>
          <t>5 attempts</t>
        </is>
      </c>
      <c r="I5" s="14" t="inlineStr">
        <is>
          <t>100% Compliant</t>
        </is>
      </c>
      <c r="J5" s="14" t="inlineStr">
        <is>
          <t>None</t>
        </is>
      </c>
      <c r="K5" s="14" t="inlineStr">
        <is>
          <t>✅ Compliant</t>
        </is>
      </c>
      <c r="L5" s="14" t="inlineStr"/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  <c r="J6" s="15" t="n"/>
      <c r="K6" s="15" t="n"/>
      <c r="L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  <c r="J8" s="15" t="n"/>
      <c r="K8" s="15" t="n"/>
      <c r="L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</row>
  </sheetData>
  <mergeCells count="2">
    <mergeCell ref="A2:L2"/>
    <mergeCell ref="A1:L1"/>
  </mergeCells>
  <dataValidations count="4">
    <dataValidation sqref="B5:B55" showDropDown="0" showInputMessage="0" showErrorMessage="0" allowBlank="1" type="list">
      <formula1>"Yes,No,Partial"</formula1>
    </dataValidation>
    <dataValidation sqref="E5:E55" showDropDown="0" showInputMessage="0" showErrorMessage="0" allowBlank="1" type="list">
      <formula1>"Never (Recommended),90 Days,60 Days,30 Days,Custom"</formula1>
    </dataValidation>
    <dataValidation sqref="G5:G55" showDropDown="0" showInputMessage="0" showErrorMessage="0" allowBlank="1" type="list">
      <formula1>"✅ Enabled,❌ Not Available,Planned"</formula1>
    </dataValidation>
    <dataValidation sqref="K5:K55" showDropDown="0" showInputMessage="0" showErrorMessage="0" allowBlank="1" type="list">
      <formula1>"✅ Compliant,⚠ Partial Compliance,❌ Non-Compliant,In Progress,Under Review,Unknown,N/A"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MFA AVAILABILITY</t>
        </is>
      </c>
    </row>
    <row r="2">
      <c r="A2" s="12" t="inlineStr">
        <is>
          <t>MFA method availability per system</t>
        </is>
      </c>
    </row>
    <row r="4">
      <c r="A4" s="13" t="inlineStr">
        <is>
          <t>System / Application</t>
        </is>
      </c>
      <c r="B4" s="13" t="inlineStr">
        <is>
          <t>MFA Available</t>
        </is>
      </c>
      <c r="C4" s="13" t="inlineStr">
        <is>
          <t>MFA Methods Supported</t>
        </is>
      </c>
      <c r="D4" s="13" t="inlineStr">
        <is>
          <t>Hardware Token</t>
        </is>
      </c>
      <c r="E4" s="13" t="inlineStr">
        <is>
          <t>Authenticator App</t>
        </is>
      </c>
      <c r="F4" s="13" t="inlineStr">
        <is>
          <t>Deployment Status</t>
        </is>
      </c>
      <c r="G4" s="13" t="inlineStr">
        <is>
          <t>Compliance</t>
        </is>
      </c>
    </row>
    <row r="5">
      <c r="A5" s="14" t="inlineStr">
        <is>
          <t>[System Name]</t>
        </is>
      </c>
      <c r="B5" s="14" t="inlineStr">
        <is>
          <t>Yes</t>
        </is>
      </c>
      <c r="C5" s="14" t="inlineStr">
        <is>
          <t>Authenticator App, Push</t>
        </is>
      </c>
      <c r="D5" s="14" t="inlineStr">
        <is>
          <t>No</t>
        </is>
      </c>
      <c r="E5" s="14" t="inlineStr">
        <is>
          <t>Yes</t>
        </is>
      </c>
      <c r="F5" s="14" t="inlineStr">
        <is>
          <t>Deployed</t>
        </is>
      </c>
      <c r="G5" s="14" t="inlineStr">
        <is>
          <t>✅ Compliant</t>
        </is>
      </c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LEGACY AUTHENTICATION</t>
        </is>
      </c>
    </row>
    <row r="2">
      <c r="A2" s="12" t="inlineStr">
        <is>
          <t>Identify and plan migration from legacy protocols (NTLM, Basic Auth)</t>
        </is>
      </c>
    </row>
    <row r="4">
      <c r="A4" s="13" t="inlineStr">
        <is>
          <t>System</t>
        </is>
      </c>
      <c r="B4" s="13" t="inlineStr">
        <is>
          <t>Legacy Protocol</t>
        </is>
      </c>
      <c r="C4" s="13" t="inlineStr">
        <is>
          <t>Risk Level</t>
        </is>
      </c>
      <c r="D4" s="13" t="inlineStr">
        <is>
          <t>Users Affected</t>
        </is>
      </c>
      <c r="E4" s="13" t="inlineStr">
        <is>
          <t>Migration Plan</t>
        </is>
      </c>
      <c r="F4" s="13" t="inlineStr">
        <is>
          <t>Target Date</t>
        </is>
      </c>
      <c r="G4" s="13" t="inlineStr">
        <is>
          <t>Status</t>
        </is>
      </c>
    </row>
    <row r="5">
      <c r="A5" s="14" t="inlineStr">
        <is>
          <t>[System Name]</t>
        </is>
      </c>
      <c r="B5" s="14" t="inlineStr">
        <is>
          <t>NTLM (Legacy)</t>
        </is>
      </c>
      <c r="C5" s="14" t="inlineStr">
        <is>
          <t>High</t>
        </is>
      </c>
      <c r="D5" s="14" t="inlineStr">
        <is>
          <t>50</t>
        </is>
      </c>
      <c r="E5" s="14" t="inlineStr">
        <is>
          <t>Migrate to SAML 2.0</t>
        </is>
      </c>
      <c r="F5" s="14" t="inlineStr">
        <is>
          <t>01.03.2026</t>
        </is>
      </c>
      <c r="G5" s="14" t="inlineStr">
        <is>
          <t>In Progress</t>
        </is>
      </c>
    </row>
    <row r="6">
      <c r="A6" s="15" t="n"/>
      <c r="B6" s="15" t="n"/>
      <c r="C6" s="15" t="n"/>
      <c r="D6" s="15" t="n"/>
      <c r="E6" s="15" t="n"/>
      <c r="F6" s="15" t="n"/>
      <c r="G6" s="15" t="n"/>
    </row>
    <row r="7">
      <c r="A7" s="15" t="n"/>
      <c r="B7" s="15" t="n"/>
      <c r="C7" s="15" t="n"/>
      <c r="D7" s="15" t="n"/>
      <c r="E7" s="15" t="n"/>
      <c r="F7" s="15" t="n"/>
      <c r="G7" s="15" t="n"/>
    </row>
    <row r="8">
      <c r="A8" s="15" t="n"/>
      <c r="B8" s="15" t="n"/>
      <c r="C8" s="15" t="n"/>
      <c r="D8" s="15" t="n"/>
      <c r="E8" s="15" t="n"/>
      <c r="F8" s="15" t="n"/>
      <c r="G8" s="15" t="n"/>
    </row>
    <row r="9">
      <c r="A9" s="15" t="n"/>
      <c r="B9" s="15" t="n"/>
      <c r="C9" s="15" t="n"/>
      <c r="D9" s="15" t="n"/>
      <c r="E9" s="15" t="n"/>
      <c r="F9" s="15" t="n"/>
      <c r="G9" s="15" t="n"/>
    </row>
    <row r="10">
      <c r="A10" s="15" t="n"/>
      <c r="B10" s="15" t="n"/>
      <c r="C10" s="15" t="n"/>
      <c r="D10" s="15" t="n"/>
      <c r="E10" s="15" t="n"/>
      <c r="F10" s="15" t="n"/>
      <c r="G10" s="15" t="n"/>
    </row>
    <row r="11">
      <c r="A11" s="15" t="n"/>
      <c r="B11" s="15" t="n"/>
      <c r="C11" s="15" t="n"/>
      <c r="D11" s="15" t="n"/>
      <c r="E11" s="15" t="n"/>
      <c r="F11" s="15" t="n"/>
      <c r="G11" s="15" t="n"/>
    </row>
    <row r="12">
      <c r="A12" s="15" t="n"/>
      <c r="B12" s="15" t="n"/>
      <c r="C12" s="15" t="n"/>
      <c r="D12" s="15" t="n"/>
      <c r="E12" s="15" t="n"/>
      <c r="F12" s="15" t="n"/>
      <c r="G12" s="15" t="n"/>
    </row>
    <row r="13">
      <c r="A13" s="15" t="n"/>
      <c r="B13" s="15" t="n"/>
      <c r="C13" s="15" t="n"/>
      <c r="D13" s="15" t="n"/>
      <c r="E13" s="15" t="n"/>
      <c r="F13" s="15" t="n"/>
      <c r="G13" s="15" t="n"/>
    </row>
    <row r="14">
      <c r="A14" s="15" t="n"/>
      <c r="B14" s="15" t="n"/>
      <c r="C14" s="15" t="n"/>
      <c r="D14" s="15" t="n"/>
      <c r="E14" s="15" t="n"/>
      <c r="F14" s="15" t="n"/>
      <c r="G14" s="15" t="n"/>
    </row>
    <row r="15">
      <c r="A15" s="15" t="n"/>
      <c r="B15" s="15" t="n"/>
      <c r="C15" s="15" t="n"/>
      <c r="D15" s="15" t="n"/>
      <c r="E15" s="15" t="n"/>
      <c r="F15" s="15" t="n"/>
      <c r="G15" s="15" t="n"/>
    </row>
    <row r="16">
      <c r="A16" s="15" t="n"/>
      <c r="B16" s="15" t="n"/>
      <c r="C16" s="15" t="n"/>
      <c r="D16" s="15" t="n"/>
      <c r="E16" s="15" t="n"/>
      <c r="F16" s="15" t="n"/>
      <c r="G16" s="15" t="n"/>
    </row>
    <row r="17">
      <c r="A17" s="15" t="n"/>
      <c r="B17" s="15" t="n"/>
      <c r="C17" s="15" t="n"/>
      <c r="D17" s="15" t="n"/>
      <c r="E17" s="15" t="n"/>
      <c r="F17" s="15" t="n"/>
      <c r="G17" s="15" t="n"/>
    </row>
    <row r="18">
      <c r="A18" s="15" t="n"/>
      <c r="B18" s="15" t="n"/>
      <c r="C18" s="15" t="n"/>
      <c r="D18" s="15" t="n"/>
      <c r="E18" s="15" t="n"/>
      <c r="F18" s="15" t="n"/>
      <c r="G18" s="15" t="n"/>
    </row>
    <row r="19">
      <c r="A19" s="15" t="n"/>
      <c r="B19" s="15" t="n"/>
      <c r="C19" s="15" t="n"/>
      <c r="D19" s="15" t="n"/>
      <c r="E19" s="15" t="n"/>
      <c r="F19" s="15" t="n"/>
      <c r="G19" s="15" t="n"/>
    </row>
    <row r="20">
      <c r="A20" s="15" t="n"/>
      <c r="B20" s="15" t="n"/>
      <c r="C20" s="15" t="n"/>
      <c r="D20" s="15" t="n"/>
      <c r="E20" s="15" t="n"/>
      <c r="F20" s="15" t="n"/>
      <c r="G20" s="15" t="n"/>
    </row>
    <row r="21">
      <c r="A21" s="15" t="n"/>
      <c r="B21" s="15" t="n"/>
      <c r="C21" s="15" t="n"/>
      <c r="D21" s="15" t="n"/>
      <c r="E21" s="15" t="n"/>
      <c r="F21" s="15" t="n"/>
      <c r="G21" s="15" t="n"/>
    </row>
    <row r="22">
      <c r="A22" s="15" t="n"/>
      <c r="B22" s="15" t="n"/>
      <c r="C22" s="15" t="n"/>
      <c r="D22" s="15" t="n"/>
      <c r="E22" s="15" t="n"/>
      <c r="F22" s="15" t="n"/>
      <c r="G22" s="15" t="n"/>
    </row>
    <row r="23">
      <c r="A23" s="15" t="n"/>
      <c r="B23" s="15" t="n"/>
      <c r="C23" s="15" t="n"/>
      <c r="D23" s="15" t="n"/>
      <c r="E23" s="15" t="n"/>
      <c r="F23" s="15" t="n"/>
      <c r="G23" s="15" t="n"/>
    </row>
    <row r="24">
      <c r="A24" s="15" t="n"/>
      <c r="B24" s="15" t="n"/>
      <c r="C24" s="15" t="n"/>
      <c r="D24" s="15" t="n"/>
      <c r="E24" s="15" t="n"/>
      <c r="F24" s="15" t="n"/>
      <c r="G24" s="15" t="n"/>
    </row>
    <row r="25">
      <c r="A25" s="15" t="n"/>
      <c r="B25" s="15" t="n"/>
      <c r="C25" s="15" t="n"/>
      <c r="D25" s="15" t="n"/>
      <c r="E25" s="15" t="n"/>
      <c r="F25" s="15" t="n"/>
      <c r="G25" s="15" t="n"/>
    </row>
    <row r="26">
      <c r="A26" s="15" t="n"/>
      <c r="B26" s="15" t="n"/>
      <c r="C26" s="15" t="n"/>
      <c r="D26" s="15" t="n"/>
      <c r="E26" s="15" t="n"/>
      <c r="F26" s="15" t="n"/>
      <c r="G26" s="15" t="n"/>
    </row>
    <row r="27">
      <c r="A27" s="15" t="n"/>
      <c r="B27" s="15" t="n"/>
      <c r="C27" s="15" t="n"/>
      <c r="D27" s="15" t="n"/>
      <c r="E27" s="15" t="n"/>
      <c r="F27" s="15" t="n"/>
      <c r="G27" s="15" t="n"/>
    </row>
    <row r="28">
      <c r="A28" s="15" t="n"/>
      <c r="B28" s="15" t="n"/>
      <c r="C28" s="15" t="n"/>
      <c r="D28" s="15" t="n"/>
      <c r="E28" s="15" t="n"/>
      <c r="F28" s="15" t="n"/>
      <c r="G28" s="15" t="n"/>
    </row>
    <row r="29">
      <c r="A29" s="15" t="n"/>
      <c r="B29" s="15" t="n"/>
      <c r="C29" s="15" t="n"/>
      <c r="D29" s="15" t="n"/>
      <c r="E29" s="15" t="n"/>
      <c r="F29" s="15" t="n"/>
      <c r="G29" s="15" t="n"/>
    </row>
    <row r="30">
      <c r="A30" s="15" t="n"/>
      <c r="B30" s="15" t="n"/>
      <c r="C30" s="15" t="n"/>
      <c r="D30" s="15" t="n"/>
      <c r="E30" s="15" t="n"/>
      <c r="F30" s="15" t="n"/>
      <c r="G30" s="15" t="n"/>
    </row>
    <row r="31">
      <c r="A31" s="15" t="n"/>
      <c r="B31" s="15" t="n"/>
      <c r="C31" s="15" t="n"/>
      <c r="D31" s="15" t="n"/>
      <c r="E31" s="15" t="n"/>
      <c r="F31" s="15" t="n"/>
      <c r="G31" s="15" t="n"/>
    </row>
    <row r="32">
      <c r="A32" s="15" t="n"/>
      <c r="B32" s="15" t="n"/>
      <c r="C32" s="15" t="n"/>
      <c r="D32" s="15" t="n"/>
      <c r="E32" s="15" t="n"/>
      <c r="F32" s="15" t="n"/>
      <c r="G32" s="15" t="n"/>
    </row>
    <row r="33">
      <c r="A33" s="15" t="n"/>
      <c r="B33" s="15" t="n"/>
      <c r="C33" s="15" t="n"/>
      <c r="D33" s="15" t="n"/>
      <c r="E33" s="15" t="n"/>
      <c r="F33" s="15" t="n"/>
      <c r="G33" s="15" t="n"/>
    </row>
    <row r="34">
      <c r="A34" s="15" t="n"/>
      <c r="B34" s="15" t="n"/>
      <c r="C34" s="15" t="n"/>
      <c r="D34" s="15" t="n"/>
      <c r="E34" s="15" t="n"/>
      <c r="F34" s="15" t="n"/>
      <c r="G34" s="15" t="n"/>
    </row>
    <row r="35">
      <c r="A35" s="15" t="n"/>
      <c r="B35" s="15" t="n"/>
      <c r="C35" s="15" t="n"/>
      <c r="D35" s="15" t="n"/>
      <c r="E35" s="15" t="n"/>
      <c r="F35" s="15" t="n"/>
      <c r="G35" s="15" t="n"/>
    </row>
    <row r="36">
      <c r="A36" s="15" t="n"/>
      <c r="B36" s="15" t="n"/>
      <c r="C36" s="15" t="n"/>
      <c r="D36" s="15" t="n"/>
      <c r="E36" s="15" t="n"/>
      <c r="F36" s="15" t="n"/>
      <c r="G36" s="15" t="n"/>
    </row>
    <row r="37">
      <c r="A37" s="15" t="n"/>
      <c r="B37" s="15" t="n"/>
      <c r="C37" s="15" t="n"/>
      <c r="D37" s="15" t="n"/>
      <c r="E37" s="15" t="n"/>
      <c r="F37" s="15" t="n"/>
      <c r="G37" s="15" t="n"/>
    </row>
    <row r="38">
      <c r="A38" s="15" t="n"/>
      <c r="B38" s="15" t="n"/>
      <c r="C38" s="15" t="n"/>
      <c r="D38" s="15" t="n"/>
      <c r="E38" s="15" t="n"/>
      <c r="F38" s="15" t="n"/>
      <c r="G38" s="15" t="n"/>
    </row>
    <row r="39">
      <c r="A39" s="15" t="n"/>
      <c r="B39" s="15" t="n"/>
      <c r="C39" s="15" t="n"/>
      <c r="D39" s="15" t="n"/>
      <c r="E39" s="15" t="n"/>
      <c r="F39" s="15" t="n"/>
      <c r="G39" s="15" t="n"/>
    </row>
    <row r="40">
      <c r="A40" s="15" t="n"/>
      <c r="B40" s="15" t="n"/>
      <c r="C40" s="15" t="n"/>
      <c r="D40" s="15" t="n"/>
      <c r="E40" s="15" t="n"/>
      <c r="F40" s="15" t="n"/>
      <c r="G40" s="15" t="n"/>
    </row>
    <row r="41">
      <c r="A41" s="15" t="n"/>
      <c r="B41" s="15" t="n"/>
      <c r="C41" s="15" t="n"/>
      <c r="D41" s="15" t="n"/>
      <c r="E41" s="15" t="n"/>
      <c r="F41" s="15" t="n"/>
      <c r="G41" s="15" t="n"/>
    </row>
    <row r="42">
      <c r="A42" s="15" t="n"/>
      <c r="B42" s="15" t="n"/>
      <c r="C42" s="15" t="n"/>
      <c r="D42" s="15" t="n"/>
      <c r="E42" s="15" t="n"/>
      <c r="F42" s="15" t="n"/>
      <c r="G42" s="15" t="n"/>
    </row>
    <row r="43">
      <c r="A43" s="15" t="n"/>
      <c r="B43" s="15" t="n"/>
      <c r="C43" s="15" t="n"/>
      <c r="D43" s="15" t="n"/>
      <c r="E43" s="15" t="n"/>
      <c r="F43" s="15" t="n"/>
      <c r="G43" s="15" t="n"/>
    </row>
    <row r="44">
      <c r="A44" s="15" t="n"/>
      <c r="B44" s="15" t="n"/>
      <c r="C44" s="15" t="n"/>
      <c r="D44" s="15" t="n"/>
      <c r="E44" s="15" t="n"/>
      <c r="F44" s="15" t="n"/>
      <c r="G44" s="15" t="n"/>
    </row>
    <row r="45">
      <c r="A45" s="15" t="n"/>
      <c r="B45" s="15" t="n"/>
      <c r="C45" s="15" t="n"/>
      <c r="D45" s="15" t="n"/>
      <c r="E45" s="15" t="n"/>
      <c r="F45" s="15" t="n"/>
      <c r="G45" s="15" t="n"/>
    </row>
    <row r="46">
      <c r="A46" s="15" t="n"/>
      <c r="B46" s="15" t="n"/>
      <c r="C46" s="15" t="n"/>
      <c r="D46" s="15" t="n"/>
      <c r="E46" s="15" t="n"/>
      <c r="F46" s="15" t="n"/>
      <c r="G46" s="15" t="n"/>
    </row>
    <row r="47">
      <c r="A47" s="15" t="n"/>
      <c r="B47" s="15" t="n"/>
      <c r="C47" s="15" t="n"/>
      <c r="D47" s="15" t="n"/>
      <c r="E47" s="15" t="n"/>
      <c r="F47" s="15" t="n"/>
      <c r="G47" s="15" t="n"/>
    </row>
    <row r="48">
      <c r="A48" s="15" t="n"/>
      <c r="B48" s="15" t="n"/>
      <c r="C48" s="15" t="n"/>
      <c r="D48" s="15" t="n"/>
      <c r="E48" s="15" t="n"/>
      <c r="F48" s="15" t="n"/>
      <c r="G48" s="15" t="n"/>
    </row>
    <row r="49">
      <c r="A49" s="15" t="n"/>
      <c r="B49" s="15" t="n"/>
      <c r="C49" s="15" t="n"/>
      <c r="D49" s="15" t="n"/>
      <c r="E49" s="15" t="n"/>
      <c r="F49" s="15" t="n"/>
      <c r="G49" s="15" t="n"/>
    </row>
    <row r="50">
      <c r="A50" s="15" t="n"/>
      <c r="B50" s="15" t="n"/>
      <c r="C50" s="15" t="n"/>
      <c r="D50" s="15" t="n"/>
      <c r="E50" s="15" t="n"/>
      <c r="F50" s="15" t="n"/>
      <c r="G50" s="15" t="n"/>
    </row>
    <row r="51">
      <c r="A51" s="15" t="n"/>
      <c r="B51" s="15" t="n"/>
      <c r="C51" s="15" t="n"/>
      <c r="D51" s="15" t="n"/>
      <c r="E51" s="15" t="n"/>
      <c r="F51" s="15" t="n"/>
      <c r="G51" s="15" t="n"/>
    </row>
    <row r="52">
      <c r="A52" s="15" t="n"/>
      <c r="B52" s="15" t="n"/>
      <c r="C52" s="15" t="n"/>
      <c r="D52" s="15" t="n"/>
      <c r="E52" s="15" t="n"/>
      <c r="F52" s="15" t="n"/>
      <c r="G52" s="15" t="n"/>
    </row>
    <row r="53">
      <c r="A53" s="15" t="n"/>
      <c r="B53" s="15" t="n"/>
      <c r="C53" s="15" t="n"/>
      <c r="D53" s="15" t="n"/>
      <c r="E53" s="15" t="n"/>
      <c r="F53" s="15" t="n"/>
      <c r="G53" s="15" t="n"/>
    </row>
    <row r="54">
      <c r="A54" s="15" t="n"/>
      <c r="B54" s="15" t="n"/>
      <c r="C54" s="15" t="n"/>
      <c r="D54" s="15" t="n"/>
      <c r="E54" s="15" t="n"/>
      <c r="F54" s="15" t="n"/>
      <c r="G54" s="15" t="n"/>
    </row>
    <row r="55">
      <c r="A55" s="15" t="n"/>
      <c r="B55" s="15" t="n"/>
      <c r="C55" s="15" t="n"/>
      <c r="D55" s="15" t="n"/>
      <c r="E55" s="15" t="n"/>
      <c r="F55" s="15" t="n"/>
      <c r="G55" s="15" t="n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 ht="35" customHeight="1">
      <c r="A1" s="1" t="inlineStr">
        <is>
          <t>GAP ANALYSIS</t>
        </is>
      </c>
    </row>
    <row r="2">
      <c r="A2" s="12" t="inlineStr">
        <is>
          <t>Authentication security gaps requiring remediation</t>
        </is>
      </c>
    </row>
    <row r="4">
      <c r="A4" s="13" t="inlineStr">
        <is>
          <t>Gap ID</t>
        </is>
      </c>
      <c r="B4" s="13" t="inlineStr">
        <is>
          <t>System / Area</t>
        </is>
      </c>
      <c r="C4" s="13" t="inlineStr">
        <is>
          <t>Gap Description</t>
        </is>
      </c>
      <c r="D4" s="13" t="inlineStr">
        <is>
          <t>Risk Level</t>
        </is>
      </c>
      <c r="E4" s="13" t="inlineStr">
        <is>
          <t>Impact</t>
        </is>
      </c>
      <c r="F4" s="13" t="inlineStr">
        <is>
          <t>Remediation Plan</t>
        </is>
      </c>
      <c r="G4" s="13" t="inlineStr">
        <is>
          <t>Owner</t>
        </is>
      </c>
      <c r="H4" s="13" t="inlineStr">
        <is>
          <t>Target Date</t>
        </is>
      </c>
      <c r="I4" s="13" t="inlineStr">
        <is>
          <t>Status</t>
        </is>
      </c>
    </row>
    <row r="5">
      <c r="A5" s="14" t="inlineStr">
        <is>
          <t>GAP-001</t>
        </is>
      </c>
      <c r="B5" s="14" t="inlineStr">
        <is>
          <t>[System]</t>
        </is>
      </c>
      <c r="C5" s="14" t="inlineStr">
        <is>
          <t>[Gap description]</t>
        </is>
      </c>
      <c r="D5" s="14" t="inlineStr">
        <is>
          <t>High</t>
        </is>
      </c>
      <c r="E5" s="14" t="inlineStr">
        <is>
          <t>[Impact]</t>
        </is>
      </c>
      <c r="F5" s="14" t="inlineStr">
        <is>
          <t>[Remediation plan]</t>
        </is>
      </c>
      <c r="G5" s="14" t="inlineStr">
        <is>
          <t>[Owner]</t>
        </is>
      </c>
      <c r="H5" s="14" t="inlineStr">
        <is>
          <t>01.03.2026</t>
        </is>
      </c>
      <c r="I5" s="14" t="inlineStr">
        <is>
          <t>Open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  <c r="I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  <c r="I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  <c r="I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  <c r="I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  <c r="I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  <c r="I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  <c r="I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  <c r="I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  <c r="I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  <c r="I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  <c r="I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  <c r="I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  <c r="I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  <c r="I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  <c r="I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  <c r="I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  <c r="I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  <c r="I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  <c r="I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  <c r="I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  <c r="I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  <c r="I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  <c r="I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  <c r="I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  <c r="I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  <c r="I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  <c r="I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  <c r="I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  <c r="I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  <c r="I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  <c r="I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  <c r="I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  <c r="I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  <c r="I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  <c r="I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  <c r="I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  <c r="I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  <c r="I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  <c r="I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  <c r="I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  <c r="I55" s="15" t="n"/>
    </row>
  </sheetData>
  <mergeCells count="2">
    <mergeCell ref="A1:I1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40" customWidth="1" min="4" max="4"/>
    <col width="30" customWidth="1" min="5" max="5"/>
    <col width="14" customWidth="1" min="6" max="6"/>
    <col width="18" customWidth="1" min="7" max="7"/>
    <col width="18" customWidth="1" min="8" max="8"/>
  </cols>
  <sheetData>
    <row r="1" ht="35" customHeight="1">
      <c r="A1" s="16" t="inlineStr">
        <is>
          <t>EVIDENCE REGISTER</t>
        </is>
      </c>
    </row>
    <row r="2">
      <c r="A2" s="17" t="inlineStr">
        <is>
          <t>ISMS-IMP-A.8.2-3-5.S1 - Authentication Inventory Assessment — Evidence log for audit readiness</t>
        </is>
      </c>
    </row>
    <row r="4">
      <c r="A4" s="13" t="inlineStr">
        <is>
          <t>Evidence ID</t>
        </is>
      </c>
      <c r="B4" s="13" t="inlineStr">
        <is>
          <t>Control Ref</t>
        </is>
      </c>
      <c r="C4" s="13" t="inlineStr">
        <is>
          <t>Evidence Type</t>
        </is>
      </c>
      <c r="D4" s="13" t="inlineStr">
        <is>
          <t>Description</t>
        </is>
      </c>
      <c r="E4" s="13" t="inlineStr">
        <is>
          <t>Location / Reference</t>
        </is>
      </c>
      <c r="F4" s="13" t="inlineStr">
        <is>
          <t>Date Collected</t>
        </is>
      </c>
      <c r="G4" s="13" t="inlineStr">
        <is>
          <t>Collected By</t>
        </is>
      </c>
      <c r="H4" s="13" t="inlineStr">
        <is>
          <t>Verification Status</t>
        </is>
      </c>
    </row>
    <row r="5">
      <c r="A5" s="14" t="inlineStr">
        <is>
          <t>EV-001</t>
        </is>
      </c>
      <c r="B5" s="14" t="inlineStr">
        <is>
          <t>A.8.5</t>
        </is>
      </c>
      <c r="C5" s="14" t="inlineStr">
        <is>
          <t>Screenshot</t>
        </is>
      </c>
      <c r="D5" s="14" t="inlineStr">
        <is>
          <t>MFA enrollment report from identity provider</t>
        </is>
      </c>
      <c r="E5" s="14" t="inlineStr">
        <is>
          <t>SharePoint/Evidence/A8235/</t>
        </is>
      </c>
      <c r="F5" s="14" t="inlineStr">
        <is>
          <t>01.03.2026</t>
        </is>
      </c>
      <c r="G5" s="14" t="inlineStr">
        <is>
          <t>[Name]</t>
        </is>
      </c>
      <c r="H5" s="14" t="inlineStr">
        <is>
          <t>✅ Verified</t>
        </is>
      </c>
    </row>
    <row r="6">
      <c r="A6" s="15" t="n"/>
      <c r="B6" s="15" t="n"/>
      <c r="C6" s="15" t="n"/>
      <c r="D6" s="15" t="n"/>
      <c r="E6" s="15" t="n"/>
      <c r="F6" s="15" t="n"/>
      <c r="G6" s="15" t="n"/>
      <c r="H6" s="15" t="n"/>
    </row>
    <row r="7">
      <c r="A7" s="15" t="n"/>
      <c r="B7" s="15" t="n"/>
      <c r="C7" s="15" t="n"/>
      <c r="D7" s="15" t="n"/>
      <c r="E7" s="15" t="n"/>
      <c r="F7" s="15" t="n"/>
      <c r="G7" s="15" t="n"/>
      <c r="H7" s="15" t="n"/>
    </row>
    <row r="8">
      <c r="A8" s="15" t="n"/>
      <c r="B8" s="15" t="n"/>
      <c r="C8" s="15" t="n"/>
      <c r="D8" s="15" t="n"/>
      <c r="E8" s="15" t="n"/>
      <c r="F8" s="15" t="n"/>
      <c r="G8" s="15" t="n"/>
      <c r="H8" s="15" t="n"/>
    </row>
    <row r="9">
      <c r="A9" s="15" t="n"/>
      <c r="B9" s="15" t="n"/>
      <c r="C9" s="15" t="n"/>
      <c r="D9" s="15" t="n"/>
      <c r="E9" s="15" t="n"/>
      <c r="F9" s="15" t="n"/>
      <c r="G9" s="15" t="n"/>
      <c r="H9" s="15" t="n"/>
    </row>
    <row r="10">
      <c r="A10" s="15" t="n"/>
      <c r="B10" s="15" t="n"/>
      <c r="C10" s="15" t="n"/>
      <c r="D10" s="15" t="n"/>
      <c r="E10" s="15" t="n"/>
      <c r="F10" s="15" t="n"/>
      <c r="G10" s="15" t="n"/>
      <c r="H10" s="15" t="n"/>
    </row>
    <row r="11">
      <c r="A11" s="15" t="n"/>
      <c r="B11" s="15" t="n"/>
      <c r="C11" s="15" t="n"/>
      <c r="D11" s="15" t="n"/>
      <c r="E11" s="15" t="n"/>
      <c r="F11" s="15" t="n"/>
      <c r="G11" s="15" t="n"/>
      <c r="H11" s="15" t="n"/>
    </row>
    <row r="12">
      <c r="A12" s="15" t="n"/>
      <c r="B12" s="15" t="n"/>
      <c r="C12" s="15" t="n"/>
      <c r="D12" s="15" t="n"/>
      <c r="E12" s="15" t="n"/>
      <c r="F12" s="15" t="n"/>
      <c r="G12" s="15" t="n"/>
      <c r="H12" s="15" t="n"/>
    </row>
    <row r="13">
      <c r="A13" s="15" t="n"/>
      <c r="B13" s="15" t="n"/>
      <c r="C13" s="15" t="n"/>
      <c r="D13" s="15" t="n"/>
      <c r="E13" s="15" t="n"/>
      <c r="F13" s="15" t="n"/>
      <c r="G13" s="15" t="n"/>
      <c r="H13" s="15" t="n"/>
    </row>
    <row r="14">
      <c r="A14" s="15" t="n"/>
      <c r="B14" s="15" t="n"/>
      <c r="C14" s="15" t="n"/>
      <c r="D14" s="15" t="n"/>
      <c r="E14" s="15" t="n"/>
      <c r="F14" s="15" t="n"/>
      <c r="G14" s="15" t="n"/>
      <c r="H14" s="15" t="n"/>
    </row>
    <row r="15">
      <c r="A15" s="15" t="n"/>
      <c r="B15" s="15" t="n"/>
      <c r="C15" s="15" t="n"/>
      <c r="D15" s="15" t="n"/>
      <c r="E15" s="15" t="n"/>
      <c r="F15" s="15" t="n"/>
      <c r="G15" s="15" t="n"/>
      <c r="H15" s="15" t="n"/>
    </row>
    <row r="16">
      <c r="A16" s="15" t="n"/>
      <c r="B16" s="15" t="n"/>
      <c r="C16" s="15" t="n"/>
      <c r="D16" s="15" t="n"/>
      <c r="E16" s="15" t="n"/>
      <c r="F16" s="15" t="n"/>
      <c r="G16" s="15" t="n"/>
      <c r="H16" s="15" t="n"/>
    </row>
    <row r="17">
      <c r="A17" s="15" t="n"/>
      <c r="B17" s="15" t="n"/>
      <c r="C17" s="15" t="n"/>
      <c r="D17" s="15" t="n"/>
      <c r="E17" s="15" t="n"/>
      <c r="F17" s="15" t="n"/>
      <c r="G17" s="15" t="n"/>
      <c r="H17" s="15" t="n"/>
    </row>
    <row r="18">
      <c r="A18" s="15" t="n"/>
      <c r="B18" s="15" t="n"/>
      <c r="C18" s="15" t="n"/>
      <c r="D18" s="15" t="n"/>
      <c r="E18" s="15" t="n"/>
      <c r="F18" s="15" t="n"/>
      <c r="G18" s="15" t="n"/>
      <c r="H18" s="15" t="n"/>
    </row>
    <row r="19">
      <c r="A19" s="15" t="n"/>
      <c r="B19" s="15" t="n"/>
      <c r="C19" s="15" t="n"/>
      <c r="D19" s="15" t="n"/>
      <c r="E19" s="15" t="n"/>
      <c r="F19" s="15" t="n"/>
      <c r="G19" s="15" t="n"/>
      <c r="H19" s="15" t="n"/>
    </row>
    <row r="20">
      <c r="A20" s="15" t="n"/>
      <c r="B20" s="15" t="n"/>
      <c r="C20" s="15" t="n"/>
      <c r="D20" s="15" t="n"/>
      <c r="E20" s="15" t="n"/>
      <c r="F20" s="15" t="n"/>
      <c r="G20" s="15" t="n"/>
      <c r="H20" s="15" t="n"/>
    </row>
    <row r="21">
      <c r="A21" s="15" t="n"/>
      <c r="B21" s="15" t="n"/>
      <c r="C21" s="15" t="n"/>
      <c r="D21" s="15" t="n"/>
      <c r="E21" s="15" t="n"/>
      <c r="F21" s="15" t="n"/>
      <c r="G21" s="15" t="n"/>
      <c r="H21" s="15" t="n"/>
    </row>
    <row r="22">
      <c r="A22" s="15" t="n"/>
      <c r="B22" s="15" t="n"/>
      <c r="C22" s="15" t="n"/>
      <c r="D22" s="15" t="n"/>
      <c r="E22" s="15" t="n"/>
      <c r="F22" s="15" t="n"/>
      <c r="G22" s="15" t="n"/>
      <c r="H22" s="15" t="n"/>
    </row>
    <row r="23">
      <c r="A23" s="15" t="n"/>
      <c r="B23" s="15" t="n"/>
      <c r="C23" s="15" t="n"/>
      <c r="D23" s="15" t="n"/>
      <c r="E23" s="15" t="n"/>
      <c r="F23" s="15" t="n"/>
      <c r="G23" s="15" t="n"/>
      <c r="H23" s="15" t="n"/>
    </row>
    <row r="24">
      <c r="A24" s="15" t="n"/>
      <c r="B24" s="15" t="n"/>
      <c r="C24" s="15" t="n"/>
      <c r="D24" s="15" t="n"/>
      <c r="E24" s="15" t="n"/>
      <c r="F24" s="15" t="n"/>
      <c r="G24" s="15" t="n"/>
      <c r="H24" s="15" t="n"/>
    </row>
    <row r="25">
      <c r="A25" s="15" t="n"/>
      <c r="B25" s="15" t="n"/>
      <c r="C25" s="15" t="n"/>
      <c r="D25" s="15" t="n"/>
      <c r="E25" s="15" t="n"/>
      <c r="F25" s="15" t="n"/>
      <c r="G25" s="15" t="n"/>
      <c r="H25" s="15" t="n"/>
    </row>
    <row r="26">
      <c r="A26" s="15" t="n"/>
      <c r="B26" s="15" t="n"/>
      <c r="C26" s="15" t="n"/>
      <c r="D26" s="15" t="n"/>
      <c r="E26" s="15" t="n"/>
      <c r="F26" s="15" t="n"/>
      <c r="G26" s="15" t="n"/>
      <c r="H26" s="15" t="n"/>
    </row>
    <row r="27">
      <c r="A27" s="15" t="n"/>
      <c r="B27" s="15" t="n"/>
      <c r="C27" s="15" t="n"/>
      <c r="D27" s="15" t="n"/>
      <c r="E27" s="15" t="n"/>
      <c r="F27" s="15" t="n"/>
      <c r="G27" s="15" t="n"/>
      <c r="H27" s="15" t="n"/>
    </row>
    <row r="28">
      <c r="A28" s="15" t="n"/>
      <c r="B28" s="15" t="n"/>
      <c r="C28" s="15" t="n"/>
      <c r="D28" s="15" t="n"/>
      <c r="E28" s="15" t="n"/>
      <c r="F28" s="15" t="n"/>
      <c r="G28" s="15" t="n"/>
      <c r="H28" s="15" t="n"/>
    </row>
    <row r="29">
      <c r="A29" s="15" t="n"/>
      <c r="B29" s="15" t="n"/>
      <c r="C29" s="15" t="n"/>
      <c r="D29" s="15" t="n"/>
      <c r="E29" s="15" t="n"/>
      <c r="F29" s="15" t="n"/>
      <c r="G29" s="15" t="n"/>
      <c r="H29" s="15" t="n"/>
    </row>
    <row r="30">
      <c r="A30" s="15" t="n"/>
      <c r="B30" s="15" t="n"/>
      <c r="C30" s="15" t="n"/>
      <c r="D30" s="15" t="n"/>
      <c r="E30" s="15" t="n"/>
      <c r="F30" s="15" t="n"/>
      <c r="G30" s="15" t="n"/>
      <c r="H30" s="15" t="n"/>
    </row>
    <row r="31">
      <c r="A31" s="15" t="n"/>
      <c r="B31" s="15" t="n"/>
      <c r="C31" s="15" t="n"/>
      <c r="D31" s="15" t="n"/>
      <c r="E31" s="15" t="n"/>
      <c r="F31" s="15" t="n"/>
      <c r="G31" s="15" t="n"/>
      <c r="H31" s="15" t="n"/>
    </row>
    <row r="32">
      <c r="A32" s="15" t="n"/>
      <c r="B32" s="15" t="n"/>
      <c r="C32" s="15" t="n"/>
      <c r="D32" s="15" t="n"/>
      <c r="E32" s="15" t="n"/>
      <c r="F32" s="15" t="n"/>
      <c r="G32" s="15" t="n"/>
      <c r="H32" s="15" t="n"/>
    </row>
    <row r="33">
      <c r="A33" s="15" t="n"/>
      <c r="B33" s="15" t="n"/>
      <c r="C33" s="15" t="n"/>
      <c r="D33" s="15" t="n"/>
      <c r="E33" s="15" t="n"/>
      <c r="F33" s="15" t="n"/>
      <c r="G33" s="15" t="n"/>
      <c r="H33" s="15" t="n"/>
    </row>
    <row r="34">
      <c r="A34" s="15" t="n"/>
      <c r="B34" s="15" t="n"/>
      <c r="C34" s="15" t="n"/>
      <c r="D34" s="15" t="n"/>
      <c r="E34" s="15" t="n"/>
      <c r="F34" s="15" t="n"/>
      <c r="G34" s="15" t="n"/>
      <c r="H34" s="15" t="n"/>
    </row>
    <row r="35">
      <c r="A35" s="15" t="n"/>
      <c r="B35" s="15" t="n"/>
      <c r="C35" s="15" t="n"/>
      <c r="D35" s="15" t="n"/>
      <c r="E35" s="15" t="n"/>
      <c r="F35" s="15" t="n"/>
      <c r="G35" s="15" t="n"/>
      <c r="H35" s="15" t="n"/>
    </row>
    <row r="36">
      <c r="A36" s="15" t="n"/>
      <c r="B36" s="15" t="n"/>
      <c r="C36" s="15" t="n"/>
      <c r="D36" s="15" t="n"/>
      <c r="E36" s="15" t="n"/>
      <c r="F36" s="15" t="n"/>
      <c r="G36" s="15" t="n"/>
      <c r="H36" s="15" t="n"/>
    </row>
    <row r="37">
      <c r="A37" s="15" t="n"/>
      <c r="B37" s="15" t="n"/>
      <c r="C37" s="15" t="n"/>
      <c r="D37" s="15" t="n"/>
      <c r="E37" s="15" t="n"/>
      <c r="F37" s="15" t="n"/>
      <c r="G37" s="15" t="n"/>
      <c r="H37" s="15" t="n"/>
    </row>
    <row r="38">
      <c r="A38" s="15" t="n"/>
      <c r="B38" s="15" t="n"/>
      <c r="C38" s="15" t="n"/>
      <c r="D38" s="15" t="n"/>
      <c r="E38" s="15" t="n"/>
      <c r="F38" s="15" t="n"/>
      <c r="G38" s="15" t="n"/>
      <c r="H38" s="15" t="n"/>
    </row>
    <row r="39">
      <c r="A39" s="15" t="n"/>
      <c r="B39" s="15" t="n"/>
      <c r="C39" s="15" t="n"/>
      <c r="D39" s="15" t="n"/>
      <c r="E39" s="15" t="n"/>
      <c r="F39" s="15" t="n"/>
      <c r="G39" s="15" t="n"/>
      <c r="H39" s="15" t="n"/>
    </row>
    <row r="40">
      <c r="A40" s="15" t="n"/>
      <c r="B40" s="15" t="n"/>
      <c r="C40" s="15" t="n"/>
      <c r="D40" s="15" t="n"/>
      <c r="E40" s="15" t="n"/>
      <c r="F40" s="15" t="n"/>
      <c r="G40" s="15" t="n"/>
      <c r="H40" s="15" t="n"/>
    </row>
    <row r="41">
      <c r="A41" s="15" t="n"/>
      <c r="B41" s="15" t="n"/>
      <c r="C41" s="15" t="n"/>
      <c r="D41" s="15" t="n"/>
      <c r="E41" s="15" t="n"/>
      <c r="F41" s="15" t="n"/>
      <c r="G41" s="15" t="n"/>
      <c r="H41" s="15" t="n"/>
    </row>
    <row r="42">
      <c r="A42" s="15" t="n"/>
      <c r="B42" s="15" t="n"/>
      <c r="C42" s="15" t="n"/>
      <c r="D42" s="15" t="n"/>
      <c r="E42" s="15" t="n"/>
      <c r="F42" s="15" t="n"/>
      <c r="G42" s="15" t="n"/>
      <c r="H42" s="15" t="n"/>
    </row>
    <row r="43">
      <c r="A43" s="15" t="n"/>
      <c r="B43" s="15" t="n"/>
      <c r="C43" s="15" t="n"/>
      <c r="D43" s="15" t="n"/>
      <c r="E43" s="15" t="n"/>
      <c r="F43" s="15" t="n"/>
      <c r="G43" s="15" t="n"/>
      <c r="H43" s="15" t="n"/>
    </row>
    <row r="44">
      <c r="A44" s="15" t="n"/>
      <c r="B44" s="15" t="n"/>
      <c r="C44" s="15" t="n"/>
      <c r="D44" s="15" t="n"/>
      <c r="E44" s="15" t="n"/>
      <c r="F44" s="15" t="n"/>
      <c r="G44" s="15" t="n"/>
      <c r="H44" s="15" t="n"/>
    </row>
    <row r="45">
      <c r="A45" s="15" t="n"/>
      <c r="B45" s="15" t="n"/>
      <c r="C45" s="15" t="n"/>
      <c r="D45" s="15" t="n"/>
      <c r="E45" s="15" t="n"/>
      <c r="F45" s="15" t="n"/>
      <c r="G45" s="15" t="n"/>
      <c r="H45" s="15" t="n"/>
    </row>
    <row r="46">
      <c r="A46" s="15" t="n"/>
      <c r="B46" s="15" t="n"/>
      <c r="C46" s="15" t="n"/>
      <c r="D46" s="15" t="n"/>
      <c r="E46" s="15" t="n"/>
      <c r="F46" s="15" t="n"/>
      <c r="G46" s="15" t="n"/>
      <c r="H46" s="15" t="n"/>
    </row>
    <row r="47">
      <c r="A47" s="15" t="n"/>
      <c r="B47" s="15" t="n"/>
      <c r="C47" s="15" t="n"/>
      <c r="D47" s="15" t="n"/>
      <c r="E47" s="15" t="n"/>
      <c r="F47" s="15" t="n"/>
      <c r="G47" s="15" t="n"/>
      <c r="H47" s="15" t="n"/>
    </row>
    <row r="48">
      <c r="A48" s="15" t="n"/>
      <c r="B48" s="15" t="n"/>
      <c r="C48" s="15" t="n"/>
      <c r="D48" s="15" t="n"/>
      <c r="E48" s="15" t="n"/>
      <c r="F48" s="15" t="n"/>
      <c r="G48" s="15" t="n"/>
      <c r="H48" s="15" t="n"/>
    </row>
    <row r="49">
      <c r="A49" s="15" t="n"/>
      <c r="B49" s="15" t="n"/>
      <c r="C49" s="15" t="n"/>
      <c r="D49" s="15" t="n"/>
      <c r="E49" s="15" t="n"/>
      <c r="F49" s="15" t="n"/>
      <c r="G49" s="15" t="n"/>
      <c r="H49" s="15" t="n"/>
    </row>
    <row r="50">
      <c r="A50" s="15" t="n"/>
      <c r="B50" s="15" t="n"/>
      <c r="C50" s="15" t="n"/>
      <c r="D50" s="15" t="n"/>
      <c r="E50" s="15" t="n"/>
      <c r="F50" s="15" t="n"/>
      <c r="G50" s="15" t="n"/>
      <c r="H50" s="15" t="n"/>
    </row>
    <row r="51">
      <c r="A51" s="15" t="n"/>
      <c r="B51" s="15" t="n"/>
      <c r="C51" s="15" t="n"/>
      <c r="D51" s="15" t="n"/>
      <c r="E51" s="15" t="n"/>
      <c r="F51" s="15" t="n"/>
      <c r="G51" s="15" t="n"/>
      <c r="H51" s="15" t="n"/>
    </row>
    <row r="52">
      <c r="A52" s="15" t="n"/>
      <c r="B52" s="15" t="n"/>
      <c r="C52" s="15" t="n"/>
      <c r="D52" s="15" t="n"/>
      <c r="E52" s="15" t="n"/>
      <c r="F52" s="15" t="n"/>
      <c r="G52" s="15" t="n"/>
      <c r="H52" s="15" t="n"/>
    </row>
    <row r="53">
      <c r="A53" s="15" t="n"/>
      <c r="B53" s="15" t="n"/>
      <c r="C53" s="15" t="n"/>
      <c r="D53" s="15" t="n"/>
      <c r="E53" s="15" t="n"/>
      <c r="F53" s="15" t="n"/>
      <c r="G53" s="15" t="n"/>
      <c r="H53" s="15" t="n"/>
    </row>
    <row r="54">
      <c r="A54" s="15" t="n"/>
      <c r="B54" s="15" t="n"/>
      <c r="C54" s="15" t="n"/>
      <c r="D54" s="15" t="n"/>
      <c r="E54" s="15" t="n"/>
      <c r="F54" s="15" t="n"/>
      <c r="G54" s="15" t="n"/>
      <c r="H54" s="15" t="n"/>
    </row>
    <row r="55">
      <c r="A55" s="15" t="n"/>
      <c r="B55" s="15" t="n"/>
      <c r="C55" s="15" t="n"/>
      <c r="D55" s="15" t="n"/>
      <c r="E55" s="15" t="n"/>
      <c r="F55" s="15" t="n"/>
      <c r="G55" s="15" t="n"/>
      <c r="H55" s="15" t="n"/>
    </row>
    <row r="56">
      <c r="A56" s="15" t="n"/>
      <c r="B56" s="15" t="n"/>
      <c r="C56" s="15" t="n"/>
      <c r="D56" s="15" t="n"/>
      <c r="E56" s="15" t="n"/>
      <c r="F56" s="15" t="n"/>
      <c r="G56" s="15" t="n"/>
      <c r="H56" s="15" t="n"/>
    </row>
    <row r="57">
      <c r="A57" s="15" t="n"/>
      <c r="B57" s="15" t="n"/>
      <c r="C57" s="15" t="n"/>
      <c r="D57" s="15" t="n"/>
      <c r="E57" s="15" t="n"/>
      <c r="F57" s="15" t="n"/>
      <c r="G57" s="15" t="n"/>
      <c r="H57" s="15" t="n"/>
    </row>
    <row r="58">
      <c r="A58" s="15" t="n"/>
      <c r="B58" s="15" t="n"/>
      <c r="C58" s="15" t="n"/>
      <c r="D58" s="15" t="n"/>
      <c r="E58" s="15" t="n"/>
      <c r="F58" s="15" t="n"/>
      <c r="G58" s="15" t="n"/>
      <c r="H58" s="15" t="n"/>
    </row>
    <row r="59">
      <c r="A59" s="15" t="n"/>
      <c r="B59" s="15" t="n"/>
      <c r="C59" s="15" t="n"/>
      <c r="D59" s="15" t="n"/>
      <c r="E59" s="15" t="n"/>
      <c r="F59" s="15" t="n"/>
      <c r="G59" s="15" t="n"/>
      <c r="H59" s="15" t="n"/>
    </row>
    <row r="60">
      <c r="A60" s="15" t="n"/>
      <c r="B60" s="15" t="n"/>
      <c r="C60" s="15" t="n"/>
      <c r="D60" s="15" t="n"/>
      <c r="E60" s="15" t="n"/>
      <c r="F60" s="15" t="n"/>
      <c r="G60" s="15" t="n"/>
      <c r="H60" s="15" t="n"/>
    </row>
    <row r="61">
      <c r="A61" s="15" t="n"/>
      <c r="B61" s="15" t="n"/>
      <c r="C61" s="15" t="n"/>
      <c r="D61" s="15" t="n"/>
      <c r="E61" s="15" t="n"/>
      <c r="F61" s="15" t="n"/>
      <c r="G61" s="15" t="n"/>
      <c r="H61" s="15" t="n"/>
    </row>
    <row r="62">
      <c r="A62" s="15" t="n"/>
      <c r="B62" s="15" t="n"/>
      <c r="C62" s="15" t="n"/>
      <c r="D62" s="15" t="n"/>
      <c r="E62" s="15" t="n"/>
      <c r="F62" s="15" t="n"/>
      <c r="G62" s="15" t="n"/>
      <c r="H62" s="15" t="n"/>
    </row>
    <row r="63">
      <c r="A63" s="15" t="n"/>
      <c r="B63" s="15" t="n"/>
      <c r="C63" s="15" t="n"/>
      <c r="D63" s="15" t="n"/>
      <c r="E63" s="15" t="n"/>
      <c r="F63" s="15" t="n"/>
      <c r="G63" s="15" t="n"/>
      <c r="H63" s="15" t="n"/>
    </row>
    <row r="64">
      <c r="A64" s="15" t="n"/>
      <c r="B64" s="15" t="n"/>
      <c r="C64" s="15" t="n"/>
      <c r="D64" s="15" t="n"/>
      <c r="E64" s="15" t="n"/>
      <c r="F64" s="15" t="n"/>
      <c r="G64" s="15" t="n"/>
      <c r="H64" s="15" t="n"/>
    </row>
    <row r="65">
      <c r="A65" s="15" t="n"/>
      <c r="B65" s="15" t="n"/>
      <c r="C65" s="15" t="n"/>
      <c r="D65" s="15" t="n"/>
      <c r="E65" s="15" t="n"/>
      <c r="F65" s="15" t="n"/>
      <c r="G65" s="15" t="n"/>
      <c r="H65" s="15" t="n"/>
    </row>
    <row r="66">
      <c r="A66" s="15" t="n"/>
      <c r="B66" s="15" t="n"/>
      <c r="C66" s="15" t="n"/>
      <c r="D66" s="15" t="n"/>
      <c r="E66" s="15" t="n"/>
      <c r="F66" s="15" t="n"/>
      <c r="G66" s="15" t="n"/>
      <c r="H66" s="15" t="n"/>
    </row>
    <row r="67">
      <c r="A67" s="15" t="n"/>
      <c r="B67" s="15" t="n"/>
      <c r="C67" s="15" t="n"/>
      <c r="D67" s="15" t="n"/>
      <c r="E67" s="15" t="n"/>
      <c r="F67" s="15" t="n"/>
      <c r="G67" s="15" t="n"/>
      <c r="H67" s="15" t="n"/>
    </row>
    <row r="68">
      <c r="A68" s="15" t="n"/>
      <c r="B68" s="15" t="n"/>
      <c r="C68" s="15" t="n"/>
      <c r="D68" s="15" t="n"/>
      <c r="E68" s="15" t="n"/>
      <c r="F68" s="15" t="n"/>
      <c r="G68" s="15" t="n"/>
      <c r="H68" s="15" t="n"/>
    </row>
    <row r="69">
      <c r="A69" s="15" t="n"/>
      <c r="B69" s="15" t="n"/>
      <c r="C69" s="15" t="n"/>
      <c r="D69" s="15" t="n"/>
      <c r="E69" s="15" t="n"/>
      <c r="F69" s="15" t="n"/>
      <c r="G69" s="15" t="n"/>
      <c r="H69" s="15" t="n"/>
    </row>
    <row r="70">
      <c r="A70" s="15" t="n"/>
      <c r="B70" s="15" t="n"/>
      <c r="C70" s="15" t="n"/>
      <c r="D70" s="15" t="n"/>
      <c r="E70" s="15" t="n"/>
      <c r="F70" s="15" t="n"/>
      <c r="G70" s="15" t="n"/>
      <c r="H70" s="15" t="n"/>
    </row>
    <row r="71">
      <c r="A71" s="15" t="n"/>
      <c r="B71" s="15" t="n"/>
      <c r="C71" s="15" t="n"/>
      <c r="D71" s="15" t="n"/>
      <c r="E71" s="15" t="n"/>
      <c r="F71" s="15" t="n"/>
      <c r="G71" s="15" t="n"/>
      <c r="H71" s="15" t="n"/>
    </row>
    <row r="72">
      <c r="A72" s="15" t="n"/>
      <c r="B72" s="15" t="n"/>
      <c r="C72" s="15" t="n"/>
      <c r="D72" s="15" t="n"/>
      <c r="E72" s="15" t="n"/>
      <c r="F72" s="15" t="n"/>
      <c r="G72" s="15" t="n"/>
      <c r="H72" s="15" t="n"/>
    </row>
    <row r="73">
      <c r="A73" s="15" t="n"/>
      <c r="B73" s="15" t="n"/>
      <c r="C73" s="15" t="n"/>
      <c r="D73" s="15" t="n"/>
      <c r="E73" s="15" t="n"/>
      <c r="F73" s="15" t="n"/>
      <c r="G73" s="15" t="n"/>
      <c r="H73" s="15" t="n"/>
    </row>
    <row r="74">
      <c r="A74" s="15" t="n"/>
      <c r="B74" s="15" t="n"/>
      <c r="C74" s="15" t="n"/>
      <c r="D74" s="15" t="n"/>
      <c r="E74" s="15" t="n"/>
      <c r="F74" s="15" t="n"/>
      <c r="G74" s="15" t="n"/>
      <c r="H74" s="15" t="n"/>
    </row>
    <row r="75">
      <c r="A75" s="15" t="n"/>
      <c r="B75" s="15" t="n"/>
      <c r="C75" s="15" t="n"/>
      <c r="D75" s="15" t="n"/>
      <c r="E75" s="15" t="n"/>
      <c r="F75" s="15" t="n"/>
      <c r="G75" s="15" t="n"/>
      <c r="H75" s="15" t="n"/>
    </row>
    <row r="76">
      <c r="A76" s="15" t="n"/>
      <c r="B76" s="15" t="n"/>
      <c r="C76" s="15" t="n"/>
      <c r="D76" s="15" t="n"/>
      <c r="E76" s="15" t="n"/>
      <c r="F76" s="15" t="n"/>
      <c r="G76" s="15" t="n"/>
      <c r="H76" s="15" t="n"/>
    </row>
    <row r="77">
      <c r="A77" s="15" t="n"/>
      <c r="B77" s="15" t="n"/>
      <c r="C77" s="15" t="n"/>
      <c r="D77" s="15" t="n"/>
      <c r="E77" s="15" t="n"/>
      <c r="F77" s="15" t="n"/>
      <c r="G77" s="15" t="n"/>
      <c r="H77" s="15" t="n"/>
    </row>
    <row r="78">
      <c r="A78" s="15" t="n"/>
      <c r="B78" s="15" t="n"/>
      <c r="C78" s="15" t="n"/>
      <c r="D78" s="15" t="n"/>
      <c r="E78" s="15" t="n"/>
      <c r="F78" s="15" t="n"/>
      <c r="G78" s="15" t="n"/>
      <c r="H78" s="15" t="n"/>
    </row>
    <row r="79">
      <c r="A79" s="15" t="n"/>
      <c r="B79" s="15" t="n"/>
      <c r="C79" s="15" t="n"/>
      <c r="D79" s="15" t="n"/>
      <c r="E79" s="15" t="n"/>
      <c r="F79" s="15" t="n"/>
      <c r="G79" s="15" t="n"/>
      <c r="H79" s="15" t="n"/>
    </row>
    <row r="80">
      <c r="A80" s="15" t="n"/>
      <c r="B80" s="15" t="n"/>
      <c r="C80" s="15" t="n"/>
      <c r="D80" s="15" t="n"/>
      <c r="E80" s="15" t="n"/>
      <c r="F80" s="15" t="n"/>
      <c r="G80" s="15" t="n"/>
      <c r="H80" s="15" t="n"/>
    </row>
    <row r="81">
      <c r="A81" s="15" t="n"/>
      <c r="B81" s="15" t="n"/>
      <c r="C81" s="15" t="n"/>
      <c r="D81" s="15" t="n"/>
      <c r="E81" s="15" t="n"/>
      <c r="F81" s="15" t="n"/>
      <c r="G81" s="15" t="n"/>
      <c r="H81" s="15" t="n"/>
    </row>
    <row r="82">
      <c r="A82" s="15" t="n"/>
      <c r="B82" s="15" t="n"/>
      <c r="C82" s="15" t="n"/>
      <c r="D82" s="15" t="n"/>
      <c r="E82" s="15" t="n"/>
      <c r="F82" s="15" t="n"/>
      <c r="G82" s="15" t="n"/>
      <c r="H82" s="15" t="n"/>
    </row>
    <row r="83">
      <c r="A83" s="15" t="n"/>
      <c r="B83" s="15" t="n"/>
      <c r="C83" s="15" t="n"/>
      <c r="D83" s="15" t="n"/>
      <c r="E83" s="15" t="n"/>
      <c r="F83" s="15" t="n"/>
      <c r="G83" s="15" t="n"/>
      <c r="H83" s="15" t="n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</row>
    <row r="85">
      <c r="A85" s="15" t="n"/>
      <c r="B85" s="15" t="n"/>
      <c r="C85" s="15" t="n"/>
      <c r="D85" s="15" t="n"/>
      <c r="E85" s="15" t="n"/>
      <c r="F85" s="15" t="n"/>
      <c r="G85" s="15" t="n"/>
      <c r="H85" s="15" t="n"/>
    </row>
    <row r="86">
      <c r="A86" s="15" t="n"/>
      <c r="B86" s="15" t="n"/>
      <c r="C86" s="15" t="n"/>
      <c r="D86" s="15" t="n"/>
      <c r="E86" s="15" t="n"/>
      <c r="F86" s="15" t="n"/>
      <c r="G86" s="15" t="n"/>
      <c r="H86" s="15" t="n"/>
    </row>
    <row r="87">
      <c r="A87" s="15" t="n"/>
      <c r="B87" s="15" t="n"/>
      <c r="C87" s="15" t="n"/>
      <c r="D87" s="15" t="n"/>
      <c r="E87" s="15" t="n"/>
      <c r="F87" s="15" t="n"/>
      <c r="G87" s="15" t="n"/>
      <c r="H87" s="15" t="n"/>
    </row>
    <row r="88">
      <c r="A88" s="15" t="n"/>
      <c r="B88" s="15" t="n"/>
      <c r="C88" s="15" t="n"/>
      <c r="D88" s="15" t="n"/>
      <c r="E88" s="15" t="n"/>
      <c r="F88" s="15" t="n"/>
      <c r="G88" s="15" t="n"/>
      <c r="H88" s="15" t="n"/>
    </row>
    <row r="89">
      <c r="A89" s="15" t="n"/>
      <c r="B89" s="15" t="n"/>
      <c r="C89" s="15" t="n"/>
      <c r="D89" s="15" t="n"/>
      <c r="E89" s="15" t="n"/>
      <c r="F89" s="15" t="n"/>
      <c r="G89" s="15" t="n"/>
      <c r="H89" s="15" t="n"/>
    </row>
    <row r="90">
      <c r="A90" s="15" t="n"/>
      <c r="B90" s="15" t="n"/>
      <c r="C90" s="15" t="n"/>
      <c r="D90" s="15" t="n"/>
      <c r="E90" s="15" t="n"/>
      <c r="F90" s="15" t="n"/>
      <c r="G90" s="15" t="n"/>
      <c r="H90" s="15" t="n"/>
    </row>
    <row r="91">
      <c r="A91" s="15" t="n"/>
      <c r="B91" s="15" t="n"/>
      <c r="C91" s="15" t="n"/>
      <c r="D91" s="15" t="n"/>
      <c r="E91" s="15" t="n"/>
      <c r="F91" s="15" t="n"/>
      <c r="G91" s="15" t="n"/>
      <c r="H91" s="15" t="n"/>
    </row>
    <row r="92">
      <c r="A92" s="15" t="n"/>
      <c r="B92" s="15" t="n"/>
      <c r="C92" s="15" t="n"/>
      <c r="D92" s="15" t="n"/>
      <c r="E92" s="15" t="n"/>
      <c r="F92" s="15" t="n"/>
      <c r="G92" s="15" t="n"/>
      <c r="H92" s="15" t="n"/>
    </row>
    <row r="93">
      <c r="A93" s="15" t="n"/>
      <c r="B93" s="15" t="n"/>
      <c r="C93" s="15" t="n"/>
      <c r="D93" s="15" t="n"/>
      <c r="E93" s="15" t="n"/>
      <c r="F93" s="15" t="n"/>
      <c r="G93" s="15" t="n"/>
      <c r="H93" s="15" t="n"/>
    </row>
    <row r="94">
      <c r="A94" s="15" t="n"/>
      <c r="B94" s="15" t="n"/>
      <c r="C94" s="15" t="n"/>
      <c r="D94" s="15" t="n"/>
      <c r="E94" s="15" t="n"/>
      <c r="F94" s="15" t="n"/>
      <c r="G94" s="15" t="n"/>
      <c r="H94" s="15" t="n"/>
    </row>
    <row r="95">
      <c r="A95" s="15" t="n"/>
      <c r="B95" s="15" t="n"/>
      <c r="C95" s="15" t="n"/>
      <c r="D95" s="15" t="n"/>
      <c r="E95" s="15" t="n"/>
      <c r="F95" s="15" t="n"/>
      <c r="G95" s="15" t="n"/>
      <c r="H95" s="15" t="n"/>
    </row>
    <row r="96">
      <c r="A96" s="15" t="n"/>
      <c r="B96" s="15" t="n"/>
      <c r="C96" s="15" t="n"/>
      <c r="D96" s="15" t="n"/>
      <c r="E96" s="15" t="n"/>
      <c r="F96" s="15" t="n"/>
      <c r="G96" s="15" t="n"/>
      <c r="H96" s="15" t="n"/>
    </row>
    <row r="97">
      <c r="A97" s="15" t="n"/>
      <c r="B97" s="15" t="n"/>
      <c r="C97" s="15" t="n"/>
      <c r="D97" s="15" t="n"/>
      <c r="E97" s="15" t="n"/>
      <c r="F97" s="15" t="n"/>
      <c r="G97" s="15" t="n"/>
      <c r="H97" s="15" t="n"/>
    </row>
    <row r="98">
      <c r="A98" s="15" t="n"/>
      <c r="B98" s="15" t="n"/>
      <c r="C98" s="15" t="n"/>
      <c r="D98" s="15" t="n"/>
      <c r="E98" s="15" t="n"/>
      <c r="F98" s="15" t="n"/>
      <c r="G98" s="15" t="n"/>
      <c r="H98" s="15" t="n"/>
    </row>
    <row r="99">
      <c r="A99" s="15" t="n"/>
      <c r="B99" s="15" t="n"/>
      <c r="C99" s="15" t="n"/>
      <c r="D99" s="15" t="n"/>
      <c r="E99" s="15" t="n"/>
      <c r="F99" s="15" t="n"/>
      <c r="G99" s="15" t="n"/>
      <c r="H99" s="15" t="n"/>
    </row>
    <row r="100">
      <c r="A100" s="15" t="n"/>
      <c r="B100" s="15" t="n"/>
      <c r="C100" s="15" t="n"/>
      <c r="D100" s="15" t="n"/>
      <c r="E100" s="15" t="n"/>
      <c r="F100" s="15" t="n"/>
      <c r="G100" s="15" t="n"/>
      <c r="H100" s="15" t="n"/>
    </row>
    <row r="101">
      <c r="A101" s="15" t="n"/>
      <c r="B101" s="15" t="n"/>
      <c r="C101" s="15" t="n"/>
      <c r="D101" s="15" t="n"/>
      <c r="E101" s="15" t="n"/>
      <c r="F101" s="15" t="n"/>
      <c r="G101" s="15" t="n"/>
      <c r="H101" s="15" t="n"/>
    </row>
    <row r="102">
      <c r="A102" s="15" t="n"/>
      <c r="B102" s="15" t="n"/>
      <c r="C102" s="15" t="n"/>
      <c r="D102" s="15" t="n"/>
      <c r="E102" s="15" t="n"/>
      <c r="F102" s="15" t="n"/>
      <c r="G102" s="15" t="n"/>
      <c r="H102" s="15" t="n"/>
    </row>
    <row r="103">
      <c r="A103" s="15" t="n"/>
      <c r="B103" s="15" t="n"/>
      <c r="C103" s="15" t="n"/>
      <c r="D103" s="15" t="n"/>
      <c r="E103" s="15" t="n"/>
      <c r="F103" s="15" t="n"/>
      <c r="G103" s="15" t="n"/>
      <c r="H103" s="15" t="n"/>
    </row>
    <row r="104">
      <c r="A104" s="15" t="n"/>
      <c r="B104" s="15" t="n"/>
      <c r="C104" s="15" t="n"/>
      <c r="D104" s="15" t="n"/>
      <c r="E104" s="15" t="n"/>
      <c r="F104" s="15" t="n"/>
      <c r="G104" s="15" t="n"/>
      <c r="H104" s="15" t="n"/>
    </row>
    <row r="105">
      <c r="A105" s="15" t="n"/>
      <c r="B105" s="15" t="n"/>
      <c r="C105" s="15" t="n"/>
      <c r="D105" s="15" t="n"/>
      <c r="E105" s="15" t="n"/>
      <c r="F105" s="15" t="n"/>
      <c r="G105" s="15" t="n"/>
      <c r="H105" s="15" t="n"/>
    </row>
  </sheetData>
  <mergeCells count="2">
    <mergeCell ref="A2:H2"/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15" customWidth="1" min="3" max="3"/>
    <col width="15" customWidth="1" min="4" max="4"/>
    <col width="18" customWidth="1" min="5" max="5"/>
    <col width="15" customWidth="1" min="6" max="6"/>
    <col width="12" customWidth="1" min="7" max="7"/>
  </cols>
  <sheetData>
    <row r="1" ht="35" customHeight="1">
      <c r="A1" s="1" t="inlineStr">
        <is>
          <t>AUTHENTICATION INVENTORY — SUMMARY DASHBOARD</t>
        </is>
      </c>
    </row>
    <row r="2">
      <c r="A2" s="18" t="inlineStr">
        <is>
          <t>Key assessment metrics for authentication inventory, protocol security, and gap analysis</t>
        </is>
      </c>
    </row>
    <row r="3">
      <c r="A3" s="19" t="inlineStr">
        <is>
          <t>TABLE 1 — ASSESSMENT AREA COMPLIANCE</t>
        </is>
      </c>
      <c r="B3" s="20" t="n"/>
      <c r="C3" s="20" t="n"/>
      <c r="D3" s="20" t="n"/>
      <c r="E3" s="20" t="n"/>
      <c r="F3" s="20" t="n"/>
      <c r="G3" s="20" t="n"/>
    </row>
    <row r="4">
      <c r="A4" s="6" t="inlineStr">
        <is>
          <t>Assessment Area</t>
        </is>
      </c>
      <c r="B4" s="6" t="inlineStr">
        <is>
          <t>Total Items</t>
        </is>
      </c>
      <c r="C4" s="6" t="inlineStr">
        <is>
          <t>Compliant</t>
        </is>
      </c>
      <c r="D4" s="6" t="inlineStr">
        <is>
          <t>Partial</t>
        </is>
      </c>
      <c r="E4" s="6" t="inlineStr">
        <is>
          <t>Non-Compliant</t>
        </is>
      </c>
      <c r="F4" s="6" t="inlineStr">
        <is>
          <t>N/A</t>
        </is>
      </c>
      <c r="G4" s="6" t="inlineStr">
        <is>
          <t>Compliance %</t>
        </is>
      </c>
    </row>
    <row r="5">
      <c r="A5" s="21" t="inlineStr">
        <is>
          <t>Authentication Inventory</t>
        </is>
      </c>
      <c r="B5" s="21">
        <f>COUNTA('Authentication Inventory'!B6:B55)</f>
        <v/>
      </c>
      <c r="C5" s="21">
        <f>COUNTIF('Authentication Inventory'!L6:L55,"✅ Compliant")</f>
        <v/>
      </c>
      <c r="D5" s="21">
        <f>COUNTIF('Authentication Inventory'!L6:L55,"⚠ Partial Compliance")</f>
        <v/>
      </c>
      <c r="E5" s="21">
        <f>COUNTIF('Authentication Inventory'!L6:L55,"❌ Non-Compliant")</f>
        <v/>
      </c>
      <c r="F5" s="21">
        <f>COUNTIF('Authentication Inventory'!L6:L55,"N/A")</f>
        <v/>
      </c>
      <c r="G5" s="22">
        <f>IF((B5-F5)=0,0,C5/(B5-F5))</f>
        <v/>
      </c>
    </row>
    <row r="6">
      <c r="A6" s="21" t="inlineStr">
        <is>
          <t>Protocol Security Analysis</t>
        </is>
      </c>
      <c r="B6" s="21">
        <f>COUNTA('Protocol Analysis'!A6:A55)</f>
        <v/>
      </c>
      <c r="C6" s="21">
        <f>COUNTIF('Protocol Analysis'!G6:G55,"✅ Compliant")</f>
        <v/>
      </c>
      <c r="D6" s="21">
        <f>COUNTIF('Protocol Analysis'!G6:G55,"⚠ Partial Compliance")</f>
        <v/>
      </c>
      <c r="E6" s="21">
        <f>COUNTIF('Protocol Analysis'!G6:G55,"❌ Non-Compliant")</f>
        <v/>
      </c>
      <c r="F6" s="21">
        <f>COUNTIF('Protocol Analysis'!G6:G55,"N/A")</f>
        <v/>
      </c>
      <c r="G6" s="22">
        <f>IF((B6-F6)=0,0,C6/(B6-F6))</f>
        <v/>
      </c>
    </row>
    <row r="7">
      <c r="A7" s="21" t="inlineStr">
        <is>
          <t>Password Policy Compliance</t>
        </is>
      </c>
      <c r="B7" s="21">
        <f>COUNTA('Password Policy'!A6:A55)</f>
        <v/>
      </c>
      <c r="C7" s="21">
        <f>COUNTIF('Password Policy'!K6:K55,"✅ Compliant")</f>
        <v/>
      </c>
      <c r="D7" s="21">
        <f>COUNTIF('Password Policy'!K6:K55,"⚠ Partial Compliance")</f>
        <v/>
      </c>
      <c r="E7" s="21">
        <f>COUNTIF('Password Policy'!K6:K55,"❌ Non-Compliant")</f>
        <v/>
      </c>
      <c r="F7" s="21">
        <f>COUNTIF('Password Policy'!K6:K55,"N/A")</f>
        <v/>
      </c>
      <c r="G7" s="22">
        <f>IF((B7-F7)=0,0,C7/(B7-F7))</f>
        <v/>
      </c>
    </row>
    <row r="8">
      <c r="A8" s="21" t="inlineStr">
        <is>
          <t>Gap Analysis Status</t>
        </is>
      </c>
      <c r="B8" s="21">
        <f>COUNTA('Gap Analysis'!A6:A55)</f>
        <v/>
      </c>
      <c r="C8" s="21">
        <f>COUNTIF('Gap Analysis'!I6:I55,"Closed")</f>
        <v/>
      </c>
      <c r="D8" s="21">
        <f>COUNTIF('Gap Analysis'!I6:I55,"In Progress")</f>
        <v/>
      </c>
      <c r="E8" s="21">
        <f>COUNTIF('Gap Analysis'!I6:I55,"Open")</f>
        <v/>
      </c>
      <c r="F8" s="21">
        <f>0</f>
        <v/>
      </c>
      <c r="G8" s="22">
        <f>IF((B8-F8)=0,0,C8/(B8-F8))</f>
        <v/>
      </c>
    </row>
    <row r="9">
      <c r="A9" s="23" t="n"/>
      <c r="B9" s="23" t="n"/>
      <c r="C9" s="23" t="n"/>
      <c r="D9" s="23" t="n"/>
      <c r="E9" s="23" t="n"/>
      <c r="F9" s="23" t="n"/>
      <c r="G9" s="23" t="n"/>
    </row>
    <row r="10">
      <c r="A10" s="23" t="n"/>
      <c r="B10" s="23" t="n"/>
      <c r="C10" s="23" t="n"/>
      <c r="D10" s="23" t="n"/>
      <c r="E10" s="23" t="n"/>
      <c r="F10" s="23" t="n"/>
      <c r="G10" s="23" t="n"/>
    </row>
    <row r="12">
      <c r="A12" s="19" t="inlineStr">
        <is>
          <t>TABLE 2 — KEY PERFORMANCE INDICATORS</t>
        </is>
      </c>
      <c r="B12" s="20" t="n"/>
      <c r="C12" s="20" t="n"/>
      <c r="D12" s="20" t="n"/>
      <c r="E12" s="20" t="n"/>
      <c r="F12" s="20" t="n"/>
      <c r="G12" s="20" t="n"/>
    </row>
    <row r="13">
      <c r="A13" s="6" t="inlineStr">
        <is>
          <t>KPI</t>
        </is>
      </c>
      <c r="B13" s="6" t="inlineStr">
        <is>
          <t>Current Value</t>
        </is>
      </c>
      <c r="C13" s="6" t="inlineStr">
        <is>
          <t>Target</t>
        </is>
      </c>
      <c r="D13" s="6" t="inlineStr">
        <is>
          <t>Status</t>
        </is>
      </c>
      <c r="E13" s="6" t="inlineStr">
        <is>
          <t>Last Updated</t>
        </is>
      </c>
      <c r="F13" s="6" t="inlineStr">
        <is>
          <t>Owner</t>
        </is>
      </c>
      <c r="G13" s="6" t="inlineStr">
        <is>
          <t>Notes</t>
        </is>
      </c>
    </row>
    <row r="14">
      <c r="A14" s="24" t="inlineStr">
        <is>
          <t>Total Systems Assessed</t>
        </is>
      </c>
      <c r="B14" s="24">
        <f>COUNTA('Authentication Inventory'!B6:B55)</f>
        <v/>
      </c>
      <c r="C14" s="23" t="n"/>
      <c r="D14" s="23" t="n"/>
      <c r="E14" s="23" t="n"/>
      <c r="F14" s="23" t="n"/>
      <c r="G14" s="23" t="n"/>
    </row>
    <row r="15">
      <c r="A15" s="24" t="inlineStr">
        <is>
          <t>Authentication Compliance Rate</t>
        </is>
      </c>
      <c r="B15" s="25">
        <f>IF(COUNTA('Authentication Inventory'!B6:B55)=0,0,COUNTIF('Authentication Inventory'!L6:L55,"✅ Compliant")/COUNTA('Authentication Inventory'!B6:B55))</f>
        <v/>
      </c>
      <c r="C15" s="23" t="n"/>
      <c r="D15" s="23" t="n"/>
      <c r="E15" s="23" t="n"/>
      <c r="F15" s="23" t="n"/>
      <c r="G15" s="23" t="n"/>
    </row>
    <row r="16">
      <c r="A16" s="24" t="inlineStr">
        <is>
          <t>Protocol Security Compliance</t>
        </is>
      </c>
      <c r="B16" s="25">
        <f>IF(COUNTA('Protocol Analysis'!A6:A55)=0,0,COUNTIF('Protocol Analysis'!G6:G55,"✅ Compliant")/COUNTA('Protocol Analysis'!A6:A55))</f>
        <v/>
      </c>
      <c r="C16" s="23" t="n"/>
      <c r="D16" s="23" t="n"/>
      <c r="E16" s="23" t="n"/>
      <c r="F16" s="23" t="n"/>
      <c r="G16" s="23" t="n"/>
    </row>
    <row r="17">
      <c r="A17" s="24" t="inlineStr">
        <is>
          <t>SSO Integration Rate</t>
        </is>
      </c>
      <c r="B17" s="25">
        <f>IF(COUNTA('Authentication Inventory'!B6:B55)=0,0,COUNTIF('Authentication Inventory'!G6:G55,"Yes")/COUNTA('Authentication Inventory'!B6:B55))</f>
        <v/>
      </c>
      <c r="C17" s="23" t="n"/>
      <c r="D17" s="23" t="n"/>
      <c r="E17" s="23" t="n"/>
      <c r="F17" s="23" t="n"/>
      <c r="G17" s="23" t="n"/>
    </row>
    <row r="18">
      <c r="A18" s="24" t="inlineStr">
        <is>
          <t>Password Policy Compliance</t>
        </is>
      </c>
      <c r="B18" s="25">
        <f>IF(COUNTA('Password Policy'!A6:A55)=0,0,COUNTIF('Password Policy'!K6:K55,"✅ Compliant")/COUNTA('Password Policy'!A6:A55))</f>
        <v/>
      </c>
      <c r="C18" s="23" t="n"/>
      <c r="D18" s="23" t="n"/>
      <c r="E18" s="23" t="n"/>
      <c r="F18" s="23" t="n"/>
      <c r="G18" s="23" t="n"/>
    </row>
    <row r="19">
      <c r="A19" s="24" t="inlineStr">
        <is>
          <t>Systems with MFA Available</t>
        </is>
      </c>
      <c r="B19" s="25">
        <f>IF(COUNTA('Authentication Inventory'!B6:B55)=0,0,COUNTIF('Authentication Inventory'!H6:H55,"Yes")/COUNTA('Authentication Inventory'!B6:B55))</f>
        <v/>
      </c>
      <c r="C19" s="23" t="n"/>
      <c r="D19" s="23" t="n"/>
      <c r="E19" s="23" t="n"/>
      <c r="F19" s="23" t="n"/>
      <c r="G19" s="23" t="n"/>
    </row>
    <row r="20">
      <c r="A20" s="24" t="inlineStr">
        <is>
          <t>Legacy Auth Systems Identified</t>
        </is>
      </c>
      <c r="B20" s="24">
        <f>COUNTA('Legacy Authentication'!B6:B55)</f>
        <v/>
      </c>
      <c r="C20" s="23" t="n"/>
      <c r="D20" s="23" t="n"/>
      <c r="E20" s="23" t="n"/>
      <c r="F20" s="23" t="n"/>
      <c r="G20" s="23" t="n"/>
    </row>
    <row r="21">
      <c r="A21" s="24" t="inlineStr">
        <is>
          <t>Open Authentication Gaps</t>
        </is>
      </c>
      <c r="B21" s="24">
        <f>COUNTIF('Gap Analysis'!I6:I55,"Open")+COUNTIF('Gap Analysis'!I6:I55,"In Progress")</f>
        <v/>
      </c>
      <c r="C21" s="23" t="n"/>
      <c r="D21" s="23" t="n"/>
      <c r="E21" s="23" t="n"/>
      <c r="F21" s="23" t="n"/>
      <c r="G21" s="23" t="n"/>
    </row>
    <row r="22">
      <c r="A22" s="24" t="inlineStr">
        <is>
          <t>Critical/High Risk Gaps</t>
        </is>
      </c>
      <c r="B22" s="24">
        <f>COUNTIF('Gap Analysis'!D6:D55,"Critical")+COUNTIF('Gap Analysis'!D6:D55,"High")</f>
        <v/>
      </c>
      <c r="C22" s="23" t="n"/>
      <c r="D22" s="23" t="n"/>
      <c r="E22" s="23" t="n"/>
      <c r="F22" s="23" t="n"/>
      <c r="G22" s="23" t="n"/>
    </row>
    <row r="23">
      <c r="A23" s="23" t="n"/>
      <c r="B23" s="23" t="n"/>
      <c r="C23" s="23" t="n"/>
      <c r="D23" s="23" t="n"/>
      <c r="E23" s="23" t="n"/>
      <c r="F23" s="23" t="n"/>
      <c r="G23" s="23" t="n"/>
    </row>
    <row r="24">
      <c r="A24" s="23" t="n"/>
      <c r="B24" s="23" t="n"/>
      <c r="C24" s="23" t="n"/>
      <c r="D24" s="23" t="n"/>
      <c r="E24" s="23" t="n"/>
      <c r="F24" s="23" t="n"/>
      <c r="G24" s="23" t="n"/>
    </row>
    <row r="26">
      <c r="A26" s="26" t="inlineStr">
        <is>
          <t>TABLE 3 — CRITICAL FINDINGS</t>
        </is>
      </c>
      <c r="B26" s="20" t="n"/>
      <c r="C26" s="20" t="n"/>
      <c r="D26" s="20" t="n"/>
      <c r="E26" s="20" t="n"/>
      <c r="F26" s="20" t="n"/>
      <c r="G26" s="20" t="n"/>
    </row>
    <row r="27">
      <c r="A27" s="6" t="inlineStr">
        <is>
          <t>Finding ID</t>
        </is>
      </c>
      <c r="B27" s="6" t="inlineStr">
        <is>
          <t>Description</t>
        </is>
      </c>
      <c r="C27" s="6" t="inlineStr">
        <is>
          <t>Affected Area</t>
        </is>
      </c>
      <c r="D27" s="6" t="inlineStr">
        <is>
          <t>Severity</t>
        </is>
      </c>
      <c r="E27" s="6" t="inlineStr">
        <is>
          <t>Status</t>
        </is>
      </c>
      <c r="F27" s="6" t="inlineStr">
        <is>
          <t>Owner</t>
        </is>
      </c>
      <c r="G27" s="6" t="inlineStr">
        <is>
          <t>Due Date</t>
        </is>
      </c>
    </row>
    <row r="28">
      <c r="A28" s="24">
        <f>IFERROR(INDEX('Gap Analysis'!A$6:A$55,SMALL(IF(('Gap Analysis'!D$6:D$55="Critical")+('Gap Analysis'!D$6:D$55="High"),ROW('Gap Analysis'!A$6:A$55)-ROW('Gap Analysis'!A$6)+1),ROWS($A$1:A1))),"")</f>
        <v/>
      </c>
      <c r="B28" s="24">
        <f>IFERROR(INDEX('Gap Analysis'!C$6:C$55,SMALL(IF(('Gap Analysis'!D$6:D$55="Critical")+('Gap Analysis'!D$6:D$55="High"),ROW('Gap Analysis'!A$6:A$55)-ROW('Gap Analysis'!A$6)+1),ROWS($A$1:A1))),"")</f>
        <v/>
      </c>
      <c r="C28" s="24">
        <f>IFERROR(INDEX('Gap Analysis'!B$6:B$55,SMALL(IF(('Gap Analysis'!D$6:D$55="Critical")+('Gap Analysis'!D$6:D$55="High"),ROW('Gap Analysis'!A$6:A$55)-ROW('Gap Analysis'!A$6)+1),ROWS($A$1:A1))),"")</f>
        <v/>
      </c>
      <c r="D28" s="24">
        <f>IFERROR(INDEX('Gap Analysis'!D$6:D$55,SMALL(IF(('Gap Analysis'!D$6:D$55="Critical")+('Gap Analysis'!D$6:D$55="High"),ROW('Gap Analysis'!A$6:A$55)-ROW('Gap Analysis'!A$6)+1),ROWS($A$1:A1))),"")</f>
        <v/>
      </c>
      <c r="E28" s="24">
        <f>IFERROR(INDEX('Gap Analysis'!I$6:I$55,SMALL(IF(('Gap Analysis'!D$6:D$55="Critical")+('Gap Analysis'!D$6:D$55="High"),ROW('Gap Analysis'!A$6:A$55)-ROW('Gap Analysis'!A$6)+1),ROWS($A$1:A1))),"")</f>
        <v/>
      </c>
      <c r="F28" s="24">
        <f>IFERROR(INDEX('Gap Analysis'!G$6:G$55,SMALL(IF(('Gap Analysis'!D$6:D$55="Critical")+('Gap Analysis'!D$6:D$55="High"),ROW('Gap Analysis'!A$6:A$55)-ROW('Gap Analysis'!A$6)+1),ROWS($A$1:A1))),"")</f>
        <v/>
      </c>
      <c r="G28" s="24">
        <f>IFERROR(INDEX('Gap Analysis'!H$6:H$55,SMALL(IF(('Gap Analysis'!D$6:D$55="Critical")+('Gap Analysis'!D$6:D$55="High"),ROW('Gap Analysis'!A$6:A$55)-ROW('Gap Analysis'!A$6)+1),ROWS($A$1:A1))),"")</f>
        <v/>
      </c>
    </row>
    <row r="29">
      <c r="A29" s="24">
        <f>IFERROR(INDEX('Gap Analysis'!A$6:A$55,SMALL(IF(('Gap Analysis'!D$6:D$55="Critical")+('Gap Analysis'!D$6:D$55="High"),ROW('Gap Analysis'!A$6:A$55)-ROW('Gap Analysis'!A$6)+1),ROWS($A$1:A2))),"")</f>
        <v/>
      </c>
      <c r="B29" s="24">
        <f>IFERROR(INDEX('Gap Analysis'!C$6:C$55,SMALL(IF(('Gap Analysis'!D$6:D$55="Critical")+('Gap Analysis'!D$6:D$55="High"),ROW('Gap Analysis'!A$6:A$55)-ROW('Gap Analysis'!A$6)+1),ROWS($A$1:A2))),"")</f>
        <v/>
      </c>
      <c r="C29" s="24">
        <f>IFERROR(INDEX('Gap Analysis'!B$6:B$55,SMALL(IF(('Gap Analysis'!D$6:D$55="Critical")+('Gap Analysis'!D$6:D$55="High"),ROW('Gap Analysis'!A$6:A$55)-ROW('Gap Analysis'!A$6)+1),ROWS($A$1:A2))),"")</f>
        <v/>
      </c>
      <c r="D29" s="24">
        <f>IFERROR(INDEX('Gap Analysis'!D$6:D$55,SMALL(IF(('Gap Analysis'!D$6:D$55="Critical")+('Gap Analysis'!D$6:D$55="High"),ROW('Gap Analysis'!A$6:A$55)-ROW('Gap Analysis'!A$6)+1),ROWS($A$1:A2))),"")</f>
        <v/>
      </c>
      <c r="E29" s="24">
        <f>IFERROR(INDEX('Gap Analysis'!I$6:I$55,SMALL(IF(('Gap Analysis'!D$6:D$55="Critical")+('Gap Analysis'!D$6:D$55="High"),ROW('Gap Analysis'!A$6:A$55)-ROW('Gap Analysis'!A$6)+1),ROWS($A$1:A2))),"")</f>
        <v/>
      </c>
      <c r="F29" s="24">
        <f>IFERROR(INDEX('Gap Analysis'!G$6:G$55,SMALL(IF(('Gap Analysis'!D$6:D$55="Critical")+('Gap Analysis'!D$6:D$55="High"),ROW('Gap Analysis'!A$6:A$55)-ROW('Gap Analysis'!A$6)+1),ROWS($A$1:A2))),"")</f>
        <v/>
      </c>
      <c r="G29" s="24">
        <f>IFERROR(INDEX('Gap Analysis'!H$6:H$55,SMALL(IF(('Gap Analysis'!D$6:D$55="Critical")+('Gap Analysis'!D$6:D$55="High"),ROW('Gap Analysis'!A$6:A$55)-ROW('Gap Analysis'!A$6)+1),ROWS($A$1:A2))),"")</f>
        <v/>
      </c>
    </row>
    <row r="30">
      <c r="A30" s="24">
        <f>IFERROR(INDEX('Gap Analysis'!A$6:A$55,SMALL(IF(('Gap Analysis'!D$6:D$55="Critical")+('Gap Analysis'!D$6:D$55="High"),ROW('Gap Analysis'!A$6:A$55)-ROW('Gap Analysis'!A$6)+1),ROWS($A$1:A3))),"")</f>
        <v/>
      </c>
      <c r="B30" s="24">
        <f>IFERROR(INDEX('Gap Analysis'!C$6:C$55,SMALL(IF(('Gap Analysis'!D$6:D$55="Critical")+('Gap Analysis'!D$6:D$55="High"),ROW('Gap Analysis'!A$6:A$55)-ROW('Gap Analysis'!A$6)+1),ROWS($A$1:A3))),"")</f>
        <v/>
      </c>
      <c r="C30" s="24">
        <f>IFERROR(INDEX('Gap Analysis'!B$6:B$55,SMALL(IF(('Gap Analysis'!D$6:D$55="Critical")+('Gap Analysis'!D$6:D$55="High"),ROW('Gap Analysis'!A$6:A$55)-ROW('Gap Analysis'!A$6)+1),ROWS($A$1:A3))),"")</f>
        <v/>
      </c>
      <c r="D30" s="24">
        <f>IFERROR(INDEX('Gap Analysis'!D$6:D$55,SMALL(IF(('Gap Analysis'!D$6:D$55="Critical")+('Gap Analysis'!D$6:D$55="High"),ROW('Gap Analysis'!A$6:A$55)-ROW('Gap Analysis'!A$6)+1),ROWS($A$1:A3))),"")</f>
        <v/>
      </c>
      <c r="E30" s="24">
        <f>IFERROR(INDEX('Gap Analysis'!I$6:I$55,SMALL(IF(('Gap Analysis'!D$6:D$55="Critical")+('Gap Analysis'!D$6:D$55="High"),ROW('Gap Analysis'!A$6:A$55)-ROW('Gap Analysis'!A$6)+1),ROWS($A$1:A3))),"")</f>
        <v/>
      </c>
      <c r="F30" s="24">
        <f>IFERROR(INDEX('Gap Analysis'!G$6:G$55,SMALL(IF(('Gap Analysis'!D$6:D$55="Critical")+('Gap Analysis'!D$6:D$55="High"),ROW('Gap Analysis'!A$6:A$55)-ROW('Gap Analysis'!A$6)+1),ROWS($A$1:A3))),"")</f>
        <v/>
      </c>
      <c r="G30" s="24">
        <f>IFERROR(INDEX('Gap Analysis'!H$6:H$55,SMALL(IF(('Gap Analysis'!D$6:D$55="Critical")+('Gap Analysis'!D$6:D$55="High"),ROW('Gap Analysis'!A$6:A$55)-ROW('Gap Analysis'!A$6)+1),ROWS($A$1:A3))),"")</f>
        <v/>
      </c>
    </row>
    <row r="31">
      <c r="A31" s="24">
        <f>IFERROR(INDEX('Gap Analysis'!A$6:A$55,SMALL(IF(('Gap Analysis'!D$6:D$55="Critical")+('Gap Analysis'!D$6:D$55="High"),ROW('Gap Analysis'!A$6:A$55)-ROW('Gap Analysis'!A$6)+1),ROWS($A$1:A4))),"")</f>
        <v/>
      </c>
      <c r="B31" s="24">
        <f>IFERROR(INDEX('Gap Analysis'!C$6:C$55,SMALL(IF(('Gap Analysis'!D$6:D$55="Critical")+('Gap Analysis'!D$6:D$55="High"),ROW('Gap Analysis'!A$6:A$55)-ROW('Gap Analysis'!A$6)+1),ROWS($A$1:A4))),"")</f>
        <v/>
      </c>
      <c r="C31" s="24">
        <f>IFERROR(INDEX('Gap Analysis'!B$6:B$55,SMALL(IF(('Gap Analysis'!D$6:D$55="Critical")+('Gap Analysis'!D$6:D$55="High"),ROW('Gap Analysis'!A$6:A$55)-ROW('Gap Analysis'!A$6)+1),ROWS($A$1:A4))),"")</f>
        <v/>
      </c>
      <c r="D31" s="24">
        <f>IFERROR(INDEX('Gap Analysis'!D$6:D$55,SMALL(IF(('Gap Analysis'!D$6:D$55="Critical")+('Gap Analysis'!D$6:D$55="High"),ROW('Gap Analysis'!A$6:A$55)-ROW('Gap Analysis'!A$6)+1),ROWS($A$1:A4))),"")</f>
        <v/>
      </c>
      <c r="E31" s="24">
        <f>IFERROR(INDEX('Gap Analysis'!I$6:I$55,SMALL(IF(('Gap Analysis'!D$6:D$55="Critical")+('Gap Analysis'!D$6:D$55="High"),ROW('Gap Analysis'!A$6:A$55)-ROW('Gap Analysis'!A$6)+1),ROWS($A$1:A4))),"")</f>
        <v/>
      </c>
      <c r="F31" s="24">
        <f>IFERROR(INDEX('Gap Analysis'!G$6:G$55,SMALL(IF(('Gap Analysis'!D$6:D$55="Critical")+('Gap Analysis'!D$6:D$55="High"),ROW('Gap Analysis'!A$6:A$55)-ROW('Gap Analysis'!A$6)+1),ROWS($A$1:A4))),"")</f>
        <v/>
      </c>
      <c r="G31" s="24">
        <f>IFERROR(INDEX('Gap Analysis'!H$6:H$55,SMALL(IF(('Gap Analysis'!D$6:D$55="Critical")+('Gap Analysis'!D$6:D$55="High"),ROW('Gap Analysis'!A$6:A$55)-ROW('Gap Analysis'!A$6)+1),ROWS($A$1:A4))),"")</f>
        <v/>
      </c>
    </row>
    <row r="32">
      <c r="A32" s="24">
        <f>IFERROR(INDEX('Gap Analysis'!A$6:A$55,SMALL(IF(('Gap Analysis'!D$6:D$55="Critical")+('Gap Analysis'!D$6:D$55="High"),ROW('Gap Analysis'!A$6:A$55)-ROW('Gap Analysis'!A$6)+1),ROWS($A$1:A5))),"")</f>
        <v/>
      </c>
      <c r="B32" s="24">
        <f>IFERROR(INDEX('Gap Analysis'!C$6:C$55,SMALL(IF(('Gap Analysis'!D$6:D$55="Critical")+('Gap Analysis'!D$6:D$55="High"),ROW('Gap Analysis'!A$6:A$55)-ROW('Gap Analysis'!A$6)+1),ROWS($A$1:A5))),"")</f>
        <v/>
      </c>
      <c r="C32" s="24">
        <f>IFERROR(INDEX('Gap Analysis'!B$6:B$55,SMALL(IF(('Gap Analysis'!D$6:D$55="Critical")+('Gap Analysis'!D$6:D$55="High"),ROW('Gap Analysis'!A$6:A$55)-ROW('Gap Analysis'!A$6)+1),ROWS($A$1:A5))),"")</f>
        <v/>
      </c>
      <c r="D32" s="24">
        <f>IFERROR(INDEX('Gap Analysis'!D$6:D$55,SMALL(IF(('Gap Analysis'!D$6:D$55="Critical")+('Gap Analysis'!D$6:D$55="High"),ROW('Gap Analysis'!A$6:A$55)-ROW('Gap Analysis'!A$6)+1),ROWS($A$1:A5))),"")</f>
        <v/>
      </c>
      <c r="E32" s="24">
        <f>IFERROR(INDEX('Gap Analysis'!I$6:I$55,SMALL(IF(('Gap Analysis'!D$6:D$55="Critical")+('Gap Analysis'!D$6:D$55="High"),ROW('Gap Analysis'!A$6:A$55)-ROW('Gap Analysis'!A$6)+1),ROWS($A$1:A5))),"")</f>
        <v/>
      </c>
      <c r="F32" s="24">
        <f>IFERROR(INDEX('Gap Analysis'!G$6:G$55,SMALL(IF(('Gap Analysis'!D$6:D$55="Critical")+('Gap Analysis'!D$6:D$55="High"),ROW('Gap Analysis'!A$6:A$55)-ROW('Gap Analysis'!A$6)+1),ROWS($A$1:A5))),"")</f>
        <v/>
      </c>
      <c r="G32" s="24">
        <f>IFERROR(INDEX('Gap Analysis'!H$6:H$55,SMALL(IF(('Gap Analysis'!D$6:D$55="Critical")+('Gap Analysis'!D$6:D$55="High"),ROW('Gap Analysis'!A$6:A$55)-ROW('Gap Analysis'!A$6)+1),ROWS($A$1:A5))),"")</f>
        <v/>
      </c>
    </row>
    <row r="33">
      <c r="A33" s="24">
        <f>IFERROR(INDEX('Gap Analysis'!A$6:A$55,SMALL(IF(('Gap Analysis'!D$6:D$55="Critical")+('Gap Analysis'!D$6:D$55="High"),ROW('Gap Analysis'!A$6:A$55)-ROW('Gap Analysis'!A$6)+1),ROWS($A$1:A6))),"")</f>
        <v/>
      </c>
      <c r="B33" s="24">
        <f>IFERROR(INDEX('Gap Analysis'!C$6:C$55,SMALL(IF(('Gap Analysis'!D$6:D$55="Critical")+('Gap Analysis'!D$6:D$55="High"),ROW('Gap Analysis'!A$6:A$55)-ROW('Gap Analysis'!A$6)+1),ROWS($A$1:A6))),"")</f>
        <v/>
      </c>
      <c r="C33" s="24">
        <f>IFERROR(INDEX('Gap Analysis'!B$6:B$55,SMALL(IF(('Gap Analysis'!D$6:D$55="Critical")+('Gap Analysis'!D$6:D$55="High"),ROW('Gap Analysis'!A$6:A$55)-ROW('Gap Analysis'!A$6)+1),ROWS($A$1:A6))),"")</f>
        <v/>
      </c>
      <c r="D33" s="24">
        <f>IFERROR(INDEX('Gap Analysis'!D$6:D$55,SMALL(IF(('Gap Analysis'!D$6:D$55="Critical")+('Gap Analysis'!D$6:D$55="High"),ROW('Gap Analysis'!A$6:A$55)-ROW('Gap Analysis'!A$6)+1),ROWS($A$1:A6))),"")</f>
        <v/>
      </c>
      <c r="E33" s="24">
        <f>IFERROR(INDEX('Gap Analysis'!I$6:I$55,SMALL(IF(('Gap Analysis'!D$6:D$55="Critical")+('Gap Analysis'!D$6:D$55="High"),ROW('Gap Analysis'!A$6:A$55)-ROW('Gap Analysis'!A$6)+1),ROWS($A$1:A6))),"")</f>
        <v/>
      </c>
      <c r="F33" s="24">
        <f>IFERROR(INDEX('Gap Analysis'!G$6:G$55,SMALL(IF(('Gap Analysis'!D$6:D$55="Critical")+('Gap Analysis'!D$6:D$55="High"),ROW('Gap Analysis'!A$6:A$55)-ROW('Gap Analysis'!A$6)+1),ROWS($A$1:A6))),"")</f>
        <v/>
      </c>
      <c r="G33" s="24">
        <f>IFERROR(INDEX('Gap Analysis'!H$6:H$55,SMALL(IF(('Gap Analysis'!D$6:D$55="Critical")+('Gap Analysis'!D$6:D$55="High"),ROW('Gap Analysis'!A$6:A$55)-ROW('Gap Analysis'!A$6)+1),ROWS($A$1:A6))),"")</f>
        <v/>
      </c>
    </row>
    <row r="34">
      <c r="A34" s="24">
        <f>IFERROR(INDEX('Gap Analysis'!A$6:A$55,SMALL(IF(('Gap Analysis'!D$6:D$55="Critical")+('Gap Analysis'!D$6:D$55="High"),ROW('Gap Analysis'!A$6:A$55)-ROW('Gap Analysis'!A$6)+1),ROWS($A$1:A7))),"")</f>
        <v/>
      </c>
      <c r="B34" s="24">
        <f>IFERROR(INDEX('Gap Analysis'!C$6:C$55,SMALL(IF(('Gap Analysis'!D$6:D$55="Critical")+('Gap Analysis'!D$6:D$55="High"),ROW('Gap Analysis'!A$6:A$55)-ROW('Gap Analysis'!A$6)+1),ROWS($A$1:A7))),"")</f>
        <v/>
      </c>
      <c r="C34" s="24">
        <f>IFERROR(INDEX('Gap Analysis'!B$6:B$55,SMALL(IF(('Gap Analysis'!D$6:D$55="Critical")+('Gap Analysis'!D$6:D$55="High"),ROW('Gap Analysis'!A$6:A$55)-ROW('Gap Analysis'!A$6)+1),ROWS($A$1:A7))),"")</f>
        <v/>
      </c>
      <c r="D34" s="24">
        <f>IFERROR(INDEX('Gap Analysis'!D$6:D$55,SMALL(IF(('Gap Analysis'!D$6:D$55="Critical")+('Gap Analysis'!D$6:D$55="High"),ROW('Gap Analysis'!A$6:A$55)-ROW('Gap Analysis'!A$6)+1),ROWS($A$1:A7))),"")</f>
        <v/>
      </c>
      <c r="E34" s="24">
        <f>IFERROR(INDEX('Gap Analysis'!I$6:I$55,SMALL(IF(('Gap Analysis'!D$6:D$55="Critical")+('Gap Analysis'!D$6:D$55="High"),ROW('Gap Analysis'!A$6:A$55)-ROW('Gap Analysis'!A$6)+1),ROWS($A$1:A7))),"")</f>
        <v/>
      </c>
      <c r="F34" s="24">
        <f>IFERROR(INDEX('Gap Analysis'!G$6:G$55,SMALL(IF(('Gap Analysis'!D$6:D$55="Critical")+('Gap Analysis'!D$6:D$55="High"),ROW('Gap Analysis'!A$6:A$55)-ROW('Gap Analysis'!A$6)+1),ROWS($A$1:A7))),"")</f>
        <v/>
      </c>
      <c r="G34" s="24">
        <f>IFERROR(INDEX('Gap Analysis'!H$6:H$55,SMALL(IF(('Gap Analysis'!D$6:D$55="Critical")+('Gap Analysis'!D$6:D$55="High"),ROW('Gap Analysis'!A$6:A$55)-ROW('Gap Analysis'!A$6)+1),ROWS($A$1:A7))),"")</f>
        <v/>
      </c>
    </row>
    <row r="35">
      <c r="A35" s="24">
        <f>IFERROR(INDEX('Gap Analysis'!A$6:A$55,SMALL(IF(('Gap Analysis'!D$6:D$55="Critical")+('Gap Analysis'!D$6:D$55="High"),ROW('Gap Analysis'!A$6:A$55)-ROW('Gap Analysis'!A$6)+1),ROWS($A$1:A8))),"")</f>
        <v/>
      </c>
      <c r="B35" s="24">
        <f>IFERROR(INDEX('Gap Analysis'!C$6:C$55,SMALL(IF(('Gap Analysis'!D$6:D$55="Critical")+('Gap Analysis'!D$6:D$55="High"),ROW('Gap Analysis'!A$6:A$55)-ROW('Gap Analysis'!A$6)+1),ROWS($A$1:A8))),"")</f>
        <v/>
      </c>
      <c r="C35" s="24">
        <f>IFERROR(INDEX('Gap Analysis'!B$6:B$55,SMALL(IF(('Gap Analysis'!D$6:D$55="Critical")+('Gap Analysis'!D$6:D$55="High"),ROW('Gap Analysis'!A$6:A$55)-ROW('Gap Analysis'!A$6)+1),ROWS($A$1:A8))),"")</f>
        <v/>
      </c>
      <c r="D35" s="24">
        <f>IFERROR(INDEX('Gap Analysis'!D$6:D$55,SMALL(IF(('Gap Analysis'!D$6:D$55="Critical")+('Gap Analysis'!D$6:D$55="High"),ROW('Gap Analysis'!A$6:A$55)-ROW('Gap Analysis'!A$6)+1),ROWS($A$1:A8))),"")</f>
        <v/>
      </c>
      <c r="E35" s="24">
        <f>IFERROR(INDEX('Gap Analysis'!I$6:I$55,SMALL(IF(('Gap Analysis'!D$6:D$55="Critical")+('Gap Analysis'!D$6:D$55="High"),ROW('Gap Analysis'!A$6:A$55)-ROW('Gap Analysis'!A$6)+1),ROWS($A$1:A8))),"")</f>
        <v/>
      </c>
      <c r="F35" s="24">
        <f>IFERROR(INDEX('Gap Analysis'!G$6:G$55,SMALL(IF(('Gap Analysis'!D$6:D$55="Critical")+('Gap Analysis'!D$6:D$55="High"),ROW('Gap Analysis'!A$6:A$55)-ROW('Gap Analysis'!A$6)+1),ROWS($A$1:A8))),"")</f>
        <v/>
      </c>
      <c r="G35" s="24">
        <f>IFERROR(INDEX('Gap Analysis'!H$6:H$55,SMALL(IF(('Gap Analysis'!D$6:D$55="Critical")+('Gap Analysis'!D$6:D$55="High"),ROW('Gap Analysis'!A$6:A$55)-ROW('Gap Analysis'!A$6)+1),ROWS($A$1:A8))),"")</f>
        <v/>
      </c>
    </row>
    <row r="36">
      <c r="A36" s="24">
        <f>IFERROR(INDEX('Gap Analysis'!A$6:A$55,SMALL(IF(('Gap Analysis'!D$6:D$55="Critical")+('Gap Analysis'!D$6:D$55="High"),ROW('Gap Analysis'!A$6:A$55)-ROW('Gap Analysis'!A$6)+1),ROWS($A$1:A9))),"")</f>
        <v/>
      </c>
      <c r="B36" s="24">
        <f>IFERROR(INDEX('Gap Analysis'!C$6:C$55,SMALL(IF(('Gap Analysis'!D$6:D$55="Critical")+('Gap Analysis'!D$6:D$55="High"),ROW('Gap Analysis'!A$6:A$55)-ROW('Gap Analysis'!A$6)+1),ROWS($A$1:A9))),"")</f>
        <v/>
      </c>
      <c r="C36" s="24">
        <f>IFERROR(INDEX('Gap Analysis'!B$6:B$55,SMALL(IF(('Gap Analysis'!D$6:D$55="Critical")+('Gap Analysis'!D$6:D$55="High"),ROW('Gap Analysis'!A$6:A$55)-ROW('Gap Analysis'!A$6)+1),ROWS($A$1:A9))),"")</f>
        <v/>
      </c>
      <c r="D36" s="24">
        <f>IFERROR(INDEX('Gap Analysis'!D$6:D$55,SMALL(IF(('Gap Analysis'!D$6:D$55="Critical")+('Gap Analysis'!D$6:D$55="High"),ROW('Gap Analysis'!A$6:A$55)-ROW('Gap Analysis'!A$6)+1),ROWS($A$1:A9))),"")</f>
        <v/>
      </c>
      <c r="E36" s="24">
        <f>IFERROR(INDEX('Gap Analysis'!I$6:I$55,SMALL(IF(('Gap Analysis'!D$6:D$55="Critical")+('Gap Analysis'!D$6:D$55="High"),ROW('Gap Analysis'!A$6:A$55)-ROW('Gap Analysis'!A$6)+1),ROWS($A$1:A9))),"")</f>
        <v/>
      </c>
      <c r="F36" s="24">
        <f>IFERROR(INDEX('Gap Analysis'!G$6:G$55,SMALL(IF(('Gap Analysis'!D$6:D$55="Critical")+('Gap Analysis'!D$6:D$55="High"),ROW('Gap Analysis'!A$6:A$55)-ROW('Gap Analysis'!A$6)+1),ROWS($A$1:A9))),"")</f>
        <v/>
      </c>
      <c r="G36" s="24">
        <f>IFERROR(INDEX('Gap Analysis'!H$6:H$55,SMALL(IF(('Gap Analysis'!D$6:D$55="Critical")+('Gap Analysis'!D$6:D$55="High"),ROW('Gap Analysis'!A$6:A$55)-ROW('Gap Analysis'!A$6)+1),ROWS($A$1:A9))),"")</f>
        <v/>
      </c>
    </row>
    <row r="37">
      <c r="A37" s="24">
        <f>IFERROR(INDEX('Gap Analysis'!A$6:A$55,SMALL(IF(('Gap Analysis'!D$6:D$55="Critical")+('Gap Analysis'!D$6:D$55="High"),ROW('Gap Analysis'!A$6:A$55)-ROW('Gap Analysis'!A$6)+1),ROWS($A$1:A10))),"")</f>
        <v/>
      </c>
      <c r="B37" s="24">
        <f>IFERROR(INDEX('Gap Analysis'!C$6:C$55,SMALL(IF(('Gap Analysis'!D$6:D$55="Critical")+('Gap Analysis'!D$6:D$55="High"),ROW('Gap Analysis'!A$6:A$55)-ROW('Gap Analysis'!A$6)+1),ROWS($A$1:A10))),"")</f>
        <v/>
      </c>
      <c r="C37" s="24">
        <f>IFERROR(INDEX('Gap Analysis'!B$6:B$55,SMALL(IF(('Gap Analysis'!D$6:D$55="Critical")+('Gap Analysis'!D$6:D$55="High"),ROW('Gap Analysis'!A$6:A$55)-ROW('Gap Analysis'!A$6)+1),ROWS($A$1:A10))),"")</f>
        <v/>
      </c>
      <c r="D37" s="24">
        <f>IFERROR(INDEX('Gap Analysis'!D$6:D$55,SMALL(IF(('Gap Analysis'!D$6:D$55="Critical")+('Gap Analysis'!D$6:D$55="High"),ROW('Gap Analysis'!A$6:A$55)-ROW('Gap Analysis'!A$6)+1),ROWS($A$1:A10))),"")</f>
        <v/>
      </c>
      <c r="E37" s="24">
        <f>IFERROR(INDEX('Gap Analysis'!I$6:I$55,SMALL(IF(('Gap Analysis'!D$6:D$55="Critical")+('Gap Analysis'!D$6:D$55="High"),ROW('Gap Analysis'!A$6:A$55)-ROW('Gap Analysis'!A$6)+1),ROWS($A$1:A10))),"")</f>
        <v/>
      </c>
      <c r="F37" s="24">
        <f>IFERROR(INDEX('Gap Analysis'!G$6:G$55,SMALL(IF(('Gap Analysis'!D$6:D$55="Critical")+('Gap Analysis'!D$6:D$55="High"),ROW('Gap Analysis'!A$6:A$55)-ROW('Gap Analysis'!A$6)+1),ROWS($A$1:A10))),"")</f>
        <v/>
      </c>
      <c r="G37" s="24">
        <f>IFERROR(INDEX('Gap Analysis'!H$6:H$55,SMALL(IF(('Gap Analysis'!D$6:D$55="Critical")+('Gap Analysis'!D$6:D$55="High"),ROW('Gap Analysis'!A$6:A$55)-ROW('Gap Analysis'!A$6)+1),ROWS($A$1:A10))),"")</f>
        <v/>
      </c>
    </row>
    <row r="38">
      <c r="A38" s="23" t="n"/>
      <c r="B38" s="23" t="n"/>
      <c r="C38" s="23" t="n"/>
      <c r="D38" s="23" t="n"/>
      <c r="E38" s="23" t="n"/>
      <c r="F38" s="23" t="n"/>
      <c r="G38" s="23" t="n"/>
    </row>
    <row r="39">
      <c r="A39" s="23" t="n"/>
      <c r="B39" s="23" t="n"/>
      <c r="C39" s="23" t="n"/>
      <c r="D39" s="23" t="n"/>
      <c r="E39" s="23" t="n"/>
      <c r="F39" s="23" t="n"/>
      <c r="G39" s="23" t="n"/>
    </row>
    <row r="40">
      <c r="A40" s="27" t="inlineStr">
        <is>
          <t>Total Critical/High Findings:</t>
        </is>
      </c>
      <c r="B40" s="24">
        <f>COUNTIF('Gap Analysis'!D6:D55,"Critical")+COUNTIF('Gap Analysis'!D6:D55,"High")</f>
        <v/>
      </c>
      <c r="C40" s="23" t="n"/>
      <c r="D40" s="23" t="n"/>
      <c r="E40" s="23" t="n"/>
      <c r="F40" s="23" t="n"/>
      <c r="G40" s="23" t="n"/>
    </row>
  </sheetData>
  <mergeCells count="5">
    <mergeCell ref="A1:G1"/>
    <mergeCell ref="A3:G3"/>
    <mergeCell ref="A12:G12"/>
    <mergeCell ref="A26:G26"/>
    <mergeCell ref="A2:G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22" customWidth="1" min="3" max="3"/>
    <col width="14" customWidth="1" min="4" max="4"/>
    <col width="22" customWidth="1" min="5" max="5"/>
  </cols>
  <sheetData>
    <row r="1" ht="35" customHeight="1">
      <c r="A1" s="28" t="inlineStr">
        <is>
          <t>ASSESSMENT APPROVAL AND SIGN-OFF</t>
        </is>
      </c>
      <c r="B1" s="20" t="n"/>
      <c r="C1" s="20" t="n"/>
      <c r="D1" s="20" t="n"/>
      <c r="E1" s="20" t="n"/>
    </row>
    <row r="2">
      <c r="A2" s="29" t="inlineStr">
        <is>
          <t>ISMS-IMP-A.8.2-3-5.S1 | ISO/IEC 27001:2022 - Control A.8.2-3-5: Access and Authentication Management</t>
        </is>
      </c>
      <c r="B2" s="20" t="n"/>
      <c r="C2" s="20" t="n"/>
      <c r="D2" s="20" t="n"/>
      <c r="E2" s="20" t="n"/>
    </row>
    <row r="3">
      <c r="A3" s="30" t="inlineStr">
        <is>
          <t>ASSESSMENT SUMMARY</t>
        </is>
      </c>
      <c r="B3" s="20" t="n"/>
      <c r="C3" s="20" t="n"/>
      <c r="D3" s="20" t="n"/>
      <c r="E3" s="20" t="n"/>
    </row>
    <row r="4">
      <c r="A4" s="31" t="inlineStr">
        <is>
          <t>Document:</t>
        </is>
      </c>
      <c r="B4" s="20" t="inlineStr">
        <is>
          <t>ISMS-IMP-A.8.2-3-5.S1 - Authentication Inventory Assessment</t>
        </is>
      </c>
      <c r="C4" s="20" t="n"/>
      <c r="D4" s="20" t="n"/>
      <c r="E4" s="20" t="n"/>
    </row>
    <row r="5">
      <c r="A5" s="31" t="inlineStr">
        <is>
          <t>Assessment Period:</t>
        </is>
      </c>
      <c r="B5" s="23" t="inlineStr"/>
      <c r="C5" s="23" t="n"/>
      <c r="D5" s="23" t="n"/>
      <c r="E5" s="23" t="n"/>
    </row>
    <row r="6">
      <c r="A6" s="31" t="inlineStr">
        <is>
          <t>Overall Compliance Rate:</t>
        </is>
      </c>
      <c r="B6" s="32">
        <f>IFERROR(AVERAGE('Summary Dashboard'!G5:G8),"")</f>
        <v/>
      </c>
      <c r="C6" s="23" t="n"/>
      <c r="D6" s="23" t="n"/>
      <c r="E6" s="23" t="n"/>
    </row>
    <row r="7">
      <c r="A7" s="31" t="inlineStr">
        <is>
          <t>Assessment Status:</t>
        </is>
      </c>
      <c r="B7" s="23" t="inlineStr"/>
      <c r="C7" s="23" t="n"/>
      <c r="D7" s="23" t="n"/>
      <c r="E7" s="23" t="n"/>
    </row>
    <row r="8">
      <c r="A8" s="31" t="inlineStr">
        <is>
          <t>Assessed By:</t>
        </is>
      </c>
      <c r="B8" s="23" t="inlineStr"/>
      <c r="C8" s="23" t="n"/>
      <c r="D8" s="23" t="n"/>
      <c r="E8" s="23" t="n"/>
    </row>
    <row r="11">
      <c r="A11" s="30" t="inlineStr">
        <is>
          <t>COMPLETED BY (ASSESSOR)</t>
        </is>
      </c>
      <c r="B11" s="20" t="n"/>
      <c r="C11" s="20" t="n"/>
      <c r="D11" s="20" t="n"/>
      <c r="E11" s="20" t="n"/>
    </row>
    <row r="12">
      <c r="A12" s="31" t="inlineStr">
        <is>
          <t>Name:</t>
        </is>
      </c>
      <c r="B12" s="23" t="n"/>
      <c r="C12" s="23" t="n"/>
      <c r="D12" s="23" t="n"/>
      <c r="E12" s="23" t="n"/>
    </row>
    <row r="13">
      <c r="A13" s="31" t="inlineStr">
        <is>
          <t>Title:</t>
        </is>
      </c>
      <c r="B13" s="23" t="n"/>
      <c r="C13" s="23" t="n"/>
      <c r="D13" s="23" t="n"/>
      <c r="E13" s="23" t="n"/>
    </row>
    <row r="14">
      <c r="A14" s="31" t="inlineStr">
        <is>
          <t>Date:</t>
        </is>
      </c>
      <c r="B14" s="23" t="n"/>
      <c r="C14" s="23" t="n"/>
      <c r="D14" s="23" t="n"/>
      <c r="E14" s="23" t="n"/>
    </row>
    <row r="15">
      <c r="A15" s="31" t="inlineStr">
        <is>
          <t>Signature:</t>
        </is>
      </c>
      <c r="B15" s="23" t="n"/>
      <c r="C15" s="23" t="n"/>
      <c r="D15" s="23" t="n"/>
      <c r="E15" s="23" t="n"/>
    </row>
    <row r="16">
      <c r="A16" s="31" t="inlineStr">
        <is>
          <t>Comments:</t>
        </is>
      </c>
      <c r="B16" s="23" t="n"/>
      <c r="C16" s="23" t="n"/>
      <c r="D16" s="23" t="n"/>
      <c r="E16" s="23" t="n"/>
    </row>
    <row r="18">
      <c r="A18" s="30" t="inlineStr">
        <is>
          <t>REVIEWED BY (INFORMATION SECURITY OFFICER)</t>
        </is>
      </c>
      <c r="B18" s="20" t="n"/>
      <c r="C18" s="20" t="n"/>
      <c r="D18" s="20" t="n"/>
      <c r="E18" s="20" t="n"/>
    </row>
    <row r="19">
      <c r="A19" s="31" t="inlineStr">
        <is>
          <t>Name:</t>
        </is>
      </c>
      <c r="B19" s="23" t="n"/>
      <c r="C19" s="23" t="n"/>
      <c r="D19" s="23" t="n"/>
      <c r="E19" s="23" t="n"/>
    </row>
    <row r="20">
      <c r="A20" s="31" t="inlineStr">
        <is>
          <t>Title:</t>
        </is>
      </c>
      <c r="B20" s="23" t="n"/>
      <c r="C20" s="23" t="n"/>
      <c r="D20" s="23" t="n"/>
      <c r="E20" s="23" t="n"/>
    </row>
    <row r="21">
      <c r="A21" s="31" t="inlineStr">
        <is>
          <t>Date:</t>
        </is>
      </c>
      <c r="B21" s="23" t="n"/>
      <c r="C21" s="23" t="n"/>
      <c r="D21" s="23" t="n"/>
      <c r="E21" s="23" t="n"/>
    </row>
    <row r="22">
      <c r="A22" s="31" t="inlineStr">
        <is>
          <t>Signature:</t>
        </is>
      </c>
      <c r="B22" s="23" t="n"/>
      <c r="C22" s="23" t="n"/>
      <c r="D22" s="23" t="n"/>
      <c r="E22" s="23" t="n"/>
    </row>
    <row r="23">
      <c r="A23" s="31" t="inlineStr">
        <is>
          <t>Comments:</t>
        </is>
      </c>
      <c r="B23" s="23" t="n"/>
      <c r="C23" s="23" t="n"/>
      <c r="D23" s="23" t="n"/>
      <c r="E23" s="23" t="n"/>
    </row>
    <row r="25">
      <c r="A25" s="33" t="inlineStr">
        <is>
          <t>APPROVED BY (CISO)</t>
        </is>
      </c>
      <c r="B25" s="20" t="n"/>
      <c r="C25" s="20" t="n"/>
      <c r="D25" s="20" t="n"/>
      <c r="E25" s="20" t="n"/>
    </row>
    <row r="26">
      <c r="A26" s="31" t="inlineStr">
        <is>
          <t>Name:</t>
        </is>
      </c>
      <c r="B26" s="23" t="n"/>
      <c r="C26" s="23" t="n"/>
      <c r="D26" s="23" t="n"/>
      <c r="E26" s="23" t="n"/>
    </row>
    <row r="27">
      <c r="A27" s="31" t="inlineStr">
        <is>
          <t>Title:</t>
        </is>
      </c>
      <c r="B27" s="23" t="n"/>
      <c r="C27" s="23" t="n"/>
      <c r="D27" s="23" t="n"/>
      <c r="E27" s="23" t="n"/>
    </row>
    <row r="28">
      <c r="A28" s="31" t="inlineStr">
        <is>
          <t>Date:</t>
        </is>
      </c>
      <c r="B28" s="23" t="n"/>
      <c r="C28" s="23" t="n"/>
      <c r="D28" s="23" t="n"/>
      <c r="E28" s="23" t="n"/>
    </row>
    <row r="29">
      <c r="A29" s="31" t="inlineStr">
        <is>
          <t>Signature:</t>
        </is>
      </c>
      <c r="B29" s="23" t="n"/>
      <c r="C29" s="23" t="n"/>
      <c r="D29" s="23" t="n"/>
      <c r="E29" s="23" t="n"/>
    </row>
    <row r="30">
      <c r="A30" s="31" t="inlineStr">
        <is>
          <t>Comments:</t>
        </is>
      </c>
      <c r="B30" s="23" t="n"/>
      <c r="C30" s="23" t="n"/>
      <c r="D30" s="23" t="n"/>
      <c r="E30" s="23" t="n"/>
    </row>
    <row r="32">
      <c r="A32" s="34" t="inlineStr">
        <is>
          <t>FINAL DECISION:</t>
        </is>
      </c>
      <c r="B32" s="23" t="n"/>
      <c r="C32" s="23" t="n"/>
      <c r="D32" s="23" t="n"/>
      <c r="E32" s="23" t="n"/>
    </row>
    <row r="35">
      <c r="A35" s="30" t="inlineStr">
        <is>
          <t>NEXT REVIEW DETAILS</t>
        </is>
      </c>
      <c r="B35" s="20" t="n"/>
      <c r="C35" s="20" t="n"/>
      <c r="D35" s="20" t="n"/>
      <c r="E35" s="20" t="n"/>
    </row>
    <row r="36">
      <c r="A36" s="31" t="inlineStr">
        <is>
          <t>Next Review Date:</t>
        </is>
      </c>
      <c r="B36" s="23" t="n"/>
      <c r="C36" s="23" t="n"/>
      <c r="D36" s="23" t="n"/>
      <c r="E36" s="23" t="n"/>
    </row>
    <row r="37">
      <c r="A37" s="31" t="inlineStr">
        <is>
          <t>Review Responsible:</t>
        </is>
      </c>
      <c r="B37" s="23" t="n"/>
      <c r="C37" s="23" t="n"/>
      <c r="D37" s="23" t="n"/>
      <c r="E37" s="23" t="n"/>
    </row>
    <row r="38">
      <c r="A38" s="31" t="inlineStr">
        <is>
          <t>Special Considerations:</t>
        </is>
      </c>
      <c r="B38" s="23" t="n"/>
      <c r="C38" s="23" t="n"/>
      <c r="D38" s="23" t="n"/>
      <c r="E38" s="23" t="n"/>
    </row>
  </sheetData>
  <mergeCells count="31">
    <mergeCell ref="B6:E6"/>
    <mergeCell ref="B30:E30"/>
    <mergeCell ref="A11:E11"/>
    <mergeCell ref="B15:E15"/>
    <mergeCell ref="A1:E1"/>
    <mergeCell ref="B5:E5"/>
    <mergeCell ref="B20:E20"/>
    <mergeCell ref="B36:E36"/>
    <mergeCell ref="B32:E32"/>
    <mergeCell ref="B26:E26"/>
    <mergeCell ref="B4:E4"/>
    <mergeCell ref="A25:E25"/>
    <mergeCell ref="B16:E16"/>
    <mergeCell ref="B7:E7"/>
    <mergeCell ref="A18:E18"/>
    <mergeCell ref="B22:E22"/>
    <mergeCell ref="A3:E3"/>
    <mergeCell ref="B27:E27"/>
    <mergeCell ref="A2:E2"/>
    <mergeCell ref="B12:E12"/>
    <mergeCell ref="B21:E21"/>
    <mergeCell ref="B14:E14"/>
    <mergeCell ref="B23:E23"/>
    <mergeCell ref="A35:E35"/>
    <mergeCell ref="B8:E8"/>
    <mergeCell ref="B13:E13"/>
    <mergeCell ref="B38:E38"/>
    <mergeCell ref="B29:E29"/>
    <mergeCell ref="B19:E19"/>
    <mergeCell ref="B37:E37"/>
    <mergeCell ref="B28:E28"/>
  </mergeCells>
  <dataValidations count="2">
    <dataValidation sqref="B7" showDropDown="0" showInputMessage="0" showErrorMessage="0" allowBlank="1" type="list">
      <formula1>"Draft,Final,Requires remediation,Re-assessment required"</formula1>
    </dataValidation>
    <dataValidation sqref="B32" showDropDown="0" showInputMessage="0" showErrorMessage="0" allowBlank="1" type="list">
      <formula1>"Approved,Approved with Conditions,Rejected,Deferred"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ISMS Core Contributors</dc:creator>
  <dc:title xmlns:dc="http://purl.org/dc/elements/1.1/">ISMS-IMP-A.8.2-3-5.S1 — Authentication Inventory Assessment</dc:title>
  <dc:description xmlns:dc="http://purl.org/dc/elements/1.1/">ISMS Implementation Workbook — ISMS-IMP-A.8.2-3-5.S1</dc:description>
  <dc:subject xmlns:dc="http://purl.org/dc/elements/1.1/">ISO/IEC 27001:2022 — Control A.8.2-3-5: Access and Authentication Management</dc:subject>
  <dcterms:created xmlns:dcterms="http://purl.org/dc/terms/" xmlns:xsi="http://www.w3.org/2001/XMLSchema-instance" xsi:type="dcterms:W3CDTF">2026-03-01T16:58:08Z</dcterms:created>
  <dcterms:modified xmlns:dcterms="http://purl.org/dc/terms/" xmlns:xsi="http://www.w3.org/2001/XMLSchema-instance" xsi:type="dcterms:W3CDTF">2026-03-01T16:58:08Z</dcterms:modified>
</cp:coreProperties>
</file>