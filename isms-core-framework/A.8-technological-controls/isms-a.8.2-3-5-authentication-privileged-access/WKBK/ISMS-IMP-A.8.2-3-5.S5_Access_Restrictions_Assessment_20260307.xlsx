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File System Permissions" sheetId="2" state="visible" r:id="rId2"/>
    <sheet xmlns:r="http://schemas.openxmlformats.org/officeDocument/2006/relationships" name="Database Access Controls" sheetId="3" state="visible" r:id="rId3"/>
    <sheet xmlns:r="http://schemas.openxmlformats.org/officeDocument/2006/relationships" name="Application RBAC" sheetId="4" state="visible" r:id="rId4"/>
    <sheet xmlns:r="http://schemas.openxmlformats.org/officeDocument/2006/relationships" name="API Access Controls" sheetId="5" state="visible" r:id="rId5"/>
    <sheet xmlns:r="http://schemas.openxmlformats.org/officeDocument/2006/relationships" name="Cloud IAM Policies" sheetId="6" state="visible" r:id="rId6"/>
    <sheet xmlns:r="http://schemas.openxmlformats.org/officeDocument/2006/relationships" name="Encryption Status" sheetId="7" state="visible" r:id="rId7"/>
    <sheet xmlns:r="http://schemas.openxmlformats.org/officeDocument/2006/relationships" name="Network Segmentation" sheetId="8" state="visible" r:id="rId8"/>
    <sheet xmlns:r="http://schemas.openxmlformats.org/officeDocument/2006/relationships" name="Penetration Test Results" sheetId="9" state="visible" r:id="rId9"/>
    <sheet xmlns:r="http://schemas.openxmlformats.org/officeDocument/2006/relationships" name="Gap Analysis" sheetId="10" state="visible" r:id="rId10"/>
    <sheet xmlns:r="http://schemas.openxmlformats.org/officeDocument/2006/relationships" name="Evidence Register" sheetId="11" state="visible" r:id="rId11"/>
    <sheet xmlns:r="http://schemas.openxmlformats.org/officeDocument/2006/relationships" name="Summary Dashboard" sheetId="12" state="visible" r:id="rId12"/>
    <sheet xmlns:r="http://schemas.openxmlformats.org/officeDocument/2006/relationships" name="Approval Sign-Off" sheetId="13" state="visible" r:id="rId13"/>
  </sheets>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name val="Calibri"/>
      <b val="1"/>
      <color rgb="00FFFFFF"/>
      <sz val="14"/>
    </font>
    <font>
      <name val="Calibri"/>
      <b val="1"/>
      <color rgb="00000000"/>
      <sz val="11"/>
    </font>
    <font>
      <name val="Calibri"/>
      <b val="1"/>
      <sz val="10"/>
    </font>
    <font>
      <name val="Calibri"/>
      <sz val="10"/>
    </font>
    <font>
      <name val="Calibri"/>
      <b val="1"/>
      <color rgb="00FFFFFF"/>
      <sz val="11"/>
    </font>
    <font>
      <name val="Calibri"/>
      <color rgb="00000000"/>
      <sz val="10"/>
    </font>
    <font>
      <name val="Calibri"/>
      <b val="1"/>
      <i val="1"/>
      <color rgb="00C00000"/>
      <sz val="11"/>
    </font>
    <font>
      <name val="Calibri"/>
      <i val="1"/>
      <color rgb="00003366"/>
      <sz val="10"/>
    </font>
    <font>
      <name val="Calibri"/>
      <i val="1"/>
      <sz val="10"/>
    </font>
    <font>
      <name val="Calibri"/>
      <b val="1"/>
      <color rgb="00000000"/>
      <sz val="10"/>
    </font>
    <font>
      <name val="Calibri"/>
      <b val="1"/>
      <sz val="11"/>
    </font>
  </fonts>
  <fills count="9">
    <fill>
      <patternFill/>
    </fill>
    <fill>
      <patternFill patternType="gray125"/>
    </fill>
    <fill>
      <patternFill patternType="solid">
        <fgColor rgb="00003366"/>
      </patternFill>
    </fill>
    <fill>
      <patternFill patternType="solid">
        <fgColor rgb="00D9D9D9"/>
      </patternFill>
    </fill>
    <fill>
      <patternFill patternType="solid">
        <fgColor rgb="00FFFFFF"/>
      </patternFill>
    </fill>
    <fill>
      <patternFill patternType="solid">
        <fgColor rgb="00F2F2F2"/>
      </patternFill>
    </fill>
    <fill>
      <patternFill patternType="solid">
        <fgColor rgb="00FFFFCC"/>
      </patternFill>
    </fill>
    <fill>
      <patternFill patternType="solid">
        <fgColor rgb="00C00000"/>
      </patternFill>
    </fill>
    <fill>
      <patternFill patternType="solid">
        <fgColor rgb="004472C4"/>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0" fillId="0" borderId="0" applyAlignment="1" pivotButton="0" quotePrefix="0" xfId="0">
      <alignment wrapText="1"/>
    </xf>
    <xf numFmtId="0" fontId="5"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6" fillId="4" borderId="0" applyAlignment="1" pivotButton="0" quotePrefix="0" xfId="0">
      <alignment horizontal="left" vertical="center"/>
    </xf>
    <xf numFmtId="0" fontId="2" fillId="3" borderId="1" applyAlignment="1" pivotButton="0" quotePrefix="0" xfId="0">
      <alignment horizontal="center" vertical="center" wrapText="1"/>
    </xf>
    <xf numFmtId="0" fontId="0" fillId="3" borderId="1" pivotButton="0" quotePrefix="0" xfId="0"/>
    <xf numFmtId="0" fontId="7" fillId="0" borderId="0" applyAlignment="1" pivotButton="0" quotePrefix="0" xfId="0">
      <alignment vertical="center" wrapText="1"/>
    </xf>
    <xf numFmtId="0" fontId="8" fillId="0" borderId="0" applyAlignment="1" pivotButton="0" quotePrefix="0" xfId="0">
      <alignment horizontal="left" vertical="center" wrapText="1"/>
    </xf>
    <xf numFmtId="0" fontId="6" fillId="5" borderId="0" applyAlignment="1" pivotButton="0" quotePrefix="0" xfId="0">
      <alignment horizontal="left" vertical="center"/>
    </xf>
    <xf numFmtId="0" fontId="6" fillId="6" borderId="1" applyAlignment="1" pivotButton="0" quotePrefix="0" xfId="0">
      <alignment horizontal="left" vertical="center"/>
    </xf>
    <xf numFmtId="0" fontId="1" fillId="2" borderId="0" applyAlignment="1" pivotButton="0" quotePrefix="0" xfId="0">
      <alignment horizontal="center" vertical="center"/>
    </xf>
    <xf numFmtId="0" fontId="9" fillId="0" borderId="0" applyAlignment="1" pivotButton="0" quotePrefix="0" xfId="0">
      <alignment horizontal="left" vertical="center" wrapText="1"/>
    </xf>
    <xf numFmtId="0" fontId="8" fillId="0" borderId="0" applyAlignment="1" pivotButton="0" quotePrefix="0" xfId="0">
      <alignment horizontal="left" vertical="center"/>
    </xf>
    <xf numFmtId="0" fontId="5" fillId="2" borderId="0" applyAlignment="1" pivotButton="0" quotePrefix="0" xfId="0">
      <alignment horizontal="left" vertical="center"/>
    </xf>
    <xf numFmtId="0" fontId="0" fillId="0" borderId="1" pivotButton="0" quotePrefix="0" xfId="0"/>
    <xf numFmtId="0" fontId="10" fillId="3" borderId="1" applyAlignment="1" pivotButton="0" quotePrefix="0" xfId="0">
      <alignment horizontal="center" vertical="center" wrapText="1"/>
    </xf>
    <xf numFmtId="0" fontId="6" fillId="0" borderId="1" applyAlignment="1" pivotButton="0" quotePrefix="0" xfId="0">
      <alignment horizontal="left" vertical="center"/>
    </xf>
    <xf numFmtId="0" fontId="6" fillId="0" borderId="1" applyAlignment="1" pivotButton="0" quotePrefix="0" xfId="0">
      <alignment horizontal="center" vertical="center"/>
    </xf>
    <xf numFmtId="164" fontId="6" fillId="0" borderId="1" applyAlignment="1" pivotButton="0" quotePrefix="0" xfId="0">
      <alignment horizontal="center" vertical="center"/>
    </xf>
    <xf numFmtId="0" fontId="0" fillId="6" borderId="1" pivotButton="0" quotePrefix="0" xfId="0"/>
    <xf numFmtId="0" fontId="6" fillId="6" borderId="1" applyAlignment="1" pivotButton="0" quotePrefix="0" xfId="0">
      <alignment horizontal="left" vertical="center"/>
    </xf>
    <xf numFmtId="164" fontId="6" fillId="6" borderId="1" applyAlignment="1" pivotButton="0" quotePrefix="0" xfId="0">
      <alignment horizontal="center" vertical="center"/>
    </xf>
    <xf numFmtId="0" fontId="6" fillId="6" borderId="1" applyAlignment="1" pivotButton="0" quotePrefix="0" xfId="0">
      <alignment horizontal="center" vertical="center"/>
    </xf>
    <xf numFmtId="0" fontId="5" fillId="7" borderId="0" applyAlignment="1" pivotButton="0" quotePrefix="0" xfId="0">
      <alignment horizontal="left" vertical="center"/>
    </xf>
    <xf numFmtId="0" fontId="10" fillId="0" borderId="1" pivotButton="0" quotePrefix="0" xfId="0"/>
    <xf numFmtId="0" fontId="10" fillId="0" borderId="1" applyAlignment="1" pivotButton="0" quotePrefix="0" xfId="0">
      <alignment horizontal="center" vertical="center"/>
    </xf>
    <xf numFmtId="0" fontId="1" fillId="2" borderId="1" applyAlignment="1" pivotButton="0" quotePrefix="0" xfId="0">
      <alignment horizontal="center" vertical="center"/>
    </xf>
    <xf numFmtId="0" fontId="8" fillId="0" borderId="1" applyAlignment="1" pivotButton="0" quotePrefix="0" xfId="0">
      <alignment horizontal="center" vertical="center"/>
    </xf>
    <xf numFmtId="0" fontId="5" fillId="8" borderId="1" applyAlignment="1" pivotButton="0" quotePrefix="0" xfId="0">
      <alignment horizontal="left" vertical="center"/>
    </xf>
    <xf numFmtId="0" fontId="3" fillId="0" borderId="1" pivotButton="0" quotePrefix="0" xfId="0"/>
    <xf numFmtId="164" fontId="0" fillId="6" borderId="1" pivotButton="0" quotePrefix="0" xfId="0"/>
    <xf numFmtId="0" fontId="5" fillId="2" borderId="1" applyAlignment="1" pivotButton="0" quotePrefix="0" xfId="0">
      <alignment horizontal="left" vertical="center"/>
    </xf>
    <xf numFmtId="0" fontId="11"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ISMS-IMP-A.8.2-3-5.S5  -  ACCESS RESTRICTION ASSESSMENT
ISO/IEC 27001:2022 - Control A.8.2-3-5: Access and Authentication Management</t>
        </is>
      </c>
    </row>
    <row r="3">
      <c r="A3" s="2" t="inlineStr">
        <is>
          <t>Document Information</t>
        </is>
      </c>
    </row>
    <row r="4">
      <c r="A4" s="3" t="inlineStr">
        <is>
          <t>Document ID:</t>
        </is>
      </c>
      <c r="B4" s="4" t="inlineStr">
        <is>
          <t>ISMS-IMP-A.8.2-3-5.S5</t>
        </is>
      </c>
    </row>
    <row r="5">
      <c r="A5" s="3" t="inlineStr">
        <is>
          <t>Assessment:</t>
        </is>
      </c>
      <c r="B5" s="4" t="inlineStr">
        <is>
          <t>Access Restrictions Assessment</t>
        </is>
      </c>
    </row>
    <row r="6">
      <c r="A6" s="3" t="inlineStr">
        <is>
          <t>Version:</t>
        </is>
      </c>
      <c r="B6" s="4" t="inlineStr">
        <is>
          <t>1.0</t>
        </is>
      </c>
    </row>
    <row r="7">
      <c r="A7" s="3" t="inlineStr">
        <is>
          <t>Generated:</t>
        </is>
      </c>
      <c r="B7" s="4" t="inlineStr">
        <is>
          <t>07.03.2026 12:28</t>
        </is>
      </c>
    </row>
    <row r="9">
      <c r="A9" s="2" t="inlineStr">
        <is>
          <t>Instructions</t>
        </is>
      </c>
    </row>
    <row r="10" ht="45" customHeight="1">
      <c r="A10" s="5" t="inlineStr">
        <is>
          <t>Complete each sheet in sequence: File System Permissions (Sheet 2), Database Access Controls (Sheet 3), Application RBAC (Sheet 4), API Access Controls (Sheet 5), Cloud IAM Policies (Sheet 6), Encryption Status (Sheet 7), Network Segmentation (Sheet 8), Penetration Test Results (Sheet 9), and Gap Analysis (Sheet 10).</t>
        </is>
      </c>
    </row>
    <row r="12">
      <c r="A12" s="2" t="inlineStr">
        <is>
          <t>ACCESS RESTRICTION PRINCIPLES</t>
        </is>
      </c>
    </row>
    <row r="13">
      <c r="A13" s="6" t="inlineStr">
        <is>
          <t>• Default Deny: Access denied unless explicitly allowed (whitelist approach)</t>
        </is>
      </c>
    </row>
    <row r="14">
      <c r="A14" s="6" t="inlineStr">
        <is>
          <t>• Least Privilege: Minimum permissions required for task</t>
        </is>
      </c>
    </row>
    <row r="15">
      <c r="A15" s="6" t="inlineStr">
        <is>
          <t>• Separation of Duties: No single person has end-to-end control</t>
        </is>
      </c>
    </row>
    <row r="16">
      <c r="A16" s="6" t="inlineStr">
        <is>
          <t>• Need-to-Know: Access restricted to those with legitimate business need</t>
        </is>
      </c>
    </row>
    <row r="17">
      <c r="A17" s="6" t="inlineStr">
        <is>
          <t>• Defence in Depth: Multiple layers (OS, DB, app, network, encryption)</t>
        </is>
      </c>
    </row>
    <row r="18">
      <c r="A18" s="6" t="inlineStr">
        <is>
          <t>• Regular Audits: Quarterly permission reviews for sensitive systems</t>
        </is>
      </c>
    </row>
    <row r="20">
      <c r="A20" s="2" t="inlineStr">
        <is>
          <t>ASSESSMENT SCOPE</t>
        </is>
      </c>
    </row>
    <row r="21">
      <c r="A21" s="7" t="inlineStr">
        <is>
          <t>Assessment Area</t>
        </is>
      </c>
      <c r="B21" s="7" t="inlineStr">
        <is>
          <t>Scope Description</t>
        </is>
      </c>
      <c r="C21" s="8" t="n"/>
      <c r="D21" s="8" t="n"/>
      <c r="E21" s="8" t="n"/>
      <c r="F21" s="9" t="n"/>
    </row>
    <row r="22">
      <c r="A22" s="10" t="inlineStr">
        <is>
          <t>File System Permissions</t>
        </is>
      </c>
      <c r="B22" s="10" t="inlineStr">
        <is>
          <t>NTFS ACLs, Linux file permissions, shared drive access</t>
        </is>
      </c>
      <c r="C22" s="10" t="inlineStr">
        <is>
          <t>Sheet 2</t>
        </is>
      </c>
    </row>
    <row r="23">
      <c r="A23" s="10" t="inlineStr">
        <is>
          <t>Database Access Controls</t>
        </is>
      </c>
      <c r="B23" s="10" t="inlineStr">
        <is>
          <t>SQL grants, row/column-level security, DBA accounts</t>
        </is>
      </c>
      <c r="C23" s="10" t="inlineStr">
        <is>
          <t>Sheet 3</t>
        </is>
      </c>
    </row>
    <row r="24">
      <c r="A24" s="10" t="inlineStr">
        <is>
          <t>Application RBAC</t>
        </is>
      </c>
      <c r="B24" s="10" t="inlineStr">
        <is>
          <t>Role-based access, ABAC policies, admin functions</t>
        </is>
      </c>
      <c r="C24" s="10" t="inlineStr">
        <is>
          <t>Sheet 4</t>
        </is>
      </c>
    </row>
    <row r="25">
      <c r="A25" s="10" t="inlineStr">
        <is>
          <t>API Access Controls</t>
        </is>
      </c>
      <c r="B25" s="10" t="inlineStr">
        <is>
          <t>OAuth scopes, API keys, rate limiting, authentication</t>
        </is>
      </c>
      <c r="C25" s="10" t="inlineStr">
        <is>
          <t>Sheet 5</t>
        </is>
      </c>
    </row>
    <row r="26">
      <c r="A26" s="10" t="inlineStr">
        <is>
          <t>Cloud IAM Policies</t>
        </is>
      </c>
      <c r="B26" s="10" t="inlineStr">
        <is>
          <t>Cloud role assignments, service principals, policy reviews</t>
        </is>
      </c>
      <c r="C26" s="10" t="inlineStr">
        <is>
          <t>Sheet 6</t>
        </is>
      </c>
    </row>
    <row r="27">
      <c r="A27" s="10" t="inlineStr">
        <is>
          <t>Encryption Status</t>
        </is>
      </c>
      <c r="B27" s="10" t="inlineStr">
        <is>
          <t>Data-at-rest encryption, key management, classification alignment</t>
        </is>
      </c>
      <c r="C27" s="10" t="inlineStr">
        <is>
          <t>Sheet 7</t>
        </is>
      </c>
    </row>
    <row r="28">
      <c r="A28" s="10" t="inlineStr">
        <is>
          <t>Network Segmentation</t>
        </is>
      </c>
      <c r="B28" s="10" t="inlineStr">
        <is>
          <t>Firewall rules, VLAN enforcement, default deny</t>
        </is>
      </c>
      <c r="C28" s="10" t="inlineStr">
        <is>
          <t>Sheet 8</t>
        </is>
      </c>
    </row>
    <row r="29">
      <c r="A29" s="10" t="inlineStr">
        <is>
          <t>Penetration Testing</t>
        </is>
      </c>
      <c r="B29" s="10" t="inlineStr">
        <is>
          <t>Access control testing results, findings, remediation</t>
        </is>
      </c>
      <c r="C29" s="10" t="inlineStr">
        <is>
          <t>Sheet 9</t>
        </is>
      </c>
    </row>
    <row r="30">
      <c r="A30" s="10" t="inlineStr">
        <is>
          <t>Gap Analysis</t>
        </is>
      </c>
      <c r="B30" s="10" t="inlineStr">
        <is>
          <t>Non-compliant access restrictions requiring remediation</t>
        </is>
      </c>
      <c r="C30" s="10" t="inlineStr">
        <is>
          <t>Sheet 10</t>
        </is>
      </c>
    </row>
    <row r="32">
      <c r="A32" s="2" t="inlineStr">
        <is>
          <t>Status Legend</t>
        </is>
      </c>
    </row>
    <row r="33">
      <c r="A33" s="11" t="inlineStr">
        <is>
          <t>Status</t>
        </is>
      </c>
      <c r="B33" s="11" t="inlineStr">
        <is>
          <t>Description</t>
        </is>
      </c>
      <c r="C33" s="12" t="inlineStr"/>
      <c r="D33" s="8" t="n"/>
      <c r="E33" s="8" t="n"/>
      <c r="F33" s="8" t="n"/>
      <c r="G33" s="9" t="n"/>
    </row>
    <row r="34">
      <c r="A34" s="10" t="inlineStr">
        <is>
          <t>✅ Compliant</t>
        </is>
      </c>
      <c r="B34" s="10" t="inlineStr">
        <is>
          <t>Access control meets all requirements</t>
        </is>
      </c>
    </row>
    <row r="35">
      <c r="A35" s="10" t="inlineStr">
        <is>
          <t>⚠ Partial Compliance</t>
        </is>
      </c>
      <c r="B35" s="10" t="inlineStr">
        <is>
          <t>Meets some but not all requirements</t>
        </is>
      </c>
    </row>
    <row r="36">
      <c r="A36" s="10" t="inlineStr">
        <is>
          <t>❌ Non-Compliant</t>
        </is>
      </c>
      <c r="B36" s="10" t="inlineStr">
        <is>
          <t>Does not meet requirements — action required</t>
        </is>
      </c>
    </row>
    <row r="37">
      <c r="A37" s="10" t="inlineStr">
        <is>
          <t>In Progress</t>
        </is>
      </c>
      <c r="B37" s="10" t="inlineStr">
        <is>
          <t>Remediation in progress</t>
        </is>
      </c>
    </row>
    <row r="38">
      <c r="A38" s="10" t="inlineStr">
        <is>
          <t>—</t>
        </is>
      </c>
      <c r="B38" s="10" t="inlineStr">
        <is>
          <t>Not applicable</t>
        </is>
      </c>
    </row>
    <row r="40" ht="30" customHeight="1">
      <c r="A40" s="13" t="inlineStr">
        <is>
          <t>REMEMBER: 'Restrict' means technical enforcement, not just policy. Verify with penetration testing and configuration audits.</t>
        </is>
      </c>
    </row>
  </sheetData>
  <mergeCells count="21">
    <mergeCell ref="A32:G32"/>
    <mergeCell ref="A14:G14"/>
    <mergeCell ref="A17:G17"/>
    <mergeCell ref="C33:G33"/>
    <mergeCell ref="A20:G20"/>
    <mergeCell ref="A10:G10"/>
    <mergeCell ref="B21:F21"/>
    <mergeCell ref="A13:G13"/>
    <mergeCell ref="B34:G34"/>
    <mergeCell ref="B38:G38"/>
    <mergeCell ref="A40:G40"/>
    <mergeCell ref="A9:G9"/>
    <mergeCell ref="B37:G37"/>
    <mergeCell ref="A15:G15"/>
    <mergeCell ref="A3:B3"/>
    <mergeCell ref="A1:G1"/>
    <mergeCell ref="B36:G36"/>
    <mergeCell ref="B35:G35"/>
    <mergeCell ref="A16:G16"/>
    <mergeCell ref="A18:G18"/>
    <mergeCell ref="A12:G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cols>
    <col width="20" customWidth="1" min="1" max="1"/>
    <col width="35" customWidth="1" min="2" max="2"/>
    <col width="18" customWidth="1" min="3" max="3"/>
    <col width="20" customWidth="1" min="4" max="4"/>
    <col width="14" customWidth="1" min="5" max="5"/>
    <col width="14" customWidth="1" min="6" max="6"/>
    <col width="30" customWidth="1" min="7" max="7"/>
    <col width="18" customWidth="1" min="8" max="8"/>
  </cols>
  <sheetData>
    <row r="1" ht="35" customHeight="1">
      <c r="A1" s="1" t="inlineStr">
        <is>
          <t>FILE SYSTEM PERMISSIONS</t>
        </is>
      </c>
    </row>
    <row r="2">
      <c r="A2" s="14" t="inlineStr">
        <is>
          <t>Audit file system access controls — NTFS ACLs, Linux permissions, shared drives</t>
        </is>
      </c>
    </row>
    <row r="4">
      <c r="A4" s="7" t="inlineStr">
        <is>
          <t>System</t>
        </is>
      </c>
      <c r="B4" s="7" t="inlineStr">
        <is>
          <t>Path / Share</t>
        </is>
      </c>
      <c r="C4" s="7" t="inlineStr">
        <is>
          <t>Data Classification</t>
        </is>
      </c>
      <c r="D4" s="7" t="inlineStr">
        <is>
          <t>Permission Type</t>
        </is>
      </c>
      <c r="E4" s="7" t="inlineStr">
        <is>
          <t>Default Deny</t>
        </is>
      </c>
      <c r="F4" s="7" t="inlineStr">
        <is>
          <t>Last Audit Date</t>
        </is>
      </c>
      <c r="G4" s="7" t="inlineStr">
        <is>
          <t>Findings</t>
        </is>
      </c>
      <c r="H4" s="7" t="inlineStr">
        <is>
          <t>Compliance</t>
        </is>
      </c>
    </row>
    <row r="5">
      <c r="A5" s="15" t="inlineStr">
        <is>
          <t>FileServer01</t>
        </is>
      </c>
      <c r="B5" s="15" t="inlineStr">
        <is>
          <t>\\fileserver01\Finance</t>
        </is>
      </c>
      <c r="C5" s="15" t="inlineStr">
        <is>
          <t>Restricted</t>
        </is>
      </c>
      <c r="D5" s="15" t="inlineStr">
        <is>
          <t>NTFS ACL</t>
        </is>
      </c>
      <c r="E5" s="15" t="inlineStr">
        <is>
          <t>Yes</t>
        </is>
      </c>
      <c r="F5" s="15" t="inlineStr">
        <is>
          <t>07.03.2026</t>
        </is>
      </c>
      <c r="G5" s="15" t="inlineStr">
        <is>
          <t>None</t>
        </is>
      </c>
      <c r="H5" s="15" t="inlineStr">
        <is>
          <t>✅ Compliant</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sheetData>
  <mergeCells count="2">
    <mergeCell ref="A2:H2"/>
    <mergeCell ref="A1:H1"/>
  </mergeCells>
  <dataValidations count="4">
    <dataValidation sqref="C5:C55" showDropDown="0" showInputMessage="0" showErrorMessage="0" allowBlank="1" type="list">
      <formula1>"Public,Internal,Confidential,Restricted"</formula1>
    </dataValidation>
    <dataValidation sqref="D5:D55" showDropDown="0" showInputMessage="0" showErrorMessage="0" allowBlank="1" type="list">
      <formula1>"NTFS ACL,Linux ACL,POSIX Permissions,Share Permissions,Both NTFS+Share"</formula1>
    </dataValidation>
    <dataValidation sqref="E5:E55" showDropDown="0" showInputMessage="0" showErrorMessage="0" allowBlank="1" type="list">
      <formula1>"Yes,No,Partial"</formula1>
    </dataValidation>
    <dataValidation sqref="H5:H55" showDropDown="0" showInputMessage="0" showErrorMessage="0" allowBlank="1" type="list">
      <formula1>"✅ Compliant,⚠ Partial Compliance,❌ Non-Compliant,In Progress,Under Review,Unknown,N/A"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DATABASE ACCESS CONTROLS</t>
        </is>
      </c>
    </row>
    <row r="2">
      <c r="A2" s="14" t="inlineStr">
        <is>
          <t>Verify database grants, role assignments, and least privilege enforcement</t>
        </is>
      </c>
    </row>
    <row r="4">
      <c r="A4" s="7" t="inlineStr">
        <is>
          <t>Database</t>
        </is>
      </c>
      <c r="B4" s="7" t="inlineStr">
        <is>
          <t>Account / Role</t>
        </is>
      </c>
      <c r="C4" s="7" t="inlineStr">
        <is>
          <t>Granted Privileges</t>
        </is>
      </c>
      <c r="D4" s="7" t="inlineStr">
        <is>
          <t>Least Privilege</t>
        </is>
      </c>
      <c r="E4" s="7" t="inlineStr">
        <is>
          <t>Row/Column Security</t>
        </is>
      </c>
      <c r="F4" s="7" t="inlineStr">
        <is>
          <t>Audit Date</t>
        </is>
      </c>
      <c r="G4" s="7" t="inlineStr">
        <is>
          <t>Findings</t>
        </is>
      </c>
      <c r="H4" s="7" t="inlineStr">
        <is>
          <t>Compliance</t>
        </is>
      </c>
    </row>
    <row r="5">
      <c r="A5" s="15" t="inlineStr">
        <is>
          <t>SQL-PROD-01</t>
        </is>
      </c>
      <c r="B5" s="15" t="inlineStr">
        <is>
          <t>app_user</t>
        </is>
      </c>
      <c r="C5" s="15" t="inlineStr">
        <is>
          <t>SELECT, INSERT on [AppDB]</t>
        </is>
      </c>
      <c r="D5" s="15" t="inlineStr">
        <is>
          <t>Yes</t>
        </is>
      </c>
      <c r="E5" s="15" t="inlineStr">
        <is>
          <t>Row-Level Security enabled</t>
        </is>
      </c>
      <c r="F5" s="15" t="inlineStr">
        <is>
          <t>07.03.2026</t>
        </is>
      </c>
      <c r="G5" s="15" t="inlineStr">
        <is>
          <t>None</t>
        </is>
      </c>
      <c r="H5" s="15" t="inlineStr">
        <is>
          <t>✅ Compliant</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sheetData>
  <mergeCells count="2">
    <mergeCell ref="A2:H2"/>
    <mergeCell ref="A1:H1"/>
  </mergeCells>
  <dataValidations count="1">
    <dataValidation sqref="H5:H55" showDropDown="0" showInputMessage="0" showErrorMessage="0" allowBlank="1" type="list">
      <formula1>"✅ Compliant,⚠ Partial Compliance,❌ Non-Compliant,In Progress,Under Review,Unknown,N/A"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APPLICATION RBAC</t>
        </is>
      </c>
    </row>
    <row r="2">
      <c r="A2" s="14" t="inlineStr">
        <is>
          <t>Assess role-based access control implementation in applications</t>
        </is>
      </c>
    </row>
    <row r="4">
      <c r="A4" s="7" t="inlineStr">
        <is>
          <t>Application</t>
        </is>
      </c>
      <c r="B4" s="7" t="inlineStr">
        <is>
          <t>Role Name</t>
        </is>
      </c>
      <c r="C4" s="7" t="inlineStr">
        <is>
          <t>Permissions Granted</t>
        </is>
      </c>
      <c r="D4" s="7" t="inlineStr">
        <is>
          <t>Users Assigned</t>
        </is>
      </c>
      <c r="E4" s="7" t="inlineStr">
        <is>
          <t>Least Privilege</t>
        </is>
      </c>
      <c r="F4" s="7" t="inlineStr">
        <is>
          <t>Last Review</t>
        </is>
      </c>
      <c r="G4" s="7" t="inlineStr">
        <is>
          <t>Findings</t>
        </is>
      </c>
      <c r="H4" s="7" t="inlineStr">
        <is>
          <t>Compliance</t>
        </is>
      </c>
    </row>
    <row r="5">
      <c r="A5" s="15" t="inlineStr">
        <is>
          <t>CRM System</t>
        </is>
      </c>
      <c r="B5" s="15" t="inlineStr">
        <is>
          <t>Sales User</t>
        </is>
      </c>
      <c r="C5" s="15" t="inlineStr">
        <is>
          <t>View/Edit customer records</t>
        </is>
      </c>
      <c r="D5" s="15" t="inlineStr">
        <is>
          <t>45</t>
        </is>
      </c>
      <c r="E5" s="15" t="inlineStr">
        <is>
          <t>Yes</t>
        </is>
      </c>
      <c r="F5" s="15" t="inlineStr">
        <is>
          <t>07.03.2026</t>
        </is>
      </c>
      <c r="G5" s="15" t="inlineStr">
        <is>
          <t>None</t>
        </is>
      </c>
      <c r="H5" s="15" t="inlineStr">
        <is>
          <t>✅ Compliant</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sheetData>
  <mergeCells count="2">
    <mergeCell ref="A2:H2"/>
    <mergeCell ref="A1:H1"/>
  </mergeCells>
  <dataValidations count="1">
    <dataValidation sqref="H5:H55" showDropDown="0" showInputMessage="0" showErrorMessage="0" allowBlank="1" type="list">
      <formula1>"✅ Compliant,⚠ Partial Compliance,❌ Non-Compliant,In Progress,Under Review,Unknown,N/A"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API ACCESS CONTROLS</t>
        </is>
      </c>
    </row>
    <row r="2">
      <c r="A2" s="14" t="inlineStr">
        <is>
          <t>Assess OAuth scopes, API key management, and rate limiting controls</t>
        </is>
      </c>
    </row>
    <row r="4">
      <c r="A4" s="7" t="inlineStr">
        <is>
          <t>API / Service</t>
        </is>
      </c>
      <c r="B4" s="7" t="inlineStr">
        <is>
          <t>Auth Method</t>
        </is>
      </c>
      <c r="C4" s="7" t="inlineStr">
        <is>
          <t>OAuth Scopes</t>
        </is>
      </c>
      <c r="D4" s="7" t="inlineStr">
        <is>
          <t>Rate Limiting</t>
        </is>
      </c>
      <c r="E4" s="7" t="inlineStr">
        <is>
          <t>API Key Rotation</t>
        </is>
      </c>
      <c r="F4" s="7" t="inlineStr">
        <is>
          <t>Last Review</t>
        </is>
      </c>
      <c r="G4" s="7" t="inlineStr">
        <is>
          <t>Findings</t>
        </is>
      </c>
      <c r="H4" s="7" t="inlineStr">
        <is>
          <t>Compliance</t>
        </is>
      </c>
    </row>
    <row r="5">
      <c r="A5" s="15" t="inlineStr">
        <is>
          <t>REST API v2</t>
        </is>
      </c>
      <c r="B5" s="15" t="inlineStr">
        <is>
          <t>OAuth 2.0 + JWT</t>
        </is>
      </c>
      <c r="C5" s="15" t="inlineStr">
        <is>
          <t>read:data write:data</t>
        </is>
      </c>
      <c r="D5" s="15" t="inlineStr">
        <is>
          <t>1000 req/min</t>
        </is>
      </c>
      <c r="E5" s="15" t="inlineStr">
        <is>
          <t>90 days</t>
        </is>
      </c>
      <c r="F5" s="15" t="inlineStr">
        <is>
          <t>07.03.2026</t>
        </is>
      </c>
      <c r="G5" s="15" t="inlineStr">
        <is>
          <t>None</t>
        </is>
      </c>
      <c r="H5" s="15" t="inlineStr">
        <is>
          <t>✅ Compliant</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sheetData>
  <mergeCells count="2">
    <mergeCell ref="A2:H2"/>
    <mergeCell ref="A1:H1"/>
  </mergeCells>
  <dataValidations count="2">
    <dataValidation sqref="B5:B55" showDropDown="0" showInputMessage="0" showErrorMessage="0" allowBlank="1" type="list">
      <formula1>"OAuth 2.0,OAuth 2.0 + JWT,API Key,mTLS,Basic Auth (Legacy),None"</formula1>
    </dataValidation>
    <dataValidation sqref="H5:H55" showDropDown="0" showInputMessage="0" showErrorMessage="0" allowBlank="1" type="list">
      <formula1>"✅ Compliant,⚠ Partial Compliance,❌ Non-Compliant,In Progress,Under Review,Unknown,N/A"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CLOUD IAM POLICIES</t>
        </is>
      </c>
    </row>
    <row r="2">
      <c r="A2" s="14" t="inlineStr">
        <is>
          <t>Review cloud identity and access management role assignments and policies</t>
        </is>
      </c>
    </row>
    <row r="4">
      <c r="A4" s="7" t="inlineStr">
        <is>
          <t>Cloud Platform</t>
        </is>
      </c>
      <c r="B4" s="7" t="inlineStr">
        <is>
          <t>Identity / Role</t>
        </is>
      </c>
      <c r="C4" s="7" t="inlineStr">
        <is>
          <t>Permissions / Scope</t>
        </is>
      </c>
      <c r="D4" s="7" t="inlineStr">
        <is>
          <t>Resource Scope</t>
        </is>
      </c>
      <c r="E4" s="7" t="inlineStr">
        <is>
          <t>Least Privilege</t>
        </is>
      </c>
      <c r="F4" s="7" t="inlineStr">
        <is>
          <t>Last Review</t>
        </is>
      </c>
      <c r="G4" s="7" t="inlineStr">
        <is>
          <t>Findings</t>
        </is>
      </c>
      <c r="H4" s="7" t="inlineStr">
        <is>
          <t>Compliance</t>
        </is>
      </c>
    </row>
    <row r="5">
      <c r="A5" s="15" t="inlineStr">
        <is>
          <t>Microsoft Azure</t>
        </is>
      </c>
      <c r="B5" s="15" t="inlineStr">
        <is>
          <t>app-dev-team@org.com</t>
        </is>
      </c>
      <c r="C5" s="15" t="inlineStr">
        <is>
          <t>Contributor</t>
        </is>
      </c>
      <c r="D5" s="15" t="inlineStr">
        <is>
          <t>Dev Resource Group only</t>
        </is>
      </c>
      <c r="E5" s="15" t="inlineStr">
        <is>
          <t>Yes</t>
        </is>
      </c>
      <c r="F5" s="15" t="inlineStr">
        <is>
          <t>07.03.2026</t>
        </is>
      </c>
      <c r="G5" s="15" t="inlineStr">
        <is>
          <t>None</t>
        </is>
      </c>
      <c r="H5" s="15" t="inlineStr">
        <is>
          <t>✅ Compliant</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sheetData>
  <mergeCells count="2">
    <mergeCell ref="A2:H2"/>
    <mergeCell ref="A1:H1"/>
  </mergeCells>
  <dataValidations count="2">
    <dataValidation sqref="A5:A55" showDropDown="0" showInputMessage="0" showErrorMessage="0" allowBlank="1" type="list">
      <formula1>"Microsoft Azure,AWS,Google Cloud Platform,Oracle Cloud,Multi-Cloud"</formula1>
    </dataValidation>
    <dataValidation sqref="H5:H55" showDropDown="0" showInputMessage="0" showErrorMessage="0" allowBlank="1" type="list">
      <formula1>"✅ Compliant,⚠ Partial Compliance,❌ Non-Compliant,In Progress,Under Review,Unknown,N/A"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ENCRYPTION STATUS</t>
        </is>
      </c>
    </row>
    <row r="2">
      <c r="A2" s="14" t="inlineStr">
        <is>
          <t>Verify encryption implementation aligned with data classification requirements</t>
        </is>
      </c>
    </row>
    <row r="4">
      <c r="A4" s="7" t="inlineStr">
        <is>
          <t>Data Store / System</t>
        </is>
      </c>
      <c r="B4" s="7" t="inlineStr">
        <is>
          <t>Data Classification</t>
        </is>
      </c>
      <c r="C4" s="7" t="inlineStr">
        <is>
          <t>Encryption at Rest</t>
        </is>
      </c>
      <c r="D4" s="7" t="inlineStr">
        <is>
          <t>Algorithm / Standard</t>
        </is>
      </c>
      <c r="E4" s="7" t="inlineStr">
        <is>
          <t>Key Management</t>
        </is>
      </c>
      <c r="F4" s="7" t="inlineStr">
        <is>
          <t>Last Review</t>
        </is>
      </c>
      <c r="G4" s="7" t="inlineStr">
        <is>
          <t>Compliance</t>
        </is>
      </c>
    </row>
    <row r="5">
      <c r="A5" s="15" t="inlineStr">
        <is>
          <t>SQL-PROD-01</t>
        </is>
      </c>
      <c r="B5" s="15" t="inlineStr">
        <is>
          <t>Confidential</t>
        </is>
      </c>
      <c r="C5" s="15" t="inlineStr">
        <is>
          <t>Yes</t>
        </is>
      </c>
      <c r="D5" s="15" t="inlineStr">
        <is>
          <t>AES-256</t>
        </is>
      </c>
      <c r="E5" s="15" t="inlineStr">
        <is>
          <t>Azure Key Vault</t>
        </is>
      </c>
      <c r="F5" s="15" t="inlineStr">
        <is>
          <t>07.03.2026</t>
        </is>
      </c>
      <c r="G5" s="15" t="inlineStr">
        <is>
          <t>✅ Compliant</t>
        </is>
      </c>
    </row>
    <row r="6">
      <c r="A6" s="16" t="n"/>
      <c r="B6" s="16" t="n"/>
      <c r="C6" s="16" t="n"/>
      <c r="D6" s="16" t="n"/>
      <c r="E6" s="16" t="n"/>
      <c r="F6" s="16" t="n"/>
      <c r="G6" s="16" t="n"/>
    </row>
    <row r="7">
      <c r="A7" s="16" t="n"/>
      <c r="B7" s="16" t="n"/>
      <c r="C7" s="16" t="n"/>
      <c r="D7" s="16" t="n"/>
      <c r="E7" s="16" t="n"/>
      <c r="F7" s="16" t="n"/>
      <c r="G7" s="16" t="n"/>
    </row>
    <row r="8">
      <c r="A8" s="16" t="n"/>
      <c r="B8" s="16" t="n"/>
      <c r="C8" s="16" t="n"/>
      <c r="D8" s="16" t="n"/>
      <c r="E8" s="16" t="n"/>
      <c r="F8" s="16" t="n"/>
      <c r="G8" s="16" t="n"/>
    </row>
    <row r="9">
      <c r="A9" s="16" t="n"/>
      <c r="B9" s="16" t="n"/>
      <c r="C9" s="16" t="n"/>
      <c r="D9" s="16" t="n"/>
      <c r="E9" s="16" t="n"/>
      <c r="F9" s="16" t="n"/>
      <c r="G9" s="16" t="n"/>
    </row>
    <row r="10">
      <c r="A10" s="16" t="n"/>
      <c r="B10" s="16" t="n"/>
      <c r="C10" s="16" t="n"/>
      <c r="D10" s="16" t="n"/>
      <c r="E10" s="16" t="n"/>
      <c r="F10" s="16" t="n"/>
      <c r="G10" s="16" t="n"/>
    </row>
    <row r="11">
      <c r="A11" s="16" t="n"/>
      <c r="B11" s="16" t="n"/>
      <c r="C11" s="16" t="n"/>
      <c r="D11" s="16" t="n"/>
      <c r="E11" s="16" t="n"/>
      <c r="F11" s="16" t="n"/>
      <c r="G11" s="16" t="n"/>
    </row>
    <row r="12">
      <c r="A12" s="16" t="n"/>
      <c r="B12" s="16" t="n"/>
      <c r="C12" s="16" t="n"/>
      <c r="D12" s="16" t="n"/>
      <c r="E12" s="16" t="n"/>
      <c r="F12" s="16" t="n"/>
      <c r="G12" s="16" t="n"/>
    </row>
    <row r="13">
      <c r="A13" s="16" t="n"/>
      <c r="B13" s="16" t="n"/>
      <c r="C13" s="16" t="n"/>
      <c r="D13" s="16" t="n"/>
      <c r="E13" s="16" t="n"/>
      <c r="F13" s="16" t="n"/>
      <c r="G13" s="16" t="n"/>
    </row>
    <row r="14">
      <c r="A14" s="16" t="n"/>
      <c r="B14" s="16" t="n"/>
      <c r="C14" s="16" t="n"/>
      <c r="D14" s="16" t="n"/>
      <c r="E14" s="16" t="n"/>
      <c r="F14" s="16" t="n"/>
      <c r="G14" s="16" t="n"/>
    </row>
    <row r="15">
      <c r="A15" s="16" t="n"/>
      <c r="B15" s="16" t="n"/>
      <c r="C15" s="16" t="n"/>
      <c r="D15" s="16" t="n"/>
      <c r="E15" s="16" t="n"/>
      <c r="F15" s="16" t="n"/>
      <c r="G15" s="16" t="n"/>
    </row>
    <row r="16">
      <c r="A16" s="16" t="n"/>
      <c r="B16" s="16" t="n"/>
      <c r="C16" s="16" t="n"/>
      <c r="D16" s="16" t="n"/>
      <c r="E16" s="16" t="n"/>
      <c r="F16" s="16" t="n"/>
      <c r="G16" s="16" t="n"/>
    </row>
    <row r="17">
      <c r="A17" s="16" t="n"/>
      <c r="B17" s="16" t="n"/>
      <c r="C17" s="16" t="n"/>
      <c r="D17" s="16" t="n"/>
      <c r="E17" s="16" t="n"/>
      <c r="F17" s="16" t="n"/>
      <c r="G17" s="16" t="n"/>
    </row>
    <row r="18">
      <c r="A18" s="16" t="n"/>
      <c r="B18" s="16" t="n"/>
      <c r="C18" s="16" t="n"/>
      <c r="D18" s="16" t="n"/>
      <c r="E18" s="16" t="n"/>
      <c r="F18" s="16" t="n"/>
      <c r="G18" s="16" t="n"/>
    </row>
    <row r="19">
      <c r="A19" s="16" t="n"/>
      <c r="B19" s="16" t="n"/>
      <c r="C19" s="16" t="n"/>
      <c r="D19" s="16" t="n"/>
      <c r="E19" s="16" t="n"/>
      <c r="F19" s="16" t="n"/>
      <c r="G19" s="16" t="n"/>
    </row>
    <row r="20">
      <c r="A20" s="16" t="n"/>
      <c r="B20" s="16" t="n"/>
      <c r="C20" s="16" t="n"/>
      <c r="D20" s="16" t="n"/>
      <c r="E20" s="16" t="n"/>
      <c r="F20" s="16" t="n"/>
      <c r="G20" s="16" t="n"/>
    </row>
    <row r="21">
      <c r="A21" s="16" t="n"/>
      <c r="B21" s="16" t="n"/>
      <c r="C21" s="16" t="n"/>
      <c r="D21" s="16" t="n"/>
      <c r="E21" s="16" t="n"/>
      <c r="F21" s="16" t="n"/>
      <c r="G21" s="16" t="n"/>
    </row>
    <row r="22">
      <c r="A22" s="16" t="n"/>
      <c r="B22" s="16" t="n"/>
      <c r="C22" s="16" t="n"/>
      <c r="D22" s="16" t="n"/>
      <c r="E22" s="16" t="n"/>
      <c r="F22" s="16" t="n"/>
      <c r="G22" s="16" t="n"/>
    </row>
    <row r="23">
      <c r="A23" s="16" t="n"/>
      <c r="B23" s="16" t="n"/>
      <c r="C23" s="16" t="n"/>
      <c r="D23" s="16" t="n"/>
      <c r="E23" s="16" t="n"/>
      <c r="F23" s="16" t="n"/>
      <c r="G23" s="16" t="n"/>
    </row>
    <row r="24">
      <c r="A24" s="16" t="n"/>
      <c r="B24" s="16" t="n"/>
      <c r="C24" s="16" t="n"/>
      <c r="D24" s="16" t="n"/>
      <c r="E24" s="16" t="n"/>
      <c r="F24" s="16" t="n"/>
      <c r="G24" s="16" t="n"/>
    </row>
    <row r="25">
      <c r="A25" s="16" t="n"/>
      <c r="B25" s="16" t="n"/>
      <c r="C25" s="16" t="n"/>
      <c r="D25" s="16" t="n"/>
      <c r="E25" s="16" t="n"/>
      <c r="F25" s="16" t="n"/>
      <c r="G25" s="16" t="n"/>
    </row>
    <row r="26">
      <c r="A26" s="16" t="n"/>
      <c r="B26" s="16" t="n"/>
      <c r="C26" s="16" t="n"/>
      <c r="D26" s="16" t="n"/>
      <c r="E26" s="16" t="n"/>
      <c r="F26" s="16" t="n"/>
      <c r="G26" s="16" t="n"/>
    </row>
    <row r="27">
      <c r="A27" s="16" t="n"/>
      <c r="B27" s="16" t="n"/>
      <c r="C27" s="16" t="n"/>
      <c r="D27" s="16" t="n"/>
      <c r="E27" s="16" t="n"/>
      <c r="F27" s="16" t="n"/>
      <c r="G27" s="16" t="n"/>
    </row>
    <row r="28">
      <c r="A28" s="16" t="n"/>
      <c r="B28" s="16" t="n"/>
      <c r="C28" s="16" t="n"/>
      <c r="D28" s="16" t="n"/>
      <c r="E28" s="16" t="n"/>
      <c r="F28" s="16" t="n"/>
      <c r="G28" s="16" t="n"/>
    </row>
    <row r="29">
      <c r="A29" s="16" t="n"/>
      <c r="B29" s="16" t="n"/>
      <c r="C29" s="16" t="n"/>
      <c r="D29" s="16" t="n"/>
      <c r="E29" s="16" t="n"/>
      <c r="F29" s="16" t="n"/>
      <c r="G29" s="16" t="n"/>
    </row>
    <row r="30">
      <c r="A30" s="16" t="n"/>
      <c r="B30" s="16" t="n"/>
      <c r="C30" s="16" t="n"/>
      <c r="D30" s="16" t="n"/>
      <c r="E30" s="16" t="n"/>
      <c r="F30" s="16" t="n"/>
      <c r="G30" s="16" t="n"/>
    </row>
    <row r="31">
      <c r="A31" s="16" t="n"/>
      <c r="B31" s="16" t="n"/>
      <c r="C31" s="16" t="n"/>
      <c r="D31" s="16" t="n"/>
      <c r="E31" s="16" t="n"/>
      <c r="F31" s="16" t="n"/>
      <c r="G31" s="16" t="n"/>
    </row>
    <row r="32">
      <c r="A32" s="16" t="n"/>
      <c r="B32" s="16" t="n"/>
      <c r="C32" s="16" t="n"/>
      <c r="D32" s="16" t="n"/>
      <c r="E32" s="16" t="n"/>
      <c r="F32" s="16" t="n"/>
      <c r="G32" s="16" t="n"/>
    </row>
    <row r="33">
      <c r="A33" s="16" t="n"/>
      <c r="B33" s="16" t="n"/>
      <c r="C33" s="16" t="n"/>
      <c r="D33" s="16" t="n"/>
      <c r="E33" s="16" t="n"/>
      <c r="F33" s="16" t="n"/>
      <c r="G33" s="16" t="n"/>
    </row>
    <row r="34">
      <c r="A34" s="16" t="n"/>
      <c r="B34" s="16" t="n"/>
      <c r="C34" s="16" t="n"/>
      <c r="D34" s="16" t="n"/>
      <c r="E34" s="16" t="n"/>
      <c r="F34" s="16" t="n"/>
      <c r="G34" s="16" t="n"/>
    </row>
    <row r="35">
      <c r="A35" s="16" t="n"/>
      <c r="B35" s="16" t="n"/>
      <c r="C35" s="16" t="n"/>
      <c r="D35" s="16" t="n"/>
      <c r="E35" s="16" t="n"/>
      <c r="F35" s="16" t="n"/>
      <c r="G35" s="16" t="n"/>
    </row>
    <row r="36">
      <c r="A36" s="16" t="n"/>
      <c r="B36" s="16" t="n"/>
      <c r="C36" s="16" t="n"/>
      <c r="D36" s="16" t="n"/>
      <c r="E36" s="16" t="n"/>
      <c r="F36" s="16" t="n"/>
      <c r="G36" s="16" t="n"/>
    </row>
    <row r="37">
      <c r="A37" s="16" t="n"/>
      <c r="B37" s="16" t="n"/>
      <c r="C37" s="16" t="n"/>
      <c r="D37" s="16" t="n"/>
      <c r="E37" s="16" t="n"/>
      <c r="F37" s="16" t="n"/>
      <c r="G37" s="16" t="n"/>
    </row>
    <row r="38">
      <c r="A38" s="16" t="n"/>
      <c r="B38" s="16" t="n"/>
      <c r="C38" s="16" t="n"/>
      <c r="D38" s="16" t="n"/>
      <c r="E38" s="16" t="n"/>
      <c r="F38" s="16" t="n"/>
      <c r="G38" s="16" t="n"/>
    </row>
    <row r="39">
      <c r="A39" s="16" t="n"/>
      <c r="B39" s="16" t="n"/>
      <c r="C39" s="16" t="n"/>
      <c r="D39" s="16" t="n"/>
      <c r="E39" s="16" t="n"/>
      <c r="F39" s="16" t="n"/>
      <c r="G39" s="16" t="n"/>
    </row>
    <row r="40">
      <c r="A40" s="16" t="n"/>
      <c r="B40" s="16" t="n"/>
      <c r="C40" s="16" t="n"/>
      <c r="D40" s="16" t="n"/>
      <c r="E40" s="16" t="n"/>
      <c r="F40" s="16" t="n"/>
      <c r="G40" s="16" t="n"/>
    </row>
    <row r="41">
      <c r="A41" s="16" t="n"/>
      <c r="B41" s="16" t="n"/>
      <c r="C41" s="16" t="n"/>
      <c r="D41" s="16" t="n"/>
      <c r="E41" s="16" t="n"/>
      <c r="F41" s="16" t="n"/>
      <c r="G41" s="16" t="n"/>
    </row>
    <row r="42">
      <c r="A42" s="16" t="n"/>
      <c r="B42" s="16" t="n"/>
      <c r="C42" s="16" t="n"/>
      <c r="D42" s="16" t="n"/>
      <c r="E42" s="16" t="n"/>
      <c r="F42" s="16" t="n"/>
      <c r="G42" s="16" t="n"/>
    </row>
    <row r="43">
      <c r="A43" s="16" t="n"/>
      <c r="B43" s="16" t="n"/>
      <c r="C43" s="16" t="n"/>
      <c r="D43" s="16" t="n"/>
      <c r="E43" s="16" t="n"/>
      <c r="F43" s="16" t="n"/>
      <c r="G43" s="16" t="n"/>
    </row>
    <row r="44">
      <c r="A44" s="16" t="n"/>
      <c r="B44" s="16" t="n"/>
      <c r="C44" s="16" t="n"/>
      <c r="D44" s="16" t="n"/>
      <c r="E44" s="16" t="n"/>
      <c r="F44" s="16" t="n"/>
      <c r="G44" s="16" t="n"/>
    </row>
    <row r="45">
      <c r="A45" s="16" t="n"/>
      <c r="B45" s="16" t="n"/>
      <c r="C45" s="16" t="n"/>
      <c r="D45" s="16" t="n"/>
      <c r="E45" s="16" t="n"/>
      <c r="F45" s="16" t="n"/>
      <c r="G45" s="16" t="n"/>
    </row>
    <row r="46">
      <c r="A46" s="16" t="n"/>
      <c r="B46" s="16" t="n"/>
      <c r="C46" s="16" t="n"/>
      <c r="D46" s="16" t="n"/>
      <c r="E46" s="16" t="n"/>
      <c r="F46" s="16" t="n"/>
      <c r="G46" s="16" t="n"/>
    </row>
    <row r="47">
      <c r="A47" s="16" t="n"/>
      <c r="B47" s="16" t="n"/>
      <c r="C47" s="16" t="n"/>
      <c r="D47" s="16" t="n"/>
      <c r="E47" s="16" t="n"/>
      <c r="F47" s="16" t="n"/>
      <c r="G47" s="16" t="n"/>
    </row>
    <row r="48">
      <c r="A48" s="16" t="n"/>
      <c r="B48" s="16" t="n"/>
      <c r="C48" s="16" t="n"/>
      <c r="D48" s="16" t="n"/>
      <c r="E48" s="16" t="n"/>
      <c r="F48" s="16" t="n"/>
      <c r="G48" s="16" t="n"/>
    </row>
    <row r="49">
      <c r="A49" s="16" t="n"/>
      <c r="B49" s="16" t="n"/>
      <c r="C49" s="16" t="n"/>
      <c r="D49" s="16" t="n"/>
      <c r="E49" s="16" t="n"/>
      <c r="F49" s="16" t="n"/>
      <c r="G49" s="16" t="n"/>
    </row>
    <row r="50">
      <c r="A50" s="16" t="n"/>
      <c r="B50" s="16" t="n"/>
      <c r="C50" s="16" t="n"/>
      <c r="D50" s="16" t="n"/>
      <c r="E50" s="16" t="n"/>
      <c r="F50" s="16" t="n"/>
      <c r="G50" s="16" t="n"/>
    </row>
    <row r="51">
      <c r="A51" s="16" t="n"/>
      <c r="B51" s="16" t="n"/>
      <c r="C51" s="16" t="n"/>
      <c r="D51" s="16" t="n"/>
      <c r="E51" s="16" t="n"/>
      <c r="F51" s="16" t="n"/>
      <c r="G51" s="16" t="n"/>
    </row>
    <row r="52">
      <c r="A52" s="16" t="n"/>
      <c r="B52" s="16" t="n"/>
      <c r="C52" s="16" t="n"/>
      <c r="D52" s="16" t="n"/>
      <c r="E52" s="16" t="n"/>
      <c r="F52" s="16" t="n"/>
      <c r="G52" s="16" t="n"/>
    </row>
    <row r="53">
      <c r="A53" s="16" t="n"/>
      <c r="B53" s="16" t="n"/>
      <c r="C53" s="16" t="n"/>
      <c r="D53" s="16" t="n"/>
      <c r="E53" s="16" t="n"/>
      <c r="F53" s="16" t="n"/>
      <c r="G53" s="16" t="n"/>
    </row>
    <row r="54">
      <c r="A54" s="16" t="n"/>
      <c r="B54" s="16" t="n"/>
      <c r="C54" s="16" t="n"/>
      <c r="D54" s="16" t="n"/>
      <c r="E54" s="16" t="n"/>
      <c r="F54" s="16" t="n"/>
      <c r="G54" s="16" t="n"/>
    </row>
    <row r="55">
      <c r="A55" s="16" t="n"/>
      <c r="B55" s="16" t="n"/>
      <c r="C55" s="16" t="n"/>
      <c r="D55" s="16" t="n"/>
      <c r="E55" s="16" t="n"/>
      <c r="F55" s="16" t="n"/>
      <c r="G55" s="16" t="n"/>
    </row>
  </sheetData>
  <mergeCells count="2">
    <mergeCell ref="A2:G2"/>
    <mergeCell ref="A1:G1"/>
  </mergeCells>
  <dataValidations count="2">
    <dataValidation sqref="B5:B55" showDropDown="0" showInputMessage="0" showErrorMessage="0" allowBlank="1" type="list">
      <formula1>"Public,Internal,Confidential,Restricted"</formula1>
    </dataValidation>
    <dataValidation sqref="G5:G55" showDropDown="0" showInputMessage="0" showErrorMessage="0" allowBlank="1" type="list">
      <formula1>"✅ Compliant,⚠ Partial Compliance,❌ Non-Compliant,In Progress,Under Review,Unknown,N/A"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NETWORK SEGMENTATION</t>
        </is>
      </c>
    </row>
    <row r="2">
      <c r="A2" s="14" t="inlineStr">
        <is>
          <t>Assess firewall rules and VLAN enforcement for access restriction</t>
        </is>
      </c>
    </row>
    <row r="4">
      <c r="A4" s="7" t="inlineStr">
        <is>
          <t>Segment / VLAN</t>
        </is>
      </c>
      <c r="B4" s="7" t="inlineStr">
        <is>
          <t>Systems in Segment</t>
        </is>
      </c>
      <c r="C4" s="7" t="inlineStr">
        <is>
          <t>Default Deny Rule</t>
        </is>
      </c>
      <c r="D4" s="7" t="inlineStr">
        <is>
          <t>Allowed Traffic</t>
        </is>
      </c>
      <c r="E4" s="7" t="inlineStr">
        <is>
          <t>Last Firewall Review</t>
        </is>
      </c>
      <c r="F4" s="7" t="inlineStr">
        <is>
          <t>Penetration Tested</t>
        </is>
      </c>
      <c r="G4" s="7" t="inlineStr">
        <is>
          <t>Compliance</t>
        </is>
      </c>
    </row>
    <row r="5">
      <c r="A5" s="15" t="inlineStr">
        <is>
          <t>VLAN-100 (Management)</t>
        </is>
      </c>
      <c r="B5" s="15" t="inlineStr">
        <is>
          <t>Domain Controllers, PAM Vault</t>
        </is>
      </c>
      <c r="C5" s="15" t="inlineStr">
        <is>
          <t>Yes</t>
        </is>
      </c>
      <c r="D5" s="15" t="inlineStr">
        <is>
          <t>Admin workstations only on port 3389, 22</t>
        </is>
      </c>
      <c r="E5" s="15" t="inlineStr">
        <is>
          <t>07.03.2026</t>
        </is>
      </c>
      <c r="F5" s="15" t="inlineStr">
        <is>
          <t>Yes</t>
        </is>
      </c>
      <c r="G5" s="15" t="inlineStr">
        <is>
          <t>✅ Compliant</t>
        </is>
      </c>
    </row>
    <row r="6">
      <c r="A6" s="16" t="n"/>
      <c r="B6" s="16" t="n"/>
      <c r="C6" s="16" t="n"/>
      <c r="D6" s="16" t="n"/>
      <c r="E6" s="16" t="n"/>
      <c r="F6" s="16" t="n"/>
      <c r="G6" s="16" t="n"/>
    </row>
    <row r="7">
      <c r="A7" s="16" t="n"/>
      <c r="B7" s="16" t="n"/>
      <c r="C7" s="16" t="n"/>
      <c r="D7" s="16" t="n"/>
      <c r="E7" s="16" t="n"/>
      <c r="F7" s="16" t="n"/>
      <c r="G7" s="16" t="n"/>
    </row>
    <row r="8">
      <c r="A8" s="16" t="n"/>
      <c r="B8" s="16" t="n"/>
      <c r="C8" s="16" t="n"/>
      <c r="D8" s="16" t="n"/>
      <c r="E8" s="16" t="n"/>
      <c r="F8" s="16" t="n"/>
      <c r="G8" s="16" t="n"/>
    </row>
    <row r="9">
      <c r="A9" s="16" t="n"/>
      <c r="B9" s="16" t="n"/>
      <c r="C9" s="16" t="n"/>
      <c r="D9" s="16" t="n"/>
      <c r="E9" s="16" t="n"/>
      <c r="F9" s="16" t="n"/>
      <c r="G9" s="16" t="n"/>
    </row>
    <row r="10">
      <c r="A10" s="16" t="n"/>
      <c r="B10" s="16" t="n"/>
      <c r="C10" s="16" t="n"/>
      <c r="D10" s="16" t="n"/>
      <c r="E10" s="16" t="n"/>
      <c r="F10" s="16" t="n"/>
      <c r="G10" s="16" t="n"/>
    </row>
    <row r="11">
      <c r="A11" s="16" t="n"/>
      <c r="B11" s="16" t="n"/>
      <c r="C11" s="16" t="n"/>
      <c r="D11" s="16" t="n"/>
      <c r="E11" s="16" t="n"/>
      <c r="F11" s="16" t="n"/>
      <c r="G11" s="16" t="n"/>
    </row>
    <row r="12">
      <c r="A12" s="16" t="n"/>
      <c r="B12" s="16" t="n"/>
      <c r="C12" s="16" t="n"/>
      <c r="D12" s="16" t="n"/>
      <c r="E12" s="16" t="n"/>
      <c r="F12" s="16" t="n"/>
      <c r="G12" s="16" t="n"/>
    </row>
    <row r="13">
      <c r="A13" s="16" t="n"/>
      <c r="B13" s="16" t="n"/>
      <c r="C13" s="16" t="n"/>
      <c r="D13" s="16" t="n"/>
      <c r="E13" s="16" t="n"/>
      <c r="F13" s="16" t="n"/>
      <c r="G13" s="16" t="n"/>
    </row>
    <row r="14">
      <c r="A14" s="16" t="n"/>
      <c r="B14" s="16" t="n"/>
      <c r="C14" s="16" t="n"/>
      <c r="D14" s="16" t="n"/>
      <c r="E14" s="16" t="n"/>
      <c r="F14" s="16" t="n"/>
      <c r="G14" s="16" t="n"/>
    </row>
    <row r="15">
      <c r="A15" s="16" t="n"/>
      <c r="B15" s="16" t="n"/>
      <c r="C15" s="16" t="n"/>
      <c r="D15" s="16" t="n"/>
      <c r="E15" s="16" t="n"/>
      <c r="F15" s="16" t="n"/>
      <c r="G15" s="16" t="n"/>
    </row>
    <row r="16">
      <c r="A16" s="16" t="n"/>
      <c r="B16" s="16" t="n"/>
      <c r="C16" s="16" t="n"/>
      <c r="D16" s="16" t="n"/>
      <c r="E16" s="16" t="n"/>
      <c r="F16" s="16" t="n"/>
      <c r="G16" s="16" t="n"/>
    </row>
    <row r="17">
      <c r="A17" s="16" t="n"/>
      <c r="B17" s="16" t="n"/>
      <c r="C17" s="16" t="n"/>
      <c r="D17" s="16" t="n"/>
      <c r="E17" s="16" t="n"/>
      <c r="F17" s="16" t="n"/>
      <c r="G17" s="16" t="n"/>
    </row>
    <row r="18">
      <c r="A18" s="16" t="n"/>
      <c r="B18" s="16" t="n"/>
      <c r="C18" s="16" t="n"/>
      <c r="D18" s="16" t="n"/>
      <c r="E18" s="16" t="n"/>
      <c r="F18" s="16" t="n"/>
      <c r="G18" s="16" t="n"/>
    </row>
    <row r="19">
      <c r="A19" s="16" t="n"/>
      <c r="B19" s="16" t="n"/>
      <c r="C19" s="16" t="n"/>
      <c r="D19" s="16" t="n"/>
      <c r="E19" s="16" t="n"/>
      <c r="F19" s="16" t="n"/>
      <c r="G19" s="16" t="n"/>
    </row>
    <row r="20">
      <c r="A20" s="16" t="n"/>
      <c r="B20" s="16" t="n"/>
      <c r="C20" s="16" t="n"/>
      <c r="D20" s="16" t="n"/>
      <c r="E20" s="16" t="n"/>
      <c r="F20" s="16" t="n"/>
      <c r="G20" s="16" t="n"/>
    </row>
    <row r="21">
      <c r="A21" s="16" t="n"/>
      <c r="B21" s="16" t="n"/>
      <c r="C21" s="16" t="n"/>
      <c r="D21" s="16" t="n"/>
      <c r="E21" s="16" t="n"/>
      <c r="F21" s="16" t="n"/>
      <c r="G21" s="16" t="n"/>
    </row>
    <row r="22">
      <c r="A22" s="16" t="n"/>
      <c r="B22" s="16" t="n"/>
      <c r="C22" s="16" t="n"/>
      <c r="D22" s="16" t="n"/>
      <c r="E22" s="16" t="n"/>
      <c r="F22" s="16" t="n"/>
      <c r="G22" s="16" t="n"/>
    </row>
    <row r="23">
      <c r="A23" s="16" t="n"/>
      <c r="B23" s="16" t="n"/>
      <c r="C23" s="16" t="n"/>
      <c r="D23" s="16" t="n"/>
      <c r="E23" s="16" t="n"/>
      <c r="F23" s="16" t="n"/>
      <c r="G23" s="16" t="n"/>
    </row>
    <row r="24">
      <c r="A24" s="16" t="n"/>
      <c r="B24" s="16" t="n"/>
      <c r="C24" s="16" t="n"/>
      <c r="D24" s="16" t="n"/>
      <c r="E24" s="16" t="n"/>
      <c r="F24" s="16" t="n"/>
      <c r="G24" s="16" t="n"/>
    </row>
    <row r="25">
      <c r="A25" s="16" t="n"/>
      <c r="B25" s="16" t="n"/>
      <c r="C25" s="16" t="n"/>
      <c r="D25" s="16" t="n"/>
      <c r="E25" s="16" t="n"/>
      <c r="F25" s="16" t="n"/>
      <c r="G25" s="16" t="n"/>
    </row>
    <row r="26">
      <c r="A26" s="16" t="n"/>
      <c r="B26" s="16" t="n"/>
      <c r="C26" s="16" t="n"/>
      <c r="D26" s="16" t="n"/>
      <c r="E26" s="16" t="n"/>
      <c r="F26" s="16" t="n"/>
      <c r="G26" s="16" t="n"/>
    </row>
    <row r="27">
      <c r="A27" s="16" t="n"/>
      <c r="B27" s="16" t="n"/>
      <c r="C27" s="16" t="n"/>
      <c r="D27" s="16" t="n"/>
      <c r="E27" s="16" t="n"/>
      <c r="F27" s="16" t="n"/>
      <c r="G27" s="16" t="n"/>
    </row>
    <row r="28">
      <c r="A28" s="16" t="n"/>
      <c r="B28" s="16" t="n"/>
      <c r="C28" s="16" t="n"/>
      <c r="D28" s="16" t="n"/>
      <c r="E28" s="16" t="n"/>
      <c r="F28" s="16" t="n"/>
      <c r="G28" s="16" t="n"/>
    </row>
    <row r="29">
      <c r="A29" s="16" t="n"/>
      <c r="B29" s="16" t="n"/>
      <c r="C29" s="16" t="n"/>
      <c r="D29" s="16" t="n"/>
      <c r="E29" s="16" t="n"/>
      <c r="F29" s="16" t="n"/>
      <c r="G29" s="16" t="n"/>
    </row>
    <row r="30">
      <c r="A30" s="16" t="n"/>
      <c r="B30" s="16" t="n"/>
      <c r="C30" s="16" t="n"/>
      <c r="D30" s="16" t="n"/>
      <c r="E30" s="16" t="n"/>
      <c r="F30" s="16" t="n"/>
      <c r="G30" s="16" t="n"/>
    </row>
    <row r="31">
      <c r="A31" s="16" t="n"/>
      <c r="B31" s="16" t="n"/>
      <c r="C31" s="16" t="n"/>
      <c r="D31" s="16" t="n"/>
      <c r="E31" s="16" t="n"/>
      <c r="F31" s="16" t="n"/>
      <c r="G31" s="16" t="n"/>
    </row>
    <row r="32">
      <c r="A32" s="16" t="n"/>
      <c r="B32" s="16" t="n"/>
      <c r="C32" s="16" t="n"/>
      <c r="D32" s="16" t="n"/>
      <c r="E32" s="16" t="n"/>
      <c r="F32" s="16" t="n"/>
      <c r="G32" s="16" t="n"/>
    </row>
    <row r="33">
      <c r="A33" s="16" t="n"/>
      <c r="B33" s="16" t="n"/>
      <c r="C33" s="16" t="n"/>
      <c r="D33" s="16" t="n"/>
      <c r="E33" s="16" t="n"/>
      <c r="F33" s="16" t="n"/>
      <c r="G33" s="16" t="n"/>
    </row>
    <row r="34">
      <c r="A34" s="16" t="n"/>
      <c r="B34" s="16" t="n"/>
      <c r="C34" s="16" t="n"/>
      <c r="D34" s="16" t="n"/>
      <c r="E34" s="16" t="n"/>
      <c r="F34" s="16" t="n"/>
      <c r="G34" s="16" t="n"/>
    </row>
    <row r="35">
      <c r="A35" s="16" t="n"/>
      <c r="B35" s="16" t="n"/>
      <c r="C35" s="16" t="n"/>
      <c r="D35" s="16" t="n"/>
      <c r="E35" s="16" t="n"/>
      <c r="F35" s="16" t="n"/>
      <c r="G35" s="16" t="n"/>
    </row>
    <row r="36">
      <c r="A36" s="16" t="n"/>
      <c r="B36" s="16" t="n"/>
      <c r="C36" s="16" t="n"/>
      <c r="D36" s="16" t="n"/>
      <c r="E36" s="16" t="n"/>
      <c r="F36" s="16" t="n"/>
      <c r="G36" s="16" t="n"/>
    </row>
    <row r="37">
      <c r="A37" s="16" t="n"/>
      <c r="B37" s="16" t="n"/>
      <c r="C37" s="16" t="n"/>
      <c r="D37" s="16" t="n"/>
      <c r="E37" s="16" t="n"/>
      <c r="F37" s="16" t="n"/>
      <c r="G37" s="16" t="n"/>
    </row>
    <row r="38">
      <c r="A38" s="16" t="n"/>
      <c r="B38" s="16" t="n"/>
      <c r="C38" s="16" t="n"/>
      <c r="D38" s="16" t="n"/>
      <c r="E38" s="16" t="n"/>
      <c r="F38" s="16" t="n"/>
      <c r="G38" s="16" t="n"/>
    </row>
    <row r="39">
      <c r="A39" s="16" t="n"/>
      <c r="B39" s="16" t="n"/>
      <c r="C39" s="16" t="n"/>
      <c r="D39" s="16" t="n"/>
      <c r="E39" s="16" t="n"/>
      <c r="F39" s="16" t="n"/>
      <c r="G39" s="16" t="n"/>
    </row>
    <row r="40">
      <c r="A40" s="16" t="n"/>
      <c r="B40" s="16" t="n"/>
      <c r="C40" s="16" t="n"/>
      <c r="D40" s="16" t="n"/>
      <c r="E40" s="16" t="n"/>
      <c r="F40" s="16" t="n"/>
      <c r="G40" s="16" t="n"/>
    </row>
    <row r="41">
      <c r="A41" s="16" t="n"/>
      <c r="B41" s="16" t="n"/>
      <c r="C41" s="16" t="n"/>
      <c r="D41" s="16" t="n"/>
      <c r="E41" s="16" t="n"/>
      <c r="F41" s="16" t="n"/>
      <c r="G41" s="16" t="n"/>
    </row>
    <row r="42">
      <c r="A42" s="16" t="n"/>
      <c r="B42" s="16" t="n"/>
      <c r="C42" s="16" t="n"/>
      <c r="D42" s="16" t="n"/>
      <c r="E42" s="16" t="n"/>
      <c r="F42" s="16" t="n"/>
      <c r="G42" s="16" t="n"/>
    </row>
    <row r="43">
      <c r="A43" s="16" t="n"/>
      <c r="B43" s="16" t="n"/>
      <c r="C43" s="16" t="n"/>
      <c r="D43" s="16" t="n"/>
      <c r="E43" s="16" t="n"/>
      <c r="F43" s="16" t="n"/>
      <c r="G43" s="16" t="n"/>
    </row>
    <row r="44">
      <c r="A44" s="16" t="n"/>
      <c r="B44" s="16" t="n"/>
      <c r="C44" s="16" t="n"/>
      <c r="D44" s="16" t="n"/>
      <c r="E44" s="16" t="n"/>
      <c r="F44" s="16" t="n"/>
      <c r="G44" s="16" t="n"/>
    </row>
    <row r="45">
      <c r="A45" s="16" t="n"/>
      <c r="B45" s="16" t="n"/>
      <c r="C45" s="16" t="n"/>
      <c r="D45" s="16" t="n"/>
      <c r="E45" s="16" t="n"/>
      <c r="F45" s="16" t="n"/>
      <c r="G45" s="16" t="n"/>
    </row>
    <row r="46">
      <c r="A46" s="16" t="n"/>
      <c r="B46" s="16" t="n"/>
      <c r="C46" s="16" t="n"/>
      <c r="D46" s="16" t="n"/>
      <c r="E46" s="16" t="n"/>
      <c r="F46" s="16" t="n"/>
      <c r="G46" s="16" t="n"/>
    </row>
    <row r="47">
      <c r="A47" s="16" t="n"/>
      <c r="B47" s="16" t="n"/>
      <c r="C47" s="16" t="n"/>
      <c r="D47" s="16" t="n"/>
      <c r="E47" s="16" t="n"/>
      <c r="F47" s="16" t="n"/>
      <c r="G47" s="16" t="n"/>
    </row>
    <row r="48">
      <c r="A48" s="16" t="n"/>
      <c r="B48" s="16" t="n"/>
      <c r="C48" s="16" t="n"/>
      <c r="D48" s="16" t="n"/>
      <c r="E48" s="16" t="n"/>
      <c r="F48" s="16" t="n"/>
      <c r="G48" s="16" t="n"/>
    </row>
    <row r="49">
      <c r="A49" s="16" t="n"/>
      <c r="B49" s="16" t="n"/>
      <c r="C49" s="16" t="n"/>
      <c r="D49" s="16" t="n"/>
      <c r="E49" s="16" t="n"/>
      <c r="F49" s="16" t="n"/>
      <c r="G49" s="16" t="n"/>
    </row>
    <row r="50">
      <c r="A50" s="16" t="n"/>
      <c r="B50" s="16" t="n"/>
      <c r="C50" s="16" t="n"/>
      <c r="D50" s="16" t="n"/>
      <c r="E50" s="16" t="n"/>
      <c r="F50" s="16" t="n"/>
      <c r="G50" s="16" t="n"/>
    </row>
    <row r="51">
      <c r="A51" s="16" t="n"/>
      <c r="B51" s="16" t="n"/>
      <c r="C51" s="16" t="n"/>
      <c r="D51" s="16" t="n"/>
      <c r="E51" s="16" t="n"/>
      <c r="F51" s="16" t="n"/>
      <c r="G51" s="16" t="n"/>
    </row>
    <row r="52">
      <c r="A52" s="16" t="n"/>
      <c r="B52" s="16" t="n"/>
      <c r="C52" s="16" t="n"/>
      <c r="D52" s="16" t="n"/>
      <c r="E52" s="16" t="n"/>
      <c r="F52" s="16" t="n"/>
      <c r="G52" s="16" t="n"/>
    </row>
    <row r="53">
      <c r="A53" s="16" t="n"/>
      <c r="B53" s="16" t="n"/>
      <c r="C53" s="16" t="n"/>
      <c r="D53" s="16" t="n"/>
      <c r="E53" s="16" t="n"/>
      <c r="F53" s="16" t="n"/>
      <c r="G53" s="16" t="n"/>
    </row>
    <row r="54">
      <c r="A54" s="16" t="n"/>
      <c r="B54" s="16" t="n"/>
      <c r="C54" s="16" t="n"/>
      <c r="D54" s="16" t="n"/>
      <c r="E54" s="16" t="n"/>
      <c r="F54" s="16" t="n"/>
      <c r="G54" s="16" t="n"/>
    </row>
    <row r="55">
      <c r="A55" s="16" t="n"/>
      <c r="B55" s="16" t="n"/>
      <c r="C55" s="16" t="n"/>
      <c r="D55" s="16" t="n"/>
      <c r="E55" s="16" t="n"/>
      <c r="F55" s="16" t="n"/>
      <c r="G55" s="16" t="n"/>
    </row>
  </sheetData>
  <mergeCells count="2">
    <mergeCell ref="A2:G2"/>
    <mergeCell ref="A1:G1"/>
  </mergeCells>
  <dataValidations count="2">
    <dataValidation sqref="C5:C55" showDropDown="0" showInputMessage="0" showErrorMessage="0" allowBlank="1" type="list">
      <formula1>"Yes,No,Partial"</formula1>
    </dataValidation>
    <dataValidation sqref="G5:G55" showDropDown="0" showInputMessage="0" showErrorMessage="0" allowBlank="1" type="list">
      <formula1>"✅ Compliant,⚠ Partial Compliance,❌ Non-Compliant,In Progress,Under Review,Unknown,N/A"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PENETRATION TEST RESULTS</t>
        </is>
      </c>
    </row>
    <row r="2">
      <c r="A2" s="14" t="inlineStr">
        <is>
          <t>Document access control findings from penetration testing and configuration audits</t>
        </is>
      </c>
    </row>
    <row r="4">
      <c r="A4" s="7" t="inlineStr">
        <is>
          <t>Test Date</t>
        </is>
      </c>
      <c r="B4" s="7" t="inlineStr">
        <is>
          <t>Test Scope</t>
        </is>
      </c>
      <c r="C4" s="7" t="inlineStr">
        <is>
          <t>Finding ID</t>
        </is>
      </c>
      <c r="D4" s="7" t="inlineStr">
        <is>
          <t>Severity</t>
        </is>
      </c>
      <c r="E4" s="7" t="inlineStr">
        <is>
          <t>Description</t>
        </is>
      </c>
      <c r="F4" s="7" t="inlineStr">
        <is>
          <t>Systems Affected</t>
        </is>
      </c>
      <c r="G4" s="7" t="inlineStr">
        <is>
          <t>Remediation</t>
        </is>
      </c>
      <c r="H4" s="7" t="inlineStr">
        <is>
          <t>Status</t>
        </is>
      </c>
    </row>
    <row r="5">
      <c r="A5" s="15" t="inlineStr">
        <is>
          <t>07.03.2026</t>
        </is>
      </c>
      <c r="B5" s="15" t="inlineStr">
        <is>
          <t>Internal Network — Access Controls</t>
        </is>
      </c>
      <c r="C5" s="15" t="inlineStr">
        <is>
          <t>PT-001</t>
        </is>
      </c>
      <c r="D5" s="15" t="inlineStr">
        <is>
          <t>Medium</t>
        </is>
      </c>
      <c r="E5" s="15" t="inlineStr">
        <is>
          <t>Legacy share permissions allow all authenticated users</t>
        </is>
      </c>
      <c r="F5" s="15" t="inlineStr">
        <is>
          <t>FileServer01 shares</t>
        </is>
      </c>
      <c r="G5" s="15" t="inlineStr">
        <is>
          <t>Restrict to specific security groups</t>
        </is>
      </c>
      <c r="H5" s="15" t="inlineStr">
        <is>
          <t>In Progress</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sheetData>
  <mergeCells count="2">
    <mergeCell ref="A2:H2"/>
    <mergeCell ref="A1:H1"/>
  </mergeCells>
  <dataValidations count="1">
    <dataValidation sqref="D5:D55" showDropDown="0" showInputMessage="0" showErrorMessage="0" allowBlank="1" type="list">
      <formula1>"Critical,High,Medium,Low,Informational"</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GAP ANALYSIS</t>
        </is>
      </c>
    </row>
    <row r="2">
      <c r="A2" s="14" t="inlineStr">
        <is>
          <t>Prioritised list of access restriction gaps requiring remediation</t>
        </is>
      </c>
    </row>
    <row r="4">
      <c r="A4" s="7" t="inlineStr">
        <is>
          <t>Gap ID</t>
        </is>
      </c>
      <c r="B4" s="7" t="inlineStr">
        <is>
          <t>System / Area</t>
        </is>
      </c>
      <c r="C4" s="7" t="inlineStr">
        <is>
          <t>Gap Description</t>
        </is>
      </c>
      <c r="D4" s="7" t="inlineStr">
        <is>
          <t>Risk Level</t>
        </is>
      </c>
      <c r="E4" s="7" t="inlineStr">
        <is>
          <t>Impact</t>
        </is>
      </c>
      <c r="F4" s="7" t="inlineStr">
        <is>
          <t>Remediation Plan</t>
        </is>
      </c>
      <c r="G4" s="7" t="inlineStr">
        <is>
          <t>Owner</t>
        </is>
      </c>
      <c r="H4" s="7" t="inlineStr">
        <is>
          <t>Target Date</t>
        </is>
      </c>
      <c r="I4" s="7" t="inlineStr">
        <is>
          <t>Status</t>
        </is>
      </c>
    </row>
    <row r="5">
      <c r="A5" s="15" t="inlineStr">
        <is>
          <t>GAP-001</t>
        </is>
      </c>
      <c r="B5" s="15" t="inlineStr">
        <is>
          <t>File Server</t>
        </is>
      </c>
      <c r="C5" s="15" t="inlineStr">
        <is>
          <t>Legacy share permissions too broad</t>
        </is>
      </c>
      <c r="D5" s="15" t="inlineStr">
        <is>
          <t>High</t>
        </is>
      </c>
      <c r="E5" s="15" t="inlineStr">
        <is>
          <t>Potential data exposure</t>
        </is>
      </c>
      <c r="F5" s="15" t="inlineStr">
        <is>
          <t>Review and restrict share permissions</t>
        </is>
      </c>
      <c r="G5" s="15" t="inlineStr">
        <is>
          <t>[Owner]</t>
        </is>
      </c>
      <c r="H5" s="15" t="inlineStr">
        <is>
          <t>07.03.2026</t>
        </is>
      </c>
      <c r="I5" s="15" t="inlineStr">
        <is>
          <t>Open</t>
        </is>
      </c>
    </row>
    <row r="6">
      <c r="A6" s="16" t="n"/>
      <c r="B6" s="16" t="n"/>
      <c r="C6" s="16" t="n"/>
      <c r="D6" s="16" t="n"/>
      <c r="E6" s="16" t="n"/>
      <c r="F6" s="16" t="n"/>
      <c r="G6" s="16" t="n"/>
      <c r="H6" s="16" t="n"/>
      <c r="I6" s="16" t="n"/>
    </row>
    <row r="7">
      <c r="A7" s="16" t="n"/>
      <c r="B7" s="16" t="n"/>
      <c r="C7" s="16" t="n"/>
      <c r="D7" s="16" t="n"/>
      <c r="E7" s="16" t="n"/>
      <c r="F7" s="16" t="n"/>
      <c r="G7" s="16" t="n"/>
      <c r="H7" s="16" t="n"/>
      <c r="I7" s="16" t="n"/>
    </row>
    <row r="8">
      <c r="A8" s="16" t="n"/>
      <c r="B8" s="16" t="n"/>
      <c r="C8" s="16" t="n"/>
      <c r="D8" s="16" t="n"/>
      <c r="E8" s="16" t="n"/>
      <c r="F8" s="16" t="n"/>
      <c r="G8" s="16" t="n"/>
      <c r="H8" s="16" t="n"/>
      <c r="I8" s="16" t="n"/>
    </row>
    <row r="9">
      <c r="A9" s="16" t="n"/>
      <c r="B9" s="16" t="n"/>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row r="55">
      <c r="A55" s="16" t="n"/>
      <c r="B55" s="16" t="n"/>
      <c r="C55" s="16" t="n"/>
      <c r="D55" s="16" t="n"/>
      <c r="E55" s="16" t="n"/>
      <c r="F55" s="16" t="n"/>
      <c r="G55" s="16" t="n"/>
      <c r="H55" s="16" t="n"/>
      <c r="I55" s="16" t="n"/>
    </row>
  </sheetData>
  <mergeCells count="2">
    <mergeCell ref="A1:I1"/>
    <mergeCell ref="A2:I2"/>
  </mergeCells>
  <dataValidations count="1">
    <dataValidation sqref="D5:D55" showDropDown="0" showInputMessage="0" showErrorMessage="0" allowBlank="1" type="list">
      <formula1>"Critical,High,Medium,Low,Informational"</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20" customWidth="1" min="3" max="3"/>
    <col width="40" customWidth="1" min="4" max="4"/>
    <col width="30" customWidth="1" min="5" max="5"/>
    <col width="14" customWidth="1" min="6" max="6"/>
    <col width="18" customWidth="1" min="7" max="7"/>
    <col width="18" customWidth="1" min="8" max="8"/>
  </cols>
  <sheetData>
    <row r="1" ht="35" customHeight="1">
      <c r="A1" s="17" t="inlineStr">
        <is>
          <t>EVIDENCE REGISTER</t>
        </is>
      </c>
    </row>
    <row r="2">
      <c r="A2" s="18" t="inlineStr">
        <is>
          <t>ISMS-IMP-A.8.2-3-5.S5 - Access Restrictions Assessment — Evidence log for audit readiness</t>
        </is>
      </c>
    </row>
    <row r="4">
      <c r="A4" s="7" t="inlineStr">
        <is>
          <t>Evidence ID</t>
        </is>
      </c>
      <c r="B4" s="7" t="inlineStr">
        <is>
          <t>Control Ref</t>
        </is>
      </c>
      <c r="C4" s="7" t="inlineStr">
        <is>
          <t>Evidence Type</t>
        </is>
      </c>
      <c r="D4" s="7" t="inlineStr">
        <is>
          <t>Description</t>
        </is>
      </c>
      <c r="E4" s="7" t="inlineStr">
        <is>
          <t>Location / Reference</t>
        </is>
      </c>
      <c r="F4" s="7" t="inlineStr">
        <is>
          <t>Date Collected</t>
        </is>
      </c>
      <c r="G4" s="7" t="inlineStr">
        <is>
          <t>Collected By</t>
        </is>
      </c>
      <c r="H4" s="7" t="inlineStr">
        <is>
          <t>Verification Status</t>
        </is>
      </c>
    </row>
    <row r="5">
      <c r="A5" s="15" t="inlineStr">
        <is>
          <t>EV-001</t>
        </is>
      </c>
      <c r="B5" s="15" t="inlineStr">
        <is>
          <t>A.8.3</t>
        </is>
      </c>
      <c r="C5" s="15" t="inlineStr">
        <is>
          <t>Audit Report</t>
        </is>
      </c>
      <c r="D5" s="15" t="inlineStr">
        <is>
          <t>File system ACL audit from AD</t>
        </is>
      </c>
      <c r="E5" s="15" t="inlineStr">
        <is>
          <t>SharePoint/Evidence/A8235/</t>
        </is>
      </c>
      <c r="F5" s="15" t="inlineStr">
        <is>
          <t>07.03.2026</t>
        </is>
      </c>
      <c r="G5" s="15" t="inlineStr">
        <is>
          <t>[Name]</t>
        </is>
      </c>
      <c r="H5" s="15" t="inlineStr">
        <is>
          <t>✅ Verified</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row r="56">
      <c r="A56" s="16" t="n"/>
      <c r="B56" s="16" t="n"/>
      <c r="C56" s="16" t="n"/>
      <c r="D56" s="16" t="n"/>
      <c r="E56" s="16" t="n"/>
      <c r="F56" s="16" t="n"/>
      <c r="G56" s="16" t="n"/>
      <c r="H56" s="16" t="n"/>
    </row>
    <row r="57">
      <c r="A57" s="16" t="n"/>
      <c r="B57" s="16" t="n"/>
      <c r="C57" s="16" t="n"/>
      <c r="D57" s="16" t="n"/>
      <c r="E57" s="16" t="n"/>
      <c r="F57" s="16" t="n"/>
      <c r="G57" s="16" t="n"/>
      <c r="H57" s="16" t="n"/>
    </row>
    <row r="58">
      <c r="A58" s="16" t="n"/>
      <c r="B58" s="16" t="n"/>
      <c r="C58" s="16" t="n"/>
      <c r="D58" s="16" t="n"/>
      <c r="E58" s="16" t="n"/>
      <c r="F58" s="16" t="n"/>
      <c r="G58" s="16" t="n"/>
      <c r="H58" s="16" t="n"/>
    </row>
    <row r="59">
      <c r="A59" s="16" t="n"/>
      <c r="B59" s="16" t="n"/>
      <c r="C59" s="16" t="n"/>
      <c r="D59" s="16" t="n"/>
      <c r="E59" s="16" t="n"/>
      <c r="F59" s="16" t="n"/>
      <c r="G59" s="16" t="n"/>
      <c r="H59" s="16" t="n"/>
    </row>
    <row r="60">
      <c r="A60" s="16" t="n"/>
      <c r="B60" s="16" t="n"/>
      <c r="C60" s="16" t="n"/>
      <c r="D60" s="16" t="n"/>
      <c r="E60" s="16" t="n"/>
      <c r="F60" s="16" t="n"/>
      <c r="G60" s="16" t="n"/>
      <c r="H60" s="16" t="n"/>
    </row>
    <row r="61">
      <c r="A61" s="16" t="n"/>
      <c r="B61" s="16" t="n"/>
      <c r="C61" s="16" t="n"/>
      <c r="D61" s="16" t="n"/>
      <c r="E61" s="16" t="n"/>
      <c r="F61" s="16" t="n"/>
      <c r="G61" s="16" t="n"/>
      <c r="H61" s="16" t="n"/>
    </row>
    <row r="62">
      <c r="A62" s="16" t="n"/>
      <c r="B62" s="16" t="n"/>
      <c r="C62" s="16" t="n"/>
      <c r="D62" s="16" t="n"/>
      <c r="E62" s="16" t="n"/>
      <c r="F62" s="16" t="n"/>
      <c r="G62" s="16" t="n"/>
      <c r="H62" s="16" t="n"/>
    </row>
    <row r="63">
      <c r="A63" s="16" t="n"/>
      <c r="B63" s="16" t="n"/>
      <c r="C63" s="16" t="n"/>
      <c r="D63" s="16" t="n"/>
      <c r="E63" s="16" t="n"/>
      <c r="F63" s="16" t="n"/>
      <c r="G63" s="16" t="n"/>
      <c r="H63" s="16" t="n"/>
    </row>
    <row r="64">
      <c r="A64" s="16" t="n"/>
      <c r="B64" s="16" t="n"/>
      <c r="C64" s="16" t="n"/>
      <c r="D64" s="16" t="n"/>
      <c r="E64" s="16" t="n"/>
      <c r="F64" s="16" t="n"/>
      <c r="G64" s="16" t="n"/>
      <c r="H64" s="16" t="n"/>
    </row>
    <row r="65">
      <c r="A65" s="16" t="n"/>
      <c r="B65" s="16" t="n"/>
      <c r="C65" s="16" t="n"/>
      <c r="D65" s="16" t="n"/>
      <c r="E65" s="16" t="n"/>
      <c r="F65" s="16" t="n"/>
      <c r="G65" s="16" t="n"/>
      <c r="H65" s="16" t="n"/>
    </row>
    <row r="66">
      <c r="A66" s="16" t="n"/>
      <c r="B66" s="16" t="n"/>
      <c r="C66" s="16" t="n"/>
      <c r="D66" s="16" t="n"/>
      <c r="E66" s="16" t="n"/>
      <c r="F66" s="16" t="n"/>
      <c r="G66" s="16" t="n"/>
      <c r="H66" s="16" t="n"/>
    </row>
    <row r="67">
      <c r="A67" s="16" t="n"/>
      <c r="B67" s="16" t="n"/>
      <c r="C67" s="16" t="n"/>
      <c r="D67" s="16" t="n"/>
      <c r="E67" s="16" t="n"/>
      <c r="F67" s="16" t="n"/>
      <c r="G67" s="16" t="n"/>
      <c r="H67" s="16" t="n"/>
    </row>
    <row r="68">
      <c r="A68" s="16" t="n"/>
      <c r="B68" s="16" t="n"/>
      <c r="C68" s="16" t="n"/>
      <c r="D68" s="16" t="n"/>
      <c r="E68" s="16" t="n"/>
      <c r="F68" s="16" t="n"/>
      <c r="G68" s="16" t="n"/>
      <c r="H68" s="16" t="n"/>
    </row>
    <row r="69">
      <c r="A69" s="16" t="n"/>
      <c r="B69" s="16" t="n"/>
      <c r="C69" s="16" t="n"/>
      <c r="D69" s="16" t="n"/>
      <c r="E69" s="16" t="n"/>
      <c r="F69" s="16" t="n"/>
      <c r="G69" s="16" t="n"/>
      <c r="H69" s="16" t="n"/>
    </row>
    <row r="70">
      <c r="A70" s="16" t="n"/>
      <c r="B70" s="16" t="n"/>
      <c r="C70" s="16" t="n"/>
      <c r="D70" s="16" t="n"/>
      <c r="E70" s="16" t="n"/>
      <c r="F70" s="16" t="n"/>
      <c r="G70" s="16" t="n"/>
      <c r="H70" s="16" t="n"/>
    </row>
    <row r="71">
      <c r="A71" s="16" t="n"/>
      <c r="B71" s="16" t="n"/>
      <c r="C71" s="16" t="n"/>
      <c r="D71" s="16" t="n"/>
      <c r="E71" s="16" t="n"/>
      <c r="F71" s="16" t="n"/>
      <c r="G71" s="16" t="n"/>
      <c r="H71" s="16" t="n"/>
    </row>
    <row r="72">
      <c r="A72" s="16" t="n"/>
      <c r="B72" s="16" t="n"/>
      <c r="C72" s="16" t="n"/>
      <c r="D72" s="16" t="n"/>
      <c r="E72" s="16" t="n"/>
      <c r="F72" s="16" t="n"/>
      <c r="G72" s="16" t="n"/>
      <c r="H72" s="16" t="n"/>
    </row>
    <row r="73">
      <c r="A73" s="16" t="n"/>
      <c r="B73" s="16" t="n"/>
      <c r="C73" s="16" t="n"/>
      <c r="D73" s="16" t="n"/>
      <c r="E73" s="16" t="n"/>
      <c r="F73" s="16" t="n"/>
      <c r="G73" s="16" t="n"/>
      <c r="H73" s="16" t="n"/>
    </row>
    <row r="74">
      <c r="A74" s="16" t="n"/>
      <c r="B74" s="16" t="n"/>
      <c r="C74" s="16" t="n"/>
      <c r="D74" s="16" t="n"/>
      <c r="E74" s="16" t="n"/>
      <c r="F74" s="16" t="n"/>
      <c r="G74" s="16" t="n"/>
      <c r="H74" s="16" t="n"/>
    </row>
    <row r="75">
      <c r="A75" s="16" t="n"/>
      <c r="B75" s="16" t="n"/>
      <c r="C75" s="16" t="n"/>
      <c r="D75" s="16" t="n"/>
      <c r="E75" s="16" t="n"/>
      <c r="F75" s="16" t="n"/>
      <c r="G75" s="16" t="n"/>
      <c r="H75" s="16" t="n"/>
    </row>
    <row r="76">
      <c r="A76" s="16" t="n"/>
      <c r="B76" s="16" t="n"/>
      <c r="C76" s="16" t="n"/>
      <c r="D76" s="16" t="n"/>
      <c r="E76" s="16" t="n"/>
      <c r="F76" s="16" t="n"/>
      <c r="G76" s="16" t="n"/>
      <c r="H76" s="16" t="n"/>
    </row>
    <row r="77">
      <c r="A77" s="16" t="n"/>
      <c r="B77" s="16" t="n"/>
      <c r="C77" s="16" t="n"/>
      <c r="D77" s="16" t="n"/>
      <c r="E77" s="16" t="n"/>
      <c r="F77" s="16" t="n"/>
      <c r="G77" s="16" t="n"/>
      <c r="H77" s="16" t="n"/>
    </row>
    <row r="78">
      <c r="A78" s="16" t="n"/>
      <c r="B78" s="16" t="n"/>
      <c r="C78" s="16" t="n"/>
      <c r="D78" s="16" t="n"/>
      <c r="E78" s="16" t="n"/>
      <c r="F78" s="16" t="n"/>
      <c r="G78" s="16" t="n"/>
      <c r="H78" s="16" t="n"/>
    </row>
    <row r="79">
      <c r="A79" s="16" t="n"/>
      <c r="B79" s="16" t="n"/>
      <c r="C79" s="16" t="n"/>
      <c r="D79" s="16" t="n"/>
      <c r="E79" s="16" t="n"/>
      <c r="F79" s="16" t="n"/>
      <c r="G79" s="16" t="n"/>
      <c r="H79" s="16" t="n"/>
    </row>
    <row r="80">
      <c r="A80" s="16" t="n"/>
      <c r="B80" s="16" t="n"/>
      <c r="C80" s="16" t="n"/>
      <c r="D80" s="16" t="n"/>
      <c r="E80" s="16" t="n"/>
      <c r="F80" s="16" t="n"/>
      <c r="G80" s="16" t="n"/>
      <c r="H80" s="16" t="n"/>
    </row>
    <row r="81">
      <c r="A81" s="16" t="n"/>
      <c r="B81" s="16" t="n"/>
      <c r="C81" s="16" t="n"/>
      <c r="D81" s="16" t="n"/>
      <c r="E81" s="16" t="n"/>
      <c r="F81" s="16" t="n"/>
      <c r="G81" s="16" t="n"/>
      <c r="H81" s="16" t="n"/>
    </row>
    <row r="82">
      <c r="A82" s="16" t="n"/>
      <c r="B82" s="16" t="n"/>
      <c r="C82" s="16" t="n"/>
      <c r="D82" s="16" t="n"/>
      <c r="E82" s="16" t="n"/>
      <c r="F82" s="16" t="n"/>
      <c r="G82" s="16" t="n"/>
      <c r="H82" s="16" t="n"/>
    </row>
    <row r="83">
      <c r="A83" s="16" t="n"/>
      <c r="B83" s="16" t="n"/>
      <c r="C83" s="16" t="n"/>
      <c r="D83" s="16" t="n"/>
      <c r="E83" s="16" t="n"/>
      <c r="F83" s="16" t="n"/>
      <c r="G83" s="16" t="n"/>
      <c r="H83" s="16" t="n"/>
    </row>
    <row r="84">
      <c r="A84" s="16" t="n"/>
      <c r="B84" s="16" t="n"/>
      <c r="C84" s="16" t="n"/>
      <c r="D84" s="16" t="n"/>
      <c r="E84" s="16" t="n"/>
      <c r="F84" s="16" t="n"/>
      <c r="G84" s="16" t="n"/>
      <c r="H84" s="16" t="n"/>
    </row>
    <row r="85">
      <c r="A85" s="16" t="n"/>
      <c r="B85" s="16" t="n"/>
      <c r="C85" s="16" t="n"/>
      <c r="D85" s="16" t="n"/>
      <c r="E85" s="16" t="n"/>
      <c r="F85" s="16" t="n"/>
      <c r="G85" s="16" t="n"/>
      <c r="H85" s="16" t="n"/>
    </row>
    <row r="86">
      <c r="A86" s="16" t="n"/>
      <c r="B86" s="16" t="n"/>
      <c r="C86" s="16" t="n"/>
      <c r="D86" s="16" t="n"/>
      <c r="E86" s="16" t="n"/>
      <c r="F86" s="16" t="n"/>
      <c r="G86" s="16" t="n"/>
      <c r="H86" s="16" t="n"/>
    </row>
    <row r="87">
      <c r="A87" s="16" t="n"/>
      <c r="B87" s="16" t="n"/>
      <c r="C87" s="16" t="n"/>
      <c r="D87" s="16" t="n"/>
      <c r="E87" s="16" t="n"/>
      <c r="F87" s="16" t="n"/>
      <c r="G87" s="16" t="n"/>
      <c r="H87" s="16" t="n"/>
    </row>
    <row r="88">
      <c r="A88" s="16" t="n"/>
      <c r="B88" s="16" t="n"/>
      <c r="C88" s="16" t="n"/>
      <c r="D88" s="16" t="n"/>
      <c r="E88" s="16" t="n"/>
      <c r="F88" s="16" t="n"/>
      <c r="G88" s="16" t="n"/>
      <c r="H88" s="16" t="n"/>
    </row>
    <row r="89">
      <c r="A89" s="16" t="n"/>
      <c r="B89" s="16" t="n"/>
      <c r="C89" s="16" t="n"/>
      <c r="D89" s="16" t="n"/>
      <c r="E89" s="16" t="n"/>
      <c r="F89" s="16" t="n"/>
      <c r="G89" s="16" t="n"/>
      <c r="H89" s="16" t="n"/>
    </row>
    <row r="90">
      <c r="A90" s="16" t="n"/>
      <c r="B90" s="16" t="n"/>
      <c r="C90" s="16" t="n"/>
      <c r="D90" s="16" t="n"/>
      <c r="E90" s="16" t="n"/>
      <c r="F90" s="16" t="n"/>
      <c r="G90" s="16" t="n"/>
      <c r="H90" s="16" t="n"/>
    </row>
    <row r="91">
      <c r="A91" s="16" t="n"/>
      <c r="B91" s="16" t="n"/>
      <c r="C91" s="16" t="n"/>
      <c r="D91" s="16" t="n"/>
      <c r="E91" s="16" t="n"/>
      <c r="F91" s="16" t="n"/>
      <c r="G91" s="16" t="n"/>
      <c r="H91" s="16" t="n"/>
    </row>
    <row r="92">
      <c r="A92" s="16" t="n"/>
      <c r="B92" s="16" t="n"/>
      <c r="C92" s="16" t="n"/>
      <c r="D92" s="16" t="n"/>
      <c r="E92" s="16" t="n"/>
      <c r="F92" s="16" t="n"/>
      <c r="G92" s="16" t="n"/>
      <c r="H92" s="16" t="n"/>
    </row>
    <row r="93">
      <c r="A93" s="16" t="n"/>
      <c r="B93" s="16" t="n"/>
      <c r="C93" s="16" t="n"/>
      <c r="D93" s="16" t="n"/>
      <c r="E93" s="16" t="n"/>
      <c r="F93" s="16" t="n"/>
      <c r="G93" s="16" t="n"/>
      <c r="H93" s="16" t="n"/>
    </row>
    <row r="94">
      <c r="A94" s="16" t="n"/>
      <c r="B94" s="16" t="n"/>
      <c r="C94" s="16" t="n"/>
      <c r="D94" s="16" t="n"/>
      <c r="E94" s="16" t="n"/>
      <c r="F94" s="16" t="n"/>
      <c r="G94" s="16" t="n"/>
      <c r="H94" s="16" t="n"/>
    </row>
    <row r="95">
      <c r="A95" s="16" t="n"/>
      <c r="B95" s="16" t="n"/>
      <c r="C95" s="16" t="n"/>
      <c r="D95" s="16" t="n"/>
      <c r="E95" s="16" t="n"/>
      <c r="F95" s="16" t="n"/>
      <c r="G95" s="16" t="n"/>
      <c r="H95" s="16" t="n"/>
    </row>
    <row r="96">
      <c r="A96" s="16" t="n"/>
      <c r="B96" s="16" t="n"/>
      <c r="C96" s="16" t="n"/>
      <c r="D96" s="16" t="n"/>
      <c r="E96" s="16" t="n"/>
      <c r="F96" s="16" t="n"/>
      <c r="G96" s="16" t="n"/>
      <c r="H96" s="16" t="n"/>
    </row>
    <row r="97">
      <c r="A97" s="16" t="n"/>
      <c r="B97" s="16" t="n"/>
      <c r="C97" s="16" t="n"/>
      <c r="D97" s="16" t="n"/>
      <c r="E97" s="16" t="n"/>
      <c r="F97" s="16" t="n"/>
      <c r="G97" s="16" t="n"/>
      <c r="H97" s="16" t="n"/>
    </row>
    <row r="98">
      <c r="A98" s="16" t="n"/>
      <c r="B98" s="16" t="n"/>
      <c r="C98" s="16" t="n"/>
      <c r="D98" s="16" t="n"/>
      <c r="E98" s="16" t="n"/>
      <c r="F98" s="16" t="n"/>
      <c r="G98" s="16" t="n"/>
      <c r="H98" s="16" t="n"/>
    </row>
    <row r="99">
      <c r="A99" s="16" t="n"/>
      <c r="B99" s="16" t="n"/>
      <c r="C99" s="16" t="n"/>
      <c r="D99" s="16" t="n"/>
      <c r="E99" s="16" t="n"/>
      <c r="F99" s="16" t="n"/>
      <c r="G99" s="16" t="n"/>
      <c r="H99" s="16" t="n"/>
    </row>
    <row r="100">
      <c r="A100" s="16" t="n"/>
      <c r="B100" s="16" t="n"/>
      <c r="C100" s="16" t="n"/>
      <c r="D100" s="16" t="n"/>
      <c r="E100" s="16" t="n"/>
      <c r="F100" s="16" t="n"/>
      <c r="G100" s="16" t="n"/>
      <c r="H100" s="16" t="n"/>
    </row>
    <row r="101">
      <c r="A101" s="16" t="n"/>
      <c r="B101" s="16" t="n"/>
      <c r="C101" s="16" t="n"/>
      <c r="D101" s="16" t="n"/>
      <c r="E101" s="16" t="n"/>
      <c r="F101" s="16" t="n"/>
      <c r="G101" s="16" t="n"/>
      <c r="H101" s="16" t="n"/>
    </row>
    <row r="102">
      <c r="A102" s="16" t="n"/>
      <c r="B102" s="16" t="n"/>
      <c r="C102" s="16" t="n"/>
      <c r="D102" s="16" t="n"/>
      <c r="E102" s="16" t="n"/>
      <c r="F102" s="16" t="n"/>
      <c r="G102" s="16" t="n"/>
      <c r="H102" s="16" t="n"/>
    </row>
    <row r="103">
      <c r="A103" s="16" t="n"/>
      <c r="B103" s="16" t="n"/>
      <c r="C103" s="16" t="n"/>
      <c r="D103" s="16" t="n"/>
      <c r="E103" s="16" t="n"/>
      <c r="F103" s="16" t="n"/>
      <c r="G103" s="16" t="n"/>
      <c r="H103" s="16" t="n"/>
    </row>
    <row r="104">
      <c r="A104" s="16" t="n"/>
      <c r="B104" s="16" t="n"/>
      <c r="C104" s="16" t="n"/>
      <c r="D104" s="16" t="n"/>
      <c r="E104" s="16" t="n"/>
      <c r="F104" s="16" t="n"/>
      <c r="G104" s="16" t="n"/>
      <c r="H104" s="16" t="n"/>
    </row>
    <row r="105">
      <c r="A105" s="16" t="n"/>
      <c r="B105" s="16" t="n"/>
      <c r="C105" s="16" t="n"/>
      <c r="D105" s="16" t="n"/>
      <c r="E105" s="16" t="n"/>
      <c r="F105" s="16" t="n"/>
      <c r="G105" s="16" t="n"/>
      <c r="H105" s="16" t="n"/>
    </row>
  </sheetData>
  <mergeCells count="2">
    <mergeCell ref="A2:H2"/>
    <mergeCell ref="A1:H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2"/>
  <sheetViews>
    <sheetView workbookViewId="0">
      <pane ySplit="2" topLeftCell="A3" activePane="bottomLeft" state="frozen"/>
      <selection pane="bottomLeft" activeCell="A1" sqref="A1"/>
    </sheetView>
  </sheetViews>
  <sheetFormatPr baseColWidth="8" defaultRowHeight="15"/>
  <cols>
    <col width="40" customWidth="1" min="1" max="1"/>
    <col width="18" customWidth="1" min="2" max="2"/>
    <col width="15" customWidth="1" min="3" max="3"/>
    <col width="15" customWidth="1" min="4" max="4"/>
    <col width="18" customWidth="1" min="5" max="5"/>
    <col width="15" customWidth="1" min="6" max="6"/>
    <col width="12" customWidth="1" min="7" max="7"/>
  </cols>
  <sheetData>
    <row r="1" ht="35" customHeight="1">
      <c r="A1" s="1" t="inlineStr">
        <is>
          <t>ACCESS RESTRICTIONS — SUMMARY DASHBOARD</t>
        </is>
      </c>
    </row>
    <row r="2">
      <c r="A2" s="19" t="inlineStr">
        <is>
          <t>File system, database, API, cloud IAM, encryption, network segmentation, and pen test compliance</t>
        </is>
      </c>
    </row>
    <row r="3">
      <c r="A3" s="20" t="inlineStr">
        <is>
          <t>TABLE 1 — ASSESSMENT AREA COMPLIANCE</t>
        </is>
      </c>
      <c r="B3" s="21" t="n"/>
      <c r="C3" s="21" t="n"/>
      <c r="D3" s="21" t="n"/>
      <c r="E3" s="21" t="n"/>
      <c r="F3" s="21" t="n"/>
      <c r="G3" s="21" t="n"/>
    </row>
    <row r="4">
      <c r="A4" s="22" t="inlineStr">
        <is>
          <t>Assessment Area</t>
        </is>
      </c>
      <c r="B4" s="22" t="inlineStr">
        <is>
          <t>Total Items</t>
        </is>
      </c>
      <c r="C4" s="22" t="inlineStr">
        <is>
          <t>Compliant</t>
        </is>
      </c>
      <c r="D4" s="22" t="inlineStr">
        <is>
          <t>Partial</t>
        </is>
      </c>
      <c r="E4" s="22" t="inlineStr">
        <is>
          <t>Non-Compliant</t>
        </is>
      </c>
      <c r="F4" s="22" t="inlineStr">
        <is>
          <t>N/A</t>
        </is>
      </c>
      <c r="G4" s="22" t="inlineStr">
        <is>
          <t>Compliance %</t>
        </is>
      </c>
    </row>
    <row r="5">
      <c r="A5" s="23" t="inlineStr">
        <is>
          <t>File System Permissions</t>
        </is>
      </c>
      <c r="B5" s="24">
        <f>COUNTA('File System Permissions'!B6:B55)</f>
        <v/>
      </c>
      <c r="C5" s="24">
        <f>COUNTIF('File System Permissions'!H6:H55,"✅ Compliant")</f>
        <v/>
      </c>
      <c r="D5" s="24">
        <f>COUNTIF('File System Permissions'!H6:H55,"⚠ Partial Compliance")</f>
        <v/>
      </c>
      <c r="E5" s="24">
        <f>COUNTIF('File System Permissions'!H6:H55,"❌ Non-Compliant")</f>
        <v/>
      </c>
      <c r="F5" s="24">
        <f>COUNTIF('File System Permissions'!H6:H55,"N/A")</f>
        <v/>
      </c>
      <c r="G5" s="25">
        <f>IF((B5-F5)=0,0,C5/(B5-F5))</f>
        <v/>
      </c>
    </row>
    <row r="6">
      <c r="A6" s="23" t="inlineStr">
        <is>
          <t>Database Access Controls</t>
        </is>
      </c>
      <c r="B6" s="24">
        <f>COUNTA('Database Access Controls'!B6:B55)</f>
        <v/>
      </c>
      <c r="C6" s="24">
        <f>COUNTIF('Database Access Controls'!H6:H55,"✅ Compliant")</f>
        <v/>
      </c>
      <c r="D6" s="24">
        <f>COUNTIF('Database Access Controls'!H6:H55,"⚠ Partial Compliance")</f>
        <v/>
      </c>
      <c r="E6" s="24">
        <f>COUNTIF('Database Access Controls'!H6:H55,"❌ Non-Compliant")</f>
        <v/>
      </c>
      <c r="F6" s="24">
        <f>COUNTIF('Database Access Controls'!H6:H55,"N/A")</f>
        <v/>
      </c>
      <c r="G6" s="25">
        <f>IF((B6-F6)=0,0,C6/(B6-F6))</f>
        <v/>
      </c>
    </row>
    <row r="7">
      <c r="A7" s="23" t="inlineStr">
        <is>
          <t>Application RBAC</t>
        </is>
      </c>
      <c r="B7" s="24">
        <f>COUNTA('Application RBAC'!B6:B55)</f>
        <v/>
      </c>
      <c r="C7" s="24">
        <f>COUNTIF('Application RBAC'!H6:H55,"✅ Compliant")</f>
        <v/>
      </c>
      <c r="D7" s="24">
        <f>COUNTIF('Application RBAC'!H6:H55,"⚠ Partial Compliance")</f>
        <v/>
      </c>
      <c r="E7" s="24">
        <f>COUNTIF('Application RBAC'!H6:H55,"❌ Non-Compliant")</f>
        <v/>
      </c>
      <c r="F7" s="24">
        <f>COUNTIF('Application RBAC'!H6:H55,"N/A")</f>
        <v/>
      </c>
      <c r="G7" s="25">
        <f>IF((B7-F7)=0,0,C7/(B7-F7))</f>
        <v/>
      </c>
    </row>
    <row r="8">
      <c r="A8" s="23" t="inlineStr">
        <is>
          <t>API Access Controls</t>
        </is>
      </c>
      <c r="B8" s="24">
        <f>COUNTA('API Access Controls'!B6:B55)</f>
        <v/>
      </c>
      <c r="C8" s="24">
        <f>COUNTIF('API Access Controls'!H6:H55,"✅ Compliant")</f>
        <v/>
      </c>
      <c r="D8" s="24">
        <f>COUNTIF('API Access Controls'!H6:H55,"⚠ Partial Compliance")</f>
        <v/>
      </c>
      <c r="E8" s="24">
        <f>COUNTIF('API Access Controls'!H6:H55,"❌ Non-Compliant")</f>
        <v/>
      </c>
      <c r="F8" s="24">
        <f>COUNTIF('API Access Controls'!H6:H55,"N/A")</f>
        <v/>
      </c>
      <c r="G8" s="25">
        <f>IF((B8-F8)=0,0,C8/(B8-F8))</f>
        <v/>
      </c>
    </row>
    <row r="9">
      <c r="A9" s="23" t="inlineStr">
        <is>
          <t>Cloud IAM Policies</t>
        </is>
      </c>
      <c r="B9" s="24">
        <f>COUNTA('Cloud IAM Policies'!B6:B55)</f>
        <v/>
      </c>
      <c r="C9" s="24">
        <f>COUNTIF('Cloud IAM Policies'!H6:H55,"✅ Compliant")</f>
        <v/>
      </c>
      <c r="D9" s="24">
        <f>COUNTIF('Cloud IAM Policies'!H6:H55,"⚠ Partial Compliance")</f>
        <v/>
      </c>
      <c r="E9" s="24">
        <f>COUNTIF('Cloud IAM Policies'!H6:H55,"❌ Non-Compliant")</f>
        <v/>
      </c>
      <c r="F9" s="24">
        <f>COUNTIF('Cloud IAM Policies'!H6:H55,"N/A")</f>
        <v/>
      </c>
      <c r="G9" s="25">
        <f>IF((B9-F9)=0,0,C9/(B9-F9))</f>
        <v/>
      </c>
    </row>
    <row r="10">
      <c r="A10" s="23" t="inlineStr">
        <is>
          <t>Encryption-Based Access</t>
        </is>
      </c>
      <c r="B10" s="24">
        <f>COUNTA('Encryption Status'!B6:B55)</f>
        <v/>
      </c>
      <c r="C10" s="24">
        <f>COUNTIF('Encryption Status'!G6:G55,"✅ Compliant")</f>
        <v/>
      </c>
      <c r="D10" s="24">
        <f>COUNTIF('Encryption Status'!G6:G55,"⚠ Partial Compliance")</f>
        <v/>
      </c>
      <c r="E10" s="24">
        <f>COUNTIF('Encryption Status'!G6:G55,"❌ Non-Compliant")</f>
        <v/>
      </c>
      <c r="F10" s="24">
        <f>COUNTIF('Encryption Status'!G6:G55,"N/A")</f>
        <v/>
      </c>
      <c r="G10" s="25">
        <f>IF((B10-F10)=0,0,C10/(B10-F10))</f>
        <v/>
      </c>
    </row>
    <row r="11">
      <c r="A11" s="23" t="inlineStr">
        <is>
          <t>Network Segmentation</t>
        </is>
      </c>
      <c r="B11" s="24">
        <f>COUNTA('Network Segmentation'!B6:B55)</f>
        <v/>
      </c>
      <c r="C11" s="24">
        <f>COUNTIF('Network Segmentation'!G6:G55,"✅ Compliant")</f>
        <v/>
      </c>
      <c r="D11" s="24">
        <f>COUNTIF('Network Segmentation'!G6:G55,"⚠ Partial Compliance")</f>
        <v/>
      </c>
      <c r="E11" s="24">
        <f>COUNTIF('Network Segmentation'!G6:G55,"❌ Non-Compliant")</f>
        <v/>
      </c>
      <c r="F11" s="24">
        <f>COUNTIF('Network Segmentation'!G6:G55,"N/A")</f>
        <v/>
      </c>
      <c r="G11" s="25">
        <f>IF((B11-F11)=0,0,C11/(B11-F11))</f>
        <v/>
      </c>
    </row>
    <row r="12">
      <c r="A12" s="26" t="n"/>
      <c r="B12" s="26" t="n"/>
      <c r="C12" s="26" t="n"/>
      <c r="D12" s="26" t="n"/>
      <c r="E12" s="26" t="n"/>
      <c r="F12" s="26" t="n"/>
      <c r="G12" s="26" t="n"/>
    </row>
    <row r="13">
      <c r="A13" s="26" t="n"/>
      <c r="B13" s="26" t="n"/>
      <c r="C13" s="26" t="n"/>
      <c r="D13" s="26" t="n"/>
      <c r="E13" s="26" t="n"/>
      <c r="F13" s="26" t="n"/>
      <c r="G13" s="26" t="n"/>
    </row>
    <row r="15" ht="20" customHeight="1">
      <c r="A15" s="20" t="inlineStr">
        <is>
          <t>TABLE 2 — KEY PERFORMANCE INDICATORS</t>
        </is>
      </c>
    </row>
    <row r="16">
      <c r="A16" s="22" t="inlineStr">
        <is>
          <t>KPI</t>
        </is>
      </c>
      <c r="B16" s="22" t="inlineStr">
        <is>
          <t>Current Value</t>
        </is>
      </c>
      <c r="C16" s="22" t="inlineStr">
        <is>
          <t>Target</t>
        </is>
      </c>
      <c r="D16" s="22" t="inlineStr">
        <is>
          <t>Status</t>
        </is>
      </c>
      <c r="E16" s="22" t="inlineStr">
        <is>
          <t>Last Updated</t>
        </is>
      </c>
      <c r="F16" s="22" t="inlineStr">
        <is>
          <t>Owner</t>
        </is>
      </c>
      <c r="G16" s="22" t="inlineStr">
        <is>
          <t>Notes</t>
        </is>
      </c>
    </row>
    <row r="17">
      <c r="A17" s="27" t="inlineStr">
        <is>
          <t>File System Permissions Compliance</t>
        </is>
      </c>
      <c r="B17" s="28">
        <f>IF(COUNTA('File System Permissions'!B6:B55)=0,0,COUNTIF('File System Permissions'!H6:H55,"✅ Compliant")/COUNTA('File System Permissions'!B6:B55))</f>
        <v/>
      </c>
      <c r="C17" s="26" t="n"/>
      <c r="D17" s="26" t="n"/>
      <c r="E17" s="26" t="n"/>
      <c r="F17" s="26" t="n"/>
      <c r="G17" s="26" t="n"/>
    </row>
    <row r="18">
      <c r="A18" s="27" t="inlineStr">
        <is>
          <t>Database Access Compliance</t>
        </is>
      </c>
      <c r="B18" s="28">
        <f>IF(COUNTA('Database Access Controls'!B6:B55)=0,0,COUNTIF('Database Access Controls'!H6:H55,"✅ Compliant")/COUNTA('Database Access Controls'!B6:B55))</f>
        <v/>
      </c>
      <c r="C18" s="26" t="n"/>
      <c r="D18" s="26" t="n"/>
      <c r="E18" s="26" t="n"/>
      <c r="F18" s="26" t="n"/>
      <c r="G18" s="26" t="n"/>
    </row>
    <row r="19">
      <c r="A19" s="27" t="inlineStr">
        <is>
          <t>Application RBAC Compliance</t>
        </is>
      </c>
      <c r="B19" s="28">
        <f>IF(COUNTA('Application RBAC'!B6:B55)=0,0,COUNTIF('Application RBAC'!H6:H55,"✅ Compliant")/COUNTA('Application RBAC'!B6:B55))</f>
        <v/>
      </c>
      <c r="C19" s="26" t="n"/>
      <c r="D19" s="26" t="n"/>
      <c r="E19" s="26" t="n"/>
      <c r="F19" s="26" t="n"/>
      <c r="G19" s="26" t="n"/>
    </row>
    <row r="20">
      <c r="A20" s="27" t="inlineStr">
        <is>
          <t>Cloud IAM Compliance</t>
        </is>
      </c>
      <c r="B20" s="28">
        <f>IF(COUNTA('Cloud IAM Policies'!B6:B55)=0,0,COUNTIF('Cloud IAM Policies'!H6:H55,"✅ Compliant")/COUNTA('Cloud IAM Policies'!B6:B55))</f>
        <v/>
      </c>
      <c r="C20" s="26" t="n"/>
      <c r="D20" s="26" t="n"/>
      <c r="E20" s="26" t="n"/>
      <c r="F20" s="26" t="n"/>
      <c r="G20" s="26" t="n"/>
    </row>
    <row r="21">
      <c r="A21" s="27" t="inlineStr">
        <is>
          <t>Encryption-Based Access Coverage</t>
        </is>
      </c>
      <c r="B21" s="28">
        <f>IF(COUNTA('Encryption Status'!B6:B55)=0,0,COUNTIF('Encryption Status'!G6:G55,"✅ Compliant")/COUNTA('Encryption Status'!B6:B55))</f>
        <v/>
      </c>
      <c r="C21" s="26" t="n"/>
      <c r="D21" s="26" t="n"/>
      <c r="E21" s="26" t="n"/>
      <c r="F21" s="26" t="n"/>
      <c r="G21" s="26" t="n"/>
    </row>
    <row r="22">
      <c r="A22" s="27" t="inlineStr">
        <is>
          <t>Network Segmentation Compliance</t>
        </is>
      </c>
      <c r="B22" s="28">
        <f>IF(COUNTA('Network Segmentation'!B6:B55)=0,0,COUNTIF('Network Segmentation'!G6:G55,"✅ Compliant")/COUNTA('Network Segmentation'!B6:B55))</f>
        <v/>
      </c>
      <c r="C22" s="26" t="n"/>
      <c r="D22" s="26" t="n"/>
      <c r="E22" s="26" t="n"/>
      <c r="F22" s="26" t="n"/>
      <c r="G22" s="26" t="n"/>
    </row>
    <row r="23">
      <c r="A23" s="27" t="inlineStr">
        <is>
          <t>Critical/High Pen Test Findings</t>
        </is>
      </c>
      <c r="B23" s="29">
        <f>COUNTIF('Penetration Test Results'!D6:D55,"Critical")+COUNTIF('Penetration Test Results'!D6:D55,"High")</f>
        <v/>
      </c>
      <c r="C23" s="26" t="n"/>
      <c r="D23" s="26" t="n"/>
      <c r="E23" s="26" t="n"/>
      <c r="F23" s="26" t="n"/>
      <c r="G23" s="26" t="n"/>
    </row>
    <row r="24">
      <c r="A24" s="27" t="inlineStr">
        <is>
          <t>Critical/High Risk Gaps</t>
        </is>
      </c>
      <c r="B24" s="29">
        <f>COUNTIF('Gap Analysis'!D6:D55,"Critical")+COUNTIF('Gap Analysis'!D6:D55,"High")</f>
        <v/>
      </c>
      <c r="C24" s="26" t="n"/>
      <c r="D24" s="26" t="n"/>
      <c r="E24" s="26" t="n"/>
      <c r="F24" s="26" t="n"/>
      <c r="G24" s="26" t="n"/>
    </row>
    <row r="25">
      <c r="A25" s="26" t="n"/>
      <c r="B25" s="26" t="n"/>
      <c r="C25" s="26" t="n"/>
      <c r="D25" s="26" t="n"/>
      <c r="E25" s="26" t="n"/>
      <c r="F25" s="26" t="n"/>
      <c r="G25" s="26" t="n"/>
    </row>
    <row r="26">
      <c r="A26" s="26" t="n"/>
      <c r="B26" s="26" t="n"/>
      <c r="C26" s="26" t="n"/>
      <c r="D26" s="26" t="n"/>
      <c r="E26" s="26" t="n"/>
      <c r="F26" s="26" t="n"/>
      <c r="G26" s="26" t="n"/>
    </row>
    <row r="28" ht="20" customHeight="1">
      <c r="A28" s="30" t="inlineStr">
        <is>
          <t>TABLE 3 — CRITICAL FINDINGS</t>
        </is>
      </c>
    </row>
    <row r="29">
      <c r="A29" s="22" t="inlineStr">
        <is>
          <t>Finding ID</t>
        </is>
      </c>
      <c r="B29" s="22" t="inlineStr">
        <is>
          <t>Control Area</t>
        </is>
      </c>
      <c r="C29" s="22" t="inlineStr">
        <is>
          <t>Gap Description</t>
        </is>
      </c>
      <c r="D29" s="22" t="inlineStr">
        <is>
          <t>Risk Level</t>
        </is>
      </c>
      <c r="E29" s="22" t="inlineStr">
        <is>
          <t>Status</t>
        </is>
      </c>
      <c r="F29" s="22" t="inlineStr">
        <is>
          <t>Owner</t>
        </is>
      </c>
      <c r="G29" s="22" t="inlineStr">
        <is>
          <t>Due Date</t>
        </is>
      </c>
    </row>
    <row r="30">
      <c r="A30" s="27">
        <f>IFERROR(INDEX('Gap Analysis'!A$6:A$55,SMALL(IF(('Gap Analysis'!D$6:D$55="Critical")+('Gap Analysis'!D$6:D$55="High"),ROW('Gap Analysis'!A$6:A$55)-ROW('Gap Analysis'!A$6)+1),ROWS($A$1:A1)),"")</f>
        <v/>
      </c>
      <c r="B30" s="27">
        <f>IFERROR(INDEX('Gap Analysis'!B$6:B$55,SMALL(IF(('Gap Analysis'!D$6:D$55="Critical")+('Gap Analysis'!D$6:D$55="High"),ROW('Gap Analysis'!A$6:A$55)-ROW('Gap Analysis'!A$6)+1),ROWS($A$1:A1)),"")</f>
        <v/>
      </c>
      <c r="C30" s="27">
        <f>IFERROR(INDEX('Gap Analysis'!C$6:C$55,SMALL(IF(('Gap Analysis'!D$6:D$55="Critical")+('Gap Analysis'!D$6:D$55="High"),ROW('Gap Analysis'!A$6:A$55)-ROW('Gap Analysis'!A$6)+1),ROWS($A$1:A1)),"")</f>
        <v/>
      </c>
      <c r="D30" s="27">
        <f>IFERROR(INDEX('Gap Analysis'!D$6:D$55,SMALL(IF(('Gap Analysis'!D$6:D$55="Critical")+('Gap Analysis'!D$6:D$55="High"),ROW('Gap Analysis'!A$6:A$55)-ROW('Gap Analysis'!A$6)+1),ROWS($A$1:A1)),"")</f>
        <v/>
      </c>
      <c r="E30" s="27">
        <f>IFERROR(INDEX('Gap Analysis'!I$6:I$55,SMALL(IF(('Gap Analysis'!D$6:D$55="Critical")+('Gap Analysis'!D$6:D$55="High"),ROW('Gap Analysis'!A$6:A$55)-ROW('Gap Analysis'!A$6)+1),ROWS($A$1:A1)),"")</f>
        <v/>
      </c>
      <c r="F30" s="27">
        <f>IFERROR(INDEX('Gap Analysis'!G$6:G$55,SMALL(IF(('Gap Analysis'!D$6:D$55="Critical")+('Gap Analysis'!D$6:D$55="High"),ROW('Gap Analysis'!A$6:A$55)-ROW('Gap Analysis'!A$6)+1),ROWS($A$1:A1)),"")</f>
        <v/>
      </c>
      <c r="G30" s="27">
        <f>IFERROR(INDEX('Gap Analysis'!H$6:H$55,SMALL(IF(('Gap Analysis'!D$6:D$55="Critical")+('Gap Analysis'!D$6:D$55="High"),ROW('Gap Analysis'!A$6:A$55)-ROW('Gap Analysis'!A$6)+1),ROWS($A$1:A1)),"")</f>
        <v/>
      </c>
    </row>
    <row r="31">
      <c r="A31" s="27">
        <f>IFERROR(INDEX('Gap Analysis'!A$6:A$55,SMALL(IF(('Gap Analysis'!D$6:D$55="Critical")+('Gap Analysis'!D$6:D$55="High"),ROW('Gap Analysis'!A$6:A$55)-ROW('Gap Analysis'!A$6)+1),ROWS($A$1:A2)),"")</f>
        <v/>
      </c>
      <c r="B31" s="27">
        <f>IFERROR(INDEX('Gap Analysis'!B$6:B$55,SMALL(IF(('Gap Analysis'!D$6:D$55="Critical")+('Gap Analysis'!D$6:D$55="High"),ROW('Gap Analysis'!A$6:A$55)-ROW('Gap Analysis'!A$6)+1),ROWS($A$1:A2)),"")</f>
        <v/>
      </c>
      <c r="C31" s="27">
        <f>IFERROR(INDEX('Gap Analysis'!C$6:C$55,SMALL(IF(('Gap Analysis'!D$6:D$55="Critical")+('Gap Analysis'!D$6:D$55="High"),ROW('Gap Analysis'!A$6:A$55)-ROW('Gap Analysis'!A$6)+1),ROWS($A$1:A2)),"")</f>
        <v/>
      </c>
      <c r="D31" s="27">
        <f>IFERROR(INDEX('Gap Analysis'!D$6:D$55,SMALL(IF(('Gap Analysis'!D$6:D$55="Critical")+('Gap Analysis'!D$6:D$55="High"),ROW('Gap Analysis'!A$6:A$55)-ROW('Gap Analysis'!A$6)+1),ROWS($A$1:A2)),"")</f>
        <v/>
      </c>
      <c r="E31" s="27">
        <f>IFERROR(INDEX('Gap Analysis'!I$6:I$55,SMALL(IF(('Gap Analysis'!D$6:D$55="Critical")+('Gap Analysis'!D$6:D$55="High"),ROW('Gap Analysis'!A$6:A$55)-ROW('Gap Analysis'!A$6)+1),ROWS($A$1:A2)),"")</f>
        <v/>
      </c>
      <c r="F31" s="27">
        <f>IFERROR(INDEX('Gap Analysis'!G$6:G$55,SMALL(IF(('Gap Analysis'!D$6:D$55="Critical")+('Gap Analysis'!D$6:D$55="High"),ROW('Gap Analysis'!A$6:A$55)-ROW('Gap Analysis'!A$6)+1),ROWS($A$1:A2)),"")</f>
        <v/>
      </c>
      <c r="G31" s="27">
        <f>IFERROR(INDEX('Gap Analysis'!H$6:H$55,SMALL(IF(('Gap Analysis'!D$6:D$55="Critical")+('Gap Analysis'!D$6:D$55="High"),ROW('Gap Analysis'!A$6:A$55)-ROW('Gap Analysis'!A$6)+1),ROWS($A$1:A2)),"")</f>
        <v/>
      </c>
    </row>
    <row r="32">
      <c r="A32" s="27">
        <f>IFERROR(INDEX('Gap Analysis'!A$6:A$55,SMALL(IF(('Gap Analysis'!D$6:D$55="Critical")+('Gap Analysis'!D$6:D$55="High"),ROW('Gap Analysis'!A$6:A$55)-ROW('Gap Analysis'!A$6)+1),ROWS($A$1:A3)),"")</f>
        <v/>
      </c>
      <c r="B32" s="27">
        <f>IFERROR(INDEX('Gap Analysis'!B$6:B$55,SMALL(IF(('Gap Analysis'!D$6:D$55="Critical")+('Gap Analysis'!D$6:D$55="High"),ROW('Gap Analysis'!A$6:A$55)-ROW('Gap Analysis'!A$6)+1),ROWS($A$1:A3)),"")</f>
        <v/>
      </c>
      <c r="C32" s="27">
        <f>IFERROR(INDEX('Gap Analysis'!C$6:C$55,SMALL(IF(('Gap Analysis'!D$6:D$55="Critical")+('Gap Analysis'!D$6:D$55="High"),ROW('Gap Analysis'!A$6:A$55)-ROW('Gap Analysis'!A$6)+1),ROWS($A$1:A3)),"")</f>
        <v/>
      </c>
      <c r="D32" s="27">
        <f>IFERROR(INDEX('Gap Analysis'!D$6:D$55,SMALL(IF(('Gap Analysis'!D$6:D$55="Critical")+('Gap Analysis'!D$6:D$55="High"),ROW('Gap Analysis'!A$6:A$55)-ROW('Gap Analysis'!A$6)+1),ROWS($A$1:A3)),"")</f>
        <v/>
      </c>
      <c r="E32" s="27">
        <f>IFERROR(INDEX('Gap Analysis'!I$6:I$55,SMALL(IF(('Gap Analysis'!D$6:D$55="Critical")+('Gap Analysis'!D$6:D$55="High"),ROW('Gap Analysis'!A$6:A$55)-ROW('Gap Analysis'!A$6)+1),ROWS($A$1:A3)),"")</f>
        <v/>
      </c>
      <c r="F32" s="27">
        <f>IFERROR(INDEX('Gap Analysis'!G$6:G$55,SMALL(IF(('Gap Analysis'!D$6:D$55="Critical")+('Gap Analysis'!D$6:D$55="High"),ROW('Gap Analysis'!A$6:A$55)-ROW('Gap Analysis'!A$6)+1),ROWS($A$1:A3)),"")</f>
        <v/>
      </c>
      <c r="G32" s="27">
        <f>IFERROR(INDEX('Gap Analysis'!H$6:H$55,SMALL(IF(('Gap Analysis'!D$6:D$55="Critical")+('Gap Analysis'!D$6:D$55="High"),ROW('Gap Analysis'!A$6:A$55)-ROW('Gap Analysis'!A$6)+1),ROWS($A$1:A3)),"")</f>
        <v/>
      </c>
    </row>
    <row r="33">
      <c r="A33" s="27">
        <f>IFERROR(INDEX('Gap Analysis'!A$6:A$55,SMALL(IF(('Gap Analysis'!D$6:D$55="Critical")+('Gap Analysis'!D$6:D$55="High"),ROW('Gap Analysis'!A$6:A$55)-ROW('Gap Analysis'!A$6)+1),ROWS($A$1:A4)),"")</f>
        <v/>
      </c>
      <c r="B33" s="27">
        <f>IFERROR(INDEX('Gap Analysis'!B$6:B$55,SMALL(IF(('Gap Analysis'!D$6:D$55="Critical")+('Gap Analysis'!D$6:D$55="High"),ROW('Gap Analysis'!A$6:A$55)-ROW('Gap Analysis'!A$6)+1),ROWS($A$1:A4)),"")</f>
        <v/>
      </c>
      <c r="C33" s="27">
        <f>IFERROR(INDEX('Gap Analysis'!C$6:C$55,SMALL(IF(('Gap Analysis'!D$6:D$55="Critical")+('Gap Analysis'!D$6:D$55="High"),ROW('Gap Analysis'!A$6:A$55)-ROW('Gap Analysis'!A$6)+1),ROWS($A$1:A4)),"")</f>
        <v/>
      </c>
      <c r="D33" s="27">
        <f>IFERROR(INDEX('Gap Analysis'!D$6:D$55,SMALL(IF(('Gap Analysis'!D$6:D$55="Critical")+('Gap Analysis'!D$6:D$55="High"),ROW('Gap Analysis'!A$6:A$55)-ROW('Gap Analysis'!A$6)+1),ROWS($A$1:A4)),"")</f>
        <v/>
      </c>
      <c r="E33" s="27">
        <f>IFERROR(INDEX('Gap Analysis'!I$6:I$55,SMALL(IF(('Gap Analysis'!D$6:D$55="Critical")+('Gap Analysis'!D$6:D$55="High"),ROW('Gap Analysis'!A$6:A$55)-ROW('Gap Analysis'!A$6)+1),ROWS($A$1:A4)),"")</f>
        <v/>
      </c>
      <c r="F33" s="27">
        <f>IFERROR(INDEX('Gap Analysis'!G$6:G$55,SMALL(IF(('Gap Analysis'!D$6:D$55="Critical")+('Gap Analysis'!D$6:D$55="High"),ROW('Gap Analysis'!A$6:A$55)-ROW('Gap Analysis'!A$6)+1),ROWS($A$1:A4)),"")</f>
        <v/>
      </c>
      <c r="G33" s="27">
        <f>IFERROR(INDEX('Gap Analysis'!H$6:H$55,SMALL(IF(('Gap Analysis'!D$6:D$55="Critical")+('Gap Analysis'!D$6:D$55="High"),ROW('Gap Analysis'!A$6:A$55)-ROW('Gap Analysis'!A$6)+1),ROWS($A$1:A4)),"")</f>
        <v/>
      </c>
    </row>
    <row r="34">
      <c r="A34" s="27">
        <f>IFERROR(INDEX('Gap Analysis'!A$6:A$55,SMALL(IF(('Gap Analysis'!D$6:D$55="Critical")+('Gap Analysis'!D$6:D$55="High"),ROW('Gap Analysis'!A$6:A$55)-ROW('Gap Analysis'!A$6)+1),ROWS($A$1:A5)),"")</f>
        <v/>
      </c>
      <c r="B34" s="27">
        <f>IFERROR(INDEX('Gap Analysis'!B$6:B$55,SMALL(IF(('Gap Analysis'!D$6:D$55="Critical")+('Gap Analysis'!D$6:D$55="High"),ROW('Gap Analysis'!A$6:A$55)-ROW('Gap Analysis'!A$6)+1),ROWS($A$1:A5)),"")</f>
        <v/>
      </c>
      <c r="C34" s="27">
        <f>IFERROR(INDEX('Gap Analysis'!C$6:C$55,SMALL(IF(('Gap Analysis'!D$6:D$55="Critical")+('Gap Analysis'!D$6:D$55="High"),ROW('Gap Analysis'!A$6:A$55)-ROW('Gap Analysis'!A$6)+1),ROWS($A$1:A5)),"")</f>
        <v/>
      </c>
      <c r="D34" s="27">
        <f>IFERROR(INDEX('Gap Analysis'!D$6:D$55,SMALL(IF(('Gap Analysis'!D$6:D$55="Critical")+('Gap Analysis'!D$6:D$55="High"),ROW('Gap Analysis'!A$6:A$55)-ROW('Gap Analysis'!A$6)+1),ROWS($A$1:A5)),"")</f>
        <v/>
      </c>
      <c r="E34" s="27">
        <f>IFERROR(INDEX('Gap Analysis'!I$6:I$55,SMALL(IF(('Gap Analysis'!D$6:D$55="Critical")+('Gap Analysis'!D$6:D$55="High"),ROW('Gap Analysis'!A$6:A$55)-ROW('Gap Analysis'!A$6)+1),ROWS($A$1:A5)),"")</f>
        <v/>
      </c>
      <c r="F34" s="27">
        <f>IFERROR(INDEX('Gap Analysis'!G$6:G$55,SMALL(IF(('Gap Analysis'!D$6:D$55="Critical")+('Gap Analysis'!D$6:D$55="High"),ROW('Gap Analysis'!A$6:A$55)-ROW('Gap Analysis'!A$6)+1),ROWS($A$1:A5)),"")</f>
        <v/>
      </c>
      <c r="G34" s="27">
        <f>IFERROR(INDEX('Gap Analysis'!H$6:H$55,SMALL(IF(('Gap Analysis'!D$6:D$55="Critical")+('Gap Analysis'!D$6:D$55="High"),ROW('Gap Analysis'!A$6:A$55)-ROW('Gap Analysis'!A$6)+1),ROWS($A$1:A5)),"")</f>
        <v/>
      </c>
    </row>
    <row r="35">
      <c r="A35" s="27">
        <f>IFERROR(INDEX('Gap Analysis'!A$6:A$55,SMALL(IF(('Gap Analysis'!D$6:D$55="Critical")+('Gap Analysis'!D$6:D$55="High"),ROW('Gap Analysis'!A$6:A$55)-ROW('Gap Analysis'!A$6)+1),ROWS($A$1:A6)),"")</f>
        <v/>
      </c>
      <c r="B35" s="27">
        <f>IFERROR(INDEX('Gap Analysis'!B$6:B$55,SMALL(IF(('Gap Analysis'!D$6:D$55="Critical")+('Gap Analysis'!D$6:D$55="High"),ROW('Gap Analysis'!A$6:A$55)-ROW('Gap Analysis'!A$6)+1),ROWS($A$1:A6)),"")</f>
        <v/>
      </c>
      <c r="C35" s="27">
        <f>IFERROR(INDEX('Gap Analysis'!C$6:C$55,SMALL(IF(('Gap Analysis'!D$6:D$55="Critical")+('Gap Analysis'!D$6:D$55="High"),ROW('Gap Analysis'!A$6:A$55)-ROW('Gap Analysis'!A$6)+1),ROWS($A$1:A6)),"")</f>
        <v/>
      </c>
      <c r="D35" s="27">
        <f>IFERROR(INDEX('Gap Analysis'!D$6:D$55,SMALL(IF(('Gap Analysis'!D$6:D$55="Critical")+('Gap Analysis'!D$6:D$55="High"),ROW('Gap Analysis'!A$6:A$55)-ROW('Gap Analysis'!A$6)+1),ROWS($A$1:A6)),"")</f>
        <v/>
      </c>
      <c r="E35" s="27">
        <f>IFERROR(INDEX('Gap Analysis'!I$6:I$55,SMALL(IF(('Gap Analysis'!D$6:D$55="Critical")+('Gap Analysis'!D$6:D$55="High"),ROW('Gap Analysis'!A$6:A$55)-ROW('Gap Analysis'!A$6)+1),ROWS($A$1:A6)),"")</f>
        <v/>
      </c>
      <c r="F35" s="27">
        <f>IFERROR(INDEX('Gap Analysis'!G$6:G$55,SMALL(IF(('Gap Analysis'!D$6:D$55="Critical")+('Gap Analysis'!D$6:D$55="High"),ROW('Gap Analysis'!A$6:A$55)-ROW('Gap Analysis'!A$6)+1),ROWS($A$1:A6)),"")</f>
        <v/>
      </c>
      <c r="G35" s="27">
        <f>IFERROR(INDEX('Gap Analysis'!H$6:H$55,SMALL(IF(('Gap Analysis'!D$6:D$55="Critical")+('Gap Analysis'!D$6:D$55="High"),ROW('Gap Analysis'!A$6:A$55)-ROW('Gap Analysis'!A$6)+1),ROWS($A$1:A6)),"")</f>
        <v/>
      </c>
    </row>
    <row r="36">
      <c r="A36" s="27">
        <f>IFERROR(INDEX('Gap Analysis'!A$6:A$55,SMALL(IF(('Gap Analysis'!D$6:D$55="Critical")+('Gap Analysis'!D$6:D$55="High"),ROW('Gap Analysis'!A$6:A$55)-ROW('Gap Analysis'!A$6)+1),ROWS($A$1:A7)),"")</f>
        <v/>
      </c>
      <c r="B36" s="27">
        <f>IFERROR(INDEX('Gap Analysis'!B$6:B$55,SMALL(IF(('Gap Analysis'!D$6:D$55="Critical")+('Gap Analysis'!D$6:D$55="High"),ROW('Gap Analysis'!A$6:A$55)-ROW('Gap Analysis'!A$6)+1),ROWS($A$1:A7)),"")</f>
        <v/>
      </c>
      <c r="C36" s="27">
        <f>IFERROR(INDEX('Gap Analysis'!C$6:C$55,SMALL(IF(('Gap Analysis'!D$6:D$55="Critical")+('Gap Analysis'!D$6:D$55="High"),ROW('Gap Analysis'!A$6:A$55)-ROW('Gap Analysis'!A$6)+1),ROWS($A$1:A7)),"")</f>
        <v/>
      </c>
      <c r="D36" s="27">
        <f>IFERROR(INDEX('Gap Analysis'!D$6:D$55,SMALL(IF(('Gap Analysis'!D$6:D$55="Critical")+('Gap Analysis'!D$6:D$55="High"),ROW('Gap Analysis'!A$6:A$55)-ROW('Gap Analysis'!A$6)+1),ROWS($A$1:A7)),"")</f>
        <v/>
      </c>
      <c r="E36" s="27">
        <f>IFERROR(INDEX('Gap Analysis'!I$6:I$55,SMALL(IF(('Gap Analysis'!D$6:D$55="Critical")+('Gap Analysis'!D$6:D$55="High"),ROW('Gap Analysis'!A$6:A$55)-ROW('Gap Analysis'!A$6)+1),ROWS($A$1:A7)),"")</f>
        <v/>
      </c>
      <c r="F36" s="27">
        <f>IFERROR(INDEX('Gap Analysis'!G$6:G$55,SMALL(IF(('Gap Analysis'!D$6:D$55="Critical")+('Gap Analysis'!D$6:D$55="High"),ROW('Gap Analysis'!A$6:A$55)-ROW('Gap Analysis'!A$6)+1),ROWS($A$1:A7)),"")</f>
        <v/>
      </c>
      <c r="G36" s="27">
        <f>IFERROR(INDEX('Gap Analysis'!H$6:H$55,SMALL(IF(('Gap Analysis'!D$6:D$55="Critical")+('Gap Analysis'!D$6:D$55="High"),ROW('Gap Analysis'!A$6:A$55)-ROW('Gap Analysis'!A$6)+1),ROWS($A$1:A7)),"")</f>
        <v/>
      </c>
    </row>
    <row r="37">
      <c r="A37" s="27">
        <f>IFERROR(INDEX('Gap Analysis'!A$6:A$55,SMALL(IF(('Gap Analysis'!D$6:D$55="Critical")+('Gap Analysis'!D$6:D$55="High"),ROW('Gap Analysis'!A$6:A$55)-ROW('Gap Analysis'!A$6)+1),ROWS($A$1:A8)),"")</f>
        <v/>
      </c>
      <c r="B37" s="27">
        <f>IFERROR(INDEX('Gap Analysis'!B$6:B$55,SMALL(IF(('Gap Analysis'!D$6:D$55="Critical")+('Gap Analysis'!D$6:D$55="High"),ROW('Gap Analysis'!A$6:A$55)-ROW('Gap Analysis'!A$6)+1),ROWS($A$1:A8)),"")</f>
        <v/>
      </c>
      <c r="C37" s="27">
        <f>IFERROR(INDEX('Gap Analysis'!C$6:C$55,SMALL(IF(('Gap Analysis'!D$6:D$55="Critical")+('Gap Analysis'!D$6:D$55="High"),ROW('Gap Analysis'!A$6:A$55)-ROW('Gap Analysis'!A$6)+1),ROWS($A$1:A8)),"")</f>
        <v/>
      </c>
      <c r="D37" s="27">
        <f>IFERROR(INDEX('Gap Analysis'!D$6:D$55,SMALL(IF(('Gap Analysis'!D$6:D$55="Critical")+('Gap Analysis'!D$6:D$55="High"),ROW('Gap Analysis'!A$6:A$55)-ROW('Gap Analysis'!A$6)+1),ROWS($A$1:A8)),"")</f>
        <v/>
      </c>
      <c r="E37" s="27">
        <f>IFERROR(INDEX('Gap Analysis'!I$6:I$55,SMALL(IF(('Gap Analysis'!D$6:D$55="Critical")+('Gap Analysis'!D$6:D$55="High"),ROW('Gap Analysis'!A$6:A$55)-ROW('Gap Analysis'!A$6)+1),ROWS($A$1:A8)),"")</f>
        <v/>
      </c>
      <c r="F37" s="27">
        <f>IFERROR(INDEX('Gap Analysis'!G$6:G$55,SMALL(IF(('Gap Analysis'!D$6:D$55="Critical")+('Gap Analysis'!D$6:D$55="High"),ROW('Gap Analysis'!A$6:A$55)-ROW('Gap Analysis'!A$6)+1),ROWS($A$1:A8)),"")</f>
        <v/>
      </c>
      <c r="G37" s="27">
        <f>IFERROR(INDEX('Gap Analysis'!H$6:H$55,SMALL(IF(('Gap Analysis'!D$6:D$55="Critical")+('Gap Analysis'!D$6:D$55="High"),ROW('Gap Analysis'!A$6:A$55)-ROW('Gap Analysis'!A$6)+1),ROWS($A$1:A8)),"")</f>
        <v/>
      </c>
    </row>
    <row r="38">
      <c r="A38" s="27">
        <f>IFERROR(INDEX('Gap Analysis'!A$6:A$55,SMALL(IF(('Gap Analysis'!D$6:D$55="Critical")+('Gap Analysis'!D$6:D$55="High"),ROW('Gap Analysis'!A$6:A$55)-ROW('Gap Analysis'!A$6)+1),ROWS($A$1:A9)),"")</f>
        <v/>
      </c>
      <c r="B38" s="27">
        <f>IFERROR(INDEX('Gap Analysis'!B$6:B$55,SMALL(IF(('Gap Analysis'!D$6:D$55="Critical")+('Gap Analysis'!D$6:D$55="High"),ROW('Gap Analysis'!A$6:A$55)-ROW('Gap Analysis'!A$6)+1),ROWS($A$1:A9)),"")</f>
        <v/>
      </c>
      <c r="C38" s="27">
        <f>IFERROR(INDEX('Gap Analysis'!C$6:C$55,SMALL(IF(('Gap Analysis'!D$6:D$55="Critical")+('Gap Analysis'!D$6:D$55="High"),ROW('Gap Analysis'!A$6:A$55)-ROW('Gap Analysis'!A$6)+1),ROWS($A$1:A9)),"")</f>
        <v/>
      </c>
      <c r="D38" s="27">
        <f>IFERROR(INDEX('Gap Analysis'!D$6:D$55,SMALL(IF(('Gap Analysis'!D$6:D$55="Critical")+('Gap Analysis'!D$6:D$55="High"),ROW('Gap Analysis'!A$6:A$55)-ROW('Gap Analysis'!A$6)+1),ROWS($A$1:A9)),"")</f>
        <v/>
      </c>
      <c r="E38" s="27">
        <f>IFERROR(INDEX('Gap Analysis'!I$6:I$55,SMALL(IF(('Gap Analysis'!D$6:D$55="Critical")+('Gap Analysis'!D$6:D$55="High"),ROW('Gap Analysis'!A$6:A$55)-ROW('Gap Analysis'!A$6)+1),ROWS($A$1:A9)),"")</f>
        <v/>
      </c>
      <c r="F38" s="27">
        <f>IFERROR(INDEX('Gap Analysis'!G$6:G$55,SMALL(IF(('Gap Analysis'!D$6:D$55="Critical")+('Gap Analysis'!D$6:D$55="High"),ROW('Gap Analysis'!A$6:A$55)-ROW('Gap Analysis'!A$6)+1),ROWS($A$1:A9)),"")</f>
        <v/>
      </c>
      <c r="G38" s="27">
        <f>IFERROR(INDEX('Gap Analysis'!H$6:H$55,SMALL(IF(('Gap Analysis'!D$6:D$55="Critical")+('Gap Analysis'!D$6:D$55="High"),ROW('Gap Analysis'!A$6:A$55)-ROW('Gap Analysis'!A$6)+1),ROWS($A$1:A9)),"")</f>
        <v/>
      </c>
    </row>
    <row r="39">
      <c r="A39" s="27">
        <f>IFERROR(INDEX('Gap Analysis'!A$6:A$55,SMALL(IF(('Gap Analysis'!D$6:D$55="Critical")+('Gap Analysis'!D$6:D$55="High"),ROW('Gap Analysis'!A$6:A$55)-ROW('Gap Analysis'!A$6)+1),ROWS($A$1:A10)),"")</f>
        <v/>
      </c>
      <c r="B39" s="27">
        <f>IFERROR(INDEX('Gap Analysis'!B$6:B$55,SMALL(IF(('Gap Analysis'!D$6:D$55="Critical")+('Gap Analysis'!D$6:D$55="High"),ROW('Gap Analysis'!A$6:A$55)-ROW('Gap Analysis'!A$6)+1),ROWS($A$1:A10)),"")</f>
        <v/>
      </c>
      <c r="C39" s="27">
        <f>IFERROR(INDEX('Gap Analysis'!C$6:C$55,SMALL(IF(('Gap Analysis'!D$6:D$55="Critical")+('Gap Analysis'!D$6:D$55="High"),ROW('Gap Analysis'!A$6:A$55)-ROW('Gap Analysis'!A$6)+1),ROWS($A$1:A10)),"")</f>
        <v/>
      </c>
      <c r="D39" s="27">
        <f>IFERROR(INDEX('Gap Analysis'!D$6:D$55,SMALL(IF(('Gap Analysis'!D$6:D$55="Critical")+('Gap Analysis'!D$6:D$55="High"),ROW('Gap Analysis'!A$6:A$55)-ROW('Gap Analysis'!A$6)+1),ROWS($A$1:A10)),"")</f>
        <v/>
      </c>
      <c r="E39" s="27">
        <f>IFERROR(INDEX('Gap Analysis'!I$6:I$55,SMALL(IF(('Gap Analysis'!D$6:D$55="Critical")+('Gap Analysis'!D$6:D$55="High"),ROW('Gap Analysis'!A$6:A$55)-ROW('Gap Analysis'!A$6)+1),ROWS($A$1:A10)),"")</f>
        <v/>
      </c>
      <c r="F39" s="27">
        <f>IFERROR(INDEX('Gap Analysis'!G$6:G$55,SMALL(IF(('Gap Analysis'!D$6:D$55="Critical")+('Gap Analysis'!D$6:D$55="High"),ROW('Gap Analysis'!A$6:A$55)-ROW('Gap Analysis'!A$6)+1),ROWS($A$1:A10)),"")</f>
        <v/>
      </c>
      <c r="G39" s="27">
        <f>IFERROR(INDEX('Gap Analysis'!H$6:H$55,SMALL(IF(('Gap Analysis'!D$6:D$55="Critical")+('Gap Analysis'!D$6:D$55="High"),ROW('Gap Analysis'!A$6:A$55)-ROW('Gap Analysis'!A$6)+1),ROWS($A$1:A10)),"")</f>
        <v/>
      </c>
    </row>
    <row r="40">
      <c r="A40" s="26" t="n"/>
      <c r="B40" s="26" t="n"/>
      <c r="C40" s="26" t="n"/>
      <c r="D40" s="26" t="n"/>
      <c r="E40" s="26" t="n"/>
      <c r="F40" s="26" t="n"/>
      <c r="G40" s="26" t="n"/>
    </row>
    <row r="41">
      <c r="A41" s="26" t="n"/>
      <c r="B41" s="26" t="n"/>
      <c r="C41" s="26" t="n"/>
      <c r="D41" s="26" t="n"/>
      <c r="E41" s="26" t="n"/>
      <c r="F41" s="26" t="n"/>
      <c r="G41" s="26" t="n"/>
    </row>
    <row r="42">
      <c r="A42" s="31" t="inlineStr">
        <is>
          <t>Total Critical/High Gaps:</t>
        </is>
      </c>
      <c r="B42" s="32">
        <f>COUNTIF('Gap Analysis'!D6:D55,"Critical")+COUNTIF('Gap Analysis'!D6:D55,"High")</f>
        <v/>
      </c>
    </row>
  </sheetData>
  <mergeCells count="5">
    <mergeCell ref="A1:G1"/>
    <mergeCell ref="A3:G3"/>
    <mergeCell ref="A2:G2"/>
    <mergeCell ref="A15:G15"/>
    <mergeCell ref="A28:G2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8"/>
  <sheetViews>
    <sheetView workbookViewId="0">
      <pane ySplit="2" topLeftCell="A3" activePane="bottomLeft" state="frozen"/>
      <selection pane="bottomLeft" activeCell="A1" sqref="A1"/>
    </sheetView>
  </sheetViews>
  <sheetFormatPr baseColWidth="8" defaultRowHeight="15"/>
  <cols>
    <col width="32" customWidth="1" min="1" max="1"/>
    <col width="28" customWidth="1" min="2" max="2"/>
    <col width="22" customWidth="1" min="3" max="3"/>
    <col width="14" customWidth="1" min="4" max="4"/>
    <col width="22" customWidth="1" min="5" max="5"/>
  </cols>
  <sheetData>
    <row r="1" ht="35" customHeight="1">
      <c r="A1" s="33" t="inlineStr">
        <is>
          <t>ASSESSMENT APPROVAL AND SIGN-OFF</t>
        </is>
      </c>
      <c r="B1" s="21" t="n"/>
      <c r="C1" s="21" t="n"/>
      <c r="D1" s="21" t="n"/>
      <c r="E1" s="21" t="n"/>
    </row>
    <row r="2">
      <c r="A2" s="34" t="inlineStr">
        <is>
          <t>ISMS-IMP-A.8.2-3-5.S5 | ISO/IEC 27001:2022 - Control A.8.2-3-5: Access and Authentication Management</t>
        </is>
      </c>
      <c r="B2" s="21" t="n"/>
      <c r="C2" s="21" t="n"/>
      <c r="D2" s="21" t="n"/>
      <c r="E2" s="21" t="n"/>
    </row>
    <row r="3">
      <c r="A3" s="35" t="inlineStr">
        <is>
          <t>ASSESSMENT SUMMARY</t>
        </is>
      </c>
      <c r="B3" s="21" t="n"/>
      <c r="C3" s="21" t="n"/>
      <c r="D3" s="21" t="n"/>
      <c r="E3" s="21" t="n"/>
    </row>
    <row r="4">
      <c r="A4" s="36" t="inlineStr">
        <is>
          <t>Document:</t>
        </is>
      </c>
      <c r="B4" s="21" t="inlineStr">
        <is>
          <t>ISMS-IMP-A.8.2-3-5.S5 - Access Restrictions Assessment</t>
        </is>
      </c>
      <c r="C4" s="21" t="n"/>
      <c r="D4" s="21" t="n"/>
      <c r="E4" s="21" t="n"/>
    </row>
    <row r="5">
      <c r="A5" s="36" t="inlineStr">
        <is>
          <t>Assessment Period:</t>
        </is>
      </c>
      <c r="B5" s="26" t="inlineStr"/>
      <c r="C5" s="26" t="n"/>
      <c r="D5" s="26" t="n"/>
      <c r="E5" s="26" t="n"/>
    </row>
    <row r="6">
      <c r="A6" s="36" t="inlineStr">
        <is>
          <t>Overall Compliance Rate:</t>
        </is>
      </c>
      <c r="B6" s="37">
        <f>IFERROR(AVERAGE('Summary Dashboard'!G5:G11),"")</f>
        <v/>
      </c>
      <c r="C6" s="26" t="n"/>
      <c r="D6" s="26" t="n"/>
      <c r="E6" s="26" t="n"/>
    </row>
    <row r="7">
      <c r="A7" s="36" t="inlineStr">
        <is>
          <t>Assessment Status:</t>
        </is>
      </c>
      <c r="B7" s="26" t="inlineStr"/>
      <c r="C7" s="26" t="n"/>
      <c r="D7" s="26" t="n"/>
      <c r="E7" s="26" t="n"/>
    </row>
    <row r="8">
      <c r="A8" s="36" t="inlineStr">
        <is>
          <t>Assessed By:</t>
        </is>
      </c>
      <c r="B8" s="26" t="inlineStr"/>
      <c r="C8" s="26" t="n"/>
      <c r="D8" s="26" t="n"/>
      <c r="E8" s="26" t="n"/>
    </row>
    <row r="11">
      <c r="A11" s="35" t="inlineStr">
        <is>
          <t>COMPLETED BY (ASSESSOR)</t>
        </is>
      </c>
      <c r="B11" s="21" t="n"/>
      <c r="C11" s="21" t="n"/>
      <c r="D11" s="21" t="n"/>
      <c r="E11" s="21" t="n"/>
    </row>
    <row r="12">
      <c r="A12" s="36" t="inlineStr">
        <is>
          <t>Name:</t>
        </is>
      </c>
      <c r="B12" s="26" t="n"/>
      <c r="C12" s="26" t="n"/>
      <c r="D12" s="26" t="n"/>
      <c r="E12" s="26" t="n"/>
    </row>
    <row r="13">
      <c r="A13" s="36" t="inlineStr">
        <is>
          <t>Title:</t>
        </is>
      </c>
      <c r="B13" s="26" t="n"/>
      <c r="C13" s="26" t="n"/>
      <c r="D13" s="26" t="n"/>
      <c r="E13" s="26" t="n"/>
    </row>
    <row r="14">
      <c r="A14" s="36" t="inlineStr">
        <is>
          <t>Date:</t>
        </is>
      </c>
      <c r="B14" s="26" t="n"/>
      <c r="C14" s="26" t="n"/>
      <c r="D14" s="26" t="n"/>
      <c r="E14" s="26" t="n"/>
    </row>
    <row r="15">
      <c r="A15" s="36" t="inlineStr">
        <is>
          <t>Signature:</t>
        </is>
      </c>
      <c r="B15" s="26" t="n"/>
      <c r="C15" s="26" t="n"/>
      <c r="D15" s="26" t="n"/>
      <c r="E15" s="26" t="n"/>
    </row>
    <row r="16">
      <c r="A16" s="36" t="inlineStr">
        <is>
          <t>Comments:</t>
        </is>
      </c>
      <c r="B16" s="26" t="n"/>
      <c r="C16" s="26" t="n"/>
      <c r="D16" s="26" t="n"/>
      <c r="E16" s="26" t="n"/>
    </row>
    <row r="18">
      <c r="A18" s="35" t="inlineStr">
        <is>
          <t>REVIEWED BY (INFORMATION SECURITY OFFICER)</t>
        </is>
      </c>
      <c r="B18" s="21" t="n"/>
      <c r="C18" s="21" t="n"/>
      <c r="D18" s="21" t="n"/>
      <c r="E18" s="21" t="n"/>
    </row>
    <row r="19">
      <c r="A19" s="36" t="inlineStr">
        <is>
          <t>Name:</t>
        </is>
      </c>
      <c r="B19" s="26" t="n"/>
      <c r="C19" s="26" t="n"/>
      <c r="D19" s="26" t="n"/>
      <c r="E19" s="26" t="n"/>
    </row>
    <row r="20">
      <c r="A20" s="36" t="inlineStr">
        <is>
          <t>Title:</t>
        </is>
      </c>
      <c r="B20" s="26" t="n"/>
      <c r="C20" s="26" t="n"/>
      <c r="D20" s="26" t="n"/>
      <c r="E20" s="26" t="n"/>
    </row>
    <row r="21">
      <c r="A21" s="36" t="inlineStr">
        <is>
          <t>Date:</t>
        </is>
      </c>
      <c r="B21" s="26" t="n"/>
      <c r="C21" s="26" t="n"/>
      <c r="D21" s="26" t="n"/>
      <c r="E21" s="26" t="n"/>
    </row>
    <row r="22">
      <c r="A22" s="36" t="inlineStr">
        <is>
          <t>Signature:</t>
        </is>
      </c>
      <c r="B22" s="26" t="n"/>
      <c r="C22" s="26" t="n"/>
      <c r="D22" s="26" t="n"/>
      <c r="E22" s="26" t="n"/>
    </row>
    <row r="23">
      <c r="A23" s="36" t="inlineStr">
        <is>
          <t>Comments:</t>
        </is>
      </c>
      <c r="B23" s="26" t="n"/>
      <c r="C23" s="26" t="n"/>
      <c r="D23" s="26" t="n"/>
      <c r="E23" s="26" t="n"/>
    </row>
    <row r="25">
      <c r="A25" s="38" t="inlineStr">
        <is>
          <t>APPROVED BY (CISO)</t>
        </is>
      </c>
      <c r="B25" s="21" t="n"/>
      <c r="C25" s="21" t="n"/>
      <c r="D25" s="21" t="n"/>
      <c r="E25" s="21" t="n"/>
    </row>
    <row r="26">
      <c r="A26" s="36" t="inlineStr">
        <is>
          <t>Name:</t>
        </is>
      </c>
      <c r="B26" s="26" t="n"/>
      <c r="C26" s="26" t="n"/>
      <c r="D26" s="26" t="n"/>
      <c r="E26" s="26" t="n"/>
    </row>
    <row r="27">
      <c r="A27" s="36" t="inlineStr">
        <is>
          <t>Title:</t>
        </is>
      </c>
      <c r="B27" s="26" t="n"/>
      <c r="C27" s="26" t="n"/>
      <c r="D27" s="26" t="n"/>
      <c r="E27" s="26" t="n"/>
    </row>
    <row r="28">
      <c r="A28" s="36" t="inlineStr">
        <is>
          <t>Date:</t>
        </is>
      </c>
      <c r="B28" s="26" t="n"/>
      <c r="C28" s="26" t="n"/>
      <c r="D28" s="26" t="n"/>
      <c r="E28" s="26" t="n"/>
    </row>
    <row r="29">
      <c r="A29" s="36" t="inlineStr">
        <is>
          <t>Signature:</t>
        </is>
      </c>
      <c r="B29" s="26" t="n"/>
      <c r="C29" s="26" t="n"/>
      <c r="D29" s="26" t="n"/>
      <c r="E29" s="26" t="n"/>
    </row>
    <row r="30">
      <c r="A30" s="36" t="inlineStr">
        <is>
          <t>Comments:</t>
        </is>
      </c>
      <c r="B30" s="26" t="n"/>
      <c r="C30" s="26" t="n"/>
      <c r="D30" s="26" t="n"/>
      <c r="E30" s="26" t="n"/>
    </row>
    <row r="32">
      <c r="A32" s="39" t="inlineStr">
        <is>
          <t>FINAL DECISION:</t>
        </is>
      </c>
      <c r="B32" s="26" t="n"/>
      <c r="C32" s="26" t="n"/>
      <c r="D32" s="26" t="n"/>
      <c r="E32" s="26" t="n"/>
    </row>
    <row r="35">
      <c r="A35" s="35" t="inlineStr">
        <is>
          <t>NEXT REVIEW DETAILS</t>
        </is>
      </c>
      <c r="B35" s="21" t="n"/>
      <c r="C35" s="21" t="n"/>
      <c r="D35" s="21" t="n"/>
      <c r="E35" s="21" t="n"/>
    </row>
    <row r="36">
      <c r="A36" s="36" t="inlineStr">
        <is>
          <t>Next Review Date:</t>
        </is>
      </c>
      <c r="B36" s="26" t="n"/>
      <c r="C36" s="26" t="n"/>
      <c r="D36" s="26" t="n"/>
      <c r="E36" s="26" t="n"/>
    </row>
    <row r="37">
      <c r="A37" s="36" t="inlineStr">
        <is>
          <t>Review Responsible:</t>
        </is>
      </c>
      <c r="B37" s="26" t="n"/>
      <c r="C37" s="26" t="n"/>
      <c r="D37" s="26" t="n"/>
      <c r="E37" s="26" t="n"/>
    </row>
    <row r="38">
      <c r="A38" s="36" t="inlineStr">
        <is>
          <t>Special Considerations:</t>
        </is>
      </c>
      <c r="B38" s="26" t="n"/>
      <c r="C38" s="26" t="n"/>
      <c r="D38" s="26" t="n"/>
      <c r="E38" s="2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ISMS-IMP-A.8.2-3-5.S5 — Access Restrictions Assessment</dc:title>
  <dc:description xmlns:dc="http://purl.org/dc/elements/1.1/">ISMS Implementation Workbook — ISMS-IMP-A.8.2-3-5.S5</dc:description>
  <dc:subject xmlns:dc="http://purl.org/dc/elements/1.1/">ISO/IEC 27001:2022 — Control A.8.2-3-5: Access and Authentication Management</dc:subject>
  <dcterms:created xmlns:dcterms="http://purl.org/dc/terms/" xmlns:xsi="http://www.w3.org/2001/XMLSchema-instance" xsi:type="dcterms:W3CDTF">2026-03-07T11:28:16Z</dcterms:created>
  <dcterms:modified xmlns:dcterms="http://purl.org/dc/terms/" xmlns:xsi="http://www.w3.org/2001/XMLSchema-instance" xsi:type="dcterms:W3CDTF">2026-03-07T11:28:17Z</dcterms:modified>
</cp:coreProperties>
</file>