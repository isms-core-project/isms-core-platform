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User_MFA_Enrollment" sheetId="2" state="visible" r:id="rId2"/>
    <sheet xmlns:r="http://schemas.openxmlformats.org/officeDocument/2006/relationships" name="MFA_Coverage_By_Type" sheetId="3" state="visible" r:id="rId3"/>
    <sheet xmlns:r="http://schemas.openxmlformats.org/officeDocument/2006/relationships" name="MFA_Method_Analysis" sheetId="4" state="visible" r:id="rId4"/>
    <sheet xmlns:r="http://schemas.openxmlformats.org/officeDocument/2006/relationships" name="Enrollment_Timeline" sheetId="5" state="visible" r:id="rId5"/>
    <sheet xmlns:r="http://schemas.openxmlformats.org/officeDocument/2006/relationships" name="MFA_Gaps_Priority" sheetId="6" state="visible" r:id="rId6"/>
    <sheet xmlns:r="http://schemas.openxmlformats.org/officeDocument/2006/relationships" name="Enrollment_Campaign" sheetId="7" state="visible" r:id="rId7"/>
    <sheet xmlns:r="http://schemas.openxmlformats.org/officeDocument/2006/relationships" name="Backup_Method_Statu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b val="1"/>
    </font>
    <font>
      <name val="Calibri"/>
      <b val="1"/>
      <color rgb="00C00000"/>
      <sz val="12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i val="1"/>
      <color rgb="00C00000"/>
      <sz val="11"/>
    </font>
    <font>
      <name val="Calibri"/>
      <b val="1"/>
      <color rgb="0000B050"/>
      <sz val="14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8E4F8"/>
      </patternFill>
    </fill>
    <fill>
      <patternFill patternType="solid">
        <fgColor rgb="00003366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 wrapText="1"/>
    </xf>
    <xf numFmtId="164" fontId="0" fillId="0" borderId="0" pivotButton="0" quotePrefix="0" xfId="0"/>
    <xf numFmtId="0" fontId="8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  <col width="25" customWidth="1" min="4" max="4"/>
  </cols>
  <sheetData>
    <row r="1" ht="40" customHeight="1">
      <c r="A1" s="1" t="inlineStr">
        <is>
          <t>ISMS-IMP-A.8.2-3-5.S2  -  Multi-Factor Authentication (MFA) Coverage Assessment
ISO/IEC 27001:2022 - Controls A.8.2, A.8.3, A.8.5: Authentication &amp; Privileged Access</t>
        </is>
      </c>
    </row>
    <row r="3">
      <c r="A3" s="2" t="inlineStr">
        <is>
          <t>Document ID:</t>
        </is>
      </c>
      <c r="B3" t="inlineStr">
        <is>
          <t>ISMS-IMP-A.8.2-3-5.S2</t>
        </is>
      </c>
    </row>
    <row r="4">
      <c r="A4" s="2" t="inlineStr">
        <is>
          <t>Assessment:</t>
        </is>
      </c>
      <c r="B4" t="inlineStr">
        <is>
          <t>MFA Coverage Assessment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08.02.2026 11:49</t>
        </is>
      </c>
    </row>
    <row r="8">
      <c r="A8" s="3" t="inlineStr">
        <is>
          <t>⚠ NIS2 COMPLIANCE REQUIREMENT</t>
        </is>
      </c>
    </row>
    <row r="9" ht="45" customHeight="1">
      <c r="A9" s="4" t="inlineStr">
        <is>
          <t>NIS2 Article 21(2)(e) EXPLICITLY REQUIRES multi-factor authentication for essential and important entities. This is NOT OPTIONAL. Organizations subject to NIS2 must deploy MFA for all users accessing critical systems.</t>
        </is>
      </c>
    </row>
    <row r="11">
      <c r="A11" s="5" t="inlineStr">
        <is>
          <t>MFA COVERAGE TARGETS</t>
        </is>
      </c>
    </row>
    <row r="12">
      <c r="A12" s="6" t="inlineStr">
        <is>
          <t>User Category</t>
        </is>
      </c>
      <c r="B12" s="6" t="inlineStr">
        <is>
          <t>Target Coverage</t>
        </is>
      </c>
      <c r="C12" s="6" t="inlineStr">
        <is>
          <t>Requirement Level</t>
        </is>
      </c>
      <c r="D12" s="6" t="inlineStr">
        <is>
          <t>Priority</t>
        </is>
      </c>
    </row>
    <row r="13">
      <c r="A13" s="7" t="inlineStr">
        <is>
          <t>Privileged Users (All Tiers)</t>
        </is>
      </c>
      <c r="B13" s="7" t="inlineStr">
        <is>
          <t>100%</t>
        </is>
      </c>
      <c r="C13" s="7" t="inlineStr">
        <is>
          <t>MANDATORY - No exceptions</t>
        </is>
      </c>
      <c r="D13" s="7" t="inlineStr">
        <is>
          <t>🔴 Critical</t>
        </is>
      </c>
    </row>
    <row r="14">
      <c r="A14" s="7" t="inlineStr">
        <is>
          <t>Remote Access Users (VPN, External)</t>
        </is>
      </c>
      <c r="B14" s="7" t="inlineStr">
        <is>
          <t>100%</t>
        </is>
      </c>
      <c r="C14" s="7" t="inlineStr">
        <is>
          <t>MANDATORY - Security requirement</t>
        </is>
      </c>
      <c r="D14" s="7" t="inlineStr">
        <is>
          <t>🔴 Critical</t>
        </is>
      </c>
    </row>
    <row r="15">
      <c r="A15" s="7" t="inlineStr">
        <is>
          <t>Standard Internal Users</t>
        </is>
      </c>
      <c r="B15" s="7" t="inlineStr">
        <is>
          <t>90%+</t>
        </is>
      </c>
      <c r="C15" s="7" t="inlineStr">
        <is>
          <t>RECOMMENDED - Best practice</t>
        </is>
      </c>
      <c r="D15" s="7" t="inlineStr">
        <is>
          <t>🟡 High</t>
        </is>
      </c>
    </row>
    <row r="16">
      <c r="A16" s="7" t="inlineStr">
        <is>
          <t>MFA METHOD SECURITY RANKING</t>
        </is>
      </c>
      <c r="B16" s="7" t="inlineStr">
        <is>
          <t>85%+</t>
        </is>
      </c>
      <c r="C16" s="7" t="inlineStr">
        <is>
          <t>Target for mature security posture</t>
        </is>
      </c>
      <c r="D16" s="7" t="inlineStr">
        <is>
          <t>🟢 Good</t>
        </is>
      </c>
    </row>
    <row r="18">
      <c r="A18" s="6" t="inlineStr">
        <is>
          <t>MFA Method</t>
        </is>
      </c>
      <c r="B18" s="6" t="inlineStr">
        <is>
          <t>Security Level</t>
        </is>
      </c>
      <c r="C18" s="6" t="inlineStr">
        <is>
          <t>Usage Guidance</t>
        </is>
      </c>
      <c r="D18" s="6" t="inlineStr">
        <is>
          <t>Security Notes</t>
        </is>
      </c>
    </row>
    <row r="19">
      <c r="A19" s="7" t="inlineStr">
        <is>
          <t>🟢 Hardware Token (FIDO2/YubiKey)</t>
        </is>
      </c>
      <c r="B19" s="7" t="inlineStr">
        <is>
          <t>Highest Security</t>
        </is>
      </c>
      <c r="C19" s="7" t="inlineStr">
        <is>
          <t>REQUIRED for Tier 0 admins</t>
        </is>
      </c>
      <c r="D19" s="7" t="inlineStr">
        <is>
          <t>Phishing-resistant</t>
        </is>
      </c>
    </row>
    <row r="20">
      <c r="A20" s="7" t="inlineStr">
        <is>
          <t>🟢 Authenticator App (TOTP)</t>
        </is>
      </c>
      <c r="B20" s="7" t="inlineStr">
        <is>
          <t>High Security</t>
        </is>
      </c>
      <c r="C20" s="7" t="inlineStr">
        <is>
          <t>Recommended for all privileged users</t>
        </is>
      </c>
      <c r="D20" s="7" t="inlineStr">
        <is>
          <t>Offline codes, no SMS risk</t>
        </is>
      </c>
    </row>
    <row r="21">
      <c r="A21" s="7" t="inlineStr">
        <is>
          <t>🟡 Push Notification</t>
        </is>
      </c>
      <c r="B21" s="7" t="inlineStr">
        <is>
          <t>Medium-High Security</t>
        </is>
      </c>
      <c r="C21" s="7" t="inlineStr">
        <is>
          <t>Acceptable for standard users</t>
        </is>
      </c>
      <c r="D21" s="7" t="inlineStr">
        <is>
          <t>MFA fatigue risk</t>
        </is>
      </c>
    </row>
    <row r="22">
      <c r="A22" s="7" t="inlineStr">
        <is>
          <t>🟡 Biometric (Fingerprint/Face)</t>
        </is>
      </c>
      <c r="B22" s="7" t="inlineStr">
        <is>
          <t>Medium Security</t>
        </is>
      </c>
      <c r="C22" s="7" t="inlineStr">
        <is>
          <t>Device-dependent security</t>
        </is>
      </c>
      <c r="D22" s="7" t="inlineStr">
        <is>
          <t>Liveness detection critical</t>
        </is>
      </c>
    </row>
    <row r="23">
      <c r="A23" s="7" t="inlineStr">
        <is>
          <t>🟠 SMS (Discouraged)</t>
        </is>
      </c>
      <c r="B23" s="7" t="inlineStr">
        <is>
          <t>LOW Security</t>
        </is>
      </c>
      <c r="C23" s="7" t="inlineStr">
        <is>
          <t>AVOID - SIM swapping attacks</t>
        </is>
      </c>
      <c r="D23" s="7" t="inlineStr">
        <is>
          <t>Use only as backup</t>
        </is>
      </c>
    </row>
    <row r="24">
      <c r="A24" s="7" t="inlineStr">
        <is>
          <t>🟠 Voice Call</t>
        </is>
      </c>
      <c r="B24" s="7" t="inlineStr">
        <is>
          <t>LOW Security</t>
        </is>
      </c>
      <c r="C24" s="7" t="inlineStr">
        <is>
          <t>Legacy method</t>
        </is>
      </c>
      <c r="D24" s="7" t="inlineStr">
        <is>
          <t>Deprecate if possible</t>
        </is>
      </c>
    </row>
    <row r="25">
      <c r="A25" s="7" t="inlineStr">
        <is>
          <t>🟠 Email OTP</t>
        </is>
      </c>
      <c r="B25" s="7" t="inlineStr">
        <is>
          <t>LOW Security</t>
        </is>
      </c>
      <c r="C25" s="7" t="inlineStr">
        <is>
          <t>Not recommended</t>
        </is>
      </c>
      <c r="D25" s="7" t="inlineStr">
        <is>
          <t>Email compromise = MFA bypass</t>
        </is>
      </c>
    </row>
    <row r="27">
      <c r="A27" t="inlineStr">
        <is>
          <t>ASSESSMENT APPROACH</t>
        </is>
      </c>
    </row>
    <row r="28" ht="25" customHeight="1">
      <c r="A28" s="4" t="inlineStr">
        <is>
          <t>1. USER MFA ENROLLMENT: Track MFA enrollment status for all users (Worksheet 2)</t>
        </is>
      </c>
    </row>
    <row r="29" ht="25" customHeight="1">
      <c r="A29" s="4" t="inlineStr">
        <is>
          <t>2. COVERAGE BY TYPE: Calculate MFA coverage metrics by user type (Worksheet 3)</t>
        </is>
      </c>
    </row>
    <row r="30" ht="25" customHeight="1">
      <c r="A30" s="4" t="inlineStr">
        <is>
          <t>3. METHOD ANALYSIS: Assess quality of MFA methods in use (Worksheet 4)</t>
        </is>
      </c>
    </row>
    <row r="31" ht="25" customHeight="1">
      <c r="A31" s="4" t="inlineStr">
        <is>
          <t>4. ENROLLMENT TIMELINE: Monitor enrollment progress over time (Worksheet 5)</t>
        </is>
      </c>
    </row>
    <row r="32" ht="25" customHeight="1">
      <c r="A32" s="4" t="inlineStr">
        <is>
          <t>5. GAP IDENTIFICATION: Identify users without MFA and prioritize remediation (Worksheet 6)</t>
        </is>
      </c>
    </row>
    <row r="33" ht="25" customHeight="1">
      <c r="A33" s="4" t="inlineStr">
        <is>
          <t>6. ENROLLMENT CAMPAIGN: Track MFA rollout campaigns and milestones (Worksheet 7)</t>
        </is>
      </c>
    </row>
    <row r="34" ht="25" customHeight="1">
      <c r="A34" s="4" t="inlineStr">
        <is>
          <t>7. BACKUP METHODS: Verify backup MFA method registration (Worksheet 8)</t>
        </is>
      </c>
    </row>
    <row r="35" ht="25" customHeight="1">
      <c r="A35" s="4" t="inlineStr">
        <is>
          <t>8. EVIDENCE COLLECTION: Document evidence supporting MFA deployment (Worksheet 9)</t>
        </is>
      </c>
    </row>
    <row r="36" ht="25" customHeight="1">
      <c r="A36" s="4" t="inlineStr">
        <is>
          <t>9. APPROVAL: Obtain required approvals from stakeholders (Worksheet 10)</t>
        </is>
      </c>
    </row>
    <row r="38" ht="30" customHeight="1">
      <c r="A38" s="8" t="inlineStr">
        <is>
          <t>🎯 REMEMBER: 81% of data breaches involve weak or stolen credentials. MFA reduces account compromise risk by 99.9%.</t>
        </is>
      </c>
    </row>
  </sheetData>
  <mergeCells count="10">
    <mergeCell ref="A30:H30"/>
    <mergeCell ref="A29:H29"/>
    <mergeCell ref="A35:H35"/>
    <mergeCell ref="A31:H31"/>
    <mergeCell ref="A28:H28"/>
    <mergeCell ref="A33:H33"/>
    <mergeCell ref="A36:H36"/>
    <mergeCell ref="A32:H32"/>
    <mergeCell ref="A8:H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8" customWidth="1" min="4" max="4"/>
    <col width="25" customWidth="1" min="5" max="5"/>
    <col width="30" customWidth="1" min="6" max="6"/>
    <col width="30" customWidth="1" min="7" max="7"/>
    <col width="14" customWidth="1" min="8" max="8"/>
    <col width="14" customWidth="1" min="9" max="9"/>
    <col width="16" customWidth="1" min="10" max="10"/>
    <col width="14" customWidth="1" min="11" max="11"/>
    <col width="18" customWidth="1" min="12" max="12"/>
    <col width="35" customWidth="1" min="13" max="13"/>
  </cols>
  <sheetData>
    <row r="1">
      <c r="A1" t="inlineStr">
        <is>
          <t>User MFA Enrollment Status</t>
        </is>
      </c>
    </row>
    <row r="2">
      <c r="A2" t="inlineStr">
        <is>
          <t>Complete tracking of MFA enrollment for all organizational users</t>
        </is>
      </c>
    </row>
    <row r="4">
      <c r="A4" s="6" t="inlineStr">
        <is>
          <t>User ID / Email</t>
        </is>
      </c>
      <c r="B4" s="6" t="inlineStr">
        <is>
          <t>User Name</t>
        </is>
      </c>
      <c r="C4" s="6" t="inlineStr">
        <is>
          <t>User Type</t>
        </is>
      </c>
      <c r="D4" s="6" t="inlineStr">
        <is>
          <t>Department</t>
        </is>
      </c>
      <c r="E4" s="6" t="inlineStr">
        <is>
          <t>MFA Status</t>
        </is>
      </c>
      <c r="F4" s="6" t="inlineStr">
        <is>
          <t>MFA Method</t>
        </is>
      </c>
      <c r="G4" s="6" t="inlineStr">
        <is>
          <t>Backup Method</t>
        </is>
      </c>
      <c r="H4" s="6" t="inlineStr">
        <is>
          <t>Enrollment Date</t>
        </is>
      </c>
      <c r="I4" s="6" t="inlineStr">
        <is>
          <t>Last Verified</t>
        </is>
      </c>
      <c r="J4" s="6" t="inlineStr">
        <is>
          <t>Enrollment Deadline</t>
        </is>
      </c>
      <c r="K4" s="6" t="inlineStr">
        <is>
          <t>Days Overdue</t>
        </is>
      </c>
      <c r="L4" s="6" t="inlineStr">
        <is>
          <t>Compliance Status</t>
        </is>
      </c>
      <c r="M4" s="6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>
        <f>IF(AND(J5&lt;&gt;"",E5="❌ Not Enrolled - Overdue"),TODAY()-J5,"")</f>
        <v/>
      </c>
      <c r="L5" s="7" t="n"/>
      <c r="M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>
        <f>IF(AND(J6&lt;&gt;"",E6="❌ Not Enrolled - Overdue"),TODAY()-J6,"")</f>
        <v/>
      </c>
      <c r="L6" s="7" t="n"/>
      <c r="M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>
        <f>IF(AND(J7&lt;&gt;"",E7="❌ Not Enrolled - Overdue"),TODAY()-J7,"")</f>
        <v/>
      </c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>
        <f>IF(AND(J8&lt;&gt;"",E8="❌ Not Enrolled - Overdue"),TODAY()-J8,"")</f>
        <v/>
      </c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>
        <f>IF(AND(J9&lt;&gt;"",E9="❌ Not Enrolled - Overdue"),TODAY()-J9,"")</f>
        <v/>
      </c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>
        <f>IF(AND(J10&lt;&gt;"",E10="❌ Not Enrolled - Overdue"),TODAY()-J10,"")</f>
        <v/>
      </c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>
        <f>IF(AND(J11&lt;&gt;"",E11="❌ Not Enrolled - Overdue"),TODAY()-J11,"")</f>
        <v/>
      </c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>
        <f>IF(AND(J12&lt;&gt;"",E12="❌ Not Enrolled - Overdue"),TODAY()-J12,"")</f>
        <v/>
      </c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>
        <f>IF(AND(J13&lt;&gt;"",E13="❌ Not Enrolled - Overdue"),TODAY()-J13,"")</f>
        <v/>
      </c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>
        <f>IF(AND(J14&lt;&gt;"",E14="❌ Not Enrolled - Overdue"),TODAY()-J14,"")</f>
        <v/>
      </c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>
        <f>IF(AND(J15&lt;&gt;"",E15="❌ Not Enrolled - Overdue"),TODAY()-J15,"")</f>
        <v/>
      </c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>
        <f>IF(AND(J16&lt;&gt;"",E16="❌ Not Enrolled - Overdue"),TODAY()-J16,"")</f>
        <v/>
      </c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>
        <f>IF(AND(J17&lt;&gt;"",E17="❌ Not Enrolled - Overdue"),TODAY()-J17,"")</f>
        <v/>
      </c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>
        <f>IF(AND(J18&lt;&gt;"",E18="❌ Not Enrolled - Overdue"),TODAY()-J18,"")</f>
        <v/>
      </c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>
        <f>IF(AND(J19&lt;&gt;"",E19="❌ Not Enrolled - Overdue"),TODAY()-J19,"")</f>
        <v/>
      </c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>
        <f>IF(AND(J20&lt;&gt;"",E20="❌ Not Enrolled - Overdue"),TODAY()-J20,"")</f>
        <v/>
      </c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>
        <f>IF(AND(J21&lt;&gt;"",E21="❌ Not Enrolled - Overdue"),TODAY()-J21,"")</f>
        <v/>
      </c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>
        <f>IF(AND(J22&lt;&gt;"",E22="❌ Not Enrolled - Overdue"),TODAY()-J22,"")</f>
        <v/>
      </c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>
        <f>IF(AND(J23&lt;&gt;"",E23="❌ Not Enrolled - Overdue"),TODAY()-J23,"")</f>
        <v/>
      </c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>
        <f>IF(AND(J24&lt;&gt;"",E24="❌ Not Enrolled - Overdue"),TODAY()-J24,"")</f>
        <v/>
      </c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>
        <f>IF(AND(J25&lt;&gt;"",E25="❌ Not Enrolled - Overdue"),TODAY()-J25,"")</f>
        <v/>
      </c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>
        <f>IF(AND(J26&lt;&gt;"",E26="❌ Not Enrolled - Overdue"),TODAY()-J26,"")</f>
        <v/>
      </c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>
        <f>IF(AND(J27&lt;&gt;"",E27="❌ Not Enrolled - Overdue"),TODAY()-J27,"")</f>
        <v/>
      </c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>
        <f>IF(AND(J28&lt;&gt;"",E28="❌ Not Enrolled - Overdue"),TODAY()-J28,"")</f>
        <v/>
      </c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>
        <f>IF(AND(J29&lt;&gt;"",E29="❌ Not Enrolled - Overdue"),TODAY()-J29,"")</f>
        <v/>
      </c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>
        <f>IF(AND(J30&lt;&gt;"",E30="❌ Not Enrolled - Overdue"),TODAY()-J30,"")</f>
        <v/>
      </c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>
        <f>IF(AND(J31&lt;&gt;"",E31="❌ Not Enrolled - Overdue"),TODAY()-J31,"")</f>
        <v/>
      </c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>
        <f>IF(AND(J32&lt;&gt;"",E32="❌ Not Enrolled - Overdue"),TODAY()-J32,"")</f>
        <v/>
      </c>
      <c r="L32" s="7" t="n"/>
      <c r="M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>
        <f>IF(AND(J33&lt;&gt;"",E33="❌ Not Enrolled - Overdue"),TODAY()-J33,"")</f>
        <v/>
      </c>
      <c r="L33" s="7" t="n"/>
      <c r="M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>
        <f>IF(AND(J34&lt;&gt;"",E34="❌ Not Enrolled - Overdue"),TODAY()-J34,"")</f>
        <v/>
      </c>
      <c r="L34" s="7" t="n"/>
      <c r="M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>
        <f>IF(AND(J35&lt;&gt;"",E35="❌ Not Enrolled - Overdue"),TODAY()-J35,"")</f>
        <v/>
      </c>
      <c r="L35" s="7" t="n"/>
      <c r="M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>
        <f>IF(AND(J36&lt;&gt;"",E36="❌ Not Enrolled - Overdue"),TODAY()-J36,"")</f>
        <v/>
      </c>
      <c r="L36" s="7" t="n"/>
      <c r="M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>
        <f>IF(AND(J37&lt;&gt;"",E37="❌ Not Enrolled - Overdue"),TODAY()-J37,"")</f>
        <v/>
      </c>
      <c r="L37" s="7" t="n"/>
      <c r="M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>
        <f>IF(AND(J38&lt;&gt;"",E38="❌ Not Enrolled - Overdue"),TODAY()-J38,"")</f>
        <v/>
      </c>
      <c r="L38" s="7" t="n"/>
      <c r="M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>
        <f>IF(AND(J39&lt;&gt;"",E39="❌ Not Enrolled - Overdue"),TODAY()-J39,"")</f>
        <v/>
      </c>
      <c r="L39" s="7" t="n"/>
      <c r="M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>
        <f>IF(AND(J40&lt;&gt;"",E40="❌ Not Enrolled - Overdue"),TODAY()-J40,"")</f>
        <v/>
      </c>
      <c r="L40" s="7" t="n"/>
      <c r="M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>
        <f>IF(AND(J41&lt;&gt;"",E41="❌ Not Enrolled - Overdue"),TODAY()-J41,"")</f>
        <v/>
      </c>
      <c r="L41" s="7" t="n"/>
      <c r="M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>
        <f>IF(AND(J42&lt;&gt;"",E42="❌ Not Enrolled - Overdue"),TODAY()-J42,"")</f>
        <v/>
      </c>
      <c r="L42" s="7" t="n"/>
      <c r="M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>
        <f>IF(AND(J43&lt;&gt;"",E43="❌ Not Enrolled - Overdue"),TODAY()-J43,"")</f>
        <v/>
      </c>
      <c r="L43" s="7" t="n"/>
      <c r="M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>
        <f>IF(AND(J44&lt;&gt;"",E44="❌ Not Enrolled - Overdue"),TODAY()-J44,"")</f>
        <v/>
      </c>
      <c r="L44" s="7" t="n"/>
      <c r="M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>
        <f>IF(AND(J45&lt;&gt;"",E45="❌ Not Enrolled - Overdue"),TODAY()-J45,"")</f>
        <v/>
      </c>
      <c r="L45" s="7" t="n"/>
      <c r="M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>
        <f>IF(AND(J46&lt;&gt;"",E46="❌ Not Enrolled - Overdue"),TODAY()-J46,"")</f>
        <v/>
      </c>
      <c r="L46" s="7" t="n"/>
      <c r="M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>
        <f>IF(AND(J47&lt;&gt;"",E47="❌ Not Enrolled - Overdue"),TODAY()-J47,"")</f>
        <v/>
      </c>
      <c r="L47" s="7" t="n"/>
      <c r="M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>
        <f>IF(AND(J48&lt;&gt;"",E48="❌ Not Enrolled - Overdue"),TODAY()-J48,"")</f>
        <v/>
      </c>
      <c r="L48" s="7" t="n"/>
      <c r="M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>
        <f>IF(AND(J49&lt;&gt;"",E49="❌ Not Enrolled - Overdue"),TODAY()-J49,"")</f>
        <v/>
      </c>
      <c r="L49" s="7" t="n"/>
      <c r="M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>
        <f>IF(AND(J50&lt;&gt;"",E50="❌ Not Enrolled - Overdue"),TODAY()-J50,"")</f>
        <v/>
      </c>
      <c r="L50" s="7" t="n"/>
      <c r="M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>
        <f>IF(AND(J51&lt;&gt;"",E51="❌ Not Enrolled - Overdue"),TODAY()-J51,"")</f>
        <v/>
      </c>
      <c r="L51" s="7" t="n"/>
      <c r="M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>
        <f>IF(AND(J52&lt;&gt;"",E52="❌ Not Enrolled - Overdue"),TODAY()-J52,"")</f>
        <v/>
      </c>
      <c r="L52" s="7" t="n"/>
      <c r="M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>
        <f>IF(AND(J53&lt;&gt;"",E53="❌ Not Enrolled - Overdue"),TODAY()-J53,"")</f>
        <v/>
      </c>
      <c r="L53" s="7" t="n"/>
      <c r="M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>
        <f>IF(AND(J54&lt;&gt;"",E54="❌ Not Enrolled - Overdue"),TODAY()-J54,"")</f>
        <v/>
      </c>
      <c r="L54" s="7" t="n"/>
      <c r="M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>
        <f>IF(AND(J55&lt;&gt;"",E55="❌ Not Enrolled - Overdue"),TODAY()-J55,"")</f>
        <v/>
      </c>
      <c r="L55" s="7" t="n"/>
      <c r="M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>
        <f>IF(AND(J56&lt;&gt;"",E56="❌ Not Enrolled - Overdue"),TODAY()-J56,"")</f>
        <v/>
      </c>
      <c r="L56" s="7" t="n"/>
      <c r="M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>
        <f>IF(AND(J57&lt;&gt;"",E57="❌ Not Enrolled - Overdue"),TODAY()-J57,"")</f>
        <v/>
      </c>
      <c r="L57" s="7" t="n"/>
      <c r="M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>
        <f>IF(AND(J58&lt;&gt;"",E58="❌ Not Enrolled - Overdue"),TODAY()-J58,"")</f>
        <v/>
      </c>
      <c r="L58" s="7" t="n"/>
      <c r="M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>
        <f>IF(AND(J59&lt;&gt;"",E59="❌ Not Enrolled - Overdue"),TODAY()-J59,"")</f>
        <v/>
      </c>
      <c r="L59" s="7" t="n"/>
      <c r="M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>
        <f>IF(AND(J60&lt;&gt;"",E60="❌ Not Enrolled - Overdue"),TODAY()-J60,"")</f>
        <v/>
      </c>
      <c r="L60" s="7" t="n"/>
      <c r="M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>
        <f>IF(AND(J61&lt;&gt;"",E61="❌ Not Enrolled - Overdue"),TODAY()-J61,"")</f>
        <v/>
      </c>
      <c r="L61" s="7" t="n"/>
      <c r="M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>
        <f>IF(AND(J62&lt;&gt;"",E62="❌ Not Enrolled - Overdue"),TODAY()-J62,"")</f>
        <v/>
      </c>
      <c r="L62" s="7" t="n"/>
      <c r="M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>
        <f>IF(AND(J63&lt;&gt;"",E63="❌ Not Enrolled - Overdue"),TODAY()-J63,"")</f>
        <v/>
      </c>
      <c r="L63" s="7" t="n"/>
      <c r="M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>
        <f>IF(AND(J64&lt;&gt;"",E64="❌ Not Enrolled - Overdue"),TODAY()-J64,"")</f>
        <v/>
      </c>
      <c r="L64" s="7" t="n"/>
      <c r="M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>
        <f>IF(AND(J65&lt;&gt;"",E65="❌ Not Enrolled - Overdue"),TODAY()-J65,"")</f>
        <v/>
      </c>
      <c r="L65" s="7" t="n"/>
      <c r="M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>
        <f>IF(AND(J66&lt;&gt;"",E66="❌ Not Enrolled - Overdue"),TODAY()-J66,"")</f>
        <v/>
      </c>
      <c r="L66" s="7" t="n"/>
      <c r="M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>
        <f>IF(AND(J67&lt;&gt;"",E67="❌ Not Enrolled - Overdue"),TODAY()-J67,"")</f>
        <v/>
      </c>
      <c r="L67" s="7" t="n"/>
      <c r="M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>
        <f>IF(AND(J68&lt;&gt;"",E68="❌ Not Enrolled - Overdue"),TODAY()-J68,"")</f>
        <v/>
      </c>
      <c r="L68" s="7" t="n"/>
      <c r="M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>
        <f>IF(AND(J69&lt;&gt;"",E69="❌ Not Enrolled - Overdue"),TODAY()-J69,"")</f>
        <v/>
      </c>
      <c r="L69" s="7" t="n"/>
      <c r="M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>
        <f>IF(AND(J70&lt;&gt;"",E70="❌ Not Enrolled - Overdue"),TODAY()-J70,"")</f>
        <v/>
      </c>
      <c r="L70" s="7" t="n"/>
      <c r="M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>
        <f>IF(AND(J71&lt;&gt;"",E71="❌ Not Enrolled - Overdue"),TODAY()-J71,"")</f>
        <v/>
      </c>
      <c r="L71" s="7" t="n"/>
      <c r="M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>
        <f>IF(AND(J72&lt;&gt;"",E72="❌ Not Enrolled - Overdue"),TODAY()-J72,"")</f>
        <v/>
      </c>
      <c r="L72" s="7" t="n"/>
      <c r="M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>
        <f>IF(AND(J73&lt;&gt;"",E73="❌ Not Enrolled - Overdue"),TODAY()-J73,"")</f>
        <v/>
      </c>
      <c r="L73" s="7" t="n"/>
      <c r="M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>
        <f>IF(AND(J74&lt;&gt;"",E74="❌ Not Enrolled - Overdue"),TODAY()-J74,"")</f>
        <v/>
      </c>
      <c r="L74" s="7" t="n"/>
      <c r="M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>
        <f>IF(AND(J75&lt;&gt;"",E75="❌ Not Enrolled - Overdue"),TODAY()-J75,"")</f>
        <v/>
      </c>
      <c r="L75" s="7" t="n"/>
      <c r="M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>
        <f>IF(AND(J76&lt;&gt;"",E76="❌ Not Enrolled - Overdue"),TODAY()-J76,"")</f>
        <v/>
      </c>
      <c r="L76" s="7" t="n"/>
      <c r="M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>
        <f>IF(AND(J77&lt;&gt;"",E77="❌ Not Enrolled - Overdue"),TODAY()-J77,"")</f>
        <v/>
      </c>
      <c r="L77" s="7" t="n"/>
      <c r="M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>
        <f>IF(AND(J78&lt;&gt;"",E78="❌ Not Enrolled - Overdue"),TODAY()-J78,"")</f>
        <v/>
      </c>
      <c r="L78" s="7" t="n"/>
      <c r="M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>
        <f>IF(AND(J79&lt;&gt;"",E79="❌ Not Enrolled - Overdue"),TODAY()-J79,"")</f>
        <v/>
      </c>
      <c r="L79" s="7" t="n"/>
      <c r="M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>
        <f>IF(AND(J80&lt;&gt;"",E80="❌ Not Enrolled - Overdue"),TODAY()-J80,"")</f>
        <v/>
      </c>
      <c r="L80" s="7" t="n"/>
      <c r="M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>
        <f>IF(AND(J81&lt;&gt;"",E81="❌ Not Enrolled - Overdue"),TODAY()-J81,"")</f>
        <v/>
      </c>
      <c r="L81" s="7" t="n"/>
      <c r="M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>
        <f>IF(AND(J82&lt;&gt;"",E82="❌ Not Enrolled - Overdue"),TODAY()-J82,"")</f>
        <v/>
      </c>
      <c r="L82" s="7" t="n"/>
      <c r="M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>
        <f>IF(AND(J83&lt;&gt;"",E83="❌ Not Enrolled - Overdue"),TODAY()-J83,"")</f>
        <v/>
      </c>
      <c r="L83" s="7" t="n"/>
      <c r="M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>
        <f>IF(AND(J84&lt;&gt;"",E84="❌ Not Enrolled - Overdue"),TODAY()-J84,"")</f>
        <v/>
      </c>
      <c r="L84" s="7" t="n"/>
      <c r="M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>
        <f>IF(AND(J85&lt;&gt;"",E85="❌ Not Enrolled - Overdue"),TODAY()-J85,"")</f>
        <v/>
      </c>
      <c r="L85" s="7" t="n"/>
      <c r="M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>
        <f>IF(AND(J86&lt;&gt;"",E86="❌ Not Enrolled - Overdue"),TODAY()-J86,"")</f>
        <v/>
      </c>
      <c r="L86" s="7" t="n"/>
      <c r="M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>
        <f>IF(AND(J87&lt;&gt;"",E87="❌ Not Enrolled - Overdue"),TODAY()-J87,"")</f>
        <v/>
      </c>
      <c r="L87" s="7" t="n"/>
      <c r="M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>
        <f>IF(AND(J88&lt;&gt;"",E88="❌ Not Enrolled - Overdue"),TODAY()-J88,"")</f>
        <v/>
      </c>
      <c r="L88" s="7" t="n"/>
      <c r="M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>
        <f>IF(AND(J89&lt;&gt;"",E89="❌ Not Enrolled - Overdue"),TODAY()-J89,"")</f>
        <v/>
      </c>
      <c r="L89" s="7" t="n"/>
      <c r="M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>
        <f>IF(AND(J90&lt;&gt;"",E90="❌ Not Enrolled - Overdue"),TODAY()-J90,"")</f>
        <v/>
      </c>
      <c r="L90" s="7" t="n"/>
      <c r="M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>
        <f>IF(AND(J91&lt;&gt;"",E91="❌ Not Enrolled - Overdue"),TODAY()-J91,"")</f>
        <v/>
      </c>
      <c r="L91" s="7" t="n"/>
      <c r="M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>
        <f>IF(AND(J92&lt;&gt;"",E92="❌ Not Enrolled - Overdue"),TODAY()-J92,"")</f>
        <v/>
      </c>
      <c r="L92" s="7" t="n"/>
      <c r="M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>
        <f>IF(AND(J93&lt;&gt;"",E93="❌ Not Enrolled - Overdue"),TODAY()-J93,"")</f>
        <v/>
      </c>
      <c r="L93" s="7" t="n"/>
      <c r="M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>
        <f>IF(AND(J94&lt;&gt;"",E94="❌ Not Enrolled - Overdue"),TODAY()-J94,"")</f>
        <v/>
      </c>
      <c r="L94" s="7" t="n"/>
      <c r="M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>
        <f>IF(AND(J95&lt;&gt;"",E95="❌ Not Enrolled - Overdue"),TODAY()-J95,"")</f>
        <v/>
      </c>
      <c r="L95" s="7" t="n"/>
      <c r="M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>
        <f>IF(AND(J96&lt;&gt;"",E96="❌ Not Enrolled - Overdue"),TODAY()-J96,"")</f>
        <v/>
      </c>
      <c r="L96" s="7" t="n"/>
      <c r="M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>
        <f>IF(AND(J97&lt;&gt;"",E97="❌ Not Enrolled - Overdue"),TODAY()-J97,"")</f>
        <v/>
      </c>
      <c r="L97" s="7" t="n"/>
      <c r="M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>
        <f>IF(AND(J98&lt;&gt;"",E98="❌ Not Enrolled - Overdue"),TODAY()-J98,"")</f>
        <v/>
      </c>
      <c r="L98" s="7" t="n"/>
      <c r="M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>
        <f>IF(AND(J99&lt;&gt;"",E99="❌ Not Enrolled - Overdue"),TODAY()-J99,"")</f>
        <v/>
      </c>
      <c r="L99" s="7" t="n"/>
      <c r="M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>
        <f>IF(AND(J100&lt;&gt;"",E100="❌ Not Enrolled - Overdue"),TODAY()-J100,"")</f>
        <v/>
      </c>
      <c r="L100" s="7" t="n"/>
      <c r="M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>
        <f>IF(AND(J101&lt;&gt;"",E101="❌ Not Enrolled - Overdue"),TODAY()-J101,"")</f>
        <v/>
      </c>
      <c r="L101" s="7" t="n"/>
      <c r="M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>
        <f>IF(AND(J102&lt;&gt;"",E102="❌ Not Enrolled - Overdue"),TODAY()-J102,"")</f>
        <v/>
      </c>
      <c r="L102" s="7" t="n"/>
      <c r="M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>
        <f>IF(AND(J103&lt;&gt;"",E103="❌ Not Enrolled - Overdue"),TODAY()-J103,"")</f>
        <v/>
      </c>
      <c r="L103" s="7" t="n"/>
      <c r="M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>
        <f>IF(AND(J104&lt;&gt;"",E104="❌ Not Enrolled - Overdue"),TODAY()-J104,"")</f>
        <v/>
      </c>
      <c r="L104" s="7" t="n"/>
      <c r="M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>
        <f>IF(AND(J105&lt;&gt;"",E105="❌ Not Enrolled - Overdue"),TODAY()-J105,"")</f>
        <v/>
      </c>
      <c r="L105" s="7" t="n"/>
      <c r="M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>
        <f>IF(AND(J106&lt;&gt;"",E106="❌ Not Enrolled - Overdue"),TODAY()-J106,"")</f>
        <v/>
      </c>
      <c r="L106" s="7" t="n"/>
      <c r="M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>
        <f>IF(AND(J107&lt;&gt;"",E107="❌ Not Enrolled - Overdue"),TODAY()-J107,"")</f>
        <v/>
      </c>
      <c r="L107" s="7" t="n"/>
      <c r="M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>
        <f>IF(AND(J108&lt;&gt;"",E108="❌ Not Enrolled - Overdue"),TODAY()-J108,"")</f>
        <v/>
      </c>
      <c r="L108" s="7" t="n"/>
      <c r="M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>
        <f>IF(AND(J109&lt;&gt;"",E109="❌ Not Enrolled - Overdue"),TODAY()-J109,"")</f>
        <v/>
      </c>
      <c r="L109" s="7" t="n"/>
      <c r="M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>
        <f>IF(AND(J110&lt;&gt;"",E110="❌ Not Enrolled - Overdue"),TODAY()-J110,"")</f>
        <v/>
      </c>
      <c r="L110" s="7" t="n"/>
      <c r="M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>
        <f>IF(AND(J111&lt;&gt;"",E111="❌ Not Enrolled - Overdue"),TODAY()-J111,"")</f>
        <v/>
      </c>
      <c r="L111" s="7" t="n"/>
      <c r="M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>
        <f>IF(AND(J112&lt;&gt;"",E112="❌ Not Enrolled - Overdue"),TODAY()-J112,"")</f>
        <v/>
      </c>
      <c r="L112" s="7" t="n"/>
      <c r="M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>
        <f>IF(AND(J113&lt;&gt;"",E113="❌ Not Enrolled - Overdue"),TODAY()-J113,"")</f>
        <v/>
      </c>
      <c r="L113" s="7" t="n"/>
      <c r="M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>
        <f>IF(AND(J114&lt;&gt;"",E114="❌ Not Enrolled - Overdue"),TODAY()-J114,"")</f>
        <v/>
      </c>
      <c r="L114" s="7" t="n"/>
      <c r="M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>
        <f>IF(AND(J115&lt;&gt;"",E115="❌ Not Enrolled - Overdue"),TODAY()-J115,"")</f>
        <v/>
      </c>
      <c r="L115" s="7" t="n"/>
      <c r="M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>
        <f>IF(AND(J116&lt;&gt;"",E116="❌ Not Enrolled - Overdue"),TODAY()-J116,"")</f>
        <v/>
      </c>
      <c r="L116" s="7" t="n"/>
      <c r="M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>
        <f>IF(AND(J117&lt;&gt;"",E117="❌ Not Enrolled - Overdue"),TODAY()-J117,"")</f>
        <v/>
      </c>
      <c r="L117" s="7" t="n"/>
      <c r="M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>
        <f>IF(AND(J118&lt;&gt;"",E118="❌ Not Enrolled - Overdue"),TODAY()-J118,"")</f>
        <v/>
      </c>
      <c r="L118" s="7" t="n"/>
      <c r="M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>
        <f>IF(AND(J119&lt;&gt;"",E119="❌ Not Enrolled - Overdue"),TODAY()-J119,"")</f>
        <v/>
      </c>
      <c r="L119" s="7" t="n"/>
      <c r="M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>
        <f>IF(AND(J120&lt;&gt;"",E120="❌ Not Enrolled - Overdue"),TODAY()-J120,"")</f>
        <v/>
      </c>
      <c r="L120" s="7" t="n"/>
      <c r="M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>
        <f>IF(AND(J121&lt;&gt;"",E121="❌ Not Enrolled - Overdue"),TODAY()-J121,"")</f>
        <v/>
      </c>
      <c r="L121" s="7" t="n"/>
      <c r="M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>
        <f>IF(AND(J122&lt;&gt;"",E122="❌ Not Enrolled - Overdue"),TODAY()-J122,"")</f>
        <v/>
      </c>
      <c r="L122" s="7" t="n"/>
      <c r="M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>
        <f>IF(AND(J123&lt;&gt;"",E123="❌ Not Enrolled - Overdue"),TODAY()-J123,"")</f>
        <v/>
      </c>
      <c r="L123" s="7" t="n"/>
      <c r="M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>
        <f>IF(AND(J124&lt;&gt;"",E124="❌ Not Enrolled - Overdue"),TODAY()-J124,"")</f>
        <v/>
      </c>
      <c r="L124" s="7" t="n"/>
      <c r="M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>
        <f>IF(AND(J125&lt;&gt;"",E125="❌ Not Enrolled - Overdue"),TODAY()-J125,"")</f>
        <v/>
      </c>
      <c r="L125" s="7" t="n"/>
      <c r="M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>
        <f>IF(AND(J126&lt;&gt;"",E126="❌ Not Enrolled - Overdue"),TODAY()-J126,"")</f>
        <v/>
      </c>
      <c r="L126" s="7" t="n"/>
      <c r="M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>
        <f>IF(AND(J127&lt;&gt;"",E127="❌ Not Enrolled - Overdue"),TODAY()-J127,"")</f>
        <v/>
      </c>
      <c r="L127" s="7" t="n"/>
      <c r="M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>
        <f>IF(AND(J128&lt;&gt;"",E128="❌ Not Enrolled - Overdue"),TODAY()-J128,"")</f>
        <v/>
      </c>
      <c r="L128" s="7" t="n"/>
      <c r="M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>
        <f>IF(AND(J129&lt;&gt;"",E129="❌ Not Enrolled - Overdue"),TODAY()-J129,"")</f>
        <v/>
      </c>
      <c r="L129" s="7" t="n"/>
      <c r="M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>
        <f>IF(AND(J130&lt;&gt;"",E130="❌ Not Enrolled - Overdue"),TODAY()-J130,"")</f>
        <v/>
      </c>
      <c r="L130" s="7" t="n"/>
      <c r="M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>
        <f>IF(AND(J131&lt;&gt;"",E131="❌ Not Enrolled - Overdue"),TODAY()-J131,"")</f>
        <v/>
      </c>
      <c r="L131" s="7" t="n"/>
      <c r="M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>
        <f>IF(AND(J132&lt;&gt;"",E132="❌ Not Enrolled - Overdue"),TODAY()-J132,"")</f>
        <v/>
      </c>
      <c r="L132" s="7" t="n"/>
      <c r="M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>
        <f>IF(AND(J133&lt;&gt;"",E133="❌ Not Enrolled - Overdue"),TODAY()-J133,"")</f>
        <v/>
      </c>
      <c r="L133" s="7" t="n"/>
      <c r="M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>
        <f>IF(AND(J134&lt;&gt;"",E134="❌ Not Enrolled - Overdue"),TODAY()-J134,"")</f>
        <v/>
      </c>
      <c r="L134" s="7" t="n"/>
      <c r="M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>
        <f>IF(AND(J135&lt;&gt;"",E135="❌ Not Enrolled - Overdue"),TODAY()-J135,"")</f>
        <v/>
      </c>
      <c r="L135" s="7" t="n"/>
      <c r="M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>
        <f>IF(AND(J136&lt;&gt;"",E136="❌ Not Enrolled - Overdue"),TODAY()-J136,"")</f>
        <v/>
      </c>
      <c r="L136" s="7" t="n"/>
      <c r="M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>
        <f>IF(AND(J137&lt;&gt;"",E137="❌ Not Enrolled - Overdue"),TODAY()-J137,"")</f>
        <v/>
      </c>
      <c r="L137" s="7" t="n"/>
      <c r="M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>
        <f>IF(AND(J138&lt;&gt;"",E138="❌ Not Enrolled - Overdue"),TODAY()-J138,"")</f>
        <v/>
      </c>
      <c r="L138" s="7" t="n"/>
      <c r="M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>
        <f>IF(AND(J139&lt;&gt;"",E139="❌ Not Enrolled - Overdue"),TODAY()-J139,"")</f>
        <v/>
      </c>
      <c r="L139" s="7" t="n"/>
      <c r="M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>
        <f>IF(AND(J140&lt;&gt;"",E140="❌ Not Enrolled - Overdue"),TODAY()-J140,"")</f>
        <v/>
      </c>
      <c r="L140" s="7" t="n"/>
      <c r="M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>
        <f>IF(AND(J141&lt;&gt;"",E141="❌ Not Enrolled - Overdue"),TODAY()-J141,"")</f>
        <v/>
      </c>
      <c r="L141" s="7" t="n"/>
      <c r="M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>
        <f>IF(AND(J142&lt;&gt;"",E142="❌ Not Enrolled - Overdue"),TODAY()-J142,"")</f>
        <v/>
      </c>
      <c r="L142" s="7" t="n"/>
      <c r="M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>
        <f>IF(AND(J143&lt;&gt;"",E143="❌ Not Enrolled - Overdue"),TODAY()-J143,"")</f>
        <v/>
      </c>
      <c r="L143" s="7" t="n"/>
      <c r="M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>
        <f>IF(AND(J144&lt;&gt;"",E144="❌ Not Enrolled - Overdue"),TODAY()-J144,"")</f>
        <v/>
      </c>
      <c r="L144" s="7" t="n"/>
      <c r="M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>
        <f>IF(AND(J145&lt;&gt;"",E145="❌ Not Enrolled - Overdue"),TODAY()-J145,"")</f>
        <v/>
      </c>
      <c r="L145" s="7" t="n"/>
      <c r="M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>
        <f>IF(AND(J146&lt;&gt;"",E146="❌ Not Enrolled - Overdue"),TODAY()-J146,"")</f>
        <v/>
      </c>
      <c r="L146" s="7" t="n"/>
      <c r="M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>
        <f>IF(AND(J147&lt;&gt;"",E147="❌ Not Enrolled - Overdue"),TODAY()-J147,"")</f>
        <v/>
      </c>
      <c r="L147" s="7" t="n"/>
      <c r="M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>
        <f>IF(AND(J148&lt;&gt;"",E148="❌ Not Enrolled - Overdue"),TODAY()-J148,"")</f>
        <v/>
      </c>
      <c r="L148" s="7" t="n"/>
      <c r="M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>
        <f>IF(AND(J149&lt;&gt;"",E149="❌ Not Enrolled - Overdue"),TODAY()-J149,"")</f>
        <v/>
      </c>
      <c r="L149" s="7" t="n"/>
      <c r="M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>
        <f>IF(AND(J150&lt;&gt;"",E150="❌ Not Enrolled - Overdue"),TODAY()-J150,"")</f>
        <v/>
      </c>
      <c r="L150" s="7" t="n"/>
      <c r="M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>
        <f>IF(AND(J151&lt;&gt;"",E151="❌ Not Enrolled - Overdue"),TODAY()-J151,"")</f>
        <v/>
      </c>
      <c r="L151" s="7" t="n"/>
      <c r="M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>
        <f>IF(AND(J152&lt;&gt;"",E152="❌ Not Enrolled - Overdue"),TODAY()-J152,"")</f>
        <v/>
      </c>
      <c r="L152" s="7" t="n"/>
      <c r="M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>
        <f>IF(AND(J153&lt;&gt;"",E153="❌ Not Enrolled - Overdue"),TODAY()-J153,"")</f>
        <v/>
      </c>
      <c r="L153" s="7" t="n"/>
      <c r="M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>
        <f>IF(AND(J154&lt;&gt;"",E154="❌ Not Enrolled - Overdue"),TODAY()-J154,"")</f>
        <v/>
      </c>
      <c r="L154" s="7" t="n"/>
      <c r="M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>
        <f>IF(AND(J155&lt;&gt;"",E155="❌ Not Enrolled - Overdue"),TODAY()-J155,"")</f>
        <v/>
      </c>
      <c r="L155" s="7" t="n"/>
      <c r="M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>
        <f>IF(AND(J156&lt;&gt;"",E156="❌ Not Enrolled - Overdue"),TODAY()-J156,"")</f>
        <v/>
      </c>
      <c r="L156" s="7" t="n"/>
      <c r="M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>
        <f>IF(AND(J157&lt;&gt;"",E157="❌ Not Enrolled - Overdue"),TODAY()-J157,"")</f>
        <v/>
      </c>
      <c r="L157" s="7" t="n"/>
      <c r="M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>
        <f>IF(AND(J158&lt;&gt;"",E158="❌ Not Enrolled - Overdue"),TODAY()-J158,"")</f>
        <v/>
      </c>
      <c r="L158" s="7" t="n"/>
      <c r="M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>
        <f>IF(AND(J159&lt;&gt;"",E159="❌ Not Enrolled - Overdue"),TODAY()-J159,"")</f>
        <v/>
      </c>
      <c r="L159" s="7" t="n"/>
      <c r="M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>
        <f>IF(AND(J160&lt;&gt;"",E160="❌ Not Enrolled - Overdue"),TODAY()-J160,"")</f>
        <v/>
      </c>
      <c r="L160" s="7" t="n"/>
      <c r="M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>
        <f>IF(AND(J161&lt;&gt;"",E161="❌ Not Enrolled - Overdue"),TODAY()-J161,"")</f>
        <v/>
      </c>
      <c r="L161" s="7" t="n"/>
      <c r="M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>
        <f>IF(AND(J162&lt;&gt;"",E162="❌ Not Enrolled - Overdue"),TODAY()-J162,"")</f>
        <v/>
      </c>
      <c r="L162" s="7" t="n"/>
      <c r="M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>
        <f>IF(AND(J163&lt;&gt;"",E163="❌ Not Enrolled - Overdue"),TODAY()-J163,"")</f>
        <v/>
      </c>
      <c r="L163" s="7" t="n"/>
      <c r="M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>
        <f>IF(AND(J164&lt;&gt;"",E164="❌ Not Enrolled - Overdue"),TODAY()-J164,"")</f>
        <v/>
      </c>
      <c r="L164" s="7" t="n"/>
      <c r="M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>
        <f>IF(AND(J165&lt;&gt;"",E165="❌ Not Enrolled - Overdue"),TODAY()-J165,"")</f>
        <v/>
      </c>
      <c r="L165" s="7" t="n"/>
      <c r="M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>
        <f>IF(AND(J166&lt;&gt;"",E166="❌ Not Enrolled - Overdue"),TODAY()-J166,"")</f>
        <v/>
      </c>
      <c r="L166" s="7" t="n"/>
      <c r="M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>
        <f>IF(AND(J167&lt;&gt;"",E167="❌ Not Enrolled - Overdue"),TODAY()-J167,"")</f>
        <v/>
      </c>
      <c r="L167" s="7" t="n"/>
      <c r="M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>
        <f>IF(AND(J168&lt;&gt;"",E168="❌ Not Enrolled - Overdue"),TODAY()-J168,"")</f>
        <v/>
      </c>
      <c r="L168" s="7" t="n"/>
      <c r="M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>
        <f>IF(AND(J169&lt;&gt;"",E169="❌ Not Enrolled - Overdue"),TODAY()-J169,"")</f>
        <v/>
      </c>
      <c r="L169" s="7" t="n"/>
      <c r="M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>
        <f>IF(AND(J170&lt;&gt;"",E170="❌ Not Enrolled - Overdue"),TODAY()-J170,"")</f>
        <v/>
      </c>
      <c r="L170" s="7" t="n"/>
      <c r="M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>
        <f>IF(AND(J171&lt;&gt;"",E171="❌ Not Enrolled - Overdue"),TODAY()-J171,"")</f>
        <v/>
      </c>
      <c r="L171" s="7" t="n"/>
      <c r="M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>
        <f>IF(AND(J172&lt;&gt;"",E172="❌ Not Enrolled - Overdue"),TODAY()-J172,"")</f>
        <v/>
      </c>
      <c r="L172" s="7" t="n"/>
      <c r="M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>
        <f>IF(AND(J173&lt;&gt;"",E173="❌ Not Enrolled - Overdue"),TODAY()-J173,"")</f>
        <v/>
      </c>
      <c r="L173" s="7" t="n"/>
      <c r="M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>
        <f>IF(AND(J174&lt;&gt;"",E174="❌ Not Enrolled - Overdue"),TODAY()-J174,"")</f>
        <v/>
      </c>
      <c r="L174" s="7" t="n"/>
      <c r="M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>
        <f>IF(AND(J175&lt;&gt;"",E175="❌ Not Enrolled - Overdue"),TODAY()-J175,"")</f>
        <v/>
      </c>
      <c r="L175" s="7" t="n"/>
      <c r="M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>
        <f>IF(AND(J176&lt;&gt;"",E176="❌ Not Enrolled - Overdue"),TODAY()-J176,"")</f>
        <v/>
      </c>
      <c r="L176" s="7" t="n"/>
      <c r="M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>
        <f>IF(AND(J177&lt;&gt;"",E177="❌ Not Enrolled - Overdue"),TODAY()-J177,"")</f>
        <v/>
      </c>
      <c r="L177" s="7" t="n"/>
      <c r="M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>
        <f>IF(AND(J178&lt;&gt;"",E178="❌ Not Enrolled - Overdue"),TODAY()-J178,"")</f>
        <v/>
      </c>
      <c r="L178" s="7" t="n"/>
      <c r="M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>
        <f>IF(AND(J179&lt;&gt;"",E179="❌ Not Enrolled - Overdue"),TODAY()-J179,"")</f>
        <v/>
      </c>
      <c r="L179" s="7" t="n"/>
      <c r="M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>
        <f>IF(AND(J180&lt;&gt;"",E180="❌ Not Enrolled - Overdue"),TODAY()-J180,"")</f>
        <v/>
      </c>
      <c r="L180" s="7" t="n"/>
      <c r="M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>
        <f>IF(AND(J181&lt;&gt;"",E181="❌ Not Enrolled - Overdue"),TODAY()-J181,"")</f>
        <v/>
      </c>
      <c r="L181" s="7" t="n"/>
      <c r="M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>
        <f>IF(AND(J182&lt;&gt;"",E182="❌ Not Enrolled - Overdue"),TODAY()-J182,"")</f>
        <v/>
      </c>
      <c r="L182" s="7" t="n"/>
      <c r="M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>
        <f>IF(AND(J183&lt;&gt;"",E183="❌ Not Enrolled - Overdue"),TODAY()-J183,"")</f>
        <v/>
      </c>
      <c r="L183" s="7" t="n"/>
      <c r="M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>
        <f>IF(AND(J184&lt;&gt;"",E184="❌ Not Enrolled - Overdue"),TODAY()-J184,"")</f>
        <v/>
      </c>
      <c r="L184" s="7" t="n"/>
      <c r="M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>
        <f>IF(AND(J185&lt;&gt;"",E185="❌ Not Enrolled - Overdue"),TODAY()-J185,"")</f>
        <v/>
      </c>
      <c r="L185" s="7" t="n"/>
      <c r="M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>
        <f>IF(AND(J186&lt;&gt;"",E186="❌ Not Enrolled - Overdue"),TODAY()-J186,"")</f>
        <v/>
      </c>
      <c r="L186" s="7" t="n"/>
      <c r="M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>
        <f>IF(AND(J187&lt;&gt;"",E187="❌ Not Enrolled - Overdue"),TODAY()-J187,"")</f>
        <v/>
      </c>
      <c r="L187" s="7" t="n"/>
      <c r="M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>
        <f>IF(AND(J188&lt;&gt;"",E188="❌ Not Enrolled - Overdue"),TODAY()-J188,"")</f>
        <v/>
      </c>
      <c r="L188" s="7" t="n"/>
      <c r="M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>
        <f>IF(AND(J189&lt;&gt;"",E189="❌ Not Enrolled - Overdue"),TODAY()-J189,"")</f>
        <v/>
      </c>
      <c r="L189" s="7" t="n"/>
      <c r="M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>
        <f>IF(AND(J190&lt;&gt;"",E190="❌ Not Enrolled - Overdue"),TODAY()-J190,"")</f>
        <v/>
      </c>
      <c r="L190" s="7" t="n"/>
      <c r="M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>
        <f>IF(AND(J191&lt;&gt;"",E191="❌ Not Enrolled - Overdue"),TODAY()-J191,"")</f>
        <v/>
      </c>
      <c r="L191" s="7" t="n"/>
      <c r="M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>
        <f>IF(AND(J192&lt;&gt;"",E192="❌ Not Enrolled - Overdue"),TODAY()-J192,"")</f>
        <v/>
      </c>
      <c r="L192" s="7" t="n"/>
      <c r="M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>
        <f>IF(AND(J193&lt;&gt;"",E193="❌ Not Enrolled - Overdue"),TODAY()-J193,"")</f>
        <v/>
      </c>
      <c r="L193" s="7" t="n"/>
      <c r="M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>
        <f>IF(AND(J194&lt;&gt;"",E194="❌ Not Enrolled - Overdue"),TODAY()-J194,"")</f>
        <v/>
      </c>
      <c r="L194" s="7" t="n"/>
      <c r="M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>
        <f>IF(AND(J195&lt;&gt;"",E195="❌ Not Enrolled - Overdue"),TODAY()-J195,"")</f>
        <v/>
      </c>
      <c r="L195" s="7" t="n"/>
      <c r="M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>
        <f>IF(AND(J196&lt;&gt;"",E196="❌ Not Enrolled - Overdue"),TODAY()-J196,"")</f>
        <v/>
      </c>
      <c r="L196" s="7" t="n"/>
      <c r="M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>
        <f>IF(AND(J197&lt;&gt;"",E197="❌ Not Enrolled - Overdue"),TODAY()-J197,"")</f>
        <v/>
      </c>
      <c r="L197" s="7" t="n"/>
      <c r="M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>
        <f>IF(AND(J198&lt;&gt;"",E198="❌ Not Enrolled - Overdue"),TODAY()-J198,"")</f>
        <v/>
      </c>
      <c r="L198" s="7" t="n"/>
      <c r="M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>
        <f>IF(AND(J199&lt;&gt;"",E199="❌ Not Enrolled - Overdue"),TODAY()-J199,"")</f>
        <v/>
      </c>
      <c r="L199" s="7" t="n"/>
      <c r="M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>
        <f>IF(AND(J200&lt;&gt;"",E200="❌ Not Enrolled - Overdue"),TODAY()-J200,"")</f>
        <v/>
      </c>
      <c r="L200" s="7" t="n"/>
      <c r="M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>
        <f>IF(AND(J201&lt;&gt;"",E201="❌ Not Enrolled - Overdue"),TODAY()-J201,"")</f>
        <v/>
      </c>
      <c r="L201" s="7" t="n"/>
      <c r="M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>
        <f>IF(AND(J202&lt;&gt;"",E202="❌ Not Enrolled - Overdue"),TODAY()-J202,"")</f>
        <v/>
      </c>
      <c r="L202" s="7" t="n"/>
      <c r="M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>
        <f>IF(AND(J203&lt;&gt;"",E203="❌ Not Enrolled - Overdue"),TODAY()-J203,"")</f>
        <v/>
      </c>
      <c r="L203" s="7" t="n"/>
      <c r="M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>
        <f>IF(AND(J204&lt;&gt;"",E204="❌ Not Enrolled - Overdue"),TODAY()-J204,"")</f>
        <v/>
      </c>
      <c r="L204" s="7" t="n"/>
      <c r="M204" s="7" t="n"/>
    </row>
  </sheetData>
  <mergeCells count="2">
    <mergeCell ref="A2:M2"/>
    <mergeCell ref="A1:M1"/>
  </mergeCells>
  <dataValidations count="5">
    <dataValidation sqref="C5:C204" showDropDown="0" showInputMessage="0" showErrorMessage="0" allowBlank="1" type="list">
      <formula1>"Privileged - Tier 0 Admin,Privileged - Tier 1 Admin,Privileged - Tier 2 Admin,Privileged - Database Admin,Privileged - Security Admin,Privileged - Cloud Admin,Remote Access - VPN User,Remote Access - External Contractor,Remote Access - Remote Employee,Standard - Internal Employee,Standard - Manager/Executive,Standard - Developer,Standard - Support Staf,Service Account (MFA N/A),Other (Specify)"</formula1>
    </dataValidation>
    <dataValidation sqref="E5:E204" showDropDown="0" showInputMessage="0" showErrorMessage="0" allowBlank="1" type="list">
      <formula1>"✅ Enrolled - Active,✅ Enrolled - Verified,⚠ Enrolled - Not Verified,🔄 Enrollment In Progress,📋 Scheduled for Enrollment,❌ Not Enrolled - Overdue,❌ Not Enrolled - No Deadline,➖ N/A (Service Account)"</formula1>
    </dataValidation>
    <dataValidation sqref="F5:F204" showDropDown="0" showInputMessage="0" showErrorMessage="0" allowBlank="1" type="list">
      <formula1>"🟢 Hardware Token (FIDO2/YubiKey),🟢 Authenticator App (TOTP),🟡 Push Notification,🟡 Biometric (Fingerprint/Face),🟠 SMS (Discouraged),🟠 Voice Call,🟠 Email OTP,❌ Not Enrolled"</formula1>
    </dataValidation>
    <dataValidation sqref="G5:G204" showDropDown="0" showInputMessage="0" showErrorMessage="0" allowBlank="1" type="list">
      <formula1>"🟢 Hardware Token (FIDO2/YubiKey),🟢 Authenticator App (TOTP),🟡 Push Notification,🟡 Biometric (Fingerprint/Face),🟠 SMS (Discouraged),🟠 Voice Call,🟠 Email OTP,❌ Not Enrolled"</formula1>
    </dataValidation>
    <dataValidation sqref="L5:L204" showDropDown="0" showInputMessage="0" showErrorMessage="0" allowBlank="1" type="list">
      <formula1>"✅ Compliant,⚠ Partial Compliance,❌ Non-Compliant,🔄 In Progress,📋 Under Review,❓ Unknown,➖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6" customWidth="1" min="8" max="8"/>
    <col width="20" customWidth="1" min="9" max="9"/>
    <col width="35" customWidth="1" min="10" max="10"/>
  </cols>
  <sheetData>
    <row r="1">
      <c r="A1" t="inlineStr">
        <is>
          <t>MFA Coverage Metrics by User Type</t>
        </is>
      </c>
    </row>
    <row r="2">
      <c r="A2" t="inlineStr">
        <is>
          <t>Calculate MFA coverage percentages by user category and compare to targets</t>
        </is>
      </c>
    </row>
    <row r="4">
      <c r="A4" t="inlineStr">
        <is>
          <t>OVERALL MFA COVERAGE DASHBOARD</t>
        </is>
      </c>
    </row>
    <row r="5">
      <c r="A5" t="inlineStr">
        <is>
          <t>Privileged Users:</t>
        </is>
      </c>
      <c r="B5">
        <f>COUNTIFS(User_MFA_Enrollment!C:C,"Privileged*")</f>
        <v/>
      </c>
      <c r="C5" t="inlineStr">
        <is>
          <t>with MFA:</t>
        </is>
      </c>
      <c r="D5">
        <f>COUNTIFS(User_MFA_Enrollment!C:C,"Privileged*",User_MFA_Enrollment!E:E,"✅ Enrolled*")</f>
        <v/>
      </c>
      <c r="E5" s="9">
        <f>D5/B5</f>
        <v/>
      </c>
    </row>
    <row r="6">
      <c r="A6" t="inlineStr">
        <is>
          <t>Remote Access Users:</t>
        </is>
      </c>
      <c r="B6">
        <f>COUNTIFS(User_MFA_Enrollment!C:C,"Remote Access*")</f>
        <v/>
      </c>
      <c r="D6">
        <f>COUNTIFS(User_MFA_Enrollment!C:C,"Remote Access*",User_MFA_Enrollment!E:E,"✅ Enrolled*")</f>
        <v/>
      </c>
      <c r="E6">
        <f>D6/B6</f>
        <v/>
      </c>
    </row>
    <row r="7">
      <c r="A7" t="inlineStr">
        <is>
          <t>Standard Users:</t>
        </is>
      </c>
      <c r="B7">
        <f>COUNTIFS(User_MFA_Enrollment!C:C,"Standard*")</f>
        <v/>
      </c>
      <c r="D7">
        <f>COUNTIFS(User_MFA_Enrollment!C:C,"Standard*",User_MFA_Enrollment!E:E,"✅ Enrolled*")</f>
        <v/>
      </c>
      <c r="E7">
        <f>D7/B7</f>
        <v/>
      </c>
    </row>
    <row r="8">
      <c r="A8" t="inlineStr">
        <is>
          <t>OVERALL TOTAL:</t>
        </is>
      </c>
      <c r="B8">
        <f>SUM(B5:B7)</f>
        <v/>
      </c>
      <c r="D8">
        <f>SUM(D5:D7)</f>
        <v/>
      </c>
      <c r="E8" s="10">
        <f>D8/B8</f>
        <v/>
      </c>
    </row>
    <row r="10">
      <c r="A10" t="inlineStr">
        <is>
          <t>DETAILED USER TYPE BREAKDOWN</t>
        </is>
      </c>
    </row>
    <row r="11">
      <c r="A11" s="6" t="inlineStr">
        <is>
          <t>User Type Category</t>
        </is>
      </c>
      <c r="B11" s="6" t="inlineStr">
        <is>
          <t>Total Users</t>
        </is>
      </c>
      <c r="C11" s="6" t="inlineStr">
        <is>
          <t>MFA Enrolled</t>
        </is>
      </c>
      <c r="D11" s="6" t="inlineStr">
        <is>
          <t>Not Enrolled</t>
        </is>
      </c>
      <c r="E11" s="6" t="inlineStr">
        <is>
          <t>Coverage %</t>
        </is>
      </c>
      <c r="F11" s="6" t="inlineStr">
        <is>
          <t>Target %</t>
        </is>
      </c>
      <c r="G11" s="6" t="inlineStr">
        <is>
          <t>Gap</t>
        </is>
      </c>
      <c r="H11" s="6" t="inlineStr">
        <is>
          <t>Compliance</t>
        </is>
      </c>
      <c r="I11" s="6" t="inlineStr">
        <is>
          <t>Priority</t>
        </is>
      </c>
      <c r="J11" s="6" t="inlineStr">
        <is>
          <t>Notes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</sheetData>
  <mergeCells count="4">
    <mergeCell ref="A1:J1"/>
    <mergeCell ref="A4:E4"/>
    <mergeCell ref="A10:J10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Method Security Analysis</t>
        </is>
      </c>
    </row>
    <row r="2">
      <c r="A2" t="inlineStr">
        <is>
          <t>Assess security quality of MFA methods deployed</t>
        </is>
      </c>
    </row>
    <row r="4">
      <c r="A4" s="6" t="inlineStr">
        <is>
          <t>MFA Method</t>
        </is>
      </c>
      <c r="B4" s="6" t="inlineStr">
        <is>
          <t>Users Using</t>
        </is>
      </c>
      <c r="C4" s="6" t="inlineStr">
        <is>
          <t>Security Rating</t>
        </is>
      </c>
      <c r="D4" s="6" t="inlineStr">
        <is>
          <t>Deployment Date</t>
        </is>
      </c>
      <c r="E4" s="6" t="inlineStr">
        <is>
          <t>Replacement Plan</t>
        </is>
      </c>
      <c r="F4" s="6" t="inlineStr">
        <is>
          <t>Target</t>
        </is>
      </c>
      <c r="G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Enrollment Timeline (Monthly Tracking)</t>
        </is>
      </c>
    </row>
    <row r="4">
      <c r="A4" s="6" t="inlineStr">
        <is>
          <t>Month</t>
        </is>
      </c>
      <c r="B4" s="6" t="inlineStr">
        <is>
          <t>Privileged Enrolled</t>
        </is>
      </c>
      <c r="C4" s="6" t="inlineStr">
        <is>
          <t>Remote Enrolled</t>
        </is>
      </c>
      <c r="D4" s="6" t="inlineStr">
        <is>
          <t>Standard Enrolled</t>
        </is>
      </c>
      <c r="E4" s="6" t="inlineStr">
        <is>
          <t>Total Enrolled</t>
        </is>
      </c>
      <c r="F4" s="6" t="inlineStr">
        <is>
          <t>Cumulative %</t>
        </is>
      </c>
    </row>
    <row r="5">
      <c r="A5" t="inlineStr">
        <is>
          <t>2025-03</t>
        </is>
      </c>
      <c r="B5" s="7" t="n"/>
      <c r="C5" s="7" t="n"/>
      <c r="D5" s="7" t="n"/>
      <c r="E5" s="7" t="n"/>
      <c r="F5" s="7" t="n"/>
    </row>
    <row r="6">
      <c r="A6" t="inlineStr">
        <is>
          <t>2025-04</t>
        </is>
      </c>
      <c r="B6" s="7" t="n"/>
      <c r="C6" s="7" t="n"/>
      <c r="D6" s="7" t="n"/>
      <c r="E6" s="7" t="n"/>
      <c r="F6" s="7" t="n"/>
    </row>
    <row r="7">
      <c r="A7" t="inlineStr">
        <is>
          <t>2025-05</t>
        </is>
      </c>
      <c r="B7" s="7" t="n"/>
      <c r="C7" s="7" t="n"/>
      <c r="D7" s="7" t="n"/>
      <c r="E7" s="7" t="n"/>
      <c r="F7" s="7" t="n"/>
    </row>
    <row r="8">
      <c r="A8" t="inlineStr">
        <is>
          <t>2025-06</t>
        </is>
      </c>
      <c r="B8" s="7" t="n"/>
      <c r="C8" s="7" t="n"/>
      <c r="D8" s="7" t="n"/>
      <c r="E8" s="7" t="n"/>
      <c r="F8" s="7" t="n"/>
    </row>
    <row r="9">
      <c r="A9" t="inlineStr">
        <is>
          <t>2025-07</t>
        </is>
      </c>
      <c r="B9" s="7" t="n"/>
      <c r="C9" s="7" t="n"/>
      <c r="D9" s="7" t="n"/>
      <c r="E9" s="7" t="n"/>
      <c r="F9" s="7" t="n"/>
    </row>
    <row r="10">
      <c r="A10" t="inlineStr">
        <is>
          <t>2025-08</t>
        </is>
      </c>
      <c r="B10" s="7" t="n"/>
      <c r="C10" s="7" t="n"/>
      <c r="D10" s="7" t="n"/>
      <c r="E10" s="7" t="n"/>
      <c r="F10" s="7" t="n"/>
    </row>
    <row r="11">
      <c r="A11" t="inlineStr">
        <is>
          <t>2025-09</t>
        </is>
      </c>
      <c r="B11" s="7" t="n"/>
      <c r="C11" s="7" t="n"/>
      <c r="D11" s="7" t="n"/>
      <c r="E11" s="7" t="n"/>
      <c r="F11" s="7" t="n"/>
    </row>
    <row r="12">
      <c r="A12" t="inlineStr">
        <is>
          <t>2025-10</t>
        </is>
      </c>
      <c r="B12" s="7" t="n"/>
      <c r="C12" s="7" t="n"/>
      <c r="D12" s="7" t="n"/>
      <c r="E12" s="7" t="n"/>
      <c r="F12" s="7" t="n"/>
    </row>
    <row r="13">
      <c r="A13" t="inlineStr">
        <is>
          <t>2025-11</t>
        </is>
      </c>
      <c r="B13" s="7" t="n"/>
      <c r="C13" s="7" t="n"/>
      <c r="D13" s="7" t="n"/>
      <c r="E13" s="7" t="n"/>
      <c r="F13" s="7" t="n"/>
    </row>
    <row r="14">
      <c r="A14" t="inlineStr">
        <is>
          <t>2025-12</t>
        </is>
      </c>
      <c r="B14" s="7" t="n"/>
      <c r="C14" s="7" t="n"/>
      <c r="D14" s="7" t="n"/>
      <c r="E14" s="7" t="n"/>
      <c r="F14" s="7" t="n"/>
    </row>
    <row r="15">
      <c r="A15" t="inlineStr">
        <is>
          <t>2026-01</t>
        </is>
      </c>
      <c r="B15" s="7" t="n"/>
      <c r="C15" s="7" t="n"/>
      <c r="D15" s="7" t="n"/>
      <c r="E15" s="7" t="n"/>
      <c r="F15" s="7" t="n"/>
    </row>
    <row r="16">
      <c r="A16" t="inlineStr">
        <is>
          <t>2026-02</t>
        </is>
      </c>
      <c r="B16" s="7" t="n"/>
      <c r="C16" s="7" t="n"/>
      <c r="D16" s="7" t="n"/>
      <c r="E16" s="7" t="n"/>
      <c r="F16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Enrollment Gaps - Prioritized Remediation</t>
        </is>
      </c>
    </row>
    <row r="4">
      <c r="A4" s="6" t="inlineStr">
        <is>
          <t>User ID</t>
        </is>
      </c>
      <c r="B4" s="6" t="inlineStr">
        <is>
          <t>User Name</t>
        </is>
      </c>
      <c r="C4" s="6" t="inlineStr">
        <is>
          <t>User Type</t>
        </is>
      </c>
      <c r="D4" s="6" t="inlineStr">
        <is>
          <t>Department</t>
        </is>
      </c>
      <c r="E4" s="6" t="inlineStr">
        <is>
          <t>Risk Level</t>
        </is>
      </c>
      <c r="F4" s="6" t="inlineStr">
        <is>
          <t>Days Overdue</t>
        </is>
      </c>
      <c r="G4" s="6" t="inlineStr">
        <is>
          <t>Remediation Plan</t>
        </is>
      </c>
      <c r="H4" s="6" t="inlineStr">
        <is>
          <t>Owner</t>
        </is>
      </c>
      <c r="I4" s="6" t="inlineStr">
        <is>
          <t>Target Date</t>
        </is>
      </c>
      <c r="J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</row>
  </sheetData>
  <dataValidations count="1">
    <dataValidation sqref="E5:E104" showDropDown="0" showInputMessage="0" showErrorMessage="0" allowBlank="1" type="list">
      <formula1>"🔴 Critical (Privileged User),🟠 High (Remote Access),🟡 Medium (Standard User),🟢 Low (Future Enhancement),⚪ Informational"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Enrollment Campaign Tracking</t>
        </is>
      </c>
    </row>
    <row r="4">
      <c r="A4" s="6" t="inlineStr">
        <is>
          <t>Campaign Phase</t>
        </is>
      </c>
      <c r="B4" s="6" t="inlineStr">
        <is>
          <t>Target Group</t>
        </is>
      </c>
      <c r="C4" s="6" t="inlineStr">
        <is>
          <t>Start Date</t>
        </is>
      </c>
      <c r="D4" s="6" t="inlineStr">
        <is>
          <t>End Date</t>
        </is>
      </c>
      <c r="E4" s="6" t="inlineStr">
        <is>
          <t>Users Targeted</t>
        </is>
      </c>
      <c r="F4" s="6" t="inlineStr">
        <is>
          <t>Users Enrolled</t>
        </is>
      </c>
      <c r="G4" s="6" t="inlineStr">
        <is>
          <t>Completion %</t>
        </is>
      </c>
      <c r="H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Backup MFA Method Verification</t>
        </is>
      </c>
    </row>
    <row r="2">
      <c r="A2" t="inlineStr">
        <is>
          <t>Users should register backup MFA method (in case primary device lost)</t>
        </is>
      </c>
    </row>
    <row r="4">
      <c r="A4" s="6" t="inlineStr">
        <is>
          <t>User ID</t>
        </is>
      </c>
      <c r="B4" s="6" t="inlineStr">
        <is>
          <t>Primary MFA</t>
        </is>
      </c>
      <c r="C4" s="6" t="inlineStr">
        <is>
          <t>Backup Method Registered</t>
        </is>
      </c>
      <c r="D4" s="6" t="inlineStr">
        <is>
          <t>Backup Method Type</t>
        </is>
      </c>
      <c r="E4" s="6" t="inlineStr">
        <is>
          <t>Last Tested</t>
        </is>
      </c>
      <c r="F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Evidence Register</t>
        </is>
      </c>
    </row>
    <row r="4">
      <c r="A4" s="6" t="inlineStr">
        <is>
          <t>Evidence ID</t>
        </is>
      </c>
      <c r="B4" s="6" t="inlineStr">
        <is>
          <t>Evidence Type</t>
        </is>
      </c>
      <c r="C4" s="6" t="inlineStr">
        <is>
          <t>Description</t>
        </is>
      </c>
      <c r="D4" s="6" t="inlineStr">
        <is>
          <t>Source</t>
        </is>
      </c>
      <c r="E4" s="6" t="inlineStr">
        <is>
          <t>Date Collected</t>
        </is>
      </c>
      <c r="F4" s="6" t="inlineStr">
        <is>
          <t>Collected By</t>
        </is>
      </c>
      <c r="G4" s="6" t="inlineStr">
        <is>
          <t>Verification</t>
        </is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Assessment Approval &amp; Sign-Of</t>
        </is>
      </c>
    </row>
    <row r="3">
      <c r="A3" s="5" t="inlineStr">
        <is>
          <t>Assessment Completion</t>
        </is>
      </c>
    </row>
    <row r="4">
      <c r="A4" t="inlineStr">
        <is>
          <t>Assessment Date:</t>
        </is>
      </c>
    </row>
    <row r="5">
      <c r="A5" t="inlineStr">
        <is>
          <t>Assessed By:</t>
        </is>
      </c>
    </row>
    <row r="6">
      <c r="A6" t="inlineStr">
        <is>
          <t>MFA Coverage Status:</t>
        </is>
      </c>
    </row>
    <row r="8">
      <c r="A8" s="5" t="inlineStr">
        <is>
          <t>Approval Workflow</t>
        </is>
      </c>
    </row>
    <row r="9">
      <c r="A9" s="6" t="inlineStr">
        <is>
          <t>Level</t>
        </is>
      </c>
      <c r="B9" s="6" t="inlineStr">
        <is>
          <t>Role</t>
        </is>
      </c>
      <c r="C9" s="6" t="inlineStr">
        <is>
          <t>Name</t>
        </is>
      </c>
      <c r="D9" s="6" t="inlineStr">
        <is>
          <t>Date</t>
        </is>
      </c>
      <c r="E9" s="6" t="inlineStr">
        <is>
          <t>Signature</t>
        </is>
      </c>
    </row>
    <row r="10">
      <c r="A10" s="7" t="inlineStr">
        <is>
          <t>Level 1</t>
        </is>
      </c>
      <c r="B10" s="7" t="inlineStr">
        <is>
          <t>IAM Lead</t>
        </is>
      </c>
      <c r="C10" s="7" t="inlineStr"/>
      <c r="D10" s="7" t="inlineStr"/>
      <c r="E10" s="7" t="inlineStr"/>
    </row>
    <row r="11">
      <c r="A11" s="7" t="inlineStr">
        <is>
          <t>Level 2</t>
        </is>
      </c>
      <c r="B11" s="7" t="inlineStr">
        <is>
          <t>Security Architect</t>
        </is>
      </c>
      <c r="C11" s="7" t="inlineStr"/>
      <c r="D11" s="7" t="inlineStr"/>
      <c r="E11" s="7" t="inlineStr"/>
    </row>
    <row r="12">
      <c r="A12" s="7" t="inlineStr">
        <is>
          <t>Level 3</t>
        </is>
      </c>
      <c r="B12" s="7" t="inlineStr">
        <is>
          <t>CISO</t>
        </is>
      </c>
      <c r="C12" s="7" t="inlineStr"/>
      <c r="D12" s="7" t="inlineStr"/>
      <c r="E1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2026-02-08T10:49:50Z</dcterms:created>
  <dcterms:modified xmlns:dcterms="http://purl.org/dc/terms/" xmlns:xsi="http://www.w3.org/2001/XMLSchema-instance" xsi:type="dcterms:W3CDTF">2026-02-08T10:49:50Z</dcterms:modified>
</cp:coreProperties>
</file>