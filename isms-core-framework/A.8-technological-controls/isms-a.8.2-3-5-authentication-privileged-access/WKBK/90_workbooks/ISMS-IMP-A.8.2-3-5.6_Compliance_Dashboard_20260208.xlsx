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quot;CHF&quot;#,##0"/>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font>
      <color rgb="00808080"/>
    </font>
    <font>
      <color rgb="00C0000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1" applyAlignment="1" pivotButton="0" quotePrefix="0" xfId="0">
      <alignment horizontal="center"/>
    </xf>
    <xf numFmtId="0" fontId="0" fillId="3" borderId="1" applyAlignment="1" pivotButton="0" quotePrefix="0" xfId="0">
      <alignment horizontal="left" vertical="top" wrapText="1"/>
    </xf>
    <xf numFmtId="0" fontId="7" fillId="0" borderId="0" pivotButton="0" quotePrefix="0" xfId="0"/>
    <xf numFmtId="0" fontId="12" fillId="0" borderId="0" pivotButton="0" quotePrefix="0" xfId="0"/>
    <xf numFmtId="0" fontId="7" fillId="3" borderId="1" pivotButton="0" quotePrefix="0" xfId="0"/>
    <xf numFmtId="0" fontId="13" fillId="0" borderId="0" pivotButton="0" quotePrefix="0" xfId="0"/>
    <xf numFmtId="0" fontId="0" fillId="6" borderId="0" applyAlignment="1" pivotButton="0" quotePrefix="0" xfId="0">
      <alignment horizontal="center" vertical="center" wrapText="1"/>
    </xf>
    <xf numFmtId="164" fontId="7" fillId="0" borderId="0" pivotButton="0" quotePrefix="0" xfId="0"/>
    <xf numFmtId="164" fontId="0" fillId="3" borderId="0" pivotButton="0" quotePrefix="0" xfId="0"/>
    <xf numFmtId="164" fontId="4" fillId="0" borderId="0" pivotButton="0" quotePrefix="0" xfId="0"/>
    <xf numFmtId="0" fontId="11" fillId="7" borderId="0" applyAlignment="1" pivotButton="0" quotePrefix="0" xfId="0">
      <alignment horizontal="center" vertical="center"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pane ySplit="3" topLeftCell="A4" activePane="bottomLeft" state="frozen"/>
      <selection pane="bottomLeft" activeCell="A1" sqref="A1"/>
    </sheetView>
  </sheetViews>
  <sheetFormatPr baseColWidth="8" defaultRowHeight="15"/>
  <cols>
    <col width="28" customWidth="1" min="1" max="1"/>
    <col width="24"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ISMS-IMP-A.8.2-3-5.6 – Authentication &amp; Privileged Access Compliance Dashboard
ISO/IEC 27001:2022 - Controls A.8.2, A.8.3, A.8.5 - Executive Overview</t>
        </is>
      </c>
    </row>
    <row r="3">
      <c r="A3" s="2" t="inlineStr">
        <is>
          <t>Document Information</t>
        </is>
      </c>
    </row>
    <row r="4">
      <c r="A4" s="3" t="inlineStr">
        <is>
          <t>Document ID</t>
        </is>
      </c>
      <c r="B4" t="inlineStr">
        <is>
          <t>ISMS-IMP-A.8.2-3-5.6</t>
        </is>
      </c>
    </row>
    <row r="5">
      <c r="A5" s="3" t="inlineStr">
        <is>
          <t>Report Type</t>
        </is>
      </c>
      <c r="B5" t="inlineStr">
        <is>
          <t>Compliance Summary Dashboard</t>
        </is>
      </c>
    </row>
    <row r="6">
      <c r="A6" s="3" t="inlineStr">
        <is>
          <t>Related Policy</t>
        </is>
      </c>
      <c r="B6" t="inlineStr">
        <is>
          <t>ISMS-POL-A.8.2-3-5 (Authentication &amp; Access)</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AUTHENTICATION &amp; ACCESS COMPLIANCE STATUS</t>
        </is>
      </c>
    </row>
    <row r="17">
      <c r="A17" s="7" t="inlineStr">
        <is>
          <t>Metric</t>
        </is>
      </c>
      <c r="B17" s="7" t="inlineStr">
        <is>
          <t>Score</t>
        </is>
      </c>
      <c r="C17" s="7" t="inlineStr">
        <is>
          <t>Target</t>
        </is>
      </c>
      <c r="D17" s="7" t="inlineStr">
        <is>
          <t>Status</t>
        </is>
      </c>
    </row>
    <row r="18">
      <c r="A18" s="8" t="inlineStr">
        <is>
          <t>Overall Compliance Rate</t>
        </is>
      </c>
      <c r="B18" s="9">
        <f>SUMPRODUCT(VALUE(SUBSTITUTE(C26:C30,"%","")))/COUNTA(C26:C30)&amp;"%"</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Register'!N21:N120,"&gt;=15",'Risk Register'!Q21:Q120,"&lt;&gt;Closed")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A.8.5 - Authentication Inventory</t>
        </is>
      </c>
      <c r="B26" s="8" t="inlineStr">
        <is>
          <t>ISMS-IMP-A.8.2-3-5.1.xlsx</t>
        </is>
      </c>
      <c r="C26" s="8">
        <f>'[ISMS-IMP-A.8.2-3-5.1.xlsx]Summary Dashboard'!G16</f>
        <v/>
      </c>
      <c r="D26" s="8">
        <f>'[ISMS-IMP-A.8.2-3-5.1.xlsx]Summary Dashboard'!B16</f>
        <v/>
      </c>
      <c r="E26" s="8">
        <f>'[ISMS-IMP-A.8.2-3-5.1.xlsx]Summary Dashboard'!C16</f>
        <v/>
      </c>
      <c r="F26" s="8">
        <f>'[ISMS-IMP-A.8.2-3-5.1.xlsx]Summary Dashboard'!D16</f>
        <v/>
      </c>
      <c r="G26" s="8">
        <f>'[ISMS-IMP-A.8.2-3-5.1.xlsx]Summary Dashboard'!E16</f>
        <v/>
      </c>
      <c r="H26" s="4" t="n"/>
    </row>
    <row r="27">
      <c r="A27" s="8" t="inlineStr">
        <is>
          <t>A.8.5 - MFA Coverage</t>
        </is>
      </c>
      <c r="B27" s="8" t="inlineStr">
        <is>
          <t>ISMS-IMP-A.8.2-3-5.2.xlsx</t>
        </is>
      </c>
      <c r="C27" s="8">
        <f>'[ISMS-IMP-A.8.2-3-5.2.xlsx]Summary Dashboard'!G11</f>
        <v/>
      </c>
      <c r="D27" s="8">
        <f>'[ISMS-IMP-A.8.2-3-5.2.xlsx]Summary Dashboard'!B11</f>
        <v/>
      </c>
      <c r="E27" s="8">
        <f>'[ISMS-IMP-A.8.2-3-5.2.xlsx]Summary Dashboard'!C11</f>
        <v/>
      </c>
      <c r="F27" s="8">
        <f>'[ISMS-IMP-A.8.2-3-5.2.xlsx]Summary Dashboard'!D11</f>
        <v/>
      </c>
      <c r="G27" s="8">
        <f>'[ISMS-IMP-A.8.2-3-5.2.xlsx]Summary Dashboard'!E11</f>
        <v/>
      </c>
      <c r="H27" s="4" t="n"/>
    </row>
    <row r="28">
      <c r="A28" s="8" t="inlineStr">
        <is>
          <t>A.8.2 - Privileged Accounts</t>
        </is>
      </c>
      <c r="B28" s="8" t="inlineStr">
        <is>
          <t>ISMS-IMP-A.8.2-3-5.3.xlsx</t>
        </is>
      </c>
      <c r="C28" s="8">
        <f>'[ISMS-IMP-A.8.2-3-5.3.xlsx]Summary Dashboard'!G11</f>
        <v/>
      </c>
      <c r="D28" s="8">
        <f>'[ISMS-IMP-A.8.2-3-5.3.xlsx]Summary Dashboard'!B11</f>
        <v/>
      </c>
      <c r="E28" s="8">
        <f>'[ISMS-IMP-A.8.2-3-5.3.xlsx]Summary Dashboard'!C11</f>
        <v/>
      </c>
      <c r="F28" s="8">
        <f>'[ISMS-IMP-A.8.2-3-5.3.xlsx]Summary Dashboard'!D11</f>
        <v/>
      </c>
      <c r="G28" s="8">
        <f>'[ISMS-IMP-A.8.2-3-5.3.xlsx]Summary Dashboard'!E11</f>
        <v/>
      </c>
      <c r="H28" s="4" t="n"/>
    </row>
    <row r="29">
      <c r="A29" s="8" t="inlineStr">
        <is>
          <t>A.8.2 - Access Monitoring</t>
        </is>
      </c>
      <c r="B29" s="8" t="inlineStr">
        <is>
          <t>ISMS-IMP-A.8.2-3-5.4.xlsx</t>
        </is>
      </c>
      <c r="C29" s="8">
        <f>'[ISMS-IMP-A.8.2-3-5.4.xlsx]Summary Dashboard'!G9</f>
        <v/>
      </c>
      <c r="D29" s="8">
        <f>'[ISMS-IMP-A.8.2-3-5.4.xlsx]Summary Dashboard'!B9</f>
        <v/>
      </c>
      <c r="E29" s="8">
        <f>'[ISMS-IMP-A.8.2-3-5.4.xlsx]Summary Dashboard'!C9</f>
        <v/>
      </c>
      <c r="F29" s="8">
        <f>'[ISMS-IMP-A.8.2-3-5.4.xlsx]Summary Dashboard'!D9</f>
        <v/>
      </c>
      <c r="G29" s="8">
        <f>'[ISMS-IMP-A.8.2-3-5.4.xlsx]Summary Dashboard'!E9</f>
        <v/>
      </c>
      <c r="H29" s="4" t="n"/>
    </row>
    <row r="30">
      <c r="A30" s="8" t="inlineStr">
        <is>
          <t>A.8.3 - Access Restriction</t>
        </is>
      </c>
      <c r="B30" s="8" t="inlineStr">
        <is>
          <t>ISMS-IMP-A.8.2-3-5.5.xlsx</t>
        </is>
      </c>
      <c r="C30" s="8">
        <f>'[ISMS-IMP-A.8.2-3-5.5.xlsx]Summary Dashboard'!G9</f>
        <v/>
      </c>
      <c r="D30" s="8">
        <f>'[ISMS-IMP-A.8.2-3-5.5.xlsx]Summary Dashboard'!B9</f>
        <v/>
      </c>
      <c r="E30" s="8">
        <f>'[ISMS-IMP-A.8.2-3-5.5.xlsx]Summary Dashboard'!C9</f>
        <v/>
      </c>
      <c r="F30" s="8">
        <f>'[ISMS-IMP-A.8.2-3-5.5.xlsx]Summary Dashboard'!D9</f>
        <v/>
      </c>
      <c r="G30" s="8">
        <f>'[ISMS-IMP-A.8.2-3-5.5.xlsx]Summary Dashboard'!E9</f>
        <v/>
      </c>
      <c r="H30" s="4" t="n"/>
    </row>
    <row r="31">
      <c r="A31" s="11" t="inlineStr">
        <is>
          <t>TOTAL</t>
        </is>
      </c>
      <c r="B31" s="12" t="inlineStr">
        <is>
          <t>(Aggregated)</t>
        </is>
      </c>
      <c r="C31" s="13">
        <f>SUMPRODUCT(VALUE(SUBSTITUTE(C26:C30,"%","")))/COUNTA(C26:C30)&amp;"%"</f>
        <v/>
      </c>
      <c r="D31" s="11">
        <f>SUM(D26:D30)</f>
        <v/>
      </c>
      <c r="E31" s="11">
        <f>SUM(E26:E30)</f>
        <v/>
      </c>
      <c r="F31" s="11">
        <f>SUM(F26:F30)</f>
        <v/>
      </c>
      <c r="G31" s="11">
        <f>SUM(G26:G30)</f>
        <v/>
      </c>
    </row>
    <row r="34">
      <c r="A34" s="10" t="inlineStr">
        <is>
          <t>KEY PERFORMANCE INDICATORS (KPIs)</t>
        </is>
      </c>
    </row>
    <row r="35">
      <c r="A35" s="7" t="inlineStr">
        <is>
          <t>KPI</t>
        </is>
      </c>
      <c r="B35" s="7" t="inlineStr">
        <is>
          <t>Current Value</t>
        </is>
      </c>
      <c r="C35" s="7" t="inlineStr">
        <is>
          <t>Target</t>
        </is>
      </c>
      <c r="D35" s="7" t="inlineStr">
        <is>
          <t>Status</t>
        </is>
      </c>
      <c r="E35" s="7" t="inlineStr">
        <is>
          <t>Last Quarter</t>
        </is>
      </c>
      <c r="F35" s="7" t="inlineStr">
        <is>
          <t>Change</t>
        </is>
      </c>
    </row>
    <row r="36">
      <c r="A36" s="8" t="inlineStr">
        <is>
          <t>MFA Coverage (All Users)</t>
        </is>
      </c>
      <c r="B36" s="4" t="inlineStr"/>
      <c r="C36" s="8" t="inlineStr">
        <is>
          <t>≥85%</t>
        </is>
      </c>
      <c r="D36" s="4" t="n"/>
      <c r="E36" s="4" t="n"/>
      <c r="F36" s="4" t="n"/>
    </row>
    <row r="37">
      <c r="A37" s="8" t="inlineStr">
        <is>
          <t>MFA Coverage (Privileged)</t>
        </is>
      </c>
      <c r="B37" s="4" t="inlineStr"/>
      <c r="C37" s="8" t="inlineStr">
        <is>
          <t>100%</t>
        </is>
      </c>
      <c r="D37" s="4" t="n"/>
      <c r="E37" s="4" t="n"/>
      <c r="F37" s="4" t="n"/>
    </row>
    <row r="38">
      <c r="A38" s="8" t="inlineStr">
        <is>
          <t>MFA Coverage (Remote Access)</t>
        </is>
      </c>
      <c r="B38" s="4" t="inlineStr"/>
      <c r="C38" s="8" t="inlineStr">
        <is>
          <t>100%</t>
        </is>
      </c>
      <c r="D38" s="4" t="n"/>
      <c r="E38" s="4" t="n"/>
      <c r="F38" s="4" t="n"/>
    </row>
    <row r="39">
      <c r="A39" s="8" t="inlineStr">
        <is>
          <t>SSO Adoption Rate</t>
        </is>
      </c>
      <c r="B39" s="4" t="inlineStr"/>
      <c r="C39" s="8" t="inlineStr">
        <is>
          <t>≥80%</t>
        </is>
      </c>
      <c r="D39" s="4" t="n"/>
      <c r="E39" s="4" t="n"/>
      <c r="F39" s="4" t="n"/>
    </row>
    <row r="40">
      <c r="A40" s="8" t="inlineStr">
        <is>
          <t>Accounts in PAM Vault</t>
        </is>
      </c>
      <c r="B40" s="4" t="inlineStr"/>
      <c r="C40" s="8" t="inlineStr">
        <is>
          <t>100%</t>
        </is>
      </c>
      <c r="D40" s="4" t="n"/>
      <c r="E40" s="4" t="n"/>
      <c r="F40" s="4" t="n"/>
    </row>
    <row r="41">
      <c r="A41" s="8" t="inlineStr">
        <is>
          <t>Session Recording (Tier 0)</t>
        </is>
      </c>
      <c r="B41" s="4" t="inlineStr"/>
      <c r="C41" s="8" t="inlineStr">
        <is>
          <t>100%</t>
        </is>
      </c>
      <c r="D41" s="4" t="n"/>
      <c r="E41" s="4" t="n"/>
      <c r="F41" s="4" t="n"/>
    </row>
    <row r="42">
      <c r="A42" s="8" t="inlineStr">
        <is>
          <t>Tier Isolation Violations</t>
        </is>
      </c>
      <c r="B42" s="4" t="inlineStr"/>
      <c r="C42" s="8" t="inlineStr">
        <is>
          <t>0</t>
        </is>
      </c>
      <c r="D42" s="4" t="n"/>
      <c r="E42" s="4" t="n"/>
      <c r="F42" s="4" t="n"/>
    </row>
    <row r="43">
      <c r="A43" s="8" t="inlineStr">
        <is>
          <t>Access Review Completion</t>
        </is>
      </c>
      <c r="B43" s="4" t="inlineStr"/>
      <c r="C43" s="8" t="inlineStr">
        <is>
          <t>100%</t>
        </is>
      </c>
      <c r="D43" s="4" t="n"/>
      <c r="E43" s="4" t="n"/>
      <c r="F43" s="4" t="n"/>
    </row>
    <row r="44">
      <c r="A44" s="8" t="inlineStr">
        <is>
          <t>Orphaned Account Count</t>
        </is>
      </c>
      <c r="B44" s="4" t="inlineStr"/>
      <c r="C44" s="8" t="inlineStr">
        <is>
          <t>0</t>
        </is>
      </c>
      <c r="D44" s="4" t="n"/>
      <c r="E44" s="4" t="n"/>
      <c r="F44" s="4" t="n"/>
    </row>
    <row r="45">
      <c r="A45" s="8" t="inlineStr">
        <is>
          <t>Open Critical Gaps</t>
        </is>
      </c>
      <c r="B45" s="14">
        <f>COUNTIFS('Gap Analysis'!I8:I207,"Critical",'Gap Analysis'!R8:R207,"&lt;&gt;Closed")</f>
        <v/>
      </c>
      <c r="C45" s="8" t="inlineStr">
        <is>
          <t>0</t>
        </is>
      </c>
      <c r="D45" s="4" t="n"/>
      <c r="E45" s="4" t="n"/>
      <c r="F45" s="4" t="n"/>
    </row>
    <row r="48">
      <c r="A48" s="15" t="inlineStr">
        <is>
          <t>TOP 5 CRITICAL SECURITY GAPS</t>
        </is>
      </c>
    </row>
    <row r="49">
      <c r="A49" s="7" t="inlineStr">
        <is>
          <t>Rank</t>
        </is>
      </c>
      <c r="B49" s="7" t="inlineStr">
        <is>
          <t>Issue Description</t>
        </is>
      </c>
      <c r="C49" s="7" t="inlineStr">
        <is>
          <t>Control Area</t>
        </is>
      </c>
      <c r="D49" s="7" t="inlineStr">
        <is>
          <t>Risk Level</t>
        </is>
      </c>
      <c r="E49" s="7" t="inlineStr">
        <is>
          <t>Systems Affected</t>
        </is>
      </c>
      <c r="F49" s="7" t="inlineStr">
        <is>
          <t>Target Date</t>
        </is>
      </c>
      <c r="G49" s="7" t="inlineStr">
        <is>
          <t>Owner</t>
        </is>
      </c>
      <c r="H49" s="7" t="inlineStr">
        <is>
          <t>Status</t>
        </is>
      </c>
    </row>
    <row r="50">
      <c r="A50" s="16" t="n">
        <v>1</v>
      </c>
      <c r="B50" s="4" t="n"/>
      <c r="C50" s="4" t="n"/>
      <c r="D50" s="4" t="n"/>
      <c r="E50" s="4" t="n"/>
      <c r="F50" s="4" t="n"/>
      <c r="G50" s="4" t="n"/>
      <c r="H50" s="4" t="n"/>
    </row>
    <row r="51">
      <c r="A51" s="16" t="n">
        <v>2</v>
      </c>
      <c r="B51" s="4" t="n"/>
      <c r="C51" s="4" t="n"/>
      <c r="D51" s="4" t="n"/>
      <c r="E51" s="4" t="n"/>
      <c r="F51" s="4" t="n"/>
      <c r="G51" s="4" t="n"/>
      <c r="H51" s="4" t="n"/>
    </row>
    <row r="52">
      <c r="A52" s="16" t="n">
        <v>3</v>
      </c>
      <c r="B52" s="4" t="n"/>
      <c r="C52" s="4" t="n"/>
      <c r="D52" s="4" t="n"/>
      <c r="E52" s="4" t="n"/>
      <c r="F52" s="4" t="n"/>
      <c r="G52" s="4" t="n"/>
      <c r="H52" s="4" t="n"/>
    </row>
    <row r="53">
      <c r="A53" s="16" t="n">
        <v>4</v>
      </c>
      <c r="B53" s="4" t="n"/>
      <c r="C53" s="4" t="n"/>
      <c r="D53" s="4" t="n"/>
      <c r="E53" s="4" t="n"/>
      <c r="F53" s="4" t="n"/>
      <c r="G53" s="4" t="n"/>
      <c r="H53" s="4" t="n"/>
    </row>
    <row r="54">
      <c r="A54" s="16" t="n">
        <v>5</v>
      </c>
      <c r="B54" s="4" t="n"/>
      <c r="C54" s="4" t="n"/>
      <c r="D54" s="4" t="n"/>
      <c r="E54" s="4" t="n"/>
      <c r="F54" s="4" t="n"/>
      <c r="G54" s="4" t="n"/>
      <c r="H54" s="4" t="n"/>
    </row>
    <row r="57">
      <c r="A57" s="10" t="inlineStr">
        <is>
          <t>EXECUTIVE SUMMARY</t>
        </is>
      </c>
    </row>
    <row r="58">
      <c r="A58" s="3" t="inlineStr">
        <is>
          <t>Assessment Period:</t>
        </is>
      </c>
      <c r="B58" s="4" t="inlineStr"/>
    </row>
    <row r="59">
      <c r="A59" s="3" t="inlineStr">
        <is>
          <t>Overall Compliance Status:</t>
        </is>
      </c>
      <c r="B59" s="4" t="inlineStr"/>
    </row>
    <row r="60">
      <c r="A60" s="3" t="inlineStr">
        <is>
          <t>Security Posture:</t>
        </is>
      </c>
      <c r="B60" s="4" t="inlineStr"/>
    </row>
    <row r="62">
      <c r="A62" s="3" t="inlineStr">
        <is>
          <t>Key Achievements This Period:</t>
        </is>
      </c>
    </row>
    <row r="63">
      <c r="A63" s="17" t="n"/>
    </row>
    <row r="64"/>
    <row r="65"/>
    <row r="66"/>
    <row r="67"/>
    <row r="69">
      <c r="A69" s="3" t="inlineStr">
        <is>
          <t>Major Concerns:</t>
        </is>
      </c>
    </row>
    <row r="70">
      <c r="A70" s="17" t="n"/>
    </row>
    <row r="71"/>
    <row r="72"/>
    <row r="73"/>
    <row r="74"/>
    <row r="76">
      <c r="A76" s="3" t="inlineStr">
        <is>
          <t>Recommended Executive Actions:</t>
        </is>
      </c>
    </row>
    <row r="77">
      <c r="A77" s="3" t="inlineStr">
        <is>
          <t>1.</t>
        </is>
      </c>
      <c r="B77" s="4" t="n"/>
    </row>
    <row r="78">
      <c r="A78" s="3" t="inlineStr">
        <is>
          <t>2.</t>
        </is>
      </c>
      <c r="B78" s="4" t="n"/>
    </row>
    <row r="79">
      <c r="A79" s="3" t="inlineStr">
        <is>
          <t>3.</t>
        </is>
      </c>
      <c r="B79" s="4" t="n"/>
    </row>
  </sheetData>
  <mergeCells count="14">
    <mergeCell ref="A48:H48"/>
    <mergeCell ref="B59:D59"/>
    <mergeCell ref="B60:D60"/>
    <mergeCell ref="B79:H79"/>
    <mergeCell ref="A57:H57"/>
    <mergeCell ref="A24:H24"/>
    <mergeCell ref="A16:H16"/>
    <mergeCell ref="B77:H77"/>
    <mergeCell ref="B58:D58"/>
    <mergeCell ref="A34:F34"/>
    <mergeCell ref="B78:H78"/>
    <mergeCell ref="A1:H1"/>
    <mergeCell ref="A63:H67"/>
    <mergeCell ref="A70:H74"/>
  </mergeCells>
  <dataValidations count="2">
    <dataValidation sqref="D18:D21" showDropDown="0" showInputMessage="0" showErrorMessage="0" allowBlank="0" type="list">
      <formula1>"Green,Amber,Red"</formula1>
    </dataValidation>
    <dataValidation sqref="H26 H27 H28 H29 H30"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7"/>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18" customWidth="1" min="3" max="3"/>
    <col width="45" customWidth="1" min="4" max="4"/>
    <col width="30" customWidth="1" min="5" max="5"/>
    <col width="30" customWidth="1" min="6" max="6"/>
    <col width="25" customWidth="1" min="7" max="7"/>
    <col width="25" customWidth="1" min="8" max="8"/>
    <col width="12" customWidth="1" min="9" max="9"/>
    <col width="12" customWidth="1" min="10" max="10"/>
    <col width="12" customWidth="1" min="11" max="11"/>
    <col width="20" customWidth="1" min="12" max="12"/>
    <col width="35" customWidth="1" min="13" max="13"/>
    <col width="18" customWidth="1" min="14" max="14"/>
    <col width="14" customWidth="1" min="15" max="15"/>
    <col width="14" customWidth="1" min="16" max="16"/>
    <col width="15" customWidth="1" min="17" max="17"/>
    <col width="12" customWidth="1" min="18" max="18"/>
    <col width="14" customWidth="1" min="19" max="19"/>
    <col width="30" customWidth="1" min="20" max="20"/>
  </cols>
  <sheetData>
    <row r="1" ht="45" customHeight="1">
      <c r="A1" s="1" t="inlineStr">
        <is>
          <t>COMPREHENSIVE GAP ANALYSIS - AUTHENTICATION &amp; ACCESS CONTROLS
Consolidated view of all compliance gaps across assessment areas</t>
        </is>
      </c>
    </row>
    <row r="3">
      <c r="A3" s="10" t="inlineStr">
        <is>
          <t>GAP SUMMARY STATISTICS</t>
        </is>
      </c>
    </row>
    <row r="4">
      <c r="A4" s="3" t="inlineStr">
        <is>
          <t>Total Gaps Identified:</t>
        </is>
      </c>
      <c r="B4" s="18">
        <f>COUNTA(A8:A207)-COUNTBLANK(A8:A207)</f>
        <v/>
      </c>
    </row>
    <row r="5">
      <c r="A5" s="3" t="inlineStr">
        <is>
          <t>Critical Gaps:</t>
        </is>
      </c>
      <c r="B5" s="18">
        <f>COUNTIF(I8:I207,"Critical")</f>
        <v/>
      </c>
    </row>
    <row r="6">
      <c r="A6" s="3" t="inlineStr">
        <is>
          <t>High Gaps:</t>
        </is>
      </c>
      <c r="B6" s="18">
        <f>COUNTIF(I8:I207,"High")</f>
        <v/>
      </c>
    </row>
    <row r="7">
      <c r="A7" s="7" t="inlineStr">
        <is>
          <t>Gap ID</t>
        </is>
      </c>
      <c r="B7" s="7" t="inlineStr">
        <is>
          <t>Assessment Area</t>
        </is>
      </c>
      <c r="C7" s="7" t="inlineStr">
        <is>
          <t>Control Reference</t>
        </is>
      </c>
      <c r="D7" s="7" t="inlineStr">
        <is>
          <t>Gap Description</t>
        </is>
      </c>
      <c r="E7" s="7" t="inlineStr">
        <is>
          <t>Expected State</t>
        </is>
      </c>
      <c r="F7" s="7" t="inlineStr">
        <is>
          <t>Current State</t>
        </is>
      </c>
      <c r="G7" s="7" t="inlineStr">
        <is>
          <t>Root Cause</t>
        </is>
      </c>
      <c r="H7" s="7" t="inlineStr">
        <is>
          <t>Impact</t>
        </is>
      </c>
      <c r="I7" s="7" t="inlineStr">
        <is>
          <t>Severity</t>
        </is>
      </c>
      <c r="J7" s="7" t="inlineStr">
        <is>
          <t>Likelihood</t>
        </is>
      </c>
      <c r="K7" s="7" t="inlineStr">
        <is>
          <t>Risk Score</t>
        </is>
      </c>
      <c r="L7" s="7" t="inlineStr">
        <is>
          <t>Affected Systems</t>
        </is>
      </c>
      <c r="M7" s="7" t="inlineStr">
        <is>
          <t>Recommended Action</t>
        </is>
      </c>
      <c r="N7" s="7" t="inlineStr">
        <is>
          <t>Owner</t>
        </is>
      </c>
      <c r="O7" s="7" t="inlineStr">
        <is>
          <t>Target Date</t>
        </is>
      </c>
      <c r="P7" s="7" t="inlineStr">
        <is>
          <t>Estimated Cost</t>
        </is>
      </c>
      <c r="Q7" s="7" t="inlineStr">
        <is>
          <t>Evidence Ref</t>
        </is>
      </c>
      <c r="R7" s="7" t="inlineStr">
        <is>
          <t>Status</t>
        </is>
      </c>
      <c r="S7" s="7" t="inlineStr">
        <is>
          <t>Last Updated</t>
        </is>
      </c>
      <c r="T7" s="7" t="inlineStr">
        <is>
          <t>Comments</t>
        </is>
      </c>
    </row>
    <row r="8">
      <c r="A8" s="19" t="inlineStr">
        <is>
          <t>GAP-001</t>
        </is>
      </c>
      <c r="B8" s="20">
        <f>COUNTIF(I8:I207,"Low")</f>
        <v/>
      </c>
      <c r="C8" s="4" t="n"/>
      <c r="D8" s="4" t="n"/>
      <c r="E8" s="4" t="n"/>
      <c r="F8" s="4" t="n"/>
      <c r="G8" s="4" t="n"/>
      <c r="H8" s="4" t="n"/>
      <c r="I8" s="4" t="n"/>
      <c r="J8" s="4" t="n"/>
      <c r="K8">
        <f>IF(OR(I8="",J8=""),"",VLOOKUP(I8,{"Critical",5;"High",4;"Medium",3;"Low",2},2,FALSE)*VLOOKUP(J8,{"Very High",5;"High",4;"Medium",3;"Low",2;"Very Low",1},2,FALSE))</f>
        <v/>
      </c>
      <c r="L8" s="4" t="n"/>
      <c r="M8" s="4" t="n"/>
      <c r="N8" s="4" t="n"/>
      <c r="O8" s="4" t="n"/>
      <c r="P8" s="4" t="n"/>
      <c r="Q8" s="4" t="n"/>
      <c r="R8" s="4" t="n"/>
      <c r="S8" s="4" t="n"/>
      <c r="T8" s="4" t="n"/>
    </row>
    <row r="9">
      <c r="A9" s="19" t="inlineStr">
        <is>
          <t>GAP-002</t>
        </is>
      </c>
      <c r="B9" s="20">
        <f>COUNTIF(R8:R207,"Closed")</f>
        <v/>
      </c>
      <c r="C9" s="4" t="n"/>
      <c r="D9" s="4" t="n"/>
      <c r="E9" s="4" t="n"/>
      <c r="F9" s="4" t="n"/>
      <c r="G9" s="4" t="n"/>
      <c r="H9" s="4" t="n"/>
      <c r="I9" s="4" t="n"/>
      <c r="J9" s="4" t="n"/>
      <c r="K9">
        <f>IF(OR(I9="",J9=""),"",VLOOKUP(I9,{"Critical",5;"High",4;"Medium",3;"Low",2},2,FALSE)*VLOOKUP(J9,{"Very High",5;"High",4;"Medium",3;"Low",2;"Very Low",1},2,FALSE))</f>
        <v/>
      </c>
      <c r="L9" s="4" t="n"/>
      <c r="M9" s="4" t="n"/>
      <c r="N9" s="4" t="n"/>
      <c r="O9" s="4" t="n"/>
      <c r="P9" s="4" t="n"/>
      <c r="Q9" s="4" t="n"/>
      <c r="R9" s="4" t="n"/>
      <c r="S9" s="4" t="n"/>
      <c r="T9" s="4" t="n"/>
    </row>
    <row r="10">
      <c r="A10" s="19" t="inlineStr">
        <is>
          <t>GAP-003</t>
        </is>
      </c>
      <c r="B10" s="20">
        <f>COUNTA(A8:A207)-COUNTBLANK(A8:A207)-COUNTIF(R8:R207,"Closed")</f>
        <v/>
      </c>
      <c r="C10" s="4" t="n"/>
      <c r="D10" s="4" t="n"/>
      <c r="E10" s="4" t="n"/>
      <c r="F10" s="4" t="n"/>
      <c r="G10" s="4" t="n"/>
      <c r="H10" s="4" t="n"/>
      <c r="I10" s="4" t="n"/>
      <c r="J10" s="4" t="n"/>
      <c r="K10">
        <f>IF(OR(I10="",J10=""),"",VLOOKUP(I10,{"Critical",5;"High",4;"Medium",3;"Low",2},2,FALSE)*VLOOKUP(J10,{"Very High",5;"High",4;"Medium",3;"Low",2;"Very Low",1},2,FALSE))</f>
        <v/>
      </c>
      <c r="L10" s="4" t="n"/>
      <c r="M10" s="4" t="n"/>
      <c r="N10" s="4" t="n"/>
      <c r="O10" s="4" t="n"/>
      <c r="P10" s="4" t="n"/>
      <c r="Q10" s="4" t="n"/>
      <c r="R10" s="4" t="n"/>
      <c r="S10" s="4" t="n"/>
      <c r="T10" s="4" t="n"/>
    </row>
    <row r="11">
      <c r="A11" s="19" t="inlineStr">
        <is>
          <t>GAP-004</t>
        </is>
      </c>
      <c r="B11" s="4" t="n"/>
      <c r="C11" s="4" t="n"/>
      <c r="D11" s="4" t="n"/>
      <c r="E11" s="4" t="n"/>
      <c r="F11" s="4" t="n"/>
      <c r="G11" s="4" t="n"/>
      <c r="H11" s="4" t="n"/>
      <c r="I11" s="4" t="n"/>
      <c r="J11" s="4" t="n"/>
      <c r="K11">
        <f>IF(OR(I11="",J11=""),"",VLOOKUP(I11,{"Critical",5;"High",4;"Medium",3;"Low",2},2,FALSE)*VLOOKUP(J11,{"Very High",5;"High",4;"Medium",3;"Low",2;"Very Low",1},2,FALSE))</f>
        <v/>
      </c>
      <c r="L11" s="4" t="n"/>
      <c r="M11" s="4" t="n"/>
      <c r="N11" s="4" t="n"/>
      <c r="O11" s="4" t="n"/>
      <c r="P11" s="4" t="n"/>
      <c r="Q11" s="4" t="n"/>
      <c r="R11" s="4" t="n"/>
      <c r="S11" s="4" t="n"/>
      <c r="T11" s="4" t="n"/>
    </row>
    <row r="12">
      <c r="A12" s="19" t="inlineStr">
        <is>
          <t>GAP-005</t>
        </is>
      </c>
      <c r="B12" s="4" t="n"/>
      <c r="C12" s="4" t="n"/>
      <c r="D12" s="4" t="n"/>
      <c r="E12" s="4" t="n"/>
      <c r="F12" s="4" t="n"/>
      <c r="G12" s="4" t="n"/>
      <c r="H12" s="4" t="n"/>
      <c r="I12" s="4" t="n"/>
      <c r="J12" s="4" t="n"/>
      <c r="K12">
        <f>IF(OR(I12="",J12=""),"",VLOOKUP(I12,{"Critical",5;"High",4;"Medium",3;"Low",2},2,FALSE)*VLOOKUP(J12,{"Very High",5;"High",4;"Medium",3;"Low",2;"Very Low",1},2,FALSE))</f>
        <v/>
      </c>
      <c r="L12" s="4" t="n"/>
      <c r="M12" s="4" t="n"/>
      <c r="N12" s="4" t="n"/>
      <c r="O12" s="4" t="n"/>
      <c r="P12" s="4" t="n"/>
      <c r="Q12" s="4" t="n"/>
      <c r="R12" s="4" t="n"/>
      <c r="S12" s="4" t="n"/>
      <c r="T12" s="4" t="n"/>
    </row>
    <row r="13">
      <c r="A13" s="19" t="inlineStr">
        <is>
          <t>GAP-006</t>
        </is>
      </c>
      <c r="B13" s="4" t="n"/>
      <c r="C13" s="4" t="n"/>
      <c r="D13" s="4" t="n"/>
      <c r="E13" s="4" t="n"/>
      <c r="F13" s="4" t="n"/>
      <c r="G13" s="4" t="n"/>
      <c r="H13" s="4" t="n"/>
      <c r="I13" s="4" t="n"/>
      <c r="J13" s="4" t="n"/>
      <c r="K13">
        <f>IF(OR(I13="",J13=""),"",VLOOKUP(I13,{"Critical",5;"High",4;"Medium",3;"Low",2},2,FALSE)*VLOOKUP(J13,{"Very High",5;"High",4;"Medium",3;"Low",2;"Very Low",1},2,FALSE))</f>
        <v/>
      </c>
      <c r="L13" s="4" t="n"/>
      <c r="M13" s="4" t="n"/>
      <c r="N13" s="4" t="n"/>
      <c r="O13" s="4" t="n"/>
      <c r="P13" s="4" t="n"/>
      <c r="Q13" s="4" t="n"/>
      <c r="R13" s="4" t="n"/>
      <c r="S13" s="4" t="n"/>
      <c r="T13" s="4" t="n"/>
    </row>
    <row r="14">
      <c r="A14" s="19" t="inlineStr">
        <is>
          <t>GAP-007</t>
        </is>
      </c>
      <c r="B14" s="4" t="n"/>
      <c r="C14" s="4" t="n"/>
      <c r="D14" s="4" t="n"/>
      <c r="E14" s="4" t="n"/>
      <c r="F14" s="4" t="n"/>
      <c r="G14" s="4" t="n"/>
      <c r="H14" s="4" t="n"/>
      <c r="I14" s="4" t="n"/>
      <c r="J14" s="4" t="n"/>
      <c r="K14">
        <f>IF(OR(I14="",J14=""),"",VLOOKUP(I14,{"Critical",5;"High",4;"Medium",3;"Low",2},2,FALSE)*VLOOKUP(J14,{"Very High",5;"High",4;"Medium",3;"Low",2;"Very Low",1},2,FALSE))</f>
        <v/>
      </c>
      <c r="L14" s="4" t="n"/>
      <c r="M14" s="4" t="n"/>
      <c r="N14" s="4" t="n"/>
      <c r="O14" s="4" t="n"/>
      <c r="P14" s="4" t="n"/>
      <c r="Q14" s="4" t="n"/>
      <c r="R14" s="4" t="n"/>
      <c r="S14" s="4" t="n"/>
      <c r="T14" s="4" t="n"/>
    </row>
    <row r="15">
      <c r="A15" s="19" t="inlineStr">
        <is>
          <t>GAP-008</t>
        </is>
      </c>
      <c r="B15" s="4" t="n"/>
      <c r="C15" s="4" t="n"/>
      <c r="D15" s="4" t="n"/>
      <c r="E15" s="4" t="n"/>
      <c r="F15" s="4" t="n"/>
      <c r="G15" s="4" t="n"/>
      <c r="H15" s="4" t="n"/>
      <c r="I15" s="4" t="n"/>
      <c r="J15" s="4" t="n"/>
      <c r="K15">
        <f>IF(OR(I15="",J15=""),"",VLOOKUP(I15,{"Critical",5;"High",4;"Medium",3;"Low",2},2,FALSE)*VLOOKUP(J15,{"Very High",5;"High",4;"Medium",3;"Low",2;"Very Low",1},2,FALSE))</f>
        <v/>
      </c>
      <c r="L15" s="4" t="n"/>
      <c r="M15" s="4" t="n"/>
      <c r="N15" s="4" t="n"/>
      <c r="O15" s="4" t="n"/>
      <c r="P15" s="4" t="n"/>
      <c r="Q15" s="4" t="n"/>
      <c r="R15" s="4" t="n"/>
      <c r="S15" s="4" t="n"/>
      <c r="T15" s="4" t="n"/>
    </row>
    <row r="16">
      <c r="A16" s="19" t="inlineStr">
        <is>
          <t>GAP-009</t>
        </is>
      </c>
      <c r="B16" s="4" t="n"/>
      <c r="C16" s="4" t="n"/>
      <c r="D16" s="4" t="n"/>
      <c r="E16" s="4" t="n"/>
      <c r="F16" s="4" t="n"/>
      <c r="G16" s="4" t="n"/>
      <c r="H16" s="4" t="n"/>
      <c r="I16" s="4" t="n"/>
      <c r="J16" s="4" t="n"/>
      <c r="K16">
        <f>IF(OR(I16="",J16=""),"",VLOOKUP(I16,{"Critical",5;"High",4;"Medium",3;"Low",2},2,FALSE)*VLOOKUP(J16,{"Very High",5;"High",4;"Medium",3;"Low",2;"Very Low",1},2,FALSE))</f>
        <v/>
      </c>
      <c r="L16" s="4" t="n"/>
      <c r="M16" s="4" t="n"/>
      <c r="N16" s="4" t="n"/>
      <c r="O16" s="4" t="n"/>
      <c r="P16" s="4" t="n"/>
      <c r="Q16" s="4" t="n"/>
      <c r="R16" s="4" t="n"/>
      <c r="S16" s="4" t="n"/>
      <c r="T16" s="4" t="n"/>
    </row>
    <row r="17">
      <c r="A17" s="19" t="inlineStr">
        <is>
          <t>GAP-010</t>
        </is>
      </c>
      <c r="B17" s="4" t="n"/>
      <c r="C17" s="4" t="n"/>
      <c r="D17" s="4" t="n"/>
      <c r="E17" s="4" t="n"/>
      <c r="F17" s="4" t="n"/>
      <c r="G17" s="4" t="n"/>
      <c r="H17" s="4" t="n"/>
      <c r="I17" s="4" t="n"/>
      <c r="J17" s="4" t="n"/>
      <c r="K17">
        <f>IF(OR(I17="",J17=""),"",VLOOKUP(I17,{"Critical",5;"High",4;"Medium",3;"Low",2},2,FALSE)*VLOOKUP(J17,{"Very High",5;"High",4;"Medium",3;"Low",2;"Very Low",1},2,FALSE))</f>
        <v/>
      </c>
      <c r="L17" s="4" t="n"/>
      <c r="M17" s="4" t="n"/>
      <c r="N17" s="4" t="n"/>
      <c r="O17" s="4" t="n"/>
      <c r="P17" s="4" t="n"/>
      <c r="Q17" s="4" t="n"/>
      <c r="R17" s="4" t="n"/>
      <c r="S17" s="4" t="n"/>
      <c r="T17" s="4" t="n"/>
    </row>
    <row r="18">
      <c r="A18" s="21" t="inlineStr"/>
      <c r="B18" s="4" t="n"/>
      <c r="C18" s="4" t="n"/>
      <c r="D18" s="4" t="n"/>
      <c r="E18" s="4" t="n"/>
      <c r="F18" s="4" t="n"/>
      <c r="G18" s="4" t="n"/>
      <c r="H18" s="4" t="n"/>
      <c r="I18" s="4" t="n"/>
      <c r="J18" s="4" t="n"/>
      <c r="K18">
        <f>IF(OR(I18="",J18=""),"",VLOOKUP(I18,{"Critical",5;"High",4;"Medium",3;"Low",2},2,FALSE)*VLOOKUP(J18,{"Very High",5;"High",4;"Medium",3;"Low",2;"Very Low",1},2,FALSE))</f>
        <v/>
      </c>
      <c r="L18" s="4" t="n"/>
      <c r="M18" s="4" t="n"/>
      <c r="N18" s="4" t="n"/>
      <c r="O18" s="4" t="n"/>
      <c r="P18" s="4" t="n"/>
      <c r="Q18" s="4" t="n"/>
      <c r="R18" s="4" t="n"/>
      <c r="S18" s="4" t="n"/>
      <c r="T18" s="4" t="n"/>
    </row>
    <row r="19">
      <c r="A19" s="21" t="inlineStr"/>
      <c r="B19" s="4" t="n"/>
      <c r="C19" s="4" t="n"/>
      <c r="D19" s="4" t="n"/>
      <c r="E19" s="4" t="n"/>
      <c r="F19" s="4" t="n"/>
      <c r="G19" s="4" t="n"/>
      <c r="H19" s="4" t="n"/>
      <c r="I19" s="4" t="n"/>
      <c r="J19" s="4" t="n"/>
      <c r="K19">
        <f>IF(OR(I19="",J19=""),"",VLOOKUP(I19,{"Critical",5;"High",4;"Medium",3;"Low",2},2,FALSE)*VLOOKUP(J19,{"Very High",5;"High",4;"Medium",3;"Low",2;"Very Low",1},2,FALSE))</f>
        <v/>
      </c>
      <c r="L19" s="4" t="n"/>
      <c r="M19" s="4" t="n"/>
      <c r="N19" s="4" t="n"/>
      <c r="O19" s="4" t="n"/>
      <c r="P19" s="4" t="n"/>
      <c r="Q19" s="4" t="n"/>
      <c r="R19" s="4" t="n"/>
      <c r="S19" s="4" t="n"/>
      <c r="T19" s="4" t="n"/>
    </row>
    <row r="20">
      <c r="A20" s="21" t="inlineStr"/>
      <c r="B20" s="4" t="n"/>
      <c r="C20" s="4" t="n"/>
      <c r="D20" s="4" t="n"/>
      <c r="E20" s="4" t="n"/>
      <c r="F20" s="4" t="n"/>
      <c r="G20" s="4" t="n"/>
      <c r="H20" s="4" t="n"/>
      <c r="I20" s="4" t="n"/>
      <c r="J20" s="4" t="n"/>
      <c r="K20">
        <f>IF(OR(I20="",J20=""),"",VLOOKUP(I20,{"Critical",5;"High",4;"Medium",3;"Low",2},2,FALSE)*VLOOKUP(J20,{"Very High",5;"High",4;"Medium",3;"Low",2;"Very Low",1},2,FALSE))</f>
        <v/>
      </c>
      <c r="L20" s="4" t="n"/>
      <c r="M20" s="4" t="n"/>
      <c r="N20" s="4" t="n"/>
      <c r="O20" s="4" t="n"/>
      <c r="P20" s="4" t="n"/>
      <c r="Q20" s="4" t="n"/>
      <c r="R20" s="4" t="n"/>
      <c r="S20" s="4" t="n"/>
      <c r="T20" s="4" t="n"/>
    </row>
    <row r="21">
      <c r="A21" s="21" t="inlineStr"/>
      <c r="B21" s="4" t="n"/>
      <c r="C21" s="4" t="n"/>
      <c r="D21" s="4" t="n"/>
      <c r="E21" s="4" t="n"/>
      <c r="F21" s="4" t="n"/>
      <c r="G21" s="4" t="n"/>
      <c r="H21" s="4" t="n"/>
      <c r="I21" s="4" t="n"/>
      <c r="J21" s="4" t="n"/>
      <c r="K21">
        <f>IF(OR(I21="",J21=""),"",VLOOKUP(I21,{"Critical",5;"High",4;"Medium",3;"Low",2},2,FALSE)*VLOOKUP(J21,{"Very High",5;"High",4;"Medium",3;"Low",2;"Very Low",1},2,FALSE))</f>
        <v/>
      </c>
      <c r="L21" s="4" t="n"/>
      <c r="M21" s="4" t="n"/>
      <c r="N21" s="4" t="n"/>
      <c r="O21" s="4" t="n"/>
      <c r="P21" s="4" t="n"/>
      <c r="Q21" s="4" t="n"/>
      <c r="R21" s="4" t="n"/>
      <c r="S21" s="4" t="n"/>
      <c r="T21" s="4" t="n"/>
    </row>
    <row r="22">
      <c r="A22" s="21" t="inlineStr"/>
      <c r="B22" s="4" t="n"/>
      <c r="C22" s="4" t="n"/>
      <c r="D22" s="4" t="n"/>
      <c r="E22" s="4" t="n"/>
      <c r="F22" s="4" t="n"/>
      <c r="G22" s="4" t="n"/>
      <c r="H22" s="4" t="n"/>
      <c r="I22" s="4" t="n"/>
      <c r="J22" s="4" t="n"/>
      <c r="K22">
        <f>IF(OR(I22="",J22=""),"",VLOOKUP(I22,{"Critical",5;"High",4;"Medium",3;"Low",2},2,FALSE)*VLOOKUP(J22,{"Very High",5;"High",4;"Medium",3;"Low",2;"Very Low",1},2,FALSE))</f>
        <v/>
      </c>
      <c r="L22" s="4" t="n"/>
      <c r="M22" s="4" t="n"/>
      <c r="N22" s="4" t="n"/>
      <c r="O22" s="4" t="n"/>
      <c r="P22" s="4" t="n"/>
      <c r="Q22" s="4" t="n"/>
      <c r="R22" s="4" t="n"/>
      <c r="S22" s="4" t="n"/>
      <c r="T22" s="4" t="n"/>
    </row>
    <row r="23">
      <c r="A23" s="21" t="inlineStr"/>
      <c r="B23" s="4" t="n"/>
      <c r="C23" s="4" t="n"/>
      <c r="D23" s="4" t="n"/>
      <c r="E23" s="4" t="n"/>
      <c r="F23" s="4" t="n"/>
      <c r="G23" s="4" t="n"/>
      <c r="H23" s="4" t="n"/>
      <c r="I23" s="4" t="n"/>
      <c r="J23" s="4" t="n"/>
      <c r="K23">
        <f>IF(OR(I23="",J23=""),"",VLOOKUP(I23,{"Critical",5;"High",4;"Medium",3;"Low",2},2,FALSE)*VLOOKUP(J23,{"Very High",5;"High",4;"Medium",3;"Low",2;"Very Low",1},2,FALSE))</f>
        <v/>
      </c>
      <c r="L23" s="4" t="n"/>
      <c r="M23" s="4" t="n"/>
      <c r="N23" s="4" t="n"/>
      <c r="O23" s="4" t="n"/>
      <c r="P23" s="4" t="n"/>
      <c r="Q23" s="4" t="n"/>
      <c r="R23" s="4" t="n"/>
      <c r="S23" s="4" t="n"/>
      <c r="T23" s="4" t="n"/>
    </row>
    <row r="24">
      <c r="A24" s="21" t="inlineStr"/>
      <c r="B24" s="4" t="n"/>
      <c r="C24" s="4" t="n"/>
      <c r="D24" s="4" t="n"/>
      <c r="E24" s="4" t="n"/>
      <c r="F24" s="4" t="n"/>
      <c r="G24" s="4" t="n"/>
      <c r="H24" s="4" t="n"/>
      <c r="I24" s="4" t="n"/>
      <c r="J24" s="4" t="n"/>
      <c r="K24">
        <f>IF(OR(I24="",J24=""),"",VLOOKUP(I24,{"Critical",5;"High",4;"Medium",3;"Low",2},2,FALSE)*VLOOKUP(J24,{"Very High",5;"High",4;"Medium",3;"Low",2;"Very Low",1},2,FALSE))</f>
        <v/>
      </c>
      <c r="L24" s="4" t="n"/>
      <c r="M24" s="4" t="n"/>
      <c r="N24" s="4" t="n"/>
      <c r="O24" s="4" t="n"/>
      <c r="P24" s="4" t="n"/>
      <c r="Q24" s="4" t="n"/>
      <c r="R24" s="4" t="n"/>
      <c r="S24" s="4" t="n"/>
      <c r="T24" s="4" t="n"/>
    </row>
    <row r="25">
      <c r="A25" s="21" t="inlineStr"/>
      <c r="B25" s="4" t="n"/>
      <c r="C25" s="4" t="n"/>
      <c r="D25" s="4" t="n"/>
      <c r="E25" s="4" t="n"/>
      <c r="F25" s="4" t="n"/>
      <c r="G25" s="4" t="n"/>
      <c r="H25" s="4" t="n"/>
      <c r="I25" s="4" t="n"/>
      <c r="J25" s="4" t="n"/>
      <c r="K25">
        <f>IF(OR(I25="",J25=""),"",VLOOKUP(I25,{"Critical",5;"High",4;"Medium",3;"Low",2},2,FALSE)*VLOOKUP(J25,{"Very High",5;"High",4;"Medium",3;"Low",2;"Very Low",1},2,FALSE))</f>
        <v/>
      </c>
      <c r="L25" s="4" t="n"/>
      <c r="M25" s="4" t="n"/>
      <c r="N25" s="4" t="n"/>
      <c r="O25" s="4" t="n"/>
      <c r="P25" s="4" t="n"/>
      <c r="Q25" s="4" t="n"/>
      <c r="R25" s="4" t="n"/>
      <c r="S25" s="4" t="n"/>
      <c r="T25" s="4" t="n"/>
    </row>
    <row r="26">
      <c r="A26" s="21" t="inlineStr"/>
      <c r="B26" s="4" t="n"/>
      <c r="C26" s="4" t="n"/>
      <c r="D26" s="4" t="n"/>
      <c r="E26" s="4" t="n"/>
      <c r="F26" s="4" t="n"/>
      <c r="G26" s="4" t="n"/>
      <c r="H26" s="4" t="n"/>
      <c r="I26" s="4" t="n"/>
      <c r="J26" s="4" t="n"/>
      <c r="K26">
        <f>IF(OR(I26="",J26=""),"",VLOOKUP(I26,{"Critical",5;"High",4;"Medium",3;"Low",2},2,FALSE)*VLOOKUP(J26,{"Very High",5;"High",4;"Medium",3;"Low",2;"Very Low",1},2,FALSE))</f>
        <v/>
      </c>
      <c r="L26" s="4" t="n"/>
      <c r="M26" s="4" t="n"/>
      <c r="N26" s="4" t="n"/>
      <c r="O26" s="4" t="n"/>
      <c r="P26" s="4" t="n"/>
      <c r="Q26" s="4" t="n"/>
      <c r="R26" s="4" t="n"/>
      <c r="S26" s="4" t="n"/>
      <c r="T26" s="4" t="n"/>
    </row>
    <row r="27">
      <c r="A27" s="21" t="inlineStr"/>
      <c r="B27" s="4" t="n"/>
      <c r="C27" s="4" t="n"/>
      <c r="D27" s="4" t="n"/>
      <c r="E27" s="4" t="n"/>
      <c r="F27" s="4" t="n"/>
      <c r="G27" s="4" t="n"/>
      <c r="H27" s="4" t="n"/>
      <c r="I27" s="4" t="n"/>
      <c r="J27" s="4" t="n"/>
      <c r="K27">
        <f>IF(OR(I27="",J27=""),"",VLOOKUP(I27,{"Critical",5;"High",4;"Medium",3;"Low",2},2,FALSE)*VLOOKUP(J27,{"Very High",5;"High",4;"Medium",3;"Low",2;"Very Low",1},2,FALSE))</f>
        <v/>
      </c>
      <c r="L27" s="4" t="n"/>
      <c r="M27" s="4" t="n"/>
      <c r="N27" s="4" t="n"/>
      <c r="O27" s="4" t="n"/>
      <c r="P27" s="4" t="n"/>
      <c r="Q27" s="4" t="n"/>
      <c r="R27" s="4" t="n"/>
      <c r="S27" s="4" t="n"/>
      <c r="T27" s="4" t="n"/>
    </row>
    <row r="28">
      <c r="A28" s="21" t="inlineStr"/>
      <c r="B28" s="4" t="n"/>
      <c r="C28" s="4" t="n"/>
      <c r="D28" s="4" t="n"/>
      <c r="E28" s="4" t="n"/>
      <c r="F28" s="4" t="n"/>
      <c r="G28" s="4" t="n"/>
      <c r="H28" s="4" t="n"/>
      <c r="I28" s="4" t="n"/>
      <c r="J28" s="4" t="n"/>
      <c r="K28">
        <f>IF(OR(I28="",J28=""),"",VLOOKUP(I28,{"Critical",5;"High",4;"Medium",3;"Low",2},2,FALSE)*VLOOKUP(J28,{"Very High",5;"High",4;"Medium",3;"Low",2;"Very Low",1},2,FALSE))</f>
        <v/>
      </c>
      <c r="L28" s="4" t="n"/>
      <c r="M28" s="4" t="n"/>
      <c r="N28" s="4" t="n"/>
      <c r="O28" s="4" t="n"/>
      <c r="P28" s="4" t="n"/>
      <c r="Q28" s="4" t="n"/>
      <c r="R28" s="4" t="n"/>
      <c r="S28" s="4" t="n"/>
      <c r="T28" s="4" t="n"/>
    </row>
    <row r="29">
      <c r="A29" s="21" t="inlineStr"/>
      <c r="B29" s="4" t="n"/>
      <c r="C29" s="4" t="n"/>
      <c r="D29" s="4" t="n"/>
      <c r="E29" s="4" t="n"/>
      <c r="F29" s="4" t="n"/>
      <c r="G29" s="4" t="n"/>
      <c r="H29" s="4" t="n"/>
      <c r="I29" s="4" t="n"/>
      <c r="J29" s="4" t="n"/>
      <c r="K29">
        <f>IF(OR(I29="",J29=""),"",VLOOKUP(I29,{"Critical",5;"High",4;"Medium",3;"Low",2},2,FALSE)*VLOOKUP(J29,{"Very High",5;"High",4;"Medium",3;"Low",2;"Very Low",1},2,FALSE))</f>
        <v/>
      </c>
      <c r="L29" s="4" t="n"/>
      <c r="M29" s="4" t="n"/>
      <c r="N29" s="4" t="n"/>
      <c r="O29" s="4" t="n"/>
      <c r="P29" s="4" t="n"/>
      <c r="Q29" s="4" t="n"/>
      <c r="R29" s="4" t="n"/>
      <c r="S29" s="4" t="n"/>
      <c r="T29" s="4" t="n"/>
    </row>
    <row r="30">
      <c r="A30" s="21" t="inlineStr"/>
      <c r="B30" s="4" t="n"/>
      <c r="C30" s="4" t="n"/>
      <c r="D30" s="4" t="n"/>
      <c r="E30" s="4" t="n"/>
      <c r="F30" s="4" t="n"/>
      <c r="G30" s="4" t="n"/>
      <c r="H30" s="4" t="n"/>
      <c r="I30" s="4" t="n"/>
      <c r="J30" s="4" t="n"/>
      <c r="K30">
        <f>IF(OR(I30="",J30=""),"",VLOOKUP(I30,{"Critical",5;"High",4;"Medium",3;"Low",2},2,FALSE)*VLOOKUP(J30,{"Very High",5;"High",4;"Medium",3;"Low",2;"Very Low",1},2,FALSE))</f>
        <v/>
      </c>
      <c r="L30" s="4" t="n"/>
      <c r="M30" s="4" t="n"/>
      <c r="N30" s="4" t="n"/>
      <c r="O30" s="4" t="n"/>
      <c r="P30" s="4" t="n"/>
      <c r="Q30" s="4" t="n"/>
      <c r="R30" s="4" t="n"/>
      <c r="S30" s="4" t="n"/>
      <c r="T30" s="4" t="n"/>
    </row>
    <row r="31">
      <c r="A31" s="21" t="inlineStr"/>
      <c r="B31" s="4" t="n"/>
      <c r="C31" s="4" t="n"/>
      <c r="D31" s="4" t="n"/>
      <c r="E31" s="4" t="n"/>
      <c r="F31" s="4" t="n"/>
      <c r="G31" s="4" t="n"/>
      <c r="H31" s="4" t="n"/>
      <c r="I31" s="4" t="n"/>
      <c r="J31" s="4" t="n"/>
      <c r="K31">
        <f>IF(OR(I31="",J31=""),"",VLOOKUP(I31,{"Critical",5;"High",4;"Medium",3;"Low",2},2,FALSE)*VLOOKUP(J31,{"Very High",5;"High",4;"Medium",3;"Low",2;"Very Low",1},2,FALSE))</f>
        <v/>
      </c>
      <c r="L31" s="4" t="n"/>
      <c r="M31" s="4" t="n"/>
      <c r="N31" s="4" t="n"/>
      <c r="O31" s="4" t="n"/>
      <c r="P31" s="4" t="n"/>
      <c r="Q31" s="4" t="n"/>
      <c r="R31" s="4" t="n"/>
      <c r="S31" s="4" t="n"/>
      <c r="T31" s="4" t="n"/>
    </row>
    <row r="32">
      <c r="A32" s="21" t="inlineStr"/>
      <c r="B32" s="4" t="n"/>
      <c r="C32" s="4" t="n"/>
      <c r="D32" s="4" t="n"/>
      <c r="E32" s="4" t="n"/>
      <c r="F32" s="4" t="n"/>
      <c r="G32" s="4" t="n"/>
      <c r="H32" s="4" t="n"/>
      <c r="I32" s="4" t="n"/>
      <c r="J32" s="4" t="n"/>
      <c r="K32">
        <f>IF(OR(I32="",J32=""),"",VLOOKUP(I32,{"Critical",5;"High",4;"Medium",3;"Low",2},2,FALSE)*VLOOKUP(J32,{"Very High",5;"High",4;"Medium",3;"Low",2;"Very Low",1},2,FALSE))</f>
        <v/>
      </c>
      <c r="L32" s="4" t="n"/>
      <c r="M32" s="4" t="n"/>
      <c r="N32" s="4" t="n"/>
      <c r="O32" s="4" t="n"/>
      <c r="P32" s="4" t="n"/>
      <c r="Q32" s="4" t="n"/>
      <c r="R32" s="4" t="n"/>
      <c r="S32" s="4" t="n"/>
      <c r="T32" s="4" t="n"/>
    </row>
    <row r="33">
      <c r="A33" s="21" t="inlineStr"/>
      <c r="B33" s="4" t="n"/>
      <c r="C33" s="4" t="n"/>
      <c r="D33" s="4" t="n"/>
      <c r="E33" s="4" t="n"/>
      <c r="F33" s="4" t="n"/>
      <c r="G33" s="4" t="n"/>
      <c r="H33" s="4" t="n"/>
      <c r="I33" s="4" t="n"/>
      <c r="J33" s="4" t="n"/>
      <c r="K33">
        <f>IF(OR(I33="",J33=""),"",VLOOKUP(I33,{"Critical",5;"High",4;"Medium",3;"Low",2},2,FALSE)*VLOOKUP(J33,{"Very High",5;"High",4;"Medium",3;"Low",2;"Very Low",1},2,FALSE))</f>
        <v/>
      </c>
      <c r="L33" s="4" t="n"/>
      <c r="M33" s="4" t="n"/>
      <c r="N33" s="4" t="n"/>
      <c r="O33" s="4" t="n"/>
      <c r="P33" s="4" t="n"/>
      <c r="Q33" s="4" t="n"/>
      <c r="R33" s="4" t="n"/>
      <c r="S33" s="4" t="n"/>
      <c r="T33" s="4" t="n"/>
    </row>
    <row r="34">
      <c r="A34" s="21" t="inlineStr"/>
      <c r="B34" s="4" t="n"/>
      <c r="C34" s="4" t="n"/>
      <c r="D34" s="4" t="n"/>
      <c r="E34" s="4" t="n"/>
      <c r="F34" s="4" t="n"/>
      <c r="G34" s="4" t="n"/>
      <c r="H34" s="4" t="n"/>
      <c r="I34" s="4" t="n"/>
      <c r="J34" s="4" t="n"/>
      <c r="K34">
        <f>IF(OR(I34="",J34=""),"",VLOOKUP(I34,{"Critical",5;"High",4;"Medium",3;"Low",2},2,FALSE)*VLOOKUP(J34,{"Very High",5;"High",4;"Medium",3;"Low",2;"Very Low",1},2,FALSE))</f>
        <v/>
      </c>
      <c r="L34" s="4" t="n"/>
      <c r="M34" s="4" t="n"/>
      <c r="N34" s="4" t="n"/>
      <c r="O34" s="4" t="n"/>
      <c r="P34" s="4" t="n"/>
      <c r="Q34" s="4" t="n"/>
      <c r="R34" s="4" t="n"/>
      <c r="S34" s="4" t="n"/>
      <c r="T34" s="4" t="n"/>
    </row>
    <row r="35">
      <c r="A35" s="21" t="inlineStr"/>
      <c r="B35" s="4" t="n"/>
      <c r="C35" s="4" t="n"/>
      <c r="D35" s="4" t="n"/>
      <c r="E35" s="4" t="n"/>
      <c r="F35" s="4" t="n"/>
      <c r="G35" s="4" t="n"/>
      <c r="H35" s="4" t="n"/>
      <c r="I35" s="4" t="n"/>
      <c r="J35" s="4" t="n"/>
      <c r="K35">
        <f>IF(OR(I35="",J35=""),"",VLOOKUP(I35,{"Critical",5;"High",4;"Medium",3;"Low",2},2,FALSE)*VLOOKUP(J35,{"Very High",5;"High",4;"Medium",3;"Low",2;"Very Low",1},2,FALSE))</f>
        <v/>
      </c>
      <c r="L35" s="4" t="n"/>
      <c r="M35" s="4" t="n"/>
      <c r="N35" s="4" t="n"/>
      <c r="O35" s="4" t="n"/>
      <c r="P35" s="4" t="n"/>
      <c r="Q35" s="4" t="n"/>
      <c r="R35" s="4" t="n"/>
      <c r="S35" s="4" t="n"/>
      <c r="T35" s="4" t="n"/>
    </row>
    <row r="36">
      <c r="A36" s="21" t="inlineStr"/>
      <c r="B36" s="4" t="n"/>
      <c r="C36" s="4" t="n"/>
      <c r="D36" s="4" t="n"/>
      <c r="E36" s="4" t="n"/>
      <c r="F36" s="4" t="n"/>
      <c r="G36" s="4" t="n"/>
      <c r="H36" s="4" t="n"/>
      <c r="I36" s="4" t="n"/>
      <c r="J36" s="4" t="n"/>
      <c r="K36">
        <f>IF(OR(I36="",J36=""),"",VLOOKUP(I36,{"Critical",5;"High",4;"Medium",3;"Low",2},2,FALSE)*VLOOKUP(J36,{"Very High",5;"High",4;"Medium",3;"Low",2;"Very Low",1},2,FALSE))</f>
        <v/>
      </c>
      <c r="L36" s="4" t="n"/>
      <c r="M36" s="4" t="n"/>
      <c r="N36" s="4" t="n"/>
      <c r="O36" s="4" t="n"/>
      <c r="P36" s="4" t="n"/>
      <c r="Q36" s="4" t="n"/>
      <c r="R36" s="4" t="n"/>
      <c r="S36" s="4" t="n"/>
      <c r="T36" s="4" t="n"/>
    </row>
    <row r="37">
      <c r="A37" s="21" t="inlineStr"/>
      <c r="B37" s="4" t="n"/>
      <c r="C37" s="4" t="n"/>
      <c r="D37" s="4" t="n"/>
      <c r="E37" s="4" t="n"/>
      <c r="F37" s="4" t="n"/>
      <c r="G37" s="4" t="n"/>
      <c r="H37" s="4" t="n"/>
      <c r="I37" s="4" t="n"/>
      <c r="J37" s="4" t="n"/>
      <c r="K37">
        <f>IF(OR(I37="",J37=""),"",VLOOKUP(I37,{"Critical",5;"High",4;"Medium",3;"Low",2},2,FALSE)*VLOOKUP(J37,{"Very High",5;"High",4;"Medium",3;"Low",2;"Very Low",1},2,FALSE))</f>
        <v/>
      </c>
      <c r="L37" s="4" t="n"/>
      <c r="M37" s="4" t="n"/>
      <c r="N37" s="4" t="n"/>
      <c r="O37" s="4" t="n"/>
      <c r="P37" s="4" t="n"/>
      <c r="Q37" s="4" t="n"/>
      <c r="R37" s="4" t="n"/>
      <c r="S37" s="4" t="n"/>
      <c r="T37" s="4" t="n"/>
    </row>
    <row r="38">
      <c r="A38" s="21" t="inlineStr"/>
      <c r="B38" s="4" t="n"/>
      <c r="C38" s="4" t="n"/>
      <c r="D38" s="4" t="n"/>
      <c r="E38" s="4" t="n"/>
      <c r="F38" s="4" t="n"/>
      <c r="G38" s="4" t="n"/>
      <c r="H38" s="4" t="n"/>
      <c r="I38" s="4" t="n"/>
      <c r="J38" s="4" t="n"/>
      <c r="K38">
        <f>IF(OR(I38="",J38=""),"",VLOOKUP(I38,{"Critical",5;"High",4;"Medium",3;"Low",2},2,FALSE)*VLOOKUP(J38,{"Very High",5;"High",4;"Medium",3;"Low",2;"Very Low",1},2,FALSE))</f>
        <v/>
      </c>
      <c r="L38" s="4" t="n"/>
      <c r="M38" s="4" t="n"/>
      <c r="N38" s="4" t="n"/>
      <c r="O38" s="4" t="n"/>
      <c r="P38" s="4" t="n"/>
      <c r="Q38" s="4" t="n"/>
      <c r="R38" s="4" t="n"/>
      <c r="S38" s="4" t="n"/>
      <c r="T38" s="4" t="n"/>
    </row>
    <row r="39">
      <c r="A39" s="21" t="inlineStr"/>
      <c r="B39" s="4" t="n"/>
      <c r="C39" s="4" t="n"/>
      <c r="D39" s="4" t="n"/>
      <c r="E39" s="4" t="n"/>
      <c r="F39" s="4" t="n"/>
      <c r="G39" s="4" t="n"/>
      <c r="H39" s="4" t="n"/>
      <c r="I39" s="4" t="n"/>
      <c r="J39" s="4" t="n"/>
      <c r="K39">
        <f>IF(OR(I39="",J39=""),"",VLOOKUP(I39,{"Critical",5;"High",4;"Medium",3;"Low",2},2,FALSE)*VLOOKUP(J39,{"Very High",5;"High",4;"Medium",3;"Low",2;"Very Low",1},2,FALSE))</f>
        <v/>
      </c>
      <c r="L39" s="4" t="n"/>
      <c r="M39" s="4" t="n"/>
      <c r="N39" s="4" t="n"/>
      <c r="O39" s="4" t="n"/>
      <c r="P39" s="4" t="n"/>
      <c r="Q39" s="4" t="n"/>
      <c r="R39" s="4" t="n"/>
      <c r="S39" s="4" t="n"/>
      <c r="T39" s="4" t="n"/>
    </row>
    <row r="40">
      <c r="A40" s="21" t="inlineStr"/>
      <c r="B40" s="4" t="n"/>
      <c r="C40" s="4" t="n"/>
      <c r="D40" s="4" t="n"/>
      <c r="E40" s="4" t="n"/>
      <c r="F40" s="4" t="n"/>
      <c r="G40" s="4" t="n"/>
      <c r="H40" s="4" t="n"/>
      <c r="I40" s="4" t="n"/>
      <c r="J40" s="4" t="n"/>
      <c r="K40">
        <f>IF(OR(I40="",J40=""),"",VLOOKUP(I40,{"Critical",5;"High",4;"Medium",3;"Low",2},2,FALSE)*VLOOKUP(J40,{"Very High",5;"High",4;"Medium",3;"Low",2;"Very Low",1},2,FALSE))</f>
        <v/>
      </c>
      <c r="L40" s="4" t="n"/>
      <c r="M40" s="4" t="n"/>
      <c r="N40" s="4" t="n"/>
      <c r="O40" s="4" t="n"/>
      <c r="P40" s="4" t="n"/>
      <c r="Q40" s="4" t="n"/>
      <c r="R40" s="4" t="n"/>
      <c r="S40" s="4" t="n"/>
      <c r="T40" s="4" t="n"/>
    </row>
    <row r="41">
      <c r="A41" s="21" t="inlineStr"/>
      <c r="B41" s="4" t="n"/>
      <c r="C41" s="4" t="n"/>
      <c r="D41" s="4" t="n"/>
      <c r="E41" s="4" t="n"/>
      <c r="F41" s="4" t="n"/>
      <c r="G41" s="4" t="n"/>
      <c r="H41" s="4" t="n"/>
      <c r="I41" s="4" t="n"/>
      <c r="J41" s="4" t="n"/>
      <c r="K41">
        <f>IF(OR(I41="",J41=""),"",VLOOKUP(I41,{"Critical",5;"High",4;"Medium",3;"Low",2},2,FALSE)*VLOOKUP(J41,{"Very High",5;"High",4;"Medium",3;"Low",2;"Very Low",1},2,FALSE))</f>
        <v/>
      </c>
      <c r="L41" s="4" t="n"/>
      <c r="M41" s="4" t="n"/>
      <c r="N41" s="4" t="n"/>
      <c r="O41" s="4" t="n"/>
      <c r="P41" s="4" t="n"/>
      <c r="Q41" s="4" t="n"/>
      <c r="R41" s="4" t="n"/>
      <c r="S41" s="4" t="n"/>
      <c r="T41" s="4" t="n"/>
    </row>
    <row r="42">
      <c r="A42" s="21" t="inlineStr"/>
      <c r="B42" s="4" t="n"/>
      <c r="C42" s="4" t="n"/>
      <c r="D42" s="4" t="n"/>
      <c r="E42" s="4" t="n"/>
      <c r="F42" s="4" t="n"/>
      <c r="G42" s="4" t="n"/>
      <c r="H42" s="4" t="n"/>
      <c r="I42" s="4" t="n"/>
      <c r="J42" s="4" t="n"/>
      <c r="K42">
        <f>IF(OR(I42="",J42=""),"",VLOOKUP(I42,{"Critical",5;"High",4;"Medium",3;"Low",2},2,FALSE)*VLOOKUP(J42,{"Very High",5;"High",4;"Medium",3;"Low",2;"Very Low",1},2,FALSE))</f>
        <v/>
      </c>
      <c r="L42" s="4" t="n"/>
      <c r="M42" s="4" t="n"/>
      <c r="N42" s="4" t="n"/>
      <c r="O42" s="4" t="n"/>
      <c r="P42" s="4" t="n"/>
      <c r="Q42" s="4" t="n"/>
      <c r="R42" s="4" t="n"/>
      <c r="S42" s="4" t="n"/>
      <c r="T42" s="4" t="n"/>
    </row>
    <row r="43">
      <c r="A43" s="21" t="inlineStr"/>
      <c r="B43" s="4" t="n"/>
      <c r="C43" s="4" t="n"/>
      <c r="D43" s="4" t="n"/>
      <c r="E43" s="4" t="n"/>
      <c r="F43" s="4" t="n"/>
      <c r="G43" s="4" t="n"/>
      <c r="H43" s="4" t="n"/>
      <c r="I43" s="4" t="n"/>
      <c r="J43" s="4" t="n"/>
      <c r="K43">
        <f>IF(OR(I43="",J43=""),"",VLOOKUP(I43,{"Critical",5;"High",4;"Medium",3;"Low",2},2,FALSE)*VLOOKUP(J43,{"Very High",5;"High",4;"Medium",3;"Low",2;"Very Low",1},2,FALSE))</f>
        <v/>
      </c>
      <c r="L43" s="4" t="n"/>
      <c r="M43" s="4" t="n"/>
      <c r="N43" s="4" t="n"/>
      <c r="O43" s="4" t="n"/>
      <c r="P43" s="4" t="n"/>
      <c r="Q43" s="4" t="n"/>
      <c r="R43" s="4" t="n"/>
      <c r="S43" s="4" t="n"/>
      <c r="T43" s="4" t="n"/>
    </row>
    <row r="44">
      <c r="A44" s="21" t="inlineStr"/>
      <c r="B44" s="4" t="n"/>
      <c r="C44" s="4" t="n"/>
      <c r="D44" s="4" t="n"/>
      <c r="E44" s="4" t="n"/>
      <c r="F44" s="4" t="n"/>
      <c r="G44" s="4" t="n"/>
      <c r="H44" s="4" t="n"/>
      <c r="I44" s="4" t="n"/>
      <c r="J44" s="4" t="n"/>
      <c r="K44">
        <f>IF(OR(I44="",J44=""),"",VLOOKUP(I44,{"Critical",5;"High",4;"Medium",3;"Low",2},2,FALSE)*VLOOKUP(J44,{"Very High",5;"High",4;"Medium",3;"Low",2;"Very Low",1},2,FALSE))</f>
        <v/>
      </c>
      <c r="L44" s="4" t="n"/>
      <c r="M44" s="4" t="n"/>
      <c r="N44" s="4" t="n"/>
      <c r="O44" s="4" t="n"/>
      <c r="P44" s="4" t="n"/>
      <c r="Q44" s="4" t="n"/>
      <c r="R44" s="4" t="n"/>
      <c r="S44" s="4" t="n"/>
      <c r="T44" s="4" t="n"/>
    </row>
    <row r="45">
      <c r="A45" s="21" t="inlineStr"/>
      <c r="B45" s="4" t="n"/>
      <c r="C45" s="4" t="n"/>
      <c r="D45" s="4" t="n"/>
      <c r="E45" s="4" t="n"/>
      <c r="F45" s="4" t="n"/>
      <c r="G45" s="4" t="n"/>
      <c r="H45" s="4" t="n"/>
      <c r="I45" s="4" t="n"/>
      <c r="J45" s="4" t="n"/>
      <c r="K45">
        <f>IF(OR(I45="",J45=""),"",VLOOKUP(I45,{"Critical",5;"High",4;"Medium",3;"Low",2},2,FALSE)*VLOOKUP(J45,{"Very High",5;"High",4;"Medium",3;"Low",2;"Very Low",1},2,FALSE))</f>
        <v/>
      </c>
      <c r="L45" s="4" t="n"/>
      <c r="M45" s="4" t="n"/>
      <c r="N45" s="4" t="n"/>
      <c r="O45" s="4" t="n"/>
      <c r="P45" s="4" t="n"/>
      <c r="Q45" s="4" t="n"/>
      <c r="R45" s="4" t="n"/>
      <c r="S45" s="4" t="n"/>
      <c r="T45" s="4" t="n"/>
    </row>
    <row r="46">
      <c r="A46" s="21" t="inlineStr"/>
      <c r="B46" s="4" t="n"/>
      <c r="C46" s="4" t="n"/>
      <c r="D46" s="4" t="n"/>
      <c r="E46" s="4" t="n"/>
      <c r="F46" s="4" t="n"/>
      <c r="G46" s="4" t="n"/>
      <c r="H46" s="4" t="n"/>
      <c r="I46" s="4" t="n"/>
      <c r="J46" s="4" t="n"/>
      <c r="K46">
        <f>IF(OR(I46="",J46=""),"",VLOOKUP(I46,{"Critical",5;"High",4;"Medium",3;"Low",2},2,FALSE)*VLOOKUP(J46,{"Very High",5;"High",4;"Medium",3;"Low",2;"Very Low",1},2,FALSE))</f>
        <v/>
      </c>
      <c r="L46" s="4" t="n"/>
      <c r="M46" s="4" t="n"/>
      <c r="N46" s="4" t="n"/>
      <c r="O46" s="4" t="n"/>
      <c r="P46" s="4" t="n"/>
      <c r="Q46" s="4" t="n"/>
      <c r="R46" s="4" t="n"/>
      <c r="S46" s="4" t="n"/>
      <c r="T46" s="4" t="n"/>
    </row>
    <row r="47">
      <c r="A47" s="21" t="inlineStr"/>
      <c r="B47" s="4" t="n"/>
      <c r="C47" s="4" t="n"/>
      <c r="D47" s="4" t="n"/>
      <c r="E47" s="4" t="n"/>
      <c r="F47" s="4" t="n"/>
      <c r="G47" s="4" t="n"/>
      <c r="H47" s="4" t="n"/>
      <c r="I47" s="4" t="n"/>
      <c r="J47" s="4" t="n"/>
      <c r="K47">
        <f>IF(OR(I47="",J47=""),"",VLOOKUP(I47,{"Critical",5;"High",4;"Medium",3;"Low",2},2,FALSE)*VLOOKUP(J47,{"Very High",5;"High",4;"Medium",3;"Low",2;"Very Low",1},2,FALSE))</f>
        <v/>
      </c>
      <c r="L47" s="4" t="n"/>
      <c r="M47" s="4" t="n"/>
      <c r="N47" s="4" t="n"/>
      <c r="O47" s="4" t="n"/>
      <c r="P47" s="4" t="n"/>
      <c r="Q47" s="4" t="n"/>
      <c r="R47" s="4" t="n"/>
      <c r="S47" s="4" t="n"/>
      <c r="T47" s="4" t="n"/>
    </row>
    <row r="48">
      <c r="A48" s="21" t="inlineStr"/>
      <c r="B48" s="4" t="n"/>
      <c r="C48" s="4" t="n"/>
      <c r="D48" s="4" t="n"/>
      <c r="E48" s="4" t="n"/>
      <c r="F48" s="4" t="n"/>
      <c r="G48" s="4" t="n"/>
      <c r="H48" s="4" t="n"/>
      <c r="I48" s="4" t="n"/>
      <c r="J48" s="4" t="n"/>
      <c r="K48">
        <f>IF(OR(I48="",J48=""),"",VLOOKUP(I48,{"Critical",5;"High",4;"Medium",3;"Low",2},2,FALSE)*VLOOKUP(J48,{"Very High",5;"High",4;"Medium",3;"Low",2;"Very Low",1},2,FALSE))</f>
        <v/>
      </c>
      <c r="L48" s="4" t="n"/>
      <c r="M48" s="4" t="n"/>
      <c r="N48" s="4" t="n"/>
      <c r="O48" s="4" t="n"/>
      <c r="P48" s="4" t="n"/>
      <c r="Q48" s="4" t="n"/>
      <c r="R48" s="4" t="n"/>
      <c r="S48" s="4" t="n"/>
      <c r="T48" s="4" t="n"/>
    </row>
    <row r="49">
      <c r="A49" s="21" t="inlineStr"/>
      <c r="B49" s="4" t="n"/>
      <c r="C49" s="4" t="n"/>
      <c r="D49" s="4" t="n"/>
      <c r="E49" s="4" t="n"/>
      <c r="F49" s="4" t="n"/>
      <c r="G49" s="4" t="n"/>
      <c r="H49" s="4" t="n"/>
      <c r="I49" s="4" t="n"/>
      <c r="J49" s="4" t="n"/>
      <c r="K49">
        <f>IF(OR(I49="",J49=""),"",VLOOKUP(I49,{"Critical",5;"High",4;"Medium",3;"Low",2},2,FALSE)*VLOOKUP(J49,{"Very High",5;"High",4;"Medium",3;"Low",2;"Very Low",1},2,FALSE))</f>
        <v/>
      </c>
      <c r="L49" s="4" t="n"/>
      <c r="M49" s="4" t="n"/>
      <c r="N49" s="4" t="n"/>
      <c r="O49" s="4" t="n"/>
      <c r="P49" s="4" t="n"/>
      <c r="Q49" s="4" t="n"/>
      <c r="R49" s="4" t="n"/>
      <c r="S49" s="4" t="n"/>
      <c r="T49" s="4" t="n"/>
    </row>
    <row r="50">
      <c r="A50" s="21" t="inlineStr"/>
      <c r="B50" s="4" t="n"/>
      <c r="C50" s="4" t="n"/>
      <c r="D50" s="4" t="n"/>
      <c r="E50" s="4" t="n"/>
      <c r="F50" s="4" t="n"/>
      <c r="G50" s="4" t="n"/>
      <c r="H50" s="4" t="n"/>
      <c r="I50" s="4" t="n"/>
      <c r="J50" s="4" t="n"/>
      <c r="K50">
        <f>IF(OR(I50="",J50=""),"",VLOOKUP(I50,{"Critical",5;"High",4;"Medium",3;"Low",2},2,FALSE)*VLOOKUP(J50,{"Very High",5;"High",4;"Medium",3;"Low",2;"Very Low",1},2,FALSE))</f>
        <v/>
      </c>
      <c r="L50" s="4" t="n"/>
      <c r="M50" s="4" t="n"/>
      <c r="N50" s="4" t="n"/>
      <c r="O50" s="4" t="n"/>
      <c r="P50" s="4" t="n"/>
      <c r="Q50" s="4" t="n"/>
      <c r="R50" s="4" t="n"/>
      <c r="S50" s="4" t="n"/>
      <c r="T50" s="4" t="n"/>
    </row>
    <row r="51">
      <c r="A51" s="21" t="inlineStr"/>
      <c r="B51" s="4" t="n"/>
      <c r="C51" s="4" t="n"/>
      <c r="D51" s="4" t="n"/>
      <c r="E51" s="4" t="n"/>
      <c r="F51" s="4" t="n"/>
      <c r="G51" s="4" t="n"/>
      <c r="H51" s="4" t="n"/>
      <c r="I51" s="4" t="n"/>
      <c r="J51" s="4" t="n"/>
      <c r="K51">
        <f>IF(OR(I51="",J51=""),"",VLOOKUP(I51,{"Critical",5;"High",4;"Medium",3;"Low",2},2,FALSE)*VLOOKUP(J51,{"Very High",5;"High",4;"Medium",3;"Low",2;"Very Low",1},2,FALSE))</f>
        <v/>
      </c>
      <c r="L51" s="4" t="n"/>
      <c r="M51" s="4" t="n"/>
      <c r="N51" s="4" t="n"/>
      <c r="O51" s="4" t="n"/>
      <c r="P51" s="4" t="n"/>
      <c r="Q51" s="4" t="n"/>
      <c r="R51" s="4" t="n"/>
      <c r="S51" s="4" t="n"/>
      <c r="T51" s="4" t="n"/>
    </row>
    <row r="52">
      <c r="A52" s="21" t="inlineStr"/>
      <c r="B52" s="4" t="n"/>
      <c r="C52" s="4" t="n"/>
      <c r="D52" s="4" t="n"/>
      <c r="E52" s="4" t="n"/>
      <c r="F52" s="4" t="n"/>
      <c r="G52" s="4" t="n"/>
      <c r="H52" s="4" t="n"/>
      <c r="I52" s="4" t="n"/>
      <c r="J52" s="4" t="n"/>
      <c r="K52">
        <f>IF(OR(I52="",J52=""),"",VLOOKUP(I52,{"Critical",5;"High",4;"Medium",3;"Low",2},2,FALSE)*VLOOKUP(J52,{"Very High",5;"High",4;"Medium",3;"Low",2;"Very Low",1},2,FALSE))</f>
        <v/>
      </c>
      <c r="L52" s="4" t="n"/>
      <c r="M52" s="4" t="n"/>
      <c r="N52" s="4" t="n"/>
      <c r="O52" s="4" t="n"/>
      <c r="P52" s="4" t="n"/>
      <c r="Q52" s="4" t="n"/>
      <c r="R52" s="4" t="n"/>
      <c r="S52" s="4" t="n"/>
      <c r="T52" s="4" t="n"/>
    </row>
    <row r="53">
      <c r="A53" s="21" t="inlineStr"/>
      <c r="B53" s="4" t="n"/>
      <c r="C53" s="4" t="n"/>
      <c r="D53" s="4" t="n"/>
      <c r="E53" s="4" t="n"/>
      <c r="F53" s="4" t="n"/>
      <c r="G53" s="4" t="n"/>
      <c r="H53" s="4" t="n"/>
      <c r="I53" s="4" t="n"/>
      <c r="J53" s="4" t="n"/>
      <c r="K53">
        <f>IF(OR(I53="",J53=""),"",VLOOKUP(I53,{"Critical",5;"High",4;"Medium",3;"Low",2},2,FALSE)*VLOOKUP(J53,{"Very High",5;"High",4;"Medium",3;"Low",2;"Very Low",1},2,FALSE))</f>
        <v/>
      </c>
      <c r="L53" s="4" t="n"/>
      <c r="M53" s="4" t="n"/>
      <c r="N53" s="4" t="n"/>
      <c r="O53" s="4" t="n"/>
      <c r="P53" s="4" t="n"/>
      <c r="Q53" s="4" t="n"/>
      <c r="R53" s="4" t="n"/>
      <c r="S53" s="4" t="n"/>
      <c r="T53" s="4" t="n"/>
    </row>
    <row r="54">
      <c r="A54" s="21" t="inlineStr"/>
      <c r="B54" s="4" t="n"/>
      <c r="C54" s="4" t="n"/>
      <c r="D54" s="4" t="n"/>
      <c r="E54" s="4" t="n"/>
      <c r="F54" s="4" t="n"/>
      <c r="G54" s="4" t="n"/>
      <c r="H54" s="4" t="n"/>
      <c r="I54" s="4" t="n"/>
      <c r="J54" s="4" t="n"/>
      <c r="K54">
        <f>IF(OR(I54="",J54=""),"",VLOOKUP(I54,{"Critical",5;"High",4;"Medium",3;"Low",2},2,FALSE)*VLOOKUP(J54,{"Very High",5;"High",4;"Medium",3;"Low",2;"Very Low",1},2,FALSE))</f>
        <v/>
      </c>
      <c r="L54" s="4" t="n"/>
      <c r="M54" s="4" t="n"/>
      <c r="N54" s="4" t="n"/>
      <c r="O54" s="4" t="n"/>
      <c r="P54" s="4" t="n"/>
      <c r="Q54" s="4" t="n"/>
      <c r="R54" s="4" t="n"/>
      <c r="S54" s="4" t="n"/>
      <c r="T54" s="4" t="n"/>
    </row>
    <row r="55">
      <c r="A55" s="21" t="inlineStr"/>
      <c r="B55" s="4" t="n"/>
      <c r="C55" s="4" t="n"/>
      <c r="D55" s="4" t="n"/>
      <c r="E55" s="4" t="n"/>
      <c r="F55" s="4" t="n"/>
      <c r="G55" s="4" t="n"/>
      <c r="H55" s="4" t="n"/>
      <c r="I55" s="4" t="n"/>
      <c r="J55" s="4" t="n"/>
      <c r="K55">
        <f>IF(OR(I55="",J55=""),"",VLOOKUP(I55,{"Critical",5;"High",4;"Medium",3;"Low",2},2,FALSE)*VLOOKUP(J55,{"Very High",5;"High",4;"Medium",3;"Low",2;"Very Low",1},2,FALSE))</f>
        <v/>
      </c>
      <c r="L55" s="4" t="n"/>
      <c r="M55" s="4" t="n"/>
      <c r="N55" s="4" t="n"/>
      <c r="O55" s="4" t="n"/>
      <c r="P55" s="4" t="n"/>
      <c r="Q55" s="4" t="n"/>
      <c r="R55" s="4" t="n"/>
      <c r="S55" s="4" t="n"/>
      <c r="T55" s="4" t="n"/>
    </row>
    <row r="56">
      <c r="A56" s="21" t="inlineStr"/>
      <c r="B56" s="4" t="n"/>
      <c r="C56" s="4" t="n"/>
      <c r="D56" s="4" t="n"/>
      <c r="E56" s="4" t="n"/>
      <c r="F56" s="4" t="n"/>
      <c r="G56" s="4" t="n"/>
      <c r="H56" s="4" t="n"/>
      <c r="I56" s="4" t="n"/>
      <c r="J56" s="4" t="n"/>
      <c r="K56">
        <f>IF(OR(I56="",J56=""),"",VLOOKUP(I56,{"Critical",5;"High",4;"Medium",3;"Low",2},2,FALSE)*VLOOKUP(J56,{"Very High",5;"High",4;"Medium",3;"Low",2;"Very Low",1},2,FALSE))</f>
        <v/>
      </c>
      <c r="L56" s="4" t="n"/>
      <c r="M56" s="4" t="n"/>
      <c r="N56" s="4" t="n"/>
      <c r="O56" s="4" t="n"/>
      <c r="P56" s="4" t="n"/>
      <c r="Q56" s="4" t="n"/>
      <c r="R56" s="4" t="n"/>
      <c r="S56" s="4" t="n"/>
      <c r="T56" s="4" t="n"/>
    </row>
    <row r="57">
      <c r="A57" s="21" t="inlineStr"/>
      <c r="B57" s="4" t="n"/>
      <c r="C57" s="4" t="n"/>
      <c r="D57" s="4" t="n"/>
      <c r="E57" s="4" t="n"/>
      <c r="F57" s="4" t="n"/>
      <c r="G57" s="4" t="n"/>
      <c r="H57" s="4" t="n"/>
      <c r="I57" s="4" t="n"/>
      <c r="J57" s="4" t="n"/>
      <c r="K57">
        <f>IF(OR(I57="",J57=""),"",VLOOKUP(I57,{"Critical",5;"High",4;"Medium",3;"Low",2},2,FALSE)*VLOOKUP(J57,{"Very High",5;"High",4;"Medium",3;"Low",2;"Very Low",1},2,FALSE))</f>
        <v/>
      </c>
      <c r="L57" s="4" t="n"/>
      <c r="M57" s="4" t="n"/>
      <c r="N57" s="4" t="n"/>
      <c r="O57" s="4" t="n"/>
      <c r="P57" s="4" t="n"/>
      <c r="Q57" s="4" t="n"/>
      <c r="R57" s="4" t="n"/>
      <c r="S57" s="4" t="n"/>
      <c r="T57" s="4" t="n"/>
    </row>
    <row r="58">
      <c r="A58" s="21" t="inlineStr"/>
      <c r="B58" s="4" t="n"/>
      <c r="C58" s="4" t="n"/>
      <c r="D58" s="4" t="n"/>
      <c r="E58" s="4" t="n"/>
      <c r="F58" s="4" t="n"/>
      <c r="G58" s="4" t="n"/>
      <c r="H58" s="4" t="n"/>
      <c r="I58" s="4" t="n"/>
      <c r="J58" s="4" t="n"/>
      <c r="K58">
        <f>IF(OR(I58="",J58=""),"",VLOOKUP(I58,{"Critical",5;"High",4;"Medium",3;"Low",2},2,FALSE)*VLOOKUP(J58,{"Very High",5;"High",4;"Medium",3;"Low",2;"Very Low",1},2,FALSE))</f>
        <v/>
      </c>
      <c r="L58" s="4" t="n"/>
      <c r="M58" s="4" t="n"/>
      <c r="N58" s="4" t="n"/>
      <c r="O58" s="4" t="n"/>
      <c r="P58" s="4" t="n"/>
      <c r="Q58" s="4" t="n"/>
      <c r="R58" s="4" t="n"/>
      <c r="S58" s="4" t="n"/>
      <c r="T58" s="4" t="n"/>
    </row>
    <row r="59">
      <c r="A59" s="21" t="inlineStr"/>
      <c r="B59" s="4" t="n"/>
      <c r="C59" s="4" t="n"/>
      <c r="D59" s="4" t="n"/>
      <c r="E59" s="4" t="n"/>
      <c r="F59" s="4" t="n"/>
      <c r="G59" s="4" t="n"/>
      <c r="H59" s="4" t="n"/>
      <c r="I59" s="4" t="n"/>
      <c r="J59" s="4" t="n"/>
      <c r="K59">
        <f>IF(OR(I59="",J59=""),"",VLOOKUP(I59,{"Critical",5;"High",4;"Medium",3;"Low",2},2,FALSE)*VLOOKUP(J59,{"Very High",5;"High",4;"Medium",3;"Low",2;"Very Low",1},2,FALSE))</f>
        <v/>
      </c>
      <c r="L59" s="4" t="n"/>
      <c r="M59" s="4" t="n"/>
      <c r="N59" s="4" t="n"/>
      <c r="O59" s="4" t="n"/>
      <c r="P59" s="4" t="n"/>
      <c r="Q59" s="4" t="n"/>
      <c r="R59" s="4" t="n"/>
      <c r="S59" s="4" t="n"/>
      <c r="T59" s="4" t="n"/>
    </row>
    <row r="60">
      <c r="A60" s="21" t="inlineStr"/>
      <c r="B60" s="4" t="n"/>
      <c r="C60" s="4" t="n"/>
      <c r="D60" s="4" t="n"/>
      <c r="E60" s="4" t="n"/>
      <c r="F60" s="4" t="n"/>
      <c r="G60" s="4" t="n"/>
      <c r="H60" s="4" t="n"/>
      <c r="I60" s="4" t="n"/>
      <c r="J60" s="4" t="n"/>
      <c r="K60">
        <f>IF(OR(I60="",J60=""),"",VLOOKUP(I60,{"Critical",5;"High",4;"Medium",3;"Low",2},2,FALSE)*VLOOKUP(J60,{"Very High",5;"High",4;"Medium",3;"Low",2;"Very Low",1},2,FALSE))</f>
        <v/>
      </c>
      <c r="L60" s="4" t="n"/>
      <c r="M60" s="4" t="n"/>
      <c r="N60" s="4" t="n"/>
      <c r="O60" s="4" t="n"/>
      <c r="P60" s="4" t="n"/>
      <c r="Q60" s="4" t="n"/>
      <c r="R60" s="4" t="n"/>
      <c r="S60" s="4" t="n"/>
      <c r="T60" s="4" t="n"/>
    </row>
    <row r="61">
      <c r="A61" s="21" t="inlineStr"/>
      <c r="B61" s="4" t="n"/>
      <c r="C61" s="4" t="n"/>
      <c r="D61" s="4" t="n"/>
      <c r="E61" s="4" t="n"/>
      <c r="F61" s="4" t="n"/>
      <c r="G61" s="4" t="n"/>
      <c r="H61" s="4" t="n"/>
      <c r="I61" s="4" t="n"/>
      <c r="J61" s="4" t="n"/>
      <c r="K61">
        <f>IF(OR(I61="",J61=""),"",VLOOKUP(I61,{"Critical",5;"High",4;"Medium",3;"Low",2},2,FALSE)*VLOOKUP(J61,{"Very High",5;"High",4;"Medium",3;"Low",2;"Very Low",1},2,FALSE))</f>
        <v/>
      </c>
      <c r="L61" s="4" t="n"/>
      <c r="M61" s="4" t="n"/>
      <c r="N61" s="4" t="n"/>
      <c r="O61" s="4" t="n"/>
      <c r="P61" s="4" t="n"/>
      <c r="Q61" s="4" t="n"/>
      <c r="R61" s="4" t="n"/>
      <c r="S61" s="4" t="n"/>
      <c r="T61" s="4" t="n"/>
    </row>
    <row r="62">
      <c r="A62" s="21" t="inlineStr"/>
      <c r="B62" s="4" t="n"/>
      <c r="C62" s="4" t="n"/>
      <c r="D62" s="4" t="n"/>
      <c r="E62" s="4" t="n"/>
      <c r="F62" s="4" t="n"/>
      <c r="G62" s="4" t="n"/>
      <c r="H62" s="4" t="n"/>
      <c r="I62" s="4" t="n"/>
      <c r="J62" s="4" t="n"/>
      <c r="K62">
        <f>IF(OR(I62="",J62=""),"",VLOOKUP(I62,{"Critical",5;"High",4;"Medium",3;"Low",2},2,FALSE)*VLOOKUP(J62,{"Very High",5;"High",4;"Medium",3;"Low",2;"Very Low",1},2,FALSE))</f>
        <v/>
      </c>
      <c r="L62" s="4" t="n"/>
      <c r="M62" s="4" t="n"/>
      <c r="N62" s="4" t="n"/>
      <c r="O62" s="4" t="n"/>
      <c r="P62" s="4" t="n"/>
      <c r="Q62" s="4" t="n"/>
      <c r="R62" s="4" t="n"/>
      <c r="S62" s="4" t="n"/>
      <c r="T62" s="4" t="n"/>
    </row>
    <row r="63">
      <c r="A63" s="21" t="inlineStr"/>
      <c r="B63" s="4" t="n"/>
      <c r="C63" s="4" t="n"/>
      <c r="D63" s="4" t="n"/>
      <c r="E63" s="4" t="n"/>
      <c r="F63" s="4" t="n"/>
      <c r="G63" s="4" t="n"/>
      <c r="H63" s="4" t="n"/>
      <c r="I63" s="4" t="n"/>
      <c r="J63" s="4" t="n"/>
      <c r="K63">
        <f>IF(OR(I63="",J63=""),"",VLOOKUP(I63,{"Critical",5;"High",4;"Medium",3;"Low",2},2,FALSE)*VLOOKUP(J63,{"Very High",5;"High",4;"Medium",3;"Low",2;"Very Low",1},2,FALSE))</f>
        <v/>
      </c>
      <c r="L63" s="4" t="n"/>
      <c r="M63" s="4" t="n"/>
      <c r="N63" s="4" t="n"/>
      <c r="O63" s="4" t="n"/>
      <c r="P63" s="4" t="n"/>
      <c r="Q63" s="4" t="n"/>
      <c r="R63" s="4" t="n"/>
      <c r="S63" s="4" t="n"/>
      <c r="T63" s="4" t="n"/>
    </row>
    <row r="64">
      <c r="A64" s="21" t="inlineStr"/>
      <c r="B64" s="4" t="n"/>
      <c r="C64" s="4" t="n"/>
      <c r="D64" s="4" t="n"/>
      <c r="E64" s="4" t="n"/>
      <c r="F64" s="4" t="n"/>
      <c r="G64" s="4" t="n"/>
      <c r="H64" s="4" t="n"/>
      <c r="I64" s="4" t="n"/>
      <c r="J64" s="4" t="n"/>
      <c r="K64">
        <f>IF(OR(I64="",J64=""),"",VLOOKUP(I64,{"Critical",5;"High",4;"Medium",3;"Low",2},2,FALSE)*VLOOKUP(J64,{"Very High",5;"High",4;"Medium",3;"Low",2;"Very Low",1},2,FALSE))</f>
        <v/>
      </c>
      <c r="L64" s="4" t="n"/>
      <c r="M64" s="4" t="n"/>
      <c r="N64" s="4" t="n"/>
      <c r="O64" s="4" t="n"/>
      <c r="P64" s="4" t="n"/>
      <c r="Q64" s="4" t="n"/>
      <c r="R64" s="4" t="n"/>
      <c r="S64" s="4" t="n"/>
      <c r="T64" s="4" t="n"/>
    </row>
    <row r="65">
      <c r="A65" s="21" t="inlineStr"/>
      <c r="B65" s="4" t="n"/>
      <c r="C65" s="4" t="n"/>
      <c r="D65" s="4" t="n"/>
      <c r="E65" s="4" t="n"/>
      <c r="F65" s="4" t="n"/>
      <c r="G65" s="4" t="n"/>
      <c r="H65" s="4" t="n"/>
      <c r="I65" s="4" t="n"/>
      <c r="J65" s="4" t="n"/>
      <c r="K65">
        <f>IF(OR(I65="",J65=""),"",VLOOKUP(I65,{"Critical",5;"High",4;"Medium",3;"Low",2},2,FALSE)*VLOOKUP(J65,{"Very High",5;"High",4;"Medium",3;"Low",2;"Very Low",1},2,FALSE))</f>
        <v/>
      </c>
      <c r="L65" s="4" t="n"/>
      <c r="M65" s="4" t="n"/>
      <c r="N65" s="4" t="n"/>
      <c r="O65" s="4" t="n"/>
      <c r="P65" s="4" t="n"/>
      <c r="Q65" s="4" t="n"/>
      <c r="R65" s="4" t="n"/>
      <c r="S65" s="4" t="n"/>
      <c r="T65" s="4" t="n"/>
    </row>
    <row r="66">
      <c r="A66" s="21" t="inlineStr"/>
      <c r="B66" s="4" t="n"/>
      <c r="C66" s="4" t="n"/>
      <c r="D66" s="4" t="n"/>
      <c r="E66" s="4" t="n"/>
      <c r="F66" s="4" t="n"/>
      <c r="G66" s="4" t="n"/>
      <c r="H66" s="4" t="n"/>
      <c r="I66" s="4" t="n"/>
      <c r="J66" s="4" t="n"/>
      <c r="K66">
        <f>IF(OR(I66="",J66=""),"",VLOOKUP(I66,{"Critical",5;"High",4;"Medium",3;"Low",2},2,FALSE)*VLOOKUP(J66,{"Very High",5;"High",4;"Medium",3;"Low",2;"Very Low",1},2,FALSE))</f>
        <v/>
      </c>
      <c r="L66" s="4" t="n"/>
      <c r="M66" s="4" t="n"/>
      <c r="N66" s="4" t="n"/>
      <c r="O66" s="4" t="n"/>
      <c r="P66" s="4" t="n"/>
      <c r="Q66" s="4" t="n"/>
      <c r="R66" s="4" t="n"/>
      <c r="S66" s="4" t="n"/>
      <c r="T66" s="4" t="n"/>
    </row>
    <row r="67">
      <c r="A67" s="21" t="inlineStr"/>
      <c r="B67" s="4" t="n"/>
      <c r="C67" s="4" t="n"/>
      <c r="D67" s="4" t="n"/>
      <c r="E67" s="4" t="n"/>
      <c r="F67" s="4" t="n"/>
      <c r="G67" s="4" t="n"/>
      <c r="H67" s="4" t="n"/>
      <c r="I67" s="4" t="n"/>
      <c r="J67" s="4" t="n"/>
      <c r="K67">
        <f>IF(OR(I67="",J67=""),"",VLOOKUP(I67,{"Critical",5;"High",4;"Medium",3;"Low",2},2,FALSE)*VLOOKUP(J67,{"Very High",5;"High",4;"Medium",3;"Low",2;"Very Low",1},2,FALSE))</f>
        <v/>
      </c>
      <c r="L67" s="4" t="n"/>
      <c r="M67" s="4" t="n"/>
      <c r="N67" s="4" t="n"/>
      <c r="O67" s="4" t="n"/>
      <c r="P67" s="4" t="n"/>
      <c r="Q67" s="4" t="n"/>
      <c r="R67" s="4" t="n"/>
      <c r="S67" s="4" t="n"/>
      <c r="T67" s="4" t="n"/>
    </row>
    <row r="68">
      <c r="A68" s="21" t="inlineStr"/>
      <c r="B68" s="4" t="n"/>
      <c r="C68" s="4" t="n"/>
      <c r="D68" s="4" t="n"/>
      <c r="E68" s="4" t="n"/>
      <c r="F68" s="4" t="n"/>
      <c r="G68" s="4" t="n"/>
      <c r="H68" s="4" t="n"/>
      <c r="I68" s="4" t="n"/>
      <c r="J68" s="4" t="n"/>
      <c r="K68">
        <f>IF(OR(I68="",J68=""),"",VLOOKUP(I68,{"Critical",5;"High",4;"Medium",3;"Low",2},2,FALSE)*VLOOKUP(J68,{"Very High",5;"High",4;"Medium",3;"Low",2;"Very Low",1},2,FALSE))</f>
        <v/>
      </c>
      <c r="L68" s="4" t="n"/>
      <c r="M68" s="4" t="n"/>
      <c r="N68" s="4" t="n"/>
      <c r="O68" s="4" t="n"/>
      <c r="P68" s="4" t="n"/>
      <c r="Q68" s="4" t="n"/>
      <c r="R68" s="4" t="n"/>
      <c r="S68" s="4" t="n"/>
      <c r="T68" s="4" t="n"/>
    </row>
    <row r="69">
      <c r="A69" s="21" t="inlineStr"/>
      <c r="B69" s="4" t="n"/>
      <c r="C69" s="4" t="n"/>
      <c r="D69" s="4" t="n"/>
      <c r="E69" s="4" t="n"/>
      <c r="F69" s="4" t="n"/>
      <c r="G69" s="4" t="n"/>
      <c r="H69" s="4" t="n"/>
      <c r="I69" s="4" t="n"/>
      <c r="J69" s="4" t="n"/>
      <c r="K69">
        <f>IF(OR(I69="",J69=""),"",VLOOKUP(I69,{"Critical",5;"High",4;"Medium",3;"Low",2},2,FALSE)*VLOOKUP(J69,{"Very High",5;"High",4;"Medium",3;"Low",2;"Very Low",1},2,FALSE))</f>
        <v/>
      </c>
      <c r="L69" s="4" t="n"/>
      <c r="M69" s="4" t="n"/>
      <c r="N69" s="4" t="n"/>
      <c r="O69" s="4" t="n"/>
      <c r="P69" s="4" t="n"/>
      <c r="Q69" s="4" t="n"/>
      <c r="R69" s="4" t="n"/>
      <c r="S69" s="4" t="n"/>
      <c r="T69" s="4" t="n"/>
    </row>
    <row r="70">
      <c r="A70" s="21" t="inlineStr"/>
      <c r="B70" s="4" t="n"/>
      <c r="C70" s="4" t="n"/>
      <c r="D70" s="4" t="n"/>
      <c r="E70" s="4" t="n"/>
      <c r="F70" s="4" t="n"/>
      <c r="G70" s="4" t="n"/>
      <c r="H70" s="4" t="n"/>
      <c r="I70" s="4" t="n"/>
      <c r="J70" s="4" t="n"/>
      <c r="K70">
        <f>IF(OR(I70="",J70=""),"",VLOOKUP(I70,{"Critical",5;"High",4;"Medium",3;"Low",2},2,FALSE)*VLOOKUP(J70,{"Very High",5;"High",4;"Medium",3;"Low",2;"Very Low",1},2,FALSE))</f>
        <v/>
      </c>
      <c r="L70" s="4" t="n"/>
      <c r="M70" s="4" t="n"/>
      <c r="N70" s="4" t="n"/>
      <c r="O70" s="4" t="n"/>
      <c r="P70" s="4" t="n"/>
      <c r="Q70" s="4" t="n"/>
      <c r="R70" s="4" t="n"/>
      <c r="S70" s="4" t="n"/>
      <c r="T70" s="4" t="n"/>
    </row>
    <row r="71">
      <c r="A71" s="21" t="inlineStr"/>
      <c r="B71" s="4" t="n"/>
      <c r="C71" s="4" t="n"/>
      <c r="D71" s="4" t="n"/>
      <c r="E71" s="4" t="n"/>
      <c r="F71" s="4" t="n"/>
      <c r="G71" s="4" t="n"/>
      <c r="H71" s="4" t="n"/>
      <c r="I71" s="4" t="n"/>
      <c r="J71" s="4" t="n"/>
      <c r="K71">
        <f>IF(OR(I71="",J71=""),"",VLOOKUP(I71,{"Critical",5;"High",4;"Medium",3;"Low",2},2,FALSE)*VLOOKUP(J71,{"Very High",5;"High",4;"Medium",3;"Low",2;"Very Low",1},2,FALSE))</f>
        <v/>
      </c>
      <c r="L71" s="4" t="n"/>
      <c r="M71" s="4" t="n"/>
      <c r="N71" s="4" t="n"/>
      <c r="O71" s="4" t="n"/>
      <c r="P71" s="4" t="n"/>
      <c r="Q71" s="4" t="n"/>
      <c r="R71" s="4" t="n"/>
      <c r="S71" s="4" t="n"/>
      <c r="T71" s="4" t="n"/>
    </row>
    <row r="72">
      <c r="A72" s="21" t="inlineStr"/>
      <c r="B72" s="4" t="n"/>
      <c r="C72" s="4" t="n"/>
      <c r="D72" s="4" t="n"/>
      <c r="E72" s="4" t="n"/>
      <c r="F72" s="4" t="n"/>
      <c r="G72" s="4" t="n"/>
      <c r="H72" s="4" t="n"/>
      <c r="I72" s="4" t="n"/>
      <c r="J72" s="4" t="n"/>
      <c r="K72">
        <f>IF(OR(I72="",J72=""),"",VLOOKUP(I72,{"Critical",5;"High",4;"Medium",3;"Low",2},2,FALSE)*VLOOKUP(J72,{"Very High",5;"High",4;"Medium",3;"Low",2;"Very Low",1},2,FALSE))</f>
        <v/>
      </c>
      <c r="L72" s="4" t="n"/>
      <c r="M72" s="4" t="n"/>
      <c r="N72" s="4" t="n"/>
      <c r="O72" s="4" t="n"/>
      <c r="P72" s="4" t="n"/>
      <c r="Q72" s="4" t="n"/>
      <c r="R72" s="4" t="n"/>
      <c r="S72" s="4" t="n"/>
      <c r="T72" s="4" t="n"/>
    </row>
    <row r="73">
      <c r="A73" s="21" t="inlineStr"/>
      <c r="B73" s="4" t="n"/>
      <c r="C73" s="4" t="n"/>
      <c r="D73" s="4" t="n"/>
      <c r="E73" s="4" t="n"/>
      <c r="F73" s="4" t="n"/>
      <c r="G73" s="4" t="n"/>
      <c r="H73" s="4" t="n"/>
      <c r="I73" s="4" t="n"/>
      <c r="J73" s="4" t="n"/>
      <c r="K73">
        <f>IF(OR(I73="",J73=""),"",VLOOKUP(I73,{"Critical",5;"High",4;"Medium",3;"Low",2},2,FALSE)*VLOOKUP(J73,{"Very High",5;"High",4;"Medium",3;"Low",2;"Very Low",1},2,FALSE))</f>
        <v/>
      </c>
      <c r="L73" s="4" t="n"/>
      <c r="M73" s="4" t="n"/>
      <c r="N73" s="4" t="n"/>
      <c r="O73" s="4" t="n"/>
      <c r="P73" s="4" t="n"/>
      <c r="Q73" s="4" t="n"/>
      <c r="R73" s="4" t="n"/>
      <c r="S73" s="4" t="n"/>
      <c r="T73" s="4" t="n"/>
    </row>
    <row r="74">
      <c r="A74" s="21" t="inlineStr"/>
      <c r="B74" s="4" t="n"/>
      <c r="C74" s="4" t="n"/>
      <c r="D74" s="4" t="n"/>
      <c r="E74" s="4" t="n"/>
      <c r="F74" s="4" t="n"/>
      <c r="G74" s="4" t="n"/>
      <c r="H74" s="4" t="n"/>
      <c r="I74" s="4" t="n"/>
      <c r="J74" s="4" t="n"/>
      <c r="K74">
        <f>IF(OR(I74="",J74=""),"",VLOOKUP(I74,{"Critical",5;"High",4;"Medium",3;"Low",2},2,FALSE)*VLOOKUP(J74,{"Very High",5;"High",4;"Medium",3;"Low",2;"Very Low",1},2,FALSE))</f>
        <v/>
      </c>
      <c r="L74" s="4" t="n"/>
      <c r="M74" s="4" t="n"/>
      <c r="N74" s="4" t="n"/>
      <c r="O74" s="4" t="n"/>
      <c r="P74" s="4" t="n"/>
      <c r="Q74" s="4" t="n"/>
      <c r="R74" s="4" t="n"/>
      <c r="S74" s="4" t="n"/>
      <c r="T74" s="4" t="n"/>
    </row>
    <row r="75">
      <c r="A75" s="21" t="inlineStr"/>
      <c r="B75" s="4" t="n"/>
      <c r="C75" s="4" t="n"/>
      <c r="D75" s="4" t="n"/>
      <c r="E75" s="4" t="n"/>
      <c r="F75" s="4" t="n"/>
      <c r="G75" s="4" t="n"/>
      <c r="H75" s="4" t="n"/>
      <c r="I75" s="4" t="n"/>
      <c r="J75" s="4" t="n"/>
      <c r="K75">
        <f>IF(OR(I75="",J75=""),"",VLOOKUP(I75,{"Critical",5;"High",4;"Medium",3;"Low",2},2,FALSE)*VLOOKUP(J75,{"Very High",5;"High",4;"Medium",3;"Low",2;"Very Low",1},2,FALSE))</f>
        <v/>
      </c>
      <c r="L75" s="4" t="n"/>
      <c r="M75" s="4" t="n"/>
      <c r="N75" s="4" t="n"/>
      <c r="O75" s="4" t="n"/>
      <c r="P75" s="4" t="n"/>
      <c r="Q75" s="4" t="n"/>
      <c r="R75" s="4" t="n"/>
      <c r="S75" s="4" t="n"/>
      <c r="T75" s="4" t="n"/>
    </row>
    <row r="76">
      <c r="A76" s="21" t="inlineStr"/>
      <c r="B76" s="4" t="n"/>
      <c r="C76" s="4" t="n"/>
      <c r="D76" s="4" t="n"/>
      <c r="E76" s="4" t="n"/>
      <c r="F76" s="4" t="n"/>
      <c r="G76" s="4" t="n"/>
      <c r="H76" s="4" t="n"/>
      <c r="I76" s="4" t="n"/>
      <c r="J76" s="4" t="n"/>
      <c r="K76">
        <f>IF(OR(I76="",J76=""),"",VLOOKUP(I76,{"Critical",5;"High",4;"Medium",3;"Low",2},2,FALSE)*VLOOKUP(J76,{"Very High",5;"High",4;"Medium",3;"Low",2;"Very Low",1},2,FALSE))</f>
        <v/>
      </c>
      <c r="L76" s="4" t="n"/>
      <c r="M76" s="4" t="n"/>
      <c r="N76" s="4" t="n"/>
      <c r="O76" s="4" t="n"/>
      <c r="P76" s="4" t="n"/>
      <c r="Q76" s="4" t="n"/>
      <c r="R76" s="4" t="n"/>
      <c r="S76" s="4" t="n"/>
      <c r="T76" s="4" t="n"/>
    </row>
    <row r="77">
      <c r="A77" s="21" t="inlineStr"/>
      <c r="B77" s="4" t="n"/>
      <c r="C77" s="4" t="n"/>
      <c r="D77" s="4" t="n"/>
      <c r="E77" s="4" t="n"/>
      <c r="F77" s="4" t="n"/>
      <c r="G77" s="4" t="n"/>
      <c r="H77" s="4" t="n"/>
      <c r="I77" s="4" t="n"/>
      <c r="J77" s="4" t="n"/>
      <c r="K77">
        <f>IF(OR(I77="",J77=""),"",VLOOKUP(I77,{"Critical",5;"High",4;"Medium",3;"Low",2},2,FALSE)*VLOOKUP(J77,{"Very High",5;"High",4;"Medium",3;"Low",2;"Very Low",1},2,FALSE))</f>
        <v/>
      </c>
      <c r="L77" s="4" t="n"/>
      <c r="M77" s="4" t="n"/>
      <c r="N77" s="4" t="n"/>
      <c r="O77" s="4" t="n"/>
      <c r="P77" s="4" t="n"/>
      <c r="Q77" s="4" t="n"/>
      <c r="R77" s="4" t="n"/>
      <c r="S77" s="4" t="n"/>
      <c r="T77" s="4" t="n"/>
    </row>
    <row r="78">
      <c r="A78" s="21" t="inlineStr"/>
      <c r="B78" s="4" t="n"/>
      <c r="C78" s="4" t="n"/>
      <c r="D78" s="4" t="n"/>
      <c r="E78" s="4" t="n"/>
      <c r="F78" s="4" t="n"/>
      <c r="G78" s="4" t="n"/>
      <c r="H78" s="4" t="n"/>
      <c r="I78" s="4" t="n"/>
      <c r="J78" s="4" t="n"/>
      <c r="K78">
        <f>IF(OR(I78="",J78=""),"",VLOOKUP(I78,{"Critical",5;"High",4;"Medium",3;"Low",2},2,FALSE)*VLOOKUP(J78,{"Very High",5;"High",4;"Medium",3;"Low",2;"Very Low",1},2,FALSE))</f>
        <v/>
      </c>
      <c r="L78" s="4" t="n"/>
      <c r="M78" s="4" t="n"/>
      <c r="N78" s="4" t="n"/>
      <c r="O78" s="4" t="n"/>
      <c r="P78" s="4" t="n"/>
      <c r="Q78" s="4" t="n"/>
      <c r="R78" s="4" t="n"/>
      <c r="S78" s="4" t="n"/>
      <c r="T78" s="4" t="n"/>
    </row>
    <row r="79">
      <c r="A79" s="21" t="inlineStr"/>
      <c r="B79" s="4" t="n"/>
      <c r="C79" s="4" t="n"/>
      <c r="D79" s="4" t="n"/>
      <c r="E79" s="4" t="n"/>
      <c r="F79" s="4" t="n"/>
      <c r="G79" s="4" t="n"/>
      <c r="H79" s="4" t="n"/>
      <c r="I79" s="4" t="n"/>
      <c r="J79" s="4" t="n"/>
      <c r="K79">
        <f>IF(OR(I79="",J79=""),"",VLOOKUP(I79,{"Critical",5;"High",4;"Medium",3;"Low",2},2,FALSE)*VLOOKUP(J79,{"Very High",5;"High",4;"Medium",3;"Low",2;"Very Low",1},2,FALSE))</f>
        <v/>
      </c>
      <c r="L79" s="4" t="n"/>
      <c r="M79" s="4" t="n"/>
      <c r="N79" s="4" t="n"/>
      <c r="O79" s="4" t="n"/>
      <c r="P79" s="4" t="n"/>
      <c r="Q79" s="4" t="n"/>
      <c r="R79" s="4" t="n"/>
      <c r="S79" s="4" t="n"/>
      <c r="T79" s="4" t="n"/>
    </row>
    <row r="80">
      <c r="A80" s="21" t="inlineStr"/>
      <c r="B80" s="4" t="n"/>
      <c r="C80" s="4" t="n"/>
      <c r="D80" s="4" t="n"/>
      <c r="E80" s="4" t="n"/>
      <c r="F80" s="4" t="n"/>
      <c r="G80" s="4" t="n"/>
      <c r="H80" s="4" t="n"/>
      <c r="I80" s="4" t="n"/>
      <c r="J80" s="4" t="n"/>
      <c r="K80">
        <f>IF(OR(I80="",J80=""),"",VLOOKUP(I80,{"Critical",5;"High",4;"Medium",3;"Low",2},2,FALSE)*VLOOKUP(J80,{"Very High",5;"High",4;"Medium",3;"Low",2;"Very Low",1},2,FALSE))</f>
        <v/>
      </c>
      <c r="L80" s="4" t="n"/>
      <c r="M80" s="4" t="n"/>
      <c r="N80" s="4" t="n"/>
      <c r="O80" s="4" t="n"/>
      <c r="P80" s="4" t="n"/>
      <c r="Q80" s="4" t="n"/>
      <c r="R80" s="4" t="n"/>
      <c r="S80" s="4" t="n"/>
      <c r="T80" s="4" t="n"/>
    </row>
    <row r="81">
      <c r="A81" s="21" t="inlineStr"/>
      <c r="B81" s="4" t="n"/>
      <c r="C81" s="4" t="n"/>
      <c r="D81" s="4" t="n"/>
      <c r="E81" s="4" t="n"/>
      <c r="F81" s="4" t="n"/>
      <c r="G81" s="4" t="n"/>
      <c r="H81" s="4" t="n"/>
      <c r="I81" s="4" t="n"/>
      <c r="J81" s="4" t="n"/>
      <c r="K81">
        <f>IF(OR(I81="",J81=""),"",VLOOKUP(I81,{"Critical",5;"High",4;"Medium",3;"Low",2},2,FALSE)*VLOOKUP(J81,{"Very High",5;"High",4;"Medium",3;"Low",2;"Very Low",1},2,FALSE))</f>
        <v/>
      </c>
      <c r="L81" s="4" t="n"/>
      <c r="M81" s="4" t="n"/>
      <c r="N81" s="4" t="n"/>
      <c r="O81" s="4" t="n"/>
      <c r="P81" s="4" t="n"/>
      <c r="Q81" s="4" t="n"/>
      <c r="R81" s="4" t="n"/>
      <c r="S81" s="4" t="n"/>
      <c r="T81" s="4" t="n"/>
    </row>
    <row r="82">
      <c r="A82" s="21" t="inlineStr"/>
      <c r="B82" s="4" t="n"/>
      <c r="C82" s="4" t="n"/>
      <c r="D82" s="4" t="n"/>
      <c r="E82" s="4" t="n"/>
      <c r="F82" s="4" t="n"/>
      <c r="G82" s="4" t="n"/>
      <c r="H82" s="4" t="n"/>
      <c r="I82" s="4" t="n"/>
      <c r="J82" s="4" t="n"/>
      <c r="K82">
        <f>IF(OR(I82="",J82=""),"",VLOOKUP(I82,{"Critical",5;"High",4;"Medium",3;"Low",2},2,FALSE)*VLOOKUP(J82,{"Very High",5;"High",4;"Medium",3;"Low",2;"Very Low",1},2,FALSE))</f>
        <v/>
      </c>
      <c r="L82" s="4" t="n"/>
      <c r="M82" s="4" t="n"/>
      <c r="N82" s="4" t="n"/>
      <c r="O82" s="4" t="n"/>
      <c r="P82" s="4" t="n"/>
      <c r="Q82" s="4" t="n"/>
      <c r="R82" s="4" t="n"/>
      <c r="S82" s="4" t="n"/>
      <c r="T82" s="4" t="n"/>
    </row>
    <row r="83">
      <c r="A83" s="21" t="inlineStr"/>
      <c r="B83" s="4" t="n"/>
      <c r="C83" s="4" t="n"/>
      <c r="D83" s="4" t="n"/>
      <c r="E83" s="4" t="n"/>
      <c r="F83" s="4" t="n"/>
      <c r="G83" s="4" t="n"/>
      <c r="H83" s="4" t="n"/>
      <c r="I83" s="4" t="n"/>
      <c r="J83" s="4" t="n"/>
      <c r="K83">
        <f>IF(OR(I83="",J83=""),"",VLOOKUP(I83,{"Critical",5;"High",4;"Medium",3;"Low",2},2,FALSE)*VLOOKUP(J83,{"Very High",5;"High",4;"Medium",3;"Low",2;"Very Low",1},2,FALSE))</f>
        <v/>
      </c>
      <c r="L83" s="4" t="n"/>
      <c r="M83" s="4" t="n"/>
      <c r="N83" s="4" t="n"/>
      <c r="O83" s="4" t="n"/>
      <c r="P83" s="4" t="n"/>
      <c r="Q83" s="4" t="n"/>
      <c r="R83" s="4" t="n"/>
      <c r="S83" s="4" t="n"/>
      <c r="T83" s="4" t="n"/>
    </row>
    <row r="84">
      <c r="A84" s="21" t="inlineStr"/>
      <c r="B84" s="4" t="n"/>
      <c r="C84" s="4" t="n"/>
      <c r="D84" s="4" t="n"/>
      <c r="E84" s="4" t="n"/>
      <c r="F84" s="4" t="n"/>
      <c r="G84" s="4" t="n"/>
      <c r="H84" s="4" t="n"/>
      <c r="I84" s="4" t="n"/>
      <c r="J84" s="4" t="n"/>
      <c r="K84">
        <f>IF(OR(I84="",J84=""),"",VLOOKUP(I84,{"Critical",5;"High",4;"Medium",3;"Low",2},2,FALSE)*VLOOKUP(J84,{"Very High",5;"High",4;"Medium",3;"Low",2;"Very Low",1},2,FALSE))</f>
        <v/>
      </c>
      <c r="L84" s="4" t="n"/>
      <c r="M84" s="4" t="n"/>
      <c r="N84" s="4" t="n"/>
      <c r="O84" s="4" t="n"/>
      <c r="P84" s="4" t="n"/>
      <c r="Q84" s="4" t="n"/>
      <c r="R84" s="4" t="n"/>
      <c r="S84" s="4" t="n"/>
      <c r="T84" s="4" t="n"/>
    </row>
    <row r="85">
      <c r="A85" s="21" t="inlineStr"/>
      <c r="B85" s="4" t="n"/>
      <c r="C85" s="4" t="n"/>
      <c r="D85" s="4" t="n"/>
      <c r="E85" s="4" t="n"/>
      <c r="F85" s="4" t="n"/>
      <c r="G85" s="4" t="n"/>
      <c r="H85" s="4" t="n"/>
      <c r="I85" s="4" t="n"/>
      <c r="J85" s="4" t="n"/>
      <c r="K85">
        <f>IF(OR(I85="",J85=""),"",VLOOKUP(I85,{"Critical",5;"High",4;"Medium",3;"Low",2},2,FALSE)*VLOOKUP(J85,{"Very High",5;"High",4;"Medium",3;"Low",2;"Very Low",1},2,FALSE))</f>
        <v/>
      </c>
      <c r="L85" s="4" t="n"/>
      <c r="M85" s="4" t="n"/>
      <c r="N85" s="4" t="n"/>
      <c r="O85" s="4" t="n"/>
      <c r="P85" s="4" t="n"/>
      <c r="Q85" s="4" t="n"/>
      <c r="R85" s="4" t="n"/>
      <c r="S85" s="4" t="n"/>
      <c r="T85" s="4" t="n"/>
    </row>
    <row r="86">
      <c r="A86" s="21" t="inlineStr"/>
      <c r="B86" s="4" t="n"/>
      <c r="C86" s="4" t="n"/>
      <c r="D86" s="4" t="n"/>
      <c r="E86" s="4" t="n"/>
      <c r="F86" s="4" t="n"/>
      <c r="G86" s="4" t="n"/>
      <c r="H86" s="4" t="n"/>
      <c r="I86" s="4" t="n"/>
      <c r="J86" s="4" t="n"/>
      <c r="K86">
        <f>IF(OR(I86="",J86=""),"",VLOOKUP(I86,{"Critical",5;"High",4;"Medium",3;"Low",2},2,FALSE)*VLOOKUP(J86,{"Very High",5;"High",4;"Medium",3;"Low",2;"Very Low",1},2,FALSE))</f>
        <v/>
      </c>
      <c r="L86" s="4" t="n"/>
      <c r="M86" s="4" t="n"/>
      <c r="N86" s="4" t="n"/>
      <c r="O86" s="4" t="n"/>
      <c r="P86" s="4" t="n"/>
      <c r="Q86" s="4" t="n"/>
      <c r="R86" s="4" t="n"/>
      <c r="S86" s="4" t="n"/>
      <c r="T86" s="4" t="n"/>
    </row>
    <row r="87">
      <c r="A87" s="21" t="inlineStr"/>
      <c r="B87" s="4" t="n"/>
      <c r="C87" s="4" t="n"/>
      <c r="D87" s="4" t="n"/>
      <c r="E87" s="4" t="n"/>
      <c r="F87" s="4" t="n"/>
      <c r="G87" s="4" t="n"/>
      <c r="H87" s="4" t="n"/>
      <c r="I87" s="4" t="n"/>
      <c r="J87" s="4" t="n"/>
      <c r="K87">
        <f>IF(OR(I87="",J87=""),"",VLOOKUP(I87,{"Critical",5;"High",4;"Medium",3;"Low",2},2,FALSE)*VLOOKUP(J87,{"Very High",5;"High",4;"Medium",3;"Low",2;"Very Low",1},2,FALSE))</f>
        <v/>
      </c>
      <c r="L87" s="4" t="n"/>
      <c r="M87" s="4" t="n"/>
      <c r="N87" s="4" t="n"/>
      <c r="O87" s="4" t="n"/>
      <c r="P87" s="4" t="n"/>
      <c r="Q87" s="4" t="n"/>
      <c r="R87" s="4" t="n"/>
      <c r="S87" s="4" t="n"/>
      <c r="T87" s="4" t="n"/>
    </row>
    <row r="88">
      <c r="A88" s="21" t="inlineStr"/>
      <c r="B88" s="4" t="n"/>
      <c r="C88" s="4" t="n"/>
      <c r="D88" s="4" t="n"/>
      <c r="E88" s="4" t="n"/>
      <c r="F88" s="4" t="n"/>
      <c r="G88" s="4" t="n"/>
      <c r="H88" s="4" t="n"/>
      <c r="I88" s="4" t="n"/>
      <c r="J88" s="4" t="n"/>
      <c r="K88">
        <f>IF(OR(I88="",J88=""),"",VLOOKUP(I88,{"Critical",5;"High",4;"Medium",3;"Low",2},2,FALSE)*VLOOKUP(J88,{"Very High",5;"High",4;"Medium",3;"Low",2;"Very Low",1},2,FALSE))</f>
        <v/>
      </c>
      <c r="L88" s="4" t="n"/>
      <c r="M88" s="4" t="n"/>
      <c r="N88" s="4" t="n"/>
      <c r="O88" s="4" t="n"/>
      <c r="P88" s="4" t="n"/>
      <c r="Q88" s="4" t="n"/>
      <c r="R88" s="4" t="n"/>
      <c r="S88" s="4" t="n"/>
      <c r="T88" s="4" t="n"/>
    </row>
    <row r="89">
      <c r="A89" s="21" t="inlineStr"/>
      <c r="B89" s="4" t="n"/>
      <c r="C89" s="4" t="n"/>
      <c r="D89" s="4" t="n"/>
      <c r="E89" s="4" t="n"/>
      <c r="F89" s="4" t="n"/>
      <c r="G89" s="4" t="n"/>
      <c r="H89" s="4" t="n"/>
      <c r="I89" s="4" t="n"/>
      <c r="J89" s="4" t="n"/>
      <c r="K89">
        <f>IF(OR(I89="",J89=""),"",VLOOKUP(I89,{"Critical",5;"High",4;"Medium",3;"Low",2},2,FALSE)*VLOOKUP(J89,{"Very High",5;"High",4;"Medium",3;"Low",2;"Very Low",1},2,FALSE))</f>
        <v/>
      </c>
      <c r="L89" s="4" t="n"/>
      <c r="M89" s="4" t="n"/>
      <c r="N89" s="4" t="n"/>
      <c r="O89" s="4" t="n"/>
      <c r="P89" s="4" t="n"/>
      <c r="Q89" s="4" t="n"/>
      <c r="R89" s="4" t="n"/>
      <c r="S89" s="4" t="n"/>
      <c r="T89" s="4" t="n"/>
    </row>
    <row r="90">
      <c r="A90" s="21" t="inlineStr"/>
      <c r="B90" s="4" t="n"/>
      <c r="C90" s="4" t="n"/>
      <c r="D90" s="4" t="n"/>
      <c r="E90" s="4" t="n"/>
      <c r="F90" s="4" t="n"/>
      <c r="G90" s="4" t="n"/>
      <c r="H90" s="4" t="n"/>
      <c r="I90" s="4" t="n"/>
      <c r="J90" s="4" t="n"/>
      <c r="K90">
        <f>IF(OR(I90="",J90=""),"",VLOOKUP(I90,{"Critical",5;"High",4;"Medium",3;"Low",2},2,FALSE)*VLOOKUP(J90,{"Very High",5;"High",4;"Medium",3;"Low",2;"Very Low",1},2,FALSE))</f>
        <v/>
      </c>
      <c r="L90" s="4" t="n"/>
      <c r="M90" s="4" t="n"/>
      <c r="N90" s="4" t="n"/>
      <c r="O90" s="4" t="n"/>
      <c r="P90" s="4" t="n"/>
      <c r="Q90" s="4" t="n"/>
      <c r="R90" s="4" t="n"/>
      <c r="S90" s="4" t="n"/>
      <c r="T90" s="4" t="n"/>
    </row>
    <row r="91">
      <c r="A91" s="21" t="inlineStr"/>
      <c r="B91" s="4" t="n"/>
      <c r="C91" s="4" t="n"/>
      <c r="D91" s="4" t="n"/>
      <c r="E91" s="4" t="n"/>
      <c r="F91" s="4" t="n"/>
      <c r="G91" s="4" t="n"/>
      <c r="H91" s="4" t="n"/>
      <c r="I91" s="4" t="n"/>
      <c r="J91" s="4" t="n"/>
      <c r="K91">
        <f>IF(OR(I91="",J91=""),"",VLOOKUP(I91,{"Critical",5;"High",4;"Medium",3;"Low",2},2,FALSE)*VLOOKUP(J91,{"Very High",5;"High",4;"Medium",3;"Low",2;"Very Low",1},2,FALSE))</f>
        <v/>
      </c>
      <c r="L91" s="4" t="n"/>
      <c r="M91" s="4" t="n"/>
      <c r="N91" s="4" t="n"/>
      <c r="O91" s="4" t="n"/>
      <c r="P91" s="4" t="n"/>
      <c r="Q91" s="4" t="n"/>
      <c r="R91" s="4" t="n"/>
      <c r="S91" s="4" t="n"/>
      <c r="T91" s="4" t="n"/>
    </row>
    <row r="92">
      <c r="A92" s="21" t="inlineStr"/>
      <c r="B92" s="4" t="n"/>
      <c r="C92" s="4" t="n"/>
      <c r="D92" s="4" t="n"/>
      <c r="E92" s="4" t="n"/>
      <c r="F92" s="4" t="n"/>
      <c r="G92" s="4" t="n"/>
      <c r="H92" s="4" t="n"/>
      <c r="I92" s="4" t="n"/>
      <c r="J92" s="4" t="n"/>
      <c r="K92">
        <f>IF(OR(I92="",J92=""),"",VLOOKUP(I92,{"Critical",5;"High",4;"Medium",3;"Low",2},2,FALSE)*VLOOKUP(J92,{"Very High",5;"High",4;"Medium",3;"Low",2;"Very Low",1},2,FALSE))</f>
        <v/>
      </c>
      <c r="L92" s="4" t="n"/>
      <c r="M92" s="4" t="n"/>
      <c r="N92" s="4" t="n"/>
      <c r="O92" s="4" t="n"/>
      <c r="P92" s="4" t="n"/>
      <c r="Q92" s="4" t="n"/>
      <c r="R92" s="4" t="n"/>
      <c r="S92" s="4" t="n"/>
      <c r="T92" s="4" t="n"/>
    </row>
    <row r="93">
      <c r="A93" s="21" t="inlineStr"/>
      <c r="B93" s="4" t="n"/>
      <c r="C93" s="4" t="n"/>
      <c r="D93" s="4" t="n"/>
      <c r="E93" s="4" t="n"/>
      <c r="F93" s="4" t="n"/>
      <c r="G93" s="4" t="n"/>
      <c r="H93" s="4" t="n"/>
      <c r="I93" s="4" t="n"/>
      <c r="J93" s="4" t="n"/>
      <c r="K93">
        <f>IF(OR(I93="",J93=""),"",VLOOKUP(I93,{"Critical",5;"High",4;"Medium",3;"Low",2},2,FALSE)*VLOOKUP(J93,{"Very High",5;"High",4;"Medium",3;"Low",2;"Very Low",1},2,FALSE))</f>
        <v/>
      </c>
      <c r="L93" s="4" t="n"/>
      <c r="M93" s="4" t="n"/>
      <c r="N93" s="4" t="n"/>
      <c r="O93" s="4" t="n"/>
      <c r="P93" s="4" t="n"/>
      <c r="Q93" s="4" t="n"/>
      <c r="R93" s="4" t="n"/>
      <c r="S93" s="4" t="n"/>
      <c r="T93" s="4" t="n"/>
    </row>
    <row r="94">
      <c r="A94" s="21" t="inlineStr"/>
      <c r="B94" s="4" t="n"/>
      <c r="C94" s="4" t="n"/>
      <c r="D94" s="4" t="n"/>
      <c r="E94" s="4" t="n"/>
      <c r="F94" s="4" t="n"/>
      <c r="G94" s="4" t="n"/>
      <c r="H94" s="4" t="n"/>
      <c r="I94" s="4" t="n"/>
      <c r="J94" s="4" t="n"/>
      <c r="K94">
        <f>IF(OR(I94="",J94=""),"",VLOOKUP(I94,{"Critical",5;"High",4;"Medium",3;"Low",2},2,FALSE)*VLOOKUP(J94,{"Very High",5;"High",4;"Medium",3;"Low",2;"Very Low",1},2,FALSE))</f>
        <v/>
      </c>
      <c r="L94" s="4" t="n"/>
      <c r="M94" s="4" t="n"/>
      <c r="N94" s="4" t="n"/>
      <c r="O94" s="4" t="n"/>
      <c r="P94" s="4" t="n"/>
      <c r="Q94" s="4" t="n"/>
      <c r="R94" s="4" t="n"/>
      <c r="S94" s="4" t="n"/>
      <c r="T94" s="4" t="n"/>
    </row>
    <row r="95">
      <c r="A95" s="21" t="inlineStr"/>
      <c r="B95" s="4" t="n"/>
      <c r="C95" s="4" t="n"/>
      <c r="D95" s="4" t="n"/>
      <c r="E95" s="4" t="n"/>
      <c r="F95" s="4" t="n"/>
      <c r="G95" s="4" t="n"/>
      <c r="H95" s="4" t="n"/>
      <c r="I95" s="4" t="n"/>
      <c r="J95" s="4" t="n"/>
      <c r="K95">
        <f>IF(OR(I95="",J95=""),"",VLOOKUP(I95,{"Critical",5;"High",4;"Medium",3;"Low",2},2,FALSE)*VLOOKUP(J95,{"Very High",5;"High",4;"Medium",3;"Low",2;"Very Low",1},2,FALSE))</f>
        <v/>
      </c>
      <c r="L95" s="4" t="n"/>
      <c r="M95" s="4" t="n"/>
      <c r="N95" s="4" t="n"/>
      <c r="O95" s="4" t="n"/>
      <c r="P95" s="4" t="n"/>
      <c r="Q95" s="4" t="n"/>
      <c r="R95" s="4" t="n"/>
      <c r="S95" s="4" t="n"/>
      <c r="T95" s="4" t="n"/>
    </row>
    <row r="96">
      <c r="A96" s="21" t="inlineStr"/>
      <c r="B96" s="4" t="n"/>
      <c r="C96" s="4" t="n"/>
      <c r="D96" s="4" t="n"/>
      <c r="E96" s="4" t="n"/>
      <c r="F96" s="4" t="n"/>
      <c r="G96" s="4" t="n"/>
      <c r="H96" s="4" t="n"/>
      <c r="I96" s="4" t="n"/>
      <c r="J96" s="4" t="n"/>
      <c r="K96">
        <f>IF(OR(I96="",J96=""),"",VLOOKUP(I96,{"Critical",5;"High",4;"Medium",3;"Low",2},2,FALSE)*VLOOKUP(J96,{"Very High",5;"High",4;"Medium",3;"Low",2;"Very Low",1},2,FALSE))</f>
        <v/>
      </c>
      <c r="L96" s="4" t="n"/>
      <c r="M96" s="4" t="n"/>
      <c r="N96" s="4" t="n"/>
      <c r="O96" s="4" t="n"/>
      <c r="P96" s="4" t="n"/>
      <c r="Q96" s="4" t="n"/>
      <c r="R96" s="4" t="n"/>
      <c r="S96" s="4" t="n"/>
      <c r="T96" s="4" t="n"/>
    </row>
    <row r="97">
      <c r="A97" s="21" t="inlineStr"/>
      <c r="B97" s="4" t="n"/>
      <c r="C97" s="4" t="n"/>
      <c r="D97" s="4" t="n"/>
      <c r="E97" s="4" t="n"/>
      <c r="F97" s="4" t="n"/>
      <c r="G97" s="4" t="n"/>
      <c r="H97" s="4" t="n"/>
      <c r="I97" s="4" t="n"/>
      <c r="J97" s="4" t="n"/>
      <c r="K97">
        <f>IF(OR(I97="",J97=""),"",VLOOKUP(I97,{"Critical",5;"High",4;"Medium",3;"Low",2},2,FALSE)*VLOOKUP(J97,{"Very High",5;"High",4;"Medium",3;"Low",2;"Very Low",1},2,FALSE))</f>
        <v/>
      </c>
      <c r="L97" s="4" t="n"/>
      <c r="M97" s="4" t="n"/>
      <c r="N97" s="4" t="n"/>
      <c r="O97" s="4" t="n"/>
      <c r="P97" s="4" t="n"/>
      <c r="Q97" s="4" t="n"/>
      <c r="R97" s="4" t="n"/>
      <c r="S97" s="4" t="n"/>
      <c r="T97" s="4" t="n"/>
    </row>
    <row r="98">
      <c r="A98" s="21" t="inlineStr"/>
      <c r="B98" s="4" t="n"/>
      <c r="C98" s="4" t="n"/>
      <c r="D98" s="4" t="n"/>
      <c r="E98" s="4" t="n"/>
      <c r="F98" s="4" t="n"/>
      <c r="G98" s="4" t="n"/>
      <c r="H98" s="4" t="n"/>
      <c r="I98" s="4" t="n"/>
      <c r="J98" s="4" t="n"/>
      <c r="K98">
        <f>IF(OR(I98="",J98=""),"",VLOOKUP(I98,{"Critical",5;"High",4;"Medium",3;"Low",2},2,FALSE)*VLOOKUP(J98,{"Very High",5;"High",4;"Medium",3;"Low",2;"Very Low",1},2,FALSE))</f>
        <v/>
      </c>
      <c r="L98" s="4" t="n"/>
      <c r="M98" s="4" t="n"/>
      <c r="N98" s="4" t="n"/>
      <c r="O98" s="4" t="n"/>
      <c r="P98" s="4" t="n"/>
      <c r="Q98" s="4" t="n"/>
      <c r="R98" s="4" t="n"/>
      <c r="S98" s="4" t="n"/>
      <c r="T98" s="4" t="n"/>
    </row>
    <row r="99">
      <c r="A99" s="21" t="inlineStr"/>
      <c r="B99" s="4" t="n"/>
      <c r="C99" s="4" t="n"/>
      <c r="D99" s="4" t="n"/>
      <c r="E99" s="4" t="n"/>
      <c r="F99" s="4" t="n"/>
      <c r="G99" s="4" t="n"/>
      <c r="H99" s="4" t="n"/>
      <c r="I99" s="4" t="n"/>
      <c r="J99" s="4" t="n"/>
      <c r="K99">
        <f>IF(OR(I99="",J99=""),"",VLOOKUP(I99,{"Critical",5;"High",4;"Medium",3;"Low",2},2,FALSE)*VLOOKUP(J99,{"Very High",5;"High",4;"Medium",3;"Low",2;"Very Low",1},2,FALSE))</f>
        <v/>
      </c>
      <c r="L99" s="4" t="n"/>
      <c r="M99" s="4" t="n"/>
      <c r="N99" s="4" t="n"/>
      <c r="O99" s="4" t="n"/>
      <c r="P99" s="4" t="n"/>
      <c r="Q99" s="4" t="n"/>
      <c r="R99" s="4" t="n"/>
      <c r="S99" s="4" t="n"/>
      <c r="T99" s="4" t="n"/>
    </row>
    <row r="100">
      <c r="A100" s="21" t="inlineStr"/>
      <c r="B100" s="4" t="n"/>
      <c r="C100" s="4" t="n"/>
      <c r="D100" s="4" t="n"/>
      <c r="E100" s="4" t="n"/>
      <c r="F100" s="4" t="n"/>
      <c r="G100" s="4" t="n"/>
      <c r="H100" s="4" t="n"/>
      <c r="I100" s="4" t="n"/>
      <c r="J100" s="4" t="n"/>
      <c r="K100">
        <f>IF(OR(I100="",J100=""),"",VLOOKUP(I100,{"Critical",5;"High",4;"Medium",3;"Low",2},2,FALSE)*VLOOKUP(J100,{"Very High",5;"High",4;"Medium",3;"Low",2;"Very Low",1},2,FALSE))</f>
        <v/>
      </c>
      <c r="L100" s="4" t="n"/>
      <c r="M100" s="4" t="n"/>
      <c r="N100" s="4" t="n"/>
      <c r="O100" s="4" t="n"/>
      <c r="P100" s="4" t="n"/>
      <c r="Q100" s="4" t="n"/>
      <c r="R100" s="4" t="n"/>
      <c r="S100" s="4" t="n"/>
      <c r="T100" s="4" t="n"/>
    </row>
    <row r="101">
      <c r="A101" s="21" t="inlineStr"/>
      <c r="B101" s="4" t="n"/>
      <c r="C101" s="4" t="n"/>
      <c r="D101" s="4" t="n"/>
      <c r="E101" s="4" t="n"/>
      <c r="F101" s="4" t="n"/>
      <c r="G101" s="4" t="n"/>
      <c r="H101" s="4" t="n"/>
      <c r="I101" s="4" t="n"/>
      <c r="J101" s="4" t="n"/>
      <c r="K101">
        <f>IF(OR(I101="",J101=""),"",VLOOKUP(I101,{"Critical",5;"High",4;"Medium",3;"Low",2},2,FALSE)*VLOOKUP(J101,{"Very High",5;"High",4;"Medium",3;"Low",2;"Very Low",1},2,FALSE))</f>
        <v/>
      </c>
      <c r="L101" s="4" t="n"/>
      <c r="M101" s="4" t="n"/>
      <c r="N101" s="4" t="n"/>
      <c r="O101" s="4" t="n"/>
      <c r="P101" s="4" t="n"/>
      <c r="Q101" s="4" t="n"/>
      <c r="R101" s="4" t="n"/>
      <c r="S101" s="4" t="n"/>
      <c r="T101" s="4" t="n"/>
    </row>
    <row r="102">
      <c r="A102" s="21" t="inlineStr"/>
      <c r="B102" s="4" t="n"/>
      <c r="C102" s="4" t="n"/>
      <c r="D102" s="4" t="n"/>
      <c r="E102" s="4" t="n"/>
      <c r="F102" s="4" t="n"/>
      <c r="G102" s="4" t="n"/>
      <c r="H102" s="4" t="n"/>
      <c r="I102" s="4" t="n"/>
      <c r="J102" s="4" t="n"/>
      <c r="K102">
        <f>IF(OR(I102="",J102=""),"",VLOOKUP(I102,{"Critical",5;"High",4;"Medium",3;"Low",2},2,FALSE)*VLOOKUP(J102,{"Very High",5;"High",4;"Medium",3;"Low",2;"Very Low",1},2,FALSE))</f>
        <v/>
      </c>
      <c r="L102" s="4" t="n"/>
      <c r="M102" s="4" t="n"/>
      <c r="N102" s="4" t="n"/>
      <c r="O102" s="4" t="n"/>
      <c r="P102" s="4" t="n"/>
      <c r="Q102" s="4" t="n"/>
      <c r="R102" s="4" t="n"/>
      <c r="S102" s="4" t="n"/>
      <c r="T102" s="4" t="n"/>
    </row>
    <row r="103">
      <c r="A103" s="21" t="inlineStr"/>
      <c r="B103" s="4" t="n"/>
      <c r="C103" s="4" t="n"/>
      <c r="D103" s="4" t="n"/>
      <c r="E103" s="4" t="n"/>
      <c r="F103" s="4" t="n"/>
      <c r="G103" s="4" t="n"/>
      <c r="H103" s="4" t="n"/>
      <c r="I103" s="4" t="n"/>
      <c r="J103" s="4" t="n"/>
      <c r="K103">
        <f>IF(OR(I103="",J103=""),"",VLOOKUP(I103,{"Critical",5;"High",4;"Medium",3;"Low",2},2,FALSE)*VLOOKUP(J103,{"Very High",5;"High",4;"Medium",3;"Low",2;"Very Low",1},2,FALSE))</f>
        <v/>
      </c>
      <c r="L103" s="4" t="n"/>
      <c r="M103" s="4" t="n"/>
      <c r="N103" s="4" t="n"/>
      <c r="O103" s="4" t="n"/>
      <c r="P103" s="4" t="n"/>
      <c r="Q103" s="4" t="n"/>
      <c r="R103" s="4" t="n"/>
      <c r="S103" s="4" t="n"/>
      <c r="T103" s="4" t="n"/>
    </row>
    <row r="104">
      <c r="A104" s="21" t="inlineStr"/>
      <c r="B104" s="4" t="n"/>
      <c r="C104" s="4" t="n"/>
      <c r="D104" s="4" t="n"/>
      <c r="E104" s="4" t="n"/>
      <c r="F104" s="4" t="n"/>
      <c r="G104" s="4" t="n"/>
      <c r="H104" s="4" t="n"/>
      <c r="I104" s="4" t="n"/>
      <c r="J104" s="4" t="n"/>
      <c r="K104">
        <f>IF(OR(I104="",J104=""),"",VLOOKUP(I104,{"Critical",5;"High",4;"Medium",3;"Low",2},2,FALSE)*VLOOKUP(J104,{"Very High",5;"High",4;"Medium",3;"Low",2;"Very Low",1},2,FALSE))</f>
        <v/>
      </c>
      <c r="L104" s="4" t="n"/>
      <c r="M104" s="4" t="n"/>
      <c r="N104" s="4" t="n"/>
      <c r="O104" s="4" t="n"/>
      <c r="P104" s="4" t="n"/>
      <c r="Q104" s="4" t="n"/>
      <c r="R104" s="4" t="n"/>
      <c r="S104" s="4" t="n"/>
      <c r="T104" s="4" t="n"/>
    </row>
    <row r="105">
      <c r="A105" s="21" t="inlineStr"/>
      <c r="B105" s="4" t="n"/>
      <c r="C105" s="4" t="n"/>
      <c r="D105" s="4" t="n"/>
      <c r="E105" s="4" t="n"/>
      <c r="F105" s="4" t="n"/>
      <c r="G105" s="4" t="n"/>
      <c r="H105" s="4" t="n"/>
      <c r="I105" s="4" t="n"/>
      <c r="J105" s="4" t="n"/>
      <c r="K105">
        <f>IF(OR(I105="",J105=""),"",VLOOKUP(I105,{"Critical",5;"High",4;"Medium",3;"Low",2},2,FALSE)*VLOOKUP(J105,{"Very High",5;"High",4;"Medium",3;"Low",2;"Very Low",1},2,FALSE))</f>
        <v/>
      </c>
      <c r="L105" s="4" t="n"/>
      <c r="M105" s="4" t="n"/>
      <c r="N105" s="4" t="n"/>
      <c r="O105" s="4" t="n"/>
      <c r="P105" s="4" t="n"/>
      <c r="Q105" s="4" t="n"/>
      <c r="R105" s="4" t="n"/>
      <c r="S105" s="4" t="n"/>
      <c r="T105" s="4" t="n"/>
    </row>
    <row r="106">
      <c r="A106" s="21" t="inlineStr"/>
      <c r="B106" s="4" t="n"/>
      <c r="C106" s="4" t="n"/>
      <c r="D106" s="4" t="n"/>
      <c r="E106" s="4" t="n"/>
      <c r="F106" s="4" t="n"/>
      <c r="G106" s="4" t="n"/>
      <c r="H106" s="4" t="n"/>
      <c r="I106" s="4" t="n"/>
      <c r="J106" s="4" t="n"/>
      <c r="K106">
        <f>IF(OR(I106="",J106=""),"",VLOOKUP(I106,{"Critical",5;"High",4;"Medium",3;"Low",2},2,FALSE)*VLOOKUP(J106,{"Very High",5;"High",4;"Medium",3;"Low",2;"Very Low",1},2,FALSE))</f>
        <v/>
      </c>
      <c r="L106" s="4" t="n"/>
      <c r="M106" s="4" t="n"/>
      <c r="N106" s="4" t="n"/>
      <c r="O106" s="4" t="n"/>
      <c r="P106" s="4" t="n"/>
      <c r="Q106" s="4" t="n"/>
      <c r="R106" s="4" t="n"/>
      <c r="S106" s="4" t="n"/>
      <c r="T106" s="4" t="n"/>
    </row>
    <row r="107">
      <c r="A107" s="21" t="inlineStr"/>
      <c r="B107" s="4" t="n"/>
      <c r="C107" s="4" t="n"/>
      <c r="D107" s="4" t="n"/>
      <c r="E107" s="4" t="n"/>
      <c r="F107" s="4" t="n"/>
      <c r="G107" s="4" t="n"/>
      <c r="H107" s="4" t="n"/>
      <c r="I107" s="4" t="n"/>
      <c r="J107" s="4" t="n"/>
      <c r="K107">
        <f>IF(OR(I107="",J107=""),"",VLOOKUP(I107,{"Critical",5;"High",4;"Medium",3;"Low",2},2,FALSE)*VLOOKUP(J107,{"Very High",5;"High",4;"Medium",3;"Low",2;"Very Low",1},2,FALSE))</f>
        <v/>
      </c>
      <c r="L107" s="4" t="n"/>
      <c r="M107" s="4" t="n"/>
      <c r="N107" s="4" t="n"/>
      <c r="O107" s="4" t="n"/>
      <c r="P107" s="4" t="n"/>
      <c r="Q107" s="4" t="n"/>
      <c r="R107" s="4" t="n"/>
      <c r="S107" s="4" t="n"/>
      <c r="T107" s="4" t="n"/>
    </row>
    <row r="108">
      <c r="A108" s="21" t="inlineStr"/>
      <c r="B108" s="4" t="n"/>
      <c r="C108" s="4" t="n"/>
      <c r="D108" s="4" t="n"/>
      <c r="E108" s="4" t="n"/>
      <c r="F108" s="4" t="n"/>
      <c r="G108" s="4" t="n"/>
      <c r="H108" s="4" t="n"/>
      <c r="I108" s="4" t="n"/>
      <c r="J108" s="4" t="n"/>
      <c r="K108">
        <f>IF(OR(I108="",J108=""),"",VLOOKUP(I108,{"Critical",5;"High",4;"Medium",3;"Low",2},2,FALSE)*VLOOKUP(J108,{"Very High",5;"High",4;"Medium",3;"Low",2;"Very Low",1},2,FALSE))</f>
        <v/>
      </c>
      <c r="L108" s="4" t="n"/>
      <c r="M108" s="4" t="n"/>
      <c r="N108" s="4" t="n"/>
      <c r="O108" s="4" t="n"/>
      <c r="P108" s="4" t="n"/>
      <c r="Q108" s="4" t="n"/>
      <c r="R108" s="4" t="n"/>
      <c r="S108" s="4" t="n"/>
      <c r="T108" s="4" t="n"/>
    </row>
    <row r="109">
      <c r="A109" s="21" t="inlineStr"/>
      <c r="B109" s="4" t="n"/>
      <c r="C109" s="4" t="n"/>
      <c r="D109" s="4" t="n"/>
      <c r="E109" s="4" t="n"/>
      <c r="F109" s="4" t="n"/>
      <c r="G109" s="4" t="n"/>
      <c r="H109" s="4" t="n"/>
      <c r="I109" s="4" t="n"/>
      <c r="J109" s="4" t="n"/>
      <c r="K109">
        <f>IF(OR(I109="",J109=""),"",VLOOKUP(I109,{"Critical",5;"High",4;"Medium",3;"Low",2},2,FALSE)*VLOOKUP(J109,{"Very High",5;"High",4;"Medium",3;"Low",2;"Very Low",1},2,FALSE))</f>
        <v/>
      </c>
      <c r="L109" s="4" t="n"/>
      <c r="M109" s="4" t="n"/>
      <c r="N109" s="4" t="n"/>
      <c r="O109" s="4" t="n"/>
      <c r="P109" s="4" t="n"/>
      <c r="Q109" s="4" t="n"/>
      <c r="R109" s="4" t="n"/>
      <c r="S109" s="4" t="n"/>
      <c r="T109" s="4" t="n"/>
    </row>
    <row r="110">
      <c r="A110" s="21" t="inlineStr"/>
      <c r="B110" s="4" t="n"/>
      <c r="C110" s="4" t="n"/>
      <c r="D110" s="4" t="n"/>
      <c r="E110" s="4" t="n"/>
      <c r="F110" s="4" t="n"/>
      <c r="G110" s="4" t="n"/>
      <c r="H110" s="4" t="n"/>
      <c r="I110" s="4" t="n"/>
      <c r="J110" s="4" t="n"/>
      <c r="K110">
        <f>IF(OR(I110="",J110=""),"",VLOOKUP(I110,{"Critical",5;"High",4;"Medium",3;"Low",2},2,FALSE)*VLOOKUP(J110,{"Very High",5;"High",4;"Medium",3;"Low",2;"Very Low",1},2,FALSE))</f>
        <v/>
      </c>
      <c r="L110" s="4" t="n"/>
      <c r="M110" s="4" t="n"/>
      <c r="N110" s="4" t="n"/>
      <c r="O110" s="4" t="n"/>
      <c r="P110" s="4" t="n"/>
      <c r="Q110" s="4" t="n"/>
      <c r="R110" s="4" t="n"/>
      <c r="S110" s="4" t="n"/>
      <c r="T110" s="4" t="n"/>
    </row>
    <row r="111">
      <c r="A111" s="21" t="inlineStr"/>
      <c r="B111" s="4" t="n"/>
      <c r="C111" s="4" t="n"/>
      <c r="D111" s="4" t="n"/>
      <c r="E111" s="4" t="n"/>
      <c r="F111" s="4" t="n"/>
      <c r="G111" s="4" t="n"/>
      <c r="H111" s="4" t="n"/>
      <c r="I111" s="4" t="n"/>
      <c r="J111" s="4" t="n"/>
      <c r="K111">
        <f>IF(OR(I111="",J111=""),"",VLOOKUP(I111,{"Critical",5;"High",4;"Medium",3;"Low",2},2,FALSE)*VLOOKUP(J111,{"Very High",5;"High",4;"Medium",3;"Low",2;"Very Low",1},2,FALSE))</f>
        <v/>
      </c>
      <c r="L111" s="4" t="n"/>
      <c r="M111" s="4" t="n"/>
      <c r="N111" s="4" t="n"/>
      <c r="O111" s="4" t="n"/>
      <c r="P111" s="4" t="n"/>
      <c r="Q111" s="4" t="n"/>
      <c r="R111" s="4" t="n"/>
      <c r="S111" s="4" t="n"/>
      <c r="T111" s="4" t="n"/>
    </row>
    <row r="112">
      <c r="A112" s="21" t="inlineStr"/>
      <c r="B112" s="4" t="n"/>
      <c r="C112" s="4" t="n"/>
      <c r="D112" s="4" t="n"/>
      <c r="E112" s="4" t="n"/>
      <c r="F112" s="4" t="n"/>
      <c r="G112" s="4" t="n"/>
      <c r="H112" s="4" t="n"/>
      <c r="I112" s="4" t="n"/>
      <c r="J112" s="4" t="n"/>
      <c r="K112">
        <f>IF(OR(I112="",J112=""),"",VLOOKUP(I112,{"Critical",5;"High",4;"Medium",3;"Low",2},2,FALSE)*VLOOKUP(J112,{"Very High",5;"High",4;"Medium",3;"Low",2;"Very Low",1},2,FALSE))</f>
        <v/>
      </c>
      <c r="L112" s="4" t="n"/>
      <c r="M112" s="4" t="n"/>
      <c r="N112" s="4" t="n"/>
      <c r="O112" s="4" t="n"/>
      <c r="P112" s="4" t="n"/>
      <c r="Q112" s="4" t="n"/>
      <c r="R112" s="4" t="n"/>
      <c r="S112" s="4" t="n"/>
      <c r="T112" s="4" t="n"/>
    </row>
    <row r="113">
      <c r="A113" s="21" t="inlineStr"/>
      <c r="B113" s="4" t="n"/>
      <c r="C113" s="4" t="n"/>
      <c r="D113" s="4" t="n"/>
      <c r="E113" s="4" t="n"/>
      <c r="F113" s="4" t="n"/>
      <c r="G113" s="4" t="n"/>
      <c r="H113" s="4" t="n"/>
      <c r="I113" s="4" t="n"/>
      <c r="J113" s="4" t="n"/>
      <c r="K113">
        <f>IF(OR(I113="",J113=""),"",VLOOKUP(I113,{"Critical",5;"High",4;"Medium",3;"Low",2},2,FALSE)*VLOOKUP(J113,{"Very High",5;"High",4;"Medium",3;"Low",2;"Very Low",1},2,FALSE))</f>
        <v/>
      </c>
      <c r="L113" s="4" t="n"/>
      <c r="M113" s="4" t="n"/>
      <c r="N113" s="4" t="n"/>
      <c r="O113" s="4" t="n"/>
      <c r="P113" s="4" t="n"/>
      <c r="Q113" s="4" t="n"/>
      <c r="R113" s="4" t="n"/>
      <c r="S113" s="4" t="n"/>
      <c r="T113" s="4" t="n"/>
    </row>
    <row r="114">
      <c r="A114" s="21" t="inlineStr"/>
      <c r="B114" s="4" t="n"/>
      <c r="C114" s="4" t="n"/>
      <c r="D114" s="4" t="n"/>
      <c r="E114" s="4" t="n"/>
      <c r="F114" s="4" t="n"/>
      <c r="G114" s="4" t="n"/>
      <c r="H114" s="4" t="n"/>
      <c r="I114" s="4" t="n"/>
      <c r="J114" s="4" t="n"/>
      <c r="K114">
        <f>IF(OR(I114="",J114=""),"",VLOOKUP(I114,{"Critical",5;"High",4;"Medium",3;"Low",2},2,FALSE)*VLOOKUP(J114,{"Very High",5;"High",4;"Medium",3;"Low",2;"Very Low",1},2,FALSE))</f>
        <v/>
      </c>
      <c r="L114" s="4" t="n"/>
      <c r="M114" s="4" t="n"/>
      <c r="N114" s="4" t="n"/>
      <c r="O114" s="4" t="n"/>
      <c r="P114" s="4" t="n"/>
      <c r="Q114" s="4" t="n"/>
      <c r="R114" s="4" t="n"/>
      <c r="S114" s="4" t="n"/>
      <c r="T114" s="4" t="n"/>
    </row>
    <row r="115">
      <c r="A115" s="21" t="inlineStr"/>
      <c r="B115" s="4" t="n"/>
      <c r="C115" s="4" t="n"/>
      <c r="D115" s="4" t="n"/>
      <c r="E115" s="4" t="n"/>
      <c r="F115" s="4" t="n"/>
      <c r="G115" s="4" t="n"/>
      <c r="H115" s="4" t="n"/>
      <c r="I115" s="4" t="n"/>
      <c r="J115" s="4" t="n"/>
      <c r="K115">
        <f>IF(OR(I115="",J115=""),"",VLOOKUP(I115,{"Critical",5;"High",4;"Medium",3;"Low",2},2,FALSE)*VLOOKUP(J115,{"Very High",5;"High",4;"Medium",3;"Low",2;"Very Low",1},2,FALSE))</f>
        <v/>
      </c>
      <c r="L115" s="4" t="n"/>
      <c r="M115" s="4" t="n"/>
      <c r="N115" s="4" t="n"/>
      <c r="O115" s="4" t="n"/>
      <c r="P115" s="4" t="n"/>
      <c r="Q115" s="4" t="n"/>
      <c r="R115" s="4" t="n"/>
      <c r="S115" s="4" t="n"/>
      <c r="T115" s="4" t="n"/>
    </row>
    <row r="116">
      <c r="A116" s="21" t="inlineStr"/>
      <c r="B116" s="4" t="n"/>
      <c r="C116" s="4" t="n"/>
      <c r="D116" s="4" t="n"/>
      <c r="E116" s="4" t="n"/>
      <c r="F116" s="4" t="n"/>
      <c r="G116" s="4" t="n"/>
      <c r="H116" s="4" t="n"/>
      <c r="I116" s="4" t="n"/>
      <c r="J116" s="4" t="n"/>
      <c r="K116">
        <f>IF(OR(I116="",J116=""),"",VLOOKUP(I116,{"Critical",5;"High",4;"Medium",3;"Low",2},2,FALSE)*VLOOKUP(J116,{"Very High",5;"High",4;"Medium",3;"Low",2;"Very Low",1},2,FALSE))</f>
        <v/>
      </c>
      <c r="L116" s="4" t="n"/>
      <c r="M116" s="4" t="n"/>
      <c r="N116" s="4" t="n"/>
      <c r="O116" s="4" t="n"/>
      <c r="P116" s="4" t="n"/>
      <c r="Q116" s="4" t="n"/>
      <c r="R116" s="4" t="n"/>
      <c r="S116" s="4" t="n"/>
      <c r="T116" s="4" t="n"/>
    </row>
    <row r="117">
      <c r="A117" s="21" t="inlineStr"/>
      <c r="B117" s="4" t="n"/>
      <c r="C117" s="4" t="n"/>
      <c r="D117" s="4" t="n"/>
      <c r="E117" s="4" t="n"/>
      <c r="F117" s="4" t="n"/>
      <c r="G117" s="4" t="n"/>
      <c r="H117" s="4" t="n"/>
      <c r="I117" s="4" t="n"/>
      <c r="J117" s="4" t="n"/>
      <c r="K117">
        <f>IF(OR(I117="",J117=""),"",VLOOKUP(I117,{"Critical",5;"High",4;"Medium",3;"Low",2},2,FALSE)*VLOOKUP(J117,{"Very High",5;"High",4;"Medium",3;"Low",2;"Very Low",1},2,FALSE))</f>
        <v/>
      </c>
      <c r="L117" s="4" t="n"/>
      <c r="M117" s="4" t="n"/>
      <c r="N117" s="4" t="n"/>
      <c r="O117" s="4" t="n"/>
      <c r="P117" s="4" t="n"/>
      <c r="Q117" s="4" t="n"/>
      <c r="R117" s="4" t="n"/>
      <c r="S117" s="4" t="n"/>
      <c r="T117" s="4" t="n"/>
    </row>
    <row r="118">
      <c r="A118" s="21" t="inlineStr"/>
      <c r="B118" s="4" t="n"/>
      <c r="C118" s="4" t="n"/>
      <c r="D118" s="4" t="n"/>
      <c r="E118" s="4" t="n"/>
      <c r="F118" s="4" t="n"/>
      <c r="G118" s="4" t="n"/>
      <c r="H118" s="4" t="n"/>
      <c r="I118" s="4" t="n"/>
      <c r="J118" s="4" t="n"/>
      <c r="K118">
        <f>IF(OR(I118="",J118=""),"",VLOOKUP(I118,{"Critical",5;"High",4;"Medium",3;"Low",2},2,FALSE)*VLOOKUP(J118,{"Very High",5;"High",4;"Medium",3;"Low",2;"Very Low",1},2,FALSE))</f>
        <v/>
      </c>
      <c r="L118" s="4" t="n"/>
      <c r="M118" s="4" t="n"/>
      <c r="N118" s="4" t="n"/>
      <c r="O118" s="4" t="n"/>
      <c r="P118" s="4" t="n"/>
      <c r="Q118" s="4" t="n"/>
      <c r="R118" s="4" t="n"/>
      <c r="S118" s="4" t="n"/>
      <c r="T118" s="4" t="n"/>
    </row>
    <row r="119">
      <c r="A119" s="21" t="inlineStr"/>
      <c r="B119" s="4" t="n"/>
      <c r="C119" s="4" t="n"/>
      <c r="D119" s="4" t="n"/>
      <c r="E119" s="4" t="n"/>
      <c r="F119" s="4" t="n"/>
      <c r="G119" s="4" t="n"/>
      <c r="H119" s="4" t="n"/>
      <c r="I119" s="4" t="n"/>
      <c r="J119" s="4" t="n"/>
      <c r="K119">
        <f>IF(OR(I119="",J119=""),"",VLOOKUP(I119,{"Critical",5;"High",4;"Medium",3;"Low",2},2,FALSE)*VLOOKUP(J119,{"Very High",5;"High",4;"Medium",3;"Low",2;"Very Low",1},2,FALSE))</f>
        <v/>
      </c>
      <c r="L119" s="4" t="n"/>
      <c r="M119" s="4" t="n"/>
      <c r="N119" s="4" t="n"/>
      <c r="O119" s="4" t="n"/>
      <c r="P119" s="4" t="n"/>
      <c r="Q119" s="4" t="n"/>
      <c r="R119" s="4" t="n"/>
      <c r="S119" s="4" t="n"/>
      <c r="T119" s="4" t="n"/>
    </row>
    <row r="120">
      <c r="A120" s="21" t="inlineStr"/>
      <c r="B120" s="4" t="n"/>
      <c r="C120" s="4" t="n"/>
      <c r="D120" s="4" t="n"/>
      <c r="E120" s="4" t="n"/>
      <c r="F120" s="4" t="n"/>
      <c r="G120" s="4" t="n"/>
      <c r="H120" s="4" t="n"/>
      <c r="I120" s="4" t="n"/>
      <c r="J120" s="4" t="n"/>
      <c r="K120">
        <f>IF(OR(I120="",J120=""),"",VLOOKUP(I120,{"Critical",5;"High",4;"Medium",3;"Low",2},2,FALSE)*VLOOKUP(J120,{"Very High",5;"High",4;"Medium",3;"Low",2;"Very Low",1},2,FALSE))</f>
        <v/>
      </c>
      <c r="L120" s="4" t="n"/>
      <c r="M120" s="4" t="n"/>
      <c r="N120" s="4" t="n"/>
      <c r="O120" s="4" t="n"/>
      <c r="P120" s="4" t="n"/>
      <c r="Q120" s="4" t="n"/>
      <c r="R120" s="4" t="n"/>
      <c r="S120" s="4" t="n"/>
      <c r="T120" s="4" t="n"/>
    </row>
    <row r="121">
      <c r="A121" s="21" t="inlineStr"/>
      <c r="B121" s="4" t="n"/>
      <c r="C121" s="4" t="n"/>
      <c r="D121" s="4" t="n"/>
      <c r="E121" s="4" t="n"/>
      <c r="F121" s="4" t="n"/>
      <c r="G121" s="4" t="n"/>
      <c r="H121" s="4" t="n"/>
      <c r="I121" s="4" t="n"/>
      <c r="J121" s="4" t="n"/>
      <c r="K121">
        <f>IF(OR(I121="",J121=""),"",VLOOKUP(I121,{"Critical",5;"High",4;"Medium",3;"Low",2},2,FALSE)*VLOOKUP(J121,{"Very High",5;"High",4;"Medium",3;"Low",2;"Very Low",1},2,FALSE))</f>
        <v/>
      </c>
      <c r="L121" s="4" t="n"/>
      <c r="M121" s="4" t="n"/>
      <c r="N121" s="4" t="n"/>
      <c r="O121" s="4" t="n"/>
      <c r="P121" s="4" t="n"/>
      <c r="Q121" s="4" t="n"/>
      <c r="R121" s="4" t="n"/>
      <c r="S121" s="4" t="n"/>
      <c r="T121" s="4" t="n"/>
    </row>
    <row r="122">
      <c r="A122" s="21" t="inlineStr"/>
      <c r="B122" s="4" t="n"/>
      <c r="C122" s="4" t="n"/>
      <c r="D122" s="4" t="n"/>
      <c r="E122" s="4" t="n"/>
      <c r="F122" s="4" t="n"/>
      <c r="G122" s="4" t="n"/>
      <c r="H122" s="4" t="n"/>
      <c r="I122" s="4" t="n"/>
      <c r="J122" s="4" t="n"/>
      <c r="K122">
        <f>IF(OR(I122="",J122=""),"",VLOOKUP(I122,{"Critical",5;"High",4;"Medium",3;"Low",2},2,FALSE)*VLOOKUP(J122,{"Very High",5;"High",4;"Medium",3;"Low",2;"Very Low",1},2,FALSE))</f>
        <v/>
      </c>
      <c r="L122" s="4" t="n"/>
      <c r="M122" s="4" t="n"/>
      <c r="N122" s="4" t="n"/>
      <c r="O122" s="4" t="n"/>
      <c r="P122" s="4" t="n"/>
      <c r="Q122" s="4" t="n"/>
      <c r="R122" s="4" t="n"/>
      <c r="S122" s="4" t="n"/>
      <c r="T122" s="4" t="n"/>
    </row>
    <row r="123">
      <c r="A123" s="21" t="inlineStr"/>
      <c r="B123" s="4" t="n"/>
      <c r="C123" s="4" t="n"/>
      <c r="D123" s="4" t="n"/>
      <c r="E123" s="4" t="n"/>
      <c r="F123" s="4" t="n"/>
      <c r="G123" s="4" t="n"/>
      <c r="H123" s="4" t="n"/>
      <c r="I123" s="4" t="n"/>
      <c r="J123" s="4" t="n"/>
      <c r="K123">
        <f>IF(OR(I123="",J123=""),"",VLOOKUP(I123,{"Critical",5;"High",4;"Medium",3;"Low",2},2,FALSE)*VLOOKUP(J123,{"Very High",5;"High",4;"Medium",3;"Low",2;"Very Low",1},2,FALSE))</f>
        <v/>
      </c>
      <c r="L123" s="4" t="n"/>
      <c r="M123" s="4" t="n"/>
      <c r="N123" s="4" t="n"/>
      <c r="O123" s="4" t="n"/>
      <c r="P123" s="4" t="n"/>
      <c r="Q123" s="4" t="n"/>
      <c r="R123" s="4" t="n"/>
      <c r="S123" s="4" t="n"/>
      <c r="T123" s="4" t="n"/>
    </row>
    <row r="124">
      <c r="A124" s="21" t="inlineStr"/>
      <c r="B124" s="4" t="n"/>
      <c r="C124" s="4" t="n"/>
      <c r="D124" s="4" t="n"/>
      <c r="E124" s="4" t="n"/>
      <c r="F124" s="4" t="n"/>
      <c r="G124" s="4" t="n"/>
      <c r="H124" s="4" t="n"/>
      <c r="I124" s="4" t="n"/>
      <c r="J124" s="4" t="n"/>
      <c r="K124">
        <f>IF(OR(I124="",J124=""),"",VLOOKUP(I124,{"Critical",5;"High",4;"Medium",3;"Low",2},2,FALSE)*VLOOKUP(J124,{"Very High",5;"High",4;"Medium",3;"Low",2;"Very Low",1},2,FALSE))</f>
        <v/>
      </c>
      <c r="L124" s="4" t="n"/>
      <c r="M124" s="4" t="n"/>
      <c r="N124" s="4" t="n"/>
      <c r="O124" s="4" t="n"/>
      <c r="P124" s="4" t="n"/>
      <c r="Q124" s="4" t="n"/>
      <c r="R124" s="4" t="n"/>
      <c r="S124" s="4" t="n"/>
      <c r="T124" s="4" t="n"/>
    </row>
    <row r="125">
      <c r="A125" s="21" t="inlineStr"/>
      <c r="B125" s="4" t="n"/>
      <c r="C125" s="4" t="n"/>
      <c r="D125" s="4" t="n"/>
      <c r="E125" s="4" t="n"/>
      <c r="F125" s="4" t="n"/>
      <c r="G125" s="4" t="n"/>
      <c r="H125" s="4" t="n"/>
      <c r="I125" s="4" t="n"/>
      <c r="J125" s="4" t="n"/>
      <c r="K125">
        <f>IF(OR(I125="",J125=""),"",VLOOKUP(I125,{"Critical",5;"High",4;"Medium",3;"Low",2},2,FALSE)*VLOOKUP(J125,{"Very High",5;"High",4;"Medium",3;"Low",2;"Very Low",1},2,FALSE))</f>
        <v/>
      </c>
      <c r="L125" s="4" t="n"/>
      <c r="M125" s="4" t="n"/>
      <c r="N125" s="4" t="n"/>
      <c r="O125" s="4" t="n"/>
      <c r="P125" s="4" t="n"/>
      <c r="Q125" s="4" t="n"/>
      <c r="R125" s="4" t="n"/>
      <c r="S125" s="4" t="n"/>
      <c r="T125" s="4" t="n"/>
    </row>
    <row r="126">
      <c r="A126" s="21" t="inlineStr"/>
      <c r="B126" s="4" t="n"/>
      <c r="C126" s="4" t="n"/>
      <c r="D126" s="4" t="n"/>
      <c r="E126" s="4" t="n"/>
      <c r="F126" s="4" t="n"/>
      <c r="G126" s="4" t="n"/>
      <c r="H126" s="4" t="n"/>
      <c r="I126" s="4" t="n"/>
      <c r="J126" s="4" t="n"/>
      <c r="K126">
        <f>IF(OR(I126="",J126=""),"",VLOOKUP(I126,{"Critical",5;"High",4;"Medium",3;"Low",2},2,FALSE)*VLOOKUP(J126,{"Very High",5;"High",4;"Medium",3;"Low",2;"Very Low",1},2,FALSE))</f>
        <v/>
      </c>
      <c r="L126" s="4" t="n"/>
      <c r="M126" s="4" t="n"/>
      <c r="N126" s="4" t="n"/>
      <c r="O126" s="4" t="n"/>
      <c r="P126" s="4" t="n"/>
      <c r="Q126" s="4" t="n"/>
      <c r="R126" s="4" t="n"/>
      <c r="S126" s="4" t="n"/>
      <c r="T126" s="4" t="n"/>
    </row>
    <row r="127">
      <c r="A127" s="21" t="inlineStr"/>
      <c r="B127" s="4" t="n"/>
      <c r="C127" s="4" t="n"/>
      <c r="D127" s="4" t="n"/>
      <c r="E127" s="4" t="n"/>
      <c r="F127" s="4" t="n"/>
      <c r="G127" s="4" t="n"/>
      <c r="H127" s="4" t="n"/>
      <c r="I127" s="4" t="n"/>
      <c r="J127" s="4" t="n"/>
      <c r="K127">
        <f>IF(OR(I127="",J127=""),"",VLOOKUP(I127,{"Critical",5;"High",4;"Medium",3;"Low",2},2,FALSE)*VLOOKUP(J127,{"Very High",5;"High",4;"Medium",3;"Low",2;"Very Low",1},2,FALSE))</f>
        <v/>
      </c>
      <c r="L127" s="4" t="n"/>
      <c r="M127" s="4" t="n"/>
      <c r="N127" s="4" t="n"/>
      <c r="O127" s="4" t="n"/>
      <c r="P127" s="4" t="n"/>
      <c r="Q127" s="4" t="n"/>
      <c r="R127" s="4" t="n"/>
      <c r="S127" s="4" t="n"/>
      <c r="T127" s="4" t="n"/>
    </row>
    <row r="128">
      <c r="A128" s="21" t="inlineStr"/>
      <c r="B128" s="4" t="n"/>
      <c r="C128" s="4" t="n"/>
      <c r="D128" s="4" t="n"/>
      <c r="E128" s="4" t="n"/>
      <c r="F128" s="4" t="n"/>
      <c r="G128" s="4" t="n"/>
      <c r="H128" s="4" t="n"/>
      <c r="I128" s="4" t="n"/>
      <c r="J128" s="4" t="n"/>
      <c r="K128">
        <f>IF(OR(I128="",J128=""),"",VLOOKUP(I128,{"Critical",5;"High",4;"Medium",3;"Low",2},2,FALSE)*VLOOKUP(J128,{"Very High",5;"High",4;"Medium",3;"Low",2;"Very Low",1},2,FALSE))</f>
        <v/>
      </c>
      <c r="L128" s="4" t="n"/>
      <c r="M128" s="4" t="n"/>
      <c r="N128" s="4" t="n"/>
      <c r="O128" s="4" t="n"/>
      <c r="P128" s="4" t="n"/>
      <c r="Q128" s="4" t="n"/>
      <c r="R128" s="4" t="n"/>
      <c r="S128" s="4" t="n"/>
      <c r="T128" s="4" t="n"/>
    </row>
    <row r="129">
      <c r="A129" s="21" t="inlineStr"/>
      <c r="B129" s="4" t="n"/>
      <c r="C129" s="4" t="n"/>
      <c r="D129" s="4" t="n"/>
      <c r="E129" s="4" t="n"/>
      <c r="F129" s="4" t="n"/>
      <c r="G129" s="4" t="n"/>
      <c r="H129" s="4" t="n"/>
      <c r="I129" s="4" t="n"/>
      <c r="J129" s="4" t="n"/>
      <c r="K129">
        <f>IF(OR(I129="",J129=""),"",VLOOKUP(I129,{"Critical",5;"High",4;"Medium",3;"Low",2},2,FALSE)*VLOOKUP(J129,{"Very High",5;"High",4;"Medium",3;"Low",2;"Very Low",1},2,FALSE))</f>
        <v/>
      </c>
      <c r="L129" s="4" t="n"/>
      <c r="M129" s="4" t="n"/>
      <c r="N129" s="4" t="n"/>
      <c r="O129" s="4" t="n"/>
      <c r="P129" s="4" t="n"/>
      <c r="Q129" s="4" t="n"/>
      <c r="R129" s="4" t="n"/>
      <c r="S129" s="4" t="n"/>
      <c r="T129" s="4" t="n"/>
    </row>
    <row r="130">
      <c r="A130" s="21" t="inlineStr"/>
      <c r="B130" s="4" t="n"/>
      <c r="C130" s="4" t="n"/>
      <c r="D130" s="4" t="n"/>
      <c r="E130" s="4" t="n"/>
      <c r="F130" s="4" t="n"/>
      <c r="G130" s="4" t="n"/>
      <c r="H130" s="4" t="n"/>
      <c r="I130" s="4" t="n"/>
      <c r="J130" s="4" t="n"/>
      <c r="K130">
        <f>IF(OR(I130="",J130=""),"",VLOOKUP(I130,{"Critical",5;"High",4;"Medium",3;"Low",2},2,FALSE)*VLOOKUP(J130,{"Very High",5;"High",4;"Medium",3;"Low",2;"Very Low",1},2,FALSE))</f>
        <v/>
      </c>
      <c r="L130" s="4" t="n"/>
      <c r="M130" s="4" t="n"/>
      <c r="N130" s="4" t="n"/>
      <c r="O130" s="4" t="n"/>
      <c r="P130" s="4" t="n"/>
      <c r="Q130" s="4" t="n"/>
      <c r="R130" s="4" t="n"/>
      <c r="S130" s="4" t="n"/>
      <c r="T130" s="4" t="n"/>
    </row>
    <row r="131">
      <c r="A131" s="21" t="inlineStr"/>
      <c r="B131" s="4" t="n"/>
      <c r="C131" s="4" t="n"/>
      <c r="D131" s="4" t="n"/>
      <c r="E131" s="4" t="n"/>
      <c r="F131" s="4" t="n"/>
      <c r="G131" s="4" t="n"/>
      <c r="H131" s="4" t="n"/>
      <c r="I131" s="4" t="n"/>
      <c r="J131" s="4" t="n"/>
      <c r="K131">
        <f>IF(OR(I131="",J131=""),"",VLOOKUP(I131,{"Critical",5;"High",4;"Medium",3;"Low",2},2,FALSE)*VLOOKUP(J131,{"Very High",5;"High",4;"Medium",3;"Low",2;"Very Low",1},2,FALSE))</f>
        <v/>
      </c>
      <c r="L131" s="4" t="n"/>
      <c r="M131" s="4" t="n"/>
      <c r="N131" s="4" t="n"/>
      <c r="O131" s="4" t="n"/>
      <c r="P131" s="4" t="n"/>
      <c r="Q131" s="4" t="n"/>
      <c r="R131" s="4" t="n"/>
      <c r="S131" s="4" t="n"/>
      <c r="T131" s="4" t="n"/>
    </row>
    <row r="132">
      <c r="A132" s="21" t="inlineStr"/>
      <c r="B132" s="4" t="n"/>
      <c r="C132" s="4" t="n"/>
      <c r="D132" s="4" t="n"/>
      <c r="E132" s="4" t="n"/>
      <c r="F132" s="4" t="n"/>
      <c r="G132" s="4" t="n"/>
      <c r="H132" s="4" t="n"/>
      <c r="I132" s="4" t="n"/>
      <c r="J132" s="4" t="n"/>
      <c r="K132">
        <f>IF(OR(I132="",J132=""),"",VLOOKUP(I132,{"Critical",5;"High",4;"Medium",3;"Low",2},2,FALSE)*VLOOKUP(J132,{"Very High",5;"High",4;"Medium",3;"Low",2;"Very Low",1},2,FALSE))</f>
        <v/>
      </c>
      <c r="L132" s="4" t="n"/>
      <c r="M132" s="4" t="n"/>
      <c r="N132" s="4" t="n"/>
      <c r="O132" s="4" t="n"/>
      <c r="P132" s="4" t="n"/>
      <c r="Q132" s="4" t="n"/>
      <c r="R132" s="4" t="n"/>
      <c r="S132" s="4" t="n"/>
      <c r="T132" s="4" t="n"/>
    </row>
    <row r="133">
      <c r="A133" s="21" t="inlineStr"/>
      <c r="B133" s="4" t="n"/>
      <c r="C133" s="4" t="n"/>
      <c r="D133" s="4" t="n"/>
      <c r="E133" s="4" t="n"/>
      <c r="F133" s="4" t="n"/>
      <c r="G133" s="4" t="n"/>
      <c r="H133" s="4" t="n"/>
      <c r="I133" s="4" t="n"/>
      <c r="J133" s="4" t="n"/>
      <c r="K133">
        <f>IF(OR(I133="",J133=""),"",VLOOKUP(I133,{"Critical",5;"High",4;"Medium",3;"Low",2},2,FALSE)*VLOOKUP(J133,{"Very High",5;"High",4;"Medium",3;"Low",2;"Very Low",1},2,FALSE))</f>
        <v/>
      </c>
      <c r="L133" s="4" t="n"/>
      <c r="M133" s="4" t="n"/>
      <c r="N133" s="4" t="n"/>
      <c r="O133" s="4" t="n"/>
      <c r="P133" s="4" t="n"/>
      <c r="Q133" s="4" t="n"/>
      <c r="R133" s="4" t="n"/>
      <c r="S133" s="4" t="n"/>
      <c r="T133" s="4" t="n"/>
    </row>
    <row r="134">
      <c r="A134" s="21" t="inlineStr"/>
      <c r="B134" s="4" t="n"/>
      <c r="C134" s="4" t="n"/>
      <c r="D134" s="4" t="n"/>
      <c r="E134" s="4" t="n"/>
      <c r="F134" s="4" t="n"/>
      <c r="G134" s="4" t="n"/>
      <c r="H134" s="4" t="n"/>
      <c r="I134" s="4" t="n"/>
      <c r="J134" s="4" t="n"/>
      <c r="K134">
        <f>IF(OR(I134="",J134=""),"",VLOOKUP(I134,{"Critical",5;"High",4;"Medium",3;"Low",2},2,FALSE)*VLOOKUP(J134,{"Very High",5;"High",4;"Medium",3;"Low",2;"Very Low",1},2,FALSE))</f>
        <v/>
      </c>
      <c r="L134" s="4" t="n"/>
      <c r="M134" s="4" t="n"/>
      <c r="N134" s="4" t="n"/>
      <c r="O134" s="4" t="n"/>
      <c r="P134" s="4" t="n"/>
      <c r="Q134" s="4" t="n"/>
      <c r="R134" s="4" t="n"/>
      <c r="S134" s="4" t="n"/>
      <c r="T134" s="4" t="n"/>
    </row>
    <row r="135">
      <c r="A135" s="21" t="inlineStr"/>
      <c r="B135" s="4" t="n"/>
      <c r="C135" s="4" t="n"/>
      <c r="D135" s="4" t="n"/>
      <c r="E135" s="4" t="n"/>
      <c r="F135" s="4" t="n"/>
      <c r="G135" s="4" t="n"/>
      <c r="H135" s="4" t="n"/>
      <c r="I135" s="4" t="n"/>
      <c r="J135" s="4" t="n"/>
      <c r="K135">
        <f>IF(OR(I135="",J135=""),"",VLOOKUP(I135,{"Critical",5;"High",4;"Medium",3;"Low",2},2,FALSE)*VLOOKUP(J135,{"Very High",5;"High",4;"Medium",3;"Low",2;"Very Low",1},2,FALSE))</f>
        <v/>
      </c>
      <c r="L135" s="4" t="n"/>
      <c r="M135" s="4" t="n"/>
      <c r="N135" s="4" t="n"/>
      <c r="O135" s="4" t="n"/>
      <c r="P135" s="4" t="n"/>
      <c r="Q135" s="4" t="n"/>
      <c r="R135" s="4" t="n"/>
      <c r="S135" s="4" t="n"/>
      <c r="T135" s="4" t="n"/>
    </row>
    <row r="136">
      <c r="A136" s="21" t="inlineStr"/>
      <c r="B136" s="4" t="n"/>
      <c r="C136" s="4" t="n"/>
      <c r="D136" s="4" t="n"/>
      <c r="E136" s="4" t="n"/>
      <c r="F136" s="4" t="n"/>
      <c r="G136" s="4" t="n"/>
      <c r="H136" s="4" t="n"/>
      <c r="I136" s="4" t="n"/>
      <c r="J136" s="4" t="n"/>
      <c r="K136">
        <f>IF(OR(I136="",J136=""),"",VLOOKUP(I136,{"Critical",5;"High",4;"Medium",3;"Low",2},2,FALSE)*VLOOKUP(J136,{"Very High",5;"High",4;"Medium",3;"Low",2;"Very Low",1},2,FALSE))</f>
        <v/>
      </c>
      <c r="L136" s="4" t="n"/>
      <c r="M136" s="4" t="n"/>
      <c r="N136" s="4" t="n"/>
      <c r="O136" s="4" t="n"/>
      <c r="P136" s="4" t="n"/>
      <c r="Q136" s="4" t="n"/>
      <c r="R136" s="4" t="n"/>
      <c r="S136" s="4" t="n"/>
      <c r="T136" s="4" t="n"/>
    </row>
    <row r="137">
      <c r="A137" s="21" t="inlineStr"/>
      <c r="B137" s="4" t="n"/>
      <c r="C137" s="4" t="n"/>
      <c r="D137" s="4" t="n"/>
      <c r="E137" s="4" t="n"/>
      <c r="F137" s="4" t="n"/>
      <c r="G137" s="4" t="n"/>
      <c r="H137" s="4" t="n"/>
      <c r="I137" s="4" t="n"/>
      <c r="J137" s="4" t="n"/>
      <c r="K137">
        <f>IF(OR(I137="",J137=""),"",VLOOKUP(I137,{"Critical",5;"High",4;"Medium",3;"Low",2},2,FALSE)*VLOOKUP(J137,{"Very High",5;"High",4;"Medium",3;"Low",2;"Very Low",1},2,FALSE))</f>
        <v/>
      </c>
      <c r="L137" s="4" t="n"/>
      <c r="M137" s="4" t="n"/>
      <c r="N137" s="4" t="n"/>
      <c r="O137" s="4" t="n"/>
      <c r="P137" s="4" t="n"/>
      <c r="Q137" s="4" t="n"/>
      <c r="R137" s="4" t="n"/>
      <c r="S137" s="4" t="n"/>
      <c r="T137" s="4" t="n"/>
    </row>
    <row r="138">
      <c r="A138" s="21" t="inlineStr"/>
      <c r="B138" s="4" t="n"/>
      <c r="C138" s="4" t="n"/>
      <c r="D138" s="4" t="n"/>
      <c r="E138" s="4" t="n"/>
      <c r="F138" s="4" t="n"/>
      <c r="G138" s="4" t="n"/>
      <c r="H138" s="4" t="n"/>
      <c r="I138" s="4" t="n"/>
      <c r="J138" s="4" t="n"/>
      <c r="K138">
        <f>IF(OR(I138="",J138=""),"",VLOOKUP(I138,{"Critical",5;"High",4;"Medium",3;"Low",2},2,FALSE)*VLOOKUP(J138,{"Very High",5;"High",4;"Medium",3;"Low",2;"Very Low",1},2,FALSE))</f>
        <v/>
      </c>
      <c r="L138" s="4" t="n"/>
      <c r="M138" s="4" t="n"/>
      <c r="N138" s="4" t="n"/>
      <c r="O138" s="4" t="n"/>
      <c r="P138" s="4" t="n"/>
      <c r="Q138" s="4" t="n"/>
      <c r="R138" s="4" t="n"/>
      <c r="S138" s="4" t="n"/>
      <c r="T138" s="4" t="n"/>
    </row>
    <row r="139">
      <c r="A139" s="21" t="inlineStr"/>
      <c r="B139" s="4" t="n"/>
      <c r="C139" s="4" t="n"/>
      <c r="D139" s="4" t="n"/>
      <c r="E139" s="4" t="n"/>
      <c r="F139" s="4" t="n"/>
      <c r="G139" s="4" t="n"/>
      <c r="H139" s="4" t="n"/>
      <c r="I139" s="4" t="n"/>
      <c r="J139" s="4" t="n"/>
      <c r="K139">
        <f>IF(OR(I139="",J139=""),"",VLOOKUP(I139,{"Critical",5;"High",4;"Medium",3;"Low",2},2,FALSE)*VLOOKUP(J139,{"Very High",5;"High",4;"Medium",3;"Low",2;"Very Low",1},2,FALSE))</f>
        <v/>
      </c>
      <c r="L139" s="4" t="n"/>
      <c r="M139" s="4" t="n"/>
      <c r="N139" s="4" t="n"/>
      <c r="O139" s="4" t="n"/>
      <c r="P139" s="4" t="n"/>
      <c r="Q139" s="4" t="n"/>
      <c r="R139" s="4" t="n"/>
      <c r="S139" s="4" t="n"/>
      <c r="T139" s="4" t="n"/>
    </row>
    <row r="140">
      <c r="A140" s="21" t="inlineStr"/>
      <c r="B140" s="4" t="n"/>
      <c r="C140" s="4" t="n"/>
      <c r="D140" s="4" t="n"/>
      <c r="E140" s="4" t="n"/>
      <c r="F140" s="4" t="n"/>
      <c r="G140" s="4" t="n"/>
      <c r="H140" s="4" t="n"/>
      <c r="I140" s="4" t="n"/>
      <c r="J140" s="4" t="n"/>
      <c r="K140">
        <f>IF(OR(I140="",J140=""),"",VLOOKUP(I140,{"Critical",5;"High",4;"Medium",3;"Low",2},2,FALSE)*VLOOKUP(J140,{"Very High",5;"High",4;"Medium",3;"Low",2;"Very Low",1},2,FALSE))</f>
        <v/>
      </c>
      <c r="L140" s="4" t="n"/>
      <c r="M140" s="4" t="n"/>
      <c r="N140" s="4" t="n"/>
      <c r="O140" s="4" t="n"/>
      <c r="P140" s="4" t="n"/>
      <c r="Q140" s="4" t="n"/>
      <c r="R140" s="4" t="n"/>
      <c r="S140" s="4" t="n"/>
      <c r="T140" s="4" t="n"/>
    </row>
    <row r="141">
      <c r="A141" s="21" t="inlineStr"/>
      <c r="B141" s="4" t="n"/>
      <c r="C141" s="4" t="n"/>
      <c r="D141" s="4" t="n"/>
      <c r="E141" s="4" t="n"/>
      <c r="F141" s="4" t="n"/>
      <c r="G141" s="4" t="n"/>
      <c r="H141" s="4" t="n"/>
      <c r="I141" s="4" t="n"/>
      <c r="J141" s="4" t="n"/>
      <c r="K141">
        <f>IF(OR(I141="",J141=""),"",VLOOKUP(I141,{"Critical",5;"High",4;"Medium",3;"Low",2},2,FALSE)*VLOOKUP(J141,{"Very High",5;"High",4;"Medium",3;"Low",2;"Very Low",1},2,FALSE))</f>
        <v/>
      </c>
      <c r="L141" s="4" t="n"/>
      <c r="M141" s="4" t="n"/>
      <c r="N141" s="4" t="n"/>
      <c r="O141" s="4" t="n"/>
      <c r="P141" s="4" t="n"/>
      <c r="Q141" s="4" t="n"/>
      <c r="R141" s="4" t="n"/>
      <c r="S141" s="4" t="n"/>
      <c r="T141" s="4" t="n"/>
    </row>
    <row r="142">
      <c r="A142" s="21" t="inlineStr"/>
      <c r="B142" s="4" t="n"/>
      <c r="C142" s="4" t="n"/>
      <c r="D142" s="4" t="n"/>
      <c r="E142" s="4" t="n"/>
      <c r="F142" s="4" t="n"/>
      <c r="G142" s="4" t="n"/>
      <c r="H142" s="4" t="n"/>
      <c r="I142" s="4" t="n"/>
      <c r="J142" s="4" t="n"/>
      <c r="K142">
        <f>IF(OR(I142="",J142=""),"",VLOOKUP(I142,{"Critical",5;"High",4;"Medium",3;"Low",2},2,FALSE)*VLOOKUP(J142,{"Very High",5;"High",4;"Medium",3;"Low",2;"Very Low",1},2,FALSE))</f>
        <v/>
      </c>
      <c r="L142" s="4" t="n"/>
      <c r="M142" s="4" t="n"/>
      <c r="N142" s="4" t="n"/>
      <c r="O142" s="4" t="n"/>
      <c r="P142" s="4" t="n"/>
      <c r="Q142" s="4" t="n"/>
      <c r="R142" s="4" t="n"/>
      <c r="S142" s="4" t="n"/>
      <c r="T142" s="4" t="n"/>
    </row>
    <row r="143">
      <c r="A143" s="21" t="inlineStr"/>
      <c r="B143" s="4" t="n"/>
      <c r="C143" s="4" t="n"/>
      <c r="D143" s="4" t="n"/>
      <c r="E143" s="4" t="n"/>
      <c r="F143" s="4" t="n"/>
      <c r="G143" s="4" t="n"/>
      <c r="H143" s="4" t="n"/>
      <c r="I143" s="4" t="n"/>
      <c r="J143" s="4" t="n"/>
      <c r="K143">
        <f>IF(OR(I143="",J143=""),"",VLOOKUP(I143,{"Critical",5;"High",4;"Medium",3;"Low",2},2,FALSE)*VLOOKUP(J143,{"Very High",5;"High",4;"Medium",3;"Low",2;"Very Low",1},2,FALSE))</f>
        <v/>
      </c>
      <c r="L143" s="4" t="n"/>
      <c r="M143" s="4" t="n"/>
      <c r="N143" s="4" t="n"/>
      <c r="O143" s="4" t="n"/>
      <c r="P143" s="4" t="n"/>
      <c r="Q143" s="4" t="n"/>
      <c r="R143" s="4" t="n"/>
      <c r="S143" s="4" t="n"/>
      <c r="T143" s="4" t="n"/>
    </row>
    <row r="144">
      <c r="A144" s="21" t="inlineStr"/>
      <c r="B144" s="4" t="n"/>
      <c r="C144" s="4" t="n"/>
      <c r="D144" s="4" t="n"/>
      <c r="E144" s="4" t="n"/>
      <c r="F144" s="4" t="n"/>
      <c r="G144" s="4" t="n"/>
      <c r="H144" s="4" t="n"/>
      <c r="I144" s="4" t="n"/>
      <c r="J144" s="4" t="n"/>
      <c r="K144">
        <f>IF(OR(I144="",J144=""),"",VLOOKUP(I144,{"Critical",5;"High",4;"Medium",3;"Low",2},2,FALSE)*VLOOKUP(J144,{"Very High",5;"High",4;"Medium",3;"Low",2;"Very Low",1},2,FALSE))</f>
        <v/>
      </c>
      <c r="L144" s="4" t="n"/>
      <c r="M144" s="4" t="n"/>
      <c r="N144" s="4" t="n"/>
      <c r="O144" s="4" t="n"/>
      <c r="P144" s="4" t="n"/>
      <c r="Q144" s="4" t="n"/>
      <c r="R144" s="4" t="n"/>
      <c r="S144" s="4" t="n"/>
      <c r="T144" s="4" t="n"/>
    </row>
    <row r="145">
      <c r="A145" s="21" t="inlineStr"/>
      <c r="B145" s="4" t="n"/>
      <c r="C145" s="4" t="n"/>
      <c r="D145" s="4" t="n"/>
      <c r="E145" s="4" t="n"/>
      <c r="F145" s="4" t="n"/>
      <c r="G145" s="4" t="n"/>
      <c r="H145" s="4" t="n"/>
      <c r="I145" s="4" t="n"/>
      <c r="J145" s="4" t="n"/>
      <c r="K145">
        <f>IF(OR(I145="",J145=""),"",VLOOKUP(I145,{"Critical",5;"High",4;"Medium",3;"Low",2},2,FALSE)*VLOOKUP(J145,{"Very High",5;"High",4;"Medium",3;"Low",2;"Very Low",1},2,FALSE))</f>
        <v/>
      </c>
      <c r="L145" s="4" t="n"/>
      <c r="M145" s="4" t="n"/>
      <c r="N145" s="4" t="n"/>
      <c r="O145" s="4" t="n"/>
      <c r="P145" s="4" t="n"/>
      <c r="Q145" s="4" t="n"/>
      <c r="R145" s="4" t="n"/>
      <c r="S145" s="4" t="n"/>
      <c r="T145" s="4" t="n"/>
    </row>
    <row r="146">
      <c r="A146" s="21" t="inlineStr"/>
      <c r="B146" s="4" t="n"/>
      <c r="C146" s="4" t="n"/>
      <c r="D146" s="4" t="n"/>
      <c r="E146" s="4" t="n"/>
      <c r="F146" s="4" t="n"/>
      <c r="G146" s="4" t="n"/>
      <c r="H146" s="4" t="n"/>
      <c r="I146" s="4" t="n"/>
      <c r="J146" s="4" t="n"/>
      <c r="K146">
        <f>IF(OR(I146="",J146=""),"",VLOOKUP(I146,{"Critical",5;"High",4;"Medium",3;"Low",2},2,FALSE)*VLOOKUP(J146,{"Very High",5;"High",4;"Medium",3;"Low",2;"Very Low",1},2,FALSE))</f>
        <v/>
      </c>
      <c r="L146" s="4" t="n"/>
      <c r="M146" s="4" t="n"/>
      <c r="N146" s="4" t="n"/>
      <c r="O146" s="4" t="n"/>
      <c r="P146" s="4" t="n"/>
      <c r="Q146" s="4" t="n"/>
      <c r="R146" s="4" t="n"/>
      <c r="S146" s="4" t="n"/>
      <c r="T146" s="4" t="n"/>
    </row>
    <row r="147">
      <c r="A147" s="21" t="inlineStr"/>
      <c r="B147" s="4" t="n"/>
      <c r="C147" s="4" t="n"/>
      <c r="D147" s="4" t="n"/>
      <c r="E147" s="4" t="n"/>
      <c r="F147" s="4" t="n"/>
      <c r="G147" s="4" t="n"/>
      <c r="H147" s="4" t="n"/>
      <c r="I147" s="4" t="n"/>
      <c r="J147" s="4" t="n"/>
      <c r="K147">
        <f>IF(OR(I147="",J147=""),"",VLOOKUP(I147,{"Critical",5;"High",4;"Medium",3;"Low",2},2,FALSE)*VLOOKUP(J147,{"Very High",5;"High",4;"Medium",3;"Low",2;"Very Low",1},2,FALSE))</f>
        <v/>
      </c>
      <c r="L147" s="4" t="n"/>
      <c r="M147" s="4" t="n"/>
      <c r="N147" s="4" t="n"/>
      <c r="O147" s="4" t="n"/>
      <c r="P147" s="4" t="n"/>
      <c r="Q147" s="4" t="n"/>
      <c r="R147" s="4" t="n"/>
      <c r="S147" s="4" t="n"/>
      <c r="T147" s="4" t="n"/>
    </row>
    <row r="148">
      <c r="A148" s="21" t="inlineStr"/>
      <c r="B148" s="4" t="n"/>
      <c r="C148" s="4" t="n"/>
      <c r="D148" s="4" t="n"/>
      <c r="E148" s="4" t="n"/>
      <c r="F148" s="4" t="n"/>
      <c r="G148" s="4" t="n"/>
      <c r="H148" s="4" t="n"/>
      <c r="I148" s="4" t="n"/>
      <c r="J148" s="4" t="n"/>
      <c r="K148">
        <f>IF(OR(I148="",J148=""),"",VLOOKUP(I148,{"Critical",5;"High",4;"Medium",3;"Low",2},2,FALSE)*VLOOKUP(J148,{"Very High",5;"High",4;"Medium",3;"Low",2;"Very Low",1},2,FALSE))</f>
        <v/>
      </c>
      <c r="L148" s="4" t="n"/>
      <c r="M148" s="4" t="n"/>
      <c r="N148" s="4" t="n"/>
      <c r="O148" s="4" t="n"/>
      <c r="P148" s="4" t="n"/>
      <c r="Q148" s="4" t="n"/>
      <c r="R148" s="4" t="n"/>
      <c r="S148" s="4" t="n"/>
      <c r="T148" s="4" t="n"/>
    </row>
    <row r="149">
      <c r="A149" s="21" t="inlineStr"/>
      <c r="B149" s="4" t="n"/>
      <c r="C149" s="4" t="n"/>
      <c r="D149" s="4" t="n"/>
      <c r="E149" s="4" t="n"/>
      <c r="F149" s="4" t="n"/>
      <c r="G149" s="4" t="n"/>
      <c r="H149" s="4" t="n"/>
      <c r="I149" s="4" t="n"/>
      <c r="J149" s="4" t="n"/>
      <c r="K149">
        <f>IF(OR(I149="",J149=""),"",VLOOKUP(I149,{"Critical",5;"High",4;"Medium",3;"Low",2},2,FALSE)*VLOOKUP(J149,{"Very High",5;"High",4;"Medium",3;"Low",2;"Very Low",1},2,FALSE))</f>
        <v/>
      </c>
      <c r="L149" s="4" t="n"/>
      <c r="M149" s="4" t="n"/>
      <c r="N149" s="4" t="n"/>
      <c r="O149" s="4" t="n"/>
      <c r="P149" s="4" t="n"/>
      <c r="Q149" s="4" t="n"/>
      <c r="R149" s="4" t="n"/>
      <c r="S149" s="4" t="n"/>
      <c r="T149" s="4" t="n"/>
    </row>
    <row r="150">
      <c r="A150" s="21" t="inlineStr"/>
      <c r="B150" s="4" t="n"/>
      <c r="C150" s="4" t="n"/>
      <c r="D150" s="4" t="n"/>
      <c r="E150" s="4" t="n"/>
      <c r="F150" s="4" t="n"/>
      <c r="G150" s="4" t="n"/>
      <c r="H150" s="4" t="n"/>
      <c r="I150" s="4" t="n"/>
      <c r="J150" s="4" t="n"/>
      <c r="K150">
        <f>IF(OR(I150="",J150=""),"",VLOOKUP(I150,{"Critical",5;"High",4;"Medium",3;"Low",2},2,FALSE)*VLOOKUP(J150,{"Very High",5;"High",4;"Medium",3;"Low",2;"Very Low",1},2,FALSE))</f>
        <v/>
      </c>
      <c r="L150" s="4" t="n"/>
      <c r="M150" s="4" t="n"/>
      <c r="N150" s="4" t="n"/>
      <c r="O150" s="4" t="n"/>
      <c r="P150" s="4" t="n"/>
      <c r="Q150" s="4" t="n"/>
      <c r="R150" s="4" t="n"/>
      <c r="S150" s="4" t="n"/>
      <c r="T150" s="4" t="n"/>
    </row>
    <row r="151">
      <c r="A151" s="21" t="inlineStr"/>
      <c r="B151" s="4" t="n"/>
      <c r="C151" s="4" t="n"/>
      <c r="D151" s="4" t="n"/>
      <c r="E151" s="4" t="n"/>
      <c r="F151" s="4" t="n"/>
      <c r="G151" s="4" t="n"/>
      <c r="H151" s="4" t="n"/>
      <c r="I151" s="4" t="n"/>
      <c r="J151" s="4" t="n"/>
      <c r="K151">
        <f>IF(OR(I151="",J151=""),"",VLOOKUP(I151,{"Critical",5;"High",4;"Medium",3;"Low",2},2,FALSE)*VLOOKUP(J151,{"Very High",5;"High",4;"Medium",3;"Low",2;"Very Low",1},2,FALSE))</f>
        <v/>
      </c>
      <c r="L151" s="4" t="n"/>
      <c r="M151" s="4" t="n"/>
      <c r="N151" s="4" t="n"/>
      <c r="O151" s="4" t="n"/>
      <c r="P151" s="4" t="n"/>
      <c r="Q151" s="4" t="n"/>
      <c r="R151" s="4" t="n"/>
      <c r="S151" s="4" t="n"/>
      <c r="T151" s="4" t="n"/>
    </row>
    <row r="152">
      <c r="A152" s="21" t="inlineStr"/>
      <c r="B152" s="4" t="n"/>
      <c r="C152" s="4" t="n"/>
      <c r="D152" s="4" t="n"/>
      <c r="E152" s="4" t="n"/>
      <c r="F152" s="4" t="n"/>
      <c r="G152" s="4" t="n"/>
      <c r="H152" s="4" t="n"/>
      <c r="I152" s="4" t="n"/>
      <c r="J152" s="4" t="n"/>
      <c r="K152">
        <f>IF(OR(I152="",J152=""),"",VLOOKUP(I152,{"Critical",5;"High",4;"Medium",3;"Low",2},2,FALSE)*VLOOKUP(J152,{"Very High",5;"High",4;"Medium",3;"Low",2;"Very Low",1},2,FALSE))</f>
        <v/>
      </c>
      <c r="L152" s="4" t="n"/>
      <c r="M152" s="4" t="n"/>
      <c r="N152" s="4" t="n"/>
      <c r="O152" s="4" t="n"/>
      <c r="P152" s="4" t="n"/>
      <c r="Q152" s="4" t="n"/>
      <c r="R152" s="4" t="n"/>
      <c r="S152" s="4" t="n"/>
      <c r="T152" s="4" t="n"/>
    </row>
    <row r="153">
      <c r="A153" s="21" t="inlineStr"/>
      <c r="B153" s="4" t="n"/>
      <c r="C153" s="4" t="n"/>
      <c r="D153" s="4" t="n"/>
      <c r="E153" s="4" t="n"/>
      <c r="F153" s="4" t="n"/>
      <c r="G153" s="4" t="n"/>
      <c r="H153" s="4" t="n"/>
      <c r="I153" s="4" t="n"/>
      <c r="J153" s="4" t="n"/>
      <c r="K153">
        <f>IF(OR(I153="",J153=""),"",VLOOKUP(I153,{"Critical",5;"High",4;"Medium",3;"Low",2},2,FALSE)*VLOOKUP(J153,{"Very High",5;"High",4;"Medium",3;"Low",2;"Very Low",1},2,FALSE))</f>
        <v/>
      </c>
      <c r="L153" s="4" t="n"/>
      <c r="M153" s="4" t="n"/>
      <c r="N153" s="4" t="n"/>
      <c r="O153" s="4" t="n"/>
      <c r="P153" s="4" t="n"/>
      <c r="Q153" s="4" t="n"/>
      <c r="R153" s="4" t="n"/>
      <c r="S153" s="4" t="n"/>
      <c r="T153" s="4" t="n"/>
    </row>
    <row r="154">
      <c r="A154" s="21" t="inlineStr"/>
      <c r="B154" s="4" t="n"/>
      <c r="C154" s="4" t="n"/>
      <c r="D154" s="4" t="n"/>
      <c r="E154" s="4" t="n"/>
      <c r="F154" s="4" t="n"/>
      <c r="G154" s="4" t="n"/>
      <c r="H154" s="4" t="n"/>
      <c r="I154" s="4" t="n"/>
      <c r="J154" s="4" t="n"/>
      <c r="K154">
        <f>IF(OR(I154="",J154=""),"",VLOOKUP(I154,{"Critical",5;"High",4;"Medium",3;"Low",2},2,FALSE)*VLOOKUP(J154,{"Very High",5;"High",4;"Medium",3;"Low",2;"Very Low",1},2,FALSE))</f>
        <v/>
      </c>
      <c r="L154" s="4" t="n"/>
      <c r="M154" s="4" t="n"/>
      <c r="N154" s="4" t="n"/>
      <c r="O154" s="4" t="n"/>
      <c r="P154" s="4" t="n"/>
      <c r="Q154" s="4" t="n"/>
      <c r="R154" s="4" t="n"/>
      <c r="S154" s="4" t="n"/>
      <c r="T154" s="4" t="n"/>
    </row>
    <row r="155">
      <c r="A155" s="21" t="inlineStr"/>
      <c r="B155" s="4" t="n"/>
      <c r="C155" s="4" t="n"/>
      <c r="D155" s="4" t="n"/>
      <c r="E155" s="4" t="n"/>
      <c r="F155" s="4" t="n"/>
      <c r="G155" s="4" t="n"/>
      <c r="H155" s="4" t="n"/>
      <c r="I155" s="4" t="n"/>
      <c r="J155" s="4" t="n"/>
      <c r="K155">
        <f>IF(OR(I155="",J155=""),"",VLOOKUP(I155,{"Critical",5;"High",4;"Medium",3;"Low",2},2,FALSE)*VLOOKUP(J155,{"Very High",5;"High",4;"Medium",3;"Low",2;"Very Low",1},2,FALSE))</f>
        <v/>
      </c>
      <c r="L155" s="4" t="n"/>
      <c r="M155" s="4" t="n"/>
      <c r="N155" s="4" t="n"/>
      <c r="O155" s="4" t="n"/>
      <c r="P155" s="4" t="n"/>
      <c r="Q155" s="4" t="n"/>
      <c r="R155" s="4" t="n"/>
      <c r="S155" s="4" t="n"/>
      <c r="T155" s="4" t="n"/>
    </row>
    <row r="156">
      <c r="A156" s="21" t="inlineStr"/>
      <c r="B156" s="4" t="n"/>
      <c r="C156" s="4" t="n"/>
      <c r="D156" s="4" t="n"/>
      <c r="E156" s="4" t="n"/>
      <c r="F156" s="4" t="n"/>
      <c r="G156" s="4" t="n"/>
      <c r="H156" s="4" t="n"/>
      <c r="I156" s="4" t="n"/>
      <c r="J156" s="4" t="n"/>
      <c r="K156">
        <f>IF(OR(I156="",J156=""),"",VLOOKUP(I156,{"Critical",5;"High",4;"Medium",3;"Low",2},2,FALSE)*VLOOKUP(J156,{"Very High",5;"High",4;"Medium",3;"Low",2;"Very Low",1},2,FALSE))</f>
        <v/>
      </c>
      <c r="L156" s="4" t="n"/>
      <c r="M156" s="4" t="n"/>
      <c r="N156" s="4" t="n"/>
      <c r="O156" s="4" t="n"/>
      <c r="P156" s="4" t="n"/>
      <c r="Q156" s="4" t="n"/>
      <c r="R156" s="4" t="n"/>
      <c r="S156" s="4" t="n"/>
      <c r="T156" s="4" t="n"/>
    </row>
    <row r="157">
      <c r="A157" s="21" t="inlineStr"/>
      <c r="B157" s="4" t="n"/>
      <c r="C157" s="4" t="n"/>
      <c r="D157" s="4" t="n"/>
      <c r="E157" s="4" t="n"/>
      <c r="F157" s="4" t="n"/>
      <c r="G157" s="4" t="n"/>
      <c r="H157" s="4" t="n"/>
      <c r="I157" s="4" t="n"/>
      <c r="J157" s="4" t="n"/>
      <c r="K157">
        <f>IF(OR(I157="",J157=""),"",VLOOKUP(I157,{"Critical",5;"High",4;"Medium",3;"Low",2},2,FALSE)*VLOOKUP(J157,{"Very High",5;"High",4;"Medium",3;"Low",2;"Very Low",1},2,FALSE))</f>
        <v/>
      </c>
      <c r="L157" s="4" t="n"/>
      <c r="M157" s="4" t="n"/>
      <c r="N157" s="4" t="n"/>
      <c r="O157" s="4" t="n"/>
      <c r="P157" s="4" t="n"/>
      <c r="Q157" s="4" t="n"/>
      <c r="R157" s="4" t="n"/>
      <c r="S157" s="4" t="n"/>
      <c r="T157" s="4" t="n"/>
    </row>
    <row r="158">
      <c r="A158" s="21" t="inlineStr"/>
      <c r="B158" s="4" t="n"/>
      <c r="C158" s="4" t="n"/>
      <c r="D158" s="4" t="n"/>
      <c r="E158" s="4" t="n"/>
      <c r="F158" s="4" t="n"/>
      <c r="G158" s="4" t="n"/>
      <c r="H158" s="4" t="n"/>
      <c r="I158" s="4" t="n"/>
      <c r="J158" s="4" t="n"/>
      <c r="K158">
        <f>IF(OR(I158="",J158=""),"",VLOOKUP(I158,{"Critical",5;"High",4;"Medium",3;"Low",2},2,FALSE)*VLOOKUP(J158,{"Very High",5;"High",4;"Medium",3;"Low",2;"Very Low",1},2,FALSE))</f>
        <v/>
      </c>
      <c r="L158" s="4" t="n"/>
      <c r="M158" s="4" t="n"/>
      <c r="N158" s="4" t="n"/>
      <c r="O158" s="4" t="n"/>
      <c r="P158" s="4" t="n"/>
      <c r="Q158" s="4" t="n"/>
      <c r="R158" s="4" t="n"/>
      <c r="S158" s="4" t="n"/>
      <c r="T158" s="4" t="n"/>
    </row>
    <row r="159">
      <c r="A159" s="21" t="inlineStr"/>
      <c r="B159" s="4" t="n"/>
      <c r="C159" s="4" t="n"/>
      <c r="D159" s="4" t="n"/>
      <c r="E159" s="4" t="n"/>
      <c r="F159" s="4" t="n"/>
      <c r="G159" s="4" t="n"/>
      <c r="H159" s="4" t="n"/>
      <c r="I159" s="4" t="n"/>
      <c r="J159" s="4" t="n"/>
      <c r="K159">
        <f>IF(OR(I159="",J159=""),"",VLOOKUP(I159,{"Critical",5;"High",4;"Medium",3;"Low",2},2,FALSE)*VLOOKUP(J159,{"Very High",5;"High",4;"Medium",3;"Low",2;"Very Low",1},2,FALSE))</f>
        <v/>
      </c>
      <c r="L159" s="4" t="n"/>
      <c r="M159" s="4" t="n"/>
      <c r="N159" s="4" t="n"/>
      <c r="O159" s="4" t="n"/>
      <c r="P159" s="4" t="n"/>
      <c r="Q159" s="4" t="n"/>
      <c r="R159" s="4" t="n"/>
      <c r="S159" s="4" t="n"/>
      <c r="T159" s="4" t="n"/>
    </row>
    <row r="160">
      <c r="A160" s="21" t="inlineStr"/>
      <c r="B160" s="4" t="n"/>
      <c r="C160" s="4" t="n"/>
      <c r="D160" s="4" t="n"/>
      <c r="E160" s="4" t="n"/>
      <c r="F160" s="4" t="n"/>
      <c r="G160" s="4" t="n"/>
      <c r="H160" s="4" t="n"/>
      <c r="I160" s="4" t="n"/>
      <c r="J160" s="4" t="n"/>
      <c r="K160">
        <f>IF(OR(I160="",J160=""),"",VLOOKUP(I160,{"Critical",5;"High",4;"Medium",3;"Low",2},2,FALSE)*VLOOKUP(J160,{"Very High",5;"High",4;"Medium",3;"Low",2;"Very Low",1},2,FALSE))</f>
        <v/>
      </c>
      <c r="L160" s="4" t="n"/>
      <c r="M160" s="4" t="n"/>
      <c r="N160" s="4" t="n"/>
      <c r="O160" s="4" t="n"/>
      <c r="P160" s="4" t="n"/>
      <c r="Q160" s="4" t="n"/>
      <c r="R160" s="4" t="n"/>
      <c r="S160" s="4" t="n"/>
      <c r="T160" s="4" t="n"/>
    </row>
    <row r="161">
      <c r="A161" s="21" t="inlineStr"/>
      <c r="B161" s="4" t="n"/>
      <c r="C161" s="4" t="n"/>
      <c r="D161" s="4" t="n"/>
      <c r="E161" s="4" t="n"/>
      <c r="F161" s="4" t="n"/>
      <c r="G161" s="4" t="n"/>
      <c r="H161" s="4" t="n"/>
      <c r="I161" s="4" t="n"/>
      <c r="J161" s="4" t="n"/>
      <c r="K161">
        <f>IF(OR(I161="",J161=""),"",VLOOKUP(I161,{"Critical",5;"High",4;"Medium",3;"Low",2},2,FALSE)*VLOOKUP(J161,{"Very High",5;"High",4;"Medium",3;"Low",2;"Very Low",1},2,FALSE))</f>
        <v/>
      </c>
      <c r="L161" s="4" t="n"/>
      <c r="M161" s="4" t="n"/>
      <c r="N161" s="4" t="n"/>
      <c r="O161" s="4" t="n"/>
      <c r="P161" s="4" t="n"/>
      <c r="Q161" s="4" t="n"/>
      <c r="R161" s="4" t="n"/>
      <c r="S161" s="4" t="n"/>
      <c r="T161" s="4" t="n"/>
    </row>
    <row r="162">
      <c r="A162" s="21" t="inlineStr"/>
      <c r="B162" s="4" t="n"/>
      <c r="C162" s="4" t="n"/>
      <c r="D162" s="4" t="n"/>
      <c r="E162" s="4" t="n"/>
      <c r="F162" s="4" t="n"/>
      <c r="G162" s="4" t="n"/>
      <c r="H162" s="4" t="n"/>
      <c r="I162" s="4" t="n"/>
      <c r="J162" s="4" t="n"/>
      <c r="K162">
        <f>IF(OR(I162="",J162=""),"",VLOOKUP(I162,{"Critical",5;"High",4;"Medium",3;"Low",2},2,FALSE)*VLOOKUP(J162,{"Very High",5;"High",4;"Medium",3;"Low",2;"Very Low",1},2,FALSE))</f>
        <v/>
      </c>
      <c r="L162" s="4" t="n"/>
      <c r="M162" s="4" t="n"/>
      <c r="N162" s="4" t="n"/>
      <c r="O162" s="4" t="n"/>
      <c r="P162" s="4" t="n"/>
      <c r="Q162" s="4" t="n"/>
      <c r="R162" s="4" t="n"/>
      <c r="S162" s="4" t="n"/>
      <c r="T162" s="4" t="n"/>
    </row>
    <row r="163">
      <c r="A163" s="21" t="inlineStr"/>
      <c r="B163" s="4" t="n"/>
      <c r="C163" s="4" t="n"/>
      <c r="D163" s="4" t="n"/>
      <c r="E163" s="4" t="n"/>
      <c r="F163" s="4" t="n"/>
      <c r="G163" s="4" t="n"/>
      <c r="H163" s="4" t="n"/>
      <c r="I163" s="4" t="n"/>
      <c r="J163" s="4" t="n"/>
      <c r="K163">
        <f>IF(OR(I163="",J163=""),"",VLOOKUP(I163,{"Critical",5;"High",4;"Medium",3;"Low",2},2,FALSE)*VLOOKUP(J163,{"Very High",5;"High",4;"Medium",3;"Low",2;"Very Low",1},2,FALSE))</f>
        <v/>
      </c>
      <c r="L163" s="4" t="n"/>
      <c r="M163" s="4" t="n"/>
      <c r="N163" s="4" t="n"/>
      <c r="O163" s="4" t="n"/>
      <c r="P163" s="4" t="n"/>
      <c r="Q163" s="4" t="n"/>
      <c r="R163" s="4" t="n"/>
      <c r="S163" s="4" t="n"/>
      <c r="T163" s="4" t="n"/>
    </row>
    <row r="164">
      <c r="A164" s="21" t="inlineStr"/>
      <c r="B164" s="4" t="n"/>
      <c r="C164" s="4" t="n"/>
      <c r="D164" s="4" t="n"/>
      <c r="E164" s="4" t="n"/>
      <c r="F164" s="4" t="n"/>
      <c r="G164" s="4" t="n"/>
      <c r="H164" s="4" t="n"/>
      <c r="I164" s="4" t="n"/>
      <c r="J164" s="4" t="n"/>
      <c r="K164">
        <f>IF(OR(I164="",J164=""),"",VLOOKUP(I164,{"Critical",5;"High",4;"Medium",3;"Low",2},2,FALSE)*VLOOKUP(J164,{"Very High",5;"High",4;"Medium",3;"Low",2;"Very Low",1},2,FALSE))</f>
        <v/>
      </c>
      <c r="L164" s="4" t="n"/>
      <c r="M164" s="4" t="n"/>
      <c r="N164" s="4" t="n"/>
      <c r="O164" s="4" t="n"/>
      <c r="P164" s="4" t="n"/>
      <c r="Q164" s="4" t="n"/>
      <c r="R164" s="4" t="n"/>
      <c r="S164" s="4" t="n"/>
      <c r="T164" s="4" t="n"/>
    </row>
    <row r="165">
      <c r="A165" s="21" t="inlineStr"/>
      <c r="B165" s="4" t="n"/>
      <c r="C165" s="4" t="n"/>
      <c r="D165" s="4" t="n"/>
      <c r="E165" s="4" t="n"/>
      <c r="F165" s="4" t="n"/>
      <c r="G165" s="4" t="n"/>
      <c r="H165" s="4" t="n"/>
      <c r="I165" s="4" t="n"/>
      <c r="J165" s="4" t="n"/>
      <c r="K165">
        <f>IF(OR(I165="",J165=""),"",VLOOKUP(I165,{"Critical",5;"High",4;"Medium",3;"Low",2},2,FALSE)*VLOOKUP(J165,{"Very High",5;"High",4;"Medium",3;"Low",2;"Very Low",1},2,FALSE))</f>
        <v/>
      </c>
      <c r="L165" s="4" t="n"/>
      <c r="M165" s="4" t="n"/>
      <c r="N165" s="4" t="n"/>
      <c r="O165" s="4" t="n"/>
      <c r="P165" s="4" t="n"/>
      <c r="Q165" s="4" t="n"/>
      <c r="R165" s="4" t="n"/>
      <c r="S165" s="4" t="n"/>
      <c r="T165" s="4" t="n"/>
    </row>
    <row r="166">
      <c r="A166" s="21" t="inlineStr"/>
      <c r="B166" s="4" t="n"/>
      <c r="C166" s="4" t="n"/>
      <c r="D166" s="4" t="n"/>
      <c r="E166" s="4" t="n"/>
      <c r="F166" s="4" t="n"/>
      <c r="G166" s="4" t="n"/>
      <c r="H166" s="4" t="n"/>
      <c r="I166" s="4" t="n"/>
      <c r="J166" s="4" t="n"/>
      <c r="K166">
        <f>IF(OR(I166="",J166=""),"",VLOOKUP(I166,{"Critical",5;"High",4;"Medium",3;"Low",2},2,FALSE)*VLOOKUP(J166,{"Very High",5;"High",4;"Medium",3;"Low",2;"Very Low",1},2,FALSE))</f>
        <v/>
      </c>
      <c r="L166" s="4" t="n"/>
      <c r="M166" s="4" t="n"/>
      <c r="N166" s="4" t="n"/>
      <c r="O166" s="4" t="n"/>
      <c r="P166" s="4" t="n"/>
      <c r="Q166" s="4" t="n"/>
      <c r="R166" s="4" t="n"/>
      <c r="S166" s="4" t="n"/>
      <c r="T166" s="4" t="n"/>
    </row>
    <row r="167">
      <c r="A167" s="21" t="inlineStr"/>
      <c r="B167" s="4" t="n"/>
      <c r="C167" s="4" t="n"/>
      <c r="D167" s="4" t="n"/>
      <c r="E167" s="4" t="n"/>
      <c r="F167" s="4" t="n"/>
      <c r="G167" s="4" t="n"/>
      <c r="H167" s="4" t="n"/>
      <c r="I167" s="4" t="n"/>
      <c r="J167" s="4" t="n"/>
      <c r="K167">
        <f>IF(OR(I167="",J167=""),"",VLOOKUP(I167,{"Critical",5;"High",4;"Medium",3;"Low",2},2,FALSE)*VLOOKUP(J167,{"Very High",5;"High",4;"Medium",3;"Low",2;"Very Low",1},2,FALSE))</f>
        <v/>
      </c>
      <c r="L167" s="4" t="n"/>
      <c r="M167" s="4" t="n"/>
      <c r="N167" s="4" t="n"/>
      <c r="O167" s="4" t="n"/>
      <c r="P167" s="4" t="n"/>
      <c r="Q167" s="4" t="n"/>
      <c r="R167" s="4" t="n"/>
      <c r="S167" s="4" t="n"/>
      <c r="T167" s="4" t="n"/>
    </row>
    <row r="168">
      <c r="A168" s="21" t="inlineStr"/>
      <c r="B168" s="4" t="n"/>
      <c r="C168" s="4" t="n"/>
      <c r="D168" s="4" t="n"/>
      <c r="E168" s="4" t="n"/>
      <c r="F168" s="4" t="n"/>
      <c r="G168" s="4" t="n"/>
      <c r="H168" s="4" t="n"/>
      <c r="I168" s="4" t="n"/>
      <c r="J168" s="4" t="n"/>
      <c r="K168">
        <f>IF(OR(I168="",J168=""),"",VLOOKUP(I168,{"Critical",5;"High",4;"Medium",3;"Low",2},2,FALSE)*VLOOKUP(J168,{"Very High",5;"High",4;"Medium",3;"Low",2;"Very Low",1},2,FALSE))</f>
        <v/>
      </c>
      <c r="L168" s="4" t="n"/>
      <c r="M168" s="4" t="n"/>
      <c r="N168" s="4" t="n"/>
      <c r="O168" s="4" t="n"/>
      <c r="P168" s="4" t="n"/>
      <c r="Q168" s="4" t="n"/>
      <c r="R168" s="4" t="n"/>
      <c r="S168" s="4" t="n"/>
      <c r="T168" s="4" t="n"/>
    </row>
    <row r="169">
      <c r="A169" s="21" t="inlineStr"/>
      <c r="B169" s="4" t="n"/>
      <c r="C169" s="4" t="n"/>
      <c r="D169" s="4" t="n"/>
      <c r="E169" s="4" t="n"/>
      <c r="F169" s="4" t="n"/>
      <c r="G169" s="4" t="n"/>
      <c r="H169" s="4" t="n"/>
      <c r="I169" s="4" t="n"/>
      <c r="J169" s="4" t="n"/>
      <c r="K169">
        <f>IF(OR(I169="",J169=""),"",VLOOKUP(I169,{"Critical",5;"High",4;"Medium",3;"Low",2},2,FALSE)*VLOOKUP(J169,{"Very High",5;"High",4;"Medium",3;"Low",2;"Very Low",1},2,FALSE))</f>
        <v/>
      </c>
      <c r="L169" s="4" t="n"/>
      <c r="M169" s="4" t="n"/>
      <c r="N169" s="4" t="n"/>
      <c r="O169" s="4" t="n"/>
      <c r="P169" s="4" t="n"/>
      <c r="Q169" s="4" t="n"/>
      <c r="R169" s="4" t="n"/>
      <c r="S169" s="4" t="n"/>
      <c r="T169" s="4" t="n"/>
    </row>
    <row r="170">
      <c r="A170" s="21" t="inlineStr"/>
      <c r="B170" s="4" t="n"/>
      <c r="C170" s="4" t="n"/>
      <c r="D170" s="4" t="n"/>
      <c r="E170" s="4" t="n"/>
      <c r="F170" s="4" t="n"/>
      <c r="G170" s="4" t="n"/>
      <c r="H170" s="4" t="n"/>
      <c r="I170" s="4" t="n"/>
      <c r="J170" s="4" t="n"/>
      <c r="K170">
        <f>IF(OR(I170="",J170=""),"",VLOOKUP(I170,{"Critical",5;"High",4;"Medium",3;"Low",2},2,FALSE)*VLOOKUP(J170,{"Very High",5;"High",4;"Medium",3;"Low",2;"Very Low",1},2,FALSE))</f>
        <v/>
      </c>
      <c r="L170" s="4" t="n"/>
      <c r="M170" s="4" t="n"/>
      <c r="N170" s="4" t="n"/>
      <c r="O170" s="4" t="n"/>
      <c r="P170" s="4" t="n"/>
      <c r="Q170" s="4" t="n"/>
      <c r="R170" s="4" t="n"/>
      <c r="S170" s="4" t="n"/>
      <c r="T170" s="4" t="n"/>
    </row>
    <row r="171">
      <c r="A171" s="21" t="inlineStr"/>
      <c r="B171" s="4" t="n"/>
      <c r="C171" s="4" t="n"/>
      <c r="D171" s="4" t="n"/>
      <c r="E171" s="4" t="n"/>
      <c r="F171" s="4" t="n"/>
      <c r="G171" s="4" t="n"/>
      <c r="H171" s="4" t="n"/>
      <c r="I171" s="4" t="n"/>
      <c r="J171" s="4" t="n"/>
      <c r="K171">
        <f>IF(OR(I171="",J171=""),"",VLOOKUP(I171,{"Critical",5;"High",4;"Medium",3;"Low",2},2,FALSE)*VLOOKUP(J171,{"Very High",5;"High",4;"Medium",3;"Low",2;"Very Low",1},2,FALSE))</f>
        <v/>
      </c>
      <c r="L171" s="4" t="n"/>
      <c r="M171" s="4" t="n"/>
      <c r="N171" s="4" t="n"/>
      <c r="O171" s="4" t="n"/>
      <c r="P171" s="4" t="n"/>
      <c r="Q171" s="4" t="n"/>
      <c r="R171" s="4" t="n"/>
      <c r="S171" s="4" t="n"/>
      <c r="T171" s="4" t="n"/>
    </row>
    <row r="172">
      <c r="A172" s="21" t="inlineStr"/>
      <c r="B172" s="4" t="n"/>
      <c r="C172" s="4" t="n"/>
      <c r="D172" s="4" t="n"/>
      <c r="E172" s="4" t="n"/>
      <c r="F172" s="4" t="n"/>
      <c r="G172" s="4" t="n"/>
      <c r="H172" s="4" t="n"/>
      <c r="I172" s="4" t="n"/>
      <c r="J172" s="4" t="n"/>
      <c r="K172">
        <f>IF(OR(I172="",J172=""),"",VLOOKUP(I172,{"Critical",5;"High",4;"Medium",3;"Low",2},2,FALSE)*VLOOKUP(J172,{"Very High",5;"High",4;"Medium",3;"Low",2;"Very Low",1},2,FALSE))</f>
        <v/>
      </c>
      <c r="L172" s="4" t="n"/>
      <c r="M172" s="4" t="n"/>
      <c r="N172" s="4" t="n"/>
      <c r="O172" s="4" t="n"/>
      <c r="P172" s="4" t="n"/>
      <c r="Q172" s="4" t="n"/>
      <c r="R172" s="4" t="n"/>
      <c r="S172" s="4" t="n"/>
      <c r="T172" s="4" t="n"/>
    </row>
    <row r="173">
      <c r="A173" s="21" t="inlineStr"/>
      <c r="B173" s="4" t="n"/>
      <c r="C173" s="4" t="n"/>
      <c r="D173" s="4" t="n"/>
      <c r="E173" s="4" t="n"/>
      <c r="F173" s="4" t="n"/>
      <c r="G173" s="4" t="n"/>
      <c r="H173" s="4" t="n"/>
      <c r="I173" s="4" t="n"/>
      <c r="J173" s="4" t="n"/>
      <c r="K173">
        <f>IF(OR(I173="",J173=""),"",VLOOKUP(I173,{"Critical",5;"High",4;"Medium",3;"Low",2},2,FALSE)*VLOOKUP(J173,{"Very High",5;"High",4;"Medium",3;"Low",2;"Very Low",1},2,FALSE))</f>
        <v/>
      </c>
      <c r="L173" s="4" t="n"/>
      <c r="M173" s="4" t="n"/>
      <c r="N173" s="4" t="n"/>
      <c r="O173" s="4" t="n"/>
      <c r="P173" s="4" t="n"/>
      <c r="Q173" s="4" t="n"/>
      <c r="R173" s="4" t="n"/>
      <c r="S173" s="4" t="n"/>
      <c r="T173" s="4" t="n"/>
    </row>
    <row r="174">
      <c r="A174" s="21" t="inlineStr"/>
      <c r="B174" s="4" t="n"/>
      <c r="C174" s="4" t="n"/>
      <c r="D174" s="4" t="n"/>
      <c r="E174" s="4" t="n"/>
      <c r="F174" s="4" t="n"/>
      <c r="G174" s="4" t="n"/>
      <c r="H174" s="4" t="n"/>
      <c r="I174" s="4" t="n"/>
      <c r="J174" s="4" t="n"/>
      <c r="K174">
        <f>IF(OR(I174="",J174=""),"",VLOOKUP(I174,{"Critical",5;"High",4;"Medium",3;"Low",2},2,FALSE)*VLOOKUP(J174,{"Very High",5;"High",4;"Medium",3;"Low",2;"Very Low",1},2,FALSE))</f>
        <v/>
      </c>
      <c r="L174" s="4" t="n"/>
      <c r="M174" s="4" t="n"/>
      <c r="N174" s="4" t="n"/>
      <c r="O174" s="4" t="n"/>
      <c r="P174" s="4" t="n"/>
      <c r="Q174" s="4" t="n"/>
      <c r="R174" s="4" t="n"/>
      <c r="S174" s="4" t="n"/>
      <c r="T174" s="4" t="n"/>
    </row>
    <row r="175">
      <c r="A175" s="21" t="inlineStr"/>
      <c r="B175" s="4" t="n"/>
      <c r="C175" s="4" t="n"/>
      <c r="D175" s="4" t="n"/>
      <c r="E175" s="4" t="n"/>
      <c r="F175" s="4" t="n"/>
      <c r="G175" s="4" t="n"/>
      <c r="H175" s="4" t="n"/>
      <c r="I175" s="4" t="n"/>
      <c r="J175" s="4" t="n"/>
      <c r="K175">
        <f>IF(OR(I175="",J175=""),"",VLOOKUP(I175,{"Critical",5;"High",4;"Medium",3;"Low",2},2,FALSE)*VLOOKUP(J175,{"Very High",5;"High",4;"Medium",3;"Low",2;"Very Low",1},2,FALSE))</f>
        <v/>
      </c>
      <c r="L175" s="4" t="n"/>
      <c r="M175" s="4" t="n"/>
      <c r="N175" s="4" t="n"/>
      <c r="O175" s="4" t="n"/>
      <c r="P175" s="4" t="n"/>
      <c r="Q175" s="4" t="n"/>
      <c r="R175" s="4" t="n"/>
      <c r="S175" s="4" t="n"/>
      <c r="T175" s="4" t="n"/>
    </row>
    <row r="176">
      <c r="A176" s="21" t="inlineStr"/>
      <c r="B176" s="4" t="n"/>
      <c r="C176" s="4" t="n"/>
      <c r="D176" s="4" t="n"/>
      <c r="E176" s="4" t="n"/>
      <c r="F176" s="4" t="n"/>
      <c r="G176" s="4" t="n"/>
      <c r="H176" s="4" t="n"/>
      <c r="I176" s="4" t="n"/>
      <c r="J176" s="4" t="n"/>
      <c r="K176">
        <f>IF(OR(I176="",J176=""),"",VLOOKUP(I176,{"Critical",5;"High",4;"Medium",3;"Low",2},2,FALSE)*VLOOKUP(J176,{"Very High",5;"High",4;"Medium",3;"Low",2;"Very Low",1},2,FALSE))</f>
        <v/>
      </c>
      <c r="L176" s="4" t="n"/>
      <c r="M176" s="4" t="n"/>
      <c r="N176" s="4" t="n"/>
      <c r="O176" s="4" t="n"/>
      <c r="P176" s="4" t="n"/>
      <c r="Q176" s="4" t="n"/>
      <c r="R176" s="4" t="n"/>
      <c r="S176" s="4" t="n"/>
      <c r="T176" s="4" t="n"/>
    </row>
    <row r="177">
      <c r="A177" s="21" t="inlineStr"/>
      <c r="B177" s="4" t="n"/>
      <c r="C177" s="4" t="n"/>
      <c r="D177" s="4" t="n"/>
      <c r="E177" s="4" t="n"/>
      <c r="F177" s="4" t="n"/>
      <c r="G177" s="4" t="n"/>
      <c r="H177" s="4" t="n"/>
      <c r="I177" s="4" t="n"/>
      <c r="J177" s="4" t="n"/>
      <c r="K177">
        <f>IF(OR(I177="",J177=""),"",VLOOKUP(I177,{"Critical",5;"High",4;"Medium",3;"Low",2},2,FALSE)*VLOOKUP(J177,{"Very High",5;"High",4;"Medium",3;"Low",2;"Very Low",1},2,FALSE))</f>
        <v/>
      </c>
      <c r="L177" s="4" t="n"/>
      <c r="M177" s="4" t="n"/>
      <c r="N177" s="4" t="n"/>
      <c r="O177" s="4" t="n"/>
      <c r="P177" s="4" t="n"/>
      <c r="Q177" s="4" t="n"/>
      <c r="R177" s="4" t="n"/>
      <c r="S177" s="4" t="n"/>
      <c r="T177" s="4" t="n"/>
    </row>
    <row r="178">
      <c r="A178" s="21" t="inlineStr"/>
      <c r="B178" s="4" t="n"/>
      <c r="C178" s="4" t="n"/>
      <c r="D178" s="4" t="n"/>
      <c r="E178" s="4" t="n"/>
      <c r="F178" s="4" t="n"/>
      <c r="G178" s="4" t="n"/>
      <c r="H178" s="4" t="n"/>
      <c r="I178" s="4" t="n"/>
      <c r="J178" s="4" t="n"/>
      <c r="K178">
        <f>IF(OR(I178="",J178=""),"",VLOOKUP(I178,{"Critical",5;"High",4;"Medium",3;"Low",2},2,FALSE)*VLOOKUP(J178,{"Very High",5;"High",4;"Medium",3;"Low",2;"Very Low",1},2,FALSE))</f>
        <v/>
      </c>
      <c r="L178" s="4" t="n"/>
      <c r="M178" s="4" t="n"/>
      <c r="N178" s="4" t="n"/>
      <c r="O178" s="4" t="n"/>
      <c r="P178" s="4" t="n"/>
      <c r="Q178" s="4" t="n"/>
      <c r="R178" s="4" t="n"/>
      <c r="S178" s="4" t="n"/>
      <c r="T178" s="4" t="n"/>
    </row>
    <row r="179">
      <c r="A179" s="21" t="inlineStr"/>
      <c r="B179" s="4" t="n"/>
      <c r="C179" s="4" t="n"/>
      <c r="D179" s="4" t="n"/>
      <c r="E179" s="4" t="n"/>
      <c r="F179" s="4" t="n"/>
      <c r="G179" s="4" t="n"/>
      <c r="H179" s="4" t="n"/>
      <c r="I179" s="4" t="n"/>
      <c r="J179" s="4" t="n"/>
      <c r="K179">
        <f>IF(OR(I179="",J179=""),"",VLOOKUP(I179,{"Critical",5;"High",4;"Medium",3;"Low",2},2,FALSE)*VLOOKUP(J179,{"Very High",5;"High",4;"Medium",3;"Low",2;"Very Low",1},2,FALSE))</f>
        <v/>
      </c>
      <c r="L179" s="4" t="n"/>
      <c r="M179" s="4" t="n"/>
      <c r="N179" s="4" t="n"/>
      <c r="O179" s="4" t="n"/>
      <c r="P179" s="4" t="n"/>
      <c r="Q179" s="4" t="n"/>
      <c r="R179" s="4" t="n"/>
      <c r="S179" s="4" t="n"/>
      <c r="T179" s="4" t="n"/>
    </row>
    <row r="180">
      <c r="A180" s="21" t="inlineStr"/>
      <c r="B180" s="4" t="n"/>
      <c r="C180" s="4" t="n"/>
      <c r="D180" s="4" t="n"/>
      <c r="E180" s="4" t="n"/>
      <c r="F180" s="4" t="n"/>
      <c r="G180" s="4" t="n"/>
      <c r="H180" s="4" t="n"/>
      <c r="I180" s="4" t="n"/>
      <c r="J180" s="4" t="n"/>
      <c r="K180">
        <f>IF(OR(I180="",J180=""),"",VLOOKUP(I180,{"Critical",5;"High",4;"Medium",3;"Low",2},2,FALSE)*VLOOKUP(J180,{"Very High",5;"High",4;"Medium",3;"Low",2;"Very Low",1},2,FALSE))</f>
        <v/>
      </c>
      <c r="L180" s="4" t="n"/>
      <c r="M180" s="4" t="n"/>
      <c r="N180" s="4" t="n"/>
      <c r="O180" s="4" t="n"/>
      <c r="P180" s="4" t="n"/>
      <c r="Q180" s="4" t="n"/>
      <c r="R180" s="4" t="n"/>
      <c r="S180" s="4" t="n"/>
      <c r="T180" s="4" t="n"/>
    </row>
    <row r="181">
      <c r="A181" s="21" t="inlineStr"/>
      <c r="B181" s="4" t="n"/>
      <c r="C181" s="4" t="n"/>
      <c r="D181" s="4" t="n"/>
      <c r="E181" s="4" t="n"/>
      <c r="F181" s="4" t="n"/>
      <c r="G181" s="4" t="n"/>
      <c r="H181" s="4" t="n"/>
      <c r="I181" s="4" t="n"/>
      <c r="J181" s="4" t="n"/>
      <c r="K181">
        <f>IF(OR(I181="",J181=""),"",VLOOKUP(I181,{"Critical",5;"High",4;"Medium",3;"Low",2},2,FALSE)*VLOOKUP(J181,{"Very High",5;"High",4;"Medium",3;"Low",2;"Very Low",1},2,FALSE))</f>
        <v/>
      </c>
      <c r="L181" s="4" t="n"/>
      <c r="M181" s="4" t="n"/>
      <c r="N181" s="4" t="n"/>
      <c r="O181" s="4" t="n"/>
      <c r="P181" s="4" t="n"/>
      <c r="Q181" s="4" t="n"/>
      <c r="R181" s="4" t="n"/>
      <c r="S181" s="4" t="n"/>
      <c r="T181" s="4" t="n"/>
    </row>
    <row r="182">
      <c r="A182" s="21" t="inlineStr"/>
      <c r="B182" s="4" t="n"/>
      <c r="C182" s="4" t="n"/>
      <c r="D182" s="4" t="n"/>
      <c r="E182" s="4" t="n"/>
      <c r="F182" s="4" t="n"/>
      <c r="G182" s="4" t="n"/>
      <c r="H182" s="4" t="n"/>
      <c r="I182" s="4" t="n"/>
      <c r="J182" s="4" t="n"/>
      <c r="K182">
        <f>IF(OR(I182="",J182=""),"",VLOOKUP(I182,{"Critical",5;"High",4;"Medium",3;"Low",2},2,FALSE)*VLOOKUP(J182,{"Very High",5;"High",4;"Medium",3;"Low",2;"Very Low",1},2,FALSE))</f>
        <v/>
      </c>
      <c r="L182" s="4" t="n"/>
      <c r="M182" s="4" t="n"/>
      <c r="N182" s="4" t="n"/>
      <c r="O182" s="4" t="n"/>
      <c r="P182" s="4" t="n"/>
      <c r="Q182" s="4" t="n"/>
      <c r="R182" s="4" t="n"/>
      <c r="S182" s="4" t="n"/>
      <c r="T182" s="4" t="n"/>
    </row>
    <row r="183">
      <c r="A183" s="21" t="inlineStr"/>
      <c r="B183" s="4" t="n"/>
      <c r="C183" s="4" t="n"/>
      <c r="D183" s="4" t="n"/>
      <c r="E183" s="4" t="n"/>
      <c r="F183" s="4" t="n"/>
      <c r="G183" s="4" t="n"/>
      <c r="H183" s="4" t="n"/>
      <c r="I183" s="4" t="n"/>
      <c r="J183" s="4" t="n"/>
      <c r="K183">
        <f>IF(OR(I183="",J183=""),"",VLOOKUP(I183,{"Critical",5;"High",4;"Medium",3;"Low",2},2,FALSE)*VLOOKUP(J183,{"Very High",5;"High",4;"Medium",3;"Low",2;"Very Low",1},2,FALSE))</f>
        <v/>
      </c>
      <c r="L183" s="4" t="n"/>
      <c r="M183" s="4" t="n"/>
      <c r="N183" s="4" t="n"/>
      <c r="O183" s="4" t="n"/>
      <c r="P183" s="4" t="n"/>
      <c r="Q183" s="4" t="n"/>
      <c r="R183" s="4" t="n"/>
      <c r="S183" s="4" t="n"/>
      <c r="T183" s="4" t="n"/>
    </row>
    <row r="184">
      <c r="A184" s="21" t="inlineStr"/>
      <c r="B184" s="4" t="n"/>
      <c r="C184" s="4" t="n"/>
      <c r="D184" s="4" t="n"/>
      <c r="E184" s="4" t="n"/>
      <c r="F184" s="4" t="n"/>
      <c r="G184" s="4" t="n"/>
      <c r="H184" s="4" t="n"/>
      <c r="I184" s="4" t="n"/>
      <c r="J184" s="4" t="n"/>
      <c r="K184">
        <f>IF(OR(I184="",J184=""),"",VLOOKUP(I184,{"Critical",5;"High",4;"Medium",3;"Low",2},2,FALSE)*VLOOKUP(J184,{"Very High",5;"High",4;"Medium",3;"Low",2;"Very Low",1},2,FALSE))</f>
        <v/>
      </c>
      <c r="L184" s="4" t="n"/>
      <c r="M184" s="4" t="n"/>
      <c r="N184" s="4" t="n"/>
      <c r="O184" s="4" t="n"/>
      <c r="P184" s="4" t="n"/>
      <c r="Q184" s="4" t="n"/>
      <c r="R184" s="4" t="n"/>
      <c r="S184" s="4" t="n"/>
      <c r="T184" s="4" t="n"/>
    </row>
    <row r="185">
      <c r="A185" s="21" t="inlineStr"/>
      <c r="B185" s="4" t="n"/>
      <c r="C185" s="4" t="n"/>
      <c r="D185" s="4" t="n"/>
      <c r="E185" s="4" t="n"/>
      <c r="F185" s="4" t="n"/>
      <c r="G185" s="4" t="n"/>
      <c r="H185" s="4" t="n"/>
      <c r="I185" s="4" t="n"/>
      <c r="J185" s="4" t="n"/>
      <c r="K185">
        <f>IF(OR(I185="",J185=""),"",VLOOKUP(I185,{"Critical",5;"High",4;"Medium",3;"Low",2},2,FALSE)*VLOOKUP(J185,{"Very High",5;"High",4;"Medium",3;"Low",2;"Very Low",1},2,FALSE))</f>
        <v/>
      </c>
      <c r="L185" s="4" t="n"/>
      <c r="M185" s="4" t="n"/>
      <c r="N185" s="4" t="n"/>
      <c r="O185" s="4" t="n"/>
      <c r="P185" s="4" t="n"/>
      <c r="Q185" s="4" t="n"/>
      <c r="R185" s="4" t="n"/>
      <c r="S185" s="4" t="n"/>
      <c r="T185" s="4" t="n"/>
    </row>
    <row r="186">
      <c r="A186" s="21" t="inlineStr"/>
      <c r="B186" s="4" t="n"/>
      <c r="C186" s="4" t="n"/>
      <c r="D186" s="4" t="n"/>
      <c r="E186" s="4" t="n"/>
      <c r="F186" s="4" t="n"/>
      <c r="G186" s="4" t="n"/>
      <c r="H186" s="4" t="n"/>
      <c r="I186" s="4" t="n"/>
      <c r="J186" s="4" t="n"/>
      <c r="K186">
        <f>IF(OR(I186="",J186=""),"",VLOOKUP(I186,{"Critical",5;"High",4;"Medium",3;"Low",2},2,FALSE)*VLOOKUP(J186,{"Very High",5;"High",4;"Medium",3;"Low",2;"Very Low",1},2,FALSE))</f>
        <v/>
      </c>
      <c r="L186" s="4" t="n"/>
      <c r="M186" s="4" t="n"/>
      <c r="N186" s="4" t="n"/>
      <c r="O186" s="4" t="n"/>
      <c r="P186" s="4" t="n"/>
      <c r="Q186" s="4" t="n"/>
      <c r="R186" s="4" t="n"/>
      <c r="S186" s="4" t="n"/>
      <c r="T186" s="4" t="n"/>
    </row>
    <row r="187">
      <c r="A187" s="21" t="inlineStr"/>
      <c r="B187" s="4" t="n"/>
      <c r="C187" s="4" t="n"/>
      <c r="D187" s="4" t="n"/>
      <c r="E187" s="4" t="n"/>
      <c r="F187" s="4" t="n"/>
      <c r="G187" s="4" t="n"/>
      <c r="H187" s="4" t="n"/>
      <c r="I187" s="4" t="n"/>
      <c r="J187" s="4" t="n"/>
      <c r="K187">
        <f>IF(OR(I187="",J187=""),"",VLOOKUP(I187,{"Critical",5;"High",4;"Medium",3;"Low",2},2,FALSE)*VLOOKUP(J187,{"Very High",5;"High",4;"Medium",3;"Low",2;"Very Low",1},2,FALSE))</f>
        <v/>
      </c>
      <c r="L187" s="4" t="n"/>
      <c r="M187" s="4" t="n"/>
      <c r="N187" s="4" t="n"/>
      <c r="O187" s="4" t="n"/>
      <c r="P187" s="4" t="n"/>
      <c r="Q187" s="4" t="n"/>
      <c r="R187" s="4" t="n"/>
      <c r="S187" s="4" t="n"/>
      <c r="T187" s="4" t="n"/>
    </row>
    <row r="188">
      <c r="A188" s="21" t="inlineStr"/>
      <c r="B188" s="4" t="n"/>
      <c r="C188" s="4" t="n"/>
      <c r="D188" s="4" t="n"/>
      <c r="E188" s="4" t="n"/>
      <c r="F188" s="4" t="n"/>
      <c r="G188" s="4" t="n"/>
      <c r="H188" s="4" t="n"/>
      <c r="I188" s="4" t="n"/>
      <c r="J188" s="4" t="n"/>
      <c r="K188">
        <f>IF(OR(I188="",J188=""),"",VLOOKUP(I188,{"Critical",5;"High",4;"Medium",3;"Low",2},2,FALSE)*VLOOKUP(J188,{"Very High",5;"High",4;"Medium",3;"Low",2;"Very Low",1},2,FALSE))</f>
        <v/>
      </c>
      <c r="L188" s="4" t="n"/>
      <c r="M188" s="4" t="n"/>
      <c r="N188" s="4" t="n"/>
      <c r="O188" s="4" t="n"/>
      <c r="P188" s="4" t="n"/>
      <c r="Q188" s="4" t="n"/>
      <c r="R188" s="4" t="n"/>
      <c r="S188" s="4" t="n"/>
      <c r="T188" s="4" t="n"/>
    </row>
    <row r="189">
      <c r="A189" s="21" t="inlineStr"/>
      <c r="B189" s="4" t="n"/>
      <c r="C189" s="4" t="n"/>
      <c r="D189" s="4" t="n"/>
      <c r="E189" s="4" t="n"/>
      <c r="F189" s="4" t="n"/>
      <c r="G189" s="4" t="n"/>
      <c r="H189" s="4" t="n"/>
      <c r="I189" s="4" t="n"/>
      <c r="J189" s="4" t="n"/>
      <c r="K189">
        <f>IF(OR(I189="",J189=""),"",VLOOKUP(I189,{"Critical",5;"High",4;"Medium",3;"Low",2},2,FALSE)*VLOOKUP(J189,{"Very High",5;"High",4;"Medium",3;"Low",2;"Very Low",1},2,FALSE))</f>
        <v/>
      </c>
      <c r="L189" s="4" t="n"/>
      <c r="M189" s="4" t="n"/>
      <c r="N189" s="4" t="n"/>
      <c r="O189" s="4" t="n"/>
      <c r="P189" s="4" t="n"/>
      <c r="Q189" s="4" t="n"/>
      <c r="R189" s="4" t="n"/>
      <c r="S189" s="4" t="n"/>
      <c r="T189" s="4" t="n"/>
    </row>
    <row r="190">
      <c r="A190" s="21" t="inlineStr"/>
      <c r="B190" s="4" t="n"/>
      <c r="C190" s="4" t="n"/>
      <c r="D190" s="4" t="n"/>
      <c r="E190" s="4" t="n"/>
      <c r="F190" s="4" t="n"/>
      <c r="G190" s="4" t="n"/>
      <c r="H190" s="4" t="n"/>
      <c r="I190" s="4" t="n"/>
      <c r="J190" s="4" t="n"/>
      <c r="K190">
        <f>IF(OR(I190="",J190=""),"",VLOOKUP(I190,{"Critical",5;"High",4;"Medium",3;"Low",2},2,FALSE)*VLOOKUP(J190,{"Very High",5;"High",4;"Medium",3;"Low",2;"Very Low",1},2,FALSE))</f>
        <v/>
      </c>
      <c r="L190" s="4" t="n"/>
      <c r="M190" s="4" t="n"/>
      <c r="N190" s="4" t="n"/>
      <c r="O190" s="4" t="n"/>
      <c r="P190" s="4" t="n"/>
      <c r="Q190" s="4" t="n"/>
      <c r="R190" s="4" t="n"/>
      <c r="S190" s="4" t="n"/>
      <c r="T190" s="4" t="n"/>
    </row>
    <row r="191">
      <c r="A191" s="21" t="inlineStr"/>
      <c r="B191" s="4" t="n"/>
      <c r="C191" s="4" t="n"/>
      <c r="D191" s="4" t="n"/>
      <c r="E191" s="4" t="n"/>
      <c r="F191" s="4" t="n"/>
      <c r="G191" s="4" t="n"/>
      <c r="H191" s="4" t="n"/>
      <c r="I191" s="4" t="n"/>
      <c r="J191" s="4" t="n"/>
      <c r="K191">
        <f>IF(OR(I191="",J191=""),"",VLOOKUP(I191,{"Critical",5;"High",4;"Medium",3;"Low",2},2,FALSE)*VLOOKUP(J191,{"Very High",5;"High",4;"Medium",3;"Low",2;"Very Low",1},2,FALSE))</f>
        <v/>
      </c>
      <c r="L191" s="4" t="n"/>
      <c r="M191" s="4" t="n"/>
      <c r="N191" s="4" t="n"/>
      <c r="O191" s="4" t="n"/>
      <c r="P191" s="4" t="n"/>
      <c r="Q191" s="4" t="n"/>
      <c r="R191" s="4" t="n"/>
      <c r="S191" s="4" t="n"/>
      <c r="T191" s="4" t="n"/>
    </row>
    <row r="192">
      <c r="A192" s="21" t="inlineStr"/>
      <c r="B192" s="4" t="n"/>
      <c r="C192" s="4" t="n"/>
      <c r="D192" s="4" t="n"/>
      <c r="E192" s="4" t="n"/>
      <c r="F192" s="4" t="n"/>
      <c r="G192" s="4" t="n"/>
      <c r="H192" s="4" t="n"/>
      <c r="I192" s="4" t="n"/>
      <c r="J192" s="4" t="n"/>
      <c r="K192">
        <f>IF(OR(I192="",J192=""),"",VLOOKUP(I192,{"Critical",5;"High",4;"Medium",3;"Low",2},2,FALSE)*VLOOKUP(J192,{"Very High",5;"High",4;"Medium",3;"Low",2;"Very Low",1},2,FALSE))</f>
        <v/>
      </c>
      <c r="L192" s="4" t="n"/>
      <c r="M192" s="4" t="n"/>
      <c r="N192" s="4" t="n"/>
      <c r="O192" s="4" t="n"/>
      <c r="P192" s="4" t="n"/>
      <c r="Q192" s="4" t="n"/>
      <c r="R192" s="4" t="n"/>
      <c r="S192" s="4" t="n"/>
      <c r="T192" s="4" t="n"/>
    </row>
    <row r="193">
      <c r="A193" s="21" t="inlineStr"/>
      <c r="B193" s="4" t="n"/>
      <c r="C193" s="4" t="n"/>
      <c r="D193" s="4" t="n"/>
      <c r="E193" s="4" t="n"/>
      <c r="F193" s="4" t="n"/>
      <c r="G193" s="4" t="n"/>
      <c r="H193" s="4" t="n"/>
      <c r="I193" s="4" t="n"/>
      <c r="J193" s="4" t="n"/>
      <c r="K193">
        <f>IF(OR(I193="",J193=""),"",VLOOKUP(I193,{"Critical",5;"High",4;"Medium",3;"Low",2},2,FALSE)*VLOOKUP(J193,{"Very High",5;"High",4;"Medium",3;"Low",2;"Very Low",1},2,FALSE))</f>
        <v/>
      </c>
      <c r="L193" s="4" t="n"/>
      <c r="M193" s="4" t="n"/>
      <c r="N193" s="4" t="n"/>
      <c r="O193" s="4" t="n"/>
      <c r="P193" s="4" t="n"/>
      <c r="Q193" s="4" t="n"/>
      <c r="R193" s="4" t="n"/>
      <c r="S193" s="4" t="n"/>
      <c r="T193" s="4" t="n"/>
    </row>
    <row r="194">
      <c r="A194" s="21" t="inlineStr"/>
      <c r="B194" s="4" t="n"/>
      <c r="C194" s="4" t="n"/>
      <c r="D194" s="4" t="n"/>
      <c r="E194" s="4" t="n"/>
      <c r="F194" s="4" t="n"/>
      <c r="G194" s="4" t="n"/>
      <c r="H194" s="4" t="n"/>
      <c r="I194" s="4" t="n"/>
      <c r="J194" s="4" t="n"/>
      <c r="K194">
        <f>IF(OR(I194="",J194=""),"",VLOOKUP(I194,{"Critical",5;"High",4;"Medium",3;"Low",2},2,FALSE)*VLOOKUP(J194,{"Very High",5;"High",4;"Medium",3;"Low",2;"Very Low",1},2,FALSE))</f>
        <v/>
      </c>
      <c r="L194" s="4" t="n"/>
      <c r="M194" s="4" t="n"/>
      <c r="N194" s="4" t="n"/>
      <c r="O194" s="4" t="n"/>
      <c r="P194" s="4" t="n"/>
      <c r="Q194" s="4" t="n"/>
      <c r="R194" s="4" t="n"/>
      <c r="S194" s="4" t="n"/>
      <c r="T194" s="4" t="n"/>
    </row>
    <row r="195">
      <c r="A195" s="21" t="inlineStr"/>
      <c r="B195" s="4" t="n"/>
      <c r="C195" s="4" t="n"/>
      <c r="D195" s="4" t="n"/>
      <c r="E195" s="4" t="n"/>
      <c r="F195" s="4" t="n"/>
      <c r="G195" s="4" t="n"/>
      <c r="H195" s="4" t="n"/>
      <c r="I195" s="4" t="n"/>
      <c r="J195" s="4" t="n"/>
      <c r="K195">
        <f>IF(OR(I195="",J195=""),"",VLOOKUP(I195,{"Critical",5;"High",4;"Medium",3;"Low",2},2,FALSE)*VLOOKUP(J195,{"Very High",5;"High",4;"Medium",3;"Low",2;"Very Low",1},2,FALSE))</f>
        <v/>
      </c>
      <c r="L195" s="4" t="n"/>
      <c r="M195" s="4" t="n"/>
      <c r="N195" s="4" t="n"/>
      <c r="O195" s="4" t="n"/>
      <c r="P195" s="4" t="n"/>
      <c r="Q195" s="4" t="n"/>
      <c r="R195" s="4" t="n"/>
      <c r="S195" s="4" t="n"/>
      <c r="T195" s="4" t="n"/>
    </row>
    <row r="196">
      <c r="A196" s="21" t="inlineStr"/>
      <c r="B196" s="4" t="n"/>
      <c r="C196" s="4" t="n"/>
      <c r="D196" s="4" t="n"/>
      <c r="E196" s="4" t="n"/>
      <c r="F196" s="4" t="n"/>
      <c r="G196" s="4" t="n"/>
      <c r="H196" s="4" t="n"/>
      <c r="I196" s="4" t="n"/>
      <c r="J196" s="4" t="n"/>
      <c r="K196">
        <f>IF(OR(I196="",J196=""),"",VLOOKUP(I196,{"Critical",5;"High",4;"Medium",3;"Low",2},2,FALSE)*VLOOKUP(J196,{"Very High",5;"High",4;"Medium",3;"Low",2;"Very Low",1},2,FALSE))</f>
        <v/>
      </c>
      <c r="L196" s="4" t="n"/>
      <c r="M196" s="4" t="n"/>
      <c r="N196" s="4" t="n"/>
      <c r="O196" s="4" t="n"/>
      <c r="P196" s="4" t="n"/>
      <c r="Q196" s="4" t="n"/>
      <c r="R196" s="4" t="n"/>
      <c r="S196" s="4" t="n"/>
      <c r="T196" s="4" t="n"/>
    </row>
    <row r="197">
      <c r="A197" s="21" t="inlineStr"/>
      <c r="B197" s="4" t="n"/>
      <c r="C197" s="4" t="n"/>
      <c r="D197" s="4" t="n"/>
      <c r="E197" s="4" t="n"/>
      <c r="F197" s="4" t="n"/>
      <c r="G197" s="4" t="n"/>
      <c r="H197" s="4" t="n"/>
      <c r="I197" s="4" t="n"/>
      <c r="J197" s="4" t="n"/>
      <c r="K197">
        <f>IF(OR(I197="",J197=""),"",VLOOKUP(I197,{"Critical",5;"High",4;"Medium",3;"Low",2},2,FALSE)*VLOOKUP(J197,{"Very High",5;"High",4;"Medium",3;"Low",2;"Very Low",1},2,FALSE))</f>
        <v/>
      </c>
      <c r="L197" s="4" t="n"/>
      <c r="M197" s="4" t="n"/>
      <c r="N197" s="4" t="n"/>
      <c r="O197" s="4" t="n"/>
      <c r="P197" s="4" t="n"/>
      <c r="Q197" s="4" t="n"/>
      <c r="R197" s="4" t="n"/>
      <c r="S197" s="4" t="n"/>
      <c r="T197" s="4" t="n"/>
    </row>
    <row r="198">
      <c r="A198" s="21" t="inlineStr"/>
      <c r="B198" s="4" t="n"/>
      <c r="C198" s="4" t="n"/>
      <c r="D198" s="4" t="n"/>
      <c r="E198" s="4" t="n"/>
      <c r="F198" s="4" t="n"/>
      <c r="G198" s="4" t="n"/>
      <c r="H198" s="4" t="n"/>
      <c r="I198" s="4" t="n"/>
      <c r="J198" s="4" t="n"/>
      <c r="K198">
        <f>IF(OR(I198="",J198=""),"",VLOOKUP(I198,{"Critical",5;"High",4;"Medium",3;"Low",2},2,FALSE)*VLOOKUP(J198,{"Very High",5;"High",4;"Medium",3;"Low",2;"Very Low",1},2,FALSE))</f>
        <v/>
      </c>
      <c r="L198" s="4" t="n"/>
      <c r="M198" s="4" t="n"/>
      <c r="N198" s="4" t="n"/>
      <c r="O198" s="4" t="n"/>
      <c r="P198" s="4" t="n"/>
      <c r="Q198" s="4" t="n"/>
      <c r="R198" s="4" t="n"/>
      <c r="S198" s="4" t="n"/>
      <c r="T198" s="4" t="n"/>
    </row>
    <row r="199">
      <c r="A199" s="21" t="inlineStr"/>
      <c r="B199" s="4" t="n"/>
      <c r="C199" s="4" t="n"/>
      <c r="D199" s="4" t="n"/>
      <c r="E199" s="4" t="n"/>
      <c r="F199" s="4" t="n"/>
      <c r="G199" s="4" t="n"/>
      <c r="H199" s="4" t="n"/>
      <c r="I199" s="4" t="n"/>
      <c r="J199" s="4" t="n"/>
      <c r="K199">
        <f>IF(OR(I199="",J199=""),"",VLOOKUP(I199,{"Critical",5;"High",4;"Medium",3;"Low",2},2,FALSE)*VLOOKUP(J199,{"Very High",5;"High",4;"Medium",3;"Low",2;"Very Low",1},2,FALSE))</f>
        <v/>
      </c>
      <c r="L199" s="4" t="n"/>
      <c r="M199" s="4" t="n"/>
      <c r="N199" s="4" t="n"/>
      <c r="O199" s="4" t="n"/>
      <c r="P199" s="4" t="n"/>
      <c r="Q199" s="4" t="n"/>
      <c r="R199" s="4" t="n"/>
      <c r="S199" s="4" t="n"/>
      <c r="T199" s="4" t="n"/>
    </row>
    <row r="200">
      <c r="A200" s="21" t="inlineStr"/>
      <c r="B200" s="4" t="n"/>
      <c r="C200" s="4" t="n"/>
      <c r="D200" s="4" t="n"/>
      <c r="E200" s="4" t="n"/>
      <c r="F200" s="4" t="n"/>
      <c r="G200" s="4" t="n"/>
      <c r="H200" s="4" t="n"/>
      <c r="I200" s="4" t="n"/>
      <c r="J200" s="4" t="n"/>
      <c r="K200">
        <f>IF(OR(I200="",J200=""),"",VLOOKUP(I200,{"Critical",5;"High",4;"Medium",3;"Low",2},2,FALSE)*VLOOKUP(J200,{"Very High",5;"High",4;"Medium",3;"Low",2;"Very Low",1},2,FALSE))</f>
        <v/>
      </c>
      <c r="L200" s="4" t="n"/>
      <c r="M200" s="4" t="n"/>
      <c r="N200" s="4" t="n"/>
      <c r="O200" s="4" t="n"/>
      <c r="P200" s="4" t="n"/>
      <c r="Q200" s="4" t="n"/>
      <c r="R200" s="4" t="n"/>
      <c r="S200" s="4" t="n"/>
      <c r="T200" s="4" t="n"/>
    </row>
    <row r="201">
      <c r="A201" s="21" t="inlineStr"/>
      <c r="B201" s="4" t="n"/>
      <c r="C201" s="4" t="n"/>
      <c r="D201" s="4" t="n"/>
      <c r="E201" s="4" t="n"/>
      <c r="F201" s="4" t="n"/>
      <c r="G201" s="4" t="n"/>
      <c r="H201" s="4" t="n"/>
      <c r="I201" s="4" t="n"/>
      <c r="J201" s="4" t="n"/>
      <c r="K201">
        <f>IF(OR(I201="",J201=""),"",VLOOKUP(I201,{"Critical",5;"High",4;"Medium",3;"Low",2},2,FALSE)*VLOOKUP(J201,{"Very High",5;"High",4;"Medium",3;"Low",2;"Very Low",1},2,FALSE))</f>
        <v/>
      </c>
      <c r="L201" s="4" t="n"/>
      <c r="M201" s="4" t="n"/>
      <c r="N201" s="4" t="n"/>
      <c r="O201" s="4" t="n"/>
      <c r="P201" s="4" t="n"/>
      <c r="Q201" s="4" t="n"/>
      <c r="R201" s="4" t="n"/>
      <c r="S201" s="4" t="n"/>
      <c r="T201" s="4" t="n"/>
    </row>
    <row r="202">
      <c r="A202" s="21" t="inlineStr"/>
      <c r="B202" s="4" t="n"/>
      <c r="C202" s="4" t="n"/>
      <c r="D202" s="4" t="n"/>
      <c r="E202" s="4" t="n"/>
      <c r="F202" s="4" t="n"/>
      <c r="G202" s="4" t="n"/>
      <c r="H202" s="4" t="n"/>
      <c r="I202" s="4" t="n"/>
      <c r="J202" s="4" t="n"/>
      <c r="K202">
        <f>IF(OR(I202="",J202=""),"",VLOOKUP(I202,{"Critical",5;"High",4;"Medium",3;"Low",2},2,FALSE)*VLOOKUP(J202,{"Very High",5;"High",4;"Medium",3;"Low",2;"Very Low",1},2,FALSE))</f>
        <v/>
      </c>
      <c r="L202" s="4" t="n"/>
      <c r="M202" s="4" t="n"/>
      <c r="N202" s="4" t="n"/>
      <c r="O202" s="4" t="n"/>
      <c r="P202" s="4" t="n"/>
      <c r="Q202" s="4" t="n"/>
      <c r="R202" s="4" t="n"/>
      <c r="S202" s="4" t="n"/>
      <c r="T202" s="4" t="n"/>
    </row>
    <row r="203">
      <c r="A203" s="21" t="inlineStr"/>
      <c r="B203" s="4" t="n"/>
      <c r="C203" s="4" t="n"/>
      <c r="D203" s="4" t="n"/>
      <c r="E203" s="4" t="n"/>
      <c r="F203" s="4" t="n"/>
      <c r="G203" s="4" t="n"/>
      <c r="H203" s="4" t="n"/>
      <c r="I203" s="4" t="n"/>
      <c r="J203" s="4" t="n"/>
      <c r="K203">
        <f>IF(OR(I203="",J203=""),"",VLOOKUP(I203,{"Critical",5;"High",4;"Medium",3;"Low",2},2,FALSE)*VLOOKUP(J203,{"Very High",5;"High",4;"Medium",3;"Low",2;"Very Low",1},2,FALSE))</f>
        <v/>
      </c>
      <c r="L203" s="4" t="n"/>
      <c r="M203" s="4" t="n"/>
      <c r="N203" s="4" t="n"/>
      <c r="O203" s="4" t="n"/>
      <c r="P203" s="4" t="n"/>
      <c r="Q203" s="4" t="n"/>
      <c r="R203" s="4" t="n"/>
      <c r="S203" s="4" t="n"/>
      <c r="T203" s="4" t="n"/>
    </row>
    <row r="204">
      <c r="A204" s="21" t="inlineStr"/>
      <c r="B204" s="4" t="n"/>
      <c r="C204" s="4" t="n"/>
      <c r="D204" s="4" t="n"/>
      <c r="E204" s="4" t="n"/>
      <c r="F204" s="4" t="n"/>
      <c r="G204" s="4" t="n"/>
      <c r="H204" s="4" t="n"/>
      <c r="I204" s="4" t="n"/>
      <c r="J204" s="4" t="n"/>
      <c r="K204">
        <f>IF(OR(I204="",J204=""),"",VLOOKUP(I204,{"Critical",5;"High",4;"Medium",3;"Low",2},2,FALSE)*VLOOKUP(J204,{"Very High",5;"High",4;"Medium",3;"Low",2;"Very Low",1},2,FALSE))</f>
        <v/>
      </c>
      <c r="L204" s="4" t="n"/>
      <c r="M204" s="4" t="n"/>
      <c r="N204" s="4" t="n"/>
      <c r="O204" s="4" t="n"/>
      <c r="P204" s="4" t="n"/>
      <c r="Q204" s="4" t="n"/>
      <c r="R204" s="4" t="n"/>
      <c r="S204" s="4" t="n"/>
      <c r="T204" s="4" t="n"/>
    </row>
    <row r="205">
      <c r="A205" s="21" t="inlineStr"/>
      <c r="B205" s="4" t="n"/>
      <c r="C205" s="4" t="n"/>
      <c r="D205" s="4" t="n"/>
      <c r="E205" s="4" t="n"/>
      <c r="F205" s="4" t="n"/>
      <c r="G205" s="4" t="n"/>
      <c r="H205" s="4" t="n"/>
      <c r="I205" s="4" t="n"/>
      <c r="J205" s="4" t="n"/>
      <c r="K205">
        <f>IF(OR(I205="",J205=""),"",VLOOKUP(I205,{"Critical",5;"High",4;"Medium",3;"Low",2},2,FALSE)*VLOOKUP(J205,{"Very High",5;"High",4;"Medium",3;"Low",2;"Very Low",1},2,FALSE))</f>
        <v/>
      </c>
      <c r="L205" s="4" t="n"/>
      <c r="M205" s="4" t="n"/>
      <c r="N205" s="4" t="n"/>
      <c r="O205" s="4" t="n"/>
      <c r="P205" s="4" t="n"/>
      <c r="Q205" s="4" t="n"/>
      <c r="R205" s="4" t="n"/>
      <c r="S205" s="4" t="n"/>
      <c r="T205" s="4" t="n"/>
    </row>
    <row r="206">
      <c r="A206" s="21" t="inlineStr"/>
      <c r="B206" s="4" t="n"/>
      <c r="C206" s="4" t="n"/>
      <c r="D206" s="4" t="n"/>
      <c r="E206" s="4" t="n"/>
      <c r="F206" s="4" t="n"/>
      <c r="G206" s="4" t="n"/>
      <c r="H206" s="4" t="n"/>
      <c r="I206" s="4" t="n"/>
      <c r="J206" s="4" t="n"/>
      <c r="K206">
        <f>IF(OR(I206="",J206=""),"",VLOOKUP(I206,{"Critical",5;"High",4;"Medium",3;"Low",2},2,FALSE)*VLOOKUP(J206,{"Very High",5;"High",4;"Medium",3;"Low",2;"Very Low",1},2,FALSE))</f>
        <v/>
      </c>
      <c r="L206" s="4" t="n"/>
      <c r="M206" s="4" t="n"/>
      <c r="N206" s="4" t="n"/>
      <c r="O206" s="4" t="n"/>
      <c r="P206" s="4" t="n"/>
      <c r="Q206" s="4" t="n"/>
      <c r="R206" s="4" t="n"/>
      <c r="S206" s="4" t="n"/>
      <c r="T206" s="4" t="n"/>
    </row>
    <row r="207">
      <c r="A207" s="21" t="inlineStr"/>
      <c r="B207" s="4" t="n"/>
      <c r="C207" s="4" t="n"/>
      <c r="D207" s="4" t="n"/>
      <c r="E207" s="4" t="n"/>
      <c r="F207" s="4" t="n"/>
      <c r="G207" s="4" t="n"/>
      <c r="H207" s="4" t="n"/>
      <c r="I207" s="4" t="n"/>
      <c r="J207" s="4" t="n"/>
      <c r="K207">
        <f>IF(OR(I207="",J207=""),"",VLOOKUP(I207,{"Critical",5;"High",4;"Medium",3;"Low",2},2,FALSE)*VLOOKUP(J207,{"Very High",5;"High",4;"Medium",3;"Low",2;"Very Low",1},2,FALSE))</f>
        <v/>
      </c>
      <c r="L207" s="4" t="n"/>
      <c r="M207" s="4" t="n"/>
      <c r="N207" s="4" t="n"/>
      <c r="O207" s="4" t="n"/>
      <c r="P207" s="4" t="n"/>
      <c r="Q207" s="4" t="n"/>
      <c r="R207" s="4" t="n"/>
      <c r="S207" s="4" t="n"/>
      <c r="T207" s="4" t="n"/>
    </row>
  </sheetData>
  <mergeCells count="1">
    <mergeCell ref="A1:T1"/>
  </mergeCells>
  <dataValidations count="4">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showDropDown="0" showInputMessage="0" showErrorMessage="0" allowBlank="1" type="list">
      <formula1>"Critical,High,Medium,Low"</formula1>
    </dataValidation>
    <dataValidation sqref="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showDropDown="0" showInputMessage="0" showErrorMessage="0" allowBlank="1" type="list">
      <formula1>"Very High,High,Medium,Low,Very Low"</formula1>
    </dataValidation>
    <dataValidation sqref="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showDropDown="0" showInputMessage="0" showErrorMessage="0" allowBlank="1" type="list">
      <formula1>"Open,In Progress,Pending Approval,Closed,Deferred"</formula1>
    </dataValidation>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showDropDown="0" showInputMessage="0" showErrorMessage="0" allowBlank="1" type="list">
      <formula1>"A.8.5 Authentication,A.8.5 MFA,A.8.2 Privileged Access,A.8.2 Monitoring,A.8.3 Access Restriction"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0"/>
  <sheetViews>
    <sheetView workbookViewId="0">
      <pane ySplit="20" topLeftCell="A21" activePane="bottomLeft" state="frozen"/>
      <selection pane="bottomLeft" activeCell="A1" sqref="A1"/>
    </sheetView>
  </sheetViews>
  <sheetFormatPr baseColWidth="8" defaultRowHeight="15"/>
  <cols>
    <col width="12" customWidth="1" min="1" max="1"/>
    <col width="18" customWidth="1" min="2" max="2"/>
    <col width="18" customWidth="1" min="3" max="3"/>
    <col width="40" customWidth="1" min="4" max="4"/>
    <col width="18" customWidth="1" min="5" max="5"/>
    <col width="20" customWidth="1" min="6" max="6"/>
    <col width="25" customWidth="1" min="7" max="7"/>
    <col width="30" customWidth="1" min="8" max="8"/>
    <col width="18" customWidth="1" min="9" max="9"/>
    <col width="12" customWidth="1" min="10" max="10"/>
    <col width="14" customWidth="1" min="11" max="11"/>
    <col width="14" customWidth="1" min="12" max="12"/>
    <col width="30" customWidth="1" min="13" max="13"/>
    <col width="14" customWidth="1" min="14" max="14"/>
    <col width="16" customWidth="1" min="15" max="15"/>
    <col width="14" customWidth="1" min="16" max="16"/>
    <col width="12" customWidth="1" min="17" max="17"/>
  </cols>
  <sheetData>
    <row r="1" ht="45" customHeight="1">
      <c r="A1" s="1" t="inlineStr">
        <is>
          <t>AUTHENTICATION &amp; ACCESS RISK REGISTER
Residual risks requiring ongoing management and monitoring</t>
        </is>
      </c>
    </row>
    <row r="3">
      <c r="A3" s="10" t="inlineStr">
        <is>
          <t>RISK MATRIX SUMMARY</t>
        </is>
      </c>
    </row>
    <row r="4">
      <c r="A4" s="3" t="inlineStr">
        <is>
          <t>Total Risks:</t>
        </is>
      </c>
      <c r="B4" s="18">
        <f>COUNTA(A21:A120)-COUNTBLANK(A21:A120)</f>
        <v/>
      </c>
      <c r="D4" s="3" t="inlineStr">
        <is>
          <t>RISK MATRIX</t>
        </is>
      </c>
    </row>
    <row r="5">
      <c r="A5" s="3" t="inlineStr">
        <is>
          <t>Critical Risks (≥20):</t>
        </is>
      </c>
      <c r="B5" s="18">
        <f>COUNTIF(N21:N120,"&gt;=20")</f>
        <v/>
      </c>
      <c r="D5" s="22" t="inlineStr">
        <is>
          <t>Impact vs Likelihood Matrix
[Visual representation - see standard risk matrix]</t>
        </is>
      </c>
    </row>
    <row r="6">
      <c r="A6" s="3" t="inlineStr">
        <is>
          <t>High Risks (15-19):</t>
        </is>
      </c>
      <c r="B6" s="18">
        <f>COUNTIFS(N21:N120,"&gt;=15",N21:N120,"&lt;20")</f>
        <v/>
      </c>
    </row>
    <row r="7">
      <c r="A7" s="3" t="inlineStr">
        <is>
          <t>Medium Risks (10-14):</t>
        </is>
      </c>
      <c r="B7" s="18">
        <f>COUNTIFS(N21:N120,"&gt;=10",N21:N120,"&lt;15")</f>
        <v/>
      </c>
    </row>
    <row r="8">
      <c r="A8" s="3" t="inlineStr">
        <is>
          <t>Low Risks (&lt;10):</t>
        </is>
      </c>
      <c r="B8" s="18">
        <f>COUNTIF(N21:N120,"&lt;10")</f>
        <v/>
      </c>
    </row>
    <row r="9">
      <c r="A9" s="3" t="inlineStr">
        <is>
          <t>Open Risks:</t>
        </is>
      </c>
      <c r="B9" s="18">
        <f>COUNTA(A21:A120)-COUNTBLANK(A21:A120)-COUNTIF(Q21:Q120,"Closed")</f>
        <v/>
      </c>
    </row>
    <row r="20">
      <c r="A20" s="7" t="inlineStr">
        <is>
          <t>Risk ID</t>
        </is>
      </c>
      <c r="B20" s="7" t="inlineStr">
        <is>
          <t>Risk Category</t>
        </is>
      </c>
      <c r="C20" s="7" t="inlineStr">
        <is>
          <t>Control Area</t>
        </is>
      </c>
      <c r="D20" s="7" t="inlineStr">
        <is>
          <t>Risk Description</t>
        </is>
      </c>
      <c r="E20" s="7" t="inlineStr">
        <is>
          <t>Risk Owner</t>
        </is>
      </c>
      <c r="F20" s="7" t="inlineStr">
        <is>
          <t>Threat Source</t>
        </is>
      </c>
      <c r="G20" s="7" t="inlineStr">
        <is>
          <t>Vulnerability</t>
        </is>
      </c>
      <c r="H20" s="7" t="inlineStr">
        <is>
          <t>Existing Controls</t>
        </is>
      </c>
      <c r="I20" s="7" t="inlineStr">
        <is>
          <t>Control Effectiveness</t>
        </is>
      </c>
      <c r="J20" s="7" t="inlineStr">
        <is>
          <t>Impact (1-5)</t>
        </is>
      </c>
      <c r="K20" s="7" t="inlineStr">
        <is>
          <t>Likelihood (1-5)</t>
        </is>
      </c>
      <c r="L20" s="7" t="inlineStr">
        <is>
          <t>Inherent Risk</t>
        </is>
      </c>
      <c r="M20" s="7" t="inlineStr">
        <is>
          <t>Mitigating Actions</t>
        </is>
      </c>
      <c r="N20" s="7" t="inlineStr">
        <is>
          <t>Residual Risk</t>
        </is>
      </c>
      <c r="O20" s="7" t="inlineStr">
        <is>
          <t>Risk Treatment</t>
        </is>
      </c>
      <c r="P20" s="7" t="inlineStr">
        <is>
          <t>Target Date</t>
        </is>
      </c>
      <c r="Q20" s="7" t="inlineStr">
        <is>
          <t>Status</t>
        </is>
      </c>
    </row>
    <row r="21">
      <c r="A21" s="19" t="inlineStr">
        <is>
          <t>RISK-001</t>
        </is>
      </c>
      <c r="B21" s="4" t="n"/>
      <c r="C21" s="4" t="n"/>
      <c r="D21" s="4" t="n"/>
      <c r="E21" s="4" t="n"/>
      <c r="F21" s="4" t="n"/>
      <c r="G21" s="4" t="n"/>
      <c r="H21" s="4" t="n"/>
      <c r="I21" s="4" t="n"/>
      <c r="J21" s="4" t="n"/>
      <c r="K21" s="4" t="n"/>
      <c r="L21">
        <f>IF(OR(J21="",K21=""),"",J21*K21)</f>
        <v/>
      </c>
      <c r="M21" s="4" t="n"/>
      <c r="N21" s="4" t="n"/>
      <c r="O21" s="4" t="n"/>
      <c r="P21" s="4" t="n"/>
      <c r="Q21" s="4" t="n"/>
    </row>
    <row r="22">
      <c r="A22" s="19" t="inlineStr">
        <is>
          <t>RISK-002</t>
        </is>
      </c>
      <c r="B22" s="4" t="n"/>
      <c r="C22" s="4" t="n"/>
      <c r="D22" s="4" t="n"/>
      <c r="E22" s="4" t="n"/>
      <c r="F22" s="4" t="n"/>
      <c r="G22" s="4" t="n"/>
      <c r="H22" s="4" t="n"/>
      <c r="I22" s="4" t="n"/>
      <c r="J22" s="4" t="n"/>
      <c r="K22" s="4" t="n"/>
      <c r="L22">
        <f>IF(OR(J22="",K22=""),"",J22*K22)</f>
        <v/>
      </c>
      <c r="M22" s="4" t="n"/>
      <c r="N22" s="4" t="n"/>
      <c r="O22" s="4" t="n"/>
      <c r="P22" s="4" t="n"/>
      <c r="Q22" s="4" t="n"/>
    </row>
    <row r="23">
      <c r="A23" s="19" t="inlineStr">
        <is>
          <t>RISK-003</t>
        </is>
      </c>
      <c r="B23" s="4" t="n"/>
      <c r="C23" s="4" t="n"/>
      <c r="D23" s="4" t="n"/>
      <c r="E23" s="4" t="n"/>
      <c r="F23" s="4" t="n"/>
      <c r="G23" s="4" t="n"/>
      <c r="H23" s="4" t="n"/>
      <c r="I23" s="4" t="n"/>
      <c r="J23" s="4" t="n"/>
      <c r="K23" s="4" t="n"/>
      <c r="L23">
        <f>IF(OR(J23="",K23=""),"",J23*K23)</f>
        <v/>
      </c>
      <c r="M23" s="4" t="n"/>
      <c r="N23" s="4" t="n"/>
      <c r="O23" s="4" t="n"/>
      <c r="P23" s="4" t="n"/>
      <c r="Q23" s="4" t="n"/>
    </row>
    <row r="24">
      <c r="A24" s="19" t="inlineStr">
        <is>
          <t>RISK-004</t>
        </is>
      </c>
      <c r="B24" s="4" t="n"/>
      <c r="C24" s="4" t="n"/>
      <c r="D24" s="4" t="n"/>
      <c r="E24" s="4" t="n"/>
      <c r="F24" s="4" t="n"/>
      <c r="G24" s="4" t="n"/>
      <c r="H24" s="4" t="n"/>
      <c r="I24" s="4" t="n"/>
      <c r="J24" s="4" t="n"/>
      <c r="K24" s="4" t="n"/>
      <c r="L24">
        <f>IF(OR(J24="",K24=""),"",J24*K24)</f>
        <v/>
      </c>
      <c r="M24" s="4" t="n"/>
      <c r="N24" s="4" t="n"/>
      <c r="O24" s="4" t="n"/>
      <c r="P24" s="4" t="n"/>
      <c r="Q24" s="4" t="n"/>
    </row>
    <row r="25">
      <c r="A25" s="19" t="inlineStr">
        <is>
          <t>RISK-005</t>
        </is>
      </c>
      <c r="B25" s="4" t="n"/>
      <c r="C25" s="4" t="n"/>
      <c r="D25" s="4" t="n"/>
      <c r="E25" s="4" t="n"/>
      <c r="F25" s="4" t="n"/>
      <c r="G25" s="4" t="n"/>
      <c r="H25" s="4" t="n"/>
      <c r="I25" s="4" t="n"/>
      <c r="J25" s="4" t="n"/>
      <c r="K25" s="4" t="n"/>
      <c r="L25">
        <f>IF(OR(J25="",K25=""),"",J25*K25)</f>
        <v/>
      </c>
      <c r="M25" s="4" t="n"/>
      <c r="N25" s="4" t="n"/>
      <c r="O25" s="4" t="n"/>
      <c r="P25" s="4" t="n"/>
      <c r="Q25" s="4" t="n"/>
    </row>
    <row r="26">
      <c r="A26" s="21" t="inlineStr"/>
      <c r="B26" s="4" t="n"/>
      <c r="C26" s="4" t="n"/>
      <c r="D26" s="4" t="n"/>
      <c r="E26" s="4" t="n"/>
      <c r="F26" s="4" t="n"/>
      <c r="G26" s="4" t="n"/>
      <c r="H26" s="4" t="n"/>
      <c r="I26" s="4" t="n"/>
      <c r="J26" s="4" t="n"/>
      <c r="K26" s="4" t="n"/>
      <c r="L26">
        <f>IF(OR(J26="",K26=""),"",J26*K26)</f>
        <v/>
      </c>
      <c r="M26" s="4" t="n"/>
      <c r="N26" s="4" t="n"/>
      <c r="O26" s="4" t="n"/>
      <c r="P26" s="4" t="n"/>
      <c r="Q26" s="4" t="n"/>
    </row>
    <row r="27">
      <c r="A27" s="21" t="inlineStr"/>
      <c r="B27" s="4" t="n"/>
      <c r="C27" s="4" t="n"/>
      <c r="D27" s="4" t="n"/>
      <c r="E27" s="4" t="n"/>
      <c r="F27" s="4" t="n"/>
      <c r="G27" s="4" t="n"/>
      <c r="H27" s="4" t="n"/>
      <c r="I27" s="4" t="n"/>
      <c r="J27" s="4" t="n"/>
      <c r="K27" s="4" t="n"/>
      <c r="L27">
        <f>IF(OR(J27="",K27=""),"",J27*K27)</f>
        <v/>
      </c>
      <c r="M27" s="4" t="n"/>
      <c r="N27" s="4" t="n"/>
      <c r="O27" s="4" t="n"/>
      <c r="P27" s="4" t="n"/>
      <c r="Q27" s="4" t="n"/>
    </row>
    <row r="28">
      <c r="A28" s="21" t="inlineStr"/>
      <c r="B28" s="4" t="n"/>
      <c r="C28" s="4" t="n"/>
      <c r="D28" s="4" t="n"/>
      <c r="E28" s="4" t="n"/>
      <c r="F28" s="4" t="n"/>
      <c r="G28" s="4" t="n"/>
      <c r="H28" s="4" t="n"/>
      <c r="I28" s="4" t="n"/>
      <c r="J28" s="4" t="n"/>
      <c r="K28" s="4" t="n"/>
      <c r="L28">
        <f>IF(OR(J28="",K28=""),"",J28*K28)</f>
        <v/>
      </c>
      <c r="M28" s="4" t="n"/>
      <c r="N28" s="4" t="n"/>
      <c r="O28" s="4" t="n"/>
      <c r="P28" s="4" t="n"/>
      <c r="Q28" s="4" t="n"/>
    </row>
    <row r="29">
      <c r="A29" s="21" t="inlineStr"/>
      <c r="B29" s="4" t="n"/>
      <c r="C29" s="4" t="n"/>
      <c r="D29" s="4" t="n"/>
      <c r="E29" s="4" t="n"/>
      <c r="F29" s="4" t="n"/>
      <c r="G29" s="4" t="n"/>
      <c r="H29" s="4" t="n"/>
      <c r="I29" s="4" t="n"/>
      <c r="J29" s="4" t="n"/>
      <c r="K29" s="4" t="n"/>
      <c r="L29">
        <f>IF(OR(J29="",K29=""),"",J29*K29)</f>
        <v/>
      </c>
      <c r="M29" s="4" t="n"/>
      <c r="N29" s="4" t="n"/>
      <c r="O29" s="4" t="n"/>
      <c r="P29" s="4" t="n"/>
      <c r="Q29" s="4" t="n"/>
    </row>
    <row r="30">
      <c r="A30" s="21" t="inlineStr"/>
      <c r="B30" s="4" t="n"/>
      <c r="C30" s="4" t="n"/>
      <c r="D30" s="4" t="n"/>
      <c r="E30" s="4" t="n"/>
      <c r="F30" s="4" t="n"/>
      <c r="G30" s="4" t="n"/>
      <c r="H30" s="4" t="n"/>
      <c r="I30" s="4" t="n"/>
      <c r="J30" s="4" t="n"/>
      <c r="K30" s="4" t="n"/>
      <c r="L30">
        <f>IF(OR(J30="",K30=""),"",J30*K30)</f>
        <v/>
      </c>
      <c r="M30" s="4" t="n"/>
      <c r="N30" s="4" t="n"/>
      <c r="O30" s="4" t="n"/>
      <c r="P30" s="4" t="n"/>
      <c r="Q30" s="4" t="n"/>
    </row>
    <row r="31">
      <c r="A31" s="21" t="inlineStr"/>
      <c r="B31" s="4" t="n"/>
      <c r="C31" s="4" t="n"/>
      <c r="D31" s="4" t="n"/>
      <c r="E31" s="4" t="n"/>
      <c r="F31" s="4" t="n"/>
      <c r="G31" s="4" t="n"/>
      <c r="H31" s="4" t="n"/>
      <c r="I31" s="4" t="n"/>
      <c r="J31" s="4" t="n"/>
      <c r="K31" s="4" t="n"/>
      <c r="L31">
        <f>IF(OR(J31="",K31=""),"",J31*K31)</f>
        <v/>
      </c>
      <c r="M31" s="4" t="n"/>
      <c r="N31" s="4" t="n"/>
      <c r="O31" s="4" t="n"/>
      <c r="P31" s="4" t="n"/>
      <c r="Q31" s="4" t="n"/>
    </row>
    <row r="32">
      <c r="A32" s="21" t="inlineStr"/>
      <c r="B32" s="4" t="n"/>
      <c r="C32" s="4" t="n"/>
      <c r="D32" s="4" t="n"/>
      <c r="E32" s="4" t="n"/>
      <c r="F32" s="4" t="n"/>
      <c r="G32" s="4" t="n"/>
      <c r="H32" s="4" t="n"/>
      <c r="I32" s="4" t="n"/>
      <c r="J32" s="4" t="n"/>
      <c r="K32" s="4" t="n"/>
      <c r="L32">
        <f>IF(OR(J32="",K32=""),"",J32*K32)</f>
        <v/>
      </c>
      <c r="M32" s="4" t="n"/>
      <c r="N32" s="4" t="n"/>
      <c r="O32" s="4" t="n"/>
      <c r="P32" s="4" t="n"/>
      <c r="Q32" s="4" t="n"/>
    </row>
    <row r="33">
      <c r="A33" s="21" t="inlineStr"/>
      <c r="B33" s="4" t="n"/>
      <c r="C33" s="4" t="n"/>
      <c r="D33" s="4" t="n"/>
      <c r="E33" s="4" t="n"/>
      <c r="F33" s="4" t="n"/>
      <c r="G33" s="4" t="n"/>
      <c r="H33" s="4" t="n"/>
      <c r="I33" s="4" t="n"/>
      <c r="J33" s="4" t="n"/>
      <c r="K33" s="4" t="n"/>
      <c r="L33">
        <f>IF(OR(J33="",K33=""),"",J33*K33)</f>
        <v/>
      </c>
      <c r="M33" s="4" t="n"/>
      <c r="N33" s="4" t="n"/>
      <c r="O33" s="4" t="n"/>
      <c r="P33" s="4" t="n"/>
      <c r="Q33" s="4" t="n"/>
    </row>
    <row r="34">
      <c r="A34" s="21" t="inlineStr"/>
      <c r="B34" s="4" t="n"/>
      <c r="C34" s="4" t="n"/>
      <c r="D34" s="4" t="n"/>
      <c r="E34" s="4" t="n"/>
      <c r="F34" s="4" t="n"/>
      <c r="G34" s="4" t="n"/>
      <c r="H34" s="4" t="n"/>
      <c r="I34" s="4" t="n"/>
      <c r="J34" s="4" t="n"/>
      <c r="K34" s="4" t="n"/>
      <c r="L34">
        <f>IF(OR(J34="",K34=""),"",J34*K34)</f>
        <v/>
      </c>
      <c r="M34" s="4" t="n"/>
      <c r="N34" s="4" t="n"/>
      <c r="O34" s="4" t="n"/>
      <c r="P34" s="4" t="n"/>
      <c r="Q34" s="4" t="n"/>
    </row>
    <row r="35">
      <c r="A35" s="21" t="inlineStr"/>
      <c r="B35" s="4" t="n"/>
      <c r="C35" s="4" t="n"/>
      <c r="D35" s="4" t="n"/>
      <c r="E35" s="4" t="n"/>
      <c r="F35" s="4" t="n"/>
      <c r="G35" s="4" t="n"/>
      <c r="H35" s="4" t="n"/>
      <c r="I35" s="4" t="n"/>
      <c r="J35" s="4" t="n"/>
      <c r="K35" s="4" t="n"/>
      <c r="L35">
        <f>IF(OR(J35="",K35=""),"",J35*K35)</f>
        <v/>
      </c>
      <c r="M35" s="4" t="n"/>
      <c r="N35" s="4" t="n"/>
      <c r="O35" s="4" t="n"/>
      <c r="P35" s="4" t="n"/>
      <c r="Q35" s="4" t="n"/>
    </row>
    <row r="36">
      <c r="A36" s="21" t="inlineStr"/>
      <c r="B36" s="4" t="n"/>
      <c r="C36" s="4" t="n"/>
      <c r="D36" s="4" t="n"/>
      <c r="E36" s="4" t="n"/>
      <c r="F36" s="4" t="n"/>
      <c r="G36" s="4" t="n"/>
      <c r="H36" s="4" t="n"/>
      <c r="I36" s="4" t="n"/>
      <c r="J36" s="4" t="n"/>
      <c r="K36" s="4" t="n"/>
      <c r="L36">
        <f>IF(OR(J36="",K36=""),"",J36*K36)</f>
        <v/>
      </c>
      <c r="M36" s="4" t="n"/>
      <c r="N36" s="4" t="n"/>
      <c r="O36" s="4" t="n"/>
      <c r="P36" s="4" t="n"/>
      <c r="Q36" s="4" t="n"/>
    </row>
    <row r="37">
      <c r="A37" s="21" t="inlineStr"/>
      <c r="B37" s="4" t="n"/>
      <c r="C37" s="4" t="n"/>
      <c r="D37" s="4" t="n"/>
      <c r="E37" s="4" t="n"/>
      <c r="F37" s="4" t="n"/>
      <c r="G37" s="4" t="n"/>
      <c r="H37" s="4" t="n"/>
      <c r="I37" s="4" t="n"/>
      <c r="J37" s="4" t="n"/>
      <c r="K37" s="4" t="n"/>
      <c r="L37">
        <f>IF(OR(J37="",K37=""),"",J37*K37)</f>
        <v/>
      </c>
      <c r="M37" s="4" t="n"/>
      <c r="N37" s="4" t="n"/>
      <c r="O37" s="4" t="n"/>
      <c r="P37" s="4" t="n"/>
      <c r="Q37" s="4" t="n"/>
    </row>
    <row r="38">
      <c r="A38" s="21" t="inlineStr"/>
      <c r="B38" s="4" t="n"/>
      <c r="C38" s="4" t="n"/>
      <c r="D38" s="4" t="n"/>
      <c r="E38" s="4" t="n"/>
      <c r="F38" s="4" t="n"/>
      <c r="G38" s="4" t="n"/>
      <c r="H38" s="4" t="n"/>
      <c r="I38" s="4" t="n"/>
      <c r="J38" s="4" t="n"/>
      <c r="K38" s="4" t="n"/>
      <c r="L38">
        <f>IF(OR(J38="",K38=""),"",J38*K38)</f>
        <v/>
      </c>
      <c r="M38" s="4" t="n"/>
      <c r="N38" s="4" t="n"/>
      <c r="O38" s="4" t="n"/>
      <c r="P38" s="4" t="n"/>
      <c r="Q38" s="4" t="n"/>
    </row>
    <row r="39">
      <c r="A39" s="21" t="inlineStr"/>
      <c r="B39" s="4" t="n"/>
      <c r="C39" s="4" t="n"/>
      <c r="D39" s="4" t="n"/>
      <c r="E39" s="4" t="n"/>
      <c r="F39" s="4" t="n"/>
      <c r="G39" s="4" t="n"/>
      <c r="H39" s="4" t="n"/>
      <c r="I39" s="4" t="n"/>
      <c r="J39" s="4" t="n"/>
      <c r="K39" s="4" t="n"/>
      <c r="L39">
        <f>IF(OR(J39="",K39=""),"",J39*K39)</f>
        <v/>
      </c>
      <c r="M39" s="4" t="n"/>
      <c r="N39" s="4" t="n"/>
      <c r="O39" s="4" t="n"/>
      <c r="P39" s="4" t="n"/>
      <c r="Q39" s="4" t="n"/>
    </row>
    <row r="40">
      <c r="A40" s="21" t="inlineStr"/>
      <c r="B40" s="4" t="n"/>
      <c r="C40" s="4" t="n"/>
      <c r="D40" s="4" t="n"/>
      <c r="E40" s="4" t="n"/>
      <c r="F40" s="4" t="n"/>
      <c r="G40" s="4" t="n"/>
      <c r="H40" s="4" t="n"/>
      <c r="I40" s="4" t="n"/>
      <c r="J40" s="4" t="n"/>
      <c r="K40" s="4" t="n"/>
      <c r="L40">
        <f>IF(OR(J40="",K40=""),"",J40*K40)</f>
        <v/>
      </c>
      <c r="M40" s="4" t="n"/>
      <c r="N40" s="4" t="n"/>
      <c r="O40" s="4" t="n"/>
      <c r="P40" s="4" t="n"/>
      <c r="Q40" s="4" t="n"/>
    </row>
    <row r="41">
      <c r="A41" s="21" t="inlineStr"/>
      <c r="B41" s="4" t="n"/>
      <c r="C41" s="4" t="n"/>
      <c r="D41" s="4" t="n"/>
      <c r="E41" s="4" t="n"/>
      <c r="F41" s="4" t="n"/>
      <c r="G41" s="4" t="n"/>
      <c r="H41" s="4" t="n"/>
      <c r="I41" s="4" t="n"/>
      <c r="J41" s="4" t="n"/>
      <c r="K41" s="4" t="n"/>
      <c r="L41">
        <f>IF(OR(J41="",K41=""),"",J41*K41)</f>
        <v/>
      </c>
      <c r="M41" s="4" t="n"/>
      <c r="N41" s="4" t="n"/>
      <c r="O41" s="4" t="n"/>
      <c r="P41" s="4" t="n"/>
      <c r="Q41" s="4" t="n"/>
    </row>
    <row r="42">
      <c r="A42" s="21" t="inlineStr"/>
      <c r="B42" s="4" t="n"/>
      <c r="C42" s="4" t="n"/>
      <c r="D42" s="4" t="n"/>
      <c r="E42" s="4" t="n"/>
      <c r="F42" s="4" t="n"/>
      <c r="G42" s="4" t="n"/>
      <c r="H42" s="4" t="n"/>
      <c r="I42" s="4" t="n"/>
      <c r="J42" s="4" t="n"/>
      <c r="K42" s="4" t="n"/>
      <c r="L42">
        <f>IF(OR(J42="",K42=""),"",J42*K42)</f>
        <v/>
      </c>
      <c r="M42" s="4" t="n"/>
      <c r="N42" s="4" t="n"/>
      <c r="O42" s="4" t="n"/>
      <c r="P42" s="4" t="n"/>
      <c r="Q42" s="4" t="n"/>
    </row>
    <row r="43">
      <c r="A43" s="21" t="inlineStr"/>
      <c r="B43" s="4" t="n"/>
      <c r="C43" s="4" t="n"/>
      <c r="D43" s="4" t="n"/>
      <c r="E43" s="4" t="n"/>
      <c r="F43" s="4" t="n"/>
      <c r="G43" s="4" t="n"/>
      <c r="H43" s="4" t="n"/>
      <c r="I43" s="4" t="n"/>
      <c r="J43" s="4" t="n"/>
      <c r="K43" s="4" t="n"/>
      <c r="L43">
        <f>IF(OR(J43="",K43=""),"",J43*K43)</f>
        <v/>
      </c>
      <c r="M43" s="4" t="n"/>
      <c r="N43" s="4" t="n"/>
      <c r="O43" s="4" t="n"/>
      <c r="P43" s="4" t="n"/>
      <c r="Q43" s="4" t="n"/>
    </row>
    <row r="44">
      <c r="A44" s="21" t="inlineStr"/>
      <c r="B44" s="4" t="n"/>
      <c r="C44" s="4" t="n"/>
      <c r="D44" s="4" t="n"/>
      <c r="E44" s="4" t="n"/>
      <c r="F44" s="4" t="n"/>
      <c r="G44" s="4" t="n"/>
      <c r="H44" s="4" t="n"/>
      <c r="I44" s="4" t="n"/>
      <c r="J44" s="4" t="n"/>
      <c r="K44" s="4" t="n"/>
      <c r="L44">
        <f>IF(OR(J44="",K44=""),"",J44*K44)</f>
        <v/>
      </c>
      <c r="M44" s="4" t="n"/>
      <c r="N44" s="4" t="n"/>
      <c r="O44" s="4" t="n"/>
      <c r="P44" s="4" t="n"/>
      <c r="Q44" s="4" t="n"/>
    </row>
    <row r="45">
      <c r="A45" s="21" t="inlineStr"/>
      <c r="B45" s="4" t="n"/>
      <c r="C45" s="4" t="n"/>
      <c r="D45" s="4" t="n"/>
      <c r="E45" s="4" t="n"/>
      <c r="F45" s="4" t="n"/>
      <c r="G45" s="4" t="n"/>
      <c r="H45" s="4" t="n"/>
      <c r="I45" s="4" t="n"/>
      <c r="J45" s="4" t="n"/>
      <c r="K45" s="4" t="n"/>
      <c r="L45">
        <f>IF(OR(J45="",K45=""),"",J45*K45)</f>
        <v/>
      </c>
      <c r="M45" s="4" t="n"/>
      <c r="N45" s="4" t="n"/>
      <c r="O45" s="4" t="n"/>
      <c r="P45" s="4" t="n"/>
      <c r="Q45" s="4" t="n"/>
    </row>
    <row r="46">
      <c r="A46" s="21" t="inlineStr"/>
      <c r="B46" s="4" t="n"/>
      <c r="C46" s="4" t="n"/>
      <c r="D46" s="4" t="n"/>
      <c r="E46" s="4" t="n"/>
      <c r="F46" s="4" t="n"/>
      <c r="G46" s="4" t="n"/>
      <c r="H46" s="4" t="n"/>
      <c r="I46" s="4" t="n"/>
      <c r="J46" s="4" t="n"/>
      <c r="K46" s="4" t="n"/>
      <c r="L46">
        <f>IF(OR(J46="",K46=""),"",J46*K46)</f>
        <v/>
      </c>
      <c r="M46" s="4" t="n"/>
      <c r="N46" s="4" t="n"/>
      <c r="O46" s="4" t="n"/>
      <c r="P46" s="4" t="n"/>
      <c r="Q46" s="4" t="n"/>
    </row>
    <row r="47">
      <c r="A47" s="21" t="inlineStr"/>
      <c r="B47" s="4" t="n"/>
      <c r="C47" s="4" t="n"/>
      <c r="D47" s="4" t="n"/>
      <c r="E47" s="4" t="n"/>
      <c r="F47" s="4" t="n"/>
      <c r="G47" s="4" t="n"/>
      <c r="H47" s="4" t="n"/>
      <c r="I47" s="4" t="n"/>
      <c r="J47" s="4" t="n"/>
      <c r="K47" s="4" t="n"/>
      <c r="L47">
        <f>IF(OR(J47="",K47=""),"",J47*K47)</f>
        <v/>
      </c>
      <c r="M47" s="4" t="n"/>
      <c r="N47" s="4" t="n"/>
      <c r="O47" s="4" t="n"/>
      <c r="P47" s="4" t="n"/>
      <c r="Q47" s="4" t="n"/>
    </row>
    <row r="48">
      <c r="A48" s="21" t="inlineStr"/>
      <c r="B48" s="4" t="n"/>
      <c r="C48" s="4" t="n"/>
      <c r="D48" s="4" t="n"/>
      <c r="E48" s="4" t="n"/>
      <c r="F48" s="4" t="n"/>
      <c r="G48" s="4" t="n"/>
      <c r="H48" s="4" t="n"/>
      <c r="I48" s="4" t="n"/>
      <c r="J48" s="4" t="n"/>
      <c r="K48" s="4" t="n"/>
      <c r="L48">
        <f>IF(OR(J48="",K48=""),"",J48*K48)</f>
        <v/>
      </c>
      <c r="M48" s="4" t="n"/>
      <c r="N48" s="4" t="n"/>
      <c r="O48" s="4" t="n"/>
      <c r="P48" s="4" t="n"/>
      <c r="Q48" s="4" t="n"/>
    </row>
    <row r="49">
      <c r="A49" s="21" t="inlineStr"/>
      <c r="B49" s="4" t="n"/>
      <c r="C49" s="4" t="n"/>
      <c r="D49" s="4" t="n"/>
      <c r="E49" s="4" t="n"/>
      <c r="F49" s="4" t="n"/>
      <c r="G49" s="4" t="n"/>
      <c r="H49" s="4" t="n"/>
      <c r="I49" s="4" t="n"/>
      <c r="J49" s="4" t="n"/>
      <c r="K49" s="4" t="n"/>
      <c r="L49">
        <f>IF(OR(J49="",K49=""),"",J49*K49)</f>
        <v/>
      </c>
      <c r="M49" s="4" t="n"/>
      <c r="N49" s="4" t="n"/>
      <c r="O49" s="4" t="n"/>
      <c r="P49" s="4" t="n"/>
      <c r="Q49" s="4" t="n"/>
    </row>
    <row r="50">
      <c r="A50" s="21" t="inlineStr"/>
      <c r="B50" s="4" t="n"/>
      <c r="C50" s="4" t="n"/>
      <c r="D50" s="4" t="n"/>
      <c r="E50" s="4" t="n"/>
      <c r="F50" s="4" t="n"/>
      <c r="G50" s="4" t="n"/>
      <c r="H50" s="4" t="n"/>
      <c r="I50" s="4" t="n"/>
      <c r="J50" s="4" t="n"/>
      <c r="K50" s="4" t="n"/>
      <c r="L50">
        <f>IF(OR(J50="",K50=""),"",J50*K50)</f>
        <v/>
      </c>
      <c r="M50" s="4" t="n"/>
      <c r="N50" s="4" t="n"/>
      <c r="O50" s="4" t="n"/>
      <c r="P50" s="4" t="n"/>
      <c r="Q50" s="4" t="n"/>
    </row>
    <row r="51">
      <c r="A51" s="21" t="inlineStr"/>
      <c r="B51" s="4" t="n"/>
      <c r="C51" s="4" t="n"/>
      <c r="D51" s="4" t="n"/>
      <c r="E51" s="4" t="n"/>
      <c r="F51" s="4" t="n"/>
      <c r="G51" s="4" t="n"/>
      <c r="H51" s="4" t="n"/>
      <c r="I51" s="4" t="n"/>
      <c r="J51" s="4" t="n"/>
      <c r="K51" s="4" t="n"/>
      <c r="L51">
        <f>IF(OR(J51="",K51=""),"",J51*K51)</f>
        <v/>
      </c>
      <c r="M51" s="4" t="n"/>
      <c r="N51" s="4" t="n"/>
      <c r="O51" s="4" t="n"/>
      <c r="P51" s="4" t="n"/>
      <c r="Q51" s="4" t="n"/>
    </row>
    <row r="52">
      <c r="A52" s="21" t="inlineStr"/>
      <c r="B52" s="4" t="n"/>
      <c r="C52" s="4" t="n"/>
      <c r="D52" s="4" t="n"/>
      <c r="E52" s="4" t="n"/>
      <c r="F52" s="4" t="n"/>
      <c r="G52" s="4" t="n"/>
      <c r="H52" s="4" t="n"/>
      <c r="I52" s="4" t="n"/>
      <c r="J52" s="4" t="n"/>
      <c r="K52" s="4" t="n"/>
      <c r="L52">
        <f>IF(OR(J52="",K52=""),"",J52*K52)</f>
        <v/>
      </c>
      <c r="M52" s="4" t="n"/>
      <c r="N52" s="4" t="n"/>
      <c r="O52" s="4" t="n"/>
      <c r="P52" s="4" t="n"/>
      <c r="Q52" s="4" t="n"/>
    </row>
    <row r="53">
      <c r="A53" s="21" t="inlineStr"/>
      <c r="B53" s="4" t="n"/>
      <c r="C53" s="4" t="n"/>
      <c r="D53" s="4" t="n"/>
      <c r="E53" s="4" t="n"/>
      <c r="F53" s="4" t="n"/>
      <c r="G53" s="4" t="n"/>
      <c r="H53" s="4" t="n"/>
      <c r="I53" s="4" t="n"/>
      <c r="J53" s="4" t="n"/>
      <c r="K53" s="4" t="n"/>
      <c r="L53">
        <f>IF(OR(J53="",K53=""),"",J53*K53)</f>
        <v/>
      </c>
      <c r="M53" s="4" t="n"/>
      <c r="N53" s="4" t="n"/>
      <c r="O53" s="4" t="n"/>
      <c r="P53" s="4" t="n"/>
      <c r="Q53" s="4" t="n"/>
    </row>
    <row r="54">
      <c r="A54" s="21" t="inlineStr"/>
      <c r="B54" s="4" t="n"/>
      <c r="C54" s="4" t="n"/>
      <c r="D54" s="4" t="n"/>
      <c r="E54" s="4" t="n"/>
      <c r="F54" s="4" t="n"/>
      <c r="G54" s="4" t="n"/>
      <c r="H54" s="4" t="n"/>
      <c r="I54" s="4" t="n"/>
      <c r="J54" s="4" t="n"/>
      <c r="K54" s="4" t="n"/>
      <c r="L54">
        <f>IF(OR(J54="",K54=""),"",J54*K54)</f>
        <v/>
      </c>
      <c r="M54" s="4" t="n"/>
      <c r="N54" s="4" t="n"/>
      <c r="O54" s="4" t="n"/>
      <c r="P54" s="4" t="n"/>
      <c r="Q54" s="4" t="n"/>
    </row>
    <row r="55">
      <c r="A55" s="21" t="inlineStr"/>
      <c r="B55" s="4" t="n"/>
      <c r="C55" s="4" t="n"/>
      <c r="D55" s="4" t="n"/>
      <c r="E55" s="4" t="n"/>
      <c r="F55" s="4" t="n"/>
      <c r="G55" s="4" t="n"/>
      <c r="H55" s="4" t="n"/>
      <c r="I55" s="4" t="n"/>
      <c r="J55" s="4" t="n"/>
      <c r="K55" s="4" t="n"/>
      <c r="L55">
        <f>IF(OR(J55="",K55=""),"",J55*K55)</f>
        <v/>
      </c>
      <c r="M55" s="4" t="n"/>
      <c r="N55" s="4" t="n"/>
      <c r="O55" s="4" t="n"/>
      <c r="P55" s="4" t="n"/>
      <c r="Q55" s="4" t="n"/>
    </row>
    <row r="56">
      <c r="A56" s="21" t="inlineStr"/>
      <c r="B56" s="4" t="n"/>
      <c r="C56" s="4" t="n"/>
      <c r="D56" s="4" t="n"/>
      <c r="E56" s="4" t="n"/>
      <c r="F56" s="4" t="n"/>
      <c r="G56" s="4" t="n"/>
      <c r="H56" s="4" t="n"/>
      <c r="I56" s="4" t="n"/>
      <c r="J56" s="4" t="n"/>
      <c r="K56" s="4" t="n"/>
      <c r="L56">
        <f>IF(OR(J56="",K56=""),"",J56*K56)</f>
        <v/>
      </c>
      <c r="M56" s="4" t="n"/>
      <c r="N56" s="4" t="n"/>
      <c r="O56" s="4" t="n"/>
      <c r="P56" s="4" t="n"/>
      <c r="Q56" s="4" t="n"/>
    </row>
    <row r="57">
      <c r="A57" s="21" t="inlineStr"/>
      <c r="B57" s="4" t="n"/>
      <c r="C57" s="4" t="n"/>
      <c r="D57" s="4" t="n"/>
      <c r="E57" s="4" t="n"/>
      <c r="F57" s="4" t="n"/>
      <c r="G57" s="4" t="n"/>
      <c r="H57" s="4" t="n"/>
      <c r="I57" s="4" t="n"/>
      <c r="J57" s="4" t="n"/>
      <c r="K57" s="4" t="n"/>
      <c r="L57">
        <f>IF(OR(J57="",K57=""),"",J57*K57)</f>
        <v/>
      </c>
      <c r="M57" s="4" t="n"/>
      <c r="N57" s="4" t="n"/>
      <c r="O57" s="4" t="n"/>
      <c r="P57" s="4" t="n"/>
      <c r="Q57" s="4" t="n"/>
    </row>
    <row r="58">
      <c r="A58" s="21" t="inlineStr"/>
      <c r="B58" s="4" t="n"/>
      <c r="C58" s="4" t="n"/>
      <c r="D58" s="4" t="n"/>
      <c r="E58" s="4" t="n"/>
      <c r="F58" s="4" t="n"/>
      <c r="G58" s="4" t="n"/>
      <c r="H58" s="4" t="n"/>
      <c r="I58" s="4" t="n"/>
      <c r="J58" s="4" t="n"/>
      <c r="K58" s="4" t="n"/>
      <c r="L58">
        <f>IF(OR(J58="",K58=""),"",J58*K58)</f>
        <v/>
      </c>
      <c r="M58" s="4" t="n"/>
      <c r="N58" s="4" t="n"/>
      <c r="O58" s="4" t="n"/>
      <c r="P58" s="4" t="n"/>
      <c r="Q58" s="4" t="n"/>
    </row>
    <row r="59">
      <c r="A59" s="21" t="inlineStr"/>
      <c r="B59" s="4" t="n"/>
      <c r="C59" s="4" t="n"/>
      <c r="D59" s="4" t="n"/>
      <c r="E59" s="4" t="n"/>
      <c r="F59" s="4" t="n"/>
      <c r="G59" s="4" t="n"/>
      <c r="H59" s="4" t="n"/>
      <c r="I59" s="4" t="n"/>
      <c r="J59" s="4" t="n"/>
      <c r="K59" s="4" t="n"/>
      <c r="L59">
        <f>IF(OR(J59="",K59=""),"",J59*K59)</f>
        <v/>
      </c>
      <c r="M59" s="4" t="n"/>
      <c r="N59" s="4" t="n"/>
      <c r="O59" s="4" t="n"/>
      <c r="P59" s="4" t="n"/>
      <c r="Q59" s="4" t="n"/>
    </row>
    <row r="60">
      <c r="A60" s="21" t="inlineStr"/>
      <c r="B60" s="4" t="n"/>
      <c r="C60" s="4" t="n"/>
      <c r="D60" s="4" t="n"/>
      <c r="E60" s="4" t="n"/>
      <c r="F60" s="4" t="n"/>
      <c r="G60" s="4" t="n"/>
      <c r="H60" s="4" t="n"/>
      <c r="I60" s="4" t="n"/>
      <c r="J60" s="4" t="n"/>
      <c r="K60" s="4" t="n"/>
      <c r="L60">
        <f>IF(OR(J60="",K60=""),"",J60*K60)</f>
        <v/>
      </c>
      <c r="M60" s="4" t="n"/>
      <c r="N60" s="4" t="n"/>
      <c r="O60" s="4" t="n"/>
      <c r="P60" s="4" t="n"/>
      <c r="Q60" s="4" t="n"/>
    </row>
    <row r="61">
      <c r="A61" s="21" t="inlineStr"/>
      <c r="B61" s="4" t="n"/>
      <c r="C61" s="4" t="n"/>
      <c r="D61" s="4" t="n"/>
      <c r="E61" s="4" t="n"/>
      <c r="F61" s="4" t="n"/>
      <c r="G61" s="4" t="n"/>
      <c r="H61" s="4" t="n"/>
      <c r="I61" s="4" t="n"/>
      <c r="J61" s="4" t="n"/>
      <c r="K61" s="4" t="n"/>
      <c r="L61">
        <f>IF(OR(J61="",K61=""),"",J61*K61)</f>
        <v/>
      </c>
      <c r="M61" s="4" t="n"/>
      <c r="N61" s="4" t="n"/>
      <c r="O61" s="4" t="n"/>
      <c r="P61" s="4" t="n"/>
      <c r="Q61" s="4" t="n"/>
    </row>
    <row r="62">
      <c r="A62" s="21" t="inlineStr"/>
      <c r="B62" s="4" t="n"/>
      <c r="C62" s="4" t="n"/>
      <c r="D62" s="4" t="n"/>
      <c r="E62" s="4" t="n"/>
      <c r="F62" s="4" t="n"/>
      <c r="G62" s="4" t="n"/>
      <c r="H62" s="4" t="n"/>
      <c r="I62" s="4" t="n"/>
      <c r="J62" s="4" t="n"/>
      <c r="K62" s="4" t="n"/>
      <c r="L62">
        <f>IF(OR(J62="",K62=""),"",J62*K62)</f>
        <v/>
      </c>
      <c r="M62" s="4" t="n"/>
      <c r="N62" s="4" t="n"/>
      <c r="O62" s="4" t="n"/>
      <c r="P62" s="4" t="n"/>
      <c r="Q62" s="4" t="n"/>
    </row>
    <row r="63">
      <c r="A63" s="21" t="inlineStr"/>
      <c r="B63" s="4" t="n"/>
      <c r="C63" s="4" t="n"/>
      <c r="D63" s="4" t="n"/>
      <c r="E63" s="4" t="n"/>
      <c r="F63" s="4" t="n"/>
      <c r="G63" s="4" t="n"/>
      <c r="H63" s="4" t="n"/>
      <c r="I63" s="4" t="n"/>
      <c r="J63" s="4" t="n"/>
      <c r="K63" s="4" t="n"/>
      <c r="L63">
        <f>IF(OR(J63="",K63=""),"",J63*K63)</f>
        <v/>
      </c>
      <c r="M63" s="4" t="n"/>
      <c r="N63" s="4" t="n"/>
      <c r="O63" s="4" t="n"/>
      <c r="P63" s="4" t="n"/>
      <c r="Q63" s="4" t="n"/>
    </row>
    <row r="64">
      <c r="A64" s="21" t="inlineStr"/>
      <c r="B64" s="4" t="n"/>
      <c r="C64" s="4" t="n"/>
      <c r="D64" s="4" t="n"/>
      <c r="E64" s="4" t="n"/>
      <c r="F64" s="4" t="n"/>
      <c r="G64" s="4" t="n"/>
      <c r="H64" s="4" t="n"/>
      <c r="I64" s="4" t="n"/>
      <c r="J64" s="4" t="n"/>
      <c r="K64" s="4" t="n"/>
      <c r="L64">
        <f>IF(OR(J64="",K64=""),"",J64*K64)</f>
        <v/>
      </c>
      <c r="M64" s="4" t="n"/>
      <c r="N64" s="4" t="n"/>
      <c r="O64" s="4" t="n"/>
      <c r="P64" s="4" t="n"/>
      <c r="Q64" s="4" t="n"/>
    </row>
    <row r="65">
      <c r="A65" s="21" t="inlineStr"/>
      <c r="B65" s="4" t="n"/>
      <c r="C65" s="4" t="n"/>
      <c r="D65" s="4" t="n"/>
      <c r="E65" s="4" t="n"/>
      <c r="F65" s="4" t="n"/>
      <c r="G65" s="4" t="n"/>
      <c r="H65" s="4" t="n"/>
      <c r="I65" s="4" t="n"/>
      <c r="J65" s="4" t="n"/>
      <c r="K65" s="4" t="n"/>
      <c r="L65">
        <f>IF(OR(J65="",K65=""),"",J65*K65)</f>
        <v/>
      </c>
      <c r="M65" s="4" t="n"/>
      <c r="N65" s="4" t="n"/>
      <c r="O65" s="4" t="n"/>
      <c r="P65" s="4" t="n"/>
      <c r="Q65" s="4" t="n"/>
    </row>
    <row r="66">
      <c r="A66" s="21" t="inlineStr"/>
      <c r="B66" s="4" t="n"/>
      <c r="C66" s="4" t="n"/>
      <c r="D66" s="4" t="n"/>
      <c r="E66" s="4" t="n"/>
      <c r="F66" s="4" t="n"/>
      <c r="G66" s="4" t="n"/>
      <c r="H66" s="4" t="n"/>
      <c r="I66" s="4" t="n"/>
      <c r="J66" s="4" t="n"/>
      <c r="K66" s="4" t="n"/>
      <c r="L66">
        <f>IF(OR(J66="",K66=""),"",J66*K66)</f>
        <v/>
      </c>
      <c r="M66" s="4" t="n"/>
      <c r="N66" s="4" t="n"/>
      <c r="O66" s="4" t="n"/>
      <c r="P66" s="4" t="n"/>
      <c r="Q66" s="4" t="n"/>
    </row>
    <row r="67">
      <c r="A67" s="21" t="inlineStr"/>
      <c r="B67" s="4" t="n"/>
      <c r="C67" s="4" t="n"/>
      <c r="D67" s="4" t="n"/>
      <c r="E67" s="4" t="n"/>
      <c r="F67" s="4" t="n"/>
      <c r="G67" s="4" t="n"/>
      <c r="H67" s="4" t="n"/>
      <c r="I67" s="4" t="n"/>
      <c r="J67" s="4" t="n"/>
      <c r="K67" s="4" t="n"/>
      <c r="L67">
        <f>IF(OR(J67="",K67=""),"",J67*K67)</f>
        <v/>
      </c>
      <c r="M67" s="4" t="n"/>
      <c r="N67" s="4" t="n"/>
      <c r="O67" s="4" t="n"/>
      <c r="P67" s="4" t="n"/>
      <c r="Q67" s="4" t="n"/>
    </row>
    <row r="68">
      <c r="A68" s="21" t="inlineStr"/>
      <c r="B68" s="4" t="n"/>
      <c r="C68" s="4" t="n"/>
      <c r="D68" s="4" t="n"/>
      <c r="E68" s="4" t="n"/>
      <c r="F68" s="4" t="n"/>
      <c r="G68" s="4" t="n"/>
      <c r="H68" s="4" t="n"/>
      <c r="I68" s="4" t="n"/>
      <c r="J68" s="4" t="n"/>
      <c r="K68" s="4" t="n"/>
      <c r="L68">
        <f>IF(OR(J68="",K68=""),"",J68*K68)</f>
        <v/>
      </c>
      <c r="M68" s="4" t="n"/>
      <c r="N68" s="4" t="n"/>
      <c r="O68" s="4" t="n"/>
      <c r="P68" s="4" t="n"/>
      <c r="Q68" s="4" t="n"/>
    </row>
    <row r="69">
      <c r="A69" s="21" t="inlineStr"/>
      <c r="B69" s="4" t="n"/>
      <c r="C69" s="4" t="n"/>
      <c r="D69" s="4" t="n"/>
      <c r="E69" s="4" t="n"/>
      <c r="F69" s="4" t="n"/>
      <c r="G69" s="4" t="n"/>
      <c r="H69" s="4" t="n"/>
      <c r="I69" s="4" t="n"/>
      <c r="J69" s="4" t="n"/>
      <c r="K69" s="4" t="n"/>
      <c r="L69">
        <f>IF(OR(J69="",K69=""),"",J69*K69)</f>
        <v/>
      </c>
      <c r="M69" s="4" t="n"/>
      <c r="N69" s="4" t="n"/>
      <c r="O69" s="4" t="n"/>
      <c r="P69" s="4" t="n"/>
      <c r="Q69" s="4" t="n"/>
    </row>
    <row r="70">
      <c r="A70" s="21" t="inlineStr"/>
      <c r="B70" s="4" t="n"/>
      <c r="C70" s="4" t="n"/>
      <c r="D70" s="4" t="n"/>
      <c r="E70" s="4" t="n"/>
      <c r="F70" s="4" t="n"/>
      <c r="G70" s="4" t="n"/>
      <c r="H70" s="4" t="n"/>
      <c r="I70" s="4" t="n"/>
      <c r="J70" s="4" t="n"/>
      <c r="K70" s="4" t="n"/>
      <c r="L70">
        <f>IF(OR(J70="",K70=""),"",J70*K70)</f>
        <v/>
      </c>
      <c r="M70" s="4" t="n"/>
      <c r="N70" s="4" t="n"/>
      <c r="O70" s="4" t="n"/>
      <c r="P70" s="4" t="n"/>
      <c r="Q70" s="4" t="n"/>
    </row>
    <row r="71">
      <c r="A71" s="21" t="inlineStr"/>
      <c r="B71" s="4" t="n"/>
      <c r="C71" s="4" t="n"/>
      <c r="D71" s="4" t="n"/>
      <c r="E71" s="4" t="n"/>
      <c r="F71" s="4" t="n"/>
      <c r="G71" s="4" t="n"/>
      <c r="H71" s="4" t="n"/>
      <c r="I71" s="4" t="n"/>
      <c r="J71" s="4" t="n"/>
      <c r="K71" s="4" t="n"/>
      <c r="L71">
        <f>IF(OR(J71="",K71=""),"",J71*K71)</f>
        <v/>
      </c>
      <c r="M71" s="4" t="n"/>
      <c r="N71" s="4" t="n"/>
      <c r="O71" s="4" t="n"/>
      <c r="P71" s="4" t="n"/>
      <c r="Q71" s="4" t="n"/>
    </row>
    <row r="72">
      <c r="A72" s="21" t="inlineStr"/>
      <c r="B72" s="4" t="n"/>
      <c r="C72" s="4" t="n"/>
      <c r="D72" s="4" t="n"/>
      <c r="E72" s="4" t="n"/>
      <c r="F72" s="4" t="n"/>
      <c r="G72" s="4" t="n"/>
      <c r="H72" s="4" t="n"/>
      <c r="I72" s="4" t="n"/>
      <c r="J72" s="4" t="n"/>
      <c r="K72" s="4" t="n"/>
      <c r="L72">
        <f>IF(OR(J72="",K72=""),"",J72*K72)</f>
        <v/>
      </c>
      <c r="M72" s="4" t="n"/>
      <c r="N72" s="4" t="n"/>
      <c r="O72" s="4" t="n"/>
      <c r="P72" s="4" t="n"/>
      <c r="Q72" s="4" t="n"/>
    </row>
    <row r="73">
      <c r="A73" s="21" t="inlineStr"/>
      <c r="B73" s="4" t="n"/>
      <c r="C73" s="4" t="n"/>
      <c r="D73" s="4" t="n"/>
      <c r="E73" s="4" t="n"/>
      <c r="F73" s="4" t="n"/>
      <c r="G73" s="4" t="n"/>
      <c r="H73" s="4" t="n"/>
      <c r="I73" s="4" t="n"/>
      <c r="J73" s="4" t="n"/>
      <c r="K73" s="4" t="n"/>
      <c r="L73">
        <f>IF(OR(J73="",K73=""),"",J73*K73)</f>
        <v/>
      </c>
      <c r="M73" s="4" t="n"/>
      <c r="N73" s="4" t="n"/>
      <c r="O73" s="4" t="n"/>
      <c r="P73" s="4" t="n"/>
      <c r="Q73" s="4" t="n"/>
    </row>
    <row r="74">
      <c r="A74" s="21" t="inlineStr"/>
      <c r="B74" s="4" t="n"/>
      <c r="C74" s="4" t="n"/>
      <c r="D74" s="4" t="n"/>
      <c r="E74" s="4" t="n"/>
      <c r="F74" s="4" t="n"/>
      <c r="G74" s="4" t="n"/>
      <c r="H74" s="4" t="n"/>
      <c r="I74" s="4" t="n"/>
      <c r="J74" s="4" t="n"/>
      <c r="K74" s="4" t="n"/>
      <c r="L74">
        <f>IF(OR(J74="",K74=""),"",J74*K74)</f>
        <v/>
      </c>
      <c r="M74" s="4" t="n"/>
      <c r="N74" s="4" t="n"/>
      <c r="O74" s="4" t="n"/>
      <c r="P74" s="4" t="n"/>
      <c r="Q74" s="4" t="n"/>
    </row>
    <row r="75">
      <c r="A75" s="21" t="inlineStr"/>
      <c r="B75" s="4" t="n"/>
      <c r="C75" s="4" t="n"/>
      <c r="D75" s="4" t="n"/>
      <c r="E75" s="4" t="n"/>
      <c r="F75" s="4" t="n"/>
      <c r="G75" s="4" t="n"/>
      <c r="H75" s="4" t="n"/>
      <c r="I75" s="4" t="n"/>
      <c r="J75" s="4" t="n"/>
      <c r="K75" s="4" t="n"/>
      <c r="L75">
        <f>IF(OR(J75="",K75=""),"",J75*K75)</f>
        <v/>
      </c>
      <c r="M75" s="4" t="n"/>
      <c r="N75" s="4" t="n"/>
      <c r="O75" s="4" t="n"/>
      <c r="P75" s="4" t="n"/>
      <c r="Q75" s="4" t="n"/>
    </row>
    <row r="76">
      <c r="A76" s="21" t="inlineStr"/>
      <c r="B76" s="4" t="n"/>
      <c r="C76" s="4" t="n"/>
      <c r="D76" s="4" t="n"/>
      <c r="E76" s="4" t="n"/>
      <c r="F76" s="4" t="n"/>
      <c r="G76" s="4" t="n"/>
      <c r="H76" s="4" t="n"/>
      <c r="I76" s="4" t="n"/>
      <c r="J76" s="4" t="n"/>
      <c r="K76" s="4" t="n"/>
      <c r="L76">
        <f>IF(OR(J76="",K76=""),"",J76*K76)</f>
        <v/>
      </c>
      <c r="M76" s="4" t="n"/>
      <c r="N76" s="4" t="n"/>
      <c r="O76" s="4" t="n"/>
      <c r="P76" s="4" t="n"/>
      <c r="Q76" s="4" t="n"/>
    </row>
    <row r="77">
      <c r="A77" s="21" t="inlineStr"/>
      <c r="B77" s="4" t="n"/>
      <c r="C77" s="4" t="n"/>
      <c r="D77" s="4" t="n"/>
      <c r="E77" s="4" t="n"/>
      <c r="F77" s="4" t="n"/>
      <c r="G77" s="4" t="n"/>
      <c r="H77" s="4" t="n"/>
      <c r="I77" s="4" t="n"/>
      <c r="J77" s="4" t="n"/>
      <c r="K77" s="4" t="n"/>
      <c r="L77">
        <f>IF(OR(J77="",K77=""),"",J77*K77)</f>
        <v/>
      </c>
      <c r="M77" s="4" t="n"/>
      <c r="N77" s="4" t="n"/>
      <c r="O77" s="4" t="n"/>
      <c r="P77" s="4" t="n"/>
      <c r="Q77" s="4" t="n"/>
    </row>
    <row r="78">
      <c r="A78" s="21" t="inlineStr"/>
      <c r="B78" s="4" t="n"/>
      <c r="C78" s="4" t="n"/>
      <c r="D78" s="4" t="n"/>
      <c r="E78" s="4" t="n"/>
      <c r="F78" s="4" t="n"/>
      <c r="G78" s="4" t="n"/>
      <c r="H78" s="4" t="n"/>
      <c r="I78" s="4" t="n"/>
      <c r="J78" s="4" t="n"/>
      <c r="K78" s="4" t="n"/>
      <c r="L78">
        <f>IF(OR(J78="",K78=""),"",J78*K78)</f>
        <v/>
      </c>
      <c r="M78" s="4" t="n"/>
      <c r="N78" s="4" t="n"/>
      <c r="O78" s="4" t="n"/>
      <c r="P78" s="4" t="n"/>
      <c r="Q78" s="4" t="n"/>
    </row>
    <row r="79">
      <c r="A79" s="21" t="inlineStr"/>
      <c r="B79" s="4" t="n"/>
      <c r="C79" s="4" t="n"/>
      <c r="D79" s="4" t="n"/>
      <c r="E79" s="4" t="n"/>
      <c r="F79" s="4" t="n"/>
      <c r="G79" s="4" t="n"/>
      <c r="H79" s="4" t="n"/>
      <c r="I79" s="4" t="n"/>
      <c r="J79" s="4" t="n"/>
      <c r="K79" s="4" t="n"/>
      <c r="L79">
        <f>IF(OR(J79="",K79=""),"",J79*K79)</f>
        <v/>
      </c>
      <c r="M79" s="4" t="n"/>
      <c r="N79" s="4" t="n"/>
      <c r="O79" s="4" t="n"/>
      <c r="P79" s="4" t="n"/>
      <c r="Q79" s="4" t="n"/>
    </row>
    <row r="80">
      <c r="A80" s="21" t="inlineStr"/>
      <c r="B80" s="4" t="n"/>
      <c r="C80" s="4" t="n"/>
      <c r="D80" s="4" t="n"/>
      <c r="E80" s="4" t="n"/>
      <c r="F80" s="4" t="n"/>
      <c r="G80" s="4" t="n"/>
      <c r="H80" s="4" t="n"/>
      <c r="I80" s="4" t="n"/>
      <c r="J80" s="4" t="n"/>
      <c r="K80" s="4" t="n"/>
      <c r="L80">
        <f>IF(OR(J80="",K80=""),"",J80*K80)</f>
        <v/>
      </c>
      <c r="M80" s="4" t="n"/>
      <c r="N80" s="4" t="n"/>
      <c r="O80" s="4" t="n"/>
      <c r="P80" s="4" t="n"/>
      <c r="Q80" s="4" t="n"/>
    </row>
    <row r="81">
      <c r="A81" s="21" t="inlineStr"/>
      <c r="B81" s="4" t="n"/>
      <c r="C81" s="4" t="n"/>
      <c r="D81" s="4" t="n"/>
      <c r="E81" s="4" t="n"/>
      <c r="F81" s="4" t="n"/>
      <c r="G81" s="4" t="n"/>
      <c r="H81" s="4" t="n"/>
      <c r="I81" s="4" t="n"/>
      <c r="J81" s="4" t="n"/>
      <c r="K81" s="4" t="n"/>
      <c r="L81">
        <f>IF(OR(J81="",K81=""),"",J81*K81)</f>
        <v/>
      </c>
      <c r="M81" s="4" t="n"/>
      <c r="N81" s="4" t="n"/>
      <c r="O81" s="4" t="n"/>
      <c r="P81" s="4" t="n"/>
      <c r="Q81" s="4" t="n"/>
    </row>
    <row r="82">
      <c r="A82" s="21" t="inlineStr"/>
      <c r="B82" s="4" t="n"/>
      <c r="C82" s="4" t="n"/>
      <c r="D82" s="4" t="n"/>
      <c r="E82" s="4" t="n"/>
      <c r="F82" s="4" t="n"/>
      <c r="G82" s="4" t="n"/>
      <c r="H82" s="4" t="n"/>
      <c r="I82" s="4" t="n"/>
      <c r="J82" s="4" t="n"/>
      <c r="K82" s="4" t="n"/>
      <c r="L82">
        <f>IF(OR(J82="",K82=""),"",J82*K82)</f>
        <v/>
      </c>
      <c r="M82" s="4" t="n"/>
      <c r="N82" s="4" t="n"/>
      <c r="O82" s="4" t="n"/>
      <c r="P82" s="4" t="n"/>
      <c r="Q82" s="4" t="n"/>
    </row>
    <row r="83">
      <c r="A83" s="21" t="inlineStr"/>
      <c r="B83" s="4" t="n"/>
      <c r="C83" s="4" t="n"/>
      <c r="D83" s="4" t="n"/>
      <c r="E83" s="4" t="n"/>
      <c r="F83" s="4" t="n"/>
      <c r="G83" s="4" t="n"/>
      <c r="H83" s="4" t="n"/>
      <c r="I83" s="4" t="n"/>
      <c r="J83" s="4" t="n"/>
      <c r="K83" s="4" t="n"/>
      <c r="L83">
        <f>IF(OR(J83="",K83=""),"",J83*K83)</f>
        <v/>
      </c>
      <c r="M83" s="4" t="n"/>
      <c r="N83" s="4" t="n"/>
      <c r="O83" s="4" t="n"/>
      <c r="P83" s="4" t="n"/>
      <c r="Q83" s="4" t="n"/>
    </row>
    <row r="84">
      <c r="A84" s="21" t="inlineStr"/>
      <c r="B84" s="4" t="n"/>
      <c r="C84" s="4" t="n"/>
      <c r="D84" s="4" t="n"/>
      <c r="E84" s="4" t="n"/>
      <c r="F84" s="4" t="n"/>
      <c r="G84" s="4" t="n"/>
      <c r="H84" s="4" t="n"/>
      <c r="I84" s="4" t="n"/>
      <c r="J84" s="4" t="n"/>
      <c r="K84" s="4" t="n"/>
      <c r="L84">
        <f>IF(OR(J84="",K84=""),"",J84*K84)</f>
        <v/>
      </c>
      <c r="M84" s="4" t="n"/>
      <c r="N84" s="4" t="n"/>
      <c r="O84" s="4" t="n"/>
      <c r="P84" s="4" t="n"/>
      <c r="Q84" s="4" t="n"/>
    </row>
    <row r="85">
      <c r="A85" s="21" t="inlineStr"/>
      <c r="B85" s="4" t="n"/>
      <c r="C85" s="4" t="n"/>
      <c r="D85" s="4" t="n"/>
      <c r="E85" s="4" t="n"/>
      <c r="F85" s="4" t="n"/>
      <c r="G85" s="4" t="n"/>
      <c r="H85" s="4" t="n"/>
      <c r="I85" s="4" t="n"/>
      <c r="J85" s="4" t="n"/>
      <c r="K85" s="4" t="n"/>
      <c r="L85">
        <f>IF(OR(J85="",K85=""),"",J85*K85)</f>
        <v/>
      </c>
      <c r="M85" s="4" t="n"/>
      <c r="N85" s="4" t="n"/>
      <c r="O85" s="4" t="n"/>
      <c r="P85" s="4" t="n"/>
      <c r="Q85" s="4" t="n"/>
    </row>
    <row r="86">
      <c r="A86" s="21" t="inlineStr"/>
      <c r="B86" s="4" t="n"/>
      <c r="C86" s="4" t="n"/>
      <c r="D86" s="4" t="n"/>
      <c r="E86" s="4" t="n"/>
      <c r="F86" s="4" t="n"/>
      <c r="G86" s="4" t="n"/>
      <c r="H86" s="4" t="n"/>
      <c r="I86" s="4" t="n"/>
      <c r="J86" s="4" t="n"/>
      <c r="K86" s="4" t="n"/>
      <c r="L86">
        <f>IF(OR(J86="",K86=""),"",J86*K86)</f>
        <v/>
      </c>
      <c r="M86" s="4" t="n"/>
      <c r="N86" s="4" t="n"/>
      <c r="O86" s="4" t="n"/>
      <c r="P86" s="4" t="n"/>
      <c r="Q86" s="4" t="n"/>
    </row>
    <row r="87">
      <c r="A87" s="21" t="inlineStr"/>
      <c r="B87" s="4" t="n"/>
      <c r="C87" s="4" t="n"/>
      <c r="D87" s="4" t="n"/>
      <c r="E87" s="4" t="n"/>
      <c r="F87" s="4" t="n"/>
      <c r="G87" s="4" t="n"/>
      <c r="H87" s="4" t="n"/>
      <c r="I87" s="4" t="n"/>
      <c r="J87" s="4" t="n"/>
      <c r="K87" s="4" t="n"/>
      <c r="L87">
        <f>IF(OR(J87="",K87=""),"",J87*K87)</f>
        <v/>
      </c>
      <c r="M87" s="4" t="n"/>
      <c r="N87" s="4" t="n"/>
      <c r="O87" s="4" t="n"/>
      <c r="P87" s="4" t="n"/>
      <c r="Q87" s="4" t="n"/>
    </row>
    <row r="88">
      <c r="A88" s="21" t="inlineStr"/>
      <c r="B88" s="4" t="n"/>
      <c r="C88" s="4" t="n"/>
      <c r="D88" s="4" t="n"/>
      <c r="E88" s="4" t="n"/>
      <c r="F88" s="4" t="n"/>
      <c r="G88" s="4" t="n"/>
      <c r="H88" s="4" t="n"/>
      <c r="I88" s="4" t="n"/>
      <c r="J88" s="4" t="n"/>
      <c r="K88" s="4" t="n"/>
      <c r="L88">
        <f>IF(OR(J88="",K88=""),"",J88*K88)</f>
        <v/>
      </c>
      <c r="M88" s="4" t="n"/>
      <c r="N88" s="4" t="n"/>
      <c r="O88" s="4" t="n"/>
      <c r="P88" s="4" t="n"/>
      <c r="Q88" s="4" t="n"/>
    </row>
    <row r="89">
      <c r="A89" s="21" t="inlineStr"/>
      <c r="B89" s="4" t="n"/>
      <c r="C89" s="4" t="n"/>
      <c r="D89" s="4" t="n"/>
      <c r="E89" s="4" t="n"/>
      <c r="F89" s="4" t="n"/>
      <c r="G89" s="4" t="n"/>
      <c r="H89" s="4" t="n"/>
      <c r="I89" s="4" t="n"/>
      <c r="J89" s="4" t="n"/>
      <c r="K89" s="4" t="n"/>
      <c r="L89">
        <f>IF(OR(J89="",K89=""),"",J89*K89)</f>
        <v/>
      </c>
      <c r="M89" s="4" t="n"/>
      <c r="N89" s="4" t="n"/>
      <c r="O89" s="4" t="n"/>
      <c r="P89" s="4" t="n"/>
      <c r="Q89" s="4" t="n"/>
    </row>
    <row r="90">
      <c r="A90" s="21" t="inlineStr"/>
      <c r="B90" s="4" t="n"/>
      <c r="C90" s="4" t="n"/>
      <c r="D90" s="4" t="n"/>
      <c r="E90" s="4" t="n"/>
      <c r="F90" s="4" t="n"/>
      <c r="G90" s="4" t="n"/>
      <c r="H90" s="4" t="n"/>
      <c r="I90" s="4" t="n"/>
      <c r="J90" s="4" t="n"/>
      <c r="K90" s="4" t="n"/>
      <c r="L90">
        <f>IF(OR(J90="",K90=""),"",J90*K90)</f>
        <v/>
      </c>
      <c r="M90" s="4" t="n"/>
      <c r="N90" s="4" t="n"/>
      <c r="O90" s="4" t="n"/>
      <c r="P90" s="4" t="n"/>
      <c r="Q90" s="4" t="n"/>
    </row>
    <row r="91">
      <c r="A91" s="21" t="inlineStr"/>
      <c r="B91" s="4" t="n"/>
      <c r="C91" s="4" t="n"/>
      <c r="D91" s="4" t="n"/>
      <c r="E91" s="4" t="n"/>
      <c r="F91" s="4" t="n"/>
      <c r="G91" s="4" t="n"/>
      <c r="H91" s="4" t="n"/>
      <c r="I91" s="4" t="n"/>
      <c r="J91" s="4" t="n"/>
      <c r="K91" s="4" t="n"/>
      <c r="L91">
        <f>IF(OR(J91="",K91=""),"",J91*K91)</f>
        <v/>
      </c>
      <c r="M91" s="4" t="n"/>
      <c r="N91" s="4" t="n"/>
      <c r="O91" s="4" t="n"/>
      <c r="P91" s="4" t="n"/>
      <c r="Q91" s="4" t="n"/>
    </row>
    <row r="92">
      <c r="A92" s="21" t="inlineStr"/>
      <c r="B92" s="4" t="n"/>
      <c r="C92" s="4" t="n"/>
      <c r="D92" s="4" t="n"/>
      <c r="E92" s="4" t="n"/>
      <c r="F92" s="4" t="n"/>
      <c r="G92" s="4" t="n"/>
      <c r="H92" s="4" t="n"/>
      <c r="I92" s="4" t="n"/>
      <c r="J92" s="4" t="n"/>
      <c r="K92" s="4" t="n"/>
      <c r="L92">
        <f>IF(OR(J92="",K92=""),"",J92*K92)</f>
        <v/>
      </c>
      <c r="M92" s="4" t="n"/>
      <c r="N92" s="4" t="n"/>
      <c r="O92" s="4" t="n"/>
      <c r="P92" s="4" t="n"/>
      <c r="Q92" s="4" t="n"/>
    </row>
    <row r="93">
      <c r="A93" s="21" t="inlineStr"/>
      <c r="B93" s="4" t="n"/>
      <c r="C93" s="4" t="n"/>
      <c r="D93" s="4" t="n"/>
      <c r="E93" s="4" t="n"/>
      <c r="F93" s="4" t="n"/>
      <c r="G93" s="4" t="n"/>
      <c r="H93" s="4" t="n"/>
      <c r="I93" s="4" t="n"/>
      <c r="J93" s="4" t="n"/>
      <c r="K93" s="4" t="n"/>
      <c r="L93">
        <f>IF(OR(J93="",K93=""),"",J93*K93)</f>
        <v/>
      </c>
      <c r="M93" s="4" t="n"/>
      <c r="N93" s="4" t="n"/>
      <c r="O93" s="4" t="n"/>
      <c r="P93" s="4" t="n"/>
      <c r="Q93" s="4" t="n"/>
    </row>
    <row r="94">
      <c r="A94" s="21" t="inlineStr"/>
      <c r="B94" s="4" t="n"/>
      <c r="C94" s="4" t="n"/>
      <c r="D94" s="4" t="n"/>
      <c r="E94" s="4" t="n"/>
      <c r="F94" s="4" t="n"/>
      <c r="G94" s="4" t="n"/>
      <c r="H94" s="4" t="n"/>
      <c r="I94" s="4" t="n"/>
      <c r="J94" s="4" t="n"/>
      <c r="K94" s="4" t="n"/>
      <c r="L94">
        <f>IF(OR(J94="",K94=""),"",J94*K94)</f>
        <v/>
      </c>
      <c r="M94" s="4" t="n"/>
      <c r="N94" s="4" t="n"/>
      <c r="O94" s="4" t="n"/>
      <c r="P94" s="4" t="n"/>
      <c r="Q94" s="4" t="n"/>
    </row>
    <row r="95">
      <c r="A95" s="21" t="inlineStr"/>
      <c r="B95" s="4" t="n"/>
      <c r="C95" s="4" t="n"/>
      <c r="D95" s="4" t="n"/>
      <c r="E95" s="4" t="n"/>
      <c r="F95" s="4" t="n"/>
      <c r="G95" s="4" t="n"/>
      <c r="H95" s="4" t="n"/>
      <c r="I95" s="4" t="n"/>
      <c r="J95" s="4" t="n"/>
      <c r="K95" s="4" t="n"/>
      <c r="L95">
        <f>IF(OR(J95="",K95=""),"",J95*K95)</f>
        <v/>
      </c>
      <c r="M95" s="4" t="n"/>
      <c r="N95" s="4" t="n"/>
      <c r="O95" s="4" t="n"/>
      <c r="P95" s="4" t="n"/>
      <c r="Q95" s="4" t="n"/>
    </row>
    <row r="96">
      <c r="A96" s="21" t="inlineStr"/>
      <c r="B96" s="4" t="n"/>
      <c r="C96" s="4" t="n"/>
      <c r="D96" s="4" t="n"/>
      <c r="E96" s="4" t="n"/>
      <c r="F96" s="4" t="n"/>
      <c r="G96" s="4" t="n"/>
      <c r="H96" s="4" t="n"/>
      <c r="I96" s="4" t="n"/>
      <c r="J96" s="4" t="n"/>
      <c r="K96" s="4" t="n"/>
      <c r="L96">
        <f>IF(OR(J96="",K96=""),"",J96*K96)</f>
        <v/>
      </c>
      <c r="M96" s="4" t="n"/>
      <c r="N96" s="4" t="n"/>
      <c r="O96" s="4" t="n"/>
      <c r="P96" s="4" t="n"/>
      <c r="Q96" s="4" t="n"/>
    </row>
    <row r="97">
      <c r="A97" s="21" t="inlineStr"/>
      <c r="B97" s="4" t="n"/>
      <c r="C97" s="4" t="n"/>
      <c r="D97" s="4" t="n"/>
      <c r="E97" s="4" t="n"/>
      <c r="F97" s="4" t="n"/>
      <c r="G97" s="4" t="n"/>
      <c r="H97" s="4" t="n"/>
      <c r="I97" s="4" t="n"/>
      <c r="J97" s="4" t="n"/>
      <c r="K97" s="4" t="n"/>
      <c r="L97">
        <f>IF(OR(J97="",K97=""),"",J97*K97)</f>
        <v/>
      </c>
      <c r="M97" s="4" t="n"/>
      <c r="N97" s="4" t="n"/>
      <c r="O97" s="4" t="n"/>
      <c r="P97" s="4" t="n"/>
      <c r="Q97" s="4" t="n"/>
    </row>
    <row r="98">
      <c r="A98" s="21" t="inlineStr"/>
      <c r="B98" s="4" t="n"/>
      <c r="C98" s="4" t="n"/>
      <c r="D98" s="4" t="n"/>
      <c r="E98" s="4" t="n"/>
      <c r="F98" s="4" t="n"/>
      <c r="G98" s="4" t="n"/>
      <c r="H98" s="4" t="n"/>
      <c r="I98" s="4" t="n"/>
      <c r="J98" s="4" t="n"/>
      <c r="K98" s="4" t="n"/>
      <c r="L98">
        <f>IF(OR(J98="",K98=""),"",J98*K98)</f>
        <v/>
      </c>
      <c r="M98" s="4" t="n"/>
      <c r="N98" s="4" t="n"/>
      <c r="O98" s="4" t="n"/>
      <c r="P98" s="4" t="n"/>
      <c r="Q98" s="4" t="n"/>
    </row>
    <row r="99">
      <c r="A99" s="21" t="inlineStr"/>
      <c r="B99" s="4" t="n"/>
      <c r="C99" s="4" t="n"/>
      <c r="D99" s="4" t="n"/>
      <c r="E99" s="4" t="n"/>
      <c r="F99" s="4" t="n"/>
      <c r="G99" s="4" t="n"/>
      <c r="H99" s="4" t="n"/>
      <c r="I99" s="4" t="n"/>
      <c r="J99" s="4" t="n"/>
      <c r="K99" s="4" t="n"/>
      <c r="L99">
        <f>IF(OR(J99="",K99=""),"",J99*K99)</f>
        <v/>
      </c>
      <c r="M99" s="4" t="n"/>
      <c r="N99" s="4" t="n"/>
      <c r="O99" s="4" t="n"/>
      <c r="P99" s="4" t="n"/>
      <c r="Q99" s="4" t="n"/>
    </row>
    <row r="100">
      <c r="A100" s="21" t="inlineStr"/>
      <c r="B100" s="4" t="n"/>
      <c r="C100" s="4" t="n"/>
      <c r="D100" s="4" t="n"/>
      <c r="E100" s="4" t="n"/>
      <c r="F100" s="4" t="n"/>
      <c r="G100" s="4" t="n"/>
      <c r="H100" s="4" t="n"/>
      <c r="I100" s="4" t="n"/>
      <c r="J100" s="4" t="n"/>
      <c r="K100" s="4" t="n"/>
      <c r="L100">
        <f>IF(OR(J100="",K100=""),"",J100*K100)</f>
        <v/>
      </c>
      <c r="M100" s="4" t="n"/>
      <c r="N100" s="4" t="n"/>
      <c r="O100" s="4" t="n"/>
      <c r="P100" s="4" t="n"/>
      <c r="Q100" s="4" t="n"/>
    </row>
    <row r="101">
      <c r="A101" s="21" t="inlineStr"/>
      <c r="B101" s="4" t="n"/>
      <c r="C101" s="4" t="n"/>
      <c r="D101" s="4" t="n"/>
      <c r="E101" s="4" t="n"/>
      <c r="F101" s="4" t="n"/>
      <c r="G101" s="4" t="n"/>
      <c r="H101" s="4" t="n"/>
      <c r="I101" s="4" t="n"/>
      <c r="J101" s="4" t="n"/>
      <c r="K101" s="4" t="n"/>
      <c r="L101">
        <f>IF(OR(J101="",K101=""),"",J101*K101)</f>
        <v/>
      </c>
      <c r="M101" s="4" t="n"/>
      <c r="N101" s="4" t="n"/>
      <c r="O101" s="4" t="n"/>
      <c r="P101" s="4" t="n"/>
      <c r="Q101" s="4" t="n"/>
    </row>
    <row r="102">
      <c r="A102" s="21" t="inlineStr"/>
      <c r="B102" s="4" t="n"/>
      <c r="C102" s="4" t="n"/>
      <c r="D102" s="4" t="n"/>
      <c r="E102" s="4" t="n"/>
      <c r="F102" s="4" t="n"/>
      <c r="G102" s="4" t="n"/>
      <c r="H102" s="4" t="n"/>
      <c r="I102" s="4" t="n"/>
      <c r="J102" s="4" t="n"/>
      <c r="K102" s="4" t="n"/>
      <c r="L102">
        <f>IF(OR(J102="",K102=""),"",J102*K102)</f>
        <v/>
      </c>
      <c r="M102" s="4" t="n"/>
      <c r="N102" s="4" t="n"/>
      <c r="O102" s="4" t="n"/>
      <c r="P102" s="4" t="n"/>
      <c r="Q102" s="4" t="n"/>
    </row>
    <row r="103">
      <c r="A103" s="21" t="inlineStr"/>
      <c r="B103" s="4" t="n"/>
      <c r="C103" s="4" t="n"/>
      <c r="D103" s="4" t="n"/>
      <c r="E103" s="4" t="n"/>
      <c r="F103" s="4" t="n"/>
      <c r="G103" s="4" t="n"/>
      <c r="H103" s="4" t="n"/>
      <c r="I103" s="4" t="n"/>
      <c r="J103" s="4" t="n"/>
      <c r="K103" s="4" t="n"/>
      <c r="L103">
        <f>IF(OR(J103="",K103=""),"",J103*K103)</f>
        <v/>
      </c>
      <c r="M103" s="4" t="n"/>
      <c r="N103" s="4" t="n"/>
      <c r="O103" s="4" t="n"/>
      <c r="P103" s="4" t="n"/>
      <c r="Q103" s="4" t="n"/>
    </row>
    <row r="104">
      <c r="A104" s="21" t="inlineStr"/>
      <c r="B104" s="4" t="n"/>
      <c r="C104" s="4" t="n"/>
      <c r="D104" s="4" t="n"/>
      <c r="E104" s="4" t="n"/>
      <c r="F104" s="4" t="n"/>
      <c r="G104" s="4" t="n"/>
      <c r="H104" s="4" t="n"/>
      <c r="I104" s="4" t="n"/>
      <c r="J104" s="4" t="n"/>
      <c r="K104" s="4" t="n"/>
      <c r="L104">
        <f>IF(OR(J104="",K104=""),"",J104*K104)</f>
        <v/>
      </c>
      <c r="M104" s="4" t="n"/>
      <c r="N104" s="4" t="n"/>
      <c r="O104" s="4" t="n"/>
      <c r="P104" s="4" t="n"/>
      <c r="Q104" s="4" t="n"/>
    </row>
    <row r="105">
      <c r="A105" s="21" t="inlineStr"/>
      <c r="B105" s="4" t="n"/>
      <c r="C105" s="4" t="n"/>
      <c r="D105" s="4" t="n"/>
      <c r="E105" s="4" t="n"/>
      <c r="F105" s="4" t="n"/>
      <c r="G105" s="4" t="n"/>
      <c r="H105" s="4" t="n"/>
      <c r="I105" s="4" t="n"/>
      <c r="J105" s="4" t="n"/>
      <c r="K105" s="4" t="n"/>
      <c r="L105">
        <f>IF(OR(J105="",K105=""),"",J105*K105)</f>
        <v/>
      </c>
      <c r="M105" s="4" t="n"/>
      <c r="N105" s="4" t="n"/>
      <c r="O105" s="4" t="n"/>
      <c r="P105" s="4" t="n"/>
      <c r="Q105" s="4" t="n"/>
    </row>
    <row r="106">
      <c r="A106" s="21" t="inlineStr"/>
      <c r="B106" s="4" t="n"/>
      <c r="C106" s="4" t="n"/>
      <c r="D106" s="4" t="n"/>
      <c r="E106" s="4" t="n"/>
      <c r="F106" s="4" t="n"/>
      <c r="G106" s="4" t="n"/>
      <c r="H106" s="4" t="n"/>
      <c r="I106" s="4" t="n"/>
      <c r="J106" s="4" t="n"/>
      <c r="K106" s="4" t="n"/>
      <c r="L106">
        <f>IF(OR(J106="",K106=""),"",J106*K106)</f>
        <v/>
      </c>
      <c r="M106" s="4" t="n"/>
      <c r="N106" s="4" t="n"/>
      <c r="O106" s="4" t="n"/>
      <c r="P106" s="4" t="n"/>
      <c r="Q106" s="4" t="n"/>
    </row>
    <row r="107">
      <c r="A107" s="21" t="inlineStr"/>
      <c r="B107" s="4" t="n"/>
      <c r="C107" s="4" t="n"/>
      <c r="D107" s="4" t="n"/>
      <c r="E107" s="4" t="n"/>
      <c r="F107" s="4" t="n"/>
      <c r="G107" s="4" t="n"/>
      <c r="H107" s="4" t="n"/>
      <c r="I107" s="4" t="n"/>
      <c r="J107" s="4" t="n"/>
      <c r="K107" s="4" t="n"/>
      <c r="L107">
        <f>IF(OR(J107="",K107=""),"",J107*K107)</f>
        <v/>
      </c>
      <c r="M107" s="4" t="n"/>
      <c r="N107" s="4" t="n"/>
      <c r="O107" s="4" t="n"/>
      <c r="P107" s="4" t="n"/>
      <c r="Q107" s="4" t="n"/>
    </row>
    <row r="108">
      <c r="A108" s="21" t="inlineStr"/>
      <c r="B108" s="4" t="n"/>
      <c r="C108" s="4" t="n"/>
      <c r="D108" s="4" t="n"/>
      <c r="E108" s="4" t="n"/>
      <c r="F108" s="4" t="n"/>
      <c r="G108" s="4" t="n"/>
      <c r="H108" s="4" t="n"/>
      <c r="I108" s="4" t="n"/>
      <c r="J108" s="4" t="n"/>
      <c r="K108" s="4" t="n"/>
      <c r="L108">
        <f>IF(OR(J108="",K108=""),"",J108*K108)</f>
        <v/>
      </c>
      <c r="M108" s="4" t="n"/>
      <c r="N108" s="4" t="n"/>
      <c r="O108" s="4" t="n"/>
      <c r="P108" s="4" t="n"/>
      <c r="Q108" s="4" t="n"/>
    </row>
    <row r="109">
      <c r="A109" s="21" t="inlineStr"/>
      <c r="B109" s="4" t="n"/>
      <c r="C109" s="4" t="n"/>
      <c r="D109" s="4" t="n"/>
      <c r="E109" s="4" t="n"/>
      <c r="F109" s="4" t="n"/>
      <c r="G109" s="4" t="n"/>
      <c r="H109" s="4" t="n"/>
      <c r="I109" s="4" t="n"/>
      <c r="J109" s="4" t="n"/>
      <c r="K109" s="4" t="n"/>
      <c r="L109">
        <f>IF(OR(J109="",K109=""),"",J109*K109)</f>
        <v/>
      </c>
      <c r="M109" s="4" t="n"/>
      <c r="N109" s="4" t="n"/>
      <c r="O109" s="4" t="n"/>
      <c r="P109" s="4" t="n"/>
      <c r="Q109" s="4" t="n"/>
    </row>
    <row r="110">
      <c r="A110" s="21" t="inlineStr"/>
      <c r="B110" s="4" t="n"/>
      <c r="C110" s="4" t="n"/>
      <c r="D110" s="4" t="n"/>
      <c r="E110" s="4" t="n"/>
      <c r="F110" s="4" t="n"/>
      <c r="G110" s="4" t="n"/>
      <c r="H110" s="4" t="n"/>
      <c r="I110" s="4" t="n"/>
      <c r="J110" s="4" t="n"/>
      <c r="K110" s="4" t="n"/>
      <c r="L110">
        <f>IF(OR(J110="",K110=""),"",J110*K110)</f>
        <v/>
      </c>
      <c r="M110" s="4" t="n"/>
      <c r="N110" s="4" t="n"/>
      <c r="O110" s="4" t="n"/>
      <c r="P110" s="4" t="n"/>
      <c r="Q110" s="4" t="n"/>
    </row>
    <row r="111">
      <c r="A111" s="21" t="inlineStr"/>
      <c r="B111" s="4" t="n"/>
      <c r="C111" s="4" t="n"/>
      <c r="D111" s="4" t="n"/>
      <c r="E111" s="4" t="n"/>
      <c r="F111" s="4" t="n"/>
      <c r="G111" s="4" t="n"/>
      <c r="H111" s="4" t="n"/>
      <c r="I111" s="4" t="n"/>
      <c r="J111" s="4" t="n"/>
      <c r="K111" s="4" t="n"/>
      <c r="L111">
        <f>IF(OR(J111="",K111=""),"",J111*K111)</f>
        <v/>
      </c>
      <c r="M111" s="4" t="n"/>
      <c r="N111" s="4" t="n"/>
      <c r="O111" s="4" t="n"/>
      <c r="P111" s="4" t="n"/>
      <c r="Q111" s="4" t="n"/>
    </row>
    <row r="112">
      <c r="A112" s="21" t="inlineStr"/>
      <c r="B112" s="4" t="n"/>
      <c r="C112" s="4" t="n"/>
      <c r="D112" s="4" t="n"/>
      <c r="E112" s="4" t="n"/>
      <c r="F112" s="4" t="n"/>
      <c r="G112" s="4" t="n"/>
      <c r="H112" s="4" t="n"/>
      <c r="I112" s="4" t="n"/>
      <c r="J112" s="4" t="n"/>
      <c r="K112" s="4" t="n"/>
      <c r="L112">
        <f>IF(OR(J112="",K112=""),"",J112*K112)</f>
        <v/>
      </c>
      <c r="M112" s="4" t="n"/>
      <c r="N112" s="4" t="n"/>
      <c r="O112" s="4" t="n"/>
      <c r="P112" s="4" t="n"/>
      <c r="Q112" s="4" t="n"/>
    </row>
    <row r="113">
      <c r="A113" s="21" t="inlineStr"/>
      <c r="B113" s="4" t="n"/>
      <c r="C113" s="4" t="n"/>
      <c r="D113" s="4" t="n"/>
      <c r="E113" s="4" t="n"/>
      <c r="F113" s="4" t="n"/>
      <c r="G113" s="4" t="n"/>
      <c r="H113" s="4" t="n"/>
      <c r="I113" s="4" t="n"/>
      <c r="J113" s="4" t="n"/>
      <c r="K113" s="4" t="n"/>
      <c r="L113">
        <f>IF(OR(J113="",K113=""),"",J113*K113)</f>
        <v/>
      </c>
      <c r="M113" s="4" t="n"/>
      <c r="N113" s="4" t="n"/>
      <c r="O113" s="4" t="n"/>
      <c r="P113" s="4" t="n"/>
      <c r="Q113" s="4" t="n"/>
    </row>
    <row r="114">
      <c r="A114" s="21" t="inlineStr"/>
      <c r="B114" s="4" t="n"/>
      <c r="C114" s="4" t="n"/>
      <c r="D114" s="4" t="n"/>
      <c r="E114" s="4" t="n"/>
      <c r="F114" s="4" t="n"/>
      <c r="G114" s="4" t="n"/>
      <c r="H114" s="4" t="n"/>
      <c r="I114" s="4" t="n"/>
      <c r="J114" s="4" t="n"/>
      <c r="K114" s="4" t="n"/>
      <c r="L114">
        <f>IF(OR(J114="",K114=""),"",J114*K114)</f>
        <v/>
      </c>
      <c r="M114" s="4" t="n"/>
      <c r="N114" s="4" t="n"/>
      <c r="O114" s="4" t="n"/>
      <c r="P114" s="4" t="n"/>
      <c r="Q114" s="4" t="n"/>
    </row>
    <row r="115">
      <c r="A115" s="21" t="inlineStr"/>
      <c r="B115" s="4" t="n"/>
      <c r="C115" s="4" t="n"/>
      <c r="D115" s="4" t="n"/>
      <c r="E115" s="4" t="n"/>
      <c r="F115" s="4" t="n"/>
      <c r="G115" s="4" t="n"/>
      <c r="H115" s="4" t="n"/>
      <c r="I115" s="4" t="n"/>
      <c r="J115" s="4" t="n"/>
      <c r="K115" s="4" t="n"/>
      <c r="L115">
        <f>IF(OR(J115="",K115=""),"",J115*K115)</f>
        <v/>
      </c>
      <c r="M115" s="4" t="n"/>
      <c r="N115" s="4" t="n"/>
      <c r="O115" s="4" t="n"/>
      <c r="P115" s="4" t="n"/>
      <c r="Q115" s="4" t="n"/>
    </row>
    <row r="116">
      <c r="A116" s="21" t="inlineStr"/>
      <c r="B116" s="4" t="n"/>
      <c r="C116" s="4" t="n"/>
      <c r="D116" s="4" t="n"/>
      <c r="E116" s="4" t="n"/>
      <c r="F116" s="4" t="n"/>
      <c r="G116" s="4" t="n"/>
      <c r="H116" s="4" t="n"/>
      <c r="I116" s="4" t="n"/>
      <c r="J116" s="4" t="n"/>
      <c r="K116" s="4" t="n"/>
      <c r="L116">
        <f>IF(OR(J116="",K116=""),"",J116*K116)</f>
        <v/>
      </c>
      <c r="M116" s="4" t="n"/>
      <c r="N116" s="4" t="n"/>
      <c r="O116" s="4" t="n"/>
      <c r="P116" s="4" t="n"/>
      <c r="Q116" s="4" t="n"/>
    </row>
    <row r="117">
      <c r="A117" s="21" t="inlineStr"/>
      <c r="B117" s="4" t="n"/>
      <c r="C117" s="4" t="n"/>
      <c r="D117" s="4" t="n"/>
      <c r="E117" s="4" t="n"/>
      <c r="F117" s="4" t="n"/>
      <c r="G117" s="4" t="n"/>
      <c r="H117" s="4" t="n"/>
      <c r="I117" s="4" t="n"/>
      <c r="J117" s="4" t="n"/>
      <c r="K117" s="4" t="n"/>
      <c r="L117">
        <f>IF(OR(J117="",K117=""),"",J117*K117)</f>
        <v/>
      </c>
      <c r="M117" s="4" t="n"/>
      <c r="N117" s="4" t="n"/>
      <c r="O117" s="4" t="n"/>
      <c r="P117" s="4" t="n"/>
      <c r="Q117" s="4" t="n"/>
    </row>
    <row r="118">
      <c r="A118" s="21" t="inlineStr"/>
      <c r="B118" s="4" t="n"/>
      <c r="C118" s="4" t="n"/>
      <c r="D118" s="4" t="n"/>
      <c r="E118" s="4" t="n"/>
      <c r="F118" s="4" t="n"/>
      <c r="G118" s="4" t="n"/>
      <c r="H118" s="4" t="n"/>
      <c r="I118" s="4" t="n"/>
      <c r="J118" s="4" t="n"/>
      <c r="K118" s="4" t="n"/>
      <c r="L118">
        <f>IF(OR(J118="",K118=""),"",J118*K118)</f>
        <v/>
      </c>
      <c r="M118" s="4" t="n"/>
      <c r="N118" s="4" t="n"/>
      <c r="O118" s="4" t="n"/>
      <c r="P118" s="4" t="n"/>
      <c r="Q118" s="4" t="n"/>
    </row>
    <row r="119">
      <c r="A119" s="21" t="inlineStr"/>
      <c r="B119" s="4" t="n"/>
      <c r="C119" s="4" t="n"/>
      <c r="D119" s="4" t="n"/>
      <c r="E119" s="4" t="n"/>
      <c r="F119" s="4" t="n"/>
      <c r="G119" s="4" t="n"/>
      <c r="H119" s="4" t="n"/>
      <c r="I119" s="4" t="n"/>
      <c r="J119" s="4" t="n"/>
      <c r="K119" s="4" t="n"/>
      <c r="L119">
        <f>IF(OR(J119="",K119=""),"",J119*K119)</f>
        <v/>
      </c>
      <c r="M119" s="4" t="n"/>
      <c r="N119" s="4" t="n"/>
      <c r="O119" s="4" t="n"/>
      <c r="P119" s="4" t="n"/>
      <c r="Q119" s="4" t="n"/>
    </row>
    <row r="120">
      <c r="A120" s="21" t="inlineStr"/>
      <c r="B120" s="4" t="n"/>
      <c r="C120" s="4" t="n"/>
      <c r="D120" s="4" t="n"/>
      <c r="E120" s="4" t="n"/>
      <c r="F120" s="4" t="n"/>
      <c r="G120" s="4" t="n"/>
      <c r="H120" s="4" t="n"/>
      <c r="I120" s="4" t="n"/>
      <c r="J120" s="4" t="n"/>
      <c r="K120" s="4" t="n"/>
      <c r="L120">
        <f>IF(OR(J120="",K120=""),"",J120*K120)</f>
        <v/>
      </c>
      <c r="M120" s="4" t="n"/>
      <c r="N120" s="4" t="n"/>
      <c r="O120" s="4" t="n"/>
      <c r="P120" s="4" t="n"/>
      <c r="Q120" s="4" t="n"/>
    </row>
  </sheetData>
  <mergeCells count="2">
    <mergeCell ref="A1:Q1"/>
    <mergeCell ref="D5:H9"/>
  </mergeCells>
  <dataValidations count="6">
    <dataValidation sqref="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showDropDown="0" showInputMessage="0" showErrorMessage="0" allowBlank="1" type="list">
      <formula1>"Identity,Authentication,Authorization,Privileged Access,Monitoring,Compliance"</formula1>
    </dataValidation>
    <dataValidation sqref="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showDropDown="0" showInputMessage="0" showErrorMessage="0" allowBlank="1" type="list">
      <formula1>"Fully Effective,Partially Effective,Not Effective,Not Implemented"</formula1>
    </dataValidation>
    <dataValidation sqref="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showDropDown="0" showInputMessage="0" showErrorMessage="0" allowBlank="1" type="list">
      <formula1>"Accept,Mitigate,Transfer,Avoid"</formula1>
    </dataValidation>
    <dataValidation sqref="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showDropDown="0" showInputMessage="0" showErrorMessage="0" allowBlank="1" type="list">
      <formula1>"Open,In Treatment,Monitoring,Closed"</formula1>
    </dataValidation>
    <dataValidation sqref="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showDropDown="0" showInputMessage="0" showErrorMessage="0" allowBlank="1" type="list">
      <formula1>"1,2,3,4,5"</formula1>
    </dataValidation>
    <dataValidation sqref="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6"/>
  <sheetViews>
    <sheetView workbookViewId="0">
      <pane ySplit="36" topLeftCell="A37" activePane="bottomLeft" state="frozen"/>
      <selection pane="bottomLeft" activeCell="A1" sqref="A1"/>
    </sheetView>
  </sheetViews>
  <sheetFormatPr baseColWidth="8" defaultRowHeight="15"/>
  <cols>
    <col width="12" customWidth="1" min="1" max="1"/>
    <col width="14" customWidth="1" min="2" max="2"/>
    <col width="40" customWidth="1" min="3" max="3"/>
    <col width="12" customWidth="1" min="4" max="4"/>
    <col width="18" customWidth="1" min="5" max="5"/>
    <col width="18" customWidth="1" min="6" max="6"/>
    <col width="18" customWidth="1" min="7" max="7"/>
    <col width="14" customWidth="1" min="8" max="8"/>
    <col width="14" customWidth="1" min="9" max="9"/>
    <col width="14" customWidth="1" min="10" max="10"/>
    <col width="16" customWidth="1" min="11" max="11"/>
    <col width="12" customWidth="1" min="12" max="12"/>
    <col width="20" customWidth="1" min="13" max="13"/>
    <col width="25" customWidth="1" min="14" max="14"/>
    <col width="20" customWidth="1" min="15" max="15"/>
    <col width="20" customWidth="1" min="16" max="16"/>
    <col width="15" customWidth="1" min="17" max="17"/>
    <col width="14" customWidth="1" min="18" max="18"/>
  </cols>
  <sheetData>
    <row r="1" ht="45" customHeight="1">
      <c r="A1" s="1" t="inlineStr">
        <is>
          <t>REMEDIATION ROADMAP - AUTHENTICATION &amp; ACCESS CONTROLS
Prioritized action plan for achieving compliance</t>
        </is>
      </c>
    </row>
    <row r="3">
      <c r="A3" s="10" t="inlineStr">
        <is>
          <t>REMEDIATION PROGRESS</t>
        </is>
      </c>
    </row>
    <row r="4">
      <c r="A4" s="3" t="inlineStr">
        <is>
          <t>Total Remediation Items:</t>
        </is>
      </c>
      <c r="B4" s="18">
        <f>COUNTA(A37:A236)-COUNTBLANK(A37:A236)</f>
        <v/>
      </c>
      <c r="D4" s="3" t="inlineStr">
        <is>
          <t>BY PRIORITY</t>
        </is>
      </c>
      <c r="G4" s="3" t="inlineStr">
        <is>
          <t>BUDGET SUMMARY</t>
        </is>
      </c>
    </row>
    <row r="5">
      <c r="A5" s="3" t="inlineStr">
        <is>
          <t>Completed:</t>
        </is>
      </c>
      <c r="B5" s="18">
        <f>COUNTIF(H37:H236,"Completed")</f>
        <v/>
      </c>
      <c r="D5" t="inlineStr">
        <is>
          <t>Critical:</t>
        </is>
      </c>
      <c r="E5" s="5">
        <f>COUNTIF(D37:D236,"Critical")</f>
        <v/>
      </c>
      <c r="G5" t="inlineStr">
        <is>
          <t>Total Estimated:</t>
        </is>
      </c>
      <c r="H5" s="23">
        <f>SUM(R37:R236)</f>
        <v/>
      </c>
    </row>
    <row r="6">
      <c r="A6" s="3" t="inlineStr">
        <is>
          <t>In Progress:</t>
        </is>
      </c>
      <c r="B6" s="18">
        <f>COUNTIF(H37:H236,"In Progress")</f>
        <v/>
      </c>
      <c r="D6" t="inlineStr">
        <is>
          <t>High:</t>
        </is>
      </c>
      <c r="E6" s="5">
        <f>COUNTIF(D37:D236,"High")</f>
        <v/>
      </c>
      <c r="G6" t="inlineStr">
        <is>
          <t>Approved Budget:</t>
        </is>
      </c>
      <c r="H6" s="24" t="n"/>
    </row>
    <row r="7">
      <c r="A7" s="3" t="inlineStr">
        <is>
          <t>Not Started:</t>
        </is>
      </c>
      <c r="B7" s="18">
        <f>COUNTIF(H37:H236,"Not Started")</f>
        <v/>
      </c>
      <c r="D7" t="inlineStr">
        <is>
          <t>Medium:</t>
        </is>
      </c>
      <c r="E7" s="5">
        <f>COUNTIF(D37:D236,"Medium")</f>
        <v/>
      </c>
      <c r="G7" t="inlineStr">
        <is>
          <t>Budget Gap:</t>
        </is>
      </c>
      <c r="H7" s="25">
        <f>H6-H5</f>
        <v/>
      </c>
    </row>
    <row r="8">
      <c r="A8" s="3" t="inlineStr">
        <is>
          <t>Blocked:</t>
        </is>
      </c>
      <c r="B8" s="18">
        <f>COUNTIF(H37:H236,"Blocked")</f>
        <v/>
      </c>
      <c r="D8" t="inlineStr">
        <is>
          <t>Low:</t>
        </is>
      </c>
      <c r="E8" s="5">
        <f>COUNTIF(D37:D236,"Low")</f>
        <v/>
      </c>
    </row>
    <row r="9">
      <c r="A9" s="3" t="inlineStr">
        <is>
          <t>Completion Rate:</t>
        </is>
      </c>
      <c r="B9" s="18">
        <f>IF(COUNTA(A37:A236)-COUNTBLANK(A37:A236)=0,"0%",ROUND(COUNTIF(H37:H236,"Completed")/(COUNTA(A37:A236)-COUNTBLANK(A37:A236))*100,1)&amp;"%")</f>
        <v/>
      </c>
    </row>
    <row r="36">
      <c r="A36" s="7" t="inlineStr">
        <is>
          <t>Item ID</t>
        </is>
      </c>
      <c r="B36" s="7" t="inlineStr">
        <is>
          <t>Gap Reference</t>
        </is>
      </c>
      <c r="C36" s="7" t="inlineStr">
        <is>
          <t>Description</t>
        </is>
      </c>
      <c r="D36" s="7" t="inlineStr">
        <is>
          <t>Priority</t>
        </is>
      </c>
      <c r="E36" s="7" t="inlineStr">
        <is>
          <t>Control Area</t>
        </is>
      </c>
      <c r="F36" s="7" t="inlineStr">
        <is>
          <t>Owner</t>
        </is>
      </c>
      <c r="G36" s="7" t="inlineStr">
        <is>
          <t>Accountable</t>
        </is>
      </c>
      <c r="H36" s="7" t="inlineStr">
        <is>
          <t>Status</t>
        </is>
      </c>
      <c r="I36" s="7" t="inlineStr">
        <is>
          <t>Start Date</t>
        </is>
      </c>
      <c r="J36" s="7" t="inlineStr">
        <is>
          <t>Target Date</t>
        </is>
      </c>
      <c r="K36" s="7" t="inlineStr">
        <is>
          <t>Actual Completion</t>
        </is>
      </c>
      <c r="L36" s="7" t="inlineStr">
        <is>
          <t>% Complete</t>
        </is>
      </c>
      <c r="M36" s="7" t="inlineStr">
        <is>
          <t>Dependencies</t>
        </is>
      </c>
      <c r="N36" s="7" t="inlineStr">
        <is>
          <t>Milestones</t>
        </is>
      </c>
      <c r="O36" s="7" t="inlineStr">
        <is>
          <t>Resources Required</t>
        </is>
      </c>
      <c r="P36" s="7" t="inlineStr">
        <is>
          <t>Risk if Delayed</t>
        </is>
      </c>
      <c r="Q36" s="7" t="inlineStr">
        <is>
          <t>Evidence Ref</t>
        </is>
      </c>
      <c r="R36" s="7" t="inlineStr">
        <is>
          <t>Estimated Cost</t>
        </is>
      </c>
    </row>
    <row r="37">
      <c r="A37" s="19" t="inlineStr">
        <is>
          <t>REM-001</t>
        </is>
      </c>
      <c r="B37" s="4" t="n"/>
      <c r="C37" s="4" t="n"/>
      <c r="D37" s="4" t="n"/>
      <c r="E37" s="4" t="n"/>
      <c r="F37" s="4" t="n"/>
      <c r="G37" s="4" t="n"/>
      <c r="H37" s="4" t="n"/>
      <c r="I37" s="4" t="n"/>
      <c r="J37" s="4" t="n"/>
      <c r="K37" s="4" t="n"/>
      <c r="L37" s="4" t="n"/>
      <c r="M37" s="4" t="n"/>
      <c r="N37" s="4" t="n"/>
      <c r="O37" s="4" t="n"/>
      <c r="P37" s="4" t="n"/>
      <c r="Q37" s="4" t="n"/>
      <c r="R37" s="4" t="n"/>
    </row>
    <row r="38">
      <c r="A38" s="19" t="inlineStr">
        <is>
          <t>REM-002</t>
        </is>
      </c>
      <c r="B38" s="4" t="n"/>
      <c r="C38" s="4" t="n"/>
      <c r="D38" s="4" t="n"/>
      <c r="E38" s="4" t="n"/>
      <c r="F38" s="4" t="n"/>
      <c r="G38" s="4" t="n"/>
      <c r="H38" s="4" t="n"/>
      <c r="I38" s="4" t="n"/>
      <c r="J38" s="4" t="n"/>
      <c r="K38" s="4" t="n"/>
      <c r="L38" s="4" t="n"/>
      <c r="M38" s="4" t="n"/>
      <c r="N38" s="4" t="n"/>
      <c r="O38" s="4" t="n"/>
      <c r="P38" s="4" t="n"/>
      <c r="Q38" s="4" t="n"/>
      <c r="R38" s="4" t="n"/>
    </row>
    <row r="39">
      <c r="A39" s="19" t="inlineStr">
        <is>
          <t>REM-003</t>
        </is>
      </c>
      <c r="B39" s="4" t="n"/>
      <c r="C39" s="4" t="n"/>
      <c r="D39" s="4" t="n"/>
      <c r="E39" s="4" t="n"/>
      <c r="F39" s="4" t="n"/>
      <c r="G39" s="4" t="n"/>
      <c r="H39" s="4" t="n"/>
      <c r="I39" s="4" t="n"/>
      <c r="J39" s="4" t="n"/>
      <c r="K39" s="4" t="n"/>
      <c r="L39" s="4" t="n"/>
      <c r="M39" s="4" t="n"/>
      <c r="N39" s="4" t="n"/>
      <c r="O39" s="4" t="n"/>
      <c r="P39" s="4" t="n"/>
      <c r="Q39" s="4" t="n"/>
      <c r="R39" s="4" t="n"/>
    </row>
    <row r="40">
      <c r="A40" s="19" t="inlineStr">
        <is>
          <t>REM-004</t>
        </is>
      </c>
      <c r="B40" s="4" t="n"/>
      <c r="C40" s="4" t="n"/>
      <c r="D40" s="4" t="n"/>
      <c r="E40" s="4" t="n"/>
      <c r="F40" s="4" t="n"/>
      <c r="G40" s="4" t="n"/>
      <c r="H40" s="4" t="n"/>
      <c r="I40" s="4" t="n"/>
      <c r="J40" s="4" t="n"/>
      <c r="K40" s="4" t="n"/>
      <c r="L40" s="4" t="n"/>
      <c r="M40" s="4" t="n"/>
      <c r="N40" s="4" t="n"/>
      <c r="O40" s="4" t="n"/>
      <c r="P40" s="4" t="n"/>
      <c r="Q40" s="4" t="n"/>
      <c r="R40" s="4" t="n"/>
    </row>
    <row r="41">
      <c r="A41" s="19" t="inlineStr">
        <is>
          <t>REM-005</t>
        </is>
      </c>
      <c r="B41" s="4" t="n"/>
      <c r="C41" s="4" t="n"/>
      <c r="D41" s="4" t="n"/>
      <c r="E41" s="4" t="n"/>
      <c r="F41" s="4" t="n"/>
      <c r="G41" s="4" t="n"/>
      <c r="H41" s="4" t="n"/>
      <c r="I41" s="4" t="n"/>
      <c r="J41" s="4" t="n"/>
      <c r="K41" s="4" t="n"/>
      <c r="L41" s="4" t="n"/>
      <c r="M41" s="4" t="n"/>
      <c r="N41" s="4" t="n"/>
      <c r="O41" s="4" t="n"/>
      <c r="P41" s="4" t="n"/>
      <c r="Q41" s="4" t="n"/>
      <c r="R41" s="4" t="n"/>
    </row>
    <row r="42">
      <c r="A42" s="21" t="inlineStr"/>
      <c r="B42" s="4" t="n"/>
      <c r="C42" s="4" t="n"/>
      <c r="D42" s="4" t="n"/>
      <c r="E42" s="4" t="n"/>
      <c r="F42" s="4" t="n"/>
      <c r="G42" s="4" t="n"/>
      <c r="H42" s="4" t="n"/>
      <c r="I42" s="4" t="n"/>
      <c r="J42" s="4" t="n"/>
      <c r="K42" s="4" t="n"/>
      <c r="L42" s="4" t="n"/>
      <c r="M42" s="4" t="n"/>
      <c r="N42" s="4" t="n"/>
      <c r="O42" s="4" t="n"/>
      <c r="P42" s="4" t="n"/>
      <c r="Q42" s="4" t="n"/>
      <c r="R42" s="4" t="n"/>
    </row>
    <row r="43">
      <c r="A43" s="21" t="inlineStr"/>
      <c r="B43" s="4" t="n"/>
      <c r="C43" s="4" t="n"/>
      <c r="D43" s="4" t="n"/>
      <c r="E43" s="4" t="n"/>
      <c r="F43" s="4" t="n"/>
      <c r="G43" s="4" t="n"/>
      <c r="H43" s="4" t="n"/>
      <c r="I43" s="4" t="n"/>
      <c r="J43" s="4" t="n"/>
      <c r="K43" s="4" t="n"/>
      <c r="L43" s="4" t="n"/>
      <c r="M43" s="4" t="n"/>
      <c r="N43" s="4" t="n"/>
      <c r="O43" s="4" t="n"/>
      <c r="P43" s="4" t="n"/>
      <c r="Q43" s="4" t="n"/>
      <c r="R43" s="4" t="n"/>
    </row>
    <row r="44">
      <c r="A44" s="21" t="inlineStr"/>
      <c r="B44" s="4" t="n"/>
      <c r="C44" s="4" t="n"/>
      <c r="D44" s="4" t="n"/>
      <c r="E44" s="4" t="n"/>
      <c r="F44" s="4" t="n"/>
      <c r="G44" s="4" t="n"/>
      <c r="H44" s="4" t="n"/>
      <c r="I44" s="4" t="n"/>
      <c r="J44" s="4" t="n"/>
      <c r="K44" s="4" t="n"/>
      <c r="L44" s="4" t="n"/>
      <c r="M44" s="4" t="n"/>
      <c r="N44" s="4" t="n"/>
      <c r="O44" s="4" t="n"/>
      <c r="P44" s="4" t="n"/>
      <c r="Q44" s="4" t="n"/>
      <c r="R44" s="4" t="n"/>
    </row>
    <row r="45">
      <c r="A45" s="21" t="inlineStr"/>
      <c r="B45" s="4" t="n"/>
      <c r="C45" s="4" t="n"/>
      <c r="D45" s="4" t="n"/>
      <c r="E45" s="4" t="n"/>
      <c r="F45" s="4" t="n"/>
      <c r="G45" s="4" t="n"/>
      <c r="H45" s="4" t="n"/>
      <c r="I45" s="4" t="n"/>
      <c r="J45" s="4" t="n"/>
      <c r="K45" s="4" t="n"/>
      <c r="L45" s="4" t="n"/>
      <c r="M45" s="4" t="n"/>
      <c r="N45" s="4" t="n"/>
      <c r="O45" s="4" t="n"/>
      <c r="P45" s="4" t="n"/>
      <c r="Q45" s="4" t="n"/>
      <c r="R45" s="4" t="n"/>
    </row>
    <row r="46">
      <c r="A46" s="21" t="inlineStr"/>
      <c r="B46" s="4" t="n"/>
      <c r="C46" s="4" t="n"/>
      <c r="D46" s="4" t="n"/>
      <c r="E46" s="4" t="n"/>
      <c r="F46" s="4" t="n"/>
      <c r="G46" s="4" t="n"/>
      <c r="H46" s="4" t="n"/>
      <c r="I46" s="4" t="n"/>
      <c r="J46" s="4" t="n"/>
      <c r="K46" s="4" t="n"/>
      <c r="L46" s="4" t="n"/>
      <c r="M46" s="4" t="n"/>
      <c r="N46" s="4" t="n"/>
      <c r="O46" s="4" t="n"/>
      <c r="P46" s="4" t="n"/>
      <c r="Q46" s="4" t="n"/>
      <c r="R46" s="4" t="n"/>
    </row>
    <row r="47">
      <c r="A47" s="21" t="inlineStr"/>
      <c r="B47" s="4" t="n"/>
      <c r="C47" s="4" t="n"/>
      <c r="D47" s="4" t="n"/>
      <c r="E47" s="4" t="n"/>
      <c r="F47" s="4" t="n"/>
      <c r="G47" s="4" t="n"/>
      <c r="H47" s="4" t="n"/>
      <c r="I47" s="4" t="n"/>
      <c r="J47" s="4" t="n"/>
      <c r="K47" s="4" t="n"/>
      <c r="L47" s="4" t="n"/>
      <c r="M47" s="4" t="n"/>
      <c r="N47" s="4" t="n"/>
      <c r="O47" s="4" t="n"/>
      <c r="P47" s="4" t="n"/>
      <c r="Q47" s="4" t="n"/>
      <c r="R47" s="4" t="n"/>
    </row>
    <row r="48">
      <c r="A48" s="21" t="inlineStr"/>
      <c r="B48" s="4" t="n"/>
      <c r="C48" s="4" t="n"/>
      <c r="D48" s="4" t="n"/>
      <c r="E48" s="4" t="n"/>
      <c r="F48" s="4" t="n"/>
      <c r="G48" s="4" t="n"/>
      <c r="H48" s="4" t="n"/>
      <c r="I48" s="4" t="n"/>
      <c r="J48" s="4" t="n"/>
      <c r="K48" s="4" t="n"/>
      <c r="L48" s="4" t="n"/>
      <c r="M48" s="4" t="n"/>
      <c r="N48" s="4" t="n"/>
      <c r="O48" s="4" t="n"/>
      <c r="P48" s="4" t="n"/>
      <c r="Q48" s="4" t="n"/>
      <c r="R48" s="4" t="n"/>
    </row>
    <row r="49">
      <c r="A49" s="21" t="inlineStr"/>
      <c r="B49" s="4" t="n"/>
      <c r="C49" s="4" t="n"/>
      <c r="D49" s="4" t="n"/>
      <c r="E49" s="4" t="n"/>
      <c r="F49" s="4" t="n"/>
      <c r="G49" s="4" t="n"/>
      <c r="H49" s="4" t="n"/>
      <c r="I49" s="4" t="n"/>
      <c r="J49" s="4" t="n"/>
      <c r="K49" s="4" t="n"/>
      <c r="L49" s="4" t="n"/>
      <c r="M49" s="4" t="n"/>
      <c r="N49" s="4" t="n"/>
      <c r="O49" s="4" t="n"/>
      <c r="P49" s="4" t="n"/>
      <c r="Q49" s="4" t="n"/>
      <c r="R49" s="4" t="n"/>
    </row>
    <row r="50">
      <c r="A50" s="21" t="inlineStr"/>
      <c r="B50" s="4" t="n"/>
      <c r="C50" s="4" t="n"/>
      <c r="D50" s="4" t="n"/>
      <c r="E50" s="4" t="n"/>
      <c r="F50" s="4" t="n"/>
      <c r="G50" s="4" t="n"/>
      <c r="H50" s="4" t="n"/>
      <c r="I50" s="4" t="n"/>
      <c r="J50" s="4" t="n"/>
      <c r="K50" s="4" t="n"/>
      <c r="L50" s="4" t="n"/>
      <c r="M50" s="4" t="n"/>
      <c r="N50" s="4" t="n"/>
      <c r="O50" s="4" t="n"/>
      <c r="P50" s="4" t="n"/>
      <c r="Q50" s="4" t="n"/>
      <c r="R50" s="4" t="n"/>
    </row>
    <row r="51">
      <c r="A51" s="21" t="inlineStr"/>
      <c r="B51" s="4" t="n"/>
      <c r="C51" s="4" t="n"/>
      <c r="D51" s="4" t="n"/>
      <c r="E51" s="4" t="n"/>
      <c r="F51" s="4" t="n"/>
      <c r="G51" s="4" t="n"/>
      <c r="H51" s="4" t="n"/>
      <c r="I51" s="4" t="n"/>
      <c r="J51" s="4" t="n"/>
      <c r="K51" s="4" t="n"/>
      <c r="L51" s="4" t="n"/>
      <c r="M51" s="4" t="n"/>
      <c r="N51" s="4" t="n"/>
      <c r="O51" s="4" t="n"/>
      <c r="P51" s="4" t="n"/>
      <c r="Q51" s="4" t="n"/>
      <c r="R51" s="4" t="n"/>
    </row>
    <row r="52">
      <c r="A52" s="21" t="inlineStr"/>
      <c r="B52" s="4" t="n"/>
      <c r="C52" s="4" t="n"/>
      <c r="D52" s="4" t="n"/>
      <c r="E52" s="4" t="n"/>
      <c r="F52" s="4" t="n"/>
      <c r="G52" s="4" t="n"/>
      <c r="H52" s="4" t="n"/>
      <c r="I52" s="4" t="n"/>
      <c r="J52" s="4" t="n"/>
      <c r="K52" s="4" t="n"/>
      <c r="L52" s="4" t="n"/>
      <c r="M52" s="4" t="n"/>
      <c r="N52" s="4" t="n"/>
      <c r="O52" s="4" t="n"/>
      <c r="P52" s="4" t="n"/>
      <c r="Q52" s="4" t="n"/>
      <c r="R52" s="4" t="n"/>
    </row>
    <row r="53">
      <c r="A53" s="21" t="inlineStr"/>
      <c r="B53" s="4" t="n"/>
      <c r="C53" s="4" t="n"/>
      <c r="D53" s="4" t="n"/>
      <c r="E53" s="4" t="n"/>
      <c r="F53" s="4" t="n"/>
      <c r="G53" s="4" t="n"/>
      <c r="H53" s="4" t="n"/>
      <c r="I53" s="4" t="n"/>
      <c r="J53" s="4" t="n"/>
      <c r="K53" s="4" t="n"/>
      <c r="L53" s="4" t="n"/>
      <c r="M53" s="4" t="n"/>
      <c r="N53" s="4" t="n"/>
      <c r="O53" s="4" t="n"/>
      <c r="P53" s="4" t="n"/>
      <c r="Q53" s="4" t="n"/>
      <c r="R53" s="4" t="n"/>
    </row>
    <row r="54">
      <c r="A54" s="21" t="inlineStr"/>
      <c r="B54" s="4" t="n"/>
      <c r="C54" s="4" t="n"/>
      <c r="D54" s="4" t="n"/>
      <c r="E54" s="4" t="n"/>
      <c r="F54" s="4" t="n"/>
      <c r="G54" s="4" t="n"/>
      <c r="H54" s="4" t="n"/>
      <c r="I54" s="4" t="n"/>
      <c r="J54" s="4" t="n"/>
      <c r="K54" s="4" t="n"/>
      <c r="L54" s="4" t="n"/>
      <c r="M54" s="4" t="n"/>
      <c r="N54" s="4" t="n"/>
      <c r="O54" s="4" t="n"/>
      <c r="P54" s="4" t="n"/>
      <c r="Q54" s="4" t="n"/>
      <c r="R54" s="4" t="n"/>
    </row>
    <row r="55">
      <c r="A55" s="21" t="inlineStr"/>
      <c r="B55" s="4" t="n"/>
      <c r="C55" s="4" t="n"/>
      <c r="D55" s="4" t="n"/>
      <c r="E55" s="4" t="n"/>
      <c r="F55" s="4" t="n"/>
      <c r="G55" s="4" t="n"/>
      <c r="H55" s="4" t="n"/>
      <c r="I55" s="4" t="n"/>
      <c r="J55" s="4" t="n"/>
      <c r="K55" s="4" t="n"/>
      <c r="L55" s="4" t="n"/>
      <c r="M55" s="4" t="n"/>
      <c r="N55" s="4" t="n"/>
      <c r="O55" s="4" t="n"/>
      <c r="P55" s="4" t="n"/>
      <c r="Q55" s="4" t="n"/>
      <c r="R55" s="4" t="n"/>
    </row>
    <row r="56">
      <c r="A56" s="21" t="inlineStr"/>
      <c r="B56" s="4" t="n"/>
      <c r="C56" s="4" t="n"/>
      <c r="D56" s="4" t="n"/>
      <c r="E56" s="4" t="n"/>
      <c r="F56" s="4" t="n"/>
      <c r="G56" s="4" t="n"/>
      <c r="H56" s="4" t="n"/>
      <c r="I56" s="4" t="n"/>
      <c r="J56" s="4" t="n"/>
      <c r="K56" s="4" t="n"/>
      <c r="L56" s="4" t="n"/>
      <c r="M56" s="4" t="n"/>
      <c r="N56" s="4" t="n"/>
      <c r="O56" s="4" t="n"/>
      <c r="P56" s="4" t="n"/>
      <c r="Q56" s="4" t="n"/>
      <c r="R56" s="4" t="n"/>
    </row>
    <row r="57">
      <c r="A57" s="21" t="inlineStr"/>
      <c r="B57" s="4" t="n"/>
      <c r="C57" s="4" t="n"/>
      <c r="D57" s="4" t="n"/>
      <c r="E57" s="4" t="n"/>
      <c r="F57" s="4" t="n"/>
      <c r="G57" s="4" t="n"/>
      <c r="H57" s="4" t="n"/>
      <c r="I57" s="4" t="n"/>
      <c r="J57" s="4" t="n"/>
      <c r="K57" s="4" t="n"/>
      <c r="L57" s="4" t="n"/>
      <c r="M57" s="4" t="n"/>
      <c r="N57" s="4" t="n"/>
      <c r="O57" s="4" t="n"/>
      <c r="P57" s="4" t="n"/>
      <c r="Q57" s="4" t="n"/>
      <c r="R57" s="4" t="n"/>
    </row>
    <row r="58">
      <c r="A58" s="21" t="inlineStr"/>
      <c r="B58" s="4" t="n"/>
      <c r="C58" s="4" t="n"/>
      <c r="D58" s="4" t="n"/>
      <c r="E58" s="4" t="n"/>
      <c r="F58" s="4" t="n"/>
      <c r="G58" s="4" t="n"/>
      <c r="H58" s="4" t="n"/>
      <c r="I58" s="4" t="n"/>
      <c r="J58" s="4" t="n"/>
      <c r="K58" s="4" t="n"/>
      <c r="L58" s="4" t="n"/>
      <c r="M58" s="4" t="n"/>
      <c r="N58" s="4" t="n"/>
      <c r="O58" s="4" t="n"/>
      <c r="P58" s="4" t="n"/>
      <c r="Q58" s="4" t="n"/>
      <c r="R58" s="4" t="n"/>
    </row>
    <row r="59">
      <c r="A59" s="21" t="inlineStr"/>
      <c r="B59" s="4" t="n"/>
      <c r="C59" s="4" t="n"/>
      <c r="D59" s="4" t="n"/>
      <c r="E59" s="4" t="n"/>
      <c r="F59" s="4" t="n"/>
      <c r="G59" s="4" t="n"/>
      <c r="H59" s="4" t="n"/>
      <c r="I59" s="4" t="n"/>
      <c r="J59" s="4" t="n"/>
      <c r="K59" s="4" t="n"/>
      <c r="L59" s="4" t="n"/>
      <c r="M59" s="4" t="n"/>
      <c r="N59" s="4" t="n"/>
      <c r="O59" s="4" t="n"/>
      <c r="P59" s="4" t="n"/>
      <c r="Q59" s="4" t="n"/>
      <c r="R59" s="4" t="n"/>
    </row>
    <row r="60">
      <c r="A60" s="21" t="inlineStr"/>
      <c r="B60" s="4" t="n"/>
      <c r="C60" s="4" t="n"/>
      <c r="D60" s="4" t="n"/>
      <c r="E60" s="4" t="n"/>
      <c r="F60" s="4" t="n"/>
      <c r="G60" s="4" t="n"/>
      <c r="H60" s="4" t="n"/>
      <c r="I60" s="4" t="n"/>
      <c r="J60" s="4" t="n"/>
      <c r="K60" s="4" t="n"/>
      <c r="L60" s="4" t="n"/>
      <c r="M60" s="4" t="n"/>
      <c r="N60" s="4" t="n"/>
      <c r="O60" s="4" t="n"/>
      <c r="P60" s="4" t="n"/>
      <c r="Q60" s="4" t="n"/>
      <c r="R60" s="4" t="n"/>
    </row>
    <row r="61">
      <c r="A61" s="21" t="inlineStr"/>
      <c r="B61" s="4" t="n"/>
      <c r="C61" s="4" t="n"/>
      <c r="D61" s="4" t="n"/>
      <c r="E61" s="4" t="n"/>
      <c r="F61" s="4" t="n"/>
      <c r="G61" s="4" t="n"/>
      <c r="H61" s="4" t="n"/>
      <c r="I61" s="4" t="n"/>
      <c r="J61" s="4" t="n"/>
      <c r="K61" s="4" t="n"/>
      <c r="L61" s="4" t="n"/>
      <c r="M61" s="4" t="n"/>
      <c r="N61" s="4" t="n"/>
      <c r="O61" s="4" t="n"/>
      <c r="P61" s="4" t="n"/>
      <c r="Q61" s="4" t="n"/>
      <c r="R61" s="4" t="n"/>
    </row>
    <row r="62">
      <c r="A62" s="21" t="inlineStr"/>
      <c r="B62" s="4" t="n"/>
      <c r="C62" s="4" t="n"/>
      <c r="D62" s="4" t="n"/>
      <c r="E62" s="4" t="n"/>
      <c r="F62" s="4" t="n"/>
      <c r="G62" s="4" t="n"/>
      <c r="H62" s="4" t="n"/>
      <c r="I62" s="4" t="n"/>
      <c r="J62" s="4" t="n"/>
      <c r="K62" s="4" t="n"/>
      <c r="L62" s="4" t="n"/>
      <c r="M62" s="4" t="n"/>
      <c r="N62" s="4" t="n"/>
      <c r="O62" s="4" t="n"/>
      <c r="P62" s="4" t="n"/>
      <c r="Q62" s="4" t="n"/>
      <c r="R62" s="4" t="n"/>
    </row>
    <row r="63">
      <c r="A63" s="21" t="inlineStr"/>
      <c r="B63" s="4" t="n"/>
      <c r="C63" s="4" t="n"/>
      <c r="D63" s="4" t="n"/>
      <c r="E63" s="4" t="n"/>
      <c r="F63" s="4" t="n"/>
      <c r="G63" s="4" t="n"/>
      <c r="H63" s="4" t="n"/>
      <c r="I63" s="4" t="n"/>
      <c r="J63" s="4" t="n"/>
      <c r="K63" s="4" t="n"/>
      <c r="L63" s="4" t="n"/>
      <c r="M63" s="4" t="n"/>
      <c r="N63" s="4" t="n"/>
      <c r="O63" s="4" t="n"/>
      <c r="P63" s="4" t="n"/>
      <c r="Q63" s="4" t="n"/>
      <c r="R63" s="4" t="n"/>
    </row>
    <row r="64">
      <c r="A64" s="21" t="inlineStr"/>
      <c r="B64" s="4" t="n"/>
      <c r="C64" s="4" t="n"/>
      <c r="D64" s="4" t="n"/>
      <c r="E64" s="4" t="n"/>
      <c r="F64" s="4" t="n"/>
      <c r="G64" s="4" t="n"/>
      <c r="H64" s="4" t="n"/>
      <c r="I64" s="4" t="n"/>
      <c r="J64" s="4" t="n"/>
      <c r="K64" s="4" t="n"/>
      <c r="L64" s="4" t="n"/>
      <c r="M64" s="4" t="n"/>
      <c r="N64" s="4" t="n"/>
      <c r="O64" s="4" t="n"/>
      <c r="P64" s="4" t="n"/>
      <c r="Q64" s="4" t="n"/>
      <c r="R64" s="4" t="n"/>
    </row>
    <row r="65">
      <c r="A65" s="21" t="inlineStr"/>
      <c r="B65" s="4" t="n"/>
      <c r="C65" s="4" t="n"/>
      <c r="D65" s="4" t="n"/>
      <c r="E65" s="4" t="n"/>
      <c r="F65" s="4" t="n"/>
      <c r="G65" s="4" t="n"/>
      <c r="H65" s="4" t="n"/>
      <c r="I65" s="4" t="n"/>
      <c r="J65" s="4" t="n"/>
      <c r="K65" s="4" t="n"/>
      <c r="L65" s="4" t="n"/>
      <c r="M65" s="4" t="n"/>
      <c r="N65" s="4" t="n"/>
      <c r="O65" s="4" t="n"/>
      <c r="P65" s="4" t="n"/>
      <c r="Q65" s="4" t="n"/>
      <c r="R65" s="4" t="n"/>
    </row>
    <row r="66">
      <c r="A66" s="21" t="inlineStr"/>
      <c r="B66" s="4" t="n"/>
      <c r="C66" s="4" t="n"/>
      <c r="D66" s="4" t="n"/>
      <c r="E66" s="4" t="n"/>
      <c r="F66" s="4" t="n"/>
      <c r="G66" s="4" t="n"/>
      <c r="H66" s="4" t="n"/>
      <c r="I66" s="4" t="n"/>
      <c r="J66" s="4" t="n"/>
      <c r="K66" s="4" t="n"/>
      <c r="L66" s="4" t="n"/>
      <c r="M66" s="4" t="n"/>
      <c r="N66" s="4" t="n"/>
      <c r="O66" s="4" t="n"/>
      <c r="P66" s="4" t="n"/>
      <c r="Q66" s="4" t="n"/>
      <c r="R66" s="4" t="n"/>
    </row>
    <row r="67">
      <c r="A67" s="21" t="inlineStr"/>
      <c r="B67" s="4" t="n"/>
      <c r="C67" s="4" t="n"/>
      <c r="D67" s="4" t="n"/>
      <c r="E67" s="4" t="n"/>
      <c r="F67" s="4" t="n"/>
      <c r="G67" s="4" t="n"/>
      <c r="H67" s="4" t="n"/>
      <c r="I67" s="4" t="n"/>
      <c r="J67" s="4" t="n"/>
      <c r="K67" s="4" t="n"/>
      <c r="L67" s="4" t="n"/>
      <c r="M67" s="4" t="n"/>
      <c r="N67" s="4" t="n"/>
      <c r="O67" s="4" t="n"/>
      <c r="P67" s="4" t="n"/>
      <c r="Q67" s="4" t="n"/>
      <c r="R67" s="4" t="n"/>
    </row>
    <row r="68">
      <c r="A68" s="21" t="inlineStr"/>
      <c r="B68" s="4" t="n"/>
      <c r="C68" s="4" t="n"/>
      <c r="D68" s="4" t="n"/>
      <c r="E68" s="4" t="n"/>
      <c r="F68" s="4" t="n"/>
      <c r="G68" s="4" t="n"/>
      <c r="H68" s="4" t="n"/>
      <c r="I68" s="4" t="n"/>
      <c r="J68" s="4" t="n"/>
      <c r="K68" s="4" t="n"/>
      <c r="L68" s="4" t="n"/>
      <c r="M68" s="4" t="n"/>
      <c r="N68" s="4" t="n"/>
      <c r="O68" s="4" t="n"/>
      <c r="P68" s="4" t="n"/>
      <c r="Q68" s="4" t="n"/>
      <c r="R68" s="4" t="n"/>
    </row>
    <row r="69">
      <c r="A69" s="21" t="inlineStr"/>
      <c r="B69" s="4" t="n"/>
      <c r="C69" s="4" t="n"/>
      <c r="D69" s="4" t="n"/>
      <c r="E69" s="4" t="n"/>
      <c r="F69" s="4" t="n"/>
      <c r="G69" s="4" t="n"/>
      <c r="H69" s="4" t="n"/>
      <c r="I69" s="4" t="n"/>
      <c r="J69" s="4" t="n"/>
      <c r="K69" s="4" t="n"/>
      <c r="L69" s="4" t="n"/>
      <c r="M69" s="4" t="n"/>
      <c r="N69" s="4" t="n"/>
      <c r="O69" s="4" t="n"/>
      <c r="P69" s="4" t="n"/>
      <c r="Q69" s="4" t="n"/>
      <c r="R69" s="4" t="n"/>
    </row>
    <row r="70">
      <c r="A70" s="21" t="inlineStr"/>
      <c r="B70" s="4" t="n"/>
      <c r="C70" s="4" t="n"/>
      <c r="D70" s="4" t="n"/>
      <c r="E70" s="4" t="n"/>
      <c r="F70" s="4" t="n"/>
      <c r="G70" s="4" t="n"/>
      <c r="H70" s="4" t="n"/>
      <c r="I70" s="4" t="n"/>
      <c r="J70" s="4" t="n"/>
      <c r="K70" s="4" t="n"/>
      <c r="L70" s="4" t="n"/>
      <c r="M70" s="4" t="n"/>
      <c r="N70" s="4" t="n"/>
      <c r="O70" s="4" t="n"/>
      <c r="P70" s="4" t="n"/>
      <c r="Q70" s="4" t="n"/>
      <c r="R70" s="4" t="n"/>
    </row>
    <row r="71">
      <c r="A71" s="21" t="inlineStr"/>
      <c r="B71" s="4" t="n"/>
      <c r="C71" s="4" t="n"/>
      <c r="D71" s="4" t="n"/>
      <c r="E71" s="4" t="n"/>
      <c r="F71" s="4" t="n"/>
      <c r="G71" s="4" t="n"/>
      <c r="H71" s="4" t="n"/>
      <c r="I71" s="4" t="n"/>
      <c r="J71" s="4" t="n"/>
      <c r="K71" s="4" t="n"/>
      <c r="L71" s="4" t="n"/>
      <c r="M71" s="4" t="n"/>
      <c r="N71" s="4" t="n"/>
      <c r="O71" s="4" t="n"/>
      <c r="P71" s="4" t="n"/>
      <c r="Q71" s="4" t="n"/>
      <c r="R71" s="4" t="n"/>
    </row>
    <row r="72">
      <c r="A72" s="21" t="inlineStr"/>
      <c r="B72" s="4" t="n"/>
      <c r="C72" s="4" t="n"/>
      <c r="D72" s="4" t="n"/>
      <c r="E72" s="4" t="n"/>
      <c r="F72" s="4" t="n"/>
      <c r="G72" s="4" t="n"/>
      <c r="H72" s="4" t="n"/>
      <c r="I72" s="4" t="n"/>
      <c r="J72" s="4" t="n"/>
      <c r="K72" s="4" t="n"/>
      <c r="L72" s="4" t="n"/>
      <c r="M72" s="4" t="n"/>
      <c r="N72" s="4" t="n"/>
      <c r="O72" s="4" t="n"/>
      <c r="P72" s="4" t="n"/>
      <c r="Q72" s="4" t="n"/>
      <c r="R72" s="4" t="n"/>
    </row>
    <row r="73">
      <c r="A73" s="21" t="inlineStr"/>
      <c r="B73" s="4" t="n"/>
      <c r="C73" s="4" t="n"/>
      <c r="D73" s="4" t="n"/>
      <c r="E73" s="4" t="n"/>
      <c r="F73" s="4" t="n"/>
      <c r="G73" s="4" t="n"/>
      <c r="H73" s="4" t="n"/>
      <c r="I73" s="4" t="n"/>
      <c r="J73" s="4" t="n"/>
      <c r="K73" s="4" t="n"/>
      <c r="L73" s="4" t="n"/>
      <c r="M73" s="4" t="n"/>
      <c r="N73" s="4" t="n"/>
      <c r="O73" s="4" t="n"/>
      <c r="P73" s="4" t="n"/>
      <c r="Q73" s="4" t="n"/>
      <c r="R73" s="4" t="n"/>
    </row>
    <row r="74">
      <c r="A74" s="21" t="inlineStr"/>
      <c r="B74" s="4" t="n"/>
      <c r="C74" s="4" t="n"/>
      <c r="D74" s="4" t="n"/>
      <c r="E74" s="4" t="n"/>
      <c r="F74" s="4" t="n"/>
      <c r="G74" s="4" t="n"/>
      <c r="H74" s="4" t="n"/>
      <c r="I74" s="4" t="n"/>
      <c r="J74" s="4" t="n"/>
      <c r="K74" s="4" t="n"/>
      <c r="L74" s="4" t="n"/>
      <c r="M74" s="4" t="n"/>
      <c r="N74" s="4" t="n"/>
      <c r="O74" s="4" t="n"/>
      <c r="P74" s="4" t="n"/>
      <c r="Q74" s="4" t="n"/>
      <c r="R74" s="4" t="n"/>
    </row>
    <row r="75">
      <c r="A75" s="21" t="inlineStr"/>
      <c r="B75" s="4" t="n"/>
      <c r="C75" s="4" t="n"/>
      <c r="D75" s="4" t="n"/>
      <c r="E75" s="4" t="n"/>
      <c r="F75" s="4" t="n"/>
      <c r="G75" s="4" t="n"/>
      <c r="H75" s="4" t="n"/>
      <c r="I75" s="4" t="n"/>
      <c r="J75" s="4" t="n"/>
      <c r="K75" s="4" t="n"/>
      <c r="L75" s="4" t="n"/>
      <c r="M75" s="4" t="n"/>
      <c r="N75" s="4" t="n"/>
      <c r="O75" s="4" t="n"/>
      <c r="P75" s="4" t="n"/>
      <c r="Q75" s="4" t="n"/>
      <c r="R75" s="4" t="n"/>
    </row>
    <row r="76">
      <c r="A76" s="21" t="inlineStr"/>
      <c r="B76" s="4" t="n"/>
      <c r="C76" s="4" t="n"/>
      <c r="D76" s="4" t="n"/>
      <c r="E76" s="4" t="n"/>
      <c r="F76" s="4" t="n"/>
      <c r="G76" s="4" t="n"/>
      <c r="H76" s="4" t="n"/>
      <c r="I76" s="4" t="n"/>
      <c r="J76" s="4" t="n"/>
      <c r="K76" s="4" t="n"/>
      <c r="L76" s="4" t="n"/>
      <c r="M76" s="4" t="n"/>
      <c r="N76" s="4" t="n"/>
      <c r="O76" s="4" t="n"/>
      <c r="P76" s="4" t="n"/>
      <c r="Q76" s="4" t="n"/>
      <c r="R76" s="4" t="n"/>
    </row>
    <row r="77">
      <c r="A77" s="21" t="inlineStr"/>
      <c r="B77" s="4" t="n"/>
      <c r="C77" s="4" t="n"/>
      <c r="D77" s="4" t="n"/>
      <c r="E77" s="4" t="n"/>
      <c r="F77" s="4" t="n"/>
      <c r="G77" s="4" t="n"/>
      <c r="H77" s="4" t="n"/>
      <c r="I77" s="4" t="n"/>
      <c r="J77" s="4" t="n"/>
      <c r="K77" s="4" t="n"/>
      <c r="L77" s="4" t="n"/>
      <c r="M77" s="4" t="n"/>
      <c r="N77" s="4" t="n"/>
      <c r="O77" s="4" t="n"/>
      <c r="P77" s="4" t="n"/>
      <c r="Q77" s="4" t="n"/>
      <c r="R77" s="4" t="n"/>
    </row>
    <row r="78">
      <c r="A78" s="21" t="inlineStr"/>
      <c r="B78" s="4" t="n"/>
      <c r="C78" s="4" t="n"/>
      <c r="D78" s="4" t="n"/>
      <c r="E78" s="4" t="n"/>
      <c r="F78" s="4" t="n"/>
      <c r="G78" s="4" t="n"/>
      <c r="H78" s="4" t="n"/>
      <c r="I78" s="4" t="n"/>
      <c r="J78" s="4" t="n"/>
      <c r="K78" s="4" t="n"/>
      <c r="L78" s="4" t="n"/>
      <c r="M78" s="4" t="n"/>
      <c r="N78" s="4" t="n"/>
      <c r="O78" s="4" t="n"/>
      <c r="P78" s="4" t="n"/>
      <c r="Q78" s="4" t="n"/>
      <c r="R78" s="4" t="n"/>
    </row>
    <row r="79">
      <c r="A79" s="21" t="inlineStr"/>
      <c r="B79" s="4" t="n"/>
      <c r="C79" s="4" t="n"/>
      <c r="D79" s="4" t="n"/>
      <c r="E79" s="4" t="n"/>
      <c r="F79" s="4" t="n"/>
      <c r="G79" s="4" t="n"/>
      <c r="H79" s="4" t="n"/>
      <c r="I79" s="4" t="n"/>
      <c r="J79" s="4" t="n"/>
      <c r="K79" s="4" t="n"/>
      <c r="L79" s="4" t="n"/>
      <c r="M79" s="4" t="n"/>
      <c r="N79" s="4" t="n"/>
      <c r="O79" s="4" t="n"/>
      <c r="P79" s="4" t="n"/>
      <c r="Q79" s="4" t="n"/>
      <c r="R79" s="4" t="n"/>
    </row>
    <row r="80">
      <c r="A80" s="21" t="inlineStr"/>
      <c r="B80" s="4" t="n"/>
      <c r="C80" s="4" t="n"/>
      <c r="D80" s="4" t="n"/>
      <c r="E80" s="4" t="n"/>
      <c r="F80" s="4" t="n"/>
      <c r="G80" s="4" t="n"/>
      <c r="H80" s="4" t="n"/>
      <c r="I80" s="4" t="n"/>
      <c r="J80" s="4" t="n"/>
      <c r="K80" s="4" t="n"/>
      <c r="L80" s="4" t="n"/>
      <c r="M80" s="4" t="n"/>
      <c r="N80" s="4" t="n"/>
      <c r="O80" s="4" t="n"/>
      <c r="P80" s="4" t="n"/>
      <c r="Q80" s="4" t="n"/>
      <c r="R80" s="4" t="n"/>
    </row>
    <row r="81">
      <c r="A81" s="21" t="inlineStr"/>
      <c r="B81" s="4" t="n"/>
      <c r="C81" s="4" t="n"/>
      <c r="D81" s="4" t="n"/>
      <c r="E81" s="4" t="n"/>
      <c r="F81" s="4" t="n"/>
      <c r="G81" s="4" t="n"/>
      <c r="H81" s="4" t="n"/>
      <c r="I81" s="4" t="n"/>
      <c r="J81" s="4" t="n"/>
      <c r="K81" s="4" t="n"/>
      <c r="L81" s="4" t="n"/>
      <c r="M81" s="4" t="n"/>
      <c r="N81" s="4" t="n"/>
      <c r="O81" s="4" t="n"/>
      <c r="P81" s="4" t="n"/>
      <c r="Q81" s="4" t="n"/>
      <c r="R81" s="4" t="n"/>
    </row>
    <row r="82">
      <c r="A82" s="21" t="inlineStr"/>
      <c r="B82" s="4" t="n"/>
      <c r="C82" s="4" t="n"/>
      <c r="D82" s="4" t="n"/>
      <c r="E82" s="4" t="n"/>
      <c r="F82" s="4" t="n"/>
      <c r="G82" s="4" t="n"/>
      <c r="H82" s="4" t="n"/>
      <c r="I82" s="4" t="n"/>
      <c r="J82" s="4" t="n"/>
      <c r="K82" s="4" t="n"/>
      <c r="L82" s="4" t="n"/>
      <c r="M82" s="4" t="n"/>
      <c r="N82" s="4" t="n"/>
      <c r="O82" s="4" t="n"/>
      <c r="P82" s="4" t="n"/>
      <c r="Q82" s="4" t="n"/>
      <c r="R82" s="4" t="n"/>
    </row>
    <row r="83">
      <c r="A83" s="21" t="inlineStr"/>
      <c r="B83" s="4" t="n"/>
      <c r="C83" s="4" t="n"/>
      <c r="D83" s="4" t="n"/>
      <c r="E83" s="4" t="n"/>
      <c r="F83" s="4" t="n"/>
      <c r="G83" s="4" t="n"/>
      <c r="H83" s="4" t="n"/>
      <c r="I83" s="4" t="n"/>
      <c r="J83" s="4" t="n"/>
      <c r="K83" s="4" t="n"/>
      <c r="L83" s="4" t="n"/>
      <c r="M83" s="4" t="n"/>
      <c r="N83" s="4" t="n"/>
      <c r="O83" s="4" t="n"/>
      <c r="P83" s="4" t="n"/>
      <c r="Q83" s="4" t="n"/>
      <c r="R83" s="4" t="n"/>
    </row>
    <row r="84">
      <c r="A84" s="21" t="inlineStr"/>
      <c r="B84" s="4" t="n"/>
      <c r="C84" s="4" t="n"/>
      <c r="D84" s="4" t="n"/>
      <c r="E84" s="4" t="n"/>
      <c r="F84" s="4" t="n"/>
      <c r="G84" s="4" t="n"/>
      <c r="H84" s="4" t="n"/>
      <c r="I84" s="4" t="n"/>
      <c r="J84" s="4" t="n"/>
      <c r="K84" s="4" t="n"/>
      <c r="L84" s="4" t="n"/>
      <c r="M84" s="4" t="n"/>
      <c r="N84" s="4" t="n"/>
      <c r="O84" s="4" t="n"/>
      <c r="P84" s="4" t="n"/>
      <c r="Q84" s="4" t="n"/>
      <c r="R84" s="4" t="n"/>
    </row>
    <row r="85">
      <c r="A85" s="21" t="inlineStr"/>
      <c r="B85" s="4" t="n"/>
      <c r="C85" s="4" t="n"/>
      <c r="D85" s="4" t="n"/>
      <c r="E85" s="4" t="n"/>
      <c r="F85" s="4" t="n"/>
      <c r="G85" s="4" t="n"/>
      <c r="H85" s="4" t="n"/>
      <c r="I85" s="4" t="n"/>
      <c r="J85" s="4" t="n"/>
      <c r="K85" s="4" t="n"/>
      <c r="L85" s="4" t="n"/>
      <c r="M85" s="4" t="n"/>
      <c r="N85" s="4" t="n"/>
      <c r="O85" s="4" t="n"/>
      <c r="P85" s="4" t="n"/>
      <c r="Q85" s="4" t="n"/>
      <c r="R85" s="4" t="n"/>
    </row>
    <row r="86">
      <c r="A86" s="21" t="inlineStr"/>
      <c r="B86" s="4" t="n"/>
      <c r="C86" s="4" t="n"/>
      <c r="D86" s="4" t="n"/>
      <c r="E86" s="4" t="n"/>
      <c r="F86" s="4" t="n"/>
      <c r="G86" s="4" t="n"/>
      <c r="H86" s="4" t="n"/>
      <c r="I86" s="4" t="n"/>
      <c r="J86" s="4" t="n"/>
      <c r="K86" s="4" t="n"/>
      <c r="L86" s="4" t="n"/>
      <c r="M86" s="4" t="n"/>
      <c r="N86" s="4" t="n"/>
      <c r="O86" s="4" t="n"/>
      <c r="P86" s="4" t="n"/>
      <c r="Q86" s="4" t="n"/>
      <c r="R86" s="4" t="n"/>
    </row>
    <row r="87">
      <c r="A87" s="21" t="inlineStr"/>
      <c r="B87" s="4" t="n"/>
      <c r="C87" s="4" t="n"/>
      <c r="D87" s="4" t="n"/>
      <c r="E87" s="4" t="n"/>
      <c r="F87" s="4" t="n"/>
      <c r="G87" s="4" t="n"/>
      <c r="H87" s="4" t="n"/>
      <c r="I87" s="4" t="n"/>
      <c r="J87" s="4" t="n"/>
      <c r="K87" s="4" t="n"/>
      <c r="L87" s="4" t="n"/>
      <c r="M87" s="4" t="n"/>
      <c r="N87" s="4" t="n"/>
      <c r="O87" s="4" t="n"/>
      <c r="P87" s="4" t="n"/>
      <c r="Q87" s="4" t="n"/>
      <c r="R87" s="4" t="n"/>
    </row>
    <row r="88">
      <c r="A88" s="21" t="inlineStr"/>
      <c r="B88" s="4" t="n"/>
      <c r="C88" s="4" t="n"/>
      <c r="D88" s="4" t="n"/>
      <c r="E88" s="4" t="n"/>
      <c r="F88" s="4" t="n"/>
      <c r="G88" s="4" t="n"/>
      <c r="H88" s="4" t="n"/>
      <c r="I88" s="4" t="n"/>
      <c r="J88" s="4" t="n"/>
      <c r="K88" s="4" t="n"/>
      <c r="L88" s="4" t="n"/>
      <c r="M88" s="4" t="n"/>
      <c r="N88" s="4" t="n"/>
      <c r="O88" s="4" t="n"/>
      <c r="P88" s="4" t="n"/>
      <c r="Q88" s="4" t="n"/>
      <c r="R88" s="4" t="n"/>
    </row>
    <row r="89">
      <c r="A89" s="21" t="inlineStr"/>
      <c r="B89" s="4" t="n"/>
      <c r="C89" s="4" t="n"/>
      <c r="D89" s="4" t="n"/>
      <c r="E89" s="4" t="n"/>
      <c r="F89" s="4" t="n"/>
      <c r="G89" s="4" t="n"/>
      <c r="H89" s="4" t="n"/>
      <c r="I89" s="4" t="n"/>
      <c r="J89" s="4" t="n"/>
      <c r="K89" s="4" t="n"/>
      <c r="L89" s="4" t="n"/>
      <c r="M89" s="4" t="n"/>
      <c r="N89" s="4" t="n"/>
      <c r="O89" s="4" t="n"/>
      <c r="P89" s="4" t="n"/>
      <c r="Q89" s="4" t="n"/>
      <c r="R89" s="4" t="n"/>
    </row>
    <row r="90">
      <c r="A90" s="21" t="inlineStr"/>
      <c r="B90" s="4" t="n"/>
      <c r="C90" s="4" t="n"/>
      <c r="D90" s="4" t="n"/>
      <c r="E90" s="4" t="n"/>
      <c r="F90" s="4" t="n"/>
      <c r="G90" s="4" t="n"/>
      <c r="H90" s="4" t="n"/>
      <c r="I90" s="4" t="n"/>
      <c r="J90" s="4" t="n"/>
      <c r="K90" s="4" t="n"/>
      <c r="L90" s="4" t="n"/>
      <c r="M90" s="4" t="n"/>
      <c r="N90" s="4" t="n"/>
      <c r="O90" s="4" t="n"/>
      <c r="P90" s="4" t="n"/>
      <c r="Q90" s="4" t="n"/>
      <c r="R90" s="4" t="n"/>
    </row>
    <row r="91">
      <c r="A91" s="21" t="inlineStr"/>
      <c r="B91" s="4" t="n"/>
      <c r="C91" s="4" t="n"/>
      <c r="D91" s="4" t="n"/>
      <c r="E91" s="4" t="n"/>
      <c r="F91" s="4" t="n"/>
      <c r="G91" s="4" t="n"/>
      <c r="H91" s="4" t="n"/>
      <c r="I91" s="4" t="n"/>
      <c r="J91" s="4" t="n"/>
      <c r="K91" s="4" t="n"/>
      <c r="L91" s="4" t="n"/>
      <c r="M91" s="4" t="n"/>
      <c r="N91" s="4" t="n"/>
      <c r="O91" s="4" t="n"/>
      <c r="P91" s="4" t="n"/>
      <c r="Q91" s="4" t="n"/>
      <c r="R91" s="4" t="n"/>
    </row>
    <row r="92">
      <c r="A92" s="21" t="inlineStr"/>
      <c r="B92" s="4" t="n"/>
      <c r="C92" s="4" t="n"/>
      <c r="D92" s="4" t="n"/>
      <c r="E92" s="4" t="n"/>
      <c r="F92" s="4" t="n"/>
      <c r="G92" s="4" t="n"/>
      <c r="H92" s="4" t="n"/>
      <c r="I92" s="4" t="n"/>
      <c r="J92" s="4" t="n"/>
      <c r="K92" s="4" t="n"/>
      <c r="L92" s="4" t="n"/>
      <c r="M92" s="4" t="n"/>
      <c r="N92" s="4" t="n"/>
      <c r="O92" s="4" t="n"/>
      <c r="P92" s="4" t="n"/>
      <c r="Q92" s="4" t="n"/>
      <c r="R92" s="4" t="n"/>
    </row>
    <row r="93">
      <c r="A93" s="21" t="inlineStr"/>
      <c r="B93" s="4" t="n"/>
      <c r="C93" s="4" t="n"/>
      <c r="D93" s="4" t="n"/>
      <c r="E93" s="4" t="n"/>
      <c r="F93" s="4" t="n"/>
      <c r="G93" s="4" t="n"/>
      <c r="H93" s="4" t="n"/>
      <c r="I93" s="4" t="n"/>
      <c r="J93" s="4" t="n"/>
      <c r="K93" s="4" t="n"/>
      <c r="L93" s="4" t="n"/>
      <c r="M93" s="4" t="n"/>
      <c r="N93" s="4" t="n"/>
      <c r="O93" s="4" t="n"/>
      <c r="P93" s="4" t="n"/>
      <c r="Q93" s="4" t="n"/>
      <c r="R93" s="4" t="n"/>
    </row>
    <row r="94">
      <c r="A94" s="21" t="inlineStr"/>
      <c r="B94" s="4" t="n"/>
      <c r="C94" s="4" t="n"/>
      <c r="D94" s="4" t="n"/>
      <c r="E94" s="4" t="n"/>
      <c r="F94" s="4" t="n"/>
      <c r="G94" s="4" t="n"/>
      <c r="H94" s="4" t="n"/>
      <c r="I94" s="4" t="n"/>
      <c r="J94" s="4" t="n"/>
      <c r="K94" s="4" t="n"/>
      <c r="L94" s="4" t="n"/>
      <c r="M94" s="4" t="n"/>
      <c r="N94" s="4" t="n"/>
      <c r="O94" s="4" t="n"/>
      <c r="P94" s="4" t="n"/>
      <c r="Q94" s="4" t="n"/>
      <c r="R94" s="4" t="n"/>
    </row>
    <row r="95">
      <c r="A95" s="21" t="inlineStr"/>
      <c r="B95" s="4" t="n"/>
      <c r="C95" s="4" t="n"/>
      <c r="D95" s="4" t="n"/>
      <c r="E95" s="4" t="n"/>
      <c r="F95" s="4" t="n"/>
      <c r="G95" s="4" t="n"/>
      <c r="H95" s="4" t="n"/>
      <c r="I95" s="4" t="n"/>
      <c r="J95" s="4" t="n"/>
      <c r="K95" s="4" t="n"/>
      <c r="L95" s="4" t="n"/>
      <c r="M95" s="4" t="n"/>
      <c r="N95" s="4" t="n"/>
      <c r="O95" s="4" t="n"/>
      <c r="P95" s="4" t="n"/>
      <c r="Q95" s="4" t="n"/>
      <c r="R95" s="4" t="n"/>
    </row>
    <row r="96">
      <c r="A96" s="21" t="inlineStr"/>
      <c r="B96" s="4" t="n"/>
      <c r="C96" s="4" t="n"/>
      <c r="D96" s="4" t="n"/>
      <c r="E96" s="4" t="n"/>
      <c r="F96" s="4" t="n"/>
      <c r="G96" s="4" t="n"/>
      <c r="H96" s="4" t="n"/>
      <c r="I96" s="4" t="n"/>
      <c r="J96" s="4" t="n"/>
      <c r="K96" s="4" t="n"/>
      <c r="L96" s="4" t="n"/>
      <c r="M96" s="4" t="n"/>
      <c r="N96" s="4" t="n"/>
      <c r="O96" s="4" t="n"/>
      <c r="P96" s="4" t="n"/>
      <c r="Q96" s="4" t="n"/>
      <c r="R96" s="4" t="n"/>
    </row>
    <row r="97">
      <c r="A97" s="21" t="inlineStr"/>
      <c r="B97" s="4" t="n"/>
      <c r="C97" s="4" t="n"/>
      <c r="D97" s="4" t="n"/>
      <c r="E97" s="4" t="n"/>
      <c r="F97" s="4" t="n"/>
      <c r="G97" s="4" t="n"/>
      <c r="H97" s="4" t="n"/>
      <c r="I97" s="4" t="n"/>
      <c r="J97" s="4" t="n"/>
      <c r="K97" s="4" t="n"/>
      <c r="L97" s="4" t="n"/>
      <c r="M97" s="4" t="n"/>
      <c r="N97" s="4" t="n"/>
      <c r="O97" s="4" t="n"/>
      <c r="P97" s="4" t="n"/>
      <c r="Q97" s="4" t="n"/>
      <c r="R97" s="4" t="n"/>
    </row>
    <row r="98">
      <c r="A98" s="21" t="inlineStr"/>
      <c r="B98" s="4" t="n"/>
      <c r="C98" s="4" t="n"/>
      <c r="D98" s="4" t="n"/>
      <c r="E98" s="4" t="n"/>
      <c r="F98" s="4" t="n"/>
      <c r="G98" s="4" t="n"/>
      <c r="H98" s="4" t="n"/>
      <c r="I98" s="4" t="n"/>
      <c r="J98" s="4" t="n"/>
      <c r="K98" s="4" t="n"/>
      <c r="L98" s="4" t="n"/>
      <c r="M98" s="4" t="n"/>
      <c r="N98" s="4" t="n"/>
      <c r="O98" s="4" t="n"/>
      <c r="P98" s="4" t="n"/>
      <c r="Q98" s="4" t="n"/>
      <c r="R98" s="4" t="n"/>
    </row>
    <row r="99">
      <c r="A99" s="21" t="inlineStr"/>
      <c r="B99" s="4" t="n"/>
      <c r="C99" s="4" t="n"/>
      <c r="D99" s="4" t="n"/>
      <c r="E99" s="4" t="n"/>
      <c r="F99" s="4" t="n"/>
      <c r="G99" s="4" t="n"/>
      <c r="H99" s="4" t="n"/>
      <c r="I99" s="4" t="n"/>
      <c r="J99" s="4" t="n"/>
      <c r="K99" s="4" t="n"/>
      <c r="L99" s="4" t="n"/>
      <c r="M99" s="4" t="n"/>
      <c r="N99" s="4" t="n"/>
      <c r="O99" s="4" t="n"/>
      <c r="P99" s="4" t="n"/>
      <c r="Q99" s="4" t="n"/>
      <c r="R99" s="4" t="n"/>
    </row>
    <row r="100">
      <c r="A100" s="21" t="inlineStr"/>
      <c r="B100" s="4" t="n"/>
      <c r="C100" s="4" t="n"/>
      <c r="D100" s="4" t="n"/>
      <c r="E100" s="4" t="n"/>
      <c r="F100" s="4" t="n"/>
      <c r="G100" s="4" t="n"/>
      <c r="H100" s="4" t="n"/>
      <c r="I100" s="4" t="n"/>
      <c r="J100" s="4" t="n"/>
      <c r="K100" s="4" t="n"/>
      <c r="L100" s="4" t="n"/>
      <c r="M100" s="4" t="n"/>
      <c r="N100" s="4" t="n"/>
      <c r="O100" s="4" t="n"/>
      <c r="P100" s="4" t="n"/>
      <c r="Q100" s="4" t="n"/>
      <c r="R100" s="4" t="n"/>
    </row>
    <row r="101">
      <c r="A101" s="21" t="inlineStr"/>
      <c r="B101" s="4" t="n"/>
      <c r="C101" s="4" t="n"/>
      <c r="D101" s="4" t="n"/>
      <c r="E101" s="4" t="n"/>
      <c r="F101" s="4" t="n"/>
      <c r="G101" s="4" t="n"/>
      <c r="H101" s="4" t="n"/>
      <c r="I101" s="4" t="n"/>
      <c r="J101" s="4" t="n"/>
      <c r="K101" s="4" t="n"/>
      <c r="L101" s="4" t="n"/>
      <c r="M101" s="4" t="n"/>
      <c r="N101" s="4" t="n"/>
      <c r="O101" s="4" t="n"/>
      <c r="P101" s="4" t="n"/>
      <c r="Q101" s="4" t="n"/>
      <c r="R101" s="4" t="n"/>
    </row>
    <row r="102">
      <c r="A102" s="21" t="inlineStr"/>
      <c r="B102" s="4" t="n"/>
      <c r="C102" s="4" t="n"/>
      <c r="D102" s="4" t="n"/>
      <c r="E102" s="4" t="n"/>
      <c r="F102" s="4" t="n"/>
      <c r="G102" s="4" t="n"/>
      <c r="H102" s="4" t="n"/>
      <c r="I102" s="4" t="n"/>
      <c r="J102" s="4" t="n"/>
      <c r="K102" s="4" t="n"/>
      <c r="L102" s="4" t="n"/>
      <c r="M102" s="4" t="n"/>
      <c r="N102" s="4" t="n"/>
      <c r="O102" s="4" t="n"/>
      <c r="P102" s="4" t="n"/>
      <c r="Q102" s="4" t="n"/>
      <c r="R102" s="4" t="n"/>
    </row>
    <row r="103">
      <c r="A103" s="21" t="inlineStr"/>
      <c r="B103" s="4" t="n"/>
      <c r="C103" s="4" t="n"/>
      <c r="D103" s="4" t="n"/>
      <c r="E103" s="4" t="n"/>
      <c r="F103" s="4" t="n"/>
      <c r="G103" s="4" t="n"/>
      <c r="H103" s="4" t="n"/>
      <c r="I103" s="4" t="n"/>
      <c r="J103" s="4" t="n"/>
      <c r="K103" s="4" t="n"/>
      <c r="L103" s="4" t="n"/>
      <c r="M103" s="4" t="n"/>
      <c r="N103" s="4" t="n"/>
      <c r="O103" s="4" t="n"/>
      <c r="P103" s="4" t="n"/>
      <c r="Q103" s="4" t="n"/>
      <c r="R103" s="4" t="n"/>
    </row>
    <row r="104">
      <c r="A104" s="21" t="inlineStr"/>
      <c r="B104" s="4" t="n"/>
      <c r="C104" s="4" t="n"/>
      <c r="D104" s="4" t="n"/>
      <c r="E104" s="4" t="n"/>
      <c r="F104" s="4" t="n"/>
      <c r="G104" s="4" t="n"/>
      <c r="H104" s="4" t="n"/>
      <c r="I104" s="4" t="n"/>
      <c r="J104" s="4" t="n"/>
      <c r="K104" s="4" t="n"/>
      <c r="L104" s="4" t="n"/>
      <c r="M104" s="4" t="n"/>
      <c r="N104" s="4" t="n"/>
      <c r="O104" s="4" t="n"/>
      <c r="P104" s="4" t="n"/>
      <c r="Q104" s="4" t="n"/>
      <c r="R104" s="4" t="n"/>
    </row>
    <row r="105">
      <c r="A105" s="21" t="inlineStr"/>
      <c r="B105" s="4" t="n"/>
      <c r="C105" s="4" t="n"/>
      <c r="D105" s="4" t="n"/>
      <c r="E105" s="4" t="n"/>
      <c r="F105" s="4" t="n"/>
      <c r="G105" s="4" t="n"/>
      <c r="H105" s="4" t="n"/>
      <c r="I105" s="4" t="n"/>
      <c r="J105" s="4" t="n"/>
      <c r="K105" s="4" t="n"/>
      <c r="L105" s="4" t="n"/>
      <c r="M105" s="4" t="n"/>
      <c r="N105" s="4" t="n"/>
      <c r="O105" s="4" t="n"/>
      <c r="P105" s="4" t="n"/>
      <c r="Q105" s="4" t="n"/>
      <c r="R105" s="4" t="n"/>
    </row>
    <row r="106">
      <c r="A106" s="21" t="inlineStr"/>
      <c r="B106" s="4" t="n"/>
      <c r="C106" s="4" t="n"/>
      <c r="D106" s="4" t="n"/>
      <c r="E106" s="4" t="n"/>
      <c r="F106" s="4" t="n"/>
      <c r="G106" s="4" t="n"/>
      <c r="H106" s="4" t="n"/>
      <c r="I106" s="4" t="n"/>
      <c r="J106" s="4" t="n"/>
      <c r="K106" s="4" t="n"/>
      <c r="L106" s="4" t="n"/>
      <c r="M106" s="4" t="n"/>
      <c r="N106" s="4" t="n"/>
      <c r="O106" s="4" t="n"/>
      <c r="P106" s="4" t="n"/>
      <c r="Q106" s="4" t="n"/>
      <c r="R106" s="4" t="n"/>
    </row>
    <row r="107">
      <c r="A107" s="21" t="inlineStr"/>
      <c r="B107" s="4" t="n"/>
      <c r="C107" s="4" t="n"/>
      <c r="D107" s="4" t="n"/>
      <c r="E107" s="4" t="n"/>
      <c r="F107" s="4" t="n"/>
      <c r="G107" s="4" t="n"/>
      <c r="H107" s="4" t="n"/>
      <c r="I107" s="4" t="n"/>
      <c r="J107" s="4" t="n"/>
      <c r="K107" s="4" t="n"/>
      <c r="L107" s="4" t="n"/>
      <c r="M107" s="4" t="n"/>
      <c r="N107" s="4" t="n"/>
      <c r="O107" s="4" t="n"/>
      <c r="P107" s="4" t="n"/>
      <c r="Q107" s="4" t="n"/>
      <c r="R107" s="4" t="n"/>
    </row>
    <row r="108">
      <c r="A108" s="21" t="inlineStr"/>
      <c r="B108" s="4" t="n"/>
      <c r="C108" s="4" t="n"/>
      <c r="D108" s="4" t="n"/>
      <c r="E108" s="4" t="n"/>
      <c r="F108" s="4" t="n"/>
      <c r="G108" s="4" t="n"/>
      <c r="H108" s="4" t="n"/>
      <c r="I108" s="4" t="n"/>
      <c r="J108" s="4" t="n"/>
      <c r="K108" s="4" t="n"/>
      <c r="L108" s="4" t="n"/>
      <c r="M108" s="4" t="n"/>
      <c r="N108" s="4" t="n"/>
      <c r="O108" s="4" t="n"/>
      <c r="P108" s="4" t="n"/>
      <c r="Q108" s="4" t="n"/>
      <c r="R108" s="4" t="n"/>
    </row>
    <row r="109">
      <c r="A109" s="21" t="inlineStr"/>
      <c r="B109" s="4" t="n"/>
      <c r="C109" s="4" t="n"/>
      <c r="D109" s="4" t="n"/>
      <c r="E109" s="4" t="n"/>
      <c r="F109" s="4" t="n"/>
      <c r="G109" s="4" t="n"/>
      <c r="H109" s="4" t="n"/>
      <c r="I109" s="4" t="n"/>
      <c r="J109" s="4" t="n"/>
      <c r="K109" s="4" t="n"/>
      <c r="L109" s="4" t="n"/>
      <c r="M109" s="4" t="n"/>
      <c r="N109" s="4" t="n"/>
      <c r="O109" s="4" t="n"/>
      <c r="P109" s="4" t="n"/>
      <c r="Q109" s="4" t="n"/>
      <c r="R109" s="4" t="n"/>
    </row>
    <row r="110">
      <c r="A110" s="21" t="inlineStr"/>
      <c r="B110" s="4" t="n"/>
      <c r="C110" s="4" t="n"/>
      <c r="D110" s="4" t="n"/>
      <c r="E110" s="4" t="n"/>
      <c r="F110" s="4" t="n"/>
      <c r="G110" s="4" t="n"/>
      <c r="H110" s="4" t="n"/>
      <c r="I110" s="4" t="n"/>
      <c r="J110" s="4" t="n"/>
      <c r="K110" s="4" t="n"/>
      <c r="L110" s="4" t="n"/>
      <c r="M110" s="4" t="n"/>
      <c r="N110" s="4" t="n"/>
      <c r="O110" s="4" t="n"/>
      <c r="P110" s="4" t="n"/>
      <c r="Q110" s="4" t="n"/>
      <c r="R110" s="4" t="n"/>
    </row>
    <row r="111">
      <c r="A111" s="21" t="inlineStr"/>
      <c r="B111" s="4" t="n"/>
      <c r="C111" s="4" t="n"/>
      <c r="D111" s="4" t="n"/>
      <c r="E111" s="4" t="n"/>
      <c r="F111" s="4" t="n"/>
      <c r="G111" s="4" t="n"/>
      <c r="H111" s="4" t="n"/>
      <c r="I111" s="4" t="n"/>
      <c r="J111" s="4" t="n"/>
      <c r="K111" s="4" t="n"/>
      <c r="L111" s="4" t="n"/>
      <c r="M111" s="4" t="n"/>
      <c r="N111" s="4" t="n"/>
      <c r="O111" s="4" t="n"/>
      <c r="P111" s="4" t="n"/>
      <c r="Q111" s="4" t="n"/>
      <c r="R111" s="4" t="n"/>
    </row>
    <row r="112">
      <c r="A112" s="21" t="inlineStr"/>
      <c r="B112" s="4" t="n"/>
      <c r="C112" s="4" t="n"/>
      <c r="D112" s="4" t="n"/>
      <c r="E112" s="4" t="n"/>
      <c r="F112" s="4" t="n"/>
      <c r="G112" s="4" t="n"/>
      <c r="H112" s="4" t="n"/>
      <c r="I112" s="4" t="n"/>
      <c r="J112" s="4" t="n"/>
      <c r="K112" s="4" t="n"/>
      <c r="L112" s="4" t="n"/>
      <c r="M112" s="4" t="n"/>
      <c r="N112" s="4" t="n"/>
      <c r="O112" s="4" t="n"/>
      <c r="P112" s="4" t="n"/>
      <c r="Q112" s="4" t="n"/>
      <c r="R112" s="4" t="n"/>
    </row>
    <row r="113">
      <c r="A113" s="21" t="inlineStr"/>
      <c r="B113" s="4" t="n"/>
      <c r="C113" s="4" t="n"/>
      <c r="D113" s="4" t="n"/>
      <c r="E113" s="4" t="n"/>
      <c r="F113" s="4" t="n"/>
      <c r="G113" s="4" t="n"/>
      <c r="H113" s="4" t="n"/>
      <c r="I113" s="4" t="n"/>
      <c r="J113" s="4" t="n"/>
      <c r="K113" s="4" t="n"/>
      <c r="L113" s="4" t="n"/>
      <c r="M113" s="4" t="n"/>
      <c r="N113" s="4" t="n"/>
      <c r="O113" s="4" t="n"/>
      <c r="P113" s="4" t="n"/>
      <c r="Q113" s="4" t="n"/>
      <c r="R113" s="4" t="n"/>
    </row>
    <row r="114">
      <c r="A114" s="21" t="inlineStr"/>
      <c r="B114" s="4" t="n"/>
      <c r="C114" s="4" t="n"/>
      <c r="D114" s="4" t="n"/>
      <c r="E114" s="4" t="n"/>
      <c r="F114" s="4" t="n"/>
      <c r="G114" s="4" t="n"/>
      <c r="H114" s="4" t="n"/>
      <c r="I114" s="4" t="n"/>
      <c r="J114" s="4" t="n"/>
      <c r="K114" s="4" t="n"/>
      <c r="L114" s="4" t="n"/>
      <c r="M114" s="4" t="n"/>
      <c r="N114" s="4" t="n"/>
      <c r="O114" s="4" t="n"/>
      <c r="P114" s="4" t="n"/>
      <c r="Q114" s="4" t="n"/>
      <c r="R114" s="4" t="n"/>
    </row>
    <row r="115">
      <c r="A115" s="21" t="inlineStr"/>
      <c r="B115" s="4" t="n"/>
      <c r="C115" s="4" t="n"/>
      <c r="D115" s="4" t="n"/>
      <c r="E115" s="4" t="n"/>
      <c r="F115" s="4" t="n"/>
      <c r="G115" s="4" t="n"/>
      <c r="H115" s="4" t="n"/>
      <c r="I115" s="4" t="n"/>
      <c r="J115" s="4" t="n"/>
      <c r="K115" s="4" t="n"/>
      <c r="L115" s="4" t="n"/>
      <c r="M115" s="4" t="n"/>
      <c r="N115" s="4" t="n"/>
      <c r="O115" s="4" t="n"/>
      <c r="P115" s="4" t="n"/>
      <c r="Q115" s="4" t="n"/>
      <c r="R115" s="4" t="n"/>
    </row>
    <row r="116">
      <c r="A116" s="21" t="inlineStr"/>
      <c r="B116" s="4" t="n"/>
      <c r="C116" s="4" t="n"/>
      <c r="D116" s="4" t="n"/>
      <c r="E116" s="4" t="n"/>
      <c r="F116" s="4" t="n"/>
      <c r="G116" s="4" t="n"/>
      <c r="H116" s="4" t="n"/>
      <c r="I116" s="4" t="n"/>
      <c r="J116" s="4" t="n"/>
      <c r="K116" s="4" t="n"/>
      <c r="L116" s="4" t="n"/>
      <c r="M116" s="4" t="n"/>
      <c r="N116" s="4" t="n"/>
      <c r="O116" s="4" t="n"/>
      <c r="P116" s="4" t="n"/>
      <c r="Q116" s="4" t="n"/>
      <c r="R116" s="4" t="n"/>
    </row>
    <row r="117">
      <c r="A117" s="21" t="inlineStr"/>
      <c r="B117" s="4" t="n"/>
      <c r="C117" s="4" t="n"/>
      <c r="D117" s="4" t="n"/>
      <c r="E117" s="4" t="n"/>
      <c r="F117" s="4" t="n"/>
      <c r="G117" s="4" t="n"/>
      <c r="H117" s="4" t="n"/>
      <c r="I117" s="4" t="n"/>
      <c r="J117" s="4" t="n"/>
      <c r="K117" s="4" t="n"/>
      <c r="L117" s="4" t="n"/>
      <c r="M117" s="4" t="n"/>
      <c r="N117" s="4" t="n"/>
      <c r="O117" s="4" t="n"/>
      <c r="P117" s="4" t="n"/>
      <c r="Q117" s="4" t="n"/>
      <c r="R117" s="4" t="n"/>
    </row>
    <row r="118">
      <c r="A118" s="21" t="inlineStr"/>
      <c r="B118" s="4" t="n"/>
      <c r="C118" s="4" t="n"/>
      <c r="D118" s="4" t="n"/>
      <c r="E118" s="4" t="n"/>
      <c r="F118" s="4" t="n"/>
      <c r="G118" s="4" t="n"/>
      <c r="H118" s="4" t="n"/>
      <c r="I118" s="4" t="n"/>
      <c r="J118" s="4" t="n"/>
      <c r="K118" s="4" t="n"/>
      <c r="L118" s="4" t="n"/>
      <c r="M118" s="4" t="n"/>
      <c r="N118" s="4" t="n"/>
      <c r="O118" s="4" t="n"/>
      <c r="P118" s="4" t="n"/>
      <c r="Q118" s="4" t="n"/>
      <c r="R118" s="4" t="n"/>
    </row>
    <row r="119">
      <c r="A119" s="21" t="inlineStr"/>
      <c r="B119" s="4" t="n"/>
      <c r="C119" s="4" t="n"/>
      <c r="D119" s="4" t="n"/>
      <c r="E119" s="4" t="n"/>
      <c r="F119" s="4" t="n"/>
      <c r="G119" s="4" t="n"/>
      <c r="H119" s="4" t="n"/>
      <c r="I119" s="4" t="n"/>
      <c r="J119" s="4" t="n"/>
      <c r="K119" s="4" t="n"/>
      <c r="L119" s="4" t="n"/>
      <c r="M119" s="4" t="n"/>
      <c r="N119" s="4" t="n"/>
      <c r="O119" s="4" t="n"/>
      <c r="P119" s="4" t="n"/>
      <c r="Q119" s="4" t="n"/>
      <c r="R119" s="4" t="n"/>
    </row>
    <row r="120">
      <c r="A120" s="21" t="inlineStr"/>
      <c r="B120" s="4" t="n"/>
      <c r="C120" s="4" t="n"/>
      <c r="D120" s="4" t="n"/>
      <c r="E120" s="4" t="n"/>
      <c r="F120" s="4" t="n"/>
      <c r="G120" s="4" t="n"/>
      <c r="H120" s="4" t="n"/>
      <c r="I120" s="4" t="n"/>
      <c r="J120" s="4" t="n"/>
      <c r="K120" s="4" t="n"/>
      <c r="L120" s="4" t="n"/>
      <c r="M120" s="4" t="n"/>
      <c r="N120" s="4" t="n"/>
      <c r="O120" s="4" t="n"/>
      <c r="P120" s="4" t="n"/>
      <c r="Q120" s="4" t="n"/>
      <c r="R120" s="4" t="n"/>
    </row>
    <row r="121">
      <c r="A121" s="21" t="inlineStr"/>
      <c r="B121" s="4" t="n"/>
      <c r="C121" s="4" t="n"/>
      <c r="D121" s="4" t="n"/>
      <c r="E121" s="4" t="n"/>
      <c r="F121" s="4" t="n"/>
      <c r="G121" s="4" t="n"/>
      <c r="H121" s="4" t="n"/>
      <c r="I121" s="4" t="n"/>
      <c r="J121" s="4" t="n"/>
      <c r="K121" s="4" t="n"/>
      <c r="L121" s="4" t="n"/>
      <c r="M121" s="4" t="n"/>
      <c r="N121" s="4" t="n"/>
      <c r="O121" s="4" t="n"/>
      <c r="P121" s="4" t="n"/>
      <c r="Q121" s="4" t="n"/>
      <c r="R121" s="4" t="n"/>
    </row>
    <row r="122">
      <c r="A122" s="21" t="inlineStr"/>
      <c r="B122" s="4" t="n"/>
      <c r="C122" s="4" t="n"/>
      <c r="D122" s="4" t="n"/>
      <c r="E122" s="4" t="n"/>
      <c r="F122" s="4" t="n"/>
      <c r="G122" s="4" t="n"/>
      <c r="H122" s="4" t="n"/>
      <c r="I122" s="4" t="n"/>
      <c r="J122" s="4" t="n"/>
      <c r="K122" s="4" t="n"/>
      <c r="L122" s="4" t="n"/>
      <c r="M122" s="4" t="n"/>
      <c r="N122" s="4" t="n"/>
      <c r="O122" s="4" t="n"/>
      <c r="P122" s="4" t="n"/>
      <c r="Q122" s="4" t="n"/>
      <c r="R122" s="4" t="n"/>
    </row>
    <row r="123">
      <c r="A123" s="21" t="inlineStr"/>
      <c r="B123" s="4" t="n"/>
      <c r="C123" s="4" t="n"/>
      <c r="D123" s="4" t="n"/>
      <c r="E123" s="4" t="n"/>
      <c r="F123" s="4" t="n"/>
      <c r="G123" s="4" t="n"/>
      <c r="H123" s="4" t="n"/>
      <c r="I123" s="4" t="n"/>
      <c r="J123" s="4" t="n"/>
      <c r="K123" s="4" t="n"/>
      <c r="L123" s="4" t="n"/>
      <c r="M123" s="4" t="n"/>
      <c r="N123" s="4" t="n"/>
      <c r="O123" s="4" t="n"/>
      <c r="P123" s="4" t="n"/>
      <c r="Q123" s="4" t="n"/>
      <c r="R123" s="4" t="n"/>
    </row>
    <row r="124">
      <c r="A124" s="21" t="inlineStr"/>
      <c r="B124" s="4" t="n"/>
      <c r="C124" s="4" t="n"/>
      <c r="D124" s="4" t="n"/>
      <c r="E124" s="4" t="n"/>
      <c r="F124" s="4" t="n"/>
      <c r="G124" s="4" t="n"/>
      <c r="H124" s="4" t="n"/>
      <c r="I124" s="4" t="n"/>
      <c r="J124" s="4" t="n"/>
      <c r="K124" s="4" t="n"/>
      <c r="L124" s="4" t="n"/>
      <c r="M124" s="4" t="n"/>
      <c r="N124" s="4" t="n"/>
      <c r="O124" s="4" t="n"/>
      <c r="P124" s="4" t="n"/>
      <c r="Q124" s="4" t="n"/>
      <c r="R124" s="4" t="n"/>
    </row>
    <row r="125">
      <c r="A125" s="21" t="inlineStr"/>
      <c r="B125" s="4" t="n"/>
      <c r="C125" s="4" t="n"/>
      <c r="D125" s="4" t="n"/>
      <c r="E125" s="4" t="n"/>
      <c r="F125" s="4" t="n"/>
      <c r="G125" s="4" t="n"/>
      <c r="H125" s="4" t="n"/>
      <c r="I125" s="4" t="n"/>
      <c r="J125" s="4" t="n"/>
      <c r="K125" s="4" t="n"/>
      <c r="L125" s="4" t="n"/>
      <c r="M125" s="4" t="n"/>
      <c r="N125" s="4" t="n"/>
      <c r="O125" s="4" t="n"/>
      <c r="P125" s="4" t="n"/>
      <c r="Q125" s="4" t="n"/>
      <c r="R125" s="4" t="n"/>
    </row>
    <row r="126">
      <c r="A126" s="21" t="inlineStr"/>
      <c r="B126" s="4" t="n"/>
      <c r="C126" s="4" t="n"/>
      <c r="D126" s="4" t="n"/>
      <c r="E126" s="4" t="n"/>
      <c r="F126" s="4" t="n"/>
      <c r="G126" s="4" t="n"/>
      <c r="H126" s="4" t="n"/>
      <c r="I126" s="4" t="n"/>
      <c r="J126" s="4" t="n"/>
      <c r="K126" s="4" t="n"/>
      <c r="L126" s="4" t="n"/>
      <c r="M126" s="4" t="n"/>
      <c r="N126" s="4" t="n"/>
      <c r="O126" s="4" t="n"/>
      <c r="P126" s="4" t="n"/>
      <c r="Q126" s="4" t="n"/>
      <c r="R126" s="4" t="n"/>
    </row>
    <row r="127">
      <c r="A127" s="21" t="inlineStr"/>
      <c r="B127" s="4" t="n"/>
      <c r="C127" s="4" t="n"/>
      <c r="D127" s="4" t="n"/>
      <c r="E127" s="4" t="n"/>
      <c r="F127" s="4" t="n"/>
      <c r="G127" s="4" t="n"/>
      <c r="H127" s="4" t="n"/>
      <c r="I127" s="4" t="n"/>
      <c r="J127" s="4" t="n"/>
      <c r="K127" s="4" t="n"/>
      <c r="L127" s="4" t="n"/>
      <c r="M127" s="4" t="n"/>
      <c r="N127" s="4" t="n"/>
      <c r="O127" s="4" t="n"/>
      <c r="P127" s="4" t="n"/>
      <c r="Q127" s="4" t="n"/>
      <c r="R127" s="4" t="n"/>
    </row>
    <row r="128">
      <c r="A128" s="21" t="inlineStr"/>
      <c r="B128" s="4" t="n"/>
      <c r="C128" s="4" t="n"/>
      <c r="D128" s="4" t="n"/>
      <c r="E128" s="4" t="n"/>
      <c r="F128" s="4" t="n"/>
      <c r="G128" s="4" t="n"/>
      <c r="H128" s="4" t="n"/>
      <c r="I128" s="4" t="n"/>
      <c r="J128" s="4" t="n"/>
      <c r="K128" s="4" t="n"/>
      <c r="L128" s="4" t="n"/>
      <c r="M128" s="4" t="n"/>
      <c r="N128" s="4" t="n"/>
      <c r="O128" s="4" t="n"/>
      <c r="P128" s="4" t="n"/>
      <c r="Q128" s="4" t="n"/>
      <c r="R128" s="4" t="n"/>
    </row>
    <row r="129">
      <c r="A129" s="21" t="inlineStr"/>
      <c r="B129" s="4" t="n"/>
      <c r="C129" s="4" t="n"/>
      <c r="D129" s="4" t="n"/>
      <c r="E129" s="4" t="n"/>
      <c r="F129" s="4" t="n"/>
      <c r="G129" s="4" t="n"/>
      <c r="H129" s="4" t="n"/>
      <c r="I129" s="4" t="n"/>
      <c r="J129" s="4" t="n"/>
      <c r="K129" s="4" t="n"/>
      <c r="L129" s="4" t="n"/>
      <c r="M129" s="4" t="n"/>
      <c r="N129" s="4" t="n"/>
      <c r="O129" s="4" t="n"/>
      <c r="P129" s="4" t="n"/>
      <c r="Q129" s="4" t="n"/>
      <c r="R129" s="4" t="n"/>
    </row>
    <row r="130">
      <c r="A130" s="21" t="inlineStr"/>
      <c r="B130" s="4" t="n"/>
      <c r="C130" s="4" t="n"/>
      <c r="D130" s="4" t="n"/>
      <c r="E130" s="4" t="n"/>
      <c r="F130" s="4" t="n"/>
      <c r="G130" s="4" t="n"/>
      <c r="H130" s="4" t="n"/>
      <c r="I130" s="4" t="n"/>
      <c r="J130" s="4" t="n"/>
      <c r="K130" s="4" t="n"/>
      <c r="L130" s="4" t="n"/>
      <c r="M130" s="4" t="n"/>
      <c r="N130" s="4" t="n"/>
      <c r="O130" s="4" t="n"/>
      <c r="P130" s="4" t="n"/>
      <c r="Q130" s="4" t="n"/>
      <c r="R130" s="4" t="n"/>
    </row>
    <row r="131">
      <c r="A131" s="21" t="inlineStr"/>
      <c r="B131" s="4" t="n"/>
      <c r="C131" s="4" t="n"/>
      <c r="D131" s="4" t="n"/>
      <c r="E131" s="4" t="n"/>
      <c r="F131" s="4" t="n"/>
      <c r="G131" s="4" t="n"/>
      <c r="H131" s="4" t="n"/>
      <c r="I131" s="4" t="n"/>
      <c r="J131" s="4" t="n"/>
      <c r="K131" s="4" t="n"/>
      <c r="L131" s="4" t="n"/>
      <c r="M131" s="4" t="n"/>
      <c r="N131" s="4" t="n"/>
      <c r="O131" s="4" t="n"/>
      <c r="P131" s="4" t="n"/>
      <c r="Q131" s="4" t="n"/>
      <c r="R131" s="4" t="n"/>
    </row>
    <row r="132">
      <c r="A132" s="21" t="inlineStr"/>
      <c r="B132" s="4" t="n"/>
      <c r="C132" s="4" t="n"/>
      <c r="D132" s="4" t="n"/>
      <c r="E132" s="4" t="n"/>
      <c r="F132" s="4" t="n"/>
      <c r="G132" s="4" t="n"/>
      <c r="H132" s="4" t="n"/>
      <c r="I132" s="4" t="n"/>
      <c r="J132" s="4" t="n"/>
      <c r="K132" s="4" t="n"/>
      <c r="L132" s="4" t="n"/>
      <c r="M132" s="4" t="n"/>
      <c r="N132" s="4" t="n"/>
      <c r="O132" s="4" t="n"/>
      <c r="P132" s="4" t="n"/>
      <c r="Q132" s="4" t="n"/>
      <c r="R132" s="4" t="n"/>
    </row>
    <row r="133">
      <c r="A133" s="21" t="inlineStr"/>
      <c r="B133" s="4" t="n"/>
      <c r="C133" s="4" t="n"/>
      <c r="D133" s="4" t="n"/>
      <c r="E133" s="4" t="n"/>
      <c r="F133" s="4" t="n"/>
      <c r="G133" s="4" t="n"/>
      <c r="H133" s="4" t="n"/>
      <c r="I133" s="4" t="n"/>
      <c r="J133" s="4" t="n"/>
      <c r="K133" s="4" t="n"/>
      <c r="L133" s="4" t="n"/>
      <c r="M133" s="4" t="n"/>
      <c r="N133" s="4" t="n"/>
      <c r="O133" s="4" t="n"/>
      <c r="P133" s="4" t="n"/>
      <c r="Q133" s="4" t="n"/>
      <c r="R133" s="4" t="n"/>
    </row>
    <row r="134">
      <c r="A134" s="21" t="inlineStr"/>
      <c r="B134" s="4" t="n"/>
      <c r="C134" s="4" t="n"/>
      <c r="D134" s="4" t="n"/>
      <c r="E134" s="4" t="n"/>
      <c r="F134" s="4" t="n"/>
      <c r="G134" s="4" t="n"/>
      <c r="H134" s="4" t="n"/>
      <c r="I134" s="4" t="n"/>
      <c r="J134" s="4" t="n"/>
      <c r="K134" s="4" t="n"/>
      <c r="L134" s="4" t="n"/>
      <c r="M134" s="4" t="n"/>
      <c r="N134" s="4" t="n"/>
      <c r="O134" s="4" t="n"/>
      <c r="P134" s="4" t="n"/>
      <c r="Q134" s="4" t="n"/>
      <c r="R134" s="4" t="n"/>
    </row>
    <row r="135">
      <c r="A135" s="21" t="inlineStr"/>
      <c r="B135" s="4" t="n"/>
      <c r="C135" s="4" t="n"/>
      <c r="D135" s="4" t="n"/>
      <c r="E135" s="4" t="n"/>
      <c r="F135" s="4" t="n"/>
      <c r="G135" s="4" t="n"/>
      <c r="H135" s="4" t="n"/>
      <c r="I135" s="4" t="n"/>
      <c r="J135" s="4" t="n"/>
      <c r="K135" s="4" t="n"/>
      <c r="L135" s="4" t="n"/>
      <c r="M135" s="4" t="n"/>
      <c r="N135" s="4" t="n"/>
      <c r="O135" s="4" t="n"/>
      <c r="P135" s="4" t="n"/>
      <c r="Q135" s="4" t="n"/>
      <c r="R135" s="4" t="n"/>
    </row>
    <row r="136">
      <c r="A136" s="21" t="inlineStr"/>
      <c r="B136" s="4" t="n"/>
      <c r="C136" s="4" t="n"/>
      <c r="D136" s="4" t="n"/>
      <c r="E136" s="4" t="n"/>
      <c r="F136" s="4" t="n"/>
      <c r="G136" s="4" t="n"/>
      <c r="H136" s="4" t="n"/>
      <c r="I136" s="4" t="n"/>
      <c r="J136" s="4" t="n"/>
      <c r="K136" s="4" t="n"/>
      <c r="L136" s="4" t="n"/>
      <c r="M136" s="4" t="n"/>
      <c r="N136" s="4" t="n"/>
      <c r="O136" s="4" t="n"/>
      <c r="P136" s="4" t="n"/>
      <c r="Q136" s="4" t="n"/>
      <c r="R136" s="4" t="n"/>
    </row>
    <row r="137">
      <c r="A137" s="21" t="inlineStr"/>
      <c r="B137" s="4" t="n"/>
      <c r="C137" s="4" t="n"/>
      <c r="D137" s="4" t="n"/>
      <c r="E137" s="4" t="n"/>
      <c r="F137" s="4" t="n"/>
      <c r="G137" s="4" t="n"/>
      <c r="H137" s="4" t="n"/>
      <c r="I137" s="4" t="n"/>
      <c r="J137" s="4" t="n"/>
      <c r="K137" s="4" t="n"/>
      <c r="L137" s="4" t="n"/>
      <c r="M137" s="4" t="n"/>
      <c r="N137" s="4" t="n"/>
      <c r="O137" s="4" t="n"/>
      <c r="P137" s="4" t="n"/>
      <c r="Q137" s="4" t="n"/>
      <c r="R137" s="4" t="n"/>
    </row>
    <row r="138">
      <c r="A138" s="21" t="inlineStr"/>
      <c r="B138" s="4" t="n"/>
      <c r="C138" s="4" t="n"/>
      <c r="D138" s="4" t="n"/>
      <c r="E138" s="4" t="n"/>
      <c r="F138" s="4" t="n"/>
      <c r="G138" s="4" t="n"/>
      <c r="H138" s="4" t="n"/>
      <c r="I138" s="4" t="n"/>
      <c r="J138" s="4" t="n"/>
      <c r="K138" s="4" t="n"/>
      <c r="L138" s="4" t="n"/>
      <c r="M138" s="4" t="n"/>
      <c r="N138" s="4" t="n"/>
      <c r="O138" s="4" t="n"/>
      <c r="P138" s="4" t="n"/>
      <c r="Q138" s="4" t="n"/>
      <c r="R138" s="4" t="n"/>
    </row>
    <row r="139">
      <c r="A139" s="21" t="inlineStr"/>
      <c r="B139" s="4" t="n"/>
      <c r="C139" s="4" t="n"/>
      <c r="D139" s="4" t="n"/>
      <c r="E139" s="4" t="n"/>
      <c r="F139" s="4" t="n"/>
      <c r="G139" s="4" t="n"/>
      <c r="H139" s="4" t="n"/>
      <c r="I139" s="4" t="n"/>
      <c r="J139" s="4" t="n"/>
      <c r="K139" s="4" t="n"/>
      <c r="L139" s="4" t="n"/>
      <c r="M139" s="4" t="n"/>
      <c r="N139" s="4" t="n"/>
      <c r="O139" s="4" t="n"/>
      <c r="P139" s="4" t="n"/>
      <c r="Q139" s="4" t="n"/>
      <c r="R139" s="4" t="n"/>
    </row>
    <row r="140">
      <c r="A140" s="21" t="inlineStr"/>
      <c r="B140" s="4" t="n"/>
      <c r="C140" s="4" t="n"/>
      <c r="D140" s="4" t="n"/>
      <c r="E140" s="4" t="n"/>
      <c r="F140" s="4" t="n"/>
      <c r="G140" s="4" t="n"/>
      <c r="H140" s="4" t="n"/>
      <c r="I140" s="4" t="n"/>
      <c r="J140" s="4" t="n"/>
      <c r="K140" s="4" t="n"/>
      <c r="L140" s="4" t="n"/>
      <c r="M140" s="4" t="n"/>
      <c r="N140" s="4" t="n"/>
      <c r="O140" s="4" t="n"/>
      <c r="P140" s="4" t="n"/>
      <c r="Q140" s="4" t="n"/>
      <c r="R140" s="4" t="n"/>
    </row>
    <row r="141">
      <c r="A141" s="21" t="inlineStr"/>
      <c r="B141" s="4" t="n"/>
      <c r="C141" s="4" t="n"/>
      <c r="D141" s="4" t="n"/>
      <c r="E141" s="4" t="n"/>
      <c r="F141" s="4" t="n"/>
      <c r="G141" s="4" t="n"/>
      <c r="H141" s="4" t="n"/>
      <c r="I141" s="4" t="n"/>
      <c r="J141" s="4" t="n"/>
      <c r="K141" s="4" t="n"/>
      <c r="L141" s="4" t="n"/>
      <c r="M141" s="4" t="n"/>
      <c r="N141" s="4" t="n"/>
      <c r="O141" s="4" t="n"/>
      <c r="P141" s="4" t="n"/>
      <c r="Q141" s="4" t="n"/>
      <c r="R141" s="4" t="n"/>
    </row>
    <row r="142">
      <c r="A142" s="21" t="inlineStr"/>
      <c r="B142" s="4" t="n"/>
      <c r="C142" s="4" t="n"/>
      <c r="D142" s="4" t="n"/>
      <c r="E142" s="4" t="n"/>
      <c r="F142" s="4" t="n"/>
      <c r="G142" s="4" t="n"/>
      <c r="H142" s="4" t="n"/>
      <c r="I142" s="4" t="n"/>
      <c r="J142" s="4" t="n"/>
      <c r="K142" s="4" t="n"/>
      <c r="L142" s="4" t="n"/>
      <c r="M142" s="4" t="n"/>
      <c r="N142" s="4" t="n"/>
      <c r="O142" s="4" t="n"/>
      <c r="P142" s="4" t="n"/>
      <c r="Q142" s="4" t="n"/>
      <c r="R142" s="4" t="n"/>
    </row>
    <row r="143">
      <c r="A143" s="21" t="inlineStr"/>
      <c r="B143" s="4" t="n"/>
      <c r="C143" s="4" t="n"/>
      <c r="D143" s="4" t="n"/>
      <c r="E143" s="4" t="n"/>
      <c r="F143" s="4" t="n"/>
      <c r="G143" s="4" t="n"/>
      <c r="H143" s="4" t="n"/>
      <c r="I143" s="4" t="n"/>
      <c r="J143" s="4" t="n"/>
      <c r="K143" s="4" t="n"/>
      <c r="L143" s="4" t="n"/>
      <c r="M143" s="4" t="n"/>
      <c r="N143" s="4" t="n"/>
      <c r="O143" s="4" t="n"/>
      <c r="P143" s="4" t="n"/>
      <c r="Q143" s="4" t="n"/>
      <c r="R143" s="4" t="n"/>
    </row>
    <row r="144">
      <c r="A144" s="21" t="inlineStr"/>
      <c r="B144" s="4" t="n"/>
      <c r="C144" s="4" t="n"/>
      <c r="D144" s="4" t="n"/>
      <c r="E144" s="4" t="n"/>
      <c r="F144" s="4" t="n"/>
      <c r="G144" s="4" t="n"/>
      <c r="H144" s="4" t="n"/>
      <c r="I144" s="4" t="n"/>
      <c r="J144" s="4" t="n"/>
      <c r="K144" s="4" t="n"/>
      <c r="L144" s="4" t="n"/>
      <c r="M144" s="4" t="n"/>
      <c r="N144" s="4" t="n"/>
      <c r="O144" s="4" t="n"/>
      <c r="P144" s="4" t="n"/>
      <c r="Q144" s="4" t="n"/>
      <c r="R144" s="4" t="n"/>
    </row>
    <row r="145">
      <c r="A145" s="21" t="inlineStr"/>
      <c r="B145" s="4" t="n"/>
      <c r="C145" s="4" t="n"/>
      <c r="D145" s="4" t="n"/>
      <c r="E145" s="4" t="n"/>
      <c r="F145" s="4" t="n"/>
      <c r="G145" s="4" t="n"/>
      <c r="H145" s="4" t="n"/>
      <c r="I145" s="4" t="n"/>
      <c r="J145" s="4" t="n"/>
      <c r="K145" s="4" t="n"/>
      <c r="L145" s="4" t="n"/>
      <c r="M145" s="4" t="n"/>
      <c r="N145" s="4" t="n"/>
      <c r="O145" s="4" t="n"/>
      <c r="P145" s="4" t="n"/>
      <c r="Q145" s="4" t="n"/>
      <c r="R145" s="4" t="n"/>
    </row>
    <row r="146">
      <c r="A146" s="21" t="inlineStr"/>
      <c r="B146" s="4" t="n"/>
      <c r="C146" s="4" t="n"/>
      <c r="D146" s="4" t="n"/>
      <c r="E146" s="4" t="n"/>
      <c r="F146" s="4" t="n"/>
      <c r="G146" s="4" t="n"/>
      <c r="H146" s="4" t="n"/>
      <c r="I146" s="4" t="n"/>
      <c r="J146" s="4" t="n"/>
      <c r="K146" s="4" t="n"/>
      <c r="L146" s="4" t="n"/>
      <c r="M146" s="4" t="n"/>
      <c r="N146" s="4" t="n"/>
      <c r="O146" s="4" t="n"/>
      <c r="P146" s="4" t="n"/>
      <c r="Q146" s="4" t="n"/>
      <c r="R146" s="4" t="n"/>
    </row>
    <row r="147">
      <c r="A147" s="21" t="inlineStr"/>
      <c r="B147" s="4" t="n"/>
      <c r="C147" s="4" t="n"/>
      <c r="D147" s="4" t="n"/>
      <c r="E147" s="4" t="n"/>
      <c r="F147" s="4" t="n"/>
      <c r="G147" s="4" t="n"/>
      <c r="H147" s="4" t="n"/>
      <c r="I147" s="4" t="n"/>
      <c r="J147" s="4" t="n"/>
      <c r="K147" s="4" t="n"/>
      <c r="L147" s="4" t="n"/>
      <c r="M147" s="4" t="n"/>
      <c r="N147" s="4" t="n"/>
      <c r="O147" s="4" t="n"/>
      <c r="P147" s="4" t="n"/>
      <c r="Q147" s="4" t="n"/>
      <c r="R147" s="4" t="n"/>
    </row>
    <row r="148">
      <c r="A148" s="21" t="inlineStr"/>
      <c r="B148" s="4" t="n"/>
      <c r="C148" s="4" t="n"/>
      <c r="D148" s="4" t="n"/>
      <c r="E148" s="4" t="n"/>
      <c r="F148" s="4" t="n"/>
      <c r="G148" s="4" t="n"/>
      <c r="H148" s="4" t="n"/>
      <c r="I148" s="4" t="n"/>
      <c r="J148" s="4" t="n"/>
      <c r="K148" s="4" t="n"/>
      <c r="L148" s="4" t="n"/>
      <c r="M148" s="4" t="n"/>
      <c r="N148" s="4" t="n"/>
      <c r="O148" s="4" t="n"/>
      <c r="P148" s="4" t="n"/>
      <c r="Q148" s="4" t="n"/>
      <c r="R148" s="4" t="n"/>
    </row>
    <row r="149">
      <c r="A149" s="21" t="inlineStr"/>
      <c r="B149" s="4" t="n"/>
      <c r="C149" s="4" t="n"/>
      <c r="D149" s="4" t="n"/>
      <c r="E149" s="4" t="n"/>
      <c r="F149" s="4" t="n"/>
      <c r="G149" s="4" t="n"/>
      <c r="H149" s="4" t="n"/>
      <c r="I149" s="4" t="n"/>
      <c r="J149" s="4" t="n"/>
      <c r="K149" s="4" t="n"/>
      <c r="L149" s="4" t="n"/>
      <c r="M149" s="4" t="n"/>
      <c r="N149" s="4" t="n"/>
      <c r="O149" s="4" t="n"/>
      <c r="P149" s="4" t="n"/>
      <c r="Q149" s="4" t="n"/>
      <c r="R149" s="4" t="n"/>
    </row>
    <row r="150">
      <c r="A150" s="21" t="inlineStr"/>
      <c r="B150" s="4" t="n"/>
      <c r="C150" s="4" t="n"/>
      <c r="D150" s="4" t="n"/>
      <c r="E150" s="4" t="n"/>
      <c r="F150" s="4" t="n"/>
      <c r="G150" s="4" t="n"/>
      <c r="H150" s="4" t="n"/>
      <c r="I150" s="4" t="n"/>
      <c r="J150" s="4" t="n"/>
      <c r="K150" s="4" t="n"/>
      <c r="L150" s="4" t="n"/>
      <c r="M150" s="4" t="n"/>
      <c r="N150" s="4" t="n"/>
      <c r="O150" s="4" t="n"/>
      <c r="P150" s="4" t="n"/>
      <c r="Q150" s="4" t="n"/>
      <c r="R150" s="4" t="n"/>
    </row>
    <row r="151">
      <c r="A151" s="21" t="inlineStr"/>
      <c r="B151" s="4" t="n"/>
      <c r="C151" s="4" t="n"/>
      <c r="D151" s="4" t="n"/>
      <c r="E151" s="4" t="n"/>
      <c r="F151" s="4" t="n"/>
      <c r="G151" s="4" t="n"/>
      <c r="H151" s="4" t="n"/>
      <c r="I151" s="4" t="n"/>
      <c r="J151" s="4" t="n"/>
      <c r="K151" s="4" t="n"/>
      <c r="L151" s="4" t="n"/>
      <c r="M151" s="4" t="n"/>
      <c r="N151" s="4" t="n"/>
      <c r="O151" s="4" t="n"/>
      <c r="P151" s="4" t="n"/>
      <c r="Q151" s="4" t="n"/>
      <c r="R151" s="4" t="n"/>
    </row>
    <row r="152">
      <c r="A152" s="21" t="inlineStr"/>
      <c r="B152" s="4" t="n"/>
      <c r="C152" s="4" t="n"/>
      <c r="D152" s="4" t="n"/>
      <c r="E152" s="4" t="n"/>
      <c r="F152" s="4" t="n"/>
      <c r="G152" s="4" t="n"/>
      <c r="H152" s="4" t="n"/>
      <c r="I152" s="4" t="n"/>
      <c r="J152" s="4" t="n"/>
      <c r="K152" s="4" t="n"/>
      <c r="L152" s="4" t="n"/>
      <c r="M152" s="4" t="n"/>
      <c r="N152" s="4" t="n"/>
      <c r="O152" s="4" t="n"/>
      <c r="P152" s="4" t="n"/>
      <c r="Q152" s="4" t="n"/>
      <c r="R152" s="4" t="n"/>
    </row>
    <row r="153">
      <c r="A153" s="21" t="inlineStr"/>
      <c r="B153" s="4" t="n"/>
      <c r="C153" s="4" t="n"/>
      <c r="D153" s="4" t="n"/>
      <c r="E153" s="4" t="n"/>
      <c r="F153" s="4" t="n"/>
      <c r="G153" s="4" t="n"/>
      <c r="H153" s="4" t="n"/>
      <c r="I153" s="4" t="n"/>
      <c r="J153" s="4" t="n"/>
      <c r="K153" s="4" t="n"/>
      <c r="L153" s="4" t="n"/>
      <c r="M153" s="4" t="n"/>
      <c r="N153" s="4" t="n"/>
      <c r="O153" s="4" t="n"/>
      <c r="P153" s="4" t="n"/>
      <c r="Q153" s="4" t="n"/>
      <c r="R153" s="4" t="n"/>
    </row>
    <row r="154">
      <c r="A154" s="21" t="inlineStr"/>
      <c r="B154" s="4" t="n"/>
      <c r="C154" s="4" t="n"/>
      <c r="D154" s="4" t="n"/>
      <c r="E154" s="4" t="n"/>
      <c r="F154" s="4" t="n"/>
      <c r="G154" s="4" t="n"/>
      <c r="H154" s="4" t="n"/>
      <c r="I154" s="4" t="n"/>
      <c r="J154" s="4" t="n"/>
      <c r="K154" s="4" t="n"/>
      <c r="L154" s="4" t="n"/>
      <c r="M154" s="4" t="n"/>
      <c r="N154" s="4" t="n"/>
      <c r="O154" s="4" t="n"/>
      <c r="P154" s="4" t="n"/>
      <c r="Q154" s="4" t="n"/>
      <c r="R154" s="4" t="n"/>
    </row>
    <row r="155">
      <c r="A155" s="21" t="inlineStr"/>
      <c r="B155" s="4" t="n"/>
      <c r="C155" s="4" t="n"/>
      <c r="D155" s="4" t="n"/>
      <c r="E155" s="4" t="n"/>
      <c r="F155" s="4" t="n"/>
      <c r="G155" s="4" t="n"/>
      <c r="H155" s="4" t="n"/>
      <c r="I155" s="4" t="n"/>
      <c r="J155" s="4" t="n"/>
      <c r="K155" s="4" t="n"/>
      <c r="L155" s="4" t="n"/>
      <c r="M155" s="4" t="n"/>
      <c r="N155" s="4" t="n"/>
      <c r="O155" s="4" t="n"/>
      <c r="P155" s="4" t="n"/>
      <c r="Q155" s="4" t="n"/>
      <c r="R155" s="4" t="n"/>
    </row>
    <row r="156">
      <c r="A156" s="21" t="inlineStr"/>
      <c r="B156" s="4" t="n"/>
      <c r="C156" s="4" t="n"/>
      <c r="D156" s="4" t="n"/>
      <c r="E156" s="4" t="n"/>
      <c r="F156" s="4" t="n"/>
      <c r="G156" s="4" t="n"/>
      <c r="H156" s="4" t="n"/>
      <c r="I156" s="4" t="n"/>
      <c r="J156" s="4" t="n"/>
      <c r="K156" s="4" t="n"/>
      <c r="L156" s="4" t="n"/>
      <c r="M156" s="4" t="n"/>
      <c r="N156" s="4" t="n"/>
      <c r="O156" s="4" t="n"/>
      <c r="P156" s="4" t="n"/>
      <c r="Q156" s="4" t="n"/>
      <c r="R156" s="4" t="n"/>
    </row>
    <row r="157">
      <c r="A157" s="21" t="inlineStr"/>
      <c r="B157" s="4" t="n"/>
      <c r="C157" s="4" t="n"/>
      <c r="D157" s="4" t="n"/>
      <c r="E157" s="4" t="n"/>
      <c r="F157" s="4" t="n"/>
      <c r="G157" s="4" t="n"/>
      <c r="H157" s="4" t="n"/>
      <c r="I157" s="4" t="n"/>
      <c r="J157" s="4" t="n"/>
      <c r="K157" s="4" t="n"/>
      <c r="L157" s="4" t="n"/>
      <c r="M157" s="4" t="n"/>
      <c r="N157" s="4" t="n"/>
      <c r="O157" s="4" t="n"/>
      <c r="P157" s="4" t="n"/>
      <c r="Q157" s="4" t="n"/>
      <c r="R157" s="4" t="n"/>
    </row>
    <row r="158">
      <c r="A158" s="21" t="inlineStr"/>
      <c r="B158" s="4" t="n"/>
      <c r="C158" s="4" t="n"/>
      <c r="D158" s="4" t="n"/>
      <c r="E158" s="4" t="n"/>
      <c r="F158" s="4" t="n"/>
      <c r="G158" s="4" t="n"/>
      <c r="H158" s="4" t="n"/>
      <c r="I158" s="4" t="n"/>
      <c r="J158" s="4" t="n"/>
      <c r="K158" s="4" t="n"/>
      <c r="L158" s="4" t="n"/>
      <c r="M158" s="4" t="n"/>
      <c r="N158" s="4" t="n"/>
      <c r="O158" s="4" t="n"/>
      <c r="P158" s="4" t="n"/>
      <c r="Q158" s="4" t="n"/>
      <c r="R158" s="4" t="n"/>
    </row>
    <row r="159">
      <c r="A159" s="21" t="inlineStr"/>
      <c r="B159" s="4" t="n"/>
      <c r="C159" s="4" t="n"/>
      <c r="D159" s="4" t="n"/>
      <c r="E159" s="4" t="n"/>
      <c r="F159" s="4" t="n"/>
      <c r="G159" s="4" t="n"/>
      <c r="H159" s="4" t="n"/>
      <c r="I159" s="4" t="n"/>
      <c r="J159" s="4" t="n"/>
      <c r="K159" s="4" t="n"/>
      <c r="L159" s="4" t="n"/>
      <c r="M159" s="4" t="n"/>
      <c r="N159" s="4" t="n"/>
      <c r="O159" s="4" t="n"/>
      <c r="P159" s="4" t="n"/>
      <c r="Q159" s="4" t="n"/>
      <c r="R159" s="4" t="n"/>
    </row>
    <row r="160">
      <c r="A160" s="21" t="inlineStr"/>
      <c r="B160" s="4" t="n"/>
      <c r="C160" s="4" t="n"/>
      <c r="D160" s="4" t="n"/>
      <c r="E160" s="4" t="n"/>
      <c r="F160" s="4" t="n"/>
      <c r="G160" s="4" t="n"/>
      <c r="H160" s="4" t="n"/>
      <c r="I160" s="4" t="n"/>
      <c r="J160" s="4" t="n"/>
      <c r="K160" s="4" t="n"/>
      <c r="L160" s="4" t="n"/>
      <c r="M160" s="4" t="n"/>
      <c r="N160" s="4" t="n"/>
      <c r="O160" s="4" t="n"/>
      <c r="P160" s="4" t="n"/>
      <c r="Q160" s="4" t="n"/>
      <c r="R160" s="4" t="n"/>
    </row>
    <row r="161">
      <c r="A161" s="21" t="inlineStr"/>
      <c r="B161" s="4" t="n"/>
      <c r="C161" s="4" t="n"/>
      <c r="D161" s="4" t="n"/>
      <c r="E161" s="4" t="n"/>
      <c r="F161" s="4" t="n"/>
      <c r="G161" s="4" t="n"/>
      <c r="H161" s="4" t="n"/>
      <c r="I161" s="4" t="n"/>
      <c r="J161" s="4" t="n"/>
      <c r="K161" s="4" t="n"/>
      <c r="L161" s="4" t="n"/>
      <c r="M161" s="4" t="n"/>
      <c r="N161" s="4" t="n"/>
      <c r="O161" s="4" t="n"/>
      <c r="P161" s="4" t="n"/>
      <c r="Q161" s="4" t="n"/>
      <c r="R161" s="4" t="n"/>
    </row>
    <row r="162">
      <c r="A162" s="21" t="inlineStr"/>
      <c r="B162" s="4" t="n"/>
      <c r="C162" s="4" t="n"/>
      <c r="D162" s="4" t="n"/>
      <c r="E162" s="4" t="n"/>
      <c r="F162" s="4" t="n"/>
      <c r="G162" s="4" t="n"/>
      <c r="H162" s="4" t="n"/>
      <c r="I162" s="4" t="n"/>
      <c r="J162" s="4" t="n"/>
      <c r="K162" s="4" t="n"/>
      <c r="L162" s="4" t="n"/>
      <c r="M162" s="4" t="n"/>
      <c r="N162" s="4" t="n"/>
      <c r="O162" s="4" t="n"/>
      <c r="P162" s="4" t="n"/>
      <c r="Q162" s="4" t="n"/>
      <c r="R162" s="4" t="n"/>
    </row>
    <row r="163">
      <c r="A163" s="21" t="inlineStr"/>
      <c r="B163" s="4" t="n"/>
      <c r="C163" s="4" t="n"/>
      <c r="D163" s="4" t="n"/>
      <c r="E163" s="4" t="n"/>
      <c r="F163" s="4" t="n"/>
      <c r="G163" s="4" t="n"/>
      <c r="H163" s="4" t="n"/>
      <c r="I163" s="4" t="n"/>
      <c r="J163" s="4" t="n"/>
      <c r="K163" s="4" t="n"/>
      <c r="L163" s="4" t="n"/>
      <c r="M163" s="4" t="n"/>
      <c r="N163" s="4" t="n"/>
      <c r="O163" s="4" t="n"/>
      <c r="P163" s="4" t="n"/>
      <c r="Q163" s="4" t="n"/>
      <c r="R163" s="4" t="n"/>
    </row>
    <row r="164">
      <c r="A164" s="21" t="inlineStr"/>
      <c r="B164" s="4" t="n"/>
      <c r="C164" s="4" t="n"/>
      <c r="D164" s="4" t="n"/>
      <c r="E164" s="4" t="n"/>
      <c r="F164" s="4" t="n"/>
      <c r="G164" s="4" t="n"/>
      <c r="H164" s="4" t="n"/>
      <c r="I164" s="4" t="n"/>
      <c r="J164" s="4" t="n"/>
      <c r="K164" s="4" t="n"/>
      <c r="L164" s="4" t="n"/>
      <c r="M164" s="4" t="n"/>
      <c r="N164" s="4" t="n"/>
      <c r="O164" s="4" t="n"/>
      <c r="P164" s="4" t="n"/>
      <c r="Q164" s="4" t="n"/>
      <c r="R164" s="4" t="n"/>
    </row>
    <row r="165">
      <c r="A165" s="21" t="inlineStr"/>
      <c r="B165" s="4" t="n"/>
      <c r="C165" s="4" t="n"/>
      <c r="D165" s="4" t="n"/>
      <c r="E165" s="4" t="n"/>
      <c r="F165" s="4" t="n"/>
      <c r="G165" s="4" t="n"/>
      <c r="H165" s="4" t="n"/>
      <c r="I165" s="4" t="n"/>
      <c r="J165" s="4" t="n"/>
      <c r="K165" s="4" t="n"/>
      <c r="L165" s="4" t="n"/>
      <c r="M165" s="4" t="n"/>
      <c r="N165" s="4" t="n"/>
      <c r="O165" s="4" t="n"/>
      <c r="P165" s="4" t="n"/>
      <c r="Q165" s="4" t="n"/>
      <c r="R165" s="4" t="n"/>
    </row>
    <row r="166">
      <c r="A166" s="21" t="inlineStr"/>
      <c r="B166" s="4" t="n"/>
      <c r="C166" s="4" t="n"/>
      <c r="D166" s="4" t="n"/>
      <c r="E166" s="4" t="n"/>
      <c r="F166" s="4" t="n"/>
      <c r="G166" s="4" t="n"/>
      <c r="H166" s="4" t="n"/>
      <c r="I166" s="4" t="n"/>
      <c r="J166" s="4" t="n"/>
      <c r="K166" s="4" t="n"/>
      <c r="L166" s="4" t="n"/>
      <c r="M166" s="4" t="n"/>
      <c r="N166" s="4" t="n"/>
      <c r="O166" s="4" t="n"/>
      <c r="P166" s="4" t="n"/>
      <c r="Q166" s="4" t="n"/>
      <c r="R166" s="4" t="n"/>
    </row>
    <row r="167">
      <c r="A167" s="21" t="inlineStr"/>
      <c r="B167" s="4" t="n"/>
      <c r="C167" s="4" t="n"/>
      <c r="D167" s="4" t="n"/>
      <c r="E167" s="4" t="n"/>
      <c r="F167" s="4" t="n"/>
      <c r="G167" s="4" t="n"/>
      <c r="H167" s="4" t="n"/>
      <c r="I167" s="4" t="n"/>
      <c r="J167" s="4" t="n"/>
      <c r="K167" s="4" t="n"/>
      <c r="L167" s="4" t="n"/>
      <c r="M167" s="4" t="n"/>
      <c r="N167" s="4" t="n"/>
      <c r="O167" s="4" t="n"/>
      <c r="P167" s="4" t="n"/>
      <c r="Q167" s="4" t="n"/>
      <c r="R167" s="4" t="n"/>
    </row>
    <row r="168">
      <c r="A168" s="21" t="inlineStr"/>
      <c r="B168" s="4" t="n"/>
      <c r="C168" s="4" t="n"/>
      <c r="D168" s="4" t="n"/>
      <c r="E168" s="4" t="n"/>
      <c r="F168" s="4" t="n"/>
      <c r="G168" s="4" t="n"/>
      <c r="H168" s="4" t="n"/>
      <c r="I168" s="4" t="n"/>
      <c r="J168" s="4" t="n"/>
      <c r="K168" s="4" t="n"/>
      <c r="L168" s="4" t="n"/>
      <c r="M168" s="4" t="n"/>
      <c r="N168" s="4" t="n"/>
      <c r="O168" s="4" t="n"/>
      <c r="P168" s="4" t="n"/>
      <c r="Q168" s="4" t="n"/>
      <c r="R168" s="4" t="n"/>
    </row>
    <row r="169">
      <c r="A169" s="21" t="inlineStr"/>
      <c r="B169" s="4" t="n"/>
      <c r="C169" s="4" t="n"/>
      <c r="D169" s="4" t="n"/>
      <c r="E169" s="4" t="n"/>
      <c r="F169" s="4" t="n"/>
      <c r="G169" s="4" t="n"/>
      <c r="H169" s="4" t="n"/>
      <c r="I169" s="4" t="n"/>
      <c r="J169" s="4" t="n"/>
      <c r="K169" s="4" t="n"/>
      <c r="L169" s="4" t="n"/>
      <c r="M169" s="4" t="n"/>
      <c r="N169" s="4" t="n"/>
      <c r="O169" s="4" t="n"/>
      <c r="P169" s="4" t="n"/>
      <c r="Q169" s="4" t="n"/>
      <c r="R169" s="4" t="n"/>
    </row>
    <row r="170">
      <c r="A170" s="21" t="inlineStr"/>
      <c r="B170" s="4" t="n"/>
      <c r="C170" s="4" t="n"/>
      <c r="D170" s="4" t="n"/>
      <c r="E170" s="4" t="n"/>
      <c r="F170" s="4" t="n"/>
      <c r="G170" s="4" t="n"/>
      <c r="H170" s="4" t="n"/>
      <c r="I170" s="4" t="n"/>
      <c r="J170" s="4" t="n"/>
      <c r="K170" s="4" t="n"/>
      <c r="L170" s="4" t="n"/>
      <c r="M170" s="4" t="n"/>
      <c r="N170" s="4" t="n"/>
      <c r="O170" s="4" t="n"/>
      <c r="P170" s="4" t="n"/>
      <c r="Q170" s="4" t="n"/>
      <c r="R170" s="4" t="n"/>
    </row>
    <row r="171">
      <c r="A171" s="21" t="inlineStr"/>
      <c r="B171" s="4" t="n"/>
      <c r="C171" s="4" t="n"/>
      <c r="D171" s="4" t="n"/>
      <c r="E171" s="4" t="n"/>
      <c r="F171" s="4" t="n"/>
      <c r="G171" s="4" t="n"/>
      <c r="H171" s="4" t="n"/>
      <c r="I171" s="4" t="n"/>
      <c r="J171" s="4" t="n"/>
      <c r="K171" s="4" t="n"/>
      <c r="L171" s="4" t="n"/>
      <c r="M171" s="4" t="n"/>
      <c r="N171" s="4" t="n"/>
      <c r="O171" s="4" t="n"/>
      <c r="P171" s="4" t="n"/>
      <c r="Q171" s="4" t="n"/>
      <c r="R171" s="4" t="n"/>
    </row>
    <row r="172">
      <c r="A172" s="21" t="inlineStr"/>
      <c r="B172" s="4" t="n"/>
      <c r="C172" s="4" t="n"/>
      <c r="D172" s="4" t="n"/>
      <c r="E172" s="4" t="n"/>
      <c r="F172" s="4" t="n"/>
      <c r="G172" s="4" t="n"/>
      <c r="H172" s="4" t="n"/>
      <c r="I172" s="4" t="n"/>
      <c r="J172" s="4" t="n"/>
      <c r="K172" s="4" t="n"/>
      <c r="L172" s="4" t="n"/>
      <c r="M172" s="4" t="n"/>
      <c r="N172" s="4" t="n"/>
      <c r="O172" s="4" t="n"/>
      <c r="P172" s="4" t="n"/>
      <c r="Q172" s="4" t="n"/>
      <c r="R172" s="4" t="n"/>
    </row>
    <row r="173">
      <c r="A173" s="21" t="inlineStr"/>
      <c r="B173" s="4" t="n"/>
      <c r="C173" s="4" t="n"/>
      <c r="D173" s="4" t="n"/>
      <c r="E173" s="4" t="n"/>
      <c r="F173" s="4" t="n"/>
      <c r="G173" s="4" t="n"/>
      <c r="H173" s="4" t="n"/>
      <c r="I173" s="4" t="n"/>
      <c r="J173" s="4" t="n"/>
      <c r="K173" s="4" t="n"/>
      <c r="L173" s="4" t="n"/>
      <c r="M173" s="4" t="n"/>
      <c r="N173" s="4" t="n"/>
      <c r="O173" s="4" t="n"/>
      <c r="P173" s="4" t="n"/>
      <c r="Q173" s="4" t="n"/>
      <c r="R173" s="4" t="n"/>
    </row>
    <row r="174">
      <c r="A174" s="21" t="inlineStr"/>
      <c r="B174" s="4" t="n"/>
      <c r="C174" s="4" t="n"/>
      <c r="D174" s="4" t="n"/>
      <c r="E174" s="4" t="n"/>
      <c r="F174" s="4" t="n"/>
      <c r="G174" s="4" t="n"/>
      <c r="H174" s="4" t="n"/>
      <c r="I174" s="4" t="n"/>
      <c r="J174" s="4" t="n"/>
      <c r="K174" s="4" t="n"/>
      <c r="L174" s="4" t="n"/>
      <c r="M174" s="4" t="n"/>
      <c r="N174" s="4" t="n"/>
      <c r="O174" s="4" t="n"/>
      <c r="P174" s="4" t="n"/>
      <c r="Q174" s="4" t="n"/>
      <c r="R174" s="4" t="n"/>
    </row>
    <row r="175">
      <c r="A175" s="21" t="inlineStr"/>
      <c r="B175" s="4" t="n"/>
      <c r="C175" s="4" t="n"/>
      <c r="D175" s="4" t="n"/>
      <c r="E175" s="4" t="n"/>
      <c r="F175" s="4" t="n"/>
      <c r="G175" s="4" t="n"/>
      <c r="H175" s="4" t="n"/>
      <c r="I175" s="4" t="n"/>
      <c r="J175" s="4" t="n"/>
      <c r="K175" s="4" t="n"/>
      <c r="L175" s="4" t="n"/>
      <c r="M175" s="4" t="n"/>
      <c r="N175" s="4" t="n"/>
      <c r="O175" s="4" t="n"/>
      <c r="P175" s="4" t="n"/>
      <c r="Q175" s="4" t="n"/>
      <c r="R175" s="4" t="n"/>
    </row>
    <row r="176">
      <c r="A176" s="21" t="inlineStr"/>
      <c r="B176" s="4" t="n"/>
      <c r="C176" s="4" t="n"/>
      <c r="D176" s="4" t="n"/>
      <c r="E176" s="4" t="n"/>
      <c r="F176" s="4" t="n"/>
      <c r="G176" s="4" t="n"/>
      <c r="H176" s="4" t="n"/>
      <c r="I176" s="4" t="n"/>
      <c r="J176" s="4" t="n"/>
      <c r="K176" s="4" t="n"/>
      <c r="L176" s="4" t="n"/>
      <c r="M176" s="4" t="n"/>
      <c r="N176" s="4" t="n"/>
      <c r="O176" s="4" t="n"/>
      <c r="P176" s="4" t="n"/>
      <c r="Q176" s="4" t="n"/>
      <c r="R176" s="4" t="n"/>
    </row>
    <row r="177">
      <c r="A177" s="21" t="inlineStr"/>
      <c r="B177" s="4" t="n"/>
      <c r="C177" s="4" t="n"/>
      <c r="D177" s="4" t="n"/>
      <c r="E177" s="4" t="n"/>
      <c r="F177" s="4" t="n"/>
      <c r="G177" s="4" t="n"/>
      <c r="H177" s="4" t="n"/>
      <c r="I177" s="4" t="n"/>
      <c r="J177" s="4" t="n"/>
      <c r="K177" s="4" t="n"/>
      <c r="L177" s="4" t="n"/>
      <c r="M177" s="4" t="n"/>
      <c r="N177" s="4" t="n"/>
      <c r="O177" s="4" t="n"/>
      <c r="P177" s="4" t="n"/>
      <c r="Q177" s="4" t="n"/>
      <c r="R177" s="4" t="n"/>
    </row>
    <row r="178">
      <c r="A178" s="21" t="inlineStr"/>
      <c r="B178" s="4" t="n"/>
      <c r="C178" s="4" t="n"/>
      <c r="D178" s="4" t="n"/>
      <c r="E178" s="4" t="n"/>
      <c r="F178" s="4" t="n"/>
      <c r="G178" s="4" t="n"/>
      <c r="H178" s="4" t="n"/>
      <c r="I178" s="4" t="n"/>
      <c r="J178" s="4" t="n"/>
      <c r="K178" s="4" t="n"/>
      <c r="L178" s="4" t="n"/>
      <c r="M178" s="4" t="n"/>
      <c r="N178" s="4" t="n"/>
      <c r="O178" s="4" t="n"/>
      <c r="P178" s="4" t="n"/>
      <c r="Q178" s="4" t="n"/>
      <c r="R178" s="4" t="n"/>
    </row>
    <row r="179">
      <c r="A179" s="21" t="inlineStr"/>
      <c r="B179" s="4" t="n"/>
      <c r="C179" s="4" t="n"/>
      <c r="D179" s="4" t="n"/>
      <c r="E179" s="4" t="n"/>
      <c r="F179" s="4" t="n"/>
      <c r="G179" s="4" t="n"/>
      <c r="H179" s="4" t="n"/>
      <c r="I179" s="4" t="n"/>
      <c r="J179" s="4" t="n"/>
      <c r="K179" s="4" t="n"/>
      <c r="L179" s="4" t="n"/>
      <c r="M179" s="4" t="n"/>
      <c r="N179" s="4" t="n"/>
      <c r="O179" s="4" t="n"/>
      <c r="P179" s="4" t="n"/>
      <c r="Q179" s="4" t="n"/>
      <c r="R179" s="4" t="n"/>
    </row>
    <row r="180">
      <c r="A180" s="21" t="inlineStr"/>
      <c r="B180" s="4" t="n"/>
      <c r="C180" s="4" t="n"/>
      <c r="D180" s="4" t="n"/>
      <c r="E180" s="4" t="n"/>
      <c r="F180" s="4" t="n"/>
      <c r="G180" s="4" t="n"/>
      <c r="H180" s="4" t="n"/>
      <c r="I180" s="4" t="n"/>
      <c r="J180" s="4" t="n"/>
      <c r="K180" s="4" t="n"/>
      <c r="L180" s="4" t="n"/>
      <c r="M180" s="4" t="n"/>
      <c r="N180" s="4" t="n"/>
      <c r="O180" s="4" t="n"/>
      <c r="P180" s="4" t="n"/>
      <c r="Q180" s="4" t="n"/>
      <c r="R180" s="4" t="n"/>
    </row>
    <row r="181">
      <c r="A181" s="21" t="inlineStr"/>
      <c r="B181" s="4" t="n"/>
      <c r="C181" s="4" t="n"/>
      <c r="D181" s="4" t="n"/>
      <c r="E181" s="4" t="n"/>
      <c r="F181" s="4" t="n"/>
      <c r="G181" s="4" t="n"/>
      <c r="H181" s="4" t="n"/>
      <c r="I181" s="4" t="n"/>
      <c r="J181" s="4" t="n"/>
      <c r="K181" s="4" t="n"/>
      <c r="L181" s="4" t="n"/>
      <c r="M181" s="4" t="n"/>
      <c r="N181" s="4" t="n"/>
      <c r="O181" s="4" t="n"/>
      <c r="P181" s="4" t="n"/>
      <c r="Q181" s="4" t="n"/>
      <c r="R181" s="4" t="n"/>
    </row>
    <row r="182">
      <c r="A182" s="21" t="inlineStr"/>
      <c r="B182" s="4" t="n"/>
      <c r="C182" s="4" t="n"/>
      <c r="D182" s="4" t="n"/>
      <c r="E182" s="4" t="n"/>
      <c r="F182" s="4" t="n"/>
      <c r="G182" s="4" t="n"/>
      <c r="H182" s="4" t="n"/>
      <c r="I182" s="4" t="n"/>
      <c r="J182" s="4" t="n"/>
      <c r="K182" s="4" t="n"/>
      <c r="L182" s="4" t="n"/>
      <c r="M182" s="4" t="n"/>
      <c r="N182" s="4" t="n"/>
      <c r="O182" s="4" t="n"/>
      <c r="P182" s="4" t="n"/>
      <c r="Q182" s="4" t="n"/>
      <c r="R182" s="4" t="n"/>
    </row>
    <row r="183">
      <c r="A183" s="21" t="inlineStr"/>
      <c r="B183" s="4" t="n"/>
      <c r="C183" s="4" t="n"/>
      <c r="D183" s="4" t="n"/>
      <c r="E183" s="4" t="n"/>
      <c r="F183" s="4" t="n"/>
      <c r="G183" s="4" t="n"/>
      <c r="H183" s="4" t="n"/>
      <c r="I183" s="4" t="n"/>
      <c r="J183" s="4" t="n"/>
      <c r="K183" s="4" t="n"/>
      <c r="L183" s="4" t="n"/>
      <c r="M183" s="4" t="n"/>
      <c r="N183" s="4" t="n"/>
      <c r="O183" s="4" t="n"/>
      <c r="P183" s="4" t="n"/>
      <c r="Q183" s="4" t="n"/>
      <c r="R183" s="4" t="n"/>
    </row>
    <row r="184">
      <c r="A184" s="21" t="inlineStr"/>
      <c r="B184" s="4" t="n"/>
      <c r="C184" s="4" t="n"/>
      <c r="D184" s="4" t="n"/>
      <c r="E184" s="4" t="n"/>
      <c r="F184" s="4" t="n"/>
      <c r="G184" s="4" t="n"/>
      <c r="H184" s="4" t="n"/>
      <c r="I184" s="4" t="n"/>
      <c r="J184" s="4" t="n"/>
      <c r="K184" s="4" t="n"/>
      <c r="L184" s="4" t="n"/>
      <c r="M184" s="4" t="n"/>
      <c r="N184" s="4" t="n"/>
      <c r="O184" s="4" t="n"/>
      <c r="P184" s="4" t="n"/>
      <c r="Q184" s="4" t="n"/>
      <c r="R184" s="4" t="n"/>
    </row>
    <row r="185">
      <c r="A185" s="21" t="inlineStr"/>
      <c r="B185" s="4" t="n"/>
      <c r="C185" s="4" t="n"/>
      <c r="D185" s="4" t="n"/>
      <c r="E185" s="4" t="n"/>
      <c r="F185" s="4" t="n"/>
      <c r="G185" s="4" t="n"/>
      <c r="H185" s="4" t="n"/>
      <c r="I185" s="4" t="n"/>
      <c r="J185" s="4" t="n"/>
      <c r="K185" s="4" t="n"/>
      <c r="L185" s="4" t="n"/>
      <c r="M185" s="4" t="n"/>
      <c r="N185" s="4" t="n"/>
      <c r="O185" s="4" t="n"/>
      <c r="P185" s="4" t="n"/>
      <c r="Q185" s="4" t="n"/>
      <c r="R185" s="4" t="n"/>
    </row>
    <row r="186">
      <c r="A186" s="21" t="inlineStr"/>
      <c r="B186" s="4" t="n"/>
      <c r="C186" s="4" t="n"/>
      <c r="D186" s="4" t="n"/>
      <c r="E186" s="4" t="n"/>
      <c r="F186" s="4" t="n"/>
      <c r="G186" s="4" t="n"/>
      <c r="H186" s="4" t="n"/>
      <c r="I186" s="4" t="n"/>
      <c r="J186" s="4" t="n"/>
      <c r="K186" s="4" t="n"/>
      <c r="L186" s="4" t="n"/>
      <c r="M186" s="4" t="n"/>
      <c r="N186" s="4" t="n"/>
      <c r="O186" s="4" t="n"/>
      <c r="P186" s="4" t="n"/>
      <c r="Q186" s="4" t="n"/>
      <c r="R186" s="4" t="n"/>
    </row>
    <row r="187">
      <c r="A187" s="21" t="inlineStr"/>
      <c r="B187" s="4" t="n"/>
      <c r="C187" s="4" t="n"/>
      <c r="D187" s="4" t="n"/>
      <c r="E187" s="4" t="n"/>
      <c r="F187" s="4" t="n"/>
      <c r="G187" s="4" t="n"/>
      <c r="H187" s="4" t="n"/>
      <c r="I187" s="4" t="n"/>
      <c r="J187" s="4" t="n"/>
      <c r="K187" s="4" t="n"/>
      <c r="L187" s="4" t="n"/>
      <c r="M187" s="4" t="n"/>
      <c r="N187" s="4" t="n"/>
      <c r="O187" s="4" t="n"/>
      <c r="P187" s="4" t="n"/>
      <c r="Q187" s="4" t="n"/>
      <c r="R187" s="4" t="n"/>
    </row>
    <row r="188">
      <c r="A188" s="21" t="inlineStr"/>
      <c r="B188" s="4" t="n"/>
      <c r="C188" s="4" t="n"/>
      <c r="D188" s="4" t="n"/>
      <c r="E188" s="4" t="n"/>
      <c r="F188" s="4" t="n"/>
      <c r="G188" s="4" t="n"/>
      <c r="H188" s="4" t="n"/>
      <c r="I188" s="4" t="n"/>
      <c r="J188" s="4" t="n"/>
      <c r="K188" s="4" t="n"/>
      <c r="L188" s="4" t="n"/>
      <c r="M188" s="4" t="n"/>
      <c r="N188" s="4" t="n"/>
      <c r="O188" s="4" t="n"/>
      <c r="P188" s="4" t="n"/>
      <c r="Q188" s="4" t="n"/>
      <c r="R188" s="4" t="n"/>
    </row>
    <row r="189">
      <c r="A189" s="21" t="inlineStr"/>
      <c r="B189" s="4" t="n"/>
      <c r="C189" s="4" t="n"/>
      <c r="D189" s="4" t="n"/>
      <c r="E189" s="4" t="n"/>
      <c r="F189" s="4" t="n"/>
      <c r="G189" s="4" t="n"/>
      <c r="H189" s="4" t="n"/>
      <c r="I189" s="4" t="n"/>
      <c r="J189" s="4" t="n"/>
      <c r="K189" s="4" t="n"/>
      <c r="L189" s="4" t="n"/>
      <c r="M189" s="4" t="n"/>
      <c r="N189" s="4" t="n"/>
      <c r="O189" s="4" t="n"/>
      <c r="P189" s="4" t="n"/>
      <c r="Q189" s="4" t="n"/>
      <c r="R189" s="4" t="n"/>
    </row>
    <row r="190">
      <c r="A190" s="21" t="inlineStr"/>
      <c r="B190" s="4" t="n"/>
      <c r="C190" s="4" t="n"/>
      <c r="D190" s="4" t="n"/>
      <c r="E190" s="4" t="n"/>
      <c r="F190" s="4" t="n"/>
      <c r="G190" s="4" t="n"/>
      <c r="H190" s="4" t="n"/>
      <c r="I190" s="4" t="n"/>
      <c r="J190" s="4" t="n"/>
      <c r="K190" s="4" t="n"/>
      <c r="L190" s="4" t="n"/>
      <c r="M190" s="4" t="n"/>
      <c r="N190" s="4" t="n"/>
      <c r="O190" s="4" t="n"/>
      <c r="P190" s="4" t="n"/>
      <c r="Q190" s="4" t="n"/>
      <c r="R190" s="4" t="n"/>
    </row>
    <row r="191">
      <c r="A191" s="21" t="inlineStr"/>
      <c r="B191" s="4" t="n"/>
      <c r="C191" s="4" t="n"/>
      <c r="D191" s="4" t="n"/>
      <c r="E191" s="4" t="n"/>
      <c r="F191" s="4" t="n"/>
      <c r="G191" s="4" t="n"/>
      <c r="H191" s="4" t="n"/>
      <c r="I191" s="4" t="n"/>
      <c r="J191" s="4" t="n"/>
      <c r="K191" s="4" t="n"/>
      <c r="L191" s="4" t="n"/>
      <c r="M191" s="4" t="n"/>
      <c r="N191" s="4" t="n"/>
      <c r="O191" s="4" t="n"/>
      <c r="P191" s="4" t="n"/>
      <c r="Q191" s="4" t="n"/>
      <c r="R191" s="4" t="n"/>
    </row>
    <row r="192">
      <c r="A192" s="21" t="inlineStr"/>
      <c r="B192" s="4" t="n"/>
      <c r="C192" s="4" t="n"/>
      <c r="D192" s="4" t="n"/>
      <c r="E192" s="4" t="n"/>
      <c r="F192" s="4" t="n"/>
      <c r="G192" s="4" t="n"/>
      <c r="H192" s="4" t="n"/>
      <c r="I192" s="4" t="n"/>
      <c r="J192" s="4" t="n"/>
      <c r="K192" s="4" t="n"/>
      <c r="L192" s="4" t="n"/>
      <c r="M192" s="4" t="n"/>
      <c r="N192" s="4" t="n"/>
      <c r="O192" s="4" t="n"/>
      <c r="P192" s="4" t="n"/>
      <c r="Q192" s="4" t="n"/>
      <c r="R192" s="4" t="n"/>
    </row>
    <row r="193">
      <c r="A193" s="21" t="inlineStr"/>
      <c r="B193" s="4" t="n"/>
      <c r="C193" s="4" t="n"/>
      <c r="D193" s="4" t="n"/>
      <c r="E193" s="4" t="n"/>
      <c r="F193" s="4" t="n"/>
      <c r="G193" s="4" t="n"/>
      <c r="H193" s="4" t="n"/>
      <c r="I193" s="4" t="n"/>
      <c r="J193" s="4" t="n"/>
      <c r="K193" s="4" t="n"/>
      <c r="L193" s="4" t="n"/>
      <c r="M193" s="4" t="n"/>
      <c r="N193" s="4" t="n"/>
      <c r="O193" s="4" t="n"/>
      <c r="P193" s="4" t="n"/>
      <c r="Q193" s="4" t="n"/>
      <c r="R193" s="4" t="n"/>
    </row>
    <row r="194">
      <c r="A194" s="21" t="inlineStr"/>
      <c r="B194" s="4" t="n"/>
      <c r="C194" s="4" t="n"/>
      <c r="D194" s="4" t="n"/>
      <c r="E194" s="4" t="n"/>
      <c r="F194" s="4" t="n"/>
      <c r="G194" s="4" t="n"/>
      <c r="H194" s="4" t="n"/>
      <c r="I194" s="4" t="n"/>
      <c r="J194" s="4" t="n"/>
      <c r="K194" s="4" t="n"/>
      <c r="L194" s="4" t="n"/>
      <c r="M194" s="4" t="n"/>
      <c r="N194" s="4" t="n"/>
      <c r="O194" s="4" t="n"/>
      <c r="P194" s="4" t="n"/>
      <c r="Q194" s="4" t="n"/>
      <c r="R194" s="4" t="n"/>
    </row>
    <row r="195">
      <c r="A195" s="21" t="inlineStr"/>
      <c r="B195" s="4" t="n"/>
      <c r="C195" s="4" t="n"/>
      <c r="D195" s="4" t="n"/>
      <c r="E195" s="4" t="n"/>
      <c r="F195" s="4" t="n"/>
      <c r="G195" s="4" t="n"/>
      <c r="H195" s="4" t="n"/>
      <c r="I195" s="4" t="n"/>
      <c r="J195" s="4" t="n"/>
      <c r="K195" s="4" t="n"/>
      <c r="L195" s="4" t="n"/>
      <c r="M195" s="4" t="n"/>
      <c r="N195" s="4" t="n"/>
      <c r="O195" s="4" t="n"/>
      <c r="P195" s="4" t="n"/>
      <c r="Q195" s="4" t="n"/>
      <c r="R195" s="4" t="n"/>
    </row>
    <row r="196">
      <c r="A196" s="21" t="inlineStr"/>
      <c r="B196" s="4" t="n"/>
      <c r="C196" s="4" t="n"/>
      <c r="D196" s="4" t="n"/>
      <c r="E196" s="4" t="n"/>
      <c r="F196" s="4" t="n"/>
      <c r="G196" s="4" t="n"/>
      <c r="H196" s="4" t="n"/>
      <c r="I196" s="4" t="n"/>
      <c r="J196" s="4" t="n"/>
      <c r="K196" s="4" t="n"/>
      <c r="L196" s="4" t="n"/>
      <c r="M196" s="4" t="n"/>
      <c r="N196" s="4" t="n"/>
      <c r="O196" s="4" t="n"/>
      <c r="P196" s="4" t="n"/>
      <c r="Q196" s="4" t="n"/>
      <c r="R196" s="4" t="n"/>
    </row>
    <row r="197">
      <c r="A197" s="21" t="inlineStr"/>
      <c r="B197" s="4" t="n"/>
      <c r="C197" s="4" t="n"/>
      <c r="D197" s="4" t="n"/>
      <c r="E197" s="4" t="n"/>
      <c r="F197" s="4" t="n"/>
      <c r="G197" s="4" t="n"/>
      <c r="H197" s="4" t="n"/>
      <c r="I197" s="4" t="n"/>
      <c r="J197" s="4" t="n"/>
      <c r="K197" s="4" t="n"/>
      <c r="L197" s="4" t="n"/>
      <c r="M197" s="4" t="n"/>
      <c r="N197" s="4" t="n"/>
      <c r="O197" s="4" t="n"/>
      <c r="P197" s="4" t="n"/>
      <c r="Q197" s="4" t="n"/>
      <c r="R197" s="4" t="n"/>
    </row>
    <row r="198">
      <c r="A198" s="21" t="inlineStr"/>
      <c r="B198" s="4" t="n"/>
      <c r="C198" s="4" t="n"/>
      <c r="D198" s="4" t="n"/>
      <c r="E198" s="4" t="n"/>
      <c r="F198" s="4" t="n"/>
      <c r="G198" s="4" t="n"/>
      <c r="H198" s="4" t="n"/>
      <c r="I198" s="4" t="n"/>
      <c r="J198" s="4" t="n"/>
      <c r="K198" s="4" t="n"/>
      <c r="L198" s="4" t="n"/>
      <c r="M198" s="4" t="n"/>
      <c r="N198" s="4" t="n"/>
      <c r="O198" s="4" t="n"/>
      <c r="P198" s="4" t="n"/>
      <c r="Q198" s="4" t="n"/>
      <c r="R198" s="4" t="n"/>
    </row>
    <row r="199">
      <c r="A199" s="21" t="inlineStr"/>
      <c r="B199" s="4" t="n"/>
      <c r="C199" s="4" t="n"/>
      <c r="D199" s="4" t="n"/>
      <c r="E199" s="4" t="n"/>
      <c r="F199" s="4" t="n"/>
      <c r="G199" s="4" t="n"/>
      <c r="H199" s="4" t="n"/>
      <c r="I199" s="4" t="n"/>
      <c r="J199" s="4" t="n"/>
      <c r="K199" s="4" t="n"/>
      <c r="L199" s="4" t="n"/>
      <c r="M199" s="4" t="n"/>
      <c r="N199" s="4" t="n"/>
      <c r="O199" s="4" t="n"/>
      <c r="P199" s="4" t="n"/>
      <c r="Q199" s="4" t="n"/>
      <c r="R199" s="4" t="n"/>
    </row>
    <row r="200">
      <c r="A200" s="21" t="inlineStr"/>
      <c r="B200" s="4" t="n"/>
      <c r="C200" s="4" t="n"/>
      <c r="D200" s="4" t="n"/>
      <c r="E200" s="4" t="n"/>
      <c r="F200" s="4" t="n"/>
      <c r="G200" s="4" t="n"/>
      <c r="H200" s="4" t="n"/>
      <c r="I200" s="4" t="n"/>
      <c r="J200" s="4" t="n"/>
      <c r="K200" s="4" t="n"/>
      <c r="L200" s="4" t="n"/>
      <c r="M200" s="4" t="n"/>
      <c r="N200" s="4" t="n"/>
      <c r="O200" s="4" t="n"/>
      <c r="P200" s="4" t="n"/>
      <c r="Q200" s="4" t="n"/>
      <c r="R200" s="4" t="n"/>
    </row>
    <row r="201">
      <c r="A201" s="21" t="inlineStr"/>
      <c r="B201" s="4" t="n"/>
      <c r="C201" s="4" t="n"/>
      <c r="D201" s="4" t="n"/>
      <c r="E201" s="4" t="n"/>
      <c r="F201" s="4" t="n"/>
      <c r="G201" s="4" t="n"/>
      <c r="H201" s="4" t="n"/>
      <c r="I201" s="4" t="n"/>
      <c r="J201" s="4" t="n"/>
      <c r="K201" s="4" t="n"/>
      <c r="L201" s="4" t="n"/>
      <c r="M201" s="4" t="n"/>
      <c r="N201" s="4" t="n"/>
      <c r="O201" s="4" t="n"/>
      <c r="P201" s="4" t="n"/>
      <c r="Q201" s="4" t="n"/>
      <c r="R201" s="4" t="n"/>
    </row>
    <row r="202">
      <c r="A202" s="21" t="inlineStr"/>
      <c r="B202" s="4" t="n"/>
      <c r="C202" s="4" t="n"/>
      <c r="D202" s="4" t="n"/>
      <c r="E202" s="4" t="n"/>
      <c r="F202" s="4" t="n"/>
      <c r="G202" s="4" t="n"/>
      <c r="H202" s="4" t="n"/>
      <c r="I202" s="4" t="n"/>
      <c r="J202" s="4" t="n"/>
      <c r="K202" s="4" t="n"/>
      <c r="L202" s="4" t="n"/>
      <c r="M202" s="4" t="n"/>
      <c r="N202" s="4" t="n"/>
      <c r="O202" s="4" t="n"/>
      <c r="P202" s="4" t="n"/>
      <c r="Q202" s="4" t="n"/>
      <c r="R202" s="4" t="n"/>
    </row>
    <row r="203">
      <c r="A203" s="21" t="inlineStr"/>
      <c r="B203" s="4" t="n"/>
      <c r="C203" s="4" t="n"/>
      <c r="D203" s="4" t="n"/>
      <c r="E203" s="4" t="n"/>
      <c r="F203" s="4" t="n"/>
      <c r="G203" s="4" t="n"/>
      <c r="H203" s="4" t="n"/>
      <c r="I203" s="4" t="n"/>
      <c r="J203" s="4" t="n"/>
      <c r="K203" s="4" t="n"/>
      <c r="L203" s="4" t="n"/>
      <c r="M203" s="4" t="n"/>
      <c r="N203" s="4" t="n"/>
      <c r="O203" s="4" t="n"/>
      <c r="P203" s="4" t="n"/>
      <c r="Q203" s="4" t="n"/>
      <c r="R203" s="4" t="n"/>
    </row>
    <row r="204">
      <c r="A204" s="21" t="inlineStr"/>
      <c r="B204" s="4" t="n"/>
      <c r="C204" s="4" t="n"/>
      <c r="D204" s="4" t="n"/>
      <c r="E204" s="4" t="n"/>
      <c r="F204" s="4" t="n"/>
      <c r="G204" s="4" t="n"/>
      <c r="H204" s="4" t="n"/>
      <c r="I204" s="4" t="n"/>
      <c r="J204" s="4" t="n"/>
      <c r="K204" s="4" t="n"/>
      <c r="L204" s="4" t="n"/>
      <c r="M204" s="4" t="n"/>
      <c r="N204" s="4" t="n"/>
      <c r="O204" s="4" t="n"/>
      <c r="P204" s="4" t="n"/>
      <c r="Q204" s="4" t="n"/>
      <c r="R204" s="4" t="n"/>
    </row>
    <row r="205">
      <c r="A205" s="21" t="inlineStr"/>
      <c r="B205" s="4" t="n"/>
      <c r="C205" s="4" t="n"/>
      <c r="D205" s="4" t="n"/>
      <c r="E205" s="4" t="n"/>
      <c r="F205" s="4" t="n"/>
      <c r="G205" s="4" t="n"/>
      <c r="H205" s="4" t="n"/>
      <c r="I205" s="4" t="n"/>
      <c r="J205" s="4" t="n"/>
      <c r="K205" s="4" t="n"/>
      <c r="L205" s="4" t="n"/>
      <c r="M205" s="4" t="n"/>
      <c r="N205" s="4" t="n"/>
      <c r="O205" s="4" t="n"/>
      <c r="P205" s="4" t="n"/>
      <c r="Q205" s="4" t="n"/>
      <c r="R205" s="4" t="n"/>
    </row>
    <row r="206">
      <c r="A206" s="21" t="inlineStr"/>
      <c r="B206" s="4" t="n"/>
      <c r="C206" s="4" t="n"/>
      <c r="D206" s="4" t="n"/>
      <c r="E206" s="4" t="n"/>
      <c r="F206" s="4" t="n"/>
      <c r="G206" s="4" t="n"/>
      <c r="H206" s="4" t="n"/>
      <c r="I206" s="4" t="n"/>
      <c r="J206" s="4" t="n"/>
      <c r="K206" s="4" t="n"/>
      <c r="L206" s="4" t="n"/>
      <c r="M206" s="4" t="n"/>
      <c r="N206" s="4" t="n"/>
      <c r="O206" s="4" t="n"/>
      <c r="P206" s="4" t="n"/>
      <c r="Q206" s="4" t="n"/>
      <c r="R206" s="4" t="n"/>
    </row>
    <row r="207">
      <c r="A207" s="21" t="inlineStr"/>
      <c r="B207" s="4" t="n"/>
      <c r="C207" s="4" t="n"/>
      <c r="D207" s="4" t="n"/>
      <c r="E207" s="4" t="n"/>
      <c r="F207" s="4" t="n"/>
      <c r="G207" s="4" t="n"/>
      <c r="H207" s="4" t="n"/>
      <c r="I207" s="4" t="n"/>
      <c r="J207" s="4" t="n"/>
      <c r="K207" s="4" t="n"/>
      <c r="L207" s="4" t="n"/>
      <c r="M207" s="4" t="n"/>
      <c r="N207" s="4" t="n"/>
      <c r="O207" s="4" t="n"/>
      <c r="P207" s="4" t="n"/>
      <c r="Q207" s="4" t="n"/>
      <c r="R207" s="4" t="n"/>
    </row>
    <row r="208">
      <c r="A208" s="21" t="inlineStr"/>
      <c r="B208" s="4" t="n"/>
      <c r="C208" s="4" t="n"/>
      <c r="D208" s="4" t="n"/>
      <c r="E208" s="4" t="n"/>
      <c r="F208" s="4" t="n"/>
      <c r="G208" s="4" t="n"/>
      <c r="H208" s="4" t="n"/>
      <c r="I208" s="4" t="n"/>
      <c r="J208" s="4" t="n"/>
      <c r="K208" s="4" t="n"/>
      <c r="L208" s="4" t="n"/>
      <c r="M208" s="4" t="n"/>
      <c r="N208" s="4" t="n"/>
      <c r="O208" s="4" t="n"/>
      <c r="P208" s="4" t="n"/>
      <c r="Q208" s="4" t="n"/>
      <c r="R208" s="4" t="n"/>
    </row>
    <row r="209">
      <c r="A209" s="21" t="inlineStr"/>
      <c r="B209" s="4" t="n"/>
      <c r="C209" s="4" t="n"/>
      <c r="D209" s="4" t="n"/>
      <c r="E209" s="4" t="n"/>
      <c r="F209" s="4" t="n"/>
      <c r="G209" s="4" t="n"/>
      <c r="H209" s="4" t="n"/>
      <c r="I209" s="4" t="n"/>
      <c r="J209" s="4" t="n"/>
      <c r="K209" s="4" t="n"/>
      <c r="L209" s="4" t="n"/>
      <c r="M209" s="4" t="n"/>
      <c r="N209" s="4" t="n"/>
      <c r="O209" s="4" t="n"/>
      <c r="P209" s="4" t="n"/>
      <c r="Q209" s="4" t="n"/>
      <c r="R209" s="4" t="n"/>
    </row>
    <row r="210">
      <c r="A210" s="21" t="inlineStr"/>
      <c r="B210" s="4" t="n"/>
      <c r="C210" s="4" t="n"/>
      <c r="D210" s="4" t="n"/>
      <c r="E210" s="4" t="n"/>
      <c r="F210" s="4" t="n"/>
      <c r="G210" s="4" t="n"/>
      <c r="H210" s="4" t="n"/>
      <c r="I210" s="4" t="n"/>
      <c r="J210" s="4" t="n"/>
      <c r="K210" s="4" t="n"/>
      <c r="L210" s="4" t="n"/>
      <c r="M210" s="4" t="n"/>
      <c r="N210" s="4" t="n"/>
      <c r="O210" s="4" t="n"/>
      <c r="P210" s="4" t="n"/>
      <c r="Q210" s="4" t="n"/>
      <c r="R210" s="4" t="n"/>
    </row>
    <row r="211">
      <c r="A211" s="21" t="inlineStr"/>
      <c r="B211" s="4" t="n"/>
      <c r="C211" s="4" t="n"/>
      <c r="D211" s="4" t="n"/>
      <c r="E211" s="4" t="n"/>
      <c r="F211" s="4" t="n"/>
      <c r="G211" s="4" t="n"/>
      <c r="H211" s="4" t="n"/>
      <c r="I211" s="4" t="n"/>
      <c r="J211" s="4" t="n"/>
      <c r="K211" s="4" t="n"/>
      <c r="L211" s="4" t="n"/>
      <c r="M211" s="4" t="n"/>
      <c r="N211" s="4" t="n"/>
      <c r="O211" s="4" t="n"/>
      <c r="P211" s="4" t="n"/>
      <c r="Q211" s="4" t="n"/>
      <c r="R211" s="4" t="n"/>
    </row>
    <row r="212">
      <c r="A212" s="21" t="inlineStr"/>
      <c r="B212" s="4" t="n"/>
      <c r="C212" s="4" t="n"/>
      <c r="D212" s="4" t="n"/>
      <c r="E212" s="4" t="n"/>
      <c r="F212" s="4" t="n"/>
      <c r="G212" s="4" t="n"/>
      <c r="H212" s="4" t="n"/>
      <c r="I212" s="4" t="n"/>
      <c r="J212" s="4" t="n"/>
      <c r="K212" s="4" t="n"/>
      <c r="L212" s="4" t="n"/>
      <c r="M212" s="4" t="n"/>
      <c r="N212" s="4" t="n"/>
      <c r="O212" s="4" t="n"/>
      <c r="P212" s="4" t="n"/>
      <c r="Q212" s="4" t="n"/>
      <c r="R212" s="4" t="n"/>
    </row>
    <row r="213">
      <c r="A213" s="21" t="inlineStr"/>
      <c r="B213" s="4" t="n"/>
      <c r="C213" s="4" t="n"/>
      <c r="D213" s="4" t="n"/>
      <c r="E213" s="4" t="n"/>
      <c r="F213" s="4" t="n"/>
      <c r="G213" s="4" t="n"/>
      <c r="H213" s="4" t="n"/>
      <c r="I213" s="4" t="n"/>
      <c r="J213" s="4" t="n"/>
      <c r="K213" s="4" t="n"/>
      <c r="L213" s="4" t="n"/>
      <c r="M213" s="4" t="n"/>
      <c r="N213" s="4" t="n"/>
      <c r="O213" s="4" t="n"/>
      <c r="P213" s="4" t="n"/>
      <c r="Q213" s="4" t="n"/>
      <c r="R213" s="4" t="n"/>
    </row>
    <row r="214">
      <c r="A214" s="21" t="inlineStr"/>
      <c r="B214" s="4" t="n"/>
      <c r="C214" s="4" t="n"/>
      <c r="D214" s="4" t="n"/>
      <c r="E214" s="4" t="n"/>
      <c r="F214" s="4" t="n"/>
      <c r="G214" s="4" t="n"/>
      <c r="H214" s="4" t="n"/>
      <c r="I214" s="4" t="n"/>
      <c r="J214" s="4" t="n"/>
      <c r="K214" s="4" t="n"/>
      <c r="L214" s="4" t="n"/>
      <c r="M214" s="4" t="n"/>
      <c r="N214" s="4" t="n"/>
      <c r="O214" s="4" t="n"/>
      <c r="P214" s="4" t="n"/>
      <c r="Q214" s="4" t="n"/>
      <c r="R214" s="4" t="n"/>
    </row>
    <row r="215">
      <c r="A215" s="21" t="inlineStr"/>
      <c r="B215" s="4" t="n"/>
      <c r="C215" s="4" t="n"/>
      <c r="D215" s="4" t="n"/>
      <c r="E215" s="4" t="n"/>
      <c r="F215" s="4" t="n"/>
      <c r="G215" s="4" t="n"/>
      <c r="H215" s="4" t="n"/>
      <c r="I215" s="4" t="n"/>
      <c r="J215" s="4" t="n"/>
      <c r="K215" s="4" t="n"/>
      <c r="L215" s="4" t="n"/>
      <c r="M215" s="4" t="n"/>
      <c r="N215" s="4" t="n"/>
      <c r="O215" s="4" t="n"/>
      <c r="P215" s="4" t="n"/>
      <c r="Q215" s="4" t="n"/>
      <c r="R215" s="4" t="n"/>
    </row>
    <row r="216">
      <c r="A216" s="21" t="inlineStr"/>
      <c r="B216" s="4" t="n"/>
      <c r="C216" s="4" t="n"/>
      <c r="D216" s="4" t="n"/>
      <c r="E216" s="4" t="n"/>
      <c r="F216" s="4" t="n"/>
      <c r="G216" s="4" t="n"/>
      <c r="H216" s="4" t="n"/>
      <c r="I216" s="4" t="n"/>
      <c r="J216" s="4" t="n"/>
      <c r="K216" s="4" t="n"/>
      <c r="L216" s="4" t="n"/>
      <c r="M216" s="4" t="n"/>
      <c r="N216" s="4" t="n"/>
      <c r="O216" s="4" t="n"/>
      <c r="P216" s="4" t="n"/>
      <c r="Q216" s="4" t="n"/>
      <c r="R216" s="4" t="n"/>
    </row>
    <row r="217">
      <c r="A217" s="21" t="inlineStr"/>
      <c r="B217" s="4" t="n"/>
      <c r="C217" s="4" t="n"/>
      <c r="D217" s="4" t="n"/>
      <c r="E217" s="4" t="n"/>
      <c r="F217" s="4" t="n"/>
      <c r="G217" s="4" t="n"/>
      <c r="H217" s="4" t="n"/>
      <c r="I217" s="4" t="n"/>
      <c r="J217" s="4" t="n"/>
      <c r="K217" s="4" t="n"/>
      <c r="L217" s="4" t="n"/>
      <c r="M217" s="4" t="n"/>
      <c r="N217" s="4" t="n"/>
      <c r="O217" s="4" t="n"/>
      <c r="P217" s="4" t="n"/>
      <c r="Q217" s="4" t="n"/>
      <c r="R217" s="4" t="n"/>
    </row>
    <row r="218">
      <c r="A218" s="21" t="inlineStr"/>
      <c r="B218" s="4" t="n"/>
      <c r="C218" s="4" t="n"/>
      <c r="D218" s="4" t="n"/>
      <c r="E218" s="4" t="n"/>
      <c r="F218" s="4" t="n"/>
      <c r="G218" s="4" t="n"/>
      <c r="H218" s="4" t="n"/>
      <c r="I218" s="4" t="n"/>
      <c r="J218" s="4" t="n"/>
      <c r="K218" s="4" t="n"/>
      <c r="L218" s="4" t="n"/>
      <c r="M218" s="4" t="n"/>
      <c r="N218" s="4" t="n"/>
      <c r="O218" s="4" t="n"/>
      <c r="P218" s="4" t="n"/>
      <c r="Q218" s="4" t="n"/>
      <c r="R218" s="4" t="n"/>
    </row>
    <row r="219">
      <c r="A219" s="21" t="inlineStr"/>
      <c r="B219" s="4" t="n"/>
      <c r="C219" s="4" t="n"/>
      <c r="D219" s="4" t="n"/>
      <c r="E219" s="4" t="n"/>
      <c r="F219" s="4" t="n"/>
      <c r="G219" s="4" t="n"/>
      <c r="H219" s="4" t="n"/>
      <c r="I219" s="4" t="n"/>
      <c r="J219" s="4" t="n"/>
      <c r="K219" s="4" t="n"/>
      <c r="L219" s="4" t="n"/>
      <c r="M219" s="4" t="n"/>
      <c r="N219" s="4" t="n"/>
      <c r="O219" s="4" t="n"/>
      <c r="P219" s="4" t="n"/>
      <c r="Q219" s="4" t="n"/>
      <c r="R219" s="4" t="n"/>
    </row>
    <row r="220">
      <c r="A220" s="21" t="inlineStr"/>
      <c r="B220" s="4" t="n"/>
      <c r="C220" s="4" t="n"/>
      <c r="D220" s="4" t="n"/>
      <c r="E220" s="4" t="n"/>
      <c r="F220" s="4" t="n"/>
      <c r="G220" s="4" t="n"/>
      <c r="H220" s="4" t="n"/>
      <c r="I220" s="4" t="n"/>
      <c r="J220" s="4" t="n"/>
      <c r="K220" s="4" t="n"/>
      <c r="L220" s="4" t="n"/>
      <c r="M220" s="4" t="n"/>
      <c r="N220" s="4" t="n"/>
      <c r="O220" s="4" t="n"/>
      <c r="P220" s="4" t="n"/>
      <c r="Q220" s="4" t="n"/>
      <c r="R220" s="4" t="n"/>
    </row>
    <row r="221">
      <c r="A221" s="21" t="inlineStr"/>
      <c r="B221" s="4" t="n"/>
      <c r="C221" s="4" t="n"/>
      <c r="D221" s="4" t="n"/>
      <c r="E221" s="4" t="n"/>
      <c r="F221" s="4" t="n"/>
      <c r="G221" s="4" t="n"/>
      <c r="H221" s="4" t="n"/>
      <c r="I221" s="4" t="n"/>
      <c r="J221" s="4" t="n"/>
      <c r="K221" s="4" t="n"/>
      <c r="L221" s="4" t="n"/>
      <c r="M221" s="4" t="n"/>
      <c r="N221" s="4" t="n"/>
      <c r="O221" s="4" t="n"/>
      <c r="P221" s="4" t="n"/>
      <c r="Q221" s="4" t="n"/>
      <c r="R221" s="4" t="n"/>
    </row>
    <row r="222">
      <c r="A222" s="21" t="inlineStr"/>
      <c r="B222" s="4" t="n"/>
      <c r="C222" s="4" t="n"/>
      <c r="D222" s="4" t="n"/>
      <c r="E222" s="4" t="n"/>
      <c r="F222" s="4" t="n"/>
      <c r="G222" s="4" t="n"/>
      <c r="H222" s="4" t="n"/>
      <c r="I222" s="4" t="n"/>
      <c r="J222" s="4" t="n"/>
      <c r="K222" s="4" t="n"/>
      <c r="L222" s="4" t="n"/>
      <c r="M222" s="4" t="n"/>
      <c r="N222" s="4" t="n"/>
      <c r="O222" s="4" t="n"/>
      <c r="P222" s="4" t="n"/>
      <c r="Q222" s="4" t="n"/>
      <c r="R222" s="4" t="n"/>
    </row>
    <row r="223">
      <c r="A223" s="21" t="inlineStr"/>
      <c r="B223" s="4" t="n"/>
      <c r="C223" s="4" t="n"/>
      <c r="D223" s="4" t="n"/>
      <c r="E223" s="4" t="n"/>
      <c r="F223" s="4" t="n"/>
      <c r="G223" s="4" t="n"/>
      <c r="H223" s="4" t="n"/>
      <c r="I223" s="4" t="n"/>
      <c r="J223" s="4" t="n"/>
      <c r="K223" s="4" t="n"/>
      <c r="L223" s="4" t="n"/>
      <c r="M223" s="4" t="n"/>
      <c r="N223" s="4" t="n"/>
      <c r="O223" s="4" t="n"/>
      <c r="P223" s="4" t="n"/>
      <c r="Q223" s="4" t="n"/>
      <c r="R223" s="4" t="n"/>
    </row>
    <row r="224">
      <c r="A224" s="21" t="inlineStr"/>
      <c r="B224" s="4" t="n"/>
      <c r="C224" s="4" t="n"/>
      <c r="D224" s="4" t="n"/>
      <c r="E224" s="4" t="n"/>
      <c r="F224" s="4" t="n"/>
      <c r="G224" s="4" t="n"/>
      <c r="H224" s="4" t="n"/>
      <c r="I224" s="4" t="n"/>
      <c r="J224" s="4" t="n"/>
      <c r="K224" s="4" t="n"/>
      <c r="L224" s="4" t="n"/>
      <c r="M224" s="4" t="n"/>
      <c r="N224" s="4" t="n"/>
      <c r="O224" s="4" t="n"/>
      <c r="P224" s="4" t="n"/>
      <c r="Q224" s="4" t="n"/>
      <c r="R224" s="4" t="n"/>
    </row>
    <row r="225">
      <c r="A225" s="21" t="inlineStr"/>
      <c r="B225" s="4" t="n"/>
      <c r="C225" s="4" t="n"/>
      <c r="D225" s="4" t="n"/>
      <c r="E225" s="4" t="n"/>
      <c r="F225" s="4" t="n"/>
      <c r="G225" s="4" t="n"/>
      <c r="H225" s="4" t="n"/>
      <c r="I225" s="4" t="n"/>
      <c r="J225" s="4" t="n"/>
      <c r="K225" s="4" t="n"/>
      <c r="L225" s="4" t="n"/>
      <c r="M225" s="4" t="n"/>
      <c r="N225" s="4" t="n"/>
      <c r="O225" s="4" t="n"/>
      <c r="P225" s="4" t="n"/>
      <c r="Q225" s="4" t="n"/>
      <c r="R225" s="4" t="n"/>
    </row>
    <row r="226">
      <c r="A226" s="21" t="inlineStr"/>
      <c r="B226" s="4" t="n"/>
      <c r="C226" s="4" t="n"/>
      <c r="D226" s="4" t="n"/>
      <c r="E226" s="4" t="n"/>
      <c r="F226" s="4" t="n"/>
      <c r="G226" s="4" t="n"/>
      <c r="H226" s="4" t="n"/>
      <c r="I226" s="4" t="n"/>
      <c r="J226" s="4" t="n"/>
      <c r="K226" s="4" t="n"/>
      <c r="L226" s="4" t="n"/>
      <c r="M226" s="4" t="n"/>
      <c r="N226" s="4" t="n"/>
      <c r="O226" s="4" t="n"/>
      <c r="P226" s="4" t="n"/>
      <c r="Q226" s="4" t="n"/>
      <c r="R226" s="4" t="n"/>
    </row>
    <row r="227">
      <c r="A227" s="21" t="inlineStr"/>
      <c r="B227" s="4" t="n"/>
      <c r="C227" s="4" t="n"/>
      <c r="D227" s="4" t="n"/>
      <c r="E227" s="4" t="n"/>
      <c r="F227" s="4" t="n"/>
      <c r="G227" s="4" t="n"/>
      <c r="H227" s="4" t="n"/>
      <c r="I227" s="4" t="n"/>
      <c r="J227" s="4" t="n"/>
      <c r="K227" s="4" t="n"/>
      <c r="L227" s="4" t="n"/>
      <c r="M227" s="4" t="n"/>
      <c r="N227" s="4" t="n"/>
      <c r="O227" s="4" t="n"/>
      <c r="P227" s="4" t="n"/>
      <c r="Q227" s="4" t="n"/>
      <c r="R227" s="4" t="n"/>
    </row>
    <row r="228">
      <c r="A228" s="21" t="inlineStr"/>
      <c r="B228" s="4" t="n"/>
      <c r="C228" s="4" t="n"/>
      <c r="D228" s="4" t="n"/>
      <c r="E228" s="4" t="n"/>
      <c r="F228" s="4" t="n"/>
      <c r="G228" s="4" t="n"/>
      <c r="H228" s="4" t="n"/>
      <c r="I228" s="4" t="n"/>
      <c r="J228" s="4" t="n"/>
      <c r="K228" s="4" t="n"/>
      <c r="L228" s="4" t="n"/>
      <c r="M228" s="4" t="n"/>
      <c r="N228" s="4" t="n"/>
      <c r="O228" s="4" t="n"/>
      <c r="P228" s="4" t="n"/>
      <c r="Q228" s="4" t="n"/>
      <c r="R228" s="4" t="n"/>
    </row>
    <row r="229">
      <c r="A229" s="21" t="inlineStr"/>
      <c r="B229" s="4" t="n"/>
      <c r="C229" s="4" t="n"/>
      <c r="D229" s="4" t="n"/>
      <c r="E229" s="4" t="n"/>
      <c r="F229" s="4" t="n"/>
      <c r="G229" s="4" t="n"/>
      <c r="H229" s="4" t="n"/>
      <c r="I229" s="4" t="n"/>
      <c r="J229" s="4" t="n"/>
      <c r="K229" s="4" t="n"/>
      <c r="L229" s="4" t="n"/>
      <c r="M229" s="4" t="n"/>
      <c r="N229" s="4" t="n"/>
      <c r="O229" s="4" t="n"/>
      <c r="P229" s="4" t="n"/>
      <c r="Q229" s="4" t="n"/>
      <c r="R229" s="4" t="n"/>
    </row>
    <row r="230">
      <c r="A230" s="21" t="inlineStr"/>
      <c r="B230" s="4" t="n"/>
      <c r="C230" s="4" t="n"/>
      <c r="D230" s="4" t="n"/>
      <c r="E230" s="4" t="n"/>
      <c r="F230" s="4" t="n"/>
      <c r="G230" s="4" t="n"/>
      <c r="H230" s="4" t="n"/>
      <c r="I230" s="4" t="n"/>
      <c r="J230" s="4" t="n"/>
      <c r="K230" s="4" t="n"/>
      <c r="L230" s="4" t="n"/>
      <c r="M230" s="4" t="n"/>
      <c r="N230" s="4" t="n"/>
      <c r="O230" s="4" t="n"/>
      <c r="P230" s="4" t="n"/>
      <c r="Q230" s="4" t="n"/>
      <c r="R230" s="4" t="n"/>
    </row>
    <row r="231">
      <c r="A231" s="21" t="inlineStr"/>
      <c r="B231" s="4" t="n"/>
      <c r="C231" s="4" t="n"/>
      <c r="D231" s="4" t="n"/>
      <c r="E231" s="4" t="n"/>
      <c r="F231" s="4" t="n"/>
      <c r="G231" s="4" t="n"/>
      <c r="H231" s="4" t="n"/>
      <c r="I231" s="4" t="n"/>
      <c r="J231" s="4" t="n"/>
      <c r="K231" s="4" t="n"/>
      <c r="L231" s="4" t="n"/>
      <c r="M231" s="4" t="n"/>
      <c r="N231" s="4" t="n"/>
      <c r="O231" s="4" t="n"/>
      <c r="P231" s="4" t="n"/>
      <c r="Q231" s="4" t="n"/>
      <c r="R231" s="4" t="n"/>
    </row>
    <row r="232">
      <c r="A232" s="21" t="inlineStr"/>
      <c r="B232" s="4" t="n"/>
      <c r="C232" s="4" t="n"/>
      <c r="D232" s="4" t="n"/>
      <c r="E232" s="4" t="n"/>
      <c r="F232" s="4" t="n"/>
      <c r="G232" s="4" t="n"/>
      <c r="H232" s="4" t="n"/>
      <c r="I232" s="4" t="n"/>
      <c r="J232" s="4" t="n"/>
      <c r="K232" s="4" t="n"/>
      <c r="L232" s="4" t="n"/>
      <c r="M232" s="4" t="n"/>
      <c r="N232" s="4" t="n"/>
      <c r="O232" s="4" t="n"/>
      <c r="P232" s="4" t="n"/>
      <c r="Q232" s="4" t="n"/>
      <c r="R232" s="4" t="n"/>
    </row>
    <row r="233">
      <c r="A233" s="21" t="inlineStr"/>
      <c r="B233" s="4" t="n"/>
      <c r="C233" s="4" t="n"/>
      <c r="D233" s="4" t="n"/>
      <c r="E233" s="4" t="n"/>
      <c r="F233" s="4" t="n"/>
      <c r="G233" s="4" t="n"/>
      <c r="H233" s="4" t="n"/>
      <c r="I233" s="4" t="n"/>
      <c r="J233" s="4" t="n"/>
      <c r="K233" s="4" t="n"/>
      <c r="L233" s="4" t="n"/>
      <c r="M233" s="4" t="n"/>
      <c r="N233" s="4" t="n"/>
      <c r="O233" s="4" t="n"/>
      <c r="P233" s="4" t="n"/>
      <c r="Q233" s="4" t="n"/>
      <c r="R233" s="4" t="n"/>
    </row>
    <row r="234">
      <c r="A234" s="21" t="inlineStr"/>
      <c r="B234" s="4" t="n"/>
      <c r="C234" s="4" t="n"/>
      <c r="D234" s="4" t="n"/>
      <c r="E234" s="4" t="n"/>
      <c r="F234" s="4" t="n"/>
      <c r="G234" s="4" t="n"/>
      <c r="H234" s="4" t="n"/>
      <c r="I234" s="4" t="n"/>
      <c r="J234" s="4" t="n"/>
      <c r="K234" s="4" t="n"/>
      <c r="L234" s="4" t="n"/>
      <c r="M234" s="4" t="n"/>
      <c r="N234" s="4" t="n"/>
      <c r="O234" s="4" t="n"/>
      <c r="P234" s="4" t="n"/>
      <c r="Q234" s="4" t="n"/>
      <c r="R234" s="4" t="n"/>
    </row>
    <row r="235">
      <c r="A235" s="21" t="inlineStr"/>
      <c r="B235" s="4" t="n"/>
      <c r="C235" s="4" t="n"/>
      <c r="D235" s="4" t="n"/>
      <c r="E235" s="4" t="n"/>
      <c r="F235" s="4" t="n"/>
      <c r="G235" s="4" t="n"/>
      <c r="H235" s="4" t="n"/>
      <c r="I235" s="4" t="n"/>
      <c r="J235" s="4" t="n"/>
      <c r="K235" s="4" t="n"/>
      <c r="L235" s="4" t="n"/>
      <c r="M235" s="4" t="n"/>
      <c r="N235" s="4" t="n"/>
      <c r="O235" s="4" t="n"/>
      <c r="P235" s="4" t="n"/>
      <c r="Q235" s="4" t="n"/>
      <c r="R235" s="4" t="n"/>
    </row>
    <row r="236">
      <c r="A236" s="21" t="inlineStr"/>
      <c r="B236" s="4" t="n"/>
      <c r="C236" s="4" t="n"/>
      <c r="D236" s="4" t="n"/>
      <c r="E236" s="4" t="n"/>
      <c r="F236" s="4" t="n"/>
      <c r="G236" s="4" t="n"/>
      <c r="H236" s="4" t="n"/>
      <c r="I236" s="4" t="n"/>
      <c r="J236" s="4" t="n"/>
      <c r="K236" s="4" t="n"/>
      <c r="L236" s="4" t="n"/>
      <c r="M236" s="4" t="n"/>
      <c r="N236" s="4" t="n"/>
      <c r="O236" s="4" t="n"/>
      <c r="P236" s="4" t="n"/>
      <c r="Q236" s="4" t="n"/>
      <c r="R236" s="4" t="n"/>
    </row>
  </sheetData>
  <mergeCells count="1">
    <mergeCell ref="A1:R1"/>
  </mergeCells>
  <dataValidations count="3">
    <dataValidation sqref="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showDropDown="0" showInputMessage="0" showErrorMessage="0" allowBlank="1" type="list">
      <formula1>"Critical,High,Medium,Low"</formula1>
    </dataValidation>
    <dataValidation sqref="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showDropDown="0" showInputMessage="0" showErrorMessage="0" allowBlank="1" type="list">
      <formula1>"Not Started,In Progress,Completed,Blocked,Deferred"</formula1>
    </dataValidation>
    <dataValidation sqref="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showDropDown="0" showInputMessage="0" showErrorMessage="0" allowBlank="1" type="list">
      <formula1>"A.8.5 Authentication,A.8.5 MFA,A.8.2 Privileged Access,A.8.2 Monitoring,A.8.3 Access Restriction"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pane ySplit="3" topLeftCell="A4" activePane="bottomLeft" state="frozen"/>
      <selection pane="bottomLeft" activeCell="A1" sqref="A1"/>
    </sheetView>
  </sheetViews>
  <sheetFormatPr baseColWidth="8" defaultRowHeight="15"/>
  <cols>
    <col width="35" customWidth="1" min="1" max="1"/>
    <col width="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8" customWidth="1" min="11" max="11"/>
    <col width="25" customWidth="1" min="12" max="12"/>
  </cols>
  <sheetData>
    <row r="1" ht="45" customHeight="1">
      <c r="A1" s="1" t="inlineStr">
        <is>
          <t>KEY PERFORMANCE INDICATORS &amp; METRICS - AUTHENTICATION &amp; ACCESS
Detailed tracking of security metrics and compliance targets</t>
        </is>
      </c>
    </row>
    <row r="3">
      <c r="A3" s="26" t="inlineStr">
        <is>
          <t>AUTHENTICATION METRICS (A.8.5)</t>
        </is>
      </c>
    </row>
    <row r="4">
      <c r="A4" s="7" t="inlineStr">
        <is>
          <t>KPI Name</t>
        </is>
      </c>
      <c r="B4" s="7" t="inlineStr">
        <is>
          <t>Unit</t>
        </is>
      </c>
      <c r="C4" s="7" t="inlineStr">
        <is>
          <t>Current Value</t>
        </is>
      </c>
      <c r="D4" s="7" t="inlineStr">
        <is>
          <t>Target</t>
        </is>
      </c>
      <c r="E4" s="7" t="inlineStr">
        <is>
          <t>Status</t>
        </is>
      </c>
      <c r="F4" s="7" t="inlineStr">
        <is>
          <t>Q1</t>
        </is>
      </c>
      <c r="G4" s="7" t="inlineStr">
        <is>
          <t>Q2</t>
        </is>
      </c>
      <c r="H4" s="7" t="inlineStr">
        <is>
          <t>Q3</t>
        </is>
      </c>
      <c r="I4" s="7" t="inlineStr">
        <is>
          <t>Q4</t>
        </is>
      </c>
      <c r="J4" s="7" t="inlineStr">
        <is>
          <t>YTD Trend</t>
        </is>
      </c>
      <c r="K4" s="7" t="inlineStr">
        <is>
          <t>Owner</t>
        </is>
      </c>
      <c r="L4" s="7" t="inlineStr">
        <is>
          <t>Notes</t>
        </is>
      </c>
    </row>
    <row r="5">
      <c r="A5" s="8" t="inlineStr">
        <is>
          <t>MFA Enrollment - All Users</t>
        </is>
      </c>
      <c r="B5" s="8" t="inlineStr">
        <is>
          <t>%</t>
        </is>
      </c>
      <c r="C5" s="4" t="inlineStr"/>
      <c r="D5" s="8" t="inlineStr">
        <is>
          <t>≥85%</t>
        </is>
      </c>
      <c r="E5" s="4" t="n"/>
      <c r="F5" s="4" t="n"/>
      <c r="G5" s="4" t="n"/>
      <c r="H5" s="4" t="n"/>
      <c r="I5" s="4" t="n"/>
      <c r="J5" s="4" t="n"/>
      <c r="K5" s="4" t="n"/>
      <c r="L5" s="4" t="n"/>
    </row>
    <row r="6">
      <c r="A6" s="8" t="inlineStr">
        <is>
          <t>MFA Enrollment - Privileged Users</t>
        </is>
      </c>
      <c r="B6" s="8" t="inlineStr">
        <is>
          <t>%</t>
        </is>
      </c>
      <c r="C6" s="4" t="inlineStr"/>
      <c r="D6" s="8" t="inlineStr">
        <is>
          <t>100%</t>
        </is>
      </c>
      <c r="E6" s="4" t="n"/>
      <c r="F6" s="4" t="n"/>
      <c r="G6" s="4" t="n"/>
      <c r="H6" s="4" t="n"/>
      <c r="I6" s="4" t="n"/>
      <c r="J6" s="4" t="n"/>
      <c r="K6" s="4" t="n"/>
      <c r="L6" s="4" t="n"/>
    </row>
    <row r="7">
      <c r="A7" s="8" t="inlineStr">
        <is>
          <t>MFA Enrollment - Remote Access</t>
        </is>
      </c>
      <c r="B7" s="8" t="inlineStr">
        <is>
          <t>%</t>
        </is>
      </c>
      <c r="C7" s="4" t="inlineStr"/>
      <c r="D7" s="8" t="inlineStr">
        <is>
          <t>100%</t>
        </is>
      </c>
      <c r="E7" s="4" t="n"/>
      <c r="F7" s="4" t="n"/>
      <c r="G7" s="4" t="n"/>
      <c r="H7" s="4" t="n"/>
      <c r="I7" s="4" t="n"/>
      <c r="J7" s="4" t="n"/>
      <c r="K7" s="4" t="n"/>
      <c r="L7" s="4" t="n"/>
    </row>
    <row r="8">
      <c r="A8" s="8" t="inlineStr">
        <is>
          <t>MFA Enrollment - Contractors</t>
        </is>
      </c>
      <c r="B8" s="8" t="inlineStr">
        <is>
          <t>%</t>
        </is>
      </c>
      <c r="C8" s="4" t="inlineStr"/>
      <c r="D8" s="8" t="inlineStr">
        <is>
          <t>100%</t>
        </is>
      </c>
      <c r="E8" s="4" t="n"/>
      <c r="F8" s="4" t="n"/>
      <c r="G8" s="4" t="n"/>
      <c r="H8" s="4" t="n"/>
      <c r="I8" s="4" t="n"/>
      <c r="J8" s="4" t="n"/>
      <c r="K8" s="4" t="n"/>
      <c r="L8" s="4" t="n"/>
    </row>
    <row r="9">
      <c r="A9" s="8" t="inlineStr">
        <is>
          <t>SSO Adoption Rate</t>
        </is>
      </c>
      <c r="B9" s="8" t="inlineStr">
        <is>
          <t>%</t>
        </is>
      </c>
      <c r="C9" s="4" t="inlineStr"/>
      <c r="D9" s="8" t="inlineStr">
        <is>
          <t>≥80%</t>
        </is>
      </c>
      <c r="E9" s="4" t="n"/>
      <c r="F9" s="4" t="n"/>
      <c r="G9" s="4" t="n"/>
      <c r="H9" s="4" t="n"/>
      <c r="I9" s="4" t="n"/>
      <c r="J9" s="4" t="n"/>
      <c r="K9" s="4" t="n"/>
      <c r="L9" s="4" t="n"/>
    </row>
    <row r="10">
      <c r="A10" s="8" t="inlineStr">
        <is>
          <t>Password Policy Compliance</t>
        </is>
      </c>
      <c r="B10" s="8" t="inlineStr">
        <is>
          <t>%</t>
        </is>
      </c>
      <c r="C10" s="4" t="inlineStr"/>
      <c r="D10" s="8" t="inlineStr">
        <is>
          <t>100%</t>
        </is>
      </c>
      <c r="E10" s="4" t="n"/>
      <c r="F10" s="4" t="n"/>
      <c r="G10" s="4" t="n"/>
      <c r="H10" s="4" t="n"/>
      <c r="I10" s="4" t="n"/>
      <c r="J10" s="4" t="n"/>
      <c r="K10" s="4" t="n"/>
      <c r="L10" s="4" t="n"/>
    </row>
    <row r="11">
      <c r="A11" s="8" t="inlineStr">
        <is>
          <t>Failed Login Attempts (Monthly Avg)</t>
        </is>
      </c>
      <c r="B11" s="8" t="inlineStr">
        <is>
          <t>Count</t>
        </is>
      </c>
      <c r="C11" s="4" t="inlineStr"/>
      <c r="D11" s="8" t="inlineStr">
        <is>
          <t>&lt;100</t>
        </is>
      </c>
      <c r="E11" s="4" t="n"/>
      <c r="F11" s="4" t="n"/>
      <c r="G11" s="4" t="n"/>
      <c r="H11" s="4" t="n"/>
      <c r="I11" s="4" t="n"/>
      <c r="J11" s="4" t="n"/>
      <c r="K11" s="4" t="n"/>
      <c r="L11" s="4" t="n"/>
    </row>
    <row r="12">
      <c r="A12" s="8" t="inlineStr">
        <is>
          <t>Account Lockouts (Monthly)</t>
        </is>
      </c>
      <c r="B12" s="8" t="inlineStr">
        <is>
          <t>Count</t>
        </is>
      </c>
      <c r="C12" s="4" t="inlineStr"/>
      <c r="D12" s="8" t="inlineStr">
        <is>
          <t>&lt;50</t>
        </is>
      </c>
      <c r="E12" s="4" t="n"/>
      <c r="F12" s="4" t="n"/>
      <c r="G12" s="4" t="n"/>
      <c r="H12" s="4" t="n"/>
      <c r="I12" s="4" t="n"/>
      <c r="J12" s="4" t="n"/>
      <c r="K12" s="4" t="n"/>
      <c r="L12" s="4" t="n"/>
    </row>
    <row r="14">
      <c r="A14" s="26" t="inlineStr">
        <is>
          <t>PRIVILEGED ACCESS METRICS (A.8.2)</t>
        </is>
      </c>
    </row>
    <row r="15">
      <c r="A15" s="7" t="inlineStr">
        <is>
          <t>KPI Name</t>
        </is>
      </c>
      <c r="B15" s="7" t="inlineStr">
        <is>
          <t>Unit</t>
        </is>
      </c>
      <c r="C15" s="7" t="inlineStr">
        <is>
          <t>Current Value</t>
        </is>
      </c>
      <c r="D15" s="7" t="inlineStr">
        <is>
          <t>Target</t>
        </is>
      </c>
      <c r="E15" s="7" t="inlineStr">
        <is>
          <t>Status</t>
        </is>
      </c>
      <c r="F15" s="7" t="inlineStr">
        <is>
          <t>Q1</t>
        </is>
      </c>
      <c r="G15" s="7" t="inlineStr">
        <is>
          <t>Q2</t>
        </is>
      </c>
      <c r="H15" s="7" t="inlineStr">
        <is>
          <t>Q3</t>
        </is>
      </c>
      <c r="I15" s="7" t="inlineStr">
        <is>
          <t>Q4</t>
        </is>
      </c>
      <c r="J15" s="7" t="inlineStr">
        <is>
          <t>YTD Trend</t>
        </is>
      </c>
      <c r="K15" s="7" t="inlineStr">
        <is>
          <t>Owner</t>
        </is>
      </c>
      <c r="L15" s="7" t="inlineStr">
        <is>
          <t>Notes</t>
        </is>
      </c>
    </row>
    <row r="16">
      <c r="A16" s="8" t="inlineStr">
        <is>
          <t>Shared Accounts in PAM Vault</t>
        </is>
      </c>
      <c r="B16" s="8" t="inlineStr">
        <is>
          <t>%</t>
        </is>
      </c>
      <c r="C16" s="4" t="inlineStr"/>
      <c r="D16" s="8" t="inlineStr">
        <is>
          <t>100%</t>
        </is>
      </c>
      <c r="E16" s="4" t="n"/>
      <c r="F16" s="4" t="n"/>
      <c r="G16" s="4" t="n"/>
      <c r="H16" s="4" t="n"/>
      <c r="I16" s="4" t="n"/>
      <c r="J16" s="4" t="n"/>
      <c r="K16" s="4" t="n"/>
      <c r="L16" s="4" t="n"/>
    </row>
    <row r="17">
      <c r="A17" s="8" t="inlineStr">
        <is>
          <t>Service Accounts in PAM Vault</t>
        </is>
      </c>
      <c r="B17" s="8" t="inlineStr">
        <is>
          <t>%</t>
        </is>
      </c>
      <c r="C17" s="4" t="inlineStr"/>
      <c r="D17" s="8" t="inlineStr">
        <is>
          <t>≥95%</t>
        </is>
      </c>
      <c r="E17" s="4" t="n"/>
      <c r="F17" s="4" t="n"/>
      <c r="G17" s="4" t="n"/>
      <c r="H17" s="4" t="n"/>
      <c r="I17" s="4" t="n"/>
      <c r="J17" s="4" t="n"/>
      <c r="K17" s="4" t="n"/>
      <c r="L17" s="4" t="n"/>
    </row>
    <row r="18">
      <c r="A18" s="8" t="inlineStr">
        <is>
          <t>Session Recording Coverage - Tier 0</t>
        </is>
      </c>
      <c r="B18" s="8" t="inlineStr">
        <is>
          <t>%</t>
        </is>
      </c>
      <c r="C18" s="4" t="inlineStr"/>
      <c r="D18" s="8" t="inlineStr">
        <is>
          <t>100%</t>
        </is>
      </c>
      <c r="E18" s="4" t="n"/>
      <c r="F18" s="4" t="n"/>
      <c r="G18" s="4" t="n"/>
      <c r="H18" s="4" t="n"/>
      <c r="I18" s="4" t="n"/>
      <c r="J18" s="4" t="n"/>
      <c r="K18" s="4" t="n"/>
      <c r="L18" s="4" t="n"/>
    </row>
    <row r="19">
      <c r="A19" s="8" t="inlineStr">
        <is>
          <t>Session Recording Coverage - Tier 1</t>
        </is>
      </c>
      <c r="B19" s="8" t="inlineStr">
        <is>
          <t>%</t>
        </is>
      </c>
      <c r="C19" s="4" t="inlineStr"/>
      <c r="D19" s="8" t="inlineStr">
        <is>
          <t>≥95%</t>
        </is>
      </c>
      <c r="E19" s="4" t="n"/>
      <c r="F19" s="4" t="n"/>
      <c r="G19" s="4" t="n"/>
      <c r="H19" s="4" t="n"/>
      <c r="I19" s="4" t="n"/>
      <c r="J19" s="4" t="n"/>
      <c r="K19" s="4" t="n"/>
      <c r="L19" s="4" t="n"/>
    </row>
    <row r="20">
      <c r="A20" s="8" t="inlineStr">
        <is>
          <t>Tier Isolation Violations</t>
        </is>
      </c>
      <c r="B20" s="8" t="inlineStr">
        <is>
          <t>Count</t>
        </is>
      </c>
      <c r="C20" s="4" t="inlineStr"/>
      <c r="D20" s="8" t="inlineStr">
        <is>
          <t>0</t>
        </is>
      </c>
      <c r="E20" s="4" t="n"/>
      <c r="F20" s="4" t="n"/>
      <c r="G20" s="4" t="n"/>
      <c r="H20" s="4" t="n"/>
      <c r="I20" s="4" t="n"/>
      <c r="J20" s="4" t="n"/>
      <c r="K20" s="4" t="n"/>
      <c r="L20" s="4" t="n"/>
    </row>
    <row r="21">
      <c r="A21" s="8" t="inlineStr">
        <is>
          <t>Privileged Access Reviews - On Time</t>
        </is>
      </c>
      <c r="B21" s="8" t="inlineStr">
        <is>
          <t>%</t>
        </is>
      </c>
      <c r="C21" s="4" t="inlineStr"/>
      <c r="D21" s="8" t="inlineStr">
        <is>
          <t>100%</t>
        </is>
      </c>
      <c r="E21" s="4" t="n"/>
      <c r="F21" s="4" t="n"/>
      <c r="G21" s="4" t="n"/>
      <c r="H21" s="4" t="n"/>
      <c r="I21" s="4" t="n"/>
      <c r="J21" s="4" t="n"/>
      <c r="K21" s="4" t="n"/>
      <c r="L21" s="4" t="n"/>
    </row>
    <row r="22">
      <c r="A22" s="8" t="inlineStr">
        <is>
          <t>Emergency Access Requests (Monthly)</t>
        </is>
      </c>
      <c r="B22" s="8" t="inlineStr">
        <is>
          <t>Count</t>
        </is>
      </c>
      <c r="C22" s="4" t="inlineStr"/>
      <c r="D22" s="8" t="inlineStr">
        <is>
          <t>&lt;10</t>
        </is>
      </c>
      <c r="E22" s="4" t="n"/>
      <c r="F22" s="4" t="n"/>
      <c r="G22" s="4" t="n"/>
      <c r="H22" s="4" t="n"/>
      <c r="I22" s="4" t="n"/>
      <c r="J22" s="4" t="n"/>
      <c r="K22" s="4" t="n"/>
      <c r="L22" s="4" t="n"/>
    </row>
    <row r="23">
      <c r="A23" s="8" t="inlineStr">
        <is>
          <t>Orphaned Privileged Accounts</t>
        </is>
      </c>
      <c r="B23" s="8" t="inlineStr">
        <is>
          <t>Count</t>
        </is>
      </c>
      <c r="C23" s="4" t="inlineStr"/>
      <c r="D23" s="8" t="inlineStr">
        <is>
          <t>0</t>
        </is>
      </c>
      <c r="E23" s="4" t="n"/>
      <c r="F23" s="4" t="n"/>
      <c r="G23" s="4" t="n"/>
      <c r="H23" s="4" t="n"/>
      <c r="I23" s="4" t="n"/>
      <c r="J23" s="4" t="n"/>
      <c r="K23" s="4" t="n"/>
      <c r="L23" s="4" t="n"/>
    </row>
    <row r="25">
      <c r="A25" s="26" t="inlineStr">
        <is>
          <t>ACCESS RESTRICTION METRICS (A.8.3)</t>
        </is>
      </c>
    </row>
    <row r="26">
      <c r="A26" s="7" t="inlineStr">
        <is>
          <t>KPI Name</t>
        </is>
      </c>
      <c r="B26" s="7" t="inlineStr">
        <is>
          <t>Unit</t>
        </is>
      </c>
      <c r="C26" s="7" t="inlineStr">
        <is>
          <t>Current Value</t>
        </is>
      </c>
      <c r="D26" s="7" t="inlineStr">
        <is>
          <t>Target</t>
        </is>
      </c>
      <c r="E26" s="7" t="inlineStr">
        <is>
          <t>Status</t>
        </is>
      </c>
      <c r="F26" s="7" t="inlineStr">
        <is>
          <t>Q1</t>
        </is>
      </c>
      <c r="G26" s="7" t="inlineStr">
        <is>
          <t>Q2</t>
        </is>
      </c>
      <c r="H26" s="7" t="inlineStr">
        <is>
          <t>Q3</t>
        </is>
      </c>
      <c r="I26" s="7" t="inlineStr">
        <is>
          <t>Q4</t>
        </is>
      </c>
      <c r="J26" s="7" t="inlineStr">
        <is>
          <t>YTD Trend</t>
        </is>
      </c>
      <c r="K26" s="7" t="inlineStr">
        <is>
          <t>Owner</t>
        </is>
      </c>
      <c r="L26" s="7" t="inlineStr">
        <is>
          <t>Notes</t>
        </is>
      </c>
    </row>
    <row r="27">
      <c r="A27" s="8" t="inlineStr">
        <is>
          <t>Default Deny Policy Compliance</t>
        </is>
      </c>
      <c r="B27" s="8" t="inlineStr">
        <is>
          <t>%</t>
        </is>
      </c>
      <c r="C27" s="4" t="inlineStr"/>
      <c r="D27" s="8" t="inlineStr">
        <is>
          <t>≥95%</t>
        </is>
      </c>
      <c r="E27" s="4" t="n"/>
      <c r="F27" s="4" t="n"/>
      <c r="G27" s="4" t="n"/>
      <c r="H27" s="4" t="n"/>
      <c r="I27" s="4" t="n"/>
      <c r="J27" s="4" t="n"/>
      <c r="K27" s="4" t="n"/>
      <c r="L27" s="4" t="n"/>
    </row>
    <row r="28">
      <c r="A28" s="8" t="inlineStr">
        <is>
          <t>Excessive Permission Violations</t>
        </is>
      </c>
      <c r="B28" s="8" t="inlineStr">
        <is>
          <t>Count</t>
        </is>
      </c>
      <c r="C28" s="4" t="inlineStr"/>
      <c r="D28" s="8" t="inlineStr">
        <is>
          <t>&lt;20</t>
        </is>
      </c>
      <c r="E28" s="4" t="n"/>
      <c r="F28" s="4" t="n"/>
      <c r="G28" s="4" t="n"/>
      <c r="H28" s="4" t="n"/>
      <c r="I28" s="4" t="n"/>
      <c r="J28" s="4" t="n"/>
      <c r="K28" s="4" t="n"/>
      <c r="L28" s="4" t="n"/>
    </row>
    <row r="29">
      <c r="A29" s="8" t="inlineStr">
        <is>
          <t>Access Reviews Completed On Time</t>
        </is>
      </c>
      <c r="B29" s="8" t="inlineStr">
        <is>
          <t>%</t>
        </is>
      </c>
      <c r="C29" s="4" t="inlineStr"/>
      <c r="D29" s="8" t="inlineStr">
        <is>
          <t>100%</t>
        </is>
      </c>
      <c r="E29" s="4" t="n"/>
      <c r="F29" s="4" t="n"/>
      <c r="G29" s="4" t="n"/>
      <c r="H29" s="4" t="n"/>
      <c r="I29" s="4" t="n"/>
      <c r="J29" s="4" t="n"/>
      <c r="K29" s="4" t="n"/>
      <c r="L29" s="4" t="n"/>
    </row>
    <row r="30">
      <c r="A30" s="8" t="inlineStr">
        <is>
          <t>Segregation of Duties Violations</t>
        </is>
      </c>
      <c r="B30" s="8" t="inlineStr">
        <is>
          <t>Count</t>
        </is>
      </c>
      <c r="C30" s="4" t="inlineStr"/>
      <c r="D30" s="8" t="inlineStr">
        <is>
          <t>0</t>
        </is>
      </c>
      <c r="E30" s="4" t="n"/>
      <c r="F30" s="4" t="n"/>
      <c r="G30" s="4" t="n"/>
      <c r="H30" s="4" t="n"/>
      <c r="I30" s="4" t="n"/>
      <c r="J30" s="4" t="n"/>
      <c r="K30" s="4" t="n"/>
      <c r="L30" s="4" t="n"/>
    </row>
    <row r="31">
      <c r="A31" s="8" t="inlineStr">
        <is>
          <t>Data Classification Compliance</t>
        </is>
      </c>
      <c r="B31" s="8" t="inlineStr">
        <is>
          <t>%</t>
        </is>
      </c>
      <c r="C31" s="4" t="inlineStr"/>
      <c r="D31" s="8" t="inlineStr">
        <is>
          <t>100%</t>
        </is>
      </c>
      <c r="E31" s="4" t="n"/>
      <c r="F31" s="4" t="n"/>
      <c r="G31" s="4" t="n"/>
      <c r="H31" s="4" t="n"/>
      <c r="I31" s="4" t="n"/>
      <c r="J31" s="4" t="n"/>
      <c r="K31" s="4" t="n"/>
      <c r="L31" s="4" t="n"/>
    </row>
  </sheetData>
  <mergeCells count="4">
    <mergeCell ref="A3:L3"/>
    <mergeCell ref="A14:L14"/>
    <mergeCell ref="A1:L1"/>
    <mergeCell ref="A25:L25"/>
  </mergeCells>
  <dataValidations count="2">
    <dataValidation sqref="E4:E33" showDropDown="0" showInputMessage="0" showErrorMessage="0" allowBlank="1" type="list">
      <formula1>"On Target,At Risk,Off Target,N/A"</formula1>
    </dataValidation>
    <dataValidation sqref="J4:J33" showDropDown="0" showInputMessage="0" showErrorMessage="0" allowBlank="1" type="list">
      <formula1>"↑ Improving,→ Stable,↓ Declining"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6"/>
  <sheetViews>
    <sheetView workbookViewId="0">
      <pane ySplit="6" topLeftCell="A7" activePane="bottomLeft" state="frozen"/>
      <selection pane="bottomLeft" activeCell="A1" sqref="A1"/>
    </sheetView>
  </sheetViews>
  <sheetFormatPr baseColWidth="8" defaultRowHeight="15"/>
  <cols>
    <col width="14" customWidth="1" min="1" max="1"/>
    <col width="18" customWidth="1" min="2" max="2"/>
    <col width="18" customWidth="1" min="3" max="3"/>
    <col width="40" customWidth="1" min="4" max="4"/>
    <col width="20" customWidth="1" min="5" max="5"/>
    <col width="35" customWidth="1" min="6" max="6"/>
    <col width="18" customWidth="1" min="7" max="7"/>
    <col width="14" customWidth="1" min="8" max="8"/>
    <col width="14" customWidth="1" min="9" max="9"/>
    <col width="18" customWidth="1" min="10" max="10"/>
    <col width="14" customWidth="1" min="11" max="11"/>
    <col width="30" customWidth="1" min="12" max="12"/>
  </cols>
  <sheetData>
    <row r="1" ht="45" customHeight="1">
      <c r="A1" s="1" t="inlineStr">
        <is>
          <t>EVIDENCE REGISTER - AUTHENTICATION &amp; ACCESS CONTROLS
Audit evidence index linking to source documents and artifacts</t>
        </is>
      </c>
    </row>
    <row r="3">
      <c r="A3" s="10" t="inlineStr">
        <is>
          <t>EVIDENCE SUMMARY</t>
        </is>
      </c>
    </row>
    <row r="4">
      <c r="A4" t="inlineStr">
        <is>
          <t>Total Evidence Items:</t>
        </is>
      </c>
      <c r="B4" s="18">
        <f>COUNTA(A7:A106)-COUNTBLANK(A7:A106)</f>
        <v/>
      </c>
    </row>
    <row r="5">
      <c r="A5" t="inlineStr">
        <is>
          <t>Evidence by Status:</t>
        </is>
      </c>
      <c r="B5" t="inlineStr">
        <is>
          <t>Current: =COUNTIF(K7:K106,"Current")</t>
        </is>
      </c>
    </row>
    <row r="6">
      <c r="A6" s="7" t="inlineStr">
        <is>
          <t>Evidence ID</t>
        </is>
      </c>
      <c r="B6" s="7" t="inlineStr">
        <is>
          <t>Control Reference</t>
        </is>
      </c>
      <c r="C6" s="7" t="inlineStr">
        <is>
          <t>Evidence Type</t>
        </is>
      </c>
      <c r="D6" s="7" t="inlineStr">
        <is>
          <t>Description</t>
        </is>
      </c>
      <c r="E6" s="7" t="inlineStr">
        <is>
          <t>Source System</t>
        </is>
      </c>
      <c r="F6" s="7" t="inlineStr">
        <is>
          <t>File Location/Path</t>
        </is>
      </c>
      <c r="G6" s="7" t="inlineStr">
        <is>
          <t>Collected By</t>
        </is>
      </c>
      <c r="H6" s="7" t="inlineStr">
        <is>
          <t>Collection Date</t>
        </is>
      </c>
      <c r="I6" s="7" t="inlineStr">
        <is>
          <t>Review Date</t>
        </is>
      </c>
      <c r="J6" s="7" t="inlineStr">
        <is>
          <t>Reviewer</t>
        </is>
      </c>
      <c r="K6" s="7" t="inlineStr">
        <is>
          <t>Status</t>
        </is>
      </c>
      <c r="L6" s="7" t="inlineStr">
        <is>
          <t>Notes</t>
        </is>
      </c>
    </row>
    <row r="7">
      <c r="A7" s="19" t="inlineStr">
        <is>
          <t>EV-001</t>
        </is>
      </c>
      <c r="B7" s="4" t="n"/>
      <c r="C7" s="4" t="n"/>
      <c r="D7" s="4" t="n"/>
      <c r="E7" s="4" t="n"/>
      <c r="F7" s="4" t="n"/>
      <c r="G7" s="4" t="n"/>
      <c r="H7" s="4" t="n"/>
      <c r="I7" s="4" t="n"/>
      <c r="J7" s="4" t="n"/>
      <c r="K7" s="4" t="n"/>
      <c r="L7" s="4" t="n"/>
    </row>
    <row r="8">
      <c r="A8" s="19" t="inlineStr">
        <is>
          <t>EV-002</t>
        </is>
      </c>
      <c r="B8" s="4" t="n"/>
      <c r="C8" s="4" t="n"/>
      <c r="D8" s="4" t="n"/>
      <c r="E8" s="4" t="n"/>
      <c r="F8" s="4" t="n"/>
      <c r="G8" s="4" t="n"/>
      <c r="H8" s="4" t="n"/>
      <c r="I8" s="4" t="n"/>
      <c r="J8" s="4" t="n"/>
      <c r="K8" s="4" t="n"/>
      <c r="L8" s="4" t="n"/>
    </row>
    <row r="9">
      <c r="A9" s="19" t="inlineStr">
        <is>
          <t>EV-003</t>
        </is>
      </c>
      <c r="B9" s="4" t="n"/>
      <c r="C9" s="4" t="n"/>
      <c r="D9" s="4" t="n"/>
      <c r="E9" s="4" t="n"/>
      <c r="F9" s="4" t="n"/>
      <c r="G9" s="4" t="n"/>
      <c r="H9" s="4" t="n"/>
      <c r="I9" s="4" t="n"/>
      <c r="J9" s="4" t="n"/>
      <c r="K9" s="4" t="n"/>
      <c r="L9" s="4" t="n"/>
    </row>
    <row r="10">
      <c r="A10" s="19" t="inlineStr">
        <is>
          <t>EV-004</t>
        </is>
      </c>
      <c r="B10" s="4" t="n"/>
      <c r="C10" s="4" t="n"/>
      <c r="D10" s="4" t="n"/>
      <c r="E10" s="4" t="n"/>
      <c r="F10" s="4" t="n"/>
      <c r="G10" s="4" t="n"/>
      <c r="H10" s="4" t="n"/>
      <c r="I10" s="4" t="n"/>
      <c r="J10" s="4" t="n"/>
      <c r="K10" s="4" t="n"/>
      <c r="L10" s="4" t="n"/>
    </row>
    <row r="11">
      <c r="A11" s="19" t="inlineStr">
        <is>
          <t>EV-005</t>
        </is>
      </c>
      <c r="B11" s="4" t="n"/>
      <c r="C11" s="4" t="n"/>
      <c r="D11" s="4" t="n"/>
      <c r="E11" s="4" t="n"/>
      <c r="F11" s="4" t="n"/>
      <c r="G11" s="4" t="n"/>
      <c r="H11" s="4" t="n"/>
      <c r="I11" s="4" t="n"/>
      <c r="J11" s="4" t="n"/>
      <c r="K11" s="4" t="n"/>
      <c r="L11" s="4" t="n"/>
    </row>
    <row r="12">
      <c r="A12" s="21" t="inlineStr"/>
      <c r="B12" s="4" t="n"/>
      <c r="C12" s="4" t="n"/>
      <c r="D12" s="4" t="n"/>
      <c r="E12" s="4" t="n"/>
      <c r="F12" s="4" t="n"/>
      <c r="G12" s="4" t="n"/>
      <c r="H12" s="4" t="n"/>
      <c r="I12" s="4" t="n"/>
      <c r="J12" s="4" t="n"/>
      <c r="K12" s="4" t="n"/>
      <c r="L12" s="4" t="n"/>
    </row>
    <row r="13">
      <c r="A13" s="21" t="inlineStr"/>
      <c r="B13" s="4" t="n"/>
      <c r="C13" s="4" t="n"/>
      <c r="D13" s="4" t="n"/>
      <c r="E13" s="4" t="n"/>
      <c r="F13" s="4" t="n"/>
      <c r="G13" s="4" t="n"/>
      <c r="H13" s="4" t="n"/>
      <c r="I13" s="4" t="n"/>
      <c r="J13" s="4" t="n"/>
      <c r="K13" s="4" t="n"/>
      <c r="L13" s="4" t="n"/>
    </row>
    <row r="14">
      <c r="A14" s="21" t="inlineStr"/>
      <c r="B14" s="4" t="n"/>
      <c r="C14" s="4" t="n"/>
      <c r="D14" s="4" t="n"/>
      <c r="E14" s="4" t="n"/>
      <c r="F14" s="4" t="n"/>
      <c r="G14" s="4" t="n"/>
      <c r="H14" s="4" t="n"/>
      <c r="I14" s="4" t="n"/>
      <c r="J14" s="4" t="n"/>
      <c r="K14" s="4" t="n"/>
      <c r="L14" s="4" t="n"/>
    </row>
    <row r="15">
      <c r="A15" s="21" t="inlineStr"/>
      <c r="B15" s="4" t="n"/>
      <c r="C15" s="4" t="n"/>
      <c r="D15" s="4" t="n"/>
      <c r="E15" s="4" t="n"/>
      <c r="F15" s="4" t="n"/>
      <c r="G15" s="4" t="n"/>
      <c r="H15" s="4" t="n"/>
      <c r="I15" s="4" t="n"/>
      <c r="J15" s="4" t="n"/>
      <c r="K15" s="4" t="n"/>
      <c r="L15" s="4" t="n"/>
    </row>
    <row r="16">
      <c r="A16" s="21" t="inlineStr"/>
      <c r="B16" s="4" t="n"/>
      <c r="C16" s="4" t="n"/>
      <c r="D16" s="4" t="n"/>
      <c r="E16" s="4" t="n"/>
      <c r="F16" s="4" t="n"/>
      <c r="G16" s="4" t="n"/>
      <c r="H16" s="4" t="n"/>
      <c r="I16" s="4" t="n"/>
      <c r="J16" s="4" t="n"/>
      <c r="K16" s="4" t="n"/>
      <c r="L16" s="4" t="n"/>
    </row>
    <row r="17">
      <c r="A17" s="21" t="inlineStr"/>
      <c r="B17" s="4" t="n"/>
      <c r="C17" s="4" t="n"/>
      <c r="D17" s="4" t="n"/>
      <c r="E17" s="4" t="n"/>
      <c r="F17" s="4" t="n"/>
      <c r="G17" s="4" t="n"/>
      <c r="H17" s="4" t="n"/>
      <c r="I17" s="4" t="n"/>
      <c r="J17" s="4" t="n"/>
      <c r="K17" s="4" t="n"/>
      <c r="L17" s="4" t="n"/>
    </row>
    <row r="18">
      <c r="A18" s="21" t="inlineStr"/>
      <c r="B18" s="4" t="n"/>
      <c r="C18" s="4" t="n"/>
      <c r="D18" s="4" t="n"/>
      <c r="E18" s="4" t="n"/>
      <c r="F18" s="4" t="n"/>
      <c r="G18" s="4" t="n"/>
      <c r="H18" s="4" t="n"/>
      <c r="I18" s="4" t="n"/>
      <c r="J18" s="4" t="n"/>
      <c r="K18" s="4" t="n"/>
      <c r="L18" s="4" t="n"/>
    </row>
    <row r="19">
      <c r="A19" s="21" t="inlineStr"/>
      <c r="B19" s="4" t="n"/>
      <c r="C19" s="4" t="n"/>
      <c r="D19" s="4" t="n"/>
      <c r="E19" s="4" t="n"/>
      <c r="F19" s="4" t="n"/>
      <c r="G19" s="4" t="n"/>
      <c r="H19" s="4" t="n"/>
      <c r="I19" s="4" t="n"/>
      <c r="J19" s="4" t="n"/>
      <c r="K19" s="4" t="n"/>
      <c r="L19" s="4" t="n"/>
    </row>
    <row r="20">
      <c r="A20" s="21" t="inlineStr"/>
      <c r="B20" s="4" t="n"/>
      <c r="C20" s="4" t="n"/>
      <c r="D20" s="4" t="n"/>
      <c r="E20" s="4" t="n"/>
      <c r="F20" s="4" t="n"/>
      <c r="G20" s="4" t="n"/>
      <c r="H20" s="4" t="n"/>
      <c r="I20" s="4" t="n"/>
      <c r="J20" s="4" t="n"/>
      <c r="K20" s="4" t="n"/>
      <c r="L20" s="4" t="n"/>
    </row>
    <row r="21">
      <c r="A21" s="21" t="inlineStr"/>
      <c r="B21" s="4" t="n"/>
      <c r="C21" s="4" t="n"/>
      <c r="D21" s="4" t="n"/>
      <c r="E21" s="4" t="n"/>
      <c r="F21" s="4" t="n"/>
      <c r="G21" s="4" t="n"/>
      <c r="H21" s="4" t="n"/>
      <c r="I21" s="4" t="n"/>
      <c r="J21" s="4" t="n"/>
      <c r="K21" s="4" t="n"/>
      <c r="L21" s="4" t="n"/>
    </row>
    <row r="22">
      <c r="A22" s="21" t="inlineStr"/>
      <c r="B22" s="4" t="n"/>
      <c r="C22" s="4" t="n"/>
      <c r="D22" s="4" t="n"/>
      <c r="E22" s="4" t="n"/>
      <c r="F22" s="4" t="n"/>
      <c r="G22" s="4" t="n"/>
      <c r="H22" s="4" t="n"/>
      <c r="I22" s="4" t="n"/>
      <c r="J22" s="4" t="n"/>
      <c r="K22" s="4" t="n"/>
      <c r="L22" s="4" t="n"/>
    </row>
    <row r="23">
      <c r="A23" s="21" t="inlineStr"/>
      <c r="B23" s="4" t="n"/>
      <c r="C23" s="4" t="n"/>
      <c r="D23" s="4" t="n"/>
      <c r="E23" s="4" t="n"/>
      <c r="F23" s="4" t="n"/>
      <c r="G23" s="4" t="n"/>
      <c r="H23" s="4" t="n"/>
      <c r="I23" s="4" t="n"/>
      <c r="J23" s="4" t="n"/>
      <c r="K23" s="4" t="n"/>
      <c r="L23" s="4" t="n"/>
    </row>
    <row r="24">
      <c r="A24" s="21" t="inlineStr"/>
      <c r="B24" s="4" t="n"/>
      <c r="C24" s="4" t="n"/>
      <c r="D24" s="4" t="n"/>
      <c r="E24" s="4" t="n"/>
      <c r="F24" s="4" t="n"/>
      <c r="G24" s="4" t="n"/>
      <c r="H24" s="4" t="n"/>
      <c r="I24" s="4" t="n"/>
      <c r="J24" s="4" t="n"/>
      <c r="K24" s="4" t="n"/>
      <c r="L24" s="4" t="n"/>
    </row>
    <row r="25">
      <c r="A25" s="21" t="inlineStr"/>
      <c r="B25" s="4" t="n"/>
      <c r="C25" s="4" t="n"/>
      <c r="D25" s="4" t="n"/>
      <c r="E25" s="4" t="n"/>
      <c r="F25" s="4" t="n"/>
      <c r="G25" s="4" t="n"/>
      <c r="H25" s="4" t="n"/>
      <c r="I25" s="4" t="n"/>
      <c r="J25" s="4" t="n"/>
      <c r="K25" s="4" t="n"/>
      <c r="L25" s="4" t="n"/>
    </row>
    <row r="26">
      <c r="A26" s="21" t="inlineStr"/>
      <c r="B26" s="4" t="n"/>
      <c r="C26" s="4" t="n"/>
      <c r="D26" s="4" t="n"/>
      <c r="E26" s="4" t="n"/>
      <c r="F26" s="4" t="n"/>
      <c r="G26" s="4" t="n"/>
      <c r="H26" s="4" t="n"/>
      <c r="I26" s="4" t="n"/>
      <c r="J26" s="4" t="n"/>
      <c r="K26" s="4" t="n"/>
      <c r="L26" s="4" t="n"/>
    </row>
    <row r="27">
      <c r="A27" s="21" t="inlineStr"/>
      <c r="B27" s="4" t="n"/>
      <c r="C27" s="4" t="n"/>
      <c r="D27" s="4" t="n"/>
      <c r="E27" s="4" t="n"/>
      <c r="F27" s="4" t="n"/>
      <c r="G27" s="4" t="n"/>
      <c r="H27" s="4" t="n"/>
      <c r="I27" s="4" t="n"/>
      <c r="J27" s="4" t="n"/>
      <c r="K27" s="4" t="n"/>
      <c r="L27" s="4" t="n"/>
    </row>
    <row r="28">
      <c r="A28" s="21" t="inlineStr"/>
      <c r="B28" s="4" t="n"/>
      <c r="C28" s="4" t="n"/>
      <c r="D28" s="4" t="n"/>
      <c r="E28" s="4" t="n"/>
      <c r="F28" s="4" t="n"/>
      <c r="G28" s="4" t="n"/>
      <c r="H28" s="4" t="n"/>
      <c r="I28" s="4" t="n"/>
      <c r="J28" s="4" t="n"/>
      <c r="K28" s="4" t="n"/>
      <c r="L28" s="4" t="n"/>
    </row>
    <row r="29">
      <c r="A29" s="21" t="inlineStr"/>
      <c r="B29" s="4" t="n"/>
      <c r="C29" s="4" t="n"/>
      <c r="D29" s="4" t="n"/>
      <c r="E29" s="4" t="n"/>
      <c r="F29" s="4" t="n"/>
      <c r="G29" s="4" t="n"/>
      <c r="H29" s="4" t="n"/>
      <c r="I29" s="4" t="n"/>
      <c r="J29" s="4" t="n"/>
      <c r="K29" s="4" t="n"/>
      <c r="L29" s="4" t="n"/>
    </row>
    <row r="30">
      <c r="A30" s="21" t="inlineStr"/>
      <c r="B30" s="4" t="n"/>
      <c r="C30" s="4" t="n"/>
      <c r="D30" s="4" t="n"/>
      <c r="E30" s="4" t="n"/>
      <c r="F30" s="4" t="n"/>
      <c r="G30" s="4" t="n"/>
      <c r="H30" s="4" t="n"/>
      <c r="I30" s="4" t="n"/>
      <c r="J30" s="4" t="n"/>
      <c r="K30" s="4" t="n"/>
      <c r="L30" s="4" t="n"/>
    </row>
    <row r="31">
      <c r="A31" s="21" t="inlineStr"/>
      <c r="B31" s="4" t="n"/>
      <c r="C31" s="4" t="n"/>
      <c r="D31" s="4" t="n"/>
      <c r="E31" s="4" t="n"/>
      <c r="F31" s="4" t="n"/>
      <c r="G31" s="4" t="n"/>
      <c r="H31" s="4" t="n"/>
      <c r="I31" s="4" t="n"/>
      <c r="J31" s="4" t="n"/>
      <c r="K31" s="4" t="n"/>
      <c r="L31" s="4" t="n"/>
    </row>
    <row r="32">
      <c r="A32" s="21" t="inlineStr"/>
      <c r="B32" s="4" t="n"/>
      <c r="C32" s="4" t="n"/>
      <c r="D32" s="4" t="n"/>
      <c r="E32" s="4" t="n"/>
      <c r="F32" s="4" t="n"/>
      <c r="G32" s="4" t="n"/>
      <c r="H32" s="4" t="n"/>
      <c r="I32" s="4" t="n"/>
      <c r="J32" s="4" t="n"/>
      <c r="K32" s="4" t="n"/>
      <c r="L32" s="4" t="n"/>
    </row>
    <row r="33">
      <c r="A33" s="21" t="inlineStr"/>
      <c r="B33" s="4" t="n"/>
      <c r="C33" s="4" t="n"/>
      <c r="D33" s="4" t="n"/>
      <c r="E33" s="4" t="n"/>
      <c r="F33" s="4" t="n"/>
      <c r="G33" s="4" t="n"/>
      <c r="H33" s="4" t="n"/>
      <c r="I33" s="4" t="n"/>
      <c r="J33" s="4" t="n"/>
      <c r="K33" s="4" t="n"/>
      <c r="L33" s="4" t="n"/>
    </row>
    <row r="34">
      <c r="A34" s="21" t="inlineStr"/>
      <c r="B34" s="4" t="n"/>
      <c r="C34" s="4" t="n"/>
      <c r="D34" s="4" t="n"/>
      <c r="E34" s="4" t="n"/>
      <c r="F34" s="4" t="n"/>
      <c r="G34" s="4" t="n"/>
      <c r="H34" s="4" t="n"/>
      <c r="I34" s="4" t="n"/>
      <c r="J34" s="4" t="n"/>
      <c r="K34" s="4" t="n"/>
      <c r="L34" s="4" t="n"/>
    </row>
    <row r="35">
      <c r="A35" s="21" t="inlineStr"/>
      <c r="B35" s="4" t="n"/>
      <c r="C35" s="4" t="n"/>
      <c r="D35" s="4" t="n"/>
      <c r="E35" s="4" t="n"/>
      <c r="F35" s="4" t="n"/>
      <c r="G35" s="4" t="n"/>
      <c r="H35" s="4" t="n"/>
      <c r="I35" s="4" t="n"/>
      <c r="J35" s="4" t="n"/>
      <c r="K35" s="4" t="n"/>
      <c r="L35" s="4" t="n"/>
    </row>
    <row r="36">
      <c r="A36" s="21" t="inlineStr"/>
      <c r="B36" s="4" t="n"/>
      <c r="C36" s="4" t="n"/>
      <c r="D36" s="4" t="n"/>
      <c r="E36" s="4" t="n"/>
      <c r="F36" s="4" t="n"/>
      <c r="G36" s="4" t="n"/>
      <c r="H36" s="4" t="n"/>
      <c r="I36" s="4" t="n"/>
      <c r="J36" s="4" t="n"/>
      <c r="K36" s="4" t="n"/>
      <c r="L36" s="4" t="n"/>
    </row>
    <row r="37">
      <c r="A37" s="21" t="inlineStr"/>
      <c r="B37" s="4" t="n"/>
      <c r="C37" s="4" t="n"/>
      <c r="D37" s="4" t="n"/>
      <c r="E37" s="4" t="n"/>
      <c r="F37" s="4" t="n"/>
      <c r="G37" s="4" t="n"/>
      <c r="H37" s="4" t="n"/>
      <c r="I37" s="4" t="n"/>
      <c r="J37" s="4" t="n"/>
      <c r="K37" s="4" t="n"/>
      <c r="L37" s="4" t="n"/>
    </row>
    <row r="38">
      <c r="A38" s="21" t="inlineStr"/>
      <c r="B38" s="4" t="n"/>
      <c r="C38" s="4" t="n"/>
      <c r="D38" s="4" t="n"/>
      <c r="E38" s="4" t="n"/>
      <c r="F38" s="4" t="n"/>
      <c r="G38" s="4" t="n"/>
      <c r="H38" s="4" t="n"/>
      <c r="I38" s="4" t="n"/>
      <c r="J38" s="4" t="n"/>
      <c r="K38" s="4" t="n"/>
      <c r="L38" s="4" t="n"/>
    </row>
    <row r="39">
      <c r="A39" s="21" t="inlineStr"/>
      <c r="B39" s="4" t="n"/>
      <c r="C39" s="4" t="n"/>
      <c r="D39" s="4" t="n"/>
      <c r="E39" s="4" t="n"/>
      <c r="F39" s="4" t="n"/>
      <c r="G39" s="4" t="n"/>
      <c r="H39" s="4" t="n"/>
      <c r="I39" s="4" t="n"/>
      <c r="J39" s="4" t="n"/>
      <c r="K39" s="4" t="n"/>
      <c r="L39" s="4" t="n"/>
    </row>
    <row r="40">
      <c r="A40" s="21" t="inlineStr"/>
      <c r="B40" s="4" t="n"/>
      <c r="C40" s="4" t="n"/>
      <c r="D40" s="4" t="n"/>
      <c r="E40" s="4" t="n"/>
      <c r="F40" s="4" t="n"/>
      <c r="G40" s="4" t="n"/>
      <c r="H40" s="4" t="n"/>
      <c r="I40" s="4" t="n"/>
      <c r="J40" s="4" t="n"/>
      <c r="K40" s="4" t="n"/>
      <c r="L40" s="4" t="n"/>
    </row>
    <row r="41">
      <c r="A41" s="21" t="inlineStr"/>
      <c r="B41" s="4" t="n"/>
      <c r="C41" s="4" t="n"/>
      <c r="D41" s="4" t="n"/>
      <c r="E41" s="4" t="n"/>
      <c r="F41" s="4" t="n"/>
      <c r="G41" s="4" t="n"/>
      <c r="H41" s="4" t="n"/>
      <c r="I41" s="4" t="n"/>
      <c r="J41" s="4" t="n"/>
      <c r="K41" s="4" t="n"/>
      <c r="L41" s="4" t="n"/>
    </row>
    <row r="42">
      <c r="A42" s="21" t="inlineStr"/>
      <c r="B42" s="4" t="n"/>
      <c r="C42" s="4" t="n"/>
      <c r="D42" s="4" t="n"/>
      <c r="E42" s="4" t="n"/>
      <c r="F42" s="4" t="n"/>
      <c r="G42" s="4" t="n"/>
      <c r="H42" s="4" t="n"/>
      <c r="I42" s="4" t="n"/>
      <c r="J42" s="4" t="n"/>
      <c r="K42" s="4" t="n"/>
      <c r="L42" s="4" t="n"/>
    </row>
    <row r="43">
      <c r="A43" s="21" t="inlineStr"/>
      <c r="B43" s="4" t="n"/>
      <c r="C43" s="4" t="n"/>
      <c r="D43" s="4" t="n"/>
      <c r="E43" s="4" t="n"/>
      <c r="F43" s="4" t="n"/>
      <c r="G43" s="4" t="n"/>
      <c r="H43" s="4" t="n"/>
      <c r="I43" s="4" t="n"/>
      <c r="J43" s="4" t="n"/>
      <c r="K43" s="4" t="n"/>
      <c r="L43" s="4" t="n"/>
    </row>
    <row r="44">
      <c r="A44" s="21" t="inlineStr"/>
      <c r="B44" s="4" t="n"/>
      <c r="C44" s="4" t="n"/>
      <c r="D44" s="4" t="n"/>
      <c r="E44" s="4" t="n"/>
      <c r="F44" s="4" t="n"/>
      <c r="G44" s="4" t="n"/>
      <c r="H44" s="4" t="n"/>
      <c r="I44" s="4" t="n"/>
      <c r="J44" s="4" t="n"/>
      <c r="K44" s="4" t="n"/>
      <c r="L44" s="4" t="n"/>
    </row>
    <row r="45">
      <c r="A45" s="21" t="inlineStr"/>
      <c r="B45" s="4" t="n"/>
      <c r="C45" s="4" t="n"/>
      <c r="D45" s="4" t="n"/>
      <c r="E45" s="4" t="n"/>
      <c r="F45" s="4" t="n"/>
      <c r="G45" s="4" t="n"/>
      <c r="H45" s="4" t="n"/>
      <c r="I45" s="4" t="n"/>
      <c r="J45" s="4" t="n"/>
      <c r="K45" s="4" t="n"/>
      <c r="L45" s="4" t="n"/>
    </row>
    <row r="46">
      <c r="A46" s="21" t="inlineStr"/>
      <c r="B46" s="4" t="n"/>
      <c r="C46" s="4" t="n"/>
      <c r="D46" s="4" t="n"/>
      <c r="E46" s="4" t="n"/>
      <c r="F46" s="4" t="n"/>
      <c r="G46" s="4" t="n"/>
      <c r="H46" s="4" t="n"/>
      <c r="I46" s="4" t="n"/>
      <c r="J46" s="4" t="n"/>
      <c r="K46" s="4" t="n"/>
      <c r="L46" s="4" t="n"/>
    </row>
    <row r="47">
      <c r="A47" s="21" t="inlineStr"/>
      <c r="B47" s="4" t="n"/>
      <c r="C47" s="4" t="n"/>
      <c r="D47" s="4" t="n"/>
      <c r="E47" s="4" t="n"/>
      <c r="F47" s="4" t="n"/>
      <c r="G47" s="4" t="n"/>
      <c r="H47" s="4" t="n"/>
      <c r="I47" s="4" t="n"/>
      <c r="J47" s="4" t="n"/>
      <c r="K47" s="4" t="n"/>
      <c r="L47" s="4" t="n"/>
    </row>
    <row r="48">
      <c r="A48" s="21" t="inlineStr"/>
      <c r="B48" s="4" t="n"/>
      <c r="C48" s="4" t="n"/>
      <c r="D48" s="4" t="n"/>
      <c r="E48" s="4" t="n"/>
      <c r="F48" s="4" t="n"/>
      <c r="G48" s="4" t="n"/>
      <c r="H48" s="4" t="n"/>
      <c r="I48" s="4" t="n"/>
      <c r="J48" s="4" t="n"/>
      <c r="K48" s="4" t="n"/>
      <c r="L48" s="4" t="n"/>
    </row>
    <row r="49">
      <c r="A49" s="21" t="inlineStr"/>
      <c r="B49" s="4" t="n"/>
      <c r="C49" s="4" t="n"/>
      <c r="D49" s="4" t="n"/>
      <c r="E49" s="4" t="n"/>
      <c r="F49" s="4" t="n"/>
      <c r="G49" s="4" t="n"/>
      <c r="H49" s="4" t="n"/>
      <c r="I49" s="4" t="n"/>
      <c r="J49" s="4" t="n"/>
      <c r="K49" s="4" t="n"/>
      <c r="L49" s="4" t="n"/>
    </row>
    <row r="50">
      <c r="A50" s="21" t="inlineStr"/>
      <c r="B50" s="4" t="n"/>
      <c r="C50" s="4" t="n"/>
      <c r="D50" s="4" t="n"/>
      <c r="E50" s="4" t="n"/>
      <c r="F50" s="4" t="n"/>
      <c r="G50" s="4" t="n"/>
      <c r="H50" s="4" t="n"/>
      <c r="I50" s="4" t="n"/>
      <c r="J50" s="4" t="n"/>
      <c r="K50" s="4" t="n"/>
      <c r="L50" s="4" t="n"/>
    </row>
    <row r="51">
      <c r="A51" s="21" t="inlineStr"/>
      <c r="B51" s="4" t="n"/>
      <c r="C51" s="4" t="n"/>
      <c r="D51" s="4" t="n"/>
      <c r="E51" s="4" t="n"/>
      <c r="F51" s="4" t="n"/>
      <c r="G51" s="4" t="n"/>
      <c r="H51" s="4" t="n"/>
      <c r="I51" s="4" t="n"/>
      <c r="J51" s="4" t="n"/>
      <c r="K51" s="4" t="n"/>
      <c r="L51" s="4" t="n"/>
    </row>
    <row r="52">
      <c r="A52" s="21" t="inlineStr"/>
      <c r="B52" s="4" t="n"/>
      <c r="C52" s="4" t="n"/>
      <c r="D52" s="4" t="n"/>
      <c r="E52" s="4" t="n"/>
      <c r="F52" s="4" t="n"/>
      <c r="G52" s="4" t="n"/>
      <c r="H52" s="4" t="n"/>
      <c r="I52" s="4" t="n"/>
      <c r="J52" s="4" t="n"/>
      <c r="K52" s="4" t="n"/>
      <c r="L52" s="4" t="n"/>
    </row>
    <row r="53">
      <c r="A53" s="21" t="inlineStr"/>
      <c r="B53" s="4" t="n"/>
      <c r="C53" s="4" t="n"/>
      <c r="D53" s="4" t="n"/>
      <c r="E53" s="4" t="n"/>
      <c r="F53" s="4" t="n"/>
      <c r="G53" s="4" t="n"/>
      <c r="H53" s="4" t="n"/>
      <c r="I53" s="4" t="n"/>
      <c r="J53" s="4" t="n"/>
      <c r="K53" s="4" t="n"/>
      <c r="L53" s="4" t="n"/>
    </row>
    <row r="54">
      <c r="A54" s="21" t="inlineStr"/>
      <c r="B54" s="4" t="n"/>
      <c r="C54" s="4" t="n"/>
      <c r="D54" s="4" t="n"/>
      <c r="E54" s="4" t="n"/>
      <c r="F54" s="4" t="n"/>
      <c r="G54" s="4" t="n"/>
      <c r="H54" s="4" t="n"/>
      <c r="I54" s="4" t="n"/>
      <c r="J54" s="4" t="n"/>
      <c r="K54" s="4" t="n"/>
      <c r="L54" s="4" t="n"/>
    </row>
    <row r="55">
      <c r="A55" s="21" t="inlineStr"/>
      <c r="B55" s="4" t="n"/>
      <c r="C55" s="4" t="n"/>
      <c r="D55" s="4" t="n"/>
      <c r="E55" s="4" t="n"/>
      <c r="F55" s="4" t="n"/>
      <c r="G55" s="4" t="n"/>
      <c r="H55" s="4" t="n"/>
      <c r="I55" s="4" t="n"/>
      <c r="J55" s="4" t="n"/>
      <c r="K55" s="4" t="n"/>
      <c r="L55" s="4" t="n"/>
    </row>
    <row r="56">
      <c r="A56" s="21" t="inlineStr"/>
      <c r="B56" s="4" t="n"/>
      <c r="C56" s="4" t="n"/>
      <c r="D56" s="4" t="n"/>
      <c r="E56" s="4" t="n"/>
      <c r="F56" s="4" t="n"/>
      <c r="G56" s="4" t="n"/>
      <c r="H56" s="4" t="n"/>
      <c r="I56" s="4" t="n"/>
      <c r="J56" s="4" t="n"/>
      <c r="K56" s="4" t="n"/>
      <c r="L56" s="4" t="n"/>
    </row>
    <row r="57">
      <c r="A57" s="21" t="inlineStr"/>
      <c r="B57" s="4" t="n"/>
      <c r="C57" s="4" t="n"/>
      <c r="D57" s="4" t="n"/>
      <c r="E57" s="4" t="n"/>
      <c r="F57" s="4" t="n"/>
      <c r="G57" s="4" t="n"/>
      <c r="H57" s="4" t="n"/>
      <c r="I57" s="4" t="n"/>
      <c r="J57" s="4" t="n"/>
      <c r="K57" s="4" t="n"/>
      <c r="L57" s="4" t="n"/>
    </row>
    <row r="58">
      <c r="A58" s="21" t="inlineStr"/>
      <c r="B58" s="4" t="n"/>
      <c r="C58" s="4" t="n"/>
      <c r="D58" s="4" t="n"/>
      <c r="E58" s="4" t="n"/>
      <c r="F58" s="4" t="n"/>
      <c r="G58" s="4" t="n"/>
      <c r="H58" s="4" t="n"/>
      <c r="I58" s="4" t="n"/>
      <c r="J58" s="4" t="n"/>
      <c r="K58" s="4" t="n"/>
      <c r="L58" s="4" t="n"/>
    </row>
    <row r="59">
      <c r="A59" s="21" t="inlineStr"/>
      <c r="B59" s="4" t="n"/>
      <c r="C59" s="4" t="n"/>
      <c r="D59" s="4" t="n"/>
      <c r="E59" s="4" t="n"/>
      <c r="F59" s="4" t="n"/>
      <c r="G59" s="4" t="n"/>
      <c r="H59" s="4" t="n"/>
      <c r="I59" s="4" t="n"/>
      <c r="J59" s="4" t="n"/>
      <c r="K59" s="4" t="n"/>
      <c r="L59" s="4" t="n"/>
    </row>
    <row r="60">
      <c r="A60" s="21" t="inlineStr"/>
      <c r="B60" s="4" t="n"/>
      <c r="C60" s="4" t="n"/>
      <c r="D60" s="4" t="n"/>
      <c r="E60" s="4" t="n"/>
      <c r="F60" s="4" t="n"/>
      <c r="G60" s="4" t="n"/>
      <c r="H60" s="4" t="n"/>
      <c r="I60" s="4" t="n"/>
      <c r="J60" s="4" t="n"/>
      <c r="K60" s="4" t="n"/>
      <c r="L60" s="4" t="n"/>
    </row>
    <row r="61">
      <c r="A61" s="21" t="inlineStr"/>
      <c r="B61" s="4" t="n"/>
      <c r="C61" s="4" t="n"/>
      <c r="D61" s="4" t="n"/>
      <c r="E61" s="4" t="n"/>
      <c r="F61" s="4" t="n"/>
      <c r="G61" s="4" t="n"/>
      <c r="H61" s="4" t="n"/>
      <c r="I61" s="4" t="n"/>
      <c r="J61" s="4" t="n"/>
      <c r="K61" s="4" t="n"/>
      <c r="L61" s="4" t="n"/>
    </row>
    <row r="62">
      <c r="A62" s="21" t="inlineStr"/>
      <c r="B62" s="4" t="n"/>
      <c r="C62" s="4" t="n"/>
      <c r="D62" s="4" t="n"/>
      <c r="E62" s="4" t="n"/>
      <c r="F62" s="4" t="n"/>
      <c r="G62" s="4" t="n"/>
      <c r="H62" s="4" t="n"/>
      <c r="I62" s="4" t="n"/>
      <c r="J62" s="4" t="n"/>
      <c r="K62" s="4" t="n"/>
      <c r="L62" s="4" t="n"/>
    </row>
    <row r="63">
      <c r="A63" s="21" t="inlineStr"/>
      <c r="B63" s="4" t="n"/>
      <c r="C63" s="4" t="n"/>
      <c r="D63" s="4" t="n"/>
      <c r="E63" s="4" t="n"/>
      <c r="F63" s="4" t="n"/>
      <c r="G63" s="4" t="n"/>
      <c r="H63" s="4" t="n"/>
      <c r="I63" s="4" t="n"/>
      <c r="J63" s="4" t="n"/>
      <c r="K63" s="4" t="n"/>
      <c r="L63" s="4" t="n"/>
    </row>
    <row r="64">
      <c r="A64" s="21" t="inlineStr"/>
      <c r="B64" s="4" t="n"/>
      <c r="C64" s="4" t="n"/>
      <c r="D64" s="4" t="n"/>
      <c r="E64" s="4" t="n"/>
      <c r="F64" s="4" t="n"/>
      <c r="G64" s="4" t="n"/>
      <c r="H64" s="4" t="n"/>
      <c r="I64" s="4" t="n"/>
      <c r="J64" s="4" t="n"/>
      <c r="K64" s="4" t="n"/>
      <c r="L64" s="4" t="n"/>
    </row>
    <row r="65">
      <c r="A65" s="21" t="inlineStr"/>
      <c r="B65" s="4" t="n"/>
      <c r="C65" s="4" t="n"/>
      <c r="D65" s="4" t="n"/>
      <c r="E65" s="4" t="n"/>
      <c r="F65" s="4" t="n"/>
      <c r="G65" s="4" t="n"/>
      <c r="H65" s="4" t="n"/>
      <c r="I65" s="4" t="n"/>
      <c r="J65" s="4" t="n"/>
      <c r="K65" s="4" t="n"/>
      <c r="L65" s="4" t="n"/>
    </row>
    <row r="66">
      <c r="A66" s="21" t="inlineStr"/>
      <c r="B66" s="4" t="n"/>
      <c r="C66" s="4" t="n"/>
      <c r="D66" s="4" t="n"/>
      <c r="E66" s="4" t="n"/>
      <c r="F66" s="4" t="n"/>
      <c r="G66" s="4" t="n"/>
      <c r="H66" s="4" t="n"/>
      <c r="I66" s="4" t="n"/>
      <c r="J66" s="4" t="n"/>
      <c r="K66" s="4" t="n"/>
      <c r="L66" s="4" t="n"/>
    </row>
    <row r="67">
      <c r="A67" s="21" t="inlineStr"/>
      <c r="B67" s="4" t="n"/>
      <c r="C67" s="4" t="n"/>
      <c r="D67" s="4" t="n"/>
      <c r="E67" s="4" t="n"/>
      <c r="F67" s="4" t="n"/>
      <c r="G67" s="4" t="n"/>
      <c r="H67" s="4" t="n"/>
      <c r="I67" s="4" t="n"/>
      <c r="J67" s="4" t="n"/>
      <c r="K67" s="4" t="n"/>
      <c r="L67" s="4" t="n"/>
    </row>
    <row r="68">
      <c r="A68" s="21" t="inlineStr"/>
      <c r="B68" s="4" t="n"/>
      <c r="C68" s="4" t="n"/>
      <c r="D68" s="4" t="n"/>
      <c r="E68" s="4" t="n"/>
      <c r="F68" s="4" t="n"/>
      <c r="G68" s="4" t="n"/>
      <c r="H68" s="4" t="n"/>
      <c r="I68" s="4" t="n"/>
      <c r="J68" s="4" t="n"/>
      <c r="K68" s="4" t="n"/>
      <c r="L68" s="4" t="n"/>
    </row>
    <row r="69">
      <c r="A69" s="21" t="inlineStr"/>
      <c r="B69" s="4" t="n"/>
      <c r="C69" s="4" t="n"/>
      <c r="D69" s="4" t="n"/>
      <c r="E69" s="4" t="n"/>
      <c r="F69" s="4" t="n"/>
      <c r="G69" s="4" t="n"/>
      <c r="H69" s="4" t="n"/>
      <c r="I69" s="4" t="n"/>
      <c r="J69" s="4" t="n"/>
      <c r="K69" s="4" t="n"/>
      <c r="L69" s="4" t="n"/>
    </row>
    <row r="70">
      <c r="A70" s="21" t="inlineStr"/>
      <c r="B70" s="4" t="n"/>
      <c r="C70" s="4" t="n"/>
      <c r="D70" s="4" t="n"/>
      <c r="E70" s="4" t="n"/>
      <c r="F70" s="4" t="n"/>
      <c r="G70" s="4" t="n"/>
      <c r="H70" s="4" t="n"/>
      <c r="I70" s="4" t="n"/>
      <c r="J70" s="4" t="n"/>
      <c r="K70" s="4" t="n"/>
      <c r="L70" s="4" t="n"/>
    </row>
    <row r="71">
      <c r="A71" s="21" t="inlineStr"/>
      <c r="B71" s="4" t="n"/>
      <c r="C71" s="4" t="n"/>
      <c r="D71" s="4" t="n"/>
      <c r="E71" s="4" t="n"/>
      <c r="F71" s="4" t="n"/>
      <c r="G71" s="4" t="n"/>
      <c r="H71" s="4" t="n"/>
      <c r="I71" s="4" t="n"/>
      <c r="J71" s="4" t="n"/>
      <c r="K71" s="4" t="n"/>
      <c r="L71" s="4" t="n"/>
    </row>
    <row r="72">
      <c r="A72" s="21" t="inlineStr"/>
      <c r="B72" s="4" t="n"/>
      <c r="C72" s="4" t="n"/>
      <c r="D72" s="4" t="n"/>
      <c r="E72" s="4" t="n"/>
      <c r="F72" s="4" t="n"/>
      <c r="G72" s="4" t="n"/>
      <c r="H72" s="4" t="n"/>
      <c r="I72" s="4" t="n"/>
      <c r="J72" s="4" t="n"/>
      <c r="K72" s="4" t="n"/>
      <c r="L72" s="4" t="n"/>
    </row>
    <row r="73">
      <c r="A73" s="21" t="inlineStr"/>
      <c r="B73" s="4" t="n"/>
      <c r="C73" s="4" t="n"/>
      <c r="D73" s="4" t="n"/>
      <c r="E73" s="4" t="n"/>
      <c r="F73" s="4" t="n"/>
      <c r="G73" s="4" t="n"/>
      <c r="H73" s="4" t="n"/>
      <c r="I73" s="4" t="n"/>
      <c r="J73" s="4" t="n"/>
      <c r="K73" s="4" t="n"/>
      <c r="L73" s="4" t="n"/>
    </row>
    <row r="74">
      <c r="A74" s="21" t="inlineStr"/>
      <c r="B74" s="4" t="n"/>
      <c r="C74" s="4" t="n"/>
      <c r="D74" s="4" t="n"/>
      <c r="E74" s="4" t="n"/>
      <c r="F74" s="4" t="n"/>
      <c r="G74" s="4" t="n"/>
      <c r="H74" s="4" t="n"/>
      <c r="I74" s="4" t="n"/>
      <c r="J74" s="4" t="n"/>
      <c r="K74" s="4" t="n"/>
      <c r="L74" s="4" t="n"/>
    </row>
    <row r="75">
      <c r="A75" s="21" t="inlineStr"/>
      <c r="B75" s="4" t="n"/>
      <c r="C75" s="4" t="n"/>
      <c r="D75" s="4" t="n"/>
      <c r="E75" s="4" t="n"/>
      <c r="F75" s="4" t="n"/>
      <c r="G75" s="4" t="n"/>
      <c r="H75" s="4" t="n"/>
      <c r="I75" s="4" t="n"/>
      <c r="J75" s="4" t="n"/>
      <c r="K75" s="4" t="n"/>
      <c r="L75" s="4" t="n"/>
    </row>
    <row r="76">
      <c r="A76" s="21" t="inlineStr"/>
      <c r="B76" s="4" t="n"/>
      <c r="C76" s="4" t="n"/>
      <c r="D76" s="4" t="n"/>
      <c r="E76" s="4" t="n"/>
      <c r="F76" s="4" t="n"/>
      <c r="G76" s="4" t="n"/>
      <c r="H76" s="4" t="n"/>
      <c r="I76" s="4" t="n"/>
      <c r="J76" s="4" t="n"/>
      <c r="K76" s="4" t="n"/>
      <c r="L76" s="4" t="n"/>
    </row>
    <row r="77">
      <c r="A77" s="21" t="inlineStr"/>
      <c r="B77" s="4" t="n"/>
      <c r="C77" s="4" t="n"/>
      <c r="D77" s="4" t="n"/>
      <c r="E77" s="4" t="n"/>
      <c r="F77" s="4" t="n"/>
      <c r="G77" s="4" t="n"/>
      <c r="H77" s="4" t="n"/>
      <c r="I77" s="4" t="n"/>
      <c r="J77" s="4" t="n"/>
      <c r="K77" s="4" t="n"/>
      <c r="L77" s="4" t="n"/>
    </row>
    <row r="78">
      <c r="A78" s="21" t="inlineStr"/>
      <c r="B78" s="4" t="n"/>
      <c r="C78" s="4" t="n"/>
      <c r="D78" s="4" t="n"/>
      <c r="E78" s="4" t="n"/>
      <c r="F78" s="4" t="n"/>
      <c r="G78" s="4" t="n"/>
      <c r="H78" s="4" t="n"/>
      <c r="I78" s="4" t="n"/>
      <c r="J78" s="4" t="n"/>
      <c r="K78" s="4" t="n"/>
      <c r="L78" s="4" t="n"/>
    </row>
    <row r="79">
      <c r="A79" s="21" t="inlineStr"/>
      <c r="B79" s="4" t="n"/>
      <c r="C79" s="4" t="n"/>
      <c r="D79" s="4" t="n"/>
      <c r="E79" s="4" t="n"/>
      <c r="F79" s="4" t="n"/>
      <c r="G79" s="4" t="n"/>
      <c r="H79" s="4" t="n"/>
      <c r="I79" s="4" t="n"/>
      <c r="J79" s="4" t="n"/>
      <c r="K79" s="4" t="n"/>
      <c r="L79" s="4" t="n"/>
    </row>
    <row r="80">
      <c r="A80" s="21" t="inlineStr"/>
      <c r="B80" s="4" t="n"/>
      <c r="C80" s="4" t="n"/>
      <c r="D80" s="4" t="n"/>
      <c r="E80" s="4" t="n"/>
      <c r="F80" s="4" t="n"/>
      <c r="G80" s="4" t="n"/>
      <c r="H80" s="4" t="n"/>
      <c r="I80" s="4" t="n"/>
      <c r="J80" s="4" t="n"/>
      <c r="K80" s="4" t="n"/>
      <c r="L80" s="4" t="n"/>
    </row>
    <row r="81">
      <c r="A81" s="21" t="inlineStr"/>
      <c r="B81" s="4" t="n"/>
      <c r="C81" s="4" t="n"/>
      <c r="D81" s="4" t="n"/>
      <c r="E81" s="4" t="n"/>
      <c r="F81" s="4" t="n"/>
      <c r="G81" s="4" t="n"/>
      <c r="H81" s="4" t="n"/>
      <c r="I81" s="4" t="n"/>
      <c r="J81" s="4" t="n"/>
      <c r="K81" s="4" t="n"/>
      <c r="L81" s="4" t="n"/>
    </row>
    <row r="82">
      <c r="A82" s="21" t="inlineStr"/>
      <c r="B82" s="4" t="n"/>
      <c r="C82" s="4" t="n"/>
      <c r="D82" s="4" t="n"/>
      <c r="E82" s="4" t="n"/>
      <c r="F82" s="4" t="n"/>
      <c r="G82" s="4" t="n"/>
      <c r="H82" s="4" t="n"/>
      <c r="I82" s="4" t="n"/>
      <c r="J82" s="4" t="n"/>
      <c r="K82" s="4" t="n"/>
      <c r="L82" s="4" t="n"/>
    </row>
    <row r="83">
      <c r="A83" s="21" t="inlineStr"/>
      <c r="B83" s="4" t="n"/>
      <c r="C83" s="4" t="n"/>
      <c r="D83" s="4" t="n"/>
      <c r="E83" s="4" t="n"/>
      <c r="F83" s="4" t="n"/>
      <c r="G83" s="4" t="n"/>
      <c r="H83" s="4" t="n"/>
      <c r="I83" s="4" t="n"/>
      <c r="J83" s="4" t="n"/>
      <c r="K83" s="4" t="n"/>
      <c r="L83" s="4" t="n"/>
    </row>
    <row r="84">
      <c r="A84" s="21" t="inlineStr"/>
      <c r="B84" s="4" t="n"/>
      <c r="C84" s="4" t="n"/>
      <c r="D84" s="4" t="n"/>
      <c r="E84" s="4" t="n"/>
      <c r="F84" s="4" t="n"/>
      <c r="G84" s="4" t="n"/>
      <c r="H84" s="4" t="n"/>
      <c r="I84" s="4" t="n"/>
      <c r="J84" s="4" t="n"/>
      <c r="K84" s="4" t="n"/>
      <c r="L84" s="4" t="n"/>
    </row>
    <row r="85">
      <c r="A85" s="21" t="inlineStr"/>
      <c r="B85" s="4" t="n"/>
      <c r="C85" s="4" t="n"/>
      <c r="D85" s="4" t="n"/>
      <c r="E85" s="4" t="n"/>
      <c r="F85" s="4" t="n"/>
      <c r="G85" s="4" t="n"/>
      <c r="H85" s="4" t="n"/>
      <c r="I85" s="4" t="n"/>
      <c r="J85" s="4" t="n"/>
      <c r="K85" s="4" t="n"/>
      <c r="L85" s="4" t="n"/>
    </row>
    <row r="86">
      <c r="A86" s="21" t="inlineStr"/>
      <c r="B86" s="4" t="n"/>
      <c r="C86" s="4" t="n"/>
      <c r="D86" s="4" t="n"/>
      <c r="E86" s="4" t="n"/>
      <c r="F86" s="4" t="n"/>
      <c r="G86" s="4" t="n"/>
      <c r="H86" s="4" t="n"/>
      <c r="I86" s="4" t="n"/>
      <c r="J86" s="4" t="n"/>
      <c r="K86" s="4" t="n"/>
      <c r="L86" s="4" t="n"/>
    </row>
    <row r="87">
      <c r="A87" s="21" t="inlineStr"/>
      <c r="B87" s="4" t="n"/>
      <c r="C87" s="4" t="n"/>
      <c r="D87" s="4" t="n"/>
      <c r="E87" s="4" t="n"/>
      <c r="F87" s="4" t="n"/>
      <c r="G87" s="4" t="n"/>
      <c r="H87" s="4" t="n"/>
      <c r="I87" s="4" t="n"/>
      <c r="J87" s="4" t="n"/>
      <c r="K87" s="4" t="n"/>
      <c r="L87" s="4" t="n"/>
    </row>
    <row r="88">
      <c r="A88" s="21" t="inlineStr"/>
      <c r="B88" s="4" t="n"/>
      <c r="C88" s="4" t="n"/>
      <c r="D88" s="4" t="n"/>
      <c r="E88" s="4" t="n"/>
      <c r="F88" s="4" t="n"/>
      <c r="G88" s="4" t="n"/>
      <c r="H88" s="4" t="n"/>
      <c r="I88" s="4" t="n"/>
      <c r="J88" s="4" t="n"/>
      <c r="K88" s="4" t="n"/>
      <c r="L88" s="4" t="n"/>
    </row>
    <row r="89">
      <c r="A89" s="21" t="inlineStr"/>
      <c r="B89" s="4" t="n"/>
      <c r="C89" s="4" t="n"/>
      <c r="D89" s="4" t="n"/>
      <c r="E89" s="4" t="n"/>
      <c r="F89" s="4" t="n"/>
      <c r="G89" s="4" t="n"/>
      <c r="H89" s="4" t="n"/>
      <c r="I89" s="4" t="n"/>
      <c r="J89" s="4" t="n"/>
      <c r="K89" s="4" t="n"/>
      <c r="L89" s="4" t="n"/>
    </row>
    <row r="90">
      <c r="A90" s="21" t="inlineStr"/>
      <c r="B90" s="4" t="n"/>
      <c r="C90" s="4" t="n"/>
      <c r="D90" s="4" t="n"/>
      <c r="E90" s="4" t="n"/>
      <c r="F90" s="4" t="n"/>
      <c r="G90" s="4" t="n"/>
      <c r="H90" s="4" t="n"/>
      <c r="I90" s="4" t="n"/>
      <c r="J90" s="4" t="n"/>
      <c r="K90" s="4" t="n"/>
      <c r="L90" s="4" t="n"/>
    </row>
    <row r="91">
      <c r="A91" s="21" t="inlineStr"/>
      <c r="B91" s="4" t="n"/>
      <c r="C91" s="4" t="n"/>
      <c r="D91" s="4" t="n"/>
      <c r="E91" s="4" t="n"/>
      <c r="F91" s="4" t="n"/>
      <c r="G91" s="4" t="n"/>
      <c r="H91" s="4" t="n"/>
      <c r="I91" s="4" t="n"/>
      <c r="J91" s="4" t="n"/>
      <c r="K91" s="4" t="n"/>
      <c r="L91" s="4" t="n"/>
    </row>
    <row r="92">
      <c r="A92" s="21" t="inlineStr"/>
      <c r="B92" s="4" t="n"/>
      <c r="C92" s="4" t="n"/>
      <c r="D92" s="4" t="n"/>
      <c r="E92" s="4" t="n"/>
      <c r="F92" s="4" t="n"/>
      <c r="G92" s="4" t="n"/>
      <c r="H92" s="4" t="n"/>
      <c r="I92" s="4" t="n"/>
      <c r="J92" s="4" t="n"/>
      <c r="K92" s="4" t="n"/>
      <c r="L92" s="4" t="n"/>
    </row>
    <row r="93">
      <c r="A93" s="21" t="inlineStr"/>
      <c r="B93" s="4" t="n"/>
      <c r="C93" s="4" t="n"/>
      <c r="D93" s="4" t="n"/>
      <c r="E93" s="4" t="n"/>
      <c r="F93" s="4" t="n"/>
      <c r="G93" s="4" t="n"/>
      <c r="H93" s="4" t="n"/>
      <c r="I93" s="4" t="n"/>
      <c r="J93" s="4" t="n"/>
      <c r="K93" s="4" t="n"/>
      <c r="L93" s="4" t="n"/>
    </row>
    <row r="94">
      <c r="A94" s="21" t="inlineStr"/>
      <c r="B94" s="4" t="n"/>
      <c r="C94" s="4" t="n"/>
      <c r="D94" s="4" t="n"/>
      <c r="E94" s="4" t="n"/>
      <c r="F94" s="4" t="n"/>
      <c r="G94" s="4" t="n"/>
      <c r="H94" s="4" t="n"/>
      <c r="I94" s="4" t="n"/>
      <c r="J94" s="4" t="n"/>
      <c r="K94" s="4" t="n"/>
      <c r="L94" s="4" t="n"/>
    </row>
    <row r="95">
      <c r="A95" s="21" t="inlineStr"/>
      <c r="B95" s="4" t="n"/>
      <c r="C95" s="4" t="n"/>
      <c r="D95" s="4" t="n"/>
      <c r="E95" s="4" t="n"/>
      <c r="F95" s="4" t="n"/>
      <c r="G95" s="4" t="n"/>
      <c r="H95" s="4" t="n"/>
      <c r="I95" s="4" t="n"/>
      <c r="J95" s="4" t="n"/>
      <c r="K95" s="4" t="n"/>
      <c r="L95" s="4" t="n"/>
    </row>
    <row r="96">
      <c r="A96" s="21" t="inlineStr"/>
      <c r="B96" s="4" t="n"/>
      <c r="C96" s="4" t="n"/>
      <c r="D96" s="4" t="n"/>
      <c r="E96" s="4" t="n"/>
      <c r="F96" s="4" t="n"/>
      <c r="G96" s="4" t="n"/>
      <c r="H96" s="4" t="n"/>
      <c r="I96" s="4" t="n"/>
      <c r="J96" s="4" t="n"/>
      <c r="K96" s="4" t="n"/>
      <c r="L96" s="4" t="n"/>
    </row>
    <row r="97">
      <c r="A97" s="21" t="inlineStr"/>
      <c r="B97" s="4" t="n"/>
      <c r="C97" s="4" t="n"/>
      <c r="D97" s="4" t="n"/>
      <c r="E97" s="4" t="n"/>
      <c r="F97" s="4" t="n"/>
      <c r="G97" s="4" t="n"/>
      <c r="H97" s="4" t="n"/>
      <c r="I97" s="4" t="n"/>
      <c r="J97" s="4" t="n"/>
      <c r="K97" s="4" t="n"/>
      <c r="L97" s="4" t="n"/>
    </row>
    <row r="98">
      <c r="A98" s="21" t="inlineStr"/>
      <c r="B98" s="4" t="n"/>
      <c r="C98" s="4" t="n"/>
      <c r="D98" s="4" t="n"/>
      <c r="E98" s="4" t="n"/>
      <c r="F98" s="4" t="n"/>
      <c r="G98" s="4" t="n"/>
      <c r="H98" s="4" t="n"/>
      <c r="I98" s="4" t="n"/>
      <c r="J98" s="4" t="n"/>
      <c r="K98" s="4" t="n"/>
      <c r="L98" s="4" t="n"/>
    </row>
    <row r="99">
      <c r="A99" s="21" t="inlineStr"/>
      <c r="B99" s="4" t="n"/>
      <c r="C99" s="4" t="n"/>
      <c r="D99" s="4" t="n"/>
      <c r="E99" s="4" t="n"/>
      <c r="F99" s="4" t="n"/>
      <c r="G99" s="4" t="n"/>
      <c r="H99" s="4" t="n"/>
      <c r="I99" s="4" t="n"/>
      <c r="J99" s="4" t="n"/>
      <c r="K99" s="4" t="n"/>
      <c r="L99" s="4" t="n"/>
    </row>
    <row r="100">
      <c r="A100" s="21" t="inlineStr"/>
      <c r="B100" s="4" t="n"/>
      <c r="C100" s="4" t="n"/>
      <c r="D100" s="4" t="n"/>
      <c r="E100" s="4" t="n"/>
      <c r="F100" s="4" t="n"/>
      <c r="G100" s="4" t="n"/>
      <c r="H100" s="4" t="n"/>
      <c r="I100" s="4" t="n"/>
      <c r="J100" s="4" t="n"/>
      <c r="K100" s="4" t="n"/>
      <c r="L100" s="4" t="n"/>
    </row>
    <row r="101">
      <c r="A101" s="21" t="inlineStr"/>
      <c r="B101" s="4" t="n"/>
      <c r="C101" s="4" t="n"/>
      <c r="D101" s="4" t="n"/>
      <c r="E101" s="4" t="n"/>
      <c r="F101" s="4" t="n"/>
      <c r="G101" s="4" t="n"/>
      <c r="H101" s="4" t="n"/>
      <c r="I101" s="4" t="n"/>
      <c r="J101" s="4" t="n"/>
      <c r="K101" s="4" t="n"/>
      <c r="L101" s="4" t="n"/>
    </row>
    <row r="102">
      <c r="A102" s="21" t="inlineStr"/>
      <c r="B102" s="4" t="n"/>
      <c r="C102" s="4" t="n"/>
      <c r="D102" s="4" t="n"/>
      <c r="E102" s="4" t="n"/>
      <c r="F102" s="4" t="n"/>
      <c r="G102" s="4" t="n"/>
      <c r="H102" s="4" t="n"/>
      <c r="I102" s="4" t="n"/>
      <c r="J102" s="4" t="n"/>
      <c r="K102" s="4" t="n"/>
      <c r="L102" s="4" t="n"/>
    </row>
    <row r="103">
      <c r="A103" s="21" t="inlineStr"/>
      <c r="B103" s="4" t="n"/>
      <c r="C103" s="4" t="n"/>
      <c r="D103" s="4" t="n"/>
      <c r="E103" s="4" t="n"/>
      <c r="F103" s="4" t="n"/>
      <c r="G103" s="4" t="n"/>
      <c r="H103" s="4" t="n"/>
      <c r="I103" s="4" t="n"/>
      <c r="J103" s="4" t="n"/>
      <c r="K103" s="4" t="n"/>
      <c r="L103" s="4" t="n"/>
    </row>
    <row r="104">
      <c r="A104" s="21" t="inlineStr"/>
      <c r="B104" s="4" t="n"/>
      <c r="C104" s="4" t="n"/>
      <c r="D104" s="4" t="n"/>
      <c r="E104" s="4" t="n"/>
      <c r="F104" s="4" t="n"/>
      <c r="G104" s="4" t="n"/>
      <c r="H104" s="4" t="n"/>
      <c r="I104" s="4" t="n"/>
      <c r="J104" s="4" t="n"/>
      <c r="K104" s="4" t="n"/>
      <c r="L104" s="4" t="n"/>
    </row>
    <row r="105">
      <c r="A105" s="21" t="inlineStr"/>
      <c r="B105" s="4" t="n"/>
      <c r="C105" s="4" t="n"/>
      <c r="D105" s="4" t="n"/>
      <c r="E105" s="4" t="n"/>
      <c r="F105" s="4" t="n"/>
      <c r="G105" s="4" t="n"/>
      <c r="H105" s="4" t="n"/>
      <c r="I105" s="4" t="n"/>
      <c r="J105" s="4" t="n"/>
      <c r="K105" s="4" t="n"/>
      <c r="L105" s="4" t="n"/>
    </row>
    <row r="106">
      <c r="A106" s="21" t="inlineStr"/>
      <c r="B106" s="4" t="n"/>
      <c r="C106" s="4" t="n"/>
      <c r="D106" s="4" t="n"/>
      <c r="E106" s="4" t="n"/>
      <c r="F106" s="4" t="n"/>
      <c r="G106" s="4" t="n"/>
      <c r="H106" s="4" t="n"/>
      <c r="I106" s="4" t="n"/>
      <c r="J106" s="4" t="n"/>
      <c r="K106" s="4" t="n"/>
      <c r="L106" s="4" t="n"/>
    </row>
  </sheetData>
  <mergeCells count="1">
    <mergeCell ref="A1:L1"/>
  </mergeCells>
  <dataValidations count="3">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1" type="list">
      <formula1>"Screenshot,Configuration Export,Log Extract,Report,Policy Document,Procedure,Test Result,Audit Finding,Risk Assessment,Other"</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showDropDown="0" showInputMessage="0" showErrorMessage="0" allowBlank="1" type="list">
      <formula1>"Current,Requires Update,Archived,Missing"</formula1>
    </dataValidation>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1" type="list">
      <formula1>"A.8.2,A.8.3,A.8.5,Multiple"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7"/>
  <sheetViews>
    <sheetView workbookViewId="0">
      <pane ySplit="7" topLeftCell="A8" activePane="bottomLeft" state="frozen"/>
      <selection pane="bottomLeft" activeCell="A1" sqref="A1"/>
    </sheetView>
  </sheetViews>
  <sheetFormatPr baseColWidth="8" defaultRowHeight="15"/>
  <cols>
    <col width="12" customWidth="1" min="1" max="1"/>
    <col width="16" customWidth="1" min="2" max="2"/>
    <col width="45" customWidth="1" min="3" max="3"/>
    <col width="18" customWidth="1" min="4" max="4"/>
    <col width="12" customWidth="1" min="5" max="5"/>
    <col width="14" customWidth="1" min="6" max="6"/>
    <col width="14" customWidth="1" min="7" max="7"/>
    <col width="14" customWidth="1" min="8" max="8"/>
    <col width="14" customWidth="1" min="9" max="9"/>
    <col width="35" customWidth="1" min="10" max="10"/>
    <col width="14" customWidth="1" min="11" max="11"/>
  </cols>
  <sheetData>
    <row r="1" ht="45" customHeight="1">
      <c r="A1" s="1" t="inlineStr">
        <is>
          <t>ACTION ITEMS &amp; FOLLOW-UP TRACKER
Open actions requiring completion for compliance</t>
        </is>
      </c>
    </row>
    <row r="3">
      <c r="A3" s="10" t="inlineStr">
        <is>
          <t>ACTION SUMMARY</t>
        </is>
      </c>
    </row>
    <row r="4">
      <c r="A4" t="inlineStr">
        <is>
          <t>Total Actions:</t>
        </is>
      </c>
      <c r="B4" s="18">
        <f>COUNTA(A8:A107)-COUNTBLANK(A8:A107)</f>
        <v/>
      </c>
    </row>
    <row r="5">
      <c r="A5" t="inlineStr">
        <is>
          <t>Open:</t>
        </is>
      </c>
      <c r="B5" s="5">
        <f>COUNTIF(I8:I107,"Open")+COUNTIF(I8:I107,"In Progress")</f>
        <v/>
      </c>
    </row>
    <row r="6">
      <c r="A6" t="inlineStr">
        <is>
          <t>Overdue:</t>
        </is>
      </c>
      <c r="B6" s="27">
        <f>COUNTIFS(I8:I107,"&lt;&gt;Completed",G8:G107,"&lt;"&amp;TODAY())</f>
        <v/>
      </c>
    </row>
    <row r="7">
      <c r="A7" s="7" t="inlineStr">
        <is>
          <t>Action ID</t>
        </is>
      </c>
      <c r="B7" s="7" t="inlineStr">
        <is>
          <t>Source</t>
        </is>
      </c>
      <c r="C7" s="7" t="inlineStr">
        <is>
          <t>Description</t>
        </is>
      </c>
      <c r="D7" s="7" t="inlineStr">
        <is>
          <t>Owner</t>
        </is>
      </c>
      <c r="E7" s="7" t="inlineStr">
        <is>
          <t>Priority</t>
        </is>
      </c>
      <c r="F7" s="7" t="inlineStr">
        <is>
          <t>Created Date</t>
        </is>
      </c>
      <c r="G7" s="7" t="inlineStr">
        <is>
          <t>Due Date</t>
        </is>
      </c>
      <c r="H7" s="7" t="inlineStr">
        <is>
          <t>Completed Date</t>
        </is>
      </c>
      <c r="I7" s="7" t="inlineStr">
        <is>
          <t>Status</t>
        </is>
      </c>
      <c r="J7" s="7" t="inlineStr">
        <is>
          <t>Comments</t>
        </is>
      </c>
      <c r="K7" s="7" t="inlineStr">
        <is>
          <t>Evidence Ref</t>
        </is>
      </c>
    </row>
    <row r="8">
      <c r="A8" s="19" t="inlineStr">
        <is>
          <t>ACT-001</t>
        </is>
      </c>
      <c r="B8" s="4" t="n"/>
      <c r="C8" s="4" t="n"/>
      <c r="D8" s="4" t="n"/>
      <c r="E8" s="4" t="n"/>
      <c r="F8" s="4" t="n"/>
      <c r="G8" s="4" t="n"/>
      <c r="H8" s="4" t="n"/>
      <c r="I8" s="4" t="n"/>
      <c r="J8" s="4" t="n"/>
      <c r="K8" s="4" t="n"/>
    </row>
    <row r="9">
      <c r="A9" s="19" t="inlineStr">
        <is>
          <t>ACT-002</t>
        </is>
      </c>
      <c r="B9" s="4" t="n"/>
      <c r="C9" s="4" t="n"/>
      <c r="D9" s="4" t="n"/>
      <c r="E9" s="4" t="n"/>
      <c r="F9" s="4" t="n"/>
      <c r="G9" s="4" t="n"/>
      <c r="H9" s="4" t="n"/>
      <c r="I9" s="4" t="n"/>
      <c r="J9" s="4" t="n"/>
      <c r="K9" s="4" t="n"/>
    </row>
    <row r="10">
      <c r="A10" s="19" t="inlineStr">
        <is>
          <t>ACT-003</t>
        </is>
      </c>
      <c r="B10" s="4" t="n"/>
      <c r="C10" s="4" t="n"/>
      <c r="D10" s="4" t="n"/>
      <c r="E10" s="4" t="n"/>
      <c r="F10" s="4" t="n"/>
      <c r="G10" s="4" t="n"/>
      <c r="H10" s="4" t="n"/>
      <c r="I10" s="4" t="n"/>
      <c r="J10" s="4" t="n"/>
      <c r="K10" s="4" t="n"/>
    </row>
    <row r="11">
      <c r="A11" s="19" t="inlineStr">
        <is>
          <t>ACT-004</t>
        </is>
      </c>
      <c r="B11" s="4" t="n"/>
      <c r="C11" s="4" t="n"/>
      <c r="D11" s="4" t="n"/>
      <c r="E11" s="4" t="n"/>
      <c r="F11" s="4" t="n"/>
      <c r="G11" s="4" t="n"/>
      <c r="H11" s="4" t="n"/>
      <c r="I11" s="4" t="n"/>
      <c r="J11" s="4" t="n"/>
      <c r="K11" s="4" t="n"/>
    </row>
    <row r="12">
      <c r="A12" s="19" t="inlineStr">
        <is>
          <t>ACT-005</t>
        </is>
      </c>
      <c r="B12" s="4" t="n"/>
      <c r="C12" s="4" t="n"/>
      <c r="D12" s="4" t="n"/>
      <c r="E12" s="4" t="n"/>
      <c r="F12" s="4" t="n"/>
      <c r="G12" s="4" t="n"/>
      <c r="H12" s="4" t="n"/>
      <c r="I12" s="4" t="n"/>
      <c r="J12" s="4" t="n"/>
      <c r="K12" s="4" t="n"/>
    </row>
    <row r="13">
      <c r="A13" s="21" t="inlineStr"/>
      <c r="B13" s="4" t="n"/>
      <c r="C13" s="4" t="n"/>
      <c r="D13" s="4" t="n"/>
      <c r="E13" s="4" t="n"/>
      <c r="F13" s="4" t="n"/>
      <c r="G13" s="4" t="n"/>
      <c r="H13" s="4" t="n"/>
      <c r="I13" s="4" t="n"/>
      <c r="J13" s="4" t="n"/>
      <c r="K13" s="4" t="n"/>
    </row>
    <row r="14">
      <c r="A14" s="21" t="inlineStr"/>
      <c r="B14" s="4" t="n"/>
      <c r="C14" s="4" t="n"/>
      <c r="D14" s="4" t="n"/>
      <c r="E14" s="4" t="n"/>
      <c r="F14" s="4" t="n"/>
      <c r="G14" s="4" t="n"/>
      <c r="H14" s="4" t="n"/>
      <c r="I14" s="4" t="n"/>
      <c r="J14" s="4" t="n"/>
      <c r="K14" s="4" t="n"/>
    </row>
    <row r="15">
      <c r="A15" s="21" t="inlineStr"/>
      <c r="B15" s="4" t="n"/>
      <c r="C15" s="4" t="n"/>
      <c r="D15" s="4" t="n"/>
      <c r="E15" s="4" t="n"/>
      <c r="F15" s="4" t="n"/>
      <c r="G15" s="4" t="n"/>
      <c r="H15" s="4" t="n"/>
      <c r="I15" s="4" t="n"/>
      <c r="J15" s="4" t="n"/>
      <c r="K15" s="4" t="n"/>
    </row>
    <row r="16">
      <c r="A16" s="21" t="inlineStr"/>
      <c r="B16" s="4" t="n"/>
      <c r="C16" s="4" t="n"/>
      <c r="D16" s="4" t="n"/>
      <c r="E16" s="4" t="n"/>
      <c r="F16" s="4" t="n"/>
      <c r="G16" s="4" t="n"/>
      <c r="H16" s="4" t="n"/>
      <c r="I16" s="4" t="n"/>
      <c r="J16" s="4" t="n"/>
      <c r="K16" s="4" t="n"/>
    </row>
    <row r="17">
      <c r="A17" s="21" t="inlineStr"/>
      <c r="B17" s="4" t="n"/>
      <c r="C17" s="4" t="n"/>
      <c r="D17" s="4" t="n"/>
      <c r="E17" s="4" t="n"/>
      <c r="F17" s="4" t="n"/>
      <c r="G17" s="4" t="n"/>
      <c r="H17" s="4" t="n"/>
      <c r="I17" s="4" t="n"/>
      <c r="J17" s="4" t="n"/>
      <c r="K17" s="4" t="n"/>
    </row>
    <row r="18">
      <c r="A18" s="21" t="inlineStr"/>
      <c r="B18" s="4" t="n"/>
      <c r="C18" s="4" t="n"/>
      <c r="D18" s="4" t="n"/>
      <c r="E18" s="4" t="n"/>
      <c r="F18" s="4" t="n"/>
      <c r="G18" s="4" t="n"/>
      <c r="H18" s="4" t="n"/>
      <c r="I18" s="4" t="n"/>
      <c r="J18" s="4" t="n"/>
      <c r="K18" s="4" t="n"/>
    </row>
    <row r="19">
      <c r="A19" s="21" t="inlineStr"/>
      <c r="B19" s="4" t="n"/>
      <c r="C19" s="4" t="n"/>
      <c r="D19" s="4" t="n"/>
      <c r="E19" s="4" t="n"/>
      <c r="F19" s="4" t="n"/>
      <c r="G19" s="4" t="n"/>
      <c r="H19" s="4" t="n"/>
      <c r="I19" s="4" t="n"/>
      <c r="J19" s="4" t="n"/>
      <c r="K19" s="4" t="n"/>
    </row>
    <row r="20">
      <c r="A20" s="21" t="inlineStr"/>
      <c r="B20" s="4" t="n"/>
      <c r="C20" s="4" t="n"/>
      <c r="D20" s="4" t="n"/>
      <c r="E20" s="4" t="n"/>
      <c r="F20" s="4" t="n"/>
      <c r="G20" s="4" t="n"/>
      <c r="H20" s="4" t="n"/>
      <c r="I20" s="4" t="n"/>
      <c r="J20" s="4" t="n"/>
      <c r="K20" s="4" t="n"/>
    </row>
    <row r="21">
      <c r="A21" s="21" t="inlineStr"/>
      <c r="B21" s="4" t="n"/>
      <c r="C21" s="4" t="n"/>
      <c r="D21" s="4" t="n"/>
      <c r="E21" s="4" t="n"/>
      <c r="F21" s="4" t="n"/>
      <c r="G21" s="4" t="n"/>
      <c r="H21" s="4" t="n"/>
      <c r="I21" s="4" t="n"/>
      <c r="J21" s="4" t="n"/>
      <c r="K21" s="4" t="n"/>
    </row>
    <row r="22">
      <c r="A22" s="21" t="inlineStr"/>
      <c r="B22" s="4" t="n"/>
      <c r="C22" s="4" t="n"/>
      <c r="D22" s="4" t="n"/>
      <c r="E22" s="4" t="n"/>
      <c r="F22" s="4" t="n"/>
      <c r="G22" s="4" t="n"/>
      <c r="H22" s="4" t="n"/>
      <c r="I22" s="4" t="n"/>
      <c r="J22" s="4" t="n"/>
      <c r="K22" s="4" t="n"/>
    </row>
    <row r="23">
      <c r="A23" s="21" t="inlineStr"/>
      <c r="B23" s="4" t="n"/>
      <c r="C23" s="4" t="n"/>
      <c r="D23" s="4" t="n"/>
      <c r="E23" s="4" t="n"/>
      <c r="F23" s="4" t="n"/>
      <c r="G23" s="4" t="n"/>
      <c r="H23" s="4" t="n"/>
      <c r="I23" s="4" t="n"/>
      <c r="J23" s="4" t="n"/>
      <c r="K23" s="4" t="n"/>
    </row>
    <row r="24">
      <c r="A24" s="21" t="inlineStr"/>
      <c r="B24" s="4" t="n"/>
      <c r="C24" s="4" t="n"/>
      <c r="D24" s="4" t="n"/>
      <c r="E24" s="4" t="n"/>
      <c r="F24" s="4" t="n"/>
      <c r="G24" s="4" t="n"/>
      <c r="H24" s="4" t="n"/>
      <c r="I24" s="4" t="n"/>
      <c r="J24" s="4" t="n"/>
      <c r="K24" s="4" t="n"/>
    </row>
    <row r="25">
      <c r="A25" s="21" t="inlineStr"/>
      <c r="B25" s="4" t="n"/>
      <c r="C25" s="4" t="n"/>
      <c r="D25" s="4" t="n"/>
      <c r="E25" s="4" t="n"/>
      <c r="F25" s="4" t="n"/>
      <c r="G25" s="4" t="n"/>
      <c r="H25" s="4" t="n"/>
      <c r="I25" s="4" t="n"/>
      <c r="J25" s="4" t="n"/>
      <c r="K25" s="4" t="n"/>
    </row>
    <row r="26">
      <c r="A26" s="21" t="inlineStr"/>
      <c r="B26" s="4" t="n"/>
      <c r="C26" s="4" t="n"/>
      <c r="D26" s="4" t="n"/>
      <c r="E26" s="4" t="n"/>
      <c r="F26" s="4" t="n"/>
      <c r="G26" s="4" t="n"/>
      <c r="H26" s="4" t="n"/>
      <c r="I26" s="4" t="n"/>
      <c r="J26" s="4" t="n"/>
      <c r="K26" s="4" t="n"/>
    </row>
    <row r="27">
      <c r="A27" s="21" t="inlineStr"/>
      <c r="B27" s="4" t="n"/>
      <c r="C27" s="4" t="n"/>
      <c r="D27" s="4" t="n"/>
      <c r="E27" s="4" t="n"/>
      <c r="F27" s="4" t="n"/>
      <c r="G27" s="4" t="n"/>
      <c r="H27" s="4" t="n"/>
      <c r="I27" s="4" t="n"/>
      <c r="J27" s="4" t="n"/>
      <c r="K27" s="4" t="n"/>
    </row>
    <row r="28">
      <c r="A28" s="21" t="inlineStr"/>
      <c r="B28" s="4" t="n"/>
      <c r="C28" s="4" t="n"/>
      <c r="D28" s="4" t="n"/>
      <c r="E28" s="4" t="n"/>
      <c r="F28" s="4" t="n"/>
      <c r="G28" s="4" t="n"/>
      <c r="H28" s="4" t="n"/>
      <c r="I28" s="4" t="n"/>
      <c r="J28" s="4" t="n"/>
      <c r="K28" s="4" t="n"/>
    </row>
    <row r="29">
      <c r="A29" s="21" t="inlineStr"/>
      <c r="B29" s="4" t="n"/>
      <c r="C29" s="4" t="n"/>
      <c r="D29" s="4" t="n"/>
      <c r="E29" s="4" t="n"/>
      <c r="F29" s="4" t="n"/>
      <c r="G29" s="4" t="n"/>
      <c r="H29" s="4" t="n"/>
      <c r="I29" s="4" t="n"/>
      <c r="J29" s="4" t="n"/>
      <c r="K29" s="4" t="n"/>
    </row>
    <row r="30">
      <c r="A30" s="21" t="inlineStr"/>
      <c r="B30" s="4" t="n"/>
      <c r="C30" s="4" t="n"/>
      <c r="D30" s="4" t="n"/>
      <c r="E30" s="4" t="n"/>
      <c r="F30" s="4" t="n"/>
      <c r="G30" s="4" t="n"/>
      <c r="H30" s="4" t="n"/>
      <c r="I30" s="4" t="n"/>
      <c r="J30" s="4" t="n"/>
      <c r="K30" s="4" t="n"/>
    </row>
    <row r="31">
      <c r="A31" s="21" t="inlineStr"/>
      <c r="B31" s="4" t="n"/>
      <c r="C31" s="4" t="n"/>
      <c r="D31" s="4" t="n"/>
      <c r="E31" s="4" t="n"/>
      <c r="F31" s="4" t="n"/>
      <c r="G31" s="4" t="n"/>
      <c r="H31" s="4" t="n"/>
      <c r="I31" s="4" t="n"/>
      <c r="J31" s="4" t="n"/>
      <c r="K31" s="4" t="n"/>
    </row>
    <row r="32">
      <c r="A32" s="21" t="inlineStr"/>
      <c r="B32" s="4" t="n"/>
      <c r="C32" s="4" t="n"/>
      <c r="D32" s="4" t="n"/>
      <c r="E32" s="4" t="n"/>
      <c r="F32" s="4" t="n"/>
      <c r="G32" s="4" t="n"/>
      <c r="H32" s="4" t="n"/>
      <c r="I32" s="4" t="n"/>
      <c r="J32" s="4" t="n"/>
      <c r="K32" s="4" t="n"/>
    </row>
    <row r="33">
      <c r="A33" s="21" t="inlineStr"/>
      <c r="B33" s="4" t="n"/>
      <c r="C33" s="4" t="n"/>
      <c r="D33" s="4" t="n"/>
      <c r="E33" s="4" t="n"/>
      <c r="F33" s="4" t="n"/>
      <c r="G33" s="4" t="n"/>
      <c r="H33" s="4" t="n"/>
      <c r="I33" s="4" t="n"/>
      <c r="J33" s="4" t="n"/>
      <c r="K33" s="4" t="n"/>
    </row>
    <row r="34">
      <c r="A34" s="21" t="inlineStr"/>
      <c r="B34" s="4" t="n"/>
      <c r="C34" s="4" t="n"/>
      <c r="D34" s="4" t="n"/>
      <c r="E34" s="4" t="n"/>
      <c r="F34" s="4" t="n"/>
      <c r="G34" s="4" t="n"/>
      <c r="H34" s="4" t="n"/>
      <c r="I34" s="4" t="n"/>
      <c r="J34" s="4" t="n"/>
      <c r="K34" s="4" t="n"/>
    </row>
    <row r="35">
      <c r="A35" s="21" t="inlineStr"/>
      <c r="B35" s="4" t="n"/>
      <c r="C35" s="4" t="n"/>
      <c r="D35" s="4" t="n"/>
      <c r="E35" s="4" t="n"/>
      <c r="F35" s="4" t="n"/>
      <c r="G35" s="4" t="n"/>
      <c r="H35" s="4" t="n"/>
      <c r="I35" s="4" t="n"/>
      <c r="J35" s="4" t="n"/>
      <c r="K35" s="4" t="n"/>
    </row>
    <row r="36">
      <c r="A36" s="21" t="inlineStr"/>
      <c r="B36" s="4" t="n"/>
      <c r="C36" s="4" t="n"/>
      <c r="D36" s="4" t="n"/>
      <c r="E36" s="4" t="n"/>
      <c r="F36" s="4" t="n"/>
      <c r="G36" s="4" t="n"/>
      <c r="H36" s="4" t="n"/>
      <c r="I36" s="4" t="n"/>
      <c r="J36" s="4" t="n"/>
      <c r="K36" s="4" t="n"/>
    </row>
    <row r="37">
      <c r="A37" s="21" t="inlineStr"/>
      <c r="B37" s="4" t="n"/>
      <c r="C37" s="4" t="n"/>
      <c r="D37" s="4" t="n"/>
      <c r="E37" s="4" t="n"/>
      <c r="F37" s="4" t="n"/>
      <c r="G37" s="4" t="n"/>
      <c r="H37" s="4" t="n"/>
      <c r="I37" s="4" t="n"/>
      <c r="J37" s="4" t="n"/>
      <c r="K37" s="4" t="n"/>
    </row>
    <row r="38">
      <c r="A38" s="21" t="inlineStr"/>
      <c r="B38" s="4" t="n"/>
      <c r="C38" s="4" t="n"/>
      <c r="D38" s="4" t="n"/>
      <c r="E38" s="4" t="n"/>
      <c r="F38" s="4" t="n"/>
      <c r="G38" s="4" t="n"/>
      <c r="H38" s="4" t="n"/>
      <c r="I38" s="4" t="n"/>
      <c r="J38" s="4" t="n"/>
      <c r="K38" s="4" t="n"/>
    </row>
    <row r="39">
      <c r="A39" s="21" t="inlineStr"/>
      <c r="B39" s="4" t="n"/>
      <c r="C39" s="4" t="n"/>
      <c r="D39" s="4" t="n"/>
      <c r="E39" s="4" t="n"/>
      <c r="F39" s="4" t="n"/>
      <c r="G39" s="4" t="n"/>
      <c r="H39" s="4" t="n"/>
      <c r="I39" s="4" t="n"/>
      <c r="J39" s="4" t="n"/>
      <c r="K39" s="4" t="n"/>
    </row>
    <row r="40">
      <c r="A40" s="21" t="inlineStr"/>
      <c r="B40" s="4" t="n"/>
      <c r="C40" s="4" t="n"/>
      <c r="D40" s="4" t="n"/>
      <c r="E40" s="4" t="n"/>
      <c r="F40" s="4" t="n"/>
      <c r="G40" s="4" t="n"/>
      <c r="H40" s="4" t="n"/>
      <c r="I40" s="4" t="n"/>
      <c r="J40" s="4" t="n"/>
      <c r="K40" s="4" t="n"/>
    </row>
    <row r="41">
      <c r="A41" s="21" t="inlineStr"/>
      <c r="B41" s="4" t="n"/>
      <c r="C41" s="4" t="n"/>
      <c r="D41" s="4" t="n"/>
      <c r="E41" s="4" t="n"/>
      <c r="F41" s="4" t="n"/>
      <c r="G41" s="4" t="n"/>
      <c r="H41" s="4" t="n"/>
      <c r="I41" s="4" t="n"/>
      <c r="J41" s="4" t="n"/>
      <c r="K41" s="4" t="n"/>
    </row>
    <row r="42">
      <c r="A42" s="21" t="inlineStr"/>
      <c r="B42" s="4" t="n"/>
      <c r="C42" s="4" t="n"/>
      <c r="D42" s="4" t="n"/>
      <c r="E42" s="4" t="n"/>
      <c r="F42" s="4" t="n"/>
      <c r="G42" s="4" t="n"/>
      <c r="H42" s="4" t="n"/>
      <c r="I42" s="4" t="n"/>
      <c r="J42" s="4" t="n"/>
      <c r="K42" s="4" t="n"/>
    </row>
    <row r="43">
      <c r="A43" s="21" t="inlineStr"/>
      <c r="B43" s="4" t="n"/>
      <c r="C43" s="4" t="n"/>
      <c r="D43" s="4" t="n"/>
      <c r="E43" s="4" t="n"/>
      <c r="F43" s="4" t="n"/>
      <c r="G43" s="4" t="n"/>
      <c r="H43" s="4" t="n"/>
      <c r="I43" s="4" t="n"/>
      <c r="J43" s="4" t="n"/>
      <c r="K43" s="4" t="n"/>
    </row>
    <row r="44">
      <c r="A44" s="21" t="inlineStr"/>
      <c r="B44" s="4" t="n"/>
      <c r="C44" s="4" t="n"/>
      <c r="D44" s="4" t="n"/>
      <c r="E44" s="4" t="n"/>
      <c r="F44" s="4" t="n"/>
      <c r="G44" s="4" t="n"/>
      <c r="H44" s="4" t="n"/>
      <c r="I44" s="4" t="n"/>
      <c r="J44" s="4" t="n"/>
      <c r="K44" s="4" t="n"/>
    </row>
    <row r="45">
      <c r="A45" s="21" t="inlineStr"/>
      <c r="B45" s="4" t="n"/>
      <c r="C45" s="4" t="n"/>
      <c r="D45" s="4" t="n"/>
      <c r="E45" s="4" t="n"/>
      <c r="F45" s="4" t="n"/>
      <c r="G45" s="4" t="n"/>
      <c r="H45" s="4" t="n"/>
      <c r="I45" s="4" t="n"/>
      <c r="J45" s="4" t="n"/>
      <c r="K45" s="4" t="n"/>
    </row>
    <row r="46">
      <c r="A46" s="21" t="inlineStr"/>
      <c r="B46" s="4" t="n"/>
      <c r="C46" s="4" t="n"/>
      <c r="D46" s="4" t="n"/>
      <c r="E46" s="4" t="n"/>
      <c r="F46" s="4" t="n"/>
      <c r="G46" s="4" t="n"/>
      <c r="H46" s="4" t="n"/>
      <c r="I46" s="4" t="n"/>
      <c r="J46" s="4" t="n"/>
      <c r="K46" s="4" t="n"/>
    </row>
    <row r="47">
      <c r="A47" s="21" t="inlineStr"/>
      <c r="B47" s="4" t="n"/>
      <c r="C47" s="4" t="n"/>
      <c r="D47" s="4" t="n"/>
      <c r="E47" s="4" t="n"/>
      <c r="F47" s="4" t="n"/>
      <c r="G47" s="4" t="n"/>
      <c r="H47" s="4" t="n"/>
      <c r="I47" s="4" t="n"/>
      <c r="J47" s="4" t="n"/>
      <c r="K47" s="4" t="n"/>
    </row>
    <row r="48">
      <c r="A48" s="21" t="inlineStr"/>
      <c r="B48" s="4" t="n"/>
      <c r="C48" s="4" t="n"/>
      <c r="D48" s="4" t="n"/>
      <c r="E48" s="4" t="n"/>
      <c r="F48" s="4" t="n"/>
      <c r="G48" s="4" t="n"/>
      <c r="H48" s="4" t="n"/>
      <c r="I48" s="4" t="n"/>
      <c r="J48" s="4" t="n"/>
      <c r="K48" s="4" t="n"/>
    </row>
    <row r="49">
      <c r="A49" s="21" t="inlineStr"/>
      <c r="B49" s="4" t="n"/>
      <c r="C49" s="4" t="n"/>
      <c r="D49" s="4" t="n"/>
      <c r="E49" s="4" t="n"/>
      <c r="F49" s="4" t="n"/>
      <c r="G49" s="4" t="n"/>
      <c r="H49" s="4" t="n"/>
      <c r="I49" s="4" t="n"/>
      <c r="J49" s="4" t="n"/>
      <c r="K49" s="4" t="n"/>
    </row>
    <row r="50">
      <c r="A50" s="21" t="inlineStr"/>
      <c r="B50" s="4" t="n"/>
      <c r="C50" s="4" t="n"/>
      <c r="D50" s="4" t="n"/>
      <c r="E50" s="4" t="n"/>
      <c r="F50" s="4" t="n"/>
      <c r="G50" s="4" t="n"/>
      <c r="H50" s="4" t="n"/>
      <c r="I50" s="4" t="n"/>
      <c r="J50" s="4" t="n"/>
      <c r="K50" s="4" t="n"/>
    </row>
    <row r="51">
      <c r="A51" s="21" t="inlineStr"/>
      <c r="B51" s="4" t="n"/>
      <c r="C51" s="4" t="n"/>
      <c r="D51" s="4" t="n"/>
      <c r="E51" s="4" t="n"/>
      <c r="F51" s="4" t="n"/>
      <c r="G51" s="4" t="n"/>
      <c r="H51" s="4" t="n"/>
      <c r="I51" s="4" t="n"/>
      <c r="J51" s="4" t="n"/>
      <c r="K51" s="4" t="n"/>
    </row>
    <row r="52">
      <c r="A52" s="21" t="inlineStr"/>
      <c r="B52" s="4" t="n"/>
      <c r="C52" s="4" t="n"/>
      <c r="D52" s="4" t="n"/>
      <c r="E52" s="4" t="n"/>
      <c r="F52" s="4" t="n"/>
      <c r="G52" s="4" t="n"/>
      <c r="H52" s="4" t="n"/>
      <c r="I52" s="4" t="n"/>
      <c r="J52" s="4" t="n"/>
      <c r="K52" s="4" t="n"/>
    </row>
    <row r="53">
      <c r="A53" s="21" t="inlineStr"/>
      <c r="B53" s="4" t="n"/>
      <c r="C53" s="4" t="n"/>
      <c r="D53" s="4" t="n"/>
      <c r="E53" s="4" t="n"/>
      <c r="F53" s="4" t="n"/>
      <c r="G53" s="4" t="n"/>
      <c r="H53" s="4" t="n"/>
      <c r="I53" s="4" t="n"/>
      <c r="J53" s="4" t="n"/>
      <c r="K53" s="4" t="n"/>
    </row>
    <row r="54">
      <c r="A54" s="21" t="inlineStr"/>
      <c r="B54" s="4" t="n"/>
      <c r="C54" s="4" t="n"/>
      <c r="D54" s="4" t="n"/>
      <c r="E54" s="4" t="n"/>
      <c r="F54" s="4" t="n"/>
      <c r="G54" s="4" t="n"/>
      <c r="H54" s="4" t="n"/>
      <c r="I54" s="4" t="n"/>
      <c r="J54" s="4" t="n"/>
      <c r="K54" s="4" t="n"/>
    </row>
    <row r="55">
      <c r="A55" s="21" t="inlineStr"/>
      <c r="B55" s="4" t="n"/>
      <c r="C55" s="4" t="n"/>
      <c r="D55" s="4" t="n"/>
      <c r="E55" s="4" t="n"/>
      <c r="F55" s="4" t="n"/>
      <c r="G55" s="4" t="n"/>
      <c r="H55" s="4" t="n"/>
      <c r="I55" s="4" t="n"/>
      <c r="J55" s="4" t="n"/>
      <c r="K55" s="4" t="n"/>
    </row>
    <row r="56">
      <c r="A56" s="21" t="inlineStr"/>
      <c r="B56" s="4" t="n"/>
      <c r="C56" s="4" t="n"/>
      <c r="D56" s="4" t="n"/>
      <c r="E56" s="4" t="n"/>
      <c r="F56" s="4" t="n"/>
      <c r="G56" s="4" t="n"/>
      <c r="H56" s="4" t="n"/>
      <c r="I56" s="4" t="n"/>
      <c r="J56" s="4" t="n"/>
      <c r="K56" s="4" t="n"/>
    </row>
    <row r="57">
      <c r="A57" s="21" t="inlineStr"/>
      <c r="B57" s="4" t="n"/>
      <c r="C57" s="4" t="n"/>
      <c r="D57" s="4" t="n"/>
      <c r="E57" s="4" t="n"/>
      <c r="F57" s="4" t="n"/>
      <c r="G57" s="4" t="n"/>
      <c r="H57" s="4" t="n"/>
      <c r="I57" s="4" t="n"/>
      <c r="J57" s="4" t="n"/>
      <c r="K57" s="4" t="n"/>
    </row>
    <row r="58">
      <c r="A58" s="21" t="inlineStr"/>
      <c r="B58" s="4" t="n"/>
      <c r="C58" s="4" t="n"/>
      <c r="D58" s="4" t="n"/>
      <c r="E58" s="4" t="n"/>
      <c r="F58" s="4" t="n"/>
      <c r="G58" s="4" t="n"/>
      <c r="H58" s="4" t="n"/>
      <c r="I58" s="4" t="n"/>
      <c r="J58" s="4" t="n"/>
      <c r="K58" s="4" t="n"/>
    </row>
    <row r="59">
      <c r="A59" s="21" t="inlineStr"/>
      <c r="B59" s="4" t="n"/>
      <c r="C59" s="4" t="n"/>
      <c r="D59" s="4" t="n"/>
      <c r="E59" s="4" t="n"/>
      <c r="F59" s="4" t="n"/>
      <c r="G59" s="4" t="n"/>
      <c r="H59" s="4" t="n"/>
      <c r="I59" s="4" t="n"/>
      <c r="J59" s="4" t="n"/>
      <c r="K59" s="4" t="n"/>
    </row>
    <row r="60">
      <c r="A60" s="21" t="inlineStr"/>
      <c r="B60" s="4" t="n"/>
      <c r="C60" s="4" t="n"/>
      <c r="D60" s="4" t="n"/>
      <c r="E60" s="4" t="n"/>
      <c r="F60" s="4" t="n"/>
      <c r="G60" s="4" t="n"/>
      <c r="H60" s="4" t="n"/>
      <c r="I60" s="4" t="n"/>
      <c r="J60" s="4" t="n"/>
      <c r="K60" s="4" t="n"/>
    </row>
    <row r="61">
      <c r="A61" s="21" t="inlineStr"/>
      <c r="B61" s="4" t="n"/>
      <c r="C61" s="4" t="n"/>
      <c r="D61" s="4" t="n"/>
      <c r="E61" s="4" t="n"/>
      <c r="F61" s="4" t="n"/>
      <c r="G61" s="4" t="n"/>
      <c r="H61" s="4" t="n"/>
      <c r="I61" s="4" t="n"/>
      <c r="J61" s="4" t="n"/>
      <c r="K61" s="4" t="n"/>
    </row>
    <row r="62">
      <c r="A62" s="21" t="inlineStr"/>
      <c r="B62" s="4" t="n"/>
      <c r="C62" s="4" t="n"/>
      <c r="D62" s="4" t="n"/>
      <c r="E62" s="4" t="n"/>
      <c r="F62" s="4" t="n"/>
      <c r="G62" s="4" t="n"/>
      <c r="H62" s="4" t="n"/>
      <c r="I62" s="4" t="n"/>
      <c r="J62" s="4" t="n"/>
      <c r="K62" s="4" t="n"/>
    </row>
    <row r="63">
      <c r="A63" s="21" t="inlineStr"/>
      <c r="B63" s="4" t="n"/>
      <c r="C63" s="4" t="n"/>
      <c r="D63" s="4" t="n"/>
      <c r="E63" s="4" t="n"/>
      <c r="F63" s="4" t="n"/>
      <c r="G63" s="4" t="n"/>
      <c r="H63" s="4" t="n"/>
      <c r="I63" s="4" t="n"/>
      <c r="J63" s="4" t="n"/>
      <c r="K63" s="4" t="n"/>
    </row>
    <row r="64">
      <c r="A64" s="21" t="inlineStr"/>
      <c r="B64" s="4" t="n"/>
      <c r="C64" s="4" t="n"/>
      <c r="D64" s="4" t="n"/>
      <c r="E64" s="4" t="n"/>
      <c r="F64" s="4" t="n"/>
      <c r="G64" s="4" t="n"/>
      <c r="H64" s="4" t="n"/>
      <c r="I64" s="4" t="n"/>
      <c r="J64" s="4" t="n"/>
      <c r="K64" s="4" t="n"/>
    </row>
    <row r="65">
      <c r="A65" s="21" t="inlineStr"/>
      <c r="B65" s="4" t="n"/>
      <c r="C65" s="4" t="n"/>
      <c r="D65" s="4" t="n"/>
      <c r="E65" s="4" t="n"/>
      <c r="F65" s="4" t="n"/>
      <c r="G65" s="4" t="n"/>
      <c r="H65" s="4" t="n"/>
      <c r="I65" s="4" t="n"/>
      <c r="J65" s="4" t="n"/>
      <c r="K65" s="4" t="n"/>
    </row>
    <row r="66">
      <c r="A66" s="21" t="inlineStr"/>
      <c r="B66" s="4" t="n"/>
      <c r="C66" s="4" t="n"/>
      <c r="D66" s="4" t="n"/>
      <c r="E66" s="4" t="n"/>
      <c r="F66" s="4" t="n"/>
      <c r="G66" s="4" t="n"/>
      <c r="H66" s="4" t="n"/>
      <c r="I66" s="4" t="n"/>
      <c r="J66" s="4" t="n"/>
      <c r="K66" s="4" t="n"/>
    </row>
    <row r="67">
      <c r="A67" s="21" t="inlineStr"/>
      <c r="B67" s="4" t="n"/>
      <c r="C67" s="4" t="n"/>
      <c r="D67" s="4" t="n"/>
      <c r="E67" s="4" t="n"/>
      <c r="F67" s="4" t="n"/>
      <c r="G67" s="4" t="n"/>
      <c r="H67" s="4" t="n"/>
      <c r="I67" s="4" t="n"/>
      <c r="J67" s="4" t="n"/>
      <c r="K67" s="4" t="n"/>
    </row>
    <row r="68">
      <c r="A68" s="21" t="inlineStr"/>
      <c r="B68" s="4" t="n"/>
      <c r="C68" s="4" t="n"/>
      <c r="D68" s="4" t="n"/>
      <c r="E68" s="4" t="n"/>
      <c r="F68" s="4" t="n"/>
      <c r="G68" s="4" t="n"/>
      <c r="H68" s="4" t="n"/>
      <c r="I68" s="4" t="n"/>
      <c r="J68" s="4" t="n"/>
      <c r="K68" s="4" t="n"/>
    </row>
    <row r="69">
      <c r="A69" s="21" t="inlineStr"/>
      <c r="B69" s="4" t="n"/>
      <c r="C69" s="4" t="n"/>
      <c r="D69" s="4" t="n"/>
      <c r="E69" s="4" t="n"/>
      <c r="F69" s="4" t="n"/>
      <c r="G69" s="4" t="n"/>
      <c r="H69" s="4" t="n"/>
      <c r="I69" s="4" t="n"/>
      <c r="J69" s="4" t="n"/>
      <c r="K69" s="4" t="n"/>
    </row>
    <row r="70">
      <c r="A70" s="21" t="inlineStr"/>
      <c r="B70" s="4" t="n"/>
      <c r="C70" s="4" t="n"/>
      <c r="D70" s="4" t="n"/>
      <c r="E70" s="4" t="n"/>
      <c r="F70" s="4" t="n"/>
      <c r="G70" s="4" t="n"/>
      <c r="H70" s="4" t="n"/>
      <c r="I70" s="4" t="n"/>
      <c r="J70" s="4" t="n"/>
      <c r="K70" s="4" t="n"/>
    </row>
    <row r="71">
      <c r="A71" s="21" t="inlineStr"/>
      <c r="B71" s="4" t="n"/>
      <c r="C71" s="4" t="n"/>
      <c r="D71" s="4" t="n"/>
      <c r="E71" s="4" t="n"/>
      <c r="F71" s="4" t="n"/>
      <c r="G71" s="4" t="n"/>
      <c r="H71" s="4" t="n"/>
      <c r="I71" s="4" t="n"/>
      <c r="J71" s="4" t="n"/>
      <c r="K71" s="4" t="n"/>
    </row>
    <row r="72">
      <c r="A72" s="21" t="inlineStr"/>
      <c r="B72" s="4" t="n"/>
      <c r="C72" s="4" t="n"/>
      <c r="D72" s="4" t="n"/>
      <c r="E72" s="4" t="n"/>
      <c r="F72" s="4" t="n"/>
      <c r="G72" s="4" t="n"/>
      <c r="H72" s="4" t="n"/>
      <c r="I72" s="4" t="n"/>
      <c r="J72" s="4" t="n"/>
      <c r="K72" s="4" t="n"/>
    </row>
    <row r="73">
      <c r="A73" s="21" t="inlineStr"/>
      <c r="B73" s="4" t="n"/>
      <c r="C73" s="4" t="n"/>
      <c r="D73" s="4" t="n"/>
      <c r="E73" s="4" t="n"/>
      <c r="F73" s="4" t="n"/>
      <c r="G73" s="4" t="n"/>
      <c r="H73" s="4" t="n"/>
      <c r="I73" s="4" t="n"/>
      <c r="J73" s="4" t="n"/>
      <c r="K73" s="4" t="n"/>
    </row>
    <row r="74">
      <c r="A74" s="21" t="inlineStr"/>
      <c r="B74" s="4" t="n"/>
      <c r="C74" s="4" t="n"/>
      <c r="D74" s="4" t="n"/>
      <c r="E74" s="4" t="n"/>
      <c r="F74" s="4" t="n"/>
      <c r="G74" s="4" t="n"/>
      <c r="H74" s="4" t="n"/>
      <c r="I74" s="4" t="n"/>
      <c r="J74" s="4" t="n"/>
      <c r="K74" s="4" t="n"/>
    </row>
    <row r="75">
      <c r="A75" s="21" t="inlineStr"/>
      <c r="B75" s="4" t="n"/>
      <c r="C75" s="4" t="n"/>
      <c r="D75" s="4" t="n"/>
      <c r="E75" s="4" t="n"/>
      <c r="F75" s="4" t="n"/>
      <c r="G75" s="4" t="n"/>
      <c r="H75" s="4" t="n"/>
      <c r="I75" s="4" t="n"/>
      <c r="J75" s="4" t="n"/>
      <c r="K75" s="4" t="n"/>
    </row>
    <row r="76">
      <c r="A76" s="21" t="inlineStr"/>
      <c r="B76" s="4" t="n"/>
      <c r="C76" s="4" t="n"/>
      <c r="D76" s="4" t="n"/>
      <c r="E76" s="4" t="n"/>
      <c r="F76" s="4" t="n"/>
      <c r="G76" s="4" t="n"/>
      <c r="H76" s="4" t="n"/>
      <c r="I76" s="4" t="n"/>
      <c r="J76" s="4" t="n"/>
      <c r="K76" s="4" t="n"/>
    </row>
    <row r="77">
      <c r="A77" s="21" t="inlineStr"/>
      <c r="B77" s="4" t="n"/>
      <c r="C77" s="4" t="n"/>
      <c r="D77" s="4" t="n"/>
      <c r="E77" s="4" t="n"/>
      <c r="F77" s="4" t="n"/>
      <c r="G77" s="4" t="n"/>
      <c r="H77" s="4" t="n"/>
      <c r="I77" s="4" t="n"/>
      <c r="J77" s="4" t="n"/>
      <c r="K77" s="4" t="n"/>
    </row>
    <row r="78">
      <c r="A78" s="21" t="inlineStr"/>
      <c r="B78" s="4" t="n"/>
      <c r="C78" s="4" t="n"/>
      <c r="D78" s="4" t="n"/>
      <c r="E78" s="4" t="n"/>
      <c r="F78" s="4" t="n"/>
      <c r="G78" s="4" t="n"/>
      <c r="H78" s="4" t="n"/>
      <c r="I78" s="4" t="n"/>
      <c r="J78" s="4" t="n"/>
      <c r="K78" s="4" t="n"/>
    </row>
    <row r="79">
      <c r="A79" s="21" t="inlineStr"/>
      <c r="B79" s="4" t="n"/>
      <c r="C79" s="4" t="n"/>
      <c r="D79" s="4" t="n"/>
      <c r="E79" s="4" t="n"/>
      <c r="F79" s="4" t="n"/>
      <c r="G79" s="4" t="n"/>
      <c r="H79" s="4" t="n"/>
      <c r="I79" s="4" t="n"/>
      <c r="J79" s="4" t="n"/>
      <c r="K79" s="4" t="n"/>
    </row>
    <row r="80">
      <c r="A80" s="21" t="inlineStr"/>
      <c r="B80" s="4" t="n"/>
      <c r="C80" s="4" t="n"/>
      <c r="D80" s="4" t="n"/>
      <c r="E80" s="4" t="n"/>
      <c r="F80" s="4" t="n"/>
      <c r="G80" s="4" t="n"/>
      <c r="H80" s="4" t="n"/>
      <c r="I80" s="4" t="n"/>
      <c r="J80" s="4" t="n"/>
      <c r="K80" s="4" t="n"/>
    </row>
    <row r="81">
      <c r="A81" s="21" t="inlineStr"/>
      <c r="B81" s="4" t="n"/>
      <c r="C81" s="4" t="n"/>
      <c r="D81" s="4" t="n"/>
      <c r="E81" s="4" t="n"/>
      <c r="F81" s="4" t="n"/>
      <c r="G81" s="4" t="n"/>
      <c r="H81" s="4" t="n"/>
      <c r="I81" s="4" t="n"/>
      <c r="J81" s="4" t="n"/>
      <c r="K81" s="4" t="n"/>
    </row>
    <row r="82">
      <c r="A82" s="21" t="inlineStr"/>
      <c r="B82" s="4" t="n"/>
      <c r="C82" s="4" t="n"/>
      <c r="D82" s="4" t="n"/>
      <c r="E82" s="4" t="n"/>
      <c r="F82" s="4" t="n"/>
      <c r="G82" s="4" t="n"/>
      <c r="H82" s="4" t="n"/>
      <c r="I82" s="4" t="n"/>
      <c r="J82" s="4" t="n"/>
      <c r="K82" s="4" t="n"/>
    </row>
    <row r="83">
      <c r="A83" s="21" t="inlineStr"/>
      <c r="B83" s="4" t="n"/>
      <c r="C83" s="4" t="n"/>
      <c r="D83" s="4" t="n"/>
      <c r="E83" s="4" t="n"/>
      <c r="F83" s="4" t="n"/>
      <c r="G83" s="4" t="n"/>
      <c r="H83" s="4" t="n"/>
      <c r="I83" s="4" t="n"/>
      <c r="J83" s="4" t="n"/>
      <c r="K83" s="4" t="n"/>
    </row>
    <row r="84">
      <c r="A84" s="21" t="inlineStr"/>
      <c r="B84" s="4" t="n"/>
      <c r="C84" s="4" t="n"/>
      <c r="D84" s="4" t="n"/>
      <c r="E84" s="4" t="n"/>
      <c r="F84" s="4" t="n"/>
      <c r="G84" s="4" t="n"/>
      <c r="H84" s="4" t="n"/>
      <c r="I84" s="4" t="n"/>
      <c r="J84" s="4" t="n"/>
      <c r="K84" s="4" t="n"/>
    </row>
    <row r="85">
      <c r="A85" s="21" t="inlineStr"/>
      <c r="B85" s="4" t="n"/>
      <c r="C85" s="4" t="n"/>
      <c r="D85" s="4" t="n"/>
      <c r="E85" s="4" t="n"/>
      <c r="F85" s="4" t="n"/>
      <c r="G85" s="4" t="n"/>
      <c r="H85" s="4" t="n"/>
      <c r="I85" s="4" t="n"/>
      <c r="J85" s="4" t="n"/>
      <c r="K85" s="4" t="n"/>
    </row>
    <row r="86">
      <c r="A86" s="21" t="inlineStr"/>
      <c r="B86" s="4" t="n"/>
      <c r="C86" s="4" t="n"/>
      <c r="D86" s="4" t="n"/>
      <c r="E86" s="4" t="n"/>
      <c r="F86" s="4" t="n"/>
      <c r="G86" s="4" t="n"/>
      <c r="H86" s="4" t="n"/>
      <c r="I86" s="4" t="n"/>
      <c r="J86" s="4" t="n"/>
      <c r="K86" s="4" t="n"/>
    </row>
    <row r="87">
      <c r="A87" s="21" t="inlineStr"/>
      <c r="B87" s="4" t="n"/>
      <c r="C87" s="4" t="n"/>
      <c r="D87" s="4" t="n"/>
      <c r="E87" s="4" t="n"/>
      <c r="F87" s="4" t="n"/>
      <c r="G87" s="4" t="n"/>
      <c r="H87" s="4" t="n"/>
      <c r="I87" s="4" t="n"/>
      <c r="J87" s="4" t="n"/>
      <c r="K87" s="4" t="n"/>
    </row>
    <row r="88">
      <c r="A88" s="21" t="inlineStr"/>
      <c r="B88" s="4" t="n"/>
      <c r="C88" s="4" t="n"/>
      <c r="D88" s="4" t="n"/>
      <c r="E88" s="4" t="n"/>
      <c r="F88" s="4" t="n"/>
      <c r="G88" s="4" t="n"/>
      <c r="H88" s="4" t="n"/>
      <c r="I88" s="4" t="n"/>
      <c r="J88" s="4" t="n"/>
      <c r="K88" s="4" t="n"/>
    </row>
    <row r="89">
      <c r="A89" s="21" t="inlineStr"/>
      <c r="B89" s="4" t="n"/>
      <c r="C89" s="4" t="n"/>
      <c r="D89" s="4" t="n"/>
      <c r="E89" s="4" t="n"/>
      <c r="F89" s="4" t="n"/>
      <c r="G89" s="4" t="n"/>
      <c r="H89" s="4" t="n"/>
      <c r="I89" s="4" t="n"/>
      <c r="J89" s="4" t="n"/>
      <c r="K89" s="4" t="n"/>
    </row>
    <row r="90">
      <c r="A90" s="21" t="inlineStr"/>
      <c r="B90" s="4" t="n"/>
      <c r="C90" s="4" t="n"/>
      <c r="D90" s="4" t="n"/>
      <c r="E90" s="4" t="n"/>
      <c r="F90" s="4" t="n"/>
      <c r="G90" s="4" t="n"/>
      <c r="H90" s="4" t="n"/>
      <c r="I90" s="4" t="n"/>
      <c r="J90" s="4" t="n"/>
      <c r="K90" s="4" t="n"/>
    </row>
    <row r="91">
      <c r="A91" s="21" t="inlineStr"/>
      <c r="B91" s="4" t="n"/>
      <c r="C91" s="4" t="n"/>
      <c r="D91" s="4" t="n"/>
      <c r="E91" s="4" t="n"/>
      <c r="F91" s="4" t="n"/>
      <c r="G91" s="4" t="n"/>
      <c r="H91" s="4" t="n"/>
      <c r="I91" s="4" t="n"/>
      <c r="J91" s="4" t="n"/>
      <c r="K91" s="4" t="n"/>
    </row>
    <row r="92">
      <c r="A92" s="21" t="inlineStr"/>
      <c r="B92" s="4" t="n"/>
      <c r="C92" s="4" t="n"/>
      <c r="D92" s="4" t="n"/>
      <c r="E92" s="4" t="n"/>
      <c r="F92" s="4" t="n"/>
      <c r="G92" s="4" t="n"/>
      <c r="H92" s="4" t="n"/>
      <c r="I92" s="4" t="n"/>
      <c r="J92" s="4" t="n"/>
      <c r="K92" s="4" t="n"/>
    </row>
    <row r="93">
      <c r="A93" s="21" t="inlineStr"/>
      <c r="B93" s="4" t="n"/>
      <c r="C93" s="4" t="n"/>
      <c r="D93" s="4" t="n"/>
      <c r="E93" s="4" t="n"/>
      <c r="F93" s="4" t="n"/>
      <c r="G93" s="4" t="n"/>
      <c r="H93" s="4" t="n"/>
      <c r="I93" s="4" t="n"/>
      <c r="J93" s="4" t="n"/>
      <c r="K93" s="4" t="n"/>
    </row>
    <row r="94">
      <c r="A94" s="21" t="inlineStr"/>
      <c r="B94" s="4" t="n"/>
      <c r="C94" s="4" t="n"/>
      <c r="D94" s="4" t="n"/>
      <c r="E94" s="4" t="n"/>
      <c r="F94" s="4" t="n"/>
      <c r="G94" s="4" t="n"/>
      <c r="H94" s="4" t="n"/>
      <c r="I94" s="4" t="n"/>
      <c r="J94" s="4" t="n"/>
      <c r="K94" s="4" t="n"/>
    </row>
    <row r="95">
      <c r="A95" s="21" t="inlineStr"/>
      <c r="B95" s="4" t="n"/>
      <c r="C95" s="4" t="n"/>
      <c r="D95" s="4" t="n"/>
      <c r="E95" s="4" t="n"/>
      <c r="F95" s="4" t="n"/>
      <c r="G95" s="4" t="n"/>
      <c r="H95" s="4" t="n"/>
      <c r="I95" s="4" t="n"/>
      <c r="J95" s="4" t="n"/>
      <c r="K95" s="4" t="n"/>
    </row>
    <row r="96">
      <c r="A96" s="21" t="inlineStr"/>
      <c r="B96" s="4" t="n"/>
      <c r="C96" s="4" t="n"/>
      <c r="D96" s="4" t="n"/>
      <c r="E96" s="4" t="n"/>
      <c r="F96" s="4" t="n"/>
      <c r="G96" s="4" t="n"/>
      <c r="H96" s="4" t="n"/>
      <c r="I96" s="4" t="n"/>
      <c r="J96" s="4" t="n"/>
      <c r="K96" s="4" t="n"/>
    </row>
    <row r="97">
      <c r="A97" s="21" t="inlineStr"/>
      <c r="B97" s="4" t="n"/>
      <c r="C97" s="4" t="n"/>
      <c r="D97" s="4" t="n"/>
      <c r="E97" s="4" t="n"/>
      <c r="F97" s="4" t="n"/>
      <c r="G97" s="4" t="n"/>
      <c r="H97" s="4" t="n"/>
      <c r="I97" s="4" t="n"/>
      <c r="J97" s="4" t="n"/>
      <c r="K97" s="4" t="n"/>
    </row>
    <row r="98">
      <c r="A98" s="21" t="inlineStr"/>
      <c r="B98" s="4" t="n"/>
      <c r="C98" s="4" t="n"/>
      <c r="D98" s="4" t="n"/>
      <c r="E98" s="4" t="n"/>
      <c r="F98" s="4" t="n"/>
      <c r="G98" s="4" t="n"/>
      <c r="H98" s="4" t="n"/>
      <c r="I98" s="4" t="n"/>
      <c r="J98" s="4" t="n"/>
      <c r="K98" s="4" t="n"/>
    </row>
    <row r="99">
      <c r="A99" s="21" t="inlineStr"/>
      <c r="B99" s="4" t="n"/>
      <c r="C99" s="4" t="n"/>
      <c r="D99" s="4" t="n"/>
      <c r="E99" s="4" t="n"/>
      <c r="F99" s="4" t="n"/>
      <c r="G99" s="4" t="n"/>
      <c r="H99" s="4" t="n"/>
      <c r="I99" s="4" t="n"/>
      <c r="J99" s="4" t="n"/>
      <c r="K99" s="4" t="n"/>
    </row>
    <row r="100">
      <c r="A100" s="21" t="inlineStr"/>
      <c r="B100" s="4" t="n"/>
      <c r="C100" s="4" t="n"/>
      <c r="D100" s="4" t="n"/>
      <c r="E100" s="4" t="n"/>
      <c r="F100" s="4" t="n"/>
      <c r="G100" s="4" t="n"/>
      <c r="H100" s="4" t="n"/>
      <c r="I100" s="4" t="n"/>
      <c r="J100" s="4" t="n"/>
      <c r="K100" s="4" t="n"/>
    </row>
    <row r="101">
      <c r="A101" s="21" t="inlineStr"/>
      <c r="B101" s="4" t="n"/>
      <c r="C101" s="4" t="n"/>
      <c r="D101" s="4" t="n"/>
      <c r="E101" s="4" t="n"/>
      <c r="F101" s="4" t="n"/>
      <c r="G101" s="4" t="n"/>
      <c r="H101" s="4" t="n"/>
      <c r="I101" s="4" t="n"/>
      <c r="J101" s="4" t="n"/>
      <c r="K101" s="4" t="n"/>
    </row>
    <row r="102">
      <c r="A102" s="21" t="inlineStr"/>
      <c r="B102" s="4" t="n"/>
      <c r="C102" s="4" t="n"/>
      <c r="D102" s="4" t="n"/>
      <c r="E102" s="4" t="n"/>
      <c r="F102" s="4" t="n"/>
      <c r="G102" s="4" t="n"/>
      <c r="H102" s="4" t="n"/>
      <c r="I102" s="4" t="n"/>
      <c r="J102" s="4" t="n"/>
      <c r="K102" s="4" t="n"/>
    </row>
    <row r="103">
      <c r="A103" s="21" t="inlineStr"/>
      <c r="B103" s="4" t="n"/>
      <c r="C103" s="4" t="n"/>
      <c r="D103" s="4" t="n"/>
      <c r="E103" s="4" t="n"/>
      <c r="F103" s="4" t="n"/>
      <c r="G103" s="4" t="n"/>
      <c r="H103" s="4" t="n"/>
      <c r="I103" s="4" t="n"/>
      <c r="J103" s="4" t="n"/>
      <c r="K103" s="4" t="n"/>
    </row>
    <row r="104">
      <c r="A104" s="21" t="inlineStr"/>
      <c r="B104" s="4" t="n"/>
      <c r="C104" s="4" t="n"/>
      <c r="D104" s="4" t="n"/>
      <c r="E104" s="4" t="n"/>
      <c r="F104" s="4" t="n"/>
      <c r="G104" s="4" t="n"/>
      <c r="H104" s="4" t="n"/>
      <c r="I104" s="4" t="n"/>
      <c r="J104" s="4" t="n"/>
      <c r="K104" s="4" t="n"/>
    </row>
    <row r="105">
      <c r="A105" s="21" t="inlineStr"/>
      <c r="B105" s="4" t="n"/>
      <c r="C105" s="4" t="n"/>
      <c r="D105" s="4" t="n"/>
      <c r="E105" s="4" t="n"/>
      <c r="F105" s="4" t="n"/>
      <c r="G105" s="4" t="n"/>
      <c r="H105" s="4" t="n"/>
      <c r="I105" s="4" t="n"/>
      <c r="J105" s="4" t="n"/>
      <c r="K105" s="4" t="n"/>
    </row>
    <row r="106">
      <c r="A106" s="21" t="inlineStr"/>
      <c r="B106" s="4" t="n"/>
      <c r="C106" s="4" t="n"/>
      <c r="D106" s="4" t="n"/>
      <c r="E106" s="4" t="n"/>
      <c r="F106" s="4" t="n"/>
      <c r="G106" s="4" t="n"/>
      <c r="H106" s="4" t="n"/>
      <c r="I106" s="4" t="n"/>
      <c r="J106" s="4" t="n"/>
      <c r="K106" s="4" t="n"/>
    </row>
    <row r="107">
      <c r="A107" s="21" t="inlineStr"/>
      <c r="B107" s="4" t="n"/>
      <c r="C107" s="4" t="n"/>
      <c r="D107" s="4" t="n"/>
      <c r="E107" s="4" t="n"/>
      <c r="F107" s="4" t="n"/>
      <c r="G107" s="4" t="n"/>
      <c r="H107" s="4" t="n"/>
      <c r="I107" s="4" t="n"/>
      <c r="J107" s="4" t="n"/>
      <c r="K107" s="4" t="n"/>
    </row>
  </sheetData>
  <mergeCells count="1">
    <mergeCell ref="A1:K1"/>
  </mergeCells>
  <dataValidations count="3">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showDropDown="0" showInputMessage="0" showErrorMessage="0" allowBlank="1" type="list">
      <formula1>"Gap Analysis,Risk Register,Audit Finding,Management Review,Incident,Other"</formula1>
    </dataValidation>
    <dataValidation sqref="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showDropDown="0" showInputMessage="0" showErrorMessage="0" allowBlank="1" type="list">
      <formula1>"Critical,High,Medium,Low"</formula1>
    </dataValidation>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0" allowBlank="1" type="list">
      <formula1>"Open,In Progress,Completed,Cancelled,Deferred"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8" customWidth="1" min="3" max="3"/>
    <col width="45" customWidth="1" min="4" max="4"/>
    <col width="20" customWidth="1" min="5" max="5"/>
    <col width="35" customWidth="1" min="6" max="6"/>
    <col width="30" customWidth="1" min="7" max="7"/>
    <col width="14" customWidth="1" min="8" max="8"/>
    <col width="14" customWidth="1" min="9" max="9"/>
    <col width="30" customWidth="1" min="10" max="10"/>
  </cols>
  <sheetData>
    <row r="1" ht="45" customHeight="1">
      <c r="A1" s="1" t="inlineStr">
        <is>
          <t>AUDIT &amp; COMPLIANCE LOG
Record of audits, assessments, and compliance activities</t>
        </is>
      </c>
    </row>
    <row r="3">
      <c r="A3" s="7" t="inlineStr">
        <is>
          <t>Entry ID</t>
        </is>
      </c>
      <c r="B3" s="7" t="inlineStr">
        <is>
          <t>Date</t>
        </is>
      </c>
      <c r="C3" s="7" t="inlineStr">
        <is>
          <t>Activity Type</t>
        </is>
      </c>
      <c r="D3" s="7" t="inlineStr">
        <is>
          <t>Description</t>
        </is>
      </c>
      <c r="E3" s="7" t="inlineStr">
        <is>
          <t>Conducted By</t>
        </is>
      </c>
      <c r="F3" s="7" t="inlineStr">
        <is>
          <t>Findings Summary</t>
        </is>
      </c>
      <c r="G3" s="7" t="inlineStr">
        <is>
          <t>Actions Required</t>
        </is>
      </c>
      <c r="H3" s="7" t="inlineStr">
        <is>
          <t>Status</t>
        </is>
      </c>
      <c r="I3" s="7" t="inlineStr">
        <is>
          <t>Follow-up Date</t>
        </is>
      </c>
      <c r="J3" s="7" t="inlineStr">
        <is>
          <t>Notes</t>
        </is>
      </c>
    </row>
    <row r="4">
      <c r="A4" s="19" t="inlineStr">
        <is>
          <t>AUD-001</t>
        </is>
      </c>
      <c r="B4" s="4" t="n"/>
      <c r="C4" s="4" t="n"/>
      <c r="D4" s="4" t="n"/>
      <c r="E4" s="4" t="n"/>
      <c r="F4" s="4" t="n"/>
      <c r="G4" s="4" t="n"/>
      <c r="H4" s="4" t="n"/>
      <c r="I4" s="4" t="n"/>
      <c r="J4" s="4" t="n"/>
    </row>
    <row r="5">
      <c r="A5" s="19" t="inlineStr">
        <is>
          <t>AUD-002</t>
        </is>
      </c>
      <c r="B5" s="4" t="n"/>
      <c r="C5" s="4" t="n"/>
      <c r="D5" s="4" t="n"/>
      <c r="E5" s="4" t="n"/>
      <c r="F5" s="4" t="n"/>
      <c r="G5" s="4" t="n"/>
      <c r="H5" s="4" t="n"/>
      <c r="I5" s="4" t="n"/>
      <c r="J5" s="4" t="n"/>
    </row>
    <row r="6">
      <c r="A6" s="19" t="inlineStr">
        <is>
          <t>AUD-003</t>
        </is>
      </c>
      <c r="B6" s="4" t="n"/>
      <c r="C6" s="4" t="n"/>
      <c r="D6" s="4" t="n"/>
      <c r="E6" s="4" t="n"/>
      <c r="F6" s="4" t="n"/>
      <c r="G6" s="4" t="n"/>
      <c r="H6" s="4" t="n"/>
      <c r="I6" s="4" t="n"/>
      <c r="J6" s="4" t="n"/>
    </row>
    <row r="7">
      <c r="A7" s="21" t="inlineStr"/>
      <c r="B7" s="4" t="n"/>
      <c r="C7" s="4" t="n"/>
      <c r="D7" s="4" t="n"/>
      <c r="E7" s="4" t="n"/>
      <c r="F7" s="4" t="n"/>
      <c r="G7" s="4" t="n"/>
      <c r="H7" s="4" t="n"/>
      <c r="I7" s="4" t="n"/>
      <c r="J7" s="4" t="n"/>
    </row>
    <row r="8">
      <c r="A8" s="21" t="inlineStr"/>
      <c r="B8" s="4" t="n"/>
      <c r="C8" s="4" t="n"/>
      <c r="D8" s="4" t="n"/>
      <c r="E8" s="4" t="n"/>
      <c r="F8" s="4" t="n"/>
      <c r="G8" s="4" t="n"/>
      <c r="H8" s="4" t="n"/>
      <c r="I8" s="4" t="n"/>
      <c r="J8" s="4" t="n"/>
    </row>
    <row r="9">
      <c r="A9" s="21" t="inlineStr"/>
      <c r="B9" s="4" t="n"/>
      <c r="C9" s="4" t="n"/>
      <c r="D9" s="4" t="n"/>
      <c r="E9" s="4" t="n"/>
      <c r="F9" s="4" t="n"/>
      <c r="G9" s="4" t="n"/>
      <c r="H9" s="4" t="n"/>
      <c r="I9" s="4" t="n"/>
      <c r="J9" s="4" t="n"/>
    </row>
    <row r="10">
      <c r="A10" s="21" t="inlineStr"/>
      <c r="B10" s="4" t="n"/>
      <c r="C10" s="4" t="n"/>
      <c r="D10" s="4" t="n"/>
      <c r="E10" s="4" t="n"/>
      <c r="F10" s="4" t="n"/>
      <c r="G10" s="4" t="n"/>
      <c r="H10" s="4" t="n"/>
      <c r="I10" s="4" t="n"/>
      <c r="J10" s="4" t="n"/>
    </row>
    <row r="11">
      <c r="A11" s="21" t="inlineStr"/>
      <c r="B11" s="4" t="n"/>
      <c r="C11" s="4" t="n"/>
      <c r="D11" s="4" t="n"/>
      <c r="E11" s="4" t="n"/>
      <c r="F11" s="4" t="n"/>
      <c r="G11" s="4" t="n"/>
      <c r="H11" s="4" t="n"/>
      <c r="I11" s="4" t="n"/>
      <c r="J11" s="4" t="n"/>
    </row>
    <row r="12">
      <c r="A12" s="21" t="inlineStr"/>
      <c r="B12" s="4" t="n"/>
      <c r="C12" s="4" t="n"/>
      <c r="D12" s="4" t="n"/>
      <c r="E12" s="4" t="n"/>
      <c r="F12" s="4" t="n"/>
      <c r="G12" s="4" t="n"/>
      <c r="H12" s="4" t="n"/>
      <c r="I12" s="4" t="n"/>
      <c r="J12" s="4" t="n"/>
    </row>
    <row r="13">
      <c r="A13" s="21" t="inlineStr"/>
      <c r="B13" s="4" t="n"/>
      <c r="C13" s="4" t="n"/>
      <c r="D13" s="4" t="n"/>
      <c r="E13" s="4" t="n"/>
      <c r="F13" s="4" t="n"/>
      <c r="G13" s="4" t="n"/>
      <c r="H13" s="4" t="n"/>
      <c r="I13" s="4" t="n"/>
      <c r="J13" s="4" t="n"/>
    </row>
    <row r="14">
      <c r="A14" s="21" t="inlineStr"/>
      <c r="B14" s="4" t="n"/>
      <c r="C14" s="4" t="n"/>
      <c r="D14" s="4" t="n"/>
      <c r="E14" s="4" t="n"/>
      <c r="F14" s="4" t="n"/>
      <c r="G14" s="4" t="n"/>
      <c r="H14" s="4" t="n"/>
      <c r="I14" s="4" t="n"/>
      <c r="J14" s="4" t="n"/>
    </row>
    <row r="15">
      <c r="A15" s="21" t="inlineStr"/>
      <c r="B15" s="4" t="n"/>
      <c r="C15" s="4" t="n"/>
      <c r="D15" s="4" t="n"/>
      <c r="E15" s="4" t="n"/>
      <c r="F15" s="4" t="n"/>
      <c r="G15" s="4" t="n"/>
      <c r="H15" s="4" t="n"/>
      <c r="I15" s="4" t="n"/>
      <c r="J15" s="4" t="n"/>
    </row>
    <row r="16">
      <c r="A16" s="21" t="inlineStr"/>
      <c r="B16" s="4" t="n"/>
      <c r="C16" s="4" t="n"/>
      <c r="D16" s="4" t="n"/>
      <c r="E16" s="4" t="n"/>
      <c r="F16" s="4" t="n"/>
      <c r="G16" s="4" t="n"/>
      <c r="H16" s="4" t="n"/>
      <c r="I16" s="4" t="n"/>
      <c r="J16" s="4" t="n"/>
    </row>
    <row r="17">
      <c r="A17" s="21" t="inlineStr"/>
      <c r="B17" s="4" t="n"/>
      <c r="C17" s="4" t="n"/>
      <c r="D17" s="4" t="n"/>
      <c r="E17" s="4" t="n"/>
      <c r="F17" s="4" t="n"/>
      <c r="G17" s="4" t="n"/>
      <c r="H17" s="4" t="n"/>
      <c r="I17" s="4" t="n"/>
      <c r="J17" s="4" t="n"/>
    </row>
    <row r="18">
      <c r="A18" s="21" t="inlineStr"/>
      <c r="B18" s="4" t="n"/>
      <c r="C18" s="4" t="n"/>
      <c r="D18" s="4" t="n"/>
      <c r="E18" s="4" t="n"/>
      <c r="F18" s="4" t="n"/>
      <c r="G18" s="4" t="n"/>
      <c r="H18" s="4" t="n"/>
      <c r="I18" s="4" t="n"/>
      <c r="J18" s="4" t="n"/>
    </row>
    <row r="19">
      <c r="A19" s="21" t="inlineStr"/>
      <c r="B19" s="4" t="n"/>
      <c r="C19" s="4" t="n"/>
      <c r="D19" s="4" t="n"/>
      <c r="E19" s="4" t="n"/>
      <c r="F19" s="4" t="n"/>
      <c r="G19" s="4" t="n"/>
      <c r="H19" s="4" t="n"/>
      <c r="I19" s="4" t="n"/>
      <c r="J19" s="4" t="n"/>
    </row>
    <row r="20">
      <c r="A20" s="21" t="inlineStr"/>
      <c r="B20" s="4" t="n"/>
      <c r="C20" s="4" t="n"/>
      <c r="D20" s="4" t="n"/>
      <c r="E20" s="4" t="n"/>
      <c r="F20" s="4" t="n"/>
      <c r="G20" s="4" t="n"/>
      <c r="H20" s="4" t="n"/>
      <c r="I20" s="4" t="n"/>
      <c r="J20" s="4" t="n"/>
    </row>
    <row r="21">
      <c r="A21" s="21" t="inlineStr"/>
      <c r="B21" s="4" t="n"/>
      <c r="C21" s="4" t="n"/>
      <c r="D21" s="4" t="n"/>
      <c r="E21" s="4" t="n"/>
      <c r="F21" s="4" t="n"/>
      <c r="G21" s="4" t="n"/>
      <c r="H21" s="4" t="n"/>
      <c r="I21" s="4" t="n"/>
      <c r="J21" s="4" t="n"/>
    </row>
    <row r="22">
      <c r="A22" s="21" t="inlineStr"/>
      <c r="B22" s="4" t="n"/>
      <c r="C22" s="4" t="n"/>
      <c r="D22" s="4" t="n"/>
      <c r="E22" s="4" t="n"/>
      <c r="F22" s="4" t="n"/>
      <c r="G22" s="4" t="n"/>
      <c r="H22" s="4" t="n"/>
      <c r="I22" s="4" t="n"/>
      <c r="J22" s="4" t="n"/>
    </row>
    <row r="23">
      <c r="A23" s="21" t="inlineStr"/>
      <c r="B23" s="4" t="n"/>
      <c r="C23" s="4" t="n"/>
      <c r="D23" s="4" t="n"/>
      <c r="E23" s="4" t="n"/>
      <c r="F23" s="4" t="n"/>
      <c r="G23" s="4" t="n"/>
      <c r="H23" s="4" t="n"/>
      <c r="I23" s="4" t="n"/>
      <c r="J23" s="4" t="n"/>
    </row>
    <row r="24">
      <c r="A24" s="21" t="inlineStr"/>
      <c r="B24" s="4" t="n"/>
      <c r="C24" s="4" t="n"/>
      <c r="D24" s="4" t="n"/>
      <c r="E24" s="4" t="n"/>
      <c r="F24" s="4" t="n"/>
      <c r="G24" s="4" t="n"/>
      <c r="H24" s="4" t="n"/>
      <c r="I24" s="4" t="n"/>
      <c r="J24" s="4" t="n"/>
    </row>
    <row r="25">
      <c r="A25" s="21" t="inlineStr"/>
      <c r="B25" s="4" t="n"/>
      <c r="C25" s="4" t="n"/>
      <c r="D25" s="4" t="n"/>
      <c r="E25" s="4" t="n"/>
      <c r="F25" s="4" t="n"/>
      <c r="G25" s="4" t="n"/>
      <c r="H25" s="4" t="n"/>
      <c r="I25" s="4" t="n"/>
      <c r="J25" s="4" t="n"/>
    </row>
    <row r="26">
      <c r="A26" s="21" t="inlineStr"/>
      <c r="B26" s="4" t="n"/>
      <c r="C26" s="4" t="n"/>
      <c r="D26" s="4" t="n"/>
      <c r="E26" s="4" t="n"/>
      <c r="F26" s="4" t="n"/>
      <c r="G26" s="4" t="n"/>
      <c r="H26" s="4" t="n"/>
      <c r="I26" s="4" t="n"/>
      <c r="J26" s="4" t="n"/>
    </row>
    <row r="27">
      <c r="A27" s="21" t="inlineStr"/>
      <c r="B27" s="4" t="n"/>
      <c r="C27" s="4" t="n"/>
      <c r="D27" s="4" t="n"/>
      <c r="E27" s="4" t="n"/>
      <c r="F27" s="4" t="n"/>
      <c r="G27" s="4" t="n"/>
      <c r="H27" s="4" t="n"/>
      <c r="I27" s="4" t="n"/>
      <c r="J27" s="4" t="n"/>
    </row>
    <row r="28">
      <c r="A28" s="21" t="inlineStr"/>
      <c r="B28" s="4" t="n"/>
      <c r="C28" s="4" t="n"/>
      <c r="D28" s="4" t="n"/>
      <c r="E28" s="4" t="n"/>
      <c r="F28" s="4" t="n"/>
      <c r="G28" s="4" t="n"/>
      <c r="H28" s="4" t="n"/>
      <c r="I28" s="4" t="n"/>
      <c r="J28" s="4" t="n"/>
    </row>
    <row r="29">
      <c r="A29" s="21" t="inlineStr"/>
      <c r="B29" s="4" t="n"/>
      <c r="C29" s="4" t="n"/>
      <c r="D29" s="4" t="n"/>
      <c r="E29" s="4" t="n"/>
      <c r="F29" s="4" t="n"/>
      <c r="G29" s="4" t="n"/>
      <c r="H29" s="4" t="n"/>
      <c r="I29" s="4" t="n"/>
      <c r="J29" s="4" t="n"/>
    </row>
    <row r="30">
      <c r="A30" s="21" t="inlineStr"/>
      <c r="B30" s="4" t="n"/>
      <c r="C30" s="4" t="n"/>
      <c r="D30" s="4" t="n"/>
      <c r="E30" s="4" t="n"/>
      <c r="F30" s="4" t="n"/>
      <c r="G30" s="4" t="n"/>
      <c r="H30" s="4" t="n"/>
      <c r="I30" s="4" t="n"/>
      <c r="J30" s="4" t="n"/>
    </row>
    <row r="31">
      <c r="A31" s="21" t="inlineStr"/>
      <c r="B31" s="4" t="n"/>
      <c r="C31" s="4" t="n"/>
      <c r="D31" s="4" t="n"/>
      <c r="E31" s="4" t="n"/>
      <c r="F31" s="4" t="n"/>
      <c r="G31" s="4" t="n"/>
      <c r="H31" s="4" t="n"/>
      <c r="I31" s="4" t="n"/>
      <c r="J31" s="4" t="n"/>
    </row>
    <row r="32">
      <c r="A32" s="21" t="inlineStr"/>
      <c r="B32" s="4" t="n"/>
      <c r="C32" s="4" t="n"/>
      <c r="D32" s="4" t="n"/>
      <c r="E32" s="4" t="n"/>
      <c r="F32" s="4" t="n"/>
      <c r="G32" s="4" t="n"/>
      <c r="H32" s="4" t="n"/>
      <c r="I32" s="4" t="n"/>
      <c r="J32" s="4" t="n"/>
    </row>
    <row r="33">
      <c r="A33" s="21" t="inlineStr"/>
      <c r="B33" s="4" t="n"/>
      <c r="C33" s="4" t="n"/>
      <c r="D33" s="4" t="n"/>
      <c r="E33" s="4" t="n"/>
      <c r="F33" s="4" t="n"/>
      <c r="G33" s="4" t="n"/>
      <c r="H33" s="4" t="n"/>
      <c r="I33" s="4" t="n"/>
      <c r="J33" s="4" t="n"/>
    </row>
    <row r="34">
      <c r="A34" s="21" t="inlineStr"/>
      <c r="B34" s="4" t="n"/>
      <c r="C34" s="4" t="n"/>
      <c r="D34" s="4" t="n"/>
      <c r="E34" s="4" t="n"/>
      <c r="F34" s="4" t="n"/>
      <c r="G34" s="4" t="n"/>
      <c r="H34" s="4" t="n"/>
      <c r="I34" s="4" t="n"/>
      <c r="J34" s="4" t="n"/>
    </row>
    <row r="35">
      <c r="A35" s="21" t="inlineStr"/>
      <c r="B35" s="4" t="n"/>
      <c r="C35" s="4" t="n"/>
      <c r="D35" s="4" t="n"/>
      <c r="E35" s="4" t="n"/>
      <c r="F35" s="4" t="n"/>
      <c r="G35" s="4" t="n"/>
      <c r="H35" s="4" t="n"/>
      <c r="I35" s="4" t="n"/>
      <c r="J35" s="4" t="n"/>
    </row>
    <row r="36">
      <c r="A36" s="21" t="inlineStr"/>
      <c r="B36" s="4" t="n"/>
      <c r="C36" s="4" t="n"/>
      <c r="D36" s="4" t="n"/>
      <c r="E36" s="4" t="n"/>
      <c r="F36" s="4" t="n"/>
      <c r="G36" s="4" t="n"/>
      <c r="H36" s="4" t="n"/>
      <c r="I36" s="4" t="n"/>
      <c r="J36" s="4" t="n"/>
    </row>
    <row r="37">
      <c r="A37" s="21" t="inlineStr"/>
      <c r="B37" s="4" t="n"/>
      <c r="C37" s="4" t="n"/>
      <c r="D37" s="4" t="n"/>
      <c r="E37" s="4" t="n"/>
      <c r="F37" s="4" t="n"/>
      <c r="G37" s="4" t="n"/>
      <c r="H37" s="4" t="n"/>
      <c r="I37" s="4" t="n"/>
      <c r="J37" s="4" t="n"/>
    </row>
    <row r="38">
      <c r="A38" s="21" t="inlineStr"/>
      <c r="B38" s="4" t="n"/>
      <c r="C38" s="4" t="n"/>
      <c r="D38" s="4" t="n"/>
      <c r="E38" s="4" t="n"/>
      <c r="F38" s="4" t="n"/>
      <c r="G38" s="4" t="n"/>
      <c r="H38" s="4" t="n"/>
      <c r="I38" s="4" t="n"/>
      <c r="J38" s="4" t="n"/>
    </row>
    <row r="39">
      <c r="A39" s="21" t="inlineStr"/>
      <c r="B39" s="4" t="n"/>
      <c r="C39" s="4" t="n"/>
      <c r="D39" s="4" t="n"/>
      <c r="E39" s="4" t="n"/>
      <c r="F39" s="4" t="n"/>
      <c r="G39" s="4" t="n"/>
      <c r="H39" s="4" t="n"/>
      <c r="I39" s="4" t="n"/>
      <c r="J39" s="4" t="n"/>
    </row>
    <row r="40">
      <c r="A40" s="21" t="inlineStr"/>
      <c r="B40" s="4" t="n"/>
      <c r="C40" s="4" t="n"/>
      <c r="D40" s="4" t="n"/>
      <c r="E40" s="4" t="n"/>
      <c r="F40" s="4" t="n"/>
      <c r="G40" s="4" t="n"/>
      <c r="H40" s="4" t="n"/>
      <c r="I40" s="4" t="n"/>
      <c r="J40" s="4" t="n"/>
    </row>
    <row r="41">
      <c r="A41" s="21" t="inlineStr"/>
      <c r="B41" s="4" t="n"/>
      <c r="C41" s="4" t="n"/>
      <c r="D41" s="4" t="n"/>
      <c r="E41" s="4" t="n"/>
      <c r="F41" s="4" t="n"/>
      <c r="G41" s="4" t="n"/>
      <c r="H41" s="4" t="n"/>
      <c r="I41" s="4" t="n"/>
      <c r="J41" s="4" t="n"/>
    </row>
    <row r="42">
      <c r="A42" s="21" t="inlineStr"/>
      <c r="B42" s="4" t="n"/>
      <c r="C42" s="4" t="n"/>
      <c r="D42" s="4" t="n"/>
      <c r="E42" s="4" t="n"/>
      <c r="F42" s="4" t="n"/>
      <c r="G42" s="4" t="n"/>
      <c r="H42" s="4" t="n"/>
      <c r="I42" s="4" t="n"/>
      <c r="J42" s="4" t="n"/>
    </row>
    <row r="43">
      <c r="A43" s="21" t="inlineStr"/>
      <c r="B43" s="4" t="n"/>
      <c r="C43" s="4" t="n"/>
      <c r="D43" s="4" t="n"/>
      <c r="E43" s="4" t="n"/>
      <c r="F43" s="4" t="n"/>
      <c r="G43" s="4" t="n"/>
      <c r="H43" s="4" t="n"/>
      <c r="I43" s="4" t="n"/>
      <c r="J43" s="4" t="n"/>
    </row>
    <row r="44">
      <c r="A44" s="21" t="inlineStr"/>
      <c r="B44" s="4" t="n"/>
      <c r="C44" s="4" t="n"/>
      <c r="D44" s="4" t="n"/>
      <c r="E44" s="4" t="n"/>
      <c r="F44" s="4" t="n"/>
      <c r="G44" s="4" t="n"/>
      <c r="H44" s="4" t="n"/>
      <c r="I44" s="4" t="n"/>
      <c r="J44" s="4" t="n"/>
    </row>
    <row r="45">
      <c r="A45" s="21" t="inlineStr"/>
      <c r="B45" s="4" t="n"/>
      <c r="C45" s="4" t="n"/>
      <c r="D45" s="4" t="n"/>
      <c r="E45" s="4" t="n"/>
      <c r="F45" s="4" t="n"/>
      <c r="G45" s="4" t="n"/>
      <c r="H45" s="4" t="n"/>
      <c r="I45" s="4" t="n"/>
      <c r="J45" s="4" t="n"/>
    </row>
    <row r="46">
      <c r="A46" s="21" t="inlineStr"/>
      <c r="B46" s="4" t="n"/>
      <c r="C46" s="4" t="n"/>
      <c r="D46" s="4" t="n"/>
      <c r="E46" s="4" t="n"/>
      <c r="F46" s="4" t="n"/>
      <c r="G46" s="4" t="n"/>
      <c r="H46" s="4" t="n"/>
      <c r="I46" s="4" t="n"/>
      <c r="J46" s="4" t="n"/>
    </row>
    <row r="47">
      <c r="A47" s="21" t="inlineStr"/>
      <c r="B47" s="4" t="n"/>
      <c r="C47" s="4" t="n"/>
      <c r="D47" s="4" t="n"/>
      <c r="E47" s="4" t="n"/>
      <c r="F47" s="4" t="n"/>
      <c r="G47" s="4" t="n"/>
      <c r="H47" s="4" t="n"/>
      <c r="I47" s="4" t="n"/>
      <c r="J47" s="4" t="n"/>
    </row>
    <row r="48">
      <c r="A48" s="21" t="inlineStr"/>
      <c r="B48" s="4" t="n"/>
      <c r="C48" s="4" t="n"/>
      <c r="D48" s="4" t="n"/>
      <c r="E48" s="4" t="n"/>
      <c r="F48" s="4" t="n"/>
      <c r="G48" s="4" t="n"/>
      <c r="H48" s="4" t="n"/>
      <c r="I48" s="4" t="n"/>
      <c r="J48" s="4" t="n"/>
    </row>
    <row r="49">
      <c r="A49" s="21" t="inlineStr"/>
      <c r="B49" s="4" t="n"/>
      <c r="C49" s="4" t="n"/>
      <c r="D49" s="4" t="n"/>
      <c r="E49" s="4" t="n"/>
      <c r="F49" s="4" t="n"/>
      <c r="G49" s="4" t="n"/>
      <c r="H49" s="4" t="n"/>
      <c r="I49" s="4" t="n"/>
      <c r="J49" s="4" t="n"/>
    </row>
    <row r="50">
      <c r="A50" s="21" t="inlineStr"/>
      <c r="B50" s="4" t="n"/>
      <c r="C50" s="4" t="n"/>
      <c r="D50" s="4" t="n"/>
      <c r="E50" s="4" t="n"/>
      <c r="F50" s="4" t="n"/>
      <c r="G50" s="4" t="n"/>
      <c r="H50" s="4" t="n"/>
      <c r="I50" s="4" t="n"/>
      <c r="J50" s="4" t="n"/>
    </row>
    <row r="51">
      <c r="A51" s="21" t="inlineStr"/>
      <c r="B51" s="4" t="n"/>
      <c r="C51" s="4" t="n"/>
      <c r="D51" s="4" t="n"/>
      <c r="E51" s="4" t="n"/>
      <c r="F51" s="4" t="n"/>
      <c r="G51" s="4" t="n"/>
      <c r="H51" s="4" t="n"/>
      <c r="I51" s="4" t="n"/>
      <c r="J51" s="4" t="n"/>
    </row>
    <row r="52">
      <c r="A52" s="21" t="inlineStr"/>
      <c r="B52" s="4" t="n"/>
      <c r="C52" s="4" t="n"/>
      <c r="D52" s="4" t="n"/>
      <c r="E52" s="4" t="n"/>
      <c r="F52" s="4" t="n"/>
      <c r="G52" s="4" t="n"/>
      <c r="H52" s="4" t="n"/>
      <c r="I52" s="4" t="n"/>
      <c r="J52" s="4" t="n"/>
    </row>
    <row r="53">
      <c r="A53" s="21" t="inlineStr"/>
      <c r="B53" s="4" t="n"/>
      <c r="C53" s="4" t="n"/>
      <c r="D53" s="4" t="n"/>
      <c r="E53" s="4" t="n"/>
      <c r="F53" s="4" t="n"/>
      <c r="G53" s="4" t="n"/>
      <c r="H53" s="4" t="n"/>
      <c r="I53" s="4" t="n"/>
      <c r="J53" s="4" t="n"/>
    </row>
  </sheetData>
  <mergeCells count="1">
    <mergeCell ref="A1:J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"Internal Audit,External Audit,Self-Assessment,Management Review,Surveillance Audit,Certification Audit,Gap Assessment,Other"</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"Scheduled,In Progress,Completed,Findings Open,Findings Closed"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5" customWidth="1" min="1" max="1"/>
    <col width="20" customWidth="1" min="2" max="2"/>
    <col width="25" customWidth="1" min="3" max="3"/>
    <col width="20" customWidth="1" min="4" max="4"/>
    <col width="15" customWidth="1" min="5" max="5"/>
    <col width="30" customWidth="1" min="6" max="6"/>
  </cols>
  <sheetData>
    <row r="1" ht="45" customHeight="1">
      <c r="A1" s="1" t="inlineStr">
        <is>
          <t>DASHBOARD APPROVAL &amp; SIGN-OFF
Executive review and approval workflow</t>
        </is>
      </c>
    </row>
    <row r="3">
      <c r="A3" s="10" t="inlineStr">
        <is>
          <t>DOCUMENT SUMMARY</t>
        </is>
      </c>
    </row>
    <row r="4">
      <c r="A4" s="3" t="inlineStr">
        <is>
          <t>Dashboard Version:</t>
        </is>
      </c>
      <c r="B4" s="8" t="inlineStr">
        <is>
          <t>1.0</t>
        </is>
      </c>
    </row>
    <row r="5">
      <c r="A5" s="3" t="inlineStr">
        <is>
          <t>Assessment Period:</t>
        </is>
      </c>
      <c r="B5" s="4" t="inlineStr"/>
    </row>
    <row r="6">
      <c r="A6" s="3" t="inlineStr">
        <is>
          <t>Overall Compliance Score:</t>
        </is>
      </c>
      <c r="B6" s="14">
        <f>'Executive Dashboard'!B17</f>
        <v/>
      </c>
    </row>
    <row r="7">
      <c r="A7" s="3" t="inlineStr">
        <is>
          <t>Total Critical Gaps:</t>
        </is>
      </c>
      <c r="B7" s="14">
        <f>'Executive Dashboard'!B18</f>
        <v/>
      </c>
    </row>
    <row r="8">
      <c r="A8" s="3" t="inlineStr">
        <is>
          <t>Total High-Risk Items:</t>
        </is>
      </c>
      <c r="B8" s="14">
        <f>'Executive Dashboard'!B19</f>
        <v/>
      </c>
    </row>
    <row r="9">
      <c r="A9" s="3" t="inlineStr">
        <is>
          <t>Evidence Items Collected:</t>
        </is>
      </c>
      <c r="B9" s="14">
        <f>'Evidence Register'!B4</f>
        <v/>
      </c>
    </row>
    <row r="10">
      <c r="A10" s="3" t="inlineStr">
        <is>
          <t>Open Action Items:</t>
        </is>
      </c>
      <c r="B10" s="14">
        <f>'Action Items &amp; Follow-up'!B5</f>
        <v/>
      </c>
    </row>
    <row r="13">
      <c r="A13" s="26" t="inlineStr">
        <is>
          <t>APPROVAL WORKFLOW</t>
        </is>
      </c>
    </row>
    <row r="14">
      <c r="A14" s="7" t="inlineStr">
        <is>
          <t>Level</t>
        </is>
      </c>
      <c r="B14" s="7" t="inlineStr">
        <is>
          <t>Role</t>
        </is>
      </c>
      <c r="C14" s="7" t="inlineStr">
        <is>
          <t>Name</t>
        </is>
      </c>
      <c r="D14" s="7" t="inlineStr">
        <is>
          <t>Signature</t>
        </is>
      </c>
      <c r="E14" s="7" t="inlineStr">
        <is>
          <t>Date</t>
        </is>
      </c>
      <c r="F14" s="7" t="inlineStr">
        <is>
          <t>Comments</t>
        </is>
      </c>
    </row>
    <row r="15">
      <c r="A15" s="8" t="inlineStr">
        <is>
          <t>1</t>
        </is>
      </c>
      <c r="B15" s="8" t="inlineStr">
        <is>
          <t>Prepared By</t>
        </is>
      </c>
      <c r="C15" s="4" t="inlineStr">
        <is>
          <t>Security Analyst / Assessor</t>
        </is>
      </c>
      <c r="D15" s="4" t="n"/>
      <c r="E15" s="4" t="n"/>
      <c r="F15" s="4" t="n"/>
    </row>
    <row r="16">
      <c r="A16" s="8" t="inlineStr">
        <is>
          <t>2</t>
        </is>
      </c>
      <c r="B16" s="8" t="inlineStr">
        <is>
          <t>Reviewed By</t>
        </is>
      </c>
      <c r="C16" s="4" t="inlineStr">
        <is>
          <t>IT Security Manager</t>
        </is>
      </c>
      <c r="D16" s="4" t="n"/>
      <c r="E16" s="4" t="n"/>
      <c r="F16" s="4" t="n"/>
    </row>
    <row r="17">
      <c r="A17" s="8" t="inlineStr">
        <is>
          <t>3</t>
        </is>
      </c>
      <c r="B17" s="8" t="inlineStr">
        <is>
          <t>Approved By</t>
        </is>
      </c>
      <c r="C17" s="4" t="inlineStr">
        <is>
          <t>CISO / Head of IT Security</t>
        </is>
      </c>
      <c r="D17" s="4" t="n"/>
      <c r="E17" s="4" t="n"/>
      <c r="F17" s="4" t="n"/>
    </row>
    <row r="18">
      <c r="A18" s="8" t="inlineStr">
        <is>
          <t>4</t>
        </is>
      </c>
      <c r="B18" s="8" t="inlineStr">
        <is>
          <t>Noted By</t>
        </is>
      </c>
      <c r="C18" s="4" t="inlineStr">
        <is>
          <t>CIO / IT Director</t>
        </is>
      </c>
      <c r="D18" s="4" t="n"/>
      <c r="E18" s="4" t="n"/>
      <c r="F18" s="4" t="n"/>
    </row>
    <row r="21">
      <c r="A21" s="10" t="inlineStr">
        <is>
          <t>NEXT REVIEW</t>
        </is>
      </c>
    </row>
    <row r="22">
      <c r="A22" s="3" t="inlineStr">
        <is>
          <t>Next Review Date:</t>
        </is>
      </c>
      <c r="B22" s="4" t="n"/>
    </row>
    <row r="23">
      <c r="A23" s="3" t="inlineStr">
        <is>
          <t>Review Frequency:</t>
        </is>
      </c>
      <c r="B23" s="8" t="inlineStr">
        <is>
          <t>Quarterly</t>
        </is>
      </c>
    </row>
  </sheetData>
  <mergeCells count="2">
    <mergeCell ref="A13:F1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2026-02-08T10:49:52Z</dcterms:created>
  <dcterms:modified xmlns:dcterms="http://purl.org/dc/terms/" xmlns:xsi="http://www.w3.org/2001/XMLSchema-instance" xsi:type="dcterms:W3CDTF">2026-02-08T10:49:52Z</dcterms:modified>
</cp:coreProperties>
</file>