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Session_Recording_Coverage" sheetId="2" state="visible" r:id="rId2"/>
    <sheet xmlns:r="http://schemas.openxmlformats.org/officeDocument/2006/relationships" name="Privileged_Command_Logging" sheetId="3" state="visible" r:id="rId3"/>
    <sheet xmlns:r="http://schemas.openxmlformats.org/officeDocument/2006/relationships" name="Anomaly_Detection_Rules" sheetId="4" state="visible" r:id="rId4"/>
    <sheet xmlns:r="http://schemas.openxmlformats.org/officeDocument/2006/relationships" name="Privileged_Access_Activity" sheetId="5" state="visible" r:id="rId5"/>
    <sheet xmlns:r="http://schemas.openxmlformats.org/officeDocument/2006/relationships" name="Alert_Response_Tracking" sheetId="6" state="visible" r:id="rId6"/>
    <sheet xmlns:r="http://schemas.openxmlformats.org/officeDocument/2006/relationships" name="Off_Hours_Access_Log" sheetId="7" state="visible" r:id="rId7"/>
    <sheet xmlns:r="http://schemas.openxmlformats.org/officeDocument/2006/relationships" name="Failed_Login_Analysis" sheetId="8" state="visible" r:id="rId8"/>
    <sheet xmlns:r="http://schemas.openxmlformats.org/officeDocument/2006/relationships" name="Tier_Violation_Incidents" sheetId="9" state="visible" r:id="rId9"/>
    <sheet xmlns:r="http://schemas.openxmlformats.org/officeDocument/2006/relationships" name="Quarterly_Review_Status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8E4F8"/>
      </patternFill>
    </fill>
    <fill>
      <patternFill patternType="solid">
        <fgColor rgb="0000336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</cols>
  <sheetData>
    <row r="1" ht="40" customHeight="1">
      <c r="A1" s="1" t="inlineStr">
        <is>
          <t>ISMS-IMP-A.8.2-3-5.S4  -  Privileged Access Monitoring &amp; Anomaly Detection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ISMS-IMP-A.8.2-3-5.S4</t>
        </is>
      </c>
    </row>
    <row r="4">
      <c r="A4" s="2" t="inlineStr">
        <is>
          <t>Assessment:</t>
        </is>
      </c>
      <c r="B4" t="inlineStr">
        <is>
          <t>Privileged Access Monitoring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11:49</t>
        </is>
      </c>
    </row>
    <row r="8">
      <c r="A8" s="3" t="inlineStr">
        <is>
          <t>⚠ MONITORING = DETECTION CAPABILITY</t>
        </is>
      </c>
    </row>
    <row r="9" ht="45" customHeight="1">
      <c r="A9" s="4" t="inlineStr">
        <is>
          <t>Without monitoring, privileged access abuse is invisible. Session recording provides evidence of what privileged users did. Real-time anomaly detection enables rapid incident response. Monitoring is not optional for privileged access.</t>
        </is>
      </c>
    </row>
    <row r="11">
      <c r="A11" s="5" t="inlineStr">
        <is>
          <t>MONITORING COVERAGE REQUIREMENTS</t>
        </is>
      </c>
    </row>
    <row r="12">
      <c r="A12" s="6" t="inlineStr">
        <is>
          <t>Monitoring Component</t>
        </is>
      </c>
      <c r="B12" s="6" t="inlineStr">
        <is>
          <t>Requirement</t>
        </is>
      </c>
      <c r="C12" s="6" t="inlineStr">
        <is>
          <t>Priority</t>
        </is>
      </c>
    </row>
    <row r="13">
      <c r="A13" s="7" t="inlineStr">
        <is>
          <t>Session Recording</t>
        </is>
      </c>
      <c r="B13" s="7" t="inlineStr">
        <is>
          <t>Tier 0: 100% | Tier 1 Production: 90%+ | Tier 2: Optional</t>
        </is>
      </c>
      <c r="C13" s="7" t="inlineStr">
        <is>
          <t>🔴 Critical</t>
        </is>
      </c>
    </row>
    <row r="14">
      <c r="A14" s="7" t="inlineStr">
        <is>
          <t>Command Logging</t>
        </is>
      </c>
      <c r="B14" s="7" t="inlineStr">
        <is>
          <t>All privileged commands (sudo, PowerShell, database DDL, cloud APIs)</t>
        </is>
      </c>
      <c r="C14" s="7" t="inlineStr">
        <is>
          <t>🔴 Critical</t>
        </is>
      </c>
    </row>
    <row r="15">
      <c r="A15" s="7" t="inlineStr">
        <is>
          <t>Real-Time Alerts</t>
        </is>
      </c>
      <c r="B15" s="7" t="inlineStr">
        <is>
          <t>Off-hours access, failed logins, tier violations, unusual activity</t>
        </is>
      </c>
      <c r="C15" s="7" t="inlineStr">
        <is>
          <t>🔴 Critical</t>
        </is>
      </c>
    </row>
    <row r="16">
      <c r="A16" s="7" t="inlineStr">
        <is>
          <t>Response Time</t>
        </is>
      </c>
      <c r="B16" s="7" t="inlineStr">
        <is>
          <t>Critical alerts: &lt;30 min average | High alerts: &lt;2 hours</t>
        </is>
      </c>
      <c r="C16" s="7" t="inlineStr">
        <is>
          <t>🟠 High</t>
        </is>
      </c>
    </row>
    <row r="17">
      <c r="A17" s="7" t="inlineStr">
        <is>
          <t>Log Retention</t>
        </is>
      </c>
      <c r="B17" s="7" t="inlineStr">
        <is>
          <t>90 days online, 1 year archived minimum</t>
        </is>
      </c>
      <c r="C17" s="7" t="inlineStr">
        <is>
          <t>🟡 Medium</t>
        </is>
      </c>
    </row>
    <row r="18">
      <c r="A18" s="7" t="inlineStr">
        <is>
          <t>SESSION RECORDING TARGETS</t>
        </is>
      </c>
      <c r="B18" s="7" t="inlineStr">
        <is>
          <t>Forward privileged access logs to SIEM (A.8.16)</t>
        </is>
      </c>
      <c r="C18" s="7" t="inlineStr">
        <is>
          <t>🟠 High</t>
        </is>
      </c>
    </row>
    <row r="19">
      <c r="A19" t="inlineStr">
        <is>
          <t>ANOMALY DETECTION &amp; ALERT FRAMEWORK</t>
        </is>
      </c>
      <c r="B19" t="inlineStr">
        <is>
          <t>Optional</t>
        </is>
      </c>
      <c r="C19" t="inlineStr">
        <is>
          <t>OPTIONAL - Workstation local admin (low risk)</t>
        </is>
      </c>
    </row>
    <row r="20" ht="30" customHeight="1">
      <c r="A20" s="8" t="inlineStr">
        <is>
          <t>🎯 REMEMBER: 'We monitor privileged access' means nothing without actual session recordings and real-time alerts.</t>
        </is>
      </c>
      <c r="B20" s="9" t="n"/>
      <c r="C20" s="9" t="n"/>
      <c r="D20" s="9" t="n"/>
      <c r="E20" s="9" t="n"/>
      <c r="F20" s="9" t="n"/>
      <c r="G20" s="9" t="n"/>
      <c r="H20" s="10" t="n"/>
    </row>
  </sheetData>
  <mergeCells count="2">
    <mergeCell ref="A20:H20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2" max="2"/>
    <col width="16" customWidth="1" min="3" max="3"/>
    <col width="25" customWidth="1" min="4" max="4"/>
    <col width="22" customWidth="1" min="5" max="5"/>
    <col width="25" customWidth="1" min="6" max="6"/>
    <col width="16" customWidth="1" min="7" max="7"/>
    <col width="16" customWidth="1" min="8" max="8"/>
    <col width="14" customWidth="1" min="9" max="9"/>
    <col width="20" customWidth="1" min="10" max="10"/>
    <col width="18" customWidth="1" min="11" max="11"/>
    <col width="35" customWidth="1" min="12" max="12"/>
  </cols>
  <sheetData>
    <row r="1">
      <c r="A1" t="inlineStr">
        <is>
          <t>Session Recording Coverage Assessment</t>
        </is>
      </c>
    </row>
    <row r="2">
      <c r="A2" t="inlineStr">
        <is>
          <t>Track session recording deployment (Target: Tier 0 100%, Tier 1 Production 90%+)</t>
        </is>
      </c>
    </row>
    <row r="4">
      <c r="A4" s="6" t="inlineStr">
        <is>
          <t>Account / System</t>
        </is>
      </c>
      <c r="B4" s="6" t="inlineStr">
        <is>
          <t>Admin Tier</t>
        </is>
      </c>
      <c r="C4" s="6" t="inlineStr">
        <is>
          <t>Environment</t>
        </is>
      </c>
      <c r="D4" s="6" t="inlineStr">
        <is>
          <t>Recording Status</t>
        </is>
      </c>
      <c r="E4" s="6" t="inlineStr">
        <is>
          <t>Recording Method</t>
        </is>
      </c>
      <c r="F4" s="6" t="inlineStr">
        <is>
          <t>Storage Location</t>
        </is>
      </c>
      <c r="G4" s="6" t="inlineStr">
        <is>
          <t>Retention Period</t>
        </is>
      </c>
      <c r="H4" s="6" t="inlineStr">
        <is>
          <t>Last Recording Date</t>
        </is>
      </c>
      <c r="I4" s="6" t="inlineStr">
        <is>
          <t>Playback Tested</t>
        </is>
      </c>
      <c r="J4" s="6" t="inlineStr">
        <is>
          <t>Compliance Target</t>
        </is>
      </c>
      <c r="K4" s="6" t="inlineStr">
        <is>
          <t>Compliance Status</t>
        </is>
      </c>
      <c r="L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7">
      <c r="A157" t="inlineStr">
        <is>
          <t>RECORDING COVERAGE SUMMARY</t>
        </is>
      </c>
    </row>
    <row r="158">
      <c r="A158" t="inlineStr">
        <is>
          <t>Tier 0 Recording Coverage:</t>
        </is>
      </c>
      <c r="B158" s="11">
        <f>COUNTIFS(B5:B154,"Tier 0*",D5:D154,"✅ Enabled*")/COUNTIF(B5:B154,"Tier 0*")</f>
        <v/>
      </c>
      <c r="C158" t="inlineStr">
        <is>
          <t>Target: 100%</t>
        </is>
      </c>
    </row>
    <row r="159">
      <c r="A159" t="inlineStr">
        <is>
          <t>Tier 1 Prod Recording Coverage:</t>
        </is>
      </c>
      <c r="B159">
        <f>COUNTIFS(B5:B154,"Tier 1*",C5:C154,"Production",D5:D154,"✅ Enabled*")/COUNTIFS(B5:B154,"Tier 1*",C5:C154,"Production")</f>
        <v/>
      </c>
      <c r="C159" t="inlineStr">
        <is>
          <t>Target: 90%+</t>
        </is>
      </c>
    </row>
  </sheetData>
  <mergeCells count="3">
    <mergeCell ref="A2:L2"/>
    <mergeCell ref="A1:L1"/>
    <mergeCell ref="A157:D157"/>
  </mergeCells>
  <dataValidations count="7">
    <dataValidation sqref="B5:B154" showDropDown="0" showInputMessage="0" showErrorMessage="0" allowBlank="1" type="list">
      <formula1>"Tier 0 (Domain/Enterprise/Critical),Tier 1 (Server/Application),Tier 2 (Workstation/Endpoint),N/A (Non-Privileged)"</formula1>
    </dataValidation>
    <dataValidation sqref="C5:C154" showDropDown="0" showInputMessage="0" showErrorMessage="0" allowBlank="1" type="list">
      <formula1>"Production,Non-Production,Test,Development"</formula1>
    </dataValidation>
    <dataValidation sqref="D5:D154" showDropDown="0" showInputMessage="0" showErrorMessage="0" allowBlank="1" type="list">
      <formula1>"✅ Enabled - Active Recording,✅ Enabled - Verified,⚠ Enabled - Storage Issues,❌ Not Enabled (Gap),🔄 Implementation In Progress,➖ N/A (Not Applicable)"</formula1>
    </dataValidation>
    <dataValidation sqref="E5:E154" showDropDown="0" showInputMessage="0" showErrorMessage="0" allowBlank="1" type="list">
      <formula1>"Video Recording,Keystroke Logging,Both (Video + Keystroke),None"</formula1>
    </dataValidation>
    <dataValidation sqref="I5:I154" showDropDown="0" showInputMessage="0" showErrorMessage="0" allowBlank="1" type="list">
      <formula1>"Yes,No"</formula1>
    </dataValidation>
    <dataValidation sqref="J5:J154" showDropDown="0" showInputMessage="0" showErrorMessage="0" allowBlank="1" type="list">
      <formula1>"Tier 0: 100%,Tier 1 Prod: 90%+,Tier 1 Non-Prod: 50%+,Optional"</formula1>
    </dataValidation>
    <dataValidation sqref="K5:K1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Command Logging Verification</t>
        </is>
      </c>
    </row>
    <row r="2">
      <c r="A2" t="inlineStr">
        <is>
          <t>Verify command logging is enabled for all privileged activities</t>
        </is>
      </c>
    </row>
    <row r="4">
      <c r="A4" s="6" t="inlineStr">
        <is>
          <t>System / Platform</t>
        </is>
      </c>
      <c r="B4" s="6" t="inlineStr">
        <is>
          <t>Admin Tier</t>
        </is>
      </c>
      <c r="C4" s="6" t="inlineStr">
        <is>
          <t>Logging Type</t>
        </is>
      </c>
      <c r="D4" s="6" t="inlineStr">
        <is>
          <t>Status</t>
        </is>
      </c>
      <c r="E4" s="6" t="inlineStr">
        <is>
          <t>Log Destination</t>
        </is>
      </c>
      <c r="F4" s="6" t="inlineStr">
        <is>
          <t>Retention</t>
        </is>
      </c>
      <c r="G4" s="6" t="inlineStr">
        <is>
          <t>SIEM Integrated</t>
        </is>
      </c>
      <c r="H4" s="6" t="inlineStr">
        <is>
          <t>Compliance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 Detection &amp; Alert Rules</t>
        </is>
      </c>
    </row>
    <row r="4">
      <c r="A4" s="6" t="inlineStr">
        <is>
          <t>Alert Rule Name</t>
        </is>
      </c>
      <c r="B4" s="6" t="inlineStr">
        <is>
          <t>Anomaly Type</t>
        </is>
      </c>
      <c r="C4" s="6" t="inlineStr">
        <is>
          <t>Severity</t>
        </is>
      </c>
      <c r="D4" s="6" t="inlineStr">
        <is>
          <t>Detection Logic</t>
        </is>
      </c>
      <c r="E4" s="6" t="inlineStr">
        <is>
          <t>Alert Destination</t>
        </is>
      </c>
      <c r="F4" s="6" t="inlineStr">
        <is>
          <t>Response SLA</t>
        </is>
      </c>
      <c r="G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Access Activity Log</t>
        </is>
      </c>
    </row>
    <row r="4">
      <c r="A4" s="6" t="inlineStr">
        <is>
          <t>Date/Time</t>
        </is>
      </c>
      <c r="B4" s="6" t="inlineStr">
        <is>
          <t>Account</t>
        </is>
      </c>
      <c r="C4" s="6" t="inlineStr">
        <is>
          <t>User</t>
        </is>
      </c>
      <c r="D4" s="6" t="inlineStr">
        <is>
          <t>System</t>
        </is>
      </c>
      <c r="E4" s="6" t="inlineStr">
        <is>
          <t>Action</t>
        </is>
      </c>
      <c r="F4" s="6" t="inlineStr">
        <is>
          <t>Duration</t>
        </is>
      </c>
      <c r="G4" s="6" t="inlineStr">
        <is>
          <t>Location</t>
        </is>
      </c>
      <c r="H4" s="6" t="inlineStr">
        <is>
          <t>Anomaly Detected</t>
        </is>
      </c>
      <c r="I4" s="6" t="inlineStr">
        <is>
          <t>Review 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Alert Response Tracking</t>
        </is>
      </c>
    </row>
    <row r="4">
      <c r="A4" s="6" t="inlineStr">
        <is>
          <t>Alert ID</t>
        </is>
      </c>
      <c r="B4" s="6" t="inlineStr">
        <is>
          <t>Alert Time</t>
        </is>
      </c>
      <c r="C4" s="6" t="inlineStr">
        <is>
          <t>Alert Type</t>
        </is>
      </c>
      <c r="D4" s="6" t="inlineStr">
        <is>
          <t>Severity</t>
        </is>
      </c>
      <c r="E4" s="6" t="inlineStr">
        <is>
          <t>Account</t>
        </is>
      </c>
      <c r="F4" s="6" t="inlineStr">
        <is>
          <t>Assigned To</t>
        </is>
      </c>
      <c r="G4" s="6" t="inlineStr">
        <is>
          <t>Response Time (min)</t>
        </is>
      </c>
      <c r="H4" s="6" t="inlineStr">
        <is>
          <t>Resolution</t>
        </is>
      </c>
      <c r="I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</sheetData>
  <dataValidations count="1">
    <dataValidation sqref="I5:I104" showDropDown="0" showInputMessage="0" showErrorMessage="0" allowBlank="1" type="list">
      <formula1>"🔴 Open - Investigating,🟡 Open - Awaiting Response,🟢 Closed - Legitimate Activity,🔴 Closed - Security Incident,⚪ Closed - False Positive"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Off-Hours Privileged Access Log</t>
        </is>
      </c>
    </row>
    <row r="2">
      <c r="A2" t="inlineStr">
        <is>
          <t>Review privileged access outside business hours (weekdays 6PM-8AM, weekends, holidays)</t>
        </is>
      </c>
    </row>
    <row r="4">
      <c r="A4" s="6" t="inlineStr">
        <is>
          <t>Date/Time</t>
        </is>
      </c>
      <c r="B4" s="6" t="inlineStr">
        <is>
          <t>Account</t>
        </is>
      </c>
      <c r="C4" s="6" t="inlineStr">
        <is>
          <t>User</t>
        </is>
      </c>
      <c r="D4" s="6" t="inlineStr">
        <is>
          <t>System</t>
        </is>
      </c>
      <c r="E4" s="6" t="inlineStr">
        <is>
          <t>Tier</t>
        </is>
      </c>
      <c r="F4" s="6" t="inlineStr">
        <is>
          <t>Business Justification</t>
        </is>
      </c>
      <c r="G4" s="6" t="inlineStr">
        <is>
          <t>Approved By</t>
        </is>
      </c>
      <c r="H4" s="6" t="inlineStr">
        <is>
          <t>Review 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Privileged Login Analysis</t>
        </is>
      </c>
    </row>
    <row r="2">
      <c r="A2" t="inlineStr">
        <is>
          <t>Track failed authentication attempts (&gt;3 failures in 5 min = alert)</t>
        </is>
      </c>
    </row>
    <row r="4">
      <c r="A4" s="6" t="inlineStr">
        <is>
          <t>Date/Time</t>
        </is>
      </c>
      <c r="B4" s="6" t="inlineStr">
        <is>
          <t>Account</t>
        </is>
      </c>
      <c r="C4" s="6" t="inlineStr">
        <is>
          <t>Source IP</t>
        </is>
      </c>
      <c r="D4" s="6" t="inlineStr">
        <is>
          <t>System</t>
        </is>
      </c>
      <c r="E4" s="6" t="inlineStr">
        <is>
          <t>Failure Count</t>
        </is>
      </c>
      <c r="F4" s="6" t="inlineStr">
        <is>
          <t>Time Window</t>
        </is>
      </c>
      <c r="G4" s="6" t="inlineStr">
        <is>
          <t>Alert Generated</t>
        </is>
      </c>
      <c r="H4" s="6" t="inlineStr">
        <is>
          <t>Investigation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 Isolation Violation Tracking (Should be ZERO)</t>
        </is>
      </c>
    </row>
    <row r="4">
      <c r="A4" s="6" t="inlineStr">
        <is>
          <t>Date</t>
        </is>
      </c>
      <c r="B4" s="6" t="inlineStr">
        <is>
          <t>Account</t>
        </is>
      </c>
      <c r="C4" s="6" t="inlineStr">
        <is>
          <t>Account Tier</t>
        </is>
      </c>
      <c r="D4" s="6" t="inlineStr">
        <is>
          <t>System</t>
        </is>
      </c>
      <c r="E4" s="6" t="inlineStr">
        <is>
          <t>System Tier</t>
        </is>
      </c>
      <c r="F4" s="6" t="inlineStr">
        <is>
          <t>Violation Type</t>
        </is>
      </c>
      <c r="G4" s="6" t="inlineStr">
        <is>
          <t>Action Taken</t>
        </is>
      </c>
      <c r="H4" s="6" t="inlineStr">
        <is>
          <t>Root Cause</t>
        </is>
      </c>
      <c r="I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Privileged Access Review Status</t>
        </is>
      </c>
    </row>
    <row r="4">
      <c r="A4" s="6" t="inlineStr">
        <is>
          <t>Quarter</t>
        </is>
      </c>
      <c r="B4" s="6" t="inlineStr">
        <is>
          <t>Review Due Date</t>
        </is>
      </c>
      <c r="C4" s="6" t="inlineStr">
        <is>
          <t>Privileged Users Reviewed</t>
        </is>
      </c>
      <c r="D4" s="6" t="inlineStr">
        <is>
          <t>Completion Date</t>
        </is>
      </c>
      <c r="E4" s="6" t="inlineStr">
        <is>
          <t>Days Late/Early</t>
        </is>
      </c>
      <c r="F4" s="6" t="inlineStr">
        <is>
          <t>Review Status</t>
        </is>
      </c>
      <c r="G4" s="6" t="inlineStr">
        <is>
          <t>Findings</t>
        </is>
      </c>
    </row>
    <row r="5">
      <c r="A5" s="7" t="n"/>
      <c r="B5" s="7" t="n"/>
      <c r="C5" s="7" t="n"/>
      <c r="D5" s="7" t="n"/>
      <c r="E5" s="7">
        <f>IF(AND(B5&lt;&gt;"",D5&lt;&gt;""),D5-B5,"")</f>
        <v/>
      </c>
      <c r="F5" s="7" t="n"/>
      <c r="G5" s="7" t="n"/>
    </row>
    <row r="6">
      <c r="A6" s="7" t="n"/>
      <c r="B6" s="7" t="n"/>
      <c r="C6" s="7" t="n"/>
      <c r="D6" s="7" t="n"/>
      <c r="E6" s="7">
        <f>IF(AND(B6&lt;&gt;"",D6&lt;&gt;""),D6-B6,"")</f>
        <v/>
      </c>
      <c r="F6" s="7" t="n"/>
      <c r="G6" s="7" t="n"/>
    </row>
    <row r="7">
      <c r="A7" s="7" t="n"/>
      <c r="B7" s="7" t="n"/>
      <c r="C7" s="7" t="n"/>
      <c r="D7" s="7" t="n"/>
      <c r="E7" s="7">
        <f>IF(AND(B7&lt;&gt;"",D7&lt;&gt;""),D7-B7,"")</f>
        <v/>
      </c>
      <c r="F7" s="7" t="n"/>
      <c r="G7" s="7" t="n"/>
    </row>
    <row r="8">
      <c r="A8" s="7" t="n"/>
      <c r="B8" s="7" t="n"/>
      <c r="C8" s="7" t="n"/>
      <c r="D8" s="7" t="n"/>
      <c r="E8" s="7">
        <f>IF(AND(B8&lt;&gt;"",D8&lt;&gt;""),D8-B8,"")</f>
        <v/>
      </c>
      <c r="F8" s="7" t="n"/>
      <c r="G8" s="7" t="n"/>
    </row>
    <row r="9">
      <c r="A9" s="7" t="n"/>
      <c r="B9" s="7" t="n"/>
      <c r="C9" s="7" t="n"/>
      <c r="D9" s="7" t="n"/>
      <c r="E9" s="7">
        <f>IF(AND(B9&lt;&gt;"",D9&lt;&gt;""),D9-B9,"")</f>
        <v/>
      </c>
      <c r="F9" s="7" t="n"/>
      <c r="G9" s="7" t="n"/>
    </row>
    <row r="10">
      <c r="A10" s="7" t="n"/>
      <c r="B10" s="7" t="n"/>
      <c r="C10" s="7" t="n"/>
      <c r="D10" s="7" t="n"/>
      <c r="E10" s="7">
        <f>IF(AND(B10&lt;&gt;"",D10&lt;&gt;""),D10-B10,"")</f>
        <v/>
      </c>
      <c r="F10" s="7" t="n"/>
      <c r="G10" s="7" t="n"/>
    </row>
    <row r="11">
      <c r="A11" s="7" t="n"/>
      <c r="B11" s="7" t="n"/>
      <c r="C11" s="7" t="n"/>
      <c r="D11" s="7" t="n"/>
      <c r="E11" s="7">
        <f>IF(AND(B11&lt;&gt;"",D11&lt;&gt;""),D11-B11,"")</f>
        <v/>
      </c>
      <c r="F11" s="7" t="n"/>
      <c r="G11" s="7" t="n"/>
    </row>
    <row r="12">
      <c r="A12" s="7" t="n"/>
      <c r="B12" s="7" t="n"/>
      <c r="C12" s="7" t="n"/>
      <c r="D12" s="7" t="n"/>
      <c r="E12" s="7">
        <f>IF(AND(B12&lt;&gt;"",D12&lt;&gt;""),D12-B12,"")</f>
        <v/>
      </c>
      <c r="F12" s="7" t="n"/>
      <c r="G12" s="7" t="n"/>
    </row>
    <row r="13">
      <c r="A13" s="7" t="n"/>
      <c r="B13" s="7" t="n"/>
      <c r="C13" s="7" t="n"/>
      <c r="D13" s="7" t="n"/>
      <c r="E13" s="7">
        <f>IF(AND(B13&lt;&gt;"",D13&lt;&gt;""),D13-B13,"")</f>
        <v/>
      </c>
      <c r="F13" s="7" t="n"/>
      <c r="G13" s="7" t="n"/>
    </row>
    <row r="14">
      <c r="A14" s="7" t="n"/>
      <c r="B14" s="7" t="n"/>
      <c r="C14" s="7" t="n"/>
      <c r="D14" s="7" t="n"/>
      <c r="E14" s="7">
        <f>IF(AND(B14&lt;&gt;"",D14&lt;&gt;""),D14-B14,"")</f>
        <v/>
      </c>
      <c r="F14" s="7" t="n"/>
      <c r="G14" s="7" t="n"/>
    </row>
    <row r="15">
      <c r="A15" s="7" t="n"/>
      <c r="B15" s="7" t="n"/>
      <c r="C15" s="7" t="n"/>
      <c r="D15" s="7" t="n"/>
      <c r="E15" s="7">
        <f>IF(AND(B15&lt;&gt;"",D15&lt;&gt;""),D15-B15,"")</f>
        <v/>
      </c>
      <c r="F15" s="7" t="n"/>
      <c r="G15" s="7" t="n"/>
    </row>
    <row r="16">
      <c r="A16" s="7" t="n"/>
      <c r="B16" s="7" t="n"/>
      <c r="C16" s="7" t="n"/>
      <c r="D16" s="7" t="n"/>
      <c r="E16" s="7">
        <f>IF(AND(B16&lt;&gt;"",D16&lt;&gt;""),D16-B16,"")</f>
        <v/>
      </c>
      <c r="F16" s="7" t="n"/>
      <c r="G16" s="7" t="n"/>
    </row>
    <row r="17">
      <c r="A17" s="7" t="n"/>
      <c r="B17" s="7" t="n"/>
      <c r="C17" s="7" t="n"/>
      <c r="D17" s="7" t="n"/>
      <c r="E17" s="7">
        <f>IF(AND(B17&lt;&gt;"",D17&lt;&gt;""),D17-B17,"")</f>
        <v/>
      </c>
      <c r="F17" s="7" t="n"/>
      <c r="G17" s="7" t="n"/>
    </row>
    <row r="18">
      <c r="A18" s="7" t="n"/>
      <c r="B18" s="7" t="n"/>
      <c r="C18" s="7" t="n"/>
      <c r="D18" s="7" t="n"/>
      <c r="E18" s="7">
        <f>IF(AND(B18&lt;&gt;"",D18&lt;&gt;""),D18-B18,"")</f>
        <v/>
      </c>
      <c r="F18" s="7" t="n"/>
      <c r="G18" s="7" t="n"/>
    </row>
    <row r="19">
      <c r="A19" s="7" t="n"/>
      <c r="B19" s="7" t="n"/>
      <c r="C19" s="7" t="n"/>
      <c r="D19" s="7" t="n"/>
      <c r="E19" s="7">
        <f>IF(AND(B19&lt;&gt;"",D19&lt;&gt;""),D19-B19,"")</f>
        <v/>
      </c>
      <c r="F19" s="7" t="n"/>
      <c r="G19" s="7" t="n"/>
    </row>
    <row r="20">
      <c r="A20" s="7" t="n"/>
      <c r="B20" s="7" t="n"/>
      <c r="C20" s="7" t="n"/>
      <c r="D20" s="7" t="n"/>
      <c r="E20" s="7">
        <f>IF(AND(B20&lt;&gt;"",D20&lt;&gt;""),D20-B20,"")</f>
        <v/>
      </c>
      <c r="F20" s="7" t="n"/>
      <c r="G20" s="7" t="n"/>
    </row>
    <row r="21">
      <c r="A21" s="7" t="n"/>
      <c r="B21" s="7" t="n"/>
      <c r="C21" s="7" t="n"/>
      <c r="D21" s="7" t="n"/>
      <c r="E21" s="7">
        <f>IF(AND(B21&lt;&gt;"",D21&lt;&gt;""),D21-B21,"")</f>
        <v/>
      </c>
      <c r="F21" s="7" t="n"/>
      <c r="G21" s="7" t="n"/>
    </row>
    <row r="22">
      <c r="A22" s="7" t="n"/>
      <c r="B22" s="7" t="n"/>
      <c r="C22" s="7" t="n"/>
      <c r="D22" s="7" t="n"/>
      <c r="E22" s="7">
        <f>IF(AND(B22&lt;&gt;"",D22&lt;&gt;""),D22-B22,"")</f>
        <v/>
      </c>
      <c r="F22" s="7" t="n"/>
      <c r="G22" s="7" t="n"/>
    </row>
    <row r="23">
      <c r="A23" s="7" t="n"/>
      <c r="B23" s="7" t="n"/>
      <c r="C23" s="7" t="n"/>
      <c r="D23" s="7" t="n"/>
      <c r="E23" s="7">
        <f>IF(AND(B23&lt;&gt;"",D23&lt;&gt;""),D23-B23,"")</f>
        <v/>
      </c>
      <c r="F23" s="7" t="n"/>
      <c r="G23" s="7" t="n"/>
    </row>
    <row r="24">
      <c r="A24" s="7" t="n"/>
      <c r="B24" s="7" t="n"/>
      <c r="C24" s="7" t="n"/>
      <c r="D24" s="7" t="n"/>
      <c r="E24" s="7">
        <f>IF(AND(B24&lt;&gt;"",D24&lt;&gt;""),D24-B24,"")</f>
        <v/>
      </c>
      <c r="F24" s="7" t="n"/>
      <c r="G24" s="7" t="n"/>
    </row>
    <row r="25">
      <c r="A25" s="7" t="n"/>
      <c r="B25" s="7" t="n"/>
      <c r="C25" s="7" t="n"/>
      <c r="D25" s="7" t="n"/>
      <c r="E25" s="7">
        <f>IF(AND(B25&lt;&gt;"",D25&lt;&gt;""),D25-B25,"")</f>
        <v/>
      </c>
      <c r="F25" s="7" t="n"/>
      <c r="G25" s="7" t="n"/>
    </row>
    <row r="26">
      <c r="A26" s="7" t="n"/>
      <c r="B26" s="7" t="n"/>
      <c r="C26" s="7" t="n"/>
      <c r="D26" s="7" t="n"/>
      <c r="E26" s="7">
        <f>IF(AND(B26&lt;&gt;"",D26&lt;&gt;""),D26-B26,"")</f>
        <v/>
      </c>
      <c r="F26" s="7" t="n"/>
      <c r="G26" s="7" t="n"/>
    </row>
    <row r="27">
      <c r="A27" s="7" t="n"/>
      <c r="B27" s="7" t="n"/>
      <c r="C27" s="7" t="n"/>
      <c r="D27" s="7" t="n"/>
      <c r="E27" s="7">
        <f>IF(AND(B27&lt;&gt;"",D27&lt;&gt;""),D27-B27,"")</f>
        <v/>
      </c>
      <c r="F27" s="7" t="n"/>
      <c r="G27" s="7" t="n"/>
    </row>
    <row r="28">
      <c r="A28" s="7" t="n"/>
      <c r="B28" s="7" t="n"/>
      <c r="C28" s="7" t="n"/>
      <c r="D28" s="7" t="n"/>
      <c r="E28" s="7">
        <f>IF(AND(B28&lt;&gt;"",D28&lt;&gt;""),D28-B28,"")</f>
        <v/>
      </c>
      <c r="F28" s="7" t="n"/>
      <c r="G28" s="7" t="n"/>
    </row>
    <row r="29">
      <c r="A29" s="7" t="n"/>
      <c r="B29" s="7" t="n"/>
      <c r="C29" s="7" t="n"/>
      <c r="D29" s="7" t="n"/>
      <c r="E29" s="7">
        <f>IF(AND(B29&lt;&gt;"",D29&lt;&gt;""),D29-B29,"")</f>
        <v/>
      </c>
      <c r="F29" s="7" t="n"/>
      <c r="G29" s="7" t="n"/>
    </row>
    <row r="30">
      <c r="A30" s="7" t="n"/>
      <c r="B30" s="7" t="n"/>
      <c r="C30" s="7" t="n"/>
      <c r="D30" s="7" t="n"/>
      <c r="E30" s="7">
        <f>IF(AND(B30&lt;&gt;"",D30&lt;&gt;""),D30-B30,"")</f>
        <v/>
      </c>
      <c r="F30" s="7" t="n"/>
      <c r="G30" s="7" t="n"/>
    </row>
    <row r="31">
      <c r="A31" s="7" t="n"/>
      <c r="B31" s="7" t="n"/>
      <c r="C31" s="7" t="n"/>
      <c r="D31" s="7" t="n"/>
      <c r="E31" s="7">
        <f>IF(AND(B31&lt;&gt;"",D31&lt;&gt;""),D31-B31,"")</f>
        <v/>
      </c>
      <c r="F31" s="7" t="n"/>
      <c r="G31" s="7" t="n"/>
    </row>
    <row r="32">
      <c r="A32" s="7" t="n"/>
      <c r="B32" s="7" t="n"/>
      <c r="C32" s="7" t="n"/>
      <c r="D32" s="7" t="n"/>
      <c r="E32" s="7">
        <f>IF(AND(B32&lt;&gt;"",D32&lt;&gt;""),D32-B32,"")</f>
        <v/>
      </c>
      <c r="F32" s="7" t="n"/>
      <c r="G32" s="7" t="n"/>
    </row>
    <row r="33">
      <c r="A33" s="7" t="n"/>
      <c r="B33" s="7" t="n"/>
      <c r="C33" s="7" t="n"/>
      <c r="D33" s="7" t="n"/>
      <c r="E33" s="7">
        <f>IF(AND(B33&lt;&gt;"",D33&lt;&gt;""),D33-B33,"")</f>
        <v/>
      </c>
      <c r="F33" s="7" t="n"/>
      <c r="G33" s="7" t="n"/>
    </row>
    <row r="34">
      <c r="A34" s="7" t="n"/>
      <c r="B34" s="7" t="n"/>
      <c r="C34" s="7" t="n"/>
      <c r="D34" s="7" t="n"/>
      <c r="E34" s="7">
        <f>IF(AND(B34&lt;&gt;"",D34&lt;&gt;""),D34-B34,"")</f>
        <v/>
      </c>
      <c r="F34" s="7" t="n"/>
      <c r="G34" s="7" t="n"/>
    </row>
    <row r="35">
      <c r="A35" s="7" t="n"/>
      <c r="B35" s="7" t="n"/>
      <c r="C35" s="7" t="n"/>
      <c r="D35" s="7" t="n"/>
      <c r="E35" s="7">
        <f>IF(AND(B35&lt;&gt;"",D35&lt;&gt;""),D35-B35,"")</f>
        <v/>
      </c>
      <c r="F35" s="7" t="n"/>
      <c r="G35" s="7" t="n"/>
    </row>
    <row r="36">
      <c r="A36" s="7" t="n"/>
      <c r="B36" s="7" t="n"/>
      <c r="C36" s="7" t="n"/>
      <c r="D36" s="7" t="n"/>
      <c r="E36" s="7">
        <f>IF(AND(B36&lt;&gt;"",D36&lt;&gt;""),D36-B36,"")</f>
        <v/>
      </c>
      <c r="F36" s="7" t="n"/>
      <c r="G36" s="7" t="n"/>
    </row>
    <row r="37">
      <c r="A37" s="7" t="n"/>
      <c r="B37" s="7" t="n"/>
      <c r="C37" s="7" t="n"/>
      <c r="D37" s="7" t="n"/>
      <c r="E37" s="7">
        <f>IF(AND(B37&lt;&gt;"",D37&lt;&gt;""),D37-B37,"")</f>
        <v/>
      </c>
      <c r="F37" s="7" t="n"/>
      <c r="G37" s="7" t="n"/>
    </row>
    <row r="38">
      <c r="A38" s="7" t="n"/>
      <c r="B38" s="7" t="n"/>
      <c r="C38" s="7" t="n"/>
      <c r="D38" s="7" t="n"/>
      <c r="E38" s="7">
        <f>IF(AND(B38&lt;&gt;"",D38&lt;&gt;""),D38-B38,"")</f>
        <v/>
      </c>
      <c r="F38" s="7" t="n"/>
      <c r="G38" s="7" t="n"/>
    </row>
    <row r="39">
      <c r="A39" s="7" t="n"/>
      <c r="B39" s="7" t="n"/>
      <c r="C39" s="7" t="n"/>
      <c r="D39" s="7" t="n"/>
      <c r="E39" s="7">
        <f>IF(AND(B39&lt;&gt;"",D39&lt;&gt;""),D39-B39,"")</f>
        <v/>
      </c>
      <c r="F39" s="7" t="n"/>
      <c r="G39" s="7" t="n"/>
    </row>
    <row r="40">
      <c r="A40" s="7" t="n"/>
      <c r="B40" s="7" t="n"/>
      <c r="C40" s="7" t="n"/>
      <c r="D40" s="7" t="n"/>
      <c r="E40" s="7">
        <f>IF(AND(B40&lt;&gt;"",D40&lt;&gt;""),D40-B40,"")</f>
        <v/>
      </c>
      <c r="F40" s="7" t="n"/>
      <c r="G40" s="7" t="n"/>
    </row>
    <row r="41">
      <c r="A41" s="7" t="n"/>
      <c r="B41" s="7" t="n"/>
      <c r="C41" s="7" t="n"/>
      <c r="D41" s="7" t="n"/>
      <c r="E41" s="7">
        <f>IF(AND(B41&lt;&gt;"",D41&lt;&gt;""),D41-B41,"")</f>
        <v/>
      </c>
      <c r="F41" s="7" t="n"/>
      <c r="G41" s="7" t="n"/>
    </row>
    <row r="42">
      <c r="A42" s="7" t="n"/>
      <c r="B42" s="7" t="n"/>
      <c r="C42" s="7" t="n"/>
      <c r="D42" s="7" t="n"/>
      <c r="E42" s="7">
        <f>IF(AND(B42&lt;&gt;"",D42&lt;&gt;""),D42-B42,"")</f>
        <v/>
      </c>
      <c r="F42" s="7" t="n"/>
      <c r="G42" s="7" t="n"/>
    </row>
    <row r="43">
      <c r="A43" s="7" t="n"/>
      <c r="B43" s="7" t="n"/>
      <c r="C43" s="7" t="n"/>
      <c r="D43" s="7" t="n"/>
      <c r="E43" s="7">
        <f>IF(AND(B43&lt;&gt;"",D43&lt;&gt;""),D43-B43,"")</f>
        <v/>
      </c>
      <c r="F43" s="7" t="n"/>
      <c r="G43" s="7" t="n"/>
    </row>
    <row r="44">
      <c r="A44" s="7" t="n"/>
      <c r="B44" s="7" t="n"/>
      <c r="C44" s="7" t="n"/>
      <c r="D44" s="7" t="n"/>
      <c r="E44" s="7">
        <f>IF(AND(B44&lt;&gt;"",D44&lt;&gt;""),D44-B44,"")</f>
        <v/>
      </c>
      <c r="F44" s="7" t="n"/>
      <c r="G44" s="7" t="n"/>
    </row>
  </sheetData>
  <dataValidations count="1">
    <dataValidation sqref="F5:F44" showDropDown="0" showInputMessage="0" showErrorMessage="0" allowBlank="1" type="list">
      <formula1>"✅ Completed On Time,⚠ Completed Late,❌ Overdue,📋 Scheduled"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Monitoring Evidence Register</t>
        </is>
      </c>
    </row>
    <row r="4">
      <c r="A4" s="6" t="inlineStr">
        <is>
          <t>Evidence ID</t>
        </is>
      </c>
      <c r="B4" s="6" t="inlineStr">
        <is>
          <t>Evidence Type</t>
        </is>
      </c>
      <c r="C4" s="6" t="inlineStr">
        <is>
          <t>Description</t>
        </is>
      </c>
      <c r="D4" s="6" t="inlineStr">
        <is>
          <t>Source</t>
        </is>
      </c>
      <c r="E4" s="6" t="inlineStr">
        <is>
          <t>Date</t>
        </is>
      </c>
      <c r="F4" s="6" t="inlineStr">
        <is>
          <t>Collected By</t>
        </is>
      </c>
      <c r="G4" s="6" t="inlineStr">
        <is>
          <t>Verification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Monitoring Assessment Approval</t>
        </is>
      </c>
    </row>
    <row r="3">
      <c r="A3" s="5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7">
      <c r="A7" s="5" t="inlineStr">
        <is>
          <t>Approval Workflow</t>
        </is>
      </c>
    </row>
    <row r="8">
      <c r="A8" s="6" t="inlineStr">
        <is>
          <t>Level</t>
        </is>
      </c>
      <c r="B8" s="6" t="inlineStr">
        <is>
          <t>Role</t>
        </is>
      </c>
      <c r="C8" s="6" t="inlineStr">
        <is>
          <t>Name</t>
        </is>
      </c>
      <c r="D8" s="6" t="inlineStr">
        <is>
          <t>Date</t>
        </is>
      </c>
      <c r="E8" s="6" t="inlineStr">
        <is>
          <t>Signature</t>
        </is>
      </c>
    </row>
    <row r="9">
      <c r="A9" s="7" t="inlineStr">
        <is>
          <t>Level 1</t>
        </is>
      </c>
      <c r="B9" s="7" t="inlineStr">
        <is>
          <t>Security Analyst</t>
        </is>
      </c>
      <c r="C9" s="7" t="inlineStr"/>
      <c r="D9" s="7" t="inlineStr"/>
      <c r="E9" s="7" t="inlineStr"/>
    </row>
    <row r="10">
      <c r="A10" s="7" t="inlineStr">
        <is>
          <t>Level 2</t>
        </is>
      </c>
      <c r="B10" s="7" t="inlineStr">
        <is>
          <t>Security Architect</t>
        </is>
      </c>
      <c r="C10" s="7" t="inlineStr"/>
      <c r="D10" s="7" t="inlineStr"/>
      <c r="E10" s="7" t="inlineStr"/>
    </row>
    <row r="11">
      <c r="A11" s="7" t="inlineStr">
        <is>
          <t>Level 3</t>
        </is>
      </c>
      <c r="B11" s="7" t="inlineStr">
        <is>
          <t>CISO</t>
        </is>
      </c>
      <c r="C11" s="7" t="inlineStr"/>
      <c r="D11" s="7" t="inlineStr"/>
      <c r="E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2026-02-08T10:49:51Z</dcterms:created>
  <dcterms:modified xmlns:dcterms="http://purl.org/dc/terms/" xmlns:xsi="http://www.w3.org/2001/XMLSchema-instance" xsi:type="dcterms:W3CDTF">2026-02-08T10:49:51Z</dcterms:modified>
</cp:coreProperties>
</file>